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jnj-my.sharepoint.com/personal/mnijs1_its_jnj_com/Documents/04. LRFP/LRFP 2018/"/>
    </mc:Choice>
  </mc:AlternateContent>
  <xr:revisionPtr revIDLastSave="10" documentId="13_ncr:1_{744E0392-6234-41D6-B97B-882070656BE5}" xr6:coauthVersionLast="28" xr6:coauthVersionMax="28" xr10:uidLastSave="{5CDC7648-12E9-43BF-8340-C1005A4D6C20}"/>
  <bookViews>
    <workbookView xWindow="0" yWindow="0" windowWidth="25200" windowHeight="11780" tabRatio="904" activeTab="15" xr2:uid="{6A615C41-3200-4815-9084-25118386AB34}"/>
  </bookViews>
  <sheets>
    <sheet name="Unique Asset List" sheetId="20" r:id="rId1"/>
    <sheet name="PTRS" sheetId="19" r:id="rId2"/>
    <sheet name="Conjoint" sheetId="8" r:id="rId3"/>
    <sheet name="Efficacy" sheetId="9" r:id="rId4"/>
    <sheet name="S&amp;T" sheetId="10" r:id="rId5"/>
    <sheet name="Delivery" sheetId="11" r:id="rId6"/>
    <sheet name="Barrier" sheetId="12" r:id="rId7"/>
    <sheet name="Efficacy Acceptability" sheetId="13" r:id="rId8"/>
    <sheet name="Simulation" sheetId="7" r:id="rId9"/>
    <sheet name="7" sheetId="21" r:id="rId10"/>
    <sheet name="6" sheetId="6" r:id="rId11"/>
    <sheet name="5" sheetId="5" r:id="rId12"/>
    <sheet name="4" sheetId="4" r:id="rId13"/>
    <sheet name="3" sheetId="3" r:id="rId14"/>
    <sheet name="2" sheetId="2" r:id="rId15"/>
    <sheet name="1" sheetId="1" r:id="rId16"/>
  </sheets>
  <functionGroups builtInGroupCount="19"/>
  <externalReferences>
    <externalReference r:id="rId17"/>
    <externalReference r:id="rId18"/>
  </externalReference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FALSE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6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1</definedName>
    <definedName name="_AtRisk_SimSetting_ReportOptionCustomItemSummaryGraphType02" hidden="1">1</definedName>
    <definedName name="_AtRisk_SimSetting_ReportOptionCustomItemSummaryGraphType03" hidden="1">1</definedName>
    <definedName name="_AtRisk_SimSetting_ReportOptionCustomItemSummaryGraphType04" hidden="1">1</definedName>
    <definedName name="_AtRisk_SimSetting_ReportOptionCustomItemSummaryGraphType05" hidden="1">1</definedName>
    <definedName name="_AtRisk_SimSetting_ReportOptionCustomItemSummaryGraphType06" hidden="1">1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localSheetId="14" hidden="1">128</definedName>
    <definedName name="_AtRisk_SimSetting_ReportOptionReportSelection" hidden="1">2982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2982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1">Barrier!$D$10:$H$42</definedName>
    <definedName name="_B1G5">Barrier!$J$10:$N$42</definedName>
    <definedName name="_B2">Barrier!$D$44:$H$76</definedName>
    <definedName name="_B3">Barrier!$D$78:$H$110</definedName>
    <definedName name="_D1">Delivery!$D$9:$H$41</definedName>
    <definedName name="_D2">Delivery!$D$43:$H$75</definedName>
    <definedName name="_D3">Delivery!$D$77:$H$109</definedName>
    <definedName name="_D4">Delivery!$D$111:$H$143</definedName>
    <definedName name="_D5">Delivery!$D$145:$H$177</definedName>
    <definedName name="_D6">Delivery!$D$179:$H$211</definedName>
    <definedName name="_D7">Delivery!$D$213:$H$245</definedName>
    <definedName name="_D8">Delivery!$D$247:$H$279</definedName>
    <definedName name="_E1">Efficacy!$D$9:$H$41</definedName>
    <definedName name="_E2">Efficacy!$D$43:$H$75</definedName>
    <definedName name="_E3">Efficacy!$D$77:$H$109</definedName>
    <definedName name="_E4">Efficacy!$D$111:$H$143</definedName>
    <definedName name="_E5">Efficacy!$D$145:$H$177</definedName>
    <definedName name="_E6">Efficacy!$D$179:$H$211</definedName>
    <definedName name="_E7">Efficacy!$D$213:$H$245</definedName>
    <definedName name="_E8">Efficacy!$D$247:$H$279</definedName>
    <definedName name="_xlnm._FilterDatabase" localSheetId="15" hidden="1">'1'!$A$8:$DI$58</definedName>
    <definedName name="_xlnm._FilterDatabase" localSheetId="14" hidden="1">'2'!$A$8:$CP$58</definedName>
    <definedName name="_xlnm._FilterDatabase" localSheetId="13" hidden="1">'3'!$A$8:$CP$58</definedName>
    <definedName name="_xlnm._FilterDatabase" localSheetId="12" hidden="1">'4'!$A$8:$CP$58</definedName>
    <definedName name="_xlnm._FilterDatabase" localSheetId="11" hidden="1">'5'!$A$8:$CQ$58</definedName>
    <definedName name="_xlnm._FilterDatabase" localSheetId="10" hidden="1">'6'!$A$8:$CQ$58</definedName>
    <definedName name="_xlnm._FilterDatabase" localSheetId="9" hidden="1">'7'!$A$8:$CQ$58</definedName>
    <definedName name="_xlnm._FilterDatabase" localSheetId="7" hidden="1">'Efficacy Acceptability'!$B$2:$K$52</definedName>
    <definedName name="_xlnm._FilterDatabase" localSheetId="0" hidden="1">'Unique Asset List'!$A$3:$CA$60</definedName>
    <definedName name="_OrderEntry" localSheetId="14" hidden="1">'2'!$C$3</definedName>
    <definedName name="_OrderEntry" localSheetId="13" hidden="1">'3'!$C$3</definedName>
    <definedName name="_OrderEntry" localSheetId="12" hidden="1">'4'!$C$3</definedName>
    <definedName name="_OrderEntry" localSheetId="11" hidden="1">'5'!$C$3</definedName>
    <definedName name="_OrderEntry" localSheetId="10" hidden="1">'6'!$C$3</definedName>
    <definedName name="_OrderEntry" localSheetId="9" hidden="1">'7'!$C$3</definedName>
    <definedName name="_OrderEntry" localSheetId="6" hidden="1">[1]US!$C$3</definedName>
    <definedName name="_OrderEntry" localSheetId="7" hidden="1">[1]US!$C$3</definedName>
    <definedName name="_OrderEntry" localSheetId="1" hidden="1">[1]US!$C$3</definedName>
    <definedName name="_OrderEntry" localSheetId="8" hidden="1">[2]Assets!$C$3</definedName>
    <definedName name="_OrderEntry" hidden="1">'1'!$C$3</definedName>
    <definedName name="_pe" localSheetId="14" hidden="1">'2'!$X$1</definedName>
    <definedName name="_pe" localSheetId="13" hidden="1">'3'!$X$1</definedName>
    <definedName name="_pe" localSheetId="12" hidden="1">'4'!$X$1</definedName>
    <definedName name="_pe" localSheetId="11" hidden="1">'5'!$X$1</definedName>
    <definedName name="_pe" localSheetId="10" hidden="1">'6'!$X$1</definedName>
    <definedName name="_pe" localSheetId="9" hidden="1">'7'!$X$1</definedName>
    <definedName name="_pe" localSheetId="6" hidden="1">[1]US!$X$1</definedName>
    <definedName name="_pe" localSheetId="7" hidden="1">[1]US!$X$1</definedName>
    <definedName name="_pe" localSheetId="1" hidden="1">[1]US!$X$1</definedName>
    <definedName name="_pe" localSheetId="8" hidden="1">[2]Assets!$Z$1</definedName>
    <definedName name="_pe" hidden="1">'1'!$X$1</definedName>
    <definedName name="_S1">'S&amp;T'!$D$9:$H$41</definedName>
    <definedName name="_S2">'S&amp;T'!$D$43:$H$75</definedName>
    <definedName name="_S3">'S&amp;T'!$D$77:$H$109</definedName>
    <definedName name="_S4">'S&amp;T'!$D$111:$H$143</definedName>
    <definedName name="_S5">'S&amp;T'!$D$145:$H$177</definedName>
    <definedName name="_S6">'S&amp;T'!$D$179:$H$211</definedName>
    <definedName name="_S7">'S&amp;T'!$D$213:$H$245</definedName>
    <definedName name="_S8">'S&amp;T'!$D$247:$H$279</definedName>
    <definedName name="DeleteMe" hidden="1">"K863RJ1NHMV7NW27L511E5VP"</definedName>
    <definedName name="DeleteMe2" hidden="1">"K863RJ1NHMV7NW27L511E5VP"</definedName>
    <definedName name="DeleteMe5" hidden="1">"K863RJ1NHMV7NW27L511E5VP"</definedName>
    <definedName name="OptimizationAdjustableCellAddresses" localSheetId="15" hidden="1">#REF!</definedName>
    <definedName name="OptimizationAdjustableCellAddresses" localSheetId="14" hidden="1">#REF!</definedName>
    <definedName name="OptimizationAdjustableCellAddresses" localSheetId="13" hidden="1">#REF!</definedName>
    <definedName name="OptimizationAdjustableCellAddresses" localSheetId="12" hidden="1">#REF!</definedName>
    <definedName name="OptimizationAdjustableCellAddresses" localSheetId="11" hidden="1">#REF!</definedName>
    <definedName name="OptimizationAdjustableCellAddresses" localSheetId="10" hidden="1">#REF!</definedName>
    <definedName name="OptimizationAdjustableCellAddresses" localSheetId="9" hidden="1">#REF!</definedName>
    <definedName name="OptimizationAdjustableCellAddresses" localSheetId="6" hidden="1">#REF!</definedName>
    <definedName name="OptimizationAdjustableCellAddresses" localSheetId="5" hidden="1">#REF!</definedName>
    <definedName name="OptimizationAdjustableCellAddresses" localSheetId="1" hidden="1">#REF!</definedName>
    <definedName name="OptimizationAdjustableCellAddresses" localSheetId="4" hidden="1">#REF!</definedName>
    <definedName name="OptimizationAdjustableCellAddresses" localSheetId="8" hidden="1">#REF!</definedName>
    <definedName name="OptimizationAdjustableCellAddresses" localSheetId="0" hidden="1">#REF!</definedName>
    <definedName name="OptimizationAdjustableCellAddresses" hidden="1">#REF!</definedName>
    <definedName name="Pal_Workbook_GUID" hidden="1">"UPDP7DBSL2NB8771EXWX8Q6Q"</definedName>
    <definedName name="Pal_Workbook_GUID_1" hidden="1">"4FC9YZUIJNWCPJWH57D7MT7P"</definedName>
    <definedName name="RiskAfterRecalcMacro" hidden="1">""</definedName>
    <definedName name="RiskAfterSimMacro" hidden="1">""</definedName>
    <definedName name="riskATSSboxGraph" hidden="1">TRUE</definedName>
    <definedName name="riskATSSincludeSimtables" hidden="1">TRUE</definedName>
    <definedName name="riskATSSinputsGraphs" hidden="1">TRUE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TRUE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TRUE</definedName>
    <definedName name="RiskMonitorConvergence" hidden="1">FALSE</definedName>
    <definedName name="RiskMultipleCPUSupportEnabled" hidden="1">TRUE</definedName>
    <definedName name="RiskNumIterations" hidden="1">-1</definedName>
    <definedName name="RiskNumSimulations" hidden="1">1</definedName>
    <definedName name="RiskPauseOnError" hidden="1">TRUE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localSheetId="1" hidden="1">"$Q$47"</definedName>
    <definedName name="RiskSelectedCell" hidden="1">"$AQ$4"</definedName>
    <definedName name="RiskSelectedCell_1" hidden="1">"$D$5"</definedName>
    <definedName name="RiskSelectedNameCell1" localSheetId="1" hidden="1">"$P$47"</definedName>
    <definedName name="RiskSelectedNameCell1" hidden="1">"$B$4"</definedName>
    <definedName name="RiskSelectedNameCell2" localSheetId="1" hidden="1">"$Q$5"</definedName>
    <definedName name="RiskSelectedNameCell2" hidden="1">"$AQ$3"</definedName>
    <definedName name="RiskSelectedNameCell2_1" hidden="1">"$D$4"</definedName>
    <definedName name="RiskStandardRecalc" hidden="1">1</definedName>
    <definedName name="RiskSwapState" hidden="1">FALSE</definedName>
    <definedName name="RiskUpdateDisplay" hidden="1">FALSE</definedName>
    <definedName name="RiskUseDifferentSeedForEachSim" hidden="1">TRUE</definedName>
    <definedName name="RiskUseFixedSeed" hidden="1">FALSE</definedName>
    <definedName name="RiskUseMultipleCPUs" hidden="1">TRUE</definedName>
    <definedName name="RMOS" hidden="1">TRUE</definedName>
    <definedName name="TotalCVCount" hidden="1">"578FAE12E6D99759"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2" i="20" l="1"/>
  <c r="AM22" i="21" l="1"/>
  <c r="AM16" i="21"/>
  <c r="AM13" i="21"/>
  <c r="AJ58" i="20"/>
  <c r="AJ57" i="20"/>
  <c r="AJ55" i="20"/>
  <c r="AJ45" i="20"/>
  <c r="AJ39" i="20"/>
  <c r="AA47" i="21" s="1"/>
  <c r="AJ37" i="20"/>
  <c r="AA45" i="21" s="1"/>
  <c r="AJ35" i="20"/>
  <c r="AJ27" i="20"/>
  <c r="AJ24" i="20"/>
  <c r="AA32" i="21" s="1"/>
  <c r="AJ19" i="20"/>
  <c r="AJ16" i="20"/>
  <c r="AA25" i="21" s="1"/>
  <c r="AJ15" i="20"/>
  <c r="AA22" i="21" s="1"/>
  <c r="AJ14" i="20"/>
  <c r="AA13" i="21" s="1"/>
  <c r="AJ6" i="20"/>
  <c r="AJ5" i="20"/>
  <c r="AA12" i="21" s="1"/>
  <c r="AJ4" i="20"/>
  <c r="AA29" i="21" s="1"/>
  <c r="AC54" i="20"/>
  <c r="Z19" i="21" s="1"/>
  <c r="AC52" i="20"/>
  <c r="Z16" i="21" s="1"/>
  <c r="AC44" i="20"/>
  <c r="AC36" i="20"/>
  <c r="Z35" i="21" s="1"/>
  <c r="AC35" i="20"/>
  <c r="Z27" i="21" s="1"/>
  <c r="AC22" i="20"/>
  <c r="AC20" i="20"/>
  <c r="Z11" i="21" s="1"/>
  <c r="AC16" i="20"/>
  <c r="AC14" i="20"/>
  <c r="Z13" i="21" s="1"/>
  <c r="AC13" i="20"/>
  <c r="O59" i="20"/>
  <c r="AJ59" i="20" s="1"/>
  <c r="O56" i="20"/>
  <c r="O55" i="20"/>
  <c r="O54" i="20"/>
  <c r="AJ54" i="20" s="1"/>
  <c r="AA19" i="21" s="1"/>
  <c r="O52" i="20"/>
  <c r="AJ52" i="20" s="1"/>
  <c r="AA16" i="21" s="1"/>
  <c r="O50" i="20"/>
  <c r="AJ50" i="20" s="1"/>
  <c r="O49" i="20"/>
  <c r="AJ49" i="20" s="1"/>
  <c r="AA58" i="21" s="1"/>
  <c r="O48" i="20"/>
  <c r="O47" i="20"/>
  <c r="Y56" i="21" s="1"/>
  <c r="O46" i="20"/>
  <c r="O45" i="20"/>
  <c r="O44" i="20"/>
  <c r="AJ44" i="20" s="1"/>
  <c r="O43" i="20"/>
  <c r="AJ43" i="20" s="1"/>
  <c r="O42" i="20"/>
  <c r="AJ42" i="20" s="1"/>
  <c r="AA50" i="21" s="1"/>
  <c r="O41" i="20"/>
  <c r="AJ41" i="20" s="1"/>
  <c r="O40" i="20"/>
  <c r="O39" i="20"/>
  <c r="O38" i="20"/>
  <c r="O37" i="20"/>
  <c r="O36" i="20"/>
  <c r="AJ36" i="20" s="1"/>
  <c r="AA35" i="21" s="1"/>
  <c r="Y35" i="21"/>
  <c r="O34" i="20"/>
  <c r="AJ34" i="20" s="1"/>
  <c r="O33" i="20"/>
  <c r="AJ33" i="20" s="1"/>
  <c r="O32" i="20"/>
  <c r="Y39" i="21" s="1"/>
  <c r="O31" i="20"/>
  <c r="Y42" i="21" s="1"/>
  <c r="O30" i="20"/>
  <c r="O29" i="20"/>
  <c r="AJ29" i="20" s="1"/>
  <c r="AA43" i="21" s="1"/>
  <c r="O28" i="20"/>
  <c r="AJ28" i="20" s="1"/>
  <c r="AA41" i="21" s="1"/>
  <c r="Y41" i="21"/>
  <c r="O25" i="20"/>
  <c r="AJ25" i="20" s="1"/>
  <c r="AA34" i="21" s="1"/>
  <c r="O24" i="20"/>
  <c r="O23" i="20"/>
  <c r="AJ23" i="20" s="1"/>
  <c r="AA52" i="21" s="1"/>
  <c r="O22" i="20"/>
  <c r="Y10" i="21" s="1"/>
  <c r="O21" i="20"/>
  <c r="O20" i="20"/>
  <c r="AJ20" i="20" s="1"/>
  <c r="AA11" i="21" s="1"/>
  <c r="O18" i="20"/>
  <c r="AJ18" i="20" s="1"/>
  <c r="AA53" i="21" s="1"/>
  <c r="O17" i="20"/>
  <c r="AJ17" i="20" s="1"/>
  <c r="AA24" i="21" s="1"/>
  <c r="O15" i="20"/>
  <c r="O13" i="20"/>
  <c r="AJ13" i="20" s="1"/>
  <c r="Y18" i="21"/>
  <c r="O11" i="20"/>
  <c r="AJ11" i="20" s="1"/>
  <c r="O10" i="20"/>
  <c r="O9" i="20"/>
  <c r="AJ9" i="20" s="1"/>
  <c r="AA15" i="21" s="1"/>
  <c r="O8" i="20"/>
  <c r="AJ8" i="20" s="1"/>
  <c r="O6" i="20"/>
  <c r="O5" i="20"/>
  <c r="O4" i="20"/>
  <c r="H59" i="20"/>
  <c r="H58" i="20"/>
  <c r="H57" i="20"/>
  <c r="H56" i="20"/>
  <c r="AC56" i="20" s="1"/>
  <c r="Z37" i="21" s="1"/>
  <c r="H55" i="20"/>
  <c r="AC55" i="20" s="1"/>
  <c r="Z21" i="21" s="1"/>
  <c r="H54" i="20"/>
  <c r="X19" i="21" s="1"/>
  <c r="H52" i="20"/>
  <c r="H50" i="20"/>
  <c r="X31" i="21" s="1"/>
  <c r="H49" i="20"/>
  <c r="AC49" i="20" s="1"/>
  <c r="H48" i="20"/>
  <c r="H47" i="20"/>
  <c r="AC47" i="20" s="1"/>
  <c r="Z56" i="21" s="1"/>
  <c r="H46" i="20"/>
  <c r="AC46" i="20" s="1"/>
  <c r="Z51" i="21" s="1"/>
  <c r="H45" i="20"/>
  <c r="X55" i="21" s="1"/>
  <c r="H44" i="20"/>
  <c r="H43" i="20"/>
  <c r="X54" i="21" s="1"/>
  <c r="H42" i="20"/>
  <c r="AC42" i="20" s="1"/>
  <c r="Z50" i="21" s="1"/>
  <c r="H41" i="20"/>
  <c r="H40" i="20"/>
  <c r="AC40" i="20" s="1"/>
  <c r="Z48" i="21" s="1"/>
  <c r="H39" i="20"/>
  <c r="AC39" i="20" s="1"/>
  <c r="Z47" i="21" s="1"/>
  <c r="H38" i="20"/>
  <c r="AC38" i="20" s="1"/>
  <c r="Z46" i="21" s="1"/>
  <c r="H37" i="20"/>
  <c r="AC37" i="20" s="1"/>
  <c r="Z45" i="21" s="1"/>
  <c r="X45" i="21"/>
  <c r="H36" i="20"/>
  <c r="X35" i="21" s="1"/>
  <c r="AM35" i="21" s="1"/>
  <c r="H34" i="20"/>
  <c r="H33" i="20"/>
  <c r="AC33" i="20" s="1"/>
  <c r="H32" i="20"/>
  <c r="AC32" i="20" s="1"/>
  <c r="Z39" i="21" s="1"/>
  <c r="H31" i="20"/>
  <c r="AC31" i="20" s="1"/>
  <c r="Z42" i="21" s="1"/>
  <c r="H30" i="20"/>
  <c r="AC30" i="20" s="1"/>
  <c r="H29" i="20"/>
  <c r="AC29" i="20" s="1"/>
  <c r="Z43" i="21" s="1"/>
  <c r="H28" i="20"/>
  <c r="AC28" i="20" s="1"/>
  <c r="Z41" i="21" s="1"/>
  <c r="H27" i="20"/>
  <c r="AC27" i="20" s="1"/>
  <c r="H25" i="20"/>
  <c r="AC25" i="20" s="1"/>
  <c r="Z34" i="21" s="1"/>
  <c r="H24" i="20"/>
  <c r="AC24" i="20" s="1"/>
  <c r="Z32" i="21" s="1"/>
  <c r="H23" i="20"/>
  <c r="AC23" i="20" s="1"/>
  <c r="Z52" i="21" s="1"/>
  <c r="X10" i="21"/>
  <c r="AM10" i="21" s="1"/>
  <c r="H21" i="20"/>
  <c r="X9" i="21" s="1"/>
  <c r="H19" i="20"/>
  <c r="AC19" i="20" s="1"/>
  <c r="Z30" i="21" s="1"/>
  <c r="H18" i="20"/>
  <c r="AC18" i="20" s="1"/>
  <c r="Z53" i="21" s="1"/>
  <c r="H17" i="20"/>
  <c r="AC17" i="20" s="1"/>
  <c r="Z24" i="21" s="1"/>
  <c r="H15" i="20"/>
  <c r="AC15" i="20" s="1"/>
  <c r="Z22" i="21" s="1"/>
  <c r="X13" i="21"/>
  <c r="H13" i="20"/>
  <c r="X18" i="21"/>
  <c r="H11" i="20"/>
  <c r="X36" i="21" s="1"/>
  <c r="H10" i="20"/>
  <c r="H9" i="20"/>
  <c r="AC9" i="20" s="1"/>
  <c r="Z15" i="21" s="1"/>
  <c r="H8" i="20"/>
  <c r="AC8" i="20" s="1"/>
  <c r="Z17" i="21" s="1"/>
  <c r="H6" i="20"/>
  <c r="AC6" i="20" s="1"/>
  <c r="H5" i="20"/>
  <c r="AC5" i="20" s="1"/>
  <c r="Z12" i="21" s="1"/>
  <c r="H4" i="20"/>
  <c r="X29" i="21" s="1"/>
  <c r="BP58" i="21"/>
  <c r="BO58" i="21"/>
  <c r="BN58" i="21"/>
  <c r="BR58" i="21" s="1"/>
  <c r="BM58" i="21"/>
  <c r="BL58" i="21"/>
  <c r="BK58" i="21"/>
  <c r="BJ58" i="21"/>
  <c r="BI58" i="21"/>
  <c r="BH58" i="21"/>
  <c r="BG58" i="21"/>
  <c r="BF58" i="21"/>
  <c r="BE58" i="21"/>
  <c r="BD58" i="21"/>
  <c r="BC58" i="21"/>
  <c r="BB58" i="21"/>
  <c r="AB58" i="21" s="1"/>
  <c r="BA58" i="21"/>
  <c r="AZ58" i="21"/>
  <c r="AY58" i="21"/>
  <c r="AX58" i="21"/>
  <c r="AW58" i="21"/>
  <c r="AV58" i="21"/>
  <c r="AU58" i="21"/>
  <c r="AR58" i="21"/>
  <c r="AK58" i="21"/>
  <c r="AJ58" i="21"/>
  <c r="AH58" i="21"/>
  <c r="AG58" i="21"/>
  <c r="AF58" i="21"/>
  <c r="AE58" i="21"/>
  <c r="Z58" i="21"/>
  <c r="Y58" i="21"/>
  <c r="AM58" i="21" s="1"/>
  <c r="X58" i="21"/>
  <c r="A58" i="21"/>
  <c r="BP57" i="21"/>
  <c r="BO57" i="21"/>
  <c r="BN57" i="21"/>
  <c r="BM57" i="21"/>
  <c r="BL57" i="21"/>
  <c r="BK57" i="21"/>
  <c r="AD57" i="21" s="1"/>
  <c r="BJ57" i="21"/>
  <c r="BI57" i="21"/>
  <c r="BH57" i="21"/>
  <c r="BG57" i="21"/>
  <c r="BF57" i="21"/>
  <c r="BE57" i="21"/>
  <c r="BD57" i="21"/>
  <c r="BC57" i="21"/>
  <c r="AC57" i="21" s="1"/>
  <c r="BB57" i="21"/>
  <c r="BA57" i="21"/>
  <c r="AZ57" i="21"/>
  <c r="AY57" i="21"/>
  <c r="AX57" i="21"/>
  <c r="AW57" i="21"/>
  <c r="AV57" i="21"/>
  <c r="AU57" i="21"/>
  <c r="AB57" i="21" s="1"/>
  <c r="AR57" i="21"/>
  <c r="AK57" i="21"/>
  <c r="AJ57" i="21"/>
  <c r="AH57" i="21"/>
  <c r="AG57" i="21"/>
  <c r="AF57" i="21"/>
  <c r="AE57" i="21"/>
  <c r="A57" i="21"/>
  <c r="BP56" i="21"/>
  <c r="BO56" i="21"/>
  <c r="BN56" i="21"/>
  <c r="BM56" i="21"/>
  <c r="BL56" i="21"/>
  <c r="BK56" i="21"/>
  <c r="BJ56" i="21"/>
  <c r="BI56" i="21"/>
  <c r="BH56" i="21"/>
  <c r="BG56" i="21"/>
  <c r="BF56" i="21"/>
  <c r="BE56" i="21"/>
  <c r="BD56" i="21"/>
  <c r="BC56" i="21"/>
  <c r="BB56" i="21"/>
  <c r="BA56" i="21"/>
  <c r="AZ56" i="21"/>
  <c r="AY56" i="21"/>
  <c r="AX56" i="21"/>
  <c r="AW56" i="21"/>
  <c r="AV56" i="21"/>
  <c r="AU56" i="21"/>
  <c r="AR56" i="21"/>
  <c r="AK56" i="21"/>
  <c r="AJ56" i="21"/>
  <c r="AH56" i="21"/>
  <c r="AG56" i="21"/>
  <c r="AF56" i="21"/>
  <c r="AE56" i="21"/>
  <c r="X56" i="21"/>
  <c r="J56" i="21"/>
  <c r="A56" i="21"/>
  <c r="BP55" i="21"/>
  <c r="BO55" i="21"/>
  <c r="BN55" i="21"/>
  <c r="BM55" i="21"/>
  <c r="BL55" i="21"/>
  <c r="BK55" i="21"/>
  <c r="BJ55" i="21"/>
  <c r="AD55" i="21" s="1"/>
  <c r="BI55" i="21"/>
  <c r="BH55" i="21"/>
  <c r="BG55" i="21"/>
  <c r="BF55" i="21"/>
  <c r="BE55" i="21"/>
  <c r="BD55" i="21"/>
  <c r="BC55" i="21"/>
  <c r="BB55" i="21"/>
  <c r="AB55" i="21" s="1"/>
  <c r="BA55" i="21"/>
  <c r="AZ55" i="21"/>
  <c r="AY55" i="21"/>
  <c r="AX55" i="21"/>
  <c r="AW55" i="21"/>
  <c r="AV55" i="21"/>
  <c r="AU55" i="21"/>
  <c r="AR55" i="21"/>
  <c r="AK55" i="21"/>
  <c r="AJ55" i="21"/>
  <c r="AH55" i="21"/>
  <c r="AG55" i="21"/>
  <c r="AF55" i="21"/>
  <c r="AE55" i="21"/>
  <c r="AA55" i="21"/>
  <c r="Y55" i="21"/>
  <c r="A55" i="21"/>
  <c r="BP54" i="21"/>
  <c r="BO54" i="21"/>
  <c r="BN54" i="21"/>
  <c r="BM54" i="21"/>
  <c r="BL54" i="21"/>
  <c r="BK54" i="21"/>
  <c r="AD54" i="21" s="1"/>
  <c r="BJ54" i="21"/>
  <c r="BI54" i="21"/>
  <c r="BH54" i="21"/>
  <c r="BG54" i="21"/>
  <c r="BF54" i="21"/>
  <c r="BE54" i="21"/>
  <c r="BD54" i="21"/>
  <c r="BC54" i="21"/>
  <c r="AC54" i="21" s="1"/>
  <c r="BB54" i="21"/>
  <c r="BA54" i="21"/>
  <c r="AZ54" i="21"/>
  <c r="AY54" i="21"/>
  <c r="AX54" i="21"/>
  <c r="AW54" i="21"/>
  <c r="AV54" i="21"/>
  <c r="AU54" i="21"/>
  <c r="AB54" i="21" s="1"/>
  <c r="AR54" i="21"/>
  <c r="AK54" i="21"/>
  <c r="AJ54" i="21"/>
  <c r="AH54" i="21"/>
  <c r="AG54" i="21"/>
  <c r="AF54" i="21"/>
  <c r="AE54" i="21"/>
  <c r="AA54" i="21"/>
  <c r="Y54" i="21"/>
  <c r="A54" i="21"/>
  <c r="BP53" i="21"/>
  <c r="BO53" i="21"/>
  <c r="BN53" i="21"/>
  <c r="BM53" i="21"/>
  <c r="BL53" i="21"/>
  <c r="BK53" i="21"/>
  <c r="BJ53" i="21"/>
  <c r="BI53" i="21"/>
  <c r="BH53" i="21"/>
  <c r="BG53" i="21"/>
  <c r="BF53" i="21"/>
  <c r="BE53" i="21"/>
  <c r="BD53" i="21"/>
  <c r="BC53" i="21"/>
  <c r="BB53" i="21"/>
  <c r="BA53" i="21"/>
  <c r="AZ53" i="21"/>
  <c r="AY53" i="21"/>
  <c r="AX53" i="21"/>
  <c r="AW53" i="21"/>
  <c r="AV53" i="21"/>
  <c r="AU53" i="21"/>
  <c r="AR53" i="21"/>
  <c r="AK53" i="21"/>
  <c r="AJ53" i="21"/>
  <c r="AH53" i="21"/>
  <c r="AG53" i="21"/>
  <c r="AF53" i="21"/>
  <c r="AE53" i="21"/>
  <c r="Y53" i="21"/>
  <c r="X53" i="21"/>
  <c r="A53" i="21"/>
  <c r="BP52" i="21"/>
  <c r="BO52" i="21"/>
  <c r="BN52" i="21"/>
  <c r="BM52" i="21"/>
  <c r="BL52" i="21"/>
  <c r="BK52" i="21"/>
  <c r="BJ52" i="21"/>
  <c r="BI52" i="21"/>
  <c r="BH52" i="21"/>
  <c r="BG52" i="21"/>
  <c r="BF52" i="21"/>
  <c r="BE52" i="21"/>
  <c r="BD52" i="21"/>
  <c r="BC52" i="21"/>
  <c r="BB52" i="21"/>
  <c r="BA52" i="21"/>
  <c r="AZ52" i="21"/>
  <c r="AY52" i="21"/>
  <c r="AX52" i="21"/>
  <c r="AW52" i="21"/>
  <c r="AV52" i="21"/>
  <c r="AU52" i="21"/>
  <c r="AR52" i="21"/>
  <c r="AK52" i="21"/>
  <c r="AJ52" i="21"/>
  <c r="AH52" i="21"/>
  <c r="AG52" i="21"/>
  <c r="AF52" i="21"/>
  <c r="AE52" i="21"/>
  <c r="Y52" i="21"/>
  <c r="X52" i="21"/>
  <c r="A52" i="21"/>
  <c r="BP51" i="21"/>
  <c r="BO51" i="21"/>
  <c r="BN51" i="21"/>
  <c r="BM51" i="21"/>
  <c r="BL51" i="21"/>
  <c r="BK51" i="21"/>
  <c r="BJ51" i="21"/>
  <c r="BI51" i="21"/>
  <c r="BH51" i="21"/>
  <c r="BG51" i="21"/>
  <c r="BF51" i="21"/>
  <c r="BE51" i="21"/>
  <c r="BD51" i="21"/>
  <c r="BC51" i="21"/>
  <c r="BB51" i="21"/>
  <c r="BA51" i="21"/>
  <c r="AZ51" i="21"/>
  <c r="AY51" i="21"/>
  <c r="AX51" i="21"/>
  <c r="AB51" i="21" s="1"/>
  <c r="AW51" i="21"/>
  <c r="AV51" i="21"/>
  <c r="AU51" i="21"/>
  <c r="AR51" i="21"/>
  <c r="AK51" i="21"/>
  <c r="AJ51" i="21"/>
  <c r="AH51" i="21"/>
  <c r="AG51" i="21"/>
  <c r="AF51" i="21"/>
  <c r="AE51" i="21"/>
  <c r="X51" i="21"/>
  <c r="A51" i="21"/>
  <c r="BP50" i="21"/>
  <c r="BO50" i="21"/>
  <c r="BN50" i="21"/>
  <c r="BM50" i="21"/>
  <c r="BL50" i="21"/>
  <c r="BK50" i="21"/>
  <c r="BJ50" i="21"/>
  <c r="BI50" i="21"/>
  <c r="BH50" i="21"/>
  <c r="BG50" i="21"/>
  <c r="BF50" i="21"/>
  <c r="BE50" i="21"/>
  <c r="BD50" i="21"/>
  <c r="BC50" i="21"/>
  <c r="BB50" i="21"/>
  <c r="BA50" i="21"/>
  <c r="AZ50" i="21"/>
  <c r="AY50" i="21"/>
  <c r="AX50" i="21"/>
  <c r="AW50" i="21"/>
  <c r="AV50" i="21"/>
  <c r="AU50" i="21"/>
  <c r="AR50" i="21"/>
  <c r="AK50" i="21"/>
  <c r="AJ50" i="21"/>
  <c r="AH50" i="21"/>
  <c r="AG50" i="21"/>
  <c r="AF50" i="21"/>
  <c r="AE50" i="21"/>
  <c r="Y50" i="21"/>
  <c r="X50" i="21"/>
  <c r="A50" i="21"/>
  <c r="BP49" i="21"/>
  <c r="BO49" i="21"/>
  <c r="BN49" i="21"/>
  <c r="BM49" i="21"/>
  <c r="BL49" i="21"/>
  <c r="BK49" i="21"/>
  <c r="BJ49" i="21"/>
  <c r="BI49" i="21"/>
  <c r="BH49" i="21"/>
  <c r="BG49" i="21"/>
  <c r="BF49" i="21"/>
  <c r="BE49" i="21"/>
  <c r="BD49" i="21"/>
  <c r="BC49" i="21"/>
  <c r="BB49" i="21"/>
  <c r="BA49" i="21"/>
  <c r="AZ49" i="21"/>
  <c r="AY49" i="21"/>
  <c r="AX49" i="21"/>
  <c r="AW49" i="21"/>
  <c r="AV49" i="21"/>
  <c r="AU49" i="21"/>
  <c r="AR49" i="21"/>
  <c r="AK49" i="21"/>
  <c r="AJ49" i="21"/>
  <c r="AH49" i="21"/>
  <c r="AG49" i="21"/>
  <c r="AF49" i="21"/>
  <c r="AE49" i="21"/>
  <c r="AA49" i="21"/>
  <c r="Y49" i="21"/>
  <c r="A49" i="21"/>
  <c r="BP48" i="21"/>
  <c r="BO48" i="21"/>
  <c r="BR48" i="21" s="1"/>
  <c r="BN48" i="21"/>
  <c r="BM48" i="21"/>
  <c r="BL48" i="21"/>
  <c r="BK48" i="21"/>
  <c r="BJ48" i="21"/>
  <c r="BI48" i="21"/>
  <c r="BH48" i="21"/>
  <c r="BG48" i="21"/>
  <c r="BF48" i="21"/>
  <c r="BE48" i="21"/>
  <c r="BD48" i="21"/>
  <c r="BC48" i="21"/>
  <c r="BB48" i="21"/>
  <c r="BA48" i="21"/>
  <c r="AZ48" i="21"/>
  <c r="AY48" i="21"/>
  <c r="AX48" i="21"/>
  <c r="AW48" i="21"/>
  <c r="AV48" i="21"/>
  <c r="AU48" i="21"/>
  <c r="AR48" i="21"/>
  <c r="AK48" i="21"/>
  <c r="AJ48" i="21"/>
  <c r="AH48" i="21"/>
  <c r="AG48" i="21"/>
  <c r="AF48" i="21"/>
  <c r="AE48" i="21"/>
  <c r="X48" i="21"/>
  <c r="A48" i="21"/>
  <c r="BP47" i="21"/>
  <c r="BO47" i="21"/>
  <c r="BN47" i="21"/>
  <c r="BM47" i="21"/>
  <c r="BL47" i="21"/>
  <c r="BK47" i="21"/>
  <c r="BJ47" i="21"/>
  <c r="BI47" i="21"/>
  <c r="BH47" i="21"/>
  <c r="BG47" i="21"/>
  <c r="BF47" i="21"/>
  <c r="BE47" i="21"/>
  <c r="BD47" i="21"/>
  <c r="BC47" i="21"/>
  <c r="BB47" i="21"/>
  <c r="BA47" i="21"/>
  <c r="AZ47" i="21"/>
  <c r="AY47" i="21"/>
  <c r="AX47" i="21"/>
  <c r="AW47" i="21"/>
  <c r="AV47" i="21"/>
  <c r="AU47" i="21"/>
  <c r="AR47" i="21"/>
  <c r="AK47" i="21"/>
  <c r="AJ47" i="21"/>
  <c r="AH47" i="21"/>
  <c r="AG47" i="21"/>
  <c r="AF47" i="21"/>
  <c r="AE47" i="21"/>
  <c r="Y47" i="21"/>
  <c r="X47" i="21"/>
  <c r="A47" i="21"/>
  <c r="BP46" i="21"/>
  <c r="BO46" i="21"/>
  <c r="BN46" i="21"/>
  <c r="BR46" i="21"/>
  <c r="BM46" i="21"/>
  <c r="BL46" i="21"/>
  <c r="BK46" i="21"/>
  <c r="BJ46" i="21"/>
  <c r="BI46" i="21"/>
  <c r="BH46" i="21"/>
  <c r="BG46" i="21"/>
  <c r="BF46" i="21"/>
  <c r="BE46" i="21"/>
  <c r="BD46" i="21"/>
  <c r="BC46" i="21"/>
  <c r="BB46" i="21"/>
  <c r="BA46" i="21"/>
  <c r="AZ46" i="21"/>
  <c r="AY46" i="21"/>
  <c r="AX46" i="21"/>
  <c r="AW46" i="21"/>
  <c r="AV46" i="21"/>
  <c r="AU46" i="21"/>
  <c r="AR46" i="21"/>
  <c r="AK46" i="21"/>
  <c r="AJ46" i="21"/>
  <c r="AH46" i="21"/>
  <c r="AG46" i="21"/>
  <c r="AF46" i="21"/>
  <c r="AE46" i="21"/>
  <c r="A46" i="21"/>
  <c r="BP45" i="21"/>
  <c r="BO45" i="21"/>
  <c r="BN45" i="21"/>
  <c r="BM45" i="21"/>
  <c r="BL45" i="21"/>
  <c r="BK45" i="21"/>
  <c r="BJ45" i="21"/>
  <c r="BI45" i="21"/>
  <c r="BH45" i="21"/>
  <c r="BG45" i="21"/>
  <c r="BF45" i="21"/>
  <c r="BE45" i="21"/>
  <c r="BD45" i="21"/>
  <c r="BC45" i="21"/>
  <c r="BB45" i="21"/>
  <c r="BA45" i="21"/>
  <c r="AZ45" i="21"/>
  <c r="AY45" i="21"/>
  <c r="AX45" i="21"/>
  <c r="AW45" i="21"/>
  <c r="AV45" i="21"/>
  <c r="AU45" i="21"/>
  <c r="AR45" i="21"/>
  <c r="AK45" i="21"/>
  <c r="AJ45" i="21"/>
  <c r="AH45" i="21"/>
  <c r="AG45" i="21"/>
  <c r="AF45" i="21"/>
  <c r="AE45" i="21"/>
  <c r="Y45" i="21"/>
  <c r="A45" i="21"/>
  <c r="BP44" i="21"/>
  <c r="BO44" i="21"/>
  <c r="BN44" i="21"/>
  <c r="BM44" i="21"/>
  <c r="BL44" i="21"/>
  <c r="BK44" i="21"/>
  <c r="BJ44" i="21"/>
  <c r="BI44" i="21"/>
  <c r="BH44" i="21"/>
  <c r="BG44" i="21"/>
  <c r="BF44" i="21"/>
  <c r="BE44" i="21"/>
  <c r="BD44" i="21"/>
  <c r="BC44" i="21"/>
  <c r="BB44" i="21"/>
  <c r="BA44" i="21"/>
  <c r="AZ44" i="21"/>
  <c r="AY44" i="21"/>
  <c r="AX44" i="21"/>
  <c r="AW44" i="21"/>
  <c r="AV44" i="21"/>
  <c r="AU44" i="21"/>
  <c r="AR44" i="21"/>
  <c r="AK44" i="21"/>
  <c r="AJ44" i="21"/>
  <c r="AH44" i="21"/>
  <c r="AG44" i="21"/>
  <c r="AF44" i="21"/>
  <c r="AE44" i="21"/>
  <c r="Z44" i="21"/>
  <c r="A44" i="21"/>
  <c r="BP43" i="21"/>
  <c r="BO43" i="21"/>
  <c r="BN43" i="21"/>
  <c r="BM43" i="21"/>
  <c r="BL43" i="21"/>
  <c r="BK43" i="21"/>
  <c r="BJ43" i="21"/>
  <c r="BI43" i="21"/>
  <c r="BH43" i="21"/>
  <c r="BG43" i="21"/>
  <c r="BF43" i="21"/>
  <c r="BE43" i="21"/>
  <c r="BD43" i="21"/>
  <c r="BC43" i="21"/>
  <c r="BB43" i="21"/>
  <c r="BA43" i="21"/>
  <c r="AZ43" i="21"/>
  <c r="AY43" i="21"/>
  <c r="AX43" i="21"/>
  <c r="AW43" i="21"/>
  <c r="AV43" i="21"/>
  <c r="AU43" i="21"/>
  <c r="AR43" i="21"/>
  <c r="AK43" i="21"/>
  <c r="AJ43" i="21"/>
  <c r="AH43" i="21"/>
  <c r="AG43" i="21"/>
  <c r="AF43" i="21"/>
  <c r="AE43" i="21"/>
  <c r="Y43" i="21"/>
  <c r="A43" i="21"/>
  <c r="BP42" i="21"/>
  <c r="BO42" i="21"/>
  <c r="BN42" i="21"/>
  <c r="BR42" i="21" s="1"/>
  <c r="BM42" i="21"/>
  <c r="BL42" i="21"/>
  <c r="BK42" i="21"/>
  <c r="BJ42" i="21"/>
  <c r="BI42" i="21"/>
  <c r="BH42" i="21"/>
  <c r="BG42" i="21"/>
  <c r="BF42" i="21"/>
  <c r="BE42" i="21"/>
  <c r="BD42" i="21"/>
  <c r="BC42" i="21"/>
  <c r="BB42" i="21"/>
  <c r="BA42" i="21"/>
  <c r="AZ42" i="21"/>
  <c r="AY42" i="21"/>
  <c r="AX42" i="21"/>
  <c r="AW42" i="21"/>
  <c r="AV42" i="21"/>
  <c r="AU42" i="21"/>
  <c r="AR42" i="21"/>
  <c r="AK42" i="21"/>
  <c r="AJ42" i="21"/>
  <c r="AH42" i="21"/>
  <c r="AG42" i="21"/>
  <c r="AF42" i="21"/>
  <c r="AE42" i="21"/>
  <c r="X42" i="21"/>
  <c r="A42" i="21"/>
  <c r="BP41" i="21"/>
  <c r="BO41" i="21"/>
  <c r="BN41" i="21"/>
  <c r="BM41" i="21"/>
  <c r="BL41" i="21"/>
  <c r="BK41" i="21"/>
  <c r="BJ41" i="21"/>
  <c r="BI41" i="21"/>
  <c r="BH41" i="21"/>
  <c r="BG41" i="21"/>
  <c r="BF41" i="21"/>
  <c r="BE41" i="21"/>
  <c r="BD41" i="21"/>
  <c r="BC41" i="21"/>
  <c r="BB41" i="21"/>
  <c r="BA41" i="21"/>
  <c r="AZ41" i="21"/>
  <c r="AY41" i="21"/>
  <c r="AX41" i="21"/>
  <c r="AW41" i="21"/>
  <c r="AV41" i="21"/>
  <c r="AU41" i="21"/>
  <c r="AR41" i="21"/>
  <c r="AK41" i="21"/>
  <c r="AJ41" i="21"/>
  <c r="AH41" i="21"/>
  <c r="AG41" i="21"/>
  <c r="AF41" i="21"/>
  <c r="AE41" i="21"/>
  <c r="X41" i="21"/>
  <c r="AM41" i="21" s="1"/>
  <c r="A41" i="21"/>
  <c r="BP40" i="21"/>
  <c r="BO40" i="21"/>
  <c r="BN40" i="21"/>
  <c r="BM40" i="21"/>
  <c r="BL40" i="21"/>
  <c r="BK40" i="21"/>
  <c r="BJ40" i="21"/>
  <c r="BI40" i="21"/>
  <c r="BH40" i="21"/>
  <c r="BG40" i="21"/>
  <c r="BF40" i="21"/>
  <c r="BE40" i="21"/>
  <c r="BD40" i="21"/>
  <c r="BC40" i="21"/>
  <c r="BB40" i="21"/>
  <c r="BA40" i="21"/>
  <c r="AZ40" i="21"/>
  <c r="AY40" i="21"/>
  <c r="AX40" i="21"/>
  <c r="AW40" i="21"/>
  <c r="AV40" i="21"/>
  <c r="AU40" i="21"/>
  <c r="AR40" i="21"/>
  <c r="AK40" i="21"/>
  <c r="AJ40" i="21"/>
  <c r="AH40" i="21"/>
  <c r="AG40" i="21"/>
  <c r="AF40" i="21"/>
  <c r="AE40" i="21"/>
  <c r="AA40" i="21"/>
  <c r="Y40" i="21"/>
  <c r="A40" i="21"/>
  <c r="BP39" i="21"/>
  <c r="BO39" i="21"/>
  <c r="BR39" i="21" s="1"/>
  <c r="BN39" i="21"/>
  <c r="BM39" i="21"/>
  <c r="BL39" i="21"/>
  <c r="BK39" i="21"/>
  <c r="BJ39" i="21"/>
  <c r="BI39" i="21"/>
  <c r="BH39" i="21"/>
  <c r="BG39" i="21"/>
  <c r="BF39" i="21"/>
  <c r="BE39" i="21"/>
  <c r="BD39" i="21"/>
  <c r="BC39" i="21"/>
  <c r="BB39" i="21"/>
  <c r="BA39" i="21"/>
  <c r="AZ39" i="21"/>
  <c r="AY39" i="21"/>
  <c r="AX39" i="21"/>
  <c r="AW39" i="21"/>
  <c r="AV39" i="21"/>
  <c r="AU39" i="21"/>
  <c r="AR39" i="21"/>
  <c r="AK39" i="21"/>
  <c r="AJ39" i="21"/>
  <c r="AH39" i="21"/>
  <c r="AG39" i="21"/>
  <c r="AF39" i="21"/>
  <c r="AE39" i="21"/>
  <c r="X39" i="21"/>
  <c r="A39" i="21"/>
  <c r="BP38" i="21"/>
  <c r="BO38" i="21"/>
  <c r="BN38" i="21"/>
  <c r="BM38" i="21"/>
  <c r="BL38" i="21"/>
  <c r="BK38" i="21"/>
  <c r="BJ38" i="21"/>
  <c r="BI38" i="21"/>
  <c r="BH38" i="21"/>
  <c r="BG38" i="21"/>
  <c r="BF38" i="21"/>
  <c r="BE38" i="21"/>
  <c r="BD38" i="21"/>
  <c r="BC38" i="21"/>
  <c r="BB38" i="21"/>
  <c r="BA38" i="21"/>
  <c r="AZ38" i="21"/>
  <c r="AY38" i="21"/>
  <c r="AX38" i="21"/>
  <c r="AW38" i="21"/>
  <c r="AV38" i="21"/>
  <c r="AU38" i="21"/>
  <c r="AR38" i="21"/>
  <c r="AK38" i="21"/>
  <c r="AJ38" i="21"/>
  <c r="AH38" i="21"/>
  <c r="AG38" i="21"/>
  <c r="AF38" i="21"/>
  <c r="AE38" i="21"/>
  <c r="AA38" i="21"/>
  <c r="Z38" i="21"/>
  <c r="Y38" i="21"/>
  <c r="AM38" i="21" s="1"/>
  <c r="X38" i="21"/>
  <c r="A38" i="21"/>
  <c r="BP37" i="21"/>
  <c r="BO37" i="21"/>
  <c r="BN37" i="21"/>
  <c r="BR37" i="21" s="1"/>
  <c r="BM37" i="21"/>
  <c r="BL37" i="21"/>
  <c r="BK37" i="21"/>
  <c r="BJ37" i="21"/>
  <c r="BI37" i="21"/>
  <c r="BH37" i="21"/>
  <c r="BG37" i="21"/>
  <c r="BF37" i="21"/>
  <c r="BE37" i="21"/>
  <c r="BD37" i="21"/>
  <c r="BC37" i="21"/>
  <c r="BB37" i="21"/>
  <c r="BA37" i="21"/>
  <c r="AZ37" i="21"/>
  <c r="AY37" i="21"/>
  <c r="AX37" i="21"/>
  <c r="AW37" i="21"/>
  <c r="AV37" i="21"/>
  <c r="AU37" i="21"/>
  <c r="AR37" i="21"/>
  <c r="AK37" i="21"/>
  <c r="AJ37" i="21"/>
  <c r="AH37" i="21"/>
  <c r="AG37" i="21"/>
  <c r="AF37" i="21"/>
  <c r="AE37" i="21"/>
  <c r="X37" i="21"/>
  <c r="J37" i="21"/>
  <c r="A37" i="21"/>
  <c r="BR36" i="21"/>
  <c r="BP36" i="21"/>
  <c r="BO36" i="21"/>
  <c r="BN36" i="21"/>
  <c r="BM36" i="21"/>
  <c r="BL36" i="21"/>
  <c r="BK36" i="21"/>
  <c r="AD36" i="21" s="1"/>
  <c r="BJ36" i="21"/>
  <c r="BI36" i="21"/>
  <c r="BH36" i="21"/>
  <c r="BG36" i="21"/>
  <c r="BF36" i="21"/>
  <c r="BE36" i="21"/>
  <c r="BD36" i="21"/>
  <c r="BC36" i="21"/>
  <c r="AC36" i="21" s="1"/>
  <c r="BB36" i="21"/>
  <c r="BA36" i="21"/>
  <c r="AZ36" i="21"/>
  <c r="AY36" i="21"/>
  <c r="AX36" i="21"/>
  <c r="AW36" i="21"/>
  <c r="AV36" i="21"/>
  <c r="AU36" i="21"/>
  <c r="AR36" i="21"/>
  <c r="AK36" i="21"/>
  <c r="AJ36" i="21"/>
  <c r="AH36" i="21"/>
  <c r="AG36" i="21"/>
  <c r="AF36" i="21"/>
  <c r="AE36" i="21"/>
  <c r="AA36" i="21"/>
  <c r="Y36" i="21"/>
  <c r="A36" i="21"/>
  <c r="BP35" i="21"/>
  <c r="BO35" i="21"/>
  <c r="BN35" i="21"/>
  <c r="BR35" i="21"/>
  <c r="BM35" i="21"/>
  <c r="AD35" i="21" s="1"/>
  <c r="BL35" i="21"/>
  <c r="BK35" i="21"/>
  <c r="BJ35" i="21"/>
  <c r="BI35" i="21"/>
  <c r="BH35" i="21"/>
  <c r="BG35" i="21"/>
  <c r="BF35" i="21"/>
  <c r="BE35" i="21"/>
  <c r="BD35" i="21"/>
  <c r="BC35" i="21"/>
  <c r="BB35" i="21"/>
  <c r="BA35" i="21"/>
  <c r="AZ35" i="21"/>
  <c r="AY35" i="21"/>
  <c r="AX35" i="21"/>
  <c r="AW35" i="21"/>
  <c r="AB35" i="21" s="1"/>
  <c r="AV35" i="21"/>
  <c r="AU35" i="21"/>
  <c r="AR35" i="21"/>
  <c r="AK35" i="21"/>
  <c r="AJ35" i="21"/>
  <c r="AH35" i="21"/>
  <c r="AG35" i="21"/>
  <c r="AF35" i="21"/>
  <c r="AE35" i="21"/>
  <c r="A35" i="21"/>
  <c r="BP34" i="21"/>
  <c r="BO34" i="21"/>
  <c r="BN34" i="21"/>
  <c r="BM34" i="21"/>
  <c r="BL34" i="21"/>
  <c r="BK34" i="21"/>
  <c r="BJ34" i="21"/>
  <c r="BI34" i="21"/>
  <c r="BH34" i="21"/>
  <c r="BG34" i="21"/>
  <c r="BF34" i="21"/>
  <c r="BE34" i="21"/>
  <c r="BD34" i="21"/>
  <c r="BC34" i="21"/>
  <c r="BB34" i="21"/>
  <c r="BA34" i="21"/>
  <c r="AZ34" i="21"/>
  <c r="AY34" i="21"/>
  <c r="AX34" i="21"/>
  <c r="AW34" i="21"/>
  <c r="AV34" i="21"/>
  <c r="AU34" i="21"/>
  <c r="AR34" i="21"/>
  <c r="AK34" i="21"/>
  <c r="AJ34" i="21"/>
  <c r="AH34" i="21"/>
  <c r="AG34" i="21"/>
  <c r="AF34" i="21"/>
  <c r="AE34" i="21"/>
  <c r="Y34" i="21"/>
  <c r="X34" i="21"/>
  <c r="A34" i="21"/>
  <c r="BP33" i="21"/>
  <c r="BO33" i="21"/>
  <c r="BN33" i="21"/>
  <c r="BM33" i="21"/>
  <c r="BL33" i="21"/>
  <c r="AD33" i="21" s="1"/>
  <c r="AD41" i="21" s="1"/>
  <c r="BK33" i="21"/>
  <c r="BJ33" i="21"/>
  <c r="BI33" i="21"/>
  <c r="BH33" i="21"/>
  <c r="BG33" i="21"/>
  <c r="BF33" i="21"/>
  <c r="BE33" i="21"/>
  <c r="BD33" i="21"/>
  <c r="AC33" i="21" s="1"/>
  <c r="AC41" i="21" s="1"/>
  <c r="BC33" i="21"/>
  <c r="BB33" i="21"/>
  <c r="BA33" i="21"/>
  <c r="AZ33" i="21"/>
  <c r="AY33" i="21"/>
  <c r="AX33" i="21"/>
  <c r="AW33" i="21"/>
  <c r="AV33" i="21"/>
  <c r="AB33" i="21" s="1"/>
  <c r="AB41" i="21" s="1"/>
  <c r="AU33" i="21"/>
  <c r="AR33" i="21"/>
  <c r="AK33" i="21"/>
  <c r="AJ33" i="21"/>
  <c r="AH33" i="21"/>
  <c r="AG33" i="21"/>
  <c r="AF33" i="21"/>
  <c r="AE33" i="21"/>
  <c r="AA33" i="21"/>
  <c r="Z33" i="21"/>
  <c r="Y33" i="21"/>
  <c r="X33" i="21"/>
  <c r="AM33" i="21" s="1"/>
  <c r="A33" i="21"/>
  <c r="BP32" i="21"/>
  <c r="BO32" i="21"/>
  <c r="BN32" i="21"/>
  <c r="BR32" i="21" s="1"/>
  <c r="BM32" i="21"/>
  <c r="BL32" i="21"/>
  <c r="BK32" i="21"/>
  <c r="BJ32" i="21"/>
  <c r="BI32" i="21"/>
  <c r="BH32" i="21"/>
  <c r="BG32" i="21"/>
  <c r="BF32" i="21"/>
  <c r="AC32" i="21" s="1"/>
  <c r="BE32" i="21"/>
  <c r="BD32" i="21"/>
  <c r="BC32" i="21"/>
  <c r="BB32" i="21"/>
  <c r="BA32" i="21"/>
  <c r="AZ32" i="21"/>
  <c r="AY32" i="21"/>
  <c r="AX32" i="21"/>
  <c r="AB32" i="21" s="1"/>
  <c r="AW32" i="21"/>
  <c r="AV32" i="21"/>
  <c r="AU32" i="21"/>
  <c r="AR32" i="21"/>
  <c r="AK32" i="21"/>
  <c r="AJ32" i="21"/>
  <c r="AH32" i="21"/>
  <c r="AG32" i="21"/>
  <c r="AF32" i="21"/>
  <c r="AE32" i="21"/>
  <c r="Y32" i="21"/>
  <c r="X32" i="21"/>
  <c r="AM32" i="21" s="1"/>
  <c r="A32" i="21"/>
  <c r="BP31" i="21"/>
  <c r="BO31" i="21"/>
  <c r="BN31" i="21"/>
  <c r="BM31" i="21"/>
  <c r="BL31" i="21"/>
  <c r="BK31" i="21"/>
  <c r="BJ31" i="21"/>
  <c r="BI31" i="21"/>
  <c r="BH31" i="21"/>
  <c r="BG31" i="21"/>
  <c r="BF31" i="21"/>
  <c r="BE31" i="21"/>
  <c r="BD31" i="21"/>
  <c r="BC31" i="21"/>
  <c r="BB31" i="21"/>
  <c r="BA31" i="21"/>
  <c r="AZ31" i="21"/>
  <c r="AY31" i="21"/>
  <c r="AX31" i="21"/>
  <c r="AW31" i="21"/>
  <c r="AV31" i="21"/>
  <c r="AU31" i="21"/>
  <c r="AR31" i="21"/>
  <c r="AK31" i="21"/>
  <c r="AJ31" i="21"/>
  <c r="AH31" i="21"/>
  <c r="AG31" i="21"/>
  <c r="AF31" i="21"/>
  <c r="AE31" i="21"/>
  <c r="AA31" i="21"/>
  <c r="Y31" i="21"/>
  <c r="A31" i="21"/>
  <c r="BP30" i="21"/>
  <c r="BR30" i="21" s="1"/>
  <c r="BO30" i="21"/>
  <c r="BN30" i="21"/>
  <c r="BM30" i="21"/>
  <c r="BL30" i="21"/>
  <c r="BK30" i="21"/>
  <c r="BJ30" i="21"/>
  <c r="BI30" i="21"/>
  <c r="BH30" i="21"/>
  <c r="BG30" i="21"/>
  <c r="BF30" i="21"/>
  <c r="BE30" i="21"/>
  <c r="BD30" i="21"/>
  <c r="BC30" i="21"/>
  <c r="BB30" i="21"/>
  <c r="BA30" i="21"/>
  <c r="AZ30" i="21"/>
  <c r="AB30" i="21" s="1"/>
  <c r="AB42" i="21" s="1"/>
  <c r="AY30" i="21"/>
  <c r="AX30" i="21"/>
  <c r="AW30" i="21"/>
  <c r="AV30" i="21"/>
  <c r="AU30" i="21"/>
  <c r="AR30" i="21"/>
  <c r="AK30" i="21"/>
  <c r="AJ30" i="21"/>
  <c r="AH30" i="21"/>
  <c r="AG30" i="21"/>
  <c r="AF30" i="21"/>
  <c r="AE30" i="21"/>
  <c r="AA30" i="21"/>
  <c r="Y30" i="21"/>
  <c r="X30" i="21"/>
  <c r="A30" i="21"/>
  <c r="BP29" i="21"/>
  <c r="BO29" i="21"/>
  <c r="BN29" i="21"/>
  <c r="BR29" i="21"/>
  <c r="BM29" i="21"/>
  <c r="BL29" i="21"/>
  <c r="BK29" i="21"/>
  <c r="BJ29" i="21"/>
  <c r="BI29" i="21"/>
  <c r="BH29" i="21"/>
  <c r="BG29" i="21"/>
  <c r="BF29" i="21"/>
  <c r="BE29" i="21"/>
  <c r="BD29" i="21"/>
  <c r="BC29" i="21"/>
  <c r="BB29" i="21"/>
  <c r="BA29" i="21"/>
  <c r="AZ29" i="21"/>
  <c r="AY29" i="21"/>
  <c r="AX29" i="21"/>
  <c r="AW29" i="21"/>
  <c r="AV29" i="21"/>
  <c r="AU29" i="21"/>
  <c r="AR29" i="21"/>
  <c r="AK29" i="21"/>
  <c r="AJ29" i="21"/>
  <c r="AH29" i="21"/>
  <c r="AG29" i="21"/>
  <c r="AF29" i="21"/>
  <c r="AE29" i="21"/>
  <c r="Y29" i="21"/>
  <c r="A29" i="21"/>
  <c r="BP28" i="21"/>
  <c r="BR28" i="21" s="1"/>
  <c r="BO28" i="21"/>
  <c r="BN28" i="21"/>
  <c r="BM28" i="21"/>
  <c r="BL28" i="21"/>
  <c r="BK28" i="21"/>
  <c r="BJ28" i="21"/>
  <c r="BI28" i="21"/>
  <c r="BH28" i="21"/>
  <c r="BG28" i="21"/>
  <c r="BF28" i="21"/>
  <c r="BE28" i="21"/>
  <c r="BD28" i="21"/>
  <c r="BC28" i="21"/>
  <c r="BB28" i="21"/>
  <c r="AB28" i="21" s="1"/>
  <c r="AB39" i="21" s="1"/>
  <c r="BA28" i="21"/>
  <c r="AZ28" i="21"/>
  <c r="AY28" i="21"/>
  <c r="AX28" i="21"/>
  <c r="AW28" i="21"/>
  <c r="AV28" i="21"/>
  <c r="AU28" i="21"/>
  <c r="AR28" i="21"/>
  <c r="AK28" i="21"/>
  <c r="AJ28" i="21"/>
  <c r="AH28" i="21"/>
  <c r="AG28" i="21"/>
  <c r="AF28" i="21"/>
  <c r="AE28" i="21"/>
  <c r="AA28" i="21"/>
  <c r="Z28" i="21"/>
  <c r="Y28" i="21"/>
  <c r="X28" i="21"/>
  <c r="A28" i="21"/>
  <c r="BP27" i="21"/>
  <c r="BO27" i="21"/>
  <c r="BN27" i="21"/>
  <c r="BR27" i="21"/>
  <c r="BM27" i="21"/>
  <c r="BL27" i="21"/>
  <c r="BK27" i="21"/>
  <c r="BJ27" i="21"/>
  <c r="BI27" i="21"/>
  <c r="BH27" i="21"/>
  <c r="BG27" i="21"/>
  <c r="BF27" i="21"/>
  <c r="BE27" i="21"/>
  <c r="BD27" i="21"/>
  <c r="BC27" i="21"/>
  <c r="BB27" i="21"/>
  <c r="BA27" i="21"/>
  <c r="AZ27" i="21"/>
  <c r="AY27" i="21"/>
  <c r="AX27" i="21"/>
  <c r="AB27" i="21" s="1"/>
  <c r="AB40" i="21" s="1"/>
  <c r="AW27" i="21"/>
  <c r="AV27" i="21"/>
  <c r="AU27" i="21"/>
  <c r="AR27" i="21"/>
  <c r="AK27" i="21"/>
  <c r="AJ27" i="21"/>
  <c r="AH27" i="21"/>
  <c r="AG27" i="21"/>
  <c r="AF27" i="21"/>
  <c r="AE27" i="21"/>
  <c r="AA27" i="21"/>
  <c r="Y27" i="21"/>
  <c r="X27" i="21"/>
  <c r="A27" i="21"/>
  <c r="BP26" i="21"/>
  <c r="BO26" i="21"/>
  <c r="BN26" i="21"/>
  <c r="BM26" i="21"/>
  <c r="BL26" i="21"/>
  <c r="AD26" i="21" s="1"/>
  <c r="BK26" i="21"/>
  <c r="BJ26" i="21"/>
  <c r="BI26" i="21"/>
  <c r="BH26" i="21"/>
  <c r="BG26" i="21"/>
  <c r="BF26" i="21"/>
  <c r="BE26" i="21"/>
  <c r="BD26" i="21"/>
  <c r="BC26" i="21"/>
  <c r="BB26" i="21"/>
  <c r="BA26" i="21"/>
  <c r="AZ26" i="21"/>
  <c r="AY26" i="21"/>
  <c r="AX26" i="21"/>
  <c r="AW26" i="21"/>
  <c r="AV26" i="21"/>
  <c r="AU26" i="21"/>
  <c r="AR26" i="21"/>
  <c r="AK26" i="21"/>
  <c r="AJ26" i="21"/>
  <c r="AH26" i="21"/>
  <c r="AG26" i="21"/>
  <c r="AF26" i="21"/>
  <c r="AE26" i="21"/>
  <c r="AA26" i="21"/>
  <c r="Y26" i="21"/>
  <c r="A26" i="21"/>
  <c r="BP25" i="21"/>
  <c r="BO25" i="21"/>
  <c r="BN25" i="21"/>
  <c r="BR25" i="21" s="1"/>
  <c r="BM25" i="21"/>
  <c r="BL25" i="21"/>
  <c r="BK25" i="21"/>
  <c r="BJ25" i="21"/>
  <c r="BI25" i="21"/>
  <c r="AC25" i="21" s="1"/>
  <c r="AC43" i="21" s="1"/>
  <c r="BH25" i="21"/>
  <c r="BG25" i="21"/>
  <c r="BF25" i="21"/>
  <c r="BE25" i="21"/>
  <c r="BD25" i="21"/>
  <c r="BC25" i="21"/>
  <c r="BB25" i="21"/>
  <c r="BA25" i="21"/>
  <c r="AZ25" i="21"/>
  <c r="AY25" i="21"/>
  <c r="AX25" i="21"/>
  <c r="AW25" i="21"/>
  <c r="AV25" i="21"/>
  <c r="AU25" i="21"/>
  <c r="AR25" i="21"/>
  <c r="AK25" i="21"/>
  <c r="AJ25" i="21"/>
  <c r="AH25" i="21"/>
  <c r="AG25" i="21"/>
  <c r="AF25" i="21"/>
  <c r="AE25" i="21"/>
  <c r="Z25" i="21"/>
  <c r="Y25" i="21"/>
  <c r="X25" i="21"/>
  <c r="A25" i="21"/>
  <c r="BP24" i="21"/>
  <c r="BO24" i="21"/>
  <c r="BN24" i="21"/>
  <c r="BM24" i="21"/>
  <c r="BL24" i="21"/>
  <c r="BK24" i="21"/>
  <c r="BJ24" i="21"/>
  <c r="BI24" i="21"/>
  <c r="BH24" i="21"/>
  <c r="BG24" i="21"/>
  <c r="BF24" i="21"/>
  <c r="BE24" i="21"/>
  <c r="BD24" i="21"/>
  <c r="BC24" i="21"/>
  <c r="BB24" i="21"/>
  <c r="BA24" i="21"/>
  <c r="AZ24" i="21"/>
  <c r="AY24" i="21"/>
  <c r="AX24" i="21"/>
  <c r="AW24" i="21"/>
  <c r="AV24" i="21"/>
  <c r="AU24" i="21"/>
  <c r="AB24" i="21" s="1"/>
  <c r="AB44" i="21" s="1"/>
  <c r="AR24" i="21"/>
  <c r="AK24" i="21"/>
  <c r="AJ24" i="21"/>
  <c r="AH24" i="21"/>
  <c r="AG24" i="21"/>
  <c r="AF24" i="21"/>
  <c r="AE24" i="21"/>
  <c r="AD24" i="21"/>
  <c r="AD44" i="21" s="1"/>
  <c r="Y24" i="21"/>
  <c r="X24" i="21"/>
  <c r="A24" i="21"/>
  <c r="BP23" i="21"/>
  <c r="BO23" i="21"/>
  <c r="BN23" i="21"/>
  <c r="BR23" i="21" s="1"/>
  <c r="BM23" i="21"/>
  <c r="BL23" i="21"/>
  <c r="BK23" i="21"/>
  <c r="BJ23" i="21"/>
  <c r="BI23" i="21"/>
  <c r="BH23" i="21"/>
  <c r="BG23" i="21"/>
  <c r="BF23" i="21"/>
  <c r="BE23" i="21"/>
  <c r="BD23" i="21"/>
  <c r="BC23" i="21"/>
  <c r="BB23" i="21"/>
  <c r="BA23" i="21"/>
  <c r="AZ23" i="21"/>
  <c r="AY23" i="21"/>
  <c r="AX23" i="21"/>
  <c r="AW23" i="21"/>
  <c r="AV23" i="21"/>
  <c r="AU23" i="21"/>
  <c r="AR23" i="21"/>
  <c r="AK23" i="21"/>
  <c r="AJ23" i="21"/>
  <c r="AH23" i="21"/>
  <c r="AG23" i="21"/>
  <c r="AF23" i="21"/>
  <c r="AE23" i="21"/>
  <c r="AA23" i="21"/>
  <c r="Y23" i="21"/>
  <c r="A23" i="21"/>
  <c r="BP22" i="21"/>
  <c r="BO22" i="21"/>
  <c r="BN22" i="21"/>
  <c r="BR22" i="21" s="1"/>
  <c r="BM22" i="21"/>
  <c r="BL22" i="21"/>
  <c r="BK22" i="21"/>
  <c r="BJ22" i="21"/>
  <c r="BI22" i="21"/>
  <c r="BH22" i="21"/>
  <c r="BG22" i="21"/>
  <c r="BF22" i="21"/>
  <c r="BE22" i="21"/>
  <c r="BD22" i="21"/>
  <c r="BC22" i="21"/>
  <c r="BB22" i="21"/>
  <c r="BA22" i="21"/>
  <c r="AZ22" i="21"/>
  <c r="AY22" i="21"/>
  <c r="AX22" i="21"/>
  <c r="AB22" i="21" s="1"/>
  <c r="AW22" i="21"/>
  <c r="AV22" i="21"/>
  <c r="AU22" i="21"/>
  <c r="AS22" i="21"/>
  <c r="AR22" i="21"/>
  <c r="AK22" i="21"/>
  <c r="AJ22" i="21"/>
  <c r="AH22" i="21"/>
  <c r="AG22" i="21"/>
  <c r="AF22" i="21"/>
  <c r="AE22" i="21"/>
  <c r="Y22" i="21"/>
  <c r="X22" i="21"/>
  <c r="A22" i="21"/>
  <c r="BP21" i="21"/>
  <c r="BO21" i="21"/>
  <c r="BN21" i="21"/>
  <c r="BM21" i="21"/>
  <c r="BL21" i="21"/>
  <c r="BK21" i="21"/>
  <c r="BJ21" i="21"/>
  <c r="BI21" i="21"/>
  <c r="BH21" i="21"/>
  <c r="BG21" i="21"/>
  <c r="BF21" i="21"/>
  <c r="BE21" i="21"/>
  <c r="BD21" i="21"/>
  <c r="BC21" i="21"/>
  <c r="BB21" i="21"/>
  <c r="BA21" i="21"/>
  <c r="AZ21" i="21"/>
  <c r="AY21" i="21"/>
  <c r="AX21" i="21"/>
  <c r="AW21" i="21"/>
  <c r="AV21" i="21"/>
  <c r="AU21" i="21"/>
  <c r="AR21" i="21"/>
  <c r="AK21" i="21"/>
  <c r="AJ21" i="21"/>
  <c r="AH21" i="21"/>
  <c r="AG21" i="21"/>
  <c r="AF21" i="21"/>
  <c r="AE21" i="21"/>
  <c r="AA21" i="21"/>
  <c r="Y21" i="21"/>
  <c r="AM21" i="21" s="1"/>
  <c r="X21" i="21"/>
  <c r="A21" i="21"/>
  <c r="BP20" i="21"/>
  <c r="BO20" i="21"/>
  <c r="BR20" i="21" s="1"/>
  <c r="BN20" i="21"/>
  <c r="BM20" i="21"/>
  <c r="BL20" i="21"/>
  <c r="BK20" i="21"/>
  <c r="BJ20" i="21"/>
  <c r="BI20" i="21"/>
  <c r="BH20" i="21"/>
  <c r="BG20" i="21"/>
  <c r="AC20" i="21" s="1"/>
  <c r="AC38" i="21" s="1"/>
  <c r="BF20" i="21"/>
  <c r="BE20" i="21"/>
  <c r="BD20" i="21"/>
  <c r="BC20" i="21"/>
  <c r="BB20" i="21"/>
  <c r="BA20" i="21"/>
  <c r="AZ20" i="21"/>
  <c r="AY20" i="21"/>
  <c r="AX20" i="21"/>
  <c r="AW20" i="21"/>
  <c r="AV20" i="21"/>
  <c r="AU20" i="21"/>
  <c r="AR20" i="21"/>
  <c r="AK20" i="21"/>
  <c r="AJ20" i="21"/>
  <c r="AH20" i="21"/>
  <c r="AG20" i="21"/>
  <c r="AF20" i="21"/>
  <c r="AE20" i="21"/>
  <c r="AA20" i="21"/>
  <c r="Y20" i="21"/>
  <c r="A20" i="21"/>
  <c r="BP19" i="21"/>
  <c r="BO19" i="21"/>
  <c r="BN19" i="21"/>
  <c r="BR19" i="21"/>
  <c r="BM19" i="21"/>
  <c r="AD19" i="21" s="1"/>
  <c r="BL19" i="21"/>
  <c r="BK19" i="21"/>
  <c r="BJ19" i="21"/>
  <c r="BI19" i="21"/>
  <c r="BH19" i="21"/>
  <c r="BG19" i="21"/>
  <c r="BF19" i="21"/>
  <c r="BE19" i="21"/>
  <c r="BD19" i="21"/>
  <c r="BC19" i="21"/>
  <c r="BB19" i="21"/>
  <c r="BA19" i="21"/>
  <c r="AZ19" i="21"/>
  <c r="AY19" i="21"/>
  <c r="AX19" i="21"/>
  <c r="AW19" i="21"/>
  <c r="AB19" i="21" s="1"/>
  <c r="AV19" i="21"/>
  <c r="AU19" i="21"/>
  <c r="AR19" i="21"/>
  <c r="AK19" i="21"/>
  <c r="AJ19" i="21"/>
  <c r="AH19" i="21"/>
  <c r="AG19" i="21"/>
  <c r="AF19" i="21"/>
  <c r="AE19" i="21"/>
  <c r="Y19" i="21"/>
  <c r="A19" i="21"/>
  <c r="BP18" i="21"/>
  <c r="BR18" i="21" s="1"/>
  <c r="BO18" i="21"/>
  <c r="BN18" i="21"/>
  <c r="BM18" i="21"/>
  <c r="BL18" i="21"/>
  <c r="BK18" i="21"/>
  <c r="BJ18" i="21"/>
  <c r="BI18" i="21"/>
  <c r="BH18" i="21"/>
  <c r="AC18" i="21" s="1"/>
  <c r="BG18" i="21"/>
  <c r="BF18" i="21"/>
  <c r="BE18" i="21"/>
  <c r="BD18" i="21"/>
  <c r="BC18" i="21"/>
  <c r="BB18" i="21"/>
  <c r="BA18" i="21"/>
  <c r="AZ18" i="21"/>
  <c r="AY18" i="21"/>
  <c r="AX18" i="21"/>
  <c r="AW18" i="21"/>
  <c r="AV18" i="21"/>
  <c r="AU18" i="21"/>
  <c r="AR18" i="21"/>
  <c r="AK18" i="21"/>
  <c r="AJ18" i="21"/>
  <c r="AH18" i="21"/>
  <c r="AG18" i="21"/>
  <c r="AF18" i="21"/>
  <c r="AE18" i="21"/>
  <c r="AA18" i="21"/>
  <c r="Z18" i="21"/>
  <c r="A18" i="21"/>
  <c r="BP17" i="21"/>
  <c r="BO17" i="21"/>
  <c r="BN17" i="21"/>
  <c r="BM17" i="21"/>
  <c r="BL17" i="21"/>
  <c r="BK17" i="21"/>
  <c r="BJ17" i="21"/>
  <c r="BI17" i="21"/>
  <c r="BH17" i="21"/>
  <c r="BG17" i="21"/>
  <c r="BF17" i="21"/>
  <c r="BE17" i="21"/>
  <c r="BD17" i="21"/>
  <c r="BC17" i="21"/>
  <c r="BB17" i="21"/>
  <c r="BA17" i="21"/>
  <c r="AZ17" i="21"/>
  <c r="AY17" i="21"/>
  <c r="AX17" i="21"/>
  <c r="AW17" i="21"/>
  <c r="AB17" i="21" s="1"/>
  <c r="AV17" i="21"/>
  <c r="AU17" i="21"/>
  <c r="AR17" i="21"/>
  <c r="AK17" i="21"/>
  <c r="AJ17" i="21"/>
  <c r="AH17" i="21"/>
  <c r="AG17" i="21"/>
  <c r="AF17" i="21"/>
  <c r="AE17" i="21"/>
  <c r="AA17" i="21"/>
  <c r="Y17" i="21"/>
  <c r="X17" i="21"/>
  <c r="A17" i="21"/>
  <c r="BP16" i="21"/>
  <c r="BO16" i="21"/>
  <c r="BR16" i="21" s="1"/>
  <c r="BN16" i="21"/>
  <c r="BM16" i="21"/>
  <c r="BL16" i="21"/>
  <c r="BK16" i="21"/>
  <c r="BJ16" i="21"/>
  <c r="BI16" i="21"/>
  <c r="BH16" i="21"/>
  <c r="BG16" i="21"/>
  <c r="AC16" i="21" s="1"/>
  <c r="BF16" i="21"/>
  <c r="BE16" i="21"/>
  <c r="BD16" i="21"/>
  <c r="BC16" i="21"/>
  <c r="BB16" i="21"/>
  <c r="BA16" i="21"/>
  <c r="AZ16" i="21"/>
  <c r="AY16" i="21"/>
  <c r="AB16" i="21" s="1"/>
  <c r="AX16" i="21"/>
  <c r="AW16" i="21"/>
  <c r="AV16" i="21"/>
  <c r="AU16" i="21"/>
  <c r="AR16" i="21"/>
  <c r="AK16" i="21"/>
  <c r="AJ16" i="21"/>
  <c r="AH16" i="21"/>
  <c r="AG16" i="21"/>
  <c r="AF16" i="21"/>
  <c r="AE16" i="21"/>
  <c r="Y16" i="21"/>
  <c r="X16" i="21"/>
  <c r="A16" i="21"/>
  <c r="BP15" i="21"/>
  <c r="BO15" i="21"/>
  <c r="BN15" i="21"/>
  <c r="BR15" i="21"/>
  <c r="BM15" i="21"/>
  <c r="BL15" i="21"/>
  <c r="BK15" i="21"/>
  <c r="BJ15" i="21"/>
  <c r="BI15" i="21"/>
  <c r="BH15" i="21"/>
  <c r="BG15" i="21"/>
  <c r="BF15" i="21"/>
  <c r="BE15" i="21"/>
  <c r="BD15" i="21"/>
  <c r="BC15" i="21"/>
  <c r="BB15" i="21"/>
  <c r="BA15" i="21"/>
  <c r="AZ15" i="21"/>
  <c r="AY15" i="21"/>
  <c r="AX15" i="21"/>
  <c r="AW15" i="21"/>
  <c r="AV15" i="21"/>
  <c r="AU15" i="21"/>
  <c r="AR15" i="21"/>
  <c r="AK15" i="21"/>
  <c r="AJ15" i="21"/>
  <c r="AH15" i="21"/>
  <c r="AG15" i="21"/>
  <c r="AF15" i="21"/>
  <c r="AE15" i="21"/>
  <c r="Y15" i="21"/>
  <c r="X15" i="21"/>
  <c r="A15" i="21"/>
  <c r="AM15" i="21" s="1"/>
  <c r="BP14" i="21"/>
  <c r="BR14" i="21" s="1"/>
  <c r="BO14" i="21"/>
  <c r="BN14" i="21"/>
  <c r="BM14" i="21"/>
  <c r="BL14" i="21"/>
  <c r="BK14" i="21"/>
  <c r="BJ14" i="21"/>
  <c r="BI14" i="21"/>
  <c r="BH14" i="21"/>
  <c r="BG14" i="21"/>
  <c r="BF14" i="21"/>
  <c r="BE14" i="21"/>
  <c r="BD14" i="21"/>
  <c r="BC14" i="21"/>
  <c r="BB14" i="21"/>
  <c r="AB14" i="21" s="1"/>
  <c r="BA14" i="21"/>
  <c r="AZ14" i="21"/>
  <c r="AY14" i="21"/>
  <c r="AX14" i="21"/>
  <c r="AW14" i="21"/>
  <c r="AV14" i="21"/>
  <c r="AU14" i="21"/>
  <c r="AR14" i="21"/>
  <c r="AK14" i="21"/>
  <c r="AJ14" i="21"/>
  <c r="AH14" i="21"/>
  <c r="AG14" i="21"/>
  <c r="AF14" i="21"/>
  <c r="AE14" i="21"/>
  <c r="A14" i="21"/>
  <c r="BP13" i="21"/>
  <c r="BO13" i="21"/>
  <c r="BN13" i="21"/>
  <c r="BR13" i="21"/>
  <c r="BM13" i="21"/>
  <c r="AD13" i="21" s="1"/>
  <c r="BL13" i="21"/>
  <c r="BK13" i="21"/>
  <c r="BJ13" i="21"/>
  <c r="BI13" i="21"/>
  <c r="BH13" i="21"/>
  <c r="BG13" i="21"/>
  <c r="BF13" i="21"/>
  <c r="BE13" i="21"/>
  <c r="BD13" i="21"/>
  <c r="BC13" i="21"/>
  <c r="BB13" i="21"/>
  <c r="BA13" i="21"/>
  <c r="AZ13" i="21"/>
  <c r="AY13" i="21"/>
  <c r="AX13" i="21"/>
  <c r="AW13" i="21"/>
  <c r="AV13" i="21"/>
  <c r="AU13" i="21"/>
  <c r="AS13" i="21"/>
  <c r="AR13" i="21"/>
  <c r="AK13" i="21"/>
  <c r="AJ13" i="21"/>
  <c r="AH13" i="21"/>
  <c r="AG13" i="21"/>
  <c r="AF13" i="21"/>
  <c r="AE13" i="21"/>
  <c r="Y13" i="21"/>
  <c r="A13" i="21"/>
  <c r="BR12" i="21"/>
  <c r="BP12" i="21"/>
  <c r="BO12" i="21"/>
  <c r="BN12" i="21"/>
  <c r="BM12" i="21"/>
  <c r="BL12" i="21"/>
  <c r="BK12" i="21"/>
  <c r="BJ12" i="21"/>
  <c r="AD12" i="21" s="1"/>
  <c r="BI12" i="21"/>
  <c r="BH12" i="21"/>
  <c r="BG12" i="21"/>
  <c r="BF12" i="21"/>
  <c r="BE12" i="21"/>
  <c r="BD12" i="21"/>
  <c r="BC12" i="21"/>
  <c r="BB12" i="21"/>
  <c r="BA12" i="21"/>
  <c r="AZ12" i="21"/>
  <c r="AY12" i="21"/>
  <c r="AX12" i="21"/>
  <c r="AW12" i="21"/>
  <c r="AV12" i="21"/>
  <c r="AU12" i="21"/>
  <c r="AB12" i="21" s="1"/>
  <c r="AR12" i="21"/>
  <c r="AK12" i="21"/>
  <c r="AJ12" i="21"/>
  <c r="AH12" i="21"/>
  <c r="AG12" i="21"/>
  <c r="AF12" i="21"/>
  <c r="AE12" i="21"/>
  <c r="Y12" i="21"/>
  <c r="A12" i="21"/>
  <c r="BP11" i="21"/>
  <c r="BO11" i="21"/>
  <c r="BN11" i="21"/>
  <c r="BR11" i="21"/>
  <c r="BM11" i="21"/>
  <c r="BL11" i="21"/>
  <c r="BK11" i="21"/>
  <c r="BJ11" i="21"/>
  <c r="BI11" i="21"/>
  <c r="BH11" i="21"/>
  <c r="BG11" i="21"/>
  <c r="BF11" i="21"/>
  <c r="BE11" i="21"/>
  <c r="BD11" i="21"/>
  <c r="BC11" i="21"/>
  <c r="BB11" i="21"/>
  <c r="BA11" i="21"/>
  <c r="AZ11" i="21"/>
  <c r="AY11" i="21"/>
  <c r="AX11" i="21"/>
  <c r="AW11" i="21"/>
  <c r="AV11" i="21"/>
  <c r="AU11" i="21"/>
  <c r="AR11" i="21"/>
  <c r="AK11" i="21"/>
  <c r="AJ11" i="21"/>
  <c r="AH11" i="21"/>
  <c r="AG11" i="21"/>
  <c r="AF11" i="21"/>
  <c r="AE11" i="21"/>
  <c r="Y11" i="21"/>
  <c r="X11" i="21"/>
  <c r="J11" i="21"/>
  <c r="A11" i="21"/>
  <c r="AM11" i="21" s="1"/>
  <c r="BR10" i="21"/>
  <c r="BP10" i="21"/>
  <c r="BO10" i="21"/>
  <c r="BN10" i="21"/>
  <c r="BM10" i="21"/>
  <c r="BL10" i="21"/>
  <c r="BK10" i="21"/>
  <c r="BJ10" i="21"/>
  <c r="BI10" i="21"/>
  <c r="BH10" i="21"/>
  <c r="BG10" i="21"/>
  <c r="BF10" i="21"/>
  <c r="BE10" i="21"/>
  <c r="BD10" i="21"/>
  <c r="BC10" i="21"/>
  <c r="AC10" i="21" s="1"/>
  <c r="BB10" i="21"/>
  <c r="BA10" i="21"/>
  <c r="AZ10" i="21"/>
  <c r="AY10" i="21"/>
  <c r="AX10" i="21"/>
  <c r="AW10" i="21"/>
  <c r="AV10" i="21"/>
  <c r="AU10" i="21"/>
  <c r="AR10" i="21"/>
  <c r="AK10" i="21"/>
  <c r="AJ10" i="21"/>
  <c r="AH10" i="21"/>
  <c r="AG10" i="21"/>
  <c r="AF10" i="21"/>
  <c r="AE10" i="21"/>
  <c r="AD10" i="21"/>
  <c r="Z10" i="21"/>
  <c r="A10" i="21"/>
  <c r="BP9" i="21"/>
  <c r="BO9" i="21"/>
  <c r="BN9" i="21"/>
  <c r="BR9" i="21"/>
  <c r="BM9" i="21"/>
  <c r="BL9" i="21"/>
  <c r="BK9" i="21"/>
  <c r="BJ9" i="21"/>
  <c r="BI9" i="21"/>
  <c r="BH9" i="21"/>
  <c r="BG9" i="21"/>
  <c r="BF9" i="21"/>
  <c r="AC9" i="21" s="1"/>
  <c r="BE9" i="21"/>
  <c r="BD9" i="21"/>
  <c r="BC9" i="21"/>
  <c r="BB9" i="21"/>
  <c r="BA9" i="21"/>
  <c r="AZ9" i="21"/>
  <c r="AY9" i="21"/>
  <c r="AX9" i="21"/>
  <c r="AW9" i="21"/>
  <c r="AV9" i="21"/>
  <c r="AU9" i="21"/>
  <c r="AR9" i="21"/>
  <c r="AK9" i="21"/>
  <c r="AJ9" i="21"/>
  <c r="AH9" i="21"/>
  <c r="AG9" i="21"/>
  <c r="AF9" i="21"/>
  <c r="AE9" i="21"/>
  <c r="A9" i="21"/>
  <c r="BP7" i="21"/>
  <c r="BO7" i="21"/>
  <c r="BN7" i="21"/>
  <c r="BR26" i="21" s="1"/>
  <c r="BM7" i="21"/>
  <c r="BL7" i="21"/>
  <c r="AD16" i="21" s="1"/>
  <c r="BK7" i="21"/>
  <c r="BJ7" i="21"/>
  <c r="BI7" i="21"/>
  <c r="BH7" i="21"/>
  <c r="BG7" i="21"/>
  <c r="BF7" i="21"/>
  <c r="BE7" i="21"/>
  <c r="BD7" i="21"/>
  <c r="BC7" i="21"/>
  <c r="BB7" i="21"/>
  <c r="BA7" i="21"/>
  <c r="AZ7" i="21"/>
  <c r="AB21" i="21" s="1"/>
  <c r="AY7" i="21"/>
  <c r="AX7" i="21"/>
  <c r="AW7" i="21"/>
  <c r="AV7" i="21"/>
  <c r="AU7" i="21"/>
  <c r="AM47" i="21"/>
  <c r="AM55" i="21"/>
  <c r="AM52" i="21"/>
  <c r="AM18" i="21"/>
  <c r="AM24" i="21"/>
  <c r="AM28" i="21"/>
  <c r="AM34" i="21"/>
  <c r="AM54" i="21"/>
  <c r="AM17" i="21"/>
  <c r="AM50" i="21"/>
  <c r="AM31" i="21"/>
  <c r="AM45" i="21"/>
  <c r="AD34" i="21"/>
  <c r="BR40" i="21"/>
  <c r="BR51" i="21"/>
  <c r="BR53" i="21"/>
  <c r="BR55" i="21"/>
  <c r="BR57" i="21"/>
  <c r="AB13" i="21"/>
  <c r="AB15" i="21"/>
  <c r="AB29" i="21"/>
  <c r="AB31" i="21"/>
  <c r="BR43" i="21"/>
  <c r="AC15" i="21"/>
  <c r="BR38" i="21"/>
  <c r="AB52" i="21"/>
  <c r="AD21" i="21"/>
  <c r="AD31" i="21"/>
  <c r="AD15" i="21"/>
  <c r="AD17" i="21"/>
  <c r="AD29" i="21"/>
  <c r="BR47" i="21"/>
  <c r="BR49" i="21"/>
  <c r="BR50" i="21"/>
  <c r="BR52" i="21"/>
  <c r="BR54" i="21"/>
  <c r="BR56" i="21"/>
  <c r="AD11" i="21"/>
  <c r="AB34" i="21"/>
  <c r="AB36" i="21"/>
  <c r="AC22" i="21"/>
  <c r="D4" i="20"/>
  <c r="F4" i="20" s="1"/>
  <c r="L4" i="20"/>
  <c r="D5" i="20"/>
  <c r="D6" i="20"/>
  <c r="E6" i="20"/>
  <c r="D8" i="20"/>
  <c r="E8" i="20" s="1"/>
  <c r="X17" i="3" s="1"/>
  <c r="L8" i="20"/>
  <c r="M8" i="20"/>
  <c r="Y17" i="5" s="1"/>
  <c r="D9" i="20"/>
  <c r="F9" i="20"/>
  <c r="L9" i="20"/>
  <c r="D10" i="20"/>
  <c r="G10" i="20" s="1"/>
  <c r="D11" i="20"/>
  <c r="E11" i="20"/>
  <c r="X36" i="3" s="1"/>
  <c r="D13" i="20"/>
  <c r="E13" i="20"/>
  <c r="D14" i="20"/>
  <c r="F14" i="20"/>
  <c r="D15" i="20"/>
  <c r="N15" i="20" s="1"/>
  <c r="D16" i="20"/>
  <c r="P16" i="20" s="1"/>
  <c r="E16" i="20"/>
  <c r="E17" i="20"/>
  <c r="F17" i="20"/>
  <c r="G17" i="20"/>
  <c r="I17" i="20"/>
  <c r="L17" i="20"/>
  <c r="M17" i="20"/>
  <c r="N17" i="20"/>
  <c r="P17" i="20"/>
  <c r="D18" i="20"/>
  <c r="E18" i="20"/>
  <c r="E19" i="20"/>
  <c r="F19" i="20"/>
  <c r="G19" i="20"/>
  <c r="I19" i="20"/>
  <c r="L19" i="20"/>
  <c r="M19" i="20"/>
  <c r="N19" i="20"/>
  <c r="P19" i="20"/>
  <c r="D23" i="20"/>
  <c r="F23" i="20" s="1"/>
  <c r="X52" i="5" s="1"/>
  <c r="D24" i="20"/>
  <c r="L24" i="20"/>
  <c r="D25" i="20"/>
  <c r="D27" i="20"/>
  <c r="E27" i="20"/>
  <c r="D28" i="20"/>
  <c r="D29" i="20"/>
  <c r="N29" i="20"/>
  <c r="D30" i="20"/>
  <c r="E30" i="20" s="1"/>
  <c r="D31" i="20"/>
  <c r="E31" i="20"/>
  <c r="N31" i="20"/>
  <c r="D32" i="20"/>
  <c r="F32" i="20"/>
  <c r="D33" i="20"/>
  <c r="L33" i="20"/>
  <c r="D34" i="20"/>
  <c r="L34" i="20" s="1"/>
  <c r="D35" i="20"/>
  <c r="E35" i="20"/>
  <c r="D36" i="20"/>
  <c r="F36" i="20"/>
  <c r="D37" i="20"/>
  <c r="N37" i="20"/>
  <c r="D38" i="20"/>
  <c r="F38" i="20" s="1"/>
  <c r="X46" i="5" s="1"/>
  <c r="D39" i="20"/>
  <c r="P39" i="20" s="1"/>
  <c r="E39" i="20"/>
  <c r="Y39" i="20" s="1"/>
  <c r="Z39" i="20" s="1"/>
  <c r="AA39" i="20" s="1"/>
  <c r="AB39" i="20" s="1"/>
  <c r="AD39" i="20" s="1"/>
  <c r="D40" i="20"/>
  <c r="L40" i="20"/>
  <c r="D41" i="20"/>
  <c r="G41" i="20"/>
  <c r="F41" i="20"/>
  <c r="P41" i="20"/>
  <c r="D42" i="20"/>
  <c r="F42" i="20" s="1"/>
  <c r="X50" i="5" s="1"/>
  <c r="D43" i="20"/>
  <c r="E43" i="20"/>
  <c r="D44" i="20"/>
  <c r="F44" i="20"/>
  <c r="D45" i="20"/>
  <c r="G45" i="20"/>
  <c r="D46" i="20"/>
  <c r="I46" i="20" s="1"/>
  <c r="X51" i="4" s="1"/>
  <c r="D47" i="20"/>
  <c r="E47" i="20"/>
  <c r="D48" i="20"/>
  <c r="F48" i="20"/>
  <c r="D49" i="20"/>
  <c r="N49" i="20"/>
  <c r="D50" i="20"/>
  <c r="F50" i="20" s="1"/>
  <c r="D52" i="20"/>
  <c r="E52" i="20"/>
  <c r="D54" i="20"/>
  <c r="F54" i="20"/>
  <c r="D55" i="20"/>
  <c r="G55" i="20"/>
  <c r="D56" i="20"/>
  <c r="F56" i="20" s="1"/>
  <c r="X37" i="5" s="1"/>
  <c r="I56" i="20"/>
  <c r="N56" i="20"/>
  <c r="Y37" i="6" s="1"/>
  <c r="P56" i="20"/>
  <c r="E57" i="20"/>
  <c r="F57" i="20"/>
  <c r="G57" i="20"/>
  <c r="I57" i="20"/>
  <c r="L57" i="20"/>
  <c r="M57" i="20"/>
  <c r="N57" i="20"/>
  <c r="Y20" i="6" s="1"/>
  <c r="P57" i="20"/>
  <c r="D58" i="20"/>
  <c r="E58" i="20"/>
  <c r="D59" i="20"/>
  <c r="F59" i="20" s="1"/>
  <c r="BO7" i="4"/>
  <c r="BN7" i="4"/>
  <c r="BQ37" i="4" s="1"/>
  <c r="BM7" i="4"/>
  <c r="BL7" i="4"/>
  <c r="BK7" i="4"/>
  <c r="BJ7" i="4"/>
  <c r="BI7" i="4"/>
  <c r="BH7" i="4"/>
  <c r="BG7" i="4"/>
  <c r="BF7" i="4"/>
  <c r="AC58" i="4" s="1"/>
  <c r="BE7" i="4"/>
  <c r="BD7" i="4"/>
  <c r="BC7" i="4"/>
  <c r="BB7" i="4"/>
  <c r="BA7" i="4"/>
  <c r="AZ7" i="4"/>
  <c r="AY7" i="4"/>
  <c r="AX7" i="4"/>
  <c r="AW7" i="4"/>
  <c r="AV7" i="4"/>
  <c r="AU7" i="4"/>
  <c r="AT7" i="4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BP7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BM55" i="6"/>
  <c r="BL55" i="6"/>
  <c r="BK55" i="6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BM53" i="6"/>
  <c r="BL53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BM52" i="6"/>
  <c r="BL52" i="6"/>
  <c r="BK52" i="6"/>
  <c r="BJ52" i="6"/>
  <c r="BI52" i="6"/>
  <c r="BH52" i="6"/>
  <c r="BG52" i="6"/>
  <c r="BF52" i="6"/>
  <c r="BE52" i="6"/>
  <c r="BD52" i="6"/>
  <c r="BC52" i="6"/>
  <c r="BB52" i="6"/>
  <c r="BA52" i="6"/>
  <c r="AZ52" i="6"/>
  <c r="AY52" i="6"/>
  <c r="AX52" i="6"/>
  <c r="AW52" i="6"/>
  <c r="AV52" i="6"/>
  <c r="AU52" i="6"/>
  <c r="BM51" i="6"/>
  <c r="BL51" i="6"/>
  <c r="BK51" i="6"/>
  <c r="BJ51" i="6"/>
  <c r="BI51" i="6"/>
  <c r="BH51" i="6"/>
  <c r="BG51" i="6"/>
  <c r="BF51" i="6"/>
  <c r="BE51" i="6"/>
  <c r="BD51" i="6"/>
  <c r="BC51" i="6"/>
  <c r="BB51" i="6"/>
  <c r="BA51" i="6"/>
  <c r="AZ51" i="6"/>
  <c r="AY51" i="6"/>
  <c r="AX51" i="6"/>
  <c r="AW51" i="6"/>
  <c r="AV51" i="6"/>
  <c r="AU51" i="6"/>
  <c r="BM50" i="6"/>
  <c r="BL50" i="6"/>
  <c r="BK50" i="6"/>
  <c r="BJ50" i="6"/>
  <c r="BI50" i="6"/>
  <c r="BH50" i="6"/>
  <c r="BG50" i="6"/>
  <c r="BF50" i="6"/>
  <c r="BE50" i="6"/>
  <c r="BD50" i="6"/>
  <c r="BC50" i="6"/>
  <c r="BB50" i="6"/>
  <c r="BA50" i="6"/>
  <c r="AZ50" i="6"/>
  <c r="AY50" i="6"/>
  <c r="AX50" i="6"/>
  <c r="AW50" i="6"/>
  <c r="AV50" i="6"/>
  <c r="AU50" i="6"/>
  <c r="BM49" i="6"/>
  <c r="BL49" i="6"/>
  <c r="BK49" i="6"/>
  <c r="BJ49" i="6"/>
  <c r="BI49" i="6"/>
  <c r="BH49" i="6"/>
  <c r="BG49" i="6"/>
  <c r="BF49" i="6"/>
  <c r="BE49" i="6"/>
  <c r="BD49" i="6"/>
  <c r="BC49" i="6"/>
  <c r="BB49" i="6"/>
  <c r="BA49" i="6"/>
  <c r="AZ49" i="6"/>
  <c r="AY49" i="6"/>
  <c r="AX49" i="6"/>
  <c r="AW49" i="6"/>
  <c r="AV49" i="6"/>
  <c r="AU49" i="6"/>
  <c r="BM48" i="6"/>
  <c r="BL48" i="6"/>
  <c r="BK48" i="6"/>
  <c r="BJ48" i="6"/>
  <c r="BI48" i="6"/>
  <c r="BH48" i="6"/>
  <c r="BG48" i="6"/>
  <c r="BF48" i="6"/>
  <c r="BE48" i="6"/>
  <c r="BD48" i="6"/>
  <c r="BC48" i="6"/>
  <c r="BB48" i="6"/>
  <c r="BA48" i="6"/>
  <c r="AZ48" i="6"/>
  <c r="AY48" i="6"/>
  <c r="AX48" i="6"/>
  <c r="AW48" i="6"/>
  <c r="AV48" i="6"/>
  <c r="AU48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BM32" i="6"/>
  <c r="BL32" i="6"/>
  <c r="BK32" i="6"/>
  <c r="BJ32" i="6"/>
  <c r="BI32" i="6"/>
  <c r="BH32" i="6"/>
  <c r="BG32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BM31" i="6"/>
  <c r="BL31" i="6"/>
  <c r="BK31" i="6"/>
  <c r="BJ31" i="6"/>
  <c r="BI31" i="6"/>
  <c r="BH31" i="6"/>
  <c r="BG31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BM30" i="6"/>
  <c r="BL30" i="6"/>
  <c r="BK30" i="6"/>
  <c r="BJ30" i="6"/>
  <c r="BI30" i="6"/>
  <c r="BH30" i="6"/>
  <c r="BG30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BM29" i="6"/>
  <c r="BL29" i="6"/>
  <c r="BK29" i="6"/>
  <c r="BJ29" i="6"/>
  <c r="BI29" i="6"/>
  <c r="BH29" i="6"/>
  <c r="BG29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BM28" i="6"/>
  <c r="BL28" i="6"/>
  <c r="BK28" i="6"/>
  <c r="BJ28" i="6"/>
  <c r="BI28" i="6"/>
  <c r="BH28" i="6"/>
  <c r="BG28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BM27" i="6"/>
  <c r="BL27" i="6"/>
  <c r="BK27" i="6"/>
  <c r="BJ27" i="6"/>
  <c r="BI27" i="6"/>
  <c r="BH27" i="6"/>
  <c r="BG27" i="6"/>
  <c r="BF27" i="6"/>
  <c r="BE27" i="6"/>
  <c r="BD27" i="6"/>
  <c r="BC27" i="6"/>
  <c r="BB27" i="6"/>
  <c r="BA27" i="6"/>
  <c r="AZ27" i="6"/>
  <c r="AY27" i="6"/>
  <c r="AX27" i="6"/>
  <c r="AW27" i="6"/>
  <c r="AV27" i="6"/>
  <c r="AU27" i="6"/>
  <c r="BM26" i="6"/>
  <c r="BL26" i="6"/>
  <c r="BK26" i="6"/>
  <c r="BJ26" i="6"/>
  <c r="BI26" i="6"/>
  <c r="BH26" i="6"/>
  <c r="BG26" i="6"/>
  <c r="BF26" i="6"/>
  <c r="BE26" i="6"/>
  <c r="BD26" i="6"/>
  <c r="BC26" i="6"/>
  <c r="BB26" i="6"/>
  <c r="BA26" i="6"/>
  <c r="AZ26" i="6"/>
  <c r="AY26" i="6"/>
  <c r="AX26" i="6"/>
  <c r="AW26" i="6"/>
  <c r="AV26" i="6"/>
  <c r="AU26" i="6"/>
  <c r="BM25" i="6"/>
  <c r="BL25" i="6"/>
  <c r="BK25" i="6"/>
  <c r="BJ25" i="6"/>
  <c r="BI25" i="6"/>
  <c r="BH25" i="6"/>
  <c r="BG25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BM13" i="6"/>
  <c r="BL13" i="6"/>
  <c r="BK13" i="6"/>
  <c r="BJ13" i="6"/>
  <c r="BI13" i="6"/>
  <c r="BH13" i="6"/>
  <c r="BG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BM11" i="6"/>
  <c r="BL11" i="6"/>
  <c r="BK11" i="6"/>
  <c r="BJ11" i="6"/>
  <c r="BI11" i="6"/>
  <c r="BH11" i="6"/>
  <c r="BG11" i="6"/>
  <c r="BF11" i="6"/>
  <c r="BE11" i="6"/>
  <c r="BD11" i="6"/>
  <c r="BC11" i="6"/>
  <c r="BB11" i="6"/>
  <c r="BA11" i="6"/>
  <c r="AZ11" i="6"/>
  <c r="AY11" i="6"/>
  <c r="AX11" i="6"/>
  <c r="AW11" i="6"/>
  <c r="AV11" i="6"/>
  <c r="AU11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BM58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AY58" i="5"/>
  <c r="AX58" i="5"/>
  <c r="AW58" i="5"/>
  <c r="AV58" i="5"/>
  <c r="AU58" i="5"/>
  <c r="BM57" i="5"/>
  <c r="BL57" i="5"/>
  <c r="BK57" i="5"/>
  <c r="BJ57" i="5"/>
  <c r="BI57" i="5"/>
  <c r="BH57" i="5"/>
  <c r="BG57" i="5"/>
  <c r="BF57" i="5"/>
  <c r="BE57" i="5"/>
  <c r="BD57" i="5"/>
  <c r="BC57" i="5"/>
  <c r="BB57" i="5"/>
  <c r="BA57" i="5"/>
  <c r="AZ57" i="5"/>
  <c r="AY57" i="5"/>
  <c r="AX57" i="5"/>
  <c r="AW57" i="5"/>
  <c r="AV57" i="5"/>
  <c r="AU57" i="5"/>
  <c r="BM56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AY56" i="5"/>
  <c r="AX56" i="5"/>
  <c r="AW56" i="5"/>
  <c r="AV56" i="5"/>
  <c r="AU56" i="5"/>
  <c r="BM55" i="5"/>
  <c r="BL55" i="5"/>
  <c r="BK55" i="5"/>
  <c r="BJ55" i="5"/>
  <c r="BI55" i="5"/>
  <c r="BH55" i="5"/>
  <c r="BG55" i="5"/>
  <c r="BF55" i="5"/>
  <c r="BE55" i="5"/>
  <c r="BD55" i="5"/>
  <c r="BC55" i="5"/>
  <c r="BB55" i="5"/>
  <c r="BA55" i="5"/>
  <c r="AZ55" i="5"/>
  <c r="AY55" i="5"/>
  <c r="AX55" i="5"/>
  <c r="AW55" i="5"/>
  <c r="AV55" i="5"/>
  <c r="AU55" i="5"/>
  <c r="BM54" i="5"/>
  <c r="BL54" i="5"/>
  <c r="BK54" i="5"/>
  <c r="BJ54" i="5"/>
  <c r="BI54" i="5"/>
  <c r="BH54" i="5"/>
  <c r="BG54" i="5"/>
  <c r="BF54" i="5"/>
  <c r="BE54" i="5"/>
  <c r="BD54" i="5"/>
  <c r="BC54" i="5"/>
  <c r="BB54" i="5"/>
  <c r="BA54" i="5"/>
  <c r="AZ54" i="5"/>
  <c r="AY54" i="5"/>
  <c r="AX54" i="5"/>
  <c r="AW54" i="5"/>
  <c r="AV54" i="5"/>
  <c r="AU54" i="5"/>
  <c r="BM53" i="5"/>
  <c r="BL53" i="5"/>
  <c r="BK53" i="5"/>
  <c r="BJ53" i="5"/>
  <c r="BI53" i="5"/>
  <c r="BH53" i="5"/>
  <c r="BG53" i="5"/>
  <c r="BF53" i="5"/>
  <c r="BE53" i="5"/>
  <c r="BD53" i="5"/>
  <c r="BC53" i="5"/>
  <c r="BB53" i="5"/>
  <c r="BA53" i="5"/>
  <c r="AZ53" i="5"/>
  <c r="AY53" i="5"/>
  <c r="AX53" i="5"/>
  <c r="AW53" i="5"/>
  <c r="AV53" i="5"/>
  <c r="AU53" i="5"/>
  <c r="BM52" i="5"/>
  <c r="BL52" i="5"/>
  <c r="BK52" i="5"/>
  <c r="BJ52" i="5"/>
  <c r="BI52" i="5"/>
  <c r="BH52" i="5"/>
  <c r="BG52" i="5"/>
  <c r="BF52" i="5"/>
  <c r="BE52" i="5"/>
  <c r="BD52" i="5"/>
  <c r="BC52" i="5"/>
  <c r="BB52" i="5"/>
  <c r="BA52" i="5"/>
  <c r="AZ52" i="5"/>
  <c r="AY52" i="5"/>
  <c r="AX52" i="5"/>
  <c r="AW52" i="5"/>
  <c r="AV52" i="5"/>
  <c r="AU52" i="5"/>
  <c r="BM51" i="5"/>
  <c r="BL51" i="5"/>
  <c r="BK51" i="5"/>
  <c r="BJ51" i="5"/>
  <c r="BI51" i="5"/>
  <c r="BH51" i="5"/>
  <c r="BG51" i="5"/>
  <c r="BF51" i="5"/>
  <c r="BE51" i="5"/>
  <c r="BD51" i="5"/>
  <c r="BC51" i="5"/>
  <c r="BB51" i="5"/>
  <c r="BA51" i="5"/>
  <c r="AZ51" i="5"/>
  <c r="AY51" i="5"/>
  <c r="AX51" i="5"/>
  <c r="AW51" i="5"/>
  <c r="AV51" i="5"/>
  <c r="AU51" i="5"/>
  <c r="BM50" i="5"/>
  <c r="BL50" i="5"/>
  <c r="BK50" i="5"/>
  <c r="BJ50" i="5"/>
  <c r="BI50" i="5"/>
  <c r="BH50" i="5"/>
  <c r="BG50" i="5"/>
  <c r="BF50" i="5"/>
  <c r="BE50" i="5"/>
  <c r="BD50" i="5"/>
  <c r="BC50" i="5"/>
  <c r="BB50" i="5"/>
  <c r="BA50" i="5"/>
  <c r="AZ50" i="5"/>
  <c r="AY50" i="5"/>
  <c r="AX50" i="5"/>
  <c r="AW50" i="5"/>
  <c r="AV50" i="5"/>
  <c r="AU50" i="5"/>
  <c r="BM49" i="5"/>
  <c r="BL49" i="5"/>
  <c r="BK49" i="5"/>
  <c r="BJ49" i="5"/>
  <c r="BI49" i="5"/>
  <c r="BH49" i="5"/>
  <c r="BG49" i="5"/>
  <c r="BF49" i="5"/>
  <c r="BE49" i="5"/>
  <c r="BD49" i="5"/>
  <c r="BC49" i="5"/>
  <c r="BB49" i="5"/>
  <c r="BA49" i="5"/>
  <c r="AZ49" i="5"/>
  <c r="AY49" i="5"/>
  <c r="AX49" i="5"/>
  <c r="AW49" i="5"/>
  <c r="AV49" i="5"/>
  <c r="AU49" i="5"/>
  <c r="BM48" i="5"/>
  <c r="BL48" i="5"/>
  <c r="BK48" i="5"/>
  <c r="BJ48" i="5"/>
  <c r="BI48" i="5"/>
  <c r="BH48" i="5"/>
  <c r="BG48" i="5"/>
  <c r="BF48" i="5"/>
  <c r="BE48" i="5"/>
  <c r="BD48" i="5"/>
  <c r="BC48" i="5"/>
  <c r="BB48" i="5"/>
  <c r="BA48" i="5"/>
  <c r="AZ48" i="5"/>
  <c r="AY48" i="5"/>
  <c r="AX48" i="5"/>
  <c r="AW48" i="5"/>
  <c r="AV48" i="5"/>
  <c r="AU48" i="5"/>
  <c r="BM47" i="5"/>
  <c r="BL47" i="5"/>
  <c r="BK47" i="5"/>
  <c r="BJ47" i="5"/>
  <c r="BI47" i="5"/>
  <c r="BH47" i="5"/>
  <c r="BG47" i="5"/>
  <c r="BF47" i="5"/>
  <c r="BE47" i="5"/>
  <c r="BD47" i="5"/>
  <c r="BC47" i="5"/>
  <c r="BB47" i="5"/>
  <c r="BA47" i="5"/>
  <c r="AZ47" i="5"/>
  <c r="AY47" i="5"/>
  <c r="AX47" i="5"/>
  <c r="AW47" i="5"/>
  <c r="AV47" i="5"/>
  <c r="AU47" i="5"/>
  <c r="BM46" i="5"/>
  <c r="BL46" i="5"/>
  <c r="BK46" i="5"/>
  <c r="BJ46" i="5"/>
  <c r="BI46" i="5"/>
  <c r="BH46" i="5"/>
  <c r="BG46" i="5"/>
  <c r="BF46" i="5"/>
  <c r="BE46" i="5"/>
  <c r="BD46" i="5"/>
  <c r="BC46" i="5"/>
  <c r="BB46" i="5"/>
  <c r="BA46" i="5"/>
  <c r="AZ46" i="5"/>
  <c r="AY46" i="5"/>
  <c r="AX46" i="5"/>
  <c r="AW46" i="5"/>
  <c r="AV46" i="5"/>
  <c r="AU46" i="5"/>
  <c r="BM45" i="5"/>
  <c r="BL45" i="5"/>
  <c r="BK45" i="5"/>
  <c r="BJ45" i="5"/>
  <c r="BI45" i="5"/>
  <c r="BH45" i="5"/>
  <c r="BG45" i="5"/>
  <c r="BF45" i="5"/>
  <c r="BE45" i="5"/>
  <c r="BD45" i="5"/>
  <c r="BC45" i="5"/>
  <c r="BB45" i="5"/>
  <c r="BA45" i="5"/>
  <c r="AZ45" i="5"/>
  <c r="AY45" i="5"/>
  <c r="AX45" i="5"/>
  <c r="AW45" i="5"/>
  <c r="AV45" i="5"/>
  <c r="AU45" i="5"/>
  <c r="BM44" i="5"/>
  <c r="BL44" i="5"/>
  <c r="BK44" i="5"/>
  <c r="BJ44" i="5"/>
  <c r="BI44" i="5"/>
  <c r="BH44" i="5"/>
  <c r="BG44" i="5"/>
  <c r="BF44" i="5"/>
  <c r="BE44" i="5"/>
  <c r="BD44" i="5"/>
  <c r="BC44" i="5"/>
  <c r="BB44" i="5"/>
  <c r="BA44" i="5"/>
  <c r="AZ44" i="5"/>
  <c r="AY44" i="5"/>
  <c r="AX44" i="5"/>
  <c r="AW44" i="5"/>
  <c r="AV44" i="5"/>
  <c r="AU44" i="5"/>
  <c r="BM43" i="5"/>
  <c r="BL43" i="5"/>
  <c r="BK43" i="5"/>
  <c r="BJ43" i="5"/>
  <c r="BI43" i="5"/>
  <c r="BH43" i="5"/>
  <c r="BG43" i="5"/>
  <c r="BF43" i="5"/>
  <c r="BE43" i="5"/>
  <c r="BD43" i="5"/>
  <c r="BC43" i="5"/>
  <c r="BB43" i="5"/>
  <c r="BA43" i="5"/>
  <c r="AZ43" i="5"/>
  <c r="AY43" i="5"/>
  <c r="AX43" i="5"/>
  <c r="AW43" i="5"/>
  <c r="AV43" i="5"/>
  <c r="AU43" i="5"/>
  <c r="BM42" i="5"/>
  <c r="BL42" i="5"/>
  <c r="BK42" i="5"/>
  <c r="BJ42" i="5"/>
  <c r="BI42" i="5"/>
  <c r="BH42" i="5"/>
  <c r="BG42" i="5"/>
  <c r="BF42" i="5"/>
  <c r="BE42" i="5"/>
  <c r="BD42" i="5"/>
  <c r="BC42" i="5"/>
  <c r="BB42" i="5"/>
  <c r="BA42" i="5"/>
  <c r="AZ42" i="5"/>
  <c r="AY42" i="5"/>
  <c r="AX42" i="5"/>
  <c r="AW42" i="5"/>
  <c r="AV42" i="5"/>
  <c r="AU42" i="5"/>
  <c r="BM41" i="5"/>
  <c r="BL41" i="5"/>
  <c r="BK41" i="5"/>
  <c r="BJ41" i="5"/>
  <c r="BI41" i="5"/>
  <c r="BH41" i="5"/>
  <c r="BG41" i="5"/>
  <c r="BF41" i="5"/>
  <c r="BE41" i="5"/>
  <c r="BD41" i="5"/>
  <c r="BC41" i="5"/>
  <c r="BB41" i="5"/>
  <c r="BA41" i="5"/>
  <c r="AZ41" i="5"/>
  <c r="AY41" i="5"/>
  <c r="AX41" i="5"/>
  <c r="AW41" i="5"/>
  <c r="AV41" i="5"/>
  <c r="AU41" i="5"/>
  <c r="BM40" i="5"/>
  <c r="BL40" i="5"/>
  <c r="BK40" i="5"/>
  <c r="BJ40" i="5"/>
  <c r="BI40" i="5"/>
  <c r="BH40" i="5"/>
  <c r="BG40" i="5"/>
  <c r="BF40" i="5"/>
  <c r="BE40" i="5"/>
  <c r="BD40" i="5"/>
  <c r="BC40" i="5"/>
  <c r="BB40" i="5"/>
  <c r="BA40" i="5"/>
  <c r="AZ40" i="5"/>
  <c r="AY40" i="5"/>
  <c r="AX40" i="5"/>
  <c r="AW40" i="5"/>
  <c r="AV40" i="5"/>
  <c r="AU40" i="5"/>
  <c r="BM39" i="5"/>
  <c r="BL39" i="5"/>
  <c r="BK39" i="5"/>
  <c r="BJ39" i="5"/>
  <c r="BI39" i="5"/>
  <c r="BH39" i="5"/>
  <c r="BG39" i="5"/>
  <c r="BF39" i="5"/>
  <c r="BE39" i="5"/>
  <c r="BD39" i="5"/>
  <c r="BC39" i="5"/>
  <c r="BB39" i="5"/>
  <c r="BA39" i="5"/>
  <c r="AZ39" i="5"/>
  <c r="AY39" i="5"/>
  <c r="AX39" i="5"/>
  <c r="AW39" i="5"/>
  <c r="AV39" i="5"/>
  <c r="AU39" i="5"/>
  <c r="BM38" i="5"/>
  <c r="BL38" i="5"/>
  <c r="BK38" i="5"/>
  <c r="BJ38" i="5"/>
  <c r="BI38" i="5"/>
  <c r="BH38" i="5"/>
  <c r="BG38" i="5"/>
  <c r="BF38" i="5"/>
  <c r="BE38" i="5"/>
  <c r="BD38" i="5"/>
  <c r="BC38" i="5"/>
  <c r="BB38" i="5"/>
  <c r="BA38" i="5"/>
  <c r="AZ38" i="5"/>
  <c r="AY38" i="5"/>
  <c r="AX38" i="5"/>
  <c r="AW38" i="5"/>
  <c r="AV38" i="5"/>
  <c r="AU38" i="5"/>
  <c r="BM37" i="5"/>
  <c r="BL37" i="5"/>
  <c r="BK37" i="5"/>
  <c r="BJ37" i="5"/>
  <c r="BI37" i="5"/>
  <c r="BH37" i="5"/>
  <c r="BG37" i="5"/>
  <c r="BF37" i="5"/>
  <c r="BE37" i="5"/>
  <c r="BD37" i="5"/>
  <c r="BC37" i="5"/>
  <c r="BB37" i="5"/>
  <c r="BA37" i="5"/>
  <c r="AZ37" i="5"/>
  <c r="AY37" i="5"/>
  <c r="AX37" i="5"/>
  <c r="AW37" i="5"/>
  <c r="AV37" i="5"/>
  <c r="AU37" i="5"/>
  <c r="BM36" i="5"/>
  <c r="BL36" i="5"/>
  <c r="BK36" i="5"/>
  <c r="BJ36" i="5"/>
  <c r="BI36" i="5"/>
  <c r="BH36" i="5"/>
  <c r="BG36" i="5"/>
  <c r="BF36" i="5"/>
  <c r="BE36" i="5"/>
  <c r="BD36" i="5"/>
  <c r="BC36" i="5"/>
  <c r="BB36" i="5"/>
  <c r="BA36" i="5"/>
  <c r="AZ36" i="5"/>
  <c r="AY36" i="5"/>
  <c r="AX36" i="5"/>
  <c r="AW36" i="5"/>
  <c r="AV36" i="5"/>
  <c r="AU36" i="5"/>
  <c r="BM35" i="5"/>
  <c r="BL35" i="5"/>
  <c r="BK35" i="5"/>
  <c r="BJ35" i="5"/>
  <c r="BI35" i="5"/>
  <c r="BH35" i="5"/>
  <c r="BG35" i="5"/>
  <c r="BF35" i="5"/>
  <c r="BE35" i="5"/>
  <c r="BD35" i="5"/>
  <c r="BC35" i="5"/>
  <c r="BB35" i="5"/>
  <c r="BA35" i="5"/>
  <c r="AZ35" i="5"/>
  <c r="AY35" i="5"/>
  <c r="AX35" i="5"/>
  <c r="AW35" i="5"/>
  <c r="AV35" i="5"/>
  <c r="AU35" i="5"/>
  <c r="BM34" i="5"/>
  <c r="BL34" i="5"/>
  <c r="BK34" i="5"/>
  <c r="BJ34" i="5"/>
  <c r="BI34" i="5"/>
  <c r="BH34" i="5"/>
  <c r="BG34" i="5"/>
  <c r="BF34" i="5"/>
  <c r="BE34" i="5"/>
  <c r="BD34" i="5"/>
  <c r="BC34" i="5"/>
  <c r="BB34" i="5"/>
  <c r="BA34" i="5"/>
  <c r="AZ34" i="5"/>
  <c r="AY34" i="5"/>
  <c r="AX34" i="5"/>
  <c r="AW34" i="5"/>
  <c r="AV34" i="5"/>
  <c r="AU34" i="5"/>
  <c r="BM33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BM32" i="5"/>
  <c r="BL32" i="5"/>
  <c r="BK32" i="5"/>
  <c r="BJ32" i="5"/>
  <c r="BI32" i="5"/>
  <c r="BH32" i="5"/>
  <c r="BG32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BM31" i="5"/>
  <c r="BL31" i="5"/>
  <c r="BK31" i="5"/>
  <c r="BJ31" i="5"/>
  <c r="BI31" i="5"/>
  <c r="BH31" i="5"/>
  <c r="BG31" i="5"/>
  <c r="BF31" i="5"/>
  <c r="BE31" i="5"/>
  <c r="AC31" i="5" s="1"/>
  <c r="BD31" i="5"/>
  <c r="BC31" i="5"/>
  <c r="BB31" i="5"/>
  <c r="BA31" i="5"/>
  <c r="AZ31" i="5"/>
  <c r="AY31" i="5"/>
  <c r="AX31" i="5"/>
  <c r="AW31" i="5"/>
  <c r="AV31" i="5"/>
  <c r="AU31" i="5"/>
  <c r="BM30" i="5"/>
  <c r="BL30" i="5"/>
  <c r="BK30" i="5"/>
  <c r="BJ30" i="5"/>
  <c r="BI30" i="5"/>
  <c r="BH30" i="5"/>
  <c r="BG30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BM29" i="5"/>
  <c r="BL29" i="5"/>
  <c r="BK29" i="5"/>
  <c r="BJ29" i="5"/>
  <c r="BI29" i="5"/>
  <c r="BH29" i="5"/>
  <c r="BG29" i="5"/>
  <c r="BF29" i="5"/>
  <c r="BE29" i="5"/>
  <c r="BD29" i="5"/>
  <c r="BC29" i="5"/>
  <c r="BB29" i="5"/>
  <c r="BA29" i="5"/>
  <c r="AZ29" i="5"/>
  <c r="AY29" i="5"/>
  <c r="AX29" i="5"/>
  <c r="AW29" i="5"/>
  <c r="AV29" i="5"/>
  <c r="AU29" i="5"/>
  <c r="BM28" i="5"/>
  <c r="BL28" i="5"/>
  <c r="BK28" i="5"/>
  <c r="BJ28" i="5"/>
  <c r="BI28" i="5"/>
  <c r="BH28" i="5"/>
  <c r="BG28" i="5"/>
  <c r="BF28" i="5"/>
  <c r="BE28" i="5"/>
  <c r="BD28" i="5"/>
  <c r="BC28" i="5"/>
  <c r="BB28" i="5"/>
  <c r="BA28" i="5"/>
  <c r="AZ28" i="5"/>
  <c r="AY28" i="5"/>
  <c r="AX28" i="5"/>
  <c r="AW28" i="5"/>
  <c r="AV28" i="5"/>
  <c r="AU28" i="5"/>
  <c r="BM27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BM26" i="5"/>
  <c r="BL26" i="5"/>
  <c r="BK26" i="5"/>
  <c r="BJ26" i="5"/>
  <c r="BI26" i="5"/>
  <c r="BH26" i="5"/>
  <c r="BG26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BM22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BM18" i="5"/>
  <c r="BL18" i="5"/>
  <c r="BK18" i="5"/>
  <c r="BJ18" i="5"/>
  <c r="BI18" i="5"/>
  <c r="BH18" i="5"/>
  <c r="BG18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B53" i="4" s="1"/>
  <c r="AY53" i="4"/>
  <c r="AX53" i="4"/>
  <c r="AW53" i="4"/>
  <c r="AV53" i="4"/>
  <c r="AU53" i="4"/>
  <c r="AT53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BL36" i="4"/>
  <c r="BK36" i="4"/>
  <c r="AD36" i="4" s="1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BL25" i="4"/>
  <c r="AD25" i="4" s="1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B20" i="4" s="1"/>
  <c r="AT20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BL15" i="4"/>
  <c r="BK15" i="4"/>
  <c r="BJ15" i="4"/>
  <c r="BI15" i="4"/>
  <c r="BH15" i="4"/>
  <c r="BG15" i="4"/>
  <c r="BF15" i="4"/>
  <c r="BE15" i="4"/>
  <c r="BD15" i="4"/>
  <c r="BC15" i="4"/>
  <c r="BB15" i="4"/>
  <c r="AC15" i="4" s="1"/>
  <c r="BA15" i="4"/>
  <c r="AZ15" i="4"/>
  <c r="AY15" i="4"/>
  <c r="AX15" i="4"/>
  <c r="AW15" i="4"/>
  <c r="AV15" i="4"/>
  <c r="AU15" i="4"/>
  <c r="AT15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BL57" i="3"/>
  <c r="BK57" i="3"/>
  <c r="BJ57" i="3"/>
  <c r="BI57" i="3"/>
  <c r="BH57" i="3"/>
  <c r="BG57" i="3"/>
  <c r="BF57" i="3"/>
  <c r="BE57" i="3"/>
  <c r="BD57" i="3"/>
  <c r="BC57" i="3"/>
  <c r="BB57" i="3"/>
  <c r="BA57" i="3"/>
  <c r="AZ57" i="3"/>
  <c r="AY57" i="3"/>
  <c r="AX57" i="3"/>
  <c r="AW57" i="3"/>
  <c r="AV57" i="3"/>
  <c r="AU57" i="3"/>
  <c r="AT57" i="3"/>
  <c r="BL56" i="3"/>
  <c r="BK56" i="3"/>
  <c r="BJ56" i="3"/>
  <c r="BI56" i="3"/>
  <c r="BH56" i="3"/>
  <c r="BG56" i="3"/>
  <c r="BF56" i="3"/>
  <c r="BE56" i="3"/>
  <c r="BD56" i="3"/>
  <c r="BC56" i="3"/>
  <c r="BB56" i="3"/>
  <c r="BA56" i="3"/>
  <c r="AZ56" i="3"/>
  <c r="AY56" i="3"/>
  <c r="AX56" i="3"/>
  <c r="AW56" i="3"/>
  <c r="AV56" i="3"/>
  <c r="AU56" i="3"/>
  <c r="AT56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BL54" i="3"/>
  <c r="BK54" i="3"/>
  <c r="BJ54" i="3"/>
  <c r="BI54" i="3"/>
  <c r="BH54" i="3"/>
  <c r="BG54" i="3"/>
  <c r="BF54" i="3"/>
  <c r="BE54" i="3"/>
  <c r="BD54" i="3"/>
  <c r="BC54" i="3"/>
  <c r="BB54" i="3"/>
  <c r="BA54" i="3"/>
  <c r="AZ54" i="3"/>
  <c r="AY54" i="3"/>
  <c r="AX54" i="3"/>
  <c r="AW54" i="3"/>
  <c r="AV54" i="3"/>
  <c r="AU54" i="3"/>
  <c r="AT54" i="3"/>
  <c r="BL53" i="3"/>
  <c r="BK53" i="3"/>
  <c r="BJ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AU53" i="3"/>
  <c r="AT53" i="3"/>
  <c r="BL52" i="3"/>
  <c r="BK52" i="3"/>
  <c r="BJ52" i="3"/>
  <c r="BI52" i="3"/>
  <c r="AD52" i="3" s="1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BL51" i="3"/>
  <c r="AD51" i="3" s="1"/>
  <c r="BK51" i="3"/>
  <c r="BJ51" i="3"/>
  <c r="BI51" i="3"/>
  <c r="BH51" i="3"/>
  <c r="BG51" i="3"/>
  <c r="BF51" i="3"/>
  <c r="BE51" i="3"/>
  <c r="BD51" i="3"/>
  <c r="BC51" i="3"/>
  <c r="BB51" i="3"/>
  <c r="BA51" i="3"/>
  <c r="AZ51" i="3"/>
  <c r="AY51" i="3"/>
  <c r="AX51" i="3"/>
  <c r="AW51" i="3"/>
  <c r="AV51" i="3"/>
  <c r="AU51" i="3"/>
  <c r="AT51" i="3"/>
  <c r="BL50" i="3"/>
  <c r="BK50" i="3"/>
  <c r="BJ50" i="3"/>
  <c r="BI50" i="3"/>
  <c r="BH50" i="3"/>
  <c r="BG50" i="3"/>
  <c r="BF50" i="3"/>
  <c r="BE50" i="3"/>
  <c r="BD50" i="3"/>
  <c r="BC50" i="3"/>
  <c r="BB50" i="3"/>
  <c r="BA50" i="3"/>
  <c r="AZ50" i="3"/>
  <c r="AY50" i="3"/>
  <c r="AX50" i="3"/>
  <c r="AW50" i="3"/>
  <c r="AV50" i="3"/>
  <c r="AU50" i="3"/>
  <c r="AT50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BL48" i="3"/>
  <c r="BK48" i="3"/>
  <c r="BJ48" i="3"/>
  <c r="BI48" i="3"/>
  <c r="BH48" i="3"/>
  <c r="BG48" i="3"/>
  <c r="BF48" i="3"/>
  <c r="BE48" i="3"/>
  <c r="BD48" i="3"/>
  <c r="BC48" i="3"/>
  <c r="BB48" i="3"/>
  <c r="BA48" i="3"/>
  <c r="AZ48" i="3"/>
  <c r="AY48" i="3"/>
  <c r="AX48" i="3"/>
  <c r="AW48" i="3"/>
  <c r="AV48" i="3"/>
  <c r="AU48" i="3"/>
  <c r="AT48" i="3"/>
  <c r="BL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AU47" i="3"/>
  <c r="AT47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BL45" i="3"/>
  <c r="BK45" i="3"/>
  <c r="BJ45" i="3"/>
  <c r="BI45" i="3"/>
  <c r="BH45" i="3"/>
  <c r="BG45" i="3"/>
  <c r="BF45" i="3"/>
  <c r="BE45" i="3"/>
  <c r="BD45" i="3"/>
  <c r="BC45" i="3"/>
  <c r="BB45" i="3"/>
  <c r="BA45" i="3"/>
  <c r="AZ45" i="3"/>
  <c r="AY45" i="3"/>
  <c r="AX45" i="3"/>
  <c r="AW45" i="3"/>
  <c r="AV45" i="3"/>
  <c r="AU45" i="3"/>
  <c r="AT45" i="3"/>
  <c r="BL44" i="3"/>
  <c r="BK44" i="3"/>
  <c r="BJ44" i="3"/>
  <c r="BI44" i="3"/>
  <c r="BH44" i="3"/>
  <c r="BG44" i="3"/>
  <c r="BF44" i="3"/>
  <c r="BE44" i="3"/>
  <c r="BD44" i="3"/>
  <c r="BC44" i="3"/>
  <c r="BB44" i="3"/>
  <c r="BA44" i="3"/>
  <c r="AZ44" i="3"/>
  <c r="AY44" i="3"/>
  <c r="AX44" i="3"/>
  <c r="AW44" i="3"/>
  <c r="AV44" i="3"/>
  <c r="AU44" i="3"/>
  <c r="AT44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T42" i="3"/>
  <c r="BL41" i="3"/>
  <c r="BK41" i="3"/>
  <c r="BJ41" i="3"/>
  <c r="BI41" i="3"/>
  <c r="BH41" i="3"/>
  <c r="BG41" i="3"/>
  <c r="BF41" i="3"/>
  <c r="BE41" i="3"/>
  <c r="BD41" i="3"/>
  <c r="BC41" i="3"/>
  <c r="BB41" i="3"/>
  <c r="BA41" i="3"/>
  <c r="AZ41" i="3"/>
  <c r="AY41" i="3"/>
  <c r="AX41" i="3"/>
  <c r="AW41" i="3"/>
  <c r="AV41" i="3"/>
  <c r="AU41" i="3"/>
  <c r="AT41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T39" i="3"/>
  <c r="BL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AU38" i="3"/>
  <c r="AT38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T36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BL19" i="3"/>
  <c r="AD19" i="3" s="1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BL15" i="3"/>
  <c r="BK15" i="3"/>
  <c r="BJ15" i="3"/>
  <c r="BI15" i="3"/>
  <c r="BH15" i="3"/>
  <c r="BG15" i="3"/>
  <c r="BF15" i="3"/>
  <c r="BE15" i="3"/>
  <c r="BD15" i="3"/>
  <c r="BC15" i="3"/>
  <c r="BB15" i="3"/>
  <c r="BA15" i="3"/>
  <c r="AZ15" i="3"/>
  <c r="AY15" i="3"/>
  <c r="AX15" i="3"/>
  <c r="AW15" i="3"/>
  <c r="AV15" i="3"/>
  <c r="AU15" i="3"/>
  <c r="AT15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BL12" i="3"/>
  <c r="BK12" i="3"/>
  <c r="BJ12" i="3"/>
  <c r="BI12" i="3"/>
  <c r="BH12" i="3"/>
  <c r="BG12" i="3"/>
  <c r="BF12" i="3"/>
  <c r="BE12" i="3"/>
  <c r="BD12" i="3"/>
  <c r="BC12" i="3"/>
  <c r="BB12" i="3"/>
  <c r="BA12" i="3"/>
  <c r="AZ12" i="3"/>
  <c r="AY12" i="3"/>
  <c r="AX12" i="3"/>
  <c r="AW12" i="3"/>
  <c r="AV12" i="3"/>
  <c r="AU12" i="3"/>
  <c r="AT12" i="3"/>
  <c r="BL11" i="3"/>
  <c r="AD11" i="3" s="1"/>
  <c r="BK11" i="3"/>
  <c r="BJ11" i="3"/>
  <c r="BI11" i="3"/>
  <c r="BH11" i="3"/>
  <c r="BG11" i="3"/>
  <c r="BF11" i="3"/>
  <c r="BE11" i="3"/>
  <c r="BD11" i="3"/>
  <c r="BC11" i="3"/>
  <c r="BB11" i="3"/>
  <c r="BA11" i="3"/>
  <c r="AZ11" i="3"/>
  <c r="AY11" i="3"/>
  <c r="AX11" i="3"/>
  <c r="AW11" i="3"/>
  <c r="AV11" i="3"/>
  <c r="AU11" i="3"/>
  <c r="AT11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BL9" i="3"/>
  <c r="BK9" i="3"/>
  <c r="BJ9" i="3"/>
  <c r="AD9" i="3" s="1"/>
  <c r="BI9" i="3"/>
  <c r="BH9" i="3"/>
  <c r="BG9" i="3"/>
  <c r="BF9" i="3"/>
  <c r="BE9" i="3"/>
  <c r="BD9" i="3"/>
  <c r="BC9" i="3"/>
  <c r="BB9" i="3"/>
  <c r="BA9" i="3"/>
  <c r="AZ9" i="3"/>
  <c r="AY9" i="3"/>
  <c r="AX9" i="3"/>
  <c r="AW9" i="3"/>
  <c r="AV9" i="3"/>
  <c r="AU9" i="3"/>
  <c r="AT9" i="3"/>
  <c r="J38" i="6"/>
  <c r="J56" i="5"/>
  <c r="J48" i="5"/>
  <c r="J24" i="5"/>
  <c r="J16" i="5"/>
  <c r="J42" i="4"/>
  <c r="J34" i="4"/>
  <c r="J10" i="4"/>
  <c r="J52" i="3"/>
  <c r="J12" i="3"/>
  <c r="J21" i="2"/>
  <c r="D6" i="19"/>
  <c r="J54" i="6" s="1"/>
  <c r="J52" i="6"/>
  <c r="D7" i="19"/>
  <c r="D8" i="19"/>
  <c r="J36" i="6"/>
  <c r="D9" i="19"/>
  <c r="J20" i="6" s="1"/>
  <c r="D10" i="19"/>
  <c r="J15" i="21" s="1"/>
  <c r="J16" i="4"/>
  <c r="D11" i="19"/>
  <c r="D12" i="19"/>
  <c r="J14" i="5"/>
  <c r="L31" i="20"/>
  <c r="I15" i="20"/>
  <c r="F45" i="20"/>
  <c r="N59" i="20"/>
  <c r="P38" i="20"/>
  <c r="I32" i="20"/>
  <c r="N38" i="20"/>
  <c r="G32" i="20"/>
  <c r="L56" i="20"/>
  <c r="I54" i="20"/>
  <c r="G46" i="20"/>
  <c r="N43" i="20"/>
  <c r="I41" i="20"/>
  <c r="E36" i="20"/>
  <c r="L32" i="20"/>
  <c r="M15" i="20"/>
  <c r="P10" i="20"/>
  <c r="I8" i="20"/>
  <c r="N4" i="20"/>
  <c r="L59" i="20"/>
  <c r="P55" i="20"/>
  <c r="P40" i="20"/>
  <c r="P34" i="20"/>
  <c r="E32" i="20"/>
  <c r="P14" i="20"/>
  <c r="I9" i="20"/>
  <c r="N6" i="20"/>
  <c r="I55" i="20"/>
  <c r="N44" i="20"/>
  <c r="I40" i="20"/>
  <c r="I34" i="20"/>
  <c r="E14" i="20"/>
  <c r="L6" i="20"/>
  <c r="F55" i="20"/>
  <c r="M44" i="20"/>
  <c r="G40" i="20"/>
  <c r="P36" i="20"/>
  <c r="G34" i="20"/>
  <c r="G6" i="20"/>
  <c r="N36" i="20"/>
  <c r="M54" i="20"/>
  <c r="L46" i="20"/>
  <c r="P43" i="20"/>
  <c r="Y54" i="4" s="1"/>
  <c r="L36" i="20"/>
  <c r="E59" i="20"/>
  <c r="E56" i="20"/>
  <c r="G54" i="20"/>
  <c r="P49" i="20"/>
  <c r="F46" i="20"/>
  <c r="L44" i="20"/>
  <c r="F40" i="20"/>
  <c r="L38" i="20"/>
  <c r="F34" i="20"/>
  <c r="N32" i="20"/>
  <c r="I31" i="20"/>
  <c r="P27" i="20"/>
  <c r="I10" i="20"/>
  <c r="G9" i="20"/>
  <c r="E4" i="20"/>
  <c r="E54" i="20"/>
  <c r="M49" i="20"/>
  <c r="E46" i="20"/>
  <c r="E44" i="20"/>
  <c r="X40" i="20"/>
  <c r="E40" i="20"/>
  <c r="E38" i="20"/>
  <c r="Y38" i="20"/>
  <c r="Z38" i="20"/>
  <c r="AA38" i="20" s="1"/>
  <c r="AB38" i="20" s="1"/>
  <c r="AD38" i="20" s="1"/>
  <c r="E34" i="20"/>
  <c r="F31" i="20"/>
  <c r="F10" i="20"/>
  <c r="E9" i="20"/>
  <c r="M52" i="20"/>
  <c r="Y16" i="5" s="1"/>
  <c r="N40" i="20"/>
  <c r="N34" i="20"/>
  <c r="P33" i="20"/>
  <c r="P9" i="20"/>
  <c r="I52" i="20"/>
  <c r="M40" i="20"/>
  <c r="M34" i="20"/>
  <c r="I33" i="20"/>
  <c r="X38" i="4" s="1"/>
  <c r="P29" i="20"/>
  <c r="N9" i="20"/>
  <c r="P59" i="20"/>
  <c r="M56" i="20"/>
  <c r="F52" i="20"/>
  <c r="P46" i="20"/>
  <c r="P44" i="20"/>
  <c r="X38" i="20"/>
  <c r="G33" i="20"/>
  <c r="M29" i="20"/>
  <c r="P11" i="20"/>
  <c r="M9" i="20"/>
  <c r="F33" i="20"/>
  <c r="M43" i="20"/>
  <c r="P23" i="20"/>
  <c r="P18" i="20"/>
  <c r="N16" i="20"/>
  <c r="N11" i="20"/>
  <c r="P50" i="20"/>
  <c r="L43" i="20"/>
  <c r="N23" i="20"/>
  <c r="N18" i="20"/>
  <c r="M16" i="20"/>
  <c r="M11" i="20"/>
  <c r="G56" i="20"/>
  <c r="P54" i="20"/>
  <c r="P52" i="20"/>
  <c r="N50" i="20"/>
  <c r="N46" i="20"/>
  <c r="P45" i="20"/>
  <c r="I44" i="20"/>
  <c r="I43" i="20"/>
  <c r="P30" i="20"/>
  <c r="M23" i="20"/>
  <c r="M18" i="20"/>
  <c r="L16" i="20"/>
  <c r="N14" i="20"/>
  <c r="L11" i="20"/>
  <c r="N54" i="20"/>
  <c r="N52" i="20"/>
  <c r="M50" i="20"/>
  <c r="P48" i="20"/>
  <c r="M46" i="20"/>
  <c r="I45" i="20"/>
  <c r="G44" i="20"/>
  <c r="F43" i="20"/>
  <c r="P32" i="20"/>
  <c r="P31" i="20"/>
  <c r="N30" i="20"/>
  <c r="P24" i="20"/>
  <c r="L23" i="20"/>
  <c r="L18" i="20"/>
  <c r="G16" i="20"/>
  <c r="L14" i="20"/>
  <c r="I11" i="20"/>
  <c r="P6" i="20"/>
  <c r="L50" i="20"/>
  <c r="N48" i="20"/>
  <c r="P37" i="20"/>
  <c r="M30" i="20"/>
  <c r="I24" i="20"/>
  <c r="I23" i="20"/>
  <c r="I18" i="20"/>
  <c r="G11" i="20"/>
  <c r="X36" i="6" s="1"/>
  <c r="L54" i="20"/>
  <c r="L52" i="20"/>
  <c r="G50" i="20"/>
  <c r="L48" i="20"/>
  <c r="M37" i="20"/>
  <c r="M32" i="20"/>
  <c r="M31" i="20"/>
  <c r="L30" i="20"/>
  <c r="Y44" i="3" s="1"/>
  <c r="G24" i="20"/>
  <c r="G23" i="20"/>
  <c r="F18" i="20"/>
  <c r="P15" i="20"/>
  <c r="F11" i="20"/>
  <c r="N8" i="20"/>
  <c r="M6" i="20"/>
  <c r="P4" i="20"/>
  <c r="E50" i="20"/>
  <c r="E48" i="20"/>
  <c r="G30" i="20"/>
  <c r="F24" i="20"/>
  <c r="E23" i="20"/>
  <c r="M59" i="20"/>
  <c r="N58" i="20"/>
  <c r="E55" i="20"/>
  <c r="G52" i="20"/>
  <c r="I50" i="20"/>
  <c r="L49" i="20"/>
  <c r="M48" i="20"/>
  <c r="N47" i="20"/>
  <c r="E45" i="20"/>
  <c r="G43" i="20"/>
  <c r="X41" i="20"/>
  <c r="E41" i="20"/>
  <c r="Y41" i="20"/>
  <c r="Z41" i="20" s="1"/>
  <c r="AA41" i="20" s="1"/>
  <c r="AB41" i="20" s="1"/>
  <c r="AD41" i="20" s="1"/>
  <c r="N39" i="20"/>
  <c r="M38" i="20"/>
  <c r="L37" i="20"/>
  <c r="M36" i="20"/>
  <c r="N35" i="20"/>
  <c r="E33" i="20"/>
  <c r="G31" i="20"/>
  <c r="I30" i="20"/>
  <c r="L29" i="20"/>
  <c r="N27" i="20"/>
  <c r="E24" i="20"/>
  <c r="G18" i="20"/>
  <c r="I16" i="20"/>
  <c r="L15" i="20"/>
  <c r="M14" i="20"/>
  <c r="N13" i="20"/>
  <c r="E10" i="20"/>
  <c r="G8" i="20"/>
  <c r="I6" i="20"/>
  <c r="M4" i="20"/>
  <c r="P35" i="20"/>
  <c r="M58" i="20"/>
  <c r="I49" i="20"/>
  <c r="M47" i="20"/>
  <c r="M39" i="20"/>
  <c r="I37" i="20"/>
  <c r="M35" i="20"/>
  <c r="I29" i="20"/>
  <c r="M27" i="20"/>
  <c r="M13" i="20"/>
  <c r="P58" i="20"/>
  <c r="P47" i="20"/>
  <c r="I59" i="20"/>
  <c r="L58" i="20"/>
  <c r="N55" i="20"/>
  <c r="G49" i="20"/>
  <c r="I48" i="20"/>
  <c r="L47" i="20"/>
  <c r="N45" i="20"/>
  <c r="N41" i="20"/>
  <c r="L39" i="20"/>
  <c r="I38" i="20"/>
  <c r="G37" i="20"/>
  <c r="I36" i="20"/>
  <c r="L35" i="20"/>
  <c r="N33" i="20"/>
  <c r="F30" i="20"/>
  <c r="G29" i="20"/>
  <c r="L27" i="20"/>
  <c r="N24" i="20"/>
  <c r="F16" i="20"/>
  <c r="G15" i="20"/>
  <c r="I14" i="20"/>
  <c r="L13" i="20"/>
  <c r="N10" i="20"/>
  <c r="F6" i="20"/>
  <c r="G5" i="20"/>
  <c r="X12" i="6" s="1"/>
  <c r="I4" i="20"/>
  <c r="G59" i="20"/>
  <c r="I58" i="20"/>
  <c r="M55" i="20"/>
  <c r="F49" i="20"/>
  <c r="G48" i="20"/>
  <c r="I47" i="20"/>
  <c r="M45" i="20"/>
  <c r="Y55" i="5" s="1"/>
  <c r="M41" i="20"/>
  <c r="I39" i="20"/>
  <c r="G38" i="20"/>
  <c r="F37" i="20"/>
  <c r="G36" i="20"/>
  <c r="I35" i="20"/>
  <c r="M33" i="20"/>
  <c r="F29" i="20"/>
  <c r="X43" i="5" s="1"/>
  <c r="I27" i="20"/>
  <c r="M24" i="20"/>
  <c r="F15" i="20"/>
  <c r="G14" i="20"/>
  <c r="I13" i="20"/>
  <c r="M10" i="20"/>
  <c r="F5" i="20"/>
  <c r="G4" i="20"/>
  <c r="G58" i="20"/>
  <c r="L55" i="20"/>
  <c r="E49" i="20"/>
  <c r="G47" i="20"/>
  <c r="L45" i="20"/>
  <c r="L41" i="20"/>
  <c r="G39" i="20"/>
  <c r="X37" i="20"/>
  <c r="E37" i="20"/>
  <c r="Y37" i="20"/>
  <c r="Z37" i="20"/>
  <c r="AA37" i="20" s="1"/>
  <c r="AB37" i="20" s="1"/>
  <c r="AD37" i="20" s="1"/>
  <c r="G35" i="20"/>
  <c r="E29" i="20"/>
  <c r="G27" i="20"/>
  <c r="E15" i="20"/>
  <c r="G13" i="20"/>
  <c r="L10" i="20"/>
  <c r="F58" i="20"/>
  <c r="F47" i="20"/>
  <c r="F39" i="20"/>
  <c r="F35" i="20"/>
  <c r="F27" i="20"/>
  <c r="F13" i="20"/>
  <c r="P13" i="20"/>
  <c r="X39" i="20"/>
  <c r="J20" i="2"/>
  <c r="J36" i="2"/>
  <c r="J44" i="2"/>
  <c r="J52" i="2"/>
  <c r="J11" i="3"/>
  <c r="J19" i="3"/>
  <c r="J35" i="3"/>
  <c r="J43" i="3"/>
  <c r="J51" i="3"/>
  <c r="J9" i="4"/>
  <c r="J17" i="4"/>
  <c r="J25" i="4"/>
  <c r="J41" i="4"/>
  <c r="J49" i="4"/>
  <c r="J57" i="4"/>
  <c r="J15" i="5"/>
  <c r="J31" i="5"/>
  <c r="J39" i="5"/>
  <c r="J47" i="5"/>
  <c r="J55" i="5"/>
  <c r="J13" i="6"/>
  <c r="J21" i="6"/>
  <c r="J45" i="6"/>
  <c r="J53" i="6"/>
  <c r="J14" i="2"/>
  <c r="J22" i="2"/>
  <c r="J30" i="2"/>
  <c r="J38" i="2"/>
  <c r="J46" i="2"/>
  <c r="J54" i="2"/>
  <c r="J13" i="3"/>
  <c r="J21" i="3"/>
  <c r="J37" i="3"/>
  <c r="J45" i="3"/>
  <c r="J53" i="3"/>
  <c r="J11" i="4"/>
  <c r="J19" i="4"/>
  <c r="J35" i="4"/>
  <c r="J43" i="4"/>
  <c r="J51" i="4"/>
  <c r="J9" i="5"/>
  <c r="J25" i="5"/>
  <c r="J41" i="5"/>
  <c r="J49" i="5"/>
  <c r="J57" i="5"/>
  <c r="J15" i="6"/>
  <c r="J23" i="6"/>
  <c r="J31" i="6"/>
  <c r="J39" i="6"/>
  <c r="J47" i="6"/>
  <c r="J55" i="6"/>
  <c r="J15" i="2"/>
  <c r="J31" i="2"/>
  <c r="J39" i="2"/>
  <c r="J47" i="2"/>
  <c r="J55" i="2"/>
  <c r="J14" i="3"/>
  <c r="J22" i="3"/>
  <c r="J38" i="3"/>
  <c r="J46" i="3"/>
  <c r="J54" i="3"/>
  <c r="J36" i="4"/>
  <c r="J44" i="4"/>
  <c r="J52" i="4"/>
  <c r="J10" i="5"/>
  <c r="J18" i="5"/>
  <c r="J26" i="5"/>
  <c r="J42" i="5"/>
  <c r="J50" i="5"/>
  <c r="J58" i="5"/>
  <c r="J16" i="6"/>
  <c r="J24" i="6"/>
  <c r="J32" i="6"/>
  <c r="J40" i="6"/>
  <c r="J48" i="6"/>
  <c r="J56" i="6"/>
  <c r="J16" i="2"/>
  <c r="J24" i="2"/>
  <c r="J32" i="2"/>
  <c r="J40" i="2"/>
  <c r="J48" i="2"/>
  <c r="J56" i="2"/>
  <c r="J15" i="3"/>
  <c r="J31" i="3"/>
  <c r="J39" i="3"/>
  <c r="J47" i="3"/>
  <c r="J55" i="3"/>
  <c r="J13" i="4"/>
  <c r="J21" i="4"/>
  <c r="J29" i="4"/>
  <c r="J45" i="4"/>
  <c r="J53" i="4"/>
  <c r="J11" i="5"/>
  <c r="J19" i="5"/>
  <c r="J35" i="5"/>
  <c r="J43" i="5"/>
  <c r="J51" i="5"/>
  <c r="J9" i="6"/>
  <c r="J17" i="6"/>
  <c r="J25" i="6"/>
  <c r="J41" i="6"/>
  <c r="J49" i="6"/>
  <c r="J57" i="6"/>
  <c r="J9" i="2"/>
  <c r="J25" i="2"/>
  <c r="J33" i="2"/>
  <c r="J41" i="2"/>
  <c r="J49" i="2"/>
  <c r="J57" i="2"/>
  <c r="J16" i="3"/>
  <c r="J24" i="3"/>
  <c r="J32" i="3"/>
  <c r="J40" i="3"/>
  <c r="J48" i="3"/>
  <c r="J56" i="3"/>
  <c r="J14" i="4"/>
  <c r="J22" i="4"/>
  <c r="J30" i="4"/>
  <c r="J38" i="4"/>
  <c r="J46" i="4"/>
  <c r="J54" i="4"/>
  <c r="J12" i="5"/>
  <c r="J36" i="5"/>
  <c r="J44" i="5"/>
  <c r="J52" i="5"/>
  <c r="J10" i="6"/>
  <c r="J18" i="6"/>
  <c r="J26" i="6"/>
  <c r="J42" i="6"/>
  <c r="J50" i="6"/>
  <c r="J58" i="6"/>
  <c r="J10" i="2"/>
  <c r="J18" i="2"/>
  <c r="J26" i="2"/>
  <c r="J34" i="2"/>
  <c r="J42" i="2"/>
  <c r="J50" i="2"/>
  <c r="J9" i="3"/>
  <c r="J17" i="3"/>
  <c r="J25" i="3"/>
  <c r="J41" i="3"/>
  <c r="J49" i="3"/>
  <c r="J57" i="3"/>
  <c r="J15" i="4"/>
  <c r="J31" i="4"/>
  <c r="J39" i="4"/>
  <c r="J47" i="4"/>
  <c r="J55" i="4"/>
  <c r="J13" i="5"/>
  <c r="J21" i="5"/>
  <c r="J45" i="5"/>
  <c r="J53" i="5"/>
  <c r="J11" i="6"/>
  <c r="J19" i="6"/>
  <c r="J27" i="6"/>
  <c r="J35" i="6"/>
  <c r="J43" i="6"/>
  <c r="J51" i="6"/>
  <c r="J11" i="2"/>
  <c r="J19" i="2"/>
  <c r="J35" i="2"/>
  <c r="J43" i="2"/>
  <c r="J51" i="2"/>
  <c r="J10" i="3"/>
  <c r="J18" i="3"/>
  <c r="J26" i="3"/>
  <c r="J42" i="3"/>
  <c r="J50" i="3"/>
  <c r="J58" i="3"/>
  <c r="J24" i="4"/>
  <c r="J32" i="4"/>
  <c r="J40" i="4"/>
  <c r="J48" i="4"/>
  <c r="J56" i="4"/>
  <c r="J22" i="5"/>
  <c r="J30" i="5"/>
  <c r="J38" i="5"/>
  <c r="J46" i="5"/>
  <c r="J54" i="5"/>
  <c r="J44" i="6"/>
  <c r="BO7" i="3"/>
  <c r="BQ54" i="3" s="1"/>
  <c r="BN7" i="3"/>
  <c r="BM7" i="3"/>
  <c r="BL7" i="3"/>
  <c r="BK7" i="3"/>
  <c r="BJ7" i="3"/>
  <c r="BI7" i="3"/>
  <c r="BH7" i="3"/>
  <c r="BG7" i="3"/>
  <c r="AC34" i="3" s="1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Q42" i="2" s="1"/>
  <c r="BN7" i="2"/>
  <c r="BO7" i="2"/>
  <c r="AT7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BB58" i="2"/>
  <c r="BA58" i="2"/>
  <c r="AZ58" i="2"/>
  <c r="AY58" i="2"/>
  <c r="AX58" i="2"/>
  <c r="AW58" i="2"/>
  <c r="AV58" i="2"/>
  <c r="AU58" i="2"/>
  <c r="AB58" i="2" s="1"/>
  <c r="AT58" i="2"/>
  <c r="BO57" i="2"/>
  <c r="BN57" i="2"/>
  <c r="BM57" i="2"/>
  <c r="BL57" i="2"/>
  <c r="BK57" i="2"/>
  <c r="BJ57" i="2"/>
  <c r="BI57" i="2"/>
  <c r="AD57" i="2" s="1"/>
  <c r="BH57" i="2"/>
  <c r="BG57" i="2"/>
  <c r="BF57" i="2"/>
  <c r="BE57" i="2"/>
  <c r="BD57" i="2"/>
  <c r="BC57" i="2"/>
  <c r="BB57" i="2"/>
  <c r="BA57" i="2"/>
  <c r="AB57" i="2" s="1"/>
  <c r="AZ57" i="2"/>
  <c r="AY57" i="2"/>
  <c r="AX57" i="2"/>
  <c r="AW57" i="2"/>
  <c r="AV57" i="2"/>
  <c r="AU57" i="2"/>
  <c r="AT57" i="2"/>
  <c r="BO56" i="2"/>
  <c r="BQ56" i="2" s="1"/>
  <c r="BN56" i="2"/>
  <c r="BM56" i="2"/>
  <c r="BL56" i="2"/>
  <c r="BK56" i="2"/>
  <c r="BJ56" i="2"/>
  <c r="BI56" i="2"/>
  <c r="BH56" i="2"/>
  <c r="BG56" i="2"/>
  <c r="AC56" i="2" s="1"/>
  <c r="BF56" i="2"/>
  <c r="BE56" i="2"/>
  <c r="BD56" i="2"/>
  <c r="BC56" i="2"/>
  <c r="BB56" i="2"/>
  <c r="BA56" i="2"/>
  <c r="AZ56" i="2"/>
  <c r="AY56" i="2"/>
  <c r="AB56" i="2" s="1"/>
  <c r="AX56" i="2"/>
  <c r="AW56" i="2"/>
  <c r="AV56" i="2"/>
  <c r="AU56" i="2"/>
  <c r="AT56" i="2"/>
  <c r="BO55" i="2"/>
  <c r="BN55" i="2"/>
  <c r="BM55" i="2"/>
  <c r="BQ55" i="2" s="1"/>
  <c r="BL55" i="2"/>
  <c r="BK55" i="2"/>
  <c r="BJ55" i="2"/>
  <c r="BI55" i="2"/>
  <c r="BH55" i="2"/>
  <c r="BG55" i="2"/>
  <c r="BF55" i="2"/>
  <c r="BE55" i="2"/>
  <c r="AC55" i="2" s="1"/>
  <c r="BD55" i="2"/>
  <c r="BC55" i="2"/>
  <c r="BB55" i="2"/>
  <c r="BA55" i="2"/>
  <c r="AZ55" i="2"/>
  <c r="AY55" i="2"/>
  <c r="AX55" i="2"/>
  <c r="AW55" i="2"/>
  <c r="AB55" i="2" s="1"/>
  <c r="AV55" i="2"/>
  <c r="AU55" i="2"/>
  <c r="AT55" i="2"/>
  <c r="BO54" i="2"/>
  <c r="BN54" i="2"/>
  <c r="BM54" i="2"/>
  <c r="BL54" i="2"/>
  <c r="BK54" i="2"/>
  <c r="AD54" i="2" s="1"/>
  <c r="BJ54" i="2"/>
  <c r="BI54" i="2"/>
  <c r="BH54" i="2"/>
  <c r="BG54" i="2"/>
  <c r="BF54" i="2"/>
  <c r="BE54" i="2"/>
  <c r="BD54" i="2"/>
  <c r="BC54" i="2"/>
  <c r="BB54" i="2"/>
  <c r="BA54" i="2"/>
  <c r="AZ54" i="2"/>
  <c r="AY54" i="2"/>
  <c r="AX54" i="2"/>
  <c r="AW54" i="2"/>
  <c r="AV54" i="2"/>
  <c r="AU54" i="2"/>
  <c r="AB54" i="2" s="1"/>
  <c r="AT54" i="2"/>
  <c r="BO53" i="2"/>
  <c r="BN53" i="2"/>
  <c r="BM53" i="2"/>
  <c r="BL53" i="2"/>
  <c r="BK53" i="2"/>
  <c r="BJ53" i="2"/>
  <c r="BI53" i="2"/>
  <c r="AD53" i="2" s="1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BO52" i="2"/>
  <c r="BQ52" i="2" s="1"/>
  <c r="BN52" i="2"/>
  <c r="BM52" i="2"/>
  <c r="BL52" i="2"/>
  <c r="BK52" i="2"/>
  <c r="BJ52" i="2"/>
  <c r="BI52" i="2"/>
  <c r="BH52" i="2"/>
  <c r="BG52" i="2"/>
  <c r="AC52" i="2" s="1"/>
  <c r="BF52" i="2"/>
  <c r="BE52" i="2"/>
  <c r="BD52" i="2"/>
  <c r="BC52" i="2"/>
  <c r="BB52" i="2"/>
  <c r="BA52" i="2"/>
  <c r="AZ52" i="2"/>
  <c r="AY52" i="2"/>
  <c r="AB52" i="2" s="1"/>
  <c r="AX52" i="2"/>
  <c r="AW52" i="2"/>
  <c r="AV52" i="2"/>
  <c r="AU52" i="2"/>
  <c r="AT52" i="2"/>
  <c r="BO51" i="2"/>
  <c r="BN51" i="2"/>
  <c r="BM51" i="2"/>
  <c r="BL51" i="2"/>
  <c r="BK51" i="2"/>
  <c r="BJ51" i="2"/>
  <c r="BI51" i="2"/>
  <c r="BH51" i="2"/>
  <c r="BG51" i="2"/>
  <c r="BF51" i="2"/>
  <c r="BE51" i="2"/>
  <c r="AC51" i="2" s="1"/>
  <c r="BD51" i="2"/>
  <c r="BC51" i="2"/>
  <c r="BB51" i="2"/>
  <c r="BA51" i="2"/>
  <c r="AZ51" i="2"/>
  <c r="AY51" i="2"/>
  <c r="AX51" i="2"/>
  <c r="AW51" i="2"/>
  <c r="AB51" i="2" s="1"/>
  <c r="AV51" i="2"/>
  <c r="AU51" i="2"/>
  <c r="AT51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BO48" i="2"/>
  <c r="BQ48" i="2" s="1"/>
  <c r="BN48" i="2"/>
  <c r="BM48" i="2"/>
  <c r="BL48" i="2"/>
  <c r="BK48" i="2"/>
  <c r="BJ48" i="2"/>
  <c r="BI48" i="2"/>
  <c r="BH48" i="2"/>
  <c r="BG48" i="2"/>
  <c r="BF48" i="2"/>
  <c r="BE48" i="2"/>
  <c r="BD48" i="2"/>
  <c r="BC48" i="2"/>
  <c r="BB48" i="2"/>
  <c r="BA48" i="2"/>
  <c r="AZ48" i="2"/>
  <c r="AY48" i="2"/>
  <c r="AX48" i="2"/>
  <c r="AW48" i="2"/>
  <c r="AV48" i="2"/>
  <c r="AU48" i="2"/>
  <c r="AT48" i="2"/>
  <c r="BO47" i="2"/>
  <c r="BN47" i="2"/>
  <c r="BM47" i="2"/>
  <c r="BQ47" i="2" s="1"/>
  <c r="BL47" i="2"/>
  <c r="BK47" i="2"/>
  <c r="BJ47" i="2"/>
  <c r="BI47" i="2"/>
  <c r="BH47" i="2"/>
  <c r="BG47" i="2"/>
  <c r="BF47" i="2"/>
  <c r="BE47" i="2"/>
  <c r="BD47" i="2"/>
  <c r="BC47" i="2"/>
  <c r="BB47" i="2"/>
  <c r="BA47" i="2"/>
  <c r="AZ47" i="2"/>
  <c r="AY47" i="2"/>
  <c r="AX47" i="2"/>
  <c r="AW47" i="2"/>
  <c r="AV47" i="2"/>
  <c r="AU47" i="2"/>
  <c r="AT47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BB45" i="2"/>
  <c r="BA45" i="2"/>
  <c r="AZ45" i="2"/>
  <c r="AY45" i="2"/>
  <c r="AX45" i="2"/>
  <c r="AW45" i="2"/>
  <c r="AV45" i="2"/>
  <c r="AU45" i="2"/>
  <c r="AT45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BB44" i="2"/>
  <c r="BA44" i="2"/>
  <c r="AZ44" i="2"/>
  <c r="AY44" i="2"/>
  <c r="AX44" i="2"/>
  <c r="AW44" i="2"/>
  <c r="AV44" i="2"/>
  <c r="AU44" i="2"/>
  <c r="AT44" i="2"/>
  <c r="BO43" i="2"/>
  <c r="BN43" i="2"/>
  <c r="BM43" i="2"/>
  <c r="BQ43" i="2" s="1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BB41" i="2"/>
  <c r="BA41" i="2"/>
  <c r="AZ41" i="2"/>
  <c r="AY41" i="2"/>
  <c r="AX41" i="2"/>
  <c r="AW41" i="2"/>
  <c r="AV41" i="2"/>
  <c r="AU41" i="2"/>
  <c r="AT41" i="2"/>
  <c r="BO40" i="2"/>
  <c r="BQ40" i="2" s="1"/>
  <c r="BN40" i="2"/>
  <c r="BM40" i="2"/>
  <c r="BL40" i="2"/>
  <c r="BK40" i="2"/>
  <c r="BJ40" i="2"/>
  <c r="BI40" i="2"/>
  <c r="BH40" i="2"/>
  <c r="BG40" i="2"/>
  <c r="BF40" i="2"/>
  <c r="BE40" i="2"/>
  <c r="BD40" i="2"/>
  <c r="BC40" i="2"/>
  <c r="BB40" i="2"/>
  <c r="BA40" i="2"/>
  <c r="AZ40" i="2"/>
  <c r="AY40" i="2"/>
  <c r="AX40" i="2"/>
  <c r="AW40" i="2"/>
  <c r="AV40" i="2"/>
  <c r="AU40" i="2"/>
  <c r="AT40" i="2"/>
  <c r="BO39" i="2"/>
  <c r="BN39" i="2"/>
  <c r="BM39" i="2"/>
  <c r="BQ39" i="2" s="1"/>
  <c r="BL39" i="2"/>
  <c r="BK39" i="2"/>
  <c r="BJ39" i="2"/>
  <c r="BI39" i="2"/>
  <c r="BH39" i="2"/>
  <c r="BG39" i="2"/>
  <c r="BF39" i="2"/>
  <c r="BE39" i="2"/>
  <c r="BD39" i="2"/>
  <c r="BC39" i="2"/>
  <c r="BB39" i="2"/>
  <c r="BA39" i="2"/>
  <c r="AZ39" i="2"/>
  <c r="AY39" i="2"/>
  <c r="AX39" i="2"/>
  <c r="AW39" i="2"/>
  <c r="AV39" i="2"/>
  <c r="AU39" i="2"/>
  <c r="AT39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BO36" i="2"/>
  <c r="BQ36" i="2" s="1"/>
  <c r="BN36" i="2"/>
  <c r="BM36" i="2"/>
  <c r="BL36" i="2"/>
  <c r="BK36" i="2"/>
  <c r="BJ36" i="2"/>
  <c r="BI36" i="2"/>
  <c r="BH36" i="2"/>
  <c r="BG36" i="2"/>
  <c r="AC36" i="2" s="1"/>
  <c r="BF36" i="2"/>
  <c r="BE36" i="2"/>
  <c r="BD36" i="2"/>
  <c r="BC36" i="2"/>
  <c r="BB36" i="2"/>
  <c r="BA36" i="2"/>
  <c r="AZ36" i="2"/>
  <c r="AY36" i="2"/>
  <c r="AB36" i="2" s="1"/>
  <c r="AX36" i="2"/>
  <c r="AW36" i="2"/>
  <c r="AV36" i="2"/>
  <c r="AU36" i="2"/>
  <c r="AT36" i="2"/>
  <c r="BO35" i="2"/>
  <c r="BN35" i="2"/>
  <c r="BM35" i="2"/>
  <c r="BQ35" i="2" s="1"/>
  <c r="BL35" i="2"/>
  <c r="BK35" i="2"/>
  <c r="BJ35" i="2"/>
  <c r="BI35" i="2"/>
  <c r="BH35" i="2"/>
  <c r="BG35" i="2"/>
  <c r="BF35" i="2"/>
  <c r="BE35" i="2"/>
  <c r="AC35" i="2" s="1"/>
  <c r="BD35" i="2"/>
  <c r="BC35" i="2"/>
  <c r="BB35" i="2"/>
  <c r="BA35" i="2"/>
  <c r="AZ35" i="2"/>
  <c r="AY35" i="2"/>
  <c r="AX35" i="2"/>
  <c r="AW35" i="2"/>
  <c r="AV35" i="2"/>
  <c r="AU35" i="2"/>
  <c r="AT35" i="2"/>
  <c r="BO34" i="2"/>
  <c r="BN34" i="2"/>
  <c r="BM34" i="2"/>
  <c r="BL34" i="2"/>
  <c r="BK34" i="2"/>
  <c r="AD34" i="2" s="1"/>
  <c r="BJ34" i="2"/>
  <c r="BI34" i="2"/>
  <c r="BH34" i="2"/>
  <c r="BG34" i="2"/>
  <c r="BF34" i="2"/>
  <c r="BE34" i="2"/>
  <c r="BD34" i="2"/>
  <c r="BC34" i="2"/>
  <c r="AC34" i="2" s="1"/>
  <c r="BB34" i="2"/>
  <c r="BA34" i="2"/>
  <c r="AZ34" i="2"/>
  <c r="AY34" i="2"/>
  <c r="AX34" i="2"/>
  <c r="AW34" i="2"/>
  <c r="AV34" i="2"/>
  <c r="AU34" i="2"/>
  <c r="AT34" i="2"/>
  <c r="BO33" i="2"/>
  <c r="BN33" i="2"/>
  <c r="BM33" i="2"/>
  <c r="BL33" i="2"/>
  <c r="BK33" i="2"/>
  <c r="BJ33" i="2"/>
  <c r="BI33" i="2"/>
  <c r="AD33" i="2" s="1"/>
  <c r="AD41" i="2" s="1"/>
  <c r="BH33" i="2"/>
  <c r="BG33" i="2"/>
  <c r="BF33" i="2"/>
  <c r="BE33" i="2"/>
  <c r="BD33" i="2"/>
  <c r="BC33" i="2"/>
  <c r="BB33" i="2"/>
  <c r="BA33" i="2"/>
  <c r="AB33" i="2" s="1"/>
  <c r="AB41" i="2" s="1"/>
  <c r="AZ33" i="2"/>
  <c r="AY33" i="2"/>
  <c r="AX33" i="2"/>
  <c r="AW33" i="2"/>
  <c r="AV33" i="2"/>
  <c r="AU33" i="2"/>
  <c r="AT33" i="2"/>
  <c r="BO32" i="2"/>
  <c r="BQ32" i="2" s="1"/>
  <c r="BN32" i="2"/>
  <c r="BM32" i="2"/>
  <c r="BL32" i="2"/>
  <c r="BK32" i="2"/>
  <c r="BJ32" i="2"/>
  <c r="BI32" i="2"/>
  <c r="BH32" i="2"/>
  <c r="BG32" i="2"/>
  <c r="AC32" i="2" s="1"/>
  <c r="BF32" i="2"/>
  <c r="BE32" i="2"/>
  <c r="BD32" i="2"/>
  <c r="BC32" i="2"/>
  <c r="BB32" i="2"/>
  <c r="BA32" i="2"/>
  <c r="AZ32" i="2"/>
  <c r="AY32" i="2"/>
  <c r="AB32" i="2" s="1"/>
  <c r="AX32" i="2"/>
  <c r="AW32" i="2"/>
  <c r="AV32" i="2"/>
  <c r="AU32" i="2"/>
  <c r="AT32" i="2"/>
  <c r="BO31" i="2"/>
  <c r="BN31" i="2"/>
  <c r="BM31" i="2"/>
  <c r="BQ31" i="2" s="1"/>
  <c r="BL31" i="2"/>
  <c r="BK31" i="2"/>
  <c r="BJ31" i="2"/>
  <c r="BI31" i="2"/>
  <c r="BH31" i="2"/>
  <c r="BG31" i="2"/>
  <c r="BF31" i="2"/>
  <c r="BE31" i="2"/>
  <c r="AC31" i="2" s="1"/>
  <c r="BD31" i="2"/>
  <c r="BC31" i="2"/>
  <c r="BB31" i="2"/>
  <c r="BA31" i="2"/>
  <c r="AZ31" i="2"/>
  <c r="AY31" i="2"/>
  <c r="AX31" i="2"/>
  <c r="AW31" i="2"/>
  <c r="AB31" i="2" s="1"/>
  <c r="AV31" i="2"/>
  <c r="AU31" i="2"/>
  <c r="AT31" i="2"/>
  <c r="BO30" i="2"/>
  <c r="BN30" i="2"/>
  <c r="BM30" i="2"/>
  <c r="BL30" i="2"/>
  <c r="BK30" i="2"/>
  <c r="AD30" i="2" s="1"/>
  <c r="BJ30" i="2"/>
  <c r="BI30" i="2"/>
  <c r="BH30" i="2"/>
  <c r="BG30" i="2"/>
  <c r="BF30" i="2"/>
  <c r="BE30" i="2"/>
  <c r="BD30" i="2"/>
  <c r="BC30" i="2"/>
  <c r="AC30" i="2" s="1"/>
  <c r="AC42" i="2" s="1"/>
  <c r="BB30" i="2"/>
  <c r="BA30" i="2"/>
  <c r="AZ30" i="2"/>
  <c r="AY30" i="2"/>
  <c r="AX30" i="2"/>
  <c r="AW30" i="2"/>
  <c r="AV30" i="2"/>
  <c r="AU30" i="2"/>
  <c r="AB30" i="2" s="1"/>
  <c r="AB42" i="2" s="1"/>
  <c r="AT30" i="2"/>
  <c r="BO29" i="2"/>
  <c r="BN29" i="2"/>
  <c r="BM29" i="2"/>
  <c r="BL29" i="2"/>
  <c r="BK29" i="2"/>
  <c r="BJ29" i="2"/>
  <c r="BI29" i="2"/>
  <c r="AD29" i="2" s="1"/>
  <c r="BH29" i="2"/>
  <c r="BG29" i="2"/>
  <c r="BF29" i="2"/>
  <c r="BE29" i="2"/>
  <c r="BD29" i="2"/>
  <c r="BC29" i="2"/>
  <c r="BB29" i="2"/>
  <c r="BA29" i="2"/>
  <c r="AB29" i="2" s="1"/>
  <c r="AZ29" i="2"/>
  <c r="AY29" i="2"/>
  <c r="AX29" i="2"/>
  <c r="AW29" i="2"/>
  <c r="AV29" i="2"/>
  <c r="AU29" i="2"/>
  <c r="AT29" i="2"/>
  <c r="BO28" i="2"/>
  <c r="BQ28" i="2" s="1"/>
  <c r="BN28" i="2"/>
  <c r="BM28" i="2"/>
  <c r="BL28" i="2"/>
  <c r="BK28" i="2"/>
  <c r="BJ28" i="2"/>
  <c r="BI28" i="2"/>
  <c r="BH28" i="2"/>
  <c r="BG28" i="2"/>
  <c r="AC28" i="2" s="1"/>
  <c r="AC39" i="2" s="1"/>
  <c r="BF28" i="2"/>
  <c r="BE28" i="2"/>
  <c r="BD28" i="2"/>
  <c r="BC28" i="2"/>
  <c r="BB28" i="2"/>
  <c r="BA28" i="2"/>
  <c r="AZ28" i="2"/>
  <c r="AY28" i="2"/>
  <c r="AB28" i="2" s="1"/>
  <c r="AB39" i="2" s="1"/>
  <c r="AX28" i="2"/>
  <c r="AW28" i="2"/>
  <c r="AV28" i="2"/>
  <c r="AU28" i="2"/>
  <c r="AT28" i="2"/>
  <c r="BO27" i="2"/>
  <c r="BN27" i="2"/>
  <c r="BM27" i="2"/>
  <c r="BQ27" i="2" s="1"/>
  <c r="BL27" i="2"/>
  <c r="BK27" i="2"/>
  <c r="BJ27" i="2"/>
  <c r="BI27" i="2"/>
  <c r="BH27" i="2"/>
  <c r="BG27" i="2"/>
  <c r="BF27" i="2"/>
  <c r="BE27" i="2"/>
  <c r="AC27" i="2" s="1"/>
  <c r="AC40" i="2" s="1"/>
  <c r="BD27" i="2"/>
  <c r="BC27" i="2"/>
  <c r="BB27" i="2"/>
  <c r="BA27" i="2"/>
  <c r="AZ27" i="2"/>
  <c r="AY27" i="2"/>
  <c r="AX27" i="2"/>
  <c r="AW27" i="2"/>
  <c r="AV27" i="2"/>
  <c r="AU27" i="2"/>
  <c r="AT27" i="2"/>
  <c r="BO26" i="2"/>
  <c r="BN26" i="2"/>
  <c r="BM26" i="2"/>
  <c r="BL26" i="2"/>
  <c r="BK26" i="2"/>
  <c r="AD26" i="2" s="1"/>
  <c r="BJ26" i="2"/>
  <c r="BI26" i="2"/>
  <c r="BH26" i="2"/>
  <c r="BG26" i="2"/>
  <c r="BF26" i="2"/>
  <c r="BE26" i="2"/>
  <c r="BD26" i="2"/>
  <c r="BC26" i="2"/>
  <c r="AC26" i="2" s="1"/>
  <c r="BB26" i="2"/>
  <c r="BA26" i="2"/>
  <c r="AZ26" i="2"/>
  <c r="AY26" i="2"/>
  <c r="AX26" i="2"/>
  <c r="AW26" i="2"/>
  <c r="AV26" i="2"/>
  <c r="AU26" i="2"/>
  <c r="AB26" i="2" s="1"/>
  <c r="AT26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B25" i="2" s="1"/>
  <c r="AB43" i="2" s="1"/>
  <c r="AZ25" i="2"/>
  <c r="AY25" i="2"/>
  <c r="AX25" i="2"/>
  <c r="AW25" i="2"/>
  <c r="AV25" i="2"/>
  <c r="AU25" i="2"/>
  <c r="AT25" i="2"/>
  <c r="BO24" i="2"/>
  <c r="BQ24" i="2" s="1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B24" i="2" s="1"/>
  <c r="AX24" i="2"/>
  <c r="AW24" i="2"/>
  <c r="AV24" i="2"/>
  <c r="AU24" i="2"/>
  <c r="AT24" i="2"/>
  <c r="BO23" i="2"/>
  <c r="BN23" i="2"/>
  <c r="BM23" i="2"/>
  <c r="BQ23" i="2" s="1"/>
  <c r="BL23" i="2"/>
  <c r="BK23" i="2"/>
  <c r="BJ23" i="2"/>
  <c r="BI23" i="2"/>
  <c r="BH23" i="2"/>
  <c r="BG23" i="2"/>
  <c r="BF23" i="2"/>
  <c r="BE23" i="2"/>
  <c r="AC23" i="2" s="1"/>
  <c r="BD23" i="2"/>
  <c r="BC23" i="2"/>
  <c r="BB23" i="2"/>
  <c r="BA23" i="2"/>
  <c r="AZ23" i="2"/>
  <c r="AY23" i="2"/>
  <c r="AX23" i="2"/>
  <c r="AW23" i="2"/>
  <c r="AV23" i="2"/>
  <c r="AU23" i="2"/>
  <c r="AT23" i="2"/>
  <c r="BO22" i="2"/>
  <c r="BN22" i="2"/>
  <c r="BM22" i="2"/>
  <c r="BL22" i="2"/>
  <c r="BK22" i="2"/>
  <c r="AD22" i="2" s="1"/>
  <c r="BJ22" i="2"/>
  <c r="BI22" i="2"/>
  <c r="BH22" i="2"/>
  <c r="BG22" i="2"/>
  <c r="BF22" i="2"/>
  <c r="BE22" i="2"/>
  <c r="BD22" i="2"/>
  <c r="BC22" i="2"/>
  <c r="AC22" i="2" s="1"/>
  <c r="BB22" i="2"/>
  <c r="BA22" i="2"/>
  <c r="AZ22" i="2"/>
  <c r="AY22" i="2"/>
  <c r="AX22" i="2"/>
  <c r="AW22" i="2"/>
  <c r="AV22" i="2"/>
  <c r="AU22" i="2"/>
  <c r="AB22" i="2" s="1"/>
  <c r="AT22" i="2"/>
  <c r="BO21" i="2"/>
  <c r="BN21" i="2"/>
  <c r="BM21" i="2"/>
  <c r="BL21" i="2"/>
  <c r="BK21" i="2"/>
  <c r="BJ21" i="2"/>
  <c r="BI21" i="2"/>
  <c r="AD21" i="2" s="1"/>
  <c r="BH21" i="2"/>
  <c r="BG21" i="2"/>
  <c r="BF21" i="2"/>
  <c r="BE21" i="2"/>
  <c r="BD21" i="2"/>
  <c r="BC21" i="2"/>
  <c r="BB21" i="2"/>
  <c r="BA21" i="2"/>
  <c r="AB21" i="2" s="1"/>
  <c r="AZ21" i="2"/>
  <c r="AY21" i="2"/>
  <c r="AX21" i="2"/>
  <c r="AW21" i="2"/>
  <c r="AV21" i="2"/>
  <c r="AU21" i="2"/>
  <c r="AT21" i="2"/>
  <c r="BO20" i="2"/>
  <c r="BQ20" i="2" s="1"/>
  <c r="BN20" i="2"/>
  <c r="BM20" i="2"/>
  <c r="BL20" i="2"/>
  <c r="BK20" i="2"/>
  <c r="BJ20" i="2"/>
  <c r="BI20" i="2"/>
  <c r="BH20" i="2"/>
  <c r="BG20" i="2"/>
  <c r="AC20" i="2" s="1"/>
  <c r="AC38" i="2" s="1"/>
  <c r="BF20" i="2"/>
  <c r="BE20" i="2"/>
  <c r="BD20" i="2"/>
  <c r="BC20" i="2"/>
  <c r="BB20" i="2"/>
  <c r="BA20" i="2"/>
  <c r="AZ20" i="2"/>
  <c r="AY20" i="2"/>
  <c r="AB20" i="2" s="1"/>
  <c r="AB38" i="2" s="1"/>
  <c r="AX20" i="2"/>
  <c r="AW20" i="2"/>
  <c r="AV20" i="2"/>
  <c r="AU20" i="2"/>
  <c r="AT20" i="2"/>
  <c r="BO19" i="2"/>
  <c r="BN19" i="2"/>
  <c r="BM19" i="2"/>
  <c r="BQ19" i="2" s="1"/>
  <c r="BL19" i="2"/>
  <c r="BK19" i="2"/>
  <c r="BJ19" i="2"/>
  <c r="BI19" i="2"/>
  <c r="BH19" i="2"/>
  <c r="BG19" i="2"/>
  <c r="BF19" i="2"/>
  <c r="BE19" i="2"/>
  <c r="AC19" i="2" s="1"/>
  <c r="BD19" i="2"/>
  <c r="BC19" i="2"/>
  <c r="BB19" i="2"/>
  <c r="BA19" i="2"/>
  <c r="AZ19" i="2"/>
  <c r="AY19" i="2"/>
  <c r="AX19" i="2"/>
  <c r="AW19" i="2"/>
  <c r="AB19" i="2" s="1"/>
  <c r="AV19" i="2"/>
  <c r="AU19" i="2"/>
  <c r="AT19" i="2"/>
  <c r="BO18" i="2"/>
  <c r="BN18" i="2"/>
  <c r="BM18" i="2"/>
  <c r="BL18" i="2"/>
  <c r="BK18" i="2"/>
  <c r="AD18" i="2" s="1"/>
  <c r="BJ18" i="2"/>
  <c r="BI18" i="2"/>
  <c r="BH18" i="2"/>
  <c r="BG18" i="2"/>
  <c r="BF18" i="2"/>
  <c r="BE18" i="2"/>
  <c r="BD18" i="2"/>
  <c r="BC18" i="2"/>
  <c r="AC18" i="2" s="1"/>
  <c r="BB18" i="2"/>
  <c r="BA18" i="2"/>
  <c r="AZ18" i="2"/>
  <c r="AY18" i="2"/>
  <c r="AX18" i="2"/>
  <c r="AW18" i="2"/>
  <c r="AV18" i="2"/>
  <c r="AU18" i="2"/>
  <c r="AT18" i="2"/>
  <c r="BO17" i="2"/>
  <c r="BN17" i="2"/>
  <c r="BM17" i="2"/>
  <c r="BL17" i="2"/>
  <c r="BK17" i="2"/>
  <c r="BJ17" i="2"/>
  <c r="BI17" i="2"/>
  <c r="AD17" i="2" s="1"/>
  <c r="BH17" i="2"/>
  <c r="BG17" i="2"/>
  <c r="BF17" i="2"/>
  <c r="BE17" i="2"/>
  <c r="BD17" i="2"/>
  <c r="BC17" i="2"/>
  <c r="BB17" i="2"/>
  <c r="BA17" i="2"/>
  <c r="AB17" i="2" s="1"/>
  <c r="AZ17" i="2"/>
  <c r="AY17" i="2"/>
  <c r="AX17" i="2"/>
  <c r="AW17" i="2"/>
  <c r="AV17" i="2"/>
  <c r="AU17" i="2"/>
  <c r="AT17" i="2"/>
  <c r="BO16" i="2"/>
  <c r="BQ16" i="2" s="1"/>
  <c r="BN16" i="2"/>
  <c r="BM16" i="2"/>
  <c r="BL16" i="2"/>
  <c r="BK16" i="2"/>
  <c r="BJ16" i="2"/>
  <c r="BI16" i="2"/>
  <c r="BH16" i="2"/>
  <c r="BG16" i="2"/>
  <c r="AC16" i="2" s="1"/>
  <c r="BF16" i="2"/>
  <c r="BE16" i="2"/>
  <c r="BD16" i="2"/>
  <c r="BC16" i="2"/>
  <c r="BB16" i="2"/>
  <c r="BA16" i="2"/>
  <c r="AZ16" i="2"/>
  <c r="AY16" i="2"/>
  <c r="AB16" i="2" s="1"/>
  <c r="AX16" i="2"/>
  <c r="AW16" i="2"/>
  <c r="AV16" i="2"/>
  <c r="AU16" i="2"/>
  <c r="AT16" i="2"/>
  <c r="BO15" i="2"/>
  <c r="BN15" i="2"/>
  <c r="BM15" i="2"/>
  <c r="BQ15" i="2" s="1"/>
  <c r="BL15" i="2"/>
  <c r="BK15" i="2"/>
  <c r="BJ15" i="2"/>
  <c r="BI15" i="2"/>
  <c r="BH15" i="2"/>
  <c r="BG15" i="2"/>
  <c r="BF15" i="2"/>
  <c r="BE15" i="2"/>
  <c r="AC15" i="2" s="1"/>
  <c r="BD15" i="2"/>
  <c r="BC15" i="2"/>
  <c r="BB15" i="2"/>
  <c r="BA15" i="2"/>
  <c r="AZ15" i="2"/>
  <c r="AY15" i="2"/>
  <c r="AX15" i="2"/>
  <c r="AW15" i="2"/>
  <c r="AB15" i="2" s="1"/>
  <c r="AV15" i="2"/>
  <c r="AU15" i="2"/>
  <c r="AT15" i="2"/>
  <c r="BO14" i="2"/>
  <c r="BN14" i="2"/>
  <c r="BM14" i="2"/>
  <c r="BL14" i="2"/>
  <c r="BK14" i="2"/>
  <c r="AD14" i="2" s="1"/>
  <c r="BJ14" i="2"/>
  <c r="BI14" i="2"/>
  <c r="BH14" i="2"/>
  <c r="BG14" i="2"/>
  <c r="BF14" i="2"/>
  <c r="BE14" i="2"/>
  <c r="BD14" i="2"/>
  <c r="BC14" i="2"/>
  <c r="AC14" i="2" s="1"/>
  <c r="BB14" i="2"/>
  <c r="BA14" i="2"/>
  <c r="AZ14" i="2"/>
  <c r="AY14" i="2"/>
  <c r="AX14" i="2"/>
  <c r="AW14" i="2"/>
  <c r="AV14" i="2"/>
  <c r="AU14" i="2"/>
  <c r="AB14" i="2" s="1"/>
  <c r="AT14" i="2"/>
  <c r="BO13" i="2"/>
  <c r="BN13" i="2"/>
  <c r="BM13" i="2"/>
  <c r="BL13" i="2"/>
  <c r="BK13" i="2"/>
  <c r="BJ13" i="2"/>
  <c r="BI13" i="2"/>
  <c r="AD13" i="2" s="1"/>
  <c r="BH13" i="2"/>
  <c r="BG13" i="2"/>
  <c r="BF13" i="2"/>
  <c r="BE13" i="2"/>
  <c r="BD13" i="2"/>
  <c r="BC13" i="2"/>
  <c r="BB13" i="2"/>
  <c r="BA13" i="2"/>
  <c r="AB13" i="2" s="1"/>
  <c r="AZ13" i="2"/>
  <c r="AY13" i="2"/>
  <c r="AX13" i="2"/>
  <c r="AW13" i="2"/>
  <c r="AV13" i="2"/>
  <c r="AU13" i="2"/>
  <c r="AT13" i="2"/>
  <c r="BO12" i="2"/>
  <c r="BQ12" i="2" s="1"/>
  <c r="BN12" i="2"/>
  <c r="BM12" i="2"/>
  <c r="BL12" i="2"/>
  <c r="BK12" i="2"/>
  <c r="BJ12" i="2"/>
  <c r="BI12" i="2"/>
  <c r="BH12" i="2"/>
  <c r="BG12" i="2"/>
  <c r="AC12" i="2" s="1"/>
  <c r="BF12" i="2"/>
  <c r="BE12" i="2"/>
  <c r="BD12" i="2"/>
  <c r="BC12" i="2"/>
  <c r="BB12" i="2"/>
  <c r="BA12" i="2"/>
  <c r="AZ12" i="2"/>
  <c r="AY12" i="2"/>
  <c r="AB12" i="2" s="1"/>
  <c r="AX12" i="2"/>
  <c r="AW12" i="2"/>
  <c r="AV12" i="2"/>
  <c r="AU12" i="2"/>
  <c r="AT12" i="2"/>
  <c r="BO11" i="2"/>
  <c r="BN11" i="2"/>
  <c r="BM11" i="2"/>
  <c r="BQ11" i="2" s="1"/>
  <c r="BL11" i="2"/>
  <c r="BK11" i="2"/>
  <c r="BJ11" i="2"/>
  <c r="BI11" i="2"/>
  <c r="BH11" i="2"/>
  <c r="BG11" i="2"/>
  <c r="BF11" i="2"/>
  <c r="BE11" i="2"/>
  <c r="AC11" i="2" s="1"/>
  <c r="BD11" i="2"/>
  <c r="BC11" i="2"/>
  <c r="BB11" i="2"/>
  <c r="BA11" i="2"/>
  <c r="AZ11" i="2"/>
  <c r="AY11" i="2"/>
  <c r="AX11" i="2"/>
  <c r="AW11" i="2"/>
  <c r="AB11" i="2" s="1"/>
  <c r="AV11" i="2"/>
  <c r="AU11" i="2"/>
  <c r="AT11" i="2"/>
  <c r="BO10" i="2"/>
  <c r="BN10" i="2"/>
  <c r="BM10" i="2"/>
  <c r="BL10" i="2"/>
  <c r="BK10" i="2"/>
  <c r="AD10" i="2" s="1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B10" i="2" s="1"/>
  <c r="AT10" i="2"/>
  <c r="BO9" i="2"/>
  <c r="BN9" i="2"/>
  <c r="BM9" i="2"/>
  <c r="BL9" i="2"/>
  <c r="BK9" i="2"/>
  <c r="BJ9" i="2"/>
  <c r="BI9" i="2"/>
  <c r="AD9" i="2" s="1"/>
  <c r="BH9" i="2"/>
  <c r="BG9" i="2"/>
  <c r="BF9" i="2"/>
  <c r="BE9" i="2"/>
  <c r="BD9" i="2"/>
  <c r="BC9" i="2"/>
  <c r="BB9" i="2"/>
  <c r="BA9" i="2"/>
  <c r="AB9" i="2" s="1"/>
  <c r="AZ9" i="2"/>
  <c r="AY9" i="2"/>
  <c r="AX9" i="2"/>
  <c r="AW9" i="2"/>
  <c r="AV9" i="2"/>
  <c r="AU9" i="2"/>
  <c r="AT9" i="2"/>
  <c r="BO58" i="3"/>
  <c r="BQ58" i="3" s="1"/>
  <c r="BN58" i="3"/>
  <c r="BM58" i="3"/>
  <c r="BO57" i="3"/>
  <c r="BN57" i="3"/>
  <c r="BM57" i="3"/>
  <c r="BO56" i="3"/>
  <c r="BN56" i="3"/>
  <c r="BM56" i="3"/>
  <c r="BQ56" i="3" s="1"/>
  <c r="BO55" i="3"/>
  <c r="BN55" i="3"/>
  <c r="BM55" i="3"/>
  <c r="BO54" i="3"/>
  <c r="BN54" i="3"/>
  <c r="BM54" i="3"/>
  <c r="BO53" i="3"/>
  <c r="BN53" i="3"/>
  <c r="BQ53" i="3" s="1"/>
  <c r="BM53" i="3"/>
  <c r="BO52" i="3"/>
  <c r="BN52" i="3"/>
  <c r="BM52" i="3"/>
  <c r="BO51" i="3"/>
  <c r="BN51" i="3"/>
  <c r="BM51" i="3"/>
  <c r="BO50" i="3"/>
  <c r="BQ50" i="3" s="1"/>
  <c r="BN50" i="3"/>
  <c r="BM50" i="3"/>
  <c r="BO49" i="3"/>
  <c r="BN49" i="3"/>
  <c r="BM49" i="3"/>
  <c r="BO48" i="3"/>
  <c r="BN48" i="3"/>
  <c r="BM48" i="3"/>
  <c r="BQ48" i="3" s="1"/>
  <c r="BO47" i="3"/>
  <c r="BN47" i="3"/>
  <c r="BM47" i="3"/>
  <c r="BO46" i="3"/>
  <c r="BN46" i="3"/>
  <c r="BM46" i="3"/>
  <c r="BO45" i="3"/>
  <c r="BN45" i="3"/>
  <c r="BQ45" i="3" s="1"/>
  <c r="BM45" i="3"/>
  <c r="BO44" i="3"/>
  <c r="BN44" i="3"/>
  <c r="BM44" i="3"/>
  <c r="BO43" i="3"/>
  <c r="BN43" i="3"/>
  <c r="BM43" i="3"/>
  <c r="BO42" i="3"/>
  <c r="BQ42" i="3" s="1"/>
  <c r="BN42" i="3"/>
  <c r="BM42" i="3"/>
  <c r="BO41" i="3"/>
  <c r="BN41" i="3"/>
  <c r="BM41" i="3"/>
  <c r="BO40" i="3"/>
  <c r="BN40" i="3"/>
  <c r="BM40" i="3"/>
  <c r="BQ40" i="3" s="1"/>
  <c r="BO39" i="3"/>
  <c r="BN39" i="3"/>
  <c r="BM39" i="3"/>
  <c r="BO38" i="3"/>
  <c r="BN38" i="3"/>
  <c r="BM38" i="3"/>
  <c r="BO37" i="3"/>
  <c r="BN37" i="3"/>
  <c r="BQ37" i="3" s="1"/>
  <c r="BM37" i="3"/>
  <c r="BO36" i="3"/>
  <c r="BN36" i="3"/>
  <c r="BM36" i="3"/>
  <c r="BO35" i="3"/>
  <c r="BN35" i="3"/>
  <c r="BM35" i="3"/>
  <c r="BO34" i="3"/>
  <c r="BQ34" i="3" s="1"/>
  <c r="BN34" i="3"/>
  <c r="BM34" i="3"/>
  <c r="BO33" i="3"/>
  <c r="BN33" i="3"/>
  <c r="BM33" i="3"/>
  <c r="BO32" i="3"/>
  <c r="BN32" i="3"/>
  <c r="BM32" i="3"/>
  <c r="BQ32" i="3" s="1"/>
  <c r="BO31" i="3"/>
  <c r="BN31" i="3"/>
  <c r="BM31" i="3"/>
  <c r="BO30" i="3"/>
  <c r="BN30" i="3"/>
  <c r="BM30" i="3"/>
  <c r="BO29" i="3"/>
  <c r="BN29" i="3"/>
  <c r="BQ29" i="3" s="1"/>
  <c r="BM29" i="3"/>
  <c r="BO28" i="3"/>
  <c r="BN28" i="3"/>
  <c r="BM28" i="3"/>
  <c r="BO27" i="3"/>
  <c r="BN27" i="3"/>
  <c r="BM27" i="3"/>
  <c r="BO26" i="3"/>
  <c r="BN26" i="3"/>
  <c r="BM26" i="3"/>
  <c r="BO25" i="3"/>
  <c r="BN25" i="3"/>
  <c r="BM25" i="3"/>
  <c r="BO24" i="3"/>
  <c r="BN24" i="3"/>
  <c r="BM24" i="3"/>
  <c r="BQ24" i="3" s="1"/>
  <c r="BO23" i="3"/>
  <c r="BN23" i="3"/>
  <c r="BM23" i="3"/>
  <c r="BO22" i="3"/>
  <c r="BN22" i="3"/>
  <c r="BM22" i="3"/>
  <c r="BO21" i="3"/>
  <c r="BN21" i="3"/>
  <c r="BQ21" i="3" s="1"/>
  <c r="BM21" i="3"/>
  <c r="BO20" i="3"/>
  <c r="BN20" i="3"/>
  <c r="BM20" i="3"/>
  <c r="BO19" i="3"/>
  <c r="BN19" i="3"/>
  <c r="BM19" i="3"/>
  <c r="BO18" i="3"/>
  <c r="BQ18" i="3" s="1"/>
  <c r="BN18" i="3"/>
  <c r="BM18" i="3"/>
  <c r="BO17" i="3"/>
  <c r="BN17" i="3"/>
  <c r="BM17" i="3"/>
  <c r="BO16" i="3"/>
  <c r="BN16" i="3"/>
  <c r="BM16" i="3"/>
  <c r="BQ16" i="3" s="1"/>
  <c r="BO15" i="3"/>
  <c r="BN15" i="3"/>
  <c r="BM15" i="3"/>
  <c r="BO14" i="3"/>
  <c r="BN14" i="3"/>
  <c r="BM14" i="3"/>
  <c r="BO13" i="3"/>
  <c r="BN13" i="3"/>
  <c r="BQ13" i="3" s="1"/>
  <c r="BM13" i="3"/>
  <c r="BO12" i="3"/>
  <c r="BN12" i="3"/>
  <c r="BM12" i="3"/>
  <c r="BO11" i="3"/>
  <c r="BN11" i="3"/>
  <c r="BM11" i="3"/>
  <c r="BO10" i="3"/>
  <c r="BQ10" i="3" s="1"/>
  <c r="BN10" i="3"/>
  <c r="BM10" i="3"/>
  <c r="BO9" i="3"/>
  <c r="BN9" i="3"/>
  <c r="BM9" i="3"/>
  <c r="BO58" i="4"/>
  <c r="BN58" i="4"/>
  <c r="BM58" i="4"/>
  <c r="BQ58" i="4" s="1"/>
  <c r="BO57" i="4"/>
  <c r="BN57" i="4"/>
  <c r="BM57" i="4"/>
  <c r="BO56" i="4"/>
  <c r="BN56" i="4"/>
  <c r="BM56" i="4"/>
  <c r="BO55" i="4"/>
  <c r="BN55" i="4"/>
  <c r="BQ55" i="4" s="1"/>
  <c r="BM55" i="4"/>
  <c r="BO54" i="4"/>
  <c r="BN54" i="4"/>
  <c r="BM54" i="4"/>
  <c r="BO53" i="4"/>
  <c r="BN53" i="4"/>
  <c r="BM53" i="4"/>
  <c r="BO52" i="4"/>
  <c r="BQ52" i="4" s="1"/>
  <c r="BN52" i="4"/>
  <c r="BM52" i="4"/>
  <c r="BO51" i="4"/>
  <c r="BN51" i="4"/>
  <c r="BM51" i="4"/>
  <c r="BO50" i="4"/>
  <c r="BN50" i="4"/>
  <c r="BM50" i="4"/>
  <c r="BQ50" i="4" s="1"/>
  <c r="BO49" i="4"/>
  <c r="BN49" i="4"/>
  <c r="BM49" i="4"/>
  <c r="BO48" i="4"/>
  <c r="BN48" i="4"/>
  <c r="BM48" i="4"/>
  <c r="BO47" i="4"/>
  <c r="BN47" i="4"/>
  <c r="BQ47" i="4" s="1"/>
  <c r="BM47" i="4"/>
  <c r="BO46" i="4"/>
  <c r="BN46" i="4"/>
  <c r="BM46" i="4"/>
  <c r="BO45" i="4"/>
  <c r="BN45" i="4"/>
  <c r="BM45" i="4"/>
  <c r="BO44" i="4"/>
  <c r="BQ44" i="4" s="1"/>
  <c r="BN44" i="4"/>
  <c r="BM44" i="4"/>
  <c r="BO43" i="4"/>
  <c r="BN43" i="4"/>
  <c r="BM43" i="4"/>
  <c r="BO42" i="4"/>
  <c r="BN42" i="4"/>
  <c r="BM42" i="4"/>
  <c r="BQ42" i="4" s="1"/>
  <c r="BO41" i="4"/>
  <c r="BN41" i="4"/>
  <c r="BM41" i="4"/>
  <c r="BO40" i="4"/>
  <c r="BN40" i="4"/>
  <c r="BM40" i="4"/>
  <c r="BO39" i="4"/>
  <c r="BN39" i="4"/>
  <c r="BM39" i="4"/>
  <c r="BO38" i="4"/>
  <c r="BN38" i="4"/>
  <c r="BM38" i="4"/>
  <c r="BO37" i="4"/>
  <c r="BN37" i="4"/>
  <c r="BM37" i="4"/>
  <c r="BO36" i="4"/>
  <c r="BN36" i="4"/>
  <c r="BM36" i="4"/>
  <c r="BO35" i="4"/>
  <c r="BN35" i="4"/>
  <c r="BM35" i="4"/>
  <c r="BO34" i="4"/>
  <c r="BN34" i="4"/>
  <c r="BM34" i="4"/>
  <c r="BO33" i="4"/>
  <c r="BN33" i="4"/>
  <c r="BM33" i="4"/>
  <c r="BO32" i="4"/>
  <c r="BN32" i="4"/>
  <c r="BM32" i="4"/>
  <c r="BO31" i="4"/>
  <c r="BN31" i="4"/>
  <c r="BQ31" i="4" s="1"/>
  <c r="BM31" i="4"/>
  <c r="BO30" i="4"/>
  <c r="BN30" i="4"/>
  <c r="BM30" i="4"/>
  <c r="BO29" i="4"/>
  <c r="BN29" i="4"/>
  <c r="BM29" i="4"/>
  <c r="BO28" i="4"/>
  <c r="BQ28" i="4" s="1"/>
  <c r="BN28" i="4"/>
  <c r="BM28" i="4"/>
  <c r="BO27" i="4"/>
  <c r="BN27" i="4"/>
  <c r="BM27" i="4"/>
  <c r="BO26" i="4"/>
  <c r="BN26" i="4"/>
  <c r="BM26" i="4"/>
  <c r="BQ26" i="4" s="1"/>
  <c r="BO25" i="4"/>
  <c r="BN25" i="4"/>
  <c r="BM25" i="4"/>
  <c r="BO24" i="4"/>
  <c r="BN24" i="4"/>
  <c r="BM24" i="4"/>
  <c r="BO23" i="4"/>
  <c r="BN23" i="4"/>
  <c r="BQ23" i="4" s="1"/>
  <c r="BM23" i="4"/>
  <c r="BO22" i="4"/>
  <c r="BN22" i="4"/>
  <c r="BM22" i="4"/>
  <c r="BO21" i="4"/>
  <c r="BN21" i="4"/>
  <c r="BM21" i="4"/>
  <c r="BO20" i="4"/>
  <c r="BN20" i="4"/>
  <c r="BM20" i="4"/>
  <c r="BO19" i="4"/>
  <c r="BN19" i="4"/>
  <c r="BM19" i="4"/>
  <c r="BO18" i="4"/>
  <c r="BN18" i="4"/>
  <c r="BM18" i="4"/>
  <c r="BQ18" i="4" s="1"/>
  <c r="BO17" i="4"/>
  <c r="BN17" i="4"/>
  <c r="BM17" i="4"/>
  <c r="BO16" i="4"/>
  <c r="BN16" i="4"/>
  <c r="BM16" i="4"/>
  <c r="BO15" i="4"/>
  <c r="BN15" i="4"/>
  <c r="BQ15" i="4" s="1"/>
  <c r="BM15" i="4"/>
  <c r="BO14" i="4"/>
  <c r="BN14" i="4"/>
  <c r="BM14" i="4"/>
  <c r="BO13" i="4"/>
  <c r="BN13" i="4"/>
  <c r="BM13" i="4"/>
  <c r="BO12" i="4"/>
  <c r="BQ12" i="4" s="1"/>
  <c r="BN12" i="4"/>
  <c r="BM12" i="4"/>
  <c r="BO11" i="4"/>
  <c r="BN11" i="4"/>
  <c r="BM11" i="4"/>
  <c r="BO10" i="4"/>
  <c r="BN10" i="4"/>
  <c r="BM10" i="4"/>
  <c r="BQ10" i="4" s="1"/>
  <c r="BO9" i="4"/>
  <c r="BN9" i="4"/>
  <c r="BM9" i="4"/>
  <c r="BP58" i="5"/>
  <c r="BO58" i="5"/>
  <c r="BN58" i="5"/>
  <c r="BP57" i="5"/>
  <c r="BO57" i="5"/>
  <c r="BR57" i="5" s="1"/>
  <c r="BN57" i="5"/>
  <c r="BP56" i="5"/>
  <c r="BO56" i="5"/>
  <c r="BN56" i="5"/>
  <c r="BP55" i="5"/>
  <c r="BO55" i="5"/>
  <c r="BN55" i="5"/>
  <c r="BP54" i="5"/>
  <c r="BR54" i="5" s="1"/>
  <c r="BO54" i="5"/>
  <c r="BN54" i="5"/>
  <c r="BP53" i="5"/>
  <c r="BO53" i="5"/>
  <c r="BN53" i="5"/>
  <c r="BP52" i="5"/>
  <c r="BO52" i="5"/>
  <c r="BN52" i="5"/>
  <c r="BR52" i="5" s="1"/>
  <c r="BP51" i="5"/>
  <c r="BO51" i="5"/>
  <c r="BN51" i="5"/>
  <c r="BP50" i="5"/>
  <c r="BO50" i="5"/>
  <c r="BN50" i="5"/>
  <c r="BP49" i="5"/>
  <c r="BO49" i="5"/>
  <c r="BR49" i="5" s="1"/>
  <c r="BN49" i="5"/>
  <c r="BP48" i="5"/>
  <c r="BO48" i="5"/>
  <c r="BN48" i="5"/>
  <c r="BP47" i="5"/>
  <c r="BO47" i="5"/>
  <c r="BN47" i="5"/>
  <c r="BP46" i="5"/>
  <c r="BR46" i="5" s="1"/>
  <c r="BO46" i="5"/>
  <c r="BN46" i="5"/>
  <c r="BP45" i="5"/>
  <c r="BO45" i="5"/>
  <c r="BN45" i="5"/>
  <c r="BP44" i="5"/>
  <c r="BO44" i="5"/>
  <c r="BN44" i="5"/>
  <c r="BR44" i="5" s="1"/>
  <c r="BP43" i="5"/>
  <c r="BO43" i="5"/>
  <c r="BN43" i="5"/>
  <c r="BP42" i="5"/>
  <c r="BO42" i="5"/>
  <c r="BN42" i="5"/>
  <c r="BP41" i="5"/>
  <c r="BO41" i="5"/>
  <c r="BR41" i="5" s="1"/>
  <c r="BN41" i="5"/>
  <c r="BP40" i="5"/>
  <c r="BO40" i="5"/>
  <c r="BN40" i="5"/>
  <c r="BP39" i="5"/>
  <c r="BO39" i="5"/>
  <c r="BN39" i="5"/>
  <c r="BP38" i="5"/>
  <c r="BR38" i="5" s="1"/>
  <c r="BO38" i="5"/>
  <c r="BN38" i="5"/>
  <c r="BP37" i="5"/>
  <c r="BO37" i="5"/>
  <c r="BN37" i="5"/>
  <c r="BP36" i="5"/>
  <c r="BO36" i="5"/>
  <c r="BN36" i="5"/>
  <c r="BP35" i="5"/>
  <c r="BO35" i="5"/>
  <c r="BN35" i="5"/>
  <c r="BP34" i="5"/>
  <c r="BO34" i="5"/>
  <c r="BN34" i="5"/>
  <c r="BP33" i="5"/>
  <c r="BO33" i="5"/>
  <c r="BN33" i="5"/>
  <c r="BP32" i="5"/>
  <c r="BO32" i="5"/>
  <c r="BN32" i="5"/>
  <c r="BP31" i="5"/>
  <c r="BO31" i="5"/>
  <c r="BN31" i="5"/>
  <c r="BP30" i="5"/>
  <c r="BR30" i="5" s="1"/>
  <c r="BO30" i="5"/>
  <c r="BN30" i="5"/>
  <c r="BP29" i="5"/>
  <c r="BO29" i="5"/>
  <c r="BN29" i="5"/>
  <c r="BP28" i="5"/>
  <c r="BO28" i="5"/>
  <c r="BN28" i="5"/>
  <c r="BR28" i="5" s="1"/>
  <c r="BP27" i="5"/>
  <c r="BO27" i="5"/>
  <c r="BN27" i="5"/>
  <c r="BP26" i="5"/>
  <c r="BO26" i="5"/>
  <c r="BN26" i="5"/>
  <c r="BP25" i="5"/>
  <c r="BO25" i="5"/>
  <c r="BR25" i="5" s="1"/>
  <c r="BN25" i="5"/>
  <c r="BP24" i="5"/>
  <c r="BO24" i="5"/>
  <c r="BN24" i="5"/>
  <c r="BP23" i="5"/>
  <c r="BO23" i="5"/>
  <c r="BN23" i="5"/>
  <c r="BP22" i="5"/>
  <c r="BO22" i="5"/>
  <c r="BN22" i="5"/>
  <c r="BP21" i="5"/>
  <c r="BO21" i="5"/>
  <c r="BN21" i="5"/>
  <c r="BP20" i="5"/>
  <c r="BO20" i="5"/>
  <c r="BN20" i="5"/>
  <c r="BR20" i="5" s="1"/>
  <c r="BP19" i="5"/>
  <c r="BO19" i="5"/>
  <c r="BN19" i="5"/>
  <c r="BP18" i="5"/>
  <c r="BO18" i="5"/>
  <c r="BN18" i="5"/>
  <c r="BP17" i="5"/>
  <c r="BO17" i="5"/>
  <c r="BR17" i="5" s="1"/>
  <c r="BN17" i="5"/>
  <c r="BP16" i="5"/>
  <c r="BO16" i="5"/>
  <c r="BN16" i="5"/>
  <c r="BP15" i="5"/>
  <c r="BO15" i="5"/>
  <c r="BN15" i="5"/>
  <c r="BP14" i="5"/>
  <c r="BR14" i="5" s="1"/>
  <c r="BO14" i="5"/>
  <c r="BN14" i="5"/>
  <c r="BP13" i="5"/>
  <c r="BO13" i="5"/>
  <c r="BN13" i="5"/>
  <c r="BP12" i="5"/>
  <c r="BO12" i="5"/>
  <c r="BN12" i="5"/>
  <c r="BR12" i="5" s="1"/>
  <c r="BP11" i="5"/>
  <c r="BO11" i="5"/>
  <c r="BN11" i="5"/>
  <c r="BP10" i="5"/>
  <c r="BO10" i="5"/>
  <c r="BN10" i="5"/>
  <c r="BP9" i="5"/>
  <c r="BO9" i="5"/>
  <c r="BR9" i="5" s="1"/>
  <c r="BN9" i="5"/>
  <c r="BP58" i="6"/>
  <c r="BO58" i="6"/>
  <c r="BN58" i="6"/>
  <c r="BP57" i="6"/>
  <c r="BO57" i="6"/>
  <c r="BN57" i="6"/>
  <c r="BP56" i="6"/>
  <c r="BR56" i="6" s="1"/>
  <c r="BO56" i="6"/>
  <c r="BN56" i="6"/>
  <c r="BP55" i="6"/>
  <c r="BO55" i="6"/>
  <c r="BN55" i="6"/>
  <c r="BP54" i="6"/>
  <c r="BO54" i="6"/>
  <c r="BN54" i="6"/>
  <c r="BP53" i="6"/>
  <c r="BO53" i="6"/>
  <c r="BN53" i="6"/>
  <c r="BP52" i="6"/>
  <c r="BO52" i="6"/>
  <c r="BN52" i="6"/>
  <c r="BP51" i="6"/>
  <c r="BO51" i="6"/>
  <c r="BR51" i="6" s="1"/>
  <c r="BN51" i="6"/>
  <c r="BP50" i="6"/>
  <c r="BO50" i="6"/>
  <c r="BN50" i="6"/>
  <c r="BP49" i="6"/>
  <c r="BO49" i="6"/>
  <c r="BN49" i="6"/>
  <c r="BP48" i="6"/>
  <c r="BO48" i="6"/>
  <c r="BN48" i="6"/>
  <c r="BP47" i="6"/>
  <c r="BO47" i="6"/>
  <c r="BN47" i="6"/>
  <c r="BP46" i="6"/>
  <c r="BO46" i="6"/>
  <c r="BN46" i="6"/>
  <c r="BR46" i="6" s="1"/>
  <c r="BP45" i="6"/>
  <c r="BO45" i="6"/>
  <c r="BN45" i="6"/>
  <c r="BP44" i="6"/>
  <c r="BO44" i="6"/>
  <c r="BN44" i="6"/>
  <c r="BP43" i="6"/>
  <c r="BO43" i="6"/>
  <c r="BR43" i="6" s="1"/>
  <c r="BN43" i="6"/>
  <c r="BP42" i="6"/>
  <c r="BO42" i="6"/>
  <c r="BN42" i="6"/>
  <c r="BP41" i="6"/>
  <c r="BO41" i="6"/>
  <c r="BN41" i="6"/>
  <c r="BP40" i="6"/>
  <c r="BR40" i="6" s="1"/>
  <c r="BO40" i="6"/>
  <c r="BN40" i="6"/>
  <c r="BP39" i="6"/>
  <c r="BO39" i="6"/>
  <c r="BN39" i="6"/>
  <c r="BP38" i="6"/>
  <c r="BO38" i="6"/>
  <c r="BN38" i="6"/>
  <c r="BP37" i="6"/>
  <c r="BO37" i="6"/>
  <c r="BN37" i="6"/>
  <c r="BP36" i="6"/>
  <c r="BO36" i="6"/>
  <c r="BN36" i="6"/>
  <c r="BP35" i="6"/>
  <c r="BO35" i="6"/>
  <c r="BR35" i="6" s="1"/>
  <c r="BN35" i="6"/>
  <c r="BP34" i="6"/>
  <c r="BO34" i="6"/>
  <c r="BN34" i="6"/>
  <c r="BP33" i="6"/>
  <c r="BO33" i="6"/>
  <c r="BN33" i="6"/>
  <c r="BP32" i="6"/>
  <c r="BR32" i="6" s="1"/>
  <c r="BO32" i="6"/>
  <c r="BN32" i="6"/>
  <c r="BP31" i="6"/>
  <c r="BO31" i="6"/>
  <c r="BN31" i="6"/>
  <c r="BP30" i="6"/>
  <c r="BO30" i="6"/>
  <c r="BN30" i="6"/>
  <c r="BP29" i="6"/>
  <c r="BO29" i="6"/>
  <c r="BN29" i="6"/>
  <c r="BP28" i="6"/>
  <c r="BO28" i="6"/>
  <c r="BN28" i="6"/>
  <c r="BP27" i="6"/>
  <c r="BO27" i="6"/>
  <c r="BR27" i="6" s="1"/>
  <c r="BN27" i="6"/>
  <c r="BP26" i="6"/>
  <c r="BO26" i="6"/>
  <c r="BN26" i="6"/>
  <c r="BP25" i="6"/>
  <c r="BO25" i="6"/>
  <c r="BN25" i="6"/>
  <c r="BP24" i="6"/>
  <c r="BR24" i="6" s="1"/>
  <c r="BO24" i="6"/>
  <c r="BN24" i="6"/>
  <c r="BP23" i="6"/>
  <c r="BO23" i="6"/>
  <c r="BN23" i="6"/>
  <c r="BP22" i="6"/>
  <c r="BO22" i="6"/>
  <c r="BN22" i="6"/>
  <c r="BR22" i="6" s="1"/>
  <c r="BP21" i="6"/>
  <c r="BO21" i="6"/>
  <c r="BN21" i="6"/>
  <c r="BP20" i="6"/>
  <c r="BO20" i="6"/>
  <c r="BN20" i="6"/>
  <c r="BP19" i="6"/>
  <c r="BO19" i="6"/>
  <c r="BR19" i="6" s="1"/>
  <c r="BN19" i="6"/>
  <c r="BP18" i="6"/>
  <c r="BO18" i="6"/>
  <c r="BN18" i="6"/>
  <c r="BP17" i="6"/>
  <c r="BO17" i="6"/>
  <c r="BN17" i="6"/>
  <c r="BP16" i="6"/>
  <c r="BO16" i="6"/>
  <c r="BN16" i="6"/>
  <c r="BP15" i="6"/>
  <c r="BO15" i="6"/>
  <c r="BN15" i="6"/>
  <c r="BP14" i="6"/>
  <c r="BO14" i="6"/>
  <c r="BN14" i="6"/>
  <c r="BR14" i="6" s="1"/>
  <c r="BP13" i="6"/>
  <c r="BO13" i="6"/>
  <c r="BN13" i="6"/>
  <c r="BP12" i="6"/>
  <c r="BO12" i="6"/>
  <c r="BN12" i="6"/>
  <c r="BP11" i="6"/>
  <c r="BO11" i="6"/>
  <c r="BR11" i="6" s="1"/>
  <c r="BN11" i="6"/>
  <c r="BP10" i="6"/>
  <c r="BO10" i="6"/>
  <c r="BN10" i="6"/>
  <c r="BP9" i="6"/>
  <c r="BO9" i="6"/>
  <c r="BN9" i="6"/>
  <c r="BO58" i="1"/>
  <c r="BQ58" i="1" s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BO57" i="1"/>
  <c r="BN57" i="1"/>
  <c r="BM57" i="1"/>
  <c r="BQ57" i="1" s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BO54" i="1"/>
  <c r="BQ54" i="1" s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BO53" i="1"/>
  <c r="BN53" i="1"/>
  <c r="BM53" i="1"/>
  <c r="BQ53" i="1" s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BO50" i="1"/>
  <c r="BQ50" i="1" s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BO49" i="1"/>
  <c r="BN49" i="1"/>
  <c r="BM49" i="1"/>
  <c r="BQ49" i="1" s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BO46" i="1"/>
  <c r="BQ46" i="1" s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BO45" i="1"/>
  <c r="BN45" i="1"/>
  <c r="BM45" i="1"/>
  <c r="BQ45" i="1" s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BO42" i="1"/>
  <c r="BQ42" i="1" s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BO41" i="1"/>
  <c r="BN41" i="1"/>
  <c r="BM41" i="1"/>
  <c r="BQ41" i="1" s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BO38" i="1"/>
  <c r="BQ38" i="1" s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BO37" i="1"/>
  <c r="BN37" i="1"/>
  <c r="BM37" i="1"/>
  <c r="BQ37" i="1" s="1"/>
  <c r="BR37" i="1" s="1"/>
  <c r="BS37" i="1" s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BO34" i="1"/>
  <c r="BQ34" i="1" s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BO33" i="1"/>
  <c r="BN33" i="1"/>
  <c r="BM33" i="1"/>
  <c r="BQ33" i="1" s="1"/>
  <c r="BR33" i="1" s="1"/>
  <c r="BS33" i="1" s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BO31" i="1"/>
  <c r="BN31" i="1"/>
  <c r="BM31" i="1"/>
  <c r="BL31" i="1"/>
  <c r="BK31" i="1"/>
  <c r="BJ31" i="1"/>
  <c r="BI31" i="1"/>
  <c r="BH31" i="1"/>
  <c r="BG31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AT31" i="1"/>
  <c r="BO30" i="1"/>
  <c r="BQ30" i="1" s="1"/>
  <c r="BN30" i="1"/>
  <c r="BM30" i="1"/>
  <c r="BL30" i="1"/>
  <c r="BK30" i="1"/>
  <c r="BJ30" i="1"/>
  <c r="BI30" i="1"/>
  <c r="BH30" i="1"/>
  <c r="BG30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BO29" i="1"/>
  <c r="BN29" i="1"/>
  <c r="BM29" i="1"/>
  <c r="BQ29" i="1" s="1"/>
  <c r="BR29" i="1" s="1"/>
  <c r="BS29" i="1" s="1"/>
  <c r="BL29" i="1"/>
  <c r="BK29" i="1"/>
  <c r="BJ29" i="1"/>
  <c r="BI29" i="1"/>
  <c r="BH29" i="1"/>
  <c r="BG29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BO28" i="1"/>
  <c r="BN28" i="1"/>
  <c r="BM28" i="1"/>
  <c r="BL28" i="1"/>
  <c r="BK28" i="1"/>
  <c r="BJ28" i="1"/>
  <c r="BI28" i="1"/>
  <c r="BH28" i="1"/>
  <c r="BG28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BO26" i="1"/>
  <c r="BQ26" i="1" s="1"/>
  <c r="BR26" i="1" s="1"/>
  <c r="BS26" i="1" s="1"/>
  <c r="BN26" i="1"/>
  <c r="BM26" i="1"/>
  <c r="BL26" i="1"/>
  <c r="BK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BO25" i="1"/>
  <c r="BN25" i="1"/>
  <c r="BM25" i="1"/>
  <c r="BQ25" i="1" s="1"/>
  <c r="BL25" i="1"/>
  <c r="BK25" i="1"/>
  <c r="BJ25" i="1"/>
  <c r="BI25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BO22" i="1"/>
  <c r="BQ22" i="1" s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BO21" i="1"/>
  <c r="BN21" i="1"/>
  <c r="BM21" i="1"/>
  <c r="BQ21" i="1" s="1"/>
  <c r="BR21" i="1" s="1"/>
  <c r="BS21" i="1" s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BO18" i="1"/>
  <c r="BQ18" i="1" s="1"/>
  <c r="BR18" i="1" s="1"/>
  <c r="BS18" i="1" s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BO17" i="1"/>
  <c r="BN17" i="1"/>
  <c r="BM17" i="1"/>
  <c r="BQ17" i="1" s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BO14" i="1"/>
  <c r="BQ14" i="1" s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BO13" i="1"/>
  <c r="BN13" i="1"/>
  <c r="BM13" i="1"/>
  <c r="BQ13" i="1" s="1"/>
  <c r="BR13" i="1" s="1"/>
  <c r="BS13" i="1" s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BO10" i="1"/>
  <c r="BQ10" i="1" s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BO9" i="1"/>
  <c r="BN9" i="1"/>
  <c r="BM9" i="1"/>
  <c r="BQ9" i="1" s="1"/>
  <c r="BO7" i="1" s="1"/>
  <c r="BR51" i="1" s="1"/>
  <c r="BS51" i="1" s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B3" i="13" a="1"/>
  <c r="B34" i="13" s="1"/>
  <c r="B3" i="13"/>
  <c r="B49" i="13"/>
  <c r="B50" i="13"/>
  <c r="C3" i="13" a="1"/>
  <c r="C4" i="13" s="1"/>
  <c r="D3" i="13" a="1"/>
  <c r="D32" i="13" s="1"/>
  <c r="B17" i="13"/>
  <c r="B9" i="13"/>
  <c r="B32" i="13"/>
  <c r="B16" i="13"/>
  <c r="B47" i="13"/>
  <c r="B39" i="13"/>
  <c r="B7" i="13"/>
  <c r="B38" i="13"/>
  <c r="B22" i="13"/>
  <c r="B14" i="13"/>
  <c r="B37" i="13"/>
  <c r="B5" i="13"/>
  <c r="B44" i="13"/>
  <c r="B36" i="13"/>
  <c r="B20" i="13"/>
  <c r="B6" i="13"/>
  <c r="B43" i="13"/>
  <c r="B35" i="13"/>
  <c r="B27" i="13"/>
  <c r="D24" i="13"/>
  <c r="D8" i="13"/>
  <c r="C27" i="13"/>
  <c r="D47" i="13"/>
  <c r="D23" i="13"/>
  <c r="D38" i="13"/>
  <c r="D30" i="13"/>
  <c r="D22" i="13"/>
  <c r="D14" i="13"/>
  <c r="C49" i="13"/>
  <c r="C41" i="13"/>
  <c r="D45" i="13"/>
  <c r="D29" i="13"/>
  <c r="D21" i="13"/>
  <c r="D5" i="13"/>
  <c r="C48" i="13"/>
  <c r="D16" i="13"/>
  <c r="D39" i="13"/>
  <c r="D15" i="13"/>
  <c r="C42" i="13"/>
  <c r="D52" i="13"/>
  <c r="D44" i="13"/>
  <c r="D36" i="13"/>
  <c r="D20" i="13"/>
  <c r="D12" i="13"/>
  <c r="D4" i="13"/>
  <c r="C47" i="13"/>
  <c r="C39" i="13"/>
  <c r="C31" i="13"/>
  <c r="D51" i="13"/>
  <c r="D43" i="13"/>
  <c r="D35" i="13"/>
  <c r="D27" i="13"/>
  <c r="D19" i="13"/>
  <c r="D11" i="13"/>
  <c r="D3" i="13"/>
  <c r="C38" i="13"/>
  <c r="C22" i="13"/>
  <c r="C14" i="13"/>
  <c r="C6" i="13"/>
  <c r="C21" i="13"/>
  <c r="C5" i="13"/>
  <c r="D48" i="13"/>
  <c r="C51" i="13"/>
  <c r="D31" i="13"/>
  <c r="C34" i="13"/>
  <c r="C18" i="13"/>
  <c r="D28" i="13"/>
  <c r="D50" i="13"/>
  <c r="D42" i="13"/>
  <c r="D34" i="13"/>
  <c r="D26" i="13"/>
  <c r="D18" i="13"/>
  <c r="D10" i="13"/>
  <c r="D49" i="13"/>
  <c r="D41" i="13"/>
  <c r="D33" i="13"/>
  <c r="D25" i="13"/>
  <c r="D17" i="13"/>
  <c r="D9" i="13"/>
  <c r="C44" i="13"/>
  <c r="E44" i="13" s="1"/>
  <c r="C36" i="13"/>
  <c r="E36" i="13" s="1"/>
  <c r="C28" i="13"/>
  <c r="D9" i="12"/>
  <c r="C9" i="12"/>
  <c r="E9" i="12"/>
  <c r="F9" i="12"/>
  <c r="G9" i="12"/>
  <c r="H9" i="12"/>
  <c r="J9" i="12"/>
  <c r="I9" i="12" s="1"/>
  <c r="K9" i="12"/>
  <c r="L9" i="12"/>
  <c r="M9" i="12"/>
  <c r="N9" i="12"/>
  <c r="A43" i="12"/>
  <c r="A77" i="12" s="1"/>
  <c r="D43" i="12"/>
  <c r="E43" i="12"/>
  <c r="F43" i="12"/>
  <c r="G43" i="12"/>
  <c r="H43" i="12"/>
  <c r="D77" i="12"/>
  <c r="C77" i="12" s="1"/>
  <c r="E77" i="12"/>
  <c r="F77" i="12"/>
  <c r="G77" i="12"/>
  <c r="H77" i="12"/>
  <c r="D145" i="12"/>
  <c r="E145" i="12"/>
  <c r="F145" i="12"/>
  <c r="G145" i="12"/>
  <c r="H145" i="12"/>
  <c r="D179" i="12"/>
  <c r="E179" i="12"/>
  <c r="F179" i="12"/>
  <c r="G179" i="12"/>
  <c r="H179" i="12"/>
  <c r="D213" i="12"/>
  <c r="E213" i="12"/>
  <c r="F213" i="12"/>
  <c r="G213" i="12"/>
  <c r="H213" i="12"/>
  <c r="D247" i="12"/>
  <c r="E247" i="12"/>
  <c r="E281" i="12" s="1"/>
  <c r="F247" i="12"/>
  <c r="F281" i="12" s="1"/>
  <c r="G247" i="12"/>
  <c r="H247" i="12"/>
  <c r="D8" i="11"/>
  <c r="E8" i="11"/>
  <c r="F8" i="11"/>
  <c r="G8" i="11"/>
  <c r="H8" i="11"/>
  <c r="A42" i="11"/>
  <c r="D42" i="11"/>
  <c r="C42" i="11"/>
  <c r="E42" i="11"/>
  <c r="F42" i="11"/>
  <c r="G42" i="11"/>
  <c r="H42" i="11"/>
  <c r="A76" i="11"/>
  <c r="A110" i="11" s="1"/>
  <c r="D76" i="11"/>
  <c r="C76" i="11"/>
  <c r="E76" i="11"/>
  <c r="F76" i="11"/>
  <c r="G76" i="11"/>
  <c r="H76" i="11"/>
  <c r="D110" i="11"/>
  <c r="E110" i="11"/>
  <c r="F110" i="11"/>
  <c r="G110" i="11"/>
  <c r="H110" i="11"/>
  <c r="D144" i="11"/>
  <c r="E144" i="11"/>
  <c r="F144" i="11"/>
  <c r="G144" i="11"/>
  <c r="H144" i="11"/>
  <c r="D178" i="11"/>
  <c r="E178" i="11"/>
  <c r="F178" i="11"/>
  <c r="G178" i="11"/>
  <c r="H178" i="11"/>
  <c r="D212" i="11"/>
  <c r="E212" i="11"/>
  <c r="F212" i="11"/>
  <c r="G212" i="11"/>
  <c r="G280" i="11" s="1"/>
  <c r="H212" i="11"/>
  <c r="D246" i="11"/>
  <c r="D280" i="11" s="1"/>
  <c r="E246" i="11"/>
  <c r="F246" i="11"/>
  <c r="F280" i="11" s="1"/>
  <c r="G246" i="11"/>
  <c r="H246" i="11"/>
  <c r="H280" i="11" s="1"/>
  <c r="D8" i="10"/>
  <c r="C8" i="10" s="1"/>
  <c r="E8" i="10"/>
  <c r="F8" i="10"/>
  <c r="G8" i="10"/>
  <c r="H8" i="10"/>
  <c r="A42" i="10"/>
  <c r="A76" i="10" s="1"/>
  <c r="A110" i="10" s="1"/>
  <c r="D42" i="10"/>
  <c r="E42" i="10"/>
  <c r="F42" i="10"/>
  <c r="G42" i="10"/>
  <c r="H42" i="10"/>
  <c r="D76" i="10"/>
  <c r="E76" i="10"/>
  <c r="F76" i="10"/>
  <c r="G76" i="10"/>
  <c r="H76" i="10"/>
  <c r="D110" i="10"/>
  <c r="C110" i="10" s="1"/>
  <c r="E110" i="10"/>
  <c r="F110" i="10"/>
  <c r="G110" i="10"/>
  <c r="H110" i="10"/>
  <c r="A144" i="10"/>
  <c r="A178" i="10" s="1"/>
  <c r="A212" i="10"/>
  <c r="D144" i="10"/>
  <c r="C144" i="10" s="1"/>
  <c r="E144" i="10"/>
  <c r="F144" i="10"/>
  <c r="G144" i="10"/>
  <c r="H144" i="10"/>
  <c r="D178" i="10"/>
  <c r="C178" i="10" s="1"/>
  <c r="E178" i="10"/>
  <c r="F178" i="10"/>
  <c r="G178" i="10"/>
  <c r="H178" i="10"/>
  <c r="D212" i="10"/>
  <c r="C212" i="10"/>
  <c r="E212" i="10"/>
  <c r="F212" i="10"/>
  <c r="G212" i="10"/>
  <c r="H212" i="10"/>
  <c r="D246" i="10"/>
  <c r="E246" i="10"/>
  <c r="E280" i="10"/>
  <c r="F246" i="10"/>
  <c r="F280" i="10" s="1"/>
  <c r="G246" i="10"/>
  <c r="G280" i="10" s="1"/>
  <c r="H246" i="10"/>
  <c r="D8" i="9"/>
  <c r="E8" i="9"/>
  <c r="F8" i="9"/>
  <c r="G8" i="9"/>
  <c r="H8" i="9"/>
  <c r="A42" i="9"/>
  <c r="D42" i="9"/>
  <c r="E42" i="9"/>
  <c r="F42" i="9"/>
  <c r="G42" i="9"/>
  <c r="H42" i="9"/>
  <c r="A76" i="9"/>
  <c r="D76" i="9"/>
  <c r="C76" i="9" s="1"/>
  <c r="E76" i="9"/>
  <c r="F76" i="9"/>
  <c r="G76" i="9"/>
  <c r="H76" i="9"/>
  <c r="A110" i="9"/>
  <c r="A144" i="9" s="1"/>
  <c r="A178" i="9" s="1"/>
  <c r="A212" i="9" s="1"/>
  <c r="A246" i="9" s="1"/>
  <c r="D110" i="9"/>
  <c r="C110" i="9" s="1"/>
  <c r="E110" i="9"/>
  <c r="F110" i="9"/>
  <c r="G110" i="9"/>
  <c r="H110" i="9"/>
  <c r="D144" i="9"/>
  <c r="E144" i="9"/>
  <c r="F144" i="9"/>
  <c r="G144" i="9"/>
  <c r="H144" i="9"/>
  <c r="D178" i="9"/>
  <c r="E178" i="9"/>
  <c r="F178" i="9"/>
  <c r="G178" i="9"/>
  <c r="H178" i="9"/>
  <c r="D212" i="9"/>
  <c r="C212" i="9" s="1"/>
  <c r="E212" i="9"/>
  <c r="F212" i="9"/>
  <c r="G212" i="9"/>
  <c r="H212" i="9"/>
  <c r="D246" i="9"/>
  <c r="C246" i="9" s="1"/>
  <c r="E246" i="9"/>
  <c r="E280" i="9"/>
  <c r="F246" i="9"/>
  <c r="F280" i="9" s="1"/>
  <c r="G246" i="9"/>
  <c r="H246" i="9"/>
  <c r="F9" i="8"/>
  <c r="D18" i="8"/>
  <c r="F19" i="8"/>
  <c r="F21" i="8" s="1"/>
  <c r="F20" i="8"/>
  <c r="F25" i="8"/>
  <c r="F26" i="8"/>
  <c r="F27" i="8"/>
  <c r="D28" i="8"/>
  <c r="F29" i="8"/>
  <c r="D30" i="8"/>
  <c r="F30" i="8"/>
  <c r="D31" i="8"/>
  <c r="F31" i="8"/>
  <c r="D32" i="8"/>
  <c r="F32" i="8"/>
  <c r="F33" i="8"/>
  <c r="F35" i="8"/>
  <c r="F36" i="8"/>
  <c r="F37" i="8"/>
  <c r="D280" i="9"/>
  <c r="E28" i="13"/>
  <c r="A9" i="6"/>
  <c r="X9" i="6"/>
  <c r="Y9" i="6"/>
  <c r="Z9" i="6"/>
  <c r="AA9" i="6"/>
  <c r="AE9" i="6"/>
  <c r="AF9" i="6"/>
  <c r="AG9" i="6"/>
  <c r="AH9" i="6"/>
  <c r="AJ9" i="6"/>
  <c r="AK9" i="6"/>
  <c r="AR9" i="6"/>
  <c r="A10" i="6"/>
  <c r="X10" i="6"/>
  <c r="Y10" i="6"/>
  <c r="Z10" i="6"/>
  <c r="AA10" i="6"/>
  <c r="AE10" i="6"/>
  <c r="AF10" i="6"/>
  <c r="AG10" i="6"/>
  <c r="AH10" i="6"/>
  <c r="AJ10" i="6"/>
  <c r="AK10" i="6"/>
  <c r="AR10" i="6"/>
  <c r="A11" i="6"/>
  <c r="X11" i="6"/>
  <c r="Y11" i="6"/>
  <c r="AM11" i="6" s="1"/>
  <c r="Z11" i="6"/>
  <c r="AA11" i="6"/>
  <c r="AE11" i="6"/>
  <c r="AF11" i="6"/>
  <c r="AG11" i="6"/>
  <c r="AH11" i="6"/>
  <c r="AJ11" i="6"/>
  <c r="AK11" i="6"/>
  <c r="AR11" i="6"/>
  <c r="A12" i="6"/>
  <c r="Z12" i="6"/>
  <c r="AA12" i="6"/>
  <c r="AE12" i="6"/>
  <c r="AF12" i="6"/>
  <c r="AG12" i="6"/>
  <c r="AH12" i="6"/>
  <c r="AJ12" i="6"/>
  <c r="AK12" i="6"/>
  <c r="AR12" i="6"/>
  <c r="A13" i="6"/>
  <c r="X13" i="6"/>
  <c r="Y13" i="6"/>
  <c r="Z13" i="6"/>
  <c r="AA13" i="6"/>
  <c r="AE13" i="6"/>
  <c r="AF13" i="6"/>
  <c r="AG13" i="6"/>
  <c r="AH13" i="6"/>
  <c r="AJ13" i="6"/>
  <c r="AK13" i="6"/>
  <c r="AR13" i="6"/>
  <c r="AS13" i="6"/>
  <c r="A14" i="6"/>
  <c r="X14" i="6"/>
  <c r="Y14" i="6"/>
  <c r="AM14" i="6" s="1"/>
  <c r="Z14" i="6"/>
  <c r="AA14" i="6"/>
  <c r="AE14" i="6"/>
  <c r="AF14" i="6"/>
  <c r="AG14" i="6"/>
  <c r="AH14" i="6"/>
  <c r="AJ14" i="6"/>
  <c r="AK14" i="6"/>
  <c r="AR14" i="6"/>
  <c r="A15" i="6"/>
  <c r="X15" i="6"/>
  <c r="Y15" i="6"/>
  <c r="Z15" i="6"/>
  <c r="AA15" i="6"/>
  <c r="AE15" i="6"/>
  <c r="AF15" i="6"/>
  <c r="AG15" i="6"/>
  <c r="AH15" i="6"/>
  <c r="AJ15" i="6"/>
  <c r="AK15" i="6"/>
  <c r="AR15" i="6"/>
  <c r="A16" i="6"/>
  <c r="P16" i="6"/>
  <c r="X16" i="6"/>
  <c r="Y16" i="6"/>
  <c r="Z16" i="6"/>
  <c r="AA16" i="6"/>
  <c r="AE16" i="6"/>
  <c r="AF16" i="6"/>
  <c r="AG16" i="6"/>
  <c r="AH16" i="6"/>
  <c r="AJ16" i="6"/>
  <c r="AK16" i="6"/>
  <c r="AR16" i="6"/>
  <c r="A17" i="6"/>
  <c r="X17" i="6"/>
  <c r="Y17" i="6"/>
  <c r="Z17" i="6"/>
  <c r="AA17" i="6"/>
  <c r="AE17" i="6"/>
  <c r="AF17" i="6"/>
  <c r="AG17" i="6"/>
  <c r="AH17" i="6"/>
  <c r="AJ17" i="6"/>
  <c r="AK17" i="6"/>
  <c r="AR17" i="6"/>
  <c r="A18" i="6"/>
  <c r="X18" i="6"/>
  <c r="AM18" i="6" s="1"/>
  <c r="Y18" i="6"/>
  <c r="Z18" i="6"/>
  <c r="AA18" i="6"/>
  <c r="AE18" i="6"/>
  <c r="AF18" i="6"/>
  <c r="AG18" i="6"/>
  <c r="AH18" i="6"/>
  <c r="AJ18" i="6"/>
  <c r="AK18" i="6"/>
  <c r="AR18" i="6"/>
  <c r="A19" i="6"/>
  <c r="X19" i="6"/>
  <c r="Y19" i="6"/>
  <c r="Z19" i="6"/>
  <c r="AA19" i="6"/>
  <c r="AE19" i="6"/>
  <c r="AF19" i="6"/>
  <c r="AG19" i="6"/>
  <c r="AH19" i="6"/>
  <c r="AJ19" i="6"/>
  <c r="AK19" i="6"/>
  <c r="AR19" i="6"/>
  <c r="A20" i="6"/>
  <c r="X20" i="6"/>
  <c r="Z20" i="6"/>
  <c r="AA20" i="6"/>
  <c r="AE20" i="6"/>
  <c r="AF20" i="6"/>
  <c r="AG20" i="6"/>
  <c r="AH20" i="6"/>
  <c r="AJ20" i="6"/>
  <c r="AK20" i="6"/>
  <c r="AR20" i="6"/>
  <c r="A21" i="6"/>
  <c r="X21" i="6"/>
  <c r="Y21" i="6"/>
  <c r="Z21" i="6"/>
  <c r="AA21" i="6"/>
  <c r="AE21" i="6"/>
  <c r="AF21" i="6"/>
  <c r="AG21" i="6"/>
  <c r="AH21" i="6"/>
  <c r="AJ21" i="6"/>
  <c r="AK21" i="6"/>
  <c r="AR21" i="6"/>
  <c r="A22" i="6"/>
  <c r="X22" i="6"/>
  <c r="Y22" i="6"/>
  <c r="Z22" i="6"/>
  <c r="AA22" i="6"/>
  <c r="AE22" i="6"/>
  <c r="AF22" i="6"/>
  <c r="AG22" i="6"/>
  <c r="AH22" i="6"/>
  <c r="AJ22" i="6"/>
  <c r="AK22" i="6"/>
  <c r="AR22" i="6"/>
  <c r="AS22" i="6"/>
  <c r="A23" i="6"/>
  <c r="X23" i="6"/>
  <c r="Y23" i="6"/>
  <c r="Z23" i="6"/>
  <c r="AA23" i="6"/>
  <c r="AE23" i="6"/>
  <c r="AF23" i="6"/>
  <c r="AG23" i="6"/>
  <c r="AH23" i="6"/>
  <c r="AJ23" i="6"/>
  <c r="AK23" i="6"/>
  <c r="AR23" i="6"/>
  <c r="A24" i="6"/>
  <c r="X24" i="6"/>
  <c r="AM24" i="6" s="1"/>
  <c r="Y24" i="6"/>
  <c r="Z24" i="6"/>
  <c r="AA24" i="6"/>
  <c r="AE24" i="6"/>
  <c r="AF24" i="6"/>
  <c r="AG24" i="6"/>
  <c r="AH24" i="6"/>
  <c r="AJ24" i="6"/>
  <c r="AK24" i="6"/>
  <c r="AR24" i="6"/>
  <c r="A25" i="6"/>
  <c r="X25" i="6"/>
  <c r="Y25" i="6"/>
  <c r="Z25" i="6"/>
  <c r="AA25" i="6"/>
  <c r="AE25" i="6"/>
  <c r="AF25" i="6"/>
  <c r="AG25" i="6"/>
  <c r="AH25" i="6"/>
  <c r="AJ25" i="6"/>
  <c r="AK25" i="6"/>
  <c r="AR25" i="6"/>
  <c r="A26" i="6"/>
  <c r="X26" i="6"/>
  <c r="AM26" i="6" s="1"/>
  <c r="Y26" i="6"/>
  <c r="Z26" i="6"/>
  <c r="AA26" i="6"/>
  <c r="AE26" i="6"/>
  <c r="AF26" i="6"/>
  <c r="AG26" i="6"/>
  <c r="AH26" i="6"/>
  <c r="AJ26" i="6"/>
  <c r="AK26" i="6"/>
  <c r="AR26" i="6"/>
  <c r="A27" i="6"/>
  <c r="X27" i="6"/>
  <c r="Y27" i="6"/>
  <c r="Z27" i="6"/>
  <c r="AA27" i="6"/>
  <c r="AE27" i="6"/>
  <c r="AF27" i="6"/>
  <c r="AG27" i="6"/>
  <c r="AH27" i="6"/>
  <c r="AJ27" i="6"/>
  <c r="AK27" i="6"/>
  <c r="AR27" i="6"/>
  <c r="A28" i="6"/>
  <c r="X28" i="6"/>
  <c r="AM28" i="6" s="1"/>
  <c r="Y28" i="6"/>
  <c r="Z28" i="6"/>
  <c r="AA28" i="6"/>
  <c r="AE28" i="6"/>
  <c r="AF28" i="6"/>
  <c r="AG28" i="6"/>
  <c r="AH28" i="6"/>
  <c r="AJ28" i="6"/>
  <c r="AK28" i="6"/>
  <c r="AR28" i="6"/>
  <c r="A29" i="6"/>
  <c r="X29" i="6"/>
  <c r="Y29" i="6"/>
  <c r="Z29" i="6"/>
  <c r="AA29" i="6"/>
  <c r="AE29" i="6"/>
  <c r="AF29" i="6"/>
  <c r="AG29" i="6"/>
  <c r="AH29" i="6"/>
  <c r="AJ29" i="6"/>
  <c r="AK29" i="6"/>
  <c r="AR29" i="6"/>
  <c r="A30" i="6"/>
  <c r="X30" i="6"/>
  <c r="AM30" i="6" s="1"/>
  <c r="Y30" i="6"/>
  <c r="Z30" i="6"/>
  <c r="AA30" i="6"/>
  <c r="AE30" i="6"/>
  <c r="AF30" i="6"/>
  <c r="AG30" i="6"/>
  <c r="AH30" i="6"/>
  <c r="AJ30" i="6"/>
  <c r="AK30" i="6"/>
  <c r="AR30" i="6"/>
  <c r="A31" i="6"/>
  <c r="X31" i="6"/>
  <c r="Y31" i="6"/>
  <c r="Z31" i="6"/>
  <c r="AA31" i="6"/>
  <c r="AE31" i="6"/>
  <c r="AF31" i="6"/>
  <c r="AG31" i="6"/>
  <c r="AH31" i="6"/>
  <c r="AJ31" i="6"/>
  <c r="AK31" i="6"/>
  <c r="AR31" i="6"/>
  <c r="A32" i="6"/>
  <c r="X32" i="6"/>
  <c r="AM32" i="6" s="1"/>
  <c r="Y32" i="6"/>
  <c r="Z32" i="6"/>
  <c r="AA32" i="6"/>
  <c r="AE32" i="6"/>
  <c r="AF32" i="6"/>
  <c r="AG32" i="6"/>
  <c r="AH32" i="6"/>
  <c r="AJ32" i="6"/>
  <c r="AK32" i="6"/>
  <c r="AR32" i="6"/>
  <c r="A33" i="6"/>
  <c r="X33" i="6"/>
  <c r="Y33" i="6"/>
  <c r="Z33" i="6"/>
  <c r="AA33" i="6"/>
  <c r="AE33" i="6"/>
  <c r="AF33" i="6"/>
  <c r="AG33" i="6"/>
  <c r="AH33" i="6"/>
  <c r="AJ33" i="6"/>
  <c r="AK33" i="6"/>
  <c r="AR33" i="6"/>
  <c r="A34" i="6"/>
  <c r="Z34" i="6"/>
  <c r="AA34" i="6"/>
  <c r="AE34" i="6"/>
  <c r="AF34" i="6"/>
  <c r="AG34" i="6"/>
  <c r="AH34" i="6"/>
  <c r="AJ34" i="6"/>
  <c r="AK34" i="6"/>
  <c r="AR34" i="6"/>
  <c r="A35" i="6"/>
  <c r="X35" i="6"/>
  <c r="AM35" i="6" s="1"/>
  <c r="Y35" i="6"/>
  <c r="Z35" i="6"/>
  <c r="AA35" i="6"/>
  <c r="AE35" i="6"/>
  <c r="AF35" i="6"/>
  <c r="AG35" i="6"/>
  <c r="AH35" i="6"/>
  <c r="AJ35" i="6"/>
  <c r="AK35" i="6"/>
  <c r="AR35" i="6"/>
  <c r="A36" i="6"/>
  <c r="Y36" i="6"/>
  <c r="Z36" i="6"/>
  <c r="AA36" i="6"/>
  <c r="AE36" i="6"/>
  <c r="AF36" i="6"/>
  <c r="AG36" i="6"/>
  <c r="AH36" i="6"/>
  <c r="AJ36" i="6"/>
  <c r="AK36" i="6"/>
  <c r="AR36" i="6"/>
  <c r="A37" i="6"/>
  <c r="X37" i="6"/>
  <c r="Z37" i="6"/>
  <c r="AA37" i="6"/>
  <c r="AE37" i="6"/>
  <c r="AF37" i="6"/>
  <c r="AG37" i="6"/>
  <c r="AH37" i="6"/>
  <c r="AJ37" i="6"/>
  <c r="AK37" i="6"/>
  <c r="AR37" i="6"/>
  <c r="A38" i="6"/>
  <c r="X38" i="6"/>
  <c r="Y38" i="6"/>
  <c r="Z38" i="6"/>
  <c r="AA38" i="6"/>
  <c r="AE38" i="6"/>
  <c r="AF38" i="6"/>
  <c r="AG38" i="6"/>
  <c r="AH38" i="6"/>
  <c r="AJ38" i="6"/>
  <c r="AK38" i="6"/>
  <c r="AR38" i="6"/>
  <c r="A39" i="6"/>
  <c r="X39" i="6"/>
  <c r="AM39" i="6" s="1"/>
  <c r="Y39" i="6"/>
  <c r="Z39" i="6"/>
  <c r="AA39" i="6"/>
  <c r="AE39" i="6"/>
  <c r="AF39" i="6"/>
  <c r="AG39" i="6"/>
  <c r="AH39" i="6"/>
  <c r="AJ39" i="6"/>
  <c r="AK39" i="6"/>
  <c r="AR39" i="6"/>
  <c r="A40" i="6"/>
  <c r="X40" i="6"/>
  <c r="Y40" i="6"/>
  <c r="Z40" i="6"/>
  <c r="AA40" i="6"/>
  <c r="AE40" i="6"/>
  <c r="AF40" i="6"/>
  <c r="AG40" i="6"/>
  <c r="AH40" i="6"/>
  <c r="AJ40" i="6"/>
  <c r="AK40" i="6"/>
  <c r="AR40" i="6"/>
  <c r="A41" i="6"/>
  <c r="Z41" i="6"/>
  <c r="AA41" i="6"/>
  <c r="AE41" i="6"/>
  <c r="AF41" i="6"/>
  <c r="AG41" i="6"/>
  <c r="AH41" i="6"/>
  <c r="AJ41" i="6"/>
  <c r="AK41" i="6"/>
  <c r="AR41" i="6"/>
  <c r="A42" i="6"/>
  <c r="X42" i="6"/>
  <c r="Y42" i="6"/>
  <c r="Z42" i="6"/>
  <c r="AA42" i="6"/>
  <c r="AE42" i="6"/>
  <c r="AF42" i="6"/>
  <c r="AG42" i="6"/>
  <c r="AH42" i="6"/>
  <c r="AJ42" i="6"/>
  <c r="AK42" i="6"/>
  <c r="AR42" i="6"/>
  <c r="A43" i="6"/>
  <c r="X43" i="6"/>
  <c r="AM43" i="6" s="1"/>
  <c r="Y43" i="6"/>
  <c r="Z43" i="6"/>
  <c r="AA43" i="6"/>
  <c r="AE43" i="6"/>
  <c r="AF43" i="6"/>
  <c r="AG43" i="6"/>
  <c r="AH43" i="6"/>
  <c r="AJ43" i="6"/>
  <c r="AK43" i="6"/>
  <c r="AR43" i="6"/>
  <c r="A44" i="6"/>
  <c r="X44" i="6"/>
  <c r="Y44" i="6"/>
  <c r="Z44" i="6"/>
  <c r="AA44" i="6"/>
  <c r="AE44" i="6"/>
  <c r="AF44" i="6"/>
  <c r="AG44" i="6"/>
  <c r="AH44" i="6"/>
  <c r="AJ44" i="6"/>
  <c r="AK44" i="6"/>
  <c r="AR44" i="6"/>
  <c r="A45" i="6"/>
  <c r="X45" i="6"/>
  <c r="Y45" i="6"/>
  <c r="Z45" i="6"/>
  <c r="AA45" i="6"/>
  <c r="AE45" i="6"/>
  <c r="AF45" i="6"/>
  <c r="AG45" i="6"/>
  <c r="AH45" i="6"/>
  <c r="AJ45" i="6"/>
  <c r="AK45" i="6"/>
  <c r="AR45" i="6"/>
  <c r="A46" i="6"/>
  <c r="X46" i="6"/>
  <c r="Y46" i="6"/>
  <c r="Z46" i="6"/>
  <c r="AA46" i="6"/>
  <c r="AE46" i="6"/>
  <c r="AF46" i="6"/>
  <c r="AG46" i="6"/>
  <c r="AH46" i="6"/>
  <c r="AJ46" i="6"/>
  <c r="AK46" i="6"/>
  <c r="AR46" i="6"/>
  <c r="A47" i="6"/>
  <c r="X47" i="6"/>
  <c r="Y47" i="6"/>
  <c r="Z47" i="6"/>
  <c r="AA47" i="6"/>
  <c r="AE47" i="6"/>
  <c r="AF47" i="6"/>
  <c r="AG47" i="6"/>
  <c r="AH47" i="6"/>
  <c r="AJ47" i="6"/>
  <c r="AK47" i="6"/>
  <c r="AR47" i="6"/>
  <c r="A48" i="6"/>
  <c r="X48" i="6"/>
  <c r="Y48" i="6"/>
  <c r="AA48" i="6"/>
  <c r="AE48" i="6"/>
  <c r="AF48" i="6"/>
  <c r="AG48" i="6"/>
  <c r="AH48" i="6"/>
  <c r="AJ48" i="6"/>
  <c r="AK48" i="6"/>
  <c r="AR48" i="6"/>
  <c r="A49" i="6"/>
  <c r="X49" i="6"/>
  <c r="Y49" i="6"/>
  <c r="Z49" i="6"/>
  <c r="AA49" i="6"/>
  <c r="AE49" i="6"/>
  <c r="AF49" i="6"/>
  <c r="AG49" i="6"/>
  <c r="AH49" i="6"/>
  <c r="AJ49" i="6"/>
  <c r="AK49" i="6"/>
  <c r="AR49" i="6"/>
  <c r="A50" i="6"/>
  <c r="AA50" i="6"/>
  <c r="AE50" i="6"/>
  <c r="AF50" i="6"/>
  <c r="AG50" i="6"/>
  <c r="AH50" i="6"/>
  <c r="AJ50" i="6"/>
  <c r="AK50" i="6"/>
  <c r="AR50" i="6"/>
  <c r="A51" i="6"/>
  <c r="X51" i="6"/>
  <c r="Y51" i="6"/>
  <c r="Z51" i="6"/>
  <c r="AA51" i="6"/>
  <c r="AE51" i="6"/>
  <c r="AF51" i="6"/>
  <c r="AG51" i="6"/>
  <c r="AH51" i="6"/>
  <c r="AJ51" i="6"/>
  <c r="AK51" i="6"/>
  <c r="AR51" i="6"/>
  <c r="A52" i="6"/>
  <c r="X52" i="6"/>
  <c r="Y52" i="6"/>
  <c r="Z52" i="6"/>
  <c r="AA52" i="6"/>
  <c r="AE52" i="6"/>
  <c r="AF52" i="6"/>
  <c r="AG52" i="6"/>
  <c r="AH52" i="6"/>
  <c r="AJ52" i="6"/>
  <c r="AK52" i="6"/>
  <c r="AR52" i="6"/>
  <c r="A53" i="6"/>
  <c r="X53" i="6"/>
  <c r="Y53" i="6"/>
  <c r="Z53" i="6"/>
  <c r="AA53" i="6"/>
  <c r="AE53" i="6"/>
  <c r="AF53" i="6"/>
  <c r="AG53" i="6"/>
  <c r="AH53" i="6"/>
  <c r="AJ53" i="6"/>
  <c r="AK53" i="6"/>
  <c r="AR53" i="6"/>
  <c r="A54" i="6"/>
  <c r="X54" i="6"/>
  <c r="AM54" i="6" s="1"/>
  <c r="Y54" i="6"/>
  <c r="Z54" i="6"/>
  <c r="AA54" i="6"/>
  <c r="AE54" i="6"/>
  <c r="AF54" i="6"/>
  <c r="AG54" i="6"/>
  <c r="AH54" i="6"/>
  <c r="AJ54" i="6"/>
  <c r="AK54" i="6"/>
  <c r="AR54" i="6"/>
  <c r="A55" i="6"/>
  <c r="X55" i="6"/>
  <c r="Y55" i="6"/>
  <c r="Z55" i="6"/>
  <c r="AA55" i="6"/>
  <c r="AE55" i="6"/>
  <c r="AF55" i="6"/>
  <c r="AG55" i="6"/>
  <c r="AH55" i="6"/>
  <c r="AJ55" i="6"/>
  <c r="AK55" i="6"/>
  <c r="AR55" i="6"/>
  <c r="A56" i="6"/>
  <c r="X56" i="6"/>
  <c r="AM56" i="6" s="1"/>
  <c r="Y56" i="6"/>
  <c r="Z56" i="6"/>
  <c r="AA56" i="6"/>
  <c r="AE56" i="6"/>
  <c r="AF56" i="6"/>
  <c r="AG56" i="6"/>
  <c r="AH56" i="6"/>
  <c r="AJ56" i="6"/>
  <c r="AK56" i="6"/>
  <c r="AR56" i="6"/>
  <c r="A57" i="6"/>
  <c r="X57" i="6"/>
  <c r="Y57" i="6"/>
  <c r="Z57" i="6"/>
  <c r="AA57" i="6"/>
  <c r="AE57" i="6"/>
  <c r="AF57" i="6"/>
  <c r="AG57" i="6"/>
  <c r="AH57" i="6"/>
  <c r="AJ57" i="6"/>
  <c r="AK57" i="6"/>
  <c r="AR57" i="6"/>
  <c r="A58" i="6"/>
  <c r="X58" i="6"/>
  <c r="AM58" i="6" s="1"/>
  <c r="Y58" i="6"/>
  <c r="Z58" i="6"/>
  <c r="AA58" i="6"/>
  <c r="AE58" i="6"/>
  <c r="AF58" i="6"/>
  <c r="AG58" i="6"/>
  <c r="AH58" i="6"/>
  <c r="AJ58" i="6"/>
  <c r="AK58" i="6"/>
  <c r="AR58" i="6"/>
  <c r="A9" i="5"/>
  <c r="X9" i="5"/>
  <c r="Y9" i="5"/>
  <c r="Z9" i="5"/>
  <c r="AA9" i="5"/>
  <c r="AE9" i="5"/>
  <c r="AF9" i="5"/>
  <c r="AG9" i="5"/>
  <c r="AH9" i="5"/>
  <c r="AJ9" i="5"/>
  <c r="AK9" i="5"/>
  <c r="AR9" i="5"/>
  <c r="A10" i="5"/>
  <c r="X10" i="5"/>
  <c r="AM10" i="5" s="1"/>
  <c r="Y10" i="5"/>
  <c r="Z10" i="5"/>
  <c r="AA10" i="5"/>
  <c r="AE10" i="5"/>
  <c r="AF10" i="5"/>
  <c r="AG10" i="5"/>
  <c r="AH10" i="5"/>
  <c r="AJ10" i="5"/>
  <c r="AK10" i="5"/>
  <c r="AR10" i="5"/>
  <c r="A11" i="5"/>
  <c r="X11" i="5"/>
  <c r="Y11" i="5"/>
  <c r="Z11" i="5"/>
  <c r="AA11" i="5"/>
  <c r="AE11" i="5"/>
  <c r="AF11" i="5"/>
  <c r="AG11" i="5"/>
  <c r="AH11" i="5"/>
  <c r="AJ11" i="5"/>
  <c r="AK11" i="5"/>
  <c r="AR11" i="5"/>
  <c r="A12" i="5"/>
  <c r="X12" i="5"/>
  <c r="Z12" i="5"/>
  <c r="AA12" i="5"/>
  <c r="AE12" i="5"/>
  <c r="AF12" i="5"/>
  <c r="AG12" i="5"/>
  <c r="AH12" i="5"/>
  <c r="AJ12" i="5"/>
  <c r="AK12" i="5"/>
  <c r="AR12" i="5"/>
  <c r="A13" i="5"/>
  <c r="X13" i="5"/>
  <c r="Y13" i="5"/>
  <c r="Z13" i="5"/>
  <c r="AA13" i="5"/>
  <c r="AE13" i="5"/>
  <c r="AF13" i="5"/>
  <c r="AG13" i="5"/>
  <c r="AH13" i="5"/>
  <c r="AJ13" i="5"/>
  <c r="AK13" i="5"/>
  <c r="AR13" i="5"/>
  <c r="AS13" i="5"/>
  <c r="A14" i="5"/>
  <c r="X14" i="5"/>
  <c r="AM14" i="5" s="1"/>
  <c r="Y14" i="5"/>
  <c r="Z14" i="5"/>
  <c r="AA14" i="5"/>
  <c r="AE14" i="5"/>
  <c r="AF14" i="5"/>
  <c r="AG14" i="5"/>
  <c r="AH14" i="5"/>
  <c r="AJ14" i="5"/>
  <c r="AK14" i="5"/>
  <c r="AR14" i="5"/>
  <c r="A15" i="5"/>
  <c r="X15" i="5"/>
  <c r="Y15" i="5"/>
  <c r="Z15" i="5"/>
  <c r="AA15" i="5"/>
  <c r="AE15" i="5"/>
  <c r="AF15" i="5"/>
  <c r="AG15" i="5"/>
  <c r="AH15" i="5"/>
  <c r="AJ15" i="5"/>
  <c r="AK15" i="5"/>
  <c r="AR15" i="5"/>
  <c r="A16" i="5"/>
  <c r="P16" i="5"/>
  <c r="X16" i="5"/>
  <c r="Z16" i="5"/>
  <c r="AA16" i="5"/>
  <c r="AE16" i="5"/>
  <c r="AF16" i="5"/>
  <c r="AG16" i="5"/>
  <c r="AH16" i="5"/>
  <c r="AJ16" i="5"/>
  <c r="AK16" i="5"/>
  <c r="AR16" i="5"/>
  <c r="A17" i="5"/>
  <c r="Z17" i="5"/>
  <c r="AA17" i="5"/>
  <c r="AE17" i="5"/>
  <c r="AF17" i="5"/>
  <c r="AG17" i="5"/>
  <c r="AH17" i="5"/>
  <c r="AJ17" i="5"/>
  <c r="AK17" i="5"/>
  <c r="AR17" i="5"/>
  <c r="A18" i="5"/>
  <c r="X18" i="5"/>
  <c r="AM18" i="5" s="1"/>
  <c r="Y18" i="5"/>
  <c r="Z18" i="5"/>
  <c r="AA18" i="5"/>
  <c r="AE18" i="5"/>
  <c r="AF18" i="5"/>
  <c r="AG18" i="5"/>
  <c r="AH18" i="5"/>
  <c r="AJ18" i="5"/>
  <c r="AK18" i="5"/>
  <c r="AR18" i="5"/>
  <c r="A19" i="5"/>
  <c r="X19" i="5"/>
  <c r="Y19" i="5"/>
  <c r="Z19" i="5"/>
  <c r="AA19" i="5"/>
  <c r="AE19" i="5"/>
  <c r="AF19" i="5"/>
  <c r="AG19" i="5"/>
  <c r="AH19" i="5"/>
  <c r="AJ19" i="5"/>
  <c r="AK19" i="5"/>
  <c r="AR19" i="5"/>
  <c r="A20" i="5"/>
  <c r="X20" i="5"/>
  <c r="AM20" i="5" s="1"/>
  <c r="Y20" i="5"/>
  <c r="Z20" i="5"/>
  <c r="AA20" i="5"/>
  <c r="AE20" i="5"/>
  <c r="AF20" i="5"/>
  <c r="AG20" i="5"/>
  <c r="AH20" i="5"/>
  <c r="AJ20" i="5"/>
  <c r="AK20" i="5"/>
  <c r="AR20" i="5"/>
  <c r="A21" i="5"/>
  <c r="X21" i="5"/>
  <c r="Y21" i="5"/>
  <c r="Z21" i="5"/>
  <c r="AA21" i="5"/>
  <c r="AE21" i="5"/>
  <c r="AF21" i="5"/>
  <c r="AG21" i="5"/>
  <c r="AH21" i="5"/>
  <c r="AJ21" i="5"/>
  <c r="AK21" i="5"/>
  <c r="AR21" i="5"/>
  <c r="A22" i="5"/>
  <c r="X22" i="5"/>
  <c r="Y22" i="5"/>
  <c r="Z22" i="5"/>
  <c r="AA22" i="5"/>
  <c r="AE22" i="5"/>
  <c r="AF22" i="5"/>
  <c r="AG22" i="5"/>
  <c r="AH22" i="5"/>
  <c r="AJ22" i="5"/>
  <c r="AK22" i="5"/>
  <c r="AR22" i="5"/>
  <c r="AS22" i="5"/>
  <c r="A23" i="5"/>
  <c r="X23" i="5"/>
  <c r="Y23" i="5"/>
  <c r="Z23" i="5"/>
  <c r="AA23" i="5"/>
  <c r="AE23" i="5"/>
  <c r="AF23" i="5"/>
  <c r="AG23" i="5"/>
  <c r="AH23" i="5"/>
  <c r="AJ23" i="5"/>
  <c r="AK23" i="5"/>
  <c r="AR23" i="5"/>
  <c r="A24" i="5"/>
  <c r="X24" i="5"/>
  <c r="Y24" i="5"/>
  <c r="Z24" i="5"/>
  <c r="AA24" i="5"/>
  <c r="AE24" i="5"/>
  <c r="AF24" i="5"/>
  <c r="AG24" i="5"/>
  <c r="AH24" i="5"/>
  <c r="AJ24" i="5"/>
  <c r="AK24" i="5"/>
  <c r="AR24" i="5"/>
  <c r="A25" i="5"/>
  <c r="X25" i="5"/>
  <c r="Y25" i="5"/>
  <c r="Z25" i="5"/>
  <c r="AA25" i="5"/>
  <c r="AE25" i="5"/>
  <c r="AF25" i="5"/>
  <c r="AG25" i="5"/>
  <c r="AH25" i="5"/>
  <c r="AJ25" i="5"/>
  <c r="AK25" i="5"/>
  <c r="AR25" i="5"/>
  <c r="A26" i="5"/>
  <c r="X26" i="5"/>
  <c r="Y26" i="5"/>
  <c r="Z26" i="5"/>
  <c r="AA26" i="5"/>
  <c r="AE26" i="5"/>
  <c r="AF26" i="5"/>
  <c r="AG26" i="5"/>
  <c r="AH26" i="5"/>
  <c r="AJ26" i="5"/>
  <c r="AK26" i="5"/>
  <c r="AR26" i="5"/>
  <c r="A27" i="5"/>
  <c r="X27" i="5"/>
  <c r="Y27" i="5"/>
  <c r="Z27" i="5"/>
  <c r="AA27" i="5"/>
  <c r="AE27" i="5"/>
  <c r="AF27" i="5"/>
  <c r="AG27" i="5"/>
  <c r="AH27" i="5"/>
  <c r="AJ27" i="5"/>
  <c r="AK27" i="5"/>
  <c r="AR27" i="5"/>
  <c r="A28" i="5"/>
  <c r="X28" i="5"/>
  <c r="Y28" i="5"/>
  <c r="Z28" i="5"/>
  <c r="AA28" i="5"/>
  <c r="AE28" i="5"/>
  <c r="AF28" i="5"/>
  <c r="AG28" i="5"/>
  <c r="AH28" i="5"/>
  <c r="AJ28" i="5"/>
  <c r="AK28" i="5"/>
  <c r="AR28" i="5"/>
  <c r="A29" i="5"/>
  <c r="X29" i="5"/>
  <c r="Y29" i="5"/>
  <c r="Z29" i="5"/>
  <c r="AA29" i="5"/>
  <c r="AE29" i="5"/>
  <c r="AF29" i="5"/>
  <c r="AG29" i="5"/>
  <c r="AH29" i="5"/>
  <c r="AJ29" i="5"/>
  <c r="AK29" i="5"/>
  <c r="AR29" i="5"/>
  <c r="A30" i="5"/>
  <c r="X30" i="5"/>
  <c r="Y30" i="5"/>
  <c r="Z30" i="5"/>
  <c r="AA30" i="5"/>
  <c r="AE30" i="5"/>
  <c r="AF30" i="5"/>
  <c r="AG30" i="5"/>
  <c r="AH30" i="5"/>
  <c r="AJ30" i="5"/>
  <c r="AK30" i="5"/>
  <c r="AR30" i="5"/>
  <c r="A31" i="5"/>
  <c r="X31" i="5"/>
  <c r="Y31" i="5"/>
  <c r="Z31" i="5"/>
  <c r="AA31" i="5"/>
  <c r="AE31" i="5"/>
  <c r="AF31" i="5"/>
  <c r="AG31" i="5"/>
  <c r="AH31" i="5"/>
  <c r="AJ31" i="5"/>
  <c r="AK31" i="5"/>
  <c r="AR31" i="5"/>
  <c r="A32" i="5"/>
  <c r="X32" i="5"/>
  <c r="Y32" i="5"/>
  <c r="Z32" i="5"/>
  <c r="AA32" i="5"/>
  <c r="AE32" i="5"/>
  <c r="AF32" i="5"/>
  <c r="AG32" i="5"/>
  <c r="AH32" i="5"/>
  <c r="AJ32" i="5"/>
  <c r="AK32" i="5"/>
  <c r="AR32" i="5"/>
  <c r="A33" i="5"/>
  <c r="X33" i="5"/>
  <c r="Y33" i="5"/>
  <c r="Z33" i="5"/>
  <c r="AA33" i="5"/>
  <c r="AE33" i="5"/>
  <c r="AF33" i="5"/>
  <c r="AG33" i="5"/>
  <c r="AH33" i="5"/>
  <c r="AJ33" i="5"/>
  <c r="AK33" i="5"/>
  <c r="AR33" i="5"/>
  <c r="A34" i="5"/>
  <c r="Z34" i="5"/>
  <c r="AA34" i="5"/>
  <c r="AE34" i="5"/>
  <c r="AF34" i="5"/>
  <c r="AG34" i="5"/>
  <c r="AH34" i="5"/>
  <c r="AJ34" i="5"/>
  <c r="AK34" i="5"/>
  <c r="AR34" i="5"/>
  <c r="A35" i="5"/>
  <c r="X35" i="5"/>
  <c r="Y35" i="5"/>
  <c r="Z35" i="5"/>
  <c r="AA35" i="5"/>
  <c r="AE35" i="5"/>
  <c r="AF35" i="5"/>
  <c r="AG35" i="5"/>
  <c r="AH35" i="5"/>
  <c r="AJ35" i="5"/>
  <c r="AK35" i="5"/>
  <c r="AR35" i="5"/>
  <c r="A36" i="5"/>
  <c r="X36" i="5"/>
  <c r="Y36" i="5"/>
  <c r="Z36" i="5"/>
  <c r="AA36" i="5"/>
  <c r="AE36" i="5"/>
  <c r="AF36" i="5"/>
  <c r="AG36" i="5"/>
  <c r="AH36" i="5"/>
  <c r="AJ36" i="5"/>
  <c r="AK36" i="5"/>
  <c r="AR36" i="5"/>
  <c r="A37" i="5"/>
  <c r="Y37" i="5"/>
  <c r="Z37" i="5"/>
  <c r="AA37" i="5"/>
  <c r="AE37" i="5"/>
  <c r="AF37" i="5"/>
  <c r="AG37" i="5"/>
  <c r="AH37" i="5"/>
  <c r="AJ37" i="5"/>
  <c r="AK37" i="5"/>
  <c r="AR37" i="5"/>
  <c r="A38" i="5"/>
  <c r="X38" i="5"/>
  <c r="Y38" i="5"/>
  <c r="Z38" i="5"/>
  <c r="AA38" i="5"/>
  <c r="AE38" i="5"/>
  <c r="AF38" i="5"/>
  <c r="AG38" i="5"/>
  <c r="AH38" i="5"/>
  <c r="AJ38" i="5"/>
  <c r="AK38" i="5"/>
  <c r="AR38" i="5"/>
  <c r="A39" i="5"/>
  <c r="X39" i="5"/>
  <c r="AM39" i="5" s="1"/>
  <c r="Y39" i="5"/>
  <c r="Z39" i="5"/>
  <c r="AA39" i="5"/>
  <c r="AE39" i="5"/>
  <c r="AF39" i="5"/>
  <c r="AG39" i="5"/>
  <c r="AH39" i="5"/>
  <c r="AJ39" i="5"/>
  <c r="AK39" i="5"/>
  <c r="AR39" i="5"/>
  <c r="A40" i="5"/>
  <c r="X40" i="5"/>
  <c r="Y40" i="5"/>
  <c r="Z40" i="5"/>
  <c r="AA40" i="5"/>
  <c r="AE40" i="5"/>
  <c r="AF40" i="5"/>
  <c r="AG40" i="5"/>
  <c r="AH40" i="5"/>
  <c r="AJ40" i="5"/>
  <c r="AK40" i="5"/>
  <c r="AR40" i="5"/>
  <c r="A41" i="5"/>
  <c r="Z41" i="5"/>
  <c r="AA41" i="5"/>
  <c r="AE41" i="5"/>
  <c r="AF41" i="5"/>
  <c r="AG41" i="5"/>
  <c r="AH41" i="5"/>
  <c r="AJ41" i="5"/>
  <c r="AK41" i="5"/>
  <c r="AR41" i="5"/>
  <c r="A42" i="5"/>
  <c r="X42" i="5"/>
  <c r="Y42" i="5"/>
  <c r="Z42" i="5"/>
  <c r="AA42" i="5"/>
  <c r="AE42" i="5"/>
  <c r="AF42" i="5"/>
  <c r="AG42" i="5"/>
  <c r="AH42" i="5"/>
  <c r="AJ42" i="5"/>
  <c r="AK42" i="5"/>
  <c r="AR42" i="5"/>
  <c r="A43" i="5"/>
  <c r="Y43" i="5"/>
  <c r="Z43" i="5"/>
  <c r="AA43" i="5"/>
  <c r="AE43" i="5"/>
  <c r="AF43" i="5"/>
  <c r="AG43" i="5"/>
  <c r="AH43" i="5"/>
  <c r="AJ43" i="5"/>
  <c r="AK43" i="5"/>
  <c r="AR43" i="5"/>
  <c r="A44" i="5"/>
  <c r="X44" i="5"/>
  <c r="Y44" i="5"/>
  <c r="Z44" i="5"/>
  <c r="AA44" i="5"/>
  <c r="AE44" i="5"/>
  <c r="AF44" i="5"/>
  <c r="AG44" i="5"/>
  <c r="AH44" i="5"/>
  <c r="AJ44" i="5"/>
  <c r="AK44" i="5"/>
  <c r="AR44" i="5"/>
  <c r="A45" i="5"/>
  <c r="X45" i="5"/>
  <c r="Y45" i="5"/>
  <c r="Z45" i="5"/>
  <c r="AA45" i="5"/>
  <c r="AE45" i="5"/>
  <c r="AF45" i="5"/>
  <c r="AG45" i="5"/>
  <c r="AH45" i="5"/>
  <c r="AJ45" i="5"/>
  <c r="AK45" i="5"/>
  <c r="AR45" i="5"/>
  <c r="A46" i="5"/>
  <c r="Y46" i="5"/>
  <c r="Z46" i="5"/>
  <c r="AA46" i="5"/>
  <c r="AE46" i="5"/>
  <c r="AF46" i="5"/>
  <c r="AG46" i="5"/>
  <c r="AH46" i="5"/>
  <c r="AJ46" i="5"/>
  <c r="AK46" i="5"/>
  <c r="AR46" i="5"/>
  <c r="A47" i="5"/>
  <c r="X47" i="5"/>
  <c r="Y47" i="5"/>
  <c r="Z47" i="5"/>
  <c r="AA47" i="5"/>
  <c r="AE47" i="5"/>
  <c r="AF47" i="5"/>
  <c r="AG47" i="5"/>
  <c r="AH47" i="5"/>
  <c r="AJ47" i="5"/>
  <c r="AK47" i="5"/>
  <c r="AR47" i="5"/>
  <c r="A48" i="5"/>
  <c r="X48" i="5"/>
  <c r="Y48" i="5"/>
  <c r="AA48" i="5"/>
  <c r="AE48" i="5"/>
  <c r="AF48" i="5"/>
  <c r="AG48" i="5"/>
  <c r="AH48" i="5"/>
  <c r="AJ48" i="5"/>
  <c r="AK48" i="5"/>
  <c r="AR48" i="5"/>
  <c r="A49" i="5"/>
  <c r="X49" i="5"/>
  <c r="Y49" i="5"/>
  <c r="Z49" i="5"/>
  <c r="AA49" i="5"/>
  <c r="AE49" i="5"/>
  <c r="AF49" i="5"/>
  <c r="AG49" i="5"/>
  <c r="AH49" i="5"/>
  <c r="AJ49" i="5"/>
  <c r="AK49" i="5"/>
  <c r="AR49" i="5"/>
  <c r="A50" i="5"/>
  <c r="AA50" i="5"/>
  <c r="AE50" i="5"/>
  <c r="AF50" i="5"/>
  <c r="AG50" i="5"/>
  <c r="AH50" i="5"/>
  <c r="AJ50" i="5"/>
  <c r="AK50" i="5"/>
  <c r="AR50" i="5"/>
  <c r="A51" i="5"/>
  <c r="X51" i="5"/>
  <c r="Y51" i="5"/>
  <c r="Z51" i="5"/>
  <c r="AA51" i="5"/>
  <c r="AE51" i="5"/>
  <c r="AF51" i="5"/>
  <c r="AG51" i="5"/>
  <c r="AH51" i="5"/>
  <c r="AJ51" i="5"/>
  <c r="AK51" i="5"/>
  <c r="AR51" i="5"/>
  <c r="A52" i="5"/>
  <c r="Y52" i="5"/>
  <c r="AM52" i="5" s="1"/>
  <c r="Z52" i="5"/>
  <c r="AA52" i="5"/>
  <c r="AE52" i="5"/>
  <c r="AF52" i="5"/>
  <c r="AG52" i="5"/>
  <c r="AH52" i="5"/>
  <c r="AJ52" i="5"/>
  <c r="AK52" i="5"/>
  <c r="AR52" i="5"/>
  <c r="A53" i="5"/>
  <c r="X53" i="5"/>
  <c r="Y53" i="5"/>
  <c r="Z53" i="5"/>
  <c r="AA53" i="5"/>
  <c r="AE53" i="5"/>
  <c r="AF53" i="5"/>
  <c r="AG53" i="5"/>
  <c r="AH53" i="5"/>
  <c r="AJ53" i="5"/>
  <c r="AK53" i="5"/>
  <c r="AR53" i="5"/>
  <c r="A54" i="5"/>
  <c r="AM54" i="5" s="1"/>
  <c r="X54" i="5"/>
  <c r="Y54" i="5"/>
  <c r="Z54" i="5"/>
  <c r="AA54" i="5"/>
  <c r="AE54" i="5"/>
  <c r="AF54" i="5"/>
  <c r="AG54" i="5"/>
  <c r="AH54" i="5"/>
  <c r="AJ54" i="5"/>
  <c r="AK54" i="5"/>
  <c r="AR54" i="5"/>
  <c r="A55" i="5"/>
  <c r="X55" i="5"/>
  <c r="Z55" i="5"/>
  <c r="AA55" i="5"/>
  <c r="AE55" i="5"/>
  <c r="AF55" i="5"/>
  <c r="AG55" i="5"/>
  <c r="AH55" i="5"/>
  <c r="AJ55" i="5"/>
  <c r="AK55" i="5"/>
  <c r="AR55" i="5"/>
  <c r="A56" i="5"/>
  <c r="X56" i="5"/>
  <c r="Y56" i="5"/>
  <c r="Z56" i="5"/>
  <c r="AA56" i="5"/>
  <c r="AE56" i="5"/>
  <c r="AF56" i="5"/>
  <c r="AG56" i="5"/>
  <c r="AH56" i="5"/>
  <c r="AJ56" i="5"/>
  <c r="AK56" i="5"/>
  <c r="AR56" i="5"/>
  <c r="A57" i="5"/>
  <c r="X57" i="5"/>
  <c r="Y57" i="5"/>
  <c r="Z57" i="5"/>
  <c r="AA57" i="5"/>
  <c r="AE57" i="5"/>
  <c r="AF57" i="5"/>
  <c r="AG57" i="5"/>
  <c r="AH57" i="5"/>
  <c r="AJ57" i="5"/>
  <c r="AK57" i="5"/>
  <c r="AR57" i="5"/>
  <c r="A58" i="5"/>
  <c r="X58" i="5"/>
  <c r="AM58" i="5" s="1"/>
  <c r="Y58" i="5"/>
  <c r="Z58" i="5"/>
  <c r="AA58" i="5"/>
  <c r="AE58" i="5"/>
  <c r="AF58" i="5"/>
  <c r="AG58" i="5"/>
  <c r="AH58" i="5"/>
  <c r="AJ58" i="5"/>
  <c r="AK58" i="5"/>
  <c r="AR58" i="5"/>
  <c r="A9" i="4"/>
  <c r="X9" i="4"/>
  <c r="Y9" i="4"/>
  <c r="AM9" i="4" s="1"/>
  <c r="Z9" i="4"/>
  <c r="AA9" i="4"/>
  <c r="AE9" i="4"/>
  <c r="AF9" i="4"/>
  <c r="AG9" i="4"/>
  <c r="AH9" i="4"/>
  <c r="AJ9" i="4"/>
  <c r="AK9" i="4"/>
  <c r="AR9" i="4"/>
  <c r="A10" i="4"/>
  <c r="X10" i="4"/>
  <c r="AM10" i="4" s="1"/>
  <c r="Y10" i="4"/>
  <c r="Z10" i="4"/>
  <c r="AA10" i="4"/>
  <c r="AE10" i="4"/>
  <c r="AF10" i="4"/>
  <c r="AG10" i="4"/>
  <c r="AH10" i="4"/>
  <c r="AJ10" i="4"/>
  <c r="AK10" i="4"/>
  <c r="AR10" i="4"/>
  <c r="A11" i="4"/>
  <c r="X11" i="4"/>
  <c r="Y11" i="4"/>
  <c r="Z11" i="4"/>
  <c r="AA11" i="4"/>
  <c r="AE11" i="4"/>
  <c r="AF11" i="4"/>
  <c r="AG11" i="4"/>
  <c r="AH11" i="4"/>
  <c r="AJ11" i="4"/>
  <c r="AK11" i="4"/>
  <c r="AR11" i="4"/>
  <c r="A12" i="4"/>
  <c r="Z12" i="4"/>
  <c r="AA12" i="4"/>
  <c r="AE12" i="4"/>
  <c r="AF12" i="4"/>
  <c r="AG12" i="4"/>
  <c r="AH12" i="4"/>
  <c r="AJ12" i="4"/>
  <c r="AK12" i="4"/>
  <c r="AR12" i="4"/>
  <c r="A13" i="4"/>
  <c r="X13" i="4"/>
  <c r="Y13" i="4"/>
  <c r="Z13" i="4"/>
  <c r="AA13" i="4"/>
  <c r="AE13" i="4"/>
  <c r="AF13" i="4"/>
  <c r="AG13" i="4"/>
  <c r="AH13" i="4"/>
  <c r="AJ13" i="4"/>
  <c r="AK13" i="4"/>
  <c r="AR13" i="4"/>
  <c r="AS13" i="4"/>
  <c r="A14" i="4"/>
  <c r="X14" i="4"/>
  <c r="Y14" i="4"/>
  <c r="AM14" i="4" s="1"/>
  <c r="Z14" i="4"/>
  <c r="AA14" i="4"/>
  <c r="AE14" i="4"/>
  <c r="AF14" i="4"/>
  <c r="AG14" i="4"/>
  <c r="AH14" i="4"/>
  <c r="AJ14" i="4"/>
  <c r="AK14" i="4"/>
  <c r="AR14" i="4"/>
  <c r="A15" i="4"/>
  <c r="X15" i="4"/>
  <c r="Y15" i="4"/>
  <c r="Z15" i="4"/>
  <c r="AA15" i="4"/>
  <c r="AE15" i="4"/>
  <c r="AF15" i="4"/>
  <c r="AG15" i="4"/>
  <c r="AH15" i="4"/>
  <c r="AJ15" i="4"/>
  <c r="AK15" i="4"/>
  <c r="AR15" i="4"/>
  <c r="A16" i="4"/>
  <c r="P16" i="4"/>
  <c r="X16" i="4"/>
  <c r="Y16" i="4"/>
  <c r="Z16" i="4"/>
  <c r="AA16" i="4"/>
  <c r="AE16" i="4"/>
  <c r="AF16" i="4"/>
  <c r="AG16" i="4"/>
  <c r="AH16" i="4"/>
  <c r="AJ16" i="4"/>
  <c r="AK16" i="4"/>
  <c r="AR16" i="4"/>
  <c r="A17" i="4"/>
  <c r="X17" i="4"/>
  <c r="Z17" i="4"/>
  <c r="AA17" i="4"/>
  <c r="AE17" i="4"/>
  <c r="AF17" i="4"/>
  <c r="AG17" i="4"/>
  <c r="AH17" i="4"/>
  <c r="AJ17" i="4"/>
  <c r="AK17" i="4"/>
  <c r="AR17" i="4"/>
  <c r="A18" i="4"/>
  <c r="X18" i="4"/>
  <c r="Y18" i="4"/>
  <c r="Z18" i="4"/>
  <c r="AA18" i="4"/>
  <c r="AE18" i="4"/>
  <c r="AF18" i="4"/>
  <c r="AG18" i="4"/>
  <c r="AH18" i="4"/>
  <c r="AJ18" i="4"/>
  <c r="AK18" i="4"/>
  <c r="AR18" i="4"/>
  <c r="A19" i="4"/>
  <c r="X19" i="4"/>
  <c r="AM19" i="4" s="1"/>
  <c r="Y19" i="4"/>
  <c r="Z19" i="4"/>
  <c r="AA19" i="4"/>
  <c r="AE19" i="4"/>
  <c r="AF19" i="4"/>
  <c r="AG19" i="4"/>
  <c r="AH19" i="4"/>
  <c r="AJ19" i="4"/>
  <c r="AK19" i="4"/>
  <c r="AR19" i="4"/>
  <c r="A20" i="4"/>
  <c r="X20" i="4"/>
  <c r="Y20" i="4"/>
  <c r="AM20" i="4" s="1"/>
  <c r="Z20" i="4"/>
  <c r="AA20" i="4"/>
  <c r="AE20" i="4"/>
  <c r="AF20" i="4"/>
  <c r="AG20" i="4"/>
  <c r="AH20" i="4"/>
  <c r="AJ20" i="4"/>
  <c r="AK20" i="4"/>
  <c r="AR20" i="4"/>
  <c r="A21" i="4"/>
  <c r="X21" i="4"/>
  <c r="AM21" i="4" s="1"/>
  <c r="Y21" i="4"/>
  <c r="Z21" i="4"/>
  <c r="AA21" i="4"/>
  <c r="AE21" i="4"/>
  <c r="AF21" i="4"/>
  <c r="AG21" i="4"/>
  <c r="AH21" i="4"/>
  <c r="AJ21" i="4"/>
  <c r="AK21" i="4"/>
  <c r="AR21" i="4"/>
  <c r="A22" i="4"/>
  <c r="X22" i="4"/>
  <c r="Y22" i="4"/>
  <c r="Z22" i="4"/>
  <c r="AA22" i="4"/>
  <c r="AE22" i="4"/>
  <c r="AF22" i="4"/>
  <c r="AG22" i="4"/>
  <c r="AH22" i="4"/>
  <c r="AJ22" i="4"/>
  <c r="AK22" i="4"/>
  <c r="AR22" i="4"/>
  <c r="AS22" i="4"/>
  <c r="A23" i="4"/>
  <c r="X23" i="4"/>
  <c r="Y23" i="4"/>
  <c r="AM23" i="4" s="1"/>
  <c r="Z23" i="4"/>
  <c r="AA23" i="4"/>
  <c r="AE23" i="4"/>
  <c r="AF23" i="4"/>
  <c r="AG23" i="4"/>
  <c r="AH23" i="4"/>
  <c r="AJ23" i="4"/>
  <c r="AK23" i="4"/>
  <c r="AR23" i="4"/>
  <c r="A24" i="4"/>
  <c r="X24" i="4"/>
  <c r="Y24" i="4"/>
  <c r="Z24" i="4"/>
  <c r="AA24" i="4"/>
  <c r="AE24" i="4"/>
  <c r="AF24" i="4"/>
  <c r="AG24" i="4"/>
  <c r="AH24" i="4"/>
  <c r="AJ24" i="4"/>
  <c r="AK24" i="4"/>
  <c r="AR24" i="4"/>
  <c r="A25" i="4"/>
  <c r="X25" i="4"/>
  <c r="Y25" i="4"/>
  <c r="Z25" i="4"/>
  <c r="AA25" i="4"/>
  <c r="AE25" i="4"/>
  <c r="AF25" i="4"/>
  <c r="AG25" i="4"/>
  <c r="AH25" i="4"/>
  <c r="AJ25" i="4"/>
  <c r="AK25" i="4"/>
  <c r="AR25" i="4"/>
  <c r="A26" i="4"/>
  <c r="X26" i="4"/>
  <c r="AM26" i="4" s="1"/>
  <c r="Y26" i="4"/>
  <c r="Z26" i="4"/>
  <c r="AA26" i="4"/>
  <c r="AE26" i="4"/>
  <c r="AF26" i="4"/>
  <c r="AG26" i="4"/>
  <c r="AH26" i="4"/>
  <c r="AJ26" i="4"/>
  <c r="AK26" i="4"/>
  <c r="AR26" i="4"/>
  <c r="A27" i="4"/>
  <c r="X27" i="4"/>
  <c r="Y27" i="4"/>
  <c r="AM27" i="4" s="1"/>
  <c r="Z27" i="4"/>
  <c r="AA27" i="4"/>
  <c r="AE27" i="4"/>
  <c r="AF27" i="4"/>
  <c r="AG27" i="4"/>
  <c r="AH27" i="4"/>
  <c r="AJ27" i="4"/>
  <c r="AK27" i="4"/>
  <c r="AR27" i="4"/>
  <c r="A28" i="4"/>
  <c r="X28" i="4"/>
  <c r="AM28" i="4" s="1"/>
  <c r="Y28" i="4"/>
  <c r="Z28" i="4"/>
  <c r="AA28" i="4"/>
  <c r="AE28" i="4"/>
  <c r="AF28" i="4"/>
  <c r="AG28" i="4"/>
  <c r="AH28" i="4"/>
  <c r="AJ28" i="4"/>
  <c r="AK28" i="4"/>
  <c r="AR28" i="4"/>
  <c r="A29" i="4"/>
  <c r="X29" i="4"/>
  <c r="Y29" i="4"/>
  <c r="AM29" i="4" s="1"/>
  <c r="Z29" i="4"/>
  <c r="AA29" i="4"/>
  <c r="AE29" i="4"/>
  <c r="AF29" i="4"/>
  <c r="AG29" i="4"/>
  <c r="AH29" i="4"/>
  <c r="AJ29" i="4"/>
  <c r="AK29" i="4"/>
  <c r="AR29" i="4"/>
  <c r="A30" i="4"/>
  <c r="X30" i="4"/>
  <c r="Y30" i="4"/>
  <c r="Z30" i="4"/>
  <c r="AA30" i="4"/>
  <c r="AE30" i="4"/>
  <c r="AF30" i="4"/>
  <c r="AG30" i="4"/>
  <c r="AH30" i="4"/>
  <c r="AJ30" i="4"/>
  <c r="AK30" i="4"/>
  <c r="AR30" i="4"/>
  <c r="A31" i="4"/>
  <c r="X31" i="4"/>
  <c r="Y31" i="4"/>
  <c r="AM31" i="4" s="1"/>
  <c r="Z31" i="4"/>
  <c r="AA31" i="4"/>
  <c r="AE31" i="4"/>
  <c r="AF31" i="4"/>
  <c r="AG31" i="4"/>
  <c r="AH31" i="4"/>
  <c r="AJ31" i="4"/>
  <c r="AK31" i="4"/>
  <c r="AR31" i="4"/>
  <c r="A32" i="4"/>
  <c r="X32" i="4"/>
  <c r="AM32" i="4" s="1"/>
  <c r="Y32" i="4"/>
  <c r="Z32" i="4"/>
  <c r="AA32" i="4"/>
  <c r="AE32" i="4"/>
  <c r="AF32" i="4"/>
  <c r="AG32" i="4"/>
  <c r="AH32" i="4"/>
  <c r="AJ32" i="4"/>
  <c r="AK32" i="4"/>
  <c r="AR32" i="4"/>
  <c r="A33" i="4"/>
  <c r="X33" i="4"/>
  <c r="Y33" i="4"/>
  <c r="AM33" i="4" s="1"/>
  <c r="Z33" i="4"/>
  <c r="AA33" i="4"/>
  <c r="AE33" i="4"/>
  <c r="AF33" i="4"/>
  <c r="AG33" i="4"/>
  <c r="AH33" i="4"/>
  <c r="AJ33" i="4"/>
  <c r="AK33" i="4"/>
  <c r="AR33" i="4"/>
  <c r="A34" i="4"/>
  <c r="Z34" i="4"/>
  <c r="AA34" i="4"/>
  <c r="AE34" i="4"/>
  <c r="AF34" i="4"/>
  <c r="AG34" i="4"/>
  <c r="AH34" i="4"/>
  <c r="AJ34" i="4"/>
  <c r="AK34" i="4"/>
  <c r="AR34" i="4"/>
  <c r="A35" i="4"/>
  <c r="X35" i="4"/>
  <c r="Y35" i="4"/>
  <c r="AM35" i="4" s="1"/>
  <c r="Z35" i="4"/>
  <c r="AA35" i="4"/>
  <c r="AE35" i="4"/>
  <c r="AF35" i="4"/>
  <c r="AG35" i="4"/>
  <c r="AH35" i="4"/>
  <c r="AJ35" i="4"/>
  <c r="AK35" i="4"/>
  <c r="AR35" i="4"/>
  <c r="A36" i="4"/>
  <c r="X36" i="4"/>
  <c r="Y36" i="4"/>
  <c r="Z36" i="4"/>
  <c r="AA36" i="4"/>
  <c r="AE36" i="4"/>
  <c r="AF36" i="4"/>
  <c r="AG36" i="4"/>
  <c r="AH36" i="4"/>
  <c r="AJ36" i="4"/>
  <c r="AK36" i="4"/>
  <c r="AR36" i="4"/>
  <c r="A37" i="4"/>
  <c r="X37" i="4"/>
  <c r="Y37" i="4"/>
  <c r="Z37" i="4"/>
  <c r="AA37" i="4"/>
  <c r="AE37" i="4"/>
  <c r="AF37" i="4"/>
  <c r="AG37" i="4"/>
  <c r="AH37" i="4"/>
  <c r="AJ37" i="4"/>
  <c r="AK37" i="4"/>
  <c r="AR37" i="4"/>
  <c r="A38" i="4"/>
  <c r="Y38" i="4"/>
  <c r="Z38" i="4"/>
  <c r="AA38" i="4"/>
  <c r="AE38" i="4"/>
  <c r="AF38" i="4"/>
  <c r="AG38" i="4"/>
  <c r="AH38" i="4"/>
  <c r="AJ38" i="4"/>
  <c r="AK38" i="4"/>
  <c r="AR38" i="4"/>
  <c r="A39" i="4"/>
  <c r="AM39" i="4" s="1"/>
  <c r="X39" i="4"/>
  <c r="Y39" i="4"/>
  <c r="Z39" i="4"/>
  <c r="AA39" i="4"/>
  <c r="AE39" i="4"/>
  <c r="AF39" i="4"/>
  <c r="AG39" i="4"/>
  <c r="AH39" i="4"/>
  <c r="AJ39" i="4"/>
  <c r="AK39" i="4"/>
  <c r="AR39" i="4"/>
  <c r="A40" i="4"/>
  <c r="X40" i="4"/>
  <c r="AM40" i="4" s="1"/>
  <c r="Y40" i="4"/>
  <c r="Z40" i="4"/>
  <c r="AA40" i="4"/>
  <c r="AE40" i="4"/>
  <c r="AF40" i="4"/>
  <c r="AG40" i="4"/>
  <c r="AH40" i="4"/>
  <c r="AJ40" i="4"/>
  <c r="AK40" i="4"/>
  <c r="AR40" i="4"/>
  <c r="A41" i="4"/>
  <c r="Z41" i="4"/>
  <c r="AA41" i="4"/>
  <c r="AE41" i="4"/>
  <c r="AF41" i="4"/>
  <c r="AG41" i="4"/>
  <c r="AH41" i="4"/>
  <c r="AJ41" i="4"/>
  <c r="AK41" i="4"/>
  <c r="AR41" i="4"/>
  <c r="A42" i="4"/>
  <c r="X42" i="4"/>
  <c r="AM42" i="4" s="1"/>
  <c r="Y42" i="4"/>
  <c r="Z42" i="4"/>
  <c r="AA42" i="4"/>
  <c r="AE42" i="4"/>
  <c r="AF42" i="4"/>
  <c r="AG42" i="4"/>
  <c r="AH42" i="4"/>
  <c r="AJ42" i="4"/>
  <c r="AK42" i="4"/>
  <c r="AR42" i="4"/>
  <c r="A43" i="4"/>
  <c r="X43" i="4"/>
  <c r="Y43" i="4"/>
  <c r="Z43" i="4"/>
  <c r="AA43" i="4"/>
  <c r="AE43" i="4"/>
  <c r="AF43" i="4"/>
  <c r="AG43" i="4"/>
  <c r="AH43" i="4"/>
  <c r="AJ43" i="4"/>
  <c r="AK43" i="4"/>
  <c r="AR43" i="4"/>
  <c r="A44" i="4"/>
  <c r="X44" i="4"/>
  <c r="AM44" i="4" s="1"/>
  <c r="Y44" i="4"/>
  <c r="Z44" i="4"/>
  <c r="AA44" i="4"/>
  <c r="AE44" i="4"/>
  <c r="AF44" i="4"/>
  <c r="AG44" i="4"/>
  <c r="AH44" i="4"/>
  <c r="AJ44" i="4"/>
  <c r="AK44" i="4"/>
  <c r="AR44" i="4"/>
  <c r="A45" i="4"/>
  <c r="X45" i="4"/>
  <c r="Y45" i="4"/>
  <c r="Z45" i="4"/>
  <c r="AA45" i="4"/>
  <c r="AE45" i="4"/>
  <c r="AF45" i="4"/>
  <c r="AG45" i="4"/>
  <c r="AH45" i="4"/>
  <c r="AJ45" i="4"/>
  <c r="AK45" i="4"/>
  <c r="AR45" i="4"/>
  <c r="A46" i="4"/>
  <c r="X46" i="4"/>
  <c r="AM46" i="4" s="1"/>
  <c r="Y46" i="4"/>
  <c r="Z46" i="4"/>
  <c r="AA46" i="4"/>
  <c r="AE46" i="4"/>
  <c r="AF46" i="4"/>
  <c r="AG46" i="4"/>
  <c r="AH46" i="4"/>
  <c r="AJ46" i="4"/>
  <c r="AK46" i="4"/>
  <c r="AR46" i="4"/>
  <c r="A47" i="4"/>
  <c r="X47" i="4"/>
  <c r="Y47" i="4"/>
  <c r="Z47" i="4"/>
  <c r="AA47" i="4"/>
  <c r="AE47" i="4"/>
  <c r="AF47" i="4"/>
  <c r="AG47" i="4"/>
  <c r="AH47" i="4"/>
  <c r="AJ47" i="4"/>
  <c r="AK47" i="4"/>
  <c r="AR47" i="4"/>
  <c r="A48" i="4"/>
  <c r="X48" i="4"/>
  <c r="AM48" i="4" s="1"/>
  <c r="Y48" i="4"/>
  <c r="AA48" i="4"/>
  <c r="AE48" i="4"/>
  <c r="AF48" i="4"/>
  <c r="AG48" i="4"/>
  <c r="AH48" i="4"/>
  <c r="AJ48" i="4"/>
  <c r="AK48" i="4"/>
  <c r="AR48" i="4"/>
  <c r="A49" i="4"/>
  <c r="AM49" i="4" s="1"/>
  <c r="X49" i="4"/>
  <c r="Y49" i="4"/>
  <c r="Z49" i="4"/>
  <c r="AA49" i="4"/>
  <c r="AE49" i="4"/>
  <c r="AF49" i="4"/>
  <c r="AG49" i="4"/>
  <c r="AH49" i="4"/>
  <c r="AJ49" i="4"/>
  <c r="AK49" i="4"/>
  <c r="AR49" i="4"/>
  <c r="A50" i="4"/>
  <c r="AA50" i="4"/>
  <c r="AE50" i="4"/>
  <c r="AF50" i="4"/>
  <c r="AG50" i="4"/>
  <c r="AH50" i="4"/>
  <c r="AJ50" i="4"/>
  <c r="AK50" i="4"/>
  <c r="AR50" i="4"/>
  <c r="A51" i="4"/>
  <c r="Y51" i="4"/>
  <c r="Z51" i="4"/>
  <c r="AA51" i="4"/>
  <c r="AE51" i="4"/>
  <c r="AF51" i="4"/>
  <c r="AG51" i="4"/>
  <c r="AH51" i="4"/>
  <c r="AJ51" i="4"/>
  <c r="AK51" i="4"/>
  <c r="AR51" i="4"/>
  <c r="A52" i="4"/>
  <c r="X52" i="4"/>
  <c r="AM52" i="4" s="1"/>
  <c r="Y52" i="4"/>
  <c r="Z52" i="4"/>
  <c r="AA52" i="4"/>
  <c r="AE52" i="4"/>
  <c r="AF52" i="4"/>
  <c r="AG52" i="4"/>
  <c r="AH52" i="4"/>
  <c r="AJ52" i="4"/>
  <c r="AK52" i="4"/>
  <c r="AR52" i="4"/>
  <c r="A53" i="4"/>
  <c r="X53" i="4"/>
  <c r="Y53" i="4"/>
  <c r="Z53" i="4"/>
  <c r="AA53" i="4"/>
  <c r="AE53" i="4"/>
  <c r="AF53" i="4"/>
  <c r="AG53" i="4"/>
  <c r="AH53" i="4"/>
  <c r="AJ53" i="4"/>
  <c r="AK53" i="4"/>
  <c r="AR53" i="4"/>
  <c r="A54" i="4"/>
  <c r="X54" i="4"/>
  <c r="Z54" i="4"/>
  <c r="AA54" i="4"/>
  <c r="AE54" i="4"/>
  <c r="AF54" i="4"/>
  <c r="AG54" i="4"/>
  <c r="AH54" i="4"/>
  <c r="AJ54" i="4"/>
  <c r="AK54" i="4"/>
  <c r="AR54" i="4"/>
  <c r="A55" i="4"/>
  <c r="X55" i="4"/>
  <c r="Y55" i="4"/>
  <c r="Z55" i="4"/>
  <c r="AA55" i="4"/>
  <c r="AE55" i="4"/>
  <c r="AF55" i="4"/>
  <c r="AG55" i="4"/>
  <c r="AH55" i="4"/>
  <c r="AJ55" i="4"/>
  <c r="AK55" i="4"/>
  <c r="AR55" i="4"/>
  <c r="A56" i="4"/>
  <c r="X56" i="4"/>
  <c r="Y56" i="4"/>
  <c r="AM56" i="4" s="1"/>
  <c r="Z56" i="4"/>
  <c r="AA56" i="4"/>
  <c r="AE56" i="4"/>
  <c r="AF56" i="4"/>
  <c r="AG56" i="4"/>
  <c r="AH56" i="4"/>
  <c r="AJ56" i="4"/>
  <c r="AK56" i="4"/>
  <c r="AR56" i="4"/>
  <c r="A57" i="4"/>
  <c r="X57" i="4"/>
  <c r="Y57" i="4"/>
  <c r="Z57" i="4"/>
  <c r="AA57" i="4"/>
  <c r="AE57" i="4"/>
  <c r="AF57" i="4"/>
  <c r="AG57" i="4"/>
  <c r="AH57" i="4"/>
  <c r="AJ57" i="4"/>
  <c r="AK57" i="4"/>
  <c r="AR57" i="4"/>
  <c r="A58" i="4"/>
  <c r="X58" i="4"/>
  <c r="Y58" i="4"/>
  <c r="Z58" i="4"/>
  <c r="AA58" i="4"/>
  <c r="AE58" i="4"/>
  <c r="AF58" i="4"/>
  <c r="AG58" i="4"/>
  <c r="AH58" i="4"/>
  <c r="AJ58" i="4"/>
  <c r="AK58" i="4"/>
  <c r="AR58" i="4"/>
  <c r="A9" i="3"/>
  <c r="X9" i="3"/>
  <c r="CQ9" i="3" s="1"/>
  <c r="Y9" i="3"/>
  <c r="CR9" i="3" s="1"/>
  <c r="Z9" i="3"/>
  <c r="AA9" i="3"/>
  <c r="AE9" i="3"/>
  <c r="AF9" i="3"/>
  <c r="AG9" i="3"/>
  <c r="AH9" i="3"/>
  <c r="AJ9" i="3"/>
  <c r="AK9" i="3"/>
  <c r="AR9" i="3"/>
  <c r="A10" i="3"/>
  <c r="X10" i="3"/>
  <c r="CQ10" i="3" s="1"/>
  <c r="Y10" i="3"/>
  <c r="AM10" i="3" s="1"/>
  <c r="Z10" i="3"/>
  <c r="AA10" i="3"/>
  <c r="AE10" i="3"/>
  <c r="AF10" i="3"/>
  <c r="AG10" i="3"/>
  <c r="AH10" i="3"/>
  <c r="AJ10" i="3"/>
  <c r="AK10" i="3"/>
  <c r="AR10" i="3"/>
  <c r="A11" i="3"/>
  <c r="X11" i="3"/>
  <c r="Y11" i="3"/>
  <c r="CR11" i="3" s="1"/>
  <c r="Z11" i="3"/>
  <c r="AA11" i="3"/>
  <c r="AE11" i="3"/>
  <c r="AF11" i="3"/>
  <c r="AG11" i="3"/>
  <c r="AH11" i="3"/>
  <c r="AJ11" i="3"/>
  <c r="AK11" i="3"/>
  <c r="AR11" i="3"/>
  <c r="A12" i="3"/>
  <c r="Z12" i="3"/>
  <c r="AA12" i="3"/>
  <c r="AE12" i="3"/>
  <c r="AF12" i="3"/>
  <c r="AG12" i="3"/>
  <c r="AH12" i="3"/>
  <c r="AJ12" i="3"/>
  <c r="AK12" i="3"/>
  <c r="AR12" i="3"/>
  <c r="A13" i="3"/>
  <c r="X13" i="3"/>
  <c r="CQ13" i="3" s="1"/>
  <c r="Y13" i="3"/>
  <c r="CR13" i="3" s="1"/>
  <c r="Z13" i="3"/>
  <c r="AA13" i="3"/>
  <c r="AE13" i="3"/>
  <c r="AF13" i="3"/>
  <c r="AG13" i="3"/>
  <c r="AH13" i="3"/>
  <c r="AJ13" i="3"/>
  <c r="AK13" i="3"/>
  <c r="AR13" i="3"/>
  <c r="AS13" i="3"/>
  <c r="A14" i="3"/>
  <c r="X14" i="3"/>
  <c r="AM14" i="3" s="1"/>
  <c r="Y14" i="3"/>
  <c r="CR14" i="3" s="1"/>
  <c r="Z14" i="3"/>
  <c r="AA14" i="3"/>
  <c r="AE14" i="3"/>
  <c r="AF14" i="3"/>
  <c r="AG14" i="3"/>
  <c r="AH14" i="3"/>
  <c r="AJ14" i="3"/>
  <c r="AK14" i="3"/>
  <c r="AR14" i="3"/>
  <c r="A15" i="3"/>
  <c r="X15" i="3"/>
  <c r="Y15" i="3"/>
  <c r="CR15" i="3"/>
  <c r="Z15" i="3"/>
  <c r="AA15" i="3"/>
  <c r="AE15" i="3"/>
  <c r="AF15" i="3"/>
  <c r="AG15" i="3"/>
  <c r="AH15" i="3"/>
  <c r="AJ15" i="3"/>
  <c r="AK15" i="3"/>
  <c r="AR15" i="3"/>
  <c r="A16" i="3"/>
  <c r="X16" i="3"/>
  <c r="CQ16" i="3" s="1"/>
  <c r="Y16" i="3"/>
  <c r="CR16" i="3" s="1"/>
  <c r="Z16" i="3"/>
  <c r="AA16" i="3"/>
  <c r="AE16" i="3"/>
  <c r="AF16" i="3"/>
  <c r="AG16" i="3"/>
  <c r="AH16" i="3"/>
  <c r="AJ16" i="3"/>
  <c r="AK16" i="3"/>
  <c r="AR16" i="3"/>
  <c r="A17" i="3"/>
  <c r="Y17" i="3"/>
  <c r="CR17" i="3" s="1"/>
  <c r="Z17" i="3"/>
  <c r="AA17" i="3"/>
  <c r="AE17" i="3"/>
  <c r="AF17" i="3"/>
  <c r="AG17" i="3"/>
  <c r="AH17" i="3"/>
  <c r="AJ17" i="3"/>
  <c r="AK17" i="3"/>
  <c r="AR17" i="3"/>
  <c r="A18" i="3"/>
  <c r="X18" i="3"/>
  <c r="CQ18" i="3" s="1"/>
  <c r="Y18" i="3"/>
  <c r="CR18" i="3" s="1"/>
  <c r="Z18" i="3"/>
  <c r="AA18" i="3"/>
  <c r="AE18" i="3"/>
  <c r="AF18" i="3"/>
  <c r="AG18" i="3"/>
  <c r="AH18" i="3"/>
  <c r="AJ18" i="3"/>
  <c r="AK18" i="3"/>
  <c r="AR18" i="3"/>
  <c r="A19" i="3"/>
  <c r="X19" i="3"/>
  <c r="CQ19" i="3" s="1"/>
  <c r="Y19" i="3"/>
  <c r="CR19" i="3" s="1"/>
  <c r="Z19" i="3"/>
  <c r="AA19" i="3"/>
  <c r="AE19" i="3"/>
  <c r="AF19" i="3"/>
  <c r="AG19" i="3"/>
  <c r="AH19" i="3"/>
  <c r="AJ19" i="3"/>
  <c r="AK19" i="3"/>
  <c r="AR19" i="3"/>
  <c r="A20" i="3"/>
  <c r="X20" i="3"/>
  <c r="Y20" i="3"/>
  <c r="CR20" i="3" s="1"/>
  <c r="Z20" i="3"/>
  <c r="AA20" i="3"/>
  <c r="AE20" i="3"/>
  <c r="AF20" i="3"/>
  <c r="AG20" i="3"/>
  <c r="AH20" i="3"/>
  <c r="AJ20" i="3"/>
  <c r="AK20" i="3"/>
  <c r="AR20" i="3"/>
  <c r="A21" i="3"/>
  <c r="X21" i="3"/>
  <c r="CQ21" i="3"/>
  <c r="Y21" i="3"/>
  <c r="Z21" i="3"/>
  <c r="AA21" i="3"/>
  <c r="AE21" i="3"/>
  <c r="AF21" i="3"/>
  <c r="AG21" i="3"/>
  <c r="AH21" i="3"/>
  <c r="AJ21" i="3"/>
  <c r="AK21" i="3"/>
  <c r="AR21" i="3"/>
  <c r="A22" i="3"/>
  <c r="X22" i="3"/>
  <c r="CQ22" i="3" s="1"/>
  <c r="Y22" i="3"/>
  <c r="CR22" i="3" s="1"/>
  <c r="Z22" i="3"/>
  <c r="AA22" i="3"/>
  <c r="AE22" i="3"/>
  <c r="AF22" i="3"/>
  <c r="AG22" i="3"/>
  <c r="AH22" i="3"/>
  <c r="AJ22" i="3"/>
  <c r="AK22" i="3"/>
  <c r="AR22" i="3"/>
  <c r="AS22" i="3"/>
  <c r="A23" i="3"/>
  <c r="X23" i="3"/>
  <c r="CQ23" i="3" s="1"/>
  <c r="Y23" i="3"/>
  <c r="CR23" i="3"/>
  <c r="Z23" i="3"/>
  <c r="AA23" i="3"/>
  <c r="AE23" i="3"/>
  <c r="AF23" i="3"/>
  <c r="AG23" i="3"/>
  <c r="AH23" i="3"/>
  <c r="AJ23" i="3"/>
  <c r="AK23" i="3"/>
  <c r="AR23" i="3"/>
  <c r="A24" i="3"/>
  <c r="X24" i="3"/>
  <c r="CQ24" i="3" s="1"/>
  <c r="Y24" i="3"/>
  <c r="CR24" i="3" s="1"/>
  <c r="Z24" i="3"/>
  <c r="AA24" i="3"/>
  <c r="AE24" i="3"/>
  <c r="AF24" i="3"/>
  <c r="AG24" i="3"/>
  <c r="AH24" i="3"/>
  <c r="AJ24" i="3"/>
  <c r="AK24" i="3"/>
  <c r="AR24" i="3"/>
  <c r="A25" i="3"/>
  <c r="X25" i="3"/>
  <c r="CQ25" i="3"/>
  <c r="Y25" i="3"/>
  <c r="CR25" i="3" s="1"/>
  <c r="Z25" i="3"/>
  <c r="AA25" i="3"/>
  <c r="AE25" i="3"/>
  <c r="AF25" i="3"/>
  <c r="AG25" i="3"/>
  <c r="AH25" i="3"/>
  <c r="AJ25" i="3"/>
  <c r="AK25" i="3"/>
  <c r="AR25" i="3"/>
  <c r="A26" i="3"/>
  <c r="X26" i="3"/>
  <c r="CQ26" i="3" s="1"/>
  <c r="Y26" i="3"/>
  <c r="CR26" i="3" s="1"/>
  <c r="Z26" i="3"/>
  <c r="AA26" i="3"/>
  <c r="AE26" i="3"/>
  <c r="AF26" i="3"/>
  <c r="AG26" i="3"/>
  <c r="AH26" i="3"/>
  <c r="AJ26" i="3"/>
  <c r="AK26" i="3"/>
  <c r="AR26" i="3"/>
  <c r="A27" i="3"/>
  <c r="X27" i="3"/>
  <c r="CQ27" i="3" s="1"/>
  <c r="Y27" i="3"/>
  <c r="CR27" i="3" s="1"/>
  <c r="Z27" i="3"/>
  <c r="AA27" i="3"/>
  <c r="AE27" i="3"/>
  <c r="AF27" i="3"/>
  <c r="AG27" i="3"/>
  <c r="AH27" i="3"/>
  <c r="AJ27" i="3"/>
  <c r="AK27" i="3"/>
  <c r="AR27" i="3"/>
  <c r="A28" i="3"/>
  <c r="X28" i="3"/>
  <c r="CQ28" i="3" s="1"/>
  <c r="Y28" i="3"/>
  <c r="Z28" i="3"/>
  <c r="AA28" i="3"/>
  <c r="AE28" i="3"/>
  <c r="AF28" i="3"/>
  <c r="AG28" i="3"/>
  <c r="AH28" i="3"/>
  <c r="AJ28" i="3"/>
  <c r="AK28" i="3"/>
  <c r="AR28" i="3"/>
  <c r="A29" i="3"/>
  <c r="X29" i="3"/>
  <c r="CQ29" i="3" s="1"/>
  <c r="Y29" i="3"/>
  <c r="Z29" i="3"/>
  <c r="AA29" i="3"/>
  <c r="AE29" i="3"/>
  <c r="AF29" i="3"/>
  <c r="AG29" i="3"/>
  <c r="AH29" i="3"/>
  <c r="AJ29" i="3"/>
  <c r="AK29" i="3"/>
  <c r="AR29" i="3"/>
  <c r="A30" i="3"/>
  <c r="X30" i="3"/>
  <c r="CQ30" i="3" s="1"/>
  <c r="Y30" i="3"/>
  <c r="Z30" i="3"/>
  <c r="AA30" i="3"/>
  <c r="AE30" i="3"/>
  <c r="AF30" i="3"/>
  <c r="AG30" i="3"/>
  <c r="AH30" i="3"/>
  <c r="AJ30" i="3"/>
  <c r="AK30" i="3"/>
  <c r="AR30" i="3"/>
  <c r="A31" i="3"/>
  <c r="X31" i="3"/>
  <c r="CQ31" i="3"/>
  <c r="Y31" i="3"/>
  <c r="Z31" i="3"/>
  <c r="AA31" i="3"/>
  <c r="AE31" i="3"/>
  <c r="AF31" i="3"/>
  <c r="AG31" i="3"/>
  <c r="AH31" i="3"/>
  <c r="AJ31" i="3"/>
  <c r="AK31" i="3"/>
  <c r="AR31" i="3"/>
  <c r="A32" i="3"/>
  <c r="X32" i="3"/>
  <c r="CQ32" i="3"/>
  <c r="Y32" i="3"/>
  <c r="Z32" i="3"/>
  <c r="AA32" i="3"/>
  <c r="AE32" i="3"/>
  <c r="AF32" i="3"/>
  <c r="AG32" i="3"/>
  <c r="AH32" i="3"/>
  <c r="AJ32" i="3"/>
  <c r="AK32" i="3"/>
  <c r="AR32" i="3"/>
  <c r="A33" i="3"/>
  <c r="AM33" i="3" s="1"/>
  <c r="X33" i="3"/>
  <c r="CQ33" i="3"/>
  <c r="Y33" i="3"/>
  <c r="CR33" i="3"/>
  <c r="Z33" i="3"/>
  <c r="AA33" i="3"/>
  <c r="AE33" i="3"/>
  <c r="AF33" i="3"/>
  <c r="AG33" i="3"/>
  <c r="AH33" i="3"/>
  <c r="AJ33" i="3"/>
  <c r="AK33" i="3"/>
  <c r="AR33" i="3"/>
  <c r="A34" i="3"/>
  <c r="Z34" i="3"/>
  <c r="AA34" i="3"/>
  <c r="AE34" i="3"/>
  <c r="AF34" i="3"/>
  <c r="AG34" i="3"/>
  <c r="AH34" i="3"/>
  <c r="AJ34" i="3"/>
  <c r="AK34" i="3"/>
  <c r="AR34" i="3"/>
  <c r="A35" i="3"/>
  <c r="X35" i="3"/>
  <c r="CQ35" i="3"/>
  <c r="Y35" i="3"/>
  <c r="CR35" i="3" s="1"/>
  <c r="Z35" i="3"/>
  <c r="AA35" i="3"/>
  <c r="AE35" i="3"/>
  <c r="AF35" i="3"/>
  <c r="AG35" i="3"/>
  <c r="AH35" i="3"/>
  <c r="AJ35" i="3"/>
  <c r="AK35" i="3"/>
  <c r="AR35" i="3"/>
  <c r="A36" i="3"/>
  <c r="Y36" i="3"/>
  <c r="CR36" i="3" s="1"/>
  <c r="Z36" i="3"/>
  <c r="AA36" i="3"/>
  <c r="AE36" i="3"/>
  <c r="AF36" i="3"/>
  <c r="AG36" i="3"/>
  <c r="AH36" i="3"/>
  <c r="AJ36" i="3"/>
  <c r="AK36" i="3"/>
  <c r="AR36" i="3"/>
  <c r="A37" i="3"/>
  <c r="X37" i="3"/>
  <c r="CQ37" i="3" s="1"/>
  <c r="Y37" i="3"/>
  <c r="CR37" i="3"/>
  <c r="Z37" i="3"/>
  <c r="AA37" i="3"/>
  <c r="AE37" i="3"/>
  <c r="AF37" i="3"/>
  <c r="AG37" i="3"/>
  <c r="AH37" i="3"/>
  <c r="AJ37" i="3"/>
  <c r="AK37" i="3"/>
  <c r="AR37" i="3"/>
  <c r="A38" i="3"/>
  <c r="X38" i="3"/>
  <c r="CQ38" i="3" s="1"/>
  <c r="Y38" i="3"/>
  <c r="CR38" i="3" s="1"/>
  <c r="Z38" i="3"/>
  <c r="AA38" i="3"/>
  <c r="AE38" i="3"/>
  <c r="AF38" i="3"/>
  <c r="AG38" i="3"/>
  <c r="AH38" i="3"/>
  <c r="AJ38" i="3"/>
  <c r="AK38" i="3"/>
  <c r="AR38" i="3"/>
  <c r="A39" i="3"/>
  <c r="X39" i="3"/>
  <c r="CQ39" i="3" s="1"/>
  <c r="Y39" i="3"/>
  <c r="AM39" i="3" s="1"/>
  <c r="Z39" i="3"/>
  <c r="AA39" i="3"/>
  <c r="AE39" i="3"/>
  <c r="AF39" i="3"/>
  <c r="AG39" i="3"/>
  <c r="AH39" i="3"/>
  <c r="AJ39" i="3"/>
  <c r="AK39" i="3"/>
  <c r="AR39" i="3"/>
  <c r="A40" i="3"/>
  <c r="X40" i="3"/>
  <c r="CQ40" i="3"/>
  <c r="Y40" i="3"/>
  <c r="CR40" i="3" s="1"/>
  <c r="Z40" i="3"/>
  <c r="AA40" i="3"/>
  <c r="AE40" i="3"/>
  <c r="AF40" i="3"/>
  <c r="AG40" i="3"/>
  <c r="AH40" i="3"/>
  <c r="AJ40" i="3"/>
  <c r="AK40" i="3"/>
  <c r="AR40" i="3"/>
  <c r="A41" i="3"/>
  <c r="Z41" i="3"/>
  <c r="AA41" i="3"/>
  <c r="AE41" i="3"/>
  <c r="AF41" i="3"/>
  <c r="AG41" i="3"/>
  <c r="AH41" i="3"/>
  <c r="AJ41" i="3"/>
  <c r="AK41" i="3"/>
  <c r="AR41" i="3"/>
  <c r="A42" i="3"/>
  <c r="X42" i="3"/>
  <c r="CQ42" i="3"/>
  <c r="Y42" i="3"/>
  <c r="CR42" i="3" s="1"/>
  <c r="Z42" i="3"/>
  <c r="AA42" i="3"/>
  <c r="AE42" i="3"/>
  <c r="AF42" i="3"/>
  <c r="AG42" i="3"/>
  <c r="AH42" i="3"/>
  <c r="AJ42" i="3"/>
  <c r="AK42" i="3"/>
  <c r="AR42" i="3"/>
  <c r="A43" i="3"/>
  <c r="X43" i="3"/>
  <c r="CQ43" i="3" s="1"/>
  <c r="Y43" i="3"/>
  <c r="CR43" i="3"/>
  <c r="Z43" i="3"/>
  <c r="AA43" i="3"/>
  <c r="AE43" i="3"/>
  <c r="AF43" i="3"/>
  <c r="AG43" i="3"/>
  <c r="AH43" i="3"/>
  <c r="AJ43" i="3"/>
  <c r="AK43" i="3"/>
  <c r="AR43" i="3"/>
  <c r="A44" i="3"/>
  <c r="X44" i="3"/>
  <c r="CQ44" i="3" s="1"/>
  <c r="Z44" i="3"/>
  <c r="AA44" i="3"/>
  <c r="AE44" i="3"/>
  <c r="AF44" i="3"/>
  <c r="AG44" i="3"/>
  <c r="AH44" i="3"/>
  <c r="AJ44" i="3"/>
  <c r="AK44" i="3"/>
  <c r="AR44" i="3"/>
  <c r="A45" i="3"/>
  <c r="X45" i="3"/>
  <c r="CQ45" i="3" s="1"/>
  <c r="Y45" i="3"/>
  <c r="Z45" i="3"/>
  <c r="AA45" i="3"/>
  <c r="AE45" i="3"/>
  <c r="AF45" i="3"/>
  <c r="AG45" i="3"/>
  <c r="AH45" i="3"/>
  <c r="AJ45" i="3"/>
  <c r="AK45" i="3"/>
  <c r="AR45" i="3"/>
  <c r="A46" i="3"/>
  <c r="X46" i="3"/>
  <c r="AM46" i="3" s="1"/>
  <c r="Y46" i="3"/>
  <c r="CR46" i="3"/>
  <c r="Z46" i="3"/>
  <c r="AA46" i="3"/>
  <c r="AE46" i="3"/>
  <c r="AF46" i="3"/>
  <c r="AG46" i="3"/>
  <c r="AH46" i="3"/>
  <c r="AJ46" i="3"/>
  <c r="AK46" i="3"/>
  <c r="AR46" i="3"/>
  <c r="A47" i="3"/>
  <c r="X47" i="3"/>
  <c r="CQ47" i="3" s="1"/>
  <c r="Y47" i="3"/>
  <c r="CR47" i="3"/>
  <c r="Z47" i="3"/>
  <c r="AA47" i="3"/>
  <c r="AE47" i="3"/>
  <c r="AF47" i="3"/>
  <c r="AG47" i="3"/>
  <c r="AH47" i="3"/>
  <c r="AJ47" i="3"/>
  <c r="AK47" i="3"/>
  <c r="AR47" i="3"/>
  <c r="A48" i="3"/>
  <c r="Y48" i="3"/>
  <c r="CR48" i="3"/>
  <c r="AA48" i="3"/>
  <c r="AE48" i="3"/>
  <c r="AF48" i="3"/>
  <c r="AG48" i="3"/>
  <c r="AH48" i="3"/>
  <c r="AJ48" i="3"/>
  <c r="AK48" i="3"/>
  <c r="AR48" i="3"/>
  <c r="A49" i="3"/>
  <c r="X49" i="3"/>
  <c r="CQ49" i="3" s="1"/>
  <c r="Y49" i="3"/>
  <c r="AM49" i="3" s="1"/>
  <c r="Z49" i="3"/>
  <c r="AA49" i="3"/>
  <c r="AE49" i="3"/>
  <c r="AF49" i="3"/>
  <c r="AG49" i="3"/>
  <c r="AH49" i="3"/>
  <c r="AJ49" i="3"/>
  <c r="AK49" i="3"/>
  <c r="AR49" i="3"/>
  <c r="A50" i="3"/>
  <c r="AA50" i="3"/>
  <c r="AE50" i="3"/>
  <c r="AF50" i="3"/>
  <c r="AG50" i="3"/>
  <c r="AH50" i="3"/>
  <c r="AJ50" i="3"/>
  <c r="AK50" i="3"/>
  <c r="AR50" i="3"/>
  <c r="A51" i="3"/>
  <c r="X51" i="3"/>
  <c r="AM51" i="3" s="1"/>
  <c r="Y51" i="3"/>
  <c r="CR51" i="3"/>
  <c r="Z51" i="3"/>
  <c r="AA51" i="3"/>
  <c r="AE51" i="3"/>
  <c r="AF51" i="3"/>
  <c r="AG51" i="3"/>
  <c r="AH51" i="3"/>
  <c r="AJ51" i="3"/>
  <c r="AK51" i="3"/>
  <c r="AR51" i="3"/>
  <c r="A52" i="3"/>
  <c r="X52" i="3"/>
  <c r="CQ52" i="3" s="1"/>
  <c r="Y52" i="3"/>
  <c r="CR52" i="3"/>
  <c r="Z52" i="3"/>
  <c r="AA52" i="3"/>
  <c r="AE52" i="3"/>
  <c r="AF52" i="3"/>
  <c r="AG52" i="3"/>
  <c r="AH52" i="3"/>
  <c r="AJ52" i="3"/>
  <c r="AK52" i="3"/>
  <c r="AR52" i="3"/>
  <c r="A53" i="3"/>
  <c r="X53" i="3"/>
  <c r="CQ53" i="3"/>
  <c r="Y53" i="3"/>
  <c r="CR53" i="3" s="1"/>
  <c r="Z53" i="3"/>
  <c r="AA53" i="3"/>
  <c r="AE53" i="3"/>
  <c r="AF53" i="3"/>
  <c r="AG53" i="3"/>
  <c r="AH53" i="3"/>
  <c r="AJ53" i="3"/>
  <c r="AK53" i="3"/>
  <c r="AR53" i="3"/>
  <c r="A54" i="3"/>
  <c r="AM54" i="3" s="1"/>
  <c r="X54" i="3"/>
  <c r="CQ54" i="3"/>
  <c r="Y54" i="3"/>
  <c r="Z54" i="3"/>
  <c r="AA54" i="3"/>
  <c r="AE54" i="3"/>
  <c r="AF54" i="3"/>
  <c r="AG54" i="3"/>
  <c r="AH54" i="3"/>
  <c r="AJ54" i="3"/>
  <c r="AK54" i="3"/>
  <c r="AR54" i="3"/>
  <c r="A55" i="3"/>
  <c r="X55" i="3"/>
  <c r="Y55" i="3"/>
  <c r="CR55" i="3"/>
  <c r="Z55" i="3"/>
  <c r="AA55" i="3"/>
  <c r="AE55" i="3"/>
  <c r="AF55" i="3"/>
  <c r="AG55" i="3"/>
  <c r="AH55" i="3"/>
  <c r="AJ55" i="3"/>
  <c r="AK55" i="3"/>
  <c r="AR55" i="3"/>
  <c r="A56" i="3"/>
  <c r="X56" i="3"/>
  <c r="Y56" i="3"/>
  <c r="CR56" i="3"/>
  <c r="Z56" i="3"/>
  <c r="AA56" i="3"/>
  <c r="AE56" i="3"/>
  <c r="AF56" i="3"/>
  <c r="AG56" i="3"/>
  <c r="AH56" i="3"/>
  <c r="AJ56" i="3"/>
  <c r="AK56" i="3"/>
  <c r="AR56" i="3"/>
  <c r="A57" i="3"/>
  <c r="X57" i="3"/>
  <c r="Y57" i="3"/>
  <c r="CR57" i="3" s="1"/>
  <c r="Z57" i="3"/>
  <c r="AA57" i="3"/>
  <c r="AE57" i="3"/>
  <c r="AF57" i="3"/>
  <c r="AG57" i="3"/>
  <c r="AH57" i="3"/>
  <c r="AJ57" i="3"/>
  <c r="AK57" i="3"/>
  <c r="AR57" i="3"/>
  <c r="A58" i="3"/>
  <c r="X58" i="3"/>
  <c r="Y58" i="3"/>
  <c r="CR58" i="3" s="1"/>
  <c r="Z58" i="3"/>
  <c r="AA58" i="3"/>
  <c r="AE58" i="3"/>
  <c r="AF58" i="3"/>
  <c r="AG58" i="3"/>
  <c r="AH58" i="3"/>
  <c r="AJ58" i="3"/>
  <c r="AK58" i="3"/>
  <c r="AR58" i="3"/>
  <c r="CR31" i="3"/>
  <c r="X9" i="2"/>
  <c r="Y9" i="2"/>
  <c r="AM9" i="2" s="1"/>
  <c r="Z9" i="2"/>
  <c r="AA9" i="2"/>
  <c r="AE9" i="2"/>
  <c r="AF9" i="2"/>
  <c r="AG9" i="2"/>
  <c r="AH9" i="2"/>
  <c r="AJ9" i="2"/>
  <c r="AK9" i="2"/>
  <c r="AR9" i="2"/>
  <c r="X10" i="2"/>
  <c r="Y10" i="2"/>
  <c r="Z10" i="2"/>
  <c r="AA10" i="2"/>
  <c r="AE10" i="2"/>
  <c r="AF10" i="2"/>
  <c r="AG10" i="2"/>
  <c r="AH10" i="2"/>
  <c r="AJ10" i="2"/>
  <c r="AK10" i="2"/>
  <c r="AR10" i="2"/>
  <c r="X11" i="2"/>
  <c r="Y11" i="2"/>
  <c r="AM11" i="2" s="1"/>
  <c r="Z11" i="2"/>
  <c r="AA11" i="2"/>
  <c r="AE11" i="2"/>
  <c r="AF11" i="2"/>
  <c r="AG11" i="2"/>
  <c r="AH11" i="2"/>
  <c r="AJ11" i="2"/>
  <c r="AK11" i="2"/>
  <c r="AR11" i="2"/>
  <c r="X12" i="2"/>
  <c r="Y12" i="2"/>
  <c r="Z12" i="2"/>
  <c r="AA12" i="2"/>
  <c r="AE12" i="2"/>
  <c r="AF12" i="2"/>
  <c r="AG12" i="2"/>
  <c r="AH12" i="2"/>
  <c r="AJ12" i="2"/>
  <c r="AK12" i="2"/>
  <c r="AR12" i="2"/>
  <c r="X13" i="2"/>
  <c r="Y13" i="2"/>
  <c r="Z13" i="2"/>
  <c r="AA13" i="2"/>
  <c r="AE13" i="2"/>
  <c r="AF13" i="2"/>
  <c r="AG13" i="2"/>
  <c r="AH13" i="2"/>
  <c r="AJ13" i="2"/>
  <c r="AK13" i="2"/>
  <c r="AR13" i="2"/>
  <c r="AS13" i="2"/>
  <c r="X14" i="2"/>
  <c r="Y14" i="2"/>
  <c r="Z14" i="2"/>
  <c r="AA14" i="2"/>
  <c r="AE14" i="2"/>
  <c r="AF14" i="2"/>
  <c r="AG14" i="2"/>
  <c r="AH14" i="2"/>
  <c r="AJ14" i="2"/>
  <c r="AK14" i="2"/>
  <c r="AR14" i="2"/>
  <c r="X15" i="2"/>
  <c r="Y15" i="2"/>
  <c r="Z15" i="2"/>
  <c r="AA15" i="2"/>
  <c r="AE15" i="2"/>
  <c r="AF15" i="2"/>
  <c r="AG15" i="2"/>
  <c r="AH15" i="2"/>
  <c r="AJ15" i="2"/>
  <c r="AK15" i="2"/>
  <c r="AR15" i="2"/>
  <c r="P16" i="2"/>
  <c r="X16" i="2"/>
  <c r="Y16" i="2"/>
  <c r="Z16" i="2"/>
  <c r="AA16" i="2"/>
  <c r="AE16" i="2"/>
  <c r="AF16" i="2"/>
  <c r="AG16" i="2"/>
  <c r="AH16" i="2"/>
  <c r="AJ16" i="2"/>
  <c r="AK16" i="2"/>
  <c r="AR16" i="2"/>
  <c r="X17" i="2"/>
  <c r="Y17" i="2"/>
  <c r="AM17" i="2" s="1"/>
  <c r="Z17" i="2"/>
  <c r="AA17" i="2"/>
  <c r="AE17" i="2"/>
  <c r="AF17" i="2"/>
  <c r="AG17" i="2"/>
  <c r="AH17" i="2"/>
  <c r="AJ17" i="2"/>
  <c r="AK17" i="2"/>
  <c r="AR17" i="2"/>
  <c r="X18" i="2"/>
  <c r="AM18" i="2" s="1"/>
  <c r="Y18" i="2"/>
  <c r="Z18" i="2"/>
  <c r="AA18" i="2"/>
  <c r="AE18" i="2"/>
  <c r="AF18" i="2"/>
  <c r="AG18" i="2"/>
  <c r="AH18" i="2"/>
  <c r="AJ18" i="2"/>
  <c r="AK18" i="2"/>
  <c r="AR18" i="2"/>
  <c r="X19" i="2"/>
  <c r="Y19" i="2"/>
  <c r="Z19" i="2"/>
  <c r="AA19" i="2"/>
  <c r="AE19" i="2"/>
  <c r="AF19" i="2"/>
  <c r="AG19" i="2"/>
  <c r="AH19" i="2"/>
  <c r="AJ19" i="2"/>
  <c r="AK19" i="2"/>
  <c r="AR19" i="2"/>
  <c r="X20" i="2"/>
  <c r="Y20" i="2"/>
  <c r="Z20" i="2"/>
  <c r="AA20" i="2"/>
  <c r="AE20" i="2"/>
  <c r="AF20" i="2"/>
  <c r="AG20" i="2"/>
  <c r="AH20" i="2"/>
  <c r="AJ20" i="2"/>
  <c r="AK20" i="2"/>
  <c r="AR20" i="2"/>
  <c r="X21" i="2"/>
  <c r="Y21" i="2"/>
  <c r="AM21" i="2" s="1"/>
  <c r="Z21" i="2"/>
  <c r="AA21" i="2"/>
  <c r="AE21" i="2"/>
  <c r="AF21" i="2"/>
  <c r="AG21" i="2"/>
  <c r="AH21" i="2"/>
  <c r="AJ21" i="2"/>
  <c r="AK21" i="2"/>
  <c r="AR21" i="2"/>
  <c r="X22" i="2"/>
  <c r="Y22" i="2"/>
  <c r="Z22" i="2"/>
  <c r="AA22" i="2"/>
  <c r="AE22" i="2"/>
  <c r="AF22" i="2"/>
  <c r="AG22" i="2"/>
  <c r="AH22" i="2"/>
  <c r="AJ22" i="2"/>
  <c r="AK22" i="2"/>
  <c r="AR22" i="2"/>
  <c r="AS22" i="2"/>
  <c r="X23" i="2"/>
  <c r="AM23" i="2" s="1"/>
  <c r="Y23" i="2"/>
  <c r="Z23" i="2"/>
  <c r="AA23" i="2"/>
  <c r="AE23" i="2"/>
  <c r="AF23" i="2"/>
  <c r="AG23" i="2"/>
  <c r="AH23" i="2"/>
  <c r="AJ23" i="2"/>
  <c r="AK23" i="2"/>
  <c r="AR23" i="2"/>
  <c r="X24" i="2"/>
  <c r="Y24" i="2"/>
  <c r="AM24" i="2" s="1"/>
  <c r="Z24" i="2"/>
  <c r="AA24" i="2"/>
  <c r="AE24" i="2"/>
  <c r="AF24" i="2"/>
  <c r="AG24" i="2"/>
  <c r="AH24" i="2"/>
  <c r="AJ24" i="2"/>
  <c r="AK24" i="2"/>
  <c r="AR24" i="2"/>
  <c r="X25" i="2"/>
  <c r="Y25" i="2"/>
  <c r="Z25" i="2"/>
  <c r="AA25" i="2"/>
  <c r="AE25" i="2"/>
  <c r="AF25" i="2"/>
  <c r="AG25" i="2"/>
  <c r="AH25" i="2"/>
  <c r="AJ25" i="2"/>
  <c r="AK25" i="2"/>
  <c r="AR25" i="2"/>
  <c r="X26" i="2"/>
  <c r="Y26" i="2"/>
  <c r="AM26" i="2" s="1"/>
  <c r="Z26" i="2"/>
  <c r="AA26" i="2"/>
  <c r="AE26" i="2"/>
  <c r="AF26" i="2"/>
  <c r="AG26" i="2"/>
  <c r="AH26" i="2"/>
  <c r="AJ26" i="2"/>
  <c r="AK26" i="2"/>
  <c r="AR26" i="2"/>
  <c r="X27" i="2"/>
  <c r="AM27" i="2" s="1"/>
  <c r="Y27" i="2"/>
  <c r="Z27" i="2"/>
  <c r="AA27" i="2"/>
  <c r="AE27" i="2"/>
  <c r="AF27" i="2"/>
  <c r="AG27" i="2"/>
  <c r="AH27" i="2"/>
  <c r="AJ27" i="2"/>
  <c r="AK27" i="2"/>
  <c r="AR27" i="2"/>
  <c r="X28" i="2"/>
  <c r="Y28" i="2"/>
  <c r="Z28" i="2"/>
  <c r="AA28" i="2"/>
  <c r="AE28" i="2"/>
  <c r="AF28" i="2"/>
  <c r="AG28" i="2"/>
  <c r="AH28" i="2"/>
  <c r="AJ28" i="2"/>
  <c r="AK28" i="2"/>
  <c r="AR28" i="2"/>
  <c r="X29" i="2"/>
  <c r="AM29" i="2" s="1"/>
  <c r="Y29" i="2"/>
  <c r="Z29" i="2"/>
  <c r="AA29" i="2"/>
  <c r="AE29" i="2"/>
  <c r="AF29" i="2"/>
  <c r="AG29" i="2"/>
  <c r="AH29" i="2"/>
  <c r="AJ29" i="2"/>
  <c r="AK29" i="2"/>
  <c r="AR29" i="2"/>
  <c r="X30" i="2"/>
  <c r="Y30" i="2"/>
  <c r="AM30" i="2" s="1"/>
  <c r="Z30" i="2"/>
  <c r="AA30" i="2"/>
  <c r="AE30" i="2"/>
  <c r="AF30" i="2"/>
  <c r="AG30" i="2"/>
  <c r="AH30" i="2"/>
  <c r="AJ30" i="2"/>
  <c r="AK30" i="2"/>
  <c r="AR30" i="2"/>
  <c r="X31" i="2"/>
  <c r="AM31" i="2" s="1"/>
  <c r="Y31" i="2"/>
  <c r="Z31" i="2"/>
  <c r="AA31" i="2"/>
  <c r="AE31" i="2"/>
  <c r="AF31" i="2"/>
  <c r="AG31" i="2"/>
  <c r="AH31" i="2"/>
  <c r="AJ31" i="2"/>
  <c r="AK31" i="2"/>
  <c r="AR31" i="2"/>
  <c r="X32" i="2"/>
  <c r="Y32" i="2"/>
  <c r="Z32" i="2"/>
  <c r="AA32" i="2"/>
  <c r="AE32" i="2"/>
  <c r="AF32" i="2"/>
  <c r="AG32" i="2"/>
  <c r="AH32" i="2"/>
  <c r="AJ32" i="2"/>
  <c r="AK32" i="2"/>
  <c r="AR32" i="2"/>
  <c r="X33" i="2"/>
  <c r="Y33" i="2"/>
  <c r="Z33" i="2"/>
  <c r="AA33" i="2"/>
  <c r="AE33" i="2"/>
  <c r="AF33" i="2"/>
  <c r="AG33" i="2"/>
  <c r="AH33" i="2"/>
  <c r="AJ33" i="2"/>
  <c r="AK33" i="2"/>
  <c r="AR33" i="2"/>
  <c r="X34" i="2"/>
  <c r="Y34" i="2"/>
  <c r="AM34" i="2" s="1"/>
  <c r="Z34" i="2"/>
  <c r="AA34" i="2"/>
  <c r="AE34" i="2"/>
  <c r="AF34" i="2"/>
  <c r="AG34" i="2"/>
  <c r="AH34" i="2"/>
  <c r="AJ34" i="2"/>
  <c r="AK34" i="2"/>
  <c r="AR34" i="2"/>
  <c r="X35" i="2"/>
  <c r="AM35" i="2" s="1"/>
  <c r="Y35" i="2"/>
  <c r="Z35" i="2"/>
  <c r="AA35" i="2"/>
  <c r="AE35" i="2"/>
  <c r="AF35" i="2"/>
  <c r="AG35" i="2"/>
  <c r="AH35" i="2"/>
  <c r="AJ35" i="2"/>
  <c r="AK35" i="2"/>
  <c r="AR35" i="2"/>
  <c r="X36" i="2"/>
  <c r="Y36" i="2"/>
  <c r="Z36" i="2"/>
  <c r="AA36" i="2"/>
  <c r="AE36" i="2"/>
  <c r="AF36" i="2"/>
  <c r="AG36" i="2"/>
  <c r="AH36" i="2"/>
  <c r="AJ36" i="2"/>
  <c r="AK36" i="2"/>
  <c r="AR36" i="2"/>
  <c r="X37" i="2"/>
  <c r="AM37" i="2" s="1"/>
  <c r="Y37" i="2"/>
  <c r="Z37" i="2"/>
  <c r="AA37" i="2"/>
  <c r="AE37" i="2"/>
  <c r="AF37" i="2"/>
  <c r="AG37" i="2"/>
  <c r="AH37" i="2"/>
  <c r="AJ37" i="2"/>
  <c r="AK37" i="2"/>
  <c r="AR37" i="2"/>
  <c r="X38" i="2"/>
  <c r="Y38" i="2"/>
  <c r="Z38" i="2"/>
  <c r="AA38" i="2"/>
  <c r="AE38" i="2"/>
  <c r="AF38" i="2"/>
  <c r="AG38" i="2"/>
  <c r="AH38" i="2"/>
  <c r="AJ38" i="2"/>
  <c r="AK38" i="2"/>
  <c r="AR38" i="2"/>
  <c r="X39" i="2"/>
  <c r="AM39" i="2" s="1"/>
  <c r="Y39" i="2"/>
  <c r="Z39" i="2"/>
  <c r="AA39" i="2"/>
  <c r="AE39" i="2"/>
  <c r="AF39" i="2"/>
  <c r="AG39" i="2"/>
  <c r="AH39" i="2"/>
  <c r="AJ39" i="2"/>
  <c r="AK39" i="2"/>
  <c r="AR39" i="2"/>
  <c r="X40" i="2"/>
  <c r="Y40" i="2"/>
  <c r="AM40" i="2" s="1"/>
  <c r="Z40" i="2"/>
  <c r="AA40" i="2"/>
  <c r="AE40" i="2"/>
  <c r="AF40" i="2"/>
  <c r="AG40" i="2"/>
  <c r="AH40" i="2"/>
  <c r="AJ40" i="2"/>
  <c r="AK40" i="2"/>
  <c r="AR40" i="2"/>
  <c r="X41" i="2"/>
  <c r="Y41" i="2"/>
  <c r="Z41" i="2"/>
  <c r="AA41" i="2"/>
  <c r="AE41" i="2"/>
  <c r="AF41" i="2"/>
  <c r="AG41" i="2"/>
  <c r="AH41" i="2"/>
  <c r="AJ41" i="2"/>
  <c r="AK41" i="2"/>
  <c r="AR41" i="2"/>
  <c r="X42" i="2"/>
  <c r="Y42" i="2"/>
  <c r="Z42" i="2"/>
  <c r="AA42" i="2"/>
  <c r="AE42" i="2"/>
  <c r="AF42" i="2"/>
  <c r="AG42" i="2"/>
  <c r="AH42" i="2"/>
  <c r="AJ42" i="2"/>
  <c r="AK42" i="2"/>
  <c r="AR42" i="2"/>
  <c r="X43" i="2"/>
  <c r="Y43" i="2"/>
  <c r="Z43" i="2"/>
  <c r="AA43" i="2"/>
  <c r="AE43" i="2"/>
  <c r="AF43" i="2"/>
  <c r="AG43" i="2"/>
  <c r="AH43" i="2"/>
  <c r="AJ43" i="2"/>
  <c r="AK43" i="2"/>
  <c r="AR43" i="2"/>
  <c r="X44" i="2"/>
  <c r="Y44" i="2"/>
  <c r="Z44" i="2"/>
  <c r="AA44" i="2"/>
  <c r="AE44" i="2"/>
  <c r="AF44" i="2"/>
  <c r="AG44" i="2"/>
  <c r="AH44" i="2"/>
  <c r="AJ44" i="2"/>
  <c r="AK44" i="2"/>
  <c r="AR44" i="2"/>
  <c r="X45" i="2"/>
  <c r="AM45" i="2" s="1"/>
  <c r="Y45" i="2"/>
  <c r="Z45" i="2"/>
  <c r="AA45" i="2"/>
  <c r="AE45" i="2"/>
  <c r="AF45" i="2"/>
  <c r="AG45" i="2"/>
  <c r="AH45" i="2"/>
  <c r="AJ45" i="2"/>
  <c r="AK45" i="2"/>
  <c r="AR45" i="2"/>
  <c r="X46" i="2"/>
  <c r="Y46" i="2"/>
  <c r="AM46" i="2" s="1"/>
  <c r="Z46" i="2"/>
  <c r="AA46" i="2"/>
  <c r="AE46" i="2"/>
  <c r="AF46" i="2"/>
  <c r="AG46" i="2"/>
  <c r="AH46" i="2"/>
  <c r="AJ46" i="2"/>
  <c r="AK46" i="2"/>
  <c r="AR46" i="2"/>
  <c r="X47" i="2"/>
  <c r="AM47" i="2" s="1"/>
  <c r="Y47" i="2"/>
  <c r="Z47" i="2"/>
  <c r="AA47" i="2"/>
  <c r="AE47" i="2"/>
  <c r="AF47" i="2"/>
  <c r="AG47" i="2"/>
  <c r="AH47" i="2"/>
  <c r="AJ47" i="2"/>
  <c r="AK47" i="2"/>
  <c r="AR47" i="2"/>
  <c r="X48" i="2"/>
  <c r="Y48" i="2"/>
  <c r="AA48" i="2"/>
  <c r="AE48" i="2"/>
  <c r="AF48" i="2"/>
  <c r="AG48" i="2"/>
  <c r="AH48" i="2"/>
  <c r="AJ48" i="2"/>
  <c r="AK48" i="2"/>
  <c r="AR48" i="2"/>
  <c r="X49" i="2"/>
  <c r="Y49" i="2"/>
  <c r="Z49" i="2"/>
  <c r="AA49" i="2"/>
  <c r="AE49" i="2"/>
  <c r="AF49" i="2"/>
  <c r="AG49" i="2"/>
  <c r="AH49" i="2"/>
  <c r="AJ49" i="2"/>
  <c r="AK49" i="2"/>
  <c r="AR49" i="2"/>
  <c r="Y50" i="2"/>
  <c r="AA50" i="2"/>
  <c r="AE50" i="2"/>
  <c r="AF50" i="2"/>
  <c r="AG50" i="2"/>
  <c r="AH50" i="2"/>
  <c r="AJ50" i="2"/>
  <c r="AK50" i="2"/>
  <c r="AR50" i="2"/>
  <c r="X51" i="2"/>
  <c r="Y51" i="2"/>
  <c r="AM51" i="2" s="1"/>
  <c r="Z51" i="2"/>
  <c r="AA51" i="2"/>
  <c r="AE51" i="2"/>
  <c r="AF51" i="2"/>
  <c r="AG51" i="2"/>
  <c r="AH51" i="2"/>
  <c r="AJ51" i="2"/>
  <c r="AK51" i="2"/>
  <c r="AR51" i="2"/>
  <c r="X52" i="2"/>
  <c r="Y52" i="2"/>
  <c r="AM52" i="2" s="1"/>
  <c r="Z52" i="2"/>
  <c r="AA52" i="2"/>
  <c r="AE52" i="2"/>
  <c r="AF52" i="2"/>
  <c r="AG52" i="2"/>
  <c r="AH52" i="2"/>
  <c r="AJ52" i="2"/>
  <c r="AK52" i="2"/>
  <c r="AR52" i="2"/>
  <c r="X53" i="2"/>
  <c r="Y53" i="2"/>
  <c r="Z53" i="2"/>
  <c r="AA53" i="2"/>
  <c r="AE53" i="2"/>
  <c r="AF53" i="2"/>
  <c r="AG53" i="2"/>
  <c r="AH53" i="2"/>
  <c r="AJ53" i="2"/>
  <c r="AK53" i="2"/>
  <c r="AR53" i="2"/>
  <c r="X54" i="2"/>
  <c r="Y54" i="2"/>
  <c r="Z54" i="2"/>
  <c r="AA54" i="2"/>
  <c r="AE54" i="2"/>
  <c r="AF54" i="2"/>
  <c r="AG54" i="2"/>
  <c r="AH54" i="2"/>
  <c r="AJ54" i="2"/>
  <c r="AK54" i="2"/>
  <c r="AR54" i="2"/>
  <c r="X55" i="2"/>
  <c r="AM55" i="2" s="1"/>
  <c r="Y55" i="2"/>
  <c r="Z55" i="2"/>
  <c r="AA55" i="2"/>
  <c r="AE55" i="2"/>
  <c r="AF55" i="2"/>
  <c r="AG55" i="2"/>
  <c r="AH55" i="2"/>
  <c r="AJ55" i="2"/>
  <c r="AK55" i="2"/>
  <c r="AR55" i="2"/>
  <c r="X56" i="2"/>
  <c r="AM56" i="2" s="1"/>
  <c r="Y56" i="2"/>
  <c r="Z56" i="2"/>
  <c r="AA56" i="2"/>
  <c r="AE56" i="2"/>
  <c r="AF56" i="2"/>
  <c r="AG56" i="2"/>
  <c r="AH56" i="2"/>
  <c r="AJ56" i="2"/>
  <c r="AK56" i="2"/>
  <c r="AR56" i="2"/>
  <c r="X57" i="2"/>
  <c r="Y57" i="2"/>
  <c r="Z57" i="2"/>
  <c r="AA57" i="2"/>
  <c r="AE57" i="2"/>
  <c r="AF57" i="2"/>
  <c r="AG57" i="2"/>
  <c r="AH57" i="2"/>
  <c r="AJ57" i="2"/>
  <c r="AK57" i="2"/>
  <c r="AR57" i="2"/>
  <c r="X58" i="2"/>
  <c r="Y58" i="2"/>
  <c r="Z58" i="2"/>
  <c r="AA58" i="2"/>
  <c r="AE58" i="2"/>
  <c r="AF58" i="2"/>
  <c r="AG58" i="2"/>
  <c r="AH58" i="2"/>
  <c r="AJ58" i="2"/>
  <c r="AK58" i="2"/>
  <c r="AR58" i="2"/>
  <c r="J9" i="1"/>
  <c r="M9" i="1"/>
  <c r="Q9" i="1"/>
  <c r="X9" i="1"/>
  <c r="Y9" i="1"/>
  <c r="AM9" i="1" s="1"/>
  <c r="Z9" i="1"/>
  <c r="AA9" i="1"/>
  <c r="AE9" i="1"/>
  <c r="AF9" i="1"/>
  <c r="AG9" i="1"/>
  <c r="AH9" i="1"/>
  <c r="AJ9" i="1"/>
  <c r="AK9" i="1"/>
  <c r="J10" i="1"/>
  <c r="M10" i="1"/>
  <c r="Q10" i="1"/>
  <c r="X10" i="1"/>
  <c r="Y10" i="1"/>
  <c r="AM10" i="1" s="1"/>
  <c r="Z10" i="1"/>
  <c r="AA10" i="1"/>
  <c r="AE10" i="1"/>
  <c r="AF10" i="1"/>
  <c r="AG10" i="1"/>
  <c r="AH10" i="1"/>
  <c r="AJ10" i="1"/>
  <c r="AK10" i="1"/>
  <c r="J11" i="1"/>
  <c r="M11" i="1" s="1"/>
  <c r="Q11" i="1"/>
  <c r="X11" i="1"/>
  <c r="Y11" i="1"/>
  <c r="Z11" i="1"/>
  <c r="AA11" i="1"/>
  <c r="AE11" i="1"/>
  <c r="AF11" i="1"/>
  <c r="AG11" i="1"/>
  <c r="AH11" i="1"/>
  <c r="AJ11" i="1"/>
  <c r="AK11" i="1"/>
  <c r="J12" i="1"/>
  <c r="M12" i="1"/>
  <c r="Q12" i="1"/>
  <c r="X12" i="1"/>
  <c r="AM12" i="1" s="1"/>
  <c r="Y12" i="1"/>
  <c r="Z12" i="1"/>
  <c r="AA12" i="1"/>
  <c r="AE12" i="1"/>
  <c r="AF12" i="1"/>
  <c r="AG12" i="1"/>
  <c r="AH12" i="1"/>
  <c r="AJ12" i="1"/>
  <c r="AK12" i="1"/>
  <c r="J13" i="1"/>
  <c r="M13" i="1" s="1"/>
  <c r="Q13" i="1"/>
  <c r="X13" i="1"/>
  <c r="Y13" i="1"/>
  <c r="Z13" i="1"/>
  <c r="AA13" i="1"/>
  <c r="AE13" i="1"/>
  <c r="AF13" i="1"/>
  <c r="AG13" i="1"/>
  <c r="AH13" i="1"/>
  <c r="AJ13" i="1"/>
  <c r="AK13" i="1"/>
  <c r="J14" i="1"/>
  <c r="N14" i="1"/>
  <c r="Q14" i="1"/>
  <c r="X14" i="1"/>
  <c r="Y14" i="1"/>
  <c r="Z14" i="1"/>
  <c r="AA14" i="1"/>
  <c r="AE14" i="1"/>
  <c r="AF14" i="1"/>
  <c r="AG14" i="1"/>
  <c r="AH14" i="1"/>
  <c r="AJ14" i="1"/>
  <c r="AK14" i="1"/>
  <c r="J15" i="1"/>
  <c r="N15" i="1" s="1"/>
  <c r="Q15" i="1"/>
  <c r="X15" i="1"/>
  <c r="Y15" i="1"/>
  <c r="Z15" i="1"/>
  <c r="AA15" i="1"/>
  <c r="AE15" i="1"/>
  <c r="AF15" i="1"/>
  <c r="AG15" i="1"/>
  <c r="AH15" i="1"/>
  <c r="AJ15" i="1"/>
  <c r="AK15" i="1"/>
  <c r="J16" i="1"/>
  <c r="Q16" i="1"/>
  <c r="X16" i="1"/>
  <c r="Y16" i="1"/>
  <c r="Z16" i="1"/>
  <c r="AA16" i="1"/>
  <c r="AE16" i="1"/>
  <c r="AF16" i="1"/>
  <c r="AG16" i="1"/>
  <c r="AH16" i="1"/>
  <c r="AJ16" i="1"/>
  <c r="AK16" i="1"/>
  <c r="J17" i="1"/>
  <c r="N17" i="1"/>
  <c r="Q17" i="1"/>
  <c r="X17" i="1"/>
  <c r="Y17" i="1"/>
  <c r="Z17" i="1"/>
  <c r="AA17" i="1"/>
  <c r="AE17" i="1"/>
  <c r="AF17" i="1"/>
  <c r="AG17" i="1"/>
  <c r="AH17" i="1"/>
  <c r="AJ17" i="1"/>
  <c r="AK17" i="1"/>
  <c r="AM17" i="1"/>
  <c r="J18" i="1"/>
  <c r="P18" i="1"/>
  <c r="Q18" i="1"/>
  <c r="X18" i="1"/>
  <c r="Y18" i="1"/>
  <c r="Z18" i="1"/>
  <c r="AA18" i="1"/>
  <c r="AE18" i="1"/>
  <c r="AF18" i="1"/>
  <c r="AG18" i="1"/>
  <c r="AH18" i="1"/>
  <c r="AJ18" i="1"/>
  <c r="AK18" i="1"/>
  <c r="AM18" i="1"/>
  <c r="J19" i="1"/>
  <c r="N19" i="1"/>
  <c r="Q19" i="1"/>
  <c r="X19" i="1"/>
  <c r="Y19" i="1"/>
  <c r="Z19" i="1"/>
  <c r="AA19" i="1"/>
  <c r="AE19" i="1"/>
  <c r="AF19" i="1"/>
  <c r="AG19" i="1"/>
  <c r="AH19" i="1"/>
  <c r="AJ19" i="1"/>
  <c r="AK19" i="1"/>
  <c r="J20" i="1"/>
  <c r="M20" i="1"/>
  <c r="Q20" i="1"/>
  <c r="X20" i="1"/>
  <c r="Y20" i="1"/>
  <c r="AM20" i="1" s="1"/>
  <c r="Z20" i="1"/>
  <c r="AA20" i="1"/>
  <c r="AE20" i="1"/>
  <c r="AF20" i="1"/>
  <c r="AG20" i="1"/>
  <c r="AH20" i="1"/>
  <c r="AJ20" i="1"/>
  <c r="AK20" i="1"/>
  <c r="J21" i="1"/>
  <c r="N21" i="1"/>
  <c r="Q21" i="1"/>
  <c r="X21" i="1"/>
  <c r="Y21" i="1"/>
  <c r="Z21" i="1"/>
  <c r="AA21" i="1"/>
  <c r="AE21" i="1"/>
  <c r="AF21" i="1"/>
  <c r="AG21" i="1"/>
  <c r="AH21" i="1"/>
  <c r="AJ21" i="1"/>
  <c r="AK21" i="1"/>
  <c r="J22" i="1"/>
  <c r="M22" i="1" s="1"/>
  <c r="Q22" i="1"/>
  <c r="X22" i="1"/>
  <c r="Y22" i="1"/>
  <c r="Z22" i="1"/>
  <c r="AA22" i="1"/>
  <c r="AE22" i="1"/>
  <c r="AF22" i="1"/>
  <c r="AG22" i="1"/>
  <c r="AH22" i="1"/>
  <c r="AJ22" i="1"/>
  <c r="AK22" i="1"/>
  <c r="J23" i="1"/>
  <c r="N23" i="1"/>
  <c r="Q23" i="1"/>
  <c r="X23" i="1"/>
  <c r="Y23" i="1"/>
  <c r="Z23" i="1"/>
  <c r="AA23" i="1"/>
  <c r="AE23" i="1"/>
  <c r="AF23" i="1"/>
  <c r="AG23" i="1"/>
  <c r="AH23" i="1"/>
  <c r="AJ23" i="1"/>
  <c r="AK23" i="1"/>
  <c r="J24" i="1"/>
  <c r="M24" i="1" s="1"/>
  <c r="Q24" i="1"/>
  <c r="X24" i="1"/>
  <c r="Y24" i="1"/>
  <c r="Z24" i="1"/>
  <c r="AA24" i="1"/>
  <c r="AE24" i="1"/>
  <c r="AF24" i="1"/>
  <c r="AG24" i="1"/>
  <c r="AH24" i="1"/>
  <c r="AJ24" i="1"/>
  <c r="AK24" i="1"/>
  <c r="J25" i="1"/>
  <c r="N25" i="1" s="1"/>
  <c r="Q25" i="1"/>
  <c r="X25" i="1"/>
  <c r="Y25" i="1"/>
  <c r="AM25" i="1" s="1"/>
  <c r="Z25" i="1"/>
  <c r="AA25" i="1"/>
  <c r="AE25" i="1"/>
  <c r="AF25" i="1"/>
  <c r="AG25" i="1"/>
  <c r="AH25" i="1"/>
  <c r="AJ25" i="1"/>
  <c r="AK25" i="1"/>
  <c r="J26" i="1"/>
  <c r="N26" i="1"/>
  <c r="Q26" i="1"/>
  <c r="X26" i="1"/>
  <c r="Y26" i="1"/>
  <c r="Z26" i="1"/>
  <c r="AA26" i="1"/>
  <c r="AE26" i="1"/>
  <c r="AF26" i="1"/>
  <c r="AG26" i="1"/>
  <c r="AH26" i="1"/>
  <c r="AJ26" i="1"/>
  <c r="AK26" i="1"/>
  <c r="J27" i="1"/>
  <c r="N27" i="1"/>
  <c r="Q27" i="1"/>
  <c r="X27" i="1"/>
  <c r="Y27" i="1"/>
  <c r="AM27" i="1" s="1"/>
  <c r="Z27" i="1"/>
  <c r="AA27" i="1"/>
  <c r="AE27" i="1"/>
  <c r="AF27" i="1"/>
  <c r="AG27" i="1"/>
  <c r="AH27" i="1"/>
  <c r="AJ27" i="1"/>
  <c r="AK27" i="1"/>
  <c r="J28" i="1"/>
  <c r="M28" i="1"/>
  <c r="Q28" i="1"/>
  <c r="X28" i="1"/>
  <c r="Y28" i="1"/>
  <c r="Z28" i="1"/>
  <c r="AA28" i="1"/>
  <c r="AE28" i="1"/>
  <c r="AF28" i="1"/>
  <c r="AG28" i="1"/>
  <c r="AH28" i="1"/>
  <c r="AJ28" i="1"/>
  <c r="AK28" i="1"/>
  <c r="J29" i="1"/>
  <c r="N29" i="1"/>
  <c r="Q29" i="1"/>
  <c r="X29" i="1"/>
  <c r="Y29" i="1"/>
  <c r="Z29" i="1"/>
  <c r="AA29" i="1"/>
  <c r="AE29" i="1"/>
  <c r="AF29" i="1"/>
  <c r="AG29" i="1"/>
  <c r="AH29" i="1"/>
  <c r="AJ29" i="1"/>
  <c r="AK29" i="1"/>
  <c r="AM29" i="1"/>
  <c r="J30" i="1"/>
  <c r="N30" i="1"/>
  <c r="Q30" i="1"/>
  <c r="X30" i="1"/>
  <c r="Y30" i="1"/>
  <c r="Z30" i="1"/>
  <c r="AA30" i="1"/>
  <c r="AE30" i="1"/>
  <c r="AF30" i="1"/>
  <c r="AG30" i="1"/>
  <c r="AH30" i="1"/>
  <c r="AJ30" i="1"/>
  <c r="AK30" i="1"/>
  <c r="J31" i="1"/>
  <c r="M31" i="1"/>
  <c r="N31" i="1" s="1"/>
  <c r="Q31" i="1"/>
  <c r="X31" i="1"/>
  <c r="AM31" i="1" s="1"/>
  <c r="Y31" i="1"/>
  <c r="Z31" i="1"/>
  <c r="AA31" i="1"/>
  <c r="AE31" i="1"/>
  <c r="AF31" i="1"/>
  <c r="AG31" i="1"/>
  <c r="AH31" i="1"/>
  <c r="AJ31" i="1"/>
  <c r="AK31" i="1"/>
  <c r="J32" i="1"/>
  <c r="M32" i="1" s="1"/>
  <c r="N32" i="1" s="1"/>
  <c r="Q32" i="1"/>
  <c r="X32" i="1"/>
  <c r="AM32" i="1" s="1"/>
  <c r="Y32" i="1"/>
  <c r="Z32" i="1"/>
  <c r="AA32" i="1"/>
  <c r="AE32" i="1"/>
  <c r="AF32" i="1"/>
  <c r="AG32" i="1"/>
  <c r="AH32" i="1"/>
  <c r="AJ32" i="1"/>
  <c r="AK32" i="1"/>
  <c r="J33" i="1"/>
  <c r="M33" i="1" s="1"/>
  <c r="N33" i="1" s="1"/>
  <c r="Q33" i="1"/>
  <c r="X33" i="1"/>
  <c r="Y33" i="1"/>
  <c r="Z33" i="1"/>
  <c r="AA33" i="1"/>
  <c r="AE33" i="1"/>
  <c r="AF33" i="1"/>
  <c r="AG33" i="1"/>
  <c r="AH33" i="1"/>
  <c r="AJ33" i="1"/>
  <c r="AK33" i="1"/>
  <c r="J34" i="1"/>
  <c r="M34" i="1" s="1"/>
  <c r="N34" i="1"/>
  <c r="Q34" i="1"/>
  <c r="X34" i="1"/>
  <c r="Y34" i="1"/>
  <c r="AM34" i="1" s="1"/>
  <c r="Z34" i="1"/>
  <c r="AA34" i="1"/>
  <c r="AE34" i="1"/>
  <c r="AF34" i="1"/>
  <c r="AG34" i="1"/>
  <c r="AH34" i="1"/>
  <c r="AJ34" i="1"/>
  <c r="AK34" i="1"/>
  <c r="J35" i="1"/>
  <c r="N35" i="1"/>
  <c r="Q35" i="1"/>
  <c r="X35" i="1"/>
  <c r="Y35" i="1"/>
  <c r="Z35" i="1"/>
  <c r="AA35" i="1"/>
  <c r="AE35" i="1"/>
  <c r="AF35" i="1"/>
  <c r="AG35" i="1"/>
  <c r="AH35" i="1"/>
  <c r="AJ35" i="1"/>
  <c r="AK35" i="1"/>
  <c r="J36" i="1"/>
  <c r="N36" i="1"/>
  <c r="Q36" i="1"/>
  <c r="X36" i="1"/>
  <c r="Y36" i="1"/>
  <c r="Z36" i="1"/>
  <c r="AA36" i="1"/>
  <c r="AE36" i="1"/>
  <c r="AF36" i="1"/>
  <c r="AG36" i="1"/>
  <c r="AH36" i="1"/>
  <c r="AJ36" i="1"/>
  <c r="AK36" i="1"/>
  <c r="J37" i="1"/>
  <c r="N37" i="1"/>
  <c r="Q37" i="1"/>
  <c r="X37" i="1"/>
  <c r="AM37" i="1" s="1"/>
  <c r="Y37" i="1"/>
  <c r="Z37" i="1"/>
  <c r="AA37" i="1"/>
  <c r="AE37" i="1"/>
  <c r="AF37" i="1"/>
  <c r="AG37" i="1"/>
  <c r="AH37" i="1"/>
  <c r="AJ37" i="1"/>
  <c r="AK37" i="1"/>
  <c r="J38" i="1"/>
  <c r="N38" i="1"/>
  <c r="Q38" i="1"/>
  <c r="X38" i="1"/>
  <c r="Y38" i="1"/>
  <c r="Z38" i="1"/>
  <c r="AA38" i="1"/>
  <c r="AE38" i="1"/>
  <c r="AF38" i="1"/>
  <c r="AG38" i="1"/>
  <c r="AH38" i="1"/>
  <c r="AJ38" i="1"/>
  <c r="AK38" i="1"/>
  <c r="J39" i="1"/>
  <c r="M39" i="1" s="1"/>
  <c r="Q39" i="1"/>
  <c r="X39" i="1"/>
  <c r="Y39" i="1"/>
  <c r="AM39" i="1" s="1"/>
  <c r="Z39" i="1"/>
  <c r="AA39" i="1"/>
  <c r="AE39" i="1"/>
  <c r="AF39" i="1"/>
  <c r="AG39" i="1"/>
  <c r="AH39" i="1"/>
  <c r="AJ39" i="1"/>
  <c r="AK39" i="1"/>
  <c r="J40" i="1"/>
  <c r="N40" i="1" s="1"/>
  <c r="Q40" i="1"/>
  <c r="X40" i="1"/>
  <c r="Y40" i="1"/>
  <c r="Z40" i="1"/>
  <c r="AA40" i="1"/>
  <c r="AE40" i="1"/>
  <c r="AF40" i="1"/>
  <c r="AG40" i="1"/>
  <c r="AH40" i="1"/>
  <c r="AJ40" i="1"/>
  <c r="AK40" i="1"/>
  <c r="J41" i="1"/>
  <c r="M41" i="1" s="1"/>
  <c r="Q41" i="1"/>
  <c r="X41" i="1"/>
  <c r="Y41" i="1"/>
  <c r="AM41" i="1" s="1"/>
  <c r="Z41" i="1"/>
  <c r="AA41" i="1"/>
  <c r="AE41" i="1"/>
  <c r="AF41" i="1"/>
  <c r="AG41" i="1"/>
  <c r="AH41" i="1"/>
  <c r="AJ41" i="1"/>
  <c r="AK41" i="1"/>
  <c r="J42" i="1"/>
  <c r="M42" i="1"/>
  <c r="Q42" i="1"/>
  <c r="X42" i="1"/>
  <c r="AM42" i="1" s="1"/>
  <c r="Y42" i="1"/>
  <c r="Z42" i="1"/>
  <c r="AA42" i="1"/>
  <c r="AE42" i="1"/>
  <c r="AF42" i="1"/>
  <c r="AG42" i="1"/>
  <c r="AH42" i="1"/>
  <c r="AJ42" i="1"/>
  <c r="AK42" i="1"/>
  <c r="J43" i="1"/>
  <c r="N43" i="1"/>
  <c r="Q43" i="1"/>
  <c r="X43" i="1"/>
  <c r="Y43" i="1"/>
  <c r="Z43" i="1"/>
  <c r="AA43" i="1"/>
  <c r="AE43" i="1"/>
  <c r="AF43" i="1"/>
  <c r="AG43" i="1"/>
  <c r="AH43" i="1"/>
  <c r="AJ43" i="1"/>
  <c r="AK43" i="1"/>
  <c r="J44" i="1"/>
  <c r="M44" i="1"/>
  <c r="Q44" i="1"/>
  <c r="X44" i="1"/>
  <c r="Y44" i="1"/>
  <c r="Z44" i="1"/>
  <c r="AA44" i="1"/>
  <c r="AE44" i="1"/>
  <c r="AF44" i="1"/>
  <c r="AG44" i="1"/>
  <c r="AH44" i="1"/>
  <c r="AJ44" i="1"/>
  <c r="AK44" i="1"/>
  <c r="J45" i="1"/>
  <c r="Q45" i="1"/>
  <c r="X45" i="1"/>
  <c r="AM45" i="1" s="1"/>
  <c r="Y45" i="1"/>
  <c r="Z45" i="1"/>
  <c r="AA45" i="1"/>
  <c r="AE45" i="1"/>
  <c r="AF45" i="1"/>
  <c r="AG45" i="1"/>
  <c r="AH45" i="1"/>
  <c r="AJ45" i="1"/>
  <c r="AK45" i="1"/>
  <c r="J46" i="1"/>
  <c r="M46" i="1"/>
  <c r="Q46" i="1"/>
  <c r="X46" i="1"/>
  <c r="Y46" i="1"/>
  <c r="Z46" i="1"/>
  <c r="AA46" i="1"/>
  <c r="AE46" i="1"/>
  <c r="AF46" i="1"/>
  <c r="AG46" i="1"/>
  <c r="AH46" i="1"/>
  <c r="AJ46" i="1"/>
  <c r="AK46" i="1"/>
  <c r="J47" i="1"/>
  <c r="M47" i="1" s="1"/>
  <c r="Q47" i="1"/>
  <c r="X47" i="1"/>
  <c r="Y47" i="1"/>
  <c r="AM47" i="1" s="1"/>
  <c r="Z47" i="1"/>
  <c r="AA47" i="1"/>
  <c r="AE47" i="1"/>
  <c r="AF47" i="1"/>
  <c r="AG47" i="1"/>
  <c r="AH47" i="1"/>
  <c r="AJ47" i="1"/>
  <c r="AK47" i="1"/>
  <c r="J48" i="1"/>
  <c r="N48" i="1"/>
  <c r="Q48" i="1"/>
  <c r="X48" i="1"/>
  <c r="Y48" i="1"/>
  <c r="Z48" i="1"/>
  <c r="AA48" i="1"/>
  <c r="AE48" i="1"/>
  <c r="AF48" i="1"/>
  <c r="AG48" i="1"/>
  <c r="AH48" i="1"/>
  <c r="AJ48" i="1"/>
  <c r="AK48" i="1"/>
  <c r="J49" i="1"/>
  <c r="M49" i="1" s="1"/>
  <c r="Q49" i="1"/>
  <c r="X49" i="1"/>
  <c r="AM49" i="1" s="1"/>
  <c r="Y49" i="1"/>
  <c r="Z49" i="1"/>
  <c r="AA49" i="1"/>
  <c r="AE49" i="1"/>
  <c r="AF49" i="1"/>
  <c r="AG49" i="1"/>
  <c r="AH49" i="1"/>
  <c r="AJ49" i="1"/>
  <c r="AK49" i="1"/>
  <c r="J50" i="1"/>
  <c r="M50" i="1"/>
  <c r="Q50" i="1"/>
  <c r="X50" i="1"/>
  <c r="AM50" i="1" s="1"/>
  <c r="Y50" i="1"/>
  <c r="Z50" i="1"/>
  <c r="AA50" i="1"/>
  <c r="AE50" i="1"/>
  <c r="AF50" i="1"/>
  <c r="AG50" i="1"/>
  <c r="AH50" i="1"/>
  <c r="AJ50" i="1"/>
  <c r="AK50" i="1"/>
  <c r="J51" i="1"/>
  <c r="M51" i="1"/>
  <c r="Q51" i="1"/>
  <c r="X51" i="1"/>
  <c r="AM51" i="1" s="1"/>
  <c r="Y51" i="1"/>
  <c r="Z51" i="1"/>
  <c r="AA51" i="1"/>
  <c r="AE51" i="1"/>
  <c r="AF51" i="1"/>
  <c r="AG51" i="1"/>
  <c r="AH51" i="1"/>
  <c r="AJ51" i="1"/>
  <c r="AK51" i="1"/>
  <c r="J52" i="1"/>
  <c r="M52" i="1"/>
  <c r="Q52" i="1"/>
  <c r="X52" i="1"/>
  <c r="Y52" i="1"/>
  <c r="AM52" i="1" s="1"/>
  <c r="Z52" i="1"/>
  <c r="AA52" i="1"/>
  <c r="AE52" i="1"/>
  <c r="AF52" i="1"/>
  <c r="AG52" i="1"/>
  <c r="AH52" i="1"/>
  <c r="AJ52" i="1"/>
  <c r="AK52" i="1"/>
  <c r="J53" i="1"/>
  <c r="M53" i="1" s="1"/>
  <c r="Q53" i="1"/>
  <c r="X53" i="1"/>
  <c r="Y53" i="1"/>
  <c r="AM53" i="1" s="1"/>
  <c r="Z53" i="1"/>
  <c r="AA53" i="1"/>
  <c r="AE53" i="1"/>
  <c r="AF53" i="1"/>
  <c r="AG53" i="1"/>
  <c r="AH53" i="1"/>
  <c r="AJ53" i="1"/>
  <c r="AK53" i="1"/>
  <c r="J54" i="1"/>
  <c r="M54" i="1"/>
  <c r="X54" i="1"/>
  <c r="Y54" i="1"/>
  <c r="Z54" i="1"/>
  <c r="AA54" i="1"/>
  <c r="AE54" i="1"/>
  <c r="AF54" i="1"/>
  <c r="AG54" i="1"/>
  <c r="AH54" i="1"/>
  <c r="AJ54" i="1"/>
  <c r="AK54" i="1"/>
  <c r="J55" i="1"/>
  <c r="M55" i="1"/>
  <c r="Q55" i="1"/>
  <c r="X55" i="1"/>
  <c r="Y55" i="1"/>
  <c r="Z55" i="1"/>
  <c r="AA55" i="1"/>
  <c r="AE55" i="1"/>
  <c r="AF55" i="1"/>
  <c r="AG55" i="1"/>
  <c r="AH55" i="1"/>
  <c r="AJ55" i="1"/>
  <c r="AK55" i="1"/>
  <c r="J56" i="1"/>
  <c r="M56" i="1"/>
  <c r="Q56" i="1"/>
  <c r="X56" i="1"/>
  <c r="Y56" i="1"/>
  <c r="AM56" i="1" s="1"/>
  <c r="AA56" i="1"/>
  <c r="AE56" i="1"/>
  <c r="AF56" i="1"/>
  <c r="AG56" i="1"/>
  <c r="AH56" i="1"/>
  <c r="AJ56" i="1"/>
  <c r="AK56" i="1"/>
  <c r="J57" i="1"/>
  <c r="M57" i="1"/>
  <c r="Q57" i="1"/>
  <c r="X57" i="1"/>
  <c r="Y57" i="1"/>
  <c r="Z57" i="1"/>
  <c r="AA57" i="1"/>
  <c r="AE57" i="1"/>
  <c r="AF57" i="1"/>
  <c r="AG57" i="1"/>
  <c r="AH57" i="1"/>
  <c r="AJ57" i="1"/>
  <c r="AK57" i="1"/>
  <c r="J58" i="1"/>
  <c r="M58" i="1" s="1"/>
  <c r="N58" i="1" s="1"/>
  <c r="Q58" i="1"/>
  <c r="X58" i="1"/>
  <c r="AM58" i="1" s="1"/>
  <c r="Y58" i="1"/>
  <c r="Z58" i="1"/>
  <c r="AA58" i="1"/>
  <c r="AE58" i="1"/>
  <c r="AF58" i="1"/>
  <c r="AG58" i="1"/>
  <c r="AH58" i="1"/>
  <c r="AJ58" i="1"/>
  <c r="AK58" i="1"/>
  <c r="N42" i="1"/>
  <c r="N20" i="1"/>
  <c r="N44" i="1"/>
  <c r="N46" i="1"/>
  <c r="N41" i="1"/>
  <c r="M19" i="1"/>
  <c r="N10" i="1"/>
  <c r="N9" i="1"/>
  <c r="N49" i="1"/>
  <c r="AM20" i="6"/>
  <c r="AM31" i="3"/>
  <c r="AM24" i="1"/>
  <c r="AM15" i="6"/>
  <c r="AM32" i="2"/>
  <c r="AM18" i="4"/>
  <c r="AM19" i="5"/>
  <c r="AM36" i="1"/>
  <c r="AM47" i="6"/>
  <c r="AM31" i="6"/>
  <c r="AM23" i="6"/>
  <c r="AM19" i="3"/>
  <c r="AM38" i="4"/>
  <c r="AM36" i="4"/>
  <c r="AM24" i="4"/>
  <c r="AM21" i="1"/>
  <c r="AM19" i="6"/>
  <c r="AM42" i="3"/>
  <c r="AM57" i="2"/>
  <c r="AM36" i="5"/>
  <c r="AM19" i="2"/>
  <c r="AM35" i="5"/>
  <c r="AM20" i="3"/>
  <c r="AM51" i="6"/>
  <c r="AM49" i="6"/>
  <c r="AM45" i="6"/>
  <c r="AM37" i="6"/>
  <c r="AM44" i="1"/>
  <c r="AM12" i="2"/>
  <c r="AM37" i="5"/>
  <c r="AM31" i="5"/>
  <c r="AM29" i="5"/>
  <c r="AM25" i="5"/>
  <c r="AM23" i="5"/>
  <c r="AM16" i="1"/>
  <c r="AM51" i="5"/>
  <c r="AM45" i="5"/>
  <c r="AM33" i="5"/>
  <c r="AM27" i="5"/>
  <c r="AM22" i="1"/>
  <c r="AM27" i="3"/>
  <c r="AM21" i="5"/>
  <c r="AM17" i="6"/>
  <c r="AM53" i="4"/>
  <c r="AM30" i="1"/>
  <c r="AM25" i="3"/>
  <c r="AM48" i="2"/>
  <c r="AM58" i="4"/>
  <c r="CQ20" i="3"/>
  <c r="AM40" i="3"/>
  <c r="AM35" i="3"/>
  <c r="AM19" i="1"/>
  <c r="AM58" i="2"/>
  <c r="AM11" i="3"/>
  <c r="AM14" i="2"/>
  <c r="AM43" i="1"/>
  <c r="CQ11" i="3"/>
  <c r="AM48" i="6"/>
  <c r="AM46" i="6"/>
  <c r="AM9" i="6"/>
  <c r="AM28" i="1"/>
  <c r="AM43" i="3"/>
  <c r="AM11" i="1"/>
  <c r="AM56" i="5"/>
  <c r="AM46" i="5"/>
  <c r="AM42" i="5"/>
  <c r="AM57" i="1"/>
  <c r="AM42" i="2"/>
  <c r="AM44" i="6"/>
  <c r="AM42" i="6"/>
  <c r="AM40" i="6"/>
  <c r="AM38" i="6"/>
  <c r="AM36" i="6"/>
  <c r="AM52" i="6"/>
  <c r="AM15" i="3"/>
  <c r="AM54" i="4"/>
  <c r="AM57" i="5"/>
  <c r="AM49" i="5"/>
  <c r="AM47" i="5"/>
  <c r="AM52" i="3"/>
  <c r="AM11" i="4"/>
  <c r="CQ15" i="3"/>
  <c r="AM53" i="5"/>
  <c r="AM55" i="6"/>
  <c r="AM18" i="3"/>
  <c r="AM25" i="6"/>
  <c r="AM53" i="2"/>
  <c r="AM30" i="4"/>
  <c r="N39" i="1"/>
  <c r="M35" i="1"/>
  <c r="M40" i="1"/>
  <c r="N22" i="1"/>
  <c r="N12" i="1"/>
  <c r="M48" i="1"/>
  <c r="M15" i="1"/>
  <c r="M25" i="1"/>
  <c r="N13" i="1"/>
  <c r="N50" i="1"/>
  <c r="M14" i="1"/>
  <c r="N47" i="1"/>
  <c r="N28" i="1"/>
  <c r="N11" i="1"/>
  <c r="BQ19" i="1"/>
  <c r="BQ24" i="1"/>
  <c r="BQ31" i="1"/>
  <c r="BQ43" i="1"/>
  <c r="BQ35" i="1"/>
  <c r="BQ56" i="1"/>
  <c r="BQ51" i="1"/>
  <c r="BQ27" i="1"/>
  <c r="BQ48" i="1"/>
  <c r="BQ40" i="1"/>
  <c r="BQ23" i="1"/>
  <c r="BQ16" i="1"/>
  <c r="BQ55" i="1"/>
  <c r="BQ52" i="1"/>
  <c r="BQ47" i="1"/>
  <c r="BQ39" i="1"/>
  <c r="BQ32" i="1"/>
  <c r="BQ28" i="1"/>
  <c r="AC24" i="2"/>
  <c r="AC44" i="2" s="1"/>
  <c r="BQ44" i="1"/>
  <c r="BQ36" i="1"/>
  <c r="BQ20" i="1"/>
  <c r="AB44" i="2"/>
  <c r="BQ15" i="1"/>
  <c r="BQ11" i="1"/>
  <c r="BQ51" i="2"/>
  <c r="AD25" i="2"/>
  <c r="AD43" i="2" s="1"/>
  <c r="AC17" i="2"/>
  <c r="AC10" i="2"/>
  <c r="BQ58" i="2"/>
  <c r="AD56" i="2"/>
  <c r="AD52" i="2"/>
  <c r="BQ46" i="2"/>
  <c r="AD36" i="2"/>
  <c r="AD32" i="2"/>
  <c r="AD28" i="2"/>
  <c r="AD39" i="2"/>
  <c r="AD24" i="2"/>
  <c r="AD44" i="2"/>
  <c r="AB35" i="2"/>
  <c r="AB27" i="2"/>
  <c r="AB40" i="2" s="1"/>
  <c r="AB23" i="2"/>
  <c r="AD20" i="2"/>
  <c r="AD38" i="2"/>
  <c r="AD16" i="2"/>
  <c r="BQ46" i="3"/>
  <c r="AD55" i="2"/>
  <c r="AD51" i="2"/>
  <c r="BQ49" i="2"/>
  <c r="AD35" i="2"/>
  <c r="AD31" i="2"/>
  <c r="AD27" i="2"/>
  <c r="AD40" i="2" s="1"/>
  <c r="AD23" i="2"/>
  <c r="AC35" i="3"/>
  <c r="BQ12" i="1"/>
  <c r="AC58" i="2"/>
  <c r="AC54" i="2"/>
  <c r="AB34" i="2"/>
  <c r="AD19" i="2"/>
  <c r="BQ17" i="2"/>
  <c r="AD12" i="2"/>
  <c r="AD58" i="2"/>
  <c r="BQ44" i="2"/>
  <c r="AD42" i="2"/>
  <c r="AB18" i="2"/>
  <c r="AD15" i="2"/>
  <c r="BQ13" i="2"/>
  <c r="AB53" i="2"/>
  <c r="AC33" i="2"/>
  <c r="AC41" i="2" s="1"/>
  <c r="AD11" i="2"/>
  <c r="AD57" i="3"/>
  <c r="AB52" i="3"/>
  <c r="AD33" i="3"/>
  <c r="AD41" i="3"/>
  <c r="AB55" i="3"/>
  <c r="AB53" i="3"/>
  <c r="AD35" i="3"/>
  <c r="AD56" i="4"/>
  <c r="AC58" i="3"/>
  <c r="AD55" i="3"/>
  <c r="AD53" i="3"/>
  <c r="AD58" i="3"/>
  <c r="AB56" i="3"/>
  <c r="AD56" i="3"/>
  <c r="BQ27" i="3"/>
  <c r="AD26" i="3"/>
  <c r="BQ15" i="3"/>
  <c r="AD14" i="3"/>
  <c r="AD36" i="3"/>
  <c r="BQ35" i="3"/>
  <c r="AD34" i="3"/>
  <c r="AD28" i="3"/>
  <c r="AD39" i="3" s="1"/>
  <c r="AD54" i="3"/>
  <c r="AC28" i="3"/>
  <c r="AC39" i="3" s="1"/>
  <c r="AB26" i="3"/>
  <c r="AD23" i="3"/>
  <c r="AD16" i="3"/>
  <c r="AB14" i="3"/>
  <c r="AB11" i="3"/>
  <c r="AC9" i="3"/>
  <c r="AB58" i="4"/>
  <c r="AC31" i="3"/>
  <c r="AC24" i="3"/>
  <c r="AC44" i="3" s="1"/>
  <c r="AB24" i="3"/>
  <c r="AB44" i="3" s="1"/>
  <c r="AC22" i="3"/>
  <c r="AB22" i="3"/>
  <c r="AD21" i="3"/>
  <c r="AC19" i="3"/>
  <c r="AB38" i="4"/>
  <c r="AD31" i="3"/>
  <c r="BQ30" i="3"/>
  <c r="BQ25" i="3"/>
  <c r="AD24" i="3"/>
  <c r="AD44" i="3" s="1"/>
  <c r="AD22" i="3"/>
  <c r="AC17" i="3"/>
  <c r="AB17" i="3"/>
  <c r="AB12" i="3"/>
  <c r="AC53" i="4"/>
  <c r="BQ35" i="4"/>
  <c r="AB29" i="3"/>
  <c r="AB27" i="3"/>
  <c r="AB40" i="3" s="1"/>
  <c r="AD17" i="3"/>
  <c r="AB15" i="3"/>
  <c r="AB13" i="3"/>
  <c r="AD12" i="3"/>
  <c r="AD29" i="3"/>
  <c r="AD27" i="3"/>
  <c r="AD40" i="3" s="1"/>
  <c r="BQ26" i="3"/>
  <c r="AC20" i="3"/>
  <c r="AC38" i="3" s="1"/>
  <c r="AB20" i="3"/>
  <c r="AB38" i="3" s="1"/>
  <c r="AD15" i="3"/>
  <c r="AD13" i="3"/>
  <c r="AC10" i="3"/>
  <c r="BQ9" i="3"/>
  <c r="BQ39" i="4"/>
  <c r="AB35" i="4"/>
  <c r="AD30" i="4"/>
  <c r="AD42" i="4"/>
  <c r="AB25" i="4"/>
  <c r="AB43" i="4"/>
  <c r="AD11" i="4"/>
  <c r="AB32" i="3"/>
  <c r="AC30" i="3"/>
  <c r="AC42" i="3" s="1"/>
  <c r="AD20" i="3"/>
  <c r="AD38" i="3" s="1"/>
  <c r="AD10" i="3"/>
  <c r="AD51" i="4"/>
  <c r="BQ33" i="3"/>
  <c r="AD32" i="3"/>
  <c r="BQ31" i="3"/>
  <c r="AD30" i="3"/>
  <c r="AD42" i="3" s="1"/>
  <c r="AD25" i="3"/>
  <c r="AD43" i="3" s="1"/>
  <c r="AB23" i="3"/>
  <c r="BQ22" i="3"/>
  <c r="BQ19" i="3"/>
  <c r="AD18" i="3"/>
  <c r="BQ57" i="4"/>
  <c r="AC56" i="4"/>
  <c r="AB56" i="4"/>
  <c r="AC51" i="4"/>
  <c r="AB51" i="4"/>
  <c r="BQ45" i="4"/>
  <c r="BQ34" i="4"/>
  <c r="AD28" i="4"/>
  <c r="AD39" i="4"/>
  <c r="AC25" i="4"/>
  <c r="AC43" i="4" s="1"/>
  <c r="AC20" i="4"/>
  <c r="AC38" i="4" s="1"/>
  <c r="AD13" i="4"/>
  <c r="AD58" i="5"/>
  <c r="AD58" i="4"/>
  <c r="AC55" i="4"/>
  <c r="AB55" i="4"/>
  <c r="BQ54" i="4"/>
  <c r="AD53" i="4"/>
  <c r="BQ49" i="4"/>
  <c r="AB36" i="4"/>
  <c r="AD34" i="5"/>
  <c r="AD55" i="4"/>
  <c r="BQ46" i="4"/>
  <c r="BQ41" i="4"/>
  <c r="AC57" i="4"/>
  <c r="AB57" i="4"/>
  <c r="BQ56" i="4"/>
  <c r="AC52" i="4"/>
  <c r="AB52" i="4"/>
  <c r="BQ51" i="4"/>
  <c r="BQ38" i="4"/>
  <c r="AD57" i="4"/>
  <c r="AC54" i="4"/>
  <c r="AB54" i="4"/>
  <c r="AD52" i="4"/>
  <c r="BQ48" i="4"/>
  <c r="BQ43" i="4"/>
  <c r="AC35" i="4"/>
  <c r="AD54" i="4"/>
  <c r="BQ53" i="4"/>
  <c r="BQ40" i="4"/>
  <c r="AC36" i="4"/>
  <c r="BQ24" i="4"/>
  <c r="BQ19" i="4"/>
  <c r="AD33" i="4"/>
  <c r="AD41" i="4" s="1"/>
  <c r="AC30" i="4"/>
  <c r="AC42" i="4" s="1"/>
  <c r="AB30" i="4"/>
  <c r="AB42" i="4" s="1"/>
  <c r="AC28" i="4"/>
  <c r="AC39" i="4" s="1"/>
  <c r="AB28" i="4"/>
  <c r="AB39" i="4" s="1"/>
  <c r="BQ27" i="4"/>
  <c r="AD23" i="4"/>
  <c r="AD18" i="4"/>
  <c r="AC13" i="4"/>
  <c r="AB13" i="4"/>
  <c r="AC11" i="4"/>
  <c r="AB11" i="4"/>
  <c r="AB55" i="5"/>
  <c r="AD35" i="4"/>
  <c r="AC32" i="4"/>
  <c r="AB32" i="4"/>
  <c r="BQ29" i="4"/>
  <c r="AD43" i="4"/>
  <c r="AC22" i="4"/>
  <c r="AB22" i="4"/>
  <c r="AD20" i="4"/>
  <c r="AD38" i="4" s="1"/>
  <c r="AC17" i="4"/>
  <c r="AB17" i="4"/>
  <c r="AB15" i="4"/>
  <c r="BQ14" i="4"/>
  <c r="AB31" i="5"/>
  <c r="BQ36" i="4"/>
  <c r="AD32" i="4"/>
  <c r="AC27" i="4"/>
  <c r="AC40" i="4" s="1"/>
  <c r="AB27" i="4"/>
  <c r="AB40" i="4" s="1"/>
  <c r="AD22" i="4"/>
  <c r="BQ21" i="4"/>
  <c r="AD17" i="4"/>
  <c r="BQ16" i="4"/>
  <c r="AD15" i="4"/>
  <c r="AC10" i="4"/>
  <c r="AB10" i="4"/>
  <c r="BQ9" i="4"/>
  <c r="AC34" i="4"/>
  <c r="AB34" i="4"/>
  <c r="BQ33" i="4"/>
  <c r="AD27" i="4"/>
  <c r="AD40" i="4"/>
  <c r="AC24" i="4"/>
  <c r="AC44" i="4" s="1"/>
  <c r="AB24" i="4"/>
  <c r="AB44" i="4" s="1"/>
  <c r="AC19" i="4"/>
  <c r="AB19" i="4"/>
  <c r="AC12" i="4"/>
  <c r="AB12" i="4"/>
  <c r="AD10" i="4"/>
  <c r="BR16" i="5"/>
  <c r="AD34" i="4"/>
  <c r="AC31" i="4"/>
  <c r="AB31" i="4"/>
  <c r="BQ30" i="4"/>
  <c r="AC29" i="4"/>
  <c r="AB29" i="4"/>
  <c r="AD24" i="4"/>
  <c r="AD44" i="4"/>
  <c r="AD19" i="4"/>
  <c r="AC14" i="4"/>
  <c r="AB14" i="4"/>
  <c r="BQ13" i="4"/>
  <c r="AD12" i="4"/>
  <c r="BQ11" i="4"/>
  <c r="AC57" i="6"/>
  <c r="AD31" i="4"/>
  <c r="AD29" i="4"/>
  <c r="AC26" i="4"/>
  <c r="AB26" i="4"/>
  <c r="BQ25" i="4"/>
  <c r="AC21" i="4"/>
  <c r="AB21" i="4"/>
  <c r="BQ20" i="4"/>
  <c r="AC16" i="4"/>
  <c r="AB16" i="4"/>
  <c r="AD14" i="4"/>
  <c r="AC9" i="4"/>
  <c r="AB9" i="4"/>
  <c r="AC33" i="4"/>
  <c r="AC41" i="4"/>
  <c r="AB33" i="4"/>
  <c r="AB41" i="4" s="1"/>
  <c r="BQ32" i="4"/>
  <c r="AD26" i="4"/>
  <c r="AC23" i="4"/>
  <c r="AB23" i="4"/>
  <c r="BQ22" i="4"/>
  <c r="AD21" i="4"/>
  <c r="AC18" i="4"/>
  <c r="AB18" i="4"/>
  <c r="BQ17" i="4"/>
  <c r="AD16" i="4"/>
  <c r="AD9" i="4"/>
  <c r="AC55" i="5"/>
  <c r="AD26" i="5"/>
  <c r="AC58" i="5"/>
  <c r="AB58" i="5"/>
  <c r="AD53" i="5"/>
  <c r="AC34" i="5"/>
  <c r="AB34" i="5"/>
  <c r="BR33" i="5"/>
  <c r="AD29" i="5"/>
  <c r="AC26" i="5"/>
  <c r="AB26" i="5"/>
  <c r="AC22" i="5"/>
  <c r="AD20" i="5"/>
  <c r="AD38" i="5"/>
  <c r="AD55" i="5"/>
  <c r="AC52" i="5"/>
  <c r="AB52" i="5"/>
  <c r="BR51" i="5"/>
  <c r="BR43" i="5"/>
  <c r="AC36" i="5"/>
  <c r="AB36" i="5"/>
  <c r="BR35" i="5"/>
  <c r="AD31" i="5"/>
  <c r="AC28" i="5"/>
  <c r="AC39" i="5" s="1"/>
  <c r="AB28" i="5"/>
  <c r="AB39" i="5"/>
  <c r="BR27" i="5"/>
  <c r="BR22" i="5"/>
  <c r="AC17" i="5"/>
  <c r="AD15" i="5"/>
  <c r="AD10" i="5"/>
  <c r="AB57" i="6"/>
  <c r="AC57" i="5"/>
  <c r="AB57" i="5"/>
  <c r="BR56" i="5"/>
  <c r="AD52" i="5"/>
  <c r="BR48" i="5"/>
  <c r="BR40" i="5"/>
  <c r="AD36" i="5"/>
  <c r="AC33" i="5"/>
  <c r="AC41" i="5" s="1"/>
  <c r="AB33" i="5"/>
  <c r="AB41" i="5" s="1"/>
  <c r="BR32" i="5"/>
  <c r="AD28" i="5"/>
  <c r="AD39" i="5"/>
  <c r="AC25" i="5"/>
  <c r="AC43" i="5" s="1"/>
  <c r="AB25" i="5"/>
  <c r="AB43" i="5"/>
  <c r="AB24" i="5"/>
  <c r="AB44" i="5"/>
  <c r="BR23" i="5"/>
  <c r="AB23" i="5"/>
  <c r="AB17" i="5"/>
  <c r="AD57" i="5"/>
  <c r="AC54" i="5"/>
  <c r="AB54" i="5"/>
  <c r="BR53" i="5"/>
  <c r="BR45" i="5"/>
  <c r="BR37" i="5"/>
  <c r="AD33" i="5"/>
  <c r="AD41" i="5"/>
  <c r="AC30" i="5"/>
  <c r="AC42" i="5" s="1"/>
  <c r="AB30" i="5"/>
  <c r="AB42" i="5" s="1"/>
  <c r="BR29" i="5"/>
  <c r="AD25" i="5"/>
  <c r="AD43" i="5" s="1"/>
  <c r="AC24" i="5"/>
  <c r="AC44" i="5" s="1"/>
  <c r="AB22" i="5"/>
  <c r="AD21" i="5"/>
  <c r="BR58" i="5"/>
  <c r="AD54" i="5"/>
  <c r="BR50" i="5"/>
  <c r="BR42" i="5"/>
  <c r="AC35" i="5"/>
  <c r="AB35" i="5"/>
  <c r="BR34" i="5"/>
  <c r="AD30" i="5"/>
  <c r="AD42" i="5" s="1"/>
  <c r="AC27" i="5"/>
  <c r="AC40" i="5" s="1"/>
  <c r="AB27" i="5"/>
  <c r="AB40" i="5" s="1"/>
  <c r="BR26" i="5"/>
  <c r="AC23" i="5"/>
  <c r="AC56" i="5"/>
  <c r="AB56" i="5"/>
  <c r="BR55" i="5"/>
  <c r="BR47" i="5"/>
  <c r="BR39" i="5"/>
  <c r="AD35" i="5"/>
  <c r="AC32" i="5"/>
  <c r="AB32" i="5"/>
  <c r="BR31" i="5"/>
  <c r="AD27" i="5"/>
  <c r="AD40" i="5"/>
  <c r="AD24" i="5"/>
  <c r="AD44" i="5"/>
  <c r="BR48" i="6"/>
  <c r="AD56" i="5"/>
  <c r="AC53" i="5"/>
  <c r="AB53" i="5"/>
  <c r="BR36" i="5"/>
  <c r="AD32" i="5"/>
  <c r="AC29" i="5"/>
  <c r="AB29" i="5"/>
  <c r="AD23" i="5"/>
  <c r="AD52" i="6"/>
  <c r="BR24" i="5"/>
  <c r="AC20" i="5"/>
  <c r="AC38" i="5"/>
  <c r="AB20" i="5"/>
  <c r="AB38" i="5" s="1"/>
  <c r="BR19" i="5"/>
  <c r="AC15" i="5"/>
  <c r="AB15" i="5"/>
  <c r="AC10" i="5"/>
  <c r="AB10" i="5"/>
  <c r="AD55" i="6"/>
  <c r="AC52" i="6"/>
  <c r="AB52" i="6"/>
  <c r="AD22" i="5"/>
  <c r="BR21" i="5"/>
  <c r="AD17" i="5"/>
  <c r="AC12" i="5"/>
  <c r="AB12" i="5"/>
  <c r="BR11" i="5"/>
  <c r="AD57" i="6"/>
  <c r="AC54" i="6"/>
  <c r="AB54" i="6"/>
  <c r="BR53" i="6"/>
  <c r="AC19" i="5"/>
  <c r="AB19" i="5"/>
  <c r="BR18" i="5"/>
  <c r="AC14" i="5"/>
  <c r="AB14" i="5"/>
  <c r="BR13" i="5"/>
  <c r="AD12" i="5"/>
  <c r="AC9" i="5"/>
  <c r="AB9" i="5"/>
  <c r="BR58" i="6"/>
  <c r="AD54" i="6"/>
  <c r="AC51" i="6"/>
  <c r="AB51" i="6"/>
  <c r="BR50" i="6"/>
  <c r="AD16" i="6"/>
  <c r="BR15" i="6"/>
  <c r="AD9" i="6"/>
  <c r="AD19" i="5"/>
  <c r="AC16" i="5"/>
  <c r="AB16" i="5"/>
  <c r="AD14" i="5"/>
  <c r="AD9" i="5"/>
  <c r="AC56" i="6"/>
  <c r="AB56" i="6"/>
  <c r="BR55" i="6"/>
  <c r="AD51" i="6"/>
  <c r="AC23" i="6"/>
  <c r="BR20" i="6"/>
  <c r="AC21" i="5"/>
  <c r="AB21" i="5"/>
  <c r="AD16" i="5"/>
  <c r="BR15" i="5"/>
  <c r="AC11" i="5"/>
  <c r="AB11" i="5"/>
  <c r="BR10" i="5"/>
  <c r="AD56" i="6"/>
  <c r="AC53" i="6"/>
  <c r="AB53" i="6"/>
  <c r="BR52" i="6"/>
  <c r="AD36" i="6"/>
  <c r="AC33" i="6"/>
  <c r="AC41" i="6" s="1"/>
  <c r="AD31" i="6"/>
  <c r="AC28" i="6"/>
  <c r="AC39" i="6"/>
  <c r="AB23" i="6"/>
  <c r="AC21" i="6"/>
  <c r="AC18" i="5"/>
  <c r="AB18" i="5"/>
  <c r="AC13" i="5"/>
  <c r="AB13" i="5"/>
  <c r="AD11" i="5"/>
  <c r="AC58" i="6"/>
  <c r="AB58" i="6"/>
  <c r="BR57" i="6"/>
  <c r="AD53" i="6"/>
  <c r="BR49" i="6"/>
  <c r="AB33" i="6"/>
  <c r="AB41" i="6"/>
  <c r="AB28" i="6"/>
  <c r="AB39" i="6" s="1"/>
  <c r="AB21" i="6"/>
  <c r="AD18" i="5"/>
  <c r="AD13" i="5"/>
  <c r="AD58" i="6"/>
  <c r="AC55" i="6"/>
  <c r="AB55" i="6"/>
  <c r="BR54" i="6"/>
  <c r="BR42" i="6"/>
  <c r="BR45" i="6"/>
  <c r="AC36" i="6"/>
  <c r="AB36" i="6"/>
  <c r="AC31" i="6"/>
  <c r="AB31" i="6"/>
  <c r="BR30" i="6"/>
  <c r="AD26" i="6"/>
  <c r="AD19" i="6"/>
  <c r="AC16" i="6"/>
  <c r="AB16" i="6"/>
  <c r="AD14" i="6"/>
  <c r="AD12" i="6"/>
  <c r="AC9" i="6"/>
  <c r="AB9" i="6"/>
  <c r="BR47" i="6"/>
  <c r="BR37" i="6"/>
  <c r="AD33" i="6"/>
  <c r="AD41" i="6"/>
  <c r="AD28" i="6"/>
  <c r="AD39" i="6" s="1"/>
  <c r="AC25" i="6"/>
  <c r="AC43" i="6"/>
  <c r="AB25" i="6"/>
  <c r="AB43" i="6" s="1"/>
  <c r="AD23" i="6"/>
  <c r="AD21" i="6"/>
  <c r="AC18" i="6"/>
  <c r="AB18" i="6"/>
  <c r="BR17" i="6"/>
  <c r="AC13" i="6"/>
  <c r="AB13" i="6"/>
  <c r="AC11" i="6"/>
  <c r="AB11" i="6"/>
  <c r="BR10" i="6"/>
  <c r="BR44" i="6"/>
  <c r="AC35" i="6"/>
  <c r="AB35" i="6"/>
  <c r="BR34" i="6"/>
  <c r="AC30" i="6"/>
  <c r="AC42" i="6"/>
  <c r="AB30" i="6"/>
  <c r="AB42" i="6"/>
  <c r="BR29" i="6"/>
  <c r="AD25" i="6"/>
  <c r="AD43" i="6" s="1"/>
  <c r="AD18" i="6"/>
  <c r="AD13" i="6"/>
  <c r="AD11" i="6"/>
  <c r="BR39" i="6"/>
  <c r="AD35" i="6"/>
  <c r="AD30" i="6"/>
  <c r="AD42" i="6" s="1"/>
  <c r="AC27" i="6"/>
  <c r="AC40" i="6" s="1"/>
  <c r="AB27" i="6"/>
  <c r="AB40" i="6" s="1"/>
  <c r="BR26" i="6"/>
  <c r="AC20" i="6"/>
  <c r="AC38" i="6" s="1"/>
  <c r="AB20" i="6"/>
  <c r="AB38" i="6"/>
  <c r="AC15" i="6"/>
  <c r="AB15" i="6"/>
  <c r="BR12" i="6"/>
  <c r="BR41" i="6"/>
  <c r="BR36" i="6"/>
  <c r="AC32" i="6"/>
  <c r="AB32" i="6"/>
  <c r="BR31" i="6"/>
  <c r="AD27" i="6"/>
  <c r="AD40" i="6"/>
  <c r="AC22" i="6"/>
  <c r="AB22" i="6"/>
  <c r="AD20" i="6"/>
  <c r="AD38" i="6" s="1"/>
  <c r="AC17" i="6"/>
  <c r="AB17" i="6"/>
  <c r="BR16" i="6"/>
  <c r="AD15" i="6"/>
  <c r="AC10" i="6"/>
  <c r="AB10" i="6"/>
  <c r="BR9" i="6"/>
  <c r="AC34" i="6"/>
  <c r="AB34" i="6"/>
  <c r="BR33" i="6"/>
  <c r="AD32" i="6"/>
  <c r="AC29" i="6"/>
  <c r="AB29" i="6"/>
  <c r="BR28" i="6"/>
  <c r="AC24" i="6"/>
  <c r="AC44" i="6"/>
  <c r="AB24" i="6"/>
  <c r="AB44" i="6"/>
  <c r="BR23" i="6"/>
  <c r="AD22" i="6"/>
  <c r="BR21" i="6"/>
  <c r="AD17" i="6"/>
  <c r="AD10" i="6"/>
  <c r="BR38" i="6"/>
  <c r="AD34" i="6"/>
  <c r="AD29" i="6"/>
  <c r="AC26" i="6"/>
  <c r="AB26" i="6"/>
  <c r="BR25" i="6"/>
  <c r="AD24" i="6"/>
  <c r="AD44" i="6" s="1"/>
  <c r="AC19" i="6"/>
  <c r="AB19" i="6"/>
  <c r="BR18" i="6"/>
  <c r="AC14" i="6"/>
  <c r="AB14" i="6"/>
  <c r="BR13" i="6"/>
  <c r="AC12" i="6"/>
  <c r="AB12" i="6"/>
  <c r="CQ51" i="3"/>
  <c r="CR44" i="3"/>
  <c r="AM36" i="3"/>
  <c r="CQ36" i="3"/>
  <c r="CR32" i="3"/>
  <c r="AM32" i="3"/>
  <c r="AM56" i="3"/>
  <c r="CQ56" i="3"/>
  <c r="CR54" i="3"/>
  <c r="CR30" i="3"/>
  <c r="AM30" i="3"/>
  <c r="E51" i="13"/>
  <c r="E47" i="13"/>
  <c r="E49" i="13"/>
  <c r="E22" i="13"/>
  <c r="E27" i="13"/>
  <c r="E5" i="13"/>
  <c r="E31" i="13"/>
  <c r="E4" i="13"/>
  <c r="E34" i="13"/>
  <c r="E38" i="13"/>
  <c r="E48" i="13"/>
  <c r="E18" i="13"/>
  <c r="E39" i="13"/>
  <c r="E21" i="13"/>
  <c r="E41" i="13"/>
  <c r="E42" i="13"/>
  <c r="E14" i="13"/>
  <c r="BR7" i="6"/>
  <c r="BS33" i="6" s="1"/>
  <c r="BT33" i="6" s="1"/>
  <c r="BR28" i="1"/>
  <c r="BS28" i="1" s="1"/>
  <c r="BR48" i="1"/>
  <c r="BS48" i="1" s="1"/>
  <c r="BR46" i="1"/>
  <c r="BS46" i="1" s="1"/>
  <c r="AM47" i="3" l="1"/>
  <c r="AM38" i="3"/>
  <c r="AM35" i="1"/>
  <c r="CR39" i="3"/>
  <c r="AM23" i="3"/>
  <c r="CQ14" i="3"/>
  <c r="CR10" i="3"/>
  <c r="AM57" i="4"/>
  <c r="AM55" i="4"/>
  <c r="AM51" i="4"/>
  <c r="AM15" i="4"/>
  <c r="AM43" i="5"/>
  <c r="AM55" i="5"/>
  <c r="AM30" i="21"/>
  <c r="CR49" i="3"/>
  <c r="AM40" i="1"/>
  <c r="AM38" i="1"/>
  <c r="AM33" i="1"/>
  <c r="AM23" i="1"/>
  <c r="AM44" i="3"/>
  <c r="AM9" i="3"/>
  <c r="AM48" i="5"/>
  <c r="AM10" i="6"/>
  <c r="X42" i="20"/>
  <c r="Z56" i="1" s="1"/>
  <c r="AM26" i="3"/>
  <c r="AM53" i="3"/>
  <c r="X50" i="2"/>
  <c r="AM50" i="2" s="1"/>
  <c r="AM44" i="2"/>
  <c r="AM36" i="2"/>
  <c r="AM28" i="2"/>
  <c r="AM37" i="4"/>
  <c r="AM32" i="5"/>
  <c r="AM30" i="5"/>
  <c r="AM28" i="5"/>
  <c r="AM26" i="5"/>
  <c r="AM24" i="5"/>
  <c r="AM25" i="21"/>
  <c r="AM27" i="21"/>
  <c r="AM56" i="21"/>
  <c r="I42" i="20"/>
  <c r="X50" i="4" s="1"/>
  <c r="AM39" i="21"/>
  <c r="AM55" i="1"/>
  <c r="AM26" i="1"/>
  <c r="AM41" i="2"/>
  <c r="AM33" i="2"/>
  <c r="AM25" i="2"/>
  <c r="AM20" i="2"/>
  <c r="AM15" i="2"/>
  <c r="AM10" i="2"/>
  <c r="AM11" i="5"/>
  <c r="AM9" i="5"/>
  <c r="AM57" i="6"/>
  <c r="AM53" i="6"/>
  <c r="AM33" i="6"/>
  <c r="AM29" i="6"/>
  <c r="AM27" i="6"/>
  <c r="G42" i="20"/>
  <c r="X50" i="6" s="1"/>
  <c r="N42" i="20"/>
  <c r="Y50" i="6" s="1"/>
  <c r="AM48" i="1"/>
  <c r="CQ46" i="3"/>
  <c r="AM37" i="3"/>
  <c r="AM46" i="1"/>
  <c r="AM14" i="1"/>
  <c r="AM54" i="2"/>
  <c r="AM49" i="2"/>
  <c r="AM43" i="2"/>
  <c r="AM47" i="4"/>
  <c r="AM45" i="4"/>
  <c r="AM43" i="4"/>
  <c r="AM40" i="5"/>
  <c r="AM38" i="5"/>
  <c r="AM15" i="5"/>
  <c r="L42" i="20"/>
  <c r="Y50" i="3" s="1"/>
  <c r="CR50" i="3" s="1"/>
  <c r="AM21" i="6"/>
  <c r="M42" i="20"/>
  <c r="Y50" i="5" s="1"/>
  <c r="AM50" i="5" s="1"/>
  <c r="E42" i="20"/>
  <c r="P42" i="20"/>
  <c r="Y50" i="4" s="1"/>
  <c r="AM19" i="21"/>
  <c r="AM29" i="21"/>
  <c r="BS9" i="6"/>
  <c r="BT9" i="6" s="1"/>
  <c r="BS42" i="6"/>
  <c r="BT42" i="6" s="1"/>
  <c r="BS55" i="6"/>
  <c r="BT55" i="6" s="1"/>
  <c r="BS53" i="6"/>
  <c r="BT53" i="6" s="1"/>
  <c r="BS39" i="6"/>
  <c r="BT39" i="6" s="1"/>
  <c r="BS17" i="6"/>
  <c r="BT17" i="6" s="1"/>
  <c r="BS21" i="6"/>
  <c r="BT21" i="6" s="1"/>
  <c r="BS15" i="6"/>
  <c r="BT15" i="6" s="1"/>
  <c r="BS57" i="6"/>
  <c r="BT57" i="6" s="1"/>
  <c r="BS49" i="6"/>
  <c r="BT49" i="6" s="1"/>
  <c r="BS22" i="6"/>
  <c r="BT22" i="6" s="1"/>
  <c r="BS14" i="6"/>
  <c r="BT14" i="6" s="1"/>
  <c r="BS32" i="6"/>
  <c r="BT32" i="6" s="1"/>
  <c r="BS37" i="6"/>
  <c r="BT37" i="6" s="1"/>
  <c r="BS28" i="6"/>
  <c r="BT28" i="6" s="1"/>
  <c r="BS48" i="6"/>
  <c r="BT48" i="6" s="1"/>
  <c r="BS31" i="6"/>
  <c r="BT31" i="6" s="1"/>
  <c r="BS13" i="6"/>
  <c r="BT13" i="6" s="1"/>
  <c r="BS52" i="6"/>
  <c r="BT52" i="6" s="1"/>
  <c r="BS10" i="6"/>
  <c r="BT10" i="6" s="1"/>
  <c r="BS46" i="6"/>
  <c r="BT46" i="6" s="1"/>
  <c r="BS12" i="6"/>
  <c r="BT12" i="6" s="1"/>
  <c r="BS58" i="6"/>
  <c r="BT58" i="6" s="1"/>
  <c r="BS45" i="6"/>
  <c r="BT45" i="6" s="1"/>
  <c r="BS11" i="6"/>
  <c r="BT11" i="6" s="1"/>
  <c r="BS51" i="6"/>
  <c r="BT51" i="6" s="1"/>
  <c r="BS20" i="6"/>
  <c r="BT20" i="6" s="1"/>
  <c r="BS41" i="6"/>
  <c r="BT41" i="6" s="1"/>
  <c r="BS29" i="6"/>
  <c r="BT29" i="6" s="1"/>
  <c r="BS27" i="6"/>
  <c r="BT27" i="6" s="1"/>
  <c r="BS26" i="6"/>
  <c r="BT26" i="6" s="1"/>
  <c r="BS54" i="6"/>
  <c r="BT54" i="6" s="1"/>
  <c r="BS43" i="6"/>
  <c r="BT43" i="6" s="1"/>
  <c r="BS25" i="6"/>
  <c r="BT25" i="6" s="1"/>
  <c r="BS50" i="6"/>
  <c r="BT50" i="6" s="1"/>
  <c r="BS34" i="6"/>
  <c r="BT34" i="6" s="1"/>
  <c r="BS30" i="6"/>
  <c r="BT30" i="6" s="1"/>
  <c r="CQ55" i="3"/>
  <c r="AM55" i="3"/>
  <c r="BR55" i="1"/>
  <c r="BS55" i="1" s="1"/>
  <c r="BR24" i="1"/>
  <c r="BS24" i="1" s="1"/>
  <c r="BR27" i="1"/>
  <c r="BS27" i="1" s="1"/>
  <c r="BR9" i="1"/>
  <c r="BS9" i="1" s="1"/>
  <c r="BR35" i="1"/>
  <c r="BS35" i="1" s="1"/>
  <c r="BR41" i="1"/>
  <c r="BS41" i="1" s="1"/>
  <c r="BS38" i="6"/>
  <c r="BT38" i="6" s="1"/>
  <c r="BS36" i="6"/>
  <c r="BT36" i="6" s="1"/>
  <c r="M45" i="1"/>
  <c r="N45" i="1"/>
  <c r="AC35" i="1"/>
  <c r="AC31" i="1"/>
  <c r="AC15" i="1"/>
  <c r="AC27" i="1"/>
  <c r="AC49" i="1" s="1"/>
  <c r="AC23" i="1"/>
  <c r="AC44" i="1" s="1"/>
  <c r="AC11" i="1"/>
  <c r="AC19" i="1"/>
  <c r="AC39" i="1"/>
  <c r="AD58" i="1"/>
  <c r="AD18" i="1"/>
  <c r="AD41" i="1"/>
  <c r="AD22" i="1"/>
  <c r="AD26" i="1"/>
  <c r="AD9" i="1"/>
  <c r="AD13" i="1"/>
  <c r="AD57" i="1"/>
  <c r="AD17" i="1"/>
  <c r="AD30" i="1"/>
  <c r="AD48" i="1" s="1"/>
  <c r="AD33" i="1"/>
  <c r="AD42" i="1"/>
  <c r="AD25" i="1"/>
  <c r="AD38" i="1"/>
  <c r="AD47" i="1" s="1"/>
  <c r="AD21" i="1"/>
  <c r="AD50" i="1" s="1"/>
  <c r="AD14" i="1"/>
  <c r="AD10" i="1"/>
  <c r="AD34" i="1"/>
  <c r="AD29" i="1"/>
  <c r="AD37" i="1"/>
  <c r="AD46" i="1" s="1"/>
  <c r="AB9" i="1"/>
  <c r="AC9" i="1"/>
  <c r="BR19" i="1"/>
  <c r="BS19" i="1" s="1"/>
  <c r="BR32" i="1"/>
  <c r="BS32" i="1" s="1"/>
  <c r="BR52" i="1"/>
  <c r="BS52" i="1" s="1"/>
  <c r="BR12" i="1"/>
  <c r="BS12" i="1" s="1"/>
  <c r="BR31" i="1"/>
  <c r="BS31" i="1" s="1"/>
  <c r="BR44" i="1"/>
  <c r="BS44" i="1" s="1"/>
  <c r="BR36" i="1"/>
  <c r="BS36" i="1" s="1"/>
  <c r="BR20" i="1"/>
  <c r="BS20" i="1" s="1"/>
  <c r="BR39" i="1"/>
  <c r="BS39" i="1" s="1"/>
  <c r="BR11" i="1"/>
  <c r="BS11" i="1" s="1"/>
  <c r="BR16" i="1"/>
  <c r="BS16" i="1" s="1"/>
  <c r="BR56" i="1"/>
  <c r="BS56" i="1" s="1"/>
  <c r="BR47" i="1"/>
  <c r="BS47" i="1" s="1"/>
  <c r="BR15" i="1"/>
  <c r="BS15" i="1" s="1"/>
  <c r="BR23" i="1"/>
  <c r="BS23" i="1" s="1"/>
  <c r="BR43" i="1"/>
  <c r="BS43" i="1" s="1"/>
  <c r="AB10" i="1"/>
  <c r="AC10" i="1"/>
  <c r="BR10" i="1"/>
  <c r="BS10" i="1" s="1"/>
  <c r="AB11" i="1"/>
  <c r="AD11" i="1"/>
  <c r="AB12" i="1"/>
  <c r="AC12" i="1"/>
  <c r="AD12" i="1"/>
  <c r="AB13" i="1"/>
  <c r="AC13" i="1"/>
  <c r="AB14" i="1"/>
  <c r="AC14" i="1"/>
  <c r="BR14" i="1"/>
  <c r="BS14" i="1" s="1"/>
  <c r="AB15" i="1"/>
  <c r="AD15" i="1"/>
  <c r="AB16" i="1"/>
  <c r="AC16" i="1"/>
  <c r="AD16" i="1"/>
  <c r="AB17" i="1"/>
  <c r="AC17" i="1"/>
  <c r="BR17" i="1"/>
  <c r="BS17" i="1" s="1"/>
  <c r="AB18" i="1"/>
  <c r="AC18" i="1"/>
  <c r="AB19" i="1"/>
  <c r="AD19" i="1"/>
  <c r="AB20" i="1"/>
  <c r="AC20" i="1"/>
  <c r="AD20" i="1"/>
  <c r="AB21" i="1"/>
  <c r="AB50" i="1" s="1"/>
  <c r="AC21" i="1"/>
  <c r="AC50" i="1" s="1"/>
  <c r="AB22" i="1"/>
  <c r="AC22" i="1"/>
  <c r="BR22" i="1"/>
  <c r="BS22" i="1" s="1"/>
  <c r="AB23" i="1"/>
  <c r="AB44" i="1" s="1"/>
  <c r="AD23" i="1"/>
  <c r="AD44" i="1" s="1"/>
  <c r="AB24" i="1"/>
  <c r="AC24" i="1"/>
  <c r="AD24" i="1"/>
  <c r="AB25" i="1"/>
  <c r="AC25" i="1"/>
  <c r="BR25" i="1"/>
  <c r="BS25" i="1" s="1"/>
  <c r="AB26" i="1"/>
  <c r="AC26" i="1"/>
  <c r="AB27" i="1"/>
  <c r="AB49" i="1" s="1"/>
  <c r="AD27" i="1"/>
  <c r="AD49" i="1" s="1"/>
  <c r="AB28" i="1"/>
  <c r="AC28" i="1"/>
  <c r="AD28" i="1"/>
  <c r="AB29" i="1"/>
  <c r="AC29" i="1"/>
  <c r="AB30" i="1"/>
  <c r="AB48" i="1" s="1"/>
  <c r="AC30" i="1"/>
  <c r="AC48" i="1" s="1"/>
  <c r="BR30" i="1"/>
  <c r="BS30" i="1" s="1"/>
  <c r="AB31" i="1"/>
  <c r="AD31" i="1"/>
  <c r="AB32" i="1"/>
  <c r="AC32" i="1"/>
  <c r="AD32" i="1"/>
  <c r="AB33" i="1"/>
  <c r="AC33" i="1"/>
  <c r="AB34" i="1"/>
  <c r="AC34" i="1"/>
  <c r="BR34" i="1"/>
  <c r="BS34" i="1" s="1"/>
  <c r="AB35" i="1"/>
  <c r="AD35" i="1"/>
  <c r="AB36" i="1"/>
  <c r="AB45" i="1" s="1"/>
  <c r="AC36" i="1"/>
  <c r="AC45" i="1" s="1"/>
  <c r="AD36" i="1"/>
  <c r="AD45" i="1" s="1"/>
  <c r="AB37" i="1"/>
  <c r="AB46" i="1" s="1"/>
  <c r="AC37" i="1"/>
  <c r="AC46" i="1" s="1"/>
  <c r="AB38" i="1"/>
  <c r="AB47" i="1" s="1"/>
  <c r="AC38" i="1"/>
  <c r="AC47" i="1" s="1"/>
  <c r="BR38" i="1"/>
  <c r="BS38" i="1" s="1"/>
  <c r="BR42" i="1"/>
  <c r="BS42" i="1" s="1"/>
  <c r="BR49" i="1"/>
  <c r="BS49" i="1" s="1"/>
  <c r="BS44" i="6"/>
  <c r="BT44" i="6" s="1"/>
  <c r="BR40" i="1"/>
  <c r="BS40" i="1" s="1"/>
  <c r="BS18" i="6"/>
  <c r="BT18" i="6" s="1"/>
  <c r="BS39" i="5"/>
  <c r="BT39" i="5" s="1"/>
  <c r="BS55" i="5"/>
  <c r="BT55" i="5" s="1"/>
  <c r="AB39" i="1"/>
  <c r="AD39" i="1"/>
  <c r="AB40" i="1"/>
  <c r="AC40" i="1"/>
  <c r="AD40" i="1"/>
  <c r="AB41" i="1"/>
  <c r="AC41" i="1"/>
  <c r="AB42" i="1"/>
  <c r="AC42" i="1"/>
  <c r="BR45" i="1"/>
  <c r="BS45" i="1" s="1"/>
  <c r="BR50" i="1"/>
  <c r="BS50" i="1" s="1"/>
  <c r="BR53" i="1"/>
  <c r="BS53" i="1" s="1"/>
  <c r="BR54" i="1"/>
  <c r="BS54" i="1" s="1"/>
  <c r="AB57" i="1"/>
  <c r="AC57" i="1"/>
  <c r="BR57" i="1"/>
  <c r="BS57" i="1" s="1"/>
  <c r="AB58" i="1"/>
  <c r="AC58" i="1"/>
  <c r="BR58" i="1"/>
  <c r="BS58" i="1" s="1"/>
  <c r="BS19" i="6"/>
  <c r="BT19" i="6" s="1"/>
  <c r="BS24" i="6"/>
  <c r="BT24" i="6" s="1"/>
  <c r="BS35" i="6"/>
  <c r="BT35" i="6" s="1"/>
  <c r="BS40" i="6"/>
  <c r="BT40" i="6" s="1"/>
  <c r="BS56" i="6"/>
  <c r="BT56" i="6" s="1"/>
  <c r="BR7" i="5"/>
  <c r="BS30" i="5" s="1"/>
  <c r="BT30" i="5" s="1"/>
  <c r="BS54" i="5"/>
  <c r="BT54" i="5" s="1"/>
  <c r="BQ7" i="4"/>
  <c r="BR15" i="4" s="1"/>
  <c r="BS15" i="4" s="1"/>
  <c r="BS47" i="6"/>
  <c r="BT47" i="6" s="1"/>
  <c r="BS23" i="6"/>
  <c r="BT23" i="6" s="1"/>
  <c r="BS16" i="6"/>
  <c r="BT16" i="6" s="1"/>
  <c r="CQ58" i="3"/>
  <c r="AM58" i="3"/>
  <c r="BS45" i="5"/>
  <c r="BT45" i="5" s="1"/>
  <c r="BQ30" i="2"/>
  <c r="BQ18" i="2"/>
  <c r="BQ53" i="2"/>
  <c r="BQ14" i="2"/>
  <c r="BQ50" i="2"/>
  <c r="BQ29" i="2"/>
  <c r="BQ10" i="2"/>
  <c r="BQ38" i="2"/>
  <c r="BQ41" i="2"/>
  <c r="BQ25" i="2"/>
  <c r="BQ34" i="2"/>
  <c r="BQ22" i="2"/>
  <c r="BQ57" i="2"/>
  <c r="BQ45" i="2"/>
  <c r="BQ9" i="2"/>
  <c r="BQ37" i="2"/>
  <c r="BQ33" i="2"/>
  <c r="BQ21" i="2"/>
  <c r="AC21" i="2"/>
  <c r="AC53" i="2"/>
  <c r="AC29" i="2"/>
  <c r="AC25" i="2"/>
  <c r="AC43" i="2" s="1"/>
  <c r="AC9" i="2"/>
  <c r="AB35" i="3"/>
  <c r="AB33" i="3"/>
  <c r="AB41" i="3" s="1"/>
  <c r="AB51" i="3"/>
  <c r="AB30" i="3"/>
  <c r="AB42" i="3" s="1"/>
  <c r="AC52" i="3"/>
  <c r="AC57" i="3"/>
  <c r="AC18" i="3"/>
  <c r="AC16" i="3"/>
  <c r="AC36" i="3"/>
  <c r="BQ43" i="3"/>
  <c r="BQ51" i="3"/>
  <c r="BQ57" i="3"/>
  <c r="BQ12" i="3"/>
  <c r="BQ38" i="3"/>
  <c r="BQ49" i="3"/>
  <c r="BQ39" i="3"/>
  <c r="BQ17" i="3"/>
  <c r="BQ41" i="3"/>
  <c r="BQ52" i="3"/>
  <c r="BQ36" i="3"/>
  <c r="BQ44" i="3"/>
  <c r="BQ55" i="3"/>
  <c r="BQ20" i="3"/>
  <c r="BQ28" i="3"/>
  <c r="BQ14" i="3"/>
  <c r="BQ11" i="3"/>
  <c r="AC23" i="3"/>
  <c r="AB18" i="3"/>
  <c r="AB10" i="3"/>
  <c r="BQ23" i="3"/>
  <c r="AC12" i="3"/>
  <c r="AC33" i="3"/>
  <c r="AC41" i="3" s="1"/>
  <c r="AC26" i="3"/>
  <c r="AB54" i="3"/>
  <c r="AB34" i="3"/>
  <c r="AC57" i="2"/>
  <c r="BQ26" i="2"/>
  <c r="BQ54" i="2"/>
  <c r="AC13" i="2"/>
  <c r="CR28" i="3"/>
  <c r="AM28" i="3"/>
  <c r="AB28" i="3"/>
  <c r="AB39" i="3" s="1"/>
  <c r="BQ47" i="3"/>
  <c r="AC11" i="3"/>
  <c r="AC13" i="3"/>
  <c r="AC15" i="3"/>
  <c r="AC21" i="3"/>
  <c r="AC25" i="3"/>
  <c r="AC43" i="3" s="1"/>
  <c r="AC27" i="3"/>
  <c r="AC40" i="3" s="1"/>
  <c r="AB31" i="3"/>
  <c r="AC56" i="3"/>
  <c r="CQ57" i="3"/>
  <c r="AM57" i="3"/>
  <c r="CR21" i="3"/>
  <c r="AM21" i="3"/>
  <c r="CR45" i="3"/>
  <c r="AM45" i="3"/>
  <c r="AM24" i="3"/>
  <c r="F11" i="8"/>
  <c r="F12" i="8"/>
  <c r="F13" i="8"/>
  <c r="F14" i="8"/>
  <c r="F15" i="8"/>
  <c r="F10" i="8"/>
  <c r="F17" i="8"/>
  <c r="F16" i="8"/>
  <c r="AB9" i="3"/>
  <c r="AC14" i="3"/>
  <c r="AB16" i="3"/>
  <c r="AB19" i="3"/>
  <c r="AB21" i="3"/>
  <c r="AB25" i="3"/>
  <c r="AB43" i="3" s="1"/>
  <c r="AC29" i="3"/>
  <c r="AC32" i="3"/>
  <c r="AB36" i="3"/>
  <c r="AC51" i="3"/>
  <c r="AC53" i="3"/>
  <c r="AC54" i="3"/>
  <c r="AC55" i="3"/>
  <c r="AB57" i="3"/>
  <c r="AB58" i="3"/>
  <c r="N28" i="20"/>
  <c r="Y41" i="6" s="1"/>
  <c r="E28" i="20"/>
  <c r="X41" i="3" s="1"/>
  <c r="P28" i="20"/>
  <c r="Y41" i="4" s="1"/>
  <c r="M28" i="20"/>
  <c r="Y41" i="5" s="1"/>
  <c r="I28" i="20"/>
  <c r="X41" i="4" s="1"/>
  <c r="F28" i="20"/>
  <c r="X41" i="5" s="1"/>
  <c r="L28" i="20"/>
  <c r="Y41" i="3" s="1"/>
  <c r="CR41" i="3" s="1"/>
  <c r="G28" i="20"/>
  <c r="X41" i="6" s="1"/>
  <c r="CQ17" i="3"/>
  <c r="AM17" i="3"/>
  <c r="N24" i="1"/>
  <c r="H280" i="9"/>
  <c r="G281" i="12"/>
  <c r="D281" i="12"/>
  <c r="Y40" i="20"/>
  <c r="X48" i="3"/>
  <c r="X20" i="21"/>
  <c r="AM20" i="21" s="1"/>
  <c r="AC57" i="20"/>
  <c r="Z20" i="21" s="1"/>
  <c r="AJ10" i="20"/>
  <c r="AA14" i="21" s="1"/>
  <c r="Y14" i="21"/>
  <c r="AJ21" i="20"/>
  <c r="AA9" i="21" s="1"/>
  <c r="Y9" i="21"/>
  <c r="Y44" i="21"/>
  <c r="AJ30" i="20"/>
  <c r="AA44" i="21" s="1"/>
  <c r="Y46" i="21"/>
  <c r="AJ38" i="20"/>
  <c r="AA46" i="21" s="1"/>
  <c r="Y51" i="21"/>
  <c r="AM51" i="21" s="1"/>
  <c r="AJ46" i="20"/>
  <c r="AA51" i="21" s="1"/>
  <c r="Y37" i="21"/>
  <c r="AJ56" i="20"/>
  <c r="AA37" i="21" s="1"/>
  <c r="AM29" i="3"/>
  <c r="CR29" i="3"/>
  <c r="D280" i="10"/>
  <c r="C144" i="9"/>
  <c r="C8" i="9"/>
  <c r="C42" i="10"/>
  <c r="E280" i="11"/>
  <c r="C280" i="11" s="1"/>
  <c r="C110" i="11"/>
  <c r="C43" i="12"/>
  <c r="AM54" i="1"/>
  <c r="AM38" i="2"/>
  <c r="C178" i="9"/>
  <c r="G280" i="9"/>
  <c r="H281" i="12"/>
  <c r="AM25" i="4"/>
  <c r="H280" i="10"/>
  <c r="AM44" i="5"/>
  <c r="C42" i="9"/>
  <c r="C76" i="10"/>
  <c r="C8" i="11"/>
  <c r="F24" i="8"/>
  <c r="C52" i="13"/>
  <c r="E52" i="13" s="1"/>
  <c r="C50" i="13"/>
  <c r="E50" i="13" s="1"/>
  <c r="C13" i="13"/>
  <c r="C30" i="13"/>
  <c r="E30" i="13" s="1"/>
  <c r="C11" i="13"/>
  <c r="E11" i="13" s="1"/>
  <c r="B30" i="13"/>
  <c r="B8" i="13"/>
  <c r="B33" i="13"/>
  <c r="AC24" i="21"/>
  <c r="AC44" i="21" s="1"/>
  <c r="AC35" i="21"/>
  <c r="F23" i="8"/>
  <c r="C3" i="13"/>
  <c r="E3" i="13" s="1"/>
  <c r="C29" i="13"/>
  <c r="E29" i="13" s="1"/>
  <c r="C46" i="13"/>
  <c r="C7" i="13"/>
  <c r="C8" i="13"/>
  <c r="E8" i="13" s="1"/>
  <c r="B26" i="13"/>
  <c r="B25" i="13"/>
  <c r="B24" i="13"/>
  <c r="B23" i="13"/>
  <c r="B45" i="13"/>
  <c r="B52" i="13"/>
  <c r="B11" i="13"/>
  <c r="B41" i="13"/>
  <c r="B42" i="13"/>
  <c r="B46" i="13"/>
  <c r="B21" i="13"/>
  <c r="B28" i="13"/>
  <c r="B51" i="13"/>
  <c r="B10" i="13"/>
  <c r="B18" i="13"/>
  <c r="F22" i="8"/>
  <c r="C12" i="13"/>
  <c r="E12" i="13" s="1"/>
  <c r="C19" i="13"/>
  <c r="E19" i="13" s="1"/>
  <c r="C37" i="13"/>
  <c r="C15" i="13"/>
  <c r="E15" i="13" s="1"/>
  <c r="C16" i="13"/>
  <c r="E16" i="13" s="1"/>
  <c r="C9" i="13"/>
  <c r="E9" i="13" s="1"/>
  <c r="B4" i="13"/>
  <c r="B13" i="13"/>
  <c r="B15" i="13"/>
  <c r="B40" i="13"/>
  <c r="J30" i="21"/>
  <c r="J23" i="21"/>
  <c r="J33" i="21"/>
  <c r="J28" i="21"/>
  <c r="J29" i="21"/>
  <c r="J29" i="2"/>
  <c r="J23" i="5"/>
  <c r="J33" i="5"/>
  <c r="J34" i="5"/>
  <c r="J23" i="4"/>
  <c r="J30" i="6"/>
  <c r="J27" i="4"/>
  <c r="J28" i="4"/>
  <c r="J23" i="3"/>
  <c r="J34" i="3"/>
  <c r="J27" i="21"/>
  <c r="J33" i="4"/>
  <c r="J29" i="3"/>
  <c r="J30" i="3"/>
  <c r="J33" i="3"/>
  <c r="J27" i="2"/>
  <c r="J28" i="3"/>
  <c r="J27" i="3"/>
  <c r="J23" i="2"/>
  <c r="J28" i="6"/>
  <c r="J28" i="2"/>
  <c r="J33" i="6"/>
  <c r="J34" i="6"/>
  <c r="J34" i="21"/>
  <c r="J29" i="6"/>
  <c r="J27" i="5"/>
  <c r="J28" i="5"/>
  <c r="J29" i="5"/>
  <c r="AC55" i="21"/>
  <c r="AC11" i="21"/>
  <c r="AC30" i="21"/>
  <c r="AC42" i="21" s="1"/>
  <c r="C20" i="13"/>
  <c r="E20" i="13" s="1"/>
  <c r="C35" i="13"/>
  <c r="E35" i="13" s="1"/>
  <c r="C45" i="13"/>
  <c r="E45" i="13" s="1"/>
  <c r="C23" i="13"/>
  <c r="E23" i="13" s="1"/>
  <c r="C32" i="13"/>
  <c r="E32" i="13" s="1"/>
  <c r="C17" i="13"/>
  <c r="E17" i="13" s="1"/>
  <c r="C10" i="13"/>
  <c r="E10" i="13" s="1"/>
  <c r="B19" i="13"/>
  <c r="B12" i="13"/>
  <c r="B29" i="13"/>
  <c r="B31" i="13"/>
  <c r="B48" i="13"/>
  <c r="G25" i="20"/>
  <c r="X34" i="6" s="1"/>
  <c r="I25" i="20"/>
  <c r="X34" i="4" s="1"/>
  <c r="AM34" i="4" s="1"/>
  <c r="M25" i="20"/>
  <c r="Y34" i="5" s="1"/>
  <c r="P25" i="20"/>
  <c r="Y34" i="4" s="1"/>
  <c r="N25" i="20"/>
  <c r="Y34" i="6" s="1"/>
  <c r="L25" i="20"/>
  <c r="Y34" i="3" s="1"/>
  <c r="CR34" i="3" s="1"/>
  <c r="E25" i="20"/>
  <c r="X34" i="3" s="1"/>
  <c r="F25" i="20"/>
  <c r="X34" i="5" s="1"/>
  <c r="E5" i="20"/>
  <c r="X12" i="3" s="1"/>
  <c r="I5" i="20"/>
  <c r="X12" i="4" s="1"/>
  <c r="AM12" i="4" s="1"/>
  <c r="N5" i="20"/>
  <c r="Y12" i="6" s="1"/>
  <c r="AM12" i="6" s="1"/>
  <c r="P5" i="20"/>
  <c r="Y12" i="4" s="1"/>
  <c r="M5" i="20"/>
  <c r="Y12" i="5" s="1"/>
  <c r="AM12" i="5" s="1"/>
  <c r="L5" i="20"/>
  <c r="Y12" i="3" s="1"/>
  <c r="CR12" i="3" s="1"/>
  <c r="AC21" i="21"/>
  <c r="AC14" i="21"/>
  <c r="AC26" i="21"/>
  <c r="AC23" i="21"/>
  <c r="AC56" i="21"/>
  <c r="AC28" i="21"/>
  <c r="AC39" i="21" s="1"/>
  <c r="AC58" i="21"/>
  <c r="AC13" i="21"/>
  <c r="AC29" i="21"/>
  <c r="AC34" i="21"/>
  <c r="AC31" i="21"/>
  <c r="AC52" i="21"/>
  <c r="AC12" i="21"/>
  <c r="C40" i="13"/>
  <c r="C25" i="13"/>
  <c r="E25" i="13" s="1"/>
  <c r="C26" i="13"/>
  <c r="E26" i="13" s="1"/>
  <c r="J12" i="21"/>
  <c r="J12" i="2"/>
  <c r="J12" i="6"/>
  <c r="J12" i="4"/>
  <c r="AC19" i="21"/>
  <c r="AC27" i="21"/>
  <c r="AC40" i="21" s="1"/>
  <c r="C24" i="13"/>
  <c r="E24" i="13" s="1"/>
  <c r="C43" i="13"/>
  <c r="E43" i="13" s="1"/>
  <c r="C33" i="13"/>
  <c r="E33" i="13" s="1"/>
  <c r="AC17" i="21"/>
  <c r="J14" i="21"/>
  <c r="J10" i="21"/>
  <c r="J36" i="21"/>
  <c r="J35" i="21"/>
  <c r="J26" i="21"/>
  <c r="J21" i="21"/>
  <c r="J19" i="21"/>
  <c r="J45" i="2"/>
  <c r="J18" i="4"/>
  <c r="J32" i="5"/>
  <c r="J46" i="6"/>
  <c r="AD52" i="21"/>
  <c r="AD25" i="21"/>
  <c r="AD43" i="21" s="1"/>
  <c r="AB56" i="21"/>
  <c r="AD23" i="21"/>
  <c r="AB25" i="21"/>
  <c r="AB43" i="21" s="1"/>
  <c r="AC51" i="21"/>
  <c r="AD51" i="21"/>
  <c r="J53" i="21"/>
  <c r="AJ22" i="20"/>
  <c r="AA10" i="21" s="1"/>
  <c r="J20" i="5"/>
  <c r="J17" i="5"/>
  <c r="J53" i="2"/>
  <c r="J26" i="4"/>
  <c r="J40" i="5"/>
  <c r="P8" i="20"/>
  <c r="Y17" i="4" s="1"/>
  <c r="AM17" i="4" s="1"/>
  <c r="AB26" i="21"/>
  <c r="AD53" i="21"/>
  <c r="J25" i="21"/>
  <c r="AM37" i="21"/>
  <c r="BR45" i="21"/>
  <c r="AB9" i="21"/>
  <c r="AC48" i="20"/>
  <c r="Z57" i="21" s="1"/>
  <c r="X57" i="21"/>
  <c r="AM57" i="21" s="1"/>
  <c r="AC58" i="20"/>
  <c r="Z26" i="21" s="1"/>
  <c r="X26" i="21"/>
  <c r="AM26" i="21" s="1"/>
  <c r="AC21" i="20"/>
  <c r="Z9" i="21" s="1"/>
  <c r="D40" i="13"/>
  <c r="E40" i="13" s="1"/>
  <c r="D13" i="13"/>
  <c r="E13" i="13" s="1"/>
  <c r="D46" i="13"/>
  <c r="E46" i="13" s="1"/>
  <c r="J17" i="2"/>
  <c r="J58" i="21"/>
  <c r="J55" i="21"/>
  <c r="J47" i="21"/>
  <c r="J52" i="21"/>
  <c r="J44" i="21"/>
  <c r="J38" i="21"/>
  <c r="J49" i="21"/>
  <c r="J40" i="21"/>
  <c r="J57" i="21"/>
  <c r="J54" i="21"/>
  <c r="J46" i="21"/>
  <c r="J43" i="21"/>
  <c r="J31" i="21"/>
  <c r="J51" i="21"/>
  <c r="J36" i="3"/>
  <c r="J50" i="4"/>
  <c r="J14" i="6"/>
  <c r="J58" i="2"/>
  <c r="F8" i="20"/>
  <c r="X17" i="5" s="1"/>
  <c r="AM17" i="5" s="1"/>
  <c r="AD56" i="21"/>
  <c r="J16" i="21"/>
  <c r="P16" i="21" s="1"/>
  <c r="J22" i="21"/>
  <c r="J39" i="21"/>
  <c r="AC41" i="20"/>
  <c r="Z49" i="21" s="1"/>
  <c r="X49" i="21"/>
  <c r="AM49" i="21" s="1"/>
  <c r="AC59" i="20"/>
  <c r="Z23" i="21" s="1"/>
  <c r="X23" i="21"/>
  <c r="AM23" i="21" s="1"/>
  <c r="Y48" i="21"/>
  <c r="AM48" i="21" s="1"/>
  <c r="AJ40" i="20"/>
  <c r="AA48" i="21" s="1"/>
  <c r="Y57" i="21"/>
  <c r="AJ48" i="20"/>
  <c r="AA57" i="21" s="1"/>
  <c r="AC4" i="20"/>
  <c r="Z29" i="21" s="1"/>
  <c r="AC43" i="20"/>
  <c r="Z54" i="21" s="1"/>
  <c r="J37" i="4"/>
  <c r="J20" i="3"/>
  <c r="J37" i="2"/>
  <c r="J13" i="2"/>
  <c r="J44" i="3"/>
  <c r="J58" i="4"/>
  <c r="J22" i="6"/>
  <c r="AD27" i="21"/>
  <c r="AD40" i="21" s="1"/>
  <c r="AD32" i="21"/>
  <c r="AM9" i="21"/>
  <c r="J32" i="21"/>
  <c r="BR34" i="21"/>
  <c r="AM42" i="21"/>
  <c r="J45" i="21"/>
  <c r="J48" i="21"/>
  <c r="AC53" i="21"/>
  <c r="AC34" i="20"/>
  <c r="Z40" i="21" s="1"/>
  <c r="X40" i="21"/>
  <c r="AM40" i="21" s="1"/>
  <c r="AC11" i="20"/>
  <c r="Z36" i="21" s="1"/>
  <c r="AJ31" i="20"/>
  <c r="AA42" i="21" s="1"/>
  <c r="AJ47" i="20"/>
  <c r="AA56" i="21" s="1"/>
  <c r="J20" i="21"/>
  <c r="J17" i="21"/>
  <c r="AB20" i="21"/>
  <c r="AB38" i="21" s="1"/>
  <c r="AB23" i="21"/>
  <c r="AB10" i="21"/>
  <c r="J9" i="21"/>
  <c r="AB11" i="21"/>
  <c r="J41" i="21"/>
  <c r="J42" i="21"/>
  <c r="J50" i="21"/>
  <c r="AC10" i="20"/>
  <c r="Z14" i="21" s="1"/>
  <c r="X14" i="21"/>
  <c r="AC50" i="20"/>
  <c r="Z31" i="21" s="1"/>
  <c r="AJ32" i="20"/>
  <c r="AA39" i="21" s="1"/>
  <c r="D37" i="13"/>
  <c r="E37" i="13" s="1"/>
  <c r="D6" i="13"/>
  <c r="E6" i="13" s="1"/>
  <c r="D7" i="13"/>
  <c r="E7" i="13" s="1"/>
  <c r="J37" i="5"/>
  <c r="J20" i="4"/>
  <c r="J37" i="6"/>
  <c r="AB53" i="21"/>
  <c r="AB18" i="21"/>
  <c r="J13" i="21"/>
  <c r="J18" i="21"/>
  <c r="J24" i="21"/>
  <c r="AM53" i="21"/>
  <c r="AM36" i="21"/>
  <c r="X43" i="21"/>
  <c r="AM43" i="21" s="1"/>
  <c r="AD14" i="21"/>
  <c r="BR17" i="21"/>
  <c r="AD18" i="21"/>
  <c r="BR21" i="21"/>
  <c r="AD28" i="21"/>
  <c r="AD39" i="21" s="1"/>
  <c r="BR31" i="21"/>
  <c r="X12" i="21"/>
  <c r="AM12" i="21" s="1"/>
  <c r="X44" i="21"/>
  <c r="AM44" i="21" s="1"/>
  <c r="AC45" i="20"/>
  <c r="Z55" i="21" s="1"/>
  <c r="AD9" i="21"/>
  <c r="AD20" i="21"/>
  <c r="AD38" i="21" s="1"/>
  <c r="AD30" i="21"/>
  <c r="AD42" i="21" s="1"/>
  <c r="BR33" i="21"/>
  <c r="BR41" i="21"/>
  <c r="BR44" i="21"/>
  <c r="X46" i="21"/>
  <c r="AM46" i="21" s="1"/>
  <c r="AD58" i="21"/>
  <c r="AD22" i="21"/>
  <c r="BR24" i="21"/>
  <c r="AM34" i="5" l="1"/>
  <c r="AM41" i="4"/>
  <c r="Y42" i="20"/>
  <c r="X50" i="3"/>
  <c r="AM50" i="6"/>
  <c r="AM14" i="21"/>
  <c r="AM50" i="4"/>
  <c r="D281" i="11"/>
  <c r="H281" i="11"/>
  <c r="F281" i="11"/>
  <c r="G281" i="11"/>
  <c r="BR29" i="2"/>
  <c r="BS29" i="2" s="1"/>
  <c r="I3" i="13" a="1"/>
  <c r="J3" i="13" a="1"/>
  <c r="F28" i="8"/>
  <c r="AM41" i="6"/>
  <c r="H3" i="13" a="1"/>
  <c r="C281" i="12"/>
  <c r="D282" i="12" s="1"/>
  <c r="BR22" i="2"/>
  <c r="BS22" i="2" s="1"/>
  <c r="H281" i="10"/>
  <c r="AM41" i="5"/>
  <c r="BR57" i="3"/>
  <c r="BS57" i="3" s="1"/>
  <c r="BR34" i="2"/>
  <c r="BS34" i="2" s="1"/>
  <c r="BR37" i="4"/>
  <c r="BS37" i="4" s="1"/>
  <c r="BR29" i="4"/>
  <c r="BS29" i="4" s="1"/>
  <c r="BR45" i="4"/>
  <c r="BS45" i="4" s="1"/>
  <c r="BR48" i="4"/>
  <c r="BS48" i="4" s="1"/>
  <c r="BR33" i="4"/>
  <c r="BS33" i="4" s="1"/>
  <c r="BR56" i="4"/>
  <c r="BS56" i="4" s="1"/>
  <c r="BR44" i="4"/>
  <c r="BS44" i="4" s="1"/>
  <c r="BR58" i="4"/>
  <c r="BS58" i="4" s="1"/>
  <c r="BR51" i="4"/>
  <c r="BS51" i="4" s="1"/>
  <c r="BR25" i="4"/>
  <c r="BS25" i="4" s="1"/>
  <c r="BR27" i="4"/>
  <c r="BS27" i="4" s="1"/>
  <c r="BR32" i="4"/>
  <c r="BS32" i="4" s="1"/>
  <c r="BR40" i="4"/>
  <c r="BS40" i="4" s="1"/>
  <c r="BR31" i="4"/>
  <c r="BS31" i="4" s="1"/>
  <c r="BR23" i="4"/>
  <c r="BS23" i="4" s="1"/>
  <c r="BR34" i="4"/>
  <c r="BS34" i="4" s="1"/>
  <c r="BR19" i="4"/>
  <c r="BS19" i="4" s="1"/>
  <c r="BR20" i="4"/>
  <c r="BS20" i="4" s="1"/>
  <c r="BR50" i="4"/>
  <c r="BS50" i="4" s="1"/>
  <c r="BR12" i="4"/>
  <c r="BS12" i="4" s="1"/>
  <c r="BR42" i="4"/>
  <c r="BS42" i="4" s="1"/>
  <c r="BR49" i="4"/>
  <c r="BS49" i="4" s="1"/>
  <c r="BR46" i="4"/>
  <c r="BS46" i="4" s="1"/>
  <c r="BR47" i="4"/>
  <c r="BS47" i="4" s="1"/>
  <c r="BR28" i="4"/>
  <c r="BS28" i="4" s="1"/>
  <c r="BR9" i="4"/>
  <c r="BS9" i="4" s="1"/>
  <c r="BR54" i="4"/>
  <c r="BS54" i="4" s="1"/>
  <c r="BR17" i="4"/>
  <c r="BS17" i="4" s="1"/>
  <c r="BR41" i="4"/>
  <c r="BS41" i="4" s="1"/>
  <c r="BR24" i="4"/>
  <c r="BS24" i="4" s="1"/>
  <c r="BR14" i="4"/>
  <c r="BS14" i="4" s="1"/>
  <c r="BR52" i="4"/>
  <c r="BS52" i="4" s="1"/>
  <c r="BR30" i="4"/>
  <c r="BS30" i="4" s="1"/>
  <c r="BR13" i="4"/>
  <c r="BS13" i="4" s="1"/>
  <c r="BR21" i="4"/>
  <c r="BS21" i="4" s="1"/>
  <c r="BR35" i="4"/>
  <c r="BS35" i="4" s="1"/>
  <c r="BR18" i="4"/>
  <c r="BS18" i="4" s="1"/>
  <c r="BR53" i="4"/>
  <c r="BS53" i="4" s="1"/>
  <c r="BR16" i="4"/>
  <c r="BS16" i="4" s="1"/>
  <c r="BR26" i="4"/>
  <c r="BS26" i="4" s="1"/>
  <c r="BR57" i="4"/>
  <c r="BS57" i="4" s="1"/>
  <c r="BR43" i="4"/>
  <c r="BS43" i="4" s="1"/>
  <c r="BR10" i="4"/>
  <c r="BS10" i="4" s="1"/>
  <c r="BR11" i="4"/>
  <c r="BS11" i="4" s="1"/>
  <c r="BR55" i="4"/>
  <c r="BS55" i="4" s="1"/>
  <c r="BR38" i="4"/>
  <c r="BS38" i="4" s="1"/>
  <c r="BR36" i="4"/>
  <c r="BS36" i="4" s="1"/>
  <c r="BR22" i="4"/>
  <c r="BS22" i="4" s="1"/>
  <c r="BP14" i="1"/>
  <c r="BP47" i="1"/>
  <c r="BS22" i="5"/>
  <c r="BT22" i="5" s="1"/>
  <c r="BR39" i="4"/>
  <c r="BS39" i="4" s="1"/>
  <c r="CQ12" i="3"/>
  <c r="AM12" i="3"/>
  <c r="AM34" i="6"/>
  <c r="F18" i="8"/>
  <c r="BR52" i="3"/>
  <c r="BS52" i="3" s="1"/>
  <c r="BR51" i="3"/>
  <c r="BS51" i="3" s="1"/>
  <c r="BP56" i="1"/>
  <c r="BT7" i="6"/>
  <c r="BQ33" i="6" s="1"/>
  <c r="C280" i="10"/>
  <c r="D281" i="10"/>
  <c r="BQ7" i="3"/>
  <c r="BR49" i="3" s="1"/>
  <c r="BS49" i="3" s="1"/>
  <c r="BR43" i="3"/>
  <c r="BS43" i="3" s="1"/>
  <c r="BR33" i="2"/>
  <c r="BS33" i="2" s="1"/>
  <c r="BS38" i="5"/>
  <c r="BT38" i="5" s="1"/>
  <c r="BP49" i="1"/>
  <c r="BP10" i="1"/>
  <c r="BQ7" i="1"/>
  <c r="BP44" i="1" s="1"/>
  <c r="BQ48" i="6"/>
  <c r="BS36" i="5"/>
  <c r="BT36" i="5" s="1"/>
  <c r="BS44" i="21"/>
  <c r="BT44" i="21" s="1"/>
  <c r="H282" i="12"/>
  <c r="BS41" i="21"/>
  <c r="BT41" i="21" s="1"/>
  <c r="CQ34" i="3"/>
  <c r="AM34" i="3"/>
  <c r="C280" i="9"/>
  <c r="H281" i="9" s="1"/>
  <c r="E281" i="11"/>
  <c r="AM48" i="3"/>
  <c r="CQ48" i="3"/>
  <c r="BR7" i="21"/>
  <c r="BR14" i="3"/>
  <c r="BS14" i="3" s="1"/>
  <c r="BR17" i="3"/>
  <c r="BS17" i="3" s="1"/>
  <c r="BP45" i="1"/>
  <c r="BP32" i="1"/>
  <c r="BP27" i="1"/>
  <c r="Z40" i="20"/>
  <c r="Z48" i="2"/>
  <c r="AM41" i="3"/>
  <c r="CQ41" i="3"/>
  <c r="BQ7" i="2"/>
  <c r="BR18" i="2" s="1"/>
  <c r="BS18" i="2" s="1"/>
  <c r="BR9" i="2"/>
  <c r="BS9" i="2" s="1"/>
  <c r="BQ47" i="6"/>
  <c r="BS27" i="5"/>
  <c r="BT27" i="5" s="1"/>
  <c r="BS24" i="5"/>
  <c r="BT24" i="5" s="1"/>
  <c r="BS26" i="5"/>
  <c r="BT26" i="5" s="1"/>
  <c r="BS23" i="5"/>
  <c r="BT23" i="5" s="1"/>
  <c r="BS31" i="5"/>
  <c r="BT31" i="5" s="1"/>
  <c r="BS32" i="5"/>
  <c r="BT32" i="5" s="1"/>
  <c r="BS35" i="5"/>
  <c r="BT35" i="5" s="1"/>
  <c r="BS29" i="5"/>
  <c r="BT29" i="5" s="1"/>
  <c r="BS11" i="5"/>
  <c r="BT11" i="5" s="1"/>
  <c r="BS17" i="5"/>
  <c r="BT17" i="5" s="1"/>
  <c r="BS10" i="5"/>
  <c r="BT10" i="5" s="1"/>
  <c r="BS33" i="5"/>
  <c r="BT33" i="5" s="1"/>
  <c r="BS19" i="5"/>
  <c r="BT19" i="5" s="1"/>
  <c r="BS21" i="5"/>
  <c r="BT21" i="5" s="1"/>
  <c r="BS16" i="5"/>
  <c r="BT16" i="5" s="1"/>
  <c r="BS56" i="5"/>
  <c r="BT56" i="5" s="1"/>
  <c r="BS57" i="5"/>
  <c r="BT57" i="5" s="1"/>
  <c r="BS20" i="5"/>
  <c r="BT20" i="5" s="1"/>
  <c r="BS15" i="5"/>
  <c r="BT15" i="5" s="1"/>
  <c r="BS52" i="5"/>
  <c r="BT52" i="5" s="1"/>
  <c r="BS18" i="5"/>
  <c r="BT18" i="5" s="1"/>
  <c r="BS53" i="5"/>
  <c r="BT53" i="5" s="1"/>
  <c r="BS37" i="5"/>
  <c r="BT37" i="5" s="1"/>
  <c r="BS44" i="5"/>
  <c r="BT44" i="5" s="1"/>
  <c r="BS25" i="5"/>
  <c r="BT25" i="5" s="1"/>
  <c r="BS51" i="5"/>
  <c r="BT51" i="5" s="1"/>
  <c r="BS42" i="5"/>
  <c r="BT42" i="5" s="1"/>
  <c r="BS50" i="5"/>
  <c r="BT50" i="5" s="1"/>
  <c r="BS46" i="5"/>
  <c r="BT46" i="5" s="1"/>
  <c r="BS48" i="5"/>
  <c r="BT48" i="5" s="1"/>
  <c r="BS9" i="5"/>
  <c r="BT9" i="5" s="1"/>
  <c r="BS58" i="5"/>
  <c r="BT58" i="5" s="1"/>
  <c r="BS47" i="5"/>
  <c r="BT47" i="5" s="1"/>
  <c r="BS49" i="5"/>
  <c r="BT49" i="5" s="1"/>
  <c r="BS41" i="5"/>
  <c r="BT41" i="5" s="1"/>
  <c r="BS43" i="5"/>
  <c r="BT43" i="5" s="1"/>
  <c r="BS28" i="5"/>
  <c r="BT28" i="5" s="1"/>
  <c r="BS14" i="5"/>
  <c r="BT14" i="5" s="1"/>
  <c r="BS12" i="5"/>
  <c r="BT12" i="5" s="1"/>
  <c r="BS34" i="5"/>
  <c r="BT34" i="5" s="1"/>
  <c r="BS13" i="5"/>
  <c r="BT13" i="5" s="1"/>
  <c r="BS40" i="5"/>
  <c r="BT40" i="5" s="1"/>
  <c r="BP22" i="1"/>
  <c r="BP24" i="1"/>
  <c r="BQ27" i="6"/>
  <c r="CQ50" i="3" l="1"/>
  <c r="AM50" i="3"/>
  <c r="Z42" i="20"/>
  <c r="Z50" i="2"/>
  <c r="BQ10" i="6"/>
  <c r="BQ29" i="6"/>
  <c r="BQ12" i="5"/>
  <c r="BQ37" i="5"/>
  <c r="BQ35" i="5"/>
  <c r="BP11" i="1"/>
  <c r="BS13" i="21"/>
  <c r="BT13" i="21" s="1"/>
  <c r="BS37" i="21"/>
  <c r="BT37" i="21" s="1"/>
  <c r="BS56" i="21"/>
  <c r="BT56" i="21" s="1"/>
  <c r="BS54" i="21"/>
  <c r="BT54" i="21" s="1"/>
  <c r="BS43" i="21"/>
  <c r="BT43" i="21" s="1"/>
  <c r="BS19" i="21"/>
  <c r="BT19" i="21" s="1"/>
  <c r="BS29" i="21"/>
  <c r="BT29" i="21" s="1"/>
  <c r="BS23" i="21"/>
  <c r="BT23" i="21" s="1"/>
  <c r="BS9" i="21"/>
  <c r="BT9" i="21" s="1"/>
  <c r="BS11" i="21"/>
  <c r="BT11" i="21" s="1"/>
  <c r="BS10" i="21"/>
  <c r="BT10" i="21" s="1"/>
  <c r="BS57" i="21"/>
  <c r="BT57" i="21" s="1"/>
  <c r="BS55" i="21"/>
  <c r="BT55" i="21" s="1"/>
  <c r="BS58" i="21"/>
  <c r="BT58" i="21" s="1"/>
  <c r="BS25" i="21"/>
  <c r="BT25" i="21" s="1"/>
  <c r="BS53" i="21"/>
  <c r="BT53" i="21" s="1"/>
  <c r="BS47" i="21"/>
  <c r="BT47" i="21" s="1"/>
  <c r="BS52" i="21"/>
  <c r="BT52" i="21" s="1"/>
  <c r="BS38" i="21"/>
  <c r="BT38" i="21" s="1"/>
  <c r="BS40" i="21"/>
  <c r="BT40" i="21" s="1"/>
  <c r="BS36" i="21"/>
  <c r="BT36" i="21" s="1"/>
  <c r="BS15" i="21"/>
  <c r="BT15" i="21" s="1"/>
  <c r="BS50" i="21"/>
  <c r="BT50" i="21" s="1"/>
  <c r="BS12" i="21"/>
  <c r="BT12" i="21" s="1"/>
  <c r="BS51" i="21"/>
  <c r="BT51" i="21" s="1"/>
  <c r="BS46" i="21"/>
  <c r="BT46" i="21" s="1"/>
  <c r="BS35" i="21"/>
  <c r="BT35" i="21" s="1"/>
  <c r="BS39" i="21"/>
  <c r="BT39" i="21" s="1"/>
  <c r="BS27" i="21"/>
  <c r="BT27" i="21" s="1"/>
  <c r="BS14" i="21"/>
  <c r="BT14" i="21" s="1"/>
  <c r="BS49" i="21"/>
  <c r="BT49" i="21" s="1"/>
  <c r="BS16" i="21"/>
  <c r="BT16" i="21" s="1"/>
  <c r="BS22" i="21"/>
  <c r="BT22" i="21" s="1"/>
  <c r="BS26" i="21"/>
  <c r="BT26" i="21" s="1"/>
  <c r="BS20" i="21"/>
  <c r="BT20" i="21" s="1"/>
  <c r="BS18" i="21"/>
  <c r="BT18" i="21" s="1"/>
  <c r="BS28" i="21"/>
  <c r="BT28" i="21" s="1"/>
  <c r="BS32" i="21"/>
  <c r="BT32" i="21" s="1"/>
  <c r="BS42" i="21"/>
  <c r="BT42" i="21" s="1"/>
  <c r="BS48" i="21"/>
  <c r="BT48" i="21" s="1"/>
  <c r="BS30" i="21"/>
  <c r="BT30" i="21" s="1"/>
  <c r="BS31" i="21"/>
  <c r="BT31" i="21" s="1"/>
  <c r="BQ45" i="6"/>
  <c r="BP50" i="1"/>
  <c r="BR41" i="3"/>
  <c r="BS41" i="3" s="1"/>
  <c r="BQ57" i="6"/>
  <c r="BP53" i="1"/>
  <c r="BQ13" i="6"/>
  <c r="BP17" i="1"/>
  <c r="BP55" i="4"/>
  <c r="BP41" i="4"/>
  <c r="BP42" i="4"/>
  <c r="BP33" i="4"/>
  <c r="BR36" i="3"/>
  <c r="BS36" i="3" s="1"/>
  <c r="BQ50" i="6"/>
  <c r="BR12" i="3"/>
  <c r="BS12" i="3" s="1"/>
  <c r="BP57" i="1"/>
  <c r="BQ41" i="6"/>
  <c r="BQ40" i="6"/>
  <c r="BQ30" i="6"/>
  <c r="BR20" i="3"/>
  <c r="BS20" i="3" s="1"/>
  <c r="BQ20" i="6"/>
  <c r="BP43" i="1"/>
  <c r="BR47" i="3"/>
  <c r="BS47" i="3" s="1"/>
  <c r="BP19" i="1"/>
  <c r="BT7" i="5"/>
  <c r="BQ9" i="5"/>
  <c r="BP39" i="1"/>
  <c r="BQ14" i="5"/>
  <c r="BQ48" i="5"/>
  <c r="BQ53" i="5"/>
  <c r="BQ32" i="5"/>
  <c r="BR10" i="2"/>
  <c r="BS10" i="2" s="1"/>
  <c r="AA40" i="20"/>
  <c r="Z48" i="3"/>
  <c r="BP42" i="1"/>
  <c r="BQ54" i="6"/>
  <c r="BP58" i="1"/>
  <c r="BR11" i="3"/>
  <c r="BS11" i="3" s="1"/>
  <c r="BQ31" i="6"/>
  <c r="BQ19" i="6"/>
  <c r="BQ51" i="6"/>
  <c r="BP30" i="1"/>
  <c r="BP11" i="4"/>
  <c r="BP35" i="4"/>
  <c r="BP12" i="4"/>
  <c r="BP48" i="4"/>
  <c r="BP41" i="1"/>
  <c r="BR44" i="3"/>
  <c r="BS44" i="3" s="1"/>
  <c r="BR45" i="2"/>
  <c r="BS45" i="2" s="1"/>
  <c r="BQ34" i="6"/>
  <c r="BR50" i="2"/>
  <c r="BS50" i="2" s="1"/>
  <c r="G282" i="12"/>
  <c r="BP55" i="1"/>
  <c r="BR26" i="2"/>
  <c r="BS26" i="2" s="1"/>
  <c r="BQ38" i="6"/>
  <c r="BR57" i="2"/>
  <c r="BS57" i="2" s="1"/>
  <c r="BQ36" i="6"/>
  <c r="BQ28" i="5"/>
  <c r="BQ18" i="5"/>
  <c r="BQ31" i="5"/>
  <c r="BQ21" i="6"/>
  <c r="BP46" i="1"/>
  <c r="BP33" i="1"/>
  <c r="BP28" i="1"/>
  <c r="BP37" i="1"/>
  <c r="BP51" i="1"/>
  <c r="BP48" i="1"/>
  <c r="BP13" i="1"/>
  <c r="BP18" i="1"/>
  <c r="BP21" i="1"/>
  <c r="BP26" i="1"/>
  <c r="BP29" i="1"/>
  <c r="BQ38" i="5"/>
  <c r="BR19" i="3"/>
  <c r="BS19" i="3" s="1"/>
  <c r="BR54" i="3"/>
  <c r="BS54" i="3" s="1"/>
  <c r="BR50" i="3"/>
  <c r="BS50" i="3" s="1"/>
  <c r="BR46" i="3"/>
  <c r="BS46" i="3" s="1"/>
  <c r="BR24" i="3"/>
  <c r="BS24" i="3" s="1"/>
  <c r="BR58" i="3"/>
  <c r="BS58" i="3" s="1"/>
  <c r="BR40" i="3"/>
  <c r="BS40" i="3" s="1"/>
  <c r="BR25" i="3"/>
  <c r="BS25" i="3" s="1"/>
  <c r="BR42" i="3"/>
  <c r="BS42" i="3" s="1"/>
  <c r="BR10" i="3"/>
  <c r="BS10" i="3" s="1"/>
  <c r="BR26" i="3"/>
  <c r="BS26" i="3" s="1"/>
  <c r="BR27" i="3"/>
  <c r="BS27" i="3" s="1"/>
  <c r="BR48" i="3"/>
  <c r="BS48" i="3" s="1"/>
  <c r="BR31" i="3"/>
  <c r="BS31" i="3" s="1"/>
  <c r="BR53" i="3"/>
  <c r="BS53" i="3" s="1"/>
  <c r="BR33" i="3"/>
  <c r="BS33" i="3" s="1"/>
  <c r="BR56" i="3"/>
  <c r="BS56" i="3" s="1"/>
  <c r="BR37" i="3"/>
  <c r="BS37" i="3" s="1"/>
  <c r="BR35" i="3"/>
  <c r="BS35" i="3" s="1"/>
  <c r="BR32" i="3"/>
  <c r="BS32" i="3" s="1"/>
  <c r="BR18" i="3"/>
  <c r="BS18" i="3" s="1"/>
  <c r="BR21" i="3"/>
  <c r="BS21" i="3" s="1"/>
  <c r="BR16" i="3"/>
  <c r="BS16" i="3" s="1"/>
  <c r="BR45" i="3"/>
  <c r="BS45" i="3" s="1"/>
  <c r="BR22" i="3"/>
  <c r="BS22" i="3" s="1"/>
  <c r="BR34" i="3"/>
  <c r="BS34" i="3" s="1"/>
  <c r="BR13" i="3"/>
  <c r="BS13" i="3" s="1"/>
  <c r="BR29" i="3"/>
  <c r="BS29" i="3" s="1"/>
  <c r="BR30" i="3"/>
  <c r="BS30" i="3" s="1"/>
  <c r="BR9" i="3"/>
  <c r="BS9" i="3" s="1"/>
  <c r="BR15" i="3"/>
  <c r="BS15" i="3" s="1"/>
  <c r="BQ11" i="6"/>
  <c r="BP10" i="4"/>
  <c r="BP54" i="4"/>
  <c r="BQ43" i="5"/>
  <c r="BQ52" i="5"/>
  <c r="BQ33" i="5"/>
  <c r="BQ23" i="5"/>
  <c r="BQ23" i="6"/>
  <c r="BQ16" i="6"/>
  <c r="BP54" i="1"/>
  <c r="BP13" i="4"/>
  <c r="BS7" i="4"/>
  <c r="BP15" i="4" s="1"/>
  <c r="BP9" i="4"/>
  <c r="BP20" i="4"/>
  <c r="BP25" i="4"/>
  <c r="BP29" i="4"/>
  <c r="BS21" i="21"/>
  <c r="BT21" i="21" s="1"/>
  <c r="BP15" i="1"/>
  <c r="H45" i="13"/>
  <c r="H49" i="13"/>
  <c r="H46" i="13"/>
  <c r="F46" i="13" s="1"/>
  <c r="H37" i="13"/>
  <c r="F37" i="13" s="1"/>
  <c r="H48" i="13"/>
  <c r="H33" i="13"/>
  <c r="H34" i="13"/>
  <c r="H26" i="13"/>
  <c r="H12" i="13"/>
  <c r="H47" i="13"/>
  <c r="H50" i="13"/>
  <c r="F50" i="13" s="1"/>
  <c r="H52" i="13"/>
  <c r="F52" i="13" s="1"/>
  <c r="H9" i="13"/>
  <c r="H8" i="13"/>
  <c r="H11" i="13"/>
  <c r="H6" i="13"/>
  <c r="H3" i="13"/>
  <c r="F3" i="13" s="1"/>
  <c r="H23" i="13"/>
  <c r="H31" i="13"/>
  <c r="F31" i="13" s="1"/>
  <c r="H19" i="13"/>
  <c r="F19" i="13" s="1"/>
  <c r="H29" i="13"/>
  <c r="H4" i="13"/>
  <c r="H41" i="13"/>
  <c r="H38" i="13"/>
  <c r="H24" i="13"/>
  <c r="F24" i="13" s="1"/>
  <c r="H28" i="13"/>
  <c r="H25" i="13"/>
  <c r="F25" i="13" s="1"/>
  <c r="H51" i="13"/>
  <c r="F51" i="13" s="1"/>
  <c r="H22" i="13"/>
  <c r="H18" i="13"/>
  <c r="H5" i="13"/>
  <c r="H35" i="13"/>
  <c r="H7" i="13"/>
  <c r="F7" i="13" s="1"/>
  <c r="H10" i="13"/>
  <c r="H21" i="13"/>
  <c r="F21" i="13" s="1"/>
  <c r="H30" i="13"/>
  <c r="F30" i="13" s="1"/>
  <c r="H16" i="13"/>
  <c r="H27" i="13"/>
  <c r="H36" i="13"/>
  <c r="H20" i="13"/>
  <c r="H44" i="13"/>
  <c r="F44" i="13" s="1"/>
  <c r="H32" i="13"/>
  <c r="H17" i="13"/>
  <c r="F17" i="13" s="1"/>
  <c r="H42" i="13"/>
  <c r="F42" i="13" s="1"/>
  <c r="H14" i="13"/>
  <c r="H40" i="13"/>
  <c r="H15" i="13"/>
  <c r="H39" i="13"/>
  <c r="H13" i="13"/>
  <c r="F13" i="13" s="1"/>
  <c r="H43" i="13"/>
  <c r="BR38" i="3"/>
  <c r="BS38" i="3" s="1"/>
  <c r="BS34" i="21"/>
  <c r="BT34" i="21" s="1"/>
  <c r="J47" i="13"/>
  <c r="J45" i="13"/>
  <c r="J46" i="13"/>
  <c r="J50" i="13"/>
  <c r="J37" i="13"/>
  <c r="J49" i="13"/>
  <c r="J48" i="13"/>
  <c r="J28" i="13"/>
  <c r="K28" i="13" s="1"/>
  <c r="G28" i="13" s="1"/>
  <c r="J19" i="13"/>
  <c r="J9" i="13"/>
  <c r="J8" i="13"/>
  <c r="J5" i="13"/>
  <c r="K5" i="13" s="1"/>
  <c r="J52" i="13"/>
  <c r="K52" i="13" s="1"/>
  <c r="G52" i="13" s="1"/>
  <c r="J22" i="13"/>
  <c r="K22" i="13" s="1"/>
  <c r="G22" i="13" s="1"/>
  <c r="J12" i="13"/>
  <c r="K12" i="13" s="1"/>
  <c r="G12" i="13" s="1"/>
  <c r="J35" i="13"/>
  <c r="K35" i="13" s="1"/>
  <c r="G35" i="13" s="1"/>
  <c r="J16" i="13"/>
  <c r="J20" i="13"/>
  <c r="J36" i="13"/>
  <c r="J10" i="13"/>
  <c r="J29" i="13"/>
  <c r="J23" i="13"/>
  <c r="J26" i="13"/>
  <c r="K26" i="13" s="1"/>
  <c r="G26" i="13" s="1"/>
  <c r="J4" i="13"/>
  <c r="K4" i="13" s="1"/>
  <c r="G4" i="13" s="1"/>
  <c r="J34" i="13"/>
  <c r="J3" i="13"/>
  <c r="K3" i="13" s="1"/>
  <c r="G3" i="13" s="1"/>
  <c r="J6" i="13"/>
  <c r="J11" i="13"/>
  <c r="J18" i="13"/>
  <c r="K18" i="13" s="1"/>
  <c r="G18" i="13" s="1"/>
  <c r="J7" i="13"/>
  <c r="K7" i="13" s="1"/>
  <c r="G7" i="13" s="1"/>
  <c r="J40" i="13"/>
  <c r="J38" i="13"/>
  <c r="K38" i="13" s="1"/>
  <c r="G38" i="13" s="1"/>
  <c r="J32" i="13"/>
  <c r="J33" i="13"/>
  <c r="J13" i="13"/>
  <c r="J51" i="13"/>
  <c r="J15" i="13"/>
  <c r="J43" i="13"/>
  <c r="J27" i="13"/>
  <c r="K27" i="13" s="1"/>
  <c r="G27" i="13" s="1"/>
  <c r="J25" i="13"/>
  <c r="K25" i="13" s="1"/>
  <c r="G25" i="13" s="1"/>
  <c r="J24" i="13"/>
  <c r="J17" i="13"/>
  <c r="J41" i="13"/>
  <c r="J39" i="13"/>
  <c r="J21" i="13"/>
  <c r="J30" i="13"/>
  <c r="K30" i="13" s="1"/>
  <c r="G30" i="13" s="1"/>
  <c r="J44" i="13"/>
  <c r="K44" i="13" s="1"/>
  <c r="G44" i="13" s="1"/>
  <c r="J31" i="13"/>
  <c r="K31" i="13" s="1"/>
  <c r="G31" i="13" s="1"/>
  <c r="J14" i="13"/>
  <c r="J42" i="13"/>
  <c r="BQ55" i="6"/>
  <c r="BQ18" i="6"/>
  <c r="BS17" i="21"/>
  <c r="BT17" i="21" s="1"/>
  <c r="E282" i="12"/>
  <c r="F282" i="12"/>
  <c r="BP36" i="1"/>
  <c r="BR55" i="3"/>
  <c r="BS55" i="3" s="1"/>
  <c r="BS24" i="21"/>
  <c r="BT24" i="21" s="1"/>
  <c r="I45" i="13"/>
  <c r="I47" i="13"/>
  <c r="I48" i="13"/>
  <c r="I50" i="13"/>
  <c r="I52" i="13"/>
  <c r="I7" i="13"/>
  <c r="I13" i="13"/>
  <c r="I35" i="13"/>
  <c r="I29" i="13"/>
  <c r="I25" i="13"/>
  <c r="I37" i="13"/>
  <c r="I11" i="13"/>
  <c r="I3" i="13"/>
  <c r="I6" i="13"/>
  <c r="I46" i="13"/>
  <c r="I14" i="13"/>
  <c r="I33" i="13"/>
  <c r="I8" i="13"/>
  <c r="I34" i="13"/>
  <c r="I23" i="13"/>
  <c r="I22" i="13"/>
  <c r="I16" i="13"/>
  <c r="I18" i="13"/>
  <c r="I39" i="13"/>
  <c r="I42" i="13"/>
  <c r="I32" i="13"/>
  <c r="I9" i="13"/>
  <c r="I20" i="13"/>
  <c r="I4" i="13"/>
  <c r="I51" i="13"/>
  <c r="I26" i="13"/>
  <c r="I10" i="13"/>
  <c r="I49" i="13"/>
  <c r="I43" i="13"/>
  <c r="I40" i="13"/>
  <c r="I19" i="13"/>
  <c r="I5" i="13"/>
  <c r="I41" i="13"/>
  <c r="I27" i="13"/>
  <c r="I36" i="13"/>
  <c r="I31" i="13"/>
  <c r="I24" i="13"/>
  <c r="I21" i="13"/>
  <c r="I17" i="13"/>
  <c r="I28" i="13"/>
  <c r="I30" i="13"/>
  <c r="I44" i="13"/>
  <c r="I38" i="13"/>
  <c r="I15" i="13"/>
  <c r="I12" i="13"/>
  <c r="BQ13" i="5"/>
  <c r="BQ47" i="5"/>
  <c r="BQ34" i="5"/>
  <c r="BQ58" i="5"/>
  <c r="BQ44" i="5"/>
  <c r="BQ56" i="5"/>
  <c r="BQ29" i="5"/>
  <c r="BQ44" i="6"/>
  <c r="BQ49" i="6"/>
  <c r="BP38" i="4"/>
  <c r="BP53" i="4"/>
  <c r="BP24" i="4"/>
  <c r="BP49" i="4"/>
  <c r="BP31" i="4"/>
  <c r="BP56" i="4"/>
  <c r="BQ46" i="5"/>
  <c r="BQ19" i="5"/>
  <c r="BQ25" i="6"/>
  <c r="BP40" i="1"/>
  <c r="BP21" i="4"/>
  <c r="BP50" i="4"/>
  <c r="BP27" i="4"/>
  <c r="BQ17" i="6"/>
  <c r="BP25" i="1"/>
  <c r="BQ50" i="5"/>
  <c r="BR23" i="2"/>
  <c r="BS23" i="2" s="1"/>
  <c r="BR46" i="2"/>
  <c r="BS46" i="2" s="1"/>
  <c r="BR12" i="2"/>
  <c r="BS12" i="2" s="1"/>
  <c r="BR44" i="2"/>
  <c r="BS44" i="2" s="1"/>
  <c r="BR49" i="2"/>
  <c r="BS49" i="2" s="1"/>
  <c r="BR11" i="2"/>
  <c r="BS11" i="2" s="1"/>
  <c r="BR47" i="2"/>
  <c r="BS47" i="2" s="1"/>
  <c r="BR55" i="2"/>
  <c r="BS55" i="2" s="1"/>
  <c r="BR48" i="2"/>
  <c r="BS48" i="2" s="1"/>
  <c r="BR35" i="2"/>
  <c r="BS35" i="2" s="1"/>
  <c r="BR36" i="2"/>
  <c r="BS36" i="2" s="1"/>
  <c r="BR13" i="2"/>
  <c r="BS13" i="2" s="1"/>
  <c r="BR40" i="2"/>
  <c r="BS40" i="2" s="1"/>
  <c r="BR19" i="2"/>
  <c r="BS19" i="2" s="1"/>
  <c r="BR51" i="2"/>
  <c r="BS51" i="2" s="1"/>
  <c r="BR42" i="2"/>
  <c r="BS42" i="2" s="1"/>
  <c r="BR58" i="2"/>
  <c r="BS58" i="2" s="1"/>
  <c r="BR43" i="2"/>
  <c r="BS43" i="2" s="1"/>
  <c r="BR32" i="2"/>
  <c r="BS32" i="2" s="1"/>
  <c r="BR15" i="2"/>
  <c r="BS15" i="2" s="1"/>
  <c r="BR31" i="2"/>
  <c r="BS31" i="2" s="1"/>
  <c r="BR24" i="2"/>
  <c r="BS24" i="2" s="1"/>
  <c r="BR20" i="2"/>
  <c r="BS20" i="2" s="1"/>
  <c r="BR52" i="2"/>
  <c r="BS52" i="2" s="1"/>
  <c r="BR28" i="2"/>
  <c r="BS28" i="2" s="1"/>
  <c r="BR27" i="2"/>
  <c r="BS27" i="2" s="1"/>
  <c r="BR17" i="2"/>
  <c r="BS17" i="2" s="1"/>
  <c r="BR56" i="2"/>
  <c r="BS56" i="2" s="1"/>
  <c r="BR16" i="2"/>
  <c r="BS16" i="2" s="1"/>
  <c r="BR39" i="2"/>
  <c r="BS39" i="2" s="1"/>
  <c r="BQ28" i="6"/>
  <c r="BP9" i="1"/>
  <c r="BQ43" i="6"/>
  <c r="BP39" i="4"/>
  <c r="BQ37" i="6"/>
  <c r="BP38" i="1"/>
  <c r="BQ41" i="5"/>
  <c r="BQ42" i="5"/>
  <c r="BQ15" i="5"/>
  <c r="BQ10" i="5"/>
  <c r="BQ26" i="5"/>
  <c r="BR39" i="3"/>
  <c r="BS39" i="3" s="1"/>
  <c r="BQ58" i="6"/>
  <c r="BR38" i="2"/>
  <c r="BS38" i="2" s="1"/>
  <c r="D281" i="9"/>
  <c r="F281" i="9"/>
  <c r="E281" i="9"/>
  <c r="BS33" i="21"/>
  <c r="BT33" i="21" s="1"/>
  <c r="BP52" i="1"/>
  <c r="BR30" i="2"/>
  <c r="BS30" i="2" s="1"/>
  <c r="G281" i="10"/>
  <c r="F281" i="10"/>
  <c r="E281" i="10"/>
  <c r="BP35" i="1"/>
  <c r="BR25" i="2"/>
  <c r="BS25" i="2" s="1"/>
  <c r="BQ22" i="5"/>
  <c r="BQ24" i="6"/>
  <c r="BP57" i="4"/>
  <c r="BP30" i="4"/>
  <c r="BP28" i="4"/>
  <c r="BP19" i="4"/>
  <c r="BP51" i="4"/>
  <c r="BP37" i="4"/>
  <c r="BQ12" i="6"/>
  <c r="BQ40" i="5"/>
  <c r="BQ49" i="5"/>
  <c r="BQ51" i="5"/>
  <c r="BQ20" i="5"/>
  <c r="BQ17" i="5"/>
  <c r="BQ24" i="5"/>
  <c r="BR28" i="3"/>
  <c r="BS28" i="3" s="1"/>
  <c r="BQ26" i="6"/>
  <c r="BR37" i="2"/>
  <c r="BS37" i="2" s="1"/>
  <c r="G281" i="9"/>
  <c r="BQ36" i="5"/>
  <c r="BP16" i="1"/>
  <c r="BR41" i="2"/>
  <c r="BS41" i="2" s="1"/>
  <c r="BS45" i="21"/>
  <c r="BT45" i="21" s="1"/>
  <c r="BP12" i="1"/>
  <c r="BR21" i="2"/>
  <c r="BS21" i="2" s="1"/>
  <c r="BP31" i="1"/>
  <c r="BP22" i="4"/>
  <c r="BP26" i="4"/>
  <c r="BP52" i="4"/>
  <c r="BP47" i="4"/>
  <c r="BP34" i="4"/>
  <c r="BP58" i="4"/>
  <c r="BR53" i="2"/>
  <c r="BS53" i="2" s="1"/>
  <c r="BQ22" i="6"/>
  <c r="BQ35" i="6"/>
  <c r="BQ32" i="6"/>
  <c r="BQ53" i="6"/>
  <c r="BP23" i="1"/>
  <c r="BR23" i="3"/>
  <c r="BS23" i="3" s="1"/>
  <c r="BQ39" i="6"/>
  <c r="BQ25" i="5"/>
  <c r="BQ57" i="5"/>
  <c r="BQ11" i="5"/>
  <c r="BQ27" i="5"/>
  <c r="BQ15" i="6"/>
  <c r="BQ9" i="6"/>
  <c r="BQ42" i="6"/>
  <c r="BP36" i="4"/>
  <c r="BP16" i="4"/>
  <c r="BP14" i="4"/>
  <c r="BP46" i="4"/>
  <c r="BP23" i="4"/>
  <c r="BP44" i="4"/>
  <c r="BQ52" i="6"/>
  <c r="BR14" i="2"/>
  <c r="BS14" i="2" s="1"/>
  <c r="BP20" i="1"/>
  <c r="BQ14" i="6"/>
  <c r="BP34" i="1"/>
  <c r="BR54" i="2"/>
  <c r="BS54" i="2" s="1"/>
  <c r="BQ46" i="6"/>
  <c r="BQ56" i="6"/>
  <c r="AA42" i="20" l="1"/>
  <c r="Z50" i="3"/>
  <c r="K43" i="13"/>
  <c r="G43" i="13" s="1"/>
  <c r="K23" i="13"/>
  <c r="G23" i="13" s="1"/>
  <c r="K49" i="13"/>
  <c r="G49" i="13" s="1"/>
  <c r="F43" i="13"/>
  <c r="F32" i="13"/>
  <c r="F10" i="13"/>
  <c r="F28" i="13"/>
  <c r="F23" i="13"/>
  <c r="F47" i="13"/>
  <c r="F49" i="13"/>
  <c r="BP25" i="3"/>
  <c r="BP18" i="4"/>
  <c r="BQ35" i="21"/>
  <c r="BQ40" i="21"/>
  <c r="K39" i="13"/>
  <c r="G39" i="13" s="1"/>
  <c r="K51" i="13"/>
  <c r="G51" i="13" s="1"/>
  <c r="K11" i="13"/>
  <c r="G11" i="13" s="1"/>
  <c r="K10" i="13"/>
  <c r="G10" i="13" s="1"/>
  <c r="G5" i="13"/>
  <c r="K50" i="13"/>
  <c r="G50" i="13" s="1"/>
  <c r="F39" i="13"/>
  <c r="F20" i="13"/>
  <c r="F35" i="13"/>
  <c r="F38" i="13"/>
  <c r="F6" i="13"/>
  <c r="F26" i="13"/>
  <c r="BS7" i="3"/>
  <c r="BP9" i="3" s="1"/>
  <c r="BP58" i="3"/>
  <c r="U26" i="1"/>
  <c r="BP50" i="2"/>
  <c r="AB40" i="20"/>
  <c r="Z48" i="5"/>
  <c r="BQ30" i="21"/>
  <c r="BT7" i="21"/>
  <c r="BQ18" i="21" s="1"/>
  <c r="BQ9" i="21"/>
  <c r="BP28" i="3"/>
  <c r="BQ45" i="21"/>
  <c r="BP51" i="2"/>
  <c r="K40" i="13"/>
  <c r="G40" i="13" s="1"/>
  <c r="K48" i="13"/>
  <c r="G48" i="13" s="1"/>
  <c r="BP19" i="3"/>
  <c r="BP53" i="2"/>
  <c r="BP17" i="2"/>
  <c r="BP32" i="2"/>
  <c r="BP36" i="2"/>
  <c r="BP12" i="2"/>
  <c r="K41" i="13"/>
  <c r="G41" i="13" s="1"/>
  <c r="K13" i="13"/>
  <c r="G13" i="13" s="1"/>
  <c r="K6" i="13"/>
  <c r="G6" i="13" s="1"/>
  <c r="G55" i="13" s="1"/>
  <c r="G57" i="13" s="1"/>
  <c r="K36" i="13"/>
  <c r="G36" i="13" s="1"/>
  <c r="K8" i="13"/>
  <c r="G8" i="13" s="1"/>
  <c r="K46" i="13"/>
  <c r="G46" i="13" s="1"/>
  <c r="F15" i="13"/>
  <c r="F36" i="13"/>
  <c r="F5" i="13"/>
  <c r="F41" i="13"/>
  <c r="F11" i="13"/>
  <c r="F34" i="13"/>
  <c r="BP30" i="3"/>
  <c r="BP18" i="3"/>
  <c r="BP48" i="3"/>
  <c r="BP24" i="3"/>
  <c r="BP32" i="4"/>
  <c r="BP10" i="2"/>
  <c r="BQ55" i="5"/>
  <c r="BQ54" i="5"/>
  <c r="BQ30" i="5"/>
  <c r="BQ39" i="5"/>
  <c r="BQ45" i="5"/>
  <c r="BQ48" i="21"/>
  <c r="BQ16" i="21"/>
  <c r="BQ12" i="21"/>
  <c r="BQ53" i="21"/>
  <c r="BQ7" i="6"/>
  <c r="U17" i="6" s="1"/>
  <c r="BP52" i="2"/>
  <c r="BP38" i="2"/>
  <c r="U38" i="1"/>
  <c r="BP16" i="2"/>
  <c r="BP31" i="2"/>
  <c r="BP40" i="2"/>
  <c r="BP49" i="2"/>
  <c r="K21" i="13"/>
  <c r="G21" i="13" s="1"/>
  <c r="K15" i="13"/>
  <c r="G15" i="13" s="1"/>
  <c r="K29" i="13"/>
  <c r="G29" i="13" s="1"/>
  <c r="K37" i="13"/>
  <c r="G37" i="13" s="1"/>
  <c r="F12" i="13"/>
  <c r="F45" i="13"/>
  <c r="BP15" i="3"/>
  <c r="BP16" i="3"/>
  <c r="BP53" i="3"/>
  <c r="BP20" i="3"/>
  <c r="BQ31" i="21"/>
  <c r="BQ52" i="21"/>
  <c r="BQ11" i="21"/>
  <c r="BQ37" i="21"/>
  <c r="BP29" i="3"/>
  <c r="BP32" i="3"/>
  <c r="U21" i="6"/>
  <c r="BP45" i="2"/>
  <c r="BP11" i="3"/>
  <c r="BQ42" i="21"/>
  <c r="BQ49" i="21"/>
  <c r="BQ50" i="21"/>
  <c r="BQ25" i="21"/>
  <c r="BQ29" i="21"/>
  <c r="BP25" i="2"/>
  <c r="BP42" i="2"/>
  <c r="BQ34" i="21"/>
  <c r="BP20" i="2"/>
  <c r="BP47" i="2"/>
  <c r="BQ17" i="21"/>
  <c r="BP38" i="3"/>
  <c r="BP42" i="3"/>
  <c r="BP37" i="2"/>
  <c r="U24" i="6"/>
  <c r="BP27" i="2"/>
  <c r="BP43" i="2"/>
  <c r="BP35" i="2"/>
  <c r="BP46" i="2"/>
  <c r="U36" i="1"/>
  <c r="K42" i="13"/>
  <c r="G42" i="13" s="1"/>
  <c r="K17" i="13"/>
  <c r="G17" i="13" s="1"/>
  <c r="K33" i="13"/>
  <c r="G33" i="13" s="1"/>
  <c r="K20" i="13"/>
  <c r="G20" i="13" s="1"/>
  <c r="K9" i="13"/>
  <c r="G9" i="13" s="1"/>
  <c r="K45" i="13"/>
  <c r="G45" i="13" s="1"/>
  <c r="F40" i="13"/>
  <c r="F27" i="13"/>
  <c r="F18" i="13"/>
  <c r="F4" i="13"/>
  <c r="F56" i="13" s="1"/>
  <c r="F58" i="13" s="1"/>
  <c r="F8" i="13"/>
  <c r="F33" i="13"/>
  <c r="BP54" i="2"/>
  <c r="BP21" i="2"/>
  <c r="BQ33" i="21"/>
  <c r="BN7" i="1"/>
  <c r="BP28" i="2"/>
  <c r="BP58" i="2"/>
  <c r="BP48" i="2"/>
  <c r="K14" i="13"/>
  <c r="G14" i="13" s="1"/>
  <c r="K24" i="13"/>
  <c r="G24" i="13" s="1"/>
  <c r="K32" i="13"/>
  <c r="G32" i="13" s="1"/>
  <c r="K34" i="13"/>
  <c r="G34" i="13" s="1"/>
  <c r="K16" i="13"/>
  <c r="G16" i="13" s="1"/>
  <c r="K19" i="13"/>
  <c r="G19" i="13" s="1"/>
  <c r="K47" i="13"/>
  <c r="G47" i="13" s="1"/>
  <c r="F14" i="13"/>
  <c r="F16" i="13"/>
  <c r="F22" i="13"/>
  <c r="F29" i="13"/>
  <c r="F9" i="13"/>
  <c r="F48" i="13"/>
  <c r="BP43" i="4"/>
  <c r="BP45" i="4"/>
  <c r="BP7" i="4" s="1"/>
  <c r="BP13" i="3"/>
  <c r="BP35" i="3"/>
  <c r="BP26" i="3"/>
  <c r="BP50" i="3"/>
  <c r="BS7" i="2"/>
  <c r="BP41" i="2" s="1"/>
  <c r="BP26" i="2"/>
  <c r="BP44" i="3"/>
  <c r="BP17" i="4"/>
  <c r="U58" i="1"/>
  <c r="BQ21" i="5"/>
  <c r="BP40" i="4"/>
  <c r="BQ32" i="21"/>
  <c r="BQ14" i="21"/>
  <c r="BQ15" i="21"/>
  <c r="BQ58" i="21"/>
  <c r="BQ19" i="21"/>
  <c r="BQ16" i="5"/>
  <c r="BP10" i="3"/>
  <c r="BP54" i="3"/>
  <c r="U41" i="1"/>
  <c r="BP47" i="3"/>
  <c r="BP12" i="3"/>
  <c r="BP41" i="3"/>
  <c r="BQ28" i="21"/>
  <c r="BQ27" i="21"/>
  <c r="BQ36" i="21"/>
  <c r="BQ55" i="21"/>
  <c r="AB42" i="20" l="1"/>
  <c r="Z50" i="5"/>
  <c r="U25" i="4"/>
  <c r="U20" i="4"/>
  <c r="U24" i="4"/>
  <c r="U21" i="4"/>
  <c r="U16" i="4"/>
  <c r="U58" i="4"/>
  <c r="U35" i="4"/>
  <c r="U23" i="4"/>
  <c r="U54" i="4"/>
  <c r="U53" i="4"/>
  <c r="U57" i="4"/>
  <c r="U31" i="4"/>
  <c r="U27" i="4"/>
  <c r="U26" i="4"/>
  <c r="U36" i="4"/>
  <c r="U15" i="4"/>
  <c r="U28" i="4"/>
  <c r="U33" i="4"/>
  <c r="U29" i="4"/>
  <c r="U52" i="4"/>
  <c r="U10" i="4"/>
  <c r="U11" i="4"/>
  <c r="U14" i="4"/>
  <c r="U56" i="4"/>
  <c r="U19" i="4"/>
  <c r="U9" i="4"/>
  <c r="U51" i="4"/>
  <c r="U22" i="4"/>
  <c r="U55" i="4"/>
  <c r="U30" i="4"/>
  <c r="U13" i="4"/>
  <c r="U12" i="4"/>
  <c r="U34" i="4"/>
  <c r="U24" i="1"/>
  <c r="U32" i="1"/>
  <c r="U27" i="1"/>
  <c r="U10" i="1"/>
  <c r="U14" i="1"/>
  <c r="U22" i="1"/>
  <c r="U10" i="6"/>
  <c r="BP56" i="3"/>
  <c r="U28" i="6"/>
  <c r="U35" i="6"/>
  <c r="U17" i="1"/>
  <c r="U36" i="6"/>
  <c r="BQ39" i="21"/>
  <c r="BQ20" i="21"/>
  <c r="BP39" i="2"/>
  <c r="U21" i="5"/>
  <c r="U53" i="6"/>
  <c r="U17" i="4"/>
  <c r="U9" i="1"/>
  <c r="U32" i="6"/>
  <c r="U51" i="6"/>
  <c r="U35" i="1"/>
  <c r="U56" i="6"/>
  <c r="U39" i="1"/>
  <c r="U9" i="6"/>
  <c r="BP22" i="3"/>
  <c r="BQ13" i="21"/>
  <c r="U30" i="6"/>
  <c r="U33" i="1"/>
  <c r="BQ24" i="21"/>
  <c r="U15" i="6"/>
  <c r="U18" i="4"/>
  <c r="U37" i="1"/>
  <c r="U15" i="1"/>
  <c r="BP44" i="2"/>
  <c r="BP14" i="2"/>
  <c r="U29" i="6"/>
  <c r="U20" i="6"/>
  <c r="BP33" i="3"/>
  <c r="U16" i="6"/>
  <c r="BQ7" i="5"/>
  <c r="U55" i="5" s="1"/>
  <c r="BP37" i="3"/>
  <c r="U25" i="6"/>
  <c r="U12" i="1"/>
  <c r="U18" i="1"/>
  <c r="U28" i="1"/>
  <c r="U55" i="6"/>
  <c r="U34" i="1"/>
  <c r="BP36" i="3"/>
  <c r="U32" i="4"/>
  <c r="BP55" i="3"/>
  <c r="BP39" i="3"/>
  <c r="U23" i="1"/>
  <c r="U22" i="6"/>
  <c r="BQ44" i="21"/>
  <c r="BQ41" i="21"/>
  <c r="BQ43" i="21"/>
  <c r="BP34" i="3"/>
  <c r="U57" i="6"/>
  <c r="BP9" i="2"/>
  <c r="BP18" i="2"/>
  <c r="BP29" i="2"/>
  <c r="BP34" i="2"/>
  <c r="BP33" i="2"/>
  <c r="BP22" i="2"/>
  <c r="BP23" i="2"/>
  <c r="U40" i="1"/>
  <c r="BP46" i="3"/>
  <c r="U31" i="1"/>
  <c r="BQ46" i="21"/>
  <c r="U29" i="1"/>
  <c r="U11" i="1"/>
  <c r="U34" i="6"/>
  <c r="BP30" i="2"/>
  <c r="U14" i="6"/>
  <c r="BQ47" i="21"/>
  <c r="BP31" i="3"/>
  <c r="BP13" i="2"/>
  <c r="U20" i="1"/>
  <c r="BQ56" i="21"/>
  <c r="BP45" i="3"/>
  <c r="U33" i="6"/>
  <c r="U27" i="6"/>
  <c r="U13" i="6"/>
  <c r="U31" i="6"/>
  <c r="U19" i="1"/>
  <c r="BP27" i="3"/>
  <c r="BP23" i="3"/>
  <c r="BQ26" i="21"/>
  <c r="BP40" i="3"/>
  <c r="F55" i="13"/>
  <c r="F57" i="13" s="1"/>
  <c r="F59" i="13" s="1"/>
  <c r="BQ23" i="21"/>
  <c r="BP57" i="2"/>
  <c r="BQ21" i="21"/>
  <c r="BQ51" i="21"/>
  <c r="AD40" i="20"/>
  <c r="Z48" i="4" s="1"/>
  <c r="Z48" i="6"/>
  <c r="BP21" i="3"/>
  <c r="BP15" i="2"/>
  <c r="BQ10" i="21"/>
  <c r="U42" i="1"/>
  <c r="U11" i="6"/>
  <c r="BP11" i="2"/>
  <c r="BQ54" i="21"/>
  <c r="U18" i="6"/>
  <c r="U54" i="6"/>
  <c r="U13" i="1"/>
  <c r="U12" i="6"/>
  <c r="G56" i="13"/>
  <c r="G58" i="13" s="1"/>
  <c r="G59" i="13" s="1"/>
  <c r="U16" i="5"/>
  <c r="U57" i="1"/>
  <c r="U26" i="6"/>
  <c r="U16" i="1"/>
  <c r="U30" i="5"/>
  <c r="U21" i="1"/>
  <c r="U25" i="1"/>
  <c r="BP55" i="2"/>
  <c r="BQ22" i="21"/>
  <c r="U19" i="6"/>
  <c r="BP56" i="2"/>
  <c r="BQ57" i="21"/>
  <c r="BQ38" i="21"/>
  <c r="U30" i="1"/>
  <c r="U23" i="6"/>
  <c r="BP19" i="2"/>
  <c r="U52" i="6"/>
  <c r="U54" i="5"/>
  <c r="BP43" i="3"/>
  <c r="BP51" i="3"/>
  <c r="BP14" i="3"/>
  <c r="BP17" i="3"/>
  <c r="BP57" i="3"/>
  <c r="BP49" i="3"/>
  <c r="BP52" i="3"/>
  <c r="U58" i="6"/>
  <c r="BP24" i="2"/>
  <c r="Z50" i="6" l="1"/>
  <c r="AD42" i="20"/>
  <c r="Z50" i="4" s="1"/>
  <c r="U24" i="5"/>
  <c r="U31" i="5"/>
  <c r="U32" i="5"/>
  <c r="U35" i="5"/>
  <c r="U17" i="5"/>
  <c r="U12" i="5"/>
  <c r="U13" i="5"/>
  <c r="U20" i="5"/>
  <c r="U28" i="5"/>
  <c r="U11" i="5"/>
  <c r="U14" i="5"/>
  <c r="U58" i="5"/>
  <c r="U56" i="5"/>
  <c r="U57" i="5"/>
  <c r="U25" i="5"/>
  <c r="U22" i="5"/>
  <c r="U53" i="5"/>
  <c r="U9" i="5"/>
  <c r="U52" i="5"/>
  <c r="U36" i="5"/>
  <c r="U34" i="5"/>
  <c r="U29" i="5"/>
  <c r="U23" i="5"/>
  <c r="U15" i="5"/>
  <c r="U26" i="5"/>
  <c r="U19" i="5"/>
  <c r="U10" i="5"/>
  <c r="U18" i="5"/>
  <c r="U51" i="5"/>
  <c r="U33" i="5"/>
  <c r="U27" i="5"/>
  <c r="BP7" i="2"/>
  <c r="U22" i="21"/>
  <c r="U10" i="21"/>
  <c r="U23" i="21"/>
  <c r="U19" i="2"/>
  <c r="U55" i="2"/>
  <c r="U22" i="2"/>
  <c r="BQ7" i="21"/>
  <c r="U57" i="21" s="1"/>
  <c r="U13" i="21"/>
  <c r="BP7" i="3"/>
  <c r="U54" i="21"/>
  <c r="U24" i="21"/>
  <c r="U57" i="3"/>
  <c r="U51" i="3"/>
  <c r="U21" i="3"/>
  <c r="U13" i="2"/>
  <c r="U33" i="2"/>
  <c r="U22" i="3"/>
  <c r="U26" i="21"/>
  <c r="U31" i="3"/>
  <c r="U20" i="21"/>
  <c r="U25" i="3" l="1"/>
  <c r="U20" i="3"/>
  <c r="U11" i="3"/>
  <c r="U54" i="3"/>
  <c r="U58" i="3"/>
  <c r="U32" i="3"/>
  <c r="U12" i="3"/>
  <c r="U19" i="3"/>
  <c r="U24" i="3"/>
  <c r="U15" i="3"/>
  <c r="U29" i="3"/>
  <c r="U30" i="3"/>
  <c r="U53" i="3"/>
  <c r="U9" i="3"/>
  <c r="U16" i="3"/>
  <c r="U10" i="3"/>
  <c r="U13" i="3"/>
  <c r="U35" i="3"/>
  <c r="U26" i="3"/>
  <c r="U18" i="3"/>
  <c r="U28" i="3"/>
  <c r="U53" i="2"/>
  <c r="U26" i="2"/>
  <c r="U58" i="2"/>
  <c r="U27" i="2"/>
  <c r="U10" i="2"/>
  <c r="U21" i="2"/>
  <c r="U17" i="2"/>
  <c r="U31" i="2"/>
  <c r="U25" i="2"/>
  <c r="U16" i="2"/>
  <c r="U54" i="2"/>
  <c r="U51" i="2"/>
  <c r="U52" i="2"/>
  <c r="U20" i="2"/>
  <c r="U12" i="2"/>
  <c r="U35" i="2"/>
  <c r="U36" i="2"/>
  <c r="U28" i="2"/>
  <c r="U32" i="2"/>
  <c r="U30" i="2"/>
  <c r="U23" i="2"/>
  <c r="U11" i="2"/>
  <c r="U14" i="3"/>
  <c r="U9" i="2"/>
  <c r="U21" i="21"/>
  <c r="U58" i="21"/>
  <c r="U34" i="21"/>
  <c r="U29" i="21"/>
  <c r="U35" i="21"/>
  <c r="U36" i="21"/>
  <c r="U18" i="21"/>
  <c r="U16" i="21"/>
  <c r="U17" i="21"/>
  <c r="U14" i="21"/>
  <c r="U15" i="21"/>
  <c r="U33" i="21"/>
  <c r="U55" i="21"/>
  <c r="U31" i="21"/>
  <c r="U9" i="21"/>
  <c r="U53" i="21"/>
  <c r="U11" i="21"/>
  <c r="U30" i="21"/>
  <c r="U27" i="21"/>
  <c r="U12" i="21"/>
  <c r="U52" i="21"/>
  <c r="U19" i="21"/>
  <c r="U25" i="21"/>
  <c r="U28" i="21"/>
  <c r="U32" i="21"/>
  <c r="U24" i="2"/>
  <c r="U52" i="3"/>
  <c r="U56" i="2"/>
  <c r="U34" i="2"/>
  <c r="U56" i="3"/>
  <c r="U57" i="2"/>
  <c r="U36" i="3"/>
  <c r="U56" i="21"/>
  <c r="U34" i="3"/>
  <c r="U23" i="3"/>
  <c r="U18" i="2"/>
  <c r="U33" i="3"/>
  <c r="U29" i="2"/>
  <c r="U15" i="2"/>
  <c r="U17" i="3"/>
  <c r="U27" i="3"/>
  <c r="U14" i="2"/>
  <c r="U55" i="3"/>
  <c r="U51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E10" authorId="0" shapeId="0" xr:uid="{3949BB46-85B4-4550-849B-C02ABC6C5A06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for Insomnia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F2" authorId="0" shapeId="0" xr:uid="{36810841-79EA-4087-8408-BF8565FC8D77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L2" authorId="0" shapeId="0" xr:uid="{E9E33967-148F-40EB-BD27-2C479E8DEF5A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Differentiation from Branded Brexpiprazole</t>
        </r>
      </text>
    </comment>
    <comment ref="D11" authorId="0" shapeId="0" xr:uid="{3D286FCE-9209-4D87-B34A-B460D8699DD7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Intranasal</t>
        </r>
      </text>
    </comment>
    <comment ref="D12" authorId="0" shapeId="0" xr:uid="{CD51DE38-FF29-4843-AD00-749901A93CD2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assume price parity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Michel Nijs</author>
  </authors>
  <commentList>
    <comment ref="V26" authorId="0" shapeId="0" xr:uid="{1BCD2BD3-30D2-4B51-A6BB-B3C7DF30A950}">
      <text>
        <r>
          <rPr>
            <b/>
            <sz val="9"/>
            <color indexed="81"/>
            <rFont val="Tahoma"/>
            <family val="2"/>
          </rPr>
          <t>Michel Nijs:</t>
        </r>
        <r>
          <rPr>
            <sz val="9"/>
            <color indexed="81"/>
            <rFont val="Tahoma"/>
            <family val="2"/>
          </rPr>
          <t xml:space="preserve">
Elevated Cytokines</t>
        </r>
      </text>
    </comment>
  </commentList>
</comments>
</file>

<file path=xl/sharedStrings.xml><?xml version="1.0" encoding="utf-8"?>
<sst xmlns="http://schemas.openxmlformats.org/spreadsheetml/2006/main" count="3858" uniqueCount="299">
  <si>
    <t>PLH</t>
  </si>
  <si>
    <t>PCD</t>
  </si>
  <si>
    <t>Janssen</t>
  </si>
  <si>
    <t>OFF</t>
  </si>
  <si>
    <t>PLH20</t>
  </si>
  <si>
    <t>US</t>
  </si>
  <si>
    <t>PLH19</t>
  </si>
  <si>
    <t>NME3</t>
  </si>
  <si>
    <t>NME3 Co</t>
  </si>
  <si>
    <t>NME3 FO</t>
  </si>
  <si>
    <t>NME2</t>
  </si>
  <si>
    <t>NME2 Co</t>
  </si>
  <si>
    <t>NME2 FO</t>
  </si>
  <si>
    <t>NME1</t>
  </si>
  <si>
    <t>NME1 Co</t>
  </si>
  <si>
    <t>NME1 FO</t>
  </si>
  <si>
    <t>KOR</t>
  </si>
  <si>
    <t>JNJ-67953964</t>
  </si>
  <si>
    <t>KOR Co</t>
  </si>
  <si>
    <t>Other KOR</t>
  </si>
  <si>
    <t>FAAH</t>
  </si>
  <si>
    <t>FAAH in Anxious Distress</t>
  </si>
  <si>
    <t>FAAH Co</t>
  </si>
  <si>
    <t>Other FAAH</t>
  </si>
  <si>
    <t>mGluNAM</t>
  </si>
  <si>
    <t>mGluNAM Co</t>
  </si>
  <si>
    <t>Other mGluNAM</t>
  </si>
  <si>
    <t>AMPA</t>
  </si>
  <si>
    <t>AMPAR</t>
  </si>
  <si>
    <t>AMPA Co</t>
  </si>
  <si>
    <t>Other AMPA</t>
  </si>
  <si>
    <t>P2X7</t>
  </si>
  <si>
    <t>P2X7 Co</t>
  </si>
  <si>
    <t>Other P2X7</t>
  </si>
  <si>
    <t>OX1</t>
  </si>
  <si>
    <t>Orexin1</t>
  </si>
  <si>
    <t>OX1 Co</t>
  </si>
  <si>
    <t>Other OX1</t>
  </si>
  <si>
    <t>OX2</t>
  </si>
  <si>
    <t>Seltorexant</t>
  </si>
  <si>
    <t>OX2 Co</t>
  </si>
  <si>
    <t>Other OX2</t>
  </si>
  <si>
    <t>GABAA</t>
  </si>
  <si>
    <t>Ph2b</t>
  </si>
  <si>
    <t>Sage</t>
  </si>
  <si>
    <t>Sage217</t>
  </si>
  <si>
    <t>TRANQ</t>
  </si>
  <si>
    <t>Launched</t>
  </si>
  <si>
    <t>Not Specified</t>
  </si>
  <si>
    <t>N05C0 Tranquillisers</t>
  </si>
  <si>
    <t>OPRL1</t>
  </si>
  <si>
    <t>Ph2a</t>
  </si>
  <si>
    <t>Blackstorn</t>
  </si>
  <si>
    <t>Btrx246040</t>
  </si>
  <si>
    <t>AAPS</t>
  </si>
  <si>
    <t>Acadia</t>
  </si>
  <si>
    <t>Pimavanserin</t>
  </si>
  <si>
    <t>NR2B</t>
  </si>
  <si>
    <t>Ph1</t>
  </si>
  <si>
    <t>Novartis</t>
  </si>
  <si>
    <t>Cadent</t>
  </si>
  <si>
    <t>NR2B C/N</t>
  </si>
  <si>
    <t>NMDA</t>
  </si>
  <si>
    <t>Ph3</t>
  </si>
  <si>
    <t>Allergan</t>
  </si>
  <si>
    <t>Rapastinel +</t>
  </si>
  <si>
    <t>PRIME</t>
  </si>
  <si>
    <t>M1,5</t>
  </si>
  <si>
    <t>NR2A</t>
  </si>
  <si>
    <t>Esketamine ODT</t>
  </si>
  <si>
    <t>AGN241751</t>
  </si>
  <si>
    <t>IL6</t>
  </si>
  <si>
    <t>Sirukumab</t>
  </si>
  <si>
    <t>Takeda</t>
  </si>
  <si>
    <t>TAK-653</t>
  </si>
  <si>
    <t>Servier</t>
  </si>
  <si>
    <t>S-47445</t>
  </si>
  <si>
    <t>Relmada</t>
  </si>
  <si>
    <t>REL-1017</t>
  </si>
  <si>
    <t>VistaGen</t>
  </si>
  <si>
    <t>AV-101</t>
  </si>
  <si>
    <t>ATAD</t>
  </si>
  <si>
    <t>Axsome</t>
  </si>
  <si>
    <t>AXS-05</t>
  </si>
  <si>
    <t>Rapastinel</t>
  </si>
  <si>
    <t>Esketamine</t>
  </si>
  <si>
    <t>REG</t>
  </si>
  <si>
    <t>Alkermes</t>
  </si>
  <si>
    <t>ALKS-5461</t>
  </si>
  <si>
    <t>Cariprazine</t>
  </si>
  <si>
    <t>Generic</t>
  </si>
  <si>
    <t>Trazodone</t>
  </si>
  <si>
    <t>Lundbeck</t>
  </si>
  <si>
    <t>Otsuka</t>
  </si>
  <si>
    <t>Brexpiprazole</t>
  </si>
  <si>
    <t>GSK</t>
  </si>
  <si>
    <t>Bupropion</t>
  </si>
  <si>
    <t>Eli Lilly</t>
  </si>
  <si>
    <t>Olanzapine / Fluoxetine</t>
  </si>
  <si>
    <t>Quetiapine</t>
  </si>
  <si>
    <t>Aripiprazole</t>
  </si>
  <si>
    <t>D4</t>
  </si>
  <si>
    <t>D3</t>
  </si>
  <si>
    <t>D2</t>
  </si>
  <si>
    <t>D1</t>
  </si>
  <si>
    <t>S7</t>
  </si>
  <si>
    <t>S6</t>
  </si>
  <si>
    <t>S5</t>
  </si>
  <si>
    <t>S4</t>
  </si>
  <si>
    <t>S3</t>
  </si>
  <si>
    <t>S2</t>
  </si>
  <si>
    <t>S1</t>
  </si>
  <si>
    <t>E8</t>
  </si>
  <si>
    <t>E7</t>
  </si>
  <si>
    <t>E6</t>
  </si>
  <si>
    <t>E5</t>
  </si>
  <si>
    <t>E4</t>
  </si>
  <si>
    <t>E3</t>
  </si>
  <si>
    <t>E2</t>
  </si>
  <si>
    <t>E1</t>
  </si>
  <si>
    <t>Barrier - Elastic Score %</t>
  </si>
  <si>
    <t>B3</t>
  </si>
  <si>
    <t>B2</t>
  </si>
  <si>
    <t>B1</t>
  </si>
  <si>
    <t>Barrier - Elastic Score</t>
  </si>
  <si>
    <t>Barrier %</t>
  </si>
  <si>
    <t>Barrier</t>
  </si>
  <si>
    <t>Units per DOT</t>
  </si>
  <si>
    <t>GTN Ceiling / Floor</t>
  </si>
  <si>
    <t>GTN Change</t>
  </si>
  <si>
    <t>GTN %</t>
  </si>
  <si>
    <t>Price Ceiling / Floor</t>
  </si>
  <si>
    <t>Price Change</t>
  </si>
  <si>
    <t>Launch Price / DOT</t>
  </si>
  <si>
    <t>Avg Therapy Days</t>
  </si>
  <si>
    <t>LOE q</t>
  </si>
  <si>
    <t>LOE p</t>
  </si>
  <si>
    <t>LOE %</t>
  </si>
  <si>
    <t>Class q</t>
  </si>
  <si>
    <t>Class p</t>
  </si>
  <si>
    <t>Product q</t>
  </si>
  <si>
    <t>Product p</t>
  </si>
  <si>
    <t>Delivery</t>
  </si>
  <si>
    <t>S&amp;T</t>
  </si>
  <si>
    <t>Efficacy</t>
  </si>
  <si>
    <t>LOE Month</t>
  </si>
  <si>
    <t>LOE Year</t>
  </si>
  <si>
    <t>Launch Month</t>
  </si>
  <si>
    <t>Launch Year</t>
  </si>
  <si>
    <t>Therapy Class</t>
  </si>
  <si>
    <t>Follow On</t>
  </si>
  <si>
    <t>Scenario10</t>
  </si>
  <si>
    <t>Scenario9</t>
  </si>
  <si>
    <t>Scenario3</t>
  </si>
  <si>
    <t>Starting Share Month</t>
  </si>
  <si>
    <t>Starting Share Year</t>
  </si>
  <si>
    <t>Starting Share</t>
  </si>
  <si>
    <t>Phase</t>
  </si>
  <si>
    <t>Company2</t>
  </si>
  <si>
    <t>Company1</t>
  </si>
  <si>
    <t>FORCE …</t>
  </si>
  <si>
    <t>Assets Rated</t>
  </si>
  <si>
    <t>Country</t>
  </si>
  <si>
    <t>aMDD Price</t>
  </si>
  <si>
    <t>Tdays</t>
  </si>
  <si>
    <t>ON</t>
  </si>
  <si>
    <t>Rating Lock</t>
  </si>
  <si>
    <t>PCP Factor</t>
  </si>
  <si>
    <t>Barrier Elasticity--&gt;</t>
  </si>
  <si>
    <t>Profile Model Tolerance</t>
  </si>
  <si>
    <t>SubPop</t>
  </si>
  <si>
    <t>Product OE Elasticity--&gt;</t>
  </si>
  <si>
    <t>Order of Entry</t>
  </si>
  <si>
    <t>Pop</t>
  </si>
  <si>
    <t>Class OE Elasticity--&gt;</t>
  </si>
  <si>
    <t>Month</t>
  </si>
  <si>
    <t>Year</t>
  </si>
  <si>
    <t>Starting Share &gt;&gt;</t>
  </si>
  <si>
    <t>Profile</t>
  </si>
  <si>
    <t>JP</t>
  </si>
  <si>
    <t>UK</t>
  </si>
  <si>
    <t>ES</t>
  </si>
  <si>
    <t>IT</t>
  </si>
  <si>
    <t>FR</t>
  </si>
  <si>
    <t>DE</t>
  </si>
  <si>
    <t>Profile Elasticity --&gt;</t>
  </si>
  <si>
    <t>Scenario Selected &gt;&gt;</t>
  </si>
  <si>
    <t>Country  Selected &gt;&gt;</t>
  </si>
  <si>
    <t>PLH5</t>
  </si>
  <si>
    <t>PLH4</t>
  </si>
  <si>
    <t>PLH3</t>
  </si>
  <si>
    <t>PLH2</t>
  </si>
  <si>
    <t>PLH18</t>
  </si>
  <si>
    <t/>
  </si>
  <si>
    <t>Other</t>
  </si>
  <si>
    <t>ATDO</t>
  </si>
  <si>
    <t>N05A1 Atypical Antipsychotics</t>
  </si>
  <si>
    <t>N06A9 Mirtazapine, …</t>
  </si>
  <si>
    <t>Calibration</t>
  </si>
  <si>
    <t>Barriers</t>
  </si>
  <si>
    <t>Scenario8</t>
  </si>
  <si>
    <t>Portfolio</t>
  </si>
  <si>
    <t>DAS Leadership Run + 3 NMEs</t>
  </si>
  <si>
    <t>DAS Leadership Run</t>
  </si>
  <si>
    <t>2018 Adjusted Benchmark Scenario</t>
  </si>
  <si>
    <t>ALK + AXS</t>
  </si>
  <si>
    <t>Benchmark</t>
  </si>
  <si>
    <t>Rarting Lock</t>
  </si>
  <si>
    <t>Rest of EMEA Bump Up from EU5</t>
  </si>
  <si>
    <t>Rest of AP Bump Up from EU5</t>
  </si>
  <si>
    <t>CA Bump Up from EU5</t>
  </si>
  <si>
    <t>LA Bump Up from EU5</t>
  </si>
  <si>
    <t>Physician Adoption Barriers (e.g. Operational Hurdles, Incentive Alignment / Profitability)</t>
  </si>
  <si>
    <t>Patient Barriers (e.g. Operational Hurdles, Administration)</t>
  </si>
  <si>
    <t>US : Market Access Bariers (e.g. Step Edits) G5: Reimbursement Restrictions</t>
  </si>
  <si>
    <t>Monitoring</t>
  </si>
  <si>
    <t>Dosage formulation</t>
  </si>
  <si>
    <t>Titration requirement</t>
  </si>
  <si>
    <t>Dosing frequency</t>
  </si>
  <si>
    <t>[Drug attribute]</t>
  </si>
  <si>
    <t>Drug interactions/contraindications</t>
  </si>
  <si>
    <t>Minor side effects (e.g., nausea, constipation, sweating, fatigue, headache)</t>
  </si>
  <si>
    <t>Weight gain and metabolic side effects (e.g. hyperlipidemia, appetite changes, increased glucose levels)</t>
  </si>
  <si>
    <t>Neurological side effects (e.g., extrapyramidal disorder, somnolence, akathisia, dry mouth, nervousness, etc.)</t>
  </si>
  <si>
    <t>Sexual dysfunction</t>
  </si>
  <si>
    <t>Fatigue</t>
  </si>
  <si>
    <t>Life-threatening side effects (e.g., suicidality, cardiovascular changes)</t>
  </si>
  <si>
    <t>Safety and Tolerability</t>
  </si>
  <si>
    <t>Time to onset of therapeutic effect</t>
  </si>
  <si>
    <t>Effect on depressive symptoms in the elderly population (e.g., persons aged 65 or older)</t>
  </si>
  <si>
    <t>Efficacy in comorbid anxiety (e.g., improvement in HAM-A scores)</t>
  </si>
  <si>
    <t>Quality of life (i.e., Q-LES-Q, SDS scores)</t>
  </si>
  <si>
    <t xml:space="preserve">Long-term efficacy in TRD patients (e.g., effect on depressive symptoms at 52 weeks) </t>
  </si>
  <si>
    <t>Treatment remission rate in TRD patients (e.g., % of TRD patients with MADRS scores of ≤ 12 at end point)</t>
  </si>
  <si>
    <t>Treatment response rate in TRD patients (e.g., % of TRD patients demonstrating ≥ 50% decrease in MADRS at end point)</t>
  </si>
  <si>
    <t>Effect on depressive symptoms in TRD patients (e.g., improvement in MADRS at end point)</t>
  </si>
  <si>
    <t>Physician Weights for Model</t>
  </si>
  <si>
    <t>Enter Average Physician Weight</t>
  </si>
  <si>
    <t>Drug Attributes &amp; Physician Weights</t>
  </si>
  <si>
    <t>Benchmark Therapy:</t>
  </si>
  <si>
    <t>Adjunctive Treatment of Depression (aMDD/TRD)</t>
  </si>
  <si>
    <t>Indication:</t>
  </si>
  <si>
    <t>Faah In Anxious Distress</t>
  </si>
  <si>
    <t>Nr2B C/N</t>
  </si>
  <si>
    <t xml:space="preserve">Long-term efficacy (e.g., effect on depressive symptoms at 52 weeks) </t>
  </si>
  <si>
    <t>Rel-1017</t>
  </si>
  <si>
    <t>Treatment remission rate (e.g., % of patients with MADRS scores of ≤ 12 at end point)</t>
  </si>
  <si>
    <t>Treatment response rate (e.g., % of patients demonstrating ≥ 50% decrease in MADRS at end point)</t>
  </si>
  <si>
    <t>Esketamine Odt</t>
  </si>
  <si>
    <t>Nr2A</t>
  </si>
  <si>
    <t>Effect on depressive symptoms (e.g., improvement in MADRS at end point)</t>
  </si>
  <si>
    <r>
      <rPr>
        <b/>
        <i/>
        <sz val="10"/>
        <color theme="1"/>
        <rFont val="Calibri"/>
        <family val="2"/>
      </rPr>
      <t>Major improvement</t>
    </r>
    <r>
      <rPr>
        <i/>
        <sz val="10"/>
        <color theme="1"/>
        <rFont val="Calibri"/>
        <family val="2"/>
      </rPr>
      <t xml:space="preserve"> and major competitive advantage over the benchmark on measure</t>
    </r>
  </si>
  <si>
    <r>
      <rPr>
        <b/>
        <i/>
        <sz val="10"/>
        <color theme="1"/>
        <rFont val="Calibri"/>
        <family val="2"/>
      </rPr>
      <t>Minor improvement</t>
    </r>
    <r>
      <rPr>
        <i/>
        <sz val="10"/>
        <color theme="1"/>
        <rFont val="Calibri"/>
        <family val="2"/>
      </rPr>
      <t xml:space="preserve"> over the benchmark, or consensus is lacking, although some experts believe the therapy has an advantage</t>
    </r>
  </si>
  <si>
    <r>
      <rPr>
        <b/>
        <i/>
        <sz val="10"/>
        <color theme="1"/>
        <rFont val="Calibri"/>
        <family val="2"/>
      </rPr>
      <t>Undifferentiated</t>
    </r>
    <r>
      <rPr>
        <i/>
        <sz val="10"/>
        <color theme="1"/>
        <rFont val="Calibri"/>
        <family val="2"/>
      </rPr>
      <t xml:space="preserve"> from the benchmark therapy</t>
    </r>
  </si>
  <si>
    <r>
      <rPr>
        <b/>
        <i/>
        <sz val="10"/>
        <color theme="1"/>
        <rFont val="Calibri"/>
        <family val="2"/>
      </rPr>
      <t>Minor disadvantage</t>
    </r>
    <r>
      <rPr>
        <i/>
        <sz val="10"/>
        <color theme="1"/>
        <rFont val="Calibri"/>
        <family val="2"/>
      </rPr>
      <t xml:space="preserve"> compared with the benchmark</t>
    </r>
  </si>
  <si>
    <r>
      <rPr>
        <b/>
        <i/>
        <sz val="10"/>
        <color theme="1"/>
        <rFont val="Calibri"/>
        <family val="2"/>
      </rPr>
      <t>Major disadvantage</t>
    </r>
    <r>
      <rPr>
        <i/>
        <sz val="10"/>
        <color theme="1"/>
        <rFont val="Calibri"/>
        <family val="2"/>
      </rPr>
      <t xml:space="preserve"> compared with the benchmark.</t>
    </r>
  </si>
  <si>
    <t>G5 Countries</t>
  </si>
  <si>
    <t>United States</t>
  </si>
  <si>
    <t>Sage217 (GABAA)</t>
  </si>
  <si>
    <t>N05C0 Tranquillisers (TRANQ)</t>
  </si>
  <si>
    <t>Btrx246040 (OPRL1)</t>
  </si>
  <si>
    <t>Pimavanserin (AAPS)</t>
  </si>
  <si>
    <t>NR2B C/N (NR2B)</t>
  </si>
  <si>
    <t>AMPAR (AMPA)</t>
  </si>
  <si>
    <t>P2X7 (P2X7)</t>
  </si>
  <si>
    <t>Orexin1 (Orexin1)</t>
  </si>
  <si>
    <t>mGluNAM (mGluNAM)</t>
  </si>
  <si>
    <t>AGN241751 (NMDA)</t>
  </si>
  <si>
    <t>FAAH in Anxious Distress (FAAH)</t>
  </si>
  <si>
    <t>Sirukumab (IL6)</t>
  </si>
  <si>
    <t>TAK-653 (AMPA)</t>
  </si>
  <si>
    <t>S-47445 (AMPA)</t>
  </si>
  <si>
    <t>Seltorexant (OX2)</t>
  </si>
  <si>
    <t>REL-1017 (NMDA)</t>
  </si>
  <si>
    <t>JNJ-67953964 (KOR)</t>
  </si>
  <si>
    <t>AV-101 (NMDA)</t>
  </si>
  <si>
    <t>AXS-05 (ATAD)</t>
  </si>
  <si>
    <t>Rapastinel (NMDA)</t>
  </si>
  <si>
    <t>Esketamine (NMDA)</t>
  </si>
  <si>
    <t>ALKS-5461 (KOR)</t>
  </si>
  <si>
    <t>Cariprazine (AAPS)</t>
  </si>
  <si>
    <t>Trazodone (ATAD)</t>
  </si>
  <si>
    <t>Brexpiprazole (AAPS)</t>
  </si>
  <si>
    <t>Bupropion (ATAD)</t>
  </si>
  <si>
    <t>Olanzapine / Fluoxetine (AAPS)</t>
  </si>
  <si>
    <t>Quetiapine (AAPS)</t>
  </si>
  <si>
    <t>Aripiprazole (AAPS)</t>
  </si>
  <si>
    <t>Acceptability</t>
  </si>
  <si>
    <t>Safety &amp; Tolerability</t>
  </si>
  <si>
    <t>Decision Resources</t>
  </si>
  <si>
    <t>ON/OFF</t>
  </si>
  <si>
    <t>Class</t>
  </si>
  <si>
    <t>Molecule</t>
  </si>
  <si>
    <t>Description</t>
  </si>
  <si>
    <t>Cum</t>
  </si>
  <si>
    <t>Asset</t>
  </si>
  <si>
    <t>Asset q</t>
  </si>
  <si>
    <t>Asset p</t>
  </si>
  <si>
    <t>LOE 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</si>
</sst>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&quot;$&quot;#,##0.0"/>
    <numFmt numFmtId="167" formatCode="&quot;$&quot;#,##0"/>
    <numFmt numFmtId="168" formatCode="0.0"/>
    <numFmt numFmtId="169" formatCode="&quot;$&quot;0.00"/>
    <numFmt numFmtId="170" formatCode="&quot;$&quot;0.0"/>
    <numFmt numFmtId="171" formatCode="0.00000%"/>
    <numFmt numFmtId="172" formatCode="0.0,,\ &quot;M&quot;"/>
    <numFmt numFmtId="173" formatCode="&quot;E&quot;0"/>
    <numFmt numFmtId="174" formatCode="&quot;S&quot;0"/>
    <numFmt numFmtId="175" formatCode="&quot;D&quot;0"/>
    <numFmt numFmtId="176" formatCode="&quot;B&quot;0"/>
    <numFmt numFmtId="177" formatCode="0.0000000%"/>
    <numFmt numFmtId="178" formatCode="0&quot;m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theme="1"/>
      <name val="Calibri"/>
      <family val="2"/>
    </font>
    <font>
      <sz val="10"/>
      <name val="Arial"/>
      <family val="2"/>
    </font>
    <font>
      <sz val="10"/>
      <color theme="2" tint="-0.249977111117893"/>
      <name val="Arial"/>
      <family val="2"/>
    </font>
    <font>
      <sz val="11"/>
      <color theme="0" tint="-0.34998626667073579"/>
      <name val="Calibri"/>
      <family val="2"/>
      <scheme val="minor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sz val="9"/>
      <name val="Calibri"/>
      <family val="2"/>
    </font>
    <font>
      <sz val="9"/>
      <color theme="2" tint="-0.249977111117893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Arial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sz val="16"/>
      <color theme="1"/>
      <name val="Calibri"/>
      <family val="2"/>
    </font>
    <font>
      <sz val="22"/>
      <color theme="1"/>
      <name val="Calibri"/>
      <family val="2"/>
    </font>
    <font>
      <sz val="11"/>
      <color rgb="FF505050"/>
      <name val="Arial"/>
      <family val="2"/>
    </font>
    <font>
      <b/>
      <sz val="11"/>
      <color rgb="FFFFFFFF"/>
      <name val="Arial"/>
      <family val="2"/>
    </font>
    <font>
      <b/>
      <u/>
      <sz val="9"/>
      <color theme="1"/>
      <name val="Calibri"/>
      <family val="2"/>
    </font>
    <font>
      <b/>
      <sz val="9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9" fontId="4" fillId="0" borderId="0" applyFont="0" applyFill="0" applyBorder="0" applyAlignment="0" applyProtection="0"/>
  </cellStyleXfs>
  <cellXfs count="183">
    <xf numFmtId="0" fontId="0" fillId="0" borderId="0" xfId="0"/>
    <xf numFmtId="0" fontId="2" fillId="0" borderId="0" xfId="0" applyFont="1"/>
    <xf numFmtId="0" fontId="3" fillId="2" borderId="0" xfId="3" applyFont="1" applyFill="1" applyProtection="1"/>
    <xf numFmtId="0" fontId="5" fillId="0" borderId="1" xfId="4" applyFont="1" applyBorder="1" applyAlignment="1">
      <alignment horizontal="center"/>
    </xf>
    <xf numFmtId="0" fontId="5" fillId="0" borderId="2" xfId="4" applyFont="1" applyBorder="1" applyAlignment="1">
      <alignment horizontal="center"/>
    </xf>
    <xf numFmtId="164" fontId="6" fillId="0" borderId="3" xfId="2" applyNumberFormat="1" applyFont="1" applyBorder="1" applyAlignment="1">
      <alignment horizontal="center" vertical="center"/>
    </xf>
    <xf numFmtId="0" fontId="5" fillId="0" borderId="4" xfId="4" applyFont="1" applyBorder="1" applyAlignment="1">
      <alignment horizontal="center"/>
    </xf>
    <xf numFmtId="2" fontId="6" fillId="0" borderId="3" xfId="0" applyNumberFormat="1" applyFont="1" applyBorder="1"/>
    <xf numFmtId="2" fontId="7" fillId="0" borderId="3" xfId="3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 vertical="center"/>
    </xf>
    <xf numFmtId="165" fontId="9" fillId="3" borderId="5" xfId="1" applyNumberFormat="1" applyFont="1" applyFill="1" applyBorder="1" applyAlignment="1" applyProtection="1">
      <alignment horizontal="center" vertical="center"/>
    </xf>
    <xf numFmtId="9" fontId="9" fillId="3" borderId="5" xfId="2" applyFont="1" applyFill="1" applyBorder="1" applyAlignment="1" applyProtection="1">
      <alignment horizontal="center" vertical="center"/>
    </xf>
    <xf numFmtId="164" fontId="3" fillId="3" borderId="5" xfId="3" applyNumberFormat="1" applyFont="1" applyFill="1" applyBorder="1" applyAlignment="1" applyProtection="1">
      <alignment horizontal="center" vertical="center"/>
    </xf>
    <xf numFmtId="166" fontId="9" fillId="3" borderId="5" xfId="3" applyNumberFormat="1" applyFont="1" applyFill="1" applyBorder="1" applyAlignment="1" applyProtection="1">
      <alignment horizontal="center" vertical="center"/>
    </xf>
    <xf numFmtId="167" fontId="9" fillId="3" borderId="5" xfId="3" applyNumberFormat="1" applyFont="1" applyFill="1" applyBorder="1" applyAlignment="1" applyProtection="1">
      <alignment horizontal="center" vertical="center"/>
    </xf>
    <xf numFmtId="2" fontId="9" fillId="3" borderId="5" xfId="3" applyNumberFormat="1" applyFont="1" applyFill="1" applyBorder="1" applyAlignment="1" applyProtection="1">
      <alignment horizontal="center" vertical="center"/>
    </xf>
    <xf numFmtId="2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3" applyNumberFormat="1" applyFont="1" applyFill="1" applyBorder="1" applyAlignment="1" applyProtection="1">
      <alignment horizontal="center" vertical="center"/>
    </xf>
    <xf numFmtId="9" fontId="8" fillId="3" borderId="5" xfId="3" applyNumberFormat="1" applyFont="1" applyFill="1" applyBorder="1" applyAlignment="1" applyProtection="1">
      <alignment horizontal="center" vertical="center"/>
    </xf>
    <xf numFmtId="9" fontId="3" fillId="3" borderId="5" xfId="2" applyNumberFormat="1" applyFont="1" applyFill="1" applyBorder="1" applyAlignment="1" applyProtection="1">
      <alignment horizontal="center" vertical="center"/>
    </xf>
    <xf numFmtId="0" fontId="3" fillId="3" borderId="5" xfId="3" applyFont="1" applyFill="1" applyBorder="1" applyAlignment="1" applyProtection="1">
      <alignment horizontal="center"/>
    </xf>
    <xf numFmtId="2" fontId="8" fillId="5" borderId="5" xfId="3" applyNumberFormat="1" applyFont="1" applyFill="1" applyBorder="1" applyAlignment="1" applyProtection="1">
      <alignment horizontal="center" vertical="center"/>
    </xf>
    <xf numFmtId="9" fontId="9" fillId="6" borderId="5" xfId="3" applyNumberFormat="1" applyFont="1" applyFill="1" applyBorder="1" applyAlignment="1" applyProtection="1">
      <alignment horizontal="center" vertical="center"/>
    </xf>
    <xf numFmtId="2" fontId="8" fillId="6" borderId="5" xfId="3" applyNumberFormat="1" applyFont="1" applyFill="1" applyBorder="1" applyAlignment="1" applyProtection="1">
      <alignment horizontal="center" vertical="center"/>
    </xf>
    <xf numFmtId="2" fontId="9" fillId="6" borderId="5" xfId="3" applyNumberFormat="1" applyFont="1" applyFill="1" applyBorder="1" applyAlignment="1" applyProtection="1">
      <alignment horizontal="center" vertical="center"/>
    </xf>
    <xf numFmtId="0" fontId="10" fillId="4" borderId="1" xfId="3" applyFont="1" applyFill="1" applyBorder="1" applyAlignment="1" applyProtection="1">
      <alignment horizontal="center" vertical="center" wrapText="1"/>
    </xf>
    <xf numFmtId="0" fontId="10" fillId="4" borderId="2" xfId="3" applyFont="1" applyFill="1" applyBorder="1" applyAlignment="1" applyProtection="1">
      <alignment horizontal="center" vertical="center" wrapText="1"/>
    </xf>
    <xf numFmtId="0" fontId="11" fillId="4" borderId="3" xfId="3" applyFont="1" applyFill="1" applyBorder="1" applyAlignment="1" applyProtection="1">
      <alignment horizontal="center" textRotation="90" wrapText="1"/>
    </xf>
    <xf numFmtId="9" fontId="12" fillId="0" borderId="4" xfId="2" applyFont="1" applyBorder="1" applyAlignment="1">
      <alignment horizontal="center" vertical="center"/>
    </xf>
    <xf numFmtId="9" fontId="12" fillId="0" borderId="1" xfId="2" applyFont="1" applyBorder="1" applyAlignment="1">
      <alignment horizontal="center" vertical="center"/>
    </xf>
    <xf numFmtId="0" fontId="13" fillId="4" borderId="5" xfId="3" applyFont="1" applyFill="1" applyBorder="1" applyAlignment="1" applyProtection="1">
      <alignment horizontal="center" vertical="center" wrapText="1"/>
    </xf>
    <xf numFmtId="0" fontId="13" fillId="4" borderId="5" xfId="3" applyFont="1" applyFill="1" applyBorder="1" applyAlignment="1" applyProtection="1">
      <alignment horizontal="center" textRotation="90" wrapText="1"/>
    </xf>
    <xf numFmtId="0" fontId="13" fillId="3" borderId="5" xfId="3" applyFont="1" applyFill="1" applyBorder="1" applyAlignment="1" applyProtection="1">
      <alignment horizontal="center" textRotation="90" wrapText="1"/>
    </xf>
    <xf numFmtId="164" fontId="11" fillId="0" borderId="3" xfId="2" applyNumberFormat="1" applyFont="1" applyBorder="1" applyAlignment="1">
      <alignment horizontal="center" vertical="center"/>
    </xf>
    <xf numFmtId="168" fontId="7" fillId="0" borderId="3" xfId="3" applyNumberFormat="1" applyFont="1" applyFill="1" applyBorder="1" applyAlignment="1" applyProtection="1">
      <alignment horizontal="center" vertical="center"/>
    </xf>
    <xf numFmtId="9" fontId="6" fillId="0" borderId="3" xfId="0" applyNumberFormat="1" applyFont="1" applyBorder="1"/>
    <xf numFmtId="1" fontId="7" fillId="0" borderId="3" xfId="3" applyNumberFormat="1" applyFont="1" applyFill="1" applyBorder="1" applyAlignment="1" applyProtection="1">
      <alignment horizontal="center" vertical="center"/>
    </xf>
    <xf numFmtId="0" fontId="2" fillId="0" borderId="0" xfId="0" applyFont="1" applyBorder="1" applyAlignment="1">
      <alignment horizontal="center"/>
    </xf>
    <xf numFmtId="169" fontId="3" fillId="3" borderId="6" xfId="3" applyNumberFormat="1" applyFont="1" applyFill="1" applyBorder="1" applyAlignment="1" applyProtection="1">
      <alignment horizontal="center" vertical="center"/>
    </xf>
    <xf numFmtId="170" fontId="3" fillId="3" borderId="7" xfId="3" applyNumberFormat="1" applyFont="1" applyFill="1" applyBorder="1" applyAlignment="1" applyProtection="1">
      <alignment horizontal="center" vertical="center"/>
    </xf>
    <xf numFmtId="0" fontId="0" fillId="0" borderId="8" xfId="0" applyBorder="1"/>
    <xf numFmtId="1" fontId="3" fillId="3" borderId="9" xfId="3" applyNumberFormat="1" applyFont="1" applyFill="1" applyBorder="1" applyAlignment="1" applyProtection="1">
      <alignment horizontal="center" vertical="center"/>
    </xf>
    <xf numFmtId="1" fontId="3" fillId="3" borderId="5" xfId="3" applyNumberFormat="1" applyFont="1" applyFill="1" applyBorder="1" applyAlignment="1" applyProtection="1">
      <alignment horizontal="center" vertical="center"/>
    </xf>
    <xf numFmtId="0" fontId="0" fillId="0" borderId="10" xfId="0" applyBorder="1"/>
    <xf numFmtId="9" fontId="0" fillId="0" borderId="0" xfId="0" applyNumberFormat="1"/>
    <xf numFmtId="171" fontId="0" fillId="0" borderId="0" xfId="0" applyNumberFormat="1"/>
    <xf numFmtId="49" fontId="0" fillId="0" borderId="0" xfId="0" quotePrefix="1" applyNumberFormat="1"/>
    <xf numFmtId="2" fontId="0" fillId="3" borderId="5" xfId="0" applyNumberFormat="1" applyFill="1" applyBorder="1" applyAlignment="1">
      <alignment horizontal="center"/>
    </xf>
    <xf numFmtId="9" fontId="3" fillId="3" borderId="9" xfId="3" applyNumberFormat="1" applyFont="1" applyFill="1" applyBorder="1" applyAlignment="1" applyProtection="1">
      <alignment horizontal="center" vertical="center"/>
    </xf>
    <xf numFmtId="168" fontId="0" fillId="3" borderId="5" xfId="0" applyNumberFormat="1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72" fontId="8" fillId="4" borderId="9" xfId="5" applyNumberFormat="1" applyFont="1" applyFill="1" applyBorder="1" applyAlignment="1">
      <alignment horizontal="center" vertical="center"/>
    </xf>
    <xf numFmtId="172" fontId="8" fillId="4" borderId="5" xfId="5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/>
    <xf numFmtId="0" fontId="14" fillId="0" borderId="5" xfId="0" applyFont="1" applyBorder="1" applyAlignment="1"/>
    <xf numFmtId="0" fontId="0" fillId="3" borderId="5" xfId="0" applyFont="1" applyFill="1" applyBorder="1" applyAlignment="1">
      <alignment horizontal="center"/>
    </xf>
    <xf numFmtId="9" fontId="3" fillId="3" borderId="5" xfId="2" applyFont="1" applyFill="1" applyBorder="1" applyAlignment="1" applyProtection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0" fontId="0" fillId="0" borderId="17" xfId="0" applyFill="1" applyBorder="1" applyAlignment="1">
      <alignment horizontal="center"/>
    </xf>
    <xf numFmtId="0" fontId="9" fillId="3" borderId="5" xfId="3" applyFont="1" applyFill="1" applyBorder="1"/>
    <xf numFmtId="164" fontId="3" fillId="7" borderId="5" xfId="3" applyNumberFormat="1" applyFill="1" applyBorder="1" applyAlignment="1">
      <alignment horizontal="center"/>
    </xf>
    <xf numFmtId="164" fontId="3" fillId="7" borderId="5" xfId="3" applyNumberFormat="1" applyFont="1" applyFill="1" applyBorder="1" applyAlignment="1">
      <alignment horizontal="center"/>
    </xf>
    <xf numFmtId="0" fontId="4" fillId="0" borderId="0" xfId="4"/>
    <xf numFmtId="0" fontId="4" fillId="0" borderId="0" xfId="4" applyAlignment="1">
      <alignment horizontal="center"/>
    </xf>
    <xf numFmtId="0" fontId="4" fillId="0" borderId="0" xfId="4" applyFill="1" applyBorder="1"/>
    <xf numFmtId="0" fontId="18" fillId="0" borderId="0" xfId="4" applyFont="1" applyBorder="1"/>
    <xf numFmtId="0" fontId="19" fillId="0" borderId="0" xfId="4" applyFont="1" applyFill="1" applyBorder="1"/>
    <xf numFmtId="9" fontId="0" fillId="0" borderId="0" xfId="5" applyFont="1" applyFill="1" applyBorder="1" applyAlignment="1">
      <alignment horizontal="center"/>
    </xf>
    <xf numFmtId="9" fontId="4" fillId="0" borderId="0" xfId="4" applyNumberFormat="1" applyFill="1" applyBorder="1" applyAlignment="1">
      <alignment horizontal="center"/>
    </xf>
    <xf numFmtId="0" fontId="18" fillId="0" borderId="0" xfId="4" applyFont="1" applyFill="1" applyBorder="1"/>
    <xf numFmtId="9" fontId="20" fillId="8" borderId="18" xfId="5" applyFont="1" applyFill="1" applyBorder="1" applyAlignment="1">
      <alignment horizontal="center"/>
    </xf>
    <xf numFmtId="9" fontId="0" fillId="8" borderId="19" xfId="5" applyFont="1" applyFill="1" applyBorder="1"/>
    <xf numFmtId="9" fontId="20" fillId="8" borderId="19" xfId="5" applyFont="1" applyFill="1" applyBorder="1" applyAlignment="1" applyProtection="1">
      <alignment horizontal="center"/>
      <protection locked="0"/>
    </xf>
    <xf numFmtId="0" fontId="4" fillId="8" borderId="19" xfId="4" applyFill="1" applyBorder="1"/>
    <xf numFmtId="0" fontId="20" fillId="8" borderId="20" xfId="4" applyFont="1" applyFill="1" applyBorder="1"/>
    <xf numFmtId="9" fontId="0" fillId="0" borderId="21" xfId="5" applyFont="1" applyBorder="1" applyAlignment="1">
      <alignment horizontal="center"/>
    </xf>
    <xf numFmtId="9" fontId="0" fillId="9" borderId="22" xfId="5" applyFont="1" applyFill="1" applyBorder="1"/>
    <xf numFmtId="9" fontId="0" fillId="10" borderId="22" xfId="5" applyFont="1" applyFill="1" applyBorder="1" applyAlignment="1" applyProtection="1">
      <alignment horizontal="center"/>
      <protection locked="0"/>
    </xf>
    <xf numFmtId="0" fontId="4" fillId="0" borderId="22" xfId="4" applyFill="1" applyBorder="1"/>
    <xf numFmtId="0" fontId="18" fillId="0" borderId="23" xfId="4" applyFont="1" applyBorder="1"/>
    <xf numFmtId="9" fontId="0" fillId="9" borderId="24" xfId="5" applyFont="1" applyFill="1" applyBorder="1"/>
    <xf numFmtId="9" fontId="0" fillId="10" borderId="24" xfId="5" applyFont="1" applyFill="1" applyBorder="1" applyAlignment="1" applyProtection="1">
      <alignment horizontal="center"/>
      <protection locked="0"/>
    </xf>
    <xf numFmtId="0" fontId="4" fillId="0" borderId="24" xfId="4" applyFill="1" applyBorder="1"/>
    <xf numFmtId="0" fontId="18" fillId="0" borderId="25" xfId="4" applyFont="1" applyBorder="1"/>
    <xf numFmtId="9" fontId="20" fillId="8" borderId="26" xfId="5" applyFont="1" applyFill="1" applyBorder="1" applyAlignment="1">
      <alignment horizontal="center"/>
    </xf>
    <xf numFmtId="9" fontId="0" fillId="8" borderId="27" xfId="5" applyFont="1" applyFill="1" applyBorder="1"/>
    <xf numFmtId="9" fontId="20" fillId="8" borderId="27" xfId="5" applyFont="1" applyFill="1" applyBorder="1" applyAlignment="1" applyProtection="1">
      <alignment horizontal="center"/>
      <protection locked="0"/>
    </xf>
    <xf numFmtId="0" fontId="4" fillId="8" borderId="27" xfId="4" applyFill="1" applyBorder="1"/>
    <xf numFmtId="0" fontId="20" fillId="8" borderId="28" xfId="4" applyFont="1" applyFill="1" applyBorder="1"/>
    <xf numFmtId="0" fontId="4" fillId="0" borderId="24" xfId="4" applyFont="1" applyFill="1" applyBorder="1"/>
    <xf numFmtId="9" fontId="0" fillId="0" borderId="29" xfId="5" applyFont="1" applyBorder="1" applyAlignment="1">
      <alignment horizontal="center"/>
    </xf>
    <xf numFmtId="9" fontId="0" fillId="9" borderId="30" xfId="5" applyFont="1" applyFill="1" applyBorder="1"/>
    <xf numFmtId="9" fontId="0" fillId="10" borderId="30" xfId="5" applyFont="1" applyFill="1" applyBorder="1" applyAlignment="1" applyProtection="1">
      <alignment horizontal="center"/>
      <protection locked="0"/>
    </xf>
    <xf numFmtId="0" fontId="4" fillId="0" borderId="30" xfId="4" applyFill="1" applyBorder="1"/>
    <xf numFmtId="9" fontId="0" fillId="0" borderId="31" xfId="5" applyFont="1" applyBorder="1" applyAlignment="1">
      <alignment horizontal="center"/>
    </xf>
    <xf numFmtId="9" fontId="0" fillId="10" borderId="22" xfId="5" applyNumberFormat="1" applyFont="1" applyFill="1" applyBorder="1" applyAlignment="1" applyProtection="1">
      <alignment horizontal="center"/>
      <protection locked="0"/>
    </xf>
    <xf numFmtId="9" fontId="0" fillId="10" borderId="24" xfId="5" applyNumberFormat="1" applyFont="1" applyFill="1" applyBorder="1" applyAlignment="1" applyProtection="1">
      <alignment horizontal="center"/>
      <protection locked="0"/>
    </xf>
    <xf numFmtId="9" fontId="0" fillId="10" borderId="30" xfId="5" applyNumberFormat="1" applyFont="1" applyFill="1" applyBorder="1" applyAlignment="1" applyProtection="1">
      <alignment horizontal="center"/>
      <protection locked="0"/>
    </xf>
    <xf numFmtId="0" fontId="20" fillId="10" borderId="32" xfId="4" applyFont="1" applyFill="1" applyBorder="1" applyAlignment="1">
      <alignment horizontal="center" wrapText="1" shrinkToFit="1"/>
    </xf>
    <xf numFmtId="0" fontId="4" fillId="9" borderId="33" xfId="4" applyFill="1" applyBorder="1"/>
    <xf numFmtId="0" fontId="20" fillId="10" borderId="33" xfId="4" applyFont="1" applyFill="1" applyBorder="1" applyAlignment="1">
      <alignment horizontal="center" wrapText="1"/>
    </xf>
    <xf numFmtId="0" fontId="4" fillId="11" borderId="33" xfId="4" applyFill="1" applyBorder="1"/>
    <xf numFmtId="0" fontId="4" fillId="11" borderId="34" xfId="4" applyFill="1" applyBorder="1"/>
    <xf numFmtId="0" fontId="4" fillId="0" borderId="35" xfId="4" applyBorder="1" applyAlignment="1">
      <alignment horizontal="center"/>
    </xf>
    <xf numFmtId="0" fontId="4" fillId="0" borderId="0" xfId="4" applyBorder="1"/>
    <xf numFmtId="0" fontId="4" fillId="0" borderId="0" xfId="4" applyBorder="1" applyAlignment="1">
      <alignment horizontal="center"/>
    </xf>
    <xf numFmtId="0" fontId="4" fillId="0" borderId="25" xfId="4" applyBorder="1"/>
    <xf numFmtId="0" fontId="22" fillId="8" borderId="19" xfId="4" applyFont="1" applyFill="1" applyBorder="1" applyAlignment="1">
      <alignment vertical="center"/>
    </xf>
    <xf numFmtId="0" fontId="4" fillId="8" borderId="20" xfId="4" applyFill="1" applyBorder="1"/>
    <xf numFmtId="0" fontId="3" fillId="2" borderId="0" xfId="3" applyFill="1" applyProtection="1"/>
    <xf numFmtId="9" fontId="23" fillId="2" borderId="5" xfId="2" applyFont="1" applyFill="1" applyBorder="1" applyAlignment="1" applyProtection="1">
      <alignment horizontal="center"/>
    </xf>
    <xf numFmtId="0" fontId="3" fillId="2" borderId="5" xfId="3" applyFill="1" applyBorder="1" applyProtection="1"/>
    <xf numFmtId="0" fontId="23" fillId="2" borderId="5" xfId="3" applyFont="1" applyFill="1" applyBorder="1" applyAlignment="1" applyProtection="1">
      <alignment horizontal="center"/>
    </xf>
    <xf numFmtId="0" fontId="24" fillId="4" borderId="5" xfId="3" applyNumberFormat="1" applyFont="1" applyFill="1" applyBorder="1" applyAlignment="1" applyProtection="1">
      <alignment horizontal="center" vertical="center"/>
    </xf>
    <xf numFmtId="0" fontId="23" fillId="2" borderId="36" xfId="3" applyFont="1" applyFill="1" applyBorder="1" applyAlignment="1" applyProtection="1">
      <alignment horizontal="center"/>
    </xf>
    <xf numFmtId="0" fontId="23" fillId="2" borderId="37" xfId="3" applyFont="1" applyFill="1" applyBorder="1" applyAlignment="1" applyProtection="1">
      <alignment horizontal="center"/>
    </xf>
    <xf numFmtId="0" fontId="23" fillId="2" borderId="38" xfId="3" applyFont="1" applyFill="1" applyBorder="1" applyAlignment="1" applyProtection="1">
      <alignment horizontal="center"/>
    </xf>
    <xf numFmtId="0" fontId="23" fillId="2" borderId="0" xfId="3" applyFont="1" applyFill="1" applyBorder="1" applyAlignment="1" applyProtection="1">
      <alignment horizontal="center"/>
    </xf>
    <xf numFmtId="0" fontId="23" fillId="2" borderId="39" xfId="3" applyFont="1" applyFill="1" applyBorder="1" applyAlignment="1" applyProtection="1">
      <alignment horizontal="center"/>
    </xf>
    <xf numFmtId="0" fontId="23" fillId="2" borderId="40" xfId="3" applyFont="1" applyFill="1" applyBorder="1" applyAlignment="1" applyProtection="1">
      <alignment horizontal="center"/>
    </xf>
    <xf numFmtId="0" fontId="23" fillId="2" borderId="41" xfId="3" applyFont="1" applyFill="1" applyBorder="1" applyAlignment="1" applyProtection="1">
      <alignment horizontal="center"/>
    </xf>
    <xf numFmtId="0" fontId="24" fillId="4" borderId="42" xfId="3" applyNumberFormat="1" applyFont="1" applyFill="1" applyBorder="1" applyAlignment="1" applyProtection="1">
      <alignment horizontal="center" vertical="center"/>
    </xf>
    <xf numFmtId="0" fontId="25" fillId="0" borderId="43" xfId="4" applyFont="1" applyFill="1" applyBorder="1" applyAlignment="1">
      <alignment horizontal="center" vertical="center" wrapText="1"/>
    </xf>
    <xf numFmtId="173" fontId="24" fillId="4" borderId="42" xfId="3" applyNumberFormat="1" applyFont="1" applyFill="1" applyBorder="1" applyAlignment="1" applyProtection="1">
      <alignment horizontal="center" vertical="center"/>
    </xf>
    <xf numFmtId="0" fontId="23" fillId="2" borderId="44" xfId="3" applyFont="1" applyFill="1" applyBorder="1" applyAlignment="1" applyProtection="1">
      <alignment horizontal="center"/>
    </xf>
    <xf numFmtId="0" fontId="23" fillId="2" borderId="45" xfId="3" applyFont="1" applyFill="1" applyBorder="1" applyAlignment="1" applyProtection="1">
      <alignment horizontal="center"/>
    </xf>
    <xf numFmtId="0" fontId="23" fillId="2" borderId="46" xfId="3" applyFont="1" applyFill="1" applyBorder="1" applyAlignment="1" applyProtection="1">
      <alignment horizontal="center"/>
    </xf>
    <xf numFmtId="1" fontId="28" fillId="2" borderId="48" xfId="3" applyNumberFormat="1" applyFont="1" applyFill="1" applyBorder="1" applyAlignment="1" applyProtection="1">
      <alignment horizontal="center"/>
    </xf>
    <xf numFmtId="0" fontId="23" fillId="13" borderId="49" xfId="3" applyFont="1" applyFill="1" applyBorder="1" applyAlignment="1" applyProtection="1">
      <alignment horizontal="center" vertical="center"/>
    </xf>
    <xf numFmtId="174" fontId="24" fillId="4" borderId="42" xfId="3" applyNumberFormat="1" applyFont="1" applyFill="1" applyBorder="1" applyAlignment="1" applyProtection="1">
      <alignment horizontal="center" vertical="center"/>
    </xf>
    <xf numFmtId="175" fontId="24" fillId="4" borderId="42" xfId="3" applyNumberFormat="1" applyFont="1" applyFill="1" applyBorder="1" applyAlignment="1" applyProtection="1">
      <alignment horizontal="center" vertical="center"/>
    </xf>
    <xf numFmtId="176" fontId="24" fillId="4" borderId="42" xfId="3" applyNumberFormat="1" applyFont="1" applyFill="1" applyBorder="1" applyAlignment="1" applyProtection="1">
      <alignment horizontal="center" vertical="center"/>
    </xf>
    <xf numFmtId="1" fontId="28" fillId="2" borderId="49" xfId="3" applyNumberFormat="1" applyFont="1" applyFill="1" applyBorder="1" applyAlignment="1" applyProtection="1">
      <alignment horizontal="center"/>
    </xf>
    <xf numFmtId="9" fontId="3" fillId="2" borderId="5" xfId="5" applyFon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right" vertical="center"/>
    </xf>
    <xf numFmtId="0" fontId="3" fillId="2" borderId="0" xfId="3" applyFill="1" applyAlignment="1" applyProtection="1">
      <alignment wrapText="1"/>
    </xf>
    <xf numFmtId="177" fontId="3" fillId="2" borderId="0" xfId="3" applyNumberFormat="1" applyFill="1" applyProtection="1"/>
    <xf numFmtId="9" fontId="3" fillId="2" borderId="0" xfId="3" applyNumberFormat="1" applyFill="1" applyAlignment="1" applyProtection="1">
      <alignment horizontal="center"/>
    </xf>
    <xf numFmtId="2" fontId="3" fillId="2" borderId="5" xfId="3" applyNumberFormat="1" applyFill="1" applyBorder="1" applyAlignment="1" applyProtection="1">
      <alignment horizontal="center"/>
    </xf>
    <xf numFmtId="0" fontId="13" fillId="4" borderId="13" xfId="3" applyFont="1" applyFill="1" applyBorder="1" applyAlignment="1" applyProtection="1">
      <alignment horizontal="left" vertical="center"/>
    </xf>
    <xf numFmtId="0" fontId="13" fillId="4" borderId="50" xfId="3" applyFont="1" applyFill="1" applyBorder="1" applyAlignment="1" applyProtection="1">
      <alignment horizontal="center" vertical="center" wrapText="1"/>
    </xf>
    <xf numFmtId="0" fontId="3" fillId="4" borderId="5" xfId="3" applyFill="1" applyBorder="1" applyAlignment="1" applyProtection="1">
      <alignment horizontal="center"/>
    </xf>
    <xf numFmtId="9" fontId="30" fillId="15" borderId="51" xfId="4" applyNumberFormat="1" applyFont="1" applyFill="1" applyBorder="1" applyAlignment="1">
      <alignment horizontal="center" vertical="center" wrapText="1" readingOrder="1"/>
    </xf>
    <xf numFmtId="0" fontId="31" fillId="15" borderId="51" xfId="4" applyFont="1" applyFill="1" applyBorder="1" applyAlignment="1">
      <alignment horizontal="center" vertical="center" wrapText="1" readingOrder="1"/>
    </xf>
    <xf numFmtId="0" fontId="32" fillId="2" borderId="0" xfId="3" applyFont="1" applyFill="1" applyAlignment="1" applyProtection="1">
      <alignment horizontal="center"/>
    </xf>
    <xf numFmtId="0" fontId="0" fillId="0" borderId="0" xfId="0" applyBorder="1"/>
    <xf numFmtId="0" fontId="0" fillId="0" borderId="47" xfId="0" applyBorder="1"/>
    <xf numFmtId="2" fontId="3" fillId="3" borderId="5" xfId="3" applyNumberFormat="1" applyFont="1" applyFill="1" applyBorder="1" applyAlignment="1" applyProtection="1">
      <alignment horizontal="center" vertical="center"/>
    </xf>
    <xf numFmtId="168" fontId="3" fillId="3" borderId="5" xfId="3" applyNumberFormat="1" applyFont="1" applyFill="1" applyBorder="1" applyAlignment="1" applyProtection="1">
      <alignment horizontal="center" vertical="center"/>
    </xf>
    <xf numFmtId="0" fontId="33" fillId="3" borderId="5" xfId="3" applyFont="1" applyFill="1" applyBorder="1" applyAlignment="1" applyProtection="1">
      <alignment horizontal="center" vertical="center"/>
    </xf>
    <xf numFmtId="0" fontId="8" fillId="3" borderId="5" xfId="3" applyFont="1" applyFill="1" applyBorder="1" applyAlignment="1" applyProtection="1">
      <alignment horizontal="center" vertical="center"/>
    </xf>
    <xf numFmtId="0" fontId="0" fillId="0" borderId="0" xfId="0" applyAlignment="1">
      <alignment vertical="top"/>
    </xf>
    <xf numFmtId="0" fontId="34" fillId="16" borderId="5" xfId="0" applyFont="1" applyFill="1" applyBorder="1" applyAlignment="1">
      <alignment horizontal="center" vertical="top"/>
    </xf>
    <xf numFmtId="0" fontId="34" fillId="16" borderId="5" xfId="0" applyFont="1" applyFill="1" applyBorder="1" applyAlignment="1">
      <alignment horizontal="center"/>
    </xf>
    <xf numFmtId="178" fontId="34" fillId="16" borderId="5" xfId="0" applyNumberFormat="1" applyFont="1" applyFill="1" applyBorder="1" applyAlignment="1">
      <alignment horizontal="center"/>
    </xf>
    <xf numFmtId="0" fontId="0" fillId="16" borderId="5" xfId="0" applyFill="1" applyBorder="1"/>
    <xf numFmtId="0" fontId="34" fillId="16" borderId="5" xfId="0" applyFont="1" applyFill="1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21" fillId="8" borderId="20" xfId="4" applyFont="1" applyFill="1" applyBorder="1" applyAlignment="1" applyProtection="1">
      <alignment horizontal="center" vertical="center"/>
      <protection locked="0"/>
    </xf>
    <xf numFmtId="0" fontId="21" fillId="8" borderId="19" xfId="4" applyFont="1" applyFill="1" applyBorder="1" applyAlignment="1" applyProtection="1">
      <alignment horizontal="center" vertical="center"/>
      <protection locked="0"/>
    </xf>
    <xf numFmtId="0" fontId="21" fillId="8" borderId="18" xfId="4" applyFont="1" applyFill="1" applyBorder="1" applyAlignment="1" applyProtection="1">
      <alignment horizontal="center" vertical="center"/>
      <protection locked="0"/>
    </xf>
    <xf numFmtId="0" fontId="21" fillId="12" borderId="20" xfId="4" applyFont="1" applyFill="1" applyBorder="1" applyAlignment="1">
      <alignment horizontal="center"/>
    </xf>
    <xf numFmtId="0" fontId="21" fillId="12" borderId="19" xfId="4" applyFont="1" applyFill="1" applyBorder="1" applyAlignment="1">
      <alignment horizontal="center"/>
    </xf>
    <xf numFmtId="0" fontId="21" fillId="12" borderId="18" xfId="4" applyFont="1" applyFill="1" applyBorder="1" applyAlignment="1">
      <alignment horizontal="center"/>
    </xf>
    <xf numFmtId="0" fontId="26" fillId="2" borderId="47" xfId="3" applyFont="1" applyFill="1" applyBorder="1" applyAlignment="1" applyProtection="1">
      <alignment horizontal="center" vertical="center" wrapText="1"/>
    </xf>
    <xf numFmtId="0" fontId="26" fillId="2" borderId="5" xfId="3" applyFont="1" applyFill="1" applyBorder="1" applyAlignment="1" applyProtection="1">
      <alignment horizontal="center" vertical="center" wrapText="1"/>
    </xf>
    <xf numFmtId="0" fontId="26" fillId="2" borderId="7" xfId="3" applyFont="1" applyFill="1" applyBorder="1" applyAlignment="1" applyProtection="1">
      <alignment horizontal="center" vertical="center" wrapText="1"/>
    </xf>
    <xf numFmtId="0" fontId="29" fillId="14" borderId="20" xfId="3" applyFont="1" applyFill="1" applyBorder="1" applyAlignment="1" applyProtection="1">
      <alignment horizontal="center"/>
    </xf>
    <xf numFmtId="0" fontId="29" fillId="14" borderId="19" xfId="3" applyFont="1" applyFill="1" applyBorder="1" applyAlignment="1" applyProtection="1">
      <alignment horizontal="center"/>
    </xf>
    <xf numFmtId="0" fontId="29" fillId="14" borderId="18" xfId="3" applyFont="1" applyFill="1" applyBorder="1" applyAlignment="1" applyProtection="1">
      <alignment horizontal="center"/>
    </xf>
    <xf numFmtId="0" fontId="3" fillId="4" borderId="13" xfId="3" applyFill="1" applyBorder="1" applyAlignment="1" applyProtection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0" fontId="14" fillId="0" borderId="13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1" xfId="0" applyFill="1" applyBorder="1" applyAlignment="1">
      <alignment horizontal="center"/>
    </xf>
  </cellXfs>
  <cellStyles count="6">
    <cellStyle name="Comma" xfId="1" builtinId="3"/>
    <cellStyle name="Normal" xfId="0" builtinId="0"/>
    <cellStyle name="Normal 12" xfId="4" xr:uid="{0A264921-E312-41F5-8D73-9C7F661010F8}"/>
    <cellStyle name="Normal 13 3 2" xfId="3" xr:uid="{8C14D436-28F7-4A17-BB09-319968CD34EA}"/>
    <cellStyle name="Percent" xfId="2" builtinId="5"/>
    <cellStyle name="Percent 2" xfId="5" xr:uid="{D0F06A35-5AB9-4225-B1AB-1F3F173AF50F}"/>
  </cellStyles>
  <dxfs count="6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indexed="8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Efficacy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5CB-4F03-BAC8-D73FBD84C0B8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5CB-4F03-BAC8-D73FBD84C0B8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5CB-4F03-BAC8-D73FBD84C0B8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5CB-4F03-BAC8-D73FBD84C0B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5CB-4F03-BAC8-D73FBD84C0B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Efficacy!$D$2:$H$7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Efficacy!$D$281:$H$281</c:f>
              <c:numCache>
                <c:formatCode>0%</c:formatCode>
                <c:ptCount val="5"/>
                <c:pt idx="0">
                  <c:v>1.7921146953405017E-2</c:v>
                </c:pt>
                <c:pt idx="1">
                  <c:v>9.6774193548387094E-2</c:v>
                </c:pt>
                <c:pt idx="2">
                  <c:v>0.54121863799283154</c:v>
                </c:pt>
                <c:pt idx="3">
                  <c:v>0.25448028673835127</c:v>
                </c:pt>
                <c:pt idx="4">
                  <c:v>8.9605734767025089E-2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CB-4F03-BAC8-D73FBD84C0B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Safety &amp;</a:t>
            </a:r>
            <a:r>
              <a:rPr lang="en-US" baseline="0"/>
              <a:t> Tolerability</a:t>
            </a:r>
            <a:r>
              <a:rPr lang="en-US"/>
              <a:t>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98-4D3C-BFF7-1900357B1901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98-4D3C-BFF7-1900357B1901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898-4D3C-BFF7-1900357B1901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898-4D3C-BFF7-1900357B190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898-4D3C-BFF7-1900357B190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'S&amp;T'!$D$2:$H$7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'S&amp;T'!$D$281:$H$281</c:f>
              <c:numCache>
                <c:formatCode>0%</c:formatCode>
                <c:ptCount val="5"/>
                <c:pt idx="0">
                  <c:v>2.0408163265306121E-2</c:v>
                </c:pt>
                <c:pt idx="1">
                  <c:v>0.10204081632653061</c:v>
                </c:pt>
                <c:pt idx="2">
                  <c:v>0.53469387755102038</c:v>
                </c:pt>
                <c:pt idx="3">
                  <c:v>0.22040816326530613</c:v>
                </c:pt>
                <c:pt idx="4">
                  <c:v>0.12244897959183673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98-4D3C-BFF7-1900357B190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Delivery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87-4F08-B594-431852AECFFB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87-4F08-B594-431852AECFFB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87-4F08-B594-431852AECFFB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787-4F08-B594-431852AECFFB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787-4F08-B594-431852AECFF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Delivery!$D$2:$H$7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Delivery!$D$281:$H$281</c:f>
              <c:numCache>
                <c:formatCode>0%</c:formatCode>
                <c:ptCount val="5"/>
                <c:pt idx="0">
                  <c:v>5.7142857142857141E-2</c:v>
                </c:pt>
                <c:pt idx="1">
                  <c:v>0.1357142857142857</c:v>
                </c:pt>
                <c:pt idx="2">
                  <c:v>0.80714285714285716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87-4F08-B594-431852AECFF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Barrier Ratings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E77-4089-B5F2-20F52BC3E857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E77-4089-B5F2-20F52BC3E857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E77-4089-B5F2-20F52BC3E857}"/>
              </c:ext>
            </c:extLst>
          </c:dPt>
          <c:dPt>
            <c:idx val="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E77-4089-B5F2-20F52BC3E85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E77-4089-B5F2-20F52BC3E85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Barrier!$D$3:$H$8</c:f>
              <c:strCache>
                <c:ptCount val="5"/>
                <c:pt idx="0">
                  <c:v>Major disadvantage compared with the benchmark.</c:v>
                </c:pt>
                <c:pt idx="1">
                  <c:v>Minor disadvantage compared with the benchmark</c:v>
                </c:pt>
                <c:pt idx="2">
                  <c:v>Undifferentiated from the benchmark therapy</c:v>
                </c:pt>
                <c:pt idx="3">
                  <c:v>Minor improvement over the benchmark, or consensus is lacking, although some experts believe the therapy has an advantage</c:v>
                </c:pt>
                <c:pt idx="4">
                  <c:v>Major improvement and major competitive advantage over the benchmark on measure</c:v>
                </c:pt>
              </c:strCache>
            </c:strRef>
          </c:cat>
          <c:val>
            <c:numRef>
              <c:f>Barrier!$D$282:$H$282</c:f>
              <c:numCache>
                <c:formatCode>0%</c:formatCode>
                <c:ptCount val="5"/>
                <c:pt idx="0">
                  <c:v>0.14150943396226415</c:v>
                </c:pt>
                <c:pt idx="1">
                  <c:v>9.433962264150943E-3</c:v>
                </c:pt>
                <c:pt idx="2">
                  <c:v>0.78301886792452835</c:v>
                </c:pt>
                <c:pt idx="3">
                  <c:v>0</c:v>
                </c:pt>
                <c:pt idx="4">
                  <c:v>6.6037735849056603E-2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77-4089-B5F2-20F52BC3E85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021129642259289"/>
          <c:y val="0.21988250599109893"/>
          <c:w val="0.4803398846797694"/>
          <c:h val="0.66797398151318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500" b="1" i="1" baseline="0"/>
              <a:t>Efficacy / Acceptability Bivariable Plot</a:t>
            </a:r>
          </a:p>
        </c:rich>
      </c:tx>
      <c:layout>
        <c:manualLayout>
          <c:xMode val="edge"/>
          <c:yMode val="edge"/>
          <c:x val="7.2835291080418238E-2"/>
          <c:y val="1.885706793895239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436851643544545E-2"/>
          <c:y val="7.3591269841269846E-2"/>
          <c:w val="0.8888459255093113"/>
          <c:h val="0.880380421197350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4"/>
            <c:marker>
              <c:symbol val="circle"/>
              <c:size val="10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CBB-4BA8-9B49-47C10B2703D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Aripiprazole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BB-4BA8-9B49-47C10B2703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Quetiapine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BB-4BA8-9B49-47C10B2703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Olanzapine / Fluoxetine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BB-4BA8-9B49-47C10B2703D7}"/>
                </c:ext>
              </c:extLst>
            </c:dLbl>
            <c:dLbl>
              <c:idx val="3"/>
              <c:layout>
                <c:manualLayout>
                  <c:x val="-8.3333333333333301E-2"/>
                  <c:y val="-3.048780487804880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Bupropion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BB-4BA8-9B49-47C10B2703D7}"/>
                </c:ext>
              </c:extLst>
            </c:dLbl>
            <c:dLbl>
              <c:idx val="4"/>
              <c:layout>
                <c:manualLayout>
                  <c:x val="-0.21626984126984128"/>
                  <c:y val="-6.91056910569105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Brexpiprazole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BB-4BA8-9B49-47C10B2703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Trazodone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CBB-4BA8-9B49-47C10B2703D7}"/>
                </c:ext>
              </c:extLst>
            </c:dLbl>
            <c:dLbl>
              <c:idx val="6"/>
              <c:layout>
                <c:manualLayout>
                  <c:x val="0"/>
                  <c:y val="-4.0650406504065045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Cariprazine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BB-4BA8-9B49-47C10B2703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ALKS-5461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BB-4BA8-9B49-47C10B2703D7}"/>
                </c:ext>
              </c:extLst>
            </c:dLbl>
            <c:dLbl>
              <c:idx val="8"/>
              <c:layout>
                <c:manualLayout>
                  <c:x val="-5.3571428571428714E-2"/>
                  <c:y val="-3.0487804878048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Esketamine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BB-4BA8-9B49-47C10B2703D7}"/>
                </c:ext>
              </c:extLst>
            </c:dLbl>
            <c:dLbl>
              <c:idx val="9"/>
              <c:layout>
                <c:manualLayout>
                  <c:x val="-9.5238095238095316E-2"/>
                  <c:y val="3.0487804878048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Rapastinel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CBB-4BA8-9B49-47C10B2703D7}"/>
                </c:ext>
              </c:extLst>
            </c:dLbl>
            <c:dLbl>
              <c:idx val="10"/>
              <c:layout>
                <c:manualLayout>
                  <c:x val="0"/>
                  <c:y val="-2.2357723577235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AXS-05 (ATAD)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BB-4BA8-9B49-47C10B2703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AV-101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BB-4BA8-9B49-47C10B2703D7}"/>
                </c:ext>
              </c:extLst>
            </c:dLbl>
            <c:dLbl>
              <c:idx val="12"/>
              <c:layout>
                <c:manualLayout>
                  <c:x val="-9.3253968253968256E-2"/>
                  <c:y val="-2.845528455284552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JNJ-67953964 (KOR)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BB-4BA8-9B49-47C10B2703D7}"/>
                </c:ext>
              </c:extLst>
            </c:dLbl>
            <c:dLbl>
              <c:idx val="13"/>
              <c:layout>
                <c:manualLayout>
                  <c:x val="-0.18253968253968253"/>
                  <c:y val="-2.032520325203289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REL-1017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CBB-4BA8-9B49-47C10B2703D7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rgbClr val="FF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rgbClr val="FF0000"/>
                        </a:solidFill>
                      </a:rPr>
                      <a:t>Seltorexant (OX2)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CBB-4BA8-9B49-47C10B2703D7}"/>
                </c:ext>
              </c:extLst>
            </c:dLbl>
            <c:dLbl>
              <c:idx val="15"/>
              <c:layout>
                <c:manualLayout>
                  <c:x val="3.968253968253968E-3"/>
                  <c:y val="6.0975609756097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S-47445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CBB-4BA8-9B49-47C10B2703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TAK-653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CBB-4BA8-9B49-47C10B2703D7}"/>
                </c:ext>
              </c:extLst>
            </c:dLbl>
            <c:dLbl>
              <c:idx val="17"/>
              <c:layout>
                <c:manualLayout>
                  <c:x val="-0.15277777777777785"/>
                  <c:y val="-1.422764227642283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Sirukumab (IL6)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CBB-4BA8-9B49-47C10B2703D7}"/>
                </c:ext>
              </c:extLst>
            </c:dLbl>
            <c:dLbl>
              <c:idx val="18"/>
              <c:layout>
                <c:manualLayout>
                  <c:x val="-9.5238095238095233E-2"/>
                  <c:y val="-3.86178861788617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FAAH in Anxious Distress (FAAH)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CBB-4BA8-9B49-47C10B2703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AGN241751 (NMDA)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CBB-4BA8-9B49-47C10B2703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mGluNAM (mGluNAM)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CBB-4BA8-9B49-47C10B2703D7}"/>
                </c:ext>
              </c:extLst>
            </c:dLbl>
            <c:dLbl>
              <c:idx val="21"/>
              <c:layout>
                <c:manualLayout>
                  <c:x val="-7.275048233154282E-17"/>
                  <c:y val="-2.64227642276422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Orexin1 (Orexin1)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CBB-4BA8-9B49-47C10B2703D7}"/>
                </c:ext>
              </c:extLst>
            </c:dLbl>
            <c:dLbl>
              <c:idx val="22"/>
              <c:layout>
                <c:manualLayout>
                  <c:x val="-6.9444444444444517E-2"/>
                  <c:y val="-3.0487804878048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P2X7 (P2X7)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CBB-4BA8-9B49-47C10B2703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AMPAR (AMPA)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CBB-4BA8-9B49-47C10B2703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NR2B C/N (NR2B)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CBB-4BA8-9B49-47C10B2703D7}"/>
                </c:ext>
              </c:extLst>
            </c:dLbl>
            <c:dLbl>
              <c:idx val="25"/>
              <c:layout>
                <c:manualLayout>
                  <c:x val="-0.19246031746031747"/>
                  <c:y val="-2.2357723577235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Pimavanserin (AAPS)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CBB-4BA8-9B49-47C10B2703D7}"/>
                </c:ext>
              </c:extLst>
            </c:dLbl>
            <c:dLbl>
              <c:idx val="26"/>
              <c:layout>
                <c:manualLayout>
                  <c:x val="-0.19642857142857145"/>
                  <c:y val="2.032520325203252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Btrx246040 (OPRL1)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CBB-4BA8-9B49-47C10B2703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N05C0 Tranquillisers (TRANQ)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CBB-4BA8-9B49-47C10B2703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Sage217 (GABAA)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CBB-4BA8-9B49-47C10B2703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'Efficacy Acceptability'!$F$61:$F$89</c:f>
              <c:numCache>
                <c:formatCode>0%</c:formatCode>
                <c:ptCount val="29"/>
                <c:pt idx="0">
                  <c:v>1</c:v>
                </c:pt>
                <c:pt idx="1">
                  <c:v>0.92836666666666667</c:v>
                </c:pt>
                <c:pt idx="2">
                  <c:v>0.73596666666666666</c:v>
                </c:pt>
                <c:pt idx="3">
                  <c:v>0.93113333333333326</c:v>
                </c:pt>
                <c:pt idx="4">
                  <c:v>1</c:v>
                </c:pt>
                <c:pt idx="5">
                  <c:v>0.70289999999999997</c:v>
                </c:pt>
                <c:pt idx="6">
                  <c:v>1.0366666666666666</c:v>
                </c:pt>
                <c:pt idx="7">
                  <c:v>1.2575333333333334</c:v>
                </c:pt>
                <c:pt idx="8">
                  <c:v>1.5027666666666664</c:v>
                </c:pt>
                <c:pt idx="9">
                  <c:v>1</c:v>
                </c:pt>
                <c:pt idx="10">
                  <c:v>1</c:v>
                </c:pt>
                <c:pt idx="11">
                  <c:v>1.2289000000000001</c:v>
                </c:pt>
                <c:pt idx="12">
                  <c:v>1.1009666666666666</c:v>
                </c:pt>
                <c:pt idx="13">
                  <c:v>1.1223333333333334</c:v>
                </c:pt>
                <c:pt idx="14">
                  <c:v>1.2759</c:v>
                </c:pt>
                <c:pt idx="15">
                  <c:v>1.1454666666666669</c:v>
                </c:pt>
                <c:pt idx="16">
                  <c:v>1.1454666666666669</c:v>
                </c:pt>
                <c:pt idx="17">
                  <c:v>1.1335</c:v>
                </c:pt>
                <c:pt idx="18">
                  <c:v>0.99776666666666669</c:v>
                </c:pt>
                <c:pt idx="19">
                  <c:v>1</c:v>
                </c:pt>
                <c:pt idx="20">
                  <c:v>1.2763333333333335</c:v>
                </c:pt>
                <c:pt idx="21">
                  <c:v>1.226666666666667</c:v>
                </c:pt>
                <c:pt idx="22">
                  <c:v>1.1900000000000004</c:v>
                </c:pt>
                <c:pt idx="23">
                  <c:v>1.2034333333333334</c:v>
                </c:pt>
                <c:pt idx="24">
                  <c:v>1.3805999999999998</c:v>
                </c:pt>
                <c:pt idx="25">
                  <c:v>0.94983333333333331</c:v>
                </c:pt>
                <c:pt idx="26">
                  <c:v>1</c:v>
                </c:pt>
                <c:pt idx="27">
                  <c:v>0.77526666666666655</c:v>
                </c:pt>
                <c:pt idx="28">
                  <c:v>0.93119810201660735</c:v>
                </c:pt>
              </c:numCache>
            </c:numRef>
          </c:xVal>
          <c:yVal>
            <c:numRef>
              <c:f>'Efficacy Acceptability'!$G$61:$G$89</c:f>
              <c:numCache>
                <c:formatCode>0%</c:formatCode>
                <c:ptCount val="29"/>
                <c:pt idx="0">
                  <c:v>1</c:v>
                </c:pt>
                <c:pt idx="1">
                  <c:v>0.89711639933399556</c:v>
                </c:pt>
                <c:pt idx="2">
                  <c:v>0.66379801633990143</c:v>
                </c:pt>
                <c:pt idx="3">
                  <c:v>1.171175822419656</c:v>
                </c:pt>
                <c:pt idx="4">
                  <c:v>1.0266105812608592</c:v>
                </c:pt>
                <c:pt idx="5">
                  <c:v>1.0258082521776171</c:v>
                </c:pt>
                <c:pt idx="6">
                  <c:v>1.0232539930636817</c:v>
                </c:pt>
                <c:pt idx="7">
                  <c:v>0.94297603203593039</c:v>
                </c:pt>
                <c:pt idx="8">
                  <c:v>0.97343988140264071</c:v>
                </c:pt>
                <c:pt idx="9">
                  <c:v>0.95908171821414123</c:v>
                </c:pt>
                <c:pt idx="10">
                  <c:v>1.0312246683695041</c:v>
                </c:pt>
                <c:pt idx="11">
                  <c:v>1.100501269212764</c:v>
                </c:pt>
                <c:pt idx="12">
                  <c:v>1.1724243406033847</c:v>
                </c:pt>
                <c:pt idx="13">
                  <c:v>1.100501269212764</c:v>
                </c:pt>
                <c:pt idx="14">
                  <c:v>1.2017666613619489</c:v>
                </c:pt>
                <c:pt idx="15">
                  <c:v>0.97008961015802508</c:v>
                </c:pt>
                <c:pt idx="16">
                  <c:v>0.92330618337565329</c:v>
                </c:pt>
                <c:pt idx="17">
                  <c:v>0.96780196318708378</c:v>
                </c:pt>
                <c:pt idx="18">
                  <c:v>1.1232530296446974</c:v>
                </c:pt>
                <c:pt idx="19">
                  <c:v>1.0816723707682794</c:v>
                </c:pt>
                <c:pt idx="20">
                  <c:v>1.1434258751662101</c:v>
                </c:pt>
                <c:pt idx="21">
                  <c:v>1.1434258751662101</c:v>
                </c:pt>
                <c:pt idx="22">
                  <c:v>1.1434258751662101</c:v>
                </c:pt>
                <c:pt idx="23">
                  <c:v>1.0498590216014663</c:v>
                </c:pt>
                <c:pt idx="24">
                  <c:v>1.0966424483838382</c:v>
                </c:pt>
                <c:pt idx="25">
                  <c:v>1.0266105812608592</c:v>
                </c:pt>
                <c:pt idx="26">
                  <c:v>1</c:v>
                </c:pt>
                <c:pt idx="27">
                  <c:v>0.95797323849684857</c:v>
                </c:pt>
                <c:pt idx="28">
                  <c:v>0.87524041522318596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BB-4BA8-9B49-47C10B270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135583"/>
        <c:axId val="1562313775"/>
      </c:scatterChart>
      <c:valAx>
        <c:axId val="1813135583"/>
        <c:scaling>
          <c:orientation val="minMax"/>
          <c:min val="0.65000000000000013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Lower                                                                                                                                 Higher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Efficacy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crossAx val="1562313775"/>
        <c:crosses val="autoZero"/>
        <c:crossBetween val="midCat"/>
        <c:majorUnit val="9.0000000000000024E-2"/>
      </c:valAx>
      <c:valAx>
        <c:axId val="1562313775"/>
        <c:scaling>
          <c:orientation val="minMax"/>
          <c:max val="1.25"/>
          <c:min val="0.6100000000000001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 i="1" baseline="0"/>
                  <a:t>Acceptability</a:t>
                </a:r>
              </a:p>
              <a:p>
                <a:pPr>
                  <a:defRPr sz="1100" b="1" i="1"/>
                </a:pPr>
                <a:r>
                  <a:rPr lang="en-US" sz="1100" b="1" i="1" baseline="0"/>
                  <a:t>Lower                                                                                                                         Higher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crossAx val="1813135583"/>
        <c:crosses val="autoZero"/>
        <c:crossBetween val="midCat"/>
        <c:majorUnit val="6.4000000000000015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9EF076-3322-4ACC-A6BF-63618ADAA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5625A2-8061-4C5B-B371-3E7CF852EA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317500</xdr:colOff>
      <xdr:row>43</xdr:row>
      <xdr:rowOff>69850</xdr:rowOff>
    </xdr:from>
    <xdr:to>
      <xdr:col>1</xdr:col>
      <xdr:colOff>6441309</xdr:colOff>
      <xdr:row>54</xdr:row>
      <xdr:rowOff>180690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F43CCC-6828-4452-B1C3-74BE41A3B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7100" y="7988300"/>
          <a:ext cx="294509" cy="2136490"/>
        </a:xfrm>
        <a:prstGeom prst="rect">
          <a:avLst/>
        </a:prstGeom>
      </xdr:spPr>
    </xdr:pic>
    <xdr:clientData/>
  </xdr:twoCellAnchor>
  <xdr:twoCellAnchor>
    <xdr:from>
      <xdr:col>1</xdr:col>
      <xdr:colOff>304800</xdr:colOff>
      <xdr:row>76</xdr:row>
      <xdr:rowOff>118037</xdr:rowOff>
    </xdr:from>
    <xdr:to>
      <xdr:col>1</xdr:col>
      <xdr:colOff>6422117</xdr:colOff>
      <xdr:row>100</xdr:row>
      <xdr:rowOff>43759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B17F9E4-089A-4D37-8FDB-454406C92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0" y="14113437"/>
          <a:ext cx="307067" cy="4345322"/>
        </a:xfrm>
        <a:prstGeom prst="rect">
          <a:avLst/>
        </a:prstGeom>
      </xdr:spPr>
    </xdr:pic>
    <xdr:clientData/>
  </xdr:twoCellAnchor>
  <xdr:twoCellAnchor>
    <xdr:from>
      <xdr:col>1</xdr:col>
      <xdr:colOff>317500</xdr:colOff>
      <xdr:row>110</xdr:row>
      <xdr:rowOff>101686</xdr:rowOff>
    </xdr:from>
    <xdr:to>
      <xdr:col>1</xdr:col>
      <xdr:colOff>6352212</xdr:colOff>
      <xdr:row>136</xdr:row>
      <xdr:rowOff>100783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980168-4F3C-4F36-AE1E-7FC32EC6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7100" y="20358186"/>
          <a:ext cx="294312" cy="4786997"/>
        </a:xfrm>
        <a:prstGeom prst="rect">
          <a:avLst/>
        </a:prstGeom>
      </xdr:spPr>
    </xdr:pic>
    <xdr:clientData/>
  </xdr:twoCellAnchor>
  <xdr:twoCellAnchor>
    <xdr:from>
      <xdr:col>1</xdr:col>
      <xdr:colOff>69850</xdr:colOff>
      <xdr:row>144</xdr:row>
      <xdr:rowOff>173890</xdr:rowOff>
    </xdr:from>
    <xdr:to>
      <xdr:col>1</xdr:col>
      <xdr:colOff>6267450</xdr:colOff>
      <xdr:row>165</xdr:row>
      <xdr:rowOff>180795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391FC34-58C4-494E-B9EB-C5ABF81D4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9450" y="26691490"/>
          <a:ext cx="539750" cy="3874055"/>
        </a:xfrm>
        <a:prstGeom prst="rect">
          <a:avLst/>
        </a:prstGeom>
      </xdr:spPr>
    </xdr:pic>
    <xdr:clientData/>
  </xdr:twoCellAnchor>
  <xdr:twoCellAnchor>
    <xdr:from>
      <xdr:col>1</xdr:col>
      <xdr:colOff>12701</xdr:colOff>
      <xdr:row>179</xdr:row>
      <xdr:rowOff>2440</xdr:rowOff>
    </xdr:from>
    <xdr:to>
      <xdr:col>1</xdr:col>
      <xdr:colOff>6267575</xdr:colOff>
      <xdr:row>195</xdr:row>
      <xdr:rowOff>101600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FA323EF-C478-4D7A-BF82-CCCDC06B7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2301" y="32965290"/>
          <a:ext cx="597024" cy="304556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212</xdr:row>
      <xdr:rowOff>127001</xdr:rowOff>
    </xdr:from>
    <xdr:to>
      <xdr:col>1</xdr:col>
      <xdr:colOff>6394843</xdr:colOff>
      <xdr:row>228</xdr:row>
      <xdr:rowOff>190501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9570CEE-08E2-4484-8638-ED20566CB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39166801"/>
          <a:ext cx="1105293" cy="3003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282</xdr:row>
      <xdr:rowOff>127000</xdr:rowOff>
    </xdr:from>
    <xdr:to>
      <xdr:col>7</xdr:col>
      <xdr:colOff>1574800</xdr:colOff>
      <xdr:row>306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AA1892-82F3-4360-8524-F33024785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283</xdr:row>
      <xdr:rowOff>127000</xdr:rowOff>
    </xdr:from>
    <xdr:to>
      <xdr:col>7</xdr:col>
      <xdr:colOff>1574800</xdr:colOff>
      <xdr:row>307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608048-F911-4CEE-8079-D9BF751B1C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184150</xdr:colOff>
      <xdr:row>0</xdr:row>
      <xdr:rowOff>209548</xdr:rowOff>
    </xdr:from>
    <xdr:to>
      <xdr:col>22</xdr:col>
      <xdr:colOff>444500</xdr:colOff>
      <xdr:row>55</xdr:row>
      <xdr:rowOff>82548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3A4479-3C38-42DB-8EE2-3A56EA458F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mnijs1_its_jnj_com/Documents/02.%20Disease%20Areas/Mood/Strategy%20Update/aMDD%20MM%20v1.9-U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mnijs1_its_jnj_com/Documents/02.%20Disease%20Areas/Mood/Strategy%20Update/SPAIN%20TEST%20FILE%20BASS%20LOE%20CORRECTED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"/>
      <sheetName val="ChangeEvent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Asset Bass Prep"/>
      <sheetName val="Class Bass Prep"/>
    </sheetNames>
    <sheetDataSet>
      <sheetData sheetId="0">
        <row r="1">
          <cell r="X1">
            <v>3</v>
          </cell>
        </row>
        <row r="3">
          <cell r="C3">
            <v>2</v>
          </cell>
        </row>
      </sheetData>
      <sheetData sheetId="1" refreshError="1"/>
      <sheetData sheetId="2" refreshError="1"/>
      <sheetData sheetId="3">
        <row r="10">
          <cell r="E10" t="str">
            <v>Trazodone</v>
          </cell>
        </row>
      </sheetData>
      <sheetData sheetId="4">
        <row r="10">
          <cell r="E10" t="str">
            <v>AMPAR</v>
          </cell>
        </row>
      </sheetData>
      <sheetData sheetId="5">
        <row r="10">
          <cell r="E10" t="str">
            <v>AGN241751</v>
          </cell>
        </row>
      </sheetData>
      <sheetData sheetId="6">
        <row r="11">
          <cell r="D11" t="str">
            <v>Esketamine</v>
          </cell>
        </row>
      </sheetData>
      <sheetData sheetId="7" refreshError="1"/>
      <sheetData sheetId="8"/>
      <sheetData sheetId="9" refreshError="1"/>
      <sheetData sheetId="10" refreshError="1"/>
      <sheetData sheetId="11">
        <row r="2">
          <cell r="F2" t="str">
            <v>AAPS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TRS"/>
      <sheetName val="Assets"/>
      <sheetName val="Conjoint"/>
      <sheetName val="Efficacy"/>
      <sheetName val="Safety"/>
      <sheetName val="Delivery"/>
      <sheetName val="Barrier"/>
      <sheetName val="Efficacy Acceptability"/>
      <sheetName val="RiskTemplate_Outputs"/>
      <sheetName val="Asset Bass"/>
      <sheetName val="Class Bass"/>
      <sheetName val="List"/>
      <sheetName val="OrderOfEntry Class"/>
      <sheetName val="OrderOfEntry Asset"/>
      <sheetName val="Order of Entry Settings"/>
      <sheetName val="Order of Entry Outputs"/>
      <sheetName val="Profile Model"/>
      <sheetName val="Combined Model"/>
      <sheetName val="Target Share Output"/>
      <sheetName val="LOE"/>
      <sheetName val="Erosion Example"/>
      <sheetName val="Asset Bass Prep"/>
      <sheetName val="Class Bass Prep"/>
    </sheetNames>
    <sheetDataSet>
      <sheetData sheetId="0"/>
      <sheetData sheetId="1">
        <row r="1">
          <cell r="Z1">
            <v>3</v>
          </cell>
        </row>
        <row r="3">
          <cell r="C3">
            <v>2</v>
          </cell>
        </row>
      </sheetData>
      <sheetData sheetId="2"/>
      <sheetData sheetId="3">
        <row r="10">
          <cell r="E10" t="str">
            <v>Trazodone</v>
          </cell>
        </row>
      </sheetData>
      <sheetData sheetId="4">
        <row r="10">
          <cell r="E10" t="str">
            <v>AMPAR</v>
          </cell>
        </row>
      </sheetData>
      <sheetData sheetId="5">
        <row r="10">
          <cell r="E10" t="str">
            <v>AGN241751</v>
          </cell>
        </row>
      </sheetData>
      <sheetData sheetId="6">
        <row r="11">
          <cell r="J11" t="str">
            <v>Esketamine</v>
          </cell>
        </row>
      </sheetData>
      <sheetData sheetId="7"/>
      <sheetData sheetId="8"/>
      <sheetData sheetId="9"/>
      <sheetData sheetId="10"/>
      <sheetData sheetId="11">
        <row r="2">
          <cell r="F2" t="str">
            <v>AAPS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7">
          <cell r="F7">
            <v>0</v>
          </cell>
        </row>
      </sheetData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AF281-41B7-4F4D-A43E-8E88F067BD1D}">
  <sheetPr codeName="Sheet10"/>
  <dimension ref="A1:CA61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14" sqref="AC14"/>
    </sheetView>
  </sheetViews>
  <sheetFormatPr defaultRowHeight="14.5" x14ac:dyDescent="0.35"/>
  <cols>
    <col min="1" max="1" width="21.1796875" bestFit="1" customWidth="1"/>
    <col min="2" max="2" width="7.54296875" bestFit="1" customWidth="1"/>
    <col min="3" max="37" width="4.54296875" customWidth="1"/>
    <col min="38" max="38" width="3" bestFit="1" customWidth="1"/>
    <col min="39" max="39" width="3.1796875" bestFit="1" customWidth="1"/>
    <col min="40" max="42" width="2.81640625" bestFit="1" customWidth="1"/>
    <col min="43" max="43" width="2.81640625" customWidth="1"/>
    <col min="44" max="44" width="3.1796875" bestFit="1" customWidth="1"/>
    <col min="45" max="45" width="4" bestFit="1" customWidth="1"/>
    <col min="46" max="48" width="3.453125" bestFit="1" customWidth="1"/>
    <col min="49" max="49" width="2.81640625" bestFit="1" customWidth="1"/>
    <col min="50" max="50" width="2.81640625" customWidth="1"/>
    <col min="51" max="51" width="3.453125" bestFit="1" customWidth="1"/>
    <col min="52" max="56" width="4" bestFit="1" customWidth="1"/>
    <col min="57" max="57" width="4" customWidth="1"/>
    <col min="58" max="63" width="4" bestFit="1" customWidth="1"/>
    <col min="64" max="64" width="4" customWidth="1"/>
    <col min="65" max="65" width="4" bestFit="1" customWidth="1"/>
    <col min="66" max="70" width="3.7265625" bestFit="1" customWidth="1"/>
    <col min="71" max="71" width="3.7265625" customWidth="1"/>
    <col min="72" max="77" width="3.7265625" bestFit="1" customWidth="1"/>
    <col min="78" max="78" width="3.7265625" customWidth="1"/>
    <col min="79" max="79" width="3.7265625" bestFit="1" customWidth="1"/>
  </cols>
  <sheetData>
    <row r="1" spans="1:79" x14ac:dyDescent="0.35">
      <c r="A1" s="159"/>
      <c r="B1" s="159"/>
      <c r="C1" s="161" t="s">
        <v>148</v>
      </c>
      <c r="D1" s="161"/>
      <c r="E1" s="161"/>
      <c r="F1" s="161"/>
      <c r="G1" s="161"/>
      <c r="H1" s="161"/>
      <c r="I1" s="161"/>
      <c r="J1" s="161" t="s">
        <v>147</v>
      </c>
      <c r="K1" s="161"/>
      <c r="L1" s="161"/>
      <c r="M1" s="161"/>
      <c r="N1" s="161"/>
      <c r="O1" s="161"/>
      <c r="P1" s="161"/>
      <c r="Q1" s="161" t="s">
        <v>298</v>
      </c>
      <c r="R1" s="161"/>
      <c r="S1" s="161"/>
      <c r="T1" s="161"/>
      <c r="U1" s="161"/>
      <c r="V1" s="161"/>
      <c r="W1" s="161"/>
      <c r="X1" s="161" t="s">
        <v>146</v>
      </c>
      <c r="Y1" s="161"/>
      <c r="Z1" s="161"/>
      <c r="AA1" s="161"/>
      <c r="AB1" s="161"/>
      <c r="AC1" s="161"/>
      <c r="AD1" s="161"/>
      <c r="AE1" s="161" t="s">
        <v>145</v>
      </c>
      <c r="AF1" s="161"/>
      <c r="AG1" s="161"/>
      <c r="AH1" s="161"/>
      <c r="AI1" s="161"/>
      <c r="AJ1" s="161"/>
      <c r="AK1" s="161"/>
      <c r="AL1" s="161" t="s">
        <v>136</v>
      </c>
      <c r="AM1" s="161"/>
      <c r="AN1" s="161"/>
      <c r="AO1" s="161"/>
      <c r="AP1" s="161"/>
      <c r="AQ1" s="161"/>
      <c r="AR1" s="161"/>
      <c r="AS1" s="161" t="s">
        <v>135</v>
      </c>
      <c r="AT1" s="161"/>
      <c r="AU1" s="161"/>
      <c r="AV1" s="161"/>
      <c r="AW1" s="161"/>
      <c r="AX1" s="161"/>
      <c r="AY1" s="161"/>
      <c r="AZ1" s="161" t="s">
        <v>139</v>
      </c>
      <c r="BA1" s="161"/>
      <c r="BB1" s="161"/>
      <c r="BC1" s="161"/>
      <c r="BD1" s="161"/>
      <c r="BE1" s="161"/>
      <c r="BF1" s="161"/>
      <c r="BG1" s="161" t="s">
        <v>138</v>
      </c>
      <c r="BH1" s="161"/>
      <c r="BI1" s="161"/>
      <c r="BJ1" s="161"/>
      <c r="BK1" s="161"/>
      <c r="BL1" s="161"/>
      <c r="BM1" s="161"/>
      <c r="BN1" s="161" t="s">
        <v>297</v>
      </c>
      <c r="BO1" s="161"/>
      <c r="BP1" s="161"/>
      <c r="BQ1" s="161"/>
      <c r="BR1" s="161"/>
      <c r="BS1" s="161"/>
      <c r="BT1" s="161"/>
      <c r="BU1" s="161" t="s">
        <v>296</v>
      </c>
      <c r="BV1" s="161"/>
      <c r="BW1" s="161"/>
      <c r="BX1" s="161"/>
      <c r="BY1" s="161"/>
      <c r="BZ1" s="161"/>
      <c r="CA1" s="161"/>
    </row>
    <row r="2" spans="1:79" x14ac:dyDescent="0.35">
      <c r="A2" s="159"/>
      <c r="B2" s="159"/>
      <c r="C2" s="157"/>
      <c r="D2" s="157"/>
      <c r="E2" s="157"/>
      <c r="F2" s="157"/>
      <c r="G2" s="157"/>
      <c r="H2" s="160"/>
      <c r="I2" s="157"/>
      <c r="J2" s="157"/>
      <c r="K2" s="157"/>
      <c r="L2" s="158">
        <v>12</v>
      </c>
      <c r="M2" s="158">
        <v>13</v>
      </c>
      <c r="N2" s="158">
        <v>13</v>
      </c>
      <c r="O2" s="158"/>
      <c r="P2" s="158">
        <v>0</v>
      </c>
      <c r="Q2" s="157"/>
      <c r="R2" s="157"/>
      <c r="S2" s="157"/>
      <c r="T2" s="157"/>
      <c r="U2" s="157"/>
      <c r="V2" s="160"/>
      <c r="W2" s="157"/>
      <c r="X2" s="157"/>
      <c r="Y2" s="157"/>
      <c r="Z2" s="157"/>
      <c r="AA2" s="157"/>
      <c r="AB2" s="157"/>
      <c r="AC2" s="160"/>
      <c r="AD2" s="157"/>
      <c r="AE2" s="157"/>
      <c r="AF2" s="157"/>
      <c r="AG2" s="157"/>
      <c r="AH2" s="157"/>
      <c r="AI2" s="157"/>
      <c r="AJ2" s="160"/>
      <c r="AK2" s="157"/>
      <c r="AL2" s="157"/>
      <c r="AM2" s="157"/>
      <c r="AN2" s="157"/>
      <c r="AO2" s="157"/>
      <c r="AP2" s="157"/>
      <c r="AQ2" s="160"/>
      <c r="AR2" s="157"/>
      <c r="AS2" s="157"/>
      <c r="AT2" s="157"/>
      <c r="AU2" s="157"/>
      <c r="AV2" s="157"/>
      <c r="AW2" s="157"/>
      <c r="AX2" s="160"/>
      <c r="AY2" s="157"/>
      <c r="AZ2" s="157"/>
      <c r="BA2" s="157"/>
      <c r="BB2" s="157"/>
      <c r="BC2" s="157"/>
      <c r="BD2" s="157"/>
      <c r="BE2" s="160"/>
      <c r="BF2" s="157"/>
      <c r="BG2" s="157"/>
      <c r="BH2" s="157"/>
      <c r="BI2" s="157"/>
      <c r="BJ2" s="157"/>
      <c r="BK2" s="157"/>
      <c r="BL2" s="160"/>
      <c r="BM2" s="157"/>
      <c r="BN2" s="157"/>
      <c r="BO2" s="157"/>
      <c r="BP2" s="157"/>
      <c r="BQ2" s="157"/>
      <c r="BR2" s="157"/>
      <c r="BS2" s="160"/>
      <c r="BT2" s="157"/>
      <c r="BU2" s="157"/>
      <c r="BV2" s="157"/>
      <c r="BW2" s="157"/>
      <c r="BX2" s="157"/>
      <c r="BY2" s="157"/>
      <c r="BZ2" s="160"/>
      <c r="CA2" s="157"/>
    </row>
    <row r="3" spans="1:79" s="155" customFormat="1" ht="28.5" customHeight="1" x14ac:dyDescent="0.35">
      <c r="A3" s="156" t="s">
        <v>295</v>
      </c>
      <c r="B3" s="156" t="s">
        <v>291</v>
      </c>
      <c r="C3" s="156" t="s">
        <v>5</v>
      </c>
      <c r="D3" s="156" t="s">
        <v>184</v>
      </c>
      <c r="E3" s="156" t="s">
        <v>183</v>
      </c>
      <c r="F3" s="156" t="s">
        <v>181</v>
      </c>
      <c r="G3" s="156" t="s">
        <v>182</v>
      </c>
      <c r="H3" s="156" t="s">
        <v>179</v>
      </c>
      <c r="I3" s="156" t="s">
        <v>180</v>
      </c>
      <c r="J3" s="156" t="s">
        <v>5</v>
      </c>
      <c r="K3" s="156" t="s">
        <v>184</v>
      </c>
      <c r="L3" s="156" t="s">
        <v>183</v>
      </c>
      <c r="M3" s="156" t="s">
        <v>181</v>
      </c>
      <c r="N3" s="156" t="s">
        <v>182</v>
      </c>
      <c r="O3" s="156" t="s">
        <v>179</v>
      </c>
      <c r="P3" s="156" t="s">
        <v>180</v>
      </c>
      <c r="Q3" s="156" t="s">
        <v>5</v>
      </c>
      <c r="R3" s="156" t="s">
        <v>184</v>
      </c>
      <c r="S3" s="156" t="s">
        <v>183</v>
      </c>
      <c r="T3" s="156" t="s">
        <v>181</v>
      </c>
      <c r="U3" s="156" t="s">
        <v>182</v>
      </c>
      <c r="V3" s="156" t="s">
        <v>179</v>
      </c>
      <c r="W3" s="156" t="s">
        <v>180</v>
      </c>
      <c r="X3" s="156" t="s">
        <v>5</v>
      </c>
      <c r="Y3" s="156" t="s">
        <v>184</v>
      </c>
      <c r="Z3" s="156" t="s">
        <v>183</v>
      </c>
      <c r="AA3" s="156" t="s">
        <v>181</v>
      </c>
      <c r="AB3" s="156" t="s">
        <v>182</v>
      </c>
      <c r="AC3" s="156" t="s">
        <v>179</v>
      </c>
      <c r="AD3" s="156" t="s">
        <v>180</v>
      </c>
      <c r="AE3" s="156" t="s">
        <v>5</v>
      </c>
      <c r="AF3" s="156" t="s">
        <v>184</v>
      </c>
      <c r="AG3" s="156" t="s">
        <v>183</v>
      </c>
      <c r="AH3" s="156" t="s">
        <v>181</v>
      </c>
      <c r="AI3" s="156" t="s">
        <v>182</v>
      </c>
      <c r="AJ3" s="156" t="s">
        <v>179</v>
      </c>
      <c r="AK3" s="156" t="s">
        <v>180</v>
      </c>
      <c r="AL3" s="156" t="s">
        <v>5</v>
      </c>
      <c r="AM3" s="156" t="s">
        <v>184</v>
      </c>
      <c r="AN3" s="156" t="s">
        <v>183</v>
      </c>
      <c r="AO3" s="156" t="s">
        <v>181</v>
      </c>
      <c r="AP3" s="156" t="s">
        <v>182</v>
      </c>
      <c r="AQ3" s="156" t="s">
        <v>179</v>
      </c>
      <c r="AR3" s="156" t="s">
        <v>180</v>
      </c>
      <c r="AS3" s="156" t="s">
        <v>5</v>
      </c>
      <c r="AT3" s="156" t="s">
        <v>184</v>
      </c>
      <c r="AU3" s="156" t="s">
        <v>183</v>
      </c>
      <c r="AV3" s="156" t="s">
        <v>181</v>
      </c>
      <c r="AW3" s="156" t="s">
        <v>182</v>
      </c>
      <c r="AX3" s="156" t="s">
        <v>179</v>
      </c>
      <c r="AY3" s="156" t="s">
        <v>180</v>
      </c>
      <c r="AZ3" s="156" t="s">
        <v>5</v>
      </c>
      <c r="BA3" s="156" t="s">
        <v>184</v>
      </c>
      <c r="BB3" s="156" t="s">
        <v>183</v>
      </c>
      <c r="BC3" s="156" t="s">
        <v>181</v>
      </c>
      <c r="BD3" s="156" t="s">
        <v>182</v>
      </c>
      <c r="BE3" s="156" t="s">
        <v>179</v>
      </c>
      <c r="BF3" s="156" t="s">
        <v>180</v>
      </c>
      <c r="BG3" s="156" t="s">
        <v>5</v>
      </c>
      <c r="BH3" s="156" t="s">
        <v>184</v>
      </c>
      <c r="BI3" s="156" t="s">
        <v>183</v>
      </c>
      <c r="BJ3" s="156" t="s">
        <v>181</v>
      </c>
      <c r="BK3" s="156" t="s">
        <v>182</v>
      </c>
      <c r="BL3" s="156" t="s">
        <v>179</v>
      </c>
      <c r="BM3" s="156" t="s">
        <v>180</v>
      </c>
      <c r="BN3" s="156" t="s">
        <v>5</v>
      </c>
      <c r="BO3" s="156" t="s">
        <v>184</v>
      </c>
      <c r="BP3" s="156" t="s">
        <v>183</v>
      </c>
      <c r="BQ3" s="156" t="s">
        <v>181</v>
      </c>
      <c r="BR3" s="156" t="s">
        <v>182</v>
      </c>
      <c r="BS3" s="156" t="s">
        <v>179</v>
      </c>
      <c r="BT3" s="156" t="s">
        <v>180</v>
      </c>
      <c r="BU3" s="156" t="s">
        <v>5</v>
      </c>
      <c r="BV3" s="156" t="s">
        <v>184</v>
      </c>
      <c r="BW3" s="156" t="s">
        <v>183</v>
      </c>
      <c r="BX3" s="156" t="s">
        <v>181</v>
      </c>
      <c r="BY3" s="156" t="s">
        <v>182</v>
      </c>
      <c r="BZ3" s="156" t="s">
        <v>179</v>
      </c>
      <c r="CA3" s="156" t="s">
        <v>180</v>
      </c>
    </row>
    <row r="4" spans="1:79" x14ac:dyDescent="0.35">
      <c r="A4" s="9" t="s">
        <v>70</v>
      </c>
      <c r="B4" s="9" t="s">
        <v>62</v>
      </c>
      <c r="C4" s="153">
        <v>2025</v>
      </c>
      <c r="D4" s="154">
        <f>C4+1</f>
        <v>2026</v>
      </c>
      <c r="E4" s="154">
        <f t="shared" ref="E4:G6" si="0">TRUNC($D4+$K4/12+L$2/12)</f>
        <v>2027</v>
      </c>
      <c r="F4" s="154">
        <f t="shared" si="0"/>
        <v>2027</v>
      </c>
      <c r="G4" s="154">
        <f t="shared" si="0"/>
        <v>2027</v>
      </c>
      <c r="H4" s="154">
        <f>C4+1</f>
        <v>2026</v>
      </c>
      <c r="I4" s="154">
        <f>TRUNC($D4+$K4/12+P$2/12)</f>
        <v>2026</v>
      </c>
      <c r="J4" s="153">
        <v>6</v>
      </c>
      <c r="K4" s="9">
        <v>3</v>
      </c>
      <c r="L4" s="154">
        <f t="shared" ref="L4:N6" si="1">IF((($D4+$K4/12+L$2/12)-TRUNC($D4+$K4/12+L$2/12))*12=0,1,(($D4+$K4/12+L$2/12)-TRUNC($D4+$K4/12+L$2/12))*12)</f>
        <v>3</v>
      </c>
      <c r="M4" s="154">
        <f t="shared" si="1"/>
        <v>3.9999999999990905</v>
      </c>
      <c r="N4" s="154">
        <f t="shared" si="1"/>
        <v>3.9999999999990905</v>
      </c>
      <c r="O4" s="154">
        <f>J4</f>
        <v>6</v>
      </c>
      <c r="P4" s="154">
        <f>IF((($D4+$K4/12+P$2/12)-TRUNC($D4+$K4/12+P$2/12))*12=0,1,(($D4+$K4/12+P$2/12)-TRUNC($D4+$K4/12+P$2/12))*12)</f>
        <v>3</v>
      </c>
      <c r="Q4" s="9"/>
      <c r="R4" s="9"/>
      <c r="S4" s="9"/>
      <c r="T4" s="9"/>
      <c r="U4" s="9"/>
      <c r="V4" s="9"/>
      <c r="W4" s="9"/>
      <c r="X4" s="9">
        <v>2036</v>
      </c>
      <c r="Y4" s="9">
        <v>2037</v>
      </c>
      <c r="Z4" s="9">
        <v>2037</v>
      </c>
      <c r="AA4" s="9">
        <v>2037</v>
      </c>
      <c r="AB4" s="9">
        <v>2037</v>
      </c>
      <c r="AC4" s="9">
        <f>H4+8</f>
        <v>2034</v>
      </c>
      <c r="AD4" s="9">
        <v>2037</v>
      </c>
      <c r="AE4" s="9">
        <v>6</v>
      </c>
      <c r="AF4" s="9">
        <v>3</v>
      </c>
      <c r="AG4" s="9">
        <v>3</v>
      </c>
      <c r="AH4" s="9">
        <v>3</v>
      </c>
      <c r="AI4" s="9">
        <v>3</v>
      </c>
      <c r="AJ4" s="9">
        <f>O4</f>
        <v>6</v>
      </c>
      <c r="AK4" s="9">
        <v>3</v>
      </c>
      <c r="AL4" s="152">
        <v>1.2267192541321688</v>
      </c>
      <c r="AM4" s="152">
        <v>2.2612105538192599</v>
      </c>
      <c r="AN4" s="152">
        <v>2.1252009430760062</v>
      </c>
      <c r="AO4" s="152">
        <v>1.2944496352201866</v>
      </c>
      <c r="AP4" s="152">
        <v>0.32314284341629806</v>
      </c>
      <c r="AQ4" s="152">
        <v>0.14000000000000001</v>
      </c>
      <c r="AR4" s="152">
        <v>1.4542000570988298</v>
      </c>
      <c r="AS4" s="152">
        <v>11.984388276878477</v>
      </c>
      <c r="AT4" s="152">
        <v>-1.7475682675103321</v>
      </c>
      <c r="AU4" s="152">
        <v>-1.7169645793441486</v>
      </c>
      <c r="AV4" s="152">
        <v>-1.4425350046709582</v>
      </c>
      <c r="AW4" s="152">
        <v>0.61768216477991222</v>
      </c>
      <c r="AX4" s="152">
        <v>0.15</v>
      </c>
      <c r="AY4" s="152">
        <v>-0.4950056673809119</v>
      </c>
      <c r="AZ4" s="151">
        <v>0.22</v>
      </c>
      <c r="BA4" s="151">
        <v>0.27</v>
      </c>
      <c r="BB4" s="151">
        <v>0.17</v>
      </c>
      <c r="BC4" s="151">
        <v>0.14000000000000001</v>
      </c>
      <c r="BD4" s="151">
        <v>0.23</v>
      </c>
      <c r="BE4" s="151">
        <v>0.16</v>
      </c>
      <c r="BF4" s="151">
        <v>0.06</v>
      </c>
      <c r="BG4" s="151">
        <v>0.28000000000000003</v>
      </c>
      <c r="BH4" s="151">
        <v>0.23</v>
      </c>
      <c r="BI4" s="151">
        <v>0.33</v>
      </c>
      <c r="BJ4" s="151">
        <v>0.36</v>
      </c>
      <c r="BK4" s="151">
        <v>0.27</v>
      </c>
      <c r="BL4" s="151">
        <v>0.34</v>
      </c>
      <c r="BM4" s="151">
        <v>0.45</v>
      </c>
      <c r="BN4" s="151">
        <v>0.22</v>
      </c>
      <c r="BO4" s="151">
        <v>0.27</v>
      </c>
      <c r="BP4" s="151">
        <v>0.17</v>
      </c>
      <c r="BQ4" s="151">
        <v>0.14000000000000001</v>
      </c>
      <c r="BR4" s="151">
        <v>0.23</v>
      </c>
      <c r="BS4" s="151">
        <v>0.16</v>
      </c>
      <c r="BT4" s="151">
        <v>0.06</v>
      </c>
      <c r="BU4" s="151">
        <v>0.28000000000000003</v>
      </c>
      <c r="BV4" s="151">
        <v>0.23</v>
      </c>
      <c r="BW4" s="151">
        <v>0.33</v>
      </c>
      <c r="BX4" s="151">
        <v>0.36</v>
      </c>
      <c r="BY4" s="151">
        <v>0.27</v>
      </c>
      <c r="BZ4" s="151">
        <v>0.34</v>
      </c>
      <c r="CA4" s="151">
        <v>0.45</v>
      </c>
    </row>
    <row r="5" spans="1:79" x14ac:dyDescent="0.35">
      <c r="A5" s="9" t="s">
        <v>88</v>
      </c>
      <c r="B5" s="9" t="s">
        <v>16</v>
      </c>
      <c r="C5" s="153">
        <v>2018</v>
      </c>
      <c r="D5" s="154">
        <f>C5+1</f>
        <v>2019</v>
      </c>
      <c r="E5" s="154">
        <f t="shared" si="0"/>
        <v>2020</v>
      </c>
      <c r="F5" s="154">
        <f t="shared" si="0"/>
        <v>2020</v>
      </c>
      <c r="G5" s="154">
        <f t="shared" si="0"/>
        <v>2020</v>
      </c>
      <c r="H5" s="154">
        <f t="shared" ref="H5:H59" si="2">C5+1</f>
        <v>2019</v>
      </c>
      <c r="I5" s="154">
        <f>TRUNC($D5+$K5/12+P$2/12)</f>
        <v>2019</v>
      </c>
      <c r="J5" s="153">
        <v>10</v>
      </c>
      <c r="K5" s="9">
        <v>7</v>
      </c>
      <c r="L5" s="154">
        <f t="shared" si="1"/>
        <v>6.9999999999990905</v>
      </c>
      <c r="M5" s="154">
        <f t="shared" si="1"/>
        <v>7.999999999998181</v>
      </c>
      <c r="N5" s="154">
        <f t="shared" si="1"/>
        <v>7.999999999998181</v>
      </c>
      <c r="O5" s="154">
        <f t="shared" ref="O5:O6" si="3">J5</f>
        <v>10</v>
      </c>
      <c r="P5" s="154">
        <f>IF((($D5+$K5/12+P$2/12)-TRUNC($D5+$K5/12+P$2/12))*12=0,1,(($D5+$K5/12+P$2/12)-TRUNC($D5+$K5/12+P$2/12))*12)</f>
        <v>6.9999999999990905</v>
      </c>
      <c r="Q5" s="9"/>
      <c r="R5" s="9"/>
      <c r="S5" s="9"/>
      <c r="T5" s="9"/>
      <c r="U5" s="9"/>
      <c r="V5" s="9"/>
      <c r="W5" s="9"/>
      <c r="X5" s="9">
        <v>2028</v>
      </c>
      <c r="Y5" s="9">
        <v>2029</v>
      </c>
      <c r="Z5" s="9">
        <v>2029</v>
      </c>
      <c r="AA5" s="9">
        <v>2029</v>
      </c>
      <c r="AB5" s="9">
        <v>2029</v>
      </c>
      <c r="AC5" s="9">
        <f t="shared" ref="AC5:AC6" si="4">H5+8</f>
        <v>2027</v>
      </c>
      <c r="AD5" s="9">
        <v>2029</v>
      </c>
      <c r="AE5" s="9">
        <v>7</v>
      </c>
      <c r="AF5" s="9">
        <v>7</v>
      </c>
      <c r="AG5" s="9">
        <v>7</v>
      </c>
      <c r="AH5" s="9">
        <v>7</v>
      </c>
      <c r="AI5" s="9">
        <v>7</v>
      </c>
      <c r="AJ5" s="9">
        <f t="shared" ref="AJ5:AJ6" si="5">O5</f>
        <v>10</v>
      </c>
      <c r="AK5" s="9">
        <v>7</v>
      </c>
      <c r="AL5" s="152">
        <v>1.2267192541321688</v>
      </c>
      <c r="AM5" s="152">
        <v>2.2612105538192599</v>
      </c>
      <c r="AN5" s="152">
        <v>2.1252009430760062</v>
      </c>
      <c r="AO5" s="152">
        <v>1.2944496352201866</v>
      </c>
      <c r="AP5" s="152">
        <v>0.32314284341629806</v>
      </c>
      <c r="AQ5" s="152">
        <v>0.14000000000000001</v>
      </c>
      <c r="AR5" s="152">
        <v>1.4542000570988298</v>
      </c>
      <c r="AS5" s="152">
        <v>11.984388276878477</v>
      </c>
      <c r="AT5" s="152">
        <v>-1.7475682675103321</v>
      </c>
      <c r="AU5" s="152">
        <v>-1.7169645793441486</v>
      </c>
      <c r="AV5" s="152">
        <v>-1.4425350046709582</v>
      </c>
      <c r="AW5" s="152">
        <v>0.61768216477991222</v>
      </c>
      <c r="AX5" s="152">
        <v>0.15</v>
      </c>
      <c r="AY5" s="152">
        <v>-0.4950056673809119</v>
      </c>
      <c r="AZ5" s="151">
        <v>0.15</v>
      </c>
      <c r="BA5" s="151">
        <v>0.2</v>
      </c>
      <c r="BB5" s="151">
        <v>0.12</v>
      </c>
      <c r="BC5" s="151">
        <v>0.08</v>
      </c>
      <c r="BD5" s="151">
        <v>0.18</v>
      </c>
      <c r="BE5" s="151">
        <v>0.16</v>
      </c>
      <c r="BF5" s="151">
        <v>0.05</v>
      </c>
      <c r="BG5" s="151">
        <v>0.35</v>
      </c>
      <c r="BH5" s="151">
        <v>0.3</v>
      </c>
      <c r="BI5" s="151">
        <v>0.38</v>
      </c>
      <c r="BJ5" s="151">
        <v>0.42</v>
      </c>
      <c r="BK5" s="151">
        <v>0.32</v>
      </c>
      <c r="BL5" s="151">
        <v>0.34</v>
      </c>
      <c r="BM5" s="151">
        <v>0.45</v>
      </c>
      <c r="BN5" s="151">
        <v>0.15</v>
      </c>
      <c r="BO5" s="151">
        <v>0.2</v>
      </c>
      <c r="BP5" s="151">
        <v>0.12</v>
      </c>
      <c r="BQ5" s="151">
        <v>0.08</v>
      </c>
      <c r="BR5" s="151">
        <v>0.18</v>
      </c>
      <c r="BS5" s="151">
        <v>0.16</v>
      </c>
      <c r="BT5" s="151">
        <v>0.05</v>
      </c>
      <c r="BU5" s="151">
        <v>0.35</v>
      </c>
      <c r="BV5" s="151">
        <v>0.3</v>
      </c>
      <c r="BW5" s="151">
        <v>0.38</v>
      </c>
      <c r="BX5" s="151">
        <v>0.42</v>
      </c>
      <c r="BY5" s="151">
        <v>0.32</v>
      </c>
      <c r="BZ5" s="151">
        <v>0.34</v>
      </c>
      <c r="CA5" s="151">
        <v>0.45</v>
      </c>
    </row>
    <row r="6" spans="1:79" x14ac:dyDescent="0.35">
      <c r="A6" s="9" t="s">
        <v>28</v>
      </c>
      <c r="B6" s="9" t="s">
        <v>27</v>
      </c>
      <c r="C6" s="153">
        <v>2030</v>
      </c>
      <c r="D6" s="154">
        <f>C6+1</f>
        <v>2031</v>
      </c>
      <c r="E6" s="154">
        <f t="shared" si="0"/>
        <v>2032</v>
      </c>
      <c r="F6" s="154">
        <f t="shared" si="0"/>
        <v>2032</v>
      </c>
      <c r="G6" s="154">
        <f t="shared" si="0"/>
        <v>2032</v>
      </c>
      <c r="H6" s="154">
        <f t="shared" si="2"/>
        <v>2031</v>
      </c>
      <c r="I6" s="154">
        <f>TRUNC($D6+$K6/12+P$2/12)</f>
        <v>2031</v>
      </c>
      <c r="J6" s="153">
        <v>12</v>
      </c>
      <c r="K6" s="9">
        <v>6</v>
      </c>
      <c r="L6" s="154">
        <f t="shared" si="1"/>
        <v>6</v>
      </c>
      <c r="M6" s="154">
        <f t="shared" si="1"/>
        <v>6.9999999999990905</v>
      </c>
      <c r="N6" s="154">
        <f t="shared" si="1"/>
        <v>6.9999999999990905</v>
      </c>
      <c r="O6" s="154">
        <f t="shared" si="3"/>
        <v>12</v>
      </c>
      <c r="P6" s="154">
        <f>IF((($D6+$K6/12+P$2/12)-TRUNC($D6+$K6/12+P$2/12))*12=0,1,(($D6+$K6/12+P$2/12)-TRUNC($D6+$K6/12+P$2/12))*12)</f>
        <v>6</v>
      </c>
      <c r="Q6" s="9"/>
      <c r="R6" s="9"/>
      <c r="S6" s="9"/>
      <c r="T6" s="9"/>
      <c r="U6" s="9"/>
      <c r="V6" s="9"/>
      <c r="W6" s="9"/>
      <c r="X6" s="9">
        <v>2040</v>
      </c>
      <c r="Y6" s="9">
        <v>2038</v>
      </c>
      <c r="Z6" s="9">
        <v>2038</v>
      </c>
      <c r="AA6" s="9">
        <v>2038</v>
      </c>
      <c r="AB6" s="9">
        <v>2038</v>
      </c>
      <c r="AC6" s="9">
        <f t="shared" si="4"/>
        <v>2039</v>
      </c>
      <c r="AD6" s="9">
        <v>2038</v>
      </c>
      <c r="AE6" s="9">
        <v>9</v>
      </c>
      <c r="AF6" s="9">
        <v>9</v>
      </c>
      <c r="AG6" s="9">
        <v>9</v>
      </c>
      <c r="AH6" s="9">
        <v>9</v>
      </c>
      <c r="AI6" s="9">
        <v>9</v>
      </c>
      <c r="AJ6" s="9">
        <f t="shared" si="5"/>
        <v>12</v>
      </c>
      <c r="AK6" s="9">
        <v>9</v>
      </c>
      <c r="AL6" s="152">
        <v>1.2267192541321688</v>
      </c>
      <c r="AM6" s="152">
        <v>2.2612105538192599</v>
      </c>
      <c r="AN6" s="152">
        <v>2.1252009430760062</v>
      </c>
      <c r="AO6" s="152">
        <v>1.2944496352201866</v>
      </c>
      <c r="AP6" s="152">
        <v>0.32314284341629806</v>
      </c>
      <c r="AQ6" s="152">
        <v>0.14000000000000001</v>
      </c>
      <c r="AR6" s="152">
        <v>1.4542000570988298</v>
      </c>
      <c r="AS6" s="152">
        <v>11.984388276878477</v>
      </c>
      <c r="AT6" s="152">
        <v>-1.7475682675103321</v>
      </c>
      <c r="AU6" s="152">
        <v>-1.7169645793441486</v>
      </c>
      <c r="AV6" s="152">
        <v>-1.4425350046709582</v>
      </c>
      <c r="AW6" s="152">
        <v>0.61768216477991222</v>
      </c>
      <c r="AX6" s="152">
        <v>0.15</v>
      </c>
      <c r="AY6" s="152">
        <v>-0.4950056673809119</v>
      </c>
      <c r="AZ6" s="151">
        <v>0.15</v>
      </c>
      <c r="BA6" s="151">
        <v>0.2</v>
      </c>
      <c r="BB6" s="151">
        <v>0.12</v>
      </c>
      <c r="BC6" s="151">
        <v>0.08</v>
      </c>
      <c r="BD6" s="151">
        <v>0.18</v>
      </c>
      <c r="BE6" s="151">
        <v>0.16</v>
      </c>
      <c r="BF6" s="151">
        <v>0.05</v>
      </c>
      <c r="BG6" s="151">
        <v>0.35</v>
      </c>
      <c r="BH6" s="151">
        <v>0.3</v>
      </c>
      <c r="BI6" s="151">
        <v>0.38</v>
      </c>
      <c r="BJ6" s="151">
        <v>0.42</v>
      </c>
      <c r="BK6" s="151">
        <v>0.32</v>
      </c>
      <c r="BL6" s="151">
        <v>0.34</v>
      </c>
      <c r="BM6" s="151">
        <v>0.45</v>
      </c>
      <c r="BN6" s="151">
        <v>0.15</v>
      </c>
      <c r="BO6" s="151">
        <v>0.2</v>
      </c>
      <c r="BP6" s="151">
        <v>0.12</v>
      </c>
      <c r="BQ6" s="151">
        <v>0.08</v>
      </c>
      <c r="BR6" s="151">
        <v>0.18</v>
      </c>
      <c r="BS6" s="151">
        <v>0.16</v>
      </c>
      <c r="BT6" s="151">
        <v>0.05</v>
      </c>
      <c r="BU6" s="151">
        <v>0.35</v>
      </c>
      <c r="BV6" s="151">
        <v>0.3</v>
      </c>
      <c r="BW6" s="151">
        <v>0.38</v>
      </c>
      <c r="BX6" s="151">
        <v>0.42</v>
      </c>
      <c r="BY6" s="151">
        <v>0.32</v>
      </c>
      <c r="BZ6" s="151">
        <v>0.34</v>
      </c>
      <c r="CA6" s="151">
        <v>0.45</v>
      </c>
    </row>
    <row r="7" spans="1:79" x14ac:dyDescent="0.35">
      <c r="A7" s="9" t="s">
        <v>100</v>
      </c>
      <c r="B7" s="9" t="s">
        <v>54</v>
      </c>
      <c r="C7" s="153">
        <v>2007</v>
      </c>
      <c r="D7" s="9"/>
      <c r="E7" s="9"/>
      <c r="F7" s="9"/>
      <c r="G7" s="9"/>
      <c r="H7" s="154"/>
      <c r="I7" s="9"/>
      <c r="J7" s="153">
        <v>11</v>
      </c>
      <c r="K7" s="9"/>
      <c r="L7" s="9"/>
      <c r="M7" s="9"/>
      <c r="N7" s="9"/>
      <c r="O7" s="9"/>
      <c r="P7" s="9"/>
      <c r="Q7" s="153"/>
      <c r="R7" s="9"/>
      <c r="S7" s="9"/>
      <c r="T7" s="9"/>
      <c r="U7" s="9"/>
      <c r="V7" s="9"/>
      <c r="W7" s="9"/>
      <c r="X7" s="153">
        <v>2015</v>
      </c>
      <c r="Y7" s="9"/>
      <c r="Z7" s="9"/>
      <c r="AA7" s="9"/>
      <c r="AB7" s="9"/>
      <c r="AC7" s="9"/>
      <c r="AD7" s="9"/>
      <c r="AE7" s="153">
        <v>4</v>
      </c>
      <c r="AF7" s="9"/>
      <c r="AG7" s="9"/>
      <c r="AH7" s="9"/>
      <c r="AI7" s="9"/>
      <c r="AJ7" s="9"/>
      <c r="AK7" s="9"/>
      <c r="AL7" s="152">
        <v>1.2267192541321688</v>
      </c>
      <c r="AM7" s="152">
        <v>2.2612105538192599</v>
      </c>
      <c r="AN7" s="152">
        <v>2.1252009430760062</v>
      </c>
      <c r="AO7" s="152">
        <v>1.2944496352201866</v>
      </c>
      <c r="AP7" s="152">
        <v>0.32314284341629806</v>
      </c>
      <c r="AQ7" s="152">
        <v>0.14000000000000001</v>
      </c>
      <c r="AR7" s="152">
        <v>1.4542000570988298</v>
      </c>
      <c r="AS7" s="152">
        <v>11.984388276878477</v>
      </c>
      <c r="AT7" s="152">
        <v>-1.7475682675103321</v>
      </c>
      <c r="AU7" s="152">
        <v>-1.7169645793441486</v>
      </c>
      <c r="AV7" s="152">
        <v>-1.4425350046709582</v>
      </c>
      <c r="AW7" s="152">
        <v>0.61768216477991222</v>
      </c>
      <c r="AX7" s="152">
        <v>0.15</v>
      </c>
      <c r="AY7" s="152">
        <v>-0.4950056673809119</v>
      </c>
      <c r="AZ7" s="151">
        <v>0.15</v>
      </c>
      <c r="BA7" s="151">
        <v>0.2</v>
      </c>
      <c r="BB7" s="151">
        <v>0.12</v>
      </c>
      <c r="BC7" s="151">
        <v>0.08</v>
      </c>
      <c r="BD7" s="151">
        <v>0.18</v>
      </c>
      <c r="BE7" s="151">
        <v>0.16</v>
      </c>
      <c r="BF7" s="151">
        <v>0.05</v>
      </c>
      <c r="BG7" s="151">
        <v>0.35</v>
      </c>
      <c r="BH7" s="151">
        <v>0.3</v>
      </c>
      <c r="BI7" s="151">
        <v>0.38</v>
      </c>
      <c r="BJ7" s="151">
        <v>0.42</v>
      </c>
      <c r="BK7" s="151">
        <v>0.32</v>
      </c>
      <c r="BL7" s="151">
        <v>0.34</v>
      </c>
      <c r="BM7" s="151">
        <v>0.45</v>
      </c>
      <c r="BN7" s="151">
        <v>0.15</v>
      </c>
      <c r="BO7" s="151">
        <v>0.2</v>
      </c>
      <c r="BP7" s="151">
        <v>0.12</v>
      </c>
      <c r="BQ7" s="151">
        <v>0.08</v>
      </c>
      <c r="BR7" s="151">
        <v>0.18</v>
      </c>
      <c r="BS7" s="151">
        <v>0.16</v>
      </c>
      <c r="BT7" s="151">
        <v>0.05</v>
      </c>
      <c r="BU7" s="151">
        <v>0.35</v>
      </c>
      <c r="BV7" s="151">
        <v>0.3</v>
      </c>
      <c r="BW7" s="151">
        <v>0.38</v>
      </c>
      <c r="BX7" s="151">
        <v>0.42</v>
      </c>
      <c r="BY7" s="151">
        <v>0.32</v>
      </c>
      <c r="BZ7" s="151">
        <v>0.34</v>
      </c>
      <c r="CA7" s="151">
        <v>0.45</v>
      </c>
    </row>
    <row r="8" spans="1:79" x14ac:dyDescent="0.35">
      <c r="A8" s="9" t="s">
        <v>80</v>
      </c>
      <c r="B8" s="9" t="s">
        <v>62</v>
      </c>
      <c r="C8" s="153">
        <v>2022</v>
      </c>
      <c r="D8" s="154">
        <f>C8+1</f>
        <v>2023</v>
      </c>
      <c r="E8" s="154">
        <f t="shared" ref="E8:G11" si="6">TRUNC($D8+$K8/12+L$2/12)</f>
        <v>2024</v>
      </c>
      <c r="F8" s="154">
        <f t="shared" si="6"/>
        <v>2024</v>
      </c>
      <c r="G8" s="154">
        <f t="shared" si="6"/>
        <v>2024</v>
      </c>
      <c r="H8" s="154">
        <f t="shared" si="2"/>
        <v>2023</v>
      </c>
      <c r="I8" s="154">
        <f>TRUNC($D8+$K8/12+P$2/12)</f>
        <v>2023</v>
      </c>
      <c r="J8" s="153">
        <v>7</v>
      </c>
      <c r="K8" s="9">
        <v>3</v>
      </c>
      <c r="L8" s="154">
        <f t="shared" ref="L8:N11" si="7">IF((($D8+$K8/12+L$2/12)-TRUNC($D8+$K8/12+L$2/12))*12=0,1,(($D8+$K8/12+L$2/12)-TRUNC($D8+$K8/12+L$2/12))*12)</f>
        <v>3</v>
      </c>
      <c r="M8" s="154">
        <f t="shared" si="7"/>
        <v>3.9999999999990905</v>
      </c>
      <c r="N8" s="154">
        <f t="shared" si="7"/>
        <v>3.9999999999990905</v>
      </c>
      <c r="O8" s="154">
        <f t="shared" ref="O8:O11" si="8">J8</f>
        <v>7</v>
      </c>
      <c r="P8" s="154">
        <f>IF((($D8+$K8/12+P$2/12)-TRUNC($D8+$K8/12+P$2/12))*12=0,1,(($D8+$K8/12+P$2/12)-TRUNC($D8+$K8/12+P$2/12))*12)</f>
        <v>3</v>
      </c>
      <c r="Q8" s="9"/>
      <c r="R8" s="9"/>
      <c r="S8" s="9"/>
      <c r="T8" s="9"/>
      <c r="U8" s="9"/>
      <c r="V8" s="9"/>
      <c r="W8" s="9"/>
      <c r="X8" s="9">
        <v>2032</v>
      </c>
      <c r="Y8" s="9">
        <v>2033</v>
      </c>
      <c r="Z8" s="9">
        <v>2033</v>
      </c>
      <c r="AA8" s="9">
        <v>2033</v>
      </c>
      <c r="AB8" s="9">
        <v>2033</v>
      </c>
      <c r="AC8" s="9">
        <f t="shared" ref="AC8:AC11" si="9">H8+8</f>
        <v>2031</v>
      </c>
      <c r="AD8" s="9">
        <v>2033</v>
      </c>
      <c r="AE8" s="9">
        <v>7</v>
      </c>
      <c r="AF8" s="9">
        <v>3</v>
      </c>
      <c r="AG8" s="9">
        <v>3</v>
      </c>
      <c r="AH8" s="9">
        <v>3</v>
      </c>
      <c r="AI8" s="9">
        <v>3</v>
      </c>
      <c r="AJ8" s="9">
        <f t="shared" ref="AJ8:AJ11" si="10">O8</f>
        <v>7</v>
      </c>
      <c r="AK8" s="9">
        <v>3</v>
      </c>
      <c r="AL8" s="152">
        <v>1.2267192541321688</v>
      </c>
      <c r="AM8" s="152">
        <v>2.2612105538192599</v>
      </c>
      <c r="AN8" s="152">
        <v>2.1252009430760062</v>
      </c>
      <c r="AO8" s="152">
        <v>1.2944496352201866</v>
      </c>
      <c r="AP8" s="152">
        <v>0.32314284341629806</v>
      </c>
      <c r="AQ8" s="152">
        <v>0.14000000000000001</v>
      </c>
      <c r="AR8" s="152">
        <v>1.4542000570988298</v>
      </c>
      <c r="AS8" s="152">
        <v>11.984388276878477</v>
      </c>
      <c r="AT8" s="152">
        <v>-1.7475682675103321</v>
      </c>
      <c r="AU8" s="152">
        <v>-1.7169645793441486</v>
      </c>
      <c r="AV8" s="152">
        <v>-1.4425350046709582</v>
      </c>
      <c r="AW8" s="152">
        <v>0.61768216477991222</v>
      </c>
      <c r="AX8" s="152">
        <v>0.15</v>
      </c>
      <c r="AY8" s="152">
        <v>-0.4950056673809119</v>
      </c>
      <c r="AZ8" s="151">
        <v>0.22</v>
      </c>
      <c r="BA8" s="151">
        <v>0.27</v>
      </c>
      <c r="BB8" s="151">
        <v>0.17</v>
      </c>
      <c r="BC8" s="151">
        <v>0.14000000000000001</v>
      </c>
      <c r="BD8" s="151">
        <v>0.23</v>
      </c>
      <c r="BE8" s="151">
        <v>0.23</v>
      </c>
      <c r="BF8" s="151">
        <v>0.06</v>
      </c>
      <c r="BG8" s="151">
        <v>0.28000000000000003</v>
      </c>
      <c r="BH8" s="151">
        <v>0.23</v>
      </c>
      <c r="BI8" s="151">
        <v>0.33</v>
      </c>
      <c r="BJ8" s="151">
        <v>0.36</v>
      </c>
      <c r="BK8" s="151">
        <v>0.27</v>
      </c>
      <c r="BL8" s="151">
        <v>0.27</v>
      </c>
      <c r="BM8" s="151">
        <v>0.45</v>
      </c>
      <c r="BN8" s="151">
        <v>0.22</v>
      </c>
      <c r="BO8" s="151">
        <v>0.27</v>
      </c>
      <c r="BP8" s="151">
        <v>0.17</v>
      </c>
      <c r="BQ8" s="151">
        <v>0.14000000000000001</v>
      </c>
      <c r="BR8" s="151">
        <v>0.23</v>
      </c>
      <c r="BS8" s="151">
        <v>0.23</v>
      </c>
      <c r="BT8" s="151">
        <v>0.06</v>
      </c>
      <c r="BU8" s="151">
        <v>0.28000000000000003</v>
      </c>
      <c r="BV8" s="151">
        <v>0.23</v>
      </c>
      <c r="BW8" s="151">
        <v>0.33</v>
      </c>
      <c r="BX8" s="151">
        <v>0.36</v>
      </c>
      <c r="BY8" s="151">
        <v>0.27</v>
      </c>
      <c r="BZ8" s="151">
        <v>0.27</v>
      </c>
      <c r="CA8" s="151">
        <v>0.45</v>
      </c>
    </row>
    <row r="9" spans="1:79" x14ac:dyDescent="0.35">
      <c r="A9" s="9" t="s">
        <v>83</v>
      </c>
      <c r="B9" s="9" t="s">
        <v>81</v>
      </c>
      <c r="C9" s="153">
        <v>2021</v>
      </c>
      <c r="D9" s="154">
        <f>C9+1</f>
        <v>2022</v>
      </c>
      <c r="E9" s="154">
        <f t="shared" si="6"/>
        <v>2023</v>
      </c>
      <c r="F9" s="154">
        <f t="shared" si="6"/>
        <v>2023</v>
      </c>
      <c r="G9" s="154">
        <f t="shared" si="6"/>
        <v>2023</v>
      </c>
      <c r="H9" s="154">
        <f t="shared" si="2"/>
        <v>2022</v>
      </c>
      <c r="I9" s="154">
        <f>TRUNC($D9+$K9/12+P$2/12)</f>
        <v>2022</v>
      </c>
      <c r="J9" s="9">
        <v>3</v>
      </c>
      <c r="K9" s="9">
        <v>1</v>
      </c>
      <c r="L9" s="154">
        <f t="shared" si="7"/>
        <v>0.99999999999909051</v>
      </c>
      <c r="M9" s="154">
        <f t="shared" si="7"/>
        <v>1.999999999998181</v>
      </c>
      <c r="N9" s="154">
        <f t="shared" si="7"/>
        <v>1.999999999998181</v>
      </c>
      <c r="O9" s="154">
        <f t="shared" si="8"/>
        <v>3</v>
      </c>
      <c r="P9" s="154">
        <f>IF((($D9+$K9/12+P$2/12)-TRUNC($D9+$K9/12+P$2/12))*12=0,1,(($D9+$K9/12+P$2/12)-TRUNC($D9+$K9/12+P$2/12))*12)</f>
        <v>0.99999999999909051</v>
      </c>
      <c r="Q9" s="9"/>
      <c r="R9" s="9"/>
      <c r="S9" s="9"/>
      <c r="T9" s="9"/>
      <c r="U9" s="9"/>
      <c r="V9" s="9"/>
      <c r="W9" s="9"/>
      <c r="X9" s="9">
        <v>2029</v>
      </c>
      <c r="Y9" s="9">
        <v>2032</v>
      </c>
      <c r="Z9" s="9">
        <v>2032</v>
      </c>
      <c r="AA9" s="9">
        <v>2032</v>
      </c>
      <c r="AB9" s="9">
        <v>2032</v>
      </c>
      <c r="AC9" s="9">
        <f t="shared" si="9"/>
        <v>2030</v>
      </c>
      <c r="AD9" s="9">
        <v>2032</v>
      </c>
      <c r="AE9" s="9">
        <v>7</v>
      </c>
      <c r="AF9" s="9">
        <v>1</v>
      </c>
      <c r="AG9" s="9">
        <v>1</v>
      </c>
      <c r="AH9" s="9">
        <v>1</v>
      </c>
      <c r="AI9" s="9">
        <v>1</v>
      </c>
      <c r="AJ9" s="9">
        <f t="shared" si="10"/>
        <v>3</v>
      </c>
      <c r="AK9" s="9">
        <v>1</v>
      </c>
      <c r="AL9" s="152">
        <v>1.2267192541321688</v>
      </c>
      <c r="AM9" s="152">
        <v>2.2612105538192599</v>
      </c>
      <c r="AN9" s="152">
        <v>2.1252009430760062</v>
      </c>
      <c r="AO9" s="152">
        <v>1.2944496352201866</v>
      </c>
      <c r="AP9" s="152">
        <v>0.32314284341629806</v>
      </c>
      <c r="AQ9" s="152">
        <v>0.14000000000000001</v>
      </c>
      <c r="AR9" s="152">
        <v>1.4542000570988298</v>
      </c>
      <c r="AS9" s="152">
        <v>11.984388276878477</v>
      </c>
      <c r="AT9" s="152">
        <v>-1.7475682675103321</v>
      </c>
      <c r="AU9" s="152">
        <v>-1.7169645793441486</v>
      </c>
      <c r="AV9" s="152">
        <v>-1.4425350046709582</v>
      </c>
      <c r="AW9" s="152">
        <v>0.61768216477991222</v>
      </c>
      <c r="AX9" s="152">
        <v>0.15</v>
      </c>
      <c r="AY9" s="152">
        <v>-0.4950056673809119</v>
      </c>
      <c r="AZ9" s="151">
        <v>0.15</v>
      </c>
      <c r="BA9" s="151">
        <v>0.2</v>
      </c>
      <c r="BB9" s="151">
        <v>0.12</v>
      </c>
      <c r="BC9" s="151">
        <v>0.08</v>
      </c>
      <c r="BD9" s="151">
        <v>0.18</v>
      </c>
      <c r="BE9" s="151">
        <v>0.16</v>
      </c>
      <c r="BF9" s="151">
        <v>0.05</v>
      </c>
      <c r="BG9" s="151">
        <v>0.35</v>
      </c>
      <c r="BH9" s="151">
        <v>0.3</v>
      </c>
      <c r="BI9" s="151">
        <v>0.38</v>
      </c>
      <c r="BJ9" s="151">
        <v>0.42</v>
      </c>
      <c r="BK9" s="151">
        <v>0.32</v>
      </c>
      <c r="BL9" s="151">
        <v>0.34</v>
      </c>
      <c r="BM9" s="151">
        <v>0.45</v>
      </c>
      <c r="BN9" s="151">
        <v>0.15</v>
      </c>
      <c r="BO9" s="151">
        <v>0.2</v>
      </c>
      <c r="BP9" s="151">
        <v>0.12</v>
      </c>
      <c r="BQ9" s="151">
        <v>0.08</v>
      </c>
      <c r="BR9" s="151">
        <v>0.18</v>
      </c>
      <c r="BS9" s="151">
        <v>0.16</v>
      </c>
      <c r="BT9" s="151">
        <v>0.05</v>
      </c>
      <c r="BU9" s="151">
        <v>0.35</v>
      </c>
      <c r="BV9" s="151">
        <v>0.3</v>
      </c>
      <c r="BW9" s="151">
        <v>0.38</v>
      </c>
      <c r="BX9" s="151">
        <v>0.42</v>
      </c>
      <c r="BY9" s="151">
        <v>0.32</v>
      </c>
      <c r="BZ9" s="151">
        <v>0.34</v>
      </c>
      <c r="CA9" s="151">
        <v>0.45</v>
      </c>
    </row>
    <row r="10" spans="1:79" x14ac:dyDescent="0.35">
      <c r="A10" s="9" t="s">
        <v>94</v>
      </c>
      <c r="B10" s="9" t="s">
        <v>54</v>
      </c>
      <c r="C10" s="153">
        <v>2015</v>
      </c>
      <c r="D10" s="154">
        <f>C10+1</f>
        <v>2016</v>
      </c>
      <c r="E10" s="154">
        <f t="shared" si="6"/>
        <v>2017</v>
      </c>
      <c r="F10" s="154">
        <f t="shared" si="6"/>
        <v>2017</v>
      </c>
      <c r="G10" s="154">
        <f t="shared" si="6"/>
        <v>2017</v>
      </c>
      <c r="H10" s="154">
        <f t="shared" si="2"/>
        <v>2016</v>
      </c>
      <c r="I10" s="154">
        <f>TRUNC($D10+$K10/12+P$2/12)</f>
        <v>2016</v>
      </c>
      <c r="J10" s="9">
        <v>7</v>
      </c>
      <c r="K10" s="9">
        <v>7</v>
      </c>
      <c r="L10" s="154">
        <f t="shared" si="7"/>
        <v>6.9999999999990905</v>
      </c>
      <c r="M10" s="154">
        <f t="shared" si="7"/>
        <v>7.999999999998181</v>
      </c>
      <c r="N10" s="154">
        <f t="shared" si="7"/>
        <v>7.999999999998181</v>
      </c>
      <c r="O10" s="154">
        <f t="shared" si="8"/>
        <v>7</v>
      </c>
      <c r="P10" s="154">
        <f>IF((($D10+$K10/12+P$2/12)-TRUNC($D10+$K10/12+P$2/12))*12=0,1,(($D10+$K10/12+P$2/12)-TRUNC($D10+$K10/12+P$2/12))*12)</f>
        <v>6.9999999999990905</v>
      </c>
      <c r="Q10" s="153"/>
      <c r="R10" s="9"/>
      <c r="S10" s="9"/>
      <c r="T10" s="9"/>
      <c r="U10" s="9"/>
      <c r="V10" s="9"/>
      <c r="W10" s="9"/>
      <c r="X10" s="153">
        <v>2027</v>
      </c>
      <c r="Y10" s="9">
        <v>2027</v>
      </c>
      <c r="Z10" s="9">
        <v>2027</v>
      </c>
      <c r="AA10" s="9">
        <v>2027</v>
      </c>
      <c r="AB10" s="9">
        <v>2027</v>
      </c>
      <c r="AC10" s="9">
        <f t="shared" si="9"/>
        <v>2024</v>
      </c>
      <c r="AD10" s="9">
        <v>2027</v>
      </c>
      <c r="AE10" s="9">
        <v>2</v>
      </c>
      <c r="AF10" s="9">
        <v>2</v>
      </c>
      <c r="AG10" s="9">
        <v>2</v>
      </c>
      <c r="AH10" s="9">
        <v>2</v>
      </c>
      <c r="AI10" s="9">
        <v>2</v>
      </c>
      <c r="AJ10" s="9">
        <f t="shared" si="10"/>
        <v>7</v>
      </c>
      <c r="AK10" s="9">
        <v>2</v>
      </c>
      <c r="AL10" s="152">
        <v>1.2267192541321688</v>
      </c>
      <c r="AM10" s="152">
        <v>2.2612105538192599</v>
      </c>
      <c r="AN10" s="152">
        <v>2.1252009430760062</v>
      </c>
      <c r="AO10" s="152">
        <v>1.2944496352201866</v>
      </c>
      <c r="AP10" s="152">
        <v>0.32314284341629806</v>
      </c>
      <c r="AQ10" s="152">
        <v>0.14000000000000001</v>
      </c>
      <c r="AR10" s="152">
        <v>1.4542000570988298</v>
      </c>
      <c r="AS10" s="152">
        <v>11.984388276878477</v>
      </c>
      <c r="AT10" s="152">
        <v>-1.7475682675103321</v>
      </c>
      <c r="AU10" s="152">
        <v>-1.7169645793441486</v>
      </c>
      <c r="AV10" s="152">
        <v>-1.4425350046709582</v>
      </c>
      <c r="AW10" s="152">
        <v>0.61768216477991222</v>
      </c>
      <c r="AX10" s="152">
        <v>0.15</v>
      </c>
      <c r="AY10" s="152">
        <v>-0.4950056673809119</v>
      </c>
      <c r="AZ10" s="151">
        <v>0.15</v>
      </c>
      <c r="BA10" s="151">
        <v>0.2</v>
      </c>
      <c r="BB10" s="151">
        <v>0.12</v>
      </c>
      <c r="BC10" s="151">
        <v>0.08</v>
      </c>
      <c r="BD10" s="151">
        <v>0.18</v>
      </c>
      <c r="BE10" s="151">
        <v>0.16</v>
      </c>
      <c r="BF10" s="151">
        <v>0.05</v>
      </c>
      <c r="BG10" s="151">
        <v>0.35</v>
      </c>
      <c r="BH10" s="151">
        <v>0.3</v>
      </c>
      <c r="BI10" s="151">
        <v>0.38</v>
      </c>
      <c r="BJ10" s="151">
        <v>0.42</v>
      </c>
      <c r="BK10" s="151">
        <v>0.32</v>
      </c>
      <c r="BL10" s="151">
        <v>0.34</v>
      </c>
      <c r="BM10" s="151">
        <v>0.45</v>
      </c>
      <c r="BN10" s="151">
        <v>0.15</v>
      </c>
      <c r="BO10" s="151">
        <v>0.2</v>
      </c>
      <c r="BP10" s="151">
        <v>0.12</v>
      </c>
      <c r="BQ10" s="151">
        <v>0.08</v>
      </c>
      <c r="BR10" s="151">
        <v>0.18</v>
      </c>
      <c r="BS10" s="151">
        <v>0.16</v>
      </c>
      <c r="BT10" s="151">
        <v>0.05</v>
      </c>
      <c r="BU10" s="151">
        <v>0.35</v>
      </c>
      <c r="BV10" s="151">
        <v>0.3</v>
      </c>
      <c r="BW10" s="151">
        <v>0.38</v>
      </c>
      <c r="BX10" s="151">
        <v>0.42</v>
      </c>
      <c r="BY10" s="151">
        <v>0.32</v>
      </c>
      <c r="BZ10" s="151">
        <v>0.34</v>
      </c>
      <c r="CA10" s="151">
        <v>0.45</v>
      </c>
    </row>
    <row r="11" spans="1:79" x14ac:dyDescent="0.35">
      <c r="A11" s="9" t="s">
        <v>53</v>
      </c>
      <c r="B11" s="9" t="s">
        <v>50</v>
      </c>
      <c r="C11" s="153">
        <v>2023</v>
      </c>
      <c r="D11" s="154">
        <f>C11+1</f>
        <v>2024</v>
      </c>
      <c r="E11" s="154">
        <f t="shared" si="6"/>
        <v>2025</v>
      </c>
      <c r="F11" s="154">
        <f t="shared" si="6"/>
        <v>2025</v>
      </c>
      <c r="G11" s="154">
        <f t="shared" si="6"/>
        <v>2025</v>
      </c>
      <c r="H11" s="154">
        <f t="shared" si="2"/>
        <v>2024</v>
      </c>
      <c r="I11" s="154">
        <f>TRUNC($D11+$K11/12+P$2/12)</f>
        <v>2024</v>
      </c>
      <c r="J11" s="153">
        <v>6</v>
      </c>
      <c r="K11" s="9">
        <v>9</v>
      </c>
      <c r="L11" s="154">
        <f t="shared" si="7"/>
        <v>9</v>
      </c>
      <c r="M11" s="154">
        <f t="shared" si="7"/>
        <v>9.9999999999990905</v>
      </c>
      <c r="N11" s="154">
        <f t="shared" si="7"/>
        <v>9.9999999999990905</v>
      </c>
      <c r="O11" s="154">
        <f t="shared" si="8"/>
        <v>6</v>
      </c>
      <c r="P11" s="154">
        <f>IF((($D11+$K11/12+P$2/12)-TRUNC($D11+$K11/12+P$2/12))*12=0,1,(($D11+$K11/12+P$2/12)-TRUNC($D11+$K11/12+P$2/12))*12)</f>
        <v>9</v>
      </c>
      <c r="Q11" s="9"/>
      <c r="R11" s="9"/>
      <c r="S11" s="9"/>
      <c r="T11" s="9"/>
      <c r="U11" s="9"/>
      <c r="V11" s="9"/>
      <c r="W11" s="9"/>
      <c r="X11" s="9">
        <v>2033</v>
      </c>
      <c r="Y11" s="9">
        <v>2036</v>
      </c>
      <c r="Z11" s="9">
        <v>2036</v>
      </c>
      <c r="AA11" s="9">
        <v>2036</v>
      </c>
      <c r="AB11" s="9">
        <v>2036</v>
      </c>
      <c r="AC11" s="9">
        <f t="shared" si="9"/>
        <v>2032</v>
      </c>
      <c r="AD11" s="9">
        <v>2036</v>
      </c>
      <c r="AE11" s="9">
        <v>6</v>
      </c>
      <c r="AF11" s="9">
        <v>9</v>
      </c>
      <c r="AG11" s="9">
        <v>9</v>
      </c>
      <c r="AH11" s="9">
        <v>9</v>
      </c>
      <c r="AI11" s="9">
        <v>9</v>
      </c>
      <c r="AJ11" s="9">
        <f t="shared" si="10"/>
        <v>6</v>
      </c>
      <c r="AK11" s="9">
        <v>9</v>
      </c>
      <c r="AL11" s="152">
        <v>1.2267192541321688</v>
      </c>
      <c r="AM11" s="152">
        <v>2.2612105538192599</v>
      </c>
      <c r="AN11" s="152">
        <v>2.1252009430760062</v>
      </c>
      <c r="AO11" s="152">
        <v>1.2944496352201866</v>
      </c>
      <c r="AP11" s="152">
        <v>0.32314284341629806</v>
      </c>
      <c r="AQ11" s="152">
        <v>0.14000000000000001</v>
      </c>
      <c r="AR11" s="152">
        <v>1.4542000570988298</v>
      </c>
      <c r="AS11" s="152">
        <v>11.984388276878477</v>
      </c>
      <c r="AT11" s="152">
        <v>-1.7475682675103321</v>
      </c>
      <c r="AU11" s="152">
        <v>-1.7169645793441486</v>
      </c>
      <c r="AV11" s="152">
        <v>-1.4425350046709582</v>
      </c>
      <c r="AW11" s="152">
        <v>0.61768216477991222</v>
      </c>
      <c r="AX11" s="152">
        <v>0.15</v>
      </c>
      <c r="AY11" s="152">
        <v>-0.4950056673809119</v>
      </c>
      <c r="AZ11" s="151">
        <v>0.15</v>
      </c>
      <c r="BA11" s="151">
        <v>0.2</v>
      </c>
      <c r="BB11" s="151">
        <v>0.12</v>
      </c>
      <c r="BC11" s="151">
        <v>0.08</v>
      </c>
      <c r="BD11" s="151">
        <v>0.18</v>
      </c>
      <c r="BE11" s="151">
        <v>0.16</v>
      </c>
      <c r="BF11" s="151">
        <v>0.05</v>
      </c>
      <c r="BG11" s="151">
        <v>0.35</v>
      </c>
      <c r="BH11" s="151">
        <v>0.3</v>
      </c>
      <c r="BI11" s="151">
        <v>0.38</v>
      </c>
      <c r="BJ11" s="151">
        <v>0.42</v>
      </c>
      <c r="BK11" s="151">
        <v>0.32</v>
      </c>
      <c r="BL11" s="151">
        <v>0.34</v>
      </c>
      <c r="BM11" s="151">
        <v>0.45</v>
      </c>
      <c r="BN11" s="151">
        <v>0.15</v>
      </c>
      <c r="BO11" s="151">
        <v>0.2</v>
      </c>
      <c r="BP11" s="151">
        <v>0.12</v>
      </c>
      <c r="BQ11" s="151">
        <v>0.08</v>
      </c>
      <c r="BR11" s="151">
        <v>0.18</v>
      </c>
      <c r="BS11" s="151">
        <v>0.16</v>
      </c>
      <c r="BT11" s="151">
        <v>0.05</v>
      </c>
      <c r="BU11" s="151">
        <v>0.35</v>
      </c>
      <c r="BV11" s="151">
        <v>0.3</v>
      </c>
      <c r="BW11" s="151">
        <v>0.38</v>
      </c>
      <c r="BX11" s="151">
        <v>0.42</v>
      </c>
      <c r="BY11" s="151">
        <v>0.32</v>
      </c>
      <c r="BZ11" s="151">
        <v>0.34</v>
      </c>
      <c r="CA11" s="151">
        <v>0.45</v>
      </c>
    </row>
    <row r="12" spans="1:79" x14ac:dyDescent="0.35">
      <c r="A12" s="9" t="s">
        <v>96</v>
      </c>
      <c r="B12" s="9" t="s">
        <v>81</v>
      </c>
      <c r="C12" s="153">
        <v>1989</v>
      </c>
      <c r="D12" s="9"/>
      <c r="E12" s="9"/>
      <c r="F12" s="9"/>
      <c r="G12" s="9"/>
      <c r="H12" s="154"/>
      <c r="I12" s="9"/>
      <c r="J12" s="9">
        <v>12</v>
      </c>
      <c r="K12" s="9"/>
      <c r="L12" s="9"/>
      <c r="M12" s="9"/>
      <c r="N12" s="9"/>
      <c r="O12" s="9"/>
      <c r="P12" s="9"/>
      <c r="Q12" s="153"/>
      <c r="R12" s="9"/>
      <c r="S12" s="9"/>
      <c r="T12" s="9"/>
      <c r="U12" s="9"/>
      <c r="V12" s="9"/>
      <c r="W12" s="9"/>
      <c r="X12" s="153">
        <v>2006</v>
      </c>
      <c r="Y12" s="9"/>
      <c r="Z12" s="9"/>
      <c r="AA12" s="9"/>
      <c r="AB12" s="9"/>
      <c r="AC12" s="9"/>
      <c r="AD12" s="9"/>
      <c r="AE12" s="153">
        <v>3</v>
      </c>
      <c r="AF12" s="9"/>
      <c r="AG12" s="9"/>
      <c r="AH12" s="9"/>
      <c r="AI12" s="9"/>
      <c r="AJ12" s="9"/>
      <c r="AK12" s="9"/>
      <c r="AL12" s="152">
        <v>1.2267192541321688</v>
      </c>
      <c r="AM12" s="152">
        <v>2.2612105538192599</v>
      </c>
      <c r="AN12" s="152">
        <v>2.1252009430760062</v>
      </c>
      <c r="AO12" s="152">
        <v>1.2944496352201866</v>
      </c>
      <c r="AP12" s="152">
        <v>0.32314284341629806</v>
      </c>
      <c r="AQ12" s="152">
        <v>0.14000000000000001</v>
      </c>
      <c r="AR12" s="152">
        <v>1.4542000570988298</v>
      </c>
      <c r="AS12" s="152">
        <v>11.984388276878477</v>
      </c>
      <c r="AT12" s="152">
        <v>-1.7475682675103321</v>
      </c>
      <c r="AU12" s="152">
        <v>-1.7169645793441486</v>
      </c>
      <c r="AV12" s="152">
        <v>-1.4425350046709582</v>
      </c>
      <c r="AW12" s="152">
        <v>0.61768216477991222</v>
      </c>
      <c r="AX12" s="152">
        <v>0.15</v>
      </c>
      <c r="AY12" s="152">
        <v>-0.4950056673809119</v>
      </c>
      <c r="AZ12" s="151">
        <v>0.15</v>
      </c>
      <c r="BA12" s="151">
        <v>0.2</v>
      </c>
      <c r="BB12" s="151">
        <v>0.12</v>
      </c>
      <c r="BC12" s="151">
        <v>0.08</v>
      </c>
      <c r="BD12" s="151">
        <v>0.18</v>
      </c>
      <c r="BE12" s="151">
        <v>0.16</v>
      </c>
      <c r="BF12" s="151">
        <v>0.05</v>
      </c>
      <c r="BG12" s="151">
        <v>0.35</v>
      </c>
      <c r="BH12" s="151">
        <v>0.3</v>
      </c>
      <c r="BI12" s="151">
        <v>0.38</v>
      </c>
      <c r="BJ12" s="151">
        <v>0.42</v>
      </c>
      <c r="BK12" s="151">
        <v>0.32</v>
      </c>
      <c r="BL12" s="151">
        <v>0.34</v>
      </c>
      <c r="BM12" s="151">
        <v>0.45</v>
      </c>
      <c r="BN12" s="151">
        <v>0.15</v>
      </c>
      <c r="BO12" s="151">
        <v>0.2</v>
      </c>
      <c r="BP12" s="151">
        <v>0.12</v>
      </c>
      <c r="BQ12" s="151">
        <v>0.08</v>
      </c>
      <c r="BR12" s="151">
        <v>0.18</v>
      </c>
      <c r="BS12" s="151">
        <v>0.16</v>
      </c>
      <c r="BT12" s="151">
        <v>0.05</v>
      </c>
      <c r="BU12" s="151">
        <v>0.35</v>
      </c>
      <c r="BV12" s="151">
        <v>0.3</v>
      </c>
      <c r="BW12" s="151">
        <v>0.38</v>
      </c>
      <c r="BX12" s="151">
        <v>0.42</v>
      </c>
      <c r="BY12" s="151">
        <v>0.32</v>
      </c>
      <c r="BZ12" s="151">
        <v>0.34</v>
      </c>
      <c r="CA12" s="151">
        <v>0.45</v>
      </c>
    </row>
    <row r="13" spans="1:79" x14ac:dyDescent="0.35">
      <c r="A13" s="9" t="s">
        <v>89</v>
      </c>
      <c r="B13" s="9" t="s">
        <v>54</v>
      </c>
      <c r="C13" s="153">
        <v>2016</v>
      </c>
      <c r="D13" s="154">
        <f>C13+1</f>
        <v>2017</v>
      </c>
      <c r="E13" s="154">
        <f t="shared" ref="E13:G19" si="11">TRUNC($D13+$K13/12+L$2/12)</f>
        <v>2018</v>
      </c>
      <c r="F13" s="154">
        <f t="shared" si="11"/>
        <v>2018</v>
      </c>
      <c r="G13" s="154">
        <f t="shared" si="11"/>
        <v>2018</v>
      </c>
      <c r="H13" s="154">
        <f t="shared" si="2"/>
        <v>2017</v>
      </c>
      <c r="I13" s="154">
        <f t="shared" ref="I13:I19" si="12">TRUNC($D13+$K13/12+P$2/12)</f>
        <v>2017</v>
      </c>
      <c r="J13" s="9">
        <v>3</v>
      </c>
      <c r="K13" s="9">
        <v>3</v>
      </c>
      <c r="L13" s="154">
        <f t="shared" ref="L13:N19" si="13">IF((($D13+$K13/12+L$2/12)-TRUNC($D13+$K13/12+L$2/12))*12=0,1,(($D13+$K13/12+L$2/12)-TRUNC($D13+$K13/12+L$2/12))*12)</f>
        <v>3</v>
      </c>
      <c r="M13" s="154">
        <f t="shared" si="13"/>
        <v>3.9999999999990905</v>
      </c>
      <c r="N13" s="154">
        <f t="shared" si="13"/>
        <v>3.9999999999990905</v>
      </c>
      <c r="O13" s="154">
        <f t="shared" ref="O13:O25" si="14">J13</f>
        <v>3</v>
      </c>
      <c r="P13" s="154">
        <f t="shared" ref="P13:P19" si="15">IF((($D13+$K13/12+P$2/12)-TRUNC($D13+$K13/12+P$2/12))*12=0,1,(($D13+$K13/12+P$2/12)-TRUNC($D13+$K13/12+P$2/12))*12)</f>
        <v>3</v>
      </c>
      <c r="Q13" s="153"/>
      <c r="R13" s="9"/>
      <c r="S13" s="9"/>
      <c r="T13" s="9"/>
      <c r="U13" s="9"/>
      <c r="V13" s="9"/>
      <c r="W13" s="9"/>
      <c r="X13" s="153">
        <v>2029</v>
      </c>
      <c r="Y13" s="9">
        <v>2033</v>
      </c>
      <c r="Z13" s="9">
        <v>2033</v>
      </c>
      <c r="AA13" s="9">
        <v>2033</v>
      </c>
      <c r="AB13" s="9">
        <v>2033</v>
      </c>
      <c r="AC13" s="9">
        <f t="shared" ref="AC13:AC25" si="16">H13+8</f>
        <v>2025</v>
      </c>
      <c r="AD13" s="9">
        <v>2033</v>
      </c>
      <c r="AE13" s="153">
        <v>9</v>
      </c>
      <c r="AF13" s="9">
        <v>11</v>
      </c>
      <c r="AG13" s="9">
        <v>11</v>
      </c>
      <c r="AH13" s="9">
        <v>11</v>
      </c>
      <c r="AI13" s="9">
        <v>11</v>
      </c>
      <c r="AJ13" s="9">
        <f t="shared" ref="AJ13:AJ25" si="17">O13</f>
        <v>3</v>
      </c>
      <c r="AK13" s="9">
        <v>11</v>
      </c>
      <c r="AL13" s="152">
        <v>1.6</v>
      </c>
      <c r="AM13" s="152">
        <v>2.2612105538192599</v>
      </c>
      <c r="AN13" s="152">
        <v>2.1252009430760062</v>
      </c>
      <c r="AO13" s="152">
        <v>1.2944496352201866</v>
      </c>
      <c r="AP13" s="152">
        <v>0.32314284341629806</v>
      </c>
      <c r="AQ13" s="152">
        <v>0.14000000000000001</v>
      </c>
      <c r="AR13" s="152">
        <v>1.4542000570988298</v>
      </c>
      <c r="AS13" s="152">
        <v>11.984388276878477</v>
      </c>
      <c r="AT13" s="152">
        <v>-1.7475682675103321</v>
      </c>
      <c r="AU13" s="152">
        <v>-1.7169645793441486</v>
      </c>
      <c r="AV13" s="152">
        <v>-1.4425350046709582</v>
      </c>
      <c r="AW13" s="152">
        <v>0.61768216477991222</v>
      </c>
      <c r="AX13" s="152">
        <v>0.15</v>
      </c>
      <c r="AY13" s="152">
        <v>-0.4950056673809119</v>
      </c>
      <c r="AZ13" s="151">
        <v>0.15</v>
      </c>
      <c r="BA13" s="151">
        <v>0.2</v>
      </c>
      <c r="BB13" s="151">
        <v>0.12</v>
      </c>
      <c r="BC13" s="151">
        <v>0.08</v>
      </c>
      <c r="BD13" s="151">
        <v>0.18</v>
      </c>
      <c r="BE13" s="151">
        <v>0.16</v>
      </c>
      <c r="BF13" s="151">
        <v>0.05</v>
      </c>
      <c r="BG13" s="151">
        <v>0.35</v>
      </c>
      <c r="BH13" s="151">
        <v>0.3</v>
      </c>
      <c r="BI13" s="151">
        <v>0.38</v>
      </c>
      <c r="BJ13" s="151">
        <v>0.42</v>
      </c>
      <c r="BK13" s="151">
        <v>0.32</v>
      </c>
      <c r="BL13" s="151">
        <v>0.34</v>
      </c>
      <c r="BM13" s="151">
        <v>0.45</v>
      </c>
      <c r="BN13" s="151">
        <v>0.15</v>
      </c>
      <c r="BO13" s="151">
        <v>0.2</v>
      </c>
      <c r="BP13" s="151">
        <v>0.12</v>
      </c>
      <c r="BQ13" s="151">
        <v>0.08</v>
      </c>
      <c r="BR13" s="151">
        <v>0.18</v>
      </c>
      <c r="BS13" s="151">
        <v>0.16</v>
      </c>
      <c r="BT13" s="151">
        <v>0.05</v>
      </c>
      <c r="BU13" s="151">
        <v>0.35</v>
      </c>
      <c r="BV13" s="151">
        <v>0.3</v>
      </c>
      <c r="BW13" s="151">
        <v>0.38</v>
      </c>
      <c r="BX13" s="151">
        <v>0.42</v>
      </c>
      <c r="BY13" s="151">
        <v>0.32</v>
      </c>
      <c r="BZ13" s="151">
        <v>0.34</v>
      </c>
      <c r="CA13" s="151">
        <v>0.45</v>
      </c>
    </row>
    <row r="14" spans="1:79" x14ac:dyDescent="0.35">
      <c r="A14" s="9" t="s">
        <v>85</v>
      </c>
      <c r="B14" s="9" t="s">
        <v>62</v>
      </c>
      <c r="C14" s="153">
        <v>2019</v>
      </c>
      <c r="D14" s="154">
        <f>C14+1</f>
        <v>2020</v>
      </c>
      <c r="E14" s="154">
        <f t="shared" si="11"/>
        <v>2021</v>
      </c>
      <c r="F14" s="154">
        <f t="shared" si="11"/>
        <v>2021</v>
      </c>
      <c r="G14" s="154">
        <f t="shared" si="11"/>
        <v>2021</v>
      </c>
      <c r="H14" s="154">
        <v>2022</v>
      </c>
      <c r="I14" s="154">
        <f t="shared" si="12"/>
        <v>2020</v>
      </c>
      <c r="J14" s="153">
        <v>5</v>
      </c>
      <c r="K14" s="9">
        <v>3</v>
      </c>
      <c r="L14" s="154">
        <f t="shared" si="13"/>
        <v>3</v>
      </c>
      <c r="M14" s="154">
        <f t="shared" si="13"/>
        <v>3.9999999999990905</v>
      </c>
      <c r="N14" s="154">
        <f t="shared" si="13"/>
        <v>3.9999999999990905</v>
      </c>
      <c r="O14" s="154">
        <v>11</v>
      </c>
      <c r="P14" s="154">
        <f t="shared" si="15"/>
        <v>3</v>
      </c>
      <c r="Q14" s="9">
        <v>7.5</v>
      </c>
      <c r="R14" s="9"/>
      <c r="S14" s="9"/>
      <c r="T14" s="9"/>
      <c r="U14" s="9"/>
      <c r="V14" s="9"/>
      <c r="W14" s="9"/>
      <c r="X14" s="154">
        <v>2026</v>
      </c>
      <c r="Y14" s="9">
        <v>2031</v>
      </c>
      <c r="Z14" s="9">
        <v>2031</v>
      </c>
      <c r="AA14" s="9">
        <v>2031</v>
      </c>
      <c r="AB14" s="9">
        <v>2031</v>
      </c>
      <c r="AC14" s="9">
        <f t="shared" si="16"/>
        <v>2030</v>
      </c>
      <c r="AD14" s="9">
        <v>2031</v>
      </c>
      <c r="AE14" s="9">
        <v>6</v>
      </c>
      <c r="AF14" s="9">
        <v>1</v>
      </c>
      <c r="AG14" s="9">
        <v>1</v>
      </c>
      <c r="AH14" s="9">
        <v>1</v>
      </c>
      <c r="AI14" s="9">
        <v>1</v>
      </c>
      <c r="AJ14" s="9">
        <f t="shared" si="17"/>
        <v>11</v>
      </c>
      <c r="AK14" s="9">
        <v>1</v>
      </c>
      <c r="AL14" s="152">
        <v>1.2267192541321688</v>
      </c>
      <c r="AM14" s="152">
        <v>2.2612105538192599</v>
      </c>
      <c r="AN14" s="152">
        <v>2.1252009430760062</v>
      </c>
      <c r="AO14" s="152">
        <v>1.2944496352201866</v>
      </c>
      <c r="AP14" s="152">
        <v>0.32314284341629806</v>
      </c>
      <c r="AQ14" s="152">
        <v>0.14000000000000001</v>
      </c>
      <c r="AR14" s="152">
        <v>1.4542000570988298</v>
      </c>
      <c r="AS14" s="152">
        <v>-1.8</v>
      </c>
      <c r="AT14" s="152">
        <v>-1.7475682675103321</v>
      </c>
      <c r="AU14" s="152">
        <v>-1.7169645793441486</v>
      </c>
      <c r="AV14" s="152">
        <v>-1.4425350046709582</v>
      </c>
      <c r="AW14" s="152">
        <v>0.61768216477991222</v>
      </c>
      <c r="AX14" s="152">
        <v>0.15</v>
      </c>
      <c r="AY14" s="152">
        <v>-0.4950056673809119</v>
      </c>
      <c r="AZ14" s="151">
        <v>0.22</v>
      </c>
      <c r="BA14" s="151">
        <v>0.27</v>
      </c>
      <c r="BB14" s="151">
        <v>0.17</v>
      </c>
      <c r="BC14" s="151">
        <v>0.14000000000000001</v>
      </c>
      <c r="BD14" s="151">
        <v>0.23</v>
      </c>
      <c r="BE14" s="151">
        <v>0.23</v>
      </c>
      <c r="BF14" s="151">
        <v>0.06</v>
      </c>
      <c r="BG14" s="151">
        <v>0.28000000000000003</v>
      </c>
      <c r="BH14" s="151">
        <v>0.23</v>
      </c>
      <c r="BI14" s="151">
        <v>0.33</v>
      </c>
      <c r="BJ14" s="151">
        <v>0.36</v>
      </c>
      <c r="BK14" s="151">
        <v>0.27</v>
      </c>
      <c r="BL14" s="151">
        <v>0.27</v>
      </c>
      <c r="BM14" s="151">
        <v>0.45</v>
      </c>
      <c r="BN14" s="151">
        <v>0.22</v>
      </c>
      <c r="BO14" s="151">
        <v>0.27</v>
      </c>
      <c r="BP14" s="151">
        <v>0.17</v>
      </c>
      <c r="BQ14" s="151">
        <v>0.14000000000000001</v>
      </c>
      <c r="BR14" s="151">
        <v>0.23</v>
      </c>
      <c r="BS14" s="151">
        <v>0.23</v>
      </c>
      <c r="BT14" s="151">
        <v>0.06</v>
      </c>
      <c r="BU14" s="151">
        <v>0.28000000000000003</v>
      </c>
      <c r="BV14" s="151">
        <v>0.23</v>
      </c>
      <c r="BW14" s="151">
        <v>0.33</v>
      </c>
      <c r="BX14" s="151">
        <v>0.36</v>
      </c>
      <c r="BY14" s="151">
        <v>0.27</v>
      </c>
      <c r="BZ14" s="151">
        <v>0.27</v>
      </c>
      <c r="CA14" s="151">
        <v>0.45</v>
      </c>
    </row>
    <row r="15" spans="1:79" x14ac:dyDescent="0.35">
      <c r="A15" s="9" t="s">
        <v>69</v>
      </c>
      <c r="B15" s="9" t="s">
        <v>62</v>
      </c>
      <c r="C15" s="9">
        <v>2023</v>
      </c>
      <c r="D15" s="154">
        <f>C15+1</f>
        <v>2024</v>
      </c>
      <c r="E15" s="154">
        <f t="shared" si="11"/>
        <v>2025</v>
      </c>
      <c r="F15" s="154">
        <f t="shared" si="11"/>
        <v>2025</v>
      </c>
      <c r="G15" s="154">
        <f t="shared" si="11"/>
        <v>2025</v>
      </c>
      <c r="H15" s="154">
        <f t="shared" si="2"/>
        <v>2024</v>
      </c>
      <c r="I15" s="154">
        <f t="shared" si="12"/>
        <v>2024</v>
      </c>
      <c r="J15" s="9">
        <v>9</v>
      </c>
      <c r="K15" s="9">
        <v>9</v>
      </c>
      <c r="L15" s="154">
        <f t="shared" si="13"/>
        <v>9</v>
      </c>
      <c r="M15" s="154">
        <f t="shared" si="13"/>
        <v>9.9999999999990905</v>
      </c>
      <c r="N15" s="154">
        <f t="shared" si="13"/>
        <v>9.9999999999990905</v>
      </c>
      <c r="O15" s="154">
        <f t="shared" si="14"/>
        <v>9</v>
      </c>
      <c r="P15" s="154">
        <f t="shared" si="15"/>
        <v>9</v>
      </c>
      <c r="Q15" s="9"/>
      <c r="R15" s="9"/>
      <c r="S15" s="9"/>
      <c r="T15" s="9"/>
      <c r="U15" s="9"/>
      <c r="V15" s="9"/>
      <c r="W15" s="9"/>
      <c r="X15" s="9">
        <v>2026</v>
      </c>
      <c r="Y15" s="9">
        <v>2026</v>
      </c>
      <c r="Z15" s="9">
        <v>2026</v>
      </c>
      <c r="AA15" s="9">
        <v>2026</v>
      </c>
      <c r="AB15" s="9">
        <v>2026</v>
      </c>
      <c r="AC15" s="9">
        <f t="shared" si="16"/>
        <v>2032</v>
      </c>
      <c r="AD15" s="9">
        <v>2026</v>
      </c>
      <c r="AE15" s="9">
        <v>9</v>
      </c>
      <c r="AF15" s="9">
        <v>9</v>
      </c>
      <c r="AG15" s="9">
        <v>9</v>
      </c>
      <c r="AH15" s="9">
        <v>9</v>
      </c>
      <c r="AI15" s="9">
        <v>9</v>
      </c>
      <c r="AJ15" s="9">
        <f t="shared" si="17"/>
        <v>9</v>
      </c>
      <c r="AK15" s="9">
        <v>9</v>
      </c>
      <c r="AL15" s="152">
        <v>1.2267192541321688</v>
      </c>
      <c r="AM15" s="152">
        <v>2.2612105538192599</v>
      </c>
      <c r="AN15" s="152">
        <v>2.1252009430760062</v>
      </c>
      <c r="AO15" s="152">
        <v>1.2944496352201866</v>
      </c>
      <c r="AP15" s="152">
        <v>0.32314284341629806</v>
      </c>
      <c r="AQ15" s="152">
        <v>0.14000000000000001</v>
      </c>
      <c r="AR15" s="152">
        <v>1.4542000570988298</v>
      </c>
      <c r="AS15" s="152">
        <v>11.984388276878477</v>
      </c>
      <c r="AT15" s="152">
        <v>-1.7475682675103321</v>
      </c>
      <c r="AU15" s="152">
        <v>-1.7169645793441486</v>
      </c>
      <c r="AV15" s="152">
        <v>-1.4425350046709582</v>
      </c>
      <c r="AW15" s="152">
        <v>0.61768216477991222</v>
      </c>
      <c r="AX15" s="152">
        <v>0.15</v>
      </c>
      <c r="AY15" s="152">
        <v>-0.4950056673809119</v>
      </c>
      <c r="AZ15" s="151">
        <v>0.22</v>
      </c>
      <c r="BA15" s="151">
        <v>0.27</v>
      </c>
      <c r="BB15" s="151">
        <v>0.17</v>
      </c>
      <c r="BC15" s="151">
        <v>0.14000000000000001</v>
      </c>
      <c r="BD15" s="151">
        <v>0.23</v>
      </c>
      <c r="BE15" s="151">
        <v>0.23</v>
      </c>
      <c r="BF15" s="151">
        <v>0.06</v>
      </c>
      <c r="BG15" s="151">
        <v>0.28000000000000003</v>
      </c>
      <c r="BH15" s="151">
        <v>0.23</v>
      </c>
      <c r="BI15" s="151">
        <v>0.33</v>
      </c>
      <c r="BJ15" s="151">
        <v>0.36</v>
      </c>
      <c r="BK15" s="151">
        <v>0.27</v>
      </c>
      <c r="BL15" s="151">
        <v>0.34</v>
      </c>
      <c r="BM15" s="151">
        <v>0.45</v>
      </c>
      <c r="BN15" s="151">
        <v>0.22</v>
      </c>
      <c r="BO15" s="151">
        <v>0.27</v>
      </c>
      <c r="BP15" s="151">
        <v>0.17</v>
      </c>
      <c r="BQ15" s="151">
        <v>0.14000000000000001</v>
      </c>
      <c r="BR15" s="151">
        <v>0.23</v>
      </c>
      <c r="BS15" s="151">
        <v>0.23</v>
      </c>
      <c r="BT15" s="151">
        <v>0.06</v>
      </c>
      <c r="BU15" s="151">
        <v>0.28000000000000003</v>
      </c>
      <c r="BV15" s="151">
        <v>0.23</v>
      </c>
      <c r="BW15" s="151">
        <v>0.33</v>
      </c>
      <c r="BX15" s="151">
        <v>0.36</v>
      </c>
      <c r="BY15" s="151">
        <v>0.27</v>
      </c>
      <c r="BZ15" s="151">
        <v>0.27</v>
      </c>
      <c r="CA15" s="151">
        <v>0.45</v>
      </c>
    </row>
    <row r="16" spans="1:79" x14ac:dyDescent="0.35">
      <c r="A16" s="9" t="s">
        <v>21</v>
      </c>
      <c r="B16" s="9" t="s">
        <v>20</v>
      </c>
      <c r="C16" s="153">
        <v>2025</v>
      </c>
      <c r="D16" s="154">
        <f>C16+1</f>
        <v>2026</v>
      </c>
      <c r="E16" s="154">
        <f t="shared" si="11"/>
        <v>2027</v>
      </c>
      <c r="F16" s="154">
        <f t="shared" si="11"/>
        <v>2027</v>
      </c>
      <c r="G16" s="154">
        <f t="shared" si="11"/>
        <v>2027</v>
      </c>
      <c r="H16" s="154">
        <v>2027</v>
      </c>
      <c r="I16" s="154">
        <f t="shared" si="12"/>
        <v>2026</v>
      </c>
      <c r="J16" s="153">
        <v>6</v>
      </c>
      <c r="K16" s="9">
        <v>3</v>
      </c>
      <c r="L16" s="154">
        <f t="shared" si="13"/>
        <v>3</v>
      </c>
      <c r="M16" s="154">
        <f t="shared" si="13"/>
        <v>3.9999999999990905</v>
      </c>
      <c r="N16" s="154">
        <f t="shared" si="13"/>
        <v>3.9999999999990905</v>
      </c>
      <c r="O16" s="154">
        <v>2</v>
      </c>
      <c r="P16" s="154">
        <f t="shared" si="15"/>
        <v>3</v>
      </c>
      <c r="Q16" s="9"/>
      <c r="R16" s="9"/>
      <c r="S16" s="9"/>
      <c r="T16" s="9"/>
      <c r="U16" s="9"/>
      <c r="V16" s="9"/>
      <c r="W16" s="9"/>
      <c r="X16" s="9">
        <v>2037</v>
      </c>
      <c r="Y16" s="9">
        <v>2036</v>
      </c>
      <c r="Z16" s="9">
        <v>2036</v>
      </c>
      <c r="AA16" s="9">
        <v>2036</v>
      </c>
      <c r="AB16" s="9">
        <v>2036</v>
      </c>
      <c r="AC16" s="9">
        <f t="shared" si="16"/>
        <v>2035</v>
      </c>
      <c r="AD16" s="9">
        <v>2036</v>
      </c>
      <c r="AE16" s="9">
        <v>5</v>
      </c>
      <c r="AF16" s="9">
        <v>3</v>
      </c>
      <c r="AG16" s="9">
        <v>3</v>
      </c>
      <c r="AH16" s="9">
        <v>3</v>
      </c>
      <c r="AI16" s="9">
        <v>3</v>
      </c>
      <c r="AJ16" s="9">
        <f t="shared" si="17"/>
        <v>2</v>
      </c>
      <c r="AK16" s="9">
        <v>3</v>
      </c>
      <c r="AL16" s="152">
        <v>1.2267192541321688</v>
      </c>
      <c r="AM16" s="152">
        <v>2.2612105538192599</v>
      </c>
      <c r="AN16" s="152">
        <v>2.1252009430760062</v>
      </c>
      <c r="AO16" s="152">
        <v>1.2944496352201866</v>
      </c>
      <c r="AP16" s="152">
        <v>0.32314284341629806</v>
      </c>
      <c r="AQ16" s="152">
        <v>0.14000000000000001</v>
      </c>
      <c r="AR16" s="152">
        <v>1.4542000570988298</v>
      </c>
      <c r="AS16" s="152">
        <v>11.984388276878477</v>
      </c>
      <c r="AT16" s="152">
        <v>-1.7475682675103321</v>
      </c>
      <c r="AU16" s="152">
        <v>-1.7169645793441486</v>
      </c>
      <c r="AV16" s="152">
        <v>-1.4425350046709582</v>
      </c>
      <c r="AW16" s="152">
        <v>0.61768216477991222</v>
      </c>
      <c r="AX16" s="152">
        <v>0.15</v>
      </c>
      <c r="AY16" s="152">
        <v>-0.4950056673809119</v>
      </c>
      <c r="AZ16" s="151">
        <v>0.15</v>
      </c>
      <c r="BA16" s="151">
        <v>0.2</v>
      </c>
      <c r="BB16" s="151">
        <v>0.12</v>
      </c>
      <c r="BC16" s="151">
        <v>0.08</v>
      </c>
      <c r="BD16" s="151">
        <v>0.18</v>
      </c>
      <c r="BE16" s="151">
        <v>0.16</v>
      </c>
      <c r="BF16" s="151">
        <v>0.05</v>
      </c>
      <c r="BG16" s="151">
        <v>0.35</v>
      </c>
      <c r="BH16" s="151">
        <v>0.3</v>
      </c>
      <c r="BI16" s="151">
        <v>0.38</v>
      </c>
      <c r="BJ16" s="151">
        <v>0.42</v>
      </c>
      <c r="BK16" s="151">
        <v>0.32</v>
      </c>
      <c r="BL16" s="151">
        <v>0.34</v>
      </c>
      <c r="BM16" s="151">
        <v>0.45</v>
      </c>
      <c r="BN16" s="151">
        <v>0.15</v>
      </c>
      <c r="BO16" s="151">
        <v>0.2</v>
      </c>
      <c r="BP16" s="151">
        <v>0.12</v>
      </c>
      <c r="BQ16" s="151">
        <v>0.08</v>
      </c>
      <c r="BR16" s="151">
        <v>0.18</v>
      </c>
      <c r="BS16" s="151">
        <v>0.16</v>
      </c>
      <c r="BT16" s="151">
        <v>0.05</v>
      </c>
      <c r="BU16" s="151">
        <v>0.35</v>
      </c>
      <c r="BV16" s="151">
        <v>0.3</v>
      </c>
      <c r="BW16" s="151">
        <v>0.38</v>
      </c>
      <c r="BX16" s="151">
        <v>0.42</v>
      </c>
      <c r="BY16" s="151">
        <v>0.32</v>
      </c>
      <c r="BZ16" s="151">
        <v>0.34</v>
      </c>
      <c r="CA16" s="151">
        <v>0.45</v>
      </c>
    </row>
    <row r="17" spans="1:79" x14ac:dyDescent="0.35">
      <c r="A17" s="9" t="s">
        <v>17</v>
      </c>
      <c r="B17" s="9" t="s">
        <v>16</v>
      </c>
      <c r="C17" s="153">
        <v>2025</v>
      </c>
      <c r="D17" s="153">
        <v>2027</v>
      </c>
      <c r="E17" s="154">
        <f t="shared" si="11"/>
        <v>2028</v>
      </c>
      <c r="F17" s="154">
        <f t="shared" si="11"/>
        <v>2028</v>
      </c>
      <c r="G17" s="154">
        <f t="shared" si="11"/>
        <v>2028</v>
      </c>
      <c r="H17" s="154">
        <f t="shared" si="2"/>
        <v>2026</v>
      </c>
      <c r="I17" s="154">
        <f t="shared" si="12"/>
        <v>2027</v>
      </c>
      <c r="J17" s="153">
        <v>12</v>
      </c>
      <c r="K17" s="153">
        <v>1</v>
      </c>
      <c r="L17" s="154">
        <f t="shared" si="13"/>
        <v>0.99999999999909051</v>
      </c>
      <c r="M17" s="154">
        <f t="shared" si="13"/>
        <v>1.999999999998181</v>
      </c>
      <c r="N17" s="154">
        <f t="shared" si="13"/>
        <v>1.999999999998181</v>
      </c>
      <c r="O17" s="154">
        <f t="shared" si="14"/>
        <v>12</v>
      </c>
      <c r="P17" s="154">
        <f t="shared" si="15"/>
        <v>0.99999999999909051</v>
      </c>
      <c r="Q17" s="9"/>
      <c r="R17" s="9"/>
      <c r="S17" s="9"/>
      <c r="T17" s="9"/>
      <c r="U17" s="9"/>
      <c r="V17" s="9"/>
      <c r="W17" s="9"/>
      <c r="X17" s="9">
        <v>2034</v>
      </c>
      <c r="Y17" s="9">
        <v>2035</v>
      </c>
      <c r="Z17" s="9">
        <v>2035</v>
      </c>
      <c r="AA17" s="9">
        <v>2035</v>
      </c>
      <c r="AB17" s="9">
        <v>2035</v>
      </c>
      <c r="AC17" s="9">
        <f t="shared" si="16"/>
        <v>2034</v>
      </c>
      <c r="AD17" s="9">
        <v>2035</v>
      </c>
      <c r="AE17" s="9">
        <v>1</v>
      </c>
      <c r="AF17" s="9">
        <v>8</v>
      </c>
      <c r="AG17" s="9">
        <v>8</v>
      </c>
      <c r="AH17" s="9">
        <v>8</v>
      </c>
      <c r="AI17" s="9">
        <v>8</v>
      </c>
      <c r="AJ17" s="9">
        <f t="shared" si="17"/>
        <v>12</v>
      </c>
      <c r="AK17" s="9">
        <v>8</v>
      </c>
      <c r="AL17" s="152">
        <v>1.2267192541321688</v>
      </c>
      <c r="AM17" s="152">
        <v>2.2612105538192599</v>
      </c>
      <c r="AN17" s="152">
        <v>2.1252009430760062</v>
      </c>
      <c r="AO17" s="152">
        <v>1.2944496352201866</v>
      </c>
      <c r="AP17" s="152">
        <v>0.32314284341629806</v>
      </c>
      <c r="AQ17" s="152">
        <v>0.14000000000000001</v>
      </c>
      <c r="AR17" s="152">
        <v>1.4542000570988298</v>
      </c>
      <c r="AS17" s="152">
        <v>11.984388276878477</v>
      </c>
      <c r="AT17" s="152">
        <v>-1.7475682675103321</v>
      </c>
      <c r="AU17" s="152">
        <v>-1.7169645793441486</v>
      </c>
      <c r="AV17" s="152">
        <v>-1.4425350046709582</v>
      </c>
      <c r="AW17" s="152">
        <v>0.61768216477991222</v>
      </c>
      <c r="AX17" s="152">
        <v>0.15</v>
      </c>
      <c r="AY17" s="152">
        <v>-0.4950056673809119</v>
      </c>
      <c r="AZ17" s="151">
        <v>0.15</v>
      </c>
      <c r="BA17" s="151">
        <v>0.2</v>
      </c>
      <c r="BB17" s="151">
        <v>0.12</v>
      </c>
      <c r="BC17" s="151">
        <v>0.08</v>
      </c>
      <c r="BD17" s="151">
        <v>0.18</v>
      </c>
      <c r="BE17" s="151">
        <v>0.16</v>
      </c>
      <c r="BF17" s="151">
        <v>0.05</v>
      </c>
      <c r="BG17" s="151">
        <v>0.35</v>
      </c>
      <c r="BH17" s="151">
        <v>0.3</v>
      </c>
      <c r="BI17" s="151">
        <v>0.38</v>
      </c>
      <c r="BJ17" s="151">
        <v>0.42</v>
      </c>
      <c r="BK17" s="151">
        <v>0.32</v>
      </c>
      <c r="BL17" s="151">
        <v>0.34</v>
      </c>
      <c r="BM17" s="151">
        <v>0.45</v>
      </c>
      <c r="BN17" s="151">
        <v>0.15</v>
      </c>
      <c r="BO17" s="151">
        <v>0.2</v>
      </c>
      <c r="BP17" s="151">
        <v>0.12</v>
      </c>
      <c r="BQ17" s="151">
        <v>0.08</v>
      </c>
      <c r="BR17" s="151">
        <v>0.18</v>
      </c>
      <c r="BS17" s="151">
        <v>0.16</v>
      </c>
      <c r="BT17" s="151">
        <v>0.05</v>
      </c>
      <c r="BU17" s="151">
        <v>0.35</v>
      </c>
      <c r="BV17" s="151">
        <v>0.3</v>
      </c>
      <c r="BW17" s="151">
        <v>0.38</v>
      </c>
      <c r="BX17" s="151">
        <v>0.42</v>
      </c>
      <c r="BY17" s="151">
        <v>0.32</v>
      </c>
      <c r="BZ17" s="151">
        <v>0.34</v>
      </c>
      <c r="CA17" s="151">
        <v>0.45</v>
      </c>
    </row>
    <row r="18" spans="1:79" x14ac:dyDescent="0.35">
      <c r="A18" s="9" t="s">
        <v>67</v>
      </c>
      <c r="B18" s="9" t="s">
        <v>67</v>
      </c>
      <c r="C18" s="9">
        <v>2031</v>
      </c>
      <c r="D18" s="154">
        <f>C18+1</f>
        <v>2032</v>
      </c>
      <c r="E18" s="154">
        <f t="shared" si="11"/>
        <v>2033</v>
      </c>
      <c r="F18" s="154">
        <f t="shared" si="11"/>
        <v>2033</v>
      </c>
      <c r="G18" s="154">
        <f t="shared" si="11"/>
        <v>2033</v>
      </c>
      <c r="H18" s="154">
        <f t="shared" si="2"/>
        <v>2032</v>
      </c>
      <c r="I18" s="154">
        <f t="shared" si="12"/>
        <v>2032</v>
      </c>
      <c r="J18" s="9">
        <v>3</v>
      </c>
      <c r="K18" s="9">
        <v>3</v>
      </c>
      <c r="L18" s="154">
        <f t="shared" si="13"/>
        <v>3</v>
      </c>
      <c r="M18" s="154">
        <f t="shared" si="13"/>
        <v>3.9999999999990905</v>
      </c>
      <c r="N18" s="154">
        <f t="shared" si="13"/>
        <v>3.9999999999990905</v>
      </c>
      <c r="O18" s="154">
        <f t="shared" si="14"/>
        <v>3</v>
      </c>
      <c r="P18" s="154">
        <f t="shared" si="15"/>
        <v>3</v>
      </c>
      <c r="Q18" s="9"/>
      <c r="R18" s="9"/>
      <c r="S18" s="9"/>
      <c r="T18" s="9"/>
      <c r="U18" s="9"/>
      <c r="V18" s="9"/>
      <c r="W18" s="9"/>
      <c r="X18" s="9">
        <v>2041</v>
      </c>
      <c r="Y18" s="9">
        <v>2041</v>
      </c>
      <c r="Z18" s="9">
        <v>2041</v>
      </c>
      <c r="AA18" s="9">
        <v>2041</v>
      </c>
      <c r="AB18" s="9">
        <v>2041</v>
      </c>
      <c r="AC18" s="9">
        <f t="shared" si="16"/>
        <v>2040</v>
      </c>
      <c r="AD18" s="9">
        <v>2041</v>
      </c>
      <c r="AE18" s="9">
        <v>3</v>
      </c>
      <c r="AF18" s="9">
        <v>3</v>
      </c>
      <c r="AG18" s="9">
        <v>3</v>
      </c>
      <c r="AH18" s="9">
        <v>3</v>
      </c>
      <c r="AI18" s="9">
        <v>3</v>
      </c>
      <c r="AJ18" s="9">
        <f t="shared" si="17"/>
        <v>3</v>
      </c>
      <c r="AK18" s="9">
        <v>3</v>
      </c>
      <c r="AL18" s="152">
        <v>1.2267192541321688</v>
      </c>
      <c r="AM18" s="152">
        <v>2.2612105538192599</v>
      </c>
      <c r="AN18" s="152">
        <v>2.1252009430760062</v>
      </c>
      <c r="AO18" s="152">
        <v>1.2944496352201866</v>
      </c>
      <c r="AP18" s="152">
        <v>0.32314284341629806</v>
      </c>
      <c r="AQ18" s="152">
        <v>0.14000000000000001</v>
      </c>
      <c r="AR18" s="152">
        <v>1.4542000570988298</v>
      </c>
      <c r="AS18" s="152">
        <v>11.984388276878477</v>
      </c>
      <c r="AT18" s="152">
        <v>-1.7475682675103321</v>
      </c>
      <c r="AU18" s="152">
        <v>-1.7169645793441486</v>
      </c>
      <c r="AV18" s="152">
        <v>-1.4425350046709582</v>
      </c>
      <c r="AW18" s="152">
        <v>0.61768216477991222</v>
      </c>
      <c r="AX18" s="152">
        <v>0.15</v>
      </c>
      <c r="AY18" s="152">
        <v>-0.4950056673809119</v>
      </c>
      <c r="AZ18" s="151">
        <v>0.15</v>
      </c>
      <c r="BA18" s="151">
        <v>0.2</v>
      </c>
      <c r="BB18" s="151">
        <v>0.12</v>
      </c>
      <c r="BC18" s="151">
        <v>0.08</v>
      </c>
      <c r="BD18" s="151">
        <v>0.18</v>
      </c>
      <c r="BE18" s="151">
        <v>0.16</v>
      </c>
      <c r="BF18" s="151">
        <v>0.05</v>
      </c>
      <c r="BG18" s="151">
        <v>0.35</v>
      </c>
      <c r="BH18" s="151">
        <v>0.3</v>
      </c>
      <c r="BI18" s="151">
        <v>0.38</v>
      </c>
      <c r="BJ18" s="151">
        <v>0.42</v>
      </c>
      <c r="BK18" s="151">
        <v>0.32</v>
      </c>
      <c r="BL18" s="151">
        <v>0.34</v>
      </c>
      <c r="BM18" s="151">
        <v>0.45</v>
      </c>
      <c r="BN18" s="151">
        <v>0.15</v>
      </c>
      <c r="BO18" s="151">
        <v>0.2</v>
      </c>
      <c r="BP18" s="151">
        <v>0.12</v>
      </c>
      <c r="BQ18" s="151">
        <v>0.08</v>
      </c>
      <c r="BR18" s="151">
        <v>0.18</v>
      </c>
      <c r="BS18" s="151">
        <v>0.16</v>
      </c>
      <c r="BT18" s="151">
        <v>0.05</v>
      </c>
      <c r="BU18" s="151">
        <v>0.35</v>
      </c>
      <c r="BV18" s="151">
        <v>0.3</v>
      </c>
      <c r="BW18" s="151">
        <v>0.38</v>
      </c>
      <c r="BX18" s="151">
        <v>0.42</v>
      </c>
      <c r="BY18" s="151">
        <v>0.32</v>
      </c>
      <c r="BZ18" s="151">
        <v>0.34</v>
      </c>
      <c r="CA18" s="151">
        <v>0.45</v>
      </c>
    </row>
    <row r="19" spans="1:79" x14ac:dyDescent="0.35">
      <c r="A19" s="9" t="s">
        <v>24</v>
      </c>
      <c r="B19" s="9" t="s">
        <v>24</v>
      </c>
      <c r="C19" s="153">
        <v>2026</v>
      </c>
      <c r="D19" s="153">
        <v>2026</v>
      </c>
      <c r="E19" s="154">
        <f t="shared" si="11"/>
        <v>2027</v>
      </c>
      <c r="F19" s="154">
        <f t="shared" si="11"/>
        <v>2027</v>
      </c>
      <c r="G19" s="154">
        <f t="shared" si="11"/>
        <v>2027</v>
      </c>
      <c r="H19" s="154">
        <f t="shared" si="2"/>
        <v>2027</v>
      </c>
      <c r="I19" s="154">
        <f t="shared" si="12"/>
        <v>2026</v>
      </c>
      <c r="J19" s="153">
        <v>4</v>
      </c>
      <c r="K19" s="9">
        <v>6</v>
      </c>
      <c r="L19" s="154">
        <f t="shared" si="13"/>
        <v>6</v>
      </c>
      <c r="M19" s="154">
        <f t="shared" si="13"/>
        <v>6.9999999999990905</v>
      </c>
      <c r="N19" s="154">
        <f t="shared" si="13"/>
        <v>6.9999999999990905</v>
      </c>
      <c r="O19" s="154">
        <v>1</v>
      </c>
      <c r="P19" s="154">
        <f t="shared" si="15"/>
        <v>6</v>
      </c>
      <c r="Q19" s="9"/>
      <c r="R19" s="9"/>
      <c r="S19" s="9"/>
      <c r="T19" s="9"/>
      <c r="U19" s="9"/>
      <c r="V19" s="9"/>
      <c r="W19" s="9"/>
      <c r="X19" s="9">
        <v>2038</v>
      </c>
      <c r="Y19" s="9">
        <v>2037</v>
      </c>
      <c r="Z19" s="9">
        <v>2037</v>
      </c>
      <c r="AA19" s="9">
        <v>2037</v>
      </c>
      <c r="AB19" s="9">
        <v>2037</v>
      </c>
      <c r="AC19" s="9">
        <f t="shared" si="16"/>
        <v>2035</v>
      </c>
      <c r="AD19" s="9">
        <v>2037</v>
      </c>
      <c r="AE19" s="9">
        <v>5</v>
      </c>
      <c r="AF19" s="9">
        <v>2</v>
      </c>
      <c r="AG19" s="9">
        <v>2</v>
      </c>
      <c r="AH19" s="9">
        <v>2</v>
      </c>
      <c r="AI19" s="9">
        <v>2</v>
      </c>
      <c r="AJ19" s="9">
        <f t="shared" si="17"/>
        <v>1</v>
      </c>
      <c r="AK19" s="9">
        <v>2</v>
      </c>
      <c r="AL19" s="152">
        <v>1.2267192541321688</v>
      </c>
      <c r="AM19" s="152">
        <v>2.2612105538192599</v>
      </c>
      <c r="AN19" s="152">
        <v>2.1252009430760062</v>
      </c>
      <c r="AO19" s="152">
        <v>1.2944496352201866</v>
      </c>
      <c r="AP19" s="152">
        <v>0.32314284341629806</v>
      </c>
      <c r="AQ19" s="152">
        <v>0.14000000000000001</v>
      </c>
      <c r="AR19" s="152">
        <v>1.4542000570988298</v>
      </c>
      <c r="AS19" s="152">
        <v>11.984388276878477</v>
      </c>
      <c r="AT19" s="152">
        <v>-1.7475682675103321</v>
      </c>
      <c r="AU19" s="152">
        <v>-1.7169645793441486</v>
      </c>
      <c r="AV19" s="152">
        <v>-1.4425350046709582</v>
      </c>
      <c r="AW19" s="152">
        <v>0.61768216477991222</v>
      </c>
      <c r="AX19" s="152">
        <v>0.15</v>
      </c>
      <c r="AY19" s="152">
        <v>-0.4950056673809119</v>
      </c>
      <c r="AZ19" s="151">
        <v>0.15</v>
      </c>
      <c r="BA19" s="151">
        <v>0.2</v>
      </c>
      <c r="BB19" s="151">
        <v>0.12</v>
      </c>
      <c r="BC19" s="151">
        <v>0.08</v>
      </c>
      <c r="BD19" s="151">
        <v>0.18</v>
      </c>
      <c r="BE19" s="151">
        <v>0.16</v>
      </c>
      <c r="BF19" s="151">
        <v>0.05</v>
      </c>
      <c r="BG19" s="151">
        <v>0.35</v>
      </c>
      <c r="BH19" s="151">
        <v>0.3</v>
      </c>
      <c r="BI19" s="151">
        <v>0.38</v>
      </c>
      <c r="BJ19" s="151">
        <v>0.42</v>
      </c>
      <c r="BK19" s="151">
        <v>0.32</v>
      </c>
      <c r="BL19" s="151">
        <v>0.34</v>
      </c>
      <c r="BM19" s="151">
        <v>0.45</v>
      </c>
      <c r="BN19" s="151">
        <v>0.15</v>
      </c>
      <c r="BO19" s="151">
        <v>0.2</v>
      </c>
      <c r="BP19" s="151">
        <v>0.12</v>
      </c>
      <c r="BQ19" s="151">
        <v>0.08</v>
      </c>
      <c r="BR19" s="151">
        <v>0.18</v>
      </c>
      <c r="BS19" s="151">
        <v>0.16</v>
      </c>
      <c r="BT19" s="151">
        <v>0.05</v>
      </c>
      <c r="BU19" s="151">
        <v>0.35</v>
      </c>
      <c r="BV19" s="151">
        <v>0.3</v>
      </c>
      <c r="BW19" s="151">
        <v>0.38</v>
      </c>
      <c r="BX19" s="151">
        <v>0.42</v>
      </c>
      <c r="BY19" s="151">
        <v>0.32</v>
      </c>
      <c r="BZ19" s="151">
        <v>0.34</v>
      </c>
      <c r="CA19" s="151">
        <v>0.45</v>
      </c>
    </row>
    <row r="20" spans="1:79" x14ac:dyDescent="0.35">
      <c r="A20" s="9" t="s">
        <v>196</v>
      </c>
      <c r="B20" s="9" t="s">
        <v>54</v>
      </c>
      <c r="C20" s="9"/>
      <c r="D20" s="153">
        <v>2010</v>
      </c>
      <c r="E20" s="153">
        <v>2010</v>
      </c>
      <c r="F20" s="153">
        <v>2010</v>
      </c>
      <c r="G20" s="153">
        <v>2010</v>
      </c>
      <c r="H20" s="154">
        <v>2010</v>
      </c>
      <c r="I20" s="153">
        <v>2012</v>
      </c>
      <c r="J20" s="9">
        <v>1</v>
      </c>
      <c r="K20" s="153">
        <v>9</v>
      </c>
      <c r="L20" s="153">
        <v>9</v>
      </c>
      <c r="M20" s="153">
        <v>9</v>
      </c>
      <c r="N20" s="153">
        <v>9</v>
      </c>
      <c r="O20" s="154">
        <f t="shared" si="14"/>
        <v>1</v>
      </c>
      <c r="P20" s="153">
        <v>9</v>
      </c>
      <c r="Q20" s="9"/>
      <c r="R20" s="153"/>
      <c r="S20" s="153"/>
      <c r="T20" s="153"/>
      <c r="U20" s="153"/>
      <c r="V20" s="153"/>
      <c r="W20" s="153"/>
      <c r="X20" s="9"/>
      <c r="Y20" s="153">
        <v>2017</v>
      </c>
      <c r="Z20" s="153">
        <v>2017</v>
      </c>
      <c r="AA20" s="153">
        <v>2017</v>
      </c>
      <c r="AB20" s="153">
        <v>2017</v>
      </c>
      <c r="AC20" s="9">
        <f t="shared" si="16"/>
        <v>2018</v>
      </c>
      <c r="AD20" s="153">
        <v>2017</v>
      </c>
      <c r="AE20" s="9"/>
      <c r="AF20" s="153">
        <v>3</v>
      </c>
      <c r="AG20" s="153">
        <v>3</v>
      </c>
      <c r="AH20" s="153">
        <v>3</v>
      </c>
      <c r="AI20" s="153">
        <v>3</v>
      </c>
      <c r="AJ20" s="9">
        <f t="shared" si="17"/>
        <v>1</v>
      </c>
      <c r="AK20" s="153">
        <v>3</v>
      </c>
      <c r="AL20" s="152">
        <v>1.2267192541321688</v>
      </c>
      <c r="AM20" s="152">
        <v>2.2612105538192599</v>
      </c>
      <c r="AN20" s="152">
        <v>2.1252009430760062</v>
      </c>
      <c r="AO20" s="152">
        <v>1.2944496352201866</v>
      </c>
      <c r="AP20" s="152">
        <v>0.32314284341629806</v>
      </c>
      <c r="AQ20" s="152">
        <v>0.14000000000000001</v>
      </c>
      <c r="AR20" s="152">
        <v>1.4542000570988298</v>
      </c>
      <c r="AS20" s="152">
        <v>11.984388276878477</v>
      </c>
      <c r="AT20" s="152">
        <v>-1.7475682675103321</v>
      </c>
      <c r="AU20" s="152">
        <v>-1.7169645793441486</v>
      </c>
      <c r="AV20" s="152">
        <v>-1.4425350046709582</v>
      </c>
      <c r="AW20" s="152">
        <v>0.61768216477991222</v>
      </c>
      <c r="AX20" s="152">
        <v>0.15</v>
      </c>
      <c r="AY20" s="152">
        <v>-0.4950056673809119</v>
      </c>
      <c r="AZ20" s="151">
        <v>0.15</v>
      </c>
      <c r="BA20" s="151">
        <v>0.2</v>
      </c>
      <c r="BB20" s="151">
        <v>0.12</v>
      </c>
      <c r="BC20" s="151">
        <v>0.08</v>
      </c>
      <c r="BD20" s="151">
        <v>0.18</v>
      </c>
      <c r="BE20" s="151">
        <v>0.16</v>
      </c>
      <c r="BF20" s="151">
        <v>0.05</v>
      </c>
      <c r="BG20" s="151">
        <v>0.35</v>
      </c>
      <c r="BH20" s="151">
        <v>0.3</v>
      </c>
      <c r="BI20" s="151">
        <v>0.38</v>
      </c>
      <c r="BJ20" s="151">
        <v>0.42</v>
      </c>
      <c r="BK20" s="151">
        <v>0.32</v>
      </c>
      <c r="BL20" s="151">
        <v>0.34</v>
      </c>
      <c r="BM20" s="151">
        <v>0.45</v>
      </c>
      <c r="BN20" s="151">
        <v>0.15</v>
      </c>
      <c r="BO20" s="151">
        <v>0.2</v>
      </c>
      <c r="BP20" s="151">
        <v>0.12</v>
      </c>
      <c r="BQ20" s="151">
        <v>0.08</v>
      </c>
      <c r="BR20" s="151">
        <v>0.18</v>
      </c>
      <c r="BS20" s="151">
        <v>0.16</v>
      </c>
      <c r="BT20" s="151">
        <v>0.05</v>
      </c>
      <c r="BU20" s="151">
        <v>0.35</v>
      </c>
      <c r="BV20" s="151">
        <v>0.3</v>
      </c>
      <c r="BW20" s="151">
        <v>0.38</v>
      </c>
      <c r="BX20" s="151">
        <v>0.42</v>
      </c>
      <c r="BY20" s="151">
        <v>0.32</v>
      </c>
      <c r="BZ20" s="151">
        <v>0.34</v>
      </c>
      <c r="CA20" s="151">
        <v>0.45</v>
      </c>
    </row>
    <row r="21" spans="1:79" x14ac:dyDescent="0.35">
      <c r="A21" s="9" t="s">
        <v>49</v>
      </c>
      <c r="B21" s="9" t="s">
        <v>46</v>
      </c>
      <c r="C21" s="9">
        <v>1981</v>
      </c>
      <c r="D21" s="9">
        <v>1984</v>
      </c>
      <c r="E21" s="9">
        <v>1984</v>
      </c>
      <c r="F21" s="9">
        <v>1984</v>
      </c>
      <c r="G21" s="9">
        <v>1984</v>
      </c>
      <c r="H21" s="154">
        <f t="shared" si="2"/>
        <v>1982</v>
      </c>
      <c r="I21" s="9">
        <v>1986</v>
      </c>
      <c r="J21" s="9">
        <v>11</v>
      </c>
      <c r="K21" s="9">
        <v>7</v>
      </c>
      <c r="L21" s="9">
        <v>7</v>
      </c>
      <c r="M21" s="9">
        <v>7</v>
      </c>
      <c r="N21" s="9">
        <v>7</v>
      </c>
      <c r="O21" s="154">
        <f t="shared" si="14"/>
        <v>11</v>
      </c>
      <c r="P21" s="9">
        <v>7</v>
      </c>
      <c r="Q21" s="9"/>
      <c r="R21" s="9"/>
      <c r="S21" s="9"/>
      <c r="T21" s="9"/>
      <c r="U21" s="9"/>
      <c r="V21" s="9"/>
      <c r="W21" s="9"/>
      <c r="X21" s="9">
        <v>1991</v>
      </c>
      <c r="Y21" s="9">
        <v>1994</v>
      </c>
      <c r="Z21" s="9">
        <v>1994</v>
      </c>
      <c r="AA21" s="9">
        <v>1994</v>
      </c>
      <c r="AB21" s="9">
        <v>1994</v>
      </c>
      <c r="AC21" s="9">
        <f t="shared" si="16"/>
        <v>1990</v>
      </c>
      <c r="AD21" s="9">
        <v>1994</v>
      </c>
      <c r="AE21" s="9">
        <v>11</v>
      </c>
      <c r="AF21" s="9">
        <v>7</v>
      </c>
      <c r="AG21" s="9">
        <v>7</v>
      </c>
      <c r="AH21" s="9">
        <v>7</v>
      </c>
      <c r="AI21" s="9">
        <v>7</v>
      </c>
      <c r="AJ21" s="9">
        <f t="shared" si="17"/>
        <v>11</v>
      </c>
      <c r="AK21" s="9">
        <v>7</v>
      </c>
      <c r="AL21" s="152">
        <v>1.2267192541321688</v>
      </c>
      <c r="AM21" s="152">
        <v>2.2612105538192599</v>
      </c>
      <c r="AN21" s="152">
        <v>2.1252009430760062</v>
      </c>
      <c r="AO21" s="152">
        <v>1.2944496352201866</v>
      </c>
      <c r="AP21" s="152">
        <v>0.32314284341629806</v>
      </c>
      <c r="AQ21" s="152">
        <v>0.14000000000000001</v>
      </c>
      <c r="AR21" s="152">
        <v>1.4542000570988298</v>
      </c>
      <c r="AS21" s="152">
        <v>11.984388276878477</v>
      </c>
      <c r="AT21" s="152">
        <v>-1.7475682675103321</v>
      </c>
      <c r="AU21" s="152">
        <v>-1.7169645793441486</v>
      </c>
      <c r="AV21" s="152">
        <v>-1.4425350046709582</v>
      </c>
      <c r="AW21" s="152">
        <v>0.61768216477991222</v>
      </c>
      <c r="AX21" s="152">
        <v>0.15</v>
      </c>
      <c r="AY21" s="152">
        <v>-0.4950056673809119</v>
      </c>
      <c r="AZ21" s="151">
        <v>0.15</v>
      </c>
      <c r="BA21" s="151">
        <v>0.2</v>
      </c>
      <c r="BB21" s="151">
        <v>0.12</v>
      </c>
      <c r="BC21" s="151">
        <v>0.08</v>
      </c>
      <c r="BD21" s="151">
        <v>0.18</v>
      </c>
      <c r="BE21" s="151">
        <v>0.16</v>
      </c>
      <c r="BF21" s="151">
        <v>0.05</v>
      </c>
      <c r="BG21" s="151">
        <v>0.35</v>
      </c>
      <c r="BH21" s="151">
        <v>0.3</v>
      </c>
      <c r="BI21" s="151">
        <v>0.38</v>
      </c>
      <c r="BJ21" s="151">
        <v>0.42</v>
      </c>
      <c r="BK21" s="151">
        <v>0.32</v>
      </c>
      <c r="BL21" s="151">
        <v>0.34</v>
      </c>
      <c r="BM21" s="151">
        <v>0.45</v>
      </c>
      <c r="BN21" s="151">
        <v>0.15</v>
      </c>
      <c r="BO21" s="151">
        <v>0.2</v>
      </c>
      <c r="BP21" s="151">
        <v>0.12</v>
      </c>
      <c r="BQ21" s="151">
        <v>0.08</v>
      </c>
      <c r="BR21" s="151">
        <v>0.18</v>
      </c>
      <c r="BS21" s="151">
        <v>0.16</v>
      </c>
      <c r="BT21" s="151">
        <v>0.05</v>
      </c>
      <c r="BU21" s="151">
        <v>0.35</v>
      </c>
      <c r="BV21" s="151">
        <v>0.3</v>
      </c>
      <c r="BW21" s="151">
        <v>0.38</v>
      </c>
      <c r="BX21" s="151">
        <v>0.42</v>
      </c>
      <c r="BY21" s="151">
        <v>0.32</v>
      </c>
      <c r="BZ21" s="151">
        <v>0.34</v>
      </c>
      <c r="CA21" s="151">
        <v>0.45</v>
      </c>
    </row>
    <row r="22" spans="1:79" x14ac:dyDescent="0.35">
      <c r="A22" s="9" t="s">
        <v>197</v>
      </c>
      <c r="B22" s="9" t="s">
        <v>195</v>
      </c>
      <c r="C22" s="9"/>
      <c r="D22" s="153">
        <v>1977</v>
      </c>
      <c r="E22" s="153">
        <v>1980</v>
      </c>
      <c r="F22" s="153">
        <v>1975</v>
      </c>
      <c r="G22" s="153">
        <v>1972</v>
      </c>
      <c r="H22" s="154">
        <v>1980</v>
      </c>
      <c r="I22" s="153">
        <v>1991</v>
      </c>
      <c r="J22" s="9">
        <v>7</v>
      </c>
      <c r="K22" s="9">
        <v>7</v>
      </c>
      <c r="L22" s="9">
        <v>7</v>
      </c>
      <c r="M22" s="9">
        <v>7</v>
      </c>
      <c r="N22" s="9">
        <v>7</v>
      </c>
      <c r="O22" s="154">
        <f t="shared" si="14"/>
        <v>7</v>
      </c>
      <c r="P22" s="9">
        <v>7</v>
      </c>
      <c r="Q22" s="9"/>
      <c r="R22" s="9"/>
      <c r="S22" s="9"/>
      <c r="T22" s="9"/>
      <c r="U22" s="9"/>
      <c r="V22" s="9"/>
      <c r="W22" s="9"/>
      <c r="X22" s="9"/>
      <c r="Y22" s="9">
        <v>2001</v>
      </c>
      <c r="Z22" s="9">
        <v>2001</v>
      </c>
      <c r="AA22" s="9">
        <v>2001</v>
      </c>
      <c r="AB22" s="9">
        <v>2001</v>
      </c>
      <c r="AC22" s="9">
        <f t="shared" si="16"/>
        <v>1988</v>
      </c>
      <c r="AD22" s="9">
        <v>2001</v>
      </c>
      <c r="AE22" s="9"/>
      <c r="AF22" s="9">
        <v>7</v>
      </c>
      <c r="AG22" s="9">
        <v>7</v>
      </c>
      <c r="AH22" s="9">
        <v>7</v>
      </c>
      <c r="AI22" s="9">
        <v>7</v>
      </c>
      <c r="AJ22" s="9">
        <f t="shared" si="17"/>
        <v>7</v>
      </c>
      <c r="AK22" s="9">
        <v>7</v>
      </c>
      <c r="AL22" s="152">
        <v>1.2267192541321688</v>
      </c>
      <c r="AM22" s="152">
        <v>2.2612105538192599</v>
      </c>
      <c r="AN22" s="152">
        <v>2.1252009430760062</v>
      </c>
      <c r="AO22" s="152">
        <v>1.2944496352201866</v>
      </c>
      <c r="AP22" s="152">
        <v>0.32314284341629806</v>
      </c>
      <c r="AQ22" s="152">
        <v>0.14000000000000001</v>
      </c>
      <c r="AR22" s="152">
        <v>1.4542000570988298</v>
      </c>
      <c r="AS22" s="152">
        <v>11.984388276878477</v>
      </c>
      <c r="AT22" s="152">
        <v>-1.7475682675103321</v>
      </c>
      <c r="AU22" s="152">
        <v>-1.7169645793441486</v>
      </c>
      <c r="AV22" s="152">
        <v>-1.4425350046709582</v>
      </c>
      <c r="AW22" s="152">
        <v>0.61768216477991222</v>
      </c>
      <c r="AX22" s="152">
        <v>0.15</v>
      </c>
      <c r="AY22" s="152">
        <v>-0.4950056673809119</v>
      </c>
      <c r="AZ22" s="151">
        <v>0.15</v>
      </c>
      <c r="BA22" s="151">
        <v>0.2</v>
      </c>
      <c r="BB22" s="151">
        <v>0.12</v>
      </c>
      <c r="BC22" s="151">
        <v>0.08</v>
      </c>
      <c r="BD22" s="151">
        <v>0.18</v>
      </c>
      <c r="BE22" s="151">
        <v>0.16</v>
      </c>
      <c r="BF22" s="151">
        <v>0.05</v>
      </c>
      <c r="BG22" s="151">
        <v>0.35</v>
      </c>
      <c r="BH22" s="151">
        <v>0.3</v>
      </c>
      <c r="BI22" s="151">
        <v>0.38</v>
      </c>
      <c r="BJ22" s="151">
        <v>0.42</v>
      </c>
      <c r="BK22" s="151">
        <v>0.32</v>
      </c>
      <c r="BL22" s="151">
        <v>0.34</v>
      </c>
      <c r="BM22" s="151">
        <v>0.45</v>
      </c>
      <c r="BN22" s="151">
        <v>0.15</v>
      </c>
      <c r="BO22" s="151">
        <v>0.2</v>
      </c>
      <c r="BP22" s="151">
        <v>0.12</v>
      </c>
      <c r="BQ22" s="151">
        <v>0.08</v>
      </c>
      <c r="BR22" s="151">
        <v>0.18</v>
      </c>
      <c r="BS22" s="151">
        <v>0.16</v>
      </c>
      <c r="BT22" s="151">
        <v>0.05</v>
      </c>
      <c r="BU22" s="151">
        <v>0.35</v>
      </c>
      <c r="BV22" s="151">
        <v>0.3</v>
      </c>
      <c r="BW22" s="151">
        <v>0.38</v>
      </c>
      <c r="BX22" s="151">
        <v>0.42</v>
      </c>
      <c r="BY22" s="151">
        <v>0.32</v>
      </c>
      <c r="BZ22" s="151">
        <v>0.34</v>
      </c>
      <c r="CA22" s="151">
        <v>0.45</v>
      </c>
    </row>
    <row r="23" spans="1:79" x14ac:dyDescent="0.35">
      <c r="A23" s="9" t="s">
        <v>68</v>
      </c>
      <c r="B23" s="9" t="s">
        <v>68</v>
      </c>
      <c r="C23" s="9">
        <v>2031</v>
      </c>
      <c r="D23" s="154">
        <f>C23+1</f>
        <v>2032</v>
      </c>
      <c r="E23" s="154">
        <f t="shared" ref="E23:G25" si="18">TRUNC($D23+$K23/12+L$2/12)</f>
        <v>2033</v>
      </c>
      <c r="F23" s="154">
        <f t="shared" si="18"/>
        <v>2033</v>
      </c>
      <c r="G23" s="154">
        <f t="shared" si="18"/>
        <v>2033</v>
      </c>
      <c r="H23" s="154">
        <f t="shared" si="2"/>
        <v>2032</v>
      </c>
      <c r="I23" s="154">
        <f>TRUNC($D23+$K23/12+P$2/12)</f>
        <v>2032</v>
      </c>
      <c r="J23" s="9">
        <v>3</v>
      </c>
      <c r="K23" s="9">
        <v>3</v>
      </c>
      <c r="L23" s="154">
        <f t="shared" ref="L23:N25" si="19">IF((($D23+$K23/12+L$2/12)-TRUNC($D23+$K23/12+L$2/12))*12=0,1,(($D23+$K23/12+L$2/12)-TRUNC($D23+$K23/12+L$2/12))*12)</f>
        <v>3</v>
      </c>
      <c r="M23" s="154">
        <f t="shared" si="19"/>
        <v>3.9999999999990905</v>
      </c>
      <c r="N23" s="154">
        <f t="shared" si="19"/>
        <v>3.9999999999990905</v>
      </c>
      <c r="O23" s="154">
        <f t="shared" si="14"/>
        <v>3</v>
      </c>
      <c r="P23" s="154">
        <f>IF((($D23+$K23/12+P$2/12)-TRUNC($D23+$K23/12+P$2/12))*12=0,1,(($D23+$K23/12+P$2/12)-TRUNC($D23+$K23/12+P$2/12))*12)</f>
        <v>3</v>
      </c>
      <c r="Q23" s="9"/>
      <c r="R23" s="9"/>
      <c r="S23" s="9"/>
      <c r="T23" s="9"/>
      <c r="U23" s="9"/>
      <c r="V23" s="9"/>
      <c r="W23" s="9"/>
      <c r="X23" s="9">
        <v>2041</v>
      </c>
      <c r="Y23" s="9">
        <v>2041</v>
      </c>
      <c r="Z23" s="9">
        <v>2041</v>
      </c>
      <c r="AA23" s="9">
        <v>2041</v>
      </c>
      <c r="AB23" s="9">
        <v>2041</v>
      </c>
      <c r="AC23" s="9">
        <f t="shared" si="16"/>
        <v>2040</v>
      </c>
      <c r="AD23" s="9">
        <v>2041</v>
      </c>
      <c r="AE23" s="9">
        <v>3</v>
      </c>
      <c r="AF23" s="9">
        <v>3</v>
      </c>
      <c r="AG23" s="9">
        <v>3</v>
      </c>
      <c r="AH23" s="9">
        <v>3</v>
      </c>
      <c r="AI23" s="9">
        <v>3</v>
      </c>
      <c r="AJ23" s="9">
        <f t="shared" si="17"/>
        <v>3</v>
      </c>
      <c r="AK23" s="9">
        <v>3</v>
      </c>
      <c r="AL23" s="152">
        <v>1.2267192541321688</v>
      </c>
      <c r="AM23" s="152">
        <v>2.2612105538192599</v>
      </c>
      <c r="AN23" s="152">
        <v>2.1252009430760062</v>
      </c>
      <c r="AO23" s="152">
        <v>1.2944496352201866</v>
      </c>
      <c r="AP23" s="152">
        <v>0.32314284341629806</v>
      </c>
      <c r="AQ23" s="152">
        <v>0.14000000000000001</v>
      </c>
      <c r="AR23" s="152">
        <v>1.4542000570988298</v>
      </c>
      <c r="AS23" s="152">
        <v>11.984388276878477</v>
      </c>
      <c r="AT23" s="152">
        <v>-1.7475682675103321</v>
      </c>
      <c r="AU23" s="152">
        <v>-1.7169645793441486</v>
      </c>
      <c r="AV23" s="152">
        <v>-1.4425350046709582</v>
      </c>
      <c r="AW23" s="152">
        <v>0.61768216477991222</v>
      </c>
      <c r="AX23" s="152">
        <v>0.15</v>
      </c>
      <c r="AY23" s="152">
        <v>-0.4950056673809119</v>
      </c>
      <c r="AZ23" s="151">
        <v>0.15</v>
      </c>
      <c r="BA23" s="151">
        <v>0.2</v>
      </c>
      <c r="BB23" s="151">
        <v>0.12</v>
      </c>
      <c r="BC23" s="151">
        <v>0.08</v>
      </c>
      <c r="BD23" s="151">
        <v>0.18</v>
      </c>
      <c r="BE23" s="151">
        <v>0.16</v>
      </c>
      <c r="BF23" s="151">
        <v>0.05</v>
      </c>
      <c r="BG23" s="151">
        <v>0.35</v>
      </c>
      <c r="BH23" s="151">
        <v>0.3</v>
      </c>
      <c r="BI23" s="151">
        <v>0.38</v>
      </c>
      <c r="BJ23" s="151">
        <v>0.42</v>
      </c>
      <c r="BK23" s="151">
        <v>0.32</v>
      </c>
      <c r="BL23" s="151">
        <v>0.34</v>
      </c>
      <c r="BM23" s="151">
        <v>0.45</v>
      </c>
      <c r="BN23" s="151">
        <v>0.15</v>
      </c>
      <c r="BO23" s="151">
        <v>0.2</v>
      </c>
      <c r="BP23" s="151">
        <v>0.12</v>
      </c>
      <c r="BQ23" s="151">
        <v>0.08</v>
      </c>
      <c r="BR23" s="151">
        <v>0.18</v>
      </c>
      <c r="BS23" s="151">
        <v>0.16</v>
      </c>
      <c r="BT23" s="151">
        <v>0.05</v>
      </c>
      <c r="BU23" s="151">
        <v>0.35</v>
      </c>
      <c r="BV23" s="151">
        <v>0.3</v>
      </c>
      <c r="BW23" s="151">
        <v>0.38</v>
      </c>
      <c r="BX23" s="151">
        <v>0.42</v>
      </c>
      <c r="BY23" s="151">
        <v>0.32</v>
      </c>
      <c r="BZ23" s="151">
        <v>0.34</v>
      </c>
      <c r="CA23" s="151">
        <v>0.45</v>
      </c>
    </row>
    <row r="24" spans="1:79" x14ac:dyDescent="0.35">
      <c r="A24" s="9" t="s">
        <v>57</v>
      </c>
      <c r="B24" s="9" t="s">
        <v>62</v>
      </c>
      <c r="C24" s="9">
        <v>2028</v>
      </c>
      <c r="D24" s="154">
        <f>C24+1</f>
        <v>2029</v>
      </c>
      <c r="E24" s="154">
        <f t="shared" si="18"/>
        <v>2030</v>
      </c>
      <c r="F24" s="154">
        <f t="shared" si="18"/>
        <v>2030</v>
      </c>
      <c r="G24" s="154">
        <f t="shared" si="18"/>
        <v>2030</v>
      </c>
      <c r="H24" s="154">
        <f t="shared" si="2"/>
        <v>2029</v>
      </c>
      <c r="I24" s="154">
        <f>TRUNC($D24+$K24/12+P$2/12)</f>
        <v>2029</v>
      </c>
      <c r="J24" s="9">
        <v>9</v>
      </c>
      <c r="K24" s="9">
        <v>9</v>
      </c>
      <c r="L24" s="154">
        <f t="shared" si="19"/>
        <v>9</v>
      </c>
      <c r="M24" s="154">
        <f t="shared" si="19"/>
        <v>9.9999999999990905</v>
      </c>
      <c r="N24" s="154">
        <f t="shared" si="19"/>
        <v>9.9999999999990905</v>
      </c>
      <c r="O24" s="154">
        <f t="shared" si="14"/>
        <v>9</v>
      </c>
      <c r="P24" s="154">
        <f>IF((($D24+$K24/12+P$2/12)-TRUNC($D24+$K24/12+P$2/12))*12=0,1,(($D24+$K24/12+P$2/12)-TRUNC($D24+$K24/12+P$2/12))*12)</f>
        <v>9</v>
      </c>
      <c r="Q24" s="9"/>
      <c r="R24" s="9"/>
      <c r="S24" s="9"/>
      <c r="T24" s="9"/>
      <c r="U24" s="9"/>
      <c r="V24" s="9"/>
      <c r="W24" s="9"/>
      <c r="X24" s="9">
        <v>2038</v>
      </c>
      <c r="Y24" s="9">
        <v>2038</v>
      </c>
      <c r="Z24" s="9">
        <v>2038</v>
      </c>
      <c r="AA24" s="9">
        <v>2038</v>
      </c>
      <c r="AB24" s="9">
        <v>2038</v>
      </c>
      <c r="AC24" s="9">
        <f t="shared" si="16"/>
        <v>2037</v>
      </c>
      <c r="AD24" s="9">
        <v>2038</v>
      </c>
      <c r="AE24" s="9">
        <v>9</v>
      </c>
      <c r="AF24" s="9">
        <v>9</v>
      </c>
      <c r="AG24" s="9">
        <v>9</v>
      </c>
      <c r="AH24" s="9">
        <v>9</v>
      </c>
      <c r="AI24" s="9">
        <v>9</v>
      </c>
      <c r="AJ24" s="9">
        <f t="shared" si="17"/>
        <v>9</v>
      </c>
      <c r="AK24" s="9">
        <v>9</v>
      </c>
      <c r="AL24" s="152">
        <v>1.2267192541321688</v>
      </c>
      <c r="AM24" s="152">
        <v>2.2612105538192599</v>
      </c>
      <c r="AN24" s="152">
        <v>2.1252009430760062</v>
      </c>
      <c r="AO24" s="152">
        <v>1.2944496352201866</v>
      </c>
      <c r="AP24" s="152">
        <v>0.32314284341629806</v>
      </c>
      <c r="AQ24" s="152">
        <v>0.14000000000000001</v>
      </c>
      <c r="AR24" s="152">
        <v>1.4542000570988298</v>
      </c>
      <c r="AS24" s="152">
        <v>11.984388276878477</v>
      </c>
      <c r="AT24" s="152">
        <v>-1.7475682675103321</v>
      </c>
      <c r="AU24" s="152">
        <v>-1.7169645793441486</v>
      </c>
      <c r="AV24" s="152">
        <v>-1.4425350046709582</v>
      </c>
      <c r="AW24" s="152">
        <v>0.61768216477991222</v>
      </c>
      <c r="AX24" s="152">
        <v>0.15</v>
      </c>
      <c r="AY24" s="152">
        <v>-0.4950056673809119</v>
      </c>
      <c r="AZ24" s="151">
        <v>0.22</v>
      </c>
      <c r="BA24" s="151">
        <v>0.27</v>
      </c>
      <c r="BB24" s="151">
        <v>0.17</v>
      </c>
      <c r="BC24" s="151">
        <v>0.14000000000000001</v>
      </c>
      <c r="BD24" s="151">
        <v>0.23</v>
      </c>
      <c r="BE24" s="151">
        <v>0.23</v>
      </c>
      <c r="BF24" s="151">
        <v>0.06</v>
      </c>
      <c r="BG24" s="151">
        <v>0.28000000000000003</v>
      </c>
      <c r="BH24" s="151">
        <v>0.23</v>
      </c>
      <c r="BI24" s="151">
        <v>0.33</v>
      </c>
      <c r="BJ24" s="151">
        <v>0.36</v>
      </c>
      <c r="BK24" s="151">
        <v>0.27</v>
      </c>
      <c r="BL24" s="151">
        <v>0.27</v>
      </c>
      <c r="BM24" s="151">
        <v>0.45</v>
      </c>
      <c r="BN24" s="151">
        <v>0.22</v>
      </c>
      <c r="BO24" s="151">
        <v>0.27</v>
      </c>
      <c r="BP24" s="151">
        <v>0.17</v>
      </c>
      <c r="BQ24" s="151">
        <v>0.14000000000000001</v>
      </c>
      <c r="BR24" s="151">
        <v>0.23</v>
      </c>
      <c r="BS24" s="151">
        <v>0.23</v>
      </c>
      <c r="BT24" s="151">
        <v>0.06</v>
      </c>
      <c r="BU24" s="151">
        <v>0.28000000000000003</v>
      </c>
      <c r="BV24" s="151">
        <v>0.23</v>
      </c>
      <c r="BW24" s="151">
        <v>0.33</v>
      </c>
      <c r="BX24" s="151">
        <v>0.36</v>
      </c>
      <c r="BY24" s="151">
        <v>0.27</v>
      </c>
      <c r="BZ24" s="151">
        <v>0.27</v>
      </c>
      <c r="CA24" s="151">
        <v>0.45</v>
      </c>
    </row>
    <row r="25" spans="1:79" x14ac:dyDescent="0.35">
      <c r="A25" s="9" t="s">
        <v>61</v>
      </c>
      <c r="B25" s="9" t="s">
        <v>62</v>
      </c>
      <c r="C25" s="9">
        <v>2027</v>
      </c>
      <c r="D25" s="154">
        <f>C25+1</f>
        <v>2028</v>
      </c>
      <c r="E25" s="154">
        <f t="shared" si="18"/>
        <v>2029</v>
      </c>
      <c r="F25" s="154">
        <f t="shared" si="18"/>
        <v>2029</v>
      </c>
      <c r="G25" s="154">
        <f t="shared" si="18"/>
        <v>2029</v>
      </c>
      <c r="H25" s="154">
        <f t="shared" si="2"/>
        <v>2028</v>
      </c>
      <c r="I25" s="154">
        <f>TRUNC($D25+$K25/12+P$2/12)</f>
        <v>2028</v>
      </c>
      <c r="J25" s="9">
        <v>6</v>
      </c>
      <c r="K25" s="9">
        <v>9</v>
      </c>
      <c r="L25" s="154">
        <f t="shared" si="19"/>
        <v>9</v>
      </c>
      <c r="M25" s="154">
        <f t="shared" si="19"/>
        <v>9.9999999999990905</v>
      </c>
      <c r="N25" s="154">
        <f t="shared" si="19"/>
        <v>9.9999999999990905</v>
      </c>
      <c r="O25" s="154">
        <f t="shared" si="14"/>
        <v>6</v>
      </c>
      <c r="P25" s="154">
        <f>IF((($D25+$K25/12+P$2/12)-TRUNC($D25+$K25/12+P$2/12))*12=0,1,(($D25+$K25/12+P$2/12)-TRUNC($D25+$K25/12+P$2/12))*12)</f>
        <v>9</v>
      </c>
      <c r="Q25" s="9"/>
      <c r="R25" s="9"/>
      <c r="S25" s="9"/>
      <c r="T25" s="9"/>
      <c r="U25" s="9"/>
      <c r="V25" s="9"/>
      <c r="W25" s="9"/>
      <c r="X25" s="9">
        <v>2036</v>
      </c>
      <c r="Y25" s="9">
        <v>2036</v>
      </c>
      <c r="Z25" s="9">
        <v>2036</v>
      </c>
      <c r="AA25" s="9">
        <v>2036</v>
      </c>
      <c r="AB25" s="9">
        <v>2036</v>
      </c>
      <c r="AC25" s="9">
        <f t="shared" si="16"/>
        <v>2036</v>
      </c>
      <c r="AD25" s="9">
        <v>2036</v>
      </c>
      <c r="AE25" s="9">
        <v>9</v>
      </c>
      <c r="AF25" s="9">
        <v>9</v>
      </c>
      <c r="AG25" s="9">
        <v>9</v>
      </c>
      <c r="AH25" s="9">
        <v>9</v>
      </c>
      <c r="AI25" s="9">
        <v>9</v>
      </c>
      <c r="AJ25" s="9">
        <f t="shared" si="17"/>
        <v>6</v>
      </c>
      <c r="AK25" s="9">
        <v>9</v>
      </c>
      <c r="AL25" s="152">
        <v>1.2267192541321688</v>
      </c>
      <c r="AM25" s="152">
        <v>2.2612105538192599</v>
      </c>
      <c r="AN25" s="152">
        <v>2.1252009430760062</v>
      </c>
      <c r="AO25" s="152">
        <v>1.2944496352201866</v>
      </c>
      <c r="AP25" s="152">
        <v>0.32314284341629806</v>
      </c>
      <c r="AQ25" s="152">
        <v>0.14000000000000001</v>
      </c>
      <c r="AR25" s="152">
        <v>1.4542000570988298</v>
      </c>
      <c r="AS25" s="152">
        <v>11.984388276878477</v>
      </c>
      <c r="AT25" s="152">
        <v>-1.7475682675103321</v>
      </c>
      <c r="AU25" s="152">
        <v>-1.7169645793441486</v>
      </c>
      <c r="AV25" s="152">
        <v>-1.4425350046709582</v>
      </c>
      <c r="AW25" s="152">
        <v>0.61768216477991222</v>
      </c>
      <c r="AX25" s="152">
        <v>0.15</v>
      </c>
      <c r="AY25" s="152">
        <v>-0.4950056673809119</v>
      </c>
      <c r="AZ25" s="151">
        <v>0.22</v>
      </c>
      <c r="BA25" s="151">
        <v>0.27</v>
      </c>
      <c r="BB25" s="151">
        <v>0.17</v>
      </c>
      <c r="BC25" s="151">
        <v>0.14000000000000001</v>
      </c>
      <c r="BD25" s="151">
        <v>0.23</v>
      </c>
      <c r="BE25" s="151">
        <v>0.23</v>
      </c>
      <c r="BF25" s="151">
        <v>0.06</v>
      </c>
      <c r="BG25" s="151">
        <v>0.28000000000000003</v>
      </c>
      <c r="BH25" s="151">
        <v>0.23</v>
      </c>
      <c r="BI25" s="151">
        <v>0.33</v>
      </c>
      <c r="BJ25" s="151">
        <v>0.36</v>
      </c>
      <c r="BK25" s="151">
        <v>0.27</v>
      </c>
      <c r="BL25" s="151">
        <v>0.27</v>
      </c>
      <c r="BM25" s="151">
        <v>0.45</v>
      </c>
      <c r="BN25" s="151">
        <v>0.22</v>
      </c>
      <c r="BO25" s="151">
        <v>0.27</v>
      </c>
      <c r="BP25" s="151">
        <v>0.17</v>
      </c>
      <c r="BQ25" s="151">
        <v>0.14000000000000001</v>
      </c>
      <c r="BR25" s="151">
        <v>0.23</v>
      </c>
      <c r="BS25" s="151">
        <v>0.23</v>
      </c>
      <c r="BT25" s="151">
        <v>0.06</v>
      </c>
      <c r="BU25" s="151">
        <v>0.28000000000000003</v>
      </c>
      <c r="BV25" s="151">
        <v>0.23</v>
      </c>
      <c r="BW25" s="151">
        <v>0.33</v>
      </c>
      <c r="BX25" s="151">
        <v>0.36</v>
      </c>
      <c r="BY25" s="151">
        <v>0.27</v>
      </c>
      <c r="BZ25" s="151">
        <v>0.27</v>
      </c>
      <c r="CA25" s="151">
        <v>0.45</v>
      </c>
    </row>
    <row r="26" spans="1:79" x14ac:dyDescent="0.35">
      <c r="A26" s="9" t="s">
        <v>98</v>
      </c>
      <c r="B26" s="9" t="s">
        <v>54</v>
      </c>
      <c r="C26" s="153">
        <v>2009</v>
      </c>
      <c r="D26" s="9"/>
      <c r="E26" s="9"/>
      <c r="F26" s="9"/>
      <c r="G26" s="9"/>
      <c r="H26" s="154"/>
      <c r="I26" s="9"/>
      <c r="J26" s="9">
        <v>4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>
        <v>2011</v>
      </c>
      <c r="Y26" s="9"/>
      <c r="Z26" s="9"/>
      <c r="AA26" s="9"/>
      <c r="AB26" s="9"/>
      <c r="AC26" s="9"/>
      <c r="AD26" s="9"/>
      <c r="AE26" s="9">
        <v>10</v>
      </c>
      <c r="AF26" s="9"/>
      <c r="AG26" s="9"/>
      <c r="AH26" s="9"/>
      <c r="AI26" s="9"/>
      <c r="AJ26" s="9"/>
      <c r="AK26" s="9"/>
      <c r="AL26" s="152">
        <v>1.2267192541321688</v>
      </c>
      <c r="AM26" s="152">
        <v>2.2612105538192599</v>
      </c>
      <c r="AN26" s="152">
        <v>2.1252009430760062</v>
      </c>
      <c r="AO26" s="152">
        <v>1.2944496352201866</v>
      </c>
      <c r="AP26" s="152">
        <v>0.32314284341629806</v>
      </c>
      <c r="AQ26" s="152">
        <v>0.14000000000000001</v>
      </c>
      <c r="AR26" s="152">
        <v>1.4542000570988298</v>
      </c>
      <c r="AS26" s="152">
        <v>11.984388276878477</v>
      </c>
      <c r="AT26" s="152">
        <v>-1.7475682675103321</v>
      </c>
      <c r="AU26" s="152">
        <v>-1.7169645793441486</v>
      </c>
      <c r="AV26" s="152">
        <v>-1.4425350046709582</v>
      </c>
      <c r="AW26" s="152">
        <v>0.61768216477991222</v>
      </c>
      <c r="AX26" s="152">
        <v>0.15</v>
      </c>
      <c r="AY26" s="152">
        <v>-0.4950056673809119</v>
      </c>
      <c r="AZ26" s="151">
        <v>0.15</v>
      </c>
      <c r="BA26" s="151">
        <v>0.2</v>
      </c>
      <c r="BB26" s="151">
        <v>0.12</v>
      </c>
      <c r="BC26" s="151">
        <v>0.08</v>
      </c>
      <c r="BD26" s="151">
        <v>0.18</v>
      </c>
      <c r="BE26" s="151">
        <v>0.16</v>
      </c>
      <c r="BF26" s="151">
        <v>0.05</v>
      </c>
      <c r="BG26" s="151">
        <v>0.35</v>
      </c>
      <c r="BH26" s="151">
        <v>0.3</v>
      </c>
      <c r="BI26" s="151">
        <v>0.38</v>
      </c>
      <c r="BJ26" s="151">
        <v>0.42</v>
      </c>
      <c r="BK26" s="151">
        <v>0.32</v>
      </c>
      <c r="BL26" s="151">
        <v>0.34</v>
      </c>
      <c r="BM26" s="151">
        <v>0.45</v>
      </c>
      <c r="BN26" s="151">
        <v>0.15</v>
      </c>
      <c r="BO26" s="151">
        <v>0.2</v>
      </c>
      <c r="BP26" s="151">
        <v>0.12</v>
      </c>
      <c r="BQ26" s="151">
        <v>0.08</v>
      </c>
      <c r="BR26" s="151">
        <v>0.18</v>
      </c>
      <c r="BS26" s="151">
        <v>0.16</v>
      </c>
      <c r="BT26" s="151">
        <v>0.05</v>
      </c>
      <c r="BU26" s="151">
        <v>0.35</v>
      </c>
      <c r="BV26" s="151">
        <v>0.3</v>
      </c>
      <c r="BW26" s="151">
        <v>0.38</v>
      </c>
      <c r="BX26" s="151">
        <v>0.42</v>
      </c>
      <c r="BY26" s="151">
        <v>0.32</v>
      </c>
      <c r="BZ26" s="151">
        <v>0.34</v>
      </c>
      <c r="CA26" s="151">
        <v>0.45</v>
      </c>
    </row>
    <row r="27" spans="1:79" x14ac:dyDescent="0.35">
      <c r="A27" s="9" t="s">
        <v>35</v>
      </c>
      <c r="B27" s="9" t="s">
        <v>34</v>
      </c>
      <c r="C27" s="153">
        <v>2027</v>
      </c>
      <c r="D27" s="154">
        <f t="shared" ref="D27:D50" si="20">C27+1</f>
        <v>2028</v>
      </c>
      <c r="E27" s="154">
        <f t="shared" ref="E27:E50" si="21">TRUNC($D27+$K27/12+L$2/12)</f>
        <v>2029</v>
      </c>
      <c r="F27" s="154">
        <f t="shared" ref="F27:F50" si="22">TRUNC($D27+$K27/12+M$2/12)</f>
        <v>2029</v>
      </c>
      <c r="G27" s="154">
        <f t="shared" ref="G27:G50" si="23">TRUNC($D27+$K27/12+N$2/12)</f>
        <v>2029</v>
      </c>
      <c r="H27" s="154">
        <f t="shared" si="2"/>
        <v>2028</v>
      </c>
      <c r="I27" s="154">
        <f t="shared" ref="I27:I50" si="24">TRUNC($D27+$K27/12+P$2/12)</f>
        <v>2028</v>
      </c>
      <c r="J27" s="153">
        <v>6</v>
      </c>
      <c r="K27" s="9">
        <v>4</v>
      </c>
      <c r="L27" s="154">
        <f t="shared" ref="L27:N50" si="25">IF((($D27+$K27/12+L$2/12)-TRUNC($D27+$K27/12+L$2/12))*12=0,1,(($D27+$K27/12+L$2/12)-TRUNC($D27+$K27/12+L$2/12))*12)</f>
        <v>3.9999999999990905</v>
      </c>
      <c r="M27" s="154">
        <f t="shared" si="25"/>
        <v>4.999999999998181</v>
      </c>
      <c r="N27" s="154">
        <f t="shared" si="25"/>
        <v>4.999999999998181</v>
      </c>
      <c r="O27" s="154">
        <v>2</v>
      </c>
      <c r="P27" s="154">
        <f t="shared" ref="P27:P50" si="26">IF((($D27+$K27/12+P$2/12)-TRUNC($D27+$K27/12+P$2/12))*12=0,1,(($D27+$K27/12+P$2/12)-TRUNC($D27+$K27/12+P$2/12))*12)</f>
        <v>3.9999999999990905</v>
      </c>
      <c r="Q27" s="9"/>
      <c r="R27" s="9"/>
      <c r="S27" s="9"/>
      <c r="T27" s="9"/>
      <c r="U27" s="9"/>
      <c r="V27" s="9"/>
      <c r="W27" s="9"/>
      <c r="X27" s="9">
        <v>2039</v>
      </c>
      <c r="Y27" s="9">
        <v>2038</v>
      </c>
      <c r="Z27" s="9">
        <v>2038</v>
      </c>
      <c r="AA27" s="9">
        <v>2038</v>
      </c>
      <c r="AB27" s="9">
        <v>2038</v>
      </c>
      <c r="AC27" s="9">
        <f t="shared" ref="AC27:AC50" si="27">H27+8</f>
        <v>2036</v>
      </c>
      <c r="AD27" s="9">
        <v>2038</v>
      </c>
      <c r="AE27" s="9">
        <v>5</v>
      </c>
      <c r="AF27" s="9">
        <v>2</v>
      </c>
      <c r="AG27" s="9">
        <v>2</v>
      </c>
      <c r="AH27" s="9">
        <v>2</v>
      </c>
      <c r="AI27" s="9">
        <v>2</v>
      </c>
      <c r="AJ27" s="9">
        <f t="shared" ref="AJ27:AJ50" si="28">O27</f>
        <v>2</v>
      </c>
      <c r="AK27" s="9">
        <v>2</v>
      </c>
      <c r="AL27" s="152">
        <v>1.2267192541321688</v>
      </c>
      <c r="AM27" s="152">
        <v>2.2612105538192599</v>
      </c>
      <c r="AN27" s="152">
        <v>2.1252009430760062</v>
      </c>
      <c r="AO27" s="152">
        <v>1.2944496352201866</v>
      </c>
      <c r="AP27" s="152">
        <v>0.32314284341629806</v>
      </c>
      <c r="AQ27" s="152">
        <v>0.14000000000000001</v>
      </c>
      <c r="AR27" s="152">
        <v>1.4542000570988298</v>
      </c>
      <c r="AS27" s="152">
        <v>11.984388276878477</v>
      </c>
      <c r="AT27" s="152">
        <v>-1.7475682675103321</v>
      </c>
      <c r="AU27" s="152">
        <v>-1.7169645793441486</v>
      </c>
      <c r="AV27" s="152">
        <v>-1.4425350046709582</v>
      </c>
      <c r="AW27" s="152">
        <v>0.61768216477991222</v>
      </c>
      <c r="AX27" s="152">
        <v>0.15</v>
      </c>
      <c r="AY27" s="152">
        <v>-0.4950056673809119</v>
      </c>
      <c r="AZ27" s="151">
        <v>0.15</v>
      </c>
      <c r="BA27" s="151">
        <v>0.2</v>
      </c>
      <c r="BB27" s="151">
        <v>0.12</v>
      </c>
      <c r="BC27" s="151">
        <v>0.08</v>
      </c>
      <c r="BD27" s="151">
        <v>0.18</v>
      </c>
      <c r="BE27" s="151">
        <v>0.16</v>
      </c>
      <c r="BF27" s="151">
        <v>0.05</v>
      </c>
      <c r="BG27" s="151">
        <v>0.35</v>
      </c>
      <c r="BH27" s="151">
        <v>0.3</v>
      </c>
      <c r="BI27" s="151">
        <v>0.38</v>
      </c>
      <c r="BJ27" s="151">
        <v>0.42</v>
      </c>
      <c r="BK27" s="151">
        <v>0.32</v>
      </c>
      <c r="BL27" s="151">
        <v>0.34</v>
      </c>
      <c r="BM27" s="151">
        <v>0.45</v>
      </c>
      <c r="BN27" s="151">
        <v>0.15</v>
      </c>
      <c r="BO27" s="151">
        <v>0.2</v>
      </c>
      <c r="BP27" s="151">
        <v>0.12</v>
      </c>
      <c r="BQ27" s="151">
        <v>0.08</v>
      </c>
      <c r="BR27" s="151">
        <v>0.18</v>
      </c>
      <c r="BS27" s="151">
        <v>0.16</v>
      </c>
      <c r="BT27" s="151">
        <v>0.05</v>
      </c>
      <c r="BU27" s="151">
        <v>0.35</v>
      </c>
      <c r="BV27" s="151">
        <v>0.3</v>
      </c>
      <c r="BW27" s="151">
        <v>0.38</v>
      </c>
      <c r="BX27" s="151">
        <v>0.42</v>
      </c>
      <c r="BY27" s="151">
        <v>0.32</v>
      </c>
      <c r="BZ27" s="151">
        <v>0.34</v>
      </c>
      <c r="CA27" s="151">
        <v>0.45</v>
      </c>
    </row>
    <row r="28" spans="1:79" x14ac:dyDescent="0.35">
      <c r="A28" s="9" t="s">
        <v>30</v>
      </c>
      <c r="B28" s="9" t="s">
        <v>27</v>
      </c>
      <c r="C28" s="9">
        <v>2033</v>
      </c>
      <c r="D28" s="154">
        <f t="shared" si="20"/>
        <v>2034</v>
      </c>
      <c r="E28" s="154">
        <f t="shared" si="21"/>
        <v>2035</v>
      </c>
      <c r="F28" s="154">
        <f t="shared" si="22"/>
        <v>2035</v>
      </c>
      <c r="G28" s="154">
        <f t="shared" si="23"/>
        <v>2035</v>
      </c>
      <c r="H28" s="154">
        <f t="shared" si="2"/>
        <v>2034</v>
      </c>
      <c r="I28" s="154">
        <f t="shared" si="24"/>
        <v>2034</v>
      </c>
      <c r="J28" s="9">
        <v>9</v>
      </c>
      <c r="K28" s="9">
        <v>6</v>
      </c>
      <c r="L28" s="154">
        <f t="shared" si="25"/>
        <v>6</v>
      </c>
      <c r="M28" s="154">
        <f t="shared" si="25"/>
        <v>6.9999999999990905</v>
      </c>
      <c r="N28" s="154">
        <f t="shared" si="25"/>
        <v>6.9999999999990905</v>
      </c>
      <c r="O28" s="154">
        <f t="shared" ref="O28:O50" si="29">J28</f>
        <v>9</v>
      </c>
      <c r="P28" s="154">
        <f t="shared" si="26"/>
        <v>6</v>
      </c>
      <c r="Q28" s="9"/>
      <c r="R28" s="9"/>
      <c r="S28" s="9"/>
      <c r="T28" s="9"/>
      <c r="U28" s="9"/>
      <c r="V28" s="9"/>
      <c r="W28" s="9"/>
      <c r="X28" s="9">
        <v>2045</v>
      </c>
      <c r="Y28" s="9">
        <v>2044</v>
      </c>
      <c r="Z28" s="9">
        <v>2044</v>
      </c>
      <c r="AA28" s="9">
        <v>2044</v>
      </c>
      <c r="AB28" s="9">
        <v>2044</v>
      </c>
      <c r="AC28" s="9">
        <f t="shared" si="27"/>
        <v>2042</v>
      </c>
      <c r="AD28" s="9">
        <v>2044</v>
      </c>
      <c r="AE28" s="9">
        <v>9</v>
      </c>
      <c r="AF28" s="9">
        <v>6</v>
      </c>
      <c r="AG28" s="9">
        <v>6</v>
      </c>
      <c r="AH28" s="9">
        <v>6</v>
      </c>
      <c r="AI28" s="9">
        <v>6</v>
      </c>
      <c r="AJ28" s="9">
        <f t="shared" si="28"/>
        <v>9</v>
      </c>
      <c r="AK28" s="9">
        <v>6</v>
      </c>
      <c r="AL28" s="152">
        <v>1.2267192541321688</v>
      </c>
      <c r="AM28" s="152">
        <v>2.2612105538192599</v>
      </c>
      <c r="AN28" s="152">
        <v>2.1252009430760062</v>
      </c>
      <c r="AO28" s="152">
        <v>1.2944496352201866</v>
      </c>
      <c r="AP28" s="152">
        <v>0.32314284341629806</v>
      </c>
      <c r="AQ28" s="152">
        <v>0.14000000000000001</v>
      </c>
      <c r="AR28" s="152">
        <v>1.4542000570988298</v>
      </c>
      <c r="AS28" s="152">
        <v>11.984388276878477</v>
      </c>
      <c r="AT28" s="152">
        <v>-1.7475682675103321</v>
      </c>
      <c r="AU28" s="152">
        <v>-1.7169645793441486</v>
      </c>
      <c r="AV28" s="152">
        <v>-1.4425350046709582</v>
      </c>
      <c r="AW28" s="152">
        <v>0.61768216477991222</v>
      </c>
      <c r="AX28" s="152">
        <v>0.15</v>
      </c>
      <c r="AY28" s="152">
        <v>-0.4950056673809119</v>
      </c>
      <c r="AZ28" s="151">
        <v>0.15</v>
      </c>
      <c r="BA28" s="151">
        <v>0.2</v>
      </c>
      <c r="BB28" s="151">
        <v>0.12</v>
      </c>
      <c r="BC28" s="151">
        <v>0.08</v>
      </c>
      <c r="BD28" s="151">
        <v>0.18</v>
      </c>
      <c r="BE28" s="151">
        <v>0.16</v>
      </c>
      <c r="BF28" s="151">
        <v>0.05</v>
      </c>
      <c r="BG28" s="151">
        <v>0.35</v>
      </c>
      <c r="BH28" s="151">
        <v>0.3</v>
      </c>
      <c r="BI28" s="151">
        <v>0.38</v>
      </c>
      <c r="BJ28" s="151">
        <v>0.42</v>
      </c>
      <c r="BK28" s="151">
        <v>0.32</v>
      </c>
      <c r="BL28" s="151">
        <v>0.34</v>
      </c>
      <c r="BM28" s="151">
        <v>0.45</v>
      </c>
      <c r="BN28" s="151">
        <v>0.15</v>
      </c>
      <c r="BO28" s="151">
        <v>0.2</v>
      </c>
      <c r="BP28" s="151">
        <v>0.12</v>
      </c>
      <c r="BQ28" s="151">
        <v>0.08</v>
      </c>
      <c r="BR28" s="151">
        <v>0.18</v>
      </c>
      <c r="BS28" s="151">
        <v>0.16</v>
      </c>
      <c r="BT28" s="151">
        <v>0.05</v>
      </c>
      <c r="BU28" s="151">
        <v>0.35</v>
      </c>
      <c r="BV28" s="151">
        <v>0.3</v>
      </c>
      <c r="BW28" s="151">
        <v>0.38</v>
      </c>
      <c r="BX28" s="151">
        <v>0.42</v>
      </c>
      <c r="BY28" s="151">
        <v>0.32</v>
      </c>
      <c r="BZ28" s="151">
        <v>0.34</v>
      </c>
      <c r="CA28" s="151">
        <v>0.45</v>
      </c>
    </row>
    <row r="29" spans="1:79" x14ac:dyDescent="0.35">
      <c r="A29" s="9" t="s">
        <v>23</v>
      </c>
      <c r="B29" s="9" t="s">
        <v>20</v>
      </c>
      <c r="C29" s="9">
        <v>2030</v>
      </c>
      <c r="D29" s="154">
        <f t="shared" si="20"/>
        <v>2031</v>
      </c>
      <c r="E29" s="154">
        <f t="shared" si="21"/>
        <v>2032</v>
      </c>
      <c r="F29" s="154">
        <f t="shared" si="22"/>
        <v>2032</v>
      </c>
      <c r="G29" s="154">
        <f t="shared" si="23"/>
        <v>2032</v>
      </c>
      <c r="H29" s="154">
        <f t="shared" si="2"/>
        <v>2031</v>
      </c>
      <c r="I29" s="154">
        <f t="shared" si="24"/>
        <v>2031</v>
      </c>
      <c r="J29" s="9">
        <v>6</v>
      </c>
      <c r="K29" s="9">
        <v>3</v>
      </c>
      <c r="L29" s="154">
        <f t="shared" si="25"/>
        <v>3</v>
      </c>
      <c r="M29" s="154">
        <f t="shared" si="25"/>
        <v>3.9999999999990905</v>
      </c>
      <c r="N29" s="154">
        <f t="shared" si="25"/>
        <v>3.9999999999990905</v>
      </c>
      <c r="O29" s="154">
        <f t="shared" si="29"/>
        <v>6</v>
      </c>
      <c r="P29" s="154">
        <f t="shared" si="26"/>
        <v>3</v>
      </c>
      <c r="Q29" s="9"/>
      <c r="R29" s="9"/>
      <c r="S29" s="9"/>
      <c r="T29" s="9"/>
      <c r="U29" s="9"/>
      <c r="V29" s="9"/>
      <c r="W29" s="9"/>
      <c r="X29" s="9">
        <v>2042</v>
      </c>
      <c r="Y29" s="9">
        <v>2041</v>
      </c>
      <c r="Z29" s="9">
        <v>2041</v>
      </c>
      <c r="AA29" s="9">
        <v>2041</v>
      </c>
      <c r="AB29" s="9">
        <v>2041</v>
      </c>
      <c r="AC29" s="9">
        <f t="shared" si="27"/>
        <v>2039</v>
      </c>
      <c r="AD29" s="9">
        <v>2041</v>
      </c>
      <c r="AE29" s="9">
        <v>6</v>
      </c>
      <c r="AF29" s="9">
        <v>3</v>
      </c>
      <c r="AG29" s="9">
        <v>3</v>
      </c>
      <c r="AH29" s="9">
        <v>3</v>
      </c>
      <c r="AI29" s="9">
        <v>3</v>
      </c>
      <c r="AJ29" s="9">
        <f t="shared" si="28"/>
        <v>6</v>
      </c>
      <c r="AK29" s="9">
        <v>3</v>
      </c>
      <c r="AL29" s="152">
        <v>1.2267192541321688</v>
      </c>
      <c r="AM29" s="152">
        <v>2.2612105538192599</v>
      </c>
      <c r="AN29" s="152">
        <v>2.1252009430760062</v>
      </c>
      <c r="AO29" s="152">
        <v>1.2944496352201866</v>
      </c>
      <c r="AP29" s="152">
        <v>0.32314284341629806</v>
      </c>
      <c r="AQ29" s="152">
        <v>0.14000000000000001</v>
      </c>
      <c r="AR29" s="152">
        <v>1.4542000570988298</v>
      </c>
      <c r="AS29" s="152">
        <v>11.984388276878477</v>
      </c>
      <c r="AT29" s="152">
        <v>-1.7475682675103321</v>
      </c>
      <c r="AU29" s="152">
        <v>-1.7169645793441486</v>
      </c>
      <c r="AV29" s="152">
        <v>-1.4425350046709582</v>
      </c>
      <c r="AW29" s="152">
        <v>0.61768216477991222</v>
      </c>
      <c r="AX29" s="152">
        <v>0.15</v>
      </c>
      <c r="AY29" s="152">
        <v>-0.4950056673809119</v>
      </c>
      <c r="AZ29" s="151">
        <v>0.15</v>
      </c>
      <c r="BA29" s="151">
        <v>0.2</v>
      </c>
      <c r="BB29" s="151">
        <v>0.12</v>
      </c>
      <c r="BC29" s="151">
        <v>0.08</v>
      </c>
      <c r="BD29" s="151">
        <v>0.18</v>
      </c>
      <c r="BE29" s="151">
        <v>0.16</v>
      </c>
      <c r="BF29" s="151">
        <v>0.05</v>
      </c>
      <c r="BG29" s="151">
        <v>0.35</v>
      </c>
      <c r="BH29" s="151">
        <v>0.3</v>
      </c>
      <c r="BI29" s="151">
        <v>0.38</v>
      </c>
      <c r="BJ29" s="151">
        <v>0.42</v>
      </c>
      <c r="BK29" s="151">
        <v>0.32</v>
      </c>
      <c r="BL29" s="151">
        <v>0.34</v>
      </c>
      <c r="BM29" s="151">
        <v>0.45</v>
      </c>
      <c r="BN29" s="151">
        <v>0.15</v>
      </c>
      <c r="BO29" s="151">
        <v>0.2</v>
      </c>
      <c r="BP29" s="151">
        <v>0.12</v>
      </c>
      <c r="BQ29" s="151">
        <v>0.08</v>
      </c>
      <c r="BR29" s="151">
        <v>0.18</v>
      </c>
      <c r="BS29" s="151">
        <v>0.16</v>
      </c>
      <c r="BT29" s="151">
        <v>0.05</v>
      </c>
      <c r="BU29" s="151">
        <v>0.35</v>
      </c>
      <c r="BV29" s="151">
        <v>0.3</v>
      </c>
      <c r="BW29" s="151">
        <v>0.38</v>
      </c>
      <c r="BX29" s="151">
        <v>0.42</v>
      </c>
      <c r="BY29" s="151">
        <v>0.32</v>
      </c>
      <c r="BZ29" s="151">
        <v>0.34</v>
      </c>
      <c r="CA29" s="151">
        <v>0.45</v>
      </c>
    </row>
    <row r="30" spans="1:79" x14ac:dyDescent="0.35">
      <c r="A30" s="9" t="s">
        <v>19</v>
      </c>
      <c r="B30" s="9" t="s">
        <v>16</v>
      </c>
      <c r="C30" s="9">
        <v>2029</v>
      </c>
      <c r="D30" s="154">
        <f t="shared" si="20"/>
        <v>2030</v>
      </c>
      <c r="E30" s="154">
        <f t="shared" si="21"/>
        <v>2031</v>
      </c>
      <c r="F30" s="154">
        <f t="shared" si="22"/>
        <v>2031</v>
      </c>
      <c r="G30" s="154">
        <f t="shared" si="23"/>
        <v>2031</v>
      </c>
      <c r="H30" s="154">
        <f t="shared" si="2"/>
        <v>2030</v>
      </c>
      <c r="I30" s="154">
        <f t="shared" si="24"/>
        <v>2030</v>
      </c>
      <c r="J30" s="9">
        <v>11</v>
      </c>
      <c r="K30" s="9">
        <v>8</v>
      </c>
      <c r="L30" s="154">
        <f t="shared" si="25"/>
        <v>8.0000000000009095</v>
      </c>
      <c r="M30" s="154">
        <f t="shared" si="25"/>
        <v>9</v>
      </c>
      <c r="N30" s="154">
        <f t="shared" si="25"/>
        <v>9</v>
      </c>
      <c r="O30" s="154">
        <f t="shared" si="29"/>
        <v>11</v>
      </c>
      <c r="P30" s="154">
        <f t="shared" si="26"/>
        <v>8.0000000000009095</v>
      </c>
      <c r="Q30" s="9"/>
      <c r="R30" s="9"/>
      <c r="S30" s="9"/>
      <c r="T30" s="9"/>
      <c r="U30" s="9"/>
      <c r="V30" s="9"/>
      <c r="W30" s="9"/>
      <c r="X30" s="9">
        <v>2041</v>
      </c>
      <c r="Y30" s="9">
        <v>2040</v>
      </c>
      <c r="Z30" s="9">
        <v>2040</v>
      </c>
      <c r="AA30" s="9">
        <v>2040</v>
      </c>
      <c r="AB30" s="9">
        <v>2040</v>
      </c>
      <c r="AC30" s="9">
        <f t="shared" si="27"/>
        <v>2038</v>
      </c>
      <c r="AD30" s="9">
        <v>2040</v>
      </c>
      <c r="AE30" s="9">
        <v>11</v>
      </c>
      <c r="AF30" s="9">
        <v>8</v>
      </c>
      <c r="AG30" s="9">
        <v>8</v>
      </c>
      <c r="AH30" s="9">
        <v>8</v>
      </c>
      <c r="AI30" s="9">
        <v>8</v>
      </c>
      <c r="AJ30" s="9">
        <f t="shared" si="28"/>
        <v>11</v>
      </c>
      <c r="AK30" s="9">
        <v>8</v>
      </c>
      <c r="AL30" s="152">
        <v>1.2267192541321688</v>
      </c>
      <c r="AM30" s="152">
        <v>2.2612105538192599</v>
      </c>
      <c r="AN30" s="152">
        <v>2.1252009430760062</v>
      </c>
      <c r="AO30" s="152">
        <v>1.2944496352201866</v>
      </c>
      <c r="AP30" s="152">
        <v>0.32314284341629806</v>
      </c>
      <c r="AQ30" s="152">
        <v>0.14000000000000001</v>
      </c>
      <c r="AR30" s="152">
        <v>1.4542000570988298</v>
      </c>
      <c r="AS30" s="152">
        <v>11.984388276878477</v>
      </c>
      <c r="AT30" s="152">
        <v>-1.7475682675103321</v>
      </c>
      <c r="AU30" s="152">
        <v>-1.7169645793441486</v>
      </c>
      <c r="AV30" s="152">
        <v>-1.4425350046709582</v>
      </c>
      <c r="AW30" s="152">
        <v>0.61768216477991222</v>
      </c>
      <c r="AX30" s="152">
        <v>0.15</v>
      </c>
      <c r="AY30" s="152">
        <v>-0.4950056673809119</v>
      </c>
      <c r="AZ30" s="151">
        <v>0.15</v>
      </c>
      <c r="BA30" s="151">
        <v>0.2</v>
      </c>
      <c r="BB30" s="151">
        <v>0.12</v>
      </c>
      <c r="BC30" s="151">
        <v>0.08</v>
      </c>
      <c r="BD30" s="151">
        <v>0.18</v>
      </c>
      <c r="BE30" s="151">
        <v>0.16</v>
      </c>
      <c r="BF30" s="151">
        <v>0.05</v>
      </c>
      <c r="BG30" s="151">
        <v>0.35</v>
      </c>
      <c r="BH30" s="151">
        <v>0.3</v>
      </c>
      <c r="BI30" s="151">
        <v>0.38</v>
      </c>
      <c r="BJ30" s="151">
        <v>0.42</v>
      </c>
      <c r="BK30" s="151">
        <v>0.32</v>
      </c>
      <c r="BL30" s="151">
        <v>0.34</v>
      </c>
      <c r="BM30" s="151">
        <v>0.45</v>
      </c>
      <c r="BN30" s="151">
        <v>0.15</v>
      </c>
      <c r="BO30" s="151">
        <v>0.2</v>
      </c>
      <c r="BP30" s="151">
        <v>0.12</v>
      </c>
      <c r="BQ30" s="151">
        <v>0.08</v>
      </c>
      <c r="BR30" s="151">
        <v>0.18</v>
      </c>
      <c r="BS30" s="151">
        <v>0.16</v>
      </c>
      <c r="BT30" s="151">
        <v>0.05</v>
      </c>
      <c r="BU30" s="151">
        <v>0.35</v>
      </c>
      <c r="BV30" s="151">
        <v>0.3</v>
      </c>
      <c r="BW30" s="151">
        <v>0.38</v>
      </c>
      <c r="BX30" s="151">
        <v>0.42</v>
      </c>
      <c r="BY30" s="151">
        <v>0.32</v>
      </c>
      <c r="BZ30" s="151">
        <v>0.34</v>
      </c>
      <c r="CA30" s="151">
        <v>0.45</v>
      </c>
    </row>
    <row r="31" spans="1:79" x14ac:dyDescent="0.35">
      <c r="A31" s="9" t="s">
        <v>26</v>
      </c>
      <c r="B31" s="9" t="s">
        <v>24</v>
      </c>
      <c r="C31" s="9">
        <v>2031</v>
      </c>
      <c r="D31" s="154">
        <f t="shared" si="20"/>
        <v>2032</v>
      </c>
      <c r="E31" s="154">
        <f t="shared" si="21"/>
        <v>2033</v>
      </c>
      <c r="F31" s="154">
        <f t="shared" si="22"/>
        <v>2033</v>
      </c>
      <c r="G31" s="154">
        <f t="shared" si="23"/>
        <v>2033</v>
      </c>
      <c r="H31" s="154">
        <f t="shared" si="2"/>
        <v>2032</v>
      </c>
      <c r="I31" s="154">
        <f t="shared" si="24"/>
        <v>2032</v>
      </c>
      <c r="J31" s="9">
        <v>4</v>
      </c>
      <c r="K31" s="9">
        <v>2</v>
      </c>
      <c r="L31" s="154">
        <f t="shared" si="25"/>
        <v>2.0000000000009095</v>
      </c>
      <c r="M31" s="154">
        <f t="shared" si="25"/>
        <v>3</v>
      </c>
      <c r="N31" s="154">
        <f t="shared" si="25"/>
        <v>3</v>
      </c>
      <c r="O31" s="154">
        <f t="shared" si="29"/>
        <v>4</v>
      </c>
      <c r="P31" s="154">
        <f t="shared" si="26"/>
        <v>2.0000000000009095</v>
      </c>
      <c r="Q31" s="9"/>
      <c r="R31" s="9"/>
      <c r="S31" s="9"/>
      <c r="T31" s="9"/>
      <c r="U31" s="9"/>
      <c r="V31" s="9"/>
      <c r="W31" s="9"/>
      <c r="X31" s="9">
        <v>2043</v>
      </c>
      <c r="Y31" s="9">
        <v>2042</v>
      </c>
      <c r="Z31" s="9">
        <v>2042</v>
      </c>
      <c r="AA31" s="9">
        <v>2042</v>
      </c>
      <c r="AB31" s="9">
        <v>2042</v>
      </c>
      <c r="AC31" s="9">
        <f t="shared" si="27"/>
        <v>2040</v>
      </c>
      <c r="AD31" s="9">
        <v>2042</v>
      </c>
      <c r="AE31" s="9">
        <v>4</v>
      </c>
      <c r="AF31" s="9">
        <v>2</v>
      </c>
      <c r="AG31" s="9">
        <v>2</v>
      </c>
      <c r="AH31" s="9">
        <v>2</v>
      </c>
      <c r="AI31" s="9">
        <v>2</v>
      </c>
      <c r="AJ31" s="9">
        <f t="shared" si="28"/>
        <v>4</v>
      </c>
      <c r="AK31" s="9">
        <v>2</v>
      </c>
      <c r="AL31" s="152">
        <v>1.2267192541321688</v>
      </c>
      <c r="AM31" s="152">
        <v>2.2612105538192599</v>
      </c>
      <c r="AN31" s="152">
        <v>2.1252009430760062</v>
      </c>
      <c r="AO31" s="152">
        <v>1.2944496352201866</v>
      </c>
      <c r="AP31" s="152">
        <v>0.32314284341629806</v>
      </c>
      <c r="AQ31" s="152">
        <v>0.14000000000000001</v>
      </c>
      <c r="AR31" s="152">
        <v>1.4542000570988298</v>
      </c>
      <c r="AS31" s="152">
        <v>11.984388276878477</v>
      </c>
      <c r="AT31" s="152">
        <v>-1.7475682675103321</v>
      </c>
      <c r="AU31" s="152">
        <v>-1.7169645793441486</v>
      </c>
      <c r="AV31" s="152">
        <v>-1.4425350046709582</v>
      </c>
      <c r="AW31" s="152">
        <v>0.61768216477991222</v>
      </c>
      <c r="AX31" s="152">
        <v>0.15</v>
      </c>
      <c r="AY31" s="152">
        <v>-0.4950056673809119</v>
      </c>
      <c r="AZ31" s="151">
        <v>0.15</v>
      </c>
      <c r="BA31" s="151">
        <v>0.2</v>
      </c>
      <c r="BB31" s="151">
        <v>0.12</v>
      </c>
      <c r="BC31" s="151">
        <v>0.08</v>
      </c>
      <c r="BD31" s="151">
        <v>0.18</v>
      </c>
      <c r="BE31" s="151">
        <v>0.16</v>
      </c>
      <c r="BF31" s="151">
        <v>0.05</v>
      </c>
      <c r="BG31" s="151">
        <v>0.35</v>
      </c>
      <c r="BH31" s="151">
        <v>0.3</v>
      </c>
      <c r="BI31" s="151">
        <v>0.38</v>
      </c>
      <c r="BJ31" s="151">
        <v>0.42</v>
      </c>
      <c r="BK31" s="151">
        <v>0.32</v>
      </c>
      <c r="BL31" s="151">
        <v>0.34</v>
      </c>
      <c r="BM31" s="151">
        <v>0.45</v>
      </c>
      <c r="BN31" s="151">
        <v>0.15</v>
      </c>
      <c r="BO31" s="151">
        <v>0.2</v>
      </c>
      <c r="BP31" s="151">
        <v>0.12</v>
      </c>
      <c r="BQ31" s="151">
        <v>0.08</v>
      </c>
      <c r="BR31" s="151">
        <v>0.18</v>
      </c>
      <c r="BS31" s="151">
        <v>0.16</v>
      </c>
      <c r="BT31" s="151">
        <v>0.05</v>
      </c>
      <c r="BU31" s="151">
        <v>0.35</v>
      </c>
      <c r="BV31" s="151">
        <v>0.3</v>
      </c>
      <c r="BW31" s="151">
        <v>0.38</v>
      </c>
      <c r="BX31" s="151">
        <v>0.42</v>
      </c>
      <c r="BY31" s="151">
        <v>0.32</v>
      </c>
      <c r="BZ31" s="151">
        <v>0.34</v>
      </c>
      <c r="CA31" s="151">
        <v>0.45</v>
      </c>
    </row>
    <row r="32" spans="1:79" x14ac:dyDescent="0.35">
      <c r="A32" s="9" t="s">
        <v>37</v>
      </c>
      <c r="B32" s="9" t="s">
        <v>34</v>
      </c>
      <c r="C32" s="9">
        <v>2032</v>
      </c>
      <c r="D32" s="154">
        <f t="shared" si="20"/>
        <v>2033</v>
      </c>
      <c r="E32" s="154">
        <f t="shared" si="21"/>
        <v>2034</v>
      </c>
      <c r="F32" s="154">
        <f t="shared" si="22"/>
        <v>2034</v>
      </c>
      <c r="G32" s="154">
        <f t="shared" si="23"/>
        <v>2034</v>
      </c>
      <c r="H32" s="154">
        <f t="shared" si="2"/>
        <v>2033</v>
      </c>
      <c r="I32" s="154">
        <f t="shared" si="24"/>
        <v>2033</v>
      </c>
      <c r="J32" s="9">
        <v>6</v>
      </c>
      <c r="K32" s="9">
        <v>2</v>
      </c>
      <c r="L32" s="154">
        <f t="shared" si="25"/>
        <v>2.0000000000009095</v>
      </c>
      <c r="M32" s="154">
        <f t="shared" si="25"/>
        <v>3</v>
      </c>
      <c r="N32" s="154">
        <f t="shared" si="25"/>
        <v>3</v>
      </c>
      <c r="O32" s="154">
        <f t="shared" si="29"/>
        <v>6</v>
      </c>
      <c r="P32" s="154">
        <f t="shared" si="26"/>
        <v>2.0000000000009095</v>
      </c>
      <c r="Q32" s="9"/>
      <c r="R32" s="9"/>
      <c r="S32" s="9"/>
      <c r="T32" s="9"/>
      <c r="U32" s="9"/>
      <c r="V32" s="9"/>
      <c r="W32" s="9"/>
      <c r="X32" s="9">
        <v>2044</v>
      </c>
      <c r="Y32" s="9">
        <v>2043</v>
      </c>
      <c r="Z32" s="9">
        <v>2043</v>
      </c>
      <c r="AA32" s="9">
        <v>2043</v>
      </c>
      <c r="AB32" s="9">
        <v>2043</v>
      </c>
      <c r="AC32" s="9">
        <f t="shared" si="27"/>
        <v>2041</v>
      </c>
      <c r="AD32" s="9">
        <v>2043</v>
      </c>
      <c r="AE32" s="9">
        <v>6</v>
      </c>
      <c r="AF32" s="9">
        <v>2</v>
      </c>
      <c r="AG32" s="9">
        <v>2</v>
      </c>
      <c r="AH32" s="9">
        <v>2</v>
      </c>
      <c r="AI32" s="9">
        <v>2</v>
      </c>
      <c r="AJ32" s="9">
        <f t="shared" si="28"/>
        <v>6</v>
      </c>
      <c r="AK32" s="9">
        <v>2</v>
      </c>
      <c r="AL32" s="152">
        <v>1.2267192541321688</v>
      </c>
      <c r="AM32" s="152">
        <v>2.2612105538192599</v>
      </c>
      <c r="AN32" s="152">
        <v>2.1252009430760062</v>
      </c>
      <c r="AO32" s="152">
        <v>1.2944496352201866</v>
      </c>
      <c r="AP32" s="152">
        <v>0.32314284341629806</v>
      </c>
      <c r="AQ32" s="152">
        <v>0.14000000000000001</v>
      </c>
      <c r="AR32" s="152">
        <v>1.4542000570988298</v>
      </c>
      <c r="AS32" s="152">
        <v>11.984388276878477</v>
      </c>
      <c r="AT32" s="152">
        <v>-1.7475682675103321</v>
      </c>
      <c r="AU32" s="152">
        <v>-1.7169645793441486</v>
      </c>
      <c r="AV32" s="152">
        <v>-1.4425350046709582</v>
      </c>
      <c r="AW32" s="152">
        <v>0.61768216477991222</v>
      </c>
      <c r="AX32" s="152">
        <v>0.15</v>
      </c>
      <c r="AY32" s="152">
        <v>-0.4950056673809119</v>
      </c>
      <c r="AZ32" s="151">
        <v>0.15</v>
      </c>
      <c r="BA32" s="151">
        <v>0.2</v>
      </c>
      <c r="BB32" s="151">
        <v>0.12</v>
      </c>
      <c r="BC32" s="151">
        <v>0.08</v>
      </c>
      <c r="BD32" s="151">
        <v>0.18</v>
      </c>
      <c r="BE32" s="151">
        <v>0.16</v>
      </c>
      <c r="BF32" s="151">
        <v>0.05</v>
      </c>
      <c r="BG32" s="151">
        <v>0.35</v>
      </c>
      <c r="BH32" s="151">
        <v>0.3</v>
      </c>
      <c r="BI32" s="151">
        <v>0.38</v>
      </c>
      <c r="BJ32" s="151">
        <v>0.42</v>
      </c>
      <c r="BK32" s="151">
        <v>0.32</v>
      </c>
      <c r="BL32" s="151">
        <v>0.34</v>
      </c>
      <c r="BM32" s="151">
        <v>0.45</v>
      </c>
      <c r="BN32" s="151">
        <v>0.15</v>
      </c>
      <c r="BO32" s="151">
        <v>0.2</v>
      </c>
      <c r="BP32" s="151">
        <v>0.12</v>
      </c>
      <c r="BQ32" s="151">
        <v>0.08</v>
      </c>
      <c r="BR32" s="151">
        <v>0.18</v>
      </c>
      <c r="BS32" s="151">
        <v>0.16</v>
      </c>
      <c r="BT32" s="151">
        <v>0.05</v>
      </c>
      <c r="BU32" s="151">
        <v>0.35</v>
      </c>
      <c r="BV32" s="151">
        <v>0.3</v>
      </c>
      <c r="BW32" s="151">
        <v>0.38</v>
      </c>
      <c r="BX32" s="151">
        <v>0.42</v>
      </c>
      <c r="BY32" s="151">
        <v>0.32</v>
      </c>
      <c r="BZ32" s="151">
        <v>0.34</v>
      </c>
      <c r="CA32" s="151">
        <v>0.45</v>
      </c>
    </row>
    <row r="33" spans="1:79" x14ac:dyDescent="0.35">
      <c r="A33" s="9" t="s">
        <v>41</v>
      </c>
      <c r="B33" s="9" t="s">
        <v>38</v>
      </c>
      <c r="C33" s="9">
        <v>2027</v>
      </c>
      <c r="D33" s="154">
        <f t="shared" si="20"/>
        <v>2028</v>
      </c>
      <c r="E33" s="154">
        <f t="shared" si="21"/>
        <v>2029</v>
      </c>
      <c r="F33" s="154">
        <f t="shared" si="22"/>
        <v>2029</v>
      </c>
      <c r="G33" s="154">
        <f t="shared" si="23"/>
        <v>2029</v>
      </c>
      <c r="H33" s="154">
        <f t="shared" si="2"/>
        <v>2028</v>
      </c>
      <c r="I33" s="154">
        <f t="shared" si="24"/>
        <v>2028</v>
      </c>
      <c r="J33" s="9">
        <v>8</v>
      </c>
      <c r="K33" s="9">
        <v>3</v>
      </c>
      <c r="L33" s="154">
        <f t="shared" si="25"/>
        <v>3</v>
      </c>
      <c r="M33" s="154">
        <f t="shared" si="25"/>
        <v>3.9999999999990905</v>
      </c>
      <c r="N33" s="154">
        <f t="shared" si="25"/>
        <v>3.9999999999990905</v>
      </c>
      <c r="O33" s="154">
        <f t="shared" si="29"/>
        <v>8</v>
      </c>
      <c r="P33" s="154">
        <f t="shared" si="26"/>
        <v>3</v>
      </c>
      <c r="Q33" s="9"/>
      <c r="R33" s="9"/>
      <c r="S33" s="9"/>
      <c r="T33" s="9"/>
      <c r="U33" s="9"/>
      <c r="V33" s="9"/>
      <c r="W33" s="9"/>
      <c r="X33" s="9">
        <v>2039</v>
      </c>
      <c r="Y33" s="9">
        <v>2038</v>
      </c>
      <c r="Z33" s="9">
        <v>2038</v>
      </c>
      <c r="AA33" s="9">
        <v>2038</v>
      </c>
      <c r="AB33" s="9">
        <v>2038</v>
      </c>
      <c r="AC33" s="9">
        <f t="shared" si="27"/>
        <v>2036</v>
      </c>
      <c r="AD33" s="9">
        <v>2038</v>
      </c>
      <c r="AE33" s="9">
        <v>8</v>
      </c>
      <c r="AF33" s="9">
        <v>3</v>
      </c>
      <c r="AG33" s="9">
        <v>3</v>
      </c>
      <c r="AH33" s="9">
        <v>3</v>
      </c>
      <c r="AI33" s="9">
        <v>3</v>
      </c>
      <c r="AJ33" s="9">
        <f t="shared" si="28"/>
        <v>8</v>
      </c>
      <c r="AK33" s="9">
        <v>3</v>
      </c>
      <c r="AL33" s="152">
        <v>1.2267192541321688</v>
      </c>
      <c r="AM33" s="152">
        <v>2.2612105538192599</v>
      </c>
      <c r="AN33" s="152">
        <v>2.1252009430760062</v>
      </c>
      <c r="AO33" s="152">
        <v>1.2944496352201866</v>
      </c>
      <c r="AP33" s="152">
        <v>0.32314284341629806</v>
      </c>
      <c r="AQ33" s="152">
        <v>0.14000000000000001</v>
      </c>
      <c r="AR33" s="152">
        <v>1.4542000570988298</v>
      </c>
      <c r="AS33" s="152">
        <v>11.984388276878477</v>
      </c>
      <c r="AT33" s="152">
        <v>-1.7475682675103321</v>
      </c>
      <c r="AU33" s="152">
        <v>-1.7169645793441486</v>
      </c>
      <c r="AV33" s="152">
        <v>-1.4425350046709582</v>
      </c>
      <c r="AW33" s="152">
        <v>0.61768216477991222</v>
      </c>
      <c r="AX33" s="152">
        <v>0.15</v>
      </c>
      <c r="AY33" s="152">
        <v>-0.4950056673809119</v>
      </c>
      <c r="AZ33" s="151">
        <v>0.15</v>
      </c>
      <c r="BA33" s="151">
        <v>0.2</v>
      </c>
      <c r="BB33" s="151">
        <v>0.12</v>
      </c>
      <c r="BC33" s="151">
        <v>0.08</v>
      </c>
      <c r="BD33" s="151">
        <v>0.18</v>
      </c>
      <c r="BE33" s="151">
        <v>0.16</v>
      </c>
      <c r="BF33" s="151">
        <v>0.05</v>
      </c>
      <c r="BG33" s="151">
        <v>0.35</v>
      </c>
      <c r="BH33" s="151">
        <v>0.3</v>
      </c>
      <c r="BI33" s="151">
        <v>0.38</v>
      </c>
      <c r="BJ33" s="151">
        <v>0.42</v>
      </c>
      <c r="BK33" s="151">
        <v>0.32</v>
      </c>
      <c r="BL33" s="151">
        <v>0.34</v>
      </c>
      <c r="BM33" s="151">
        <v>0.45</v>
      </c>
      <c r="BN33" s="151">
        <v>0.15</v>
      </c>
      <c r="BO33" s="151">
        <v>0.2</v>
      </c>
      <c r="BP33" s="151">
        <v>0.12</v>
      </c>
      <c r="BQ33" s="151">
        <v>0.08</v>
      </c>
      <c r="BR33" s="151">
        <v>0.18</v>
      </c>
      <c r="BS33" s="151">
        <v>0.16</v>
      </c>
      <c r="BT33" s="151">
        <v>0.05</v>
      </c>
      <c r="BU33" s="151">
        <v>0.35</v>
      </c>
      <c r="BV33" s="151">
        <v>0.3</v>
      </c>
      <c r="BW33" s="151">
        <v>0.38</v>
      </c>
      <c r="BX33" s="151">
        <v>0.42</v>
      </c>
      <c r="BY33" s="151">
        <v>0.32</v>
      </c>
      <c r="BZ33" s="151">
        <v>0.34</v>
      </c>
      <c r="CA33" s="151">
        <v>0.45</v>
      </c>
    </row>
    <row r="34" spans="1:79" x14ac:dyDescent="0.35">
      <c r="A34" s="9" t="s">
        <v>33</v>
      </c>
      <c r="B34" s="9" t="s">
        <v>31</v>
      </c>
      <c r="C34" s="9">
        <v>2031</v>
      </c>
      <c r="D34" s="154">
        <f t="shared" si="20"/>
        <v>2032</v>
      </c>
      <c r="E34" s="154">
        <f t="shared" si="21"/>
        <v>2033</v>
      </c>
      <c r="F34" s="154">
        <f t="shared" si="22"/>
        <v>2033</v>
      </c>
      <c r="G34" s="154">
        <f t="shared" si="23"/>
        <v>2033</v>
      </c>
      <c r="H34" s="154">
        <f t="shared" si="2"/>
        <v>2032</v>
      </c>
      <c r="I34" s="154">
        <f t="shared" si="24"/>
        <v>2032</v>
      </c>
      <c r="J34" s="9">
        <v>5</v>
      </c>
      <c r="K34" s="9">
        <v>2</v>
      </c>
      <c r="L34" s="154">
        <f t="shared" si="25"/>
        <v>2.0000000000009095</v>
      </c>
      <c r="M34" s="154">
        <f t="shared" si="25"/>
        <v>3</v>
      </c>
      <c r="N34" s="154">
        <f t="shared" si="25"/>
        <v>3</v>
      </c>
      <c r="O34" s="154">
        <f t="shared" si="29"/>
        <v>5</v>
      </c>
      <c r="P34" s="154">
        <f t="shared" si="26"/>
        <v>2.0000000000009095</v>
      </c>
      <c r="Q34" s="9"/>
      <c r="R34" s="9"/>
      <c r="S34" s="9"/>
      <c r="T34" s="9"/>
      <c r="U34" s="9"/>
      <c r="V34" s="9"/>
      <c r="W34" s="9"/>
      <c r="X34" s="9">
        <v>2043</v>
      </c>
      <c r="Y34" s="9">
        <v>2042</v>
      </c>
      <c r="Z34" s="9">
        <v>2042</v>
      </c>
      <c r="AA34" s="9">
        <v>2042</v>
      </c>
      <c r="AB34" s="9">
        <v>2042</v>
      </c>
      <c r="AC34" s="9">
        <f t="shared" si="27"/>
        <v>2040</v>
      </c>
      <c r="AD34" s="9">
        <v>2042</v>
      </c>
      <c r="AE34" s="9">
        <v>5</v>
      </c>
      <c r="AF34" s="9">
        <v>2</v>
      </c>
      <c r="AG34" s="9">
        <v>2</v>
      </c>
      <c r="AH34" s="9">
        <v>2</v>
      </c>
      <c r="AI34" s="9">
        <v>2</v>
      </c>
      <c r="AJ34" s="9">
        <f t="shared" si="28"/>
        <v>5</v>
      </c>
      <c r="AK34" s="9">
        <v>2</v>
      </c>
      <c r="AL34" s="152">
        <v>1.2267192541321688</v>
      </c>
      <c r="AM34" s="152">
        <v>2.2612105538192599</v>
      </c>
      <c r="AN34" s="152">
        <v>2.1252009430760062</v>
      </c>
      <c r="AO34" s="152">
        <v>1.2944496352201866</v>
      </c>
      <c r="AP34" s="152">
        <v>0.32314284341629806</v>
      </c>
      <c r="AQ34" s="152">
        <v>0.14000000000000001</v>
      </c>
      <c r="AR34" s="152">
        <v>1.4542000570988298</v>
      </c>
      <c r="AS34" s="152">
        <v>11.984388276878477</v>
      </c>
      <c r="AT34" s="152">
        <v>-1.7475682675103321</v>
      </c>
      <c r="AU34" s="152">
        <v>-1.7169645793441486</v>
      </c>
      <c r="AV34" s="152">
        <v>-1.4425350046709582</v>
      </c>
      <c r="AW34" s="152">
        <v>0.61768216477991222</v>
      </c>
      <c r="AX34" s="152">
        <v>0.15</v>
      </c>
      <c r="AY34" s="152">
        <v>-0.4950056673809119</v>
      </c>
      <c r="AZ34" s="151">
        <v>0.15</v>
      </c>
      <c r="BA34" s="151">
        <v>0.2</v>
      </c>
      <c r="BB34" s="151">
        <v>0.12</v>
      </c>
      <c r="BC34" s="151">
        <v>0.08</v>
      </c>
      <c r="BD34" s="151">
        <v>0.18</v>
      </c>
      <c r="BE34" s="151">
        <v>0.16</v>
      </c>
      <c r="BF34" s="151">
        <v>0.05</v>
      </c>
      <c r="BG34" s="151">
        <v>0.35</v>
      </c>
      <c r="BH34" s="151">
        <v>0.3</v>
      </c>
      <c r="BI34" s="151">
        <v>0.38</v>
      </c>
      <c r="BJ34" s="151">
        <v>0.42</v>
      </c>
      <c r="BK34" s="151">
        <v>0.32</v>
      </c>
      <c r="BL34" s="151">
        <v>0.34</v>
      </c>
      <c r="BM34" s="151">
        <v>0.45</v>
      </c>
      <c r="BN34" s="151">
        <v>0.15</v>
      </c>
      <c r="BO34" s="151">
        <v>0.2</v>
      </c>
      <c r="BP34" s="151">
        <v>0.12</v>
      </c>
      <c r="BQ34" s="151">
        <v>0.08</v>
      </c>
      <c r="BR34" s="151">
        <v>0.18</v>
      </c>
      <c r="BS34" s="151">
        <v>0.16</v>
      </c>
      <c r="BT34" s="151">
        <v>0.05</v>
      </c>
      <c r="BU34" s="151">
        <v>0.35</v>
      </c>
      <c r="BV34" s="151">
        <v>0.3</v>
      </c>
      <c r="BW34" s="151">
        <v>0.38</v>
      </c>
      <c r="BX34" s="151">
        <v>0.42</v>
      </c>
      <c r="BY34" s="151">
        <v>0.32</v>
      </c>
      <c r="BZ34" s="151">
        <v>0.34</v>
      </c>
      <c r="CA34" s="151">
        <v>0.45</v>
      </c>
    </row>
    <row r="35" spans="1:79" x14ac:dyDescent="0.35">
      <c r="A35" s="9" t="s">
        <v>31</v>
      </c>
      <c r="B35" s="9" t="s">
        <v>31</v>
      </c>
      <c r="C35" s="153">
        <v>2027</v>
      </c>
      <c r="D35" s="154">
        <f t="shared" si="20"/>
        <v>2028</v>
      </c>
      <c r="E35" s="154">
        <f t="shared" si="21"/>
        <v>2029</v>
      </c>
      <c r="F35" s="154">
        <f t="shared" si="22"/>
        <v>2029</v>
      </c>
      <c r="G35" s="154">
        <f t="shared" si="23"/>
        <v>2029</v>
      </c>
      <c r="H35" s="154">
        <v>2027</v>
      </c>
      <c r="I35" s="154">
        <f t="shared" si="24"/>
        <v>2028</v>
      </c>
      <c r="J35" s="9">
        <v>2</v>
      </c>
      <c r="K35" s="9">
        <v>2</v>
      </c>
      <c r="L35" s="154">
        <f t="shared" si="25"/>
        <v>2.0000000000009095</v>
      </c>
      <c r="M35" s="154">
        <f t="shared" si="25"/>
        <v>3</v>
      </c>
      <c r="N35" s="154">
        <f t="shared" si="25"/>
        <v>3</v>
      </c>
      <c r="O35" s="154">
        <v>12</v>
      </c>
      <c r="P35" s="154">
        <f t="shared" si="26"/>
        <v>2.0000000000009095</v>
      </c>
      <c r="Q35" s="9"/>
      <c r="R35" s="9"/>
      <c r="S35" s="9"/>
      <c r="T35" s="9"/>
      <c r="U35" s="9"/>
      <c r="V35" s="9"/>
      <c r="W35" s="9"/>
      <c r="X35" s="9">
        <v>2035</v>
      </c>
      <c r="Y35" s="9">
        <v>2037</v>
      </c>
      <c r="Z35" s="9">
        <v>2037</v>
      </c>
      <c r="AA35" s="9">
        <v>2037</v>
      </c>
      <c r="AB35" s="9">
        <v>2037</v>
      </c>
      <c r="AC35" s="9">
        <f t="shared" si="27"/>
        <v>2035</v>
      </c>
      <c r="AD35" s="9">
        <v>2037</v>
      </c>
      <c r="AE35" s="9">
        <v>5</v>
      </c>
      <c r="AF35" s="9">
        <v>2</v>
      </c>
      <c r="AG35" s="9">
        <v>2</v>
      </c>
      <c r="AH35" s="9">
        <v>2</v>
      </c>
      <c r="AI35" s="9">
        <v>2</v>
      </c>
      <c r="AJ35" s="9">
        <f t="shared" si="28"/>
        <v>12</v>
      </c>
      <c r="AK35" s="9">
        <v>2</v>
      </c>
      <c r="AL35" s="152">
        <v>1.2267192541321688</v>
      </c>
      <c r="AM35" s="152">
        <v>2.2612105538192599</v>
      </c>
      <c r="AN35" s="152">
        <v>2.1252009430760062</v>
      </c>
      <c r="AO35" s="152">
        <v>1.2944496352201866</v>
      </c>
      <c r="AP35" s="152">
        <v>0.32314284341629806</v>
      </c>
      <c r="AQ35" s="152">
        <v>0.14000000000000001</v>
      </c>
      <c r="AR35" s="152">
        <v>1.4542000570988298</v>
      </c>
      <c r="AS35" s="152">
        <v>11.984388276878477</v>
      </c>
      <c r="AT35" s="152">
        <v>-1.7475682675103321</v>
      </c>
      <c r="AU35" s="152">
        <v>-1.7169645793441486</v>
      </c>
      <c r="AV35" s="152">
        <v>-1.4425350046709582</v>
      </c>
      <c r="AW35" s="152">
        <v>0.61768216477991222</v>
      </c>
      <c r="AX35" s="152">
        <v>0.15</v>
      </c>
      <c r="AY35" s="152">
        <v>-0.4950056673809119</v>
      </c>
      <c r="AZ35" s="151">
        <v>0.15</v>
      </c>
      <c r="BA35" s="151">
        <v>0.2</v>
      </c>
      <c r="BB35" s="151">
        <v>0.12</v>
      </c>
      <c r="BC35" s="151">
        <v>0.08</v>
      </c>
      <c r="BD35" s="151">
        <v>0.18</v>
      </c>
      <c r="BE35" s="151">
        <v>0.16</v>
      </c>
      <c r="BF35" s="151">
        <v>0.05</v>
      </c>
      <c r="BG35" s="151">
        <v>0.35</v>
      </c>
      <c r="BH35" s="151">
        <v>0.3</v>
      </c>
      <c r="BI35" s="151">
        <v>0.38</v>
      </c>
      <c r="BJ35" s="151">
        <v>0.42</v>
      </c>
      <c r="BK35" s="151">
        <v>0.32</v>
      </c>
      <c r="BL35" s="151">
        <v>0.34</v>
      </c>
      <c r="BM35" s="151">
        <v>0.45</v>
      </c>
      <c r="BN35" s="151">
        <v>0.15</v>
      </c>
      <c r="BO35" s="151">
        <v>0.2</v>
      </c>
      <c r="BP35" s="151">
        <v>0.12</v>
      </c>
      <c r="BQ35" s="151">
        <v>0.08</v>
      </c>
      <c r="BR35" s="151">
        <v>0.18</v>
      </c>
      <c r="BS35" s="151">
        <v>0.16</v>
      </c>
      <c r="BT35" s="151">
        <v>0.05</v>
      </c>
      <c r="BU35" s="151">
        <v>0.35</v>
      </c>
      <c r="BV35" s="151">
        <v>0.3</v>
      </c>
      <c r="BW35" s="151">
        <v>0.38</v>
      </c>
      <c r="BX35" s="151">
        <v>0.42</v>
      </c>
      <c r="BY35" s="151">
        <v>0.32</v>
      </c>
      <c r="BZ35" s="151">
        <v>0.34</v>
      </c>
      <c r="CA35" s="151">
        <v>0.45</v>
      </c>
    </row>
    <row r="36" spans="1:79" x14ac:dyDescent="0.35">
      <c r="A36" s="9" t="s">
        <v>56</v>
      </c>
      <c r="B36" s="9" t="s">
        <v>54</v>
      </c>
      <c r="C36" s="9">
        <v>2022</v>
      </c>
      <c r="D36" s="154">
        <f t="shared" si="20"/>
        <v>2023</v>
      </c>
      <c r="E36" s="154">
        <f t="shared" si="21"/>
        <v>2024</v>
      </c>
      <c r="F36" s="154">
        <f t="shared" si="22"/>
        <v>2024</v>
      </c>
      <c r="G36" s="154">
        <f t="shared" si="23"/>
        <v>2024</v>
      </c>
      <c r="H36" s="154">
        <f t="shared" si="2"/>
        <v>2023</v>
      </c>
      <c r="I36" s="154">
        <f t="shared" si="24"/>
        <v>2023</v>
      </c>
      <c r="J36" s="9">
        <v>6</v>
      </c>
      <c r="K36" s="9">
        <v>9</v>
      </c>
      <c r="L36" s="154">
        <f t="shared" si="25"/>
        <v>9</v>
      </c>
      <c r="M36" s="154">
        <f t="shared" si="25"/>
        <v>9.9999999999990905</v>
      </c>
      <c r="N36" s="154">
        <f t="shared" si="25"/>
        <v>9.9999999999990905</v>
      </c>
      <c r="O36" s="154">
        <f t="shared" si="29"/>
        <v>6</v>
      </c>
      <c r="P36" s="154">
        <f t="shared" si="26"/>
        <v>9</v>
      </c>
      <c r="Q36" s="9"/>
      <c r="R36" s="9"/>
      <c r="S36" s="9"/>
      <c r="T36" s="9"/>
      <c r="U36" s="9"/>
      <c r="V36" s="9"/>
      <c r="W36" s="9"/>
      <c r="X36" s="9">
        <v>2036</v>
      </c>
      <c r="Y36" s="9">
        <v>2036</v>
      </c>
      <c r="Z36" s="9">
        <v>2036</v>
      </c>
      <c r="AA36" s="9">
        <v>2036</v>
      </c>
      <c r="AB36" s="9">
        <v>2036</v>
      </c>
      <c r="AC36" s="9">
        <f t="shared" si="27"/>
        <v>2031</v>
      </c>
      <c r="AD36" s="9">
        <v>2036</v>
      </c>
      <c r="AE36" s="9">
        <v>9</v>
      </c>
      <c r="AF36" s="9">
        <v>9</v>
      </c>
      <c r="AG36" s="9">
        <v>9</v>
      </c>
      <c r="AH36" s="9">
        <v>9</v>
      </c>
      <c r="AI36" s="9">
        <v>9</v>
      </c>
      <c r="AJ36" s="9">
        <f t="shared" si="28"/>
        <v>6</v>
      </c>
      <c r="AK36" s="9">
        <v>9</v>
      </c>
      <c r="AL36" s="152">
        <v>1.2267192541321688</v>
      </c>
      <c r="AM36" s="152">
        <v>2.2612105538192599</v>
      </c>
      <c r="AN36" s="152">
        <v>2.1252009430760062</v>
      </c>
      <c r="AO36" s="152">
        <v>1.2944496352201866</v>
      </c>
      <c r="AP36" s="152">
        <v>0.32314284341629806</v>
      </c>
      <c r="AQ36" s="152">
        <v>0.14000000000000001</v>
      </c>
      <c r="AR36" s="152">
        <v>1.4542000570988298</v>
      </c>
      <c r="AS36" s="152">
        <v>11.984388276878477</v>
      </c>
      <c r="AT36" s="152">
        <v>-1.7475682675103321</v>
      </c>
      <c r="AU36" s="152">
        <v>-1.7169645793441486</v>
      </c>
      <c r="AV36" s="152">
        <v>-1.4425350046709582</v>
      </c>
      <c r="AW36" s="152">
        <v>0.61768216477991222</v>
      </c>
      <c r="AX36" s="152">
        <v>0.15</v>
      </c>
      <c r="AY36" s="152">
        <v>-0.4950056673809119</v>
      </c>
      <c r="AZ36" s="151">
        <v>0.15</v>
      </c>
      <c r="BA36" s="151">
        <v>0.2</v>
      </c>
      <c r="BB36" s="151">
        <v>0.12</v>
      </c>
      <c r="BC36" s="151">
        <v>0.08</v>
      </c>
      <c r="BD36" s="151">
        <v>0.18</v>
      </c>
      <c r="BE36" s="151">
        <v>0.16</v>
      </c>
      <c r="BF36" s="151">
        <v>0.05</v>
      </c>
      <c r="BG36" s="151">
        <v>0.35</v>
      </c>
      <c r="BH36" s="151">
        <v>0.3</v>
      </c>
      <c r="BI36" s="151">
        <v>0.38</v>
      </c>
      <c r="BJ36" s="151">
        <v>0.42</v>
      </c>
      <c r="BK36" s="151">
        <v>0.32</v>
      </c>
      <c r="BL36" s="151">
        <v>0.34</v>
      </c>
      <c r="BM36" s="151">
        <v>0.45</v>
      </c>
      <c r="BN36" s="151">
        <v>0.15</v>
      </c>
      <c r="BO36" s="151">
        <v>0.2</v>
      </c>
      <c r="BP36" s="151">
        <v>0.12</v>
      </c>
      <c r="BQ36" s="151">
        <v>0.08</v>
      </c>
      <c r="BR36" s="151">
        <v>0.18</v>
      </c>
      <c r="BS36" s="151">
        <v>0.16</v>
      </c>
      <c r="BT36" s="151">
        <v>0.05</v>
      </c>
      <c r="BU36" s="151">
        <v>0.35</v>
      </c>
      <c r="BV36" s="151">
        <v>0.3</v>
      </c>
      <c r="BW36" s="151">
        <v>0.38</v>
      </c>
      <c r="BX36" s="151">
        <v>0.42</v>
      </c>
      <c r="BY36" s="151">
        <v>0.32</v>
      </c>
      <c r="BZ36" s="151">
        <v>0.34</v>
      </c>
      <c r="CA36" s="151">
        <v>0.45</v>
      </c>
    </row>
    <row r="37" spans="1:79" x14ac:dyDescent="0.35">
      <c r="A37" s="9" t="s">
        <v>13</v>
      </c>
      <c r="B37" s="9" t="s">
        <v>13</v>
      </c>
      <c r="C37" s="9">
        <v>2029</v>
      </c>
      <c r="D37" s="154">
        <f t="shared" si="20"/>
        <v>2030</v>
      </c>
      <c r="E37" s="154">
        <f t="shared" si="21"/>
        <v>2031</v>
      </c>
      <c r="F37" s="154">
        <f t="shared" si="22"/>
        <v>2031</v>
      </c>
      <c r="G37" s="154">
        <f t="shared" si="23"/>
        <v>2031</v>
      </c>
      <c r="H37" s="154">
        <f t="shared" si="2"/>
        <v>2030</v>
      </c>
      <c r="I37" s="154">
        <f t="shared" si="24"/>
        <v>2030</v>
      </c>
      <c r="J37" s="9">
        <v>6</v>
      </c>
      <c r="K37" s="9">
        <v>6</v>
      </c>
      <c r="L37" s="154">
        <f t="shared" si="25"/>
        <v>6</v>
      </c>
      <c r="M37" s="154">
        <f t="shared" si="25"/>
        <v>6.9999999999990905</v>
      </c>
      <c r="N37" s="154">
        <f t="shared" si="25"/>
        <v>6.9999999999990905</v>
      </c>
      <c r="O37" s="154">
        <f t="shared" si="29"/>
        <v>6</v>
      </c>
      <c r="P37" s="154">
        <f t="shared" si="26"/>
        <v>6</v>
      </c>
      <c r="Q37" s="9">
        <v>12</v>
      </c>
      <c r="R37" s="9">
        <v>11</v>
      </c>
      <c r="S37" s="9"/>
      <c r="T37" s="9"/>
      <c r="U37" s="9"/>
      <c r="V37" s="9"/>
      <c r="W37" s="9"/>
      <c r="X37" s="154">
        <f t="shared" ref="X37:Y42" si="30">D37+Q37</f>
        <v>2042</v>
      </c>
      <c r="Y37" s="154">
        <f t="shared" si="30"/>
        <v>2042</v>
      </c>
      <c r="Z37" s="9">
        <f t="shared" ref="Z37:AB42" si="31">Y37</f>
        <v>2042</v>
      </c>
      <c r="AA37" s="9">
        <f t="shared" si="31"/>
        <v>2042</v>
      </c>
      <c r="AB37" s="9">
        <f t="shared" si="31"/>
        <v>2042</v>
      </c>
      <c r="AC37" s="9">
        <f t="shared" si="27"/>
        <v>2038</v>
      </c>
      <c r="AD37" s="9">
        <f t="shared" ref="AD37:AD42" si="32">AB37</f>
        <v>2042</v>
      </c>
      <c r="AE37" s="9">
        <v>6</v>
      </c>
      <c r="AF37" s="9">
        <v>6</v>
      </c>
      <c r="AG37" s="9">
        <v>6</v>
      </c>
      <c r="AH37" s="9">
        <v>6</v>
      </c>
      <c r="AI37" s="9">
        <v>6</v>
      </c>
      <c r="AJ37" s="9">
        <f t="shared" si="28"/>
        <v>6</v>
      </c>
      <c r="AK37" s="9">
        <v>6</v>
      </c>
      <c r="AL37" s="152">
        <v>1.2267192541321688</v>
      </c>
      <c r="AM37" s="152">
        <v>2.2612105538192599</v>
      </c>
      <c r="AN37" s="152">
        <v>2.1252009430760062</v>
      </c>
      <c r="AO37" s="152">
        <v>1.2944496352201866</v>
      </c>
      <c r="AP37" s="152">
        <v>0.32314284341629806</v>
      </c>
      <c r="AQ37" s="152">
        <v>0.14000000000000001</v>
      </c>
      <c r="AR37" s="152">
        <v>1.4542000570988298</v>
      </c>
      <c r="AS37" s="152">
        <v>11.984388276878477</v>
      </c>
      <c r="AT37" s="152">
        <v>-1.7475682675103321</v>
      </c>
      <c r="AU37" s="152">
        <v>-1.7169645793441486</v>
      </c>
      <c r="AV37" s="152">
        <v>-1.4425350046709582</v>
      </c>
      <c r="AW37" s="152">
        <v>0.61768216477991222</v>
      </c>
      <c r="AX37" s="152">
        <v>0.15</v>
      </c>
      <c r="AY37" s="152">
        <v>-0.4950056673809119</v>
      </c>
      <c r="AZ37" s="151">
        <v>0.15</v>
      </c>
      <c r="BA37" s="151">
        <v>0.2</v>
      </c>
      <c r="BB37" s="151">
        <v>0.12</v>
      </c>
      <c r="BC37" s="151">
        <v>0.08</v>
      </c>
      <c r="BD37" s="151">
        <v>0.18</v>
      </c>
      <c r="BE37" s="151">
        <v>0.16</v>
      </c>
      <c r="BF37" s="151">
        <v>0.05</v>
      </c>
      <c r="BG37" s="151">
        <v>0.35</v>
      </c>
      <c r="BH37" s="151">
        <v>0.3</v>
      </c>
      <c r="BI37" s="151">
        <v>0.38</v>
      </c>
      <c r="BJ37" s="151">
        <v>0.42</v>
      </c>
      <c r="BK37" s="151">
        <v>0.32</v>
      </c>
      <c r="BL37" s="151">
        <v>0.34</v>
      </c>
      <c r="BM37" s="151">
        <v>0.45</v>
      </c>
      <c r="BN37" s="151">
        <v>0.15</v>
      </c>
      <c r="BO37" s="151">
        <v>0.2</v>
      </c>
      <c r="BP37" s="151">
        <v>0.12</v>
      </c>
      <c r="BQ37" s="151">
        <v>0.08</v>
      </c>
      <c r="BR37" s="151">
        <v>0.18</v>
      </c>
      <c r="BS37" s="151">
        <v>0.16</v>
      </c>
      <c r="BT37" s="151">
        <v>0.05</v>
      </c>
      <c r="BU37" s="151">
        <v>0.35</v>
      </c>
      <c r="BV37" s="151">
        <v>0.3</v>
      </c>
      <c r="BW37" s="151">
        <v>0.38</v>
      </c>
      <c r="BX37" s="151">
        <v>0.42</v>
      </c>
      <c r="BY37" s="151">
        <v>0.32</v>
      </c>
      <c r="BZ37" s="151">
        <v>0.34</v>
      </c>
      <c r="CA37" s="151">
        <v>0.45</v>
      </c>
    </row>
    <row r="38" spans="1:79" x14ac:dyDescent="0.35">
      <c r="A38" s="9" t="s">
        <v>10</v>
      </c>
      <c r="B38" s="9" t="s">
        <v>10</v>
      </c>
      <c r="C38" s="9">
        <v>2033</v>
      </c>
      <c r="D38" s="154">
        <f t="shared" si="20"/>
        <v>2034</v>
      </c>
      <c r="E38" s="154">
        <f t="shared" si="21"/>
        <v>2035</v>
      </c>
      <c r="F38" s="154">
        <f t="shared" si="22"/>
        <v>2035</v>
      </c>
      <c r="G38" s="154">
        <f t="shared" si="23"/>
        <v>2035</v>
      </c>
      <c r="H38" s="154">
        <f t="shared" si="2"/>
        <v>2034</v>
      </c>
      <c r="I38" s="154">
        <f t="shared" si="24"/>
        <v>2034</v>
      </c>
      <c r="J38" s="9">
        <v>6</v>
      </c>
      <c r="K38" s="9">
        <v>6</v>
      </c>
      <c r="L38" s="154">
        <f t="shared" si="25"/>
        <v>6</v>
      </c>
      <c r="M38" s="154">
        <f t="shared" si="25"/>
        <v>6.9999999999990905</v>
      </c>
      <c r="N38" s="154">
        <f t="shared" si="25"/>
        <v>6.9999999999990905</v>
      </c>
      <c r="O38" s="154">
        <f t="shared" si="29"/>
        <v>6</v>
      </c>
      <c r="P38" s="154">
        <f t="shared" si="26"/>
        <v>6</v>
      </c>
      <c r="Q38" s="9">
        <v>12</v>
      </c>
      <c r="R38" s="9">
        <v>11</v>
      </c>
      <c r="S38" s="9"/>
      <c r="T38" s="9"/>
      <c r="U38" s="9"/>
      <c r="V38" s="9"/>
      <c r="W38" s="9"/>
      <c r="X38" s="154">
        <f t="shared" si="30"/>
        <v>2046</v>
      </c>
      <c r="Y38" s="154">
        <f t="shared" si="30"/>
        <v>2046</v>
      </c>
      <c r="Z38" s="9">
        <f t="shared" si="31"/>
        <v>2046</v>
      </c>
      <c r="AA38" s="9">
        <f t="shared" si="31"/>
        <v>2046</v>
      </c>
      <c r="AB38" s="9">
        <f t="shared" si="31"/>
        <v>2046</v>
      </c>
      <c r="AC38" s="9">
        <f t="shared" si="27"/>
        <v>2042</v>
      </c>
      <c r="AD38" s="9">
        <f t="shared" si="32"/>
        <v>2046</v>
      </c>
      <c r="AE38" s="9">
        <v>6</v>
      </c>
      <c r="AF38" s="9">
        <v>6</v>
      </c>
      <c r="AG38" s="9">
        <v>6</v>
      </c>
      <c r="AH38" s="9">
        <v>6</v>
      </c>
      <c r="AI38" s="9">
        <v>6</v>
      </c>
      <c r="AJ38" s="9">
        <f t="shared" si="28"/>
        <v>6</v>
      </c>
      <c r="AK38" s="9">
        <v>6</v>
      </c>
      <c r="AL38" s="152">
        <v>1.2267192541321688</v>
      </c>
      <c r="AM38" s="152">
        <v>2.2612105538192599</v>
      </c>
      <c r="AN38" s="152">
        <v>2.1252009430760062</v>
      </c>
      <c r="AO38" s="152">
        <v>1.2944496352201866</v>
      </c>
      <c r="AP38" s="152">
        <v>0.32314284341629806</v>
      </c>
      <c r="AQ38" s="152">
        <v>0.14000000000000001</v>
      </c>
      <c r="AR38" s="152">
        <v>1.4542000570988298</v>
      </c>
      <c r="AS38" s="152">
        <v>11.984388276878477</v>
      </c>
      <c r="AT38" s="152">
        <v>-1.7475682675103321</v>
      </c>
      <c r="AU38" s="152">
        <v>-1.7169645793441486</v>
      </c>
      <c r="AV38" s="152">
        <v>-1.4425350046709582</v>
      </c>
      <c r="AW38" s="152">
        <v>0.61768216477991222</v>
      </c>
      <c r="AX38" s="152">
        <v>0.15</v>
      </c>
      <c r="AY38" s="152">
        <v>-0.4950056673809119</v>
      </c>
      <c r="AZ38" s="151">
        <v>0.15</v>
      </c>
      <c r="BA38" s="151">
        <v>0.2</v>
      </c>
      <c r="BB38" s="151">
        <v>0.12</v>
      </c>
      <c r="BC38" s="151">
        <v>0.08</v>
      </c>
      <c r="BD38" s="151">
        <v>0.18</v>
      </c>
      <c r="BE38" s="151">
        <v>0.16</v>
      </c>
      <c r="BF38" s="151">
        <v>0.05</v>
      </c>
      <c r="BG38" s="151">
        <v>0.35</v>
      </c>
      <c r="BH38" s="151">
        <v>0.3</v>
      </c>
      <c r="BI38" s="151">
        <v>0.38</v>
      </c>
      <c r="BJ38" s="151">
        <v>0.42</v>
      </c>
      <c r="BK38" s="151">
        <v>0.32</v>
      </c>
      <c r="BL38" s="151">
        <v>0.34</v>
      </c>
      <c r="BM38" s="151">
        <v>0.45</v>
      </c>
      <c r="BN38" s="151">
        <v>0.15</v>
      </c>
      <c r="BO38" s="151">
        <v>0.2</v>
      </c>
      <c r="BP38" s="151">
        <v>0.12</v>
      </c>
      <c r="BQ38" s="151">
        <v>0.08</v>
      </c>
      <c r="BR38" s="151">
        <v>0.18</v>
      </c>
      <c r="BS38" s="151">
        <v>0.16</v>
      </c>
      <c r="BT38" s="151">
        <v>0.05</v>
      </c>
      <c r="BU38" s="151">
        <v>0.35</v>
      </c>
      <c r="BV38" s="151">
        <v>0.3</v>
      </c>
      <c r="BW38" s="151">
        <v>0.38</v>
      </c>
      <c r="BX38" s="151">
        <v>0.42</v>
      </c>
      <c r="BY38" s="151">
        <v>0.32</v>
      </c>
      <c r="BZ38" s="151">
        <v>0.34</v>
      </c>
      <c r="CA38" s="151">
        <v>0.45</v>
      </c>
    </row>
    <row r="39" spans="1:79" x14ac:dyDescent="0.35">
      <c r="A39" s="9" t="s">
        <v>7</v>
      </c>
      <c r="B39" s="9" t="s">
        <v>7</v>
      </c>
      <c r="C39" s="9">
        <v>2037</v>
      </c>
      <c r="D39" s="154">
        <f t="shared" si="20"/>
        <v>2038</v>
      </c>
      <c r="E39" s="154">
        <f t="shared" si="21"/>
        <v>2039</v>
      </c>
      <c r="F39" s="154">
        <f t="shared" si="22"/>
        <v>2039</v>
      </c>
      <c r="G39" s="154">
        <f t="shared" si="23"/>
        <v>2039</v>
      </c>
      <c r="H39" s="154">
        <f t="shared" si="2"/>
        <v>2038</v>
      </c>
      <c r="I39" s="154">
        <f t="shared" si="24"/>
        <v>2038</v>
      </c>
      <c r="J39" s="9">
        <v>6</v>
      </c>
      <c r="K39" s="9">
        <v>6</v>
      </c>
      <c r="L39" s="154">
        <f t="shared" si="25"/>
        <v>6</v>
      </c>
      <c r="M39" s="154">
        <f t="shared" si="25"/>
        <v>6.9999999999990905</v>
      </c>
      <c r="N39" s="154">
        <f t="shared" si="25"/>
        <v>6.9999999999990905</v>
      </c>
      <c r="O39" s="154">
        <f t="shared" si="29"/>
        <v>6</v>
      </c>
      <c r="P39" s="154">
        <f t="shared" si="26"/>
        <v>6</v>
      </c>
      <c r="Q39" s="9">
        <v>12</v>
      </c>
      <c r="R39" s="9">
        <v>11</v>
      </c>
      <c r="S39" s="9"/>
      <c r="T39" s="9"/>
      <c r="U39" s="9"/>
      <c r="V39" s="9"/>
      <c r="W39" s="9"/>
      <c r="X39" s="154">
        <f t="shared" si="30"/>
        <v>2050</v>
      </c>
      <c r="Y39" s="154">
        <f t="shared" si="30"/>
        <v>2050</v>
      </c>
      <c r="Z39" s="9">
        <f t="shared" si="31"/>
        <v>2050</v>
      </c>
      <c r="AA39" s="9">
        <f t="shared" si="31"/>
        <v>2050</v>
      </c>
      <c r="AB39" s="9">
        <f t="shared" si="31"/>
        <v>2050</v>
      </c>
      <c r="AC39" s="9">
        <f t="shared" si="27"/>
        <v>2046</v>
      </c>
      <c r="AD39" s="9">
        <f t="shared" si="32"/>
        <v>2050</v>
      </c>
      <c r="AE39" s="9">
        <v>6</v>
      </c>
      <c r="AF39" s="9">
        <v>6</v>
      </c>
      <c r="AG39" s="9">
        <v>6</v>
      </c>
      <c r="AH39" s="9">
        <v>6</v>
      </c>
      <c r="AI39" s="9">
        <v>6</v>
      </c>
      <c r="AJ39" s="9">
        <f t="shared" si="28"/>
        <v>6</v>
      </c>
      <c r="AK39" s="9">
        <v>6</v>
      </c>
      <c r="AL39" s="152">
        <v>1.2267192541321688</v>
      </c>
      <c r="AM39" s="152">
        <v>2.2612105538192599</v>
      </c>
      <c r="AN39" s="152">
        <v>2.1252009430760062</v>
      </c>
      <c r="AO39" s="152">
        <v>1.2944496352201866</v>
      </c>
      <c r="AP39" s="152">
        <v>0.32314284341629806</v>
      </c>
      <c r="AQ39" s="152">
        <v>0.14000000000000001</v>
      </c>
      <c r="AR39" s="152">
        <v>1.4542000570988298</v>
      </c>
      <c r="AS39" s="152">
        <v>11.984388276878477</v>
      </c>
      <c r="AT39" s="152">
        <v>-1.7475682675103321</v>
      </c>
      <c r="AU39" s="152">
        <v>-1.7169645793441486</v>
      </c>
      <c r="AV39" s="152">
        <v>-1.4425350046709582</v>
      </c>
      <c r="AW39" s="152">
        <v>0.61768216477991222</v>
      </c>
      <c r="AX39" s="152">
        <v>0.15</v>
      </c>
      <c r="AY39" s="152">
        <v>-0.4950056673809119</v>
      </c>
      <c r="AZ39" s="151">
        <v>0.15</v>
      </c>
      <c r="BA39" s="151">
        <v>0.2</v>
      </c>
      <c r="BB39" s="151">
        <v>0.12</v>
      </c>
      <c r="BC39" s="151">
        <v>0.08</v>
      </c>
      <c r="BD39" s="151">
        <v>0.18</v>
      </c>
      <c r="BE39" s="151">
        <v>0.16</v>
      </c>
      <c r="BF39" s="151">
        <v>0.05</v>
      </c>
      <c r="BG39" s="151">
        <v>0.35</v>
      </c>
      <c r="BH39" s="151">
        <v>0.3</v>
      </c>
      <c r="BI39" s="151">
        <v>0.38</v>
      </c>
      <c r="BJ39" s="151">
        <v>0.42</v>
      </c>
      <c r="BK39" s="151">
        <v>0.32</v>
      </c>
      <c r="BL39" s="151">
        <v>0.34</v>
      </c>
      <c r="BM39" s="151">
        <v>0.45</v>
      </c>
      <c r="BN39" s="151">
        <v>0.15</v>
      </c>
      <c r="BO39" s="151">
        <v>0.2</v>
      </c>
      <c r="BP39" s="151">
        <v>0.12</v>
      </c>
      <c r="BQ39" s="151">
        <v>0.08</v>
      </c>
      <c r="BR39" s="151">
        <v>0.18</v>
      </c>
      <c r="BS39" s="151">
        <v>0.16</v>
      </c>
      <c r="BT39" s="151">
        <v>0.05</v>
      </c>
      <c r="BU39" s="151">
        <v>0.35</v>
      </c>
      <c r="BV39" s="151">
        <v>0.3</v>
      </c>
      <c r="BW39" s="151">
        <v>0.38</v>
      </c>
      <c r="BX39" s="151">
        <v>0.42</v>
      </c>
      <c r="BY39" s="151">
        <v>0.32</v>
      </c>
      <c r="BZ39" s="151">
        <v>0.34</v>
      </c>
      <c r="CA39" s="151">
        <v>0.45</v>
      </c>
    </row>
    <row r="40" spans="1:79" x14ac:dyDescent="0.35">
      <c r="A40" s="9" t="s">
        <v>15</v>
      </c>
      <c r="B40" s="9" t="s">
        <v>13</v>
      </c>
      <c r="C40" s="9">
        <v>2031</v>
      </c>
      <c r="D40" s="154">
        <f t="shared" si="20"/>
        <v>2032</v>
      </c>
      <c r="E40" s="154">
        <f t="shared" si="21"/>
        <v>2033</v>
      </c>
      <c r="F40" s="154">
        <f t="shared" si="22"/>
        <v>2033</v>
      </c>
      <c r="G40" s="154">
        <f t="shared" si="23"/>
        <v>2033</v>
      </c>
      <c r="H40" s="154">
        <f t="shared" si="2"/>
        <v>2032</v>
      </c>
      <c r="I40" s="154">
        <f t="shared" si="24"/>
        <v>2032</v>
      </c>
      <c r="J40" s="9">
        <v>6</v>
      </c>
      <c r="K40" s="9">
        <v>6</v>
      </c>
      <c r="L40" s="154">
        <f t="shared" si="25"/>
        <v>6</v>
      </c>
      <c r="M40" s="154">
        <f t="shared" si="25"/>
        <v>6.9999999999990905</v>
      </c>
      <c r="N40" s="154">
        <f t="shared" si="25"/>
        <v>6.9999999999990905</v>
      </c>
      <c r="O40" s="154">
        <f t="shared" si="29"/>
        <v>6</v>
      </c>
      <c r="P40" s="154">
        <f t="shared" si="26"/>
        <v>6</v>
      </c>
      <c r="Q40" s="9">
        <v>12</v>
      </c>
      <c r="R40" s="9">
        <v>11</v>
      </c>
      <c r="S40" s="9"/>
      <c r="T40" s="9"/>
      <c r="U40" s="9"/>
      <c r="V40" s="9"/>
      <c r="W40" s="9"/>
      <c r="X40" s="154">
        <f t="shared" si="30"/>
        <v>2044</v>
      </c>
      <c r="Y40" s="154">
        <f t="shared" si="30"/>
        <v>2044</v>
      </c>
      <c r="Z40" s="9">
        <f t="shared" si="31"/>
        <v>2044</v>
      </c>
      <c r="AA40" s="9">
        <f t="shared" si="31"/>
        <v>2044</v>
      </c>
      <c r="AB40" s="9">
        <f t="shared" si="31"/>
        <v>2044</v>
      </c>
      <c r="AC40" s="9">
        <f t="shared" si="27"/>
        <v>2040</v>
      </c>
      <c r="AD40" s="9">
        <f t="shared" si="32"/>
        <v>2044</v>
      </c>
      <c r="AE40" s="9">
        <v>6</v>
      </c>
      <c r="AF40" s="9">
        <v>6</v>
      </c>
      <c r="AG40" s="9">
        <v>6</v>
      </c>
      <c r="AH40" s="9">
        <v>6</v>
      </c>
      <c r="AI40" s="9">
        <v>6</v>
      </c>
      <c r="AJ40" s="9">
        <f t="shared" si="28"/>
        <v>6</v>
      </c>
      <c r="AK40" s="9">
        <v>6</v>
      </c>
      <c r="AL40" s="152">
        <v>1.2267192541321688</v>
      </c>
      <c r="AM40" s="152">
        <v>2.2612105538192599</v>
      </c>
      <c r="AN40" s="152">
        <v>2.1252009430760062</v>
      </c>
      <c r="AO40" s="152">
        <v>1.2944496352201866</v>
      </c>
      <c r="AP40" s="152">
        <v>0.32314284341629806</v>
      </c>
      <c r="AQ40" s="152">
        <v>0.14000000000000001</v>
      </c>
      <c r="AR40" s="152">
        <v>1.4542000570988298</v>
      </c>
      <c r="AS40" s="152">
        <v>11.984388276878477</v>
      </c>
      <c r="AT40" s="152">
        <v>-1.7475682675103321</v>
      </c>
      <c r="AU40" s="152">
        <v>-1.7169645793441486</v>
      </c>
      <c r="AV40" s="152">
        <v>-1.4425350046709582</v>
      </c>
      <c r="AW40" s="152">
        <v>0.61768216477991222</v>
      </c>
      <c r="AX40" s="152">
        <v>0.15</v>
      </c>
      <c r="AY40" s="152">
        <v>-0.4950056673809119</v>
      </c>
      <c r="AZ40" s="151">
        <v>0.15</v>
      </c>
      <c r="BA40" s="151">
        <v>0.2</v>
      </c>
      <c r="BB40" s="151">
        <v>0.12</v>
      </c>
      <c r="BC40" s="151">
        <v>0.08</v>
      </c>
      <c r="BD40" s="151">
        <v>0.18</v>
      </c>
      <c r="BE40" s="151">
        <v>0.16</v>
      </c>
      <c r="BF40" s="151">
        <v>0.05</v>
      </c>
      <c r="BG40" s="151">
        <v>0.35</v>
      </c>
      <c r="BH40" s="151">
        <v>0.3</v>
      </c>
      <c r="BI40" s="151">
        <v>0.38</v>
      </c>
      <c r="BJ40" s="151">
        <v>0.42</v>
      </c>
      <c r="BK40" s="151">
        <v>0.32</v>
      </c>
      <c r="BL40" s="151">
        <v>0.34</v>
      </c>
      <c r="BM40" s="151">
        <v>0.45</v>
      </c>
      <c r="BN40" s="151">
        <v>0.15</v>
      </c>
      <c r="BO40" s="151">
        <v>0.2</v>
      </c>
      <c r="BP40" s="151">
        <v>0.12</v>
      </c>
      <c r="BQ40" s="151">
        <v>0.08</v>
      </c>
      <c r="BR40" s="151">
        <v>0.18</v>
      </c>
      <c r="BS40" s="151">
        <v>0.16</v>
      </c>
      <c r="BT40" s="151">
        <v>0.05</v>
      </c>
      <c r="BU40" s="151">
        <v>0.35</v>
      </c>
      <c r="BV40" s="151">
        <v>0.3</v>
      </c>
      <c r="BW40" s="151">
        <v>0.38</v>
      </c>
      <c r="BX40" s="151">
        <v>0.42</v>
      </c>
      <c r="BY40" s="151">
        <v>0.32</v>
      </c>
      <c r="BZ40" s="151">
        <v>0.34</v>
      </c>
      <c r="CA40" s="151">
        <v>0.45</v>
      </c>
    </row>
    <row r="41" spans="1:79" x14ac:dyDescent="0.35">
      <c r="A41" s="9" t="s">
        <v>12</v>
      </c>
      <c r="B41" s="9" t="s">
        <v>10</v>
      </c>
      <c r="C41" s="9">
        <v>2035</v>
      </c>
      <c r="D41" s="154">
        <f t="shared" si="20"/>
        <v>2036</v>
      </c>
      <c r="E41" s="154">
        <f t="shared" si="21"/>
        <v>2037</v>
      </c>
      <c r="F41" s="154">
        <f t="shared" si="22"/>
        <v>2037</v>
      </c>
      <c r="G41" s="154">
        <f t="shared" si="23"/>
        <v>2037</v>
      </c>
      <c r="H41" s="154">
        <f t="shared" si="2"/>
        <v>2036</v>
      </c>
      <c r="I41" s="154">
        <f t="shared" si="24"/>
        <v>2036</v>
      </c>
      <c r="J41" s="9">
        <v>6</v>
      </c>
      <c r="K41" s="9">
        <v>6</v>
      </c>
      <c r="L41" s="154">
        <f t="shared" si="25"/>
        <v>6</v>
      </c>
      <c r="M41" s="154">
        <f t="shared" si="25"/>
        <v>6.9999999999990905</v>
      </c>
      <c r="N41" s="154">
        <f t="shared" si="25"/>
        <v>6.9999999999990905</v>
      </c>
      <c r="O41" s="154">
        <f t="shared" si="29"/>
        <v>6</v>
      </c>
      <c r="P41" s="154">
        <f t="shared" si="26"/>
        <v>6</v>
      </c>
      <c r="Q41" s="9">
        <v>12</v>
      </c>
      <c r="R41" s="9">
        <v>11</v>
      </c>
      <c r="S41" s="9"/>
      <c r="T41" s="9"/>
      <c r="U41" s="9"/>
      <c r="V41" s="9"/>
      <c r="W41" s="9"/>
      <c r="X41" s="154">
        <f t="shared" si="30"/>
        <v>2048</v>
      </c>
      <c r="Y41" s="154">
        <f t="shared" si="30"/>
        <v>2048</v>
      </c>
      <c r="Z41" s="9">
        <f t="shared" si="31"/>
        <v>2048</v>
      </c>
      <c r="AA41" s="9">
        <f t="shared" si="31"/>
        <v>2048</v>
      </c>
      <c r="AB41" s="9">
        <f t="shared" si="31"/>
        <v>2048</v>
      </c>
      <c r="AC41" s="9">
        <f t="shared" si="27"/>
        <v>2044</v>
      </c>
      <c r="AD41" s="9">
        <f t="shared" si="32"/>
        <v>2048</v>
      </c>
      <c r="AE41" s="9">
        <v>6</v>
      </c>
      <c r="AF41" s="9">
        <v>6</v>
      </c>
      <c r="AG41" s="9">
        <v>6</v>
      </c>
      <c r="AH41" s="9">
        <v>6</v>
      </c>
      <c r="AI41" s="9">
        <v>6</v>
      </c>
      <c r="AJ41" s="9">
        <f t="shared" si="28"/>
        <v>6</v>
      </c>
      <c r="AK41" s="9">
        <v>6</v>
      </c>
      <c r="AL41" s="152">
        <v>1.2267192541321688</v>
      </c>
      <c r="AM41" s="152">
        <v>2.2612105538192599</v>
      </c>
      <c r="AN41" s="152">
        <v>2.1252009430760062</v>
      </c>
      <c r="AO41" s="152">
        <v>1.2944496352201866</v>
      </c>
      <c r="AP41" s="152">
        <v>0.32314284341629806</v>
      </c>
      <c r="AQ41" s="152">
        <v>0.14000000000000001</v>
      </c>
      <c r="AR41" s="152">
        <v>1.4542000570988298</v>
      </c>
      <c r="AS41" s="152">
        <v>11.984388276878477</v>
      </c>
      <c r="AT41" s="152">
        <v>-1.7475682675103321</v>
      </c>
      <c r="AU41" s="152">
        <v>-1.7169645793441486</v>
      </c>
      <c r="AV41" s="152">
        <v>-1.4425350046709582</v>
      </c>
      <c r="AW41" s="152">
        <v>0.61768216477991222</v>
      </c>
      <c r="AX41" s="152">
        <v>0.15</v>
      </c>
      <c r="AY41" s="152">
        <v>-0.4950056673809119</v>
      </c>
      <c r="AZ41" s="151">
        <v>0.15</v>
      </c>
      <c r="BA41" s="151">
        <v>0.2</v>
      </c>
      <c r="BB41" s="151">
        <v>0.12</v>
      </c>
      <c r="BC41" s="151">
        <v>0.08</v>
      </c>
      <c r="BD41" s="151">
        <v>0.18</v>
      </c>
      <c r="BE41" s="151">
        <v>0.16</v>
      </c>
      <c r="BF41" s="151">
        <v>0.05</v>
      </c>
      <c r="BG41" s="151">
        <v>0.35</v>
      </c>
      <c r="BH41" s="151">
        <v>0.3</v>
      </c>
      <c r="BI41" s="151">
        <v>0.38</v>
      </c>
      <c r="BJ41" s="151">
        <v>0.42</v>
      </c>
      <c r="BK41" s="151">
        <v>0.32</v>
      </c>
      <c r="BL41" s="151">
        <v>0.34</v>
      </c>
      <c r="BM41" s="151">
        <v>0.45</v>
      </c>
      <c r="BN41" s="151">
        <v>0.15</v>
      </c>
      <c r="BO41" s="151">
        <v>0.2</v>
      </c>
      <c r="BP41" s="151">
        <v>0.12</v>
      </c>
      <c r="BQ41" s="151">
        <v>0.08</v>
      </c>
      <c r="BR41" s="151">
        <v>0.18</v>
      </c>
      <c r="BS41" s="151">
        <v>0.16</v>
      </c>
      <c r="BT41" s="151">
        <v>0.05</v>
      </c>
      <c r="BU41" s="151">
        <v>0.35</v>
      </c>
      <c r="BV41" s="151">
        <v>0.3</v>
      </c>
      <c r="BW41" s="151">
        <v>0.38</v>
      </c>
      <c r="BX41" s="151">
        <v>0.42</v>
      </c>
      <c r="BY41" s="151">
        <v>0.32</v>
      </c>
      <c r="BZ41" s="151">
        <v>0.34</v>
      </c>
      <c r="CA41" s="151">
        <v>0.45</v>
      </c>
    </row>
    <row r="42" spans="1:79" x14ac:dyDescent="0.35">
      <c r="A42" s="9" t="s">
        <v>9</v>
      </c>
      <c r="B42" s="9" t="s">
        <v>7</v>
      </c>
      <c r="C42" s="9">
        <f>C39+3</f>
        <v>2040</v>
      </c>
      <c r="D42" s="154">
        <f t="shared" si="20"/>
        <v>2041</v>
      </c>
      <c r="E42" s="154">
        <f t="shared" si="21"/>
        <v>2042</v>
      </c>
      <c r="F42" s="154">
        <f t="shared" si="22"/>
        <v>2042</v>
      </c>
      <c r="G42" s="154">
        <f t="shared" si="23"/>
        <v>2042</v>
      </c>
      <c r="H42" s="154">
        <f t="shared" si="2"/>
        <v>2041</v>
      </c>
      <c r="I42" s="154">
        <f t="shared" si="24"/>
        <v>2041</v>
      </c>
      <c r="J42" s="9">
        <v>6</v>
      </c>
      <c r="K42" s="9">
        <v>6</v>
      </c>
      <c r="L42" s="154">
        <f t="shared" si="25"/>
        <v>6</v>
      </c>
      <c r="M42" s="154">
        <f t="shared" si="25"/>
        <v>6.9999999999990905</v>
      </c>
      <c r="N42" s="154">
        <f t="shared" si="25"/>
        <v>6.9999999999990905</v>
      </c>
      <c r="O42" s="154">
        <f t="shared" si="29"/>
        <v>6</v>
      </c>
      <c r="P42" s="154">
        <f t="shared" si="26"/>
        <v>6</v>
      </c>
      <c r="Q42" s="9">
        <v>12</v>
      </c>
      <c r="R42" s="9">
        <v>11</v>
      </c>
      <c r="S42" s="9"/>
      <c r="T42" s="9"/>
      <c r="U42" s="9"/>
      <c r="V42" s="9"/>
      <c r="W42" s="9"/>
      <c r="X42" s="154">
        <f t="shared" si="30"/>
        <v>2053</v>
      </c>
      <c r="Y42" s="154">
        <f t="shared" si="30"/>
        <v>2053</v>
      </c>
      <c r="Z42" s="9">
        <f t="shared" si="31"/>
        <v>2053</v>
      </c>
      <c r="AA42" s="9">
        <f t="shared" si="31"/>
        <v>2053</v>
      </c>
      <c r="AB42" s="9">
        <f t="shared" si="31"/>
        <v>2053</v>
      </c>
      <c r="AC42" s="9">
        <f t="shared" si="27"/>
        <v>2049</v>
      </c>
      <c r="AD42" s="9">
        <f t="shared" si="32"/>
        <v>2053</v>
      </c>
      <c r="AE42" s="9">
        <v>6</v>
      </c>
      <c r="AF42" s="9">
        <v>6</v>
      </c>
      <c r="AG42" s="9">
        <v>6</v>
      </c>
      <c r="AH42" s="9">
        <v>6</v>
      </c>
      <c r="AI42" s="9">
        <v>6</v>
      </c>
      <c r="AJ42" s="9">
        <f t="shared" si="28"/>
        <v>6</v>
      </c>
      <c r="AK42" s="9">
        <v>6</v>
      </c>
      <c r="AL42" s="152">
        <v>1.2267192541321688</v>
      </c>
      <c r="AM42" s="152">
        <v>2.2612105538192599</v>
      </c>
      <c r="AN42" s="152">
        <v>2.1252009430760062</v>
      </c>
      <c r="AO42" s="152">
        <v>1.2944496352201866</v>
      </c>
      <c r="AP42" s="152">
        <v>0.32314284341629806</v>
      </c>
      <c r="AQ42" s="152">
        <v>0.14000000000000001</v>
      </c>
      <c r="AR42" s="152">
        <v>1.4542000570988298</v>
      </c>
      <c r="AS42" s="152">
        <v>11.984388276878477</v>
      </c>
      <c r="AT42" s="152">
        <v>-1.7475682675103321</v>
      </c>
      <c r="AU42" s="152">
        <v>-1.7169645793441486</v>
      </c>
      <c r="AV42" s="152">
        <v>-1.4425350046709582</v>
      </c>
      <c r="AW42" s="152">
        <v>0.61768216477991222</v>
      </c>
      <c r="AX42" s="152">
        <v>0.15</v>
      </c>
      <c r="AY42" s="152">
        <v>-0.4950056673809119</v>
      </c>
      <c r="AZ42" s="151">
        <v>0.15</v>
      </c>
      <c r="BA42" s="151">
        <v>0.2</v>
      </c>
      <c r="BB42" s="151">
        <v>0.12</v>
      </c>
      <c r="BC42" s="151">
        <v>0.08</v>
      </c>
      <c r="BD42" s="151">
        <v>0.18</v>
      </c>
      <c r="BE42" s="151">
        <v>0.16</v>
      </c>
      <c r="BF42" s="151">
        <v>0.05</v>
      </c>
      <c r="BG42" s="151">
        <v>0.35</v>
      </c>
      <c r="BH42" s="151">
        <v>0.3</v>
      </c>
      <c r="BI42" s="151">
        <v>0.38</v>
      </c>
      <c r="BJ42" s="151">
        <v>0.42</v>
      </c>
      <c r="BK42" s="151">
        <v>0.32</v>
      </c>
      <c r="BL42" s="151">
        <v>0.34</v>
      </c>
      <c r="BM42" s="151">
        <v>0.45</v>
      </c>
      <c r="BN42" s="151">
        <v>0.15</v>
      </c>
      <c r="BO42" s="151">
        <v>0.2</v>
      </c>
      <c r="BP42" s="151">
        <v>0.12</v>
      </c>
      <c r="BQ42" s="151">
        <v>0.08</v>
      </c>
      <c r="BR42" s="151">
        <v>0.18</v>
      </c>
      <c r="BS42" s="151">
        <v>0.16</v>
      </c>
      <c r="BT42" s="151">
        <v>0.05</v>
      </c>
      <c r="BU42" s="151">
        <v>0.35</v>
      </c>
      <c r="BV42" s="151">
        <v>0.3</v>
      </c>
      <c r="BW42" s="151">
        <v>0.38</v>
      </c>
      <c r="BX42" s="151">
        <v>0.42</v>
      </c>
      <c r="BY42" s="151">
        <v>0.32</v>
      </c>
      <c r="BZ42" s="151">
        <v>0.34</v>
      </c>
      <c r="CA42" s="151">
        <v>0.45</v>
      </c>
    </row>
    <row r="43" spans="1:79" x14ac:dyDescent="0.35">
      <c r="A43" s="9" t="s">
        <v>192</v>
      </c>
      <c r="B43" s="9" t="s">
        <v>0</v>
      </c>
      <c r="C43" s="9">
        <v>2050</v>
      </c>
      <c r="D43" s="154">
        <f t="shared" si="20"/>
        <v>2051</v>
      </c>
      <c r="E43" s="154">
        <f t="shared" si="21"/>
        <v>2052</v>
      </c>
      <c r="F43" s="154">
        <f t="shared" si="22"/>
        <v>2052</v>
      </c>
      <c r="G43" s="154">
        <f t="shared" si="23"/>
        <v>2052</v>
      </c>
      <c r="H43" s="154">
        <f t="shared" si="2"/>
        <v>2051</v>
      </c>
      <c r="I43" s="154">
        <f t="shared" si="24"/>
        <v>2051</v>
      </c>
      <c r="J43" s="9">
        <v>9</v>
      </c>
      <c r="K43" s="9">
        <v>6</v>
      </c>
      <c r="L43" s="154">
        <f t="shared" si="25"/>
        <v>6</v>
      </c>
      <c r="M43" s="154">
        <f t="shared" si="25"/>
        <v>7.000000000001819</v>
      </c>
      <c r="N43" s="154">
        <f t="shared" si="25"/>
        <v>7.000000000001819</v>
      </c>
      <c r="O43" s="154">
        <f t="shared" si="29"/>
        <v>9</v>
      </c>
      <c r="P43" s="154">
        <f t="shared" si="26"/>
        <v>6</v>
      </c>
      <c r="Q43" s="9"/>
      <c r="R43" s="9"/>
      <c r="S43" s="9"/>
      <c r="T43" s="9"/>
      <c r="U43" s="9"/>
      <c r="V43" s="9"/>
      <c r="W43" s="9"/>
      <c r="X43" s="9">
        <v>2060</v>
      </c>
      <c r="Y43" s="9">
        <v>2060</v>
      </c>
      <c r="Z43" s="9">
        <v>2060</v>
      </c>
      <c r="AA43" s="9">
        <v>2060</v>
      </c>
      <c r="AB43" s="9">
        <v>2060</v>
      </c>
      <c r="AC43" s="9">
        <f t="shared" si="27"/>
        <v>2059</v>
      </c>
      <c r="AD43" s="9">
        <v>2060</v>
      </c>
      <c r="AE43" s="9">
        <v>6</v>
      </c>
      <c r="AF43" s="9">
        <v>6</v>
      </c>
      <c r="AG43" s="9">
        <v>6</v>
      </c>
      <c r="AH43" s="9">
        <v>6</v>
      </c>
      <c r="AI43" s="9">
        <v>6</v>
      </c>
      <c r="AJ43" s="9">
        <f t="shared" si="28"/>
        <v>9</v>
      </c>
      <c r="AK43" s="9">
        <v>6</v>
      </c>
      <c r="AL43" s="152">
        <v>1.2267192541321688</v>
      </c>
      <c r="AM43" s="152">
        <v>2.2612105538192599</v>
      </c>
      <c r="AN43" s="152">
        <v>2.1252009430760062</v>
      </c>
      <c r="AO43" s="152">
        <v>1.2944496352201866</v>
      </c>
      <c r="AP43" s="152">
        <v>0.32314284341629806</v>
      </c>
      <c r="AQ43" s="152">
        <v>0.14000000000000001</v>
      </c>
      <c r="AR43" s="152">
        <v>1.4542000570988298</v>
      </c>
      <c r="AS43" s="152">
        <v>11.984388276878477</v>
      </c>
      <c r="AT43" s="152">
        <v>-1.7475682675103321</v>
      </c>
      <c r="AU43" s="152">
        <v>-1.7169645793441486</v>
      </c>
      <c r="AV43" s="152">
        <v>-1.4425350046709582</v>
      </c>
      <c r="AW43" s="152">
        <v>0.61768216477991222</v>
      </c>
      <c r="AX43" s="152">
        <v>0.15</v>
      </c>
      <c r="AY43" s="152">
        <v>-0.4950056673809119</v>
      </c>
      <c r="AZ43" s="151">
        <v>0.15</v>
      </c>
      <c r="BA43" s="151">
        <v>0.2</v>
      </c>
      <c r="BB43" s="151">
        <v>0.12</v>
      </c>
      <c r="BC43" s="151">
        <v>0.08</v>
      </c>
      <c r="BD43" s="151">
        <v>0.18</v>
      </c>
      <c r="BE43" s="151">
        <v>0.16</v>
      </c>
      <c r="BF43" s="151">
        <v>0.05</v>
      </c>
      <c r="BG43" s="151">
        <v>0.35</v>
      </c>
      <c r="BH43" s="151">
        <v>0.3</v>
      </c>
      <c r="BI43" s="151">
        <v>0.38</v>
      </c>
      <c r="BJ43" s="151">
        <v>0.42</v>
      </c>
      <c r="BK43" s="151">
        <v>0.32</v>
      </c>
      <c r="BL43" s="151">
        <v>0.34</v>
      </c>
      <c r="BM43" s="151">
        <v>0.45</v>
      </c>
      <c r="BN43" s="151">
        <v>0.15</v>
      </c>
      <c r="BO43" s="151">
        <v>0.2</v>
      </c>
      <c r="BP43" s="151">
        <v>0.12</v>
      </c>
      <c r="BQ43" s="151">
        <v>0.08</v>
      </c>
      <c r="BR43" s="151">
        <v>0.18</v>
      </c>
      <c r="BS43" s="151">
        <v>0.16</v>
      </c>
      <c r="BT43" s="151">
        <v>0.05</v>
      </c>
      <c r="BU43" s="151">
        <v>0.35</v>
      </c>
      <c r="BV43" s="151">
        <v>0.3</v>
      </c>
      <c r="BW43" s="151">
        <v>0.38</v>
      </c>
      <c r="BX43" s="151">
        <v>0.42</v>
      </c>
      <c r="BY43" s="151">
        <v>0.32</v>
      </c>
      <c r="BZ43" s="151">
        <v>0.34</v>
      </c>
      <c r="CA43" s="151">
        <v>0.45</v>
      </c>
    </row>
    <row r="44" spans="1:79" x14ac:dyDescent="0.35">
      <c r="A44" s="9" t="s">
        <v>6</v>
      </c>
      <c r="B44" s="9" t="s">
        <v>0</v>
      </c>
      <c r="C44" s="9">
        <v>2050</v>
      </c>
      <c r="D44" s="154">
        <f t="shared" si="20"/>
        <v>2051</v>
      </c>
      <c r="E44" s="154">
        <f t="shared" si="21"/>
        <v>2052</v>
      </c>
      <c r="F44" s="154">
        <f t="shared" si="22"/>
        <v>2052</v>
      </c>
      <c r="G44" s="154">
        <f t="shared" si="23"/>
        <v>2052</v>
      </c>
      <c r="H44" s="154">
        <f t="shared" si="2"/>
        <v>2051</v>
      </c>
      <c r="I44" s="154">
        <f t="shared" si="24"/>
        <v>2051</v>
      </c>
      <c r="J44" s="9">
        <v>9</v>
      </c>
      <c r="K44" s="9">
        <v>6</v>
      </c>
      <c r="L44" s="154">
        <f t="shared" si="25"/>
        <v>6</v>
      </c>
      <c r="M44" s="154">
        <f t="shared" si="25"/>
        <v>7.000000000001819</v>
      </c>
      <c r="N44" s="154">
        <f t="shared" si="25"/>
        <v>7.000000000001819</v>
      </c>
      <c r="O44" s="154">
        <f t="shared" si="29"/>
        <v>9</v>
      </c>
      <c r="P44" s="154">
        <f t="shared" si="26"/>
        <v>6</v>
      </c>
      <c r="Q44" s="9"/>
      <c r="R44" s="9"/>
      <c r="S44" s="9"/>
      <c r="T44" s="9"/>
      <c r="U44" s="9"/>
      <c r="V44" s="9"/>
      <c r="W44" s="9"/>
      <c r="X44" s="9">
        <v>2060</v>
      </c>
      <c r="Y44" s="9">
        <v>2060</v>
      </c>
      <c r="Z44" s="9">
        <v>2060</v>
      </c>
      <c r="AA44" s="9">
        <v>2060</v>
      </c>
      <c r="AB44" s="9">
        <v>2060</v>
      </c>
      <c r="AC44" s="9">
        <f t="shared" si="27"/>
        <v>2059</v>
      </c>
      <c r="AD44" s="9">
        <v>2060</v>
      </c>
      <c r="AE44" s="9">
        <v>6</v>
      </c>
      <c r="AF44" s="9">
        <v>6</v>
      </c>
      <c r="AG44" s="9">
        <v>6</v>
      </c>
      <c r="AH44" s="9">
        <v>6</v>
      </c>
      <c r="AI44" s="9">
        <v>6</v>
      </c>
      <c r="AJ44" s="9">
        <f t="shared" si="28"/>
        <v>9</v>
      </c>
      <c r="AK44" s="9">
        <v>6</v>
      </c>
      <c r="AL44" s="152">
        <v>1.2267192541321688</v>
      </c>
      <c r="AM44" s="152">
        <v>2.2612105538192599</v>
      </c>
      <c r="AN44" s="152">
        <v>2.1252009430760062</v>
      </c>
      <c r="AO44" s="152">
        <v>1.2944496352201866</v>
      </c>
      <c r="AP44" s="152">
        <v>0.32314284341629806</v>
      </c>
      <c r="AQ44" s="152">
        <v>0.14000000000000001</v>
      </c>
      <c r="AR44" s="152">
        <v>1.4542000570988298</v>
      </c>
      <c r="AS44" s="152">
        <v>11.984388276878477</v>
      </c>
      <c r="AT44" s="152">
        <v>-1.7475682675103321</v>
      </c>
      <c r="AU44" s="152">
        <v>-1.7169645793441486</v>
      </c>
      <c r="AV44" s="152">
        <v>-1.4425350046709582</v>
      </c>
      <c r="AW44" s="152">
        <v>0.61768216477991222</v>
      </c>
      <c r="AX44" s="152">
        <v>0.15</v>
      </c>
      <c r="AY44" s="152">
        <v>-0.4950056673809119</v>
      </c>
      <c r="AZ44" s="151">
        <v>0.15</v>
      </c>
      <c r="BA44" s="151">
        <v>0.2</v>
      </c>
      <c r="BB44" s="151">
        <v>0.12</v>
      </c>
      <c r="BC44" s="151">
        <v>0.08</v>
      </c>
      <c r="BD44" s="151">
        <v>0.18</v>
      </c>
      <c r="BE44" s="151">
        <v>0.16</v>
      </c>
      <c r="BF44" s="151">
        <v>0.05</v>
      </c>
      <c r="BG44" s="151">
        <v>0.35</v>
      </c>
      <c r="BH44" s="151">
        <v>0.3</v>
      </c>
      <c r="BI44" s="151">
        <v>0.38</v>
      </c>
      <c r="BJ44" s="151">
        <v>0.42</v>
      </c>
      <c r="BK44" s="151">
        <v>0.32</v>
      </c>
      <c r="BL44" s="151">
        <v>0.34</v>
      </c>
      <c r="BM44" s="151">
        <v>0.45</v>
      </c>
      <c r="BN44" s="151">
        <v>0.15</v>
      </c>
      <c r="BO44" s="151">
        <v>0.2</v>
      </c>
      <c r="BP44" s="151">
        <v>0.12</v>
      </c>
      <c r="BQ44" s="151">
        <v>0.08</v>
      </c>
      <c r="BR44" s="151">
        <v>0.18</v>
      </c>
      <c r="BS44" s="151">
        <v>0.16</v>
      </c>
      <c r="BT44" s="151">
        <v>0.05</v>
      </c>
      <c r="BU44" s="151">
        <v>0.35</v>
      </c>
      <c r="BV44" s="151">
        <v>0.3</v>
      </c>
      <c r="BW44" s="151">
        <v>0.38</v>
      </c>
      <c r="BX44" s="151">
        <v>0.42</v>
      </c>
      <c r="BY44" s="151">
        <v>0.32</v>
      </c>
      <c r="BZ44" s="151">
        <v>0.34</v>
      </c>
      <c r="CA44" s="151">
        <v>0.45</v>
      </c>
    </row>
    <row r="45" spans="1:79" x14ac:dyDescent="0.35">
      <c r="A45" s="9" t="s">
        <v>191</v>
      </c>
      <c r="B45" s="9" t="s">
        <v>0</v>
      </c>
      <c r="C45" s="9">
        <v>2050</v>
      </c>
      <c r="D45" s="154">
        <f t="shared" si="20"/>
        <v>2051</v>
      </c>
      <c r="E45" s="154">
        <f t="shared" si="21"/>
        <v>2052</v>
      </c>
      <c r="F45" s="154">
        <f t="shared" si="22"/>
        <v>2052</v>
      </c>
      <c r="G45" s="154">
        <f t="shared" si="23"/>
        <v>2052</v>
      </c>
      <c r="H45" s="154">
        <f t="shared" si="2"/>
        <v>2051</v>
      </c>
      <c r="I45" s="154">
        <f t="shared" si="24"/>
        <v>2051</v>
      </c>
      <c r="J45" s="9">
        <v>6</v>
      </c>
      <c r="K45" s="9">
        <v>6</v>
      </c>
      <c r="L45" s="154">
        <f t="shared" si="25"/>
        <v>6</v>
      </c>
      <c r="M45" s="154">
        <f t="shared" si="25"/>
        <v>7.000000000001819</v>
      </c>
      <c r="N45" s="154">
        <f t="shared" si="25"/>
        <v>7.000000000001819</v>
      </c>
      <c r="O45" s="154">
        <f t="shared" si="29"/>
        <v>6</v>
      </c>
      <c r="P45" s="154">
        <f t="shared" si="26"/>
        <v>6</v>
      </c>
      <c r="Q45" s="9"/>
      <c r="R45" s="9"/>
      <c r="S45" s="9"/>
      <c r="T45" s="9"/>
      <c r="U45" s="9"/>
      <c r="V45" s="9"/>
      <c r="W45" s="9"/>
      <c r="X45" s="9">
        <v>2060</v>
      </c>
      <c r="Y45" s="9">
        <v>2060</v>
      </c>
      <c r="Z45" s="9">
        <v>2060</v>
      </c>
      <c r="AA45" s="9">
        <v>2060</v>
      </c>
      <c r="AB45" s="9">
        <v>2060</v>
      </c>
      <c r="AC45" s="9">
        <f t="shared" si="27"/>
        <v>2059</v>
      </c>
      <c r="AD45" s="9">
        <v>2060</v>
      </c>
      <c r="AE45" s="9">
        <v>6</v>
      </c>
      <c r="AF45" s="9">
        <v>6</v>
      </c>
      <c r="AG45" s="9">
        <v>6</v>
      </c>
      <c r="AH45" s="9">
        <v>6</v>
      </c>
      <c r="AI45" s="9">
        <v>6</v>
      </c>
      <c r="AJ45" s="9">
        <f t="shared" si="28"/>
        <v>6</v>
      </c>
      <c r="AK45" s="9">
        <v>6</v>
      </c>
      <c r="AL45" s="152">
        <v>1.2267192541321688</v>
      </c>
      <c r="AM45" s="152">
        <v>2.2612105538192599</v>
      </c>
      <c r="AN45" s="152">
        <v>2.1252009430760062</v>
      </c>
      <c r="AO45" s="152">
        <v>1.2944496352201866</v>
      </c>
      <c r="AP45" s="152">
        <v>0.32314284341629806</v>
      </c>
      <c r="AQ45" s="152">
        <v>0.14000000000000001</v>
      </c>
      <c r="AR45" s="152">
        <v>1.4542000570988298</v>
      </c>
      <c r="AS45" s="152">
        <v>11.984388276878477</v>
      </c>
      <c r="AT45" s="152">
        <v>-1.7475682675103321</v>
      </c>
      <c r="AU45" s="152">
        <v>-1.7169645793441486</v>
      </c>
      <c r="AV45" s="152">
        <v>-1.4425350046709582</v>
      </c>
      <c r="AW45" s="152">
        <v>0.61768216477991222</v>
      </c>
      <c r="AX45" s="152">
        <v>0.15</v>
      </c>
      <c r="AY45" s="152">
        <v>-0.4950056673809119</v>
      </c>
      <c r="AZ45" s="151">
        <v>0.15</v>
      </c>
      <c r="BA45" s="151">
        <v>0.2</v>
      </c>
      <c r="BB45" s="151">
        <v>0.12</v>
      </c>
      <c r="BC45" s="151">
        <v>0.08</v>
      </c>
      <c r="BD45" s="151">
        <v>0.18</v>
      </c>
      <c r="BE45" s="151">
        <v>0.16</v>
      </c>
      <c r="BF45" s="151">
        <v>0.05</v>
      </c>
      <c r="BG45" s="151">
        <v>0.35</v>
      </c>
      <c r="BH45" s="151">
        <v>0.3</v>
      </c>
      <c r="BI45" s="151">
        <v>0.38</v>
      </c>
      <c r="BJ45" s="151">
        <v>0.42</v>
      </c>
      <c r="BK45" s="151">
        <v>0.32</v>
      </c>
      <c r="BL45" s="151">
        <v>0.34</v>
      </c>
      <c r="BM45" s="151">
        <v>0.45</v>
      </c>
      <c r="BN45" s="151">
        <v>0.15</v>
      </c>
      <c r="BO45" s="151">
        <v>0.2</v>
      </c>
      <c r="BP45" s="151">
        <v>0.12</v>
      </c>
      <c r="BQ45" s="151">
        <v>0.08</v>
      </c>
      <c r="BR45" s="151">
        <v>0.18</v>
      </c>
      <c r="BS45" s="151">
        <v>0.16</v>
      </c>
      <c r="BT45" s="151">
        <v>0.05</v>
      </c>
      <c r="BU45" s="151">
        <v>0.35</v>
      </c>
      <c r="BV45" s="151">
        <v>0.3</v>
      </c>
      <c r="BW45" s="151">
        <v>0.38</v>
      </c>
      <c r="BX45" s="151">
        <v>0.42</v>
      </c>
      <c r="BY45" s="151">
        <v>0.32</v>
      </c>
      <c r="BZ45" s="151">
        <v>0.34</v>
      </c>
      <c r="CA45" s="151">
        <v>0.45</v>
      </c>
    </row>
    <row r="46" spans="1:79" x14ac:dyDescent="0.35">
      <c r="A46" s="9" t="s">
        <v>4</v>
      </c>
      <c r="B46" s="9" t="s">
        <v>0</v>
      </c>
      <c r="C46" s="9">
        <v>2050</v>
      </c>
      <c r="D46" s="154">
        <f t="shared" si="20"/>
        <v>2051</v>
      </c>
      <c r="E46" s="154">
        <f t="shared" si="21"/>
        <v>2052</v>
      </c>
      <c r="F46" s="154">
        <f t="shared" si="22"/>
        <v>2052</v>
      </c>
      <c r="G46" s="154">
        <f t="shared" si="23"/>
        <v>2052</v>
      </c>
      <c r="H46" s="154">
        <f t="shared" si="2"/>
        <v>2051</v>
      </c>
      <c r="I46" s="154">
        <f t="shared" si="24"/>
        <v>2051</v>
      </c>
      <c r="J46" s="9">
        <v>9</v>
      </c>
      <c r="K46" s="9">
        <v>6</v>
      </c>
      <c r="L46" s="154">
        <f t="shared" si="25"/>
        <v>6</v>
      </c>
      <c r="M46" s="154">
        <f t="shared" si="25"/>
        <v>7.000000000001819</v>
      </c>
      <c r="N46" s="154">
        <f t="shared" si="25"/>
        <v>7.000000000001819</v>
      </c>
      <c r="O46" s="154">
        <f t="shared" si="29"/>
        <v>9</v>
      </c>
      <c r="P46" s="154">
        <f t="shared" si="26"/>
        <v>6</v>
      </c>
      <c r="Q46" s="9"/>
      <c r="R46" s="9"/>
      <c r="S46" s="9"/>
      <c r="T46" s="9"/>
      <c r="U46" s="9"/>
      <c r="V46" s="9"/>
      <c r="W46" s="9"/>
      <c r="X46" s="9">
        <v>2060</v>
      </c>
      <c r="Y46" s="9">
        <v>2060</v>
      </c>
      <c r="Z46" s="9">
        <v>2060</v>
      </c>
      <c r="AA46" s="9">
        <v>2060</v>
      </c>
      <c r="AB46" s="9">
        <v>2060</v>
      </c>
      <c r="AC46" s="9">
        <f t="shared" si="27"/>
        <v>2059</v>
      </c>
      <c r="AD46" s="9">
        <v>2060</v>
      </c>
      <c r="AE46" s="9">
        <v>6</v>
      </c>
      <c r="AF46" s="9">
        <v>6</v>
      </c>
      <c r="AG46" s="9">
        <v>6</v>
      </c>
      <c r="AH46" s="9">
        <v>6</v>
      </c>
      <c r="AI46" s="9">
        <v>6</v>
      </c>
      <c r="AJ46" s="9">
        <f t="shared" si="28"/>
        <v>9</v>
      </c>
      <c r="AK46" s="9">
        <v>6</v>
      </c>
      <c r="AL46" s="152">
        <v>1.2267192541321688</v>
      </c>
      <c r="AM46" s="152">
        <v>2.2612105538192599</v>
      </c>
      <c r="AN46" s="152">
        <v>2.1252009430760062</v>
      </c>
      <c r="AO46" s="152">
        <v>1.2944496352201866</v>
      </c>
      <c r="AP46" s="152">
        <v>0.32314284341629806</v>
      </c>
      <c r="AQ46" s="152">
        <v>0.14000000000000001</v>
      </c>
      <c r="AR46" s="152">
        <v>1.4542000570988298</v>
      </c>
      <c r="AS46" s="152">
        <v>11.984388276878477</v>
      </c>
      <c r="AT46" s="152">
        <v>-1.7475682675103321</v>
      </c>
      <c r="AU46" s="152">
        <v>-1.7169645793441486</v>
      </c>
      <c r="AV46" s="152">
        <v>-1.4425350046709582</v>
      </c>
      <c r="AW46" s="152">
        <v>0.61768216477991222</v>
      </c>
      <c r="AX46" s="152">
        <v>0.15</v>
      </c>
      <c r="AY46" s="152">
        <v>-0.4950056673809119</v>
      </c>
      <c r="AZ46" s="151">
        <v>0.15</v>
      </c>
      <c r="BA46" s="151">
        <v>0.2</v>
      </c>
      <c r="BB46" s="151">
        <v>0.12</v>
      </c>
      <c r="BC46" s="151">
        <v>0.08</v>
      </c>
      <c r="BD46" s="151">
        <v>0.18</v>
      </c>
      <c r="BE46" s="151">
        <v>0.16</v>
      </c>
      <c r="BF46" s="151">
        <v>0.05</v>
      </c>
      <c r="BG46" s="151">
        <v>0.35</v>
      </c>
      <c r="BH46" s="151">
        <v>0.3</v>
      </c>
      <c r="BI46" s="151">
        <v>0.38</v>
      </c>
      <c r="BJ46" s="151">
        <v>0.42</v>
      </c>
      <c r="BK46" s="151">
        <v>0.32</v>
      </c>
      <c r="BL46" s="151">
        <v>0.34</v>
      </c>
      <c r="BM46" s="151">
        <v>0.45</v>
      </c>
      <c r="BN46" s="151">
        <v>0.15</v>
      </c>
      <c r="BO46" s="151">
        <v>0.2</v>
      </c>
      <c r="BP46" s="151">
        <v>0.12</v>
      </c>
      <c r="BQ46" s="151">
        <v>0.08</v>
      </c>
      <c r="BR46" s="151">
        <v>0.18</v>
      </c>
      <c r="BS46" s="151">
        <v>0.16</v>
      </c>
      <c r="BT46" s="151">
        <v>0.05</v>
      </c>
      <c r="BU46" s="151">
        <v>0.35</v>
      </c>
      <c r="BV46" s="151">
        <v>0.3</v>
      </c>
      <c r="BW46" s="151">
        <v>0.38</v>
      </c>
      <c r="BX46" s="151">
        <v>0.42</v>
      </c>
      <c r="BY46" s="151">
        <v>0.32</v>
      </c>
      <c r="BZ46" s="151">
        <v>0.34</v>
      </c>
      <c r="CA46" s="151">
        <v>0.45</v>
      </c>
    </row>
    <row r="47" spans="1:79" x14ac:dyDescent="0.35">
      <c r="A47" s="9" t="s">
        <v>190</v>
      </c>
      <c r="B47" s="9" t="s">
        <v>0</v>
      </c>
      <c r="C47" s="9">
        <v>2050</v>
      </c>
      <c r="D47" s="154">
        <f t="shared" si="20"/>
        <v>2051</v>
      </c>
      <c r="E47" s="154">
        <f t="shared" si="21"/>
        <v>2052</v>
      </c>
      <c r="F47" s="154">
        <f t="shared" si="22"/>
        <v>2052</v>
      </c>
      <c r="G47" s="154">
        <f t="shared" si="23"/>
        <v>2052</v>
      </c>
      <c r="H47" s="154">
        <f t="shared" si="2"/>
        <v>2051</v>
      </c>
      <c r="I47" s="154">
        <f t="shared" si="24"/>
        <v>2051</v>
      </c>
      <c r="J47" s="9">
        <v>6</v>
      </c>
      <c r="K47" s="9">
        <v>6</v>
      </c>
      <c r="L47" s="154">
        <f t="shared" si="25"/>
        <v>6</v>
      </c>
      <c r="M47" s="154">
        <f t="shared" si="25"/>
        <v>7.000000000001819</v>
      </c>
      <c r="N47" s="154">
        <f t="shared" si="25"/>
        <v>7.000000000001819</v>
      </c>
      <c r="O47" s="154">
        <f t="shared" si="29"/>
        <v>6</v>
      </c>
      <c r="P47" s="154">
        <f t="shared" si="26"/>
        <v>6</v>
      </c>
      <c r="Q47" s="9"/>
      <c r="R47" s="9"/>
      <c r="S47" s="9"/>
      <c r="T47" s="9"/>
      <c r="U47" s="9"/>
      <c r="V47" s="9"/>
      <c r="W47" s="9"/>
      <c r="X47" s="9">
        <v>2060</v>
      </c>
      <c r="Y47" s="9">
        <v>2060</v>
      </c>
      <c r="Z47" s="9">
        <v>2060</v>
      </c>
      <c r="AA47" s="9">
        <v>2060</v>
      </c>
      <c r="AB47" s="9">
        <v>2060</v>
      </c>
      <c r="AC47" s="9">
        <f t="shared" si="27"/>
        <v>2059</v>
      </c>
      <c r="AD47" s="9">
        <v>2060</v>
      </c>
      <c r="AE47" s="9">
        <v>6</v>
      </c>
      <c r="AF47" s="9">
        <v>6</v>
      </c>
      <c r="AG47" s="9">
        <v>6</v>
      </c>
      <c r="AH47" s="9">
        <v>6</v>
      </c>
      <c r="AI47" s="9">
        <v>6</v>
      </c>
      <c r="AJ47" s="9">
        <f t="shared" si="28"/>
        <v>6</v>
      </c>
      <c r="AK47" s="9">
        <v>6</v>
      </c>
      <c r="AL47" s="152">
        <v>1.2267192541321688</v>
      </c>
      <c r="AM47" s="152">
        <v>2.2612105538192599</v>
      </c>
      <c r="AN47" s="152">
        <v>2.1252009430760062</v>
      </c>
      <c r="AO47" s="152">
        <v>1.2944496352201866</v>
      </c>
      <c r="AP47" s="152">
        <v>0.32314284341629806</v>
      </c>
      <c r="AQ47" s="152">
        <v>0.14000000000000001</v>
      </c>
      <c r="AR47" s="152">
        <v>1.4542000570988298</v>
      </c>
      <c r="AS47" s="152">
        <v>11.984388276878477</v>
      </c>
      <c r="AT47" s="152">
        <v>-1.7475682675103321</v>
      </c>
      <c r="AU47" s="152">
        <v>-1.7169645793441486</v>
      </c>
      <c r="AV47" s="152">
        <v>-1.4425350046709582</v>
      </c>
      <c r="AW47" s="152">
        <v>0.61768216477991222</v>
      </c>
      <c r="AX47" s="152">
        <v>0.15</v>
      </c>
      <c r="AY47" s="152">
        <v>-0.4950056673809119</v>
      </c>
      <c r="AZ47" s="151">
        <v>0.15</v>
      </c>
      <c r="BA47" s="151">
        <v>0.2</v>
      </c>
      <c r="BB47" s="151">
        <v>0.12</v>
      </c>
      <c r="BC47" s="151">
        <v>0.08</v>
      </c>
      <c r="BD47" s="151">
        <v>0.18</v>
      </c>
      <c r="BE47" s="151">
        <v>0.16</v>
      </c>
      <c r="BF47" s="151">
        <v>0.05</v>
      </c>
      <c r="BG47" s="151">
        <v>0.35</v>
      </c>
      <c r="BH47" s="151">
        <v>0.3</v>
      </c>
      <c r="BI47" s="151">
        <v>0.38</v>
      </c>
      <c r="BJ47" s="151">
        <v>0.42</v>
      </c>
      <c r="BK47" s="151">
        <v>0.32</v>
      </c>
      <c r="BL47" s="151">
        <v>0.34</v>
      </c>
      <c r="BM47" s="151">
        <v>0.45</v>
      </c>
      <c r="BN47" s="151">
        <v>0.15</v>
      </c>
      <c r="BO47" s="151">
        <v>0.2</v>
      </c>
      <c r="BP47" s="151">
        <v>0.12</v>
      </c>
      <c r="BQ47" s="151">
        <v>0.08</v>
      </c>
      <c r="BR47" s="151">
        <v>0.18</v>
      </c>
      <c r="BS47" s="151">
        <v>0.16</v>
      </c>
      <c r="BT47" s="151">
        <v>0.05</v>
      </c>
      <c r="BU47" s="151">
        <v>0.35</v>
      </c>
      <c r="BV47" s="151">
        <v>0.3</v>
      </c>
      <c r="BW47" s="151">
        <v>0.38</v>
      </c>
      <c r="BX47" s="151">
        <v>0.42</v>
      </c>
      <c r="BY47" s="151">
        <v>0.32</v>
      </c>
      <c r="BZ47" s="151">
        <v>0.34</v>
      </c>
      <c r="CA47" s="151">
        <v>0.45</v>
      </c>
    </row>
    <row r="48" spans="1:79" x14ac:dyDescent="0.35">
      <c r="A48" s="9" t="s">
        <v>189</v>
      </c>
      <c r="B48" s="9" t="s">
        <v>0</v>
      </c>
      <c r="C48" s="9">
        <v>2050</v>
      </c>
      <c r="D48" s="154">
        <f t="shared" si="20"/>
        <v>2051</v>
      </c>
      <c r="E48" s="154">
        <f t="shared" si="21"/>
        <v>2052</v>
      </c>
      <c r="F48" s="154">
        <f t="shared" si="22"/>
        <v>2052</v>
      </c>
      <c r="G48" s="154">
        <f t="shared" si="23"/>
        <v>2052</v>
      </c>
      <c r="H48" s="154">
        <f t="shared" si="2"/>
        <v>2051</v>
      </c>
      <c r="I48" s="154">
        <f t="shared" si="24"/>
        <v>2051</v>
      </c>
      <c r="J48" s="9">
        <v>6</v>
      </c>
      <c r="K48" s="9">
        <v>6</v>
      </c>
      <c r="L48" s="154">
        <f t="shared" si="25"/>
        <v>6</v>
      </c>
      <c r="M48" s="154">
        <f t="shared" si="25"/>
        <v>7.000000000001819</v>
      </c>
      <c r="N48" s="154">
        <f t="shared" si="25"/>
        <v>7.000000000001819</v>
      </c>
      <c r="O48" s="154">
        <f t="shared" si="29"/>
        <v>6</v>
      </c>
      <c r="P48" s="154">
        <f t="shared" si="26"/>
        <v>6</v>
      </c>
      <c r="Q48" s="9"/>
      <c r="R48" s="9"/>
      <c r="S48" s="9"/>
      <c r="T48" s="9"/>
      <c r="U48" s="9"/>
      <c r="V48" s="9"/>
      <c r="W48" s="9"/>
      <c r="X48" s="9">
        <v>2060</v>
      </c>
      <c r="Y48" s="9">
        <v>2060</v>
      </c>
      <c r="Z48" s="9">
        <v>2060</v>
      </c>
      <c r="AA48" s="9">
        <v>2060</v>
      </c>
      <c r="AB48" s="9">
        <v>2060</v>
      </c>
      <c r="AC48" s="9">
        <f t="shared" si="27"/>
        <v>2059</v>
      </c>
      <c r="AD48" s="9">
        <v>2060</v>
      </c>
      <c r="AE48" s="9">
        <v>6</v>
      </c>
      <c r="AF48" s="9">
        <v>6</v>
      </c>
      <c r="AG48" s="9">
        <v>6</v>
      </c>
      <c r="AH48" s="9">
        <v>6</v>
      </c>
      <c r="AI48" s="9">
        <v>6</v>
      </c>
      <c r="AJ48" s="9">
        <f t="shared" si="28"/>
        <v>6</v>
      </c>
      <c r="AK48" s="9">
        <v>6</v>
      </c>
      <c r="AL48" s="152">
        <v>1.2267192541321688</v>
      </c>
      <c r="AM48" s="152">
        <v>2.2612105538192599</v>
      </c>
      <c r="AN48" s="152">
        <v>2.1252009430760062</v>
      </c>
      <c r="AO48" s="152">
        <v>1.2944496352201866</v>
      </c>
      <c r="AP48" s="152">
        <v>0.32314284341629806</v>
      </c>
      <c r="AQ48" s="152">
        <v>0.14000000000000001</v>
      </c>
      <c r="AR48" s="152">
        <v>1.4542000570988298</v>
      </c>
      <c r="AS48" s="152">
        <v>11.984388276878477</v>
      </c>
      <c r="AT48" s="152">
        <v>-1.7475682675103321</v>
      </c>
      <c r="AU48" s="152">
        <v>-1.7169645793441486</v>
      </c>
      <c r="AV48" s="152">
        <v>-1.4425350046709582</v>
      </c>
      <c r="AW48" s="152">
        <v>0.61768216477991222</v>
      </c>
      <c r="AX48" s="152">
        <v>0.15</v>
      </c>
      <c r="AY48" s="152">
        <v>-0.4950056673809119</v>
      </c>
      <c r="AZ48" s="151">
        <v>0.15</v>
      </c>
      <c r="BA48" s="151">
        <v>0.2</v>
      </c>
      <c r="BB48" s="151">
        <v>0.12</v>
      </c>
      <c r="BC48" s="151">
        <v>0.08</v>
      </c>
      <c r="BD48" s="151">
        <v>0.18</v>
      </c>
      <c r="BE48" s="151">
        <v>0.16</v>
      </c>
      <c r="BF48" s="151">
        <v>0.05</v>
      </c>
      <c r="BG48" s="151">
        <v>0.35</v>
      </c>
      <c r="BH48" s="151">
        <v>0.3</v>
      </c>
      <c r="BI48" s="151">
        <v>0.38</v>
      </c>
      <c r="BJ48" s="151">
        <v>0.42</v>
      </c>
      <c r="BK48" s="151">
        <v>0.32</v>
      </c>
      <c r="BL48" s="151">
        <v>0.34</v>
      </c>
      <c r="BM48" s="151">
        <v>0.45</v>
      </c>
      <c r="BN48" s="151">
        <v>0.15</v>
      </c>
      <c r="BO48" s="151">
        <v>0.2</v>
      </c>
      <c r="BP48" s="151">
        <v>0.12</v>
      </c>
      <c r="BQ48" s="151">
        <v>0.08</v>
      </c>
      <c r="BR48" s="151">
        <v>0.18</v>
      </c>
      <c r="BS48" s="151">
        <v>0.16</v>
      </c>
      <c r="BT48" s="151">
        <v>0.05</v>
      </c>
      <c r="BU48" s="151">
        <v>0.35</v>
      </c>
      <c r="BV48" s="151">
        <v>0.3</v>
      </c>
      <c r="BW48" s="151">
        <v>0.38</v>
      </c>
      <c r="BX48" s="151">
        <v>0.42</v>
      </c>
      <c r="BY48" s="151">
        <v>0.32</v>
      </c>
      <c r="BZ48" s="151">
        <v>0.34</v>
      </c>
      <c r="CA48" s="151">
        <v>0.45</v>
      </c>
    </row>
    <row r="49" spans="1:79" x14ac:dyDescent="0.35">
      <c r="A49" s="9" t="s">
        <v>188</v>
      </c>
      <c r="B49" s="9" t="s">
        <v>0</v>
      </c>
      <c r="C49" s="9">
        <v>2050</v>
      </c>
      <c r="D49" s="154">
        <f t="shared" si="20"/>
        <v>2051</v>
      </c>
      <c r="E49" s="154">
        <f t="shared" si="21"/>
        <v>2052</v>
      </c>
      <c r="F49" s="154">
        <f t="shared" si="22"/>
        <v>2052</v>
      </c>
      <c r="G49" s="154">
        <f t="shared" si="23"/>
        <v>2052</v>
      </c>
      <c r="H49" s="154">
        <f t="shared" si="2"/>
        <v>2051</v>
      </c>
      <c r="I49" s="154">
        <f t="shared" si="24"/>
        <v>2051</v>
      </c>
      <c r="J49" s="9">
        <v>6</v>
      </c>
      <c r="K49" s="9">
        <v>6</v>
      </c>
      <c r="L49" s="154">
        <f t="shared" si="25"/>
        <v>6</v>
      </c>
      <c r="M49" s="154">
        <f t="shared" si="25"/>
        <v>7.000000000001819</v>
      </c>
      <c r="N49" s="154">
        <f t="shared" si="25"/>
        <v>7.000000000001819</v>
      </c>
      <c r="O49" s="154">
        <f t="shared" si="29"/>
        <v>6</v>
      </c>
      <c r="P49" s="154">
        <f t="shared" si="26"/>
        <v>6</v>
      </c>
      <c r="Q49" s="9"/>
      <c r="R49" s="9"/>
      <c r="S49" s="9"/>
      <c r="T49" s="9"/>
      <c r="U49" s="9"/>
      <c r="V49" s="9"/>
      <c r="W49" s="9"/>
      <c r="X49" s="9">
        <v>2060</v>
      </c>
      <c r="Y49" s="9">
        <v>2060</v>
      </c>
      <c r="Z49" s="9">
        <v>2060</v>
      </c>
      <c r="AA49" s="9">
        <v>2060</v>
      </c>
      <c r="AB49" s="9">
        <v>2060</v>
      </c>
      <c r="AC49" s="9">
        <f t="shared" si="27"/>
        <v>2059</v>
      </c>
      <c r="AD49" s="9">
        <v>2060</v>
      </c>
      <c r="AE49" s="9">
        <v>6</v>
      </c>
      <c r="AF49" s="9">
        <v>6</v>
      </c>
      <c r="AG49" s="9">
        <v>6</v>
      </c>
      <c r="AH49" s="9">
        <v>6</v>
      </c>
      <c r="AI49" s="9">
        <v>6</v>
      </c>
      <c r="AJ49" s="9">
        <f t="shared" si="28"/>
        <v>6</v>
      </c>
      <c r="AK49" s="9">
        <v>6</v>
      </c>
      <c r="AL49" s="152">
        <v>1.2267192541321688</v>
      </c>
      <c r="AM49" s="152">
        <v>2.2612105538192599</v>
      </c>
      <c r="AN49" s="152">
        <v>2.1252009430760062</v>
      </c>
      <c r="AO49" s="152">
        <v>1.2944496352201866</v>
      </c>
      <c r="AP49" s="152">
        <v>0.32314284341629806</v>
      </c>
      <c r="AQ49" s="152">
        <v>0.14000000000000001</v>
      </c>
      <c r="AR49" s="152">
        <v>1.4542000570988298</v>
      </c>
      <c r="AS49" s="152">
        <v>11.984388276878477</v>
      </c>
      <c r="AT49" s="152">
        <v>-1.7475682675103321</v>
      </c>
      <c r="AU49" s="152">
        <v>-1.7169645793441486</v>
      </c>
      <c r="AV49" s="152">
        <v>-1.4425350046709582</v>
      </c>
      <c r="AW49" s="152">
        <v>0.61768216477991222</v>
      </c>
      <c r="AX49" s="152">
        <v>0.15</v>
      </c>
      <c r="AY49" s="152">
        <v>-0.4950056673809119</v>
      </c>
      <c r="AZ49" s="151">
        <v>0.15</v>
      </c>
      <c r="BA49" s="151">
        <v>0.2</v>
      </c>
      <c r="BB49" s="151">
        <v>0.12</v>
      </c>
      <c r="BC49" s="151">
        <v>0.08</v>
      </c>
      <c r="BD49" s="151">
        <v>0.18</v>
      </c>
      <c r="BE49" s="151">
        <v>0.16</v>
      </c>
      <c r="BF49" s="151">
        <v>0.05</v>
      </c>
      <c r="BG49" s="151">
        <v>0.35</v>
      </c>
      <c r="BH49" s="151">
        <v>0.3</v>
      </c>
      <c r="BI49" s="151">
        <v>0.38</v>
      </c>
      <c r="BJ49" s="151">
        <v>0.42</v>
      </c>
      <c r="BK49" s="151">
        <v>0.32</v>
      </c>
      <c r="BL49" s="151">
        <v>0.34</v>
      </c>
      <c r="BM49" s="151">
        <v>0.45</v>
      </c>
      <c r="BN49" s="151">
        <v>0.15</v>
      </c>
      <c r="BO49" s="151">
        <v>0.2</v>
      </c>
      <c r="BP49" s="151">
        <v>0.12</v>
      </c>
      <c r="BQ49" s="151">
        <v>0.08</v>
      </c>
      <c r="BR49" s="151">
        <v>0.18</v>
      </c>
      <c r="BS49" s="151">
        <v>0.16</v>
      </c>
      <c r="BT49" s="151">
        <v>0.05</v>
      </c>
      <c r="BU49" s="151">
        <v>0.35</v>
      </c>
      <c r="BV49" s="151">
        <v>0.3</v>
      </c>
      <c r="BW49" s="151">
        <v>0.38</v>
      </c>
      <c r="BX49" s="151">
        <v>0.42</v>
      </c>
      <c r="BY49" s="151">
        <v>0.32</v>
      </c>
      <c r="BZ49" s="151">
        <v>0.34</v>
      </c>
      <c r="CA49" s="151">
        <v>0.45</v>
      </c>
    </row>
    <row r="50" spans="1:79" x14ac:dyDescent="0.35">
      <c r="A50" s="9" t="s">
        <v>66</v>
      </c>
      <c r="B50" s="9" t="s">
        <v>62</v>
      </c>
      <c r="C50" s="9">
        <v>2028</v>
      </c>
      <c r="D50" s="154">
        <f t="shared" si="20"/>
        <v>2029</v>
      </c>
      <c r="E50" s="154">
        <f t="shared" si="21"/>
        <v>2030</v>
      </c>
      <c r="F50" s="154">
        <f t="shared" si="22"/>
        <v>2030</v>
      </c>
      <c r="G50" s="154">
        <f t="shared" si="23"/>
        <v>2030</v>
      </c>
      <c r="H50" s="154">
        <f t="shared" si="2"/>
        <v>2029</v>
      </c>
      <c r="I50" s="154">
        <f t="shared" si="24"/>
        <v>2029</v>
      </c>
      <c r="J50" s="9">
        <v>3</v>
      </c>
      <c r="K50" s="9">
        <v>3</v>
      </c>
      <c r="L50" s="154">
        <f t="shared" si="25"/>
        <v>3</v>
      </c>
      <c r="M50" s="154">
        <f t="shared" si="25"/>
        <v>3.9999999999990905</v>
      </c>
      <c r="N50" s="154">
        <f t="shared" si="25"/>
        <v>3.9999999999990905</v>
      </c>
      <c r="O50" s="154">
        <f t="shared" si="29"/>
        <v>3</v>
      </c>
      <c r="P50" s="154">
        <f t="shared" si="26"/>
        <v>3</v>
      </c>
      <c r="Q50" s="9"/>
      <c r="R50" s="9"/>
      <c r="S50" s="9"/>
      <c r="T50" s="9"/>
      <c r="U50" s="9"/>
      <c r="V50" s="9"/>
      <c r="W50" s="9"/>
      <c r="X50" s="9">
        <v>2038</v>
      </c>
      <c r="Y50" s="9">
        <v>2038</v>
      </c>
      <c r="Z50" s="9">
        <v>2038</v>
      </c>
      <c r="AA50" s="9">
        <v>2038</v>
      </c>
      <c r="AB50" s="9">
        <v>2038</v>
      </c>
      <c r="AC50" s="9">
        <f t="shared" si="27"/>
        <v>2037</v>
      </c>
      <c r="AD50" s="9">
        <v>2038</v>
      </c>
      <c r="AE50" s="9">
        <v>3</v>
      </c>
      <c r="AF50" s="9">
        <v>3</v>
      </c>
      <c r="AG50" s="9">
        <v>3</v>
      </c>
      <c r="AH50" s="9">
        <v>3</v>
      </c>
      <c r="AI50" s="9">
        <v>3</v>
      </c>
      <c r="AJ50" s="9">
        <f t="shared" si="28"/>
        <v>3</v>
      </c>
      <c r="AK50" s="9">
        <v>3</v>
      </c>
      <c r="AL50" s="152">
        <v>1.2267192541321688</v>
      </c>
      <c r="AM50" s="152">
        <v>2.2612105538192599</v>
      </c>
      <c r="AN50" s="152">
        <v>2.1252009430760062</v>
      </c>
      <c r="AO50" s="152">
        <v>1.2944496352201866</v>
      </c>
      <c r="AP50" s="152">
        <v>0.32314284341629806</v>
      </c>
      <c r="AQ50" s="152">
        <v>0.14000000000000001</v>
      </c>
      <c r="AR50" s="152">
        <v>1.4542000570988298</v>
      </c>
      <c r="AS50" s="152">
        <v>11.984388276878477</v>
      </c>
      <c r="AT50" s="152">
        <v>-1.7475682675103321</v>
      </c>
      <c r="AU50" s="152">
        <v>-1.7169645793441486</v>
      </c>
      <c r="AV50" s="152">
        <v>-1.4425350046709582</v>
      </c>
      <c r="AW50" s="152">
        <v>0.61768216477991222</v>
      </c>
      <c r="AX50" s="152">
        <v>0.15</v>
      </c>
      <c r="AY50" s="152">
        <v>-0.4950056673809119</v>
      </c>
      <c r="AZ50" s="151">
        <v>0.22</v>
      </c>
      <c r="BA50" s="151">
        <v>0.27</v>
      </c>
      <c r="BB50" s="151">
        <v>0.17</v>
      </c>
      <c r="BC50" s="151">
        <v>0.14000000000000001</v>
      </c>
      <c r="BD50" s="151">
        <v>0.23</v>
      </c>
      <c r="BE50" s="151">
        <v>0.16</v>
      </c>
      <c r="BF50" s="151">
        <v>0.06</v>
      </c>
      <c r="BG50" s="151">
        <v>0.28000000000000003</v>
      </c>
      <c r="BH50" s="151">
        <v>0.23</v>
      </c>
      <c r="BI50" s="151">
        <v>0.33</v>
      </c>
      <c r="BJ50" s="151">
        <v>0.36</v>
      </c>
      <c r="BK50" s="151">
        <v>0.27</v>
      </c>
      <c r="BL50" s="151">
        <v>0.34</v>
      </c>
      <c r="BM50" s="151">
        <v>0.45</v>
      </c>
      <c r="BN50" s="151">
        <v>0.22</v>
      </c>
      <c r="BO50" s="151">
        <v>0.27</v>
      </c>
      <c r="BP50" s="151">
        <v>0.17</v>
      </c>
      <c r="BQ50" s="151">
        <v>0.14000000000000001</v>
      </c>
      <c r="BR50" s="151">
        <v>0.23</v>
      </c>
      <c r="BS50" s="151">
        <v>0.16</v>
      </c>
      <c r="BT50" s="151">
        <v>0.06</v>
      </c>
      <c r="BU50" s="151">
        <v>0.28000000000000003</v>
      </c>
      <c r="BV50" s="151">
        <v>0.23</v>
      </c>
      <c r="BW50" s="151">
        <v>0.33</v>
      </c>
      <c r="BX50" s="151">
        <v>0.36</v>
      </c>
      <c r="BY50" s="151">
        <v>0.27</v>
      </c>
      <c r="BZ50" s="151">
        <v>0.34</v>
      </c>
      <c r="CA50" s="151">
        <v>0.45</v>
      </c>
    </row>
    <row r="51" spans="1:79" x14ac:dyDescent="0.35">
      <c r="A51" s="9" t="s">
        <v>99</v>
      </c>
      <c r="B51" s="9" t="s">
        <v>54</v>
      </c>
      <c r="C51" s="153">
        <v>2007</v>
      </c>
      <c r="D51" s="9"/>
      <c r="E51" s="9"/>
      <c r="F51" s="9"/>
      <c r="G51" s="9"/>
      <c r="H51" s="154"/>
      <c r="I51" s="9"/>
      <c r="J51" s="153">
        <v>9</v>
      </c>
      <c r="K51" s="9"/>
      <c r="L51" s="9"/>
      <c r="M51" s="9"/>
      <c r="N51" s="9"/>
      <c r="O51" s="9"/>
      <c r="P51" s="9"/>
      <c r="Q51" s="153"/>
      <c r="R51" s="9"/>
      <c r="S51" s="9"/>
      <c r="T51" s="9"/>
      <c r="U51" s="9"/>
      <c r="V51" s="9"/>
      <c r="W51" s="9"/>
      <c r="X51" s="153">
        <v>2012</v>
      </c>
      <c r="Y51" s="9"/>
      <c r="Z51" s="9"/>
      <c r="AA51" s="9"/>
      <c r="AB51" s="9"/>
      <c r="AC51" s="9"/>
      <c r="AD51" s="9"/>
      <c r="AE51" s="153">
        <v>3</v>
      </c>
      <c r="AF51" s="9"/>
      <c r="AG51" s="9"/>
      <c r="AH51" s="9"/>
      <c r="AI51" s="9"/>
      <c r="AJ51" s="9"/>
      <c r="AK51" s="9"/>
      <c r="AL51" s="152">
        <v>1.2267192541321688</v>
      </c>
      <c r="AM51" s="152">
        <v>2.2612105538192599</v>
      </c>
      <c r="AN51" s="152">
        <v>2.1252009430760062</v>
      </c>
      <c r="AO51" s="152">
        <v>1.2944496352201866</v>
      </c>
      <c r="AP51" s="152">
        <v>0.32314284341629806</v>
      </c>
      <c r="AQ51" s="152">
        <v>0.14000000000000001</v>
      </c>
      <c r="AR51" s="152">
        <v>1.4542000570988298</v>
      </c>
      <c r="AS51" s="152">
        <v>11.984388276878477</v>
      </c>
      <c r="AT51" s="152">
        <v>-1.7475682675103321</v>
      </c>
      <c r="AU51" s="152">
        <v>-1.7169645793441486</v>
      </c>
      <c r="AV51" s="152">
        <v>-1.4425350046709582</v>
      </c>
      <c r="AW51" s="152">
        <v>0.61768216477991222</v>
      </c>
      <c r="AX51" s="152">
        <v>0.15</v>
      </c>
      <c r="AY51" s="152">
        <v>-0.4950056673809119</v>
      </c>
      <c r="AZ51" s="151">
        <v>0.15</v>
      </c>
      <c r="BA51" s="151">
        <v>0.2</v>
      </c>
      <c r="BB51" s="151">
        <v>0.12</v>
      </c>
      <c r="BC51" s="151">
        <v>0.08</v>
      </c>
      <c r="BD51" s="151">
        <v>0.18</v>
      </c>
      <c r="BE51" s="151">
        <v>0.16</v>
      </c>
      <c r="BF51" s="151">
        <v>0.05</v>
      </c>
      <c r="BG51" s="151">
        <v>0.35</v>
      </c>
      <c r="BH51" s="151">
        <v>0.3</v>
      </c>
      <c r="BI51" s="151">
        <v>0.38</v>
      </c>
      <c r="BJ51" s="151">
        <v>0.42</v>
      </c>
      <c r="BK51" s="151">
        <v>0.32</v>
      </c>
      <c r="BL51" s="151">
        <v>0.34</v>
      </c>
      <c r="BM51" s="151">
        <v>0.45</v>
      </c>
      <c r="BN51" s="151">
        <v>0.15</v>
      </c>
      <c r="BO51" s="151">
        <v>0.2</v>
      </c>
      <c r="BP51" s="151">
        <v>0.12</v>
      </c>
      <c r="BQ51" s="151">
        <v>0.08</v>
      </c>
      <c r="BR51" s="151">
        <v>0.18</v>
      </c>
      <c r="BS51" s="151">
        <v>0.16</v>
      </c>
      <c r="BT51" s="151">
        <v>0.05</v>
      </c>
      <c r="BU51" s="151">
        <v>0.35</v>
      </c>
      <c r="BV51" s="151">
        <v>0.3</v>
      </c>
      <c r="BW51" s="151">
        <v>0.38</v>
      </c>
      <c r="BX51" s="151">
        <v>0.42</v>
      </c>
      <c r="BY51" s="151">
        <v>0.32</v>
      </c>
      <c r="BZ51" s="151">
        <v>0.34</v>
      </c>
      <c r="CA51" s="151">
        <v>0.45</v>
      </c>
    </row>
    <row r="52" spans="1:79" x14ac:dyDescent="0.35">
      <c r="A52" s="9" t="s">
        <v>84</v>
      </c>
      <c r="B52" s="9" t="s">
        <v>62</v>
      </c>
      <c r="C52" s="153">
        <v>2021</v>
      </c>
      <c r="D52" s="154">
        <f>C52+1</f>
        <v>2022</v>
      </c>
      <c r="E52" s="154">
        <f>TRUNC($D52+$K52/12+L$2/12)</f>
        <v>2023</v>
      </c>
      <c r="F52" s="154">
        <f>TRUNC($D52+$K52/12+M$2/12)</f>
        <v>2023</v>
      </c>
      <c r="G52" s="154">
        <f>TRUNC($D52+$K52/12+N$2/12)</f>
        <v>2023</v>
      </c>
      <c r="H52" s="154">
        <f t="shared" si="2"/>
        <v>2022</v>
      </c>
      <c r="I52" s="154">
        <f>TRUNC($D52+$K52/12+P$2/12)</f>
        <v>2022</v>
      </c>
      <c r="J52" s="153">
        <v>6</v>
      </c>
      <c r="K52" s="9">
        <v>7</v>
      </c>
      <c r="L52" s="154">
        <f>IF((($D52+$K52/12+L$2/12)-TRUNC($D52+$K52/12+L$2/12))*12=0,1,(($D52+$K52/12+L$2/12)-TRUNC($D52+$K52/12+L$2/12))*12)</f>
        <v>6.9999999999990905</v>
      </c>
      <c r="M52" s="154">
        <f>IF((($D52+$K52/12+M$2/12)-TRUNC($D52+$K52/12+M$2/12))*12=0,1,(($D52+$K52/12+M$2/12)-TRUNC($D52+$K52/12+M$2/12))*12)</f>
        <v>7.999999999998181</v>
      </c>
      <c r="N52" s="154">
        <f>IF((($D52+$K52/12+N$2/12)-TRUNC($D52+$K52/12+N$2/12))*12=0,1,(($D52+$K52/12+N$2/12)-TRUNC($D52+$K52/12+N$2/12))*12)</f>
        <v>7.999999999998181</v>
      </c>
      <c r="O52" s="154">
        <f>J52</f>
        <v>6</v>
      </c>
      <c r="P52" s="154">
        <f>IF((($D52+$K52/12+P$2/12)-TRUNC($D52+$K52/12+P$2/12))*12=0,1,(($D52+$K52/12+P$2/12)-TRUNC($D52+$K52/12+P$2/12))*12)</f>
        <v>6.9999999999990905</v>
      </c>
      <c r="Q52" s="9"/>
      <c r="R52" s="9"/>
      <c r="S52" s="9"/>
      <c r="T52" s="9"/>
      <c r="U52" s="9"/>
      <c r="V52" s="9"/>
      <c r="W52" s="9"/>
      <c r="X52" s="9">
        <v>2031</v>
      </c>
      <c r="Y52" s="9">
        <v>2031</v>
      </c>
      <c r="Z52" s="9">
        <v>2031</v>
      </c>
      <c r="AA52" s="9">
        <v>2031</v>
      </c>
      <c r="AB52" s="9">
        <v>2031</v>
      </c>
      <c r="AC52" s="9">
        <f>H52+8</f>
        <v>2030</v>
      </c>
      <c r="AD52" s="9">
        <v>2031</v>
      </c>
      <c r="AE52" s="9">
        <v>7</v>
      </c>
      <c r="AF52" s="9">
        <v>7</v>
      </c>
      <c r="AG52" s="9">
        <v>7</v>
      </c>
      <c r="AH52" s="9">
        <v>7</v>
      </c>
      <c r="AI52" s="9">
        <v>7</v>
      </c>
      <c r="AJ52" s="9">
        <f>O52</f>
        <v>6</v>
      </c>
      <c r="AK52" s="9">
        <v>7</v>
      </c>
      <c r="AL52" s="152">
        <v>1.2267192541321688</v>
      </c>
      <c r="AM52" s="152">
        <v>2.2612105538192599</v>
      </c>
      <c r="AN52" s="152">
        <v>2.1252009430760062</v>
      </c>
      <c r="AO52" s="152">
        <v>1.2944496352201866</v>
      </c>
      <c r="AP52" s="152">
        <v>0.32314284341629806</v>
      </c>
      <c r="AQ52" s="152">
        <v>0.14000000000000001</v>
      </c>
      <c r="AR52" s="152">
        <v>1.4542000570988298</v>
      </c>
      <c r="AS52" s="152">
        <v>11.984388276878477</v>
      </c>
      <c r="AT52" s="152">
        <v>-1.7475682675103321</v>
      </c>
      <c r="AU52" s="152">
        <v>-1.7169645793441486</v>
      </c>
      <c r="AV52" s="152">
        <v>-1.4425350046709582</v>
      </c>
      <c r="AW52" s="152">
        <v>0.61768216477991222</v>
      </c>
      <c r="AX52" s="152">
        <v>0.15</v>
      </c>
      <c r="AY52" s="152">
        <v>-0.4950056673809119</v>
      </c>
      <c r="AZ52" s="151">
        <v>0.22</v>
      </c>
      <c r="BA52" s="151">
        <v>0.27</v>
      </c>
      <c r="BB52" s="151">
        <v>0.17</v>
      </c>
      <c r="BC52" s="151">
        <v>0.14000000000000001</v>
      </c>
      <c r="BD52" s="151">
        <v>0.23</v>
      </c>
      <c r="BE52" s="151">
        <v>0.23</v>
      </c>
      <c r="BF52" s="151">
        <v>0.06</v>
      </c>
      <c r="BG52" s="151">
        <v>0.28000000000000003</v>
      </c>
      <c r="BH52" s="151">
        <v>0.23</v>
      </c>
      <c r="BI52" s="151">
        <v>0.33</v>
      </c>
      <c r="BJ52" s="151">
        <v>0.36</v>
      </c>
      <c r="BK52" s="151">
        <v>0.27</v>
      </c>
      <c r="BL52" s="151">
        <v>0.27</v>
      </c>
      <c r="BM52" s="151">
        <v>0.45</v>
      </c>
      <c r="BN52" s="151">
        <v>0.22</v>
      </c>
      <c r="BO52" s="151">
        <v>0.27</v>
      </c>
      <c r="BP52" s="151">
        <v>0.17</v>
      </c>
      <c r="BQ52" s="151">
        <v>0.14000000000000001</v>
      </c>
      <c r="BR52" s="151">
        <v>0.23</v>
      </c>
      <c r="BS52" s="151">
        <v>0.23</v>
      </c>
      <c r="BT52" s="151">
        <v>0.06</v>
      </c>
      <c r="BU52" s="151">
        <v>0.28000000000000003</v>
      </c>
      <c r="BV52" s="151">
        <v>0.23</v>
      </c>
      <c r="BW52" s="151">
        <v>0.33</v>
      </c>
      <c r="BX52" s="151">
        <v>0.36</v>
      </c>
      <c r="BY52" s="151">
        <v>0.27</v>
      </c>
      <c r="BZ52" s="151">
        <v>0.27</v>
      </c>
      <c r="CA52" s="151">
        <v>0.45</v>
      </c>
    </row>
    <row r="53" spans="1:79" x14ac:dyDescent="0.35">
      <c r="A53" s="9" t="s">
        <v>65</v>
      </c>
      <c r="B53" s="9" t="s">
        <v>62</v>
      </c>
      <c r="C53" s="9">
        <v>2021</v>
      </c>
      <c r="D53" s="9"/>
      <c r="E53" s="9"/>
      <c r="F53" s="9"/>
      <c r="G53" s="9"/>
      <c r="H53" s="154"/>
      <c r="I53" s="9"/>
      <c r="J53" s="9">
        <v>7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>
        <v>2031</v>
      </c>
      <c r="Y53" s="9"/>
      <c r="Z53" s="9"/>
      <c r="AA53" s="9"/>
      <c r="AB53" s="9"/>
      <c r="AC53" s="9"/>
      <c r="AD53" s="9"/>
      <c r="AE53" s="9">
        <v>7</v>
      </c>
      <c r="AF53" s="9"/>
      <c r="AG53" s="9"/>
      <c r="AH53" s="9"/>
      <c r="AI53" s="9"/>
      <c r="AJ53" s="9"/>
      <c r="AK53" s="9"/>
      <c r="AL53" s="152">
        <v>1.2267192541321688</v>
      </c>
      <c r="AM53" s="152">
        <v>2.2612105538192599</v>
      </c>
      <c r="AN53" s="152">
        <v>2.1252009430760062</v>
      </c>
      <c r="AO53" s="152">
        <v>1.2944496352201866</v>
      </c>
      <c r="AP53" s="152">
        <v>0.32314284341629806</v>
      </c>
      <c r="AQ53" s="152">
        <v>0.14000000000000001</v>
      </c>
      <c r="AR53" s="152">
        <v>1.4542000570988298</v>
      </c>
      <c r="AS53" s="152">
        <v>11.984388276878477</v>
      </c>
      <c r="AT53" s="152">
        <v>-1.7475682675103321</v>
      </c>
      <c r="AU53" s="152">
        <v>-1.7169645793441486</v>
      </c>
      <c r="AV53" s="152">
        <v>-1.4425350046709582</v>
      </c>
      <c r="AW53" s="152">
        <v>0.61768216477991222</v>
      </c>
      <c r="AX53" s="152">
        <v>0.15</v>
      </c>
      <c r="AY53" s="152">
        <v>-0.4950056673809119</v>
      </c>
      <c r="AZ53" s="151">
        <v>0.22</v>
      </c>
      <c r="BA53" s="151">
        <v>0.27</v>
      </c>
      <c r="BB53" s="151">
        <v>0.17</v>
      </c>
      <c r="BC53" s="151">
        <v>0.14000000000000001</v>
      </c>
      <c r="BD53" s="151">
        <v>0.23</v>
      </c>
      <c r="BE53" s="151">
        <v>0.23</v>
      </c>
      <c r="BF53" s="151">
        <v>0.06</v>
      </c>
      <c r="BG53" s="151">
        <v>0.28000000000000003</v>
      </c>
      <c r="BH53" s="151">
        <v>0.23</v>
      </c>
      <c r="BI53" s="151">
        <v>0.33</v>
      </c>
      <c r="BJ53" s="151">
        <v>0.36</v>
      </c>
      <c r="BK53" s="151">
        <v>0.27</v>
      </c>
      <c r="BL53" s="151">
        <v>0.27</v>
      </c>
      <c r="BM53" s="151">
        <v>0.45</v>
      </c>
      <c r="BN53" s="151">
        <v>0.22</v>
      </c>
      <c r="BO53" s="151">
        <v>0.27</v>
      </c>
      <c r="BP53" s="151">
        <v>0.17</v>
      </c>
      <c r="BQ53" s="151">
        <v>0.14000000000000001</v>
      </c>
      <c r="BR53" s="151">
        <v>0.23</v>
      </c>
      <c r="BS53" s="151">
        <v>0.23</v>
      </c>
      <c r="BT53" s="151">
        <v>0.06</v>
      </c>
      <c r="BU53" s="151">
        <v>0.28000000000000003</v>
      </c>
      <c r="BV53" s="151">
        <v>0.23</v>
      </c>
      <c r="BW53" s="151">
        <v>0.33</v>
      </c>
      <c r="BX53" s="151">
        <v>0.36</v>
      </c>
      <c r="BY53" s="151">
        <v>0.27</v>
      </c>
      <c r="BZ53" s="151">
        <v>0.27</v>
      </c>
      <c r="CA53" s="151">
        <v>0.45</v>
      </c>
    </row>
    <row r="54" spans="1:79" x14ac:dyDescent="0.35">
      <c r="A54" s="9" t="s">
        <v>78</v>
      </c>
      <c r="B54" s="9" t="s">
        <v>62</v>
      </c>
      <c r="C54" s="153">
        <v>2023</v>
      </c>
      <c r="D54" s="154">
        <f>C54+1</f>
        <v>2024</v>
      </c>
      <c r="E54" s="154">
        <f t="shared" ref="E54:G59" si="33">TRUNC($D54+$K54/12+L$2/12)</f>
        <v>2025</v>
      </c>
      <c r="F54" s="154">
        <f t="shared" si="33"/>
        <v>2025</v>
      </c>
      <c r="G54" s="154">
        <f t="shared" si="33"/>
        <v>2025</v>
      </c>
      <c r="H54" s="154">
        <f t="shared" si="2"/>
        <v>2024</v>
      </c>
      <c r="I54" s="154">
        <f t="shared" ref="I54:I59" si="34">TRUNC($D54+$K54/12+P$2/12)</f>
        <v>2024</v>
      </c>
      <c r="J54" s="9">
        <v>10</v>
      </c>
      <c r="K54" s="9">
        <v>7</v>
      </c>
      <c r="L54" s="154">
        <f t="shared" ref="L54:P59" si="35">IF((($D54+$K54/12+L$2/12)-TRUNC($D54+$K54/12+L$2/12))*12=0,1,(($D54+$K54/12+L$2/12)-TRUNC($D54+$K54/12+L$2/12))*12)</f>
        <v>6.9999999999990905</v>
      </c>
      <c r="M54" s="154">
        <f t="shared" si="35"/>
        <v>7.999999999998181</v>
      </c>
      <c r="N54" s="154">
        <f t="shared" si="35"/>
        <v>7.999999999998181</v>
      </c>
      <c r="O54" s="154">
        <f t="shared" ref="O54:O59" si="36">J54</f>
        <v>10</v>
      </c>
      <c r="P54" s="154">
        <f t="shared" si="35"/>
        <v>6.9999999999990905</v>
      </c>
      <c r="Q54" s="9"/>
      <c r="R54" s="9"/>
      <c r="S54" s="9"/>
      <c r="T54" s="9"/>
      <c r="U54" s="9"/>
      <c r="V54" s="9"/>
      <c r="W54" s="9"/>
      <c r="X54" s="9">
        <v>2033</v>
      </c>
      <c r="Y54" s="9">
        <v>2034</v>
      </c>
      <c r="Z54" s="9">
        <v>2034</v>
      </c>
      <c r="AA54" s="9">
        <v>2034</v>
      </c>
      <c r="AB54" s="9">
        <v>2034</v>
      </c>
      <c r="AC54" s="9">
        <f t="shared" ref="AC54:AC59" si="37">H54+8</f>
        <v>2032</v>
      </c>
      <c r="AD54" s="9">
        <v>2034</v>
      </c>
      <c r="AE54" s="9">
        <v>7</v>
      </c>
      <c r="AF54" s="9">
        <v>7</v>
      </c>
      <c r="AG54" s="9">
        <v>7</v>
      </c>
      <c r="AH54" s="9">
        <v>7</v>
      </c>
      <c r="AI54" s="9">
        <v>7</v>
      </c>
      <c r="AJ54" s="9">
        <f t="shared" ref="AJ54:AJ59" si="38">O54</f>
        <v>10</v>
      </c>
      <c r="AK54" s="9">
        <v>7</v>
      </c>
      <c r="AL54" s="152">
        <v>1.2267192541321688</v>
      </c>
      <c r="AM54" s="152">
        <v>2.2612105538192599</v>
      </c>
      <c r="AN54" s="152">
        <v>2.1252009430760062</v>
      </c>
      <c r="AO54" s="152">
        <v>1.2944496352201866</v>
      </c>
      <c r="AP54" s="152">
        <v>0.32314284341629806</v>
      </c>
      <c r="AQ54" s="152">
        <v>0.14000000000000001</v>
      </c>
      <c r="AR54" s="152">
        <v>1.4542000570988298</v>
      </c>
      <c r="AS54" s="152">
        <v>11.984388276878477</v>
      </c>
      <c r="AT54" s="152">
        <v>-1.7475682675103321</v>
      </c>
      <c r="AU54" s="152">
        <v>-1.7169645793441486</v>
      </c>
      <c r="AV54" s="152">
        <v>-1.4425350046709582</v>
      </c>
      <c r="AW54" s="152">
        <v>0.61768216477991222</v>
      </c>
      <c r="AX54" s="152">
        <v>0.15</v>
      </c>
      <c r="AY54" s="152">
        <v>-0.4950056673809119</v>
      </c>
      <c r="AZ54" s="151">
        <v>0.22</v>
      </c>
      <c r="BA54" s="151">
        <v>0.27</v>
      </c>
      <c r="BB54" s="151">
        <v>0.17</v>
      </c>
      <c r="BC54" s="151">
        <v>0.14000000000000001</v>
      </c>
      <c r="BD54" s="151">
        <v>0.23</v>
      </c>
      <c r="BE54" s="151">
        <v>0.23</v>
      </c>
      <c r="BF54" s="151">
        <v>0.06</v>
      </c>
      <c r="BG54" s="151">
        <v>0.28000000000000003</v>
      </c>
      <c r="BH54" s="151">
        <v>0.23</v>
      </c>
      <c r="BI54" s="151">
        <v>0.33</v>
      </c>
      <c r="BJ54" s="151">
        <v>0.36</v>
      </c>
      <c r="BK54" s="151">
        <v>0.27</v>
      </c>
      <c r="BL54" s="151">
        <v>0.27</v>
      </c>
      <c r="BM54" s="151">
        <v>0.45</v>
      </c>
      <c r="BN54" s="151">
        <v>0.22</v>
      </c>
      <c r="BO54" s="151">
        <v>0.27</v>
      </c>
      <c r="BP54" s="151">
        <v>0.17</v>
      </c>
      <c r="BQ54" s="151">
        <v>0.14000000000000001</v>
      </c>
      <c r="BR54" s="151">
        <v>0.23</v>
      </c>
      <c r="BS54" s="151">
        <v>0.23</v>
      </c>
      <c r="BT54" s="151">
        <v>0.06</v>
      </c>
      <c r="BU54" s="151">
        <v>0.28000000000000003</v>
      </c>
      <c r="BV54" s="151">
        <v>0.23</v>
      </c>
      <c r="BW54" s="151">
        <v>0.33</v>
      </c>
      <c r="BX54" s="151">
        <v>0.36</v>
      </c>
      <c r="BY54" s="151">
        <v>0.27</v>
      </c>
      <c r="BZ54" s="151">
        <v>0.27</v>
      </c>
      <c r="CA54" s="151">
        <v>0.45</v>
      </c>
    </row>
    <row r="55" spans="1:79" x14ac:dyDescent="0.35">
      <c r="A55" s="9" t="s">
        <v>76</v>
      </c>
      <c r="B55" s="9" t="s">
        <v>27</v>
      </c>
      <c r="C55" s="153">
        <v>2023</v>
      </c>
      <c r="D55" s="154">
        <f>C55+1</f>
        <v>2024</v>
      </c>
      <c r="E55" s="154">
        <f t="shared" si="33"/>
        <v>2025</v>
      </c>
      <c r="F55" s="154">
        <f t="shared" si="33"/>
        <v>2025</v>
      </c>
      <c r="G55" s="154">
        <f t="shared" si="33"/>
        <v>2025</v>
      </c>
      <c r="H55" s="154">
        <f t="shared" si="2"/>
        <v>2024</v>
      </c>
      <c r="I55" s="154">
        <f t="shared" si="34"/>
        <v>2024</v>
      </c>
      <c r="J55" s="9">
        <v>9</v>
      </c>
      <c r="K55" s="9">
        <v>6</v>
      </c>
      <c r="L55" s="154">
        <f t="shared" si="35"/>
        <v>6</v>
      </c>
      <c r="M55" s="154">
        <f t="shared" si="35"/>
        <v>6.9999999999990905</v>
      </c>
      <c r="N55" s="154">
        <f t="shared" si="35"/>
        <v>6.9999999999990905</v>
      </c>
      <c r="O55" s="154">
        <f t="shared" si="36"/>
        <v>9</v>
      </c>
      <c r="P55" s="154">
        <f t="shared" si="35"/>
        <v>6</v>
      </c>
      <c r="Q55" s="9"/>
      <c r="R55" s="9"/>
      <c r="S55" s="9"/>
      <c r="T55" s="9"/>
      <c r="U55" s="9"/>
      <c r="V55" s="9"/>
      <c r="W55" s="9"/>
      <c r="X55" s="9">
        <v>2033</v>
      </c>
      <c r="Y55" s="9">
        <v>2034</v>
      </c>
      <c r="Z55" s="9">
        <v>2034</v>
      </c>
      <c r="AA55" s="9">
        <v>2034</v>
      </c>
      <c r="AB55" s="9">
        <v>2034</v>
      </c>
      <c r="AC55" s="9">
        <f t="shared" si="37"/>
        <v>2032</v>
      </c>
      <c r="AD55" s="9">
        <v>2034</v>
      </c>
      <c r="AE55" s="9">
        <v>9</v>
      </c>
      <c r="AF55" s="9">
        <v>6</v>
      </c>
      <c r="AG55" s="9">
        <v>6</v>
      </c>
      <c r="AH55" s="9">
        <v>6</v>
      </c>
      <c r="AI55" s="9">
        <v>6</v>
      </c>
      <c r="AJ55" s="9">
        <f t="shared" si="38"/>
        <v>9</v>
      </c>
      <c r="AK55" s="9">
        <v>6</v>
      </c>
      <c r="AL55" s="152">
        <v>1.2267192541321688</v>
      </c>
      <c r="AM55" s="152">
        <v>2.2612105538192599</v>
      </c>
      <c r="AN55" s="152">
        <v>2.1252009430760062</v>
      </c>
      <c r="AO55" s="152">
        <v>1.2944496352201866</v>
      </c>
      <c r="AP55" s="152">
        <v>0.32314284341629806</v>
      </c>
      <c r="AQ55" s="152">
        <v>0.14000000000000001</v>
      </c>
      <c r="AR55" s="152">
        <v>1.4542000570988298</v>
      </c>
      <c r="AS55" s="152">
        <v>11.984388276878477</v>
      </c>
      <c r="AT55" s="152">
        <v>-1.7475682675103321</v>
      </c>
      <c r="AU55" s="152">
        <v>-1.7169645793441486</v>
      </c>
      <c r="AV55" s="152">
        <v>-1.4425350046709582</v>
      </c>
      <c r="AW55" s="152">
        <v>0.61768216477991222</v>
      </c>
      <c r="AX55" s="152">
        <v>0.15</v>
      </c>
      <c r="AY55" s="152">
        <v>-0.4950056673809119</v>
      </c>
      <c r="AZ55" s="151">
        <v>0.15</v>
      </c>
      <c r="BA55" s="151">
        <v>0.2</v>
      </c>
      <c r="BB55" s="151">
        <v>0.12</v>
      </c>
      <c r="BC55" s="151">
        <v>0.08</v>
      </c>
      <c r="BD55" s="151">
        <v>0.18</v>
      </c>
      <c r="BE55" s="151">
        <v>0.16</v>
      </c>
      <c r="BF55" s="151">
        <v>0.05</v>
      </c>
      <c r="BG55" s="151">
        <v>0.35</v>
      </c>
      <c r="BH55" s="151">
        <v>0.3</v>
      </c>
      <c r="BI55" s="151">
        <v>0.38</v>
      </c>
      <c r="BJ55" s="151">
        <v>0.42</v>
      </c>
      <c r="BK55" s="151">
        <v>0.32</v>
      </c>
      <c r="BL55" s="151">
        <v>0.34</v>
      </c>
      <c r="BM55" s="151">
        <v>0.45</v>
      </c>
      <c r="BN55" s="151">
        <v>0.15</v>
      </c>
      <c r="BO55" s="151">
        <v>0.2</v>
      </c>
      <c r="BP55" s="151">
        <v>0.12</v>
      </c>
      <c r="BQ55" s="151">
        <v>0.08</v>
      </c>
      <c r="BR55" s="151">
        <v>0.18</v>
      </c>
      <c r="BS55" s="151">
        <v>0.16</v>
      </c>
      <c r="BT55" s="151">
        <v>0.05</v>
      </c>
      <c r="BU55" s="151">
        <v>0.35</v>
      </c>
      <c r="BV55" s="151">
        <v>0.3</v>
      </c>
      <c r="BW55" s="151">
        <v>0.38</v>
      </c>
      <c r="BX55" s="151">
        <v>0.42</v>
      </c>
      <c r="BY55" s="151">
        <v>0.32</v>
      </c>
      <c r="BZ55" s="151">
        <v>0.34</v>
      </c>
      <c r="CA55" s="151">
        <v>0.45</v>
      </c>
    </row>
    <row r="56" spans="1:79" x14ac:dyDescent="0.35">
      <c r="A56" s="9" t="s">
        <v>45</v>
      </c>
      <c r="B56" s="9" t="s">
        <v>42</v>
      </c>
      <c r="C56" s="153">
        <v>2021</v>
      </c>
      <c r="D56" s="154">
        <f>C56+1</f>
        <v>2022</v>
      </c>
      <c r="E56" s="154">
        <f t="shared" si="33"/>
        <v>2023</v>
      </c>
      <c r="F56" s="154">
        <f t="shared" si="33"/>
        <v>2023</v>
      </c>
      <c r="G56" s="154">
        <f t="shared" si="33"/>
        <v>2023</v>
      </c>
      <c r="H56" s="154">
        <f t="shared" si="2"/>
        <v>2022</v>
      </c>
      <c r="I56" s="154">
        <f t="shared" si="34"/>
        <v>2022</v>
      </c>
      <c r="J56" s="153">
        <v>6</v>
      </c>
      <c r="K56" s="9">
        <v>1</v>
      </c>
      <c r="L56" s="154">
        <f t="shared" si="35"/>
        <v>0.99999999999909051</v>
      </c>
      <c r="M56" s="154">
        <f t="shared" si="35"/>
        <v>1.999999999998181</v>
      </c>
      <c r="N56" s="154">
        <f t="shared" si="35"/>
        <v>1.999999999998181</v>
      </c>
      <c r="O56" s="154">
        <f t="shared" si="36"/>
        <v>6</v>
      </c>
      <c r="P56" s="154">
        <f t="shared" si="35"/>
        <v>0.99999999999909051</v>
      </c>
      <c r="Q56" s="9"/>
      <c r="R56" s="9"/>
      <c r="S56" s="9"/>
      <c r="T56" s="9"/>
      <c r="U56" s="9"/>
      <c r="V56" s="9"/>
      <c r="W56" s="9"/>
      <c r="X56" s="9">
        <v>2034</v>
      </c>
      <c r="Y56" s="9">
        <v>2035</v>
      </c>
      <c r="Z56" s="9">
        <v>2035</v>
      </c>
      <c r="AA56" s="9">
        <v>2035</v>
      </c>
      <c r="AB56" s="9">
        <v>2035</v>
      </c>
      <c r="AC56" s="9">
        <f t="shared" si="37"/>
        <v>2030</v>
      </c>
      <c r="AD56" s="9">
        <v>2035</v>
      </c>
      <c r="AE56" s="9">
        <v>9</v>
      </c>
      <c r="AF56" s="9">
        <v>1</v>
      </c>
      <c r="AG56" s="9">
        <v>1</v>
      </c>
      <c r="AH56" s="9">
        <v>1</v>
      </c>
      <c r="AI56" s="9">
        <v>1</v>
      </c>
      <c r="AJ56" s="9">
        <f t="shared" si="38"/>
        <v>6</v>
      </c>
      <c r="AK56" s="9">
        <v>1</v>
      </c>
      <c r="AL56" s="152">
        <v>1.2267192541321688</v>
      </c>
      <c r="AM56" s="152">
        <v>2.2612105538192599</v>
      </c>
      <c r="AN56" s="152">
        <v>2.1252009430760062</v>
      </c>
      <c r="AO56" s="152">
        <v>1.2944496352201866</v>
      </c>
      <c r="AP56" s="152">
        <v>0.32314284341629806</v>
      </c>
      <c r="AQ56" s="152">
        <v>0.14000000000000001</v>
      </c>
      <c r="AR56" s="152">
        <v>1.4542000570988298</v>
      </c>
      <c r="AS56" s="152">
        <v>11.984388276878477</v>
      </c>
      <c r="AT56" s="152">
        <v>-1.7475682675103321</v>
      </c>
      <c r="AU56" s="152">
        <v>-1.7169645793441486</v>
      </c>
      <c r="AV56" s="152">
        <v>-1.4425350046709582</v>
      </c>
      <c r="AW56" s="152">
        <v>0.61768216477991222</v>
      </c>
      <c r="AX56" s="152">
        <v>0.15</v>
      </c>
      <c r="AY56" s="152">
        <v>-0.4950056673809119</v>
      </c>
      <c r="AZ56" s="151">
        <v>0.15</v>
      </c>
      <c r="BA56" s="151">
        <v>0.2</v>
      </c>
      <c r="BB56" s="151">
        <v>0.12</v>
      </c>
      <c r="BC56" s="151">
        <v>0.08</v>
      </c>
      <c r="BD56" s="151">
        <v>0.18</v>
      </c>
      <c r="BE56" s="151">
        <v>0.16</v>
      </c>
      <c r="BF56" s="151">
        <v>0.05</v>
      </c>
      <c r="BG56" s="151">
        <v>0.35</v>
      </c>
      <c r="BH56" s="151">
        <v>0.3</v>
      </c>
      <c r="BI56" s="151">
        <v>0.38</v>
      </c>
      <c r="BJ56" s="151">
        <v>0.42</v>
      </c>
      <c r="BK56" s="151">
        <v>0.32</v>
      </c>
      <c r="BL56" s="151">
        <v>0.34</v>
      </c>
      <c r="BM56" s="151">
        <v>0.45</v>
      </c>
      <c r="BN56" s="151">
        <v>0.15</v>
      </c>
      <c r="BO56" s="151">
        <v>0.2</v>
      </c>
      <c r="BP56" s="151">
        <v>0.12</v>
      </c>
      <c r="BQ56" s="151">
        <v>0.08</v>
      </c>
      <c r="BR56" s="151">
        <v>0.18</v>
      </c>
      <c r="BS56" s="151">
        <v>0.16</v>
      </c>
      <c r="BT56" s="151">
        <v>0.05</v>
      </c>
      <c r="BU56" s="151">
        <v>0.35</v>
      </c>
      <c r="BV56" s="151">
        <v>0.3</v>
      </c>
      <c r="BW56" s="151">
        <v>0.38</v>
      </c>
      <c r="BX56" s="151">
        <v>0.42</v>
      </c>
      <c r="BY56" s="151">
        <v>0.32</v>
      </c>
      <c r="BZ56" s="151">
        <v>0.34</v>
      </c>
      <c r="CA56" s="151">
        <v>0.45</v>
      </c>
    </row>
    <row r="57" spans="1:79" x14ac:dyDescent="0.35">
      <c r="A57" s="9" t="s">
        <v>39</v>
      </c>
      <c r="B57" s="9" t="s">
        <v>38</v>
      </c>
      <c r="C57" s="153">
        <v>2023</v>
      </c>
      <c r="D57" s="153">
        <v>2023</v>
      </c>
      <c r="E57" s="154">
        <f t="shared" si="33"/>
        <v>2024</v>
      </c>
      <c r="F57" s="154">
        <f t="shared" si="33"/>
        <v>2024</v>
      </c>
      <c r="G57" s="154">
        <f t="shared" si="33"/>
        <v>2024</v>
      </c>
      <c r="H57" s="154">
        <f t="shared" si="2"/>
        <v>2024</v>
      </c>
      <c r="I57" s="154">
        <f t="shared" si="34"/>
        <v>2023</v>
      </c>
      <c r="J57" s="153">
        <v>3</v>
      </c>
      <c r="K57" s="9">
        <v>8</v>
      </c>
      <c r="L57" s="154">
        <f t="shared" si="35"/>
        <v>8.0000000000009095</v>
      </c>
      <c r="M57" s="154">
        <f t="shared" si="35"/>
        <v>9</v>
      </c>
      <c r="N57" s="154">
        <f t="shared" si="35"/>
        <v>9</v>
      </c>
      <c r="O57" s="154">
        <v>5</v>
      </c>
      <c r="P57" s="154">
        <f t="shared" si="35"/>
        <v>8.0000000000009095</v>
      </c>
      <c r="Q57" s="9"/>
      <c r="R57" s="9"/>
      <c r="S57" s="9"/>
      <c r="T57" s="9"/>
      <c r="U57" s="9"/>
      <c r="V57" s="9"/>
      <c r="W57" s="9"/>
      <c r="X57" s="9">
        <v>2035</v>
      </c>
      <c r="Y57" s="9">
        <v>2034</v>
      </c>
      <c r="Z57" s="9">
        <v>2034</v>
      </c>
      <c r="AA57" s="9">
        <v>2034</v>
      </c>
      <c r="AB57" s="9">
        <v>2034</v>
      </c>
      <c r="AC57" s="9">
        <f t="shared" si="37"/>
        <v>2032</v>
      </c>
      <c r="AD57" s="9">
        <v>2034</v>
      </c>
      <c r="AE57" s="9">
        <v>8</v>
      </c>
      <c r="AF57" s="9">
        <v>3</v>
      </c>
      <c r="AG57" s="9">
        <v>3</v>
      </c>
      <c r="AH57" s="9">
        <v>3</v>
      </c>
      <c r="AI57" s="9">
        <v>3</v>
      </c>
      <c r="AJ57" s="9">
        <f t="shared" si="38"/>
        <v>5</v>
      </c>
      <c r="AK57" s="9">
        <v>3</v>
      </c>
      <c r="AL57" s="152">
        <v>1.2267192541321688</v>
      </c>
      <c r="AM57" s="152">
        <v>2.2612105538192599</v>
      </c>
      <c r="AN57" s="152">
        <v>2.1252009430760062</v>
      </c>
      <c r="AO57" s="152">
        <v>1.2944496352201866</v>
      </c>
      <c r="AP57" s="152">
        <v>0.32314284341629806</v>
      </c>
      <c r="AQ57" s="152">
        <v>0.14000000000000001</v>
      </c>
      <c r="AR57" s="152">
        <v>1.4542000570988298</v>
      </c>
      <c r="AS57" s="152">
        <v>11.984388276878477</v>
      </c>
      <c r="AT57" s="152">
        <v>-1.7475682675103321</v>
      </c>
      <c r="AU57" s="152">
        <v>-1.7169645793441486</v>
      </c>
      <c r="AV57" s="152">
        <v>-1.4425350046709582</v>
      </c>
      <c r="AW57" s="152">
        <v>0.61768216477991222</v>
      </c>
      <c r="AX57" s="152">
        <v>0.15</v>
      </c>
      <c r="AY57" s="152">
        <v>-0.4950056673809119</v>
      </c>
      <c r="AZ57" s="151">
        <v>0.15</v>
      </c>
      <c r="BA57" s="151">
        <v>0.2</v>
      </c>
      <c r="BB57" s="151">
        <v>0.12</v>
      </c>
      <c r="BC57" s="151">
        <v>0.08</v>
      </c>
      <c r="BD57" s="151">
        <v>0.18</v>
      </c>
      <c r="BE57" s="151">
        <v>0.16</v>
      </c>
      <c r="BF57" s="151">
        <v>0.05</v>
      </c>
      <c r="BG57" s="151">
        <v>0.35</v>
      </c>
      <c r="BH57" s="151">
        <v>0.3</v>
      </c>
      <c r="BI57" s="151">
        <v>0.38</v>
      </c>
      <c r="BJ57" s="151">
        <v>0.42</v>
      </c>
      <c r="BK57" s="151">
        <v>0.32</v>
      </c>
      <c r="BL57" s="151">
        <v>0.34</v>
      </c>
      <c r="BM57" s="151">
        <v>0.45</v>
      </c>
      <c r="BN57" s="151">
        <v>0.15</v>
      </c>
      <c r="BO57" s="151">
        <v>0.2</v>
      </c>
      <c r="BP57" s="151">
        <v>0.12</v>
      </c>
      <c r="BQ57" s="151">
        <v>0.08</v>
      </c>
      <c r="BR57" s="151">
        <v>0.18</v>
      </c>
      <c r="BS57" s="151">
        <v>0.16</v>
      </c>
      <c r="BT57" s="151">
        <v>0.05</v>
      </c>
      <c r="BU57" s="151">
        <v>0.35</v>
      </c>
      <c r="BV57" s="151">
        <v>0.3</v>
      </c>
      <c r="BW57" s="151">
        <v>0.38</v>
      </c>
      <c r="BX57" s="151">
        <v>0.42</v>
      </c>
      <c r="BY57" s="151">
        <v>0.32</v>
      </c>
      <c r="BZ57" s="151">
        <v>0.34</v>
      </c>
      <c r="CA57" s="151">
        <v>0.45</v>
      </c>
    </row>
    <row r="58" spans="1:79" x14ac:dyDescent="0.35">
      <c r="A58" s="9" t="s">
        <v>72</v>
      </c>
      <c r="B58" s="9" t="s">
        <v>71</v>
      </c>
      <c r="C58" s="153">
        <v>2025</v>
      </c>
      <c r="D58" s="154">
        <f>C58+1</f>
        <v>2026</v>
      </c>
      <c r="E58" s="154">
        <f t="shared" si="33"/>
        <v>2027</v>
      </c>
      <c r="F58" s="154">
        <f t="shared" si="33"/>
        <v>2027</v>
      </c>
      <c r="G58" s="154">
        <f t="shared" si="33"/>
        <v>2027</v>
      </c>
      <c r="H58" s="154">
        <f t="shared" si="2"/>
        <v>2026</v>
      </c>
      <c r="I58" s="154">
        <f t="shared" si="34"/>
        <v>2026</v>
      </c>
      <c r="J58" s="9">
        <v>6</v>
      </c>
      <c r="K58" s="9">
        <v>8</v>
      </c>
      <c r="L58" s="154">
        <f t="shared" si="35"/>
        <v>8.0000000000009095</v>
      </c>
      <c r="M58" s="154">
        <f t="shared" si="35"/>
        <v>9</v>
      </c>
      <c r="N58" s="154">
        <f t="shared" si="35"/>
        <v>9</v>
      </c>
      <c r="O58" s="154">
        <v>3</v>
      </c>
      <c r="P58" s="154">
        <f t="shared" si="35"/>
        <v>8.0000000000009095</v>
      </c>
      <c r="Q58" s="9"/>
      <c r="R58" s="9"/>
      <c r="S58" s="9"/>
      <c r="T58" s="9"/>
      <c r="U58" s="9"/>
      <c r="V58" s="9"/>
      <c r="W58" s="9"/>
      <c r="X58" s="9">
        <v>2031</v>
      </c>
      <c r="Y58" s="9">
        <v>2037</v>
      </c>
      <c r="Z58" s="9">
        <v>2037</v>
      </c>
      <c r="AA58" s="9">
        <v>2037</v>
      </c>
      <c r="AB58" s="9">
        <v>2037</v>
      </c>
      <c r="AC58" s="9">
        <f t="shared" si="37"/>
        <v>2034</v>
      </c>
      <c r="AD58" s="9">
        <v>2037</v>
      </c>
      <c r="AE58" s="9">
        <v>1</v>
      </c>
      <c r="AF58" s="9">
        <v>6</v>
      </c>
      <c r="AG58" s="9">
        <v>6</v>
      </c>
      <c r="AH58" s="9">
        <v>6</v>
      </c>
      <c r="AI58" s="9">
        <v>6</v>
      </c>
      <c r="AJ58" s="9">
        <f t="shared" si="38"/>
        <v>3</v>
      </c>
      <c r="AK58" s="9">
        <v>6</v>
      </c>
      <c r="AL58" s="152">
        <v>1.2267192541321688</v>
      </c>
      <c r="AM58" s="152">
        <v>2.2612105538192599</v>
      </c>
      <c r="AN58" s="152">
        <v>2.1252009430760062</v>
      </c>
      <c r="AO58" s="152">
        <v>1.2944496352201866</v>
      </c>
      <c r="AP58" s="152">
        <v>0.32314284341629806</v>
      </c>
      <c r="AQ58" s="152">
        <v>0.14000000000000001</v>
      </c>
      <c r="AR58" s="152">
        <v>1.4542000570988298</v>
      </c>
      <c r="AS58" s="152">
        <v>11.984388276878477</v>
      </c>
      <c r="AT58" s="152">
        <v>-1.7475682675103321</v>
      </c>
      <c r="AU58" s="152">
        <v>-1.7169645793441486</v>
      </c>
      <c r="AV58" s="152">
        <v>-1.4425350046709582</v>
      </c>
      <c r="AW58" s="152">
        <v>0.61768216477991222</v>
      </c>
      <c r="AX58" s="152">
        <v>0.15</v>
      </c>
      <c r="AY58" s="152">
        <v>-0.4950056673809119</v>
      </c>
      <c r="AZ58" s="151">
        <v>0.22</v>
      </c>
      <c r="BA58" s="151">
        <v>0.27</v>
      </c>
      <c r="BB58" s="151">
        <v>0.17</v>
      </c>
      <c r="BC58" s="151">
        <v>0.14000000000000001</v>
      </c>
      <c r="BD58" s="151">
        <v>0.23</v>
      </c>
      <c r="BE58" s="151">
        <v>0.23</v>
      </c>
      <c r="BF58" s="151">
        <v>0.06</v>
      </c>
      <c r="BG58" s="151">
        <v>0.28000000000000003</v>
      </c>
      <c r="BH58" s="151">
        <v>0.23</v>
      </c>
      <c r="BI58" s="151">
        <v>0.33</v>
      </c>
      <c r="BJ58" s="151">
        <v>0.36</v>
      </c>
      <c r="BK58" s="151">
        <v>0.27</v>
      </c>
      <c r="BL58" s="151">
        <v>0.27</v>
      </c>
      <c r="BM58" s="151">
        <v>0.45</v>
      </c>
      <c r="BN58" s="151">
        <v>0.22</v>
      </c>
      <c r="BO58" s="151">
        <v>0.27</v>
      </c>
      <c r="BP58" s="151">
        <v>0.17</v>
      </c>
      <c r="BQ58" s="151">
        <v>0.14000000000000001</v>
      </c>
      <c r="BR58" s="151">
        <v>0.23</v>
      </c>
      <c r="BS58" s="151">
        <v>0.23</v>
      </c>
      <c r="BT58" s="151">
        <v>0.06</v>
      </c>
      <c r="BU58" s="151">
        <v>0.28000000000000003</v>
      </c>
      <c r="BV58" s="151">
        <v>0.23</v>
      </c>
      <c r="BW58" s="151">
        <v>0.33</v>
      </c>
      <c r="BX58" s="151">
        <v>0.36</v>
      </c>
      <c r="BY58" s="151">
        <v>0.27</v>
      </c>
      <c r="BZ58" s="151">
        <v>0.27</v>
      </c>
      <c r="CA58" s="151">
        <v>0.45</v>
      </c>
    </row>
    <row r="59" spans="1:79" x14ac:dyDescent="0.35">
      <c r="A59" s="9" t="s">
        <v>74</v>
      </c>
      <c r="B59" s="9" t="s">
        <v>27</v>
      </c>
      <c r="C59" s="153">
        <v>2025</v>
      </c>
      <c r="D59" s="154">
        <f>C59+1</f>
        <v>2026</v>
      </c>
      <c r="E59" s="154">
        <f t="shared" si="33"/>
        <v>2027</v>
      </c>
      <c r="F59" s="154">
        <f t="shared" si="33"/>
        <v>2027</v>
      </c>
      <c r="G59" s="154">
        <f t="shared" si="33"/>
        <v>2027</v>
      </c>
      <c r="H59" s="154">
        <f t="shared" si="2"/>
        <v>2026</v>
      </c>
      <c r="I59" s="154">
        <f t="shared" si="34"/>
        <v>2026</v>
      </c>
      <c r="J59" s="9">
        <v>7</v>
      </c>
      <c r="K59" s="9">
        <v>3</v>
      </c>
      <c r="L59" s="154">
        <f t="shared" si="35"/>
        <v>3</v>
      </c>
      <c r="M59" s="154">
        <f t="shared" si="35"/>
        <v>3.9999999999990905</v>
      </c>
      <c r="N59" s="154">
        <f t="shared" si="35"/>
        <v>3.9999999999990905</v>
      </c>
      <c r="O59" s="154">
        <f t="shared" si="36"/>
        <v>7</v>
      </c>
      <c r="P59" s="154">
        <f t="shared" si="35"/>
        <v>3</v>
      </c>
      <c r="Q59" s="9"/>
      <c r="R59" s="9"/>
      <c r="S59" s="9"/>
      <c r="T59" s="9"/>
      <c r="U59" s="9"/>
      <c r="V59" s="9"/>
      <c r="W59" s="9"/>
      <c r="X59" s="9">
        <v>2034</v>
      </c>
      <c r="Y59" s="9">
        <v>2036</v>
      </c>
      <c r="Z59" s="9">
        <v>2036</v>
      </c>
      <c r="AA59" s="9">
        <v>2036</v>
      </c>
      <c r="AB59" s="9">
        <v>2036</v>
      </c>
      <c r="AC59" s="9">
        <f t="shared" si="37"/>
        <v>2034</v>
      </c>
      <c r="AD59" s="9">
        <v>2036</v>
      </c>
      <c r="AE59" s="9">
        <v>7</v>
      </c>
      <c r="AF59" s="9">
        <v>3</v>
      </c>
      <c r="AG59" s="9">
        <v>3</v>
      </c>
      <c r="AH59" s="9">
        <v>3</v>
      </c>
      <c r="AI59" s="9">
        <v>3</v>
      </c>
      <c r="AJ59" s="9">
        <f t="shared" si="38"/>
        <v>7</v>
      </c>
      <c r="AK59" s="9">
        <v>3</v>
      </c>
      <c r="AL59" s="152">
        <v>1.2267192541321688</v>
      </c>
      <c r="AM59" s="152">
        <v>2.2612105538192599</v>
      </c>
      <c r="AN59" s="152">
        <v>2.1252009430760062</v>
      </c>
      <c r="AO59" s="152">
        <v>1.2944496352201866</v>
      </c>
      <c r="AP59" s="152">
        <v>0.32314284341629806</v>
      </c>
      <c r="AQ59" s="152">
        <v>0.14000000000000001</v>
      </c>
      <c r="AR59" s="152">
        <v>1.4542000570988298</v>
      </c>
      <c r="AS59" s="152">
        <v>11.984388276878477</v>
      </c>
      <c r="AT59" s="152">
        <v>-1.7475682675103321</v>
      </c>
      <c r="AU59" s="152">
        <v>-1.7169645793441486</v>
      </c>
      <c r="AV59" s="152">
        <v>-1.4425350046709582</v>
      </c>
      <c r="AW59" s="152">
        <v>0.61768216477991222</v>
      </c>
      <c r="AX59" s="152">
        <v>0.15</v>
      </c>
      <c r="AY59" s="152">
        <v>-0.4950056673809119</v>
      </c>
      <c r="AZ59" s="151">
        <v>0.15</v>
      </c>
      <c r="BA59" s="151">
        <v>0.2</v>
      </c>
      <c r="BB59" s="151">
        <v>0.12</v>
      </c>
      <c r="BC59" s="151">
        <v>0.08</v>
      </c>
      <c r="BD59" s="151">
        <v>0.18</v>
      </c>
      <c r="BE59" s="151">
        <v>0.16</v>
      </c>
      <c r="BF59" s="151">
        <v>0.05</v>
      </c>
      <c r="BG59" s="151">
        <v>0.35</v>
      </c>
      <c r="BH59" s="151">
        <v>0.3</v>
      </c>
      <c r="BI59" s="151">
        <v>0.38</v>
      </c>
      <c r="BJ59" s="151">
        <v>0.42</v>
      </c>
      <c r="BK59" s="151">
        <v>0.32</v>
      </c>
      <c r="BL59" s="151">
        <v>0.34</v>
      </c>
      <c r="BM59" s="151">
        <v>0.45</v>
      </c>
      <c r="BN59" s="151">
        <v>0.15</v>
      </c>
      <c r="BO59" s="151">
        <v>0.2</v>
      </c>
      <c r="BP59" s="151">
        <v>0.12</v>
      </c>
      <c r="BQ59" s="151">
        <v>0.08</v>
      </c>
      <c r="BR59" s="151">
        <v>0.18</v>
      </c>
      <c r="BS59" s="151">
        <v>0.16</v>
      </c>
      <c r="BT59" s="151">
        <v>0.05</v>
      </c>
      <c r="BU59" s="151">
        <v>0.35</v>
      </c>
      <c r="BV59" s="151">
        <v>0.3</v>
      </c>
      <c r="BW59" s="151">
        <v>0.38</v>
      </c>
      <c r="BX59" s="151">
        <v>0.42</v>
      </c>
      <c r="BY59" s="151">
        <v>0.32</v>
      </c>
      <c r="BZ59" s="151">
        <v>0.34</v>
      </c>
      <c r="CA59" s="151">
        <v>0.45</v>
      </c>
    </row>
    <row r="60" spans="1:79" x14ac:dyDescent="0.35">
      <c r="A60" s="9" t="s">
        <v>91</v>
      </c>
      <c r="B60" s="9" t="s">
        <v>81</v>
      </c>
      <c r="C60" s="9">
        <v>1981</v>
      </c>
      <c r="D60" s="9"/>
      <c r="E60" s="9"/>
      <c r="F60" s="9"/>
      <c r="G60" s="9"/>
      <c r="H60" s="9"/>
      <c r="I60" s="9"/>
      <c r="J60" s="9">
        <v>1</v>
      </c>
      <c r="K60" s="9"/>
      <c r="L60" s="9"/>
      <c r="M60" s="9"/>
      <c r="N60" s="9"/>
      <c r="O60" s="9"/>
      <c r="P60" s="9"/>
      <c r="Q60" s="153"/>
      <c r="R60" s="9"/>
      <c r="S60" s="9"/>
      <c r="T60" s="9"/>
      <c r="U60" s="9"/>
      <c r="V60" s="9"/>
      <c r="W60" s="9"/>
      <c r="X60" s="153">
        <v>2020</v>
      </c>
      <c r="Y60" s="9"/>
      <c r="Z60" s="9"/>
      <c r="AA60" s="9"/>
      <c r="AB60" s="9"/>
      <c r="AC60" s="9"/>
      <c r="AD60" s="9"/>
      <c r="AE60" s="153">
        <v>6</v>
      </c>
      <c r="AF60" s="9"/>
      <c r="AG60" s="9"/>
      <c r="AH60" s="9"/>
      <c r="AI60" s="9"/>
      <c r="AJ60" s="9"/>
      <c r="AK60" s="9"/>
      <c r="AL60" s="152">
        <v>1.2267192541321688</v>
      </c>
      <c r="AM60" s="152">
        <v>2.2612105538192599</v>
      </c>
      <c r="AN60" s="152">
        <v>2.1252009430760062</v>
      </c>
      <c r="AO60" s="152">
        <v>1.2944496352201866</v>
      </c>
      <c r="AP60" s="152">
        <v>0.32314284341629806</v>
      </c>
      <c r="AQ60" s="152">
        <v>0.14000000000000001</v>
      </c>
      <c r="AR60" s="152">
        <v>1.4542000570988298</v>
      </c>
      <c r="AS60" s="152">
        <v>11.984388276878477</v>
      </c>
      <c r="AT60" s="152">
        <v>-1.7475682675103321</v>
      </c>
      <c r="AU60" s="152">
        <v>-1.7169645793441486</v>
      </c>
      <c r="AV60" s="152">
        <v>-1.4425350046709582</v>
      </c>
      <c r="AW60" s="152">
        <v>0.61768216477991222</v>
      </c>
      <c r="AX60" s="152">
        <v>0.15</v>
      </c>
      <c r="AY60" s="152">
        <v>-0.4950056673809119</v>
      </c>
      <c r="AZ60" s="151">
        <v>0.15</v>
      </c>
      <c r="BA60" s="151">
        <v>0.2</v>
      </c>
      <c r="BB60" s="151">
        <v>0.12</v>
      </c>
      <c r="BC60" s="151">
        <v>0.08</v>
      </c>
      <c r="BD60" s="151">
        <v>0.18</v>
      </c>
      <c r="BE60" s="151">
        <v>0.16</v>
      </c>
      <c r="BF60" s="151">
        <v>0.05</v>
      </c>
      <c r="BG60" s="151">
        <v>0.35</v>
      </c>
      <c r="BH60" s="151">
        <v>0.3</v>
      </c>
      <c r="BI60" s="151">
        <v>0.38</v>
      </c>
      <c r="BJ60" s="151">
        <v>0.42</v>
      </c>
      <c r="BK60" s="151">
        <v>0.32</v>
      </c>
      <c r="BL60" s="151">
        <v>0.34</v>
      </c>
      <c r="BM60" s="151">
        <v>0.45</v>
      </c>
      <c r="BN60" s="151">
        <v>0.15</v>
      </c>
      <c r="BO60" s="151">
        <v>0.2</v>
      </c>
      <c r="BP60" s="151">
        <v>0.12</v>
      </c>
      <c r="BQ60" s="151">
        <v>0.08</v>
      </c>
      <c r="BR60" s="151">
        <v>0.18</v>
      </c>
      <c r="BS60" s="151">
        <v>0.16</v>
      </c>
      <c r="BT60" s="151">
        <v>0.05</v>
      </c>
      <c r="BU60" s="151">
        <v>0.35</v>
      </c>
      <c r="BV60" s="151">
        <v>0.3</v>
      </c>
      <c r="BW60" s="151">
        <v>0.38</v>
      </c>
      <c r="BX60" s="151">
        <v>0.42</v>
      </c>
      <c r="BY60" s="151">
        <v>0.32</v>
      </c>
      <c r="BZ60" s="151">
        <v>0.34</v>
      </c>
      <c r="CA60" s="151">
        <v>0.45</v>
      </c>
    </row>
    <row r="61" spans="1:79" x14ac:dyDescent="0.35">
      <c r="A61" s="150"/>
      <c r="B61" s="149"/>
    </row>
  </sheetData>
  <mergeCells count="11">
    <mergeCell ref="C1:I1"/>
    <mergeCell ref="J1:P1"/>
    <mergeCell ref="X1:AD1"/>
    <mergeCell ref="AE1:AK1"/>
    <mergeCell ref="AL1:AR1"/>
    <mergeCell ref="AZ1:BF1"/>
    <mergeCell ref="BG1:BM1"/>
    <mergeCell ref="BN1:BT1"/>
    <mergeCell ref="BU1:CA1"/>
    <mergeCell ref="Q1:W1"/>
    <mergeCell ref="AS1:AY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FB1A-9B80-42A9-943F-F7683EB43EF1}">
  <sheetPr codeName="Sheet8"/>
  <dimension ref="B5:D13"/>
  <sheetViews>
    <sheetView workbookViewId="0">
      <selection activeCell="D9" sqref="D9"/>
    </sheetView>
  </sheetViews>
  <sheetFormatPr defaultColWidth="8.81640625" defaultRowHeight="12" x14ac:dyDescent="0.3"/>
  <cols>
    <col min="1" max="1" width="8.81640625" style="113"/>
    <col min="2" max="2" width="11.81640625" style="113" customWidth="1"/>
    <col min="3" max="3" width="8.81640625" style="113"/>
    <col min="4" max="4" width="9.7265625" style="113" bestFit="1" customWidth="1"/>
    <col min="5" max="16384" width="8.81640625" style="113"/>
  </cols>
  <sheetData>
    <row r="5" spans="2:4" ht="12.5" thickBot="1" x14ac:dyDescent="0.35">
      <c r="C5" s="148" t="s">
        <v>157</v>
      </c>
      <c r="D5" s="148" t="s">
        <v>294</v>
      </c>
    </row>
    <row r="6" spans="2:4" ht="14.5" thickBot="1" x14ac:dyDescent="0.35">
      <c r="B6" s="147" t="s">
        <v>1</v>
      </c>
      <c r="C6" s="146">
        <v>0.75</v>
      </c>
      <c r="D6" s="146">
        <f>PRODUCT(C6:C$11)</f>
        <v>0.1044225</v>
      </c>
    </row>
    <row r="7" spans="2:4" ht="15" thickTop="1" thickBot="1" x14ac:dyDescent="0.35">
      <c r="B7" s="147" t="s">
        <v>58</v>
      </c>
      <c r="C7" s="146">
        <v>0.85</v>
      </c>
      <c r="D7" s="146">
        <f>PRODUCT(C7:C$11)</f>
        <v>0.13923000000000002</v>
      </c>
    </row>
    <row r="8" spans="2:4" ht="15" thickTop="1" thickBot="1" x14ac:dyDescent="0.35">
      <c r="B8" s="147" t="s">
        <v>51</v>
      </c>
      <c r="C8" s="146">
        <v>0.4</v>
      </c>
      <c r="D8" s="146">
        <f>PRODUCT(C8:C$11)</f>
        <v>0.1638</v>
      </c>
    </row>
    <row r="9" spans="2:4" ht="15" thickTop="1" thickBot="1" x14ac:dyDescent="0.35">
      <c r="B9" s="147" t="s">
        <v>43</v>
      </c>
      <c r="C9" s="146">
        <v>0.7</v>
      </c>
      <c r="D9" s="146">
        <f>PRODUCT(C9:C$11)</f>
        <v>0.40949999999999998</v>
      </c>
    </row>
    <row r="10" spans="2:4" ht="15" thickTop="1" thickBot="1" x14ac:dyDescent="0.35">
      <c r="B10" s="147" t="s">
        <v>63</v>
      </c>
      <c r="C10" s="146">
        <v>0.65</v>
      </c>
      <c r="D10" s="146">
        <f>PRODUCT(C10:C$11)</f>
        <v>0.58500000000000008</v>
      </c>
    </row>
    <row r="11" spans="2:4" ht="15" thickTop="1" thickBot="1" x14ac:dyDescent="0.35">
      <c r="B11" s="147" t="s">
        <v>86</v>
      </c>
      <c r="C11" s="146">
        <v>0.9</v>
      </c>
      <c r="D11" s="146">
        <f>PRODUCT(C11:C$11)</f>
        <v>0.9</v>
      </c>
    </row>
    <row r="12" spans="2:4" ht="15" thickTop="1" thickBot="1" x14ac:dyDescent="0.35">
      <c r="B12" s="147" t="s">
        <v>47</v>
      </c>
      <c r="C12" s="146">
        <v>1</v>
      </c>
      <c r="D12" s="146">
        <f>C12</f>
        <v>1</v>
      </c>
    </row>
    <row r="13" spans="2:4" ht="12.5" thickTop="1" x14ac:dyDescent="0.3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6C3FD-0084-4EDF-8BA5-EC2D38FE687C}">
  <sheetPr codeName="Sheet9"/>
  <dimension ref="B1:I74"/>
  <sheetViews>
    <sheetView workbookViewId="0">
      <selection activeCell="C30" sqref="C30"/>
    </sheetView>
  </sheetViews>
  <sheetFormatPr defaultColWidth="8.7265625" defaultRowHeight="12.5" x14ac:dyDescent="0.25"/>
  <cols>
    <col min="1" max="1" width="8.7265625" style="66"/>
    <col min="2" max="2" width="2.54296875" style="66" customWidth="1"/>
    <col min="3" max="3" width="97.26953125" style="66" customWidth="1"/>
    <col min="4" max="4" width="10.453125" style="67" customWidth="1"/>
    <col min="5" max="5" width="3.54296875" style="66" customWidth="1"/>
    <col min="6" max="6" width="10.26953125" style="67" customWidth="1"/>
    <col min="7" max="7" width="8.7265625" style="66"/>
    <col min="8" max="8" width="2.54296875" style="66" customWidth="1"/>
    <col min="9" max="10" width="51.453125" style="66" customWidth="1"/>
    <col min="11" max="16384" width="8.7265625" style="66"/>
  </cols>
  <sheetData>
    <row r="1" spans="2:9" ht="13" thickBot="1" x14ac:dyDescent="0.3"/>
    <row r="2" spans="2:9" ht="27.75" customHeight="1" thickBot="1" x14ac:dyDescent="0.3">
      <c r="B2" s="112"/>
      <c r="C2" s="111" t="s">
        <v>241</v>
      </c>
      <c r="D2" s="162" t="s">
        <v>240</v>
      </c>
      <c r="E2" s="163"/>
      <c r="F2" s="163"/>
      <c r="G2" s="163"/>
      <c r="H2" s="163"/>
      <c r="I2" s="164"/>
    </row>
    <row r="3" spans="2:9" ht="13" thickBot="1" x14ac:dyDescent="0.3"/>
    <row r="4" spans="2:9" ht="27.75" customHeight="1" thickBot="1" x14ac:dyDescent="0.3">
      <c r="B4" s="112"/>
      <c r="C4" s="111" t="s">
        <v>239</v>
      </c>
      <c r="D4" s="162" t="s">
        <v>100</v>
      </c>
      <c r="E4" s="163"/>
      <c r="F4" s="163"/>
      <c r="G4" s="163"/>
      <c r="H4" s="163"/>
      <c r="I4" s="164"/>
    </row>
    <row r="5" spans="2:9" ht="13" thickBot="1" x14ac:dyDescent="0.3"/>
    <row r="6" spans="2:9" ht="20.5" thickBot="1" x14ac:dyDescent="0.45">
      <c r="B6" s="165" t="s">
        <v>238</v>
      </c>
      <c r="C6" s="166"/>
      <c r="D6" s="166"/>
      <c r="E6" s="166"/>
      <c r="F6" s="167"/>
    </row>
    <row r="7" spans="2:9" ht="13" thickBot="1" x14ac:dyDescent="0.3">
      <c r="B7" s="110"/>
      <c r="C7" s="108"/>
      <c r="D7" s="109"/>
      <c r="E7" s="108"/>
      <c r="F7" s="107"/>
    </row>
    <row r="8" spans="2:9" ht="52.5" thickBot="1" x14ac:dyDescent="0.35">
      <c r="B8" s="106"/>
      <c r="C8" s="105"/>
      <c r="D8" s="104" t="s">
        <v>237</v>
      </c>
      <c r="E8" s="103"/>
      <c r="F8" s="102" t="s">
        <v>236</v>
      </c>
    </row>
    <row r="9" spans="2:9" ht="14.5" x14ac:dyDescent="0.35">
      <c r="B9" s="92" t="s">
        <v>144</v>
      </c>
      <c r="C9" s="91"/>
      <c r="D9" s="90">
        <v>0.56200000000000006</v>
      </c>
      <c r="E9" s="89"/>
      <c r="F9" s="88">
        <f>+D9</f>
        <v>0.56200000000000006</v>
      </c>
    </row>
    <row r="10" spans="2:9" ht="14.5" x14ac:dyDescent="0.35">
      <c r="B10" s="87" t="s">
        <v>119</v>
      </c>
      <c r="C10" s="97" t="s">
        <v>235</v>
      </c>
      <c r="D10" s="101">
        <v>0.15049999999999999</v>
      </c>
      <c r="E10" s="95"/>
      <c r="F10" s="94">
        <f t="shared" ref="F10:F17" si="0">IF(C10&lt;&gt;"[Drug attribute]",D10*$F$9,"")</f>
        <v>8.4581000000000003E-2</v>
      </c>
    </row>
    <row r="11" spans="2:9" ht="14.5" x14ac:dyDescent="0.35">
      <c r="B11" s="87" t="s">
        <v>118</v>
      </c>
      <c r="C11" s="86" t="s">
        <v>234</v>
      </c>
      <c r="D11" s="100">
        <v>0.14360000000000001</v>
      </c>
      <c r="E11" s="84"/>
      <c r="F11" s="79">
        <f t="shared" si="0"/>
        <v>8.0703200000000017E-2</v>
      </c>
    </row>
    <row r="12" spans="2:9" ht="14.5" x14ac:dyDescent="0.35">
      <c r="B12" s="87" t="s">
        <v>117</v>
      </c>
      <c r="C12" s="86" t="s">
        <v>233</v>
      </c>
      <c r="D12" s="100">
        <v>0.16919999999999999</v>
      </c>
      <c r="E12" s="84"/>
      <c r="F12" s="79">
        <f t="shared" si="0"/>
        <v>9.5090400000000005E-2</v>
      </c>
    </row>
    <row r="13" spans="2:9" ht="14.5" x14ac:dyDescent="0.35">
      <c r="B13" s="87" t="s">
        <v>116</v>
      </c>
      <c r="C13" s="86" t="s">
        <v>232</v>
      </c>
      <c r="D13" s="100">
        <v>0.14699999999999999</v>
      </c>
      <c r="E13" s="84"/>
      <c r="F13" s="79">
        <f t="shared" si="0"/>
        <v>8.2614000000000007E-2</v>
      </c>
    </row>
    <row r="14" spans="2:9" ht="14.5" x14ac:dyDescent="0.35">
      <c r="B14" s="87" t="s">
        <v>115</v>
      </c>
      <c r="C14" s="86" t="s">
        <v>231</v>
      </c>
      <c r="D14" s="100">
        <v>0.1087</v>
      </c>
      <c r="E14" s="84"/>
      <c r="F14" s="79">
        <f t="shared" si="0"/>
        <v>6.1089400000000009E-2</v>
      </c>
    </row>
    <row r="15" spans="2:9" ht="14.5" x14ac:dyDescent="0.35">
      <c r="B15" s="87" t="s">
        <v>114</v>
      </c>
      <c r="C15" s="86" t="s">
        <v>230</v>
      </c>
      <c r="D15" s="100">
        <v>0.1033</v>
      </c>
      <c r="E15" s="84"/>
      <c r="F15" s="79">
        <f t="shared" si="0"/>
        <v>5.8054600000000005E-2</v>
      </c>
    </row>
    <row r="16" spans="2:9" ht="14.5" x14ac:dyDescent="0.35">
      <c r="B16" s="87" t="s">
        <v>113</v>
      </c>
      <c r="C16" s="86" t="s">
        <v>229</v>
      </c>
      <c r="D16" s="100">
        <v>6.7699999999999996E-2</v>
      </c>
      <c r="E16" s="84"/>
      <c r="F16" s="79">
        <f t="shared" si="0"/>
        <v>3.8047400000000002E-2</v>
      </c>
    </row>
    <row r="17" spans="2:6" ht="15" thickBot="1" x14ac:dyDescent="0.4">
      <c r="B17" s="83" t="s">
        <v>112</v>
      </c>
      <c r="C17" s="82" t="s">
        <v>228</v>
      </c>
      <c r="D17" s="99">
        <v>0.11</v>
      </c>
      <c r="E17" s="80"/>
      <c r="F17" s="98">
        <f t="shared" si="0"/>
        <v>6.1820000000000007E-2</v>
      </c>
    </row>
    <row r="18" spans="2:6" ht="15" thickBot="1" x14ac:dyDescent="0.4">
      <c r="B18" s="92"/>
      <c r="C18" s="91"/>
      <c r="D18" s="90">
        <f>+D10+D11+D12+D13+D14+D15+D16+D17</f>
        <v>1</v>
      </c>
      <c r="E18" s="89"/>
      <c r="F18" s="88">
        <f>SUM(F10:F17)</f>
        <v>0.56200000000000006</v>
      </c>
    </row>
    <row r="19" spans="2:6" ht="14.5" x14ac:dyDescent="0.35">
      <c r="B19" s="92" t="s">
        <v>227</v>
      </c>
      <c r="C19" s="91"/>
      <c r="D19" s="90">
        <v>0.251</v>
      </c>
      <c r="E19" s="89"/>
      <c r="F19" s="88">
        <f>+D19</f>
        <v>0.251</v>
      </c>
    </row>
    <row r="20" spans="2:6" ht="14.5" x14ac:dyDescent="0.35">
      <c r="B20" s="87" t="s">
        <v>111</v>
      </c>
      <c r="C20" s="97" t="s">
        <v>226</v>
      </c>
      <c r="D20" s="96">
        <v>0.24490000000000001</v>
      </c>
      <c r="E20" s="95"/>
      <c r="F20" s="94">
        <f t="shared" ref="F20:F27" si="1">IF(C20&lt;&gt;"[Drug attribute]",D20*$F$19,"")</f>
        <v>6.1469900000000001E-2</v>
      </c>
    </row>
    <row r="21" spans="2:6" ht="14.5" x14ac:dyDescent="0.35">
      <c r="B21" s="87" t="s">
        <v>110</v>
      </c>
      <c r="C21" s="86" t="s">
        <v>225</v>
      </c>
      <c r="D21" s="85">
        <v>9.7900000000000001E-2</v>
      </c>
      <c r="E21" s="84"/>
      <c r="F21" s="79">
        <f t="shared" si="1"/>
        <v>2.4572900000000002E-2</v>
      </c>
    </row>
    <row r="22" spans="2:6" ht="12.75" customHeight="1" x14ac:dyDescent="0.35">
      <c r="B22" s="87" t="s">
        <v>109</v>
      </c>
      <c r="C22" s="86" t="s">
        <v>224</v>
      </c>
      <c r="D22" s="85">
        <v>0.1221</v>
      </c>
      <c r="E22" s="84"/>
      <c r="F22" s="79">
        <f t="shared" si="1"/>
        <v>3.06471E-2</v>
      </c>
    </row>
    <row r="23" spans="2:6" ht="12.75" customHeight="1" x14ac:dyDescent="0.35">
      <c r="B23" s="87" t="s">
        <v>108</v>
      </c>
      <c r="C23" s="86" t="s">
        <v>223</v>
      </c>
      <c r="D23" s="85">
        <v>0.13930000000000001</v>
      </c>
      <c r="E23" s="84"/>
      <c r="F23" s="79">
        <f t="shared" si="1"/>
        <v>3.4964300000000004E-2</v>
      </c>
    </row>
    <row r="24" spans="2:6" ht="13.5" customHeight="1" x14ac:dyDescent="0.35">
      <c r="B24" s="87" t="s">
        <v>107</v>
      </c>
      <c r="C24" s="86" t="s">
        <v>222</v>
      </c>
      <c r="D24" s="85">
        <v>0.18329999999999999</v>
      </c>
      <c r="E24" s="84"/>
      <c r="F24" s="79">
        <f t="shared" si="1"/>
        <v>4.6008299999999995E-2</v>
      </c>
    </row>
    <row r="25" spans="2:6" ht="14.5" x14ac:dyDescent="0.35">
      <c r="B25" s="87" t="s">
        <v>106</v>
      </c>
      <c r="C25" s="86" t="s">
        <v>221</v>
      </c>
      <c r="D25" s="85">
        <v>8.5400000000000004E-2</v>
      </c>
      <c r="E25" s="84"/>
      <c r="F25" s="79">
        <f t="shared" si="1"/>
        <v>2.14354E-2</v>
      </c>
    </row>
    <row r="26" spans="2:6" ht="14.5" x14ac:dyDescent="0.35">
      <c r="B26" s="87" t="s">
        <v>105</v>
      </c>
      <c r="C26" s="86" t="s">
        <v>220</v>
      </c>
      <c r="D26" s="85">
        <v>0.127</v>
      </c>
      <c r="E26" s="84"/>
      <c r="F26" s="79">
        <f t="shared" si="1"/>
        <v>3.1877000000000003E-2</v>
      </c>
    </row>
    <row r="27" spans="2:6" ht="15" thickBot="1" x14ac:dyDescent="0.4">
      <c r="B27" s="83"/>
      <c r="C27" s="82" t="s">
        <v>219</v>
      </c>
      <c r="D27" s="81"/>
      <c r="E27" s="80"/>
      <c r="F27" s="98" t="str">
        <f t="shared" si="1"/>
        <v/>
      </c>
    </row>
    <row r="28" spans="2:6" ht="15" thickBot="1" x14ac:dyDescent="0.4">
      <c r="B28" s="92"/>
      <c r="C28" s="91"/>
      <c r="D28" s="90">
        <f>+D20+D21+D22+D23+D24+D25+D26+D27</f>
        <v>0.99990000000000001</v>
      </c>
      <c r="E28" s="89"/>
      <c r="F28" s="88">
        <f>SUM(F20:F27)</f>
        <v>0.2509749</v>
      </c>
    </row>
    <row r="29" spans="2:6" ht="14.5" x14ac:dyDescent="0.35">
      <c r="B29" s="92" t="s">
        <v>142</v>
      </c>
      <c r="C29" s="91"/>
      <c r="D29" s="90">
        <v>0.187</v>
      </c>
      <c r="E29" s="89"/>
      <c r="F29" s="88">
        <f>+D29</f>
        <v>0.187</v>
      </c>
    </row>
    <row r="30" spans="2:6" ht="14.5" x14ac:dyDescent="0.35">
      <c r="B30" s="87" t="s">
        <v>104</v>
      </c>
      <c r="C30" s="97" t="s">
        <v>218</v>
      </c>
      <c r="D30" s="96">
        <f>45.21%*(1-$D$33)</f>
        <v>0.31927301999999996</v>
      </c>
      <c r="E30" s="95"/>
      <c r="F30" s="94">
        <f>IF(C30&lt;&gt;"[Drug attribute]",D30*$F$29,"")</f>
        <v>5.9704054739999991E-2</v>
      </c>
    </row>
    <row r="31" spans="2:6" ht="14.5" x14ac:dyDescent="0.35">
      <c r="B31" s="87" t="s">
        <v>103</v>
      </c>
      <c r="C31" s="86" t="s">
        <v>217</v>
      </c>
      <c r="D31" s="85">
        <f>30.31%*(1-$D$33)</f>
        <v>0.21404921999999996</v>
      </c>
      <c r="E31" s="84"/>
      <c r="F31" s="79">
        <f>IF(C31&lt;&gt;"[Drug attribute]",D31*$F$29,"")</f>
        <v>4.0027204139999994E-2</v>
      </c>
    </row>
    <row r="32" spans="2:6" ht="14.5" x14ac:dyDescent="0.35">
      <c r="B32" s="87" t="s">
        <v>102</v>
      </c>
      <c r="C32" s="86" t="s">
        <v>216</v>
      </c>
      <c r="D32" s="85">
        <f>24.48%*(1-$D$33)</f>
        <v>0.17287775999999999</v>
      </c>
      <c r="E32" s="84"/>
      <c r="F32" s="79">
        <f>IF(C32&lt;&gt;"[Drug attribute]",D32*$F$29,"")</f>
        <v>3.2328141120000001E-2</v>
      </c>
    </row>
    <row r="33" spans="2:6" ht="15" thickBot="1" x14ac:dyDescent="0.4">
      <c r="B33" s="87" t="s">
        <v>101</v>
      </c>
      <c r="C33" s="93" t="s">
        <v>215</v>
      </c>
      <c r="D33" s="85">
        <v>0.29380000000000001</v>
      </c>
      <c r="E33" s="84"/>
      <c r="F33" s="79">
        <f>IF(C33&lt;&gt;"[Drug attribute]",D33*$F$29,"")</f>
        <v>5.4940599999999999E-2</v>
      </c>
    </row>
    <row r="34" spans="2:6" ht="14.5" x14ac:dyDescent="0.35">
      <c r="B34" s="92" t="s">
        <v>199</v>
      </c>
      <c r="C34" s="91"/>
      <c r="D34" s="90"/>
      <c r="E34" s="89"/>
      <c r="F34" s="88"/>
    </row>
    <row r="35" spans="2:6" ht="14.5" x14ac:dyDescent="0.35">
      <c r="B35" s="87" t="s">
        <v>123</v>
      </c>
      <c r="C35" s="86" t="s">
        <v>214</v>
      </c>
      <c r="D35" s="85">
        <v>0.05</v>
      </c>
      <c r="E35" s="84"/>
      <c r="F35" s="79">
        <f>D35</f>
        <v>0.05</v>
      </c>
    </row>
    <row r="36" spans="2:6" ht="14.5" x14ac:dyDescent="0.35">
      <c r="B36" s="87" t="s">
        <v>122</v>
      </c>
      <c r="C36" s="86" t="s">
        <v>213</v>
      </c>
      <c r="D36" s="85">
        <v>0.47499999999999998</v>
      </c>
      <c r="E36" s="84"/>
      <c r="F36" s="79">
        <f>D36</f>
        <v>0.47499999999999998</v>
      </c>
    </row>
    <row r="37" spans="2:6" ht="15" thickBot="1" x14ac:dyDescent="0.4">
      <c r="B37" s="83" t="s">
        <v>121</v>
      </c>
      <c r="C37" s="82" t="s">
        <v>212</v>
      </c>
      <c r="D37" s="81">
        <v>0.47499999999999998</v>
      </c>
      <c r="E37" s="80"/>
      <c r="F37" s="79">
        <f>D37</f>
        <v>0.47499999999999998</v>
      </c>
    </row>
    <row r="38" spans="2:6" ht="15" thickBot="1" x14ac:dyDescent="0.4">
      <c r="B38" s="78"/>
      <c r="C38" s="77"/>
      <c r="D38" s="76"/>
      <c r="E38" s="75"/>
      <c r="F38" s="74"/>
    </row>
    <row r="39" spans="2:6" ht="14.5" x14ac:dyDescent="0.35">
      <c r="B39" s="73"/>
      <c r="C39" s="70"/>
      <c r="D39" s="72"/>
      <c r="E39" s="68"/>
      <c r="F39" s="71"/>
    </row>
    <row r="40" spans="2:6" ht="13" x14ac:dyDescent="0.3">
      <c r="B40" s="69"/>
      <c r="C40" s="68"/>
      <c r="D40" s="68"/>
      <c r="E40" s="68"/>
      <c r="F40" s="68"/>
    </row>
    <row r="41" spans="2:6" ht="13" x14ac:dyDescent="0.3">
      <c r="B41" s="69"/>
      <c r="C41" s="70"/>
    </row>
    <row r="42" spans="2:6" ht="13" x14ac:dyDescent="0.3">
      <c r="B42" s="69"/>
      <c r="C42" s="68"/>
    </row>
    <row r="43" spans="2:6" ht="13" x14ac:dyDescent="0.3">
      <c r="B43" s="69"/>
      <c r="C43" s="68"/>
    </row>
    <row r="44" spans="2:6" ht="13" x14ac:dyDescent="0.3">
      <c r="B44" s="69"/>
      <c r="C44" s="68"/>
    </row>
    <row r="45" spans="2:6" ht="13" x14ac:dyDescent="0.3">
      <c r="B45" s="69"/>
      <c r="C45" s="68"/>
    </row>
    <row r="46" spans="2:6" ht="13" x14ac:dyDescent="0.3">
      <c r="B46" s="69"/>
      <c r="C46" s="68"/>
    </row>
    <row r="47" spans="2:6" ht="13" x14ac:dyDescent="0.3">
      <c r="B47" s="69"/>
      <c r="C47" s="68"/>
    </row>
    <row r="48" spans="2:6" ht="13" x14ac:dyDescent="0.3">
      <c r="B48" s="69"/>
      <c r="C48" s="70"/>
    </row>
    <row r="49" spans="2:3" ht="13" x14ac:dyDescent="0.3">
      <c r="B49" s="69"/>
      <c r="C49" s="68"/>
    </row>
    <row r="50" spans="2:3" ht="13" x14ac:dyDescent="0.3">
      <c r="B50" s="69"/>
      <c r="C50" s="70"/>
    </row>
    <row r="51" spans="2:3" ht="13" x14ac:dyDescent="0.3">
      <c r="B51" s="69"/>
      <c r="C51" s="68"/>
    </row>
    <row r="52" spans="2:3" ht="13" x14ac:dyDescent="0.3">
      <c r="B52" s="69"/>
      <c r="C52" s="68"/>
    </row>
    <row r="53" spans="2:3" ht="13" x14ac:dyDescent="0.3">
      <c r="B53" s="69"/>
      <c r="C53" s="68"/>
    </row>
    <row r="54" spans="2:3" ht="13" x14ac:dyDescent="0.3">
      <c r="B54" s="69"/>
      <c r="C54" s="68"/>
    </row>
    <row r="55" spans="2:3" ht="13" x14ac:dyDescent="0.3">
      <c r="B55" s="69"/>
      <c r="C55" s="68"/>
    </row>
    <row r="56" spans="2:3" ht="13" x14ac:dyDescent="0.3">
      <c r="B56" s="69"/>
      <c r="C56" s="68"/>
    </row>
    <row r="57" spans="2:3" ht="13" x14ac:dyDescent="0.3">
      <c r="B57" s="69"/>
      <c r="C57" s="70"/>
    </row>
    <row r="58" spans="2:3" ht="13" x14ac:dyDescent="0.3">
      <c r="B58" s="69"/>
      <c r="C58" s="68"/>
    </row>
    <row r="59" spans="2:3" ht="13" x14ac:dyDescent="0.3">
      <c r="B59" s="69"/>
      <c r="C59" s="70"/>
    </row>
    <row r="60" spans="2:3" ht="13" x14ac:dyDescent="0.3">
      <c r="B60" s="69"/>
      <c r="C60" s="68"/>
    </row>
    <row r="61" spans="2:3" ht="13" x14ac:dyDescent="0.3">
      <c r="B61" s="69"/>
      <c r="C61" s="68"/>
    </row>
    <row r="62" spans="2:3" ht="13" x14ac:dyDescent="0.3">
      <c r="B62" s="69"/>
      <c r="C62" s="68"/>
    </row>
    <row r="63" spans="2:3" ht="13" x14ac:dyDescent="0.3">
      <c r="B63" s="69"/>
      <c r="C63" s="68"/>
    </row>
    <row r="64" spans="2:3" ht="13" x14ac:dyDescent="0.3">
      <c r="B64" s="69"/>
      <c r="C64" s="68"/>
    </row>
    <row r="65" spans="2:3" ht="13" x14ac:dyDescent="0.3">
      <c r="B65" s="69"/>
      <c r="C65" s="68"/>
    </row>
    <row r="66" spans="2:3" ht="13" x14ac:dyDescent="0.3">
      <c r="B66" s="69"/>
      <c r="C66" s="70"/>
    </row>
    <row r="67" spans="2:3" ht="13" x14ac:dyDescent="0.3">
      <c r="B67" s="69"/>
      <c r="C67" s="68"/>
    </row>
    <row r="68" spans="2:3" ht="13" x14ac:dyDescent="0.3">
      <c r="B68" s="69"/>
      <c r="C68" s="70"/>
    </row>
    <row r="69" spans="2:3" ht="13" x14ac:dyDescent="0.3">
      <c r="B69" s="69"/>
      <c r="C69" s="68"/>
    </row>
    <row r="70" spans="2:3" ht="13" x14ac:dyDescent="0.3">
      <c r="B70" s="69"/>
      <c r="C70" s="68"/>
    </row>
    <row r="71" spans="2:3" ht="13" x14ac:dyDescent="0.3">
      <c r="B71" s="69"/>
      <c r="C71" s="68"/>
    </row>
    <row r="72" spans="2:3" ht="13" x14ac:dyDescent="0.3">
      <c r="B72" s="69"/>
      <c r="C72" s="68"/>
    </row>
    <row r="73" spans="2:3" ht="13" x14ac:dyDescent="0.3">
      <c r="B73" s="69"/>
      <c r="C73" s="68"/>
    </row>
    <row r="74" spans="2:3" ht="13" x14ac:dyDescent="0.3">
      <c r="B74" s="69"/>
      <c r="C74" s="68"/>
    </row>
  </sheetData>
  <mergeCells count="3">
    <mergeCell ref="D2:I2"/>
    <mergeCell ref="D4:I4"/>
    <mergeCell ref="B6:F6"/>
  </mergeCells>
  <conditionalFormatting sqref="D10:D17 D20:D27 D30:D33 D35:D37">
    <cfRule type="expression" dxfId="634" priority="1" stopIfTrue="1">
      <formula>C10="[Bhead]"</formula>
    </cfRule>
  </conditionalFormatting>
  <pageMargins left="0.75" right="0.75" top="1" bottom="1" header="0.5" footer="0.5"/>
  <pageSetup orientation="portrait" horizontalDpi="4294967293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4CADF-D35E-4599-9D43-325E2D81834E}">
  <sheetPr codeName="Sheet16">
    <outlinePr summaryBelow="0" summaryRight="0"/>
  </sheetPr>
  <dimension ref="A1:H281"/>
  <sheetViews>
    <sheetView workbookViewId="0">
      <selection activeCell="B35" sqref="B35"/>
    </sheetView>
  </sheetViews>
  <sheetFormatPr defaultColWidth="8.7265625" defaultRowHeight="12" outlineLevelRow="1" x14ac:dyDescent="0.3"/>
  <cols>
    <col min="1" max="1" width="3.81640625" style="113" customWidth="1"/>
    <col min="2" max="2" width="91.54296875" style="113" customWidth="1"/>
    <col min="3" max="3" width="4.54296875" style="113" customWidth="1"/>
    <col min="4" max="8" width="23" style="113" customWidth="1"/>
    <col min="9" max="16384" width="8.7265625" style="113"/>
  </cols>
  <sheetData>
    <row r="1" spans="1:8" ht="21" x14ac:dyDescent="0.5">
      <c r="D1" s="131">
        <v>1</v>
      </c>
      <c r="E1" s="131">
        <v>2</v>
      </c>
      <c r="F1" s="132" t="s">
        <v>100</v>
      </c>
      <c r="G1" s="131">
        <v>4</v>
      </c>
      <c r="H1" s="131">
        <v>5</v>
      </c>
    </row>
    <row r="2" spans="1:8" x14ac:dyDescent="0.3">
      <c r="D2" s="168" t="s">
        <v>255</v>
      </c>
      <c r="E2" s="168" t="s">
        <v>254</v>
      </c>
      <c r="F2" s="168" t="s">
        <v>253</v>
      </c>
      <c r="G2" s="168" t="s">
        <v>252</v>
      </c>
      <c r="H2" s="168" t="s">
        <v>251</v>
      </c>
    </row>
    <row r="3" spans="1:8" x14ac:dyDescent="0.3">
      <c r="D3" s="169"/>
      <c r="E3" s="169"/>
      <c r="F3" s="169"/>
      <c r="G3" s="169"/>
      <c r="H3" s="169"/>
    </row>
    <row r="4" spans="1:8" x14ac:dyDescent="0.3">
      <c r="D4" s="169"/>
      <c r="E4" s="169"/>
      <c r="F4" s="169"/>
      <c r="G4" s="169"/>
      <c r="H4" s="169"/>
    </row>
    <row r="5" spans="1:8" x14ac:dyDescent="0.3">
      <c r="D5" s="169"/>
      <c r="E5" s="169"/>
      <c r="F5" s="169"/>
      <c r="G5" s="169"/>
      <c r="H5" s="169"/>
    </row>
    <row r="6" spans="1:8" x14ac:dyDescent="0.3">
      <c r="D6" s="169"/>
      <c r="E6" s="169"/>
      <c r="F6" s="169"/>
      <c r="G6" s="169"/>
      <c r="H6" s="169"/>
    </row>
    <row r="7" spans="1:8" ht="12.5" thickBot="1" x14ac:dyDescent="0.35">
      <c r="D7" s="170"/>
      <c r="E7" s="170"/>
      <c r="F7" s="170"/>
      <c r="G7" s="170"/>
      <c r="H7" s="170"/>
    </row>
    <row r="8" spans="1:8" ht="15.65" customHeight="1" thickBot="1" x14ac:dyDescent="0.4">
      <c r="A8" s="127">
        <v>1</v>
      </c>
      <c r="B8" s="126" t="s">
        <v>250</v>
      </c>
      <c r="C8" s="125">
        <f>SUM(D8:H8)</f>
        <v>34</v>
      </c>
      <c r="D8" s="119">
        <f>COUNTA(D9:D41)</f>
        <v>0</v>
      </c>
      <c r="E8" s="119">
        <f>COUNTA(E9:E41)</f>
        <v>5</v>
      </c>
      <c r="F8" s="119">
        <f>COUNTA(F9:F41)</f>
        <v>12</v>
      </c>
      <c r="G8" s="119">
        <f>COUNTA(G9:G41)</f>
        <v>14</v>
      </c>
      <c r="H8" s="119">
        <f>COUNTA(H9:H41)</f>
        <v>3</v>
      </c>
    </row>
    <row r="9" spans="1:8" ht="15.65" customHeight="1" outlineLevel="1" thickTop="1" x14ac:dyDescent="0.35">
      <c r="D9" s="124"/>
      <c r="E9" s="123"/>
      <c r="F9" s="123"/>
      <c r="G9" s="123"/>
      <c r="H9" s="122"/>
    </row>
    <row r="10" spans="1:8" ht="15.65" customHeight="1" outlineLevel="1" x14ac:dyDescent="0.35">
      <c r="D10" s="120"/>
      <c r="E10" s="119" t="s">
        <v>91</v>
      </c>
      <c r="F10" s="119" t="s">
        <v>70</v>
      </c>
      <c r="G10" s="119" t="s">
        <v>28</v>
      </c>
      <c r="H10" s="118"/>
    </row>
    <row r="11" spans="1:8" ht="15.5" outlineLevel="1" x14ac:dyDescent="0.35">
      <c r="D11" s="120"/>
      <c r="E11" s="119" t="s">
        <v>49</v>
      </c>
      <c r="F11" s="119" t="s">
        <v>88</v>
      </c>
      <c r="G11" s="119" t="s">
        <v>80</v>
      </c>
      <c r="H11" s="118"/>
    </row>
    <row r="12" spans="1:8" ht="15.5" outlineLevel="1" x14ac:dyDescent="0.35">
      <c r="D12" s="120"/>
      <c r="E12" s="119" t="s">
        <v>197</v>
      </c>
      <c r="F12" s="119" t="s">
        <v>83</v>
      </c>
      <c r="G12" s="119" t="s">
        <v>67</v>
      </c>
      <c r="H12" s="118"/>
    </row>
    <row r="13" spans="1:8" ht="15.5" outlineLevel="1" x14ac:dyDescent="0.35">
      <c r="D13" s="120"/>
      <c r="F13" s="119" t="s">
        <v>94</v>
      </c>
      <c r="G13" s="119" t="s">
        <v>24</v>
      </c>
      <c r="H13" s="118"/>
    </row>
    <row r="14" spans="1:8" ht="15.5" outlineLevel="1" x14ac:dyDescent="0.35">
      <c r="D14" s="120"/>
      <c r="E14" s="119"/>
      <c r="F14" s="119" t="s">
        <v>53</v>
      </c>
      <c r="G14" s="119" t="s">
        <v>249</v>
      </c>
      <c r="H14" s="118"/>
    </row>
    <row r="15" spans="1:8" ht="15.5" outlineLevel="1" x14ac:dyDescent="0.35">
      <c r="D15" s="120"/>
      <c r="E15" s="119"/>
      <c r="F15" s="119" t="s">
        <v>96</v>
      </c>
      <c r="G15" s="119" t="s">
        <v>57</v>
      </c>
      <c r="H15" s="118"/>
    </row>
    <row r="16" spans="1:8" ht="15.5" outlineLevel="1" x14ac:dyDescent="0.35">
      <c r="D16" s="120"/>
      <c r="E16" s="119"/>
      <c r="F16" s="119" t="s">
        <v>89</v>
      </c>
      <c r="G16" s="119" t="s">
        <v>35</v>
      </c>
      <c r="H16" s="118"/>
    </row>
    <row r="17" spans="4:8" ht="15.5" outlineLevel="1" x14ac:dyDescent="0.35">
      <c r="D17" s="120"/>
      <c r="E17" s="119"/>
      <c r="F17" s="119"/>
      <c r="G17" s="119" t="s">
        <v>31</v>
      </c>
      <c r="H17" s="118"/>
    </row>
    <row r="18" spans="4:8" ht="15.5" outlineLevel="1" x14ac:dyDescent="0.35">
      <c r="D18" s="120"/>
      <c r="E18" s="119"/>
      <c r="F18" s="119"/>
      <c r="G18" s="119" t="s">
        <v>66</v>
      </c>
      <c r="H18" s="118"/>
    </row>
    <row r="19" spans="4:8" ht="15.5" outlineLevel="1" x14ac:dyDescent="0.35">
      <c r="D19" s="120"/>
      <c r="E19" s="119"/>
      <c r="F19" s="119" t="s">
        <v>21</v>
      </c>
      <c r="G19" s="119"/>
      <c r="H19" s="118"/>
    </row>
    <row r="20" spans="4:8" ht="15.5" outlineLevel="1" x14ac:dyDescent="0.35">
      <c r="D20" s="120"/>
      <c r="E20" s="119"/>
      <c r="F20" s="119"/>
      <c r="G20" s="119" t="s">
        <v>76</v>
      </c>
      <c r="H20" s="118"/>
    </row>
    <row r="21" spans="4:8" ht="15.5" outlineLevel="1" x14ac:dyDescent="0.35">
      <c r="D21" s="120"/>
      <c r="E21" s="119" t="s">
        <v>98</v>
      </c>
      <c r="F21" s="119"/>
      <c r="G21" s="119"/>
      <c r="H21" s="118" t="s">
        <v>72</v>
      </c>
    </row>
    <row r="22" spans="4:8" ht="15.5" outlineLevel="1" x14ac:dyDescent="0.35">
      <c r="D22" s="120"/>
      <c r="E22" s="119" t="s">
        <v>56</v>
      </c>
      <c r="F22" s="119" t="s">
        <v>196</v>
      </c>
      <c r="G22" s="119" t="s">
        <v>74</v>
      </c>
      <c r="H22" s="118"/>
    </row>
    <row r="23" spans="4:8" ht="15.5" outlineLevel="1" x14ac:dyDescent="0.35">
      <c r="D23" s="120"/>
      <c r="E23" s="119"/>
      <c r="F23" s="119" t="s">
        <v>99</v>
      </c>
      <c r="G23" s="121" t="s">
        <v>243</v>
      </c>
      <c r="H23" s="118"/>
    </row>
    <row r="24" spans="4:8" ht="15.5" outlineLevel="1" x14ac:dyDescent="0.35">
      <c r="D24" s="120"/>
      <c r="E24" s="119"/>
      <c r="F24" s="119" t="s">
        <v>84</v>
      </c>
      <c r="G24" s="118"/>
      <c r="H24" s="118" t="s">
        <v>85</v>
      </c>
    </row>
    <row r="25" spans="4:8" ht="15.5" outlineLevel="1" x14ac:dyDescent="0.35">
      <c r="D25" s="120"/>
      <c r="E25" s="119"/>
      <c r="F25" s="119" t="s">
        <v>78</v>
      </c>
      <c r="G25" s="118"/>
      <c r="H25" s="118" t="s">
        <v>248</v>
      </c>
    </row>
    <row r="26" spans="4:8" ht="15.5" outlineLevel="1" x14ac:dyDescent="0.35">
      <c r="D26" s="120"/>
      <c r="E26" s="119"/>
      <c r="F26" s="119"/>
      <c r="G26" s="119" t="s">
        <v>39</v>
      </c>
      <c r="H26" s="118"/>
    </row>
    <row r="27" spans="4:8" ht="15.5" outlineLevel="1" x14ac:dyDescent="0.35">
      <c r="D27" s="120"/>
      <c r="E27" s="121"/>
      <c r="F27" s="119"/>
      <c r="G27" s="119" t="s">
        <v>17</v>
      </c>
      <c r="H27" s="118"/>
    </row>
    <row r="28" spans="4:8" ht="15.5" outlineLevel="1" x14ac:dyDescent="0.35">
      <c r="D28" s="120"/>
      <c r="E28" s="119"/>
      <c r="F28" s="119"/>
      <c r="G28" s="119"/>
      <c r="H28" s="118"/>
    </row>
    <row r="29" spans="4:8" ht="15.5" outlineLevel="1" x14ac:dyDescent="0.35">
      <c r="D29" s="120"/>
      <c r="E29" s="119"/>
      <c r="F29" s="119"/>
      <c r="G29" s="119"/>
      <c r="H29" s="118"/>
    </row>
    <row r="30" spans="4:8" ht="15.5" outlineLevel="1" x14ac:dyDescent="0.35">
      <c r="D30" s="120"/>
      <c r="E30" s="119"/>
      <c r="F30" s="119"/>
      <c r="G30" s="119"/>
      <c r="H30" s="118"/>
    </row>
    <row r="31" spans="4:8" ht="15.5" outlineLevel="1" x14ac:dyDescent="0.35">
      <c r="D31" s="120"/>
      <c r="E31" s="119"/>
      <c r="F31" s="119"/>
      <c r="G31" s="119"/>
      <c r="H31" s="118"/>
    </row>
    <row r="32" spans="4:8" ht="15.5" outlineLevel="1" x14ac:dyDescent="0.35">
      <c r="D32" s="120"/>
      <c r="E32" s="119"/>
      <c r="F32" s="119"/>
      <c r="G32" s="119"/>
      <c r="H32" s="118"/>
    </row>
    <row r="33" spans="1:8" ht="15.5" outlineLevel="1" x14ac:dyDescent="0.35">
      <c r="D33" s="120"/>
      <c r="E33" s="119"/>
      <c r="F33" s="119"/>
      <c r="G33" s="119"/>
      <c r="H33" s="118"/>
    </row>
    <row r="34" spans="1:8" ht="15.5" outlineLevel="1" x14ac:dyDescent="0.35">
      <c r="D34" s="120"/>
      <c r="E34" s="119"/>
      <c r="F34" s="119"/>
      <c r="G34" s="119"/>
      <c r="H34" s="118"/>
    </row>
    <row r="35" spans="1:8" ht="15.5" outlineLevel="1" x14ac:dyDescent="0.35">
      <c r="D35" s="120"/>
      <c r="E35" s="119"/>
      <c r="F35" s="119"/>
      <c r="G35" s="119"/>
      <c r="H35" s="118"/>
    </row>
    <row r="36" spans="1:8" ht="15.5" outlineLevel="1" x14ac:dyDescent="0.35">
      <c r="D36" s="120"/>
      <c r="E36" s="119"/>
      <c r="F36" s="119"/>
      <c r="G36" s="119"/>
      <c r="H36" s="118"/>
    </row>
    <row r="37" spans="1:8" ht="15.5" outlineLevel="1" x14ac:dyDescent="0.35">
      <c r="D37" s="120"/>
      <c r="E37" s="119"/>
      <c r="F37" s="119"/>
      <c r="G37" s="119"/>
      <c r="H37" s="118"/>
    </row>
    <row r="38" spans="1:8" ht="15.5" outlineLevel="1" x14ac:dyDescent="0.35">
      <c r="D38" s="120"/>
      <c r="E38" s="119"/>
      <c r="F38" s="119"/>
      <c r="G38" s="119"/>
      <c r="H38" s="118"/>
    </row>
    <row r="39" spans="1:8" ht="15.5" outlineLevel="1" x14ac:dyDescent="0.35">
      <c r="D39" s="120"/>
      <c r="E39" s="119"/>
      <c r="F39" s="119"/>
      <c r="G39" s="119"/>
      <c r="H39" s="118"/>
    </row>
    <row r="40" spans="1:8" ht="15.5" outlineLevel="1" x14ac:dyDescent="0.35">
      <c r="D40" s="120"/>
      <c r="E40" s="119"/>
      <c r="F40" s="119"/>
      <c r="G40" s="119"/>
      <c r="H40" s="118"/>
    </row>
    <row r="41" spans="1:8" ht="16" outlineLevel="1" thickBot="1" x14ac:dyDescent="0.4">
      <c r="D41" s="130"/>
      <c r="E41" s="129"/>
      <c r="F41" s="129"/>
      <c r="G41" s="129"/>
      <c r="H41" s="128"/>
    </row>
    <row r="42" spans="1:8" ht="15.65" customHeight="1" thickTop="1" thickBot="1" x14ac:dyDescent="0.4">
      <c r="A42" s="127">
        <f>A8+1</f>
        <v>2</v>
      </c>
      <c r="B42" s="126" t="s">
        <v>247</v>
      </c>
      <c r="C42" s="125">
        <f>SUM(D42:H42)</f>
        <v>35</v>
      </c>
      <c r="D42" s="119">
        <f>COUNTA(D43:D75)</f>
        <v>1</v>
      </c>
      <c r="E42" s="119">
        <f>COUNTA(E43:E75)</f>
        <v>3</v>
      </c>
      <c r="F42" s="119">
        <f>COUNTA(F43:F75)</f>
        <v>18</v>
      </c>
      <c r="G42" s="119">
        <f>COUNTA(G43:G75)</f>
        <v>8</v>
      </c>
      <c r="H42" s="119">
        <f>COUNTA(H43:H75)</f>
        <v>5</v>
      </c>
    </row>
    <row r="43" spans="1:8" ht="15.65" customHeight="1" outlineLevel="1" thickTop="1" x14ac:dyDescent="0.35">
      <c r="D43" s="124"/>
      <c r="E43" s="123"/>
      <c r="F43" s="123"/>
      <c r="G43" s="123"/>
      <c r="H43" s="122"/>
    </row>
    <row r="44" spans="1:8" ht="15.65" customHeight="1" outlineLevel="1" x14ac:dyDescent="0.35">
      <c r="D44" s="120"/>
      <c r="E44" s="119" t="s">
        <v>99</v>
      </c>
      <c r="F44" s="119" t="s">
        <v>70</v>
      </c>
      <c r="G44" s="119" t="s">
        <v>28</v>
      </c>
      <c r="H44" s="118"/>
    </row>
    <row r="45" spans="1:8" ht="15.5" outlineLevel="1" x14ac:dyDescent="0.35">
      <c r="D45" s="120"/>
      <c r="E45" s="119" t="s">
        <v>91</v>
      </c>
      <c r="F45" s="119" t="s">
        <v>83</v>
      </c>
      <c r="G45" s="119"/>
      <c r="H45" s="118"/>
    </row>
    <row r="46" spans="1:8" ht="15.5" outlineLevel="1" x14ac:dyDescent="0.35">
      <c r="D46" s="120"/>
      <c r="E46" s="119" t="s">
        <v>98</v>
      </c>
      <c r="F46" s="119" t="s">
        <v>94</v>
      </c>
      <c r="G46" s="119"/>
      <c r="H46" s="118"/>
    </row>
    <row r="47" spans="1:8" ht="15.5" outlineLevel="1" x14ac:dyDescent="0.35">
      <c r="D47" s="120" t="s">
        <v>49</v>
      </c>
      <c r="E47" s="119"/>
      <c r="F47" s="119" t="s">
        <v>53</v>
      </c>
      <c r="G47" s="119"/>
      <c r="H47" s="118"/>
    </row>
    <row r="48" spans="1:8" ht="15.5" outlineLevel="1" x14ac:dyDescent="0.35">
      <c r="D48" s="120"/>
      <c r="E48" s="119"/>
      <c r="F48" s="119" t="s">
        <v>96</v>
      </c>
      <c r="G48" s="119"/>
      <c r="H48" s="118"/>
    </row>
    <row r="49" spans="4:8" ht="15.5" outlineLevel="1" x14ac:dyDescent="0.35">
      <c r="D49" s="120"/>
      <c r="E49" s="119"/>
      <c r="F49" s="119" t="s">
        <v>21</v>
      </c>
      <c r="G49" s="119"/>
      <c r="H49" s="118"/>
    </row>
    <row r="50" spans="4:8" ht="15.5" outlineLevel="1" x14ac:dyDescent="0.35">
      <c r="D50" s="120"/>
      <c r="E50" s="119"/>
      <c r="F50" s="119" t="s">
        <v>17</v>
      </c>
      <c r="G50" s="119" t="s">
        <v>72</v>
      </c>
      <c r="H50" s="118"/>
    </row>
    <row r="51" spans="4:8" ht="15.5" outlineLevel="1" x14ac:dyDescent="0.35">
      <c r="D51" s="120"/>
      <c r="E51" s="119"/>
      <c r="F51" s="119" t="s">
        <v>56</v>
      </c>
      <c r="G51" s="119"/>
      <c r="H51" s="118"/>
    </row>
    <row r="52" spans="4:8" ht="15.5" outlineLevel="1" x14ac:dyDescent="0.35">
      <c r="D52" s="120"/>
      <c r="E52" s="119"/>
      <c r="F52" s="119" t="s">
        <v>84</v>
      </c>
      <c r="G52" s="119"/>
      <c r="H52" s="118" t="s">
        <v>88</v>
      </c>
    </row>
    <row r="53" spans="4:8" ht="15.5" outlineLevel="1" x14ac:dyDescent="0.35">
      <c r="D53" s="120"/>
      <c r="E53" s="119"/>
      <c r="F53" s="119" t="s">
        <v>78</v>
      </c>
      <c r="G53" s="119"/>
      <c r="H53" s="118" t="s">
        <v>85</v>
      </c>
    </row>
    <row r="54" spans="4:8" ht="15.5" outlineLevel="1" x14ac:dyDescent="0.35">
      <c r="D54" s="120"/>
      <c r="E54" s="119"/>
      <c r="F54" s="119" t="s">
        <v>76</v>
      </c>
      <c r="G54" s="119"/>
      <c r="H54" s="118" t="s">
        <v>69</v>
      </c>
    </row>
    <row r="55" spans="4:8" ht="15.5" outlineLevel="1" x14ac:dyDescent="0.35">
      <c r="D55" s="120"/>
      <c r="E55" s="119"/>
      <c r="F55" s="119" t="s">
        <v>197</v>
      </c>
      <c r="G55" s="119" t="s">
        <v>67</v>
      </c>
      <c r="H55" s="118"/>
    </row>
    <row r="56" spans="4:8" ht="15.5" outlineLevel="1" x14ac:dyDescent="0.35">
      <c r="D56" s="120"/>
      <c r="E56" s="119"/>
      <c r="F56" s="121" t="s">
        <v>35</v>
      </c>
      <c r="G56" s="119" t="s">
        <v>24</v>
      </c>
      <c r="H56" s="118"/>
    </row>
    <row r="57" spans="4:8" ht="15.5" outlineLevel="1" x14ac:dyDescent="0.35">
      <c r="D57" s="120"/>
      <c r="E57" s="119"/>
      <c r="F57" s="119" t="s">
        <v>31</v>
      </c>
      <c r="G57" s="121" t="s">
        <v>68</v>
      </c>
      <c r="H57" s="118"/>
    </row>
    <row r="58" spans="4:8" ht="15.5" outlineLevel="1" x14ac:dyDescent="0.35">
      <c r="D58" s="120"/>
      <c r="E58" s="119"/>
      <c r="F58" s="119" t="s">
        <v>74</v>
      </c>
      <c r="G58" s="121"/>
      <c r="H58" s="118" t="s">
        <v>57</v>
      </c>
    </row>
    <row r="59" spans="4:8" ht="15.5" outlineLevel="1" x14ac:dyDescent="0.35">
      <c r="D59" s="120"/>
      <c r="E59" s="119"/>
      <c r="F59" s="119" t="s">
        <v>89</v>
      </c>
      <c r="G59" s="119" t="s">
        <v>66</v>
      </c>
      <c r="H59" s="118"/>
    </row>
    <row r="60" spans="4:8" ht="15.5" outlineLevel="1" x14ac:dyDescent="0.35">
      <c r="D60" s="120"/>
      <c r="E60" s="119"/>
      <c r="F60" s="119" t="s">
        <v>80</v>
      </c>
      <c r="G60" s="119" t="s">
        <v>65</v>
      </c>
      <c r="H60" s="118"/>
    </row>
    <row r="61" spans="4:8" ht="15.5" outlineLevel="1" x14ac:dyDescent="0.35">
      <c r="D61" s="120"/>
      <c r="E61" s="121"/>
      <c r="F61" s="119" t="s">
        <v>196</v>
      </c>
      <c r="G61" s="119"/>
      <c r="H61" s="118" t="s">
        <v>243</v>
      </c>
    </row>
    <row r="62" spans="4:8" ht="15.5" outlineLevel="1" x14ac:dyDescent="0.35">
      <c r="D62" s="120"/>
      <c r="E62" s="119"/>
      <c r="F62" s="119"/>
      <c r="G62" s="119" t="s">
        <v>39</v>
      </c>
      <c r="H62" s="118"/>
    </row>
    <row r="63" spans="4:8" ht="15.5" outlineLevel="1" x14ac:dyDescent="0.35">
      <c r="D63" s="120"/>
      <c r="E63" s="119"/>
      <c r="F63" s="119"/>
      <c r="G63" s="119"/>
      <c r="H63" s="118"/>
    </row>
    <row r="64" spans="4:8" ht="15.5" outlineLevel="1" x14ac:dyDescent="0.35">
      <c r="D64" s="120"/>
      <c r="E64" s="119"/>
      <c r="F64" s="119"/>
      <c r="G64" s="119"/>
      <c r="H64" s="118"/>
    </row>
    <row r="65" spans="1:8" ht="15.5" outlineLevel="1" x14ac:dyDescent="0.35">
      <c r="D65" s="120"/>
      <c r="E65" s="119"/>
      <c r="F65" s="119"/>
      <c r="G65" s="119"/>
      <c r="H65" s="118"/>
    </row>
    <row r="66" spans="1:8" ht="15.5" outlineLevel="1" x14ac:dyDescent="0.35">
      <c r="D66" s="120"/>
      <c r="E66" s="119"/>
      <c r="F66" s="119"/>
      <c r="G66" s="119"/>
      <c r="H66" s="118"/>
    </row>
    <row r="67" spans="1:8" ht="15.5" outlineLevel="1" x14ac:dyDescent="0.35">
      <c r="D67" s="120"/>
      <c r="E67" s="119"/>
      <c r="F67" s="119"/>
      <c r="G67" s="119"/>
      <c r="H67" s="118"/>
    </row>
    <row r="68" spans="1:8" ht="15.5" outlineLevel="1" x14ac:dyDescent="0.35">
      <c r="D68" s="120"/>
      <c r="E68" s="119"/>
      <c r="F68" s="119"/>
      <c r="G68" s="119"/>
      <c r="H68" s="118"/>
    </row>
    <row r="69" spans="1:8" ht="15.5" outlineLevel="1" x14ac:dyDescent="0.35">
      <c r="D69" s="120"/>
      <c r="E69" s="119"/>
      <c r="F69" s="119"/>
      <c r="G69" s="119"/>
      <c r="H69" s="118"/>
    </row>
    <row r="70" spans="1:8" ht="15.5" outlineLevel="1" x14ac:dyDescent="0.35">
      <c r="D70" s="120"/>
      <c r="E70" s="119"/>
      <c r="F70" s="119"/>
      <c r="G70" s="119"/>
      <c r="H70" s="118"/>
    </row>
    <row r="71" spans="1:8" ht="15.5" outlineLevel="1" x14ac:dyDescent="0.35">
      <c r="D71" s="120"/>
      <c r="E71" s="119"/>
      <c r="F71" s="119"/>
      <c r="G71" s="119"/>
      <c r="H71" s="118"/>
    </row>
    <row r="72" spans="1:8" ht="15.5" outlineLevel="1" x14ac:dyDescent="0.35">
      <c r="D72" s="120"/>
      <c r="E72" s="119"/>
      <c r="F72" s="119"/>
      <c r="G72" s="119"/>
      <c r="H72" s="118"/>
    </row>
    <row r="73" spans="1:8" ht="15.5" outlineLevel="1" x14ac:dyDescent="0.35">
      <c r="D73" s="120"/>
      <c r="E73" s="119"/>
      <c r="F73" s="119"/>
      <c r="G73" s="119"/>
      <c r="H73" s="118"/>
    </row>
    <row r="74" spans="1:8" ht="15.5" outlineLevel="1" x14ac:dyDescent="0.35">
      <c r="D74" s="120"/>
      <c r="E74" s="119"/>
      <c r="F74" s="119"/>
      <c r="G74" s="119"/>
      <c r="H74" s="118"/>
    </row>
    <row r="75" spans="1:8" ht="16" outlineLevel="1" thickBot="1" x14ac:dyDescent="0.4">
      <c r="D75" s="130"/>
      <c r="E75" s="129"/>
      <c r="F75" s="129"/>
      <c r="G75" s="129"/>
      <c r="H75" s="128"/>
    </row>
    <row r="76" spans="1:8" ht="15.65" customHeight="1" thickTop="1" thickBot="1" x14ac:dyDescent="0.4">
      <c r="A76" s="127">
        <f>A42+1</f>
        <v>3</v>
      </c>
      <c r="B76" s="126" t="s">
        <v>246</v>
      </c>
      <c r="C76" s="125">
        <f>SUM(D76:H76)</f>
        <v>35</v>
      </c>
      <c r="D76" s="119">
        <f>COUNTA(D77:D109)</f>
        <v>1</v>
      </c>
      <c r="E76" s="119">
        <f>COUNTA(E77:E109)</f>
        <v>3</v>
      </c>
      <c r="F76" s="119">
        <f>COUNTA(F77:F109)</f>
        <v>13</v>
      </c>
      <c r="G76" s="119">
        <f>COUNTA(G77:G109)</f>
        <v>13</v>
      </c>
      <c r="H76" s="119">
        <f>COUNTA(H77:H109)</f>
        <v>5</v>
      </c>
    </row>
    <row r="77" spans="1:8" ht="15.65" customHeight="1" outlineLevel="1" thickTop="1" x14ac:dyDescent="0.35">
      <c r="D77" s="124"/>
      <c r="E77" s="123" t="s">
        <v>91</v>
      </c>
      <c r="F77" s="123" t="s">
        <v>70</v>
      </c>
      <c r="G77" s="123" t="s">
        <v>28</v>
      </c>
      <c r="H77" s="122"/>
    </row>
    <row r="78" spans="1:8" ht="15.65" customHeight="1" outlineLevel="1" x14ac:dyDescent="0.35">
      <c r="D78" s="120"/>
      <c r="E78" s="119" t="s">
        <v>98</v>
      </c>
      <c r="F78" s="119" t="s">
        <v>83</v>
      </c>
      <c r="G78" s="119" t="s">
        <v>80</v>
      </c>
      <c r="H78" s="118"/>
    </row>
    <row r="79" spans="1:8" ht="15.5" outlineLevel="1" x14ac:dyDescent="0.35">
      <c r="D79" s="120" t="s">
        <v>49</v>
      </c>
      <c r="E79" s="119"/>
      <c r="F79" s="119" t="s">
        <v>94</v>
      </c>
      <c r="G79" s="119" t="s">
        <v>72</v>
      </c>
      <c r="H79" s="118"/>
    </row>
    <row r="80" spans="1:8" ht="15.5" outlineLevel="1" x14ac:dyDescent="0.35">
      <c r="D80" s="120"/>
      <c r="E80" s="119"/>
      <c r="F80" s="119" t="s">
        <v>53</v>
      </c>
      <c r="G80" s="119" t="s">
        <v>35</v>
      </c>
      <c r="H80" s="118"/>
    </row>
    <row r="81" spans="4:8" ht="15.5" outlineLevel="1" x14ac:dyDescent="0.35">
      <c r="D81" s="120"/>
      <c r="E81" s="119"/>
      <c r="F81" s="119" t="s">
        <v>96</v>
      </c>
      <c r="G81" s="119" t="s">
        <v>76</v>
      </c>
      <c r="H81" s="118"/>
    </row>
    <row r="82" spans="4:8" ht="15.5" outlineLevel="1" x14ac:dyDescent="0.35">
      <c r="D82" s="120"/>
      <c r="F82" s="119" t="s">
        <v>89</v>
      </c>
      <c r="G82" s="119" t="s">
        <v>31</v>
      </c>
      <c r="H82" s="118"/>
    </row>
    <row r="83" spans="4:8" ht="15.5" outlineLevel="1" x14ac:dyDescent="0.35">
      <c r="D83" s="120"/>
      <c r="E83" s="119"/>
      <c r="F83" s="119" t="s">
        <v>21</v>
      </c>
      <c r="G83" s="119" t="s">
        <v>74</v>
      </c>
      <c r="H83" s="118"/>
    </row>
    <row r="84" spans="4:8" ht="15.5" outlineLevel="1" x14ac:dyDescent="0.35">
      <c r="D84" s="120"/>
      <c r="E84" s="119"/>
      <c r="F84" s="119" t="s">
        <v>17</v>
      </c>
      <c r="G84" s="119"/>
      <c r="H84" s="118" t="s">
        <v>88</v>
      </c>
    </row>
    <row r="85" spans="4:8" ht="15.5" outlineLevel="1" x14ac:dyDescent="0.35">
      <c r="D85" s="120"/>
      <c r="E85" s="119"/>
      <c r="F85" s="119" t="s">
        <v>56</v>
      </c>
      <c r="G85" s="119"/>
      <c r="H85" s="118" t="s">
        <v>85</v>
      </c>
    </row>
    <row r="86" spans="4:8" ht="15.5" outlineLevel="1" x14ac:dyDescent="0.35">
      <c r="D86" s="120"/>
      <c r="E86" s="119" t="s">
        <v>99</v>
      </c>
      <c r="F86" s="119"/>
      <c r="G86" s="119"/>
      <c r="H86" s="118" t="s">
        <v>69</v>
      </c>
    </row>
    <row r="87" spans="4:8" ht="15.5" outlineLevel="1" x14ac:dyDescent="0.35">
      <c r="D87" s="120"/>
      <c r="E87" s="119"/>
      <c r="F87" s="119" t="s">
        <v>84</v>
      </c>
      <c r="G87" s="119" t="s">
        <v>67</v>
      </c>
      <c r="H87" s="118"/>
    </row>
    <row r="88" spans="4:8" ht="15.5" outlineLevel="1" x14ac:dyDescent="0.35">
      <c r="D88" s="120"/>
      <c r="E88" s="119"/>
      <c r="F88" s="119" t="s">
        <v>245</v>
      </c>
      <c r="G88" s="119" t="s">
        <v>24</v>
      </c>
      <c r="H88" s="118"/>
    </row>
    <row r="89" spans="4:8" ht="15.5" outlineLevel="1" x14ac:dyDescent="0.35">
      <c r="D89" s="120"/>
      <c r="E89" s="119"/>
      <c r="F89" s="119"/>
      <c r="G89" s="119" t="s">
        <v>68</v>
      </c>
      <c r="H89" s="118"/>
    </row>
    <row r="90" spans="4:8" ht="15.5" outlineLevel="1" x14ac:dyDescent="0.35">
      <c r="D90" s="120"/>
      <c r="E90" s="119"/>
      <c r="F90" s="121" t="s">
        <v>196</v>
      </c>
      <c r="G90" s="119" t="s">
        <v>39</v>
      </c>
      <c r="H90" s="118" t="s">
        <v>57</v>
      </c>
    </row>
    <row r="91" spans="4:8" ht="15.5" outlineLevel="1" x14ac:dyDescent="0.35">
      <c r="D91" s="120"/>
      <c r="E91" s="119"/>
      <c r="F91" s="119" t="s">
        <v>197</v>
      </c>
      <c r="G91" s="121" t="s">
        <v>66</v>
      </c>
      <c r="H91" s="118"/>
    </row>
    <row r="92" spans="4:8" ht="15.5" outlineLevel="1" x14ac:dyDescent="0.35">
      <c r="D92" s="120"/>
      <c r="E92" s="119"/>
      <c r="F92" s="119"/>
      <c r="G92" s="121" t="s">
        <v>65</v>
      </c>
      <c r="H92" s="118"/>
    </row>
    <row r="93" spans="4:8" ht="15.5" outlineLevel="1" x14ac:dyDescent="0.35">
      <c r="D93" s="120"/>
      <c r="E93" s="119"/>
      <c r="F93" s="119"/>
      <c r="G93" s="119"/>
      <c r="H93" s="118" t="s">
        <v>243</v>
      </c>
    </row>
    <row r="94" spans="4:8" ht="15.5" outlineLevel="1" x14ac:dyDescent="0.35">
      <c r="D94" s="120"/>
      <c r="E94" s="119"/>
      <c r="F94" s="119"/>
      <c r="G94" s="119"/>
      <c r="H94" s="118"/>
    </row>
    <row r="95" spans="4:8" ht="15.5" outlineLevel="1" x14ac:dyDescent="0.35">
      <c r="D95" s="120"/>
      <c r="E95" s="121"/>
      <c r="F95" s="119"/>
      <c r="G95" s="119"/>
      <c r="H95" s="118"/>
    </row>
    <row r="96" spans="4:8" ht="15.5" outlineLevel="1" x14ac:dyDescent="0.35">
      <c r="D96" s="120"/>
      <c r="E96" s="119"/>
      <c r="F96" s="119"/>
      <c r="G96" s="119"/>
      <c r="H96" s="118"/>
    </row>
    <row r="97" spans="1:8" ht="15.5" outlineLevel="1" x14ac:dyDescent="0.35">
      <c r="D97" s="120"/>
      <c r="E97" s="119"/>
      <c r="F97" s="119"/>
      <c r="G97" s="119"/>
      <c r="H97" s="118"/>
    </row>
    <row r="98" spans="1:8" ht="15.5" outlineLevel="1" x14ac:dyDescent="0.35">
      <c r="D98" s="120"/>
      <c r="E98" s="119"/>
      <c r="F98" s="119"/>
      <c r="G98" s="119"/>
      <c r="H98" s="118"/>
    </row>
    <row r="99" spans="1:8" ht="15.5" outlineLevel="1" x14ac:dyDescent="0.35">
      <c r="D99" s="120"/>
      <c r="E99" s="119"/>
      <c r="F99" s="119"/>
      <c r="G99" s="119"/>
      <c r="H99" s="118"/>
    </row>
    <row r="100" spans="1:8" ht="15.5" outlineLevel="1" x14ac:dyDescent="0.35">
      <c r="D100" s="120"/>
      <c r="E100" s="119"/>
      <c r="F100" s="119"/>
      <c r="G100" s="119"/>
      <c r="H100" s="118"/>
    </row>
    <row r="101" spans="1:8" ht="15.5" outlineLevel="1" x14ac:dyDescent="0.35">
      <c r="D101" s="120"/>
      <c r="E101" s="119"/>
      <c r="F101" s="119"/>
      <c r="G101" s="119"/>
      <c r="H101" s="118"/>
    </row>
    <row r="102" spans="1:8" ht="15.5" outlineLevel="1" x14ac:dyDescent="0.35">
      <c r="D102" s="120"/>
      <c r="E102" s="119"/>
      <c r="F102" s="119"/>
      <c r="G102" s="119"/>
      <c r="H102" s="118"/>
    </row>
    <row r="103" spans="1:8" ht="15.5" outlineLevel="1" x14ac:dyDescent="0.35">
      <c r="D103" s="120"/>
      <c r="E103" s="119"/>
      <c r="F103" s="119"/>
      <c r="G103" s="119"/>
      <c r="H103" s="118"/>
    </row>
    <row r="104" spans="1:8" ht="15.5" outlineLevel="1" x14ac:dyDescent="0.35">
      <c r="D104" s="120"/>
      <c r="E104" s="119"/>
      <c r="F104" s="119"/>
      <c r="G104" s="119"/>
      <c r="H104" s="118"/>
    </row>
    <row r="105" spans="1:8" ht="15.5" outlineLevel="1" x14ac:dyDescent="0.35">
      <c r="D105" s="120"/>
      <c r="E105" s="119"/>
      <c r="F105" s="119"/>
      <c r="G105" s="119"/>
      <c r="H105" s="118"/>
    </row>
    <row r="106" spans="1:8" ht="15.5" outlineLevel="1" x14ac:dyDescent="0.35">
      <c r="D106" s="120"/>
      <c r="E106" s="119"/>
      <c r="F106" s="119"/>
      <c r="G106" s="119"/>
      <c r="H106" s="118"/>
    </row>
    <row r="107" spans="1:8" ht="15.5" outlineLevel="1" x14ac:dyDescent="0.35">
      <c r="D107" s="120"/>
      <c r="E107" s="119"/>
      <c r="F107" s="119"/>
      <c r="G107" s="119"/>
      <c r="H107" s="118"/>
    </row>
    <row r="108" spans="1:8" ht="15.5" outlineLevel="1" x14ac:dyDescent="0.35">
      <c r="D108" s="120"/>
      <c r="E108" s="119"/>
      <c r="F108" s="119"/>
      <c r="G108" s="119"/>
      <c r="H108" s="118"/>
    </row>
    <row r="109" spans="1:8" ht="16" outlineLevel="1" thickBot="1" x14ac:dyDescent="0.4">
      <c r="D109" s="130"/>
      <c r="E109" s="129"/>
      <c r="F109" s="129"/>
      <c r="G109" s="129"/>
      <c r="H109" s="128"/>
    </row>
    <row r="110" spans="1:8" ht="15.65" customHeight="1" thickTop="1" thickBot="1" x14ac:dyDescent="0.4">
      <c r="A110" s="127">
        <f>A76+1</f>
        <v>4</v>
      </c>
      <c r="B110" s="126" t="s">
        <v>244</v>
      </c>
      <c r="C110" s="125">
        <f>SUM(D110:H110)</f>
        <v>35</v>
      </c>
      <c r="D110" s="119">
        <f>COUNTA(D111:D143)</f>
        <v>0</v>
      </c>
      <c r="E110" s="119">
        <f>COUNTA(E111:E143)</f>
        <v>3</v>
      </c>
      <c r="F110" s="119">
        <f>COUNTA(F111:F143)</f>
        <v>15</v>
      </c>
      <c r="G110" s="119">
        <f>COUNTA(G111:G143)</f>
        <v>15</v>
      </c>
      <c r="H110" s="119">
        <f>COUNTA(H111:H143)</f>
        <v>2</v>
      </c>
    </row>
    <row r="111" spans="1:8" ht="15.65" customHeight="1" outlineLevel="1" thickTop="1" x14ac:dyDescent="0.35">
      <c r="D111" s="124"/>
      <c r="E111" s="123" t="s">
        <v>91</v>
      </c>
      <c r="F111" s="123" t="s">
        <v>70</v>
      </c>
      <c r="G111" s="123" t="s">
        <v>88</v>
      </c>
      <c r="H111" s="122" t="s">
        <v>85</v>
      </c>
    </row>
    <row r="112" spans="1:8" ht="15.65" customHeight="1" outlineLevel="1" x14ac:dyDescent="0.35">
      <c r="D112" s="120"/>
      <c r="E112" s="119" t="s">
        <v>98</v>
      </c>
      <c r="F112" s="119" t="s">
        <v>83</v>
      </c>
      <c r="G112" s="119" t="s">
        <v>28</v>
      </c>
      <c r="H112" s="118" t="s">
        <v>69</v>
      </c>
    </row>
    <row r="113" spans="4:8" ht="15.5" outlineLevel="1" x14ac:dyDescent="0.35">
      <c r="D113" s="120"/>
      <c r="E113" s="119" t="s">
        <v>49</v>
      </c>
      <c r="F113" s="119" t="s">
        <v>94</v>
      </c>
      <c r="G113" s="119" t="s">
        <v>80</v>
      </c>
      <c r="H113" s="118"/>
    </row>
    <row r="114" spans="4:8" ht="15.5" outlineLevel="1" x14ac:dyDescent="0.35">
      <c r="D114" s="120"/>
      <c r="E114" s="119"/>
      <c r="F114" s="119" t="s">
        <v>53</v>
      </c>
      <c r="G114" s="119" t="s">
        <v>17</v>
      </c>
      <c r="H114" s="118"/>
    </row>
    <row r="115" spans="4:8" ht="15.5" outlineLevel="1" x14ac:dyDescent="0.35">
      <c r="D115" s="120"/>
      <c r="E115" s="119"/>
      <c r="F115" s="119" t="s">
        <v>96</v>
      </c>
      <c r="G115" s="119"/>
      <c r="H115" s="118"/>
    </row>
    <row r="116" spans="4:8" ht="15.5" outlineLevel="1" x14ac:dyDescent="0.35">
      <c r="D116" s="120"/>
      <c r="F116" s="119" t="s">
        <v>89</v>
      </c>
      <c r="G116" s="119"/>
      <c r="H116" s="118"/>
    </row>
    <row r="117" spans="4:8" ht="15.5" outlineLevel="1" x14ac:dyDescent="0.35">
      <c r="D117" s="120"/>
      <c r="E117" s="119"/>
      <c r="F117" s="119" t="s">
        <v>21</v>
      </c>
      <c r="G117" s="119" t="s">
        <v>67</v>
      </c>
      <c r="H117" s="118"/>
    </row>
    <row r="118" spans="4:8" ht="15.5" outlineLevel="1" x14ac:dyDescent="0.35">
      <c r="D118" s="120"/>
      <c r="E118" s="119"/>
      <c r="F118" s="119" t="s">
        <v>56</v>
      </c>
      <c r="G118" s="119" t="s">
        <v>24</v>
      </c>
      <c r="H118" s="118"/>
    </row>
    <row r="119" spans="4:8" ht="15.5" outlineLevel="1" x14ac:dyDescent="0.35">
      <c r="D119" s="120"/>
      <c r="E119" s="119"/>
      <c r="F119" s="119" t="s">
        <v>99</v>
      </c>
      <c r="G119" s="119" t="s">
        <v>68</v>
      </c>
      <c r="H119" s="118"/>
    </row>
    <row r="120" spans="4:8" ht="15.5" outlineLevel="1" x14ac:dyDescent="0.35">
      <c r="D120" s="120"/>
      <c r="E120" s="119"/>
      <c r="F120" s="119" t="s">
        <v>84</v>
      </c>
      <c r="G120" s="119" t="s">
        <v>57</v>
      </c>
      <c r="H120" s="118"/>
    </row>
    <row r="121" spans="4:8" ht="15.5" outlineLevel="1" x14ac:dyDescent="0.35">
      <c r="D121" s="120"/>
      <c r="E121" s="119"/>
      <c r="F121" s="119" t="s">
        <v>76</v>
      </c>
      <c r="G121" s="119" t="s">
        <v>35</v>
      </c>
      <c r="H121" s="118"/>
    </row>
    <row r="122" spans="4:8" ht="15.5" outlineLevel="1" x14ac:dyDescent="0.35">
      <c r="D122" s="120"/>
      <c r="E122" s="119"/>
      <c r="F122" s="119" t="s">
        <v>72</v>
      </c>
      <c r="G122" s="119" t="s">
        <v>31</v>
      </c>
      <c r="H122" s="118"/>
    </row>
    <row r="123" spans="4:8" ht="15.5" outlineLevel="1" x14ac:dyDescent="0.35">
      <c r="D123" s="120"/>
      <c r="E123" s="119"/>
      <c r="F123" s="119" t="s">
        <v>74</v>
      </c>
      <c r="G123" s="119" t="s">
        <v>66</v>
      </c>
      <c r="H123" s="118"/>
    </row>
    <row r="124" spans="4:8" ht="15.5" outlineLevel="1" x14ac:dyDescent="0.35">
      <c r="D124" s="120"/>
      <c r="E124" s="119"/>
      <c r="F124" s="121" t="s">
        <v>196</v>
      </c>
      <c r="G124" s="119" t="s">
        <v>65</v>
      </c>
      <c r="H124" s="118"/>
    </row>
    <row r="125" spans="4:8" ht="15.5" outlineLevel="1" x14ac:dyDescent="0.35">
      <c r="D125" s="120"/>
      <c r="E125" s="119"/>
      <c r="F125" s="119" t="s">
        <v>197</v>
      </c>
      <c r="G125" s="121" t="s">
        <v>78</v>
      </c>
      <c r="H125" s="118"/>
    </row>
    <row r="126" spans="4:8" ht="15.5" outlineLevel="1" x14ac:dyDescent="0.35">
      <c r="D126" s="120"/>
      <c r="E126" s="119"/>
      <c r="F126" s="119"/>
      <c r="G126" s="121" t="s">
        <v>39</v>
      </c>
      <c r="H126" s="118"/>
    </row>
    <row r="127" spans="4:8" ht="15.5" outlineLevel="1" x14ac:dyDescent="0.35">
      <c r="D127" s="120"/>
      <c r="E127" s="119"/>
      <c r="F127" s="119"/>
      <c r="G127" s="119" t="s">
        <v>243</v>
      </c>
      <c r="H127" s="118"/>
    </row>
    <row r="128" spans="4:8" ht="15.5" outlineLevel="1" x14ac:dyDescent="0.35">
      <c r="D128" s="120"/>
      <c r="E128" s="119"/>
      <c r="F128" s="119"/>
      <c r="G128" s="119"/>
      <c r="H128" s="118"/>
    </row>
    <row r="129" spans="1:8" ht="15.5" outlineLevel="1" x14ac:dyDescent="0.35">
      <c r="D129" s="120"/>
      <c r="E129" s="121"/>
      <c r="F129" s="119"/>
      <c r="G129" s="119"/>
      <c r="H129" s="118"/>
    </row>
    <row r="130" spans="1:8" ht="15.5" outlineLevel="1" x14ac:dyDescent="0.35">
      <c r="D130" s="120"/>
      <c r="E130" s="119"/>
      <c r="F130" s="119"/>
      <c r="G130" s="119"/>
      <c r="H130" s="118"/>
    </row>
    <row r="131" spans="1:8" ht="15.5" outlineLevel="1" x14ac:dyDescent="0.35">
      <c r="D131" s="120"/>
      <c r="E131" s="119"/>
      <c r="F131" s="119"/>
      <c r="G131" s="119"/>
      <c r="H131" s="118"/>
    </row>
    <row r="132" spans="1:8" ht="15.5" outlineLevel="1" x14ac:dyDescent="0.35">
      <c r="D132" s="120"/>
      <c r="E132" s="119"/>
      <c r="F132" s="119"/>
      <c r="G132" s="119"/>
      <c r="H132" s="118"/>
    </row>
    <row r="133" spans="1:8" ht="15.5" outlineLevel="1" x14ac:dyDescent="0.35">
      <c r="D133" s="120"/>
      <c r="E133" s="119"/>
      <c r="F133" s="119"/>
      <c r="G133" s="119"/>
      <c r="H133" s="118"/>
    </row>
    <row r="134" spans="1:8" ht="15.5" outlineLevel="1" x14ac:dyDescent="0.35">
      <c r="D134" s="120"/>
      <c r="E134" s="119"/>
      <c r="F134" s="119"/>
      <c r="G134" s="119"/>
      <c r="H134" s="118"/>
    </row>
    <row r="135" spans="1:8" ht="15.5" outlineLevel="1" x14ac:dyDescent="0.35">
      <c r="D135" s="120"/>
      <c r="E135" s="119"/>
      <c r="F135" s="119"/>
      <c r="G135" s="119"/>
      <c r="H135" s="118"/>
    </row>
    <row r="136" spans="1:8" ht="15.5" outlineLevel="1" x14ac:dyDescent="0.35">
      <c r="D136" s="120"/>
      <c r="E136" s="119"/>
      <c r="F136" s="119"/>
      <c r="G136" s="119"/>
      <c r="H136" s="118"/>
    </row>
    <row r="137" spans="1:8" ht="15.5" outlineLevel="1" x14ac:dyDescent="0.35">
      <c r="D137" s="120"/>
      <c r="E137" s="119"/>
      <c r="F137" s="119"/>
      <c r="G137" s="119"/>
      <c r="H137" s="118"/>
    </row>
    <row r="138" spans="1:8" ht="15.5" outlineLevel="1" x14ac:dyDescent="0.35">
      <c r="D138" s="120"/>
      <c r="E138" s="119"/>
      <c r="F138" s="119"/>
      <c r="G138" s="119"/>
      <c r="H138" s="118"/>
    </row>
    <row r="139" spans="1:8" ht="15.5" outlineLevel="1" x14ac:dyDescent="0.35">
      <c r="D139" s="120"/>
      <c r="E139" s="119"/>
      <c r="F139" s="119"/>
      <c r="G139" s="119"/>
      <c r="H139" s="118"/>
    </row>
    <row r="140" spans="1:8" ht="15.5" outlineLevel="1" x14ac:dyDescent="0.35">
      <c r="D140" s="120"/>
      <c r="E140" s="119"/>
      <c r="F140" s="119"/>
      <c r="G140" s="119"/>
      <c r="H140" s="118"/>
    </row>
    <row r="141" spans="1:8" ht="15.5" outlineLevel="1" x14ac:dyDescent="0.35">
      <c r="D141" s="120"/>
      <c r="E141" s="119"/>
      <c r="F141" s="119"/>
      <c r="G141" s="119"/>
      <c r="H141" s="118"/>
    </row>
    <row r="142" spans="1:8" ht="15.5" outlineLevel="1" x14ac:dyDescent="0.35">
      <c r="D142" s="120"/>
      <c r="E142" s="119"/>
      <c r="F142" s="119"/>
      <c r="G142" s="119"/>
      <c r="H142" s="118"/>
    </row>
    <row r="143" spans="1:8" ht="16" outlineLevel="1" thickBot="1" x14ac:dyDescent="0.4">
      <c r="D143" s="130"/>
      <c r="E143" s="129"/>
      <c r="F143" s="129"/>
      <c r="G143" s="129"/>
      <c r="H143" s="128"/>
    </row>
    <row r="144" spans="1:8" ht="15.65" customHeight="1" thickTop="1" thickBot="1" x14ac:dyDescent="0.4">
      <c r="A144" s="127">
        <f>A110+1</f>
        <v>5</v>
      </c>
      <c r="B144" s="126" t="s">
        <v>231</v>
      </c>
      <c r="C144" s="125">
        <f>SUM(D144:H144)</f>
        <v>35</v>
      </c>
      <c r="D144" s="119">
        <f>COUNTA(D145:D177)</f>
        <v>1</v>
      </c>
      <c r="E144" s="119">
        <f>COUNTA(E145:E177)</f>
        <v>1</v>
      </c>
      <c r="F144" s="119">
        <f>COUNTA(F145:F177)</f>
        <v>25</v>
      </c>
      <c r="G144" s="119">
        <f>COUNTA(G145:G177)</f>
        <v>7</v>
      </c>
      <c r="H144" s="119">
        <f>COUNTA(H145:H177)</f>
        <v>1</v>
      </c>
    </row>
    <row r="145" spans="4:8" ht="15.65" customHeight="1" outlineLevel="1" thickTop="1" x14ac:dyDescent="0.35">
      <c r="D145" s="124" t="s">
        <v>98</v>
      </c>
      <c r="E145" s="123" t="s">
        <v>99</v>
      </c>
      <c r="F145" s="123" t="s">
        <v>70</v>
      </c>
      <c r="G145" s="123" t="s">
        <v>67</v>
      </c>
      <c r="H145" s="122"/>
    </row>
    <row r="146" spans="4:8" ht="15.65" customHeight="1" outlineLevel="1" x14ac:dyDescent="0.35">
      <c r="D146" s="120"/>
      <c r="E146" s="119"/>
      <c r="F146" s="119" t="s">
        <v>88</v>
      </c>
      <c r="G146" s="119" t="s">
        <v>24</v>
      </c>
      <c r="H146" s="118"/>
    </row>
    <row r="147" spans="4:8" ht="15.5" outlineLevel="1" x14ac:dyDescent="0.35">
      <c r="D147" s="120"/>
      <c r="E147" s="119"/>
      <c r="F147" s="119" t="s">
        <v>28</v>
      </c>
      <c r="G147" s="119" t="s">
        <v>68</v>
      </c>
      <c r="H147" s="118"/>
    </row>
    <row r="148" spans="4:8" ht="15.5" outlineLevel="1" x14ac:dyDescent="0.35">
      <c r="D148" s="120"/>
      <c r="E148" s="119"/>
      <c r="F148" s="119" t="s">
        <v>80</v>
      </c>
      <c r="G148" s="119" t="s">
        <v>57</v>
      </c>
      <c r="H148" s="118"/>
    </row>
    <row r="149" spans="4:8" ht="15.5" outlineLevel="1" x14ac:dyDescent="0.35">
      <c r="D149" s="120"/>
      <c r="E149" s="119"/>
      <c r="F149" s="119" t="s">
        <v>83</v>
      </c>
      <c r="G149" s="119" t="s">
        <v>66</v>
      </c>
      <c r="H149" s="118"/>
    </row>
    <row r="150" spans="4:8" ht="15.5" outlineLevel="1" x14ac:dyDescent="0.35">
      <c r="D150" s="120"/>
      <c r="F150" s="119" t="s">
        <v>94</v>
      </c>
      <c r="G150" s="119" t="s">
        <v>243</v>
      </c>
      <c r="H150" s="118"/>
    </row>
    <row r="151" spans="4:8" ht="15.5" outlineLevel="1" x14ac:dyDescent="0.35">
      <c r="D151" s="120"/>
      <c r="E151" s="119"/>
      <c r="F151" s="119" t="s">
        <v>96</v>
      </c>
      <c r="G151" s="119"/>
      <c r="H151" s="118"/>
    </row>
    <row r="152" spans="4:8" ht="15.5" outlineLevel="1" x14ac:dyDescent="0.35">
      <c r="D152" s="120"/>
      <c r="E152" s="119"/>
      <c r="F152" s="119" t="s">
        <v>89</v>
      </c>
      <c r="G152" s="119"/>
      <c r="H152" s="118"/>
    </row>
    <row r="153" spans="4:8" ht="15.5" outlineLevel="1" x14ac:dyDescent="0.35">
      <c r="D153" s="120"/>
      <c r="E153" s="119"/>
      <c r="F153" s="119" t="s">
        <v>49</v>
      </c>
      <c r="G153" s="119" t="s">
        <v>17</v>
      </c>
      <c r="H153" s="118"/>
    </row>
    <row r="154" spans="4:8" ht="15.5" outlineLevel="1" x14ac:dyDescent="0.35">
      <c r="D154" s="120"/>
      <c r="E154" s="119"/>
      <c r="F154" s="119" t="s">
        <v>85</v>
      </c>
      <c r="G154" s="119"/>
      <c r="H154" s="118"/>
    </row>
    <row r="155" spans="4:8" ht="15.5" outlineLevel="1" x14ac:dyDescent="0.35">
      <c r="D155" s="120"/>
      <c r="E155" s="119"/>
      <c r="F155" s="119" t="s">
        <v>69</v>
      </c>
      <c r="G155" s="119"/>
      <c r="H155" s="118"/>
    </row>
    <row r="156" spans="4:8" ht="15.5" outlineLevel="1" x14ac:dyDescent="0.35">
      <c r="D156" s="120"/>
      <c r="E156" s="119"/>
      <c r="F156" s="119" t="s">
        <v>21</v>
      </c>
      <c r="G156" s="119"/>
      <c r="H156" s="118"/>
    </row>
    <row r="157" spans="4:8" ht="15.5" outlineLevel="1" x14ac:dyDescent="0.35">
      <c r="D157" s="120"/>
      <c r="E157" s="119"/>
      <c r="F157" s="119" t="s">
        <v>35</v>
      </c>
      <c r="G157" s="119"/>
      <c r="H157" s="118"/>
    </row>
    <row r="158" spans="4:8" ht="15.5" outlineLevel="1" x14ac:dyDescent="0.35">
      <c r="D158" s="120"/>
      <c r="E158" s="119"/>
      <c r="F158" s="121" t="s">
        <v>31</v>
      </c>
      <c r="G158" s="119"/>
      <c r="H158" s="118"/>
    </row>
    <row r="159" spans="4:8" ht="15.5" outlineLevel="1" x14ac:dyDescent="0.35">
      <c r="D159" s="120"/>
      <c r="E159" s="119"/>
      <c r="F159" s="119" t="s">
        <v>84</v>
      </c>
      <c r="G159" s="121"/>
      <c r="H159" s="118"/>
    </row>
    <row r="160" spans="4:8" ht="15.5" outlineLevel="1" x14ac:dyDescent="0.35">
      <c r="D160" s="120"/>
      <c r="E160" s="119"/>
      <c r="F160" s="119" t="s">
        <v>65</v>
      </c>
      <c r="G160" s="121"/>
      <c r="H160" s="118"/>
    </row>
    <row r="161" spans="4:8" ht="15.5" outlineLevel="1" x14ac:dyDescent="0.35">
      <c r="D161" s="120"/>
      <c r="E161" s="119"/>
      <c r="F161" s="119" t="s">
        <v>78</v>
      </c>
      <c r="G161" s="119"/>
      <c r="H161" s="118"/>
    </row>
    <row r="162" spans="4:8" ht="15.5" outlineLevel="1" x14ac:dyDescent="0.35">
      <c r="D162" s="120"/>
      <c r="E162" s="119"/>
      <c r="F162" s="119" t="s">
        <v>76</v>
      </c>
      <c r="G162" s="119"/>
      <c r="H162" s="118"/>
    </row>
    <row r="163" spans="4:8" ht="15.5" outlineLevel="1" x14ac:dyDescent="0.35">
      <c r="D163" s="120"/>
      <c r="E163" s="121"/>
      <c r="F163" s="119" t="s">
        <v>196</v>
      </c>
      <c r="G163" s="119"/>
      <c r="H163" s="118" t="s">
        <v>39</v>
      </c>
    </row>
    <row r="164" spans="4:8" ht="15.5" outlineLevel="1" x14ac:dyDescent="0.35">
      <c r="D164" s="120"/>
      <c r="E164" s="119"/>
      <c r="F164" s="119" t="s">
        <v>72</v>
      </c>
      <c r="G164" s="119"/>
      <c r="H164" s="118"/>
    </row>
    <row r="165" spans="4:8" ht="15.5" outlineLevel="1" x14ac:dyDescent="0.35">
      <c r="D165" s="120"/>
      <c r="E165" s="119"/>
      <c r="F165" s="119" t="s">
        <v>74</v>
      </c>
      <c r="G165" s="119"/>
      <c r="H165" s="118"/>
    </row>
    <row r="166" spans="4:8" ht="15.5" outlineLevel="1" x14ac:dyDescent="0.35">
      <c r="D166" s="120"/>
      <c r="E166" s="119"/>
      <c r="F166" s="119" t="s">
        <v>91</v>
      </c>
      <c r="G166" s="119"/>
      <c r="H166" s="118"/>
    </row>
    <row r="167" spans="4:8" ht="15.5" outlineLevel="1" x14ac:dyDescent="0.35">
      <c r="D167" s="120"/>
      <c r="E167" s="119"/>
      <c r="F167" s="119" t="s">
        <v>56</v>
      </c>
      <c r="G167" s="119"/>
      <c r="H167" s="118"/>
    </row>
    <row r="168" spans="4:8" ht="15.5" outlineLevel="1" x14ac:dyDescent="0.35">
      <c r="D168" s="120"/>
      <c r="E168" s="119"/>
      <c r="F168" s="119" t="s">
        <v>53</v>
      </c>
      <c r="G168" s="119"/>
      <c r="H168" s="118"/>
    </row>
    <row r="169" spans="4:8" ht="15.5" outlineLevel="1" x14ac:dyDescent="0.35">
      <c r="D169" s="120"/>
      <c r="E169" s="119"/>
      <c r="F169" s="119" t="s">
        <v>197</v>
      </c>
      <c r="G169" s="119"/>
      <c r="H169" s="118"/>
    </row>
    <row r="170" spans="4:8" ht="15.5" outlineLevel="1" x14ac:dyDescent="0.35">
      <c r="D170" s="120"/>
      <c r="E170" s="119"/>
      <c r="F170" s="119"/>
      <c r="G170" s="119"/>
      <c r="H170" s="118"/>
    </row>
    <row r="171" spans="4:8" ht="15.5" outlineLevel="1" x14ac:dyDescent="0.35">
      <c r="D171" s="120"/>
      <c r="E171" s="119"/>
      <c r="F171" s="119"/>
      <c r="G171" s="119"/>
      <c r="H171" s="118"/>
    </row>
    <row r="172" spans="4:8" ht="15.5" outlineLevel="1" x14ac:dyDescent="0.35">
      <c r="D172" s="120"/>
      <c r="E172" s="119"/>
      <c r="F172" s="119"/>
      <c r="G172" s="119"/>
      <c r="H172" s="118"/>
    </row>
    <row r="173" spans="4:8" ht="15.5" outlineLevel="1" x14ac:dyDescent="0.35">
      <c r="D173" s="120"/>
      <c r="E173" s="119"/>
      <c r="F173" s="119"/>
      <c r="G173" s="119"/>
      <c r="H173" s="118"/>
    </row>
    <row r="174" spans="4:8" ht="15.5" outlineLevel="1" x14ac:dyDescent="0.35">
      <c r="D174" s="120"/>
      <c r="E174" s="119"/>
      <c r="F174" s="119"/>
      <c r="G174" s="119"/>
      <c r="H174" s="118"/>
    </row>
    <row r="175" spans="4:8" ht="15.5" outlineLevel="1" x14ac:dyDescent="0.35">
      <c r="D175" s="120"/>
      <c r="E175" s="119"/>
      <c r="F175" s="119"/>
      <c r="G175" s="119"/>
      <c r="H175" s="118"/>
    </row>
    <row r="176" spans="4:8" ht="15.5" outlineLevel="1" x14ac:dyDescent="0.35">
      <c r="D176" s="120"/>
      <c r="E176" s="119"/>
      <c r="F176" s="119"/>
      <c r="G176" s="119"/>
      <c r="H176" s="118"/>
    </row>
    <row r="177" spans="1:8" ht="16" outlineLevel="1" thickBot="1" x14ac:dyDescent="0.4">
      <c r="D177" s="130"/>
      <c r="E177" s="129"/>
      <c r="F177" s="129"/>
      <c r="G177" s="129"/>
      <c r="H177" s="128"/>
    </row>
    <row r="178" spans="1:8" ht="15.65" customHeight="1" thickTop="1" thickBot="1" x14ac:dyDescent="0.4">
      <c r="A178" s="127">
        <f>A144+1</f>
        <v>6</v>
      </c>
      <c r="B178" s="126" t="s">
        <v>230</v>
      </c>
      <c r="C178" s="125">
        <f>SUM(D178:H178)</f>
        <v>35</v>
      </c>
      <c r="D178" s="119">
        <f>COUNTA(D179:D211)</f>
        <v>2</v>
      </c>
      <c r="E178" s="119">
        <f>COUNTA(E179:E211)</f>
        <v>5</v>
      </c>
      <c r="F178" s="119">
        <f>COUNTA(F179:F211)</f>
        <v>22</v>
      </c>
      <c r="G178" s="119">
        <f>COUNTA(G179:G211)</f>
        <v>4</v>
      </c>
      <c r="H178" s="119">
        <f>COUNTA(H179:H211)</f>
        <v>2</v>
      </c>
    </row>
    <row r="179" spans="1:8" ht="15.65" customHeight="1" outlineLevel="1" thickTop="1" x14ac:dyDescent="0.35">
      <c r="D179" s="124"/>
      <c r="E179" s="123"/>
      <c r="F179" s="123"/>
      <c r="G179" s="123"/>
      <c r="H179" s="122"/>
    </row>
    <row r="180" spans="1:8" ht="15.65" customHeight="1" outlineLevel="1" x14ac:dyDescent="0.35">
      <c r="D180" s="120" t="s">
        <v>96</v>
      </c>
      <c r="E180" s="119" t="s">
        <v>17</v>
      </c>
      <c r="F180" s="119" t="s">
        <v>70</v>
      </c>
      <c r="G180" s="119" t="s">
        <v>21</v>
      </c>
      <c r="H180" s="118" t="s">
        <v>99</v>
      </c>
    </row>
    <row r="181" spans="1:8" ht="15.5" outlineLevel="1" x14ac:dyDescent="0.35">
      <c r="D181" s="120" t="s">
        <v>197</v>
      </c>
      <c r="E181" s="119" t="s">
        <v>76</v>
      </c>
      <c r="F181" s="119" t="s">
        <v>88</v>
      </c>
      <c r="G181" s="119" t="s">
        <v>98</v>
      </c>
      <c r="H181" s="118" t="s">
        <v>49</v>
      </c>
    </row>
    <row r="182" spans="1:8" ht="15.5" outlineLevel="1" x14ac:dyDescent="0.35">
      <c r="D182" s="120"/>
      <c r="E182" s="119"/>
      <c r="F182" s="119" t="s">
        <v>28</v>
      </c>
      <c r="G182" s="119" t="s">
        <v>31</v>
      </c>
      <c r="H182" s="118"/>
    </row>
    <row r="183" spans="1:8" ht="15.5" outlineLevel="1" x14ac:dyDescent="0.35">
      <c r="D183" s="120"/>
      <c r="E183" s="119" t="s">
        <v>72</v>
      </c>
      <c r="F183" s="119" t="s">
        <v>80</v>
      </c>
      <c r="G183" s="119"/>
      <c r="H183" s="118"/>
    </row>
    <row r="184" spans="1:8" ht="15.5" outlineLevel="1" x14ac:dyDescent="0.35">
      <c r="D184" s="120"/>
      <c r="E184" s="119" t="s">
        <v>74</v>
      </c>
      <c r="F184" s="119" t="s">
        <v>83</v>
      </c>
      <c r="G184" s="119"/>
      <c r="H184" s="118"/>
    </row>
    <row r="185" spans="1:8" ht="15.5" outlineLevel="1" x14ac:dyDescent="0.35">
      <c r="D185" s="120"/>
      <c r="E185" s="119" t="s">
        <v>91</v>
      </c>
      <c r="F185" s="119" t="s">
        <v>94</v>
      </c>
      <c r="G185" s="119"/>
      <c r="H185" s="118"/>
    </row>
    <row r="186" spans="1:8" ht="15.5" outlineLevel="1" x14ac:dyDescent="0.35">
      <c r="D186" s="120"/>
      <c r="E186" s="119"/>
      <c r="F186" s="119" t="s">
        <v>89</v>
      </c>
      <c r="G186" s="119"/>
      <c r="H186" s="118"/>
    </row>
    <row r="187" spans="1:8" ht="15.5" outlineLevel="1" x14ac:dyDescent="0.35">
      <c r="D187" s="120"/>
      <c r="E187" s="119"/>
      <c r="F187" s="119" t="s">
        <v>85</v>
      </c>
      <c r="G187" s="119"/>
      <c r="H187" s="118"/>
    </row>
    <row r="188" spans="1:8" ht="15.5" outlineLevel="1" x14ac:dyDescent="0.35">
      <c r="D188" s="120"/>
      <c r="E188" s="119"/>
      <c r="F188" s="119" t="s">
        <v>69</v>
      </c>
      <c r="G188" s="119"/>
      <c r="H188" s="118"/>
    </row>
    <row r="189" spans="1:8" ht="15.5" outlineLevel="1" x14ac:dyDescent="0.35">
      <c r="D189" s="120"/>
      <c r="E189" s="119"/>
      <c r="F189" s="119" t="s">
        <v>67</v>
      </c>
      <c r="G189" s="119"/>
      <c r="H189" s="118"/>
    </row>
    <row r="190" spans="1:8" ht="15.5" outlineLevel="1" x14ac:dyDescent="0.35">
      <c r="D190" s="120"/>
      <c r="E190" s="119"/>
      <c r="F190" s="119" t="s">
        <v>24</v>
      </c>
      <c r="G190" s="119"/>
      <c r="H190" s="118"/>
    </row>
    <row r="191" spans="1:8" ht="15.5" outlineLevel="1" x14ac:dyDescent="0.35">
      <c r="D191" s="120"/>
      <c r="E191" s="119"/>
      <c r="F191" s="119" t="s">
        <v>68</v>
      </c>
      <c r="G191" s="119"/>
      <c r="H191" s="118"/>
    </row>
    <row r="192" spans="1:8" ht="15.5" outlineLevel="1" x14ac:dyDescent="0.35">
      <c r="D192" s="120"/>
      <c r="E192" s="119"/>
      <c r="F192" s="121" t="s">
        <v>57</v>
      </c>
      <c r="G192" s="119"/>
      <c r="H192" s="118"/>
    </row>
    <row r="193" spans="4:8" ht="15.5" outlineLevel="1" x14ac:dyDescent="0.35">
      <c r="D193" s="120"/>
      <c r="E193" s="119"/>
      <c r="F193" s="119" t="s">
        <v>196</v>
      </c>
      <c r="G193" s="121" t="s">
        <v>35</v>
      </c>
      <c r="H193" s="118"/>
    </row>
    <row r="194" spans="4:8" ht="15.5" outlineLevel="1" x14ac:dyDescent="0.35">
      <c r="D194" s="120"/>
      <c r="E194" s="119"/>
      <c r="F194" s="119" t="s">
        <v>66</v>
      </c>
      <c r="G194" s="121"/>
      <c r="H194" s="118"/>
    </row>
    <row r="195" spans="4:8" ht="15.5" outlineLevel="1" x14ac:dyDescent="0.35">
      <c r="D195" s="120"/>
      <c r="E195" s="119"/>
      <c r="F195" s="119" t="s">
        <v>84</v>
      </c>
      <c r="G195" s="119"/>
      <c r="H195" s="118"/>
    </row>
    <row r="196" spans="4:8" ht="15.5" outlineLevel="1" x14ac:dyDescent="0.35">
      <c r="D196" s="120"/>
      <c r="E196" s="119"/>
      <c r="F196" s="119" t="s">
        <v>65</v>
      </c>
      <c r="G196" s="119"/>
      <c r="H196" s="118"/>
    </row>
    <row r="197" spans="4:8" ht="15.5" outlineLevel="1" x14ac:dyDescent="0.35">
      <c r="D197" s="120"/>
      <c r="E197" s="121"/>
      <c r="F197" s="119" t="s">
        <v>78</v>
      </c>
      <c r="G197" s="119"/>
      <c r="H197" s="118"/>
    </row>
    <row r="198" spans="4:8" ht="15.5" outlineLevel="1" x14ac:dyDescent="0.35">
      <c r="D198" s="120"/>
      <c r="E198" s="119"/>
      <c r="F198" s="119" t="s">
        <v>243</v>
      </c>
      <c r="G198" s="119"/>
      <c r="H198" s="118"/>
    </row>
    <row r="199" spans="4:8" ht="15.5" outlineLevel="1" x14ac:dyDescent="0.35">
      <c r="D199" s="120"/>
      <c r="E199" s="119"/>
      <c r="F199" s="119" t="s">
        <v>56</v>
      </c>
      <c r="G199" s="119"/>
      <c r="H199" s="118"/>
    </row>
    <row r="200" spans="4:8" ht="15.5" outlineLevel="1" x14ac:dyDescent="0.35">
      <c r="D200" s="120"/>
      <c r="E200" s="119"/>
      <c r="F200" s="119" t="s">
        <v>53</v>
      </c>
      <c r="G200" s="119"/>
      <c r="H200" s="118"/>
    </row>
    <row r="201" spans="4:8" ht="15.5" outlineLevel="1" x14ac:dyDescent="0.35">
      <c r="D201" s="120"/>
      <c r="E201" s="119"/>
      <c r="F201" s="119" t="s">
        <v>39</v>
      </c>
      <c r="G201" s="119"/>
      <c r="H201" s="118"/>
    </row>
    <row r="202" spans="4:8" ht="15.5" outlineLevel="1" x14ac:dyDescent="0.35">
      <c r="D202" s="120"/>
      <c r="E202" s="119"/>
      <c r="F202" s="119"/>
      <c r="G202" s="119"/>
      <c r="H202" s="118"/>
    </row>
    <row r="203" spans="4:8" ht="15.5" outlineLevel="1" x14ac:dyDescent="0.35">
      <c r="D203" s="120"/>
      <c r="E203" s="119"/>
      <c r="F203" s="119"/>
      <c r="G203" s="119"/>
      <c r="H203" s="118"/>
    </row>
    <row r="204" spans="4:8" ht="15.5" outlineLevel="1" x14ac:dyDescent="0.35">
      <c r="D204" s="120"/>
      <c r="E204" s="119"/>
      <c r="F204" s="119"/>
      <c r="G204" s="119"/>
      <c r="H204" s="118"/>
    </row>
    <row r="205" spans="4:8" ht="15.5" outlineLevel="1" x14ac:dyDescent="0.35">
      <c r="D205" s="120"/>
      <c r="E205" s="119"/>
      <c r="F205" s="119"/>
      <c r="G205" s="119"/>
      <c r="H205" s="118"/>
    </row>
    <row r="206" spans="4:8" ht="15.5" outlineLevel="1" x14ac:dyDescent="0.35">
      <c r="D206" s="120"/>
      <c r="E206" s="119"/>
      <c r="F206" s="119"/>
      <c r="G206" s="119"/>
      <c r="H206" s="118"/>
    </row>
    <row r="207" spans="4:8" ht="15.5" outlineLevel="1" x14ac:dyDescent="0.35">
      <c r="D207" s="120"/>
      <c r="E207" s="119"/>
      <c r="F207" s="119"/>
      <c r="G207" s="119"/>
      <c r="H207" s="118"/>
    </row>
    <row r="208" spans="4:8" ht="15.5" outlineLevel="1" x14ac:dyDescent="0.35">
      <c r="D208" s="120"/>
      <c r="E208" s="119"/>
      <c r="F208" s="119"/>
      <c r="G208" s="119"/>
      <c r="H208" s="118"/>
    </row>
    <row r="209" spans="1:8" ht="15.5" outlineLevel="1" x14ac:dyDescent="0.35">
      <c r="D209" s="120"/>
      <c r="E209" s="119"/>
      <c r="F209" s="119"/>
      <c r="G209" s="119"/>
      <c r="H209" s="118"/>
    </row>
    <row r="210" spans="1:8" ht="15.5" outlineLevel="1" x14ac:dyDescent="0.35">
      <c r="D210" s="120"/>
      <c r="E210" s="119"/>
      <c r="F210" s="119"/>
      <c r="G210" s="119"/>
      <c r="H210" s="118"/>
    </row>
    <row r="211" spans="1:8" ht="16" outlineLevel="1" thickBot="1" x14ac:dyDescent="0.4">
      <c r="D211" s="130"/>
      <c r="E211" s="129"/>
      <c r="F211" s="129"/>
      <c r="G211" s="129"/>
      <c r="H211" s="128"/>
    </row>
    <row r="212" spans="1:8" ht="15.65" customHeight="1" thickTop="1" thickBot="1" x14ac:dyDescent="0.4">
      <c r="A212" s="127">
        <f>A178+1</f>
        <v>7</v>
      </c>
      <c r="B212" s="126" t="s">
        <v>229</v>
      </c>
      <c r="C212" s="125">
        <f>SUM(D212:H212)</f>
        <v>35</v>
      </c>
      <c r="D212" s="119">
        <f>COUNTA(D213:D245)</f>
        <v>0</v>
      </c>
      <c r="E212" s="119">
        <f>COUNTA(E213:E245)</f>
        <v>3</v>
      </c>
      <c r="F212" s="119">
        <f>COUNTA(F213:F245)</f>
        <v>31</v>
      </c>
      <c r="G212" s="119">
        <f>COUNTA(G213:G245)</f>
        <v>1</v>
      </c>
      <c r="H212" s="119">
        <f>COUNTA(H213:H245)</f>
        <v>0</v>
      </c>
    </row>
    <row r="213" spans="1:8" ht="15.65" customHeight="1" outlineLevel="1" thickTop="1" x14ac:dyDescent="0.35">
      <c r="D213" s="124"/>
      <c r="E213" s="123"/>
      <c r="F213" s="123"/>
      <c r="G213" s="123"/>
      <c r="H213" s="122"/>
    </row>
    <row r="214" spans="1:8" ht="15.65" customHeight="1" outlineLevel="1" x14ac:dyDescent="0.35">
      <c r="D214" s="120"/>
      <c r="E214" s="119" t="s">
        <v>91</v>
      </c>
      <c r="F214" s="119" t="s">
        <v>70</v>
      </c>
      <c r="G214" s="119"/>
      <c r="H214" s="118"/>
    </row>
    <row r="215" spans="1:8" ht="15.5" outlineLevel="1" x14ac:dyDescent="0.35">
      <c r="D215" s="120"/>
      <c r="E215" s="119" t="s">
        <v>98</v>
      </c>
      <c r="F215" s="119" t="s">
        <v>88</v>
      </c>
      <c r="G215" s="119"/>
      <c r="H215" s="118"/>
    </row>
    <row r="216" spans="1:8" ht="15.5" outlineLevel="1" x14ac:dyDescent="0.35">
      <c r="D216" s="120"/>
      <c r="E216" s="119" t="s">
        <v>49</v>
      </c>
      <c r="F216" s="119" t="s">
        <v>28</v>
      </c>
      <c r="G216" s="119"/>
      <c r="H216" s="118"/>
    </row>
    <row r="217" spans="1:8" ht="15.5" outlineLevel="1" x14ac:dyDescent="0.35">
      <c r="D217" s="120"/>
      <c r="E217" s="119"/>
      <c r="F217" s="119" t="s">
        <v>80</v>
      </c>
      <c r="G217" s="119"/>
      <c r="H217" s="118"/>
    </row>
    <row r="218" spans="1:8" ht="15.5" outlineLevel="1" x14ac:dyDescent="0.35">
      <c r="D218" s="120"/>
      <c r="F218" s="119" t="s">
        <v>83</v>
      </c>
      <c r="G218" s="119"/>
      <c r="H218" s="118"/>
    </row>
    <row r="219" spans="1:8" ht="15.5" outlineLevel="1" x14ac:dyDescent="0.35">
      <c r="D219" s="120"/>
      <c r="E219" s="119"/>
      <c r="F219" s="119" t="s">
        <v>94</v>
      </c>
      <c r="G219" s="119"/>
      <c r="H219" s="118"/>
    </row>
    <row r="220" spans="1:8" ht="15.5" outlineLevel="1" x14ac:dyDescent="0.35">
      <c r="D220" s="120"/>
      <c r="E220" s="119"/>
      <c r="F220" s="119" t="s">
        <v>53</v>
      </c>
      <c r="G220" s="119"/>
      <c r="H220" s="118"/>
    </row>
    <row r="221" spans="1:8" ht="15.5" outlineLevel="1" x14ac:dyDescent="0.35">
      <c r="D221" s="120"/>
      <c r="E221" s="119"/>
      <c r="F221" s="119" t="s">
        <v>96</v>
      </c>
      <c r="G221" s="119"/>
      <c r="H221" s="118"/>
    </row>
    <row r="222" spans="1:8" ht="15.5" outlineLevel="1" x14ac:dyDescent="0.35">
      <c r="D222" s="120"/>
      <c r="E222" s="119"/>
      <c r="F222" s="119" t="s">
        <v>89</v>
      </c>
      <c r="G222" s="119"/>
      <c r="H222" s="118"/>
    </row>
    <row r="223" spans="1:8" ht="15.5" outlineLevel="1" x14ac:dyDescent="0.35">
      <c r="D223" s="120"/>
      <c r="E223" s="119"/>
      <c r="F223" s="119" t="s">
        <v>31</v>
      </c>
      <c r="G223" s="119" t="s">
        <v>85</v>
      </c>
      <c r="H223" s="118"/>
    </row>
    <row r="224" spans="1:8" ht="15.5" outlineLevel="1" x14ac:dyDescent="0.35">
      <c r="D224" s="120"/>
      <c r="E224" s="119"/>
      <c r="F224" s="119" t="s">
        <v>69</v>
      </c>
      <c r="G224" s="119"/>
      <c r="H224" s="118"/>
    </row>
    <row r="225" spans="4:8" ht="15.5" outlineLevel="1" x14ac:dyDescent="0.35">
      <c r="D225" s="120"/>
      <c r="E225" s="119"/>
      <c r="F225" s="121" t="s">
        <v>21</v>
      </c>
      <c r="G225" s="119"/>
      <c r="H225" s="118"/>
    </row>
    <row r="226" spans="4:8" ht="15.5" outlineLevel="1" x14ac:dyDescent="0.35">
      <c r="D226" s="120"/>
      <c r="E226" s="119"/>
      <c r="F226" s="119" t="s">
        <v>17</v>
      </c>
      <c r="G226" s="119"/>
      <c r="H226" s="118"/>
    </row>
    <row r="227" spans="4:8" ht="15.5" outlineLevel="1" x14ac:dyDescent="0.35">
      <c r="D227" s="120"/>
      <c r="E227" s="119"/>
      <c r="F227" s="119" t="s">
        <v>67</v>
      </c>
      <c r="G227" s="121"/>
      <c r="H227" s="118"/>
    </row>
    <row r="228" spans="4:8" ht="15.5" outlineLevel="1" x14ac:dyDescent="0.35">
      <c r="D228" s="120"/>
      <c r="E228" s="119"/>
      <c r="F228" s="119" t="s">
        <v>24</v>
      </c>
      <c r="G228" s="121"/>
      <c r="H228" s="118"/>
    </row>
    <row r="229" spans="4:8" ht="15.5" outlineLevel="1" x14ac:dyDescent="0.35">
      <c r="D229" s="120"/>
      <c r="E229" s="119"/>
      <c r="F229" s="119" t="s">
        <v>68</v>
      </c>
      <c r="G229" s="119"/>
      <c r="H229" s="118"/>
    </row>
    <row r="230" spans="4:8" ht="15.5" outlineLevel="1" x14ac:dyDescent="0.35">
      <c r="D230" s="120"/>
      <c r="E230" s="119"/>
      <c r="F230" s="119" t="s">
        <v>57</v>
      </c>
      <c r="G230" s="119"/>
      <c r="H230" s="118"/>
    </row>
    <row r="231" spans="4:8" ht="15.5" outlineLevel="1" x14ac:dyDescent="0.35">
      <c r="D231" s="120"/>
      <c r="E231" s="121"/>
      <c r="F231" s="119" t="s">
        <v>243</v>
      </c>
      <c r="G231" s="119"/>
      <c r="H231" s="118"/>
    </row>
    <row r="232" spans="4:8" ht="15.5" outlineLevel="1" x14ac:dyDescent="0.35">
      <c r="D232" s="120"/>
      <c r="E232" s="119"/>
      <c r="F232" s="119" t="s">
        <v>35</v>
      </c>
      <c r="G232" s="119"/>
      <c r="H232" s="118"/>
    </row>
    <row r="233" spans="4:8" ht="15.5" outlineLevel="1" x14ac:dyDescent="0.35">
      <c r="D233" s="120"/>
      <c r="E233" s="119"/>
      <c r="F233" s="119" t="s">
        <v>56</v>
      </c>
      <c r="G233" s="119"/>
      <c r="H233" s="118"/>
    </row>
    <row r="234" spans="4:8" ht="15.5" outlineLevel="1" x14ac:dyDescent="0.35">
      <c r="D234" s="120"/>
      <c r="E234" s="119"/>
      <c r="F234" s="119" t="s">
        <v>66</v>
      </c>
      <c r="G234" s="119"/>
      <c r="H234" s="118"/>
    </row>
    <row r="235" spans="4:8" ht="15.5" outlineLevel="1" x14ac:dyDescent="0.35">
      <c r="D235" s="120"/>
      <c r="E235" s="119"/>
      <c r="F235" s="119" t="s">
        <v>99</v>
      </c>
      <c r="G235" s="119"/>
      <c r="H235" s="118"/>
    </row>
    <row r="236" spans="4:8" ht="15.5" outlineLevel="1" x14ac:dyDescent="0.35">
      <c r="D236" s="120"/>
      <c r="E236" s="119"/>
      <c r="F236" s="119" t="s">
        <v>84</v>
      </c>
      <c r="G236" s="119"/>
      <c r="H236" s="118"/>
    </row>
    <row r="237" spans="4:8" ht="15.5" outlineLevel="1" x14ac:dyDescent="0.35">
      <c r="D237" s="120"/>
      <c r="E237" s="119"/>
      <c r="F237" s="119" t="s">
        <v>65</v>
      </c>
      <c r="G237" s="119"/>
      <c r="H237" s="118"/>
    </row>
    <row r="238" spans="4:8" ht="15.5" outlineLevel="1" x14ac:dyDescent="0.35">
      <c r="D238" s="120"/>
      <c r="E238" s="119"/>
      <c r="F238" s="119" t="s">
        <v>78</v>
      </c>
      <c r="G238" s="119"/>
      <c r="H238" s="118"/>
    </row>
    <row r="239" spans="4:8" ht="15.5" outlineLevel="1" x14ac:dyDescent="0.35">
      <c r="D239" s="120"/>
      <c r="E239" s="119"/>
      <c r="F239" s="119" t="s">
        <v>76</v>
      </c>
      <c r="G239" s="119"/>
      <c r="H239" s="118"/>
    </row>
    <row r="240" spans="4:8" ht="15.5" outlineLevel="1" x14ac:dyDescent="0.35">
      <c r="D240" s="120"/>
      <c r="E240" s="119"/>
      <c r="F240" s="119" t="s">
        <v>39</v>
      </c>
      <c r="G240" s="119"/>
      <c r="H240" s="118"/>
    </row>
    <row r="241" spans="1:8" ht="15.5" outlineLevel="1" x14ac:dyDescent="0.35">
      <c r="D241" s="120"/>
      <c r="E241" s="119"/>
      <c r="F241" s="119" t="s">
        <v>72</v>
      </c>
      <c r="G241" s="119"/>
      <c r="H241" s="118"/>
    </row>
    <row r="242" spans="1:8" ht="15.5" outlineLevel="1" x14ac:dyDescent="0.35">
      <c r="D242" s="120"/>
      <c r="E242" s="119"/>
      <c r="F242" s="119" t="s">
        <v>74</v>
      </c>
      <c r="G242" s="119"/>
      <c r="H242" s="118"/>
    </row>
    <row r="243" spans="1:8" ht="15.5" outlineLevel="1" x14ac:dyDescent="0.35">
      <c r="D243" s="120"/>
      <c r="E243" s="119"/>
      <c r="F243" s="119" t="s">
        <v>196</v>
      </c>
      <c r="G243" s="119"/>
      <c r="H243" s="118"/>
    </row>
    <row r="244" spans="1:8" ht="15.5" outlineLevel="1" x14ac:dyDescent="0.35">
      <c r="D244" s="120"/>
      <c r="E244" s="119"/>
      <c r="F244" s="119" t="s">
        <v>197</v>
      </c>
      <c r="G244" s="119"/>
      <c r="H244" s="118"/>
    </row>
    <row r="245" spans="1:8" ht="16" outlineLevel="1" thickBot="1" x14ac:dyDescent="0.4">
      <c r="D245" s="130"/>
      <c r="E245" s="129"/>
      <c r="F245" s="129"/>
      <c r="G245" s="129"/>
      <c r="H245" s="128"/>
    </row>
    <row r="246" spans="1:8" ht="15.65" customHeight="1" thickTop="1" thickBot="1" x14ac:dyDescent="0.4">
      <c r="A246" s="127">
        <f>A212+1</f>
        <v>8</v>
      </c>
      <c r="B246" s="126" t="s">
        <v>228</v>
      </c>
      <c r="C246" s="125">
        <f>SUM(D246:H246)</f>
        <v>35</v>
      </c>
      <c r="D246" s="119">
        <f>COUNTA(D247:D279)</f>
        <v>0</v>
      </c>
      <c r="E246" s="119">
        <f>COUNTA(E247:E279)</f>
        <v>4</v>
      </c>
      <c r="F246" s="119">
        <f>COUNTA(F247:F279)</f>
        <v>15</v>
      </c>
      <c r="G246" s="119">
        <f>COUNTA(G247:G279)</f>
        <v>9</v>
      </c>
      <c r="H246" s="119">
        <f>COUNTA(H247:H279)</f>
        <v>7</v>
      </c>
    </row>
    <row r="247" spans="1:8" ht="15.65" customHeight="1" outlineLevel="1" thickTop="1" x14ac:dyDescent="0.35">
      <c r="D247" s="124"/>
      <c r="E247" s="123"/>
      <c r="F247" s="123"/>
      <c r="G247" s="123"/>
      <c r="H247" s="122"/>
    </row>
    <row r="248" spans="1:8" ht="15.65" customHeight="1" outlineLevel="1" x14ac:dyDescent="0.35">
      <c r="D248" s="120"/>
      <c r="E248" s="119" t="s">
        <v>242</v>
      </c>
      <c r="F248" s="119" t="s">
        <v>70</v>
      </c>
      <c r="G248" s="119" t="s">
        <v>89</v>
      </c>
      <c r="H248" s="118" t="s">
        <v>80</v>
      </c>
    </row>
    <row r="249" spans="1:8" ht="15.5" outlineLevel="1" x14ac:dyDescent="0.35">
      <c r="D249" s="120"/>
      <c r="E249" s="119" t="s">
        <v>91</v>
      </c>
      <c r="F249" s="119" t="s">
        <v>88</v>
      </c>
      <c r="G249" s="119"/>
      <c r="H249" s="118" t="s">
        <v>65</v>
      </c>
    </row>
    <row r="250" spans="1:8" ht="15.5" outlineLevel="1" x14ac:dyDescent="0.35">
      <c r="D250" s="120"/>
      <c r="E250" s="119" t="s">
        <v>72</v>
      </c>
      <c r="F250" s="119" t="s">
        <v>28</v>
      </c>
      <c r="G250" s="119"/>
      <c r="H250" s="118" t="s">
        <v>78</v>
      </c>
    </row>
    <row r="251" spans="1:8" ht="15.5" outlineLevel="1" x14ac:dyDescent="0.35">
      <c r="D251" s="120"/>
      <c r="E251" s="119"/>
      <c r="F251" s="119" t="s">
        <v>83</v>
      </c>
      <c r="G251" s="119" t="s">
        <v>67</v>
      </c>
      <c r="H251" s="118" t="s">
        <v>76</v>
      </c>
    </row>
    <row r="252" spans="1:8" ht="15.5" outlineLevel="1" x14ac:dyDescent="0.35">
      <c r="D252" s="120"/>
      <c r="F252" s="119" t="s">
        <v>94</v>
      </c>
      <c r="G252" s="119" t="s">
        <v>24</v>
      </c>
      <c r="H252" s="118" t="s">
        <v>74</v>
      </c>
    </row>
    <row r="253" spans="1:8" ht="15.5" outlineLevel="1" x14ac:dyDescent="0.35">
      <c r="D253" s="120"/>
      <c r="E253" s="119"/>
      <c r="F253" s="119" t="s">
        <v>96</v>
      </c>
      <c r="G253" s="119" t="s">
        <v>68</v>
      </c>
      <c r="H253" s="118" t="s">
        <v>85</v>
      </c>
    </row>
    <row r="254" spans="1:8" ht="15.5" outlineLevel="1" x14ac:dyDescent="0.35">
      <c r="D254" s="120"/>
      <c r="E254" s="119"/>
      <c r="F254" s="119" t="s">
        <v>17</v>
      </c>
      <c r="G254" s="119" t="s">
        <v>57</v>
      </c>
      <c r="H254" s="118" t="s">
        <v>69</v>
      </c>
    </row>
    <row r="255" spans="1:8" ht="15.5" outlineLevel="1" x14ac:dyDescent="0.35">
      <c r="D255" s="120"/>
      <c r="E255" s="119"/>
      <c r="F255" s="119" t="s">
        <v>98</v>
      </c>
      <c r="G255" s="119" t="s">
        <v>35</v>
      </c>
      <c r="H255" s="118"/>
    </row>
    <row r="256" spans="1:8" ht="15.5" outlineLevel="1" x14ac:dyDescent="0.35">
      <c r="D256" s="120"/>
      <c r="E256" s="119"/>
      <c r="F256" s="119" t="s">
        <v>31</v>
      </c>
      <c r="G256" s="119" t="s">
        <v>66</v>
      </c>
      <c r="H256" s="118"/>
    </row>
    <row r="257" spans="4:8" ht="15.5" outlineLevel="1" x14ac:dyDescent="0.35">
      <c r="D257" s="120"/>
      <c r="E257" s="119"/>
      <c r="F257" s="119" t="s">
        <v>99</v>
      </c>
      <c r="G257" s="119" t="s">
        <v>61</v>
      </c>
      <c r="H257" s="118"/>
    </row>
    <row r="258" spans="4:8" ht="15.5" outlineLevel="1" x14ac:dyDescent="0.35">
      <c r="D258" s="120"/>
      <c r="E258" s="119"/>
      <c r="F258" s="119" t="s">
        <v>84</v>
      </c>
      <c r="G258" s="119" t="s">
        <v>49</v>
      </c>
      <c r="H258" s="118"/>
    </row>
    <row r="259" spans="4:8" ht="15.5" outlineLevel="1" x14ac:dyDescent="0.35">
      <c r="D259" s="120"/>
      <c r="E259" s="119"/>
      <c r="F259" s="119" t="s">
        <v>39</v>
      </c>
      <c r="G259" s="119"/>
      <c r="H259" s="118"/>
    </row>
    <row r="260" spans="4:8" ht="15.5" outlineLevel="1" x14ac:dyDescent="0.35">
      <c r="D260" s="120"/>
      <c r="E260" s="119"/>
      <c r="F260" s="121" t="s">
        <v>56</v>
      </c>
      <c r="G260" s="119"/>
      <c r="H260" s="118"/>
    </row>
    <row r="261" spans="4:8" ht="15.5" outlineLevel="1" x14ac:dyDescent="0.35">
      <c r="D261" s="120"/>
      <c r="E261" s="119"/>
      <c r="F261" s="119" t="s">
        <v>53</v>
      </c>
      <c r="G261" s="121"/>
      <c r="H261" s="118"/>
    </row>
    <row r="262" spans="4:8" ht="15.5" outlineLevel="1" x14ac:dyDescent="0.35">
      <c r="D262" s="120"/>
      <c r="E262" s="119"/>
      <c r="F262" s="119" t="s">
        <v>196</v>
      </c>
      <c r="G262" s="121"/>
      <c r="H262" s="118"/>
    </row>
    <row r="263" spans="4:8" ht="15.5" outlineLevel="1" x14ac:dyDescent="0.35">
      <c r="D263" s="120"/>
      <c r="E263" s="119" t="s">
        <v>197</v>
      </c>
      <c r="F263" s="119"/>
      <c r="G263" s="119"/>
      <c r="H263" s="118"/>
    </row>
    <row r="264" spans="4:8" ht="15.5" outlineLevel="1" x14ac:dyDescent="0.35">
      <c r="D264" s="120"/>
      <c r="E264" s="119"/>
      <c r="F264" s="119"/>
      <c r="G264" s="119"/>
      <c r="H264" s="118"/>
    </row>
    <row r="265" spans="4:8" ht="15.5" outlineLevel="1" x14ac:dyDescent="0.35">
      <c r="D265" s="120"/>
      <c r="E265" s="121"/>
      <c r="F265" s="119"/>
      <c r="G265" s="119"/>
      <c r="H265" s="118"/>
    </row>
    <row r="266" spans="4:8" ht="15.5" outlineLevel="1" x14ac:dyDescent="0.35">
      <c r="D266" s="120"/>
      <c r="E266" s="119"/>
      <c r="F266" s="119"/>
      <c r="G266" s="119"/>
      <c r="H266" s="118"/>
    </row>
    <row r="267" spans="4:8" ht="15.5" outlineLevel="1" x14ac:dyDescent="0.35">
      <c r="D267" s="120"/>
      <c r="E267" s="119"/>
      <c r="F267" s="119"/>
      <c r="G267" s="119"/>
      <c r="H267" s="118"/>
    </row>
    <row r="268" spans="4:8" ht="15.5" outlineLevel="1" x14ac:dyDescent="0.35">
      <c r="D268" s="120"/>
      <c r="E268" s="119"/>
      <c r="F268" s="119"/>
      <c r="G268" s="119"/>
      <c r="H268" s="118"/>
    </row>
    <row r="269" spans="4:8" ht="15.5" outlineLevel="1" x14ac:dyDescent="0.35">
      <c r="D269" s="120"/>
      <c r="E269" s="119"/>
      <c r="F269" s="119"/>
      <c r="G269" s="119"/>
      <c r="H269" s="118"/>
    </row>
    <row r="270" spans="4:8" ht="15.5" outlineLevel="1" x14ac:dyDescent="0.35">
      <c r="D270" s="120"/>
      <c r="E270" s="119"/>
      <c r="F270" s="119"/>
      <c r="G270" s="119"/>
      <c r="H270" s="118"/>
    </row>
    <row r="271" spans="4:8" ht="15.5" outlineLevel="1" x14ac:dyDescent="0.35">
      <c r="D271" s="120"/>
      <c r="E271" s="119"/>
      <c r="F271" s="119"/>
      <c r="G271" s="119"/>
      <c r="H271" s="118"/>
    </row>
    <row r="272" spans="4:8" ht="15.5" outlineLevel="1" x14ac:dyDescent="0.35">
      <c r="D272" s="120"/>
      <c r="E272" s="119"/>
      <c r="F272" s="119"/>
      <c r="G272" s="119"/>
      <c r="H272" s="118"/>
    </row>
    <row r="273" spans="3:8" ht="15.5" outlineLevel="1" x14ac:dyDescent="0.35">
      <c r="D273" s="120"/>
      <c r="E273" s="119"/>
      <c r="F273" s="119"/>
      <c r="G273" s="119"/>
      <c r="H273" s="118"/>
    </row>
    <row r="274" spans="3:8" ht="15.5" outlineLevel="1" x14ac:dyDescent="0.35">
      <c r="D274" s="120"/>
      <c r="E274" s="119"/>
      <c r="F274" s="119"/>
      <c r="G274" s="119"/>
      <c r="H274" s="118"/>
    </row>
    <row r="275" spans="3:8" ht="15.5" outlineLevel="1" x14ac:dyDescent="0.35">
      <c r="D275" s="120"/>
      <c r="E275" s="119"/>
      <c r="F275" s="119"/>
      <c r="G275" s="119"/>
      <c r="H275" s="118"/>
    </row>
    <row r="276" spans="3:8" ht="15.5" outlineLevel="1" x14ac:dyDescent="0.35">
      <c r="D276" s="120"/>
      <c r="E276" s="119"/>
      <c r="F276" s="119"/>
      <c r="G276" s="119"/>
      <c r="H276" s="118"/>
    </row>
    <row r="277" spans="3:8" ht="15.5" outlineLevel="1" x14ac:dyDescent="0.35">
      <c r="D277" s="120"/>
      <c r="E277" s="119"/>
      <c r="F277" s="119"/>
      <c r="G277" s="119"/>
      <c r="H277" s="118"/>
    </row>
    <row r="278" spans="3:8" ht="15.5" outlineLevel="1" x14ac:dyDescent="0.35">
      <c r="D278" s="120"/>
      <c r="E278" s="119"/>
      <c r="F278" s="119"/>
      <c r="G278" s="119"/>
      <c r="H278" s="118"/>
    </row>
    <row r="279" spans="3:8" ht="15.5" outlineLevel="1" x14ac:dyDescent="0.35">
      <c r="D279" s="120"/>
      <c r="E279" s="119"/>
      <c r="F279" s="119"/>
      <c r="G279" s="119"/>
      <c r="H279" s="118"/>
    </row>
    <row r="280" spans="3:8" ht="15" customHeight="1" x14ac:dyDescent="0.35">
      <c r="C280" s="117">
        <f>SUM(D280:H280)</f>
        <v>279</v>
      </c>
      <c r="D280" s="116">
        <f>D246+D212+D178+D144+D110+D76+D42+D8</f>
        <v>5</v>
      </c>
      <c r="E280" s="116">
        <f>E246+E212+E178+E144+E110+E76+E42+E8</f>
        <v>27</v>
      </c>
      <c r="F280" s="116">
        <f>F246+F212+F178+F144+F110+F76+F42+F8</f>
        <v>151</v>
      </c>
      <c r="G280" s="116">
        <f>G246+G212+G178+G144+G110+G76+G42+G8</f>
        <v>71</v>
      </c>
      <c r="H280" s="116">
        <f>H246+H212+H178+H144+H110+H76+H42+H8</f>
        <v>25</v>
      </c>
    </row>
    <row r="281" spans="3:8" ht="15.5" x14ac:dyDescent="0.35">
      <c r="C281" s="115"/>
      <c r="D281" s="114">
        <f>D280/$C$280</f>
        <v>1.7921146953405017E-2</v>
      </c>
      <c r="E281" s="114">
        <f>E280/$C$280</f>
        <v>9.6774193548387094E-2</v>
      </c>
      <c r="F281" s="114">
        <f>F280/$C$280</f>
        <v>0.54121863799283154</v>
      </c>
      <c r="G281" s="114">
        <f>G280/$C$280</f>
        <v>0.25448028673835127</v>
      </c>
      <c r="H281" s="114">
        <f>H280/$C$280</f>
        <v>8.9605734767025089E-2</v>
      </c>
    </row>
  </sheetData>
  <mergeCells count="5">
    <mergeCell ref="H2:H7"/>
    <mergeCell ref="G2:G7"/>
    <mergeCell ref="F2:F7"/>
    <mergeCell ref="E2:E7"/>
    <mergeCell ref="D2:D7"/>
  </mergeCells>
  <conditionalFormatting sqref="D77:H78 D80:H109 D79 F79:H79">
    <cfRule type="duplicateValues" dxfId="633" priority="133"/>
    <cfRule type="duplicateValues" dxfId="632" priority="140"/>
    <cfRule type="duplicateValues" dxfId="631" priority="147"/>
    <cfRule type="duplicateValues" dxfId="630" priority="154"/>
    <cfRule type="duplicateValues" dxfId="629" priority="161"/>
    <cfRule type="duplicateValues" dxfId="628" priority="168"/>
    <cfRule type="duplicateValues" dxfId="627" priority="175"/>
    <cfRule type="duplicateValues" dxfId="626" priority="182"/>
    <cfRule type="duplicateValues" dxfId="625" priority="189"/>
    <cfRule type="duplicateValues" dxfId="624" priority="196"/>
    <cfRule type="duplicateValues" dxfId="623" priority="203"/>
    <cfRule type="duplicateValues" dxfId="622" priority="210"/>
    <cfRule type="duplicateValues" dxfId="621" priority="217"/>
    <cfRule type="duplicateValues" dxfId="620" priority="223"/>
    <cfRule type="duplicateValues" dxfId="619" priority="228"/>
    <cfRule type="duplicateValues" dxfId="618" priority="232"/>
    <cfRule type="duplicateValues" dxfId="617" priority="235"/>
    <cfRule type="duplicateValues" dxfId="616" priority="245"/>
  </conditionalFormatting>
  <conditionalFormatting sqref="D43:H75">
    <cfRule type="duplicateValues" dxfId="615" priority="134"/>
    <cfRule type="duplicateValues" dxfId="614" priority="141"/>
    <cfRule type="duplicateValues" dxfId="613" priority="148"/>
    <cfRule type="duplicateValues" dxfId="612" priority="155"/>
    <cfRule type="duplicateValues" dxfId="611" priority="162"/>
    <cfRule type="duplicateValues" dxfId="610" priority="169"/>
    <cfRule type="duplicateValues" dxfId="609" priority="176"/>
    <cfRule type="duplicateValues" dxfId="608" priority="183"/>
    <cfRule type="duplicateValues" dxfId="607" priority="190"/>
    <cfRule type="duplicateValues" dxfId="606" priority="197"/>
    <cfRule type="duplicateValues" dxfId="605" priority="204"/>
    <cfRule type="duplicateValues" dxfId="604" priority="211"/>
    <cfRule type="duplicateValues" dxfId="603" priority="218"/>
    <cfRule type="duplicateValues" dxfId="602" priority="224"/>
    <cfRule type="duplicateValues" dxfId="601" priority="229"/>
    <cfRule type="duplicateValues" dxfId="600" priority="233"/>
    <cfRule type="duplicateValues" dxfId="599" priority="236"/>
    <cfRule type="duplicateValues" dxfId="598" priority="237"/>
    <cfRule type="duplicateValues" dxfId="597" priority="238"/>
    <cfRule type="duplicateValues" dxfId="596" priority="244"/>
  </conditionalFormatting>
  <conditionalFormatting sqref="D111:H112 D114:H143 D113 F113:H113">
    <cfRule type="duplicateValues" dxfId="595" priority="132"/>
    <cfRule type="duplicateValues" dxfId="594" priority="139"/>
    <cfRule type="duplicateValues" dxfId="593" priority="146"/>
    <cfRule type="duplicateValues" dxfId="592" priority="153"/>
    <cfRule type="duplicateValues" dxfId="591" priority="160"/>
    <cfRule type="duplicateValues" dxfId="590" priority="167"/>
    <cfRule type="duplicateValues" dxfId="589" priority="174"/>
    <cfRule type="duplicateValues" dxfId="588" priority="181"/>
    <cfRule type="duplicateValues" dxfId="587" priority="188"/>
    <cfRule type="duplicateValues" dxfId="586" priority="195"/>
    <cfRule type="duplicateValues" dxfId="585" priority="202"/>
    <cfRule type="duplicateValues" dxfId="584" priority="209"/>
    <cfRule type="duplicateValues" dxfId="583" priority="216"/>
    <cfRule type="duplicateValues" dxfId="582" priority="222"/>
    <cfRule type="duplicateValues" dxfId="581" priority="227"/>
    <cfRule type="duplicateValues" dxfId="580" priority="231"/>
    <cfRule type="duplicateValues" dxfId="579" priority="234"/>
    <cfRule type="duplicateValues" dxfId="578" priority="243"/>
  </conditionalFormatting>
  <conditionalFormatting sqref="D145:H145 D147:H177 D146 F146:H146">
    <cfRule type="duplicateValues" dxfId="577" priority="131"/>
    <cfRule type="duplicateValues" dxfId="576" priority="138"/>
    <cfRule type="duplicateValues" dxfId="575" priority="145"/>
    <cfRule type="duplicateValues" dxfId="574" priority="152"/>
    <cfRule type="duplicateValues" dxfId="573" priority="159"/>
    <cfRule type="duplicateValues" dxfId="572" priority="166"/>
    <cfRule type="duplicateValues" dxfId="571" priority="173"/>
    <cfRule type="duplicateValues" dxfId="570" priority="180"/>
    <cfRule type="duplicateValues" dxfId="569" priority="187"/>
    <cfRule type="duplicateValues" dxfId="568" priority="194"/>
    <cfRule type="duplicateValues" dxfId="567" priority="201"/>
    <cfRule type="duplicateValues" dxfId="566" priority="208"/>
    <cfRule type="duplicateValues" dxfId="565" priority="215"/>
    <cfRule type="duplicateValues" dxfId="564" priority="221"/>
    <cfRule type="duplicateValues" dxfId="563" priority="226"/>
    <cfRule type="duplicateValues" dxfId="562" priority="230"/>
    <cfRule type="duplicateValues" dxfId="561" priority="242"/>
  </conditionalFormatting>
  <conditionalFormatting sqref="D179:H185 D187:H211 D186 F186:H186">
    <cfRule type="duplicateValues" dxfId="560" priority="130"/>
    <cfRule type="duplicateValues" dxfId="559" priority="137"/>
    <cfRule type="duplicateValues" dxfId="558" priority="144"/>
    <cfRule type="duplicateValues" dxfId="557" priority="151"/>
    <cfRule type="duplicateValues" dxfId="556" priority="158"/>
    <cfRule type="duplicateValues" dxfId="555" priority="165"/>
    <cfRule type="duplicateValues" dxfId="554" priority="172"/>
    <cfRule type="duplicateValues" dxfId="553" priority="179"/>
    <cfRule type="duplicateValues" dxfId="552" priority="186"/>
    <cfRule type="duplicateValues" dxfId="551" priority="193"/>
    <cfRule type="duplicateValues" dxfId="550" priority="200"/>
    <cfRule type="duplicateValues" dxfId="549" priority="207"/>
    <cfRule type="duplicateValues" dxfId="548" priority="214"/>
    <cfRule type="duplicateValues" dxfId="547" priority="220"/>
    <cfRule type="duplicateValues" dxfId="546" priority="225"/>
    <cfRule type="duplicateValues" dxfId="545" priority="241"/>
  </conditionalFormatting>
  <conditionalFormatting sqref="D213:H215 D242:H245 D217:E241 G217:H241 F217:F240 D216 F216:H216">
    <cfRule type="duplicateValues" dxfId="544" priority="240"/>
  </conditionalFormatting>
  <conditionalFormatting sqref="D247:H257 D259:H279 D258:F258 H258">
    <cfRule type="duplicateValues" dxfId="543" priority="128"/>
    <cfRule type="duplicateValues" dxfId="542" priority="135"/>
    <cfRule type="duplicateValues" dxfId="541" priority="142"/>
    <cfRule type="duplicateValues" dxfId="540" priority="149"/>
    <cfRule type="duplicateValues" dxfId="539" priority="156"/>
    <cfRule type="duplicateValues" dxfId="538" priority="163"/>
    <cfRule type="duplicateValues" dxfId="537" priority="170"/>
    <cfRule type="duplicateValues" dxfId="536" priority="177"/>
    <cfRule type="duplicateValues" dxfId="535" priority="184"/>
    <cfRule type="duplicateValues" dxfId="534" priority="191"/>
    <cfRule type="duplicateValues" dxfId="533" priority="198"/>
    <cfRule type="duplicateValues" dxfId="532" priority="205"/>
    <cfRule type="duplicateValues" dxfId="531" priority="212"/>
    <cfRule type="duplicateValues" dxfId="530" priority="239"/>
  </conditionalFormatting>
  <conditionalFormatting sqref="D213:H215 D217:H245 D216 F216:H216">
    <cfRule type="duplicateValues" dxfId="529" priority="129"/>
    <cfRule type="duplicateValues" dxfId="528" priority="136"/>
    <cfRule type="duplicateValues" dxfId="527" priority="143"/>
    <cfRule type="duplicateValues" dxfId="526" priority="150"/>
    <cfRule type="duplicateValues" dxfId="525" priority="157"/>
    <cfRule type="duplicateValues" dxfId="524" priority="164"/>
    <cfRule type="duplicateValues" dxfId="523" priority="171"/>
    <cfRule type="duplicateValues" dxfId="522" priority="178"/>
    <cfRule type="duplicateValues" dxfId="521" priority="185"/>
    <cfRule type="duplicateValues" dxfId="520" priority="192"/>
    <cfRule type="duplicateValues" dxfId="519" priority="199"/>
    <cfRule type="duplicateValues" dxfId="518" priority="206"/>
    <cfRule type="duplicateValues" dxfId="517" priority="213"/>
    <cfRule type="duplicateValues" dxfId="516" priority="219"/>
  </conditionalFormatting>
  <conditionalFormatting sqref="F241">
    <cfRule type="duplicateValues" dxfId="515" priority="127"/>
  </conditionalFormatting>
  <conditionalFormatting sqref="D13 F13:H13 D14:H41 D9:H12">
    <cfRule type="duplicateValues" dxfId="514" priority="246"/>
    <cfRule type="duplicateValues" dxfId="513" priority="247"/>
    <cfRule type="duplicateValues" dxfId="512" priority="248"/>
    <cfRule type="duplicateValues" dxfId="511" priority="249"/>
    <cfRule type="duplicateValues" dxfId="510" priority="250"/>
    <cfRule type="duplicateValues" dxfId="509" priority="251"/>
    <cfRule type="duplicateValues" dxfId="508" priority="252"/>
    <cfRule type="duplicateValues" dxfId="507" priority="253"/>
    <cfRule type="duplicateValues" dxfId="506" priority="254"/>
    <cfRule type="duplicateValues" dxfId="505" priority="255"/>
    <cfRule type="duplicateValues" dxfId="504" priority="256"/>
    <cfRule type="duplicateValues" dxfId="503" priority="257"/>
    <cfRule type="duplicateValues" dxfId="502" priority="258"/>
    <cfRule type="duplicateValues" dxfId="501" priority="259"/>
    <cfRule type="duplicateValues" dxfId="500" priority="260"/>
    <cfRule type="duplicateValues" dxfId="499" priority="261"/>
    <cfRule type="duplicateValues" dxfId="498" priority="262"/>
    <cfRule type="duplicateValues" dxfId="497" priority="263"/>
    <cfRule type="duplicateValues" dxfId="496" priority="264"/>
    <cfRule type="duplicateValues" dxfId="495" priority="265"/>
    <cfRule type="duplicateValues" dxfId="494" priority="266"/>
  </conditionalFormatting>
  <conditionalFormatting sqref="E79">
    <cfRule type="duplicateValues" dxfId="493" priority="106"/>
    <cfRule type="duplicateValues" dxfId="492" priority="107"/>
    <cfRule type="duplicateValues" dxfId="491" priority="108"/>
    <cfRule type="duplicateValues" dxfId="490" priority="109"/>
    <cfRule type="duplicateValues" dxfId="489" priority="110"/>
    <cfRule type="duplicateValues" dxfId="488" priority="111"/>
    <cfRule type="duplicateValues" dxfId="487" priority="112"/>
    <cfRule type="duplicateValues" dxfId="486" priority="113"/>
    <cfRule type="duplicateValues" dxfId="485" priority="114"/>
    <cfRule type="duplicateValues" dxfId="484" priority="115"/>
    <cfRule type="duplicateValues" dxfId="483" priority="116"/>
    <cfRule type="duplicateValues" dxfId="482" priority="117"/>
    <cfRule type="duplicateValues" dxfId="481" priority="118"/>
    <cfRule type="duplicateValues" dxfId="480" priority="119"/>
    <cfRule type="duplicateValues" dxfId="479" priority="120"/>
    <cfRule type="duplicateValues" dxfId="478" priority="121"/>
    <cfRule type="duplicateValues" dxfId="477" priority="122"/>
    <cfRule type="duplicateValues" dxfId="476" priority="123"/>
    <cfRule type="duplicateValues" dxfId="475" priority="124"/>
    <cfRule type="duplicateValues" dxfId="474" priority="125"/>
    <cfRule type="duplicateValues" dxfId="473" priority="126"/>
  </conditionalFormatting>
  <conditionalFormatting sqref="E113">
    <cfRule type="duplicateValues" dxfId="472" priority="85"/>
    <cfRule type="duplicateValues" dxfId="471" priority="86"/>
    <cfRule type="duplicateValues" dxfId="470" priority="87"/>
    <cfRule type="duplicateValues" dxfId="469" priority="88"/>
    <cfRule type="duplicateValues" dxfId="468" priority="89"/>
    <cfRule type="duplicateValues" dxfId="467" priority="90"/>
    <cfRule type="duplicateValues" dxfId="466" priority="91"/>
    <cfRule type="duplicateValues" dxfId="465" priority="92"/>
    <cfRule type="duplicateValues" dxfId="464" priority="93"/>
    <cfRule type="duplicateValues" dxfId="463" priority="94"/>
    <cfRule type="duplicateValues" dxfId="462" priority="95"/>
    <cfRule type="duplicateValues" dxfId="461" priority="96"/>
    <cfRule type="duplicateValues" dxfId="460" priority="97"/>
    <cfRule type="duplicateValues" dxfId="459" priority="98"/>
    <cfRule type="duplicateValues" dxfId="458" priority="99"/>
    <cfRule type="duplicateValues" dxfId="457" priority="100"/>
    <cfRule type="duplicateValues" dxfId="456" priority="101"/>
    <cfRule type="duplicateValues" dxfId="455" priority="102"/>
    <cfRule type="duplicateValues" dxfId="454" priority="103"/>
    <cfRule type="duplicateValues" dxfId="453" priority="104"/>
    <cfRule type="duplicateValues" dxfId="452" priority="105"/>
  </conditionalFormatting>
  <conditionalFormatting sqref="E146">
    <cfRule type="duplicateValues" dxfId="451" priority="64"/>
    <cfRule type="duplicateValues" dxfId="450" priority="65"/>
    <cfRule type="duplicateValues" dxfId="449" priority="66"/>
    <cfRule type="duplicateValues" dxfId="448" priority="67"/>
    <cfRule type="duplicateValues" dxfId="447" priority="68"/>
    <cfRule type="duplicateValues" dxfId="446" priority="69"/>
    <cfRule type="duplicateValues" dxfId="445" priority="70"/>
    <cfRule type="duplicateValues" dxfId="444" priority="71"/>
    <cfRule type="duplicateValues" dxfId="443" priority="72"/>
    <cfRule type="duplicateValues" dxfId="442" priority="73"/>
    <cfRule type="duplicateValues" dxfId="441" priority="74"/>
    <cfRule type="duplicateValues" dxfId="440" priority="75"/>
    <cfRule type="duplicateValues" dxfId="439" priority="76"/>
    <cfRule type="duplicateValues" dxfId="438" priority="77"/>
    <cfRule type="duplicateValues" dxfId="437" priority="78"/>
    <cfRule type="duplicateValues" dxfId="436" priority="79"/>
    <cfRule type="duplicateValues" dxfId="435" priority="80"/>
    <cfRule type="duplicateValues" dxfId="434" priority="81"/>
    <cfRule type="duplicateValues" dxfId="433" priority="82"/>
    <cfRule type="duplicateValues" dxfId="432" priority="83"/>
    <cfRule type="duplicateValues" dxfId="431" priority="84"/>
  </conditionalFormatting>
  <conditionalFormatting sqref="E186">
    <cfRule type="duplicateValues" dxfId="430" priority="43"/>
    <cfRule type="duplicateValues" dxfId="429" priority="44"/>
    <cfRule type="duplicateValues" dxfId="428" priority="45"/>
    <cfRule type="duplicateValues" dxfId="427" priority="46"/>
    <cfRule type="duplicateValues" dxfId="426" priority="47"/>
    <cfRule type="duplicateValues" dxfId="425" priority="48"/>
    <cfRule type="duplicateValues" dxfId="424" priority="49"/>
    <cfRule type="duplicateValues" dxfId="423" priority="50"/>
    <cfRule type="duplicateValues" dxfId="422" priority="51"/>
    <cfRule type="duplicateValues" dxfId="421" priority="52"/>
    <cfRule type="duplicateValues" dxfId="420" priority="53"/>
    <cfRule type="duplicateValues" dxfId="419" priority="54"/>
    <cfRule type="duplicateValues" dxfId="418" priority="55"/>
    <cfRule type="duplicateValues" dxfId="417" priority="56"/>
    <cfRule type="duplicateValues" dxfId="416" priority="57"/>
    <cfRule type="duplicateValues" dxfId="415" priority="58"/>
    <cfRule type="duplicateValues" dxfId="414" priority="59"/>
    <cfRule type="duplicateValues" dxfId="413" priority="60"/>
    <cfRule type="duplicateValues" dxfId="412" priority="61"/>
    <cfRule type="duplicateValues" dxfId="411" priority="62"/>
    <cfRule type="duplicateValues" dxfId="410" priority="63"/>
  </conditionalFormatting>
  <conditionalFormatting sqref="E216">
    <cfRule type="duplicateValues" dxfId="409" priority="22"/>
    <cfRule type="duplicateValues" dxfId="408" priority="23"/>
    <cfRule type="duplicateValues" dxfId="407" priority="24"/>
    <cfRule type="duplicateValues" dxfId="406" priority="25"/>
    <cfRule type="duplicateValues" dxfId="405" priority="26"/>
    <cfRule type="duplicateValues" dxfId="404" priority="27"/>
    <cfRule type="duplicateValues" dxfId="403" priority="28"/>
    <cfRule type="duplicateValues" dxfId="402" priority="29"/>
    <cfRule type="duplicateValues" dxfId="401" priority="30"/>
    <cfRule type="duplicateValues" dxfId="400" priority="31"/>
    <cfRule type="duplicateValues" dxfId="399" priority="32"/>
    <cfRule type="duplicateValues" dxfId="398" priority="33"/>
    <cfRule type="duplicateValues" dxfId="397" priority="34"/>
    <cfRule type="duplicateValues" dxfId="396" priority="35"/>
    <cfRule type="duplicateValues" dxfId="395" priority="36"/>
    <cfRule type="duplicateValues" dxfId="394" priority="37"/>
    <cfRule type="duplicateValues" dxfId="393" priority="38"/>
    <cfRule type="duplicateValues" dxfId="392" priority="39"/>
    <cfRule type="duplicateValues" dxfId="391" priority="40"/>
    <cfRule type="duplicateValues" dxfId="390" priority="41"/>
    <cfRule type="duplicateValues" dxfId="389" priority="42"/>
  </conditionalFormatting>
  <conditionalFormatting sqref="G258">
    <cfRule type="duplicateValues" dxfId="388" priority="1"/>
    <cfRule type="duplicateValues" dxfId="387" priority="2"/>
    <cfRule type="duplicateValues" dxfId="386" priority="3"/>
    <cfRule type="duplicateValues" dxfId="385" priority="4"/>
    <cfRule type="duplicateValues" dxfId="384" priority="5"/>
    <cfRule type="duplicateValues" dxfId="383" priority="6"/>
    <cfRule type="duplicateValues" dxfId="382" priority="7"/>
    <cfRule type="duplicateValues" dxfId="381" priority="8"/>
    <cfRule type="duplicateValues" dxfId="380" priority="9"/>
    <cfRule type="duplicateValues" dxfId="379" priority="10"/>
    <cfRule type="duplicateValues" dxfId="378" priority="11"/>
    <cfRule type="duplicateValues" dxfId="377" priority="12"/>
    <cfRule type="duplicateValues" dxfId="376" priority="13"/>
    <cfRule type="duplicateValues" dxfId="375" priority="14"/>
    <cfRule type="duplicateValues" dxfId="374" priority="15"/>
    <cfRule type="duplicateValues" dxfId="373" priority="16"/>
    <cfRule type="duplicateValues" dxfId="372" priority="17"/>
    <cfRule type="duplicateValues" dxfId="371" priority="18"/>
    <cfRule type="duplicateValues" dxfId="370" priority="19"/>
    <cfRule type="duplicateValues" dxfId="369" priority="20"/>
    <cfRule type="duplicateValues" dxfId="368" priority="21"/>
  </conditionalFormatting>
  <dataValidations count="1">
    <dataValidation type="list" allowBlank="1" showInputMessage="1" showErrorMessage="1" sqref="F1 D13 D14:H280 F13:H13 D8:H12" xr:uid="{6D9A9891-9C41-4D34-89F5-CB04AC5D44E6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5EAE7-BA67-4D4A-8268-FF5565AD84F5}">
  <sheetPr codeName="Sheet18">
    <outlinePr summaryBelow="0" summaryRight="0"/>
  </sheetPr>
  <dimension ref="A1:H281"/>
  <sheetViews>
    <sheetView topLeftCell="A2" workbookViewId="0"/>
  </sheetViews>
  <sheetFormatPr defaultColWidth="8.7265625" defaultRowHeight="12" outlineLevelRow="1" x14ac:dyDescent="0.3"/>
  <cols>
    <col min="1" max="1" width="3.81640625" style="113" customWidth="1"/>
    <col min="2" max="2" width="94" style="113" customWidth="1"/>
    <col min="3" max="3" width="3.81640625" style="113" customWidth="1"/>
    <col min="4" max="4" width="23" style="113" customWidth="1"/>
    <col min="5" max="6" width="24.7265625" style="113" bestFit="1" customWidth="1"/>
    <col min="7" max="8" width="23" style="113" customWidth="1"/>
    <col min="9" max="16384" width="8.7265625" style="113"/>
  </cols>
  <sheetData>
    <row r="1" spans="1:8" ht="21" x14ac:dyDescent="0.5">
      <c r="D1" s="131">
        <v>1</v>
      </c>
      <c r="E1" s="131">
        <v>2</v>
      </c>
      <c r="F1" s="132" t="s">
        <v>100</v>
      </c>
      <c r="G1" s="131">
        <v>4</v>
      </c>
      <c r="H1" s="131">
        <v>5</v>
      </c>
    </row>
    <row r="2" spans="1:8" x14ac:dyDescent="0.3">
      <c r="D2" s="168" t="s">
        <v>255</v>
      </c>
      <c r="E2" s="168" t="s">
        <v>254</v>
      </c>
      <c r="F2" s="168" t="s">
        <v>253</v>
      </c>
      <c r="G2" s="168" t="s">
        <v>252</v>
      </c>
      <c r="H2" s="168" t="s">
        <v>251</v>
      </c>
    </row>
    <row r="3" spans="1:8" x14ac:dyDescent="0.3">
      <c r="D3" s="169"/>
      <c r="E3" s="169"/>
      <c r="F3" s="169"/>
      <c r="G3" s="169"/>
      <c r="H3" s="169"/>
    </row>
    <row r="4" spans="1:8" x14ac:dyDescent="0.3">
      <c r="D4" s="169"/>
      <c r="E4" s="169"/>
      <c r="F4" s="169"/>
      <c r="G4" s="169"/>
      <c r="H4" s="169"/>
    </row>
    <row r="5" spans="1:8" x14ac:dyDescent="0.3">
      <c r="D5" s="169"/>
      <c r="E5" s="169"/>
      <c r="F5" s="169"/>
      <c r="G5" s="169"/>
      <c r="H5" s="169"/>
    </row>
    <row r="6" spans="1:8" x14ac:dyDescent="0.3">
      <c r="D6" s="169"/>
      <c r="E6" s="169"/>
      <c r="F6" s="169"/>
      <c r="G6" s="169"/>
      <c r="H6" s="169"/>
    </row>
    <row r="7" spans="1:8" ht="12.5" thickBot="1" x14ac:dyDescent="0.35">
      <c r="D7" s="170"/>
      <c r="E7" s="170"/>
      <c r="F7" s="170"/>
      <c r="G7" s="170"/>
      <c r="H7" s="170"/>
    </row>
    <row r="8" spans="1:8" ht="15.65" customHeight="1" thickBot="1" x14ac:dyDescent="0.4">
      <c r="A8" s="133">
        <v>1</v>
      </c>
      <c r="B8" s="126" t="s">
        <v>226</v>
      </c>
      <c r="C8" s="125">
        <f>SUM(D8:H8)</f>
        <v>35</v>
      </c>
      <c r="D8" s="119">
        <f>COUNTA(D9:D41)</f>
        <v>1</v>
      </c>
      <c r="E8" s="119">
        <f>COUNTA(E9:E41)</f>
        <v>3</v>
      </c>
      <c r="F8" s="119">
        <f>COUNTA(F9:F41)</f>
        <v>11</v>
      </c>
      <c r="G8" s="119">
        <f>COUNTA(G9:G41)</f>
        <v>20</v>
      </c>
      <c r="H8" s="119">
        <f>COUNTA(H9:H41)</f>
        <v>0</v>
      </c>
    </row>
    <row r="9" spans="1:8" ht="15.65" customHeight="1" outlineLevel="1" thickTop="1" x14ac:dyDescent="0.35">
      <c r="D9" s="124"/>
      <c r="E9" s="123"/>
      <c r="F9" s="123"/>
      <c r="G9" s="123"/>
      <c r="H9" s="122"/>
    </row>
    <row r="10" spans="1:8" ht="15.65" customHeight="1" outlineLevel="1" x14ac:dyDescent="0.35">
      <c r="D10" s="120"/>
      <c r="E10" s="119" t="s">
        <v>28</v>
      </c>
      <c r="F10" s="119"/>
      <c r="G10" s="119"/>
      <c r="H10" s="118"/>
    </row>
    <row r="11" spans="1:8" ht="15.5" outlineLevel="1" x14ac:dyDescent="0.35">
      <c r="D11" s="120"/>
      <c r="E11" s="119"/>
      <c r="F11" s="119" t="s">
        <v>94</v>
      </c>
      <c r="G11" s="119" t="s">
        <v>80</v>
      </c>
      <c r="H11" s="118"/>
    </row>
    <row r="12" spans="1:8" ht="15.5" outlineLevel="1" x14ac:dyDescent="0.35">
      <c r="D12" s="120"/>
      <c r="E12" s="119"/>
      <c r="F12" s="119" t="s">
        <v>53</v>
      </c>
      <c r="G12" s="119" t="s">
        <v>96</v>
      </c>
      <c r="H12" s="118"/>
    </row>
    <row r="13" spans="1:8" ht="15.5" outlineLevel="1" x14ac:dyDescent="0.35">
      <c r="D13" s="120"/>
      <c r="E13" s="119"/>
      <c r="F13" s="119" t="s">
        <v>89</v>
      </c>
      <c r="G13" s="119" t="s">
        <v>17</v>
      </c>
      <c r="H13" s="118"/>
    </row>
    <row r="14" spans="1:8" ht="15.5" outlineLevel="1" x14ac:dyDescent="0.35">
      <c r="D14" s="120"/>
      <c r="E14" s="119" t="s">
        <v>98</v>
      </c>
      <c r="F14" s="119" t="s">
        <v>21</v>
      </c>
      <c r="G14" s="119" t="s">
        <v>85</v>
      </c>
      <c r="H14" s="118"/>
    </row>
    <row r="15" spans="1:8" ht="15.5" outlineLevel="1" x14ac:dyDescent="0.35">
      <c r="D15" s="120"/>
      <c r="E15" s="119"/>
      <c r="F15" s="119" t="s">
        <v>56</v>
      </c>
      <c r="G15" s="119" t="s">
        <v>35</v>
      </c>
      <c r="H15" s="118"/>
    </row>
    <row r="16" spans="1:8" ht="15.5" outlineLevel="1" x14ac:dyDescent="0.35">
      <c r="D16" s="120"/>
      <c r="E16" s="119"/>
      <c r="F16" s="119" t="s">
        <v>99</v>
      </c>
      <c r="G16" s="119" t="s">
        <v>31</v>
      </c>
      <c r="H16" s="118"/>
    </row>
    <row r="17" spans="4:8" ht="15.5" outlineLevel="1" x14ac:dyDescent="0.35">
      <c r="D17" s="120"/>
      <c r="E17" s="119"/>
      <c r="F17" s="119" t="s">
        <v>84</v>
      </c>
      <c r="G17" s="119" t="s">
        <v>78</v>
      </c>
      <c r="H17" s="118"/>
    </row>
    <row r="18" spans="4:8" ht="15.5" outlineLevel="1" x14ac:dyDescent="0.35">
      <c r="D18" s="120" t="s">
        <v>72</v>
      </c>
      <c r="E18" s="119"/>
      <c r="F18" s="119" t="s">
        <v>76</v>
      </c>
      <c r="G18" s="119"/>
      <c r="H18" s="118"/>
    </row>
    <row r="19" spans="4:8" ht="15.5" outlineLevel="1" x14ac:dyDescent="0.35">
      <c r="D19" s="120"/>
      <c r="E19" s="119"/>
      <c r="F19" s="119" t="s">
        <v>49</v>
      </c>
      <c r="G19" s="119" t="s">
        <v>39</v>
      </c>
      <c r="H19" s="118"/>
    </row>
    <row r="20" spans="4:8" ht="15.5" outlineLevel="1" x14ac:dyDescent="0.35">
      <c r="D20" s="120"/>
      <c r="E20" s="119"/>
      <c r="F20" s="119" t="s">
        <v>196</v>
      </c>
      <c r="G20" s="119"/>
      <c r="H20" s="118"/>
    </row>
    <row r="21" spans="4:8" ht="15.5" outlineLevel="1" x14ac:dyDescent="0.35">
      <c r="D21" s="120"/>
      <c r="E21" s="119" t="s">
        <v>74</v>
      </c>
      <c r="F21" s="119"/>
      <c r="G21" s="119" t="s">
        <v>197</v>
      </c>
      <c r="H21" s="118"/>
    </row>
    <row r="22" spans="4:8" ht="15.5" outlineLevel="1" x14ac:dyDescent="0.35">
      <c r="D22" s="120"/>
      <c r="E22" s="119"/>
      <c r="F22" s="119" t="s">
        <v>243</v>
      </c>
      <c r="G22" s="118" t="s">
        <v>70</v>
      </c>
      <c r="H22" s="118"/>
    </row>
    <row r="23" spans="4:8" ht="15.5" outlineLevel="1" x14ac:dyDescent="0.35">
      <c r="D23" s="120"/>
      <c r="E23" s="119"/>
      <c r="F23" s="119"/>
      <c r="G23" s="118" t="s">
        <v>88</v>
      </c>
      <c r="H23" s="118"/>
    </row>
    <row r="24" spans="4:8" ht="15.5" outlineLevel="1" x14ac:dyDescent="0.35">
      <c r="D24" s="120"/>
      <c r="E24" s="119"/>
      <c r="F24" s="119"/>
      <c r="G24" s="118" t="s">
        <v>83</v>
      </c>
      <c r="H24" s="118"/>
    </row>
    <row r="25" spans="4:8" ht="15.5" outlineLevel="1" x14ac:dyDescent="0.35">
      <c r="D25" s="120"/>
      <c r="E25" s="119"/>
      <c r="F25" s="119"/>
      <c r="G25" s="118" t="s">
        <v>69</v>
      </c>
      <c r="H25" s="118"/>
    </row>
    <row r="26" spans="4:8" ht="15.5" outlineLevel="1" x14ac:dyDescent="0.35">
      <c r="D26" s="120"/>
      <c r="E26" s="119"/>
      <c r="F26" s="119"/>
      <c r="G26" s="118" t="s">
        <v>67</v>
      </c>
      <c r="H26" s="118"/>
    </row>
    <row r="27" spans="4:8" ht="15.5" outlineLevel="1" x14ac:dyDescent="0.35">
      <c r="D27" s="120"/>
      <c r="E27" s="121"/>
      <c r="F27" s="119"/>
      <c r="G27" s="118" t="s">
        <v>24</v>
      </c>
      <c r="H27" s="118"/>
    </row>
    <row r="28" spans="4:8" ht="15.5" outlineLevel="1" x14ac:dyDescent="0.35">
      <c r="D28" s="120"/>
      <c r="E28" s="119"/>
      <c r="F28" s="119"/>
      <c r="G28" s="118" t="s">
        <v>68</v>
      </c>
      <c r="H28" s="118"/>
    </row>
    <row r="29" spans="4:8" ht="15.5" outlineLevel="1" x14ac:dyDescent="0.35">
      <c r="D29" s="120"/>
      <c r="E29" s="119"/>
      <c r="F29" s="119"/>
      <c r="G29" s="118" t="s">
        <v>57</v>
      </c>
      <c r="H29" s="118"/>
    </row>
    <row r="30" spans="4:8" ht="15.5" outlineLevel="1" x14ac:dyDescent="0.35">
      <c r="D30" s="120"/>
      <c r="E30" s="119"/>
      <c r="F30" s="119"/>
      <c r="G30" s="118" t="s">
        <v>66</v>
      </c>
      <c r="H30" s="118"/>
    </row>
    <row r="31" spans="4:8" ht="15.5" outlineLevel="1" x14ac:dyDescent="0.35">
      <c r="D31" s="120"/>
      <c r="E31" s="119"/>
      <c r="F31" s="119"/>
      <c r="G31" s="118" t="s">
        <v>65</v>
      </c>
      <c r="H31" s="118"/>
    </row>
    <row r="32" spans="4:8" ht="15.5" outlineLevel="1" x14ac:dyDescent="0.35">
      <c r="D32" s="120"/>
      <c r="E32" s="119"/>
      <c r="F32" s="119"/>
      <c r="G32" s="118" t="s">
        <v>91</v>
      </c>
      <c r="H32" s="118"/>
    </row>
    <row r="33" spans="1:8" ht="15.5" outlineLevel="1" x14ac:dyDescent="0.35">
      <c r="D33" s="120"/>
      <c r="E33" s="119"/>
      <c r="F33" s="119"/>
      <c r="G33" s="119"/>
      <c r="H33" s="118"/>
    </row>
    <row r="34" spans="1:8" ht="15.5" outlineLevel="1" x14ac:dyDescent="0.35">
      <c r="D34" s="120"/>
      <c r="E34" s="119"/>
      <c r="F34" s="119"/>
      <c r="G34" s="119"/>
      <c r="H34" s="118"/>
    </row>
    <row r="35" spans="1:8" ht="15.5" outlineLevel="1" x14ac:dyDescent="0.35">
      <c r="D35" s="120"/>
      <c r="E35" s="119"/>
      <c r="F35" s="119"/>
      <c r="G35" s="119"/>
      <c r="H35" s="118"/>
    </row>
    <row r="36" spans="1:8" ht="15.5" outlineLevel="1" x14ac:dyDescent="0.35">
      <c r="D36" s="120"/>
      <c r="E36" s="119"/>
      <c r="F36" s="119"/>
      <c r="G36" s="119"/>
      <c r="H36" s="118"/>
    </row>
    <row r="37" spans="1:8" ht="15.5" outlineLevel="1" x14ac:dyDescent="0.35">
      <c r="D37" s="120"/>
      <c r="E37" s="119"/>
      <c r="F37" s="119"/>
      <c r="G37" s="119"/>
      <c r="H37" s="118"/>
    </row>
    <row r="38" spans="1:8" ht="15.5" outlineLevel="1" x14ac:dyDescent="0.35">
      <c r="D38" s="120"/>
      <c r="E38" s="119"/>
      <c r="F38" s="119"/>
      <c r="G38" s="119"/>
      <c r="H38" s="118"/>
    </row>
    <row r="39" spans="1:8" ht="15.5" outlineLevel="1" x14ac:dyDescent="0.35">
      <c r="D39" s="120"/>
      <c r="E39" s="119"/>
      <c r="F39" s="119"/>
      <c r="G39" s="119"/>
      <c r="H39" s="118"/>
    </row>
    <row r="40" spans="1:8" ht="15.5" outlineLevel="1" x14ac:dyDescent="0.35">
      <c r="D40" s="120"/>
      <c r="E40" s="119"/>
      <c r="F40" s="119"/>
      <c r="G40" s="119"/>
      <c r="H40" s="118"/>
    </row>
    <row r="41" spans="1:8" ht="16" outlineLevel="1" thickBot="1" x14ac:dyDescent="0.4">
      <c r="D41" s="130"/>
      <c r="E41" s="129"/>
      <c r="F41" s="129"/>
      <c r="G41" s="129"/>
      <c r="H41" s="128"/>
    </row>
    <row r="42" spans="1:8" ht="15.65" customHeight="1" thickTop="1" thickBot="1" x14ac:dyDescent="0.4">
      <c r="A42" s="133">
        <f>A8+1</f>
        <v>2</v>
      </c>
      <c r="B42" s="126" t="s">
        <v>225</v>
      </c>
      <c r="C42" s="125">
        <f>SUM(D42:H42)</f>
        <v>35</v>
      </c>
      <c r="D42" s="119">
        <f>COUNTA(D43:D75)</f>
        <v>2</v>
      </c>
      <c r="E42" s="119">
        <f>COUNTA(E43:E75)</f>
        <v>2</v>
      </c>
      <c r="F42" s="119">
        <f>COUNTA(F43:F75)</f>
        <v>26</v>
      </c>
      <c r="G42" s="119">
        <f>COUNTA(G43:G75)</f>
        <v>4</v>
      </c>
      <c r="H42" s="119">
        <f>COUNTA(H43:H75)</f>
        <v>1</v>
      </c>
    </row>
    <row r="43" spans="1:8" ht="15.65" customHeight="1" outlineLevel="1" thickTop="1" x14ac:dyDescent="0.35">
      <c r="D43" s="124"/>
      <c r="E43" s="123"/>
      <c r="F43" s="123"/>
      <c r="G43" s="123"/>
      <c r="H43" s="122"/>
    </row>
    <row r="44" spans="1:8" ht="15.65" customHeight="1" outlineLevel="1" x14ac:dyDescent="0.35">
      <c r="D44" s="120" t="s">
        <v>98</v>
      </c>
      <c r="E44" s="119" t="s">
        <v>91</v>
      </c>
      <c r="F44" s="119" t="s">
        <v>70</v>
      </c>
      <c r="G44" s="119" t="s">
        <v>21</v>
      </c>
      <c r="H44" s="118" t="s">
        <v>96</v>
      </c>
    </row>
    <row r="45" spans="1:8" ht="15.5" outlineLevel="1" x14ac:dyDescent="0.35">
      <c r="D45" s="120" t="s">
        <v>99</v>
      </c>
      <c r="E45" s="119" t="s">
        <v>49</v>
      </c>
      <c r="F45" s="119" t="s">
        <v>88</v>
      </c>
      <c r="G45" s="119" t="s">
        <v>39</v>
      </c>
      <c r="H45" s="118"/>
    </row>
    <row r="46" spans="1:8" ht="15.5" outlineLevel="1" x14ac:dyDescent="0.35">
      <c r="D46" s="120"/>
      <c r="E46" s="119"/>
      <c r="F46" s="119" t="s">
        <v>28</v>
      </c>
      <c r="G46" s="119" t="s">
        <v>72</v>
      </c>
      <c r="H46" s="118"/>
    </row>
    <row r="47" spans="1:8" ht="15.5" outlineLevel="1" x14ac:dyDescent="0.35">
      <c r="D47" s="120"/>
      <c r="E47" s="119"/>
      <c r="F47" s="119" t="s">
        <v>80</v>
      </c>
      <c r="G47" s="119"/>
      <c r="H47" s="118"/>
    </row>
    <row r="48" spans="1:8" ht="15.5" outlineLevel="1" x14ac:dyDescent="0.35">
      <c r="D48" s="120"/>
      <c r="F48" s="119" t="s">
        <v>83</v>
      </c>
      <c r="G48" s="119"/>
      <c r="H48" s="118"/>
    </row>
    <row r="49" spans="4:8" ht="15.5" outlineLevel="1" x14ac:dyDescent="0.35">
      <c r="D49" s="120"/>
      <c r="E49" s="119"/>
      <c r="F49" s="119" t="s">
        <v>94</v>
      </c>
      <c r="G49" s="119"/>
      <c r="H49" s="118"/>
    </row>
    <row r="50" spans="4:8" ht="15.5" outlineLevel="1" x14ac:dyDescent="0.35">
      <c r="D50" s="120"/>
      <c r="E50" s="119"/>
      <c r="F50" s="119" t="s">
        <v>89</v>
      </c>
      <c r="G50" s="119"/>
      <c r="H50" s="118"/>
    </row>
    <row r="51" spans="4:8" ht="15.5" outlineLevel="1" x14ac:dyDescent="0.35">
      <c r="D51" s="120"/>
      <c r="E51" s="119"/>
      <c r="F51" s="119"/>
      <c r="G51" s="119" t="s">
        <v>17</v>
      </c>
      <c r="H51" s="118"/>
    </row>
    <row r="52" spans="4:8" ht="15.5" outlineLevel="1" x14ac:dyDescent="0.35">
      <c r="D52" s="120"/>
      <c r="E52" s="119"/>
      <c r="F52" s="119" t="s">
        <v>85</v>
      </c>
      <c r="G52" s="119"/>
      <c r="H52" s="118"/>
    </row>
    <row r="53" spans="4:8" ht="15.5" outlineLevel="1" x14ac:dyDescent="0.35">
      <c r="D53" s="120"/>
      <c r="E53" s="119"/>
      <c r="F53" s="119" t="s">
        <v>69</v>
      </c>
      <c r="G53" s="119"/>
      <c r="H53" s="118"/>
    </row>
    <row r="54" spans="4:8" ht="15.5" outlineLevel="1" x14ac:dyDescent="0.35">
      <c r="D54" s="120"/>
      <c r="E54" s="119"/>
      <c r="F54" s="119" t="s">
        <v>67</v>
      </c>
      <c r="G54" s="119"/>
      <c r="H54" s="118"/>
    </row>
    <row r="55" spans="4:8" ht="15.5" outlineLevel="1" x14ac:dyDescent="0.35">
      <c r="D55" s="120"/>
      <c r="E55" s="119"/>
      <c r="F55" s="121" t="s">
        <v>24</v>
      </c>
      <c r="G55" s="119"/>
      <c r="H55" s="118"/>
    </row>
    <row r="56" spans="4:8" ht="15.5" outlineLevel="1" x14ac:dyDescent="0.35">
      <c r="D56" s="120"/>
      <c r="E56" s="119"/>
      <c r="F56" s="119" t="s">
        <v>68</v>
      </c>
      <c r="G56" s="119"/>
      <c r="H56" s="118"/>
    </row>
    <row r="57" spans="4:8" ht="15.5" outlineLevel="1" x14ac:dyDescent="0.35">
      <c r="D57" s="120"/>
      <c r="E57" s="119"/>
      <c r="F57" s="119" t="s">
        <v>57</v>
      </c>
      <c r="G57" s="121"/>
      <c r="H57" s="118"/>
    </row>
    <row r="58" spans="4:8" ht="15.5" outlineLevel="1" x14ac:dyDescent="0.35">
      <c r="D58" s="120"/>
      <c r="E58" s="119"/>
      <c r="F58" s="119" t="s">
        <v>35</v>
      </c>
      <c r="G58" s="121"/>
      <c r="H58" s="118"/>
    </row>
    <row r="59" spans="4:8" ht="15.5" outlineLevel="1" x14ac:dyDescent="0.35">
      <c r="D59" s="120"/>
      <c r="E59" s="119"/>
      <c r="F59" s="119" t="s">
        <v>31</v>
      </c>
      <c r="G59" s="119"/>
      <c r="H59" s="118"/>
    </row>
    <row r="60" spans="4:8" ht="15.5" outlineLevel="1" x14ac:dyDescent="0.35">
      <c r="D60" s="120"/>
      <c r="E60" s="119"/>
      <c r="F60" s="119" t="s">
        <v>66</v>
      </c>
      <c r="G60" s="119"/>
      <c r="H60" s="118"/>
    </row>
    <row r="61" spans="4:8" ht="15.5" outlineLevel="1" x14ac:dyDescent="0.35">
      <c r="D61" s="120"/>
      <c r="E61" s="121"/>
      <c r="F61" s="119" t="s">
        <v>84</v>
      </c>
      <c r="G61" s="119"/>
      <c r="H61" s="118"/>
    </row>
    <row r="62" spans="4:8" ht="15.5" outlineLevel="1" x14ac:dyDescent="0.35">
      <c r="D62" s="120"/>
      <c r="E62" s="119"/>
      <c r="F62" s="119" t="s">
        <v>65</v>
      </c>
      <c r="G62" s="119"/>
      <c r="H62" s="118"/>
    </row>
    <row r="63" spans="4:8" ht="15.5" outlineLevel="1" x14ac:dyDescent="0.35">
      <c r="D63" s="120"/>
      <c r="E63" s="119"/>
      <c r="F63" s="119" t="s">
        <v>78</v>
      </c>
      <c r="G63" s="119"/>
      <c r="H63" s="118"/>
    </row>
    <row r="64" spans="4:8" ht="15.5" outlineLevel="1" x14ac:dyDescent="0.35">
      <c r="D64" s="120"/>
      <c r="E64" s="119"/>
      <c r="F64" s="119" t="s">
        <v>76</v>
      </c>
      <c r="G64" s="119"/>
      <c r="H64" s="118"/>
    </row>
    <row r="65" spans="1:8" ht="15.5" outlineLevel="1" x14ac:dyDescent="0.35">
      <c r="D65" s="120"/>
      <c r="E65" s="119"/>
      <c r="F65" s="119" t="s">
        <v>74</v>
      </c>
      <c r="G65" s="119"/>
      <c r="H65" s="118"/>
    </row>
    <row r="66" spans="1:8" ht="15.5" outlineLevel="1" x14ac:dyDescent="0.35">
      <c r="D66" s="120"/>
      <c r="E66" s="119"/>
      <c r="F66" s="119" t="s">
        <v>243</v>
      </c>
      <c r="G66" s="119"/>
      <c r="H66" s="118"/>
    </row>
    <row r="67" spans="1:8" ht="15.5" outlineLevel="1" x14ac:dyDescent="0.35">
      <c r="D67" s="120"/>
      <c r="E67" s="119"/>
      <c r="F67" s="119" t="s">
        <v>56</v>
      </c>
      <c r="G67" s="119"/>
      <c r="H67" s="118"/>
    </row>
    <row r="68" spans="1:8" ht="15.5" outlineLevel="1" x14ac:dyDescent="0.35">
      <c r="D68" s="120"/>
      <c r="E68" s="119"/>
      <c r="F68" s="119" t="s">
        <v>53</v>
      </c>
      <c r="G68" s="119"/>
      <c r="H68" s="118"/>
    </row>
    <row r="69" spans="1:8" ht="15.5" outlineLevel="1" x14ac:dyDescent="0.35">
      <c r="D69" s="120"/>
      <c r="E69" s="119"/>
      <c r="F69" s="120" t="s">
        <v>196</v>
      </c>
      <c r="G69" s="119"/>
      <c r="H69" s="118"/>
    </row>
    <row r="70" spans="1:8" ht="15.5" outlineLevel="1" x14ac:dyDescent="0.35">
      <c r="D70" s="120"/>
      <c r="E70" s="119"/>
      <c r="F70" s="118" t="s">
        <v>197</v>
      </c>
      <c r="G70" s="119"/>
      <c r="H70" s="118"/>
    </row>
    <row r="71" spans="1:8" ht="15.5" outlineLevel="1" x14ac:dyDescent="0.35">
      <c r="D71" s="120"/>
      <c r="E71" s="119"/>
      <c r="F71" s="119"/>
      <c r="G71" s="119"/>
      <c r="H71" s="118"/>
    </row>
    <row r="72" spans="1:8" ht="15.5" outlineLevel="1" x14ac:dyDescent="0.35">
      <c r="D72" s="120"/>
      <c r="E72" s="119"/>
      <c r="F72" s="119"/>
      <c r="G72" s="119"/>
      <c r="H72" s="118"/>
    </row>
    <row r="73" spans="1:8" ht="15.5" outlineLevel="1" x14ac:dyDescent="0.35">
      <c r="D73" s="120"/>
      <c r="E73" s="119"/>
      <c r="F73" s="119"/>
      <c r="G73" s="119"/>
      <c r="H73" s="118"/>
    </row>
    <row r="74" spans="1:8" ht="15.5" outlineLevel="1" x14ac:dyDescent="0.35">
      <c r="D74" s="120"/>
      <c r="E74" s="119"/>
      <c r="F74" s="119"/>
      <c r="G74" s="119"/>
      <c r="H74" s="118"/>
    </row>
    <row r="75" spans="1:8" ht="16" outlineLevel="1" thickBot="1" x14ac:dyDescent="0.4">
      <c r="D75" s="130"/>
      <c r="E75" s="129"/>
      <c r="F75" s="129"/>
      <c r="G75" s="129"/>
      <c r="H75" s="128"/>
    </row>
    <row r="76" spans="1:8" ht="15.65" customHeight="1" thickTop="1" thickBot="1" x14ac:dyDescent="0.4">
      <c r="A76" s="133">
        <f>A42+1</f>
        <v>3</v>
      </c>
      <c r="B76" s="126" t="s">
        <v>224</v>
      </c>
      <c r="C76" s="125">
        <f>SUM(D76:H76)</f>
        <v>35</v>
      </c>
      <c r="D76" s="119">
        <f>COUNTA(D77:D109)</f>
        <v>0</v>
      </c>
      <c r="E76" s="119">
        <f>COUNTA(E77:E109)</f>
        <v>3</v>
      </c>
      <c r="F76" s="119">
        <f>COUNTA(F77:F109)</f>
        <v>29</v>
      </c>
      <c r="G76" s="119">
        <f>COUNTA(G77:G109)</f>
        <v>3</v>
      </c>
      <c r="H76" s="119">
        <f>COUNTA(H77:H109)</f>
        <v>0</v>
      </c>
    </row>
    <row r="77" spans="1:8" ht="15.65" customHeight="1" outlineLevel="1" thickTop="1" x14ac:dyDescent="0.35">
      <c r="D77" s="124"/>
      <c r="E77" s="123"/>
      <c r="F77" s="123"/>
      <c r="G77" s="123"/>
      <c r="H77" s="122"/>
    </row>
    <row r="78" spans="1:8" ht="15.65" customHeight="1" outlineLevel="1" x14ac:dyDescent="0.35">
      <c r="D78" s="120"/>
      <c r="E78" s="119"/>
      <c r="F78" s="119" t="s">
        <v>70</v>
      </c>
      <c r="G78" s="119" t="s">
        <v>96</v>
      </c>
      <c r="H78" s="118"/>
    </row>
    <row r="79" spans="1:8" ht="15.5" outlineLevel="1" x14ac:dyDescent="0.35">
      <c r="D79" s="120"/>
      <c r="E79" s="119" t="s">
        <v>91</v>
      </c>
      <c r="F79" s="119" t="s">
        <v>88</v>
      </c>
      <c r="G79" s="119"/>
      <c r="H79" s="118"/>
    </row>
    <row r="80" spans="1:8" ht="15.5" outlineLevel="1" x14ac:dyDescent="0.35">
      <c r="D80" s="120"/>
      <c r="E80" s="119" t="s">
        <v>98</v>
      </c>
      <c r="F80" s="119" t="s">
        <v>28</v>
      </c>
      <c r="G80" s="119"/>
      <c r="H80" s="118"/>
    </row>
    <row r="81" spans="4:8" ht="15.5" outlineLevel="1" x14ac:dyDescent="0.35">
      <c r="D81" s="120"/>
      <c r="E81" s="119"/>
      <c r="F81" s="119" t="s">
        <v>80</v>
      </c>
      <c r="G81" s="119"/>
      <c r="H81" s="118"/>
    </row>
    <row r="82" spans="4:8" ht="15.5" outlineLevel="1" x14ac:dyDescent="0.35">
      <c r="D82" s="120"/>
      <c r="F82" s="119" t="s">
        <v>83</v>
      </c>
      <c r="G82" s="119"/>
      <c r="H82" s="118"/>
    </row>
    <row r="83" spans="4:8" ht="15.5" outlineLevel="1" x14ac:dyDescent="0.35">
      <c r="D83" s="120"/>
      <c r="E83" s="119"/>
      <c r="F83" s="119" t="s">
        <v>94</v>
      </c>
      <c r="G83" s="119"/>
      <c r="H83" s="118"/>
    </row>
    <row r="84" spans="4:8" ht="15.5" outlineLevel="1" x14ac:dyDescent="0.35">
      <c r="D84" s="120"/>
      <c r="E84" s="119"/>
      <c r="F84" s="119" t="s">
        <v>89</v>
      </c>
      <c r="G84" s="119"/>
      <c r="H84" s="118"/>
    </row>
    <row r="85" spans="4:8" ht="15.5" outlineLevel="1" x14ac:dyDescent="0.35">
      <c r="D85" s="120"/>
      <c r="E85" s="119"/>
      <c r="F85" s="119" t="s">
        <v>17</v>
      </c>
      <c r="G85" s="119"/>
      <c r="H85" s="118"/>
    </row>
    <row r="86" spans="4:8" ht="15.5" outlineLevel="1" x14ac:dyDescent="0.35">
      <c r="D86" s="120"/>
      <c r="E86" s="119"/>
      <c r="F86" s="119" t="s">
        <v>85</v>
      </c>
      <c r="G86" s="119"/>
      <c r="H86" s="118"/>
    </row>
    <row r="87" spans="4:8" ht="15.5" outlineLevel="1" x14ac:dyDescent="0.35">
      <c r="D87" s="120"/>
      <c r="E87" s="119"/>
      <c r="F87" s="119" t="s">
        <v>69</v>
      </c>
      <c r="G87" s="119"/>
      <c r="H87" s="118"/>
    </row>
    <row r="88" spans="4:8" ht="15.5" outlineLevel="1" x14ac:dyDescent="0.35">
      <c r="D88" s="120"/>
      <c r="E88" s="119"/>
      <c r="F88" s="119" t="s">
        <v>67</v>
      </c>
      <c r="G88" s="119"/>
      <c r="H88" s="118"/>
    </row>
    <row r="89" spans="4:8" ht="15.5" outlineLevel="1" x14ac:dyDescent="0.35">
      <c r="D89" s="120"/>
      <c r="E89" s="119"/>
      <c r="F89" s="121" t="s">
        <v>24</v>
      </c>
      <c r="G89" s="119"/>
      <c r="H89" s="118"/>
    </row>
    <row r="90" spans="4:8" ht="15.5" outlineLevel="1" x14ac:dyDescent="0.35">
      <c r="D90" s="120"/>
      <c r="E90" s="119"/>
      <c r="F90" s="119" t="s">
        <v>68</v>
      </c>
      <c r="G90" s="119"/>
      <c r="H90" s="118"/>
    </row>
    <row r="91" spans="4:8" ht="15.5" outlineLevel="1" x14ac:dyDescent="0.35">
      <c r="D91" s="120"/>
      <c r="E91" s="119"/>
      <c r="F91" s="119" t="s">
        <v>57</v>
      </c>
      <c r="G91" s="121"/>
      <c r="H91" s="118"/>
    </row>
    <row r="92" spans="4:8" ht="15.5" outlineLevel="1" x14ac:dyDescent="0.35">
      <c r="D92" s="120"/>
      <c r="E92" s="119"/>
      <c r="F92" s="119" t="s">
        <v>35</v>
      </c>
      <c r="G92" s="121"/>
      <c r="H92" s="118"/>
    </row>
    <row r="93" spans="4:8" ht="15.5" outlineLevel="1" x14ac:dyDescent="0.35">
      <c r="D93" s="120"/>
      <c r="E93" s="119"/>
      <c r="F93" s="119" t="s">
        <v>31</v>
      </c>
      <c r="G93" s="119"/>
      <c r="H93" s="118"/>
    </row>
    <row r="94" spans="4:8" ht="15.5" outlineLevel="1" x14ac:dyDescent="0.35">
      <c r="D94" s="120"/>
      <c r="E94" s="119"/>
      <c r="F94" s="119" t="s">
        <v>66</v>
      </c>
      <c r="G94" s="119"/>
      <c r="H94" s="118"/>
    </row>
    <row r="95" spans="4:8" ht="15.5" outlineLevel="1" x14ac:dyDescent="0.35">
      <c r="D95" s="120"/>
      <c r="E95" s="121"/>
      <c r="F95" s="119" t="s">
        <v>99</v>
      </c>
      <c r="G95" s="119"/>
      <c r="H95" s="118"/>
    </row>
    <row r="96" spans="4:8" ht="15.5" outlineLevel="1" x14ac:dyDescent="0.35">
      <c r="D96" s="120"/>
      <c r="E96" s="119"/>
      <c r="F96" s="119" t="s">
        <v>84</v>
      </c>
      <c r="G96" s="119"/>
      <c r="H96" s="118"/>
    </row>
    <row r="97" spans="1:8" ht="15.5" outlineLevel="1" x14ac:dyDescent="0.35">
      <c r="D97" s="120"/>
      <c r="E97" s="119"/>
      <c r="F97" s="119" t="s">
        <v>65</v>
      </c>
      <c r="G97" s="119"/>
      <c r="H97" s="118"/>
    </row>
    <row r="98" spans="1:8" ht="15.5" outlineLevel="1" x14ac:dyDescent="0.35">
      <c r="D98" s="120"/>
      <c r="E98" s="119"/>
      <c r="F98" s="119" t="s">
        <v>78</v>
      </c>
      <c r="G98" s="119"/>
      <c r="H98" s="118"/>
    </row>
    <row r="99" spans="1:8" ht="15.5" outlineLevel="1" x14ac:dyDescent="0.35">
      <c r="D99" s="120"/>
      <c r="E99" s="119"/>
      <c r="F99" s="119" t="s">
        <v>76</v>
      </c>
      <c r="G99" s="119"/>
      <c r="H99" s="118"/>
    </row>
    <row r="100" spans="1:8" ht="15.5" outlineLevel="1" x14ac:dyDescent="0.35">
      <c r="D100" s="120"/>
      <c r="E100" s="119"/>
      <c r="F100" s="119" t="s">
        <v>197</v>
      </c>
      <c r="G100" s="119" t="s">
        <v>39</v>
      </c>
      <c r="H100" s="118"/>
    </row>
    <row r="101" spans="1:8" ht="15.5" outlineLevel="1" x14ac:dyDescent="0.35">
      <c r="D101" s="120"/>
      <c r="E101" s="119"/>
      <c r="F101" s="119"/>
      <c r="G101" s="119" t="s">
        <v>72</v>
      </c>
      <c r="H101" s="118"/>
    </row>
    <row r="102" spans="1:8" ht="15.5" outlineLevel="1" x14ac:dyDescent="0.35">
      <c r="D102" s="120"/>
      <c r="E102" s="119"/>
      <c r="F102" s="119" t="s">
        <v>74</v>
      </c>
      <c r="G102" s="119"/>
      <c r="H102" s="118"/>
    </row>
    <row r="103" spans="1:8" ht="15.5" outlineLevel="1" x14ac:dyDescent="0.35">
      <c r="D103" s="120"/>
      <c r="E103" s="119"/>
      <c r="F103" s="119" t="s">
        <v>243</v>
      </c>
      <c r="G103" s="119"/>
      <c r="H103" s="118"/>
    </row>
    <row r="104" spans="1:8" ht="15.5" outlineLevel="1" x14ac:dyDescent="0.35">
      <c r="D104" s="120"/>
      <c r="E104" s="119"/>
      <c r="F104" s="119" t="s">
        <v>56</v>
      </c>
      <c r="G104" s="119"/>
      <c r="H104" s="118"/>
    </row>
    <row r="105" spans="1:8" ht="15.5" outlineLevel="1" x14ac:dyDescent="0.35">
      <c r="D105" s="120"/>
      <c r="E105" s="119"/>
      <c r="F105" s="119" t="s">
        <v>53</v>
      </c>
      <c r="G105" s="119"/>
      <c r="H105" s="118"/>
    </row>
    <row r="106" spans="1:8" ht="15.5" outlineLevel="1" x14ac:dyDescent="0.35">
      <c r="D106" s="120"/>
      <c r="E106" s="119" t="s">
        <v>49</v>
      </c>
      <c r="F106" s="119"/>
      <c r="G106" s="119"/>
      <c r="H106" s="118"/>
    </row>
    <row r="107" spans="1:8" ht="15.5" outlineLevel="1" x14ac:dyDescent="0.35">
      <c r="D107" s="120"/>
      <c r="E107" s="119"/>
      <c r="F107" s="119" t="s">
        <v>196</v>
      </c>
      <c r="G107" s="119"/>
      <c r="H107" s="118"/>
    </row>
    <row r="108" spans="1:8" ht="15.5" outlineLevel="1" x14ac:dyDescent="0.35">
      <c r="D108" s="120"/>
      <c r="E108" s="119"/>
      <c r="F108" s="119" t="s">
        <v>21</v>
      </c>
      <c r="G108" s="119"/>
      <c r="H108" s="118"/>
    </row>
    <row r="109" spans="1:8" ht="16" outlineLevel="1" thickBot="1" x14ac:dyDescent="0.4">
      <c r="D109" s="130"/>
      <c r="E109" s="129"/>
      <c r="F109" s="129"/>
      <c r="G109" s="129"/>
      <c r="H109" s="128"/>
    </row>
    <row r="110" spans="1:8" ht="15.65" customHeight="1" thickTop="1" thickBot="1" x14ac:dyDescent="0.4">
      <c r="A110" s="133">
        <f>A76+1</f>
        <v>4</v>
      </c>
      <c r="B110" s="126" t="s">
        <v>223</v>
      </c>
      <c r="C110" s="125">
        <f>SUM(D110:H110)</f>
        <v>35</v>
      </c>
      <c r="D110" s="119">
        <f>COUNTA(D111:D143)</f>
        <v>0</v>
      </c>
      <c r="E110" s="119">
        <f>COUNTA(E111:E143)</f>
        <v>0</v>
      </c>
      <c r="F110" s="119">
        <f>COUNTA(F111:F143)</f>
        <v>11</v>
      </c>
      <c r="G110" s="119">
        <f>COUNTA(G111:G143)</f>
        <v>20</v>
      </c>
      <c r="H110" s="119">
        <f>COUNTA(H111:H143)</f>
        <v>4</v>
      </c>
    </row>
    <row r="111" spans="1:8" ht="15.65" customHeight="1" outlineLevel="1" thickTop="1" x14ac:dyDescent="0.35">
      <c r="D111" s="124"/>
      <c r="E111" s="123"/>
      <c r="F111" s="123"/>
      <c r="G111" s="123"/>
      <c r="H111" s="122"/>
    </row>
    <row r="112" spans="1:8" ht="15.65" customHeight="1" outlineLevel="1" x14ac:dyDescent="0.35">
      <c r="D112" s="120"/>
      <c r="E112" s="119"/>
      <c r="F112" s="119"/>
      <c r="G112" s="119"/>
      <c r="H112" s="118"/>
    </row>
    <row r="113" spans="4:8" ht="15.5" outlineLevel="1" x14ac:dyDescent="0.35">
      <c r="D113" s="120"/>
      <c r="E113" s="119"/>
      <c r="F113" s="119" t="s">
        <v>80</v>
      </c>
      <c r="G113" s="119" t="s">
        <v>70</v>
      </c>
      <c r="H113" s="118" t="s">
        <v>21</v>
      </c>
    </row>
    <row r="114" spans="4:8" ht="15.5" outlineLevel="1" x14ac:dyDescent="0.35">
      <c r="D114" s="120"/>
      <c r="E114" s="119"/>
      <c r="F114" s="119" t="s">
        <v>89</v>
      </c>
      <c r="G114" s="119" t="s">
        <v>88</v>
      </c>
      <c r="H114" s="118" t="s">
        <v>72</v>
      </c>
    </row>
    <row r="115" spans="4:8" ht="15.5" outlineLevel="1" x14ac:dyDescent="0.35">
      <c r="D115" s="120"/>
      <c r="E115" s="119"/>
      <c r="F115" s="119"/>
      <c r="G115" s="119" t="s">
        <v>28</v>
      </c>
      <c r="H115" s="118"/>
    </row>
    <row r="116" spans="4:8" ht="15.5" outlineLevel="1" x14ac:dyDescent="0.35">
      <c r="D116" s="120"/>
      <c r="F116" s="119"/>
      <c r="G116" s="119" t="s">
        <v>83</v>
      </c>
      <c r="H116" s="118"/>
    </row>
    <row r="117" spans="4:8" ht="15.5" outlineLevel="1" x14ac:dyDescent="0.35">
      <c r="D117" s="120"/>
      <c r="E117" s="119"/>
      <c r="F117" s="119" t="s">
        <v>98</v>
      </c>
      <c r="G117" s="119" t="s">
        <v>94</v>
      </c>
      <c r="H117" s="118"/>
    </row>
    <row r="118" spans="4:8" ht="15.5" outlineLevel="1" x14ac:dyDescent="0.35">
      <c r="D118" s="120"/>
      <c r="E118" s="119"/>
      <c r="F118" s="119" t="s">
        <v>99</v>
      </c>
      <c r="G118" s="119"/>
      <c r="H118" s="118" t="s">
        <v>96</v>
      </c>
    </row>
    <row r="119" spans="4:8" ht="15.5" outlineLevel="1" x14ac:dyDescent="0.35">
      <c r="D119" s="120"/>
      <c r="E119" s="119"/>
      <c r="F119" s="119" t="s">
        <v>84</v>
      </c>
      <c r="G119" s="119" t="s">
        <v>197</v>
      </c>
      <c r="H119" s="118"/>
    </row>
    <row r="120" spans="4:8" ht="15.5" outlineLevel="1" x14ac:dyDescent="0.35">
      <c r="D120" s="120"/>
      <c r="E120" s="119"/>
      <c r="F120" s="119" t="s">
        <v>78</v>
      </c>
      <c r="G120" s="119" t="s">
        <v>67</v>
      </c>
      <c r="H120" s="118"/>
    </row>
    <row r="121" spans="4:8" ht="15.5" outlineLevel="1" x14ac:dyDescent="0.35">
      <c r="D121" s="120"/>
      <c r="E121" s="119"/>
      <c r="F121" s="119" t="s">
        <v>76</v>
      </c>
      <c r="G121" s="119" t="s">
        <v>24</v>
      </c>
      <c r="H121" s="118"/>
    </row>
    <row r="122" spans="4:8" ht="15.5" outlineLevel="1" x14ac:dyDescent="0.35">
      <c r="D122" s="120"/>
      <c r="E122" s="119"/>
      <c r="F122" s="119" t="s">
        <v>74</v>
      </c>
      <c r="G122" s="119" t="s">
        <v>68</v>
      </c>
      <c r="H122" s="118"/>
    </row>
    <row r="123" spans="4:8" ht="15.5" outlineLevel="1" x14ac:dyDescent="0.35">
      <c r="D123" s="120"/>
      <c r="E123" s="119"/>
      <c r="F123" s="119"/>
      <c r="G123" s="119" t="s">
        <v>57</v>
      </c>
      <c r="H123" s="118"/>
    </row>
    <row r="124" spans="4:8" ht="15.5" outlineLevel="1" x14ac:dyDescent="0.35">
      <c r="D124" s="120"/>
      <c r="E124" s="119"/>
      <c r="F124" s="121" t="s">
        <v>53</v>
      </c>
      <c r="G124" s="119" t="s">
        <v>35</v>
      </c>
      <c r="H124" s="118"/>
    </row>
    <row r="125" spans="4:8" ht="15.5" outlineLevel="1" x14ac:dyDescent="0.35">
      <c r="D125" s="120"/>
      <c r="E125" s="119"/>
      <c r="F125" s="119" t="s">
        <v>49</v>
      </c>
      <c r="G125" s="121" t="s">
        <v>31</v>
      </c>
      <c r="H125" s="118"/>
    </row>
    <row r="126" spans="4:8" ht="15.5" outlineLevel="1" x14ac:dyDescent="0.35">
      <c r="D126" s="120"/>
      <c r="E126" s="119"/>
      <c r="F126" s="119" t="s">
        <v>196</v>
      </c>
      <c r="G126" s="121" t="s">
        <v>66</v>
      </c>
      <c r="H126" s="118"/>
    </row>
    <row r="127" spans="4:8" ht="15.5" outlineLevel="1" x14ac:dyDescent="0.35">
      <c r="D127" s="120"/>
      <c r="E127" s="119"/>
      <c r="F127" s="119"/>
      <c r="G127" s="119" t="s">
        <v>65</v>
      </c>
      <c r="H127" s="118"/>
    </row>
    <row r="128" spans="4:8" ht="15.5" outlineLevel="1" x14ac:dyDescent="0.35">
      <c r="D128" s="120"/>
      <c r="E128" s="119"/>
      <c r="F128" s="119"/>
      <c r="G128" s="119" t="s">
        <v>39</v>
      </c>
      <c r="H128" s="118"/>
    </row>
    <row r="129" spans="1:8" ht="15.5" outlineLevel="1" x14ac:dyDescent="0.35">
      <c r="D129" s="120"/>
      <c r="E129" s="121"/>
      <c r="F129" s="119"/>
      <c r="G129" s="119" t="s">
        <v>91</v>
      </c>
      <c r="H129" s="118"/>
    </row>
    <row r="130" spans="1:8" ht="15.5" outlineLevel="1" x14ac:dyDescent="0.35">
      <c r="D130" s="120"/>
      <c r="E130" s="119"/>
      <c r="F130" s="119"/>
      <c r="G130" s="119" t="s">
        <v>243</v>
      </c>
      <c r="H130" s="118"/>
    </row>
    <row r="131" spans="1:8" ht="15.5" outlineLevel="1" x14ac:dyDescent="0.35">
      <c r="D131" s="120"/>
      <c r="E131" s="119"/>
      <c r="F131" s="119"/>
      <c r="G131" s="119" t="s">
        <v>56</v>
      </c>
      <c r="H131" s="118"/>
    </row>
    <row r="132" spans="1:8" ht="15.5" outlineLevel="1" x14ac:dyDescent="0.35">
      <c r="D132" s="120"/>
      <c r="E132" s="119"/>
      <c r="F132" s="119"/>
      <c r="G132" s="119" t="s">
        <v>69</v>
      </c>
      <c r="H132" s="118"/>
    </row>
    <row r="133" spans="1:8" ht="15.5" outlineLevel="1" x14ac:dyDescent="0.35">
      <c r="D133" s="120"/>
      <c r="E133" s="119"/>
      <c r="F133" s="119"/>
      <c r="G133" s="119" t="s">
        <v>85</v>
      </c>
      <c r="H133" s="118"/>
    </row>
    <row r="134" spans="1:8" ht="15.5" outlineLevel="1" x14ac:dyDescent="0.35">
      <c r="D134" s="120"/>
      <c r="E134" s="119"/>
      <c r="F134" s="119"/>
      <c r="G134" s="119"/>
      <c r="H134" s="118" t="s">
        <v>17</v>
      </c>
    </row>
    <row r="135" spans="1:8" ht="15.5" outlineLevel="1" x14ac:dyDescent="0.35">
      <c r="D135" s="120"/>
      <c r="E135" s="119"/>
      <c r="F135" s="119"/>
      <c r="G135" s="119"/>
      <c r="H135" s="118"/>
    </row>
    <row r="136" spans="1:8" ht="15.5" outlineLevel="1" x14ac:dyDescent="0.35">
      <c r="D136" s="120"/>
      <c r="E136" s="119"/>
      <c r="F136" s="119"/>
      <c r="G136" s="119"/>
      <c r="H136" s="118"/>
    </row>
    <row r="137" spans="1:8" ht="15.5" outlineLevel="1" x14ac:dyDescent="0.35">
      <c r="D137" s="120"/>
      <c r="E137" s="119"/>
      <c r="F137" s="119"/>
      <c r="G137" s="119"/>
      <c r="H137" s="118"/>
    </row>
    <row r="138" spans="1:8" ht="15.5" outlineLevel="1" x14ac:dyDescent="0.35">
      <c r="D138" s="120"/>
      <c r="E138" s="119"/>
      <c r="F138" s="119"/>
      <c r="G138" s="119"/>
      <c r="H138" s="118"/>
    </row>
    <row r="139" spans="1:8" ht="15.5" outlineLevel="1" x14ac:dyDescent="0.35">
      <c r="D139" s="120"/>
      <c r="E139" s="119"/>
      <c r="F139" s="119"/>
      <c r="G139" s="119"/>
      <c r="H139" s="118"/>
    </row>
    <row r="140" spans="1:8" ht="15.5" outlineLevel="1" x14ac:dyDescent="0.35">
      <c r="D140" s="120"/>
      <c r="E140" s="119"/>
      <c r="F140" s="119"/>
      <c r="G140" s="119"/>
      <c r="H140" s="118"/>
    </row>
    <row r="141" spans="1:8" ht="15.5" outlineLevel="1" x14ac:dyDescent="0.35">
      <c r="D141" s="120"/>
      <c r="E141" s="119"/>
      <c r="F141" s="119"/>
      <c r="G141" s="119"/>
      <c r="H141" s="118"/>
    </row>
    <row r="142" spans="1:8" ht="15.5" outlineLevel="1" x14ac:dyDescent="0.35">
      <c r="D142" s="120"/>
      <c r="E142" s="119"/>
      <c r="F142" s="119"/>
      <c r="G142" s="119"/>
      <c r="H142" s="118"/>
    </row>
    <row r="143" spans="1:8" ht="16" outlineLevel="1" thickBot="1" x14ac:dyDescent="0.4">
      <c r="D143" s="130"/>
      <c r="E143" s="129"/>
      <c r="F143" s="129"/>
      <c r="G143" s="129"/>
      <c r="H143" s="128"/>
    </row>
    <row r="144" spans="1:8" ht="15.65" customHeight="1" thickTop="1" thickBot="1" x14ac:dyDescent="0.4">
      <c r="A144" s="133">
        <f>A110+1</f>
        <v>5</v>
      </c>
      <c r="B144" s="126" t="s">
        <v>222</v>
      </c>
      <c r="C144" s="125">
        <f>SUM(D144:H144)</f>
        <v>35</v>
      </c>
      <c r="D144" s="119">
        <f>COUNTA(D145:D177)</f>
        <v>1</v>
      </c>
      <c r="E144" s="119">
        <f>COUNTA(E145:E177)</f>
        <v>2</v>
      </c>
      <c r="F144" s="119">
        <f>COUNTA(F145:F177)</f>
        <v>5</v>
      </c>
      <c r="G144" s="119">
        <f>COUNTA(G145:G177)</f>
        <v>2</v>
      </c>
      <c r="H144" s="119">
        <f>COUNTA(H145:H177)</f>
        <v>25</v>
      </c>
    </row>
    <row r="145" spans="4:8" ht="15.65" customHeight="1" outlineLevel="1" thickTop="1" x14ac:dyDescent="0.35">
      <c r="D145" s="124"/>
      <c r="E145" s="123"/>
      <c r="F145" s="123"/>
      <c r="G145" s="123"/>
      <c r="H145" s="122"/>
    </row>
    <row r="146" spans="4:8" ht="15.65" customHeight="1" outlineLevel="1" x14ac:dyDescent="0.35">
      <c r="D146" s="120" t="s">
        <v>98</v>
      </c>
      <c r="E146" s="119" t="s">
        <v>99</v>
      </c>
      <c r="F146" s="119" t="s">
        <v>94</v>
      </c>
      <c r="G146" s="119" t="s">
        <v>21</v>
      </c>
      <c r="H146" s="118" t="s">
        <v>70</v>
      </c>
    </row>
    <row r="147" spans="4:8" ht="15.5" outlineLevel="1" x14ac:dyDescent="0.35">
      <c r="D147" s="120"/>
      <c r="E147" s="119" t="s">
        <v>196</v>
      </c>
      <c r="F147" s="119" t="s">
        <v>84</v>
      </c>
      <c r="G147" s="119" t="s">
        <v>91</v>
      </c>
      <c r="H147" s="118" t="s">
        <v>88</v>
      </c>
    </row>
    <row r="148" spans="4:8" ht="15.5" outlineLevel="1" x14ac:dyDescent="0.35">
      <c r="D148" s="120"/>
      <c r="E148" s="119"/>
      <c r="F148" s="119" t="s">
        <v>56</v>
      </c>
      <c r="G148" s="119"/>
      <c r="H148" s="118" t="s">
        <v>28</v>
      </c>
    </row>
    <row r="149" spans="4:8" ht="15.5" outlineLevel="1" x14ac:dyDescent="0.35">
      <c r="D149" s="120"/>
      <c r="E149" s="119"/>
      <c r="F149" s="119" t="s">
        <v>53</v>
      </c>
      <c r="G149" s="119"/>
      <c r="H149" s="118" t="s">
        <v>80</v>
      </c>
    </row>
    <row r="150" spans="4:8" ht="15.5" outlineLevel="1" x14ac:dyDescent="0.35">
      <c r="D150" s="120"/>
      <c r="F150" s="119" t="s">
        <v>49</v>
      </c>
      <c r="G150" s="119"/>
      <c r="H150" s="118" t="s">
        <v>83</v>
      </c>
    </row>
    <row r="151" spans="4:8" ht="15.5" outlineLevel="1" x14ac:dyDescent="0.35">
      <c r="D151" s="120"/>
      <c r="E151" s="119"/>
      <c r="F151" s="119"/>
      <c r="G151" s="119"/>
      <c r="H151" s="118" t="s">
        <v>96</v>
      </c>
    </row>
    <row r="152" spans="4:8" ht="15.5" outlineLevel="1" x14ac:dyDescent="0.35">
      <c r="D152" s="120"/>
      <c r="E152" s="119"/>
      <c r="F152" s="119"/>
      <c r="G152" s="119"/>
      <c r="H152" s="118" t="s">
        <v>89</v>
      </c>
    </row>
    <row r="153" spans="4:8" ht="15.5" outlineLevel="1" x14ac:dyDescent="0.35">
      <c r="D153" s="120"/>
      <c r="E153" s="119"/>
      <c r="F153" s="119"/>
      <c r="G153" s="119"/>
      <c r="H153" s="118" t="s">
        <v>17</v>
      </c>
    </row>
    <row r="154" spans="4:8" ht="15.5" outlineLevel="1" x14ac:dyDescent="0.35">
      <c r="D154" s="120"/>
      <c r="E154" s="119"/>
      <c r="F154" s="119"/>
      <c r="G154" s="119"/>
      <c r="H154" s="118" t="s">
        <v>85</v>
      </c>
    </row>
    <row r="155" spans="4:8" ht="15.5" outlineLevel="1" x14ac:dyDescent="0.35">
      <c r="D155" s="120"/>
      <c r="E155" s="119"/>
      <c r="F155" s="119"/>
      <c r="G155" s="119"/>
      <c r="H155" s="118" t="s">
        <v>69</v>
      </c>
    </row>
    <row r="156" spans="4:8" ht="15.5" outlineLevel="1" x14ac:dyDescent="0.35">
      <c r="D156" s="120"/>
      <c r="E156" s="119"/>
      <c r="F156" s="119"/>
      <c r="G156" s="119"/>
      <c r="H156" s="118" t="s">
        <v>67</v>
      </c>
    </row>
    <row r="157" spans="4:8" ht="15.5" outlineLevel="1" x14ac:dyDescent="0.35">
      <c r="D157" s="120"/>
      <c r="E157" s="119"/>
      <c r="F157" s="119"/>
      <c r="G157" s="119"/>
      <c r="H157" s="118" t="s">
        <v>24</v>
      </c>
    </row>
    <row r="158" spans="4:8" ht="15.5" outlineLevel="1" x14ac:dyDescent="0.35">
      <c r="D158" s="120"/>
      <c r="E158" s="119"/>
      <c r="F158" s="121"/>
      <c r="G158" s="119"/>
      <c r="H158" s="118" t="s">
        <v>68</v>
      </c>
    </row>
    <row r="159" spans="4:8" ht="15.5" outlineLevel="1" x14ac:dyDescent="0.35">
      <c r="D159" s="120"/>
      <c r="E159" s="119"/>
      <c r="F159" s="119"/>
      <c r="G159" s="121"/>
      <c r="H159" s="118" t="s">
        <v>57</v>
      </c>
    </row>
    <row r="160" spans="4:8" ht="15.5" outlineLevel="1" x14ac:dyDescent="0.35">
      <c r="D160" s="120"/>
      <c r="E160" s="119"/>
      <c r="F160" s="119"/>
      <c r="G160" s="121"/>
      <c r="H160" s="118" t="s">
        <v>35</v>
      </c>
    </row>
    <row r="161" spans="4:8" ht="15.5" outlineLevel="1" x14ac:dyDescent="0.35">
      <c r="D161" s="120"/>
      <c r="E161" s="119"/>
      <c r="F161" s="119"/>
      <c r="G161" s="119"/>
      <c r="H161" s="118" t="s">
        <v>31</v>
      </c>
    </row>
    <row r="162" spans="4:8" ht="15.5" outlineLevel="1" x14ac:dyDescent="0.35">
      <c r="D162" s="120"/>
      <c r="E162" s="119"/>
      <c r="F162" s="119"/>
      <c r="G162" s="119"/>
      <c r="H162" s="118" t="s">
        <v>66</v>
      </c>
    </row>
    <row r="163" spans="4:8" ht="15.5" outlineLevel="1" x14ac:dyDescent="0.35">
      <c r="D163" s="120"/>
      <c r="E163" s="121"/>
      <c r="F163" s="119"/>
      <c r="G163" s="119"/>
      <c r="H163" s="118" t="s">
        <v>65</v>
      </c>
    </row>
    <row r="164" spans="4:8" ht="15.5" outlineLevel="1" x14ac:dyDescent="0.35">
      <c r="D164" s="120"/>
      <c r="E164" s="119"/>
      <c r="F164" s="119"/>
      <c r="G164" s="119"/>
      <c r="H164" s="118" t="s">
        <v>78</v>
      </c>
    </row>
    <row r="165" spans="4:8" ht="15.5" outlineLevel="1" x14ac:dyDescent="0.35">
      <c r="D165" s="120"/>
      <c r="E165" s="119"/>
      <c r="F165" s="119"/>
      <c r="G165" s="119"/>
      <c r="H165" s="118" t="s">
        <v>76</v>
      </c>
    </row>
    <row r="166" spans="4:8" ht="15.5" outlineLevel="1" x14ac:dyDescent="0.35">
      <c r="D166" s="120"/>
      <c r="E166" s="119"/>
      <c r="F166" s="119"/>
      <c r="G166" s="119"/>
      <c r="H166" s="118" t="s">
        <v>39</v>
      </c>
    </row>
    <row r="167" spans="4:8" ht="15.5" outlineLevel="1" x14ac:dyDescent="0.35">
      <c r="D167" s="120"/>
      <c r="E167" s="119"/>
      <c r="F167" s="119"/>
      <c r="G167" s="119"/>
      <c r="H167" s="118" t="s">
        <v>72</v>
      </c>
    </row>
    <row r="168" spans="4:8" ht="15.5" outlineLevel="1" x14ac:dyDescent="0.35">
      <c r="D168" s="120"/>
      <c r="E168" s="119"/>
      <c r="F168" s="119"/>
      <c r="G168" s="119"/>
      <c r="H168" s="118" t="s">
        <v>74</v>
      </c>
    </row>
    <row r="169" spans="4:8" ht="15.5" outlineLevel="1" x14ac:dyDescent="0.35">
      <c r="D169" s="120"/>
      <c r="E169" s="119"/>
      <c r="F169" s="119"/>
      <c r="G169" s="119"/>
      <c r="H169" s="118" t="s">
        <v>243</v>
      </c>
    </row>
    <row r="170" spans="4:8" ht="15.5" outlineLevel="1" x14ac:dyDescent="0.35">
      <c r="D170" s="120"/>
      <c r="E170" s="119"/>
      <c r="F170" s="119"/>
      <c r="G170" s="119"/>
      <c r="H170" s="118" t="s">
        <v>197</v>
      </c>
    </row>
    <row r="171" spans="4:8" ht="15.5" outlineLevel="1" x14ac:dyDescent="0.35">
      <c r="D171" s="120"/>
      <c r="E171" s="119"/>
      <c r="F171" s="119"/>
      <c r="G171" s="119"/>
      <c r="H171" s="118"/>
    </row>
    <row r="172" spans="4:8" ht="15.5" outlineLevel="1" x14ac:dyDescent="0.35">
      <c r="D172" s="120"/>
      <c r="E172" s="119"/>
      <c r="F172" s="119"/>
      <c r="G172" s="119"/>
      <c r="H172" s="118"/>
    </row>
    <row r="173" spans="4:8" ht="15.5" outlineLevel="1" x14ac:dyDescent="0.35">
      <c r="D173" s="120"/>
      <c r="E173" s="119"/>
      <c r="F173" s="119"/>
      <c r="G173" s="119"/>
      <c r="H173" s="118"/>
    </row>
    <row r="174" spans="4:8" ht="15.5" outlineLevel="1" x14ac:dyDescent="0.35">
      <c r="D174" s="120"/>
      <c r="E174" s="119"/>
      <c r="F174" s="119"/>
      <c r="G174" s="119"/>
      <c r="H174" s="118"/>
    </row>
    <row r="175" spans="4:8" ht="15.5" outlineLevel="1" x14ac:dyDescent="0.35">
      <c r="D175" s="120"/>
      <c r="E175" s="119"/>
      <c r="F175" s="119"/>
      <c r="G175" s="119"/>
      <c r="H175" s="118"/>
    </row>
    <row r="176" spans="4:8" ht="15.5" outlineLevel="1" x14ac:dyDescent="0.35">
      <c r="D176" s="120"/>
      <c r="E176" s="119"/>
      <c r="F176" s="119"/>
      <c r="G176" s="119"/>
      <c r="H176" s="118"/>
    </row>
    <row r="177" spans="1:8" ht="16" outlineLevel="1" thickBot="1" x14ac:dyDescent="0.4">
      <c r="D177" s="130"/>
      <c r="E177" s="129"/>
      <c r="F177" s="129"/>
      <c r="G177" s="129"/>
      <c r="H177" s="128"/>
    </row>
    <row r="178" spans="1:8" ht="15.65" customHeight="1" thickTop="1" thickBot="1" x14ac:dyDescent="0.4">
      <c r="A178" s="133">
        <f>A144+1</f>
        <v>6</v>
      </c>
      <c r="B178" s="126" t="s">
        <v>221</v>
      </c>
      <c r="C178" s="125">
        <f>SUM(D178:H178)</f>
        <v>35</v>
      </c>
      <c r="D178" s="119">
        <f>COUNTA(D179:D211)</f>
        <v>0</v>
      </c>
      <c r="E178" s="119">
        <f>COUNTA(E179:E211)</f>
        <v>14</v>
      </c>
      <c r="F178" s="119">
        <f>COUNTA(F179:F211)</f>
        <v>18</v>
      </c>
      <c r="G178" s="119">
        <f>COUNTA(G179:G211)</f>
        <v>3</v>
      </c>
      <c r="H178" s="119">
        <f>COUNTA(H179:H211)</f>
        <v>0</v>
      </c>
    </row>
    <row r="179" spans="1:8" ht="15.65" customHeight="1" outlineLevel="1" thickTop="1" x14ac:dyDescent="0.35">
      <c r="D179" s="124"/>
      <c r="E179" s="123"/>
      <c r="F179" s="123"/>
      <c r="G179" s="123"/>
      <c r="H179" s="122"/>
    </row>
    <row r="180" spans="1:8" ht="15.65" customHeight="1" outlineLevel="1" x14ac:dyDescent="0.35">
      <c r="D180" s="120"/>
      <c r="E180" s="119" t="s">
        <v>70</v>
      </c>
      <c r="F180" s="119" t="s">
        <v>28</v>
      </c>
      <c r="G180" s="119"/>
      <c r="H180" s="118"/>
    </row>
    <row r="181" spans="1:8" ht="15.5" outlineLevel="1" x14ac:dyDescent="0.35">
      <c r="D181" s="120"/>
      <c r="E181" s="119" t="s">
        <v>88</v>
      </c>
      <c r="F181" s="119" t="s">
        <v>83</v>
      </c>
      <c r="G181" s="119"/>
      <c r="H181" s="118"/>
    </row>
    <row r="182" spans="1:8" ht="15.5" outlineLevel="1" x14ac:dyDescent="0.35">
      <c r="D182" s="120"/>
      <c r="E182" s="119" t="s">
        <v>80</v>
      </c>
      <c r="F182" s="119" t="s">
        <v>94</v>
      </c>
      <c r="G182" s="119"/>
      <c r="H182" s="118"/>
    </row>
    <row r="183" spans="1:8" ht="15.5" outlineLevel="1" x14ac:dyDescent="0.35">
      <c r="D183" s="120"/>
      <c r="E183" s="119"/>
      <c r="F183" s="119"/>
      <c r="G183" s="119" t="s">
        <v>21</v>
      </c>
      <c r="H183" s="118"/>
    </row>
    <row r="184" spans="1:8" ht="15.5" outlineLevel="1" x14ac:dyDescent="0.35">
      <c r="D184" s="120"/>
      <c r="E184" s="119" t="s">
        <v>89</v>
      </c>
      <c r="F184" s="119" t="s">
        <v>67</v>
      </c>
      <c r="G184" s="119"/>
      <c r="H184" s="118"/>
    </row>
    <row r="185" spans="1:8" ht="15.5" outlineLevel="1" x14ac:dyDescent="0.35">
      <c r="D185" s="120"/>
      <c r="E185" s="119" t="s">
        <v>17</v>
      </c>
      <c r="F185" s="119" t="s">
        <v>24</v>
      </c>
      <c r="G185" s="119"/>
      <c r="H185" s="118"/>
    </row>
    <row r="186" spans="1:8" ht="15.5" outlineLevel="1" x14ac:dyDescent="0.35">
      <c r="D186" s="120"/>
      <c r="E186" s="119" t="s">
        <v>85</v>
      </c>
      <c r="F186" s="119" t="s">
        <v>68</v>
      </c>
      <c r="G186" s="119"/>
      <c r="H186" s="118"/>
    </row>
    <row r="187" spans="1:8" ht="15.5" outlineLevel="1" x14ac:dyDescent="0.35">
      <c r="D187" s="120"/>
      <c r="E187" s="119" t="s">
        <v>69</v>
      </c>
      <c r="F187" s="119" t="s">
        <v>57</v>
      </c>
      <c r="G187" s="119"/>
      <c r="H187" s="118"/>
    </row>
    <row r="188" spans="1:8" ht="15.5" outlineLevel="1" x14ac:dyDescent="0.35">
      <c r="D188" s="120"/>
      <c r="E188" s="119" t="s">
        <v>84</v>
      </c>
      <c r="F188" s="119" t="s">
        <v>98</v>
      </c>
      <c r="G188" s="119"/>
      <c r="H188" s="118"/>
    </row>
    <row r="189" spans="1:8" ht="15.5" outlineLevel="1" x14ac:dyDescent="0.35">
      <c r="D189" s="120"/>
      <c r="E189" s="119" t="s">
        <v>78</v>
      </c>
      <c r="F189" s="119" t="s">
        <v>35</v>
      </c>
      <c r="G189" s="119"/>
      <c r="H189" s="118"/>
    </row>
    <row r="190" spans="1:8" ht="15.5" outlineLevel="1" x14ac:dyDescent="0.35">
      <c r="D190" s="120"/>
      <c r="E190" s="119" t="s">
        <v>76</v>
      </c>
      <c r="F190" s="119" t="s">
        <v>31</v>
      </c>
      <c r="G190" s="119"/>
      <c r="H190" s="118"/>
    </row>
    <row r="191" spans="1:8" ht="15.5" outlineLevel="1" x14ac:dyDescent="0.35">
      <c r="D191" s="120"/>
      <c r="E191" s="119"/>
      <c r="F191" s="121" t="s">
        <v>66</v>
      </c>
      <c r="G191" s="119"/>
      <c r="H191" s="118"/>
    </row>
    <row r="192" spans="1:8" ht="15.5" outlineLevel="1" x14ac:dyDescent="0.35">
      <c r="D192" s="120"/>
      <c r="E192" s="119" t="s">
        <v>72</v>
      </c>
      <c r="F192" s="119" t="s">
        <v>99</v>
      </c>
      <c r="G192" s="119"/>
      <c r="H192" s="118"/>
    </row>
    <row r="193" spans="4:8" ht="15.5" outlineLevel="1" x14ac:dyDescent="0.35">
      <c r="D193" s="120"/>
      <c r="E193" s="119" t="s">
        <v>74</v>
      </c>
      <c r="F193" s="119" t="s">
        <v>65</v>
      </c>
      <c r="G193" s="121"/>
      <c r="H193" s="118"/>
    </row>
    <row r="194" spans="4:8" ht="15.5" outlineLevel="1" x14ac:dyDescent="0.35">
      <c r="D194" s="120"/>
      <c r="E194" s="119" t="s">
        <v>91</v>
      </c>
      <c r="F194" s="119" t="s">
        <v>243</v>
      </c>
      <c r="G194" s="121"/>
      <c r="H194" s="118"/>
    </row>
    <row r="195" spans="4:8" ht="15.5" outlineLevel="1" x14ac:dyDescent="0.35">
      <c r="D195" s="120"/>
      <c r="E195" s="119" t="s">
        <v>197</v>
      </c>
      <c r="F195" s="119" t="s">
        <v>56</v>
      </c>
      <c r="G195" s="119"/>
      <c r="H195" s="118"/>
    </row>
    <row r="196" spans="4:8" ht="15.5" outlineLevel="1" x14ac:dyDescent="0.35">
      <c r="D196" s="120"/>
      <c r="E196" s="119"/>
      <c r="F196" s="119" t="s">
        <v>53</v>
      </c>
      <c r="G196" s="119"/>
      <c r="H196" s="118"/>
    </row>
    <row r="197" spans="4:8" ht="15.5" outlineLevel="1" x14ac:dyDescent="0.35">
      <c r="D197" s="120"/>
      <c r="E197" s="121"/>
      <c r="F197" s="119" t="s">
        <v>49</v>
      </c>
      <c r="G197" s="119"/>
      <c r="H197" s="118"/>
    </row>
    <row r="198" spans="4:8" ht="15.5" outlineLevel="1" x14ac:dyDescent="0.35">
      <c r="D198" s="120"/>
      <c r="E198" s="119"/>
      <c r="F198" s="119" t="s">
        <v>196</v>
      </c>
      <c r="G198" s="119"/>
      <c r="H198" s="118"/>
    </row>
    <row r="199" spans="4:8" ht="15.5" outlineLevel="1" x14ac:dyDescent="0.35">
      <c r="D199" s="120"/>
      <c r="E199" s="119"/>
      <c r="F199" s="119"/>
      <c r="G199" s="119" t="s">
        <v>96</v>
      </c>
      <c r="H199" s="118"/>
    </row>
    <row r="200" spans="4:8" ht="15.5" outlineLevel="1" x14ac:dyDescent="0.35">
      <c r="D200" s="120"/>
      <c r="E200" s="119"/>
      <c r="F200" s="119"/>
      <c r="G200" s="119" t="s">
        <v>39</v>
      </c>
      <c r="H200" s="118"/>
    </row>
    <row r="201" spans="4:8" ht="15.5" outlineLevel="1" x14ac:dyDescent="0.35">
      <c r="D201" s="120"/>
      <c r="E201" s="119"/>
      <c r="F201" s="119"/>
      <c r="G201" s="119"/>
      <c r="H201" s="118"/>
    </row>
    <row r="202" spans="4:8" ht="15.5" outlineLevel="1" x14ac:dyDescent="0.35">
      <c r="D202" s="120"/>
      <c r="E202" s="119"/>
      <c r="F202" s="119"/>
      <c r="G202" s="119"/>
      <c r="H202" s="118"/>
    </row>
    <row r="203" spans="4:8" ht="15.5" outlineLevel="1" x14ac:dyDescent="0.35">
      <c r="D203" s="120"/>
      <c r="E203" s="119"/>
      <c r="F203" s="119"/>
      <c r="G203" s="119"/>
      <c r="H203" s="118"/>
    </row>
    <row r="204" spans="4:8" ht="15.5" outlineLevel="1" x14ac:dyDescent="0.35">
      <c r="D204" s="120"/>
      <c r="E204" s="119"/>
      <c r="F204" s="119"/>
      <c r="G204" s="119"/>
      <c r="H204" s="118"/>
    </row>
    <row r="205" spans="4:8" ht="15.5" outlineLevel="1" x14ac:dyDescent="0.35">
      <c r="D205" s="120"/>
      <c r="E205" s="119"/>
      <c r="F205" s="119"/>
      <c r="G205" s="119"/>
      <c r="H205" s="118"/>
    </row>
    <row r="206" spans="4:8" ht="15.5" outlineLevel="1" x14ac:dyDescent="0.35">
      <c r="D206" s="120"/>
      <c r="E206" s="119"/>
      <c r="F206" s="119"/>
      <c r="G206" s="119"/>
      <c r="H206" s="118"/>
    </row>
    <row r="207" spans="4:8" ht="15.5" outlineLevel="1" x14ac:dyDescent="0.35">
      <c r="D207" s="120"/>
      <c r="E207" s="119"/>
      <c r="F207" s="119"/>
      <c r="G207" s="119"/>
      <c r="H207" s="118"/>
    </row>
    <row r="208" spans="4:8" ht="15.5" outlineLevel="1" x14ac:dyDescent="0.35">
      <c r="D208" s="120"/>
      <c r="E208" s="119"/>
      <c r="F208" s="119"/>
      <c r="G208" s="119"/>
      <c r="H208" s="118"/>
    </row>
    <row r="209" spans="1:8" ht="15.5" outlineLevel="1" x14ac:dyDescent="0.35">
      <c r="D209" s="120"/>
      <c r="E209" s="119"/>
      <c r="F209" s="119"/>
      <c r="G209" s="119"/>
      <c r="H209" s="118"/>
    </row>
    <row r="210" spans="1:8" ht="15.5" outlineLevel="1" x14ac:dyDescent="0.35">
      <c r="D210" s="120"/>
      <c r="E210" s="119"/>
      <c r="F210" s="119"/>
      <c r="G210" s="119"/>
      <c r="H210" s="118"/>
    </row>
    <row r="211" spans="1:8" ht="16" outlineLevel="1" thickBot="1" x14ac:dyDescent="0.4">
      <c r="D211" s="130"/>
      <c r="E211" s="129"/>
      <c r="F211" s="129"/>
      <c r="G211" s="129"/>
      <c r="H211" s="128"/>
    </row>
    <row r="212" spans="1:8" ht="15.65" customHeight="1" thickTop="1" thickBot="1" x14ac:dyDescent="0.4">
      <c r="A212" s="133">
        <f>A178+1</f>
        <v>7</v>
      </c>
      <c r="B212" s="126" t="s">
        <v>220</v>
      </c>
      <c r="C212" s="125">
        <f>SUM(D212:H212)</f>
        <v>35</v>
      </c>
      <c r="D212" s="119">
        <f>COUNTA(D213:D245)</f>
        <v>1</v>
      </c>
      <c r="E212" s="119">
        <f>COUNTA(E213:E245)</f>
        <v>1</v>
      </c>
      <c r="F212" s="119">
        <f>COUNTA(F213:F245)</f>
        <v>31</v>
      </c>
      <c r="G212" s="119">
        <f>COUNTA(G213:G245)</f>
        <v>2</v>
      </c>
      <c r="H212" s="119">
        <f>COUNTA(H213:H245)</f>
        <v>0</v>
      </c>
    </row>
    <row r="213" spans="1:8" ht="15.65" customHeight="1" outlineLevel="1" thickTop="1" x14ac:dyDescent="0.35">
      <c r="D213" s="124"/>
      <c r="E213" s="123"/>
      <c r="F213" s="123"/>
      <c r="G213" s="123"/>
      <c r="H213" s="122"/>
    </row>
    <row r="214" spans="1:8" ht="15.65" customHeight="1" outlineLevel="1" x14ac:dyDescent="0.35">
      <c r="D214" s="120" t="s">
        <v>98</v>
      </c>
      <c r="E214" s="119" t="s">
        <v>91</v>
      </c>
      <c r="F214" s="119" t="s">
        <v>70</v>
      </c>
      <c r="G214" s="119"/>
      <c r="H214" s="118"/>
    </row>
    <row r="215" spans="1:8" ht="15.5" outlineLevel="1" x14ac:dyDescent="0.35">
      <c r="D215" s="120"/>
      <c r="E215" s="119"/>
      <c r="F215" s="119" t="s">
        <v>88</v>
      </c>
      <c r="G215" s="119" t="s">
        <v>83</v>
      </c>
      <c r="H215" s="118"/>
    </row>
    <row r="216" spans="1:8" ht="15.5" outlineLevel="1" x14ac:dyDescent="0.35">
      <c r="D216" s="120"/>
      <c r="E216" s="119"/>
      <c r="F216" s="119" t="s">
        <v>80</v>
      </c>
      <c r="G216" s="119"/>
      <c r="H216" s="118"/>
    </row>
    <row r="217" spans="1:8" ht="15.5" outlineLevel="1" x14ac:dyDescent="0.35">
      <c r="D217" s="120"/>
      <c r="E217" s="119"/>
      <c r="F217" s="119" t="s">
        <v>94</v>
      </c>
      <c r="G217" s="119"/>
      <c r="H217" s="118"/>
    </row>
    <row r="218" spans="1:8" ht="15.5" outlineLevel="1" x14ac:dyDescent="0.35">
      <c r="D218" s="120"/>
      <c r="F218" s="119" t="s">
        <v>96</v>
      </c>
      <c r="G218" s="119"/>
      <c r="H218" s="118"/>
    </row>
    <row r="219" spans="1:8" ht="15.5" outlineLevel="1" x14ac:dyDescent="0.35">
      <c r="D219" s="120"/>
      <c r="E219" s="119"/>
      <c r="F219" s="119" t="s">
        <v>89</v>
      </c>
      <c r="G219" s="119" t="s">
        <v>72</v>
      </c>
      <c r="H219" s="118"/>
    </row>
    <row r="220" spans="1:8" ht="15.5" outlineLevel="1" x14ac:dyDescent="0.35">
      <c r="D220" s="120"/>
      <c r="E220" s="119"/>
      <c r="F220" s="119" t="s">
        <v>17</v>
      </c>
      <c r="G220" s="119"/>
      <c r="H220" s="118"/>
    </row>
    <row r="221" spans="1:8" ht="15.5" outlineLevel="1" x14ac:dyDescent="0.35">
      <c r="D221" s="120"/>
      <c r="E221" s="119"/>
      <c r="F221" s="119" t="s">
        <v>85</v>
      </c>
      <c r="G221" s="119"/>
      <c r="H221" s="118"/>
    </row>
    <row r="222" spans="1:8" ht="15.5" outlineLevel="1" x14ac:dyDescent="0.35">
      <c r="D222" s="120"/>
      <c r="E222" s="119"/>
      <c r="F222" s="119" t="s">
        <v>69</v>
      </c>
      <c r="G222" s="119"/>
      <c r="H222" s="118"/>
    </row>
    <row r="223" spans="1:8" ht="15.5" outlineLevel="1" x14ac:dyDescent="0.35">
      <c r="D223" s="120"/>
      <c r="E223" s="119"/>
      <c r="F223" s="119" t="s">
        <v>21</v>
      </c>
      <c r="G223" s="119"/>
      <c r="H223" s="118"/>
    </row>
    <row r="224" spans="1:8" ht="15.5" outlineLevel="1" x14ac:dyDescent="0.35">
      <c r="D224" s="120"/>
      <c r="E224" s="119"/>
      <c r="F224" s="121" t="s">
        <v>67</v>
      </c>
      <c r="G224" s="119"/>
      <c r="H224" s="118"/>
    </row>
    <row r="225" spans="4:8" ht="15.5" outlineLevel="1" x14ac:dyDescent="0.35">
      <c r="D225" s="120"/>
      <c r="E225" s="119"/>
      <c r="F225" s="119" t="s">
        <v>24</v>
      </c>
      <c r="G225" s="119"/>
      <c r="H225" s="118"/>
    </row>
    <row r="226" spans="4:8" ht="15.5" outlineLevel="1" x14ac:dyDescent="0.35">
      <c r="D226" s="120"/>
      <c r="E226" s="119"/>
      <c r="F226" s="119" t="s">
        <v>68</v>
      </c>
      <c r="G226" s="119"/>
      <c r="H226" s="118"/>
    </row>
    <row r="227" spans="4:8" ht="15.5" outlineLevel="1" x14ac:dyDescent="0.35">
      <c r="D227" s="120"/>
      <c r="E227" s="119"/>
      <c r="F227" s="119" t="s">
        <v>57</v>
      </c>
      <c r="G227" s="121"/>
      <c r="H227" s="118"/>
    </row>
    <row r="228" spans="4:8" ht="15.5" outlineLevel="1" x14ac:dyDescent="0.35">
      <c r="D228" s="120"/>
      <c r="E228" s="119"/>
      <c r="F228" s="119" t="s">
        <v>66</v>
      </c>
      <c r="G228" s="121"/>
      <c r="H228" s="118"/>
    </row>
    <row r="229" spans="4:8" ht="15.5" outlineLevel="1" x14ac:dyDescent="0.35">
      <c r="D229" s="120"/>
      <c r="E229" s="119"/>
      <c r="F229" s="119" t="s">
        <v>99</v>
      </c>
      <c r="G229" s="119"/>
      <c r="H229" s="118"/>
    </row>
    <row r="230" spans="4:8" ht="15.5" outlineLevel="1" x14ac:dyDescent="0.35">
      <c r="D230" s="120"/>
      <c r="E230" s="119"/>
      <c r="F230" s="119" t="s">
        <v>84</v>
      </c>
      <c r="G230" s="119"/>
      <c r="H230" s="118"/>
    </row>
    <row r="231" spans="4:8" ht="15.5" outlineLevel="1" x14ac:dyDescent="0.35">
      <c r="D231" s="120"/>
      <c r="E231" s="121"/>
      <c r="F231" s="119" t="s">
        <v>78</v>
      </c>
      <c r="G231" s="119"/>
      <c r="H231" s="118"/>
    </row>
    <row r="232" spans="4:8" ht="15.5" outlineLevel="1" x14ac:dyDescent="0.35">
      <c r="D232" s="120"/>
      <c r="E232" s="119"/>
      <c r="F232" s="119" t="s">
        <v>76</v>
      </c>
      <c r="G232" s="119"/>
      <c r="H232" s="118"/>
    </row>
    <row r="233" spans="4:8" ht="15.5" outlineLevel="1" x14ac:dyDescent="0.35">
      <c r="D233" s="120"/>
      <c r="E233" s="119"/>
      <c r="F233" s="119" t="s">
        <v>39</v>
      </c>
      <c r="G233" s="119"/>
      <c r="H233" s="118"/>
    </row>
    <row r="234" spans="4:8" ht="15.5" outlineLevel="1" x14ac:dyDescent="0.35">
      <c r="D234" s="120"/>
      <c r="E234" s="119"/>
      <c r="F234" s="119" t="s">
        <v>74</v>
      </c>
      <c r="G234" s="119"/>
      <c r="H234" s="118"/>
    </row>
    <row r="235" spans="4:8" ht="15.5" outlineLevel="1" x14ac:dyDescent="0.35">
      <c r="D235" s="120"/>
      <c r="E235" s="119"/>
      <c r="F235" s="119" t="s">
        <v>243</v>
      </c>
      <c r="G235" s="119"/>
      <c r="H235" s="118"/>
    </row>
    <row r="236" spans="4:8" ht="15.5" outlineLevel="1" x14ac:dyDescent="0.35">
      <c r="D236" s="120"/>
      <c r="E236" s="119"/>
      <c r="F236" s="119" t="s">
        <v>56</v>
      </c>
      <c r="G236" s="119"/>
      <c r="H236" s="118"/>
    </row>
    <row r="237" spans="4:8" ht="15.5" outlineLevel="1" x14ac:dyDescent="0.35">
      <c r="D237" s="120"/>
      <c r="E237" s="119"/>
      <c r="F237" s="119" t="s">
        <v>53</v>
      </c>
      <c r="G237" s="119"/>
      <c r="H237" s="118"/>
    </row>
    <row r="238" spans="4:8" ht="15.5" outlineLevel="1" x14ac:dyDescent="0.35">
      <c r="D238" s="120"/>
      <c r="E238" s="119"/>
      <c r="F238" s="119" t="s">
        <v>49</v>
      </c>
      <c r="G238" s="119"/>
      <c r="H238" s="118"/>
    </row>
    <row r="239" spans="4:8" ht="15.5" outlineLevel="1" x14ac:dyDescent="0.35">
      <c r="D239" s="120"/>
      <c r="E239" s="119"/>
      <c r="F239" s="119" t="s">
        <v>196</v>
      </c>
      <c r="G239" s="119"/>
      <c r="H239" s="118"/>
    </row>
    <row r="240" spans="4:8" ht="15.5" outlineLevel="1" x14ac:dyDescent="0.35">
      <c r="D240" s="120"/>
      <c r="E240" s="119"/>
      <c r="F240" s="119" t="s">
        <v>197</v>
      </c>
      <c r="G240" s="119"/>
      <c r="H240" s="118"/>
    </row>
    <row r="241" spans="1:8" ht="15.5" outlineLevel="1" x14ac:dyDescent="0.35">
      <c r="D241" s="120"/>
      <c r="E241" s="119"/>
      <c r="F241" s="119" t="s">
        <v>35</v>
      </c>
      <c r="G241" s="119"/>
      <c r="H241" s="118"/>
    </row>
    <row r="242" spans="1:8" ht="15.5" outlineLevel="1" x14ac:dyDescent="0.35">
      <c r="D242" s="120"/>
      <c r="E242" s="119"/>
      <c r="F242" s="119" t="s">
        <v>31</v>
      </c>
      <c r="G242" s="119"/>
      <c r="H242" s="118"/>
    </row>
    <row r="243" spans="1:8" ht="15.5" outlineLevel="1" x14ac:dyDescent="0.35">
      <c r="D243" s="120"/>
      <c r="E243" s="119"/>
      <c r="F243" s="119" t="s">
        <v>65</v>
      </c>
      <c r="G243" s="119"/>
      <c r="H243" s="118"/>
    </row>
    <row r="244" spans="1:8" ht="15.5" outlineLevel="1" x14ac:dyDescent="0.35">
      <c r="D244" s="120"/>
      <c r="E244" s="119"/>
      <c r="F244" s="119" t="s">
        <v>28</v>
      </c>
      <c r="G244" s="119"/>
      <c r="H244" s="118"/>
    </row>
    <row r="245" spans="1:8" ht="16" outlineLevel="1" thickBot="1" x14ac:dyDescent="0.4">
      <c r="D245" s="130"/>
      <c r="E245" s="129"/>
      <c r="F245" s="129"/>
      <c r="G245" s="129"/>
      <c r="H245" s="128"/>
    </row>
    <row r="246" spans="1:8" ht="15.65" customHeight="1" thickTop="1" thickBot="1" x14ac:dyDescent="0.4">
      <c r="A246" s="127"/>
      <c r="B246" s="126"/>
      <c r="C246" s="125"/>
      <c r="D246" s="119">
        <f>COUNTA(D247:D279)</f>
        <v>0</v>
      </c>
      <c r="E246" s="119">
        <f>COUNTA(E247:E279)</f>
        <v>0</v>
      </c>
      <c r="F246" s="119">
        <f>COUNTA(F247:F279)</f>
        <v>0</v>
      </c>
      <c r="G246" s="119">
        <f>COUNTA(G247:G279)</f>
        <v>0</v>
      </c>
      <c r="H246" s="119">
        <f>COUNTA(H247:H279)</f>
        <v>0</v>
      </c>
    </row>
    <row r="247" spans="1:8" ht="15.65" customHeight="1" outlineLevel="1" thickTop="1" x14ac:dyDescent="0.35">
      <c r="D247" s="124"/>
      <c r="E247" s="123"/>
      <c r="F247" s="123"/>
      <c r="G247" s="123"/>
      <c r="H247" s="122"/>
    </row>
    <row r="248" spans="1:8" ht="15.65" customHeight="1" outlineLevel="1" x14ac:dyDescent="0.35">
      <c r="D248" s="120"/>
      <c r="E248" s="119"/>
      <c r="F248" s="119"/>
      <c r="G248" s="119"/>
      <c r="H248" s="118"/>
    </row>
    <row r="249" spans="1:8" ht="15.5" outlineLevel="1" x14ac:dyDescent="0.35">
      <c r="D249" s="120"/>
      <c r="E249" s="119"/>
      <c r="F249" s="119"/>
      <c r="G249" s="119"/>
      <c r="H249" s="118"/>
    </row>
    <row r="250" spans="1:8" ht="15.5" outlineLevel="1" x14ac:dyDescent="0.35">
      <c r="D250" s="120"/>
      <c r="E250" s="119"/>
      <c r="F250" s="119"/>
      <c r="G250" s="119"/>
      <c r="H250" s="118"/>
    </row>
    <row r="251" spans="1:8" ht="15.5" outlineLevel="1" x14ac:dyDescent="0.35">
      <c r="D251" s="120"/>
      <c r="E251" s="119"/>
      <c r="F251" s="119"/>
      <c r="G251" s="119"/>
      <c r="H251" s="118"/>
    </row>
    <row r="252" spans="1:8" ht="15.5" outlineLevel="1" x14ac:dyDescent="0.35">
      <c r="D252" s="120"/>
      <c r="F252" s="119"/>
      <c r="G252" s="119"/>
      <c r="H252" s="118"/>
    </row>
    <row r="253" spans="1:8" ht="15.5" outlineLevel="1" x14ac:dyDescent="0.35">
      <c r="D253" s="120"/>
      <c r="E253" s="119"/>
      <c r="F253" s="119"/>
      <c r="G253" s="119"/>
      <c r="H253" s="118"/>
    </row>
    <row r="254" spans="1:8" ht="15.5" outlineLevel="1" x14ac:dyDescent="0.35">
      <c r="D254" s="120"/>
      <c r="E254" s="119"/>
      <c r="F254" s="119"/>
      <c r="G254" s="119"/>
      <c r="H254" s="118"/>
    </row>
    <row r="255" spans="1:8" ht="15.5" outlineLevel="1" x14ac:dyDescent="0.35">
      <c r="D255" s="120"/>
      <c r="E255" s="119"/>
      <c r="F255" s="119"/>
      <c r="G255" s="119"/>
      <c r="H255" s="118"/>
    </row>
    <row r="256" spans="1:8" ht="15.5" outlineLevel="1" x14ac:dyDescent="0.35">
      <c r="D256" s="120"/>
      <c r="E256" s="119"/>
      <c r="F256" s="119"/>
      <c r="G256" s="119"/>
      <c r="H256" s="118"/>
    </row>
    <row r="257" spans="4:8" ht="15.5" outlineLevel="1" x14ac:dyDescent="0.35">
      <c r="D257" s="120"/>
      <c r="E257" s="119"/>
      <c r="F257" s="119"/>
      <c r="G257" s="119"/>
      <c r="H257" s="118"/>
    </row>
    <row r="258" spans="4:8" ht="15.5" outlineLevel="1" x14ac:dyDescent="0.35">
      <c r="D258" s="120"/>
      <c r="E258" s="119"/>
      <c r="F258" s="119"/>
      <c r="G258" s="119"/>
      <c r="H258" s="118"/>
    </row>
    <row r="259" spans="4:8" ht="15.5" outlineLevel="1" x14ac:dyDescent="0.35">
      <c r="D259" s="120"/>
      <c r="E259" s="119"/>
      <c r="F259" s="119"/>
      <c r="G259" s="119"/>
      <c r="H259" s="118"/>
    </row>
    <row r="260" spans="4:8" ht="15.5" outlineLevel="1" x14ac:dyDescent="0.35">
      <c r="D260" s="120"/>
      <c r="E260" s="119"/>
      <c r="F260" s="121"/>
      <c r="G260" s="119"/>
      <c r="H260" s="118"/>
    </row>
    <row r="261" spans="4:8" ht="15.5" outlineLevel="1" x14ac:dyDescent="0.35">
      <c r="D261" s="120"/>
      <c r="E261" s="119"/>
      <c r="F261" s="119"/>
      <c r="G261" s="121"/>
      <c r="H261" s="118"/>
    </row>
    <row r="262" spans="4:8" ht="15.5" outlineLevel="1" x14ac:dyDescent="0.35">
      <c r="D262" s="120"/>
      <c r="E262" s="119"/>
      <c r="F262" s="119"/>
      <c r="G262" s="121"/>
      <c r="H262" s="118"/>
    </row>
    <row r="263" spans="4:8" ht="15.5" outlineLevel="1" x14ac:dyDescent="0.35">
      <c r="D263" s="120"/>
      <c r="E263" s="119"/>
      <c r="F263" s="119"/>
      <c r="G263" s="119"/>
      <c r="H263" s="118"/>
    </row>
    <row r="264" spans="4:8" ht="15.5" outlineLevel="1" x14ac:dyDescent="0.35">
      <c r="D264" s="120"/>
      <c r="E264" s="119"/>
      <c r="F264" s="119"/>
      <c r="G264" s="119"/>
      <c r="H264" s="118"/>
    </row>
    <row r="265" spans="4:8" ht="15.5" outlineLevel="1" x14ac:dyDescent="0.35">
      <c r="D265" s="120"/>
      <c r="E265" s="121"/>
      <c r="F265" s="119"/>
      <c r="G265" s="119"/>
      <c r="H265" s="118"/>
    </row>
    <row r="266" spans="4:8" ht="15.5" outlineLevel="1" x14ac:dyDescent="0.35">
      <c r="D266" s="120"/>
      <c r="E266" s="119"/>
      <c r="F266" s="119"/>
      <c r="G266" s="119"/>
      <c r="H266" s="118"/>
    </row>
    <row r="267" spans="4:8" ht="15.5" outlineLevel="1" x14ac:dyDescent="0.35">
      <c r="D267" s="120"/>
      <c r="E267" s="119"/>
      <c r="F267" s="119"/>
      <c r="G267" s="119"/>
      <c r="H267" s="118"/>
    </row>
    <row r="268" spans="4:8" ht="15.5" outlineLevel="1" x14ac:dyDescent="0.35">
      <c r="D268" s="120"/>
      <c r="E268" s="119"/>
      <c r="F268" s="119"/>
      <c r="G268" s="119"/>
      <c r="H268" s="118"/>
    </row>
    <row r="269" spans="4:8" ht="15.5" outlineLevel="1" x14ac:dyDescent="0.35">
      <c r="D269" s="120"/>
      <c r="E269" s="119"/>
      <c r="F269" s="119"/>
      <c r="G269" s="119"/>
      <c r="H269" s="118"/>
    </row>
    <row r="270" spans="4:8" ht="15.5" outlineLevel="1" x14ac:dyDescent="0.35">
      <c r="D270" s="120"/>
      <c r="E270" s="119"/>
      <c r="F270" s="119"/>
      <c r="G270" s="119"/>
      <c r="H270" s="118"/>
    </row>
    <row r="271" spans="4:8" ht="15.5" outlineLevel="1" x14ac:dyDescent="0.35">
      <c r="D271" s="120"/>
      <c r="E271" s="119"/>
      <c r="F271" s="119"/>
      <c r="G271" s="119"/>
      <c r="H271" s="118"/>
    </row>
    <row r="272" spans="4:8" ht="15.5" outlineLevel="1" x14ac:dyDescent="0.35">
      <c r="D272" s="120"/>
      <c r="E272" s="119"/>
      <c r="F272" s="119"/>
      <c r="G272" s="119"/>
      <c r="H272" s="118"/>
    </row>
    <row r="273" spans="3:8" ht="15.5" outlineLevel="1" x14ac:dyDescent="0.35">
      <c r="D273" s="120"/>
      <c r="E273" s="119"/>
      <c r="F273" s="119"/>
      <c r="G273" s="119"/>
      <c r="H273" s="118"/>
    </row>
    <row r="274" spans="3:8" ht="15.5" outlineLevel="1" x14ac:dyDescent="0.35">
      <c r="D274" s="120"/>
      <c r="E274" s="119"/>
      <c r="F274" s="119"/>
      <c r="G274" s="119"/>
      <c r="H274" s="118"/>
    </row>
    <row r="275" spans="3:8" ht="15.5" outlineLevel="1" x14ac:dyDescent="0.35">
      <c r="D275" s="120"/>
      <c r="E275" s="119"/>
      <c r="F275" s="119"/>
      <c r="G275" s="119"/>
      <c r="H275" s="118"/>
    </row>
    <row r="276" spans="3:8" ht="15.5" outlineLevel="1" x14ac:dyDescent="0.35">
      <c r="D276" s="120"/>
      <c r="E276" s="119"/>
      <c r="F276" s="119"/>
      <c r="G276" s="119"/>
      <c r="H276" s="118"/>
    </row>
    <row r="277" spans="3:8" ht="15.5" outlineLevel="1" x14ac:dyDescent="0.35">
      <c r="D277" s="120"/>
      <c r="E277" s="119"/>
      <c r="F277" s="119"/>
      <c r="G277" s="119"/>
      <c r="H277" s="118"/>
    </row>
    <row r="278" spans="3:8" ht="15.5" outlineLevel="1" x14ac:dyDescent="0.35">
      <c r="D278" s="120"/>
      <c r="E278" s="119"/>
      <c r="F278" s="119"/>
      <c r="G278" s="119"/>
      <c r="H278" s="118"/>
    </row>
    <row r="279" spans="3:8" ht="15.5" outlineLevel="1" x14ac:dyDescent="0.35">
      <c r="D279" s="120"/>
      <c r="E279" s="119"/>
      <c r="F279" s="119"/>
      <c r="G279" s="119"/>
      <c r="H279" s="118"/>
    </row>
    <row r="280" spans="3:8" ht="15" customHeight="1" x14ac:dyDescent="0.35">
      <c r="C280" s="117">
        <f>SUM(D280:H280)</f>
        <v>245</v>
      </c>
      <c r="D280" s="116">
        <f>D246+D212+D178+D144+D110+D76+D42+D8</f>
        <v>5</v>
      </c>
      <c r="E280" s="116">
        <f>E246+E212+E178+E144+E110+E76+E42+E8</f>
        <v>25</v>
      </c>
      <c r="F280" s="116">
        <f>F246+F212+F178+F144+F110+F76+F42+F8</f>
        <v>131</v>
      </c>
      <c r="G280" s="116">
        <f>G246+G212+G178+G144+G110+G76+G42+G8</f>
        <v>54</v>
      </c>
      <c r="H280" s="116">
        <f>H246+H212+H178+H144+H110+H76+H42+H8</f>
        <v>30</v>
      </c>
    </row>
    <row r="281" spans="3:8" ht="15.5" x14ac:dyDescent="0.35">
      <c r="C281" s="115"/>
      <c r="D281" s="114">
        <f>D280/$C$280</f>
        <v>2.0408163265306121E-2</v>
      </c>
      <c r="E281" s="114">
        <f>E280/$C$280</f>
        <v>0.10204081632653061</v>
      </c>
      <c r="F281" s="114">
        <f>F280/$C$280</f>
        <v>0.53469387755102038</v>
      </c>
      <c r="G281" s="114">
        <f>G280/$C$280</f>
        <v>0.22040816326530613</v>
      </c>
      <c r="H281" s="114">
        <f>H280/$C$280</f>
        <v>0.12244897959183673</v>
      </c>
    </row>
  </sheetData>
  <mergeCells count="5">
    <mergeCell ref="D2:D7"/>
    <mergeCell ref="E2:E7"/>
    <mergeCell ref="F2:F7"/>
    <mergeCell ref="G2:G7"/>
    <mergeCell ref="H2:H7"/>
  </mergeCells>
  <conditionalFormatting sqref="D77:H105 D107:H109 D106:E106 G106:H106">
    <cfRule type="duplicateValues" dxfId="367" priority="168"/>
    <cfRule type="duplicateValues" dxfId="366" priority="176"/>
    <cfRule type="duplicateValues" dxfId="365" priority="184"/>
    <cfRule type="duplicateValues" dxfId="364" priority="192"/>
    <cfRule type="duplicateValues" dxfId="363" priority="200"/>
    <cfRule type="duplicateValues" dxfId="362" priority="208"/>
    <cfRule type="duplicateValues" dxfId="361" priority="216"/>
    <cfRule type="duplicateValues" dxfId="360" priority="223"/>
    <cfRule type="duplicateValues" dxfId="359" priority="229"/>
    <cfRule type="duplicateValues" dxfId="358" priority="234"/>
    <cfRule type="duplicateValues" dxfId="357" priority="237"/>
    <cfRule type="duplicateValues" dxfId="356" priority="250"/>
  </conditionalFormatting>
  <conditionalFormatting sqref="D43:H44 D47:E66 G47:H66 F47:F65 D46:H46 D45 F45:H45 D67:H75">
    <cfRule type="duplicateValues" dxfId="355" priority="249"/>
  </conditionalFormatting>
  <conditionalFormatting sqref="D9:H18 D20:H21 D19:E19 G19:H19 D33:H41 D22:F32 H22:H32">
    <cfRule type="duplicateValues" dxfId="354" priority="170"/>
    <cfRule type="duplicateValues" dxfId="353" priority="178"/>
    <cfRule type="duplicateValues" dxfId="352" priority="186"/>
    <cfRule type="duplicateValues" dxfId="351" priority="194"/>
    <cfRule type="duplicateValues" dxfId="350" priority="202"/>
    <cfRule type="duplicateValues" dxfId="349" priority="210"/>
    <cfRule type="duplicateValues" dxfId="348" priority="218"/>
    <cfRule type="duplicateValues" dxfId="347" priority="225"/>
    <cfRule type="duplicateValues" dxfId="346" priority="231"/>
    <cfRule type="duplicateValues" dxfId="345" priority="236"/>
    <cfRule type="duplicateValues" dxfId="344" priority="239"/>
    <cfRule type="duplicateValues" dxfId="343" priority="241"/>
    <cfRule type="duplicateValues" dxfId="342" priority="242"/>
    <cfRule type="duplicateValues" dxfId="341" priority="248"/>
  </conditionalFormatting>
  <conditionalFormatting sqref="D126:H143 D125:E125 G125:H125 D111:H124">
    <cfRule type="duplicateValues" dxfId="340" priority="167"/>
    <cfRule type="duplicateValues" dxfId="339" priority="175"/>
    <cfRule type="duplicateValues" dxfId="338" priority="183"/>
    <cfRule type="duplicateValues" dxfId="337" priority="191"/>
    <cfRule type="duplicateValues" dxfId="336" priority="199"/>
    <cfRule type="duplicateValues" dxfId="335" priority="207"/>
    <cfRule type="duplicateValues" dxfId="334" priority="215"/>
    <cfRule type="duplicateValues" dxfId="333" priority="222"/>
    <cfRule type="duplicateValues" dxfId="332" priority="228"/>
    <cfRule type="duplicateValues" dxfId="331" priority="233"/>
    <cfRule type="duplicateValues" dxfId="330" priority="247"/>
  </conditionalFormatting>
  <conditionalFormatting sqref="D145:H149 D151:H177 D150:E150 G150:H150">
    <cfRule type="duplicateValues" dxfId="329" priority="166"/>
    <cfRule type="duplicateValues" dxfId="328" priority="174"/>
    <cfRule type="duplicateValues" dxfId="327" priority="182"/>
    <cfRule type="duplicateValues" dxfId="326" priority="190"/>
    <cfRule type="duplicateValues" dxfId="325" priority="198"/>
    <cfRule type="duplicateValues" dxfId="324" priority="206"/>
    <cfRule type="duplicateValues" dxfId="323" priority="214"/>
    <cfRule type="duplicateValues" dxfId="322" priority="221"/>
    <cfRule type="duplicateValues" dxfId="321" priority="227"/>
    <cfRule type="duplicateValues" dxfId="320" priority="232"/>
    <cfRule type="duplicateValues" dxfId="319" priority="246"/>
  </conditionalFormatting>
  <conditionalFormatting sqref="D179:H196 D198:H211 D197:E197 G197:H197">
    <cfRule type="duplicateValues" dxfId="318" priority="165"/>
    <cfRule type="duplicateValues" dxfId="317" priority="173"/>
    <cfRule type="duplicateValues" dxfId="316" priority="181"/>
    <cfRule type="duplicateValues" dxfId="315" priority="189"/>
    <cfRule type="duplicateValues" dxfId="314" priority="197"/>
    <cfRule type="duplicateValues" dxfId="313" priority="205"/>
    <cfRule type="duplicateValues" dxfId="312" priority="213"/>
    <cfRule type="duplicateValues" dxfId="311" priority="220"/>
    <cfRule type="duplicateValues" dxfId="310" priority="226"/>
    <cfRule type="duplicateValues" dxfId="309" priority="245"/>
  </conditionalFormatting>
  <conditionalFormatting sqref="D247:H279">
    <cfRule type="duplicateValues" dxfId="308" priority="163"/>
    <cfRule type="duplicateValues" dxfId="307" priority="171"/>
    <cfRule type="duplicateValues" dxfId="306" priority="179"/>
    <cfRule type="duplicateValues" dxfId="305" priority="187"/>
    <cfRule type="duplicateValues" dxfId="304" priority="195"/>
    <cfRule type="duplicateValues" dxfId="303" priority="203"/>
    <cfRule type="duplicateValues" dxfId="302" priority="211"/>
    <cfRule type="duplicateValues" dxfId="301" priority="244"/>
  </conditionalFormatting>
  <conditionalFormatting sqref="D213:H237 D238:E238 G238:H238 D239:H245">
    <cfRule type="duplicateValues" dxfId="300" priority="164"/>
    <cfRule type="duplicateValues" dxfId="299" priority="172"/>
    <cfRule type="duplicateValues" dxfId="298" priority="180"/>
    <cfRule type="duplicateValues" dxfId="297" priority="188"/>
    <cfRule type="duplicateValues" dxfId="296" priority="196"/>
    <cfRule type="duplicateValues" dxfId="295" priority="204"/>
    <cfRule type="duplicateValues" dxfId="294" priority="212"/>
    <cfRule type="duplicateValues" dxfId="293" priority="219"/>
    <cfRule type="duplicateValues" dxfId="292" priority="243"/>
  </conditionalFormatting>
  <conditionalFormatting sqref="D43:H44 D45 F45:H45 D46:H75">
    <cfRule type="duplicateValues" dxfId="291" priority="169"/>
    <cfRule type="duplicateValues" dxfId="290" priority="177"/>
    <cfRule type="duplicateValues" dxfId="289" priority="185"/>
    <cfRule type="duplicateValues" dxfId="288" priority="193"/>
    <cfRule type="duplicateValues" dxfId="287" priority="201"/>
    <cfRule type="duplicateValues" dxfId="286" priority="209"/>
    <cfRule type="duplicateValues" dxfId="285" priority="217"/>
    <cfRule type="duplicateValues" dxfId="284" priority="224"/>
    <cfRule type="duplicateValues" dxfId="283" priority="230"/>
    <cfRule type="duplicateValues" dxfId="282" priority="235"/>
    <cfRule type="duplicateValues" dxfId="281" priority="238"/>
    <cfRule type="duplicateValues" dxfId="280" priority="240"/>
  </conditionalFormatting>
  <conditionalFormatting sqref="F66">
    <cfRule type="duplicateValues" dxfId="279" priority="162"/>
  </conditionalFormatting>
  <conditionalFormatting sqref="F19">
    <cfRule type="duplicateValues" dxfId="278" priority="141"/>
    <cfRule type="duplicateValues" dxfId="277" priority="142"/>
    <cfRule type="duplicateValues" dxfId="276" priority="143"/>
    <cfRule type="duplicateValues" dxfId="275" priority="144"/>
    <cfRule type="duplicateValues" dxfId="274" priority="145"/>
    <cfRule type="duplicateValues" dxfId="273" priority="146"/>
    <cfRule type="duplicateValues" dxfId="272" priority="147"/>
    <cfRule type="duplicateValues" dxfId="271" priority="148"/>
    <cfRule type="duplicateValues" dxfId="270" priority="149"/>
    <cfRule type="duplicateValues" dxfId="269" priority="150"/>
    <cfRule type="duplicateValues" dxfId="268" priority="151"/>
    <cfRule type="duplicateValues" dxfId="267" priority="152"/>
    <cfRule type="duplicateValues" dxfId="266" priority="153"/>
    <cfRule type="duplicateValues" dxfId="265" priority="154"/>
    <cfRule type="duplicateValues" dxfId="264" priority="155"/>
    <cfRule type="duplicateValues" dxfId="263" priority="156"/>
    <cfRule type="duplicateValues" dxfId="262" priority="157"/>
    <cfRule type="duplicateValues" dxfId="261" priority="158"/>
    <cfRule type="duplicateValues" dxfId="260" priority="159"/>
    <cfRule type="duplicateValues" dxfId="259" priority="160"/>
    <cfRule type="duplicateValues" dxfId="258" priority="161"/>
  </conditionalFormatting>
  <conditionalFormatting sqref="E45">
    <cfRule type="duplicateValues" dxfId="257" priority="120"/>
    <cfRule type="duplicateValues" dxfId="256" priority="121"/>
    <cfRule type="duplicateValues" dxfId="255" priority="122"/>
    <cfRule type="duplicateValues" dxfId="254" priority="123"/>
    <cfRule type="duplicateValues" dxfId="253" priority="124"/>
    <cfRule type="duplicateValues" dxfId="252" priority="125"/>
    <cfRule type="duplicateValues" dxfId="251" priority="126"/>
    <cfRule type="duplicateValues" dxfId="250" priority="127"/>
    <cfRule type="duplicateValues" dxfId="249" priority="128"/>
    <cfRule type="duplicateValues" dxfId="248" priority="129"/>
    <cfRule type="duplicateValues" dxfId="247" priority="130"/>
    <cfRule type="duplicateValues" dxfId="246" priority="131"/>
    <cfRule type="duplicateValues" dxfId="245" priority="132"/>
    <cfRule type="duplicateValues" dxfId="244" priority="133"/>
    <cfRule type="duplicateValues" dxfId="243" priority="134"/>
    <cfRule type="duplicateValues" dxfId="242" priority="135"/>
    <cfRule type="duplicateValues" dxfId="241" priority="136"/>
    <cfRule type="duplicateValues" dxfId="240" priority="137"/>
    <cfRule type="duplicateValues" dxfId="239" priority="138"/>
    <cfRule type="duplicateValues" dxfId="238" priority="139"/>
    <cfRule type="duplicateValues" dxfId="237" priority="140"/>
  </conditionalFormatting>
  <conditionalFormatting sqref="F106">
    <cfRule type="duplicateValues" dxfId="236" priority="99"/>
    <cfRule type="duplicateValues" dxfId="235" priority="100"/>
    <cfRule type="duplicateValues" dxfId="234" priority="101"/>
    <cfRule type="duplicateValues" dxfId="233" priority="102"/>
    <cfRule type="duplicateValues" dxfId="232" priority="103"/>
    <cfRule type="duplicateValues" dxfId="231" priority="104"/>
    <cfRule type="duplicateValues" dxfId="230" priority="105"/>
    <cfRule type="duplicateValues" dxfId="229" priority="106"/>
    <cfRule type="duplicateValues" dxfId="228" priority="107"/>
    <cfRule type="duplicateValues" dxfId="227" priority="108"/>
    <cfRule type="duplicateValues" dxfId="226" priority="109"/>
    <cfRule type="duplicateValues" dxfId="225" priority="110"/>
    <cfRule type="duplicateValues" dxfId="224" priority="111"/>
    <cfRule type="duplicateValues" dxfId="223" priority="112"/>
    <cfRule type="duplicateValues" dxfId="222" priority="113"/>
    <cfRule type="duplicateValues" dxfId="221" priority="114"/>
    <cfRule type="duplicateValues" dxfId="220" priority="115"/>
    <cfRule type="duplicateValues" dxfId="219" priority="116"/>
    <cfRule type="duplicateValues" dxfId="218" priority="117"/>
    <cfRule type="duplicateValues" dxfId="217" priority="118"/>
    <cfRule type="duplicateValues" dxfId="216" priority="119"/>
  </conditionalFormatting>
  <conditionalFormatting sqref="F125">
    <cfRule type="duplicateValues" dxfId="215" priority="78"/>
    <cfRule type="duplicateValues" dxfId="214" priority="79"/>
    <cfRule type="duplicateValues" dxfId="213" priority="80"/>
    <cfRule type="duplicateValues" dxfId="212" priority="81"/>
    <cfRule type="duplicateValues" dxfId="211" priority="82"/>
    <cfRule type="duplicateValues" dxfId="210" priority="83"/>
    <cfRule type="duplicateValues" dxfId="209" priority="84"/>
    <cfRule type="duplicateValues" dxfId="208" priority="85"/>
    <cfRule type="duplicateValues" dxfId="207" priority="86"/>
    <cfRule type="duplicateValues" dxfId="206" priority="87"/>
    <cfRule type="duplicateValues" dxfId="205" priority="88"/>
    <cfRule type="duplicateValues" dxfId="204" priority="89"/>
    <cfRule type="duplicateValues" dxfId="203" priority="90"/>
    <cfRule type="duplicateValues" dxfId="202" priority="91"/>
    <cfRule type="duplicateValues" dxfId="201" priority="92"/>
    <cfRule type="duplicateValues" dxfId="200" priority="93"/>
    <cfRule type="duplicateValues" dxfId="199" priority="94"/>
    <cfRule type="duplicateValues" dxfId="198" priority="95"/>
    <cfRule type="duplicateValues" dxfId="197" priority="96"/>
    <cfRule type="duplicateValues" dxfId="196" priority="97"/>
    <cfRule type="duplicateValues" dxfId="195" priority="98"/>
  </conditionalFormatting>
  <conditionalFormatting sqref="F150">
    <cfRule type="duplicateValues" dxfId="194" priority="57"/>
    <cfRule type="duplicateValues" dxfId="193" priority="58"/>
    <cfRule type="duplicateValues" dxfId="192" priority="59"/>
    <cfRule type="duplicateValues" dxfId="191" priority="60"/>
    <cfRule type="duplicateValues" dxfId="190" priority="61"/>
    <cfRule type="duplicateValues" dxfId="189" priority="62"/>
    <cfRule type="duplicateValues" dxfId="188" priority="63"/>
    <cfRule type="duplicateValues" dxfId="187" priority="64"/>
    <cfRule type="duplicateValues" dxfId="186" priority="65"/>
    <cfRule type="duplicateValues" dxfId="185" priority="66"/>
    <cfRule type="duplicateValues" dxfId="184" priority="67"/>
    <cfRule type="duplicateValues" dxfId="183" priority="68"/>
    <cfRule type="duplicateValues" dxfId="182" priority="69"/>
    <cfRule type="duplicateValues" dxfId="181" priority="70"/>
    <cfRule type="duplicateValues" dxfId="180" priority="71"/>
    <cfRule type="duplicateValues" dxfId="179" priority="72"/>
    <cfRule type="duplicateValues" dxfId="178" priority="73"/>
    <cfRule type="duplicateValues" dxfId="177" priority="74"/>
    <cfRule type="duplicateValues" dxfId="176" priority="75"/>
    <cfRule type="duplicateValues" dxfId="175" priority="76"/>
    <cfRule type="duplicateValues" dxfId="174" priority="77"/>
  </conditionalFormatting>
  <conditionalFormatting sqref="F197">
    <cfRule type="duplicateValues" dxfId="173" priority="36"/>
    <cfRule type="duplicateValues" dxfId="172" priority="37"/>
    <cfRule type="duplicateValues" dxfId="171" priority="38"/>
    <cfRule type="duplicateValues" dxfId="170" priority="39"/>
    <cfRule type="duplicateValues" dxfId="169" priority="40"/>
    <cfRule type="duplicateValues" dxfId="168" priority="41"/>
    <cfRule type="duplicateValues" dxfId="167" priority="42"/>
    <cfRule type="duplicateValues" dxfId="166" priority="43"/>
    <cfRule type="duplicateValues" dxfId="165" priority="44"/>
    <cfRule type="duplicateValues" dxfId="164" priority="45"/>
    <cfRule type="duplicateValues" dxfId="163" priority="46"/>
    <cfRule type="duplicateValues" dxfId="162" priority="47"/>
    <cfRule type="duplicateValues" dxfId="161" priority="48"/>
    <cfRule type="duplicateValues" dxfId="160" priority="49"/>
    <cfRule type="duplicateValues" dxfId="159" priority="50"/>
    <cfRule type="duplicateValues" dxfId="158" priority="51"/>
    <cfRule type="duplicateValues" dxfId="157" priority="52"/>
    <cfRule type="duplicateValues" dxfId="156" priority="53"/>
    <cfRule type="duplicateValues" dxfId="155" priority="54"/>
    <cfRule type="duplicateValues" dxfId="154" priority="55"/>
    <cfRule type="duplicateValues" dxfId="153" priority="56"/>
  </conditionalFormatting>
  <conditionalFormatting sqref="F238">
    <cfRule type="duplicateValues" dxfId="152" priority="15"/>
    <cfRule type="duplicateValues" dxfId="151" priority="16"/>
    <cfRule type="duplicateValues" dxfId="150" priority="17"/>
    <cfRule type="duplicateValues" dxfId="149" priority="18"/>
    <cfRule type="duplicateValues" dxfId="148" priority="19"/>
    <cfRule type="duplicateValues" dxfId="147" priority="20"/>
    <cfRule type="duplicateValues" dxfId="146" priority="21"/>
    <cfRule type="duplicateValues" dxfId="145" priority="22"/>
    <cfRule type="duplicateValues" dxfId="144" priority="23"/>
    <cfRule type="duplicateValues" dxfId="143" priority="24"/>
    <cfRule type="duplicateValues" dxfId="142" priority="25"/>
    <cfRule type="duplicateValues" dxfId="141" priority="26"/>
    <cfRule type="duplicateValues" dxfId="140" priority="27"/>
    <cfRule type="duplicateValues" dxfId="139" priority="28"/>
    <cfRule type="duplicateValues" dxfId="138" priority="29"/>
    <cfRule type="duplicateValues" dxfId="137" priority="30"/>
    <cfRule type="duplicateValues" dxfId="136" priority="31"/>
    <cfRule type="duplicateValues" dxfId="135" priority="32"/>
    <cfRule type="duplicateValues" dxfId="134" priority="33"/>
    <cfRule type="duplicateValues" dxfId="133" priority="34"/>
    <cfRule type="duplicateValues" dxfId="132" priority="35"/>
  </conditionalFormatting>
  <conditionalFormatting sqref="G22:G32">
    <cfRule type="duplicateValues" dxfId="131" priority="1"/>
    <cfRule type="duplicateValues" dxfId="130" priority="2"/>
    <cfRule type="duplicateValues" dxfId="129" priority="3"/>
    <cfRule type="duplicateValues" dxfId="128" priority="4"/>
    <cfRule type="duplicateValues" dxfId="127" priority="5"/>
    <cfRule type="duplicateValues" dxfId="126" priority="6"/>
    <cfRule type="duplicateValues" dxfId="125" priority="7"/>
    <cfRule type="duplicateValues" dxfId="124" priority="8"/>
    <cfRule type="duplicateValues" dxfId="123" priority="9"/>
    <cfRule type="duplicateValues" dxfId="122" priority="10"/>
    <cfRule type="duplicateValues" dxfId="121" priority="11"/>
    <cfRule type="duplicateValues" dxfId="120" priority="12"/>
    <cfRule type="duplicateValues" dxfId="119" priority="13"/>
    <cfRule type="duplicateValues" dxfId="118" priority="14"/>
  </conditionalFormatting>
  <dataValidations count="1">
    <dataValidation type="list" allowBlank="1" showInputMessage="1" showErrorMessage="1" sqref="D8:H280 F1" xr:uid="{0A31138F-F7DF-4534-871E-0B2B36C8ECEF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FDE6E-A9ED-4799-9B94-DBB0CAFAFE8C}">
  <sheetPr codeName="Sheet21">
    <outlinePr summaryBelow="0" summaryRight="0"/>
  </sheetPr>
  <dimension ref="A1:H281"/>
  <sheetViews>
    <sheetView workbookViewId="0"/>
  </sheetViews>
  <sheetFormatPr defaultColWidth="8.7265625" defaultRowHeight="12" outlineLevelRow="1" x14ac:dyDescent="0.3"/>
  <cols>
    <col min="1" max="1" width="3.81640625" style="113" customWidth="1"/>
    <col min="2" max="2" width="100.453125" style="113" bestFit="1" customWidth="1"/>
    <col min="3" max="3" width="3.81640625" style="113" customWidth="1"/>
    <col min="4" max="8" width="23" style="113" customWidth="1"/>
    <col min="9" max="16384" width="8.7265625" style="113"/>
  </cols>
  <sheetData>
    <row r="1" spans="1:8" ht="21" x14ac:dyDescent="0.5">
      <c r="D1" s="131">
        <v>1</v>
      </c>
      <c r="E1" s="131">
        <v>2</v>
      </c>
      <c r="F1" s="132" t="s">
        <v>100</v>
      </c>
      <c r="G1" s="131">
        <v>4</v>
      </c>
      <c r="H1" s="131">
        <v>5</v>
      </c>
    </row>
    <row r="2" spans="1:8" x14ac:dyDescent="0.3">
      <c r="D2" s="168" t="s">
        <v>255</v>
      </c>
      <c r="E2" s="168" t="s">
        <v>254</v>
      </c>
      <c r="F2" s="168" t="s">
        <v>253</v>
      </c>
      <c r="G2" s="168" t="s">
        <v>252</v>
      </c>
      <c r="H2" s="168" t="s">
        <v>251</v>
      </c>
    </row>
    <row r="3" spans="1:8" x14ac:dyDescent="0.3">
      <c r="D3" s="169"/>
      <c r="E3" s="169"/>
      <c r="F3" s="169"/>
      <c r="G3" s="169"/>
      <c r="H3" s="169"/>
    </row>
    <row r="4" spans="1:8" x14ac:dyDescent="0.3">
      <c r="D4" s="169"/>
      <c r="E4" s="169"/>
      <c r="F4" s="169"/>
      <c r="G4" s="169"/>
      <c r="H4" s="169"/>
    </row>
    <row r="5" spans="1:8" x14ac:dyDescent="0.3">
      <c r="D5" s="169"/>
      <c r="E5" s="169"/>
      <c r="F5" s="169"/>
      <c r="G5" s="169"/>
      <c r="H5" s="169"/>
    </row>
    <row r="6" spans="1:8" x14ac:dyDescent="0.3">
      <c r="D6" s="169"/>
      <c r="E6" s="169"/>
      <c r="F6" s="169"/>
      <c r="G6" s="169"/>
      <c r="H6" s="169"/>
    </row>
    <row r="7" spans="1:8" ht="12.5" thickBot="1" x14ac:dyDescent="0.35">
      <c r="D7" s="170"/>
      <c r="E7" s="170"/>
      <c r="F7" s="170"/>
      <c r="G7" s="170"/>
      <c r="H7" s="170"/>
    </row>
    <row r="8" spans="1:8" ht="15.65" customHeight="1" thickBot="1" x14ac:dyDescent="0.4">
      <c r="A8" s="134">
        <v>1</v>
      </c>
      <c r="B8" s="126" t="s">
        <v>218</v>
      </c>
      <c r="C8" s="125">
        <f>SUM(D8:H8)</f>
        <v>35</v>
      </c>
      <c r="D8" s="119">
        <f>COUNTA(D9:D41)</f>
        <v>0</v>
      </c>
      <c r="E8" s="119">
        <f>COUNTA(E9:E41)</f>
        <v>9</v>
      </c>
      <c r="F8" s="119">
        <f>COUNTA(F9:F41)</f>
        <v>26</v>
      </c>
      <c r="G8" s="119">
        <f>COUNTA(G9:G41)</f>
        <v>0</v>
      </c>
      <c r="H8" s="119">
        <f>COUNTA(H9:H41)</f>
        <v>0</v>
      </c>
    </row>
    <row r="9" spans="1:8" ht="15.65" customHeight="1" outlineLevel="1" thickTop="1" x14ac:dyDescent="0.35">
      <c r="D9" s="124"/>
      <c r="E9" s="123"/>
      <c r="F9" s="123"/>
      <c r="G9" s="123"/>
      <c r="H9" s="122"/>
    </row>
    <row r="10" spans="1:8" ht="15.65" customHeight="1" outlineLevel="1" x14ac:dyDescent="0.35">
      <c r="D10" s="120"/>
      <c r="E10" s="119" t="s">
        <v>70</v>
      </c>
      <c r="F10" s="119" t="s">
        <v>28</v>
      </c>
      <c r="G10" s="119"/>
      <c r="H10" s="118"/>
    </row>
    <row r="11" spans="1:8" ht="15.5" outlineLevel="1" x14ac:dyDescent="0.35">
      <c r="D11" s="120"/>
      <c r="E11" s="119" t="s">
        <v>88</v>
      </c>
      <c r="F11" s="119" t="s">
        <v>80</v>
      </c>
      <c r="G11" s="119"/>
      <c r="H11" s="118"/>
    </row>
    <row r="12" spans="1:8" ht="15.5" outlineLevel="1" x14ac:dyDescent="0.35">
      <c r="D12" s="120"/>
      <c r="E12" s="119" t="s">
        <v>83</v>
      </c>
      <c r="F12" s="119" t="s">
        <v>94</v>
      </c>
      <c r="G12" s="119"/>
      <c r="H12" s="118"/>
    </row>
    <row r="13" spans="1:8" ht="15.5" outlineLevel="1" x14ac:dyDescent="0.35">
      <c r="D13" s="120"/>
      <c r="E13" s="119" t="s">
        <v>96</v>
      </c>
      <c r="F13" s="119" t="s">
        <v>53</v>
      </c>
      <c r="G13" s="119"/>
      <c r="H13" s="118"/>
    </row>
    <row r="14" spans="1:8" ht="15.5" outlineLevel="1" x14ac:dyDescent="0.35">
      <c r="D14" s="120"/>
      <c r="E14" s="119" t="s">
        <v>85</v>
      </c>
      <c r="F14" s="119" t="s">
        <v>89</v>
      </c>
      <c r="G14" s="119"/>
      <c r="H14" s="118"/>
    </row>
    <row r="15" spans="1:8" ht="15.5" outlineLevel="1" x14ac:dyDescent="0.35">
      <c r="D15" s="120"/>
      <c r="E15" s="119" t="s">
        <v>69</v>
      </c>
      <c r="F15" s="119" t="s">
        <v>21</v>
      </c>
      <c r="G15" s="119"/>
      <c r="H15" s="118"/>
    </row>
    <row r="16" spans="1:8" ht="15.5" outlineLevel="1" x14ac:dyDescent="0.35">
      <c r="D16" s="120"/>
      <c r="E16" s="119" t="s">
        <v>65</v>
      </c>
      <c r="F16" s="119" t="s">
        <v>17</v>
      </c>
      <c r="G16" s="119"/>
      <c r="H16" s="118"/>
    </row>
    <row r="17" spans="4:8" ht="15.5" outlineLevel="1" x14ac:dyDescent="0.35">
      <c r="D17" s="120"/>
      <c r="E17" s="119" t="s">
        <v>72</v>
      </c>
      <c r="F17" s="119" t="s">
        <v>67</v>
      </c>
      <c r="G17" s="119"/>
      <c r="H17" s="118"/>
    </row>
    <row r="18" spans="4:8" ht="15.5" outlineLevel="1" x14ac:dyDescent="0.35">
      <c r="D18" s="120"/>
      <c r="E18" s="119" t="s">
        <v>197</v>
      </c>
      <c r="F18" s="119" t="s">
        <v>24</v>
      </c>
      <c r="G18" s="119"/>
      <c r="H18" s="118"/>
    </row>
    <row r="19" spans="4:8" ht="15.5" outlineLevel="1" x14ac:dyDescent="0.35">
      <c r="D19" s="120"/>
      <c r="E19" s="119"/>
      <c r="F19" s="119" t="s">
        <v>68</v>
      </c>
      <c r="G19" s="119"/>
      <c r="H19" s="118"/>
    </row>
    <row r="20" spans="4:8" ht="15.5" outlineLevel="1" x14ac:dyDescent="0.35">
      <c r="D20" s="120"/>
      <c r="E20" s="119"/>
      <c r="F20" s="119" t="s">
        <v>57</v>
      </c>
      <c r="G20" s="119"/>
      <c r="H20" s="118"/>
    </row>
    <row r="21" spans="4:8" ht="15.5" outlineLevel="1" x14ac:dyDescent="0.35">
      <c r="D21" s="120"/>
      <c r="E21" s="119"/>
      <c r="F21" s="119" t="s">
        <v>243</v>
      </c>
      <c r="G21" s="119"/>
      <c r="H21" s="118"/>
    </row>
    <row r="22" spans="4:8" ht="15.5" outlineLevel="1" x14ac:dyDescent="0.35">
      <c r="D22" s="120"/>
      <c r="E22" s="119"/>
      <c r="F22" s="121" t="s">
        <v>98</v>
      </c>
      <c r="G22" s="119"/>
      <c r="H22" s="118"/>
    </row>
    <row r="23" spans="4:8" ht="15.5" outlineLevel="1" x14ac:dyDescent="0.35">
      <c r="D23" s="120"/>
      <c r="E23" s="119"/>
      <c r="F23" s="119" t="s">
        <v>35</v>
      </c>
      <c r="G23" s="121"/>
      <c r="H23" s="118"/>
    </row>
    <row r="24" spans="4:8" ht="15.5" outlineLevel="1" x14ac:dyDescent="0.35">
      <c r="D24" s="120"/>
      <c r="E24" s="119"/>
      <c r="F24" s="119" t="s">
        <v>31</v>
      </c>
      <c r="G24" s="121"/>
      <c r="H24" s="118"/>
    </row>
    <row r="25" spans="4:8" ht="15.5" outlineLevel="1" x14ac:dyDescent="0.35">
      <c r="D25" s="120"/>
      <c r="E25" s="119"/>
      <c r="F25" s="119" t="s">
        <v>56</v>
      </c>
      <c r="G25" s="119"/>
      <c r="H25" s="118"/>
    </row>
    <row r="26" spans="4:8" ht="15.5" outlineLevel="1" x14ac:dyDescent="0.35">
      <c r="D26" s="120"/>
      <c r="E26" s="119"/>
      <c r="F26" s="119" t="s">
        <v>66</v>
      </c>
      <c r="G26" s="119"/>
      <c r="H26" s="118"/>
    </row>
    <row r="27" spans="4:8" ht="15.5" outlineLevel="1" x14ac:dyDescent="0.35">
      <c r="D27" s="120"/>
      <c r="E27" s="121"/>
      <c r="F27" s="119" t="s">
        <v>99</v>
      </c>
      <c r="G27" s="119"/>
      <c r="H27" s="118"/>
    </row>
    <row r="28" spans="4:8" ht="15.5" outlineLevel="1" x14ac:dyDescent="0.35">
      <c r="D28" s="120"/>
      <c r="E28" s="119"/>
      <c r="F28" s="119" t="s">
        <v>84</v>
      </c>
      <c r="G28" s="119"/>
      <c r="H28" s="118"/>
    </row>
    <row r="29" spans="4:8" ht="15.5" outlineLevel="1" x14ac:dyDescent="0.35">
      <c r="D29" s="120"/>
      <c r="E29" s="119"/>
      <c r="F29" s="119" t="s">
        <v>78</v>
      </c>
      <c r="G29" s="119"/>
      <c r="H29" s="118"/>
    </row>
    <row r="30" spans="4:8" ht="15.5" outlineLevel="1" x14ac:dyDescent="0.35">
      <c r="D30" s="120"/>
      <c r="E30" s="119"/>
      <c r="F30" s="119" t="s">
        <v>76</v>
      </c>
      <c r="G30" s="119"/>
      <c r="H30" s="118"/>
    </row>
    <row r="31" spans="4:8" ht="15.5" outlineLevel="1" x14ac:dyDescent="0.35">
      <c r="D31" s="120"/>
      <c r="E31" s="119"/>
      <c r="F31" s="119" t="s">
        <v>39</v>
      </c>
      <c r="G31" s="119"/>
      <c r="H31" s="118"/>
    </row>
    <row r="32" spans="4:8" ht="15.5" outlineLevel="1" x14ac:dyDescent="0.35">
      <c r="D32" s="120"/>
      <c r="E32" s="119"/>
      <c r="F32" s="119" t="s">
        <v>74</v>
      </c>
      <c r="G32" s="119"/>
      <c r="H32" s="118"/>
    </row>
    <row r="33" spans="1:8" ht="15.5" outlineLevel="1" x14ac:dyDescent="0.35">
      <c r="D33" s="120"/>
      <c r="E33" s="119"/>
      <c r="F33" s="119" t="s">
        <v>91</v>
      </c>
      <c r="G33" s="119"/>
      <c r="H33" s="118"/>
    </row>
    <row r="34" spans="1:8" ht="15.5" outlineLevel="1" x14ac:dyDescent="0.35">
      <c r="D34" s="120"/>
      <c r="E34" s="119"/>
      <c r="F34" s="119" t="s">
        <v>49</v>
      </c>
      <c r="G34" s="119"/>
      <c r="H34" s="118"/>
    </row>
    <row r="35" spans="1:8" ht="15.5" outlineLevel="1" x14ac:dyDescent="0.35">
      <c r="D35" s="120"/>
      <c r="E35" s="119"/>
      <c r="F35" s="119" t="s">
        <v>196</v>
      </c>
      <c r="G35" s="119"/>
      <c r="H35" s="118"/>
    </row>
    <row r="36" spans="1:8" ht="15.5" outlineLevel="1" x14ac:dyDescent="0.35">
      <c r="D36" s="120"/>
      <c r="E36" s="119"/>
      <c r="F36" s="119"/>
      <c r="G36" s="119"/>
      <c r="H36" s="118"/>
    </row>
    <row r="37" spans="1:8" ht="15.5" outlineLevel="1" x14ac:dyDescent="0.35">
      <c r="D37" s="120"/>
      <c r="E37" s="119"/>
      <c r="F37" s="119"/>
      <c r="G37" s="119"/>
      <c r="H37" s="118"/>
    </row>
    <row r="38" spans="1:8" ht="15.5" outlineLevel="1" x14ac:dyDescent="0.35">
      <c r="D38" s="120"/>
      <c r="E38" s="119"/>
      <c r="F38" s="119"/>
      <c r="G38" s="119"/>
      <c r="H38" s="118"/>
    </row>
    <row r="39" spans="1:8" ht="15.5" outlineLevel="1" x14ac:dyDescent="0.35">
      <c r="D39" s="120"/>
      <c r="E39" s="119"/>
      <c r="F39" s="119"/>
      <c r="G39" s="119"/>
      <c r="H39" s="118"/>
    </row>
    <row r="40" spans="1:8" ht="15.5" outlineLevel="1" x14ac:dyDescent="0.35">
      <c r="D40" s="120"/>
      <c r="E40" s="119"/>
      <c r="F40" s="119"/>
      <c r="G40" s="119"/>
      <c r="H40" s="118"/>
    </row>
    <row r="41" spans="1:8" ht="16" outlineLevel="1" thickBot="1" x14ac:dyDescent="0.4">
      <c r="D41" s="130"/>
      <c r="E41" s="129"/>
      <c r="F41" s="129"/>
      <c r="G41" s="129"/>
      <c r="H41" s="128"/>
    </row>
    <row r="42" spans="1:8" ht="15.65" customHeight="1" thickTop="1" thickBot="1" x14ac:dyDescent="0.4">
      <c r="A42" s="134">
        <f>A8+1</f>
        <v>2</v>
      </c>
      <c r="B42" s="126" t="s">
        <v>217</v>
      </c>
      <c r="C42" s="125">
        <f>SUM(D42:H42)</f>
        <v>35</v>
      </c>
      <c r="D42" s="119">
        <f>COUNTA(D43:D75)</f>
        <v>1</v>
      </c>
      <c r="E42" s="119">
        <f>COUNTA(E43:E75)</f>
        <v>4</v>
      </c>
      <c r="F42" s="119">
        <f>COUNTA(F43:F75)</f>
        <v>30</v>
      </c>
      <c r="G42" s="119">
        <f>COUNTA(G43:G75)</f>
        <v>0</v>
      </c>
      <c r="H42" s="119">
        <f>COUNTA(H43:H75)</f>
        <v>0</v>
      </c>
    </row>
    <row r="43" spans="1:8" ht="15.65" customHeight="1" outlineLevel="1" thickTop="1" x14ac:dyDescent="0.35">
      <c r="D43" s="124"/>
      <c r="E43" s="123"/>
      <c r="F43" s="123"/>
      <c r="G43" s="123"/>
      <c r="H43" s="122"/>
    </row>
    <row r="44" spans="1:8" ht="15.65" customHeight="1" outlineLevel="1" x14ac:dyDescent="0.35">
      <c r="D44" s="120" t="s">
        <v>98</v>
      </c>
      <c r="E44" s="119" t="s">
        <v>88</v>
      </c>
      <c r="F44" s="119" t="s">
        <v>70</v>
      </c>
      <c r="G44" s="119"/>
      <c r="H44" s="118"/>
    </row>
    <row r="45" spans="1:8" ht="15.5" outlineLevel="1" x14ac:dyDescent="0.35">
      <c r="D45" s="120"/>
      <c r="E45" s="119" t="s">
        <v>96</v>
      </c>
      <c r="F45" s="119" t="s">
        <v>28</v>
      </c>
      <c r="G45" s="119"/>
      <c r="H45" s="118"/>
    </row>
    <row r="46" spans="1:8" ht="15.5" outlineLevel="1" x14ac:dyDescent="0.35">
      <c r="D46" s="120"/>
      <c r="E46" s="119" t="s">
        <v>89</v>
      </c>
      <c r="F46" s="119" t="s">
        <v>80</v>
      </c>
      <c r="G46" s="119"/>
      <c r="H46" s="118"/>
    </row>
    <row r="47" spans="1:8" ht="15.5" outlineLevel="1" x14ac:dyDescent="0.35">
      <c r="D47" s="120"/>
      <c r="E47" s="119" t="s">
        <v>99</v>
      </c>
      <c r="F47" s="119" t="s">
        <v>83</v>
      </c>
      <c r="G47" s="119"/>
      <c r="H47" s="118"/>
    </row>
    <row r="48" spans="1:8" ht="15.5" outlineLevel="1" x14ac:dyDescent="0.35">
      <c r="D48" s="120"/>
      <c r="E48" s="119"/>
      <c r="F48" s="119" t="s">
        <v>94</v>
      </c>
      <c r="G48" s="119"/>
      <c r="H48" s="118"/>
    </row>
    <row r="49" spans="4:8" ht="15.5" outlineLevel="1" x14ac:dyDescent="0.35">
      <c r="D49" s="120"/>
      <c r="E49" s="119"/>
      <c r="F49" s="119" t="s">
        <v>17</v>
      </c>
      <c r="G49" s="119"/>
      <c r="H49" s="118"/>
    </row>
    <row r="50" spans="4:8" ht="15.5" outlineLevel="1" x14ac:dyDescent="0.35">
      <c r="D50" s="120"/>
      <c r="E50" s="119"/>
      <c r="F50" s="119" t="s">
        <v>85</v>
      </c>
      <c r="G50" s="119"/>
      <c r="H50" s="118"/>
    </row>
    <row r="51" spans="4:8" ht="15.5" outlineLevel="1" x14ac:dyDescent="0.35">
      <c r="D51" s="120"/>
      <c r="E51" s="119"/>
      <c r="F51" s="119" t="s">
        <v>21</v>
      </c>
      <c r="G51" s="119"/>
      <c r="H51" s="118"/>
    </row>
    <row r="52" spans="4:8" ht="15.5" outlineLevel="1" x14ac:dyDescent="0.35">
      <c r="D52" s="120"/>
      <c r="E52" s="119"/>
      <c r="F52" s="119" t="s">
        <v>67</v>
      </c>
      <c r="G52" s="119"/>
      <c r="H52" s="118"/>
    </row>
    <row r="53" spans="4:8" ht="15.5" outlineLevel="1" x14ac:dyDescent="0.35">
      <c r="D53" s="120"/>
      <c r="E53" s="119"/>
      <c r="F53" s="119" t="s">
        <v>24</v>
      </c>
      <c r="G53" s="119"/>
      <c r="H53" s="118"/>
    </row>
    <row r="54" spans="4:8" ht="15.5" outlineLevel="1" x14ac:dyDescent="0.35">
      <c r="D54" s="120"/>
      <c r="E54" s="119"/>
      <c r="F54" s="121" t="s">
        <v>68</v>
      </c>
      <c r="G54" s="119"/>
      <c r="H54" s="118"/>
    </row>
    <row r="55" spans="4:8" ht="15.5" outlineLevel="1" x14ac:dyDescent="0.35">
      <c r="D55" s="120"/>
      <c r="E55" s="119"/>
      <c r="F55" s="119" t="s">
        <v>57</v>
      </c>
      <c r="G55" s="119"/>
      <c r="H55" s="118"/>
    </row>
    <row r="56" spans="4:8" ht="15.5" outlineLevel="1" x14ac:dyDescent="0.35">
      <c r="D56" s="120"/>
      <c r="E56" s="119"/>
      <c r="F56" s="119" t="s">
        <v>35</v>
      </c>
      <c r="G56" s="119"/>
      <c r="H56" s="118"/>
    </row>
    <row r="57" spans="4:8" ht="15.5" outlineLevel="1" x14ac:dyDescent="0.35">
      <c r="D57" s="120"/>
      <c r="E57" s="119"/>
      <c r="F57" s="119" t="s">
        <v>31</v>
      </c>
      <c r="G57" s="121"/>
      <c r="H57" s="118"/>
    </row>
    <row r="58" spans="4:8" ht="15.5" outlineLevel="1" x14ac:dyDescent="0.35">
      <c r="D58" s="120"/>
      <c r="E58" s="119"/>
      <c r="F58" s="119" t="s">
        <v>66</v>
      </c>
      <c r="G58" s="121"/>
      <c r="H58" s="118"/>
    </row>
    <row r="59" spans="4:8" ht="15.5" outlineLevel="1" x14ac:dyDescent="0.35">
      <c r="D59" s="120"/>
      <c r="E59" s="119"/>
      <c r="F59" s="119" t="s">
        <v>84</v>
      </c>
      <c r="G59" s="119"/>
      <c r="H59" s="118"/>
    </row>
    <row r="60" spans="4:8" ht="15.5" outlineLevel="1" x14ac:dyDescent="0.35">
      <c r="D60" s="120"/>
      <c r="E60" s="119"/>
      <c r="F60" s="119" t="s">
        <v>65</v>
      </c>
      <c r="G60" s="119"/>
      <c r="H60" s="118"/>
    </row>
    <row r="61" spans="4:8" ht="15.5" outlineLevel="1" x14ac:dyDescent="0.35">
      <c r="D61" s="120"/>
      <c r="E61" s="121"/>
      <c r="F61" s="119" t="s">
        <v>78</v>
      </c>
      <c r="G61" s="119"/>
      <c r="H61" s="118"/>
    </row>
    <row r="62" spans="4:8" ht="15.5" outlineLevel="1" x14ac:dyDescent="0.35">
      <c r="D62" s="120"/>
      <c r="E62" s="119"/>
      <c r="F62" s="119" t="s">
        <v>76</v>
      </c>
      <c r="G62" s="119"/>
      <c r="H62" s="118"/>
    </row>
    <row r="63" spans="4:8" ht="15.5" outlineLevel="1" x14ac:dyDescent="0.35">
      <c r="D63" s="120"/>
      <c r="E63" s="119"/>
      <c r="F63" s="119" t="s">
        <v>72</v>
      </c>
      <c r="G63" s="119"/>
      <c r="H63" s="118"/>
    </row>
    <row r="64" spans="4:8" ht="15.5" outlineLevel="1" x14ac:dyDescent="0.35">
      <c r="D64" s="120"/>
      <c r="E64" s="119"/>
      <c r="F64" s="119" t="s">
        <v>74</v>
      </c>
      <c r="G64" s="119"/>
      <c r="H64" s="118"/>
    </row>
    <row r="65" spans="1:8" ht="15.5" outlineLevel="1" x14ac:dyDescent="0.35">
      <c r="D65" s="120"/>
      <c r="E65" s="119"/>
      <c r="F65" s="119" t="s">
        <v>91</v>
      </c>
      <c r="G65" s="119"/>
      <c r="H65" s="118"/>
    </row>
    <row r="66" spans="1:8" ht="15.5" outlineLevel="1" x14ac:dyDescent="0.35">
      <c r="D66" s="120"/>
      <c r="E66" s="119"/>
      <c r="F66" s="119" t="s">
        <v>69</v>
      </c>
      <c r="G66" s="119"/>
      <c r="H66" s="118"/>
    </row>
    <row r="67" spans="1:8" ht="15.5" outlineLevel="1" x14ac:dyDescent="0.35">
      <c r="D67" s="120"/>
      <c r="E67" s="119"/>
      <c r="F67" s="119" t="s">
        <v>243</v>
      </c>
      <c r="G67" s="119"/>
      <c r="H67" s="118"/>
    </row>
    <row r="68" spans="1:8" ht="15.5" outlineLevel="1" x14ac:dyDescent="0.35">
      <c r="D68" s="120"/>
      <c r="E68" s="119"/>
      <c r="F68" s="119" t="s">
        <v>56</v>
      </c>
      <c r="G68" s="119"/>
      <c r="H68" s="118"/>
    </row>
    <row r="69" spans="1:8" ht="15.5" outlineLevel="1" x14ac:dyDescent="0.35">
      <c r="D69" s="120"/>
      <c r="E69" s="119"/>
      <c r="F69" s="119" t="s">
        <v>53</v>
      </c>
      <c r="G69" s="119"/>
      <c r="H69" s="118"/>
    </row>
    <row r="70" spans="1:8" ht="15.5" outlineLevel="1" x14ac:dyDescent="0.35">
      <c r="D70" s="120"/>
      <c r="E70" s="119"/>
      <c r="F70" s="119" t="s">
        <v>49</v>
      </c>
      <c r="G70" s="119"/>
      <c r="H70" s="118"/>
    </row>
    <row r="71" spans="1:8" ht="15.5" outlineLevel="1" x14ac:dyDescent="0.35">
      <c r="D71" s="120"/>
      <c r="E71" s="119"/>
      <c r="F71" s="119" t="s">
        <v>39</v>
      </c>
      <c r="G71" s="119"/>
      <c r="H71" s="118"/>
    </row>
    <row r="72" spans="1:8" ht="15.5" outlineLevel="1" x14ac:dyDescent="0.35">
      <c r="D72" s="120"/>
      <c r="E72" s="119"/>
      <c r="F72" s="119" t="s">
        <v>196</v>
      </c>
      <c r="G72" s="119"/>
      <c r="H72" s="118"/>
    </row>
    <row r="73" spans="1:8" ht="15.5" outlineLevel="1" x14ac:dyDescent="0.35">
      <c r="D73" s="120"/>
      <c r="E73" s="119"/>
      <c r="F73" s="119" t="s">
        <v>197</v>
      </c>
      <c r="G73" s="119"/>
      <c r="H73" s="118"/>
    </row>
    <row r="74" spans="1:8" ht="15.5" outlineLevel="1" x14ac:dyDescent="0.35">
      <c r="D74" s="120"/>
      <c r="E74" s="119"/>
      <c r="F74" s="119"/>
      <c r="G74" s="119"/>
      <c r="H74" s="118"/>
    </row>
    <row r="75" spans="1:8" ht="16" outlineLevel="1" thickBot="1" x14ac:dyDescent="0.4">
      <c r="D75" s="130"/>
      <c r="E75" s="129"/>
      <c r="F75" s="129"/>
      <c r="G75" s="129"/>
      <c r="H75" s="128"/>
    </row>
    <row r="76" spans="1:8" ht="15.65" customHeight="1" thickTop="1" thickBot="1" x14ac:dyDescent="0.4">
      <c r="A76" s="134">
        <f>A42+1</f>
        <v>3</v>
      </c>
      <c r="B76" s="126" t="s">
        <v>216</v>
      </c>
      <c r="C76" s="125">
        <f>SUM(D76:H76)</f>
        <v>35</v>
      </c>
      <c r="D76" s="119">
        <f>COUNTA(D77:D109)</f>
        <v>2</v>
      </c>
      <c r="E76" s="119">
        <f>COUNTA(E77:E109)</f>
        <v>4</v>
      </c>
      <c r="F76" s="119">
        <f>COUNTA(F77:F109)</f>
        <v>29</v>
      </c>
      <c r="G76" s="119">
        <f>COUNTA(G77:G109)</f>
        <v>0</v>
      </c>
      <c r="H76" s="119">
        <f>COUNTA(H77:H109)</f>
        <v>0</v>
      </c>
    </row>
    <row r="77" spans="1:8" ht="15.65" customHeight="1" outlineLevel="1" thickTop="1" x14ac:dyDescent="0.35">
      <c r="D77" s="124"/>
      <c r="E77" s="123"/>
      <c r="F77" s="123"/>
      <c r="G77" s="123"/>
      <c r="H77" s="122"/>
    </row>
    <row r="78" spans="1:8" ht="15.65" customHeight="1" outlineLevel="1" x14ac:dyDescent="0.35">
      <c r="D78" s="120" t="s">
        <v>83</v>
      </c>
      <c r="E78" s="119" t="s">
        <v>88</v>
      </c>
      <c r="F78" s="119" t="s">
        <v>70</v>
      </c>
      <c r="G78" s="119"/>
      <c r="H78" s="118"/>
    </row>
    <row r="79" spans="1:8" ht="15.5" outlineLevel="1" x14ac:dyDescent="0.35">
      <c r="D79" s="120"/>
      <c r="E79" s="119" t="s">
        <v>72</v>
      </c>
      <c r="F79" s="119" t="s">
        <v>28</v>
      </c>
      <c r="G79" s="119"/>
      <c r="H79" s="118"/>
    </row>
    <row r="80" spans="1:8" ht="15.5" outlineLevel="1" x14ac:dyDescent="0.35">
      <c r="D80" s="120" t="s">
        <v>98</v>
      </c>
      <c r="E80" s="119"/>
      <c r="F80" s="119" t="s">
        <v>80</v>
      </c>
      <c r="G80" s="119"/>
      <c r="H80" s="118"/>
    </row>
    <row r="81" spans="4:8" ht="15.5" outlineLevel="1" x14ac:dyDescent="0.35">
      <c r="D81" s="120"/>
      <c r="E81" s="119"/>
      <c r="F81" s="119" t="s">
        <v>94</v>
      </c>
      <c r="G81" s="119"/>
      <c r="H81" s="118"/>
    </row>
    <row r="82" spans="4:8" ht="15.5" outlineLevel="1" x14ac:dyDescent="0.35">
      <c r="D82" s="120"/>
      <c r="F82" s="119" t="s">
        <v>96</v>
      </c>
      <c r="G82" s="119"/>
      <c r="H82" s="118"/>
    </row>
    <row r="83" spans="4:8" ht="15.5" outlineLevel="1" x14ac:dyDescent="0.35">
      <c r="D83" s="120"/>
      <c r="E83" s="119"/>
      <c r="F83" s="119" t="s">
        <v>89</v>
      </c>
      <c r="G83" s="119"/>
      <c r="H83" s="118"/>
    </row>
    <row r="84" spans="4:8" ht="15.5" outlineLevel="1" x14ac:dyDescent="0.35">
      <c r="D84" s="120"/>
      <c r="E84" s="119"/>
      <c r="F84" s="119" t="s">
        <v>17</v>
      </c>
      <c r="G84" s="119"/>
      <c r="H84" s="118"/>
    </row>
    <row r="85" spans="4:8" ht="15.5" outlineLevel="1" x14ac:dyDescent="0.35">
      <c r="D85" s="120"/>
      <c r="E85" s="119" t="s">
        <v>85</v>
      </c>
      <c r="F85" s="119" t="s">
        <v>65</v>
      </c>
      <c r="G85" s="119"/>
      <c r="H85" s="118"/>
    </row>
    <row r="86" spans="4:8" ht="15.5" outlineLevel="1" x14ac:dyDescent="0.35">
      <c r="D86" s="120"/>
      <c r="E86" s="119"/>
      <c r="F86" s="119" t="s">
        <v>69</v>
      </c>
      <c r="G86" s="119"/>
      <c r="H86" s="118"/>
    </row>
    <row r="87" spans="4:8" ht="15.5" outlineLevel="1" x14ac:dyDescent="0.35">
      <c r="D87" s="120"/>
      <c r="E87" s="119"/>
      <c r="F87" s="119" t="s">
        <v>21</v>
      </c>
      <c r="G87" s="119"/>
      <c r="H87" s="118"/>
    </row>
    <row r="88" spans="4:8" ht="15.5" outlineLevel="1" x14ac:dyDescent="0.35">
      <c r="D88" s="120"/>
      <c r="E88" s="119"/>
      <c r="F88" s="121" t="s">
        <v>67</v>
      </c>
      <c r="G88" s="119"/>
      <c r="H88" s="118"/>
    </row>
    <row r="89" spans="4:8" ht="15.5" outlineLevel="1" x14ac:dyDescent="0.35">
      <c r="D89" s="120"/>
      <c r="E89" s="119"/>
      <c r="F89" s="119" t="s">
        <v>24</v>
      </c>
      <c r="G89" s="119"/>
      <c r="H89" s="118"/>
    </row>
    <row r="90" spans="4:8" ht="15.5" outlineLevel="1" x14ac:dyDescent="0.35">
      <c r="D90" s="120"/>
      <c r="E90" s="119"/>
      <c r="F90" s="119" t="s">
        <v>68</v>
      </c>
      <c r="G90" s="119"/>
      <c r="H90" s="118"/>
    </row>
    <row r="91" spans="4:8" ht="15.5" outlineLevel="1" x14ac:dyDescent="0.35">
      <c r="D91" s="120"/>
      <c r="E91" s="119"/>
      <c r="F91" s="119" t="s">
        <v>57</v>
      </c>
      <c r="G91" s="121"/>
      <c r="H91" s="118"/>
    </row>
    <row r="92" spans="4:8" ht="15.5" outlineLevel="1" x14ac:dyDescent="0.35">
      <c r="D92" s="120"/>
      <c r="E92" s="119"/>
      <c r="F92" s="119" t="s">
        <v>35</v>
      </c>
      <c r="G92" s="121"/>
      <c r="H92" s="118"/>
    </row>
    <row r="93" spans="4:8" ht="15.5" outlineLevel="1" x14ac:dyDescent="0.35">
      <c r="D93" s="120"/>
      <c r="E93" s="119"/>
      <c r="F93" s="119" t="s">
        <v>31</v>
      </c>
      <c r="G93" s="119"/>
      <c r="H93" s="118"/>
    </row>
    <row r="94" spans="4:8" ht="15.5" outlineLevel="1" x14ac:dyDescent="0.35">
      <c r="D94" s="120"/>
      <c r="E94" s="119"/>
      <c r="F94" s="119" t="s">
        <v>66</v>
      </c>
      <c r="G94" s="119"/>
      <c r="H94" s="118"/>
    </row>
    <row r="95" spans="4:8" ht="15.5" outlineLevel="1" x14ac:dyDescent="0.35">
      <c r="D95" s="120"/>
      <c r="E95" s="121"/>
      <c r="F95" s="119" t="s">
        <v>99</v>
      </c>
      <c r="G95" s="119"/>
      <c r="H95" s="118"/>
    </row>
    <row r="96" spans="4:8" ht="15.5" outlineLevel="1" x14ac:dyDescent="0.35">
      <c r="D96" s="120"/>
      <c r="E96" s="119" t="s">
        <v>84</v>
      </c>
      <c r="F96" s="119"/>
      <c r="G96" s="119"/>
      <c r="H96" s="118"/>
    </row>
    <row r="97" spans="1:8" ht="15.5" outlineLevel="1" x14ac:dyDescent="0.35">
      <c r="D97" s="120"/>
      <c r="E97" s="119"/>
      <c r="F97" s="119" t="s">
        <v>78</v>
      </c>
      <c r="G97" s="119"/>
      <c r="H97" s="118"/>
    </row>
    <row r="98" spans="1:8" ht="15.5" outlineLevel="1" x14ac:dyDescent="0.35">
      <c r="D98" s="120"/>
      <c r="E98" s="119"/>
      <c r="F98" s="119" t="s">
        <v>76</v>
      </c>
      <c r="G98" s="119"/>
      <c r="H98" s="118"/>
    </row>
    <row r="99" spans="1:8" ht="15.5" outlineLevel="1" x14ac:dyDescent="0.35">
      <c r="D99" s="120"/>
      <c r="E99" s="119"/>
      <c r="F99" s="119" t="s">
        <v>39</v>
      </c>
      <c r="G99" s="119"/>
      <c r="H99" s="118"/>
    </row>
    <row r="100" spans="1:8" ht="15.5" outlineLevel="1" x14ac:dyDescent="0.35">
      <c r="D100" s="120"/>
      <c r="E100" s="119"/>
      <c r="F100" s="119" t="s">
        <v>74</v>
      </c>
      <c r="G100" s="119"/>
      <c r="H100" s="118"/>
    </row>
    <row r="101" spans="1:8" ht="15.5" outlineLevel="1" x14ac:dyDescent="0.35">
      <c r="D101" s="120"/>
      <c r="E101" s="119"/>
      <c r="F101" s="119" t="s">
        <v>91</v>
      </c>
      <c r="G101" s="119"/>
      <c r="H101" s="118"/>
    </row>
    <row r="102" spans="1:8" ht="15.5" outlineLevel="1" x14ac:dyDescent="0.35">
      <c r="D102" s="120"/>
      <c r="E102" s="119"/>
      <c r="F102" s="119" t="s">
        <v>243</v>
      </c>
      <c r="G102" s="119"/>
      <c r="H102" s="118"/>
    </row>
    <row r="103" spans="1:8" ht="15.5" outlineLevel="1" x14ac:dyDescent="0.35">
      <c r="D103" s="120"/>
      <c r="E103" s="119"/>
      <c r="F103" s="119" t="s">
        <v>56</v>
      </c>
      <c r="G103" s="119"/>
      <c r="H103" s="118"/>
    </row>
    <row r="104" spans="1:8" ht="15.5" outlineLevel="1" x14ac:dyDescent="0.35">
      <c r="D104" s="120"/>
      <c r="E104" s="119"/>
      <c r="F104" s="119" t="s">
        <v>53</v>
      </c>
      <c r="G104" s="119"/>
      <c r="H104" s="118"/>
    </row>
    <row r="105" spans="1:8" ht="15.5" outlineLevel="1" x14ac:dyDescent="0.35">
      <c r="D105" s="120"/>
      <c r="E105" s="119"/>
      <c r="F105" s="119" t="s">
        <v>49</v>
      </c>
      <c r="G105" s="119"/>
      <c r="H105" s="118"/>
    </row>
    <row r="106" spans="1:8" ht="15.5" outlineLevel="1" x14ac:dyDescent="0.35">
      <c r="D106" s="120"/>
      <c r="E106" s="119"/>
      <c r="F106" s="119" t="s">
        <v>196</v>
      </c>
      <c r="G106" s="119"/>
      <c r="H106" s="118"/>
    </row>
    <row r="107" spans="1:8" ht="15.5" outlineLevel="1" x14ac:dyDescent="0.35">
      <c r="D107" s="120"/>
      <c r="E107" s="119"/>
      <c r="F107" s="119" t="s">
        <v>197</v>
      </c>
      <c r="G107" s="119"/>
      <c r="H107" s="118"/>
    </row>
    <row r="108" spans="1:8" ht="15.5" outlineLevel="1" x14ac:dyDescent="0.35">
      <c r="D108" s="120"/>
      <c r="E108" s="119"/>
      <c r="F108" s="119"/>
      <c r="G108" s="119"/>
      <c r="H108" s="118"/>
    </row>
    <row r="109" spans="1:8" ht="16" outlineLevel="1" thickBot="1" x14ac:dyDescent="0.4">
      <c r="D109" s="130"/>
      <c r="E109" s="129"/>
      <c r="F109" s="129"/>
      <c r="G109" s="129"/>
      <c r="H109" s="128"/>
    </row>
    <row r="110" spans="1:8" ht="15.65" customHeight="1" thickTop="1" thickBot="1" x14ac:dyDescent="0.4">
      <c r="A110" s="134">
        <f>A76+1</f>
        <v>4</v>
      </c>
      <c r="B110" s="126" t="s">
        <v>215</v>
      </c>
      <c r="C110" s="125">
        <f>SUM(D110:H110)</f>
        <v>35</v>
      </c>
      <c r="D110" s="119">
        <f>COUNTA(D111:D143)</f>
        <v>5</v>
      </c>
      <c r="E110" s="119">
        <f>COUNTA(E111:E143)</f>
        <v>2</v>
      </c>
      <c r="F110" s="119">
        <f>COUNTA(F111:F143)</f>
        <v>28</v>
      </c>
      <c r="G110" s="119">
        <f>COUNTA(G111:G143)</f>
        <v>0</v>
      </c>
      <c r="H110" s="119">
        <f>COUNTA(H111:H143)</f>
        <v>0</v>
      </c>
    </row>
    <row r="111" spans="1:8" ht="15.65" customHeight="1" outlineLevel="1" thickTop="1" x14ac:dyDescent="0.35">
      <c r="D111" s="124"/>
      <c r="E111" s="123"/>
      <c r="F111" s="123"/>
      <c r="G111" s="123"/>
      <c r="H111" s="122"/>
    </row>
    <row r="112" spans="1:8" ht="15.65" customHeight="1" outlineLevel="1" x14ac:dyDescent="0.35">
      <c r="D112" s="120" t="s">
        <v>88</v>
      </c>
      <c r="E112" s="119" t="s">
        <v>83</v>
      </c>
      <c r="F112" s="119" t="s">
        <v>70</v>
      </c>
      <c r="G112" s="119"/>
      <c r="H112" s="118"/>
    </row>
    <row r="113" spans="4:8" ht="15.5" outlineLevel="1" x14ac:dyDescent="0.35">
      <c r="D113" s="120" t="s">
        <v>69</v>
      </c>
      <c r="E113" s="119" t="s">
        <v>72</v>
      </c>
      <c r="F113" s="119" t="s">
        <v>28</v>
      </c>
      <c r="G113" s="119"/>
      <c r="H113" s="118"/>
    </row>
    <row r="114" spans="4:8" ht="15.5" outlineLevel="1" x14ac:dyDescent="0.35">
      <c r="D114" s="120" t="s">
        <v>85</v>
      </c>
      <c r="E114" s="119"/>
      <c r="F114" s="119" t="s">
        <v>80</v>
      </c>
      <c r="G114" s="119"/>
      <c r="H114" s="118"/>
    </row>
    <row r="115" spans="4:8" ht="15.5" outlineLevel="1" x14ac:dyDescent="0.35">
      <c r="D115" s="120"/>
      <c r="E115" s="119"/>
      <c r="F115" s="119" t="s">
        <v>94</v>
      </c>
      <c r="G115" s="119"/>
      <c r="H115" s="118"/>
    </row>
    <row r="116" spans="4:8" ht="15.5" outlineLevel="1" x14ac:dyDescent="0.35">
      <c r="D116" s="120"/>
      <c r="F116" s="119" t="s">
        <v>96</v>
      </c>
      <c r="G116" s="119"/>
      <c r="H116" s="118"/>
    </row>
    <row r="117" spans="4:8" ht="15.5" outlineLevel="1" x14ac:dyDescent="0.35">
      <c r="D117" s="120"/>
      <c r="E117" s="119"/>
      <c r="F117" s="119" t="s">
        <v>89</v>
      </c>
      <c r="G117" s="119"/>
      <c r="H117" s="118"/>
    </row>
    <row r="118" spans="4:8" ht="15.5" outlineLevel="1" x14ac:dyDescent="0.35">
      <c r="D118" s="120"/>
      <c r="E118" s="119"/>
      <c r="F118" s="119" t="s">
        <v>17</v>
      </c>
      <c r="G118" s="119"/>
      <c r="H118" s="118"/>
    </row>
    <row r="119" spans="4:8" ht="15.5" outlineLevel="1" x14ac:dyDescent="0.35">
      <c r="D119" s="120"/>
      <c r="E119" s="119"/>
      <c r="F119" s="119" t="s">
        <v>21</v>
      </c>
      <c r="G119" s="119"/>
      <c r="H119" s="118"/>
    </row>
    <row r="120" spans="4:8" ht="15.5" outlineLevel="1" x14ac:dyDescent="0.35">
      <c r="D120" s="120"/>
      <c r="E120" s="119"/>
      <c r="F120" s="119" t="s">
        <v>67</v>
      </c>
      <c r="G120" s="119"/>
      <c r="H120" s="118"/>
    </row>
    <row r="121" spans="4:8" ht="15.5" outlineLevel="1" x14ac:dyDescent="0.35">
      <c r="D121" s="120"/>
      <c r="E121" s="119"/>
      <c r="F121" s="119" t="s">
        <v>24</v>
      </c>
      <c r="G121" s="119"/>
      <c r="H121" s="118"/>
    </row>
    <row r="122" spans="4:8" ht="15.5" outlineLevel="1" x14ac:dyDescent="0.35">
      <c r="D122" s="120"/>
      <c r="E122" s="119"/>
      <c r="F122" s="119" t="s">
        <v>68</v>
      </c>
      <c r="G122" s="119"/>
      <c r="H122" s="118"/>
    </row>
    <row r="123" spans="4:8" ht="15.5" outlineLevel="1" x14ac:dyDescent="0.35">
      <c r="D123" s="120"/>
      <c r="E123" s="119"/>
      <c r="F123" s="119" t="s">
        <v>57</v>
      </c>
      <c r="G123" s="119"/>
      <c r="H123" s="118"/>
    </row>
    <row r="124" spans="4:8" ht="15.5" outlineLevel="1" x14ac:dyDescent="0.35">
      <c r="D124" s="120"/>
      <c r="E124" s="119"/>
      <c r="F124" s="121" t="s">
        <v>98</v>
      </c>
      <c r="G124" s="119"/>
      <c r="H124" s="118"/>
    </row>
    <row r="125" spans="4:8" ht="15.5" outlineLevel="1" x14ac:dyDescent="0.35">
      <c r="D125" s="120"/>
      <c r="E125" s="119"/>
      <c r="F125" s="119" t="s">
        <v>35</v>
      </c>
      <c r="G125" s="121"/>
      <c r="H125" s="118"/>
    </row>
    <row r="126" spans="4:8" ht="15.5" outlineLevel="1" x14ac:dyDescent="0.35">
      <c r="D126" s="120"/>
      <c r="E126" s="119"/>
      <c r="F126" s="119" t="s">
        <v>31</v>
      </c>
      <c r="G126" s="121"/>
      <c r="H126" s="118"/>
    </row>
    <row r="127" spans="4:8" ht="15.5" outlineLevel="1" x14ac:dyDescent="0.35">
      <c r="D127" s="120"/>
      <c r="E127" s="119"/>
      <c r="F127" s="119" t="s">
        <v>66</v>
      </c>
      <c r="G127" s="119"/>
      <c r="H127" s="118"/>
    </row>
    <row r="128" spans="4:8" ht="15.5" outlineLevel="1" x14ac:dyDescent="0.35">
      <c r="D128" s="120"/>
      <c r="E128" s="119"/>
      <c r="F128" s="119" t="s">
        <v>99</v>
      </c>
      <c r="G128" s="119"/>
      <c r="H128" s="118"/>
    </row>
    <row r="129" spans="1:8" ht="15.5" outlineLevel="1" x14ac:dyDescent="0.35">
      <c r="D129" s="120"/>
      <c r="E129" s="121"/>
      <c r="F129" s="119" t="s">
        <v>84</v>
      </c>
      <c r="G129" s="119"/>
      <c r="H129" s="118"/>
    </row>
    <row r="130" spans="1:8" ht="15.5" outlineLevel="1" x14ac:dyDescent="0.35">
      <c r="D130" s="120"/>
      <c r="E130" s="119"/>
      <c r="F130" s="119" t="s">
        <v>65</v>
      </c>
      <c r="G130" s="119"/>
      <c r="H130" s="118"/>
    </row>
    <row r="131" spans="1:8" ht="15.5" outlineLevel="1" x14ac:dyDescent="0.35">
      <c r="D131" s="120"/>
      <c r="E131" s="119"/>
      <c r="F131" s="119" t="s">
        <v>78</v>
      </c>
      <c r="G131" s="119"/>
      <c r="H131" s="118"/>
    </row>
    <row r="132" spans="1:8" ht="15.5" outlineLevel="1" x14ac:dyDescent="0.35">
      <c r="D132" s="120" t="s">
        <v>76</v>
      </c>
      <c r="E132" s="119"/>
      <c r="F132" s="119"/>
      <c r="G132" s="119"/>
      <c r="H132" s="118"/>
    </row>
    <row r="133" spans="1:8" ht="15.5" outlineLevel="1" x14ac:dyDescent="0.35">
      <c r="D133" s="120"/>
      <c r="E133" s="119"/>
      <c r="F133" s="119" t="s">
        <v>39</v>
      </c>
      <c r="G133" s="119"/>
      <c r="H133" s="118"/>
    </row>
    <row r="134" spans="1:8" ht="15.5" outlineLevel="1" x14ac:dyDescent="0.35">
      <c r="D134" s="120" t="s">
        <v>74</v>
      </c>
      <c r="E134" s="119"/>
      <c r="F134" s="119"/>
      <c r="G134" s="119"/>
      <c r="H134" s="118"/>
    </row>
    <row r="135" spans="1:8" ht="15.5" outlineLevel="1" x14ac:dyDescent="0.35">
      <c r="D135" s="120"/>
      <c r="E135" s="119"/>
      <c r="F135" s="119" t="s">
        <v>91</v>
      </c>
      <c r="G135" s="119"/>
      <c r="H135" s="118"/>
    </row>
    <row r="136" spans="1:8" ht="15.5" outlineLevel="1" x14ac:dyDescent="0.35">
      <c r="D136" s="120"/>
      <c r="E136" s="119"/>
      <c r="F136" s="119" t="s">
        <v>243</v>
      </c>
      <c r="G136" s="119"/>
      <c r="H136" s="118"/>
    </row>
    <row r="137" spans="1:8" ht="15.5" outlineLevel="1" x14ac:dyDescent="0.35">
      <c r="D137" s="120"/>
      <c r="E137" s="119"/>
      <c r="F137" s="119" t="s">
        <v>56</v>
      </c>
      <c r="G137" s="119"/>
      <c r="H137" s="118"/>
    </row>
    <row r="138" spans="1:8" ht="15.5" outlineLevel="1" x14ac:dyDescent="0.35">
      <c r="D138" s="120"/>
      <c r="E138" s="119"/>
      <c r="F138" s="119" t="s">
        <v>53</v>
      </c>
      <c r="G138" s="119"/>
      <c r="H138" s="118"/>
    </row>
    <row r="139" spans="1:8" ht="15.5" outlineLevel="1" x14ac:dyDescent="0.35">
      <c r="D139" s="120"/>
      <c r="E139" s="119"/>
      <c r="F139" s="119" t="s">
        <v>49</v>
      </c>
      <c r="G139" s="119"/>
      <c r="H139" s="118"/>
    </row>
    <row r="140" spans="1:8" ht="15.5" outlineLevel="1" x14ac:dyDescent="0.35">
      <c r="D140" s="120"/>
      <c r="E140" s="119"/>
      <c r="F140" s="119" t="s">
        <v>196</v>
      </c>
      <c r="G140" s="119"/>
      <c r="H140" s="118"/>
    </row>
    <row r="141" spans="1:8" ht="15.5" outlineLevel="1" x14ac:dyDescent="0.35">
      <c r="D141" s="120"/>
      <c r="E141" s="119"/>
      <c r="F141" s="119" t="s">
        <v>197</v>
      </c>
      <c r="G141" s="119"/>
      <c r="H141" s="118"/>
    </row>
    <row r="142" spans="1:8" ht="15.5" outlineLevel="1" x14ac:dyDescent="0.35">
      <c r="D142" s="120"/>
      <c r="E142" s="119"/>
      <c r="F142" s="119"/>
      <c r="G142" s="119"/>
      <c r="H142" s="118"/>
    </row>
    <row r="143" spans="1:8" ht="16" outlineLevel="1" thickBot="1" x14ac:dyDescent="0.4">
      <c r="D143" s="130"/>
      <c r="E143" s="129"/>
      <c r="F143" s="129"/>
      <c r="G143" s="129"/>
      <c r="H143" s="128"/>
    </row>
    <row r="144" spans="1:8" ht="15.65" customHeight="1" thickTop="1" thickBot="1" x14ac:dyDescent="0.4">
      <c r="A144" s="134"/>
      <c r="B144" s="126"/>
      <c r="C144" s="125"/>
      <c r="D144" s="119">
        <f>COUNTA(D145:D177)</f>
        <v>0</v>
      </c>
      <c r="E144" s="119">
        <f>COUNTA(E145:E177)</f>
        <v>0</v>
      </c>
      <c r="F144" s="119">
        <f>COUNTA(F145:F177)</f>
        <v>0</v>
      </c>
      <c r="G144" s="119">
        <f>COUNTA(G145:G177)</f>
        <v>0</v>
      </c>
      <c r="H144" s="119">
        <f>COUNTA(H145:H177)</f>
        <v>0</v>
      </c>
    </row>
    <row r="145" spans="4:8" ht="15.65" customHeight="1" outlineLevel="1" thickTop="1" x14ac:dyDescent="0.35">
      <c r="D145" s="124"/>
      <c r="E145" s="123"/>
      <c r="F145" s="123"/>
      <c r="G145" s="123"/>
      <c r="H145" s="122"/>
    </row>
    <row r="146" spans="4:8" ht="15.65" customHeight="1" outlineLevel="1" x14ac:dyDescent="0.35">
      <c r="D146" s="120"/>
      <c r="E146" s="119"/>
      <c r="F146" s="119"/>
      <c r="G146" s="119"/>
      <c r="H146" s="118"/>
    </row>
    <row r="147" spans="4:8" ht="15.5" outlineLevel="1" x14ac:dyDescent="0.35">
      <c r="D147" s="120"/>
      <c r="E147" s="119"/>
      <c r="F147" s="119"/>
      <c r="G147" s="119"/>
      <c r="H147" s="118"/>
    </row>
    <row r="148" spans="4:8" ht="15.5" outlineLevel="1" x14ac:dyDescent="0.35">
      <c r="D148" s="120"/>
      <c r="E148" s="119"/>
      <c r="F148" s="119"/>
      <c r="G148" s="119"/>
      <c r="H148" s="118"/>
    </row>
    <row r="149" spans="4:8" ht="15.5" outlineLevel="1" x14ac:dyDescent="0.35">
      <c r="D149" s="120"/>
      <c r="E149" s="119"/>
      <c r="F149" s="119"/>
      <c r="G149" s="119"/>
      <c r="H149" s="118"/>
    </row>
    <row r="150" spans="4:8" ht="15.5" outlineLevel="1" x14ac:dyDescent="0.35">
      <c r="D150" s="120"/>
      <c r="F150" s="119"/>
      <c r="G150" s="119"/>
      <c r="H150" s="118"/>
    </row>
    <row r="151" spans="4:8" ht="15.5" outlineLevel="1" x14ac:dyDescent="0.35">
      <c r="D151" s="120"/>
      <c r="E151" s="119"/>
      <c r="F151" s="119"/>
      <c r="G151" s="119"/>
      <c r="H151" s="118"/>
    </row>
    <row r="152" spans="4:8" ht="15.5" outlineLevel="1" x14ac:dyDescent="0.35">
      <c r="D152" s="120"/>
      <c r="E152" s="119"/>
      <c r="F152" s="119"/>
      <c r="G152" s="119"/>
      <c r="H152" s="118"/>
    </row>
    <row r="153" spans="4:8" ht="15.5" outlineLevel="1" x14ac:dyDescent="0.35">
      <c r="D153" s="120"/>
      <c r="E153" s="119"/>
      <c r="F153" s="119"/>
      <c r="G153" s="119"/>
      <c r="H153" s="118"/>
    </row>
    <row r="154" spans="4:8" ht="15.5" outlineLevel="1" x14ac:dyDescent="0.35">
      <c r="D154" s="120"/>
      <c r="E154" s="119"/>
      <c r="F154" s="119"/>
      <c r="G154" s="119"/>
      <c r="H154" s="118"/>
    </row>
    <row r="155" spans="4:8" ht="15.5" outlineLevel="1" x14ac:dyDescent="0.35">
      <c r="D155" s="120"/>
      <c r="E155" s="119"/>
      <c r="F155" s="119"/>
      <c r="G155" s="119"/>
      <c r="H155" s="118"/>
    </row>
    <row r="156" spans="4:8" ht="15.5" outlineLevel="1" x14ac:dyDescent="0.35">
      <c r="D156" s="120"/>
      <c r="E156" s="119"/>
      <c r="F156" s="119"/>
      <c r="G156" s="119"/>
      <c r="H156" s="118"/>
    </row>
    <row r="157" spans="4:8" ht="15.5" outlineLevel="1" x14ac:dyDescent="0.35">
      <c r="D157" s="120"/>
      <c r="E157" s="119"/>
      <c r="F157" s="119"/>
      <c r="G157" s="119"/>
      <c r="H157" s="118"/>
    </row>
    <row r="158" spans="4:8" ht="15.5" outlineLevel="1" x14ac:dyDescent="0.35">
      <c r="D158" s="120"/>
      <c r="E158" s="119"/>
      <c r="F158" s="121"/>
      <c r="G158" s="119"/>
      <c r="H158" s="118"/>
    </row>
    <row r="159" spans="4:8" ht="15.5" outlineLevel="1" x14ac:dyDescent="0.35">
      <c r="D159" s="120"/>
      <c r="E159" s="119"/>
      <c r="F159" s="119"/>
      <c r="G159" s="121"/>
      <c r="H159" s="118"/>
    </row>
    <row r="160" spans="4:8" ht="15.5" outlineLevel="1" x14ac:dyDescent="0.35">
      <c r="D160" s="120"/>
      <c r="E160" s="119"/>
      <c r="F160" s="119"/>
      <c r="G160" s="121"/>
      <c r="H160" s="118"/>
    </row>
    <row r="161" spans="4:8" ht="15.5" outlineLevel="1" x14ac:dyDescent="0.35">
      <c r="D161" s="120"/>
      <c r="E161" s="119"/>
      <c r="F161" s="119"/>
      <c r="G161" s="119"/>
      <c r="H161" s="118"/>
    </row>
    <row r="162" spans="4:8" ht="15.5" outlineLevel="1" x14ac:dyDescent="0.35">
      <c r="D162" s="120"/>
      <c r="E162" s="119"/>
      <c r="F162" s="119"/>
      <c r="G162" s="119"/>
      <c r="H162" s="118"/>
    </row>
    <row r="163" spans="4:8" ht="15.5" outlineLevel="1" x14ac:dyDescent="0.35">
      <c r="D163" s="120"/>
      <c r="E163" s="121"/>
      <c r="F163" s="119"/>
      <c r="G163" s="119"/>
      <c r="H163" s="118"/>
    </row>
    <row r="164" spans="4:8" ht="15.5" outlineLevel="1" x14ac:dyDescent="0.35">
      <c r="D164" s="120"/>
      <c r="E164" s="119"/>
      <c r="F164" s="119"/>
      <c r="G164" s="119"/>
      <c r="H164" s="118"/>
    </row>
    <row r="165" spans="4:8" ht="15.5" outlineLevel="1" x14ac:dyDescent="0.35">
      <c r="D165" s="120"/>
      <c r="E165" s="119"/>
      <c r="F165" s="119"/>
      <c r="G165" s="119"/>
      <c r="H165" s="118"/>
    </row>
    <row r="166" spans="4:8" ht="15.5" outlineLevel="1" x14ac:dyDescent="0.35">
      <c r="D166" s="120"/>
      <c r="E166" s="119"/>
      <c r="F166" s="119"/>
      <c r="G166" s="119"/>
      <c r="H166" s="118"/>
    </row>
    <row r="167" spans="4:8" ht="15.5" outlineLevel="1" x14ac:dyDescent="0.35">
      <c r="D167" s="120"/>
      <c r="E167" s="119"/>
      <c r="F167" s="119"/>
      <c r="G167" s="119"/>
      <c r="H167" s="118"/>
    </row>
    <row r="168" spans="4:8" ht="15.5" outlineLevel="1" x14ac:dyDescent="0.35">
      <c r="D168" s="120"/>
      <c r="E168" s="119"/>
      <c r="F168" s="119"/>
      <c r="G168" s="119"/>
      <c r="H168" s="118"/>
    </row>
    <row r="169" spans="4:8" ht="15.5" outlineLevel="1" x14ac:dyDescent="0.35">
      <c r="D169" s="120"/>
      <c r="E169" s="119"/>
      <c r="F169" s="119"/>
      <c r="G169" s="119"/>
      <c r="H169" s="118"/>
    </row>
    <row r="170" spans="4:8" ht="15.5" outlineLevel="1" x14ac:dyDescent="0.35">
      <c r="D170" s="120"/>
      <c r="E170" s="119"/>
      <c r="F170" s="119"/>
      <c r="G170" s="119"/>
      <c r="H170" s="118"/>
    </row>
    <row r="171" spans="4:8" ht="15.5" outlineLevel="1" x14ac:dyDescent="0.35">
      <c r="D171" s="120"/>
      <c r="E171" s="119"/>
      <c r="F171" s="119"/>
      <c r="G171" s="119"/>
      <c r="H171" s="118"/>
    </row>
    <row r="172" spans="4:8" ht="15.5" outlineLevel="1" x14ac:dyDescent="0.35">
      <c r="D172" s="120"/>
      <c r="E172" s="119"/>
      <c r="F172" s="119"/>
      <c r="G172" s="119"/>
      <c r="H172" s="118"/>
    </row>
    <row r="173" spans="4:8" ht="15.5" outlineLevel="1" x14ac:dyDescent="0.35">
      <c r="D173" s="120"/>
      <c r="E173" s="119"/>
      <c r="F173" s="119"/>
      <c r="G173" s="119"/>
      <c r="H173" s="118"/>
    </row>
    <row r="174" spans="4:8" ht="15.5" outlineLevel="1" x14ac:dyDescent="0.35">
      <c r="D174" s="120"/>
      <c r="E174" s="119"/>
      <c r="F174" s="119"/>
      <c r="G174" s="119"/>
      <c r="H174" s="118"/>
    </row>
    <row r="175" spans="4:8" ht="15.5" outlineLevel="1" x14ac:dyDescent="0.35">
      <c r="D175" s="120"/>
      <c r="E175" s="119"/>
      <c r="F175" s="119"/>
      <c r="G175" s="119"/>
      <c r="H175" s="118"/>
    </row>
    <row r="176" spans="4:8" ht="15.5" outlineLevel="1" x14ac:dyDescent="0.35">
      <c r="D176" s="120"/>
      <c r="E176" s="119"/>
      <c r="F176" s="119"/>
      <c r="G176" s="119"/>
      <c r="H176" s="118"/>
    </row>
    <row r="177" spans="1:8" ht="16" outlineLevel="1" thickBot="1" x14ac:dyDescent="0.4">
      <c r="D177" s="130"/>
      <c r="E177" s="129"/>
      <c r="F177" s="129"/>
      <c r="G177" s="129"/>
      <c r="H177" s="128"/>
    </row>
    <row r="178" spans="1:8" ht="15.65" customHeight="1" thickTop="1" thickBot="1" x14ac:dyDescent="0.4">
      <c r="A178" s="134"/>
      <c r="B178" s="126"/>
      <c r="C178" s="125"/>
      <c r="D178" s="119">
        <f>COUNTA(D179:D211)</f>
        <v>0</v>
      </c>
      <c r="E178" s="119">
        <f>COUNTA(E179:E211)</f>
        <v>0</v>
      </c>
      <c r="F178" s="119">
        <f>COUNTA(F179:F211)</f>
        <v>0</v>
      </c>
      <c r="G178" s="119">
        <f>COUNTA(G179:G211)</f>
        <v>0</v>
      </c>
      <c r="H178" s="119">
        <f>COUNTA(H179:H211)</f>
        <v>0</v>
      </c>
    </row>
    <row r="179" spans="1:8" ht="15.65" customHeight="1" outlineLevel="1" thickTop="1" x14ac:dyDescent="0.35">
      <c r="D179" s="124"/>
      <c r="E179" s="123"/>
      <c r="F179" s="123"/>
      <c r="G179" s="123"/>
      <c r="H179" s="122"/>
    </row>
    <row r="180" spans="1:8" ht="15.65" customHeight="1" outlineLevel="1" x14ac:dyDescent="0.35">
      <c r="D180" s="120"/>
      <c r="E180" s="119"/>
      <c r="F180" s="119"/>
      <c r="G180" s="119"/>
      <c r="H180" s="118"/>
    </row>
    <row r="181" spans="1:8" ht="15.5" outlineLevel="1" x14ac:dyDescent="0.35">
      <c r="D181" s="120"/>
      <c r="E181" s="119"/>
      <c r="F181" s="119"/>
      <c r="G181" s="119"/>
      <c r="H181" s="118"/>
    </row>
    <row r="182" spans="1:8" ht="15.5" outlineLevel="1" x14ac:dyDescent="0.35">
      <c r="D182" s="120"/>
      <c r="E182" s="119"/>
      <c r="F182" s="119"/>
      <c r="G182" s="119"/>
      <c r="H182" s="118"/>
    </row>
    <row r="183" spans="1:8" ht="15.5" outlineLevel="1" x14ac:dyDescent="0.35">
      <c r="D183" s="120"/>
      <c r="E183" s="119"/>
      <c r="F183" s="119"/>
      <c r="G183" s="119"/>
      <c r="H183" s="118"/>
    </row>
    <row r="184" spans="1:8" ht="15.5" outlineLevel="1" x14ac:dyDescent="0.35">
      <c r="D184" s="120"/>
      <c r="E184" s="119"/>
      <c r="F184" s="119"/>
      <c r="G184" s="119"/>
      <c r="H184" s="118"/>
    </row>
    <row r="185" spans="1:8" ht="15.5" outlineLevel="1" x14ac:dyDescent="0.35">
      <c r="D185" s="120"/>
      <c r="E185" s="119"/>
      <c r="F185" s="119"/>
      <c r="G185" s="119"/>
      <c r="H185" s="118"/>
    </row>
    <row r="186" spans="1:8" ht="15.5" outlineLevel="1" x14ac:dyDescent="0.35">
      <c r="D186" s="120"/>
      <c r="E186" s="119"/>
      <c r="F186" s="119"/>
      <c r="G186" s="119"/>
      <c r="H186" s="118"/>
    </row>
    <row r="187" spans="1:8" ht="15.5" outlineLevel="1" x14ac:dyDescent="0.35">
      <c r="D187" s="120"/>
      <c r="E187" s="119"/>
      <c r="F187" s="119"/>
      <c r="G187" s="119"/>
      <c r="H187" s="118"/>
    </row>
    <row r="188" spans="1:8" ht="15.5" outlineLevel="1" x14ac:dyDescent="0.35">
      <c r="D188" s="120"/>
      <c r="E188" s="119"/>
      <c r="F188" s="119"/>
      <c r="G188" s="119"/>
      <c r="H188" s="118"/>
    </row>
    <row r="189" spans="1:8" ht="15.5" outlineLevel="1" x14ac:dyDescent="0.35">
      <c r="D189" s="120"/>
      <c r="E189" s="119"/>
      <c r="F189" s="119"/>
      <c r="G189" s="119"/>
      <c r="H189" s="118"/>
    </row>
    <row r="190" spans="1:8" ht="15.5" outlineLevel="1" x14ac:dyDescent="0.35">
      <c r="D190" s="120"/>
      <c r="E190" s="119"/>
      <c r="F190" s="119"/>
      <c r="G190" s="119"/>
      <c r="H190" s="118"/>
    </row>
    <row r="191" spans="1:8" ht="15.5" outlineLevel="1" x14ac:dyDescent="0.35">
      <c r="D191" s="120"/>
      <c r="E191" s="119"/>
      <c r="F191" s="121"/>
      <c r="G191" s="119"/>
      <c r="H191" s="118"/>
    </row>
    <row r="192" spans="1:8" ht="15.5" outlineLevel="1" x14ac:dyDescent="0.35">
      <c r="D192" s="120"/>
      <c r="E192" s="119"/>
      <c r="F192" s="119"/>
      <c r="G192" s="119"/>
      <c r="H192" s="118"/>
    </row>
    <row r="193" spans="4:8" ht="15.5" outlineLevel="1" x14ac:dyDescent="0.35">
      <c r="D193" s="120"/>
      <c r="E193" s="119"/>
      <c r="F193" s="119"/>
      <c r="G193" s="121"/>
      <c r="H193" s="118"/>
    </row>
    <row r="194" spans="4:8" ht="15.5" outlineLevel="1" x14ac:dyDescent="0.35">
      <c r="D194" s="120"/>
      <c r="E194" s="119"/>
      <c r="F194" s="119"/>
      <c r="G194" s="121"/>
      <c r="H194" s="118"/>
    </row>
    <row r="195" spans="4:8" ht="15.5" outlineLevel="1" x14ac:dyDescent="0.35">
      <c r="D195" s="120"/>
      <c r="E195" s="119"/>
      <c r="F195" s="119"/>
      <c r="G195" s="119"/>
      <c r="H195" s="118"/>
    </row>
    <row r="196" spans="4:8" ht="15.5" outlineLevel="1" x14ac:dyDescent="0.35">
      <c r="D196" s="120"/>
      <c r="E196" s="119"/>
      <c r="F196" s="119"/>
      <c r="G196" s="119"/>
      <c r="H196" s="118"/>
    </row>
    <row r="197" spans="4:8" ht="15.5" outlineLevel="1" x14ac:dyDescent="0.35">
      <c r="D197" s="120"/>
      <c r="E197" s="121"/>
      <c r="F197" s="119"/>
      <c r="G197" s="119"/>
      <c r="H197" s="118"/>
    </row>
    <row r="198" spans="4:8" ht="15.5" outlineLevel="1" x14ac:dyDescent="0.35">
      <c r="D198" s="120"/>
      <c r="E198" s="119"/>
      <c r="F198" s="119"/>
      <c r="G198" s="119"/>
      <c r="H198" s="118"/>
    </row>
    <row r="199" spans="4:8" ht="15.5" outlineLevel="1" x14ac:dyDescent="0.35">
      <c r="D199" s="120"/>
      <c r="E199" s="119"/>
      <c r="F199" s="119"/>
      <c r="G199" s="119"/>
      <c r="H199" s="118"/>
    </row>
    <row r="200" spans="4:8" ht="15.5" outlineLevel="1" x14ac:dyDescent="0.35">
      <c r="D200" s="120"/>
      <c r="E200" s="119"/>
      <c r="F200" s="119"/>
      <c r="G200" s="119"/>
      <c r="H200" s="118"/>
    </row>
    <row r="201" spans="4:8" ht="15.5" outlineLevel="1" x14ac:dyDescent="0.35">
      <c r="D201" s="120"/>
      <c r="E201" s="119"/>
      <c r="F201" s="119"/>
      <c r="G201" s="119"/>
      <c r="H201" s="118"/>
    </row>
    <row r="202" spans="4:8" ht="15.5" outlineLevel="1" x14ac:dyDescent="0.35">
      <c r="D202" s="120"/>
      <c r="E202" s="119"/>
      <c r="F202" s="119"/>
      <c r="G202" s="119"/>
      <c r="H202" s="118"/>
    </row>
    <row r="203" spans="4:8" ht="15.5" outlineLevel="1" x14ac:dyDescent="0.35">
      <c r="D203" s="120"/>
      <c r="E203" s="119"/>
      <c r="F203" s="119"/>
      <c r="G203" s="119"/>
      <c r="H203" s="118"/>
    </row>
    <row r="204" spans="4:8" ht="15.5" outlineLevel="1" x14ac:dyDescent="0.35">
      <c r="D204" s="120"/>
      <c r="E204" s="119"/>
      <c r="F204" s="119"/>
      <c r="G204" s="119"/>
      <c r="H204" s="118"/>
    </row>
    <row r="205" spans="4:8" ht="15.5" outlineLevel="1" x14ac:dyDescent="0.35">
      <c r="D205" s="120"/>
      <c r="E205" s="119"/>
      <c r="F205" s="119"/>
      <c r="G205" s="119"/>
      <c r="H205" s="118"/>
    </row>
    <row r="206" spans="4:8" ht="15.5" outlineLevel="1" x14ac:dyDescent="0.35">
      <c r="D206" s="120"/>
      <c r="E206" s="119"/>
      <c r="F206" s="119"/>
      <c r="G206" s="119"/>
      <c r="H206" s="118"/>
    </row>
    <row r="207" spans="4:8" ht="15.5" outlineLevel="1" x14ac:dyDescent="0.35">
      <c r="D207" s="120"/>
      <c r="E207" s="119"/>
      <c r="F207" s="119"/>
      <c r="G207" s="119"/>
      <c r="H207" s="118"/>
    </row>
    <row r="208" spans="4:8" ht="15.5" outlineLevel="1" x14ac:dyDescent="0.35">
      <c r="D208" s="120"/>
      <c r="E208" s="119"/>
      <c r="F208" s="119"/>
      <c r="G208" s="119"/>
      <c r="H208" s="118"/>
    </row>
    <row r="209" spans="1:8" ht="15.5" outlineLevel="1" x14ac:dyDescent="0.35">
      <c r="D209" s="120"/>
      <c r="E209" s="119"/>
      <c r="F209" s="119"/>
      <c r="G209" s="119"/>
      <c r="H209" s="118"/>
    </row>
    <row r="210" spans="1:8" ht="15.5" outlineLevel="1" x14ac:dyDescent="0.35">
      <c r="D210" s="120"/>
      <c r="E210" s="119"/>
      <c r="F210" s="119"/>
      <c r="G210" s="119"/>
      <c r="H210" s="118"/>
    </row>
    <row r="211" spans="1:8" ht="16" outlineLevel="1" thickBot="1" x14ac:dyDescent="0.4">
      <c r="D211" s="130"/>
      <c r="E211" s="129"/>
      <c r="F211" s="129"/>
      <c r="G211" s="129"/>
      <c r="H211" s="128"/>
    </row>
    <row r="212" spans="1:8" ht="15.65" customHeight="1" thickTop="1" thickBot="1" x14ac:dyDescent="0.4">
      <c r="A212" s="134"/>
      <c r="B212" s="126"/>
      <c r="C212" s="125"/>
      <c r="D212" s="119">
        <f>COUNTA(D213:D245)</f>
        <v>0</v>
      </c>
      <c r="E212" s="119">
        <f>COUNTA(E213:E245)</f>
        <v>0</v>
      </c>
      <c r="F212" s="119">
        <f>COUNTA(F213:F245)</f>
        <v>0</v>
      </c>
      <c r="G212" s="119">
        <f>COUNTA(G213:G245)</f>
        <v>0</v>
      </c>
      <c r="H212" s="119">
        <f>COUNTA(H213:H245)</f>
        <v>0</v>
      </c>
    </row>
    <row r="213" spans="1:8" ht="15.65" customHeight="1" outlineLevel="1" thickTop="1" x14ac:dyDescent="0.35">
      <c r="D213" s="124"/>
      <c r="E213" s="123"/>
      <c r="F213" s="123"/>
      <c r="G213" s="123"/>
      <c r="H213" s="122"/>
    </row>
    <row r="214" spans="1:8" ht="15.65" customHeight="1" outlineLevel="1" x14ac:dyDescent="0.35">
      <c r="D214" s="120"/>
      <c r="E214" s="119"/>
      <c r="F214" s="119"/>
      <c r="G214" s="119"/>
      <c r="H214" s="118"/>
    </row>
    <row r="215" spans="1:8" ht="15.5" outlineLevel="1" x14ac:dyDescent="0.35">
      <c r="D215" s="120"/>
      <c r="E215" s="119"/>
      <c r="F215" s="119"/>
      <c r="G215" s="119"/>
      <c r="H215" s="118"/>
    </row>
    <row r="216" spans="1:8" ht="15.5" outlineLevel="1" x14ac:dyDescent="0.35">
      <c r="D216" s="120"/>
      <c r="E216" s="119"/>
      <c r="F216" s="119"/>
      <c r="G216" s="119"/>
      <c r="H216" s="118"/>
    </row>
    <row r="217" spans="1:8" ht="15.5" outlineLevel="1" x14ac:dyDescent="0.35">
      <c r="D217" s="120"/>
      <c r="E217" s="119"/>
      <c r="F217" s="119"/>
      <c r="G217" s="119"/>
      <c r="H217" s="118"/>
    </row>
    <row r="218" spans="1:8" ht="15.5" outlineLevel="1" x14ac:dyDescent="0.35">
      <c r="D218" s="120"/>
      <c r="F218" s="119"/>
      <c r="G218" s="119"/>
      <c r="H218" s="118"/>
    </row>
    <row r="219" spans="1:8" ht="15.5" outlineLevel="1" x14ac:dyDescent="0.35">
      <c r="D219" s="120"/>
      <c r="E219" s="119"/>
      <c r="F219" s="119"/>
      <c r="G219" s="119"/>
      <c r="H219" s="118"/>
    </row>
    <row r="220" spans="1:8" ht="15.5" outlineLevel="1" x14ac:dyDescent="0.35">
      <c r="D220" s="120"/>
      <c r="E220" s="119"/>
      <c r="F220" s="119"/>
      <c r="G220" s="119"/>
      <c r="H220" s="118"/>
    </row>
    <row r="221" spans="1:8" ht="15.5" outlineLevel="1" x14ac:dyDescent="0.35">
      <c r="D221" s="120"/>
      <c r="E221" s="119"/>
      <c r="F221" s="119"/>
      <c r="G221" s="119"/>
      <c r="H221" s="118"/>
    </row>
    <row r="222" spans="1:8" ht="15.5" outlineLevel="1" x14ac:dyDescent="0.35">
      <c r="D222" s="120"/>
      <c r="E222" s="119"/>
      <c r="F222" s="119"/>
      <c r="G222" s="119"/>
      <c r="H222" s="118"/>
    </row>
    <row r="223" spans="1:8" ht="15.5" outlineLevel="1" x14ac:dyDescent="0.35">
      <c r="D223" s="120"/>
      <c r="E223" s="119"/>
      <c r="F223" s="119"/>
      <c r="G223" s="119"/>
      <c r="H223" s="118"/>
    </row>
    <row r="224" spans="1:8" ht="15.5" outlineLevel="1" x14ac:dyDescent="0.35">
      <c r="D224" s="120"/>
      <c r="E224" s="119"/>
      <c r="F224" s="121"/>
      <c r="G224" s="119"/>
      <c r="H224" s="118"/>
    </row>
    <row r="225" spans="4:8" ht="15.5" outlineLevel="1" x14ac:dyDescent="0.35">
      <c r="D225" s="120"/>
      <c r="E225" s="119"/>
      <c r="F225" s="119"/>
      <c r="G225" s="119"/>
      <c r="H225" s="118"/>
    </row>
    <row r="226" spans="4:8" ht="15.5" outlineLevel="1" x14ac:dyDescent="0.35">
      <c r="D226" s="120"/>
      <c r="E226" s="119"/>
      <c r="F226" s="119"/>
      <c r="G226" s="119"/>
      <c r="H226" s="118"/>
    </row>
    <row r="227" spans="4:8" ht="15.5" outlineLevel="1" x14ac:dyDescent="0.35">
      <c r="D227" s="120"/>
      <c r="E227" s="119"/>
      <c r="F227" s="119"/>
      <c r="G227" s="121"/>
      <c r="H227" s="118"/>
    </row>
    <row r="228" spans="4:8" ht="15.5" outlineLevel="1" x14ac:dyDescent="0.35">
      <c r="D228" s="120"/>
      <c r="E228" s="119"/>
      <c r="F228" s="119"/>
      <c r="G228" s="121"/>
      <c r="H228" s="118"/>
    </row>
    <row r="229" spans="4:8" ht="15.5" outlineLevel="1" x14ac:dyDescent="0.35">
      <c r="D229" s="120"/>
      <c r="E229" s="119"/>
      <c r="F229" s="119"/>
      <c r="G229" s="119"/>
      <c r="H229" s="118"/>
    </row>
    <row r="230" spans="4:8" ht="15.5" outlineLevel="1" x14ac:dyDescent="0.35">
      <c r="D230" s="120"/>
      <c r="E230" s="119"/>
      <c r="F230" s="119"/>
      <c r="G230" s="119"/>
      <c r="H230" s="118"/>
    </row>
    <row r="231" spans="4:8" ht="15.5" outlineLevel="1" x14ac:dyDescent="0.35">
      <c r="D231" s="120"/>
      <c r="E231" s="121"/>
      <c r="F231" s="119"/>
      <c r="G231" s="119"/>
      <c r="H231" s="118"/>
    </row>
    <row r="232" spans="4:8" ht="15.5" outlineLevel="1" x14ac:dyDescent="0.35">
      <c r="D232" s="120"/>
      <c r="E232" s="119"/>
      <c r="F232" s="119"/>
      <c r="G232" s="119"/>
      <c r="H232" s="118"/>
    </row>
    <row r="233" spans="4:8" ht="15.5" outlineLevel="1" x14ac:dyDescent="0.35">
      <c r="D233" s="120"/>
      <c r="E233" s="119"/>
      <c r="F233" s="119"/>
      <c r="G233" s="119"/>
      <c r="H233" s="118"/>
    </row>
    <row r="234" spans="4:8" ht="15.5" outlineLevel="1" x14ac:dyDescent="0.35">
      <c r="D234" s="120"/>
      <c r="E234" s="119"/>
      <c r="F234" s="119"/>
      <c r="G234" s="119"/>
      <c r="H234" s="118"/>
    </row>
    <row r="235" spans="4:8" ht="15.5" outlineLevel="1" x14ac:dyDescent="0.35">
      <c r="D235" s="120"/>
      <c r="E235" s="119"/>
      <c r="F235" s="119"/>
      <c r="G235" s="119"/>
      <c r="H235" s="118"/>
    </row>
    <row r="236" spans="4:8" ht="15.5" outlineLevel="1" x14ac:dyDescent="0.35">
      <c r="D236" s="120"/>
      <c r="E236" s="119"/>
      <c r="F236" s="119"/>
      <c r="G236" s="119"/>
      <c r="H236" s="118"/>
    </row>
    <row r="237" spans="4:8" ht="15.5" outlineLevel="1" x14ac:dyDescent="0.35">
      <c r="D237" s="120"/>
      <c r="E237" s="119"/>
      <c r="F237" s="119"/>
      <c r="G237" s="119"/>
      <c r="H237" s="118"/>
    </row>
    <row r="238" spans="4:8" ht="15.5" outlineLevel="1" x14ac:dyDescent="0.35">
      <c r="D238" s="120"/>
      <c r="E238" s="119"/>
      <c r="F238" s="119"/>
      <c r="G238" s="119"/>
      <c r="H238" s="118"/>
    </row>
    <row r="239" spans="4:8" ht="15.5" outlineLevel="1" x14ac:dyDescent="0.35">
      <c r="D239" s="120"/>
      <c r="E239" s="119"/>
      <c r="F239" s="119"/>
      <c r="G239" s="119"/>
      <c r="H239" s="118"/>
    </row>
    <row r="240" spans="4:8" ht="15.5" outlineLevel="1" x14ac:dyDescent="0.35">
      <c r="D240" s="120"/>
      <c r="E240" s="119"/>
      <c r="F240" s="119"/>
      <c r="G240" s="119"/>
      <c r="H240" s="118"/>
    </row>
    <row r="241" spans="1:8" ht="15.5" outlineLevel="1" x14ac:dyDescent="0.35">
      <c r="D241" s="120"/>
      <c r="E241" s="119"/>
      <c r="G241" s="119"/>
      <c r="H241" s="118"/>
    </row>
    <row r="242" spans="1:8" ht="15.5" outlineLevel="1" x14ac:dyDescent="0.35">
      <c r="D242" s="120"/>
      <c r="E242" s="119"/>
      <c r="F242" s="119"/>
      <c r="G242" s="119"/>
      <c r="H242" s="118"/>
    </row>
    <row r="243" spans="1:8" ht="15.5" outlineLevel="1" x14ac:dyDescent="0.35">
      <c r="D243" s="120"/>
      <c r="E243" s="119"/>
      <c r="F243" s="119"/>
      <c r="G243" s="119"/>
      <c r="H243" s="118"/>
    </row>
    <row r="244" spans="1:8" ht="15.5" outlineLevel="1" x14ac:dyDescent="0.35">
      <c r="D244" s="120"/>
      <c r="E244" s="119"/>
      <c r="F244" s="119"/>
      <c r="G244" s="119"/>
      <c r="H244" s="118"/>
    </row>
    <row r="245" spans="1:8" ht="16" outlineLevel="1" thickBot="1" x14ac:dyDescent="0.4">
      <c r="D245" s="130"/>
      <c r="E245" s="129"/>
      <c r="F245" s="129"/>
      <c r="G245" s="129"/>
      <c r="H245" s="128"/>
    </row>
    <row r="246" spans="1:8" ht="15.65" customHeight="1" thickTop="1" thickBot="1" x14ac:dyDescent="0.4">
      <c r="A246" s="134"/>
      <c r="B246" s="126"/>
      <c r="C246" s="125"/>
      <c r="D246" s="119">
        <f>COUNTA(D247:D279)</f>
        <v>0</v>
      </c>
      <c r="E246" s="119">
        <f>COUNTA(E247:E279)</f>
        <v>0</v>
      </c>
      <c r="F246" s="119">
        <f>COUNTA(F247:F279)</f>
        <v>0</v>
      </c>
      <c r="G246" s="119">
        <f>COUNTA(G247:G279)</f>
        <v>0</v>
      </c>
      <c r="H246" s="119">
        <f>COUNTA(H247:H279)</f>
        <v>0</v>
      </c>
    </row>
    <row r="247" spans="1:8" ht="15.65" customHeight="1" outlineLevel="1" thickTop="1" x14ac:dyDescent="0.35">
      <c r="D247" s="124"/>
      <c r="E247" s="123"/>
      <c r="F247" s="123"/>
      <c r="G247" s="123"/>
      <c r="H247" s="122"/>
    </row>
    <row r="248" spans="1:8" ht="15.65" customHeight="1" outlineLevel="1" x14ac:dyDescent="0.35">
      <c r="D248" s="120"/>
      <c r="E248" s="119"/>
      <c r="F248" s="119"/>
      <c r="G248" s="119"/>
      <c r="H248" s="118"/>
    </row>
    <row r="249" spans="1:8" ht="15.5" outlineLevel="1" x14ac:dyDescent="0.35">
      <c r="D249" s="120"/>
      <c r="E249" s="119"/>
      <c r="F249" s="119"/>
      <c r="G249" s="119"/>
      <c r="H249" s="118"/>
    </row>
    <row r="250" spans="1:8" ht="15.5" outlineLevel="1" x14ac:dyDescent="0.35">
      <c r="D250" s="120"/>
      <c r="E250" s="119"/>
      <c r="F250" s="119"/>
      <c r="G250" s="119"/>
      <c r="H250" s="118"/>
    </row>
    <row r="251" spans="1:8" ht="15.5" outlineLevel="1" x14ac:dyDescent="0.35">
      <c r="D251" s="120"/>
      <c r="E251" s="119"/>
      <c r="F251" s="119"/>
      <c r="G251" s="119"/>
      <c r="H251" s="118"/>
    </row>
    <row r="252" spans="1:8" ht="15.5" outlineLevel="1" x14ac:dyDescent="0.35">
      <c r="D252" s="120"/>
      <c r="F252" s="119"/>
      <c r="G252" s="119"/>
      <c r="H252" s="118"/>
    </row>
    <row r="253" spans="1:8" ht="15.5" outlineLevel="1" x14ac:dyDescent="0.35">
      <c r="D253" s="120"/>
      <c r="E253" s="119"/>
      <c r="F253" s="119"/>
      <c r="G253" s="119"/>
      <c r="H253" s="118"/>
    </row>
    <row r="254" spans="1:8" ht="15.5" outlineLevel="1" x14ac:dyDescent="0.35">
      <c r="D254" s="120"/>
      <c r="E254" s="119"/>
      <c r="F254" s="119"/>
      <c r="G254" s="119"/>
      <c r="H254" s="118"/>
    </row>
    <row r="255" spans="1:8" ht="15.5" outlineLevel="1" x14ac:dyDescent="0.35">
      <c r="D255" s="120"/>
      <c r="E255" s="119"/>
      <c r="F255" s="119"/>
      <c r="G255" s="119"/>
      <c r="H255" s="118"/>
    </row>
    <row r="256" spans="1:8" ht="15.5" outlineLevel="1" x14ac:dyDescent="0.35">
      <c r="D256" s="120"/>
      <c r="E256" s="119"/>
      <c r="F256" s="119"/>
      <c r="G256" s="119"/>
      <c r="H256" s="118"/>
    </row>
    <row r="257" spans="4:8" ht="15.5" outlineLevel="1" x14ac:dyDescent="0.35">
      <c r="D257" s="120"/>
      <c r="E257" s="119"/>
      <c r="F257" s="119"/>
      <c r="G257" s="119"/>
      <c r="H257" s="118"/>
    </row>
    <row r="258" spans="4:8" ht="15.5" outlineLevel="1" x14ac:dyDescent="0.35">
      <c r="D258" s="120"/>
      <c r="E258" s="119"/>
      <c r="F258" s="119"/>
      <c r="G258" s="119"/>
      <c r="H258" s="118"/>
    </row>
    <row r="259" spans="4:8" ht="15.5" outlineLevel="1" x14ac:dyDescent="0.35">
      <c r="D259" s="120"/>
      <c r="E259" s="119"/>
      <c r="F259" s="119"/>
      <c r="G259" s="119"/>
      <c r="H259" s="118"/>
    </row>
    <row r="260" spans="4:8" ht="15.5" outlineLevel="1" x14ac:dyDescent="0.35">
      <c r="D260" s="120"/>
      <c r="E260" s="119"/>
      <c r="F260" s="121"/>
      <c r="G260" s="119"/>
      <c r="H260" s="118"/>
    </row>
    <row r="261" spans="4:8" ht="15.5" outlineLevel="1" x14ac:dyDescent="0.35">
      <c r="D261" s="120"/>
      <c r="E261" s="119"/>
      <c r="F261" s="119"/>
      <c r="G261" s="121"/>
      <c r="H261" s="118"/>
    </row>
    <row r="262" spans="4:8" ht="15.5" outlineLevel="1" x14ac:dyDescent="0.35">
      <c r="D262" s="120"/>
      <c r="E262" s="119"/>
      <c r="F262" s="119"/>
      <c r="G262" s="121"/>
      <c r="H262" s="118"/>
    </row>
    <row r="263" spans="4:8" ht="15.5" outlineLevel="1" x14ac:dyDescent="0.35">
      <c r="D263" s="120"/>
      <c r="E263" s="119"/>
      <c r="F263" s="119"/>
      <c r="G263" s="119"/>
      <c r="H263" s="118"/>
    </row>
    <row r="264" spans="4:8" ht="15.5" outlineLevel="1" x14ac:dyDescent="0.35">
      <c r="D264" s="120"/>
      <c r="E264" s="119"/>
      <c r="F264" s="119"/>
      <c r="G264" s="119"/>
      <c r="H264" s="118"/>
    </row>
    <row r="265" spans="4:8" ht="15.5" outlineLevel="1" x14ac:dyDescent="0.35">
      <c r="D265" s="120"/>
      <c r="E265" s="121"/>
      <c r="F265" s="119"/>
      <c r="G265" s="119"/>
      <c r="H265" s="118"/>
    </row>
    <row r="266" spans="4:8" ht="15.5" outlineLevel="1" x14ac:dyDescent="0.35">
      <c r="D266" s="120"/>
      <c r="E266" s="119"/>
      <c r="F266" s="119"/>
      <c r="G266" s="119"/>
      <c r="H266" s="118"/>
    </row>
    <row r="267" spans="4:8" ht="15.5" outlineLevel="1" x14ac:dyDescent="0.35">
      <c r="D267" s="120"/>
      <c r="E267" s="119"/>
      <c r="F267" s="119"/>
      <c r="G267" s="119"/>
      <c r="H267" s="118"/>
    </row>
    <row r="268" spans="4:8" ht="15.5" outlineLevel="1" x14ac:dyDescent="0.35">
      <c r="D268" s="120"/>
      <c r="E268" s="119"/>
      <c r="F268" s="119"/>
      <c r="G268" s="119"/>
      <c r="H268" s="118"/>
    </row>
    <row r="269" spans="4:8" ht="15.5" outlineLevel="1" x14ac:dyDescent="0.35">
      <c r="D269" s="120"/>
      <c r="E269" s="119"/>
      <c r="F269" s="119"/>
      <c r="G269" s="119"/>
      <c r="H269" s="118"/>
    </row>
    <row r="270" spans="4:8" ht="15.5" outlineLevel="1" x14ac:dyDescent="0.35">
      <c r="D270" s="120"/>
      <c r="E270" s="119"/>
      <c r="F270" s="119"/>
      <c r="G270" s="119"/>
      <c r="H270" s="118"/>
    </row>
    <row r="271" spans="4:8" ht="15.5" outlineLevel="1" x14ac:dyDescent="0.35">
      <c r="D271" s="120"/>
      <c r="E271" s="119"/>
      <c r="F271" s="119"/>
      <c r="G271" s="119"/>
      <c r="H271" s="118"/>
    </row>
    <row r="272" spans="4:8" ht="15.5" outlineLevel="1" x14ac:dyDescent="0.35">
      <c r="D272" s="120"/>
      <c r="E272" s="119"/>
      <c r="F272" s="119"/>
      <c r="G272" s="119"/>
      <c r="H272" s="118"/>
    </row>
    <row r="273" spans="3:8" ht="15.5" outlineLevel="1" x14ac:dyDescent="0.35">
      <c r="D273" s="120"/>
      <c r="E273" s="119"/>
      <c r="F273" s="119"/>
      <c r="G273" s="119"/>
      <c r="H273" s="118"/>
    </row>
    <row r="274" spans="3:8" ht="15.5" outlineLevel="1" x14ac:dyDescent="0.35">
      <c r="D274" s="120"/>
      <c r="E274" s="119"/>
      <c r="F274" s="119"/>
      <c r="G274" s="119"/>
      <c r="H274" s="118"/>
    </row>
    <row r="275" spans="3:8" ht="15.5" outlineLevel="1" x14ac:dyDescent="0.35">
      <c r="D275" s="120"/>
      <c r="E275" s="119"/>
      <c r="F275" s="119"/>
      <c r="G275" s="119"/>
      <c r="H275" s="118"/>
    </row>
    <row r="276" spans="3:8" ht="15.5" outlineLevel="1" x14ac:dyDescent="0.35">
      <c r="D276" s="120"/>
      <c r="E276" s="119"/>
      <c r="F276" s="119"/>
      <c r="G276" s="119"/>
      <c r="H276" s="118"/>
    </row>
    <row r="277" spans="3:8" ht="15.5" outlineLevel="1" x14ac:dyDescent="0.35">
      <c r="D277" s="120"/>
      <c r="E277" s="119"/>
      <c r="F277" s="119"/>
      <c r="G277" s="119"/>
      <c r="H277" s="118"/>
    </row>
    <row r="278" spans="3:8" ht="15.5" outlineLevel="1" x14ac:dyDescent="0.35">
      <c r="D278" s="120"/>
      <c r="E278" s="119"/>
      <c r="F278" s="119"/>
      <c r="G278" s="119"/>
      <c r="H278" s="118"/>
    </row>
    <row r="279" spans="3:8" ht="15.5" outlineLevel="1" x14ac:dyDescent="0.35">
      <c r="D279" s="120"/>
      <c r="E279" s="119"/>
      <c r="F279" s="119"/>
      <c r="G279" s="119"/>
      <c r="H279" s="118"/>
    </row>
    <row r="280" spans="3:8" ht="15" customHeight="1" x14ac:dyDescent="0.35">
      <c r="C280" s="117">
        <f>SUM(D280:H280)</f>
        <v>140</v>
      </c>
      <c r="D280" s="116">
        <f>D246+D212+D178+D144+D110+D76+D42+D8</f>
        <v>8</v>
      </c>
      <c r="E280" s="116">
        <f>E246+E212+E178+E144+E110+E76+E42+E8</f>
        <v>19</v>
      </c>
      <c r="F280" s="116">
        <f>F246+F212+F178+F144+F110+F76+F42+F8</f>
        <v>113</v>
      </c>
      <c r="G280" s="116">
        <f>G246+G212+G178+G144+G110+G76+G42+G8</f>
        <v>0</v>
      </c>
      <c r="H280" s="116">
        <f>H246+H212+H178+H144+H110+H76+H42+H8</f>
        <v>0</v>
      </c>
    </row>
    <row r="281" spans="3:8" ht="15.5" x14ac:dyDescent="0.35">
      <c r="C281" s="115"/>
      <c r="D281" s="114">
        <f>D280/$C$280</f>
        <v>5.7142857142857141E-2</v>
      </c>
      <c r="E281" s="114">
        <f>E280/$C$280</f>
        <v>0.1357142857142857</v>
      </c>
      <c r="F281" s="114">
        <f>F280/$C$280</f>
        <v>0.80714285714285716</v>
      </c>
      <c r="G281" s="114">
        <f>G280/$C$280</f>
        <v>0</v>
      </c>
      <c r="H281" s="114">
        <f>H280/$C$280</f>
        <v>0</v>
      </c>
    </row>
  </sheetData>
  <mergeCells count="5">
    <mergeCell ref="D2:D7"/>
    <mergeCell ref="E2:E7"/>
    <mergeCell ref="F2:F7"/>
    <mergeCell ref="G2:G7"/>
    <mergeCell ref="H2:H7"/>
  </mergeCells>
  <conditionalFormatting sqref="D77:H109">
    <cfRule type="duplicateValues" dxfId="117" priority="53"/>
  </conditionalFormatting>
  <conditionalFormatting sqref="D9:H10 D33:H41 D11:E32 G11:H32 F11:F31">
    <cfRule type="duplicateValues" dxfId="116" priority="52"/>
  </conditionalFormatting>
  <conditionalFormatting sqref="D111:H143">
    <cfRule type="duplicateValues" dxfId="115" priority="51"/>
  </conditionalFormatting>
  <conditionalFormatting sqref="D145:H177">
    <cfRule type="duplicateValues" dxfId="114" priority="50"/>
  </conditionalFormatting>
  <conditionalFormatting sqref="D179:H211">
    <cfRule type="duplicateValues" dxfId="113" priority="49"/>
  </conditionalFormatting>
  <conditionalFormatting sqref="D247:H279">
    <cfRule type="duplicateValues" dxfId="112" priority="48"/>
  </conditionalFormatting>
  <conditionalFormatting sqref="D213:H245">
    <cfRule type="duplicateValues" dxfId="111" priority="47"/>
  </conditionalFormatting>
  <conditionalFormatting sqref="F32">
    <cfRule type="duplicateValues" dxfId="110" priority="46"/>
  </conditionalFormatting>
  <conditionalFormatting sqref="D9:H41">
    <cfRule type="duplicateValues" dxfId="109" priority="8"/>
    <cfRule type="duplicateValues" dxfId="108" priority="16"/>
    <cfRule type="duplicateValues" dxfId="107" priority="23"/>
    <cfRule type="duplicateValues" dxfId="106" priority="29"/>
    <cfRule type="duplicateValues" dxfId="105" priority="34"/>
    <cfRule type="duplicateValues" dxfId="104" priority="37"/>
    <cfRule type="duplicateValues" dxfId="103" priority="39"/>
    <cfRule type="duplicateValues" dxfId="102" priority="40"/>
    <cfRule type="duplicateValues" dxfId="101" priority="45"/>
  </conditionalFormatting>
  <conditionalFormatting sqref="F32">
    <cfRule type="duplicateValues" dxfId="100" priority="44"/>
  </conditionalFormatting>
  <conditionalFormatting sqref="D43:H45 D67:H75 G46:H66 F46:F65 D46:E66">
    <cfRule type="duplicateValues" dxfId="99" priority="43"/>
  </conditionalFormatting>
  <conditionalFormatting sqref="D43:H75">
    <cfRule type="duplicateValues" dxfId="98" priority="42"/>
  </conditionalFormatting>
  <conditionalFormatting sqref="F66">
    <cfRule type="duplicateValues" dxfId="97" priority="41"/>
  </conditionalFormatting>
  <conditionalFormatting sqref="D43:H75">
    <cfRule type="duplicateValues" dxfId="96" priority="22"/>
    <cfRule type="duplicateValues" dxfId="95" priority="38"/>
  </conditionalFormatting>
  <conditionalFormatting sqref="D43:H75">
    <cfRule type="duplicateValues" dxfId="94" priority="36"/>
  </conditionalFormatting>
  <conditionalFormatting sqref="D77:H109">
    <cfRule type="duplicateValues" dxfId="93" priority="35"/>
  </conditionalFormatting>
  <conditionalFormatting sqref="D43:H75">
    <cfRule type="duplicateValues" dxfId="92" priority="33"/>
  </conditionalFormatting>
  <conditionalFormatting sqref="D77:H109">
    <cfRule type="duplicateValues" dxfId="91" priority="32"/>
  </conditionalFormatting>
  <conditionalFormatting sqref="D111:H143">
    <cfRule type="duplicateValues" dxfId="90" priority="31"/>
  </conditionalFormatting>
  <conditionalFormatting sqref="D145:H177">
    <cfRule type="duplicateValues" dxfId="89" priority="30"/>
  </conditionalFormatting>
  <conditionalFormatting sqref="D43:H75">
    <cfRule type="duplicateValues" dxfId="88" priority="7"/>
    <cfRule type="duplicateValues" dxfId="87" priority="15"/>
    <cfRule type="duplicateValues" dxfId="86" priority="28"/>
  </conditionalFormatting>
  <conditionalFormatting sqref="D77:H109">
    <cfRule type="duplicateValues" dxfId="85" priority="27"/>
  </conditionalFormatting>
  <conditionalFormatting sqref="D111:H143">
    <cfRule type="duplicateValues" dxfId="84" priority="26"/>
  </conditionalFormatting>
  <conditionalFormatting sqref="D145:H177">
    <cfRule type="duplicateValues" dxfId="83" priority="25"/>
  </conditionalFormatting>
  <conditionalFormatting sqref="D179:H211">
    <cfRule type="duplicateValues" dxfId="82" priority="24"/>
  </conditionalFormatting>
  <conditionalFormatting sqref="D77:H109">
    <cfRule type="duplicateValues" dxfId="81" priority="21"/>
  </conditionalFormatting>
  <conditionalFormatting sqref="D111:H143">
    <cfRule type="duplicateValues" dxfId="80" priority="20"/>
  </conditionalFormatting>
  <conditionalFormatting sqref="D145:H177">
    <cfRule type="duplicateValues" dxfId="79" priority="19"/>
  </conditionalFormatting>
  <conditionalFormatting sqref="D179:H211">
    <cfRule type="duplicateValues" dxfId="78" priority="18"/>
  </conditionalFormatting>
  <conditionalFormatting sqref="D213:H245">
    <cfRule type="duplicateValues" dxfId="77" priority="17"/>
  </conditionalFormatting>
  <conditionalFormatting sqref="D77:H109">
    <cfRule type="duplicateValues" dxfId="76" priority="14"/>
  </conditionalFormatting>
  <conditionalFormatting sqref="D111:H143">
    <cfRule type="duplicateValues" dxfId="75" priority="13"/>
  </conditionalFormatting>
  <conditionalFormatting sqref="D145:H177">
    <cfRule type="duplicateValues" dxfId="74" priority="12"/>
  </conditionalFormatting>
  <conditionalFormatting sqref="D179:H211">
    <cfRule type="duplicateValues" dxfId="73" priority="11"/>
  </conditionalFormatting>
  <conditionalFormatting sqref="D213:H245">
    <cfRule type="duplicateValues" dxfId="72" priority="10"/>
  </conditionalFormatting>
  <conditionalFormatting sqref="D247:H279">
    <cfRule type="duplicateValues" dxfId="71" priority="9"/>
  </conditionalFormatting>
  <conditionalFormatting sqref="D77:H109">
    <cfRule type="duplicateValues" dxfId="70" priority="6"/>
  </conditionalFormatting>
  <conditionalFormatting sqref="D111:H143">
    <cfRule type="duplicateValues" dxfId="69" priority="5"/>
  </conditionalFormatting>
  <conditionalFormatting sqref="D145:H177">
    <cfRule type="duplicateValues" dxfId="68" priority="4"/>
  </conditionalFormatting>
  <conditionalFormatting sqref="D179:H211">
    <cfRule type="duplicateValues" dxfId="67" priority="3"/>
  </conditionalFormatting>
  <conditionalFormatting sqref="D213:H245">
    <cfRule type="duplicateValues" dxfId="66" priority="2"/>
  </conditionalFormatting>
  <conditionalFormatting sqref="D247:H279">
    <cfRule type="duplicateValues" dxfId="65" priority="1"/>
  </conditionalFormatting>
  <dataValidations count="1">
    <dataValidation type="list" allowBlank="1" showInputMessage="1" showErrorMessage="1" sqref="F1 D8:H280" xr:uid="{DD900243-15E8-4C48-8CAD-8DE52288F88D}">
      <formula1>_CompoundList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72A9E-B9BE-4756-986A-8A2EFFA7F6D8}">
  <sheetPr codeName="Sheet22">
    <outlinePr summaryBelow="0" summaryRight="0"/>
  </sheetPr>
  <dimension ref="A1:N282"/>
  <sheetViews>
    <sheetView workbookViewId="0"/>
  </sheetViews>
  <sheetFormatPr defaultColWidth="8.7265625" defaultRowHeight="12" outlineLevelRow="1" x14ac:dyDescent="0.3"/>
  <cols>
    <col min="1" max="1" width="3.81640625" style="113" customWidth="1"/>
    <col min="2" max="2" width="87.7265625" style="113" customWidth="1"/>
    <col min="3" max="3" width="3.81640625" style="113" customWidth="1"/>
    <col min="4" max="8" width="26.81640625" style="113" customWidth="1"/>
    <col min="9" max="9" width="3.81640625" style="113" customWidth="1"/>
    <col min="10" max="14" width="26.81640625" style="113" customWidth="1"/>
    <col min="15" max="16384" width="8.7265625" style="113"/>
  </cols>
  <sheetData>
    <row r="1" spans="1:14" ht="29" thickBot="1" x14ac:dyDescent="0.7">
      <c r="D1" s="171" t="s">
        <v>257</v>
      </c>
      <c r="E1" s="172"/>
      <c r="F1" s="172"/>
      <c r="G1" s="172"/>
      <c r="H1" s="173"/>
      <c r="J1" s="171" t="s">
        <v>256</v>
      </c>
      <c r="K1" s="172"/>
      <c r="L1" s="172"/>
      <c r="M1" s="172"/>
      <c r="N1" s="173"/>
    </row>
    <row r="2" spans="1:14" ht="21" x14ac:dyDescent="0.5">
      <c r="D2" s="136">
        <v>1</v>
      </c>
      <c r="E2" s="136">
        <v>2</v>
      </c>
      <c r="F2" s="132" t="s">
        <v>94</v>
      </c>
      <c r="G2" s="136">
        <v>4</v>
      </c>
      <c r="H2" s="136">
        <v>5</v>
      </c>
      <c r="J2" s="136">
        <v>1</v>
      </c>
      <c r="K2" s="136">
        <v>2</v>
      </c>
      <c r="L2" s="132" t="s">
        <v>99</v>
      </c>
      <c r="M2" s="136">
        <v>4</v>
      </c>
      <c r="N2" s="136">
        <v>5</v>
      </c>
    </row>
    <row r="3" spans="1:14" x14ac:dyDescent="0.3">
      <c r="D3" s="168" t="s">
        <v>255</v>
      </c>
      <c r="E3" s="168" t="s">
        <v>254</v>
      </c>
      <c r="F3" s="168" t="s">
        <v>253</v>
      </c>
      <c r="G3" s="168" t="s">
        <v>252</v>
      </c>
      <c r="H3" s="168" t="s">
        <v>251</v>
      </c>
      <c r="J3" s="168" t="s">
        <v>255</v>
      </c>
      <c r="K3" s="168" t="s">
        <v>254</v>
      </c>
      <c r="L3" s="168" t="s">
        <v>253</v>
      </c>
      <c r="M3" s="168" t="s">
        <v>252</v>
      </c>
      <c r="N3" s="168" t="s">
        <v>251</v>
      </c>
    </row>
    <row r="4" spans="1:14" x14ac:dyDescent="0.3">
      <c r="D4" s="169"/>
      <c r="E4" s="169"/>
      <c r="F4" s="169"/>
      <c r="G4" s="169"/>
      <c r="H4" s="169"/>
      <c r="J4" s="169"/>
      <c r="K4" s="169"/>
      <c r="L4" s="169"/>
      <c r="M4" s="169"/>
      <c r="N4" s="169"/>
    </row>
    <row r="5" spans="1:14" x14ac:dyDescent="0.3">
      <c r="D5" s="169"/>
      <c r="E5" s="169"/>
      <c r="F5" s="169"/>
      <c r="G5" s="169"/>
      <c r="H5" s="169"/>
      <c r="J5" s="169"/>
      <c r="K5" s="169"/>
      <c r="L5" s="169"/>
      <c r="M5" s="169"/>
      <c r="N5" s="169"/>
    </row>
    <row r="6" spans="1:14" x14ac:dyDescent="0.3">
      <c r="D6" s="169"/>
      <c r="E6" s="169"/>
      <c r="F6" s="169"/>
      <c r="G6" s="169"/>
      <c r="H6" s="169"/>
      <c r="J6" s="169"/>
      <c r="K6" s="169"/>
      <c r="L6" s="169"/>
      <c r="M6" s="169"/>
      <c r="N6" s="169"/>
    </row>
    <row r="7" spans="1:14" x14ac:dyDescent="0.3">
      <c r="D7" s="169"/>
      <c r="E7" s="169"/>
      <c r="F7" s="169"/>
      <c r="G7" s="169"/>
      <c r="H7" s="169"/>
      <c r="J7" s="169"/>
      <c r="K7" s="169"/>
      <c r="L7" s="169"/>
      <c r="M7" s="169"/>
      <c r="N7" s="169"/>
    </row>
    <row r="8" spans="1:14" ht="12.5" thickBot="1" x14ac:dyDescent="0.35">
      <c r="D8" s="170"/>
      <c r="E8" s="170"/>
      <c r="F8" s="170"/>
      <c r="G8" s="170"/>
      <c r="H8" s="170"/>
      <c r="J8" s="170"/>
      <c r="K8" s="170"/>
      <c r="L8" s="170"/>
      <c r="M8" s="170"/>
      <c r="N8" s="170"/>
    </row>
    <row r="9" spans="1:14" ht="15.65" customHeight="1" thickBot="1" x14ac:dyDescent="0.4">
      <c r="A9" s="135">
        <v>1</v>
      </c>
      <c r="B9" s="126" t="s">
        <v>214</v>
      </c>
      <c r="C9" s="125">
        <f>SUM(D9:H9)</f>
        <v>35</v>
      </c>
      <c r="D9" s="119">
        <f>COUNTA(D10:D42)</f>
        <v>5</v>
      </c>
      <c r="E9" s="119">
        <f>COUNTA(E10:E42)</f>
        <v>0</v>
      </c>
      <c r="F9" s="119">
        <f>COUNTA(F10:F42)</f>
        <v>23</v>
      </c>
      <c r="G9" s="119">
        <f>COUNTA(G10:G42)</f>
        <v>0</v>
      </c>
      <c r="H9" s="119">
        <f>COUNTA(H10:H42)</f>
        <v>7</v>
      </c>
      <c r="I9" s="125">
        <f>SUM(J9:N9)</f>
        <v>35</v>
      </c>
      <c r="J9" s="119">
        <f>COUNTA(J10:J42)</f>
        <v>5</v>
      </c>
      <c r="K9" s="119">
        <f>COUNTA(K10:K42)</f>
        <v>23</v>
      </c>
      <c r="L9" s="119">
        <f>COUNTA(L10:L42)</f>
        <v>7</v>
      </c>
      <c r="M9" s="119">
        <f>COUNTA(M10:M42)</f>
        <v>0</v>
      </c>
      <c r="N9" s="119">
        <f>COUNTA(N10:N42)</f>
        <v>0</v>
      </c>
    </row>
    <row r="10" spans="1:14" ht="15.65" customHeight="1" outlineLevel="1" thickTop="1" x14ac:dyDescent="0.35">
      <c r="D10" s="124"/>
      <c r="E10" s="123"/>
      <c r="F10" s="123"/>
      <c r="G10" s="123"/>
      <c r="H10" s="122"/>
      <c r="J10" s="124"/>
      <c r="K10" s="123"/>
      <c r="L10" s="123"/>
      <c r="M10" s="123"/>
      <c r="N10" s="122"/>
    </row>
    <row r="11" spans="1:14" ht="15.65" customHeight="1" outlineLevel="1" x14ac:dyDescent="0.35">
      <c r="D11" s="120" t="s">
        <v>85</v>
      </c>
      <c r="E11" s="119"/>
      <c r="F11" s="119" t="s">
        <v>70</v>
      </c>
      <c r="G11" s="119"/>
      <c r="H11" s="118" t="s">
        <v>100</v>
      </c>
      <c r="J11" s="120" t="s">
        <v>85</v>
      </c>
      <c r="K11" s="119" t="s">
        <v>21</v>
      </c>
      <c r="L11" s="119"/>
      <c r="M11" s="119"/>
      <c r="N11" s="118"/>
    </row>
    <row r="12" spans="1:14" ht="15.5" outlineLevel="1" x14ac:dyDescent="0.35">
      <c r="D12" s="120" t="s">
        <v>69</v>
      </c>
      <c r="E12" s="119"/>
      <c r="F12" s="119" t="s">
        <v>88</v>
      </c>
      <c r="G12" s="119"/>
      <c r="H12" s="118" t="s">
        <v>96</v>
      </c>
      <c r="J12" s="120" t="s">
        <v>69</v>
      </c>
      <c r="K12" s="119" t="s">
        <v>35</v>
      </c>
      <c r="L12" s="119"/>
      <c r="M12" s="119"/>
      <c r="N12" s="118"/>
    </row>
    <row r="13" spans="1:14" ht="15.5" outlineLevel="1" x14ac:dyDescent="0.35">
      <c r="D13" s="120" t="s">
        <v>84</v>
      </c>
      <c r="E13" s="119"/>
      <c r="F13" s="119" t="s">
        <v>28</v>
      </c>
      <c r="G13" s="119"/>
      <c r="H13" s="118" t="s">
        <v>99</v>
      </c>
      <c r="J13" s="120" t="s">
        <v>72</v>
      </c>
      <c r="K13" s="119" t="s">
        <v>31</v>
      </c>
      <c r="L13" s="119" t="s">
        <v>196</v>
      </c>
      <c r="M13" s="119"/>
      <c r="N13" s="118"/>
    </row>
    <row r="14" spans="1:14" ht="15.5" outlineLevel="1" x14ac:dyDescent="0.35">
      <c r="D14" s="120" t="s">
        <v>65</v>
      </c>
      <c r="E14" s="119"/>
      <c r="F14" s="119" t="s">
        <v>80</v>
      </c>
      <c r="G14" s="119"/>
      <c r="H14" s="118" t="s">
        <v>91</v>
      </c>
      <c r="J14" s="120" t="s">
        <v>84</v>
      </c>
      <c r="K14" s="119" t="s">
        <v>39</v>
      </c>
      <c r="L14" s="119" t="s">
        <v>100</v>
      </c>
      <c r="M14" s="119"/>
      <c r="N14" s="118"/>
    </row>
    <row r="15" spans="1:14" ht="15.5" outlineLevel="1" x14ac:dyDescent="0.35">
      <c r="D15" s="120" t="s">
        <v>72</v>
      </c>
      <c r="E15" s="119"/>
      <c r="F15" s="119" t="s">
        <v>83</v>
      </c>
      <c r="G15" s="119"/>
      <c r="H15" s="118" t="s">
        <v>98</v>
      </c>
      <c r="J15" s="120" t="s">
        <v>65</v>
      </c>
      <c r="K15" s="119" t="s">
        <v>17</v>
      </c>
      <c r="L15" s="119" t="s">
        <v>96</v>
      </c>
      <c r="M15" s="119"/>
      <c r="N15" s="118"/>
    </row>
    <row r="16" spans="1:14" ht="15.5" outlineLevel="1" x14ac:dyDescent="0.35">
      <c r="D16" s="120"/>
      <c r="E16" s="119"/>
      <c r="F16" s="119" t="s">
        <v>89</v>
      </c>
      <c r="G16" s="119"/>
      <c r="H16" s="118" t="s">
        <v>196</v>
      </c>
      <c r="J16" s="120"/>
      <c r="K16" s="119" t="s">
        <v>78</v>
      </c>
      <c r="L16" s="119" t="s">
        <v>98</v>
      </c>
      <c r="M16" s="119"/>
      <c r="N16" s="118"/>
    </row>
    <row r="17" spans="4:14" ht="15.5" outlineLevel="1" x14ac:dyDescent="0.35">
      <c r="D17" s="120"/>
      <c r="E17" s="119"/>
      <c r="F17" s="119" t="s">
        <v>21</v>
      </c>
      <c r="G17" s="119"/>
      <c r="H17" s="118" t="s">
        <v>197</v>
      </c>
      <c r="J17" s="120"/>
      <c r="K17" s="119" t="s">
        <v>89</v>
      </c>
      <c r="L17" s="119" t="s">
        <v>49</v>
      </c>
      <c r="M17" s="119"/>
      <c r="N17" s="118"/>
    </row>
    <row r="18" spans="4:14" ht="15.5" outlineLevel="1" x14ac:dyDescent="0.35">
      <c r="D18" s="120"/>
      <c r="E18" s="119"/>
      <c r="F18" s="119" t="s">
        <v>17</v>
      </c>
      <c r="G18" s="119"/>
      <c r="H18" s="118"/>
      <c r="J18" s="120"/>
      <c r="K18" s="119" t="s">
        <v>83</v>
      </c>
      <c r="L18" s="119" t="s">
        <v>91</v>
      </c>
      <c r="M18" s="119"/>
      <c r="N18" s="118"/>
    </row>
    <row r="19" spans="4:14" ht="15.5" outlineLevel="1" x14ac:dyDescent="0.35">
      <c r="D19" s="120"/>
      <c r="E19" s="119"/>
      <c r="F19" s="119" t="s">
        <v>67</v>
      </c>
      <c r="G19" s="119"/>
      <c r="H19" s="118"/>
      <c r="J19" s="120"/>
      <c r="K19" s="119" t="s">
        <v>80</v>
      </c>
      <c r="L19" s="119" t="s">
        <v>197</v>
      </c>
      <c r="M19" s="119"/>
      <c r="N19" s="118"/>
    </row>
    <row r="20" spans="4:14" ht="15.5" outlineLevel="1" x14ac:dyDescent="0.35">
      <c r="D20" s="120"/>
      <c r="E20" s="119"/>
      <c r="F20" s="119" t="s">
        <v>24</v>
      </c>
      <c r="G20" s="119"/>
      <c r="H20" s="118"/>
      <c r="J20" s="120"/>
      <c r="K20" s="119" t="s">
        <v>28</v>
      </c>
      <c r="L20" s="119"/>
      <c r="M20" s="119"/>
      <c r="N20" s="118"/>
    </row>
    <row r="21" spans="4:14" ht="15.5" outlineLevel="1" x14ac:dyDescent="0.35">
      <c r="D21" s="120"/>
      <c r="E21" s="119"/>
      <c r="F21" s="119" t="s">
        <v>68</v>
      </c>
      <c r="G21" s="119"/>
      <c r="H21" s="118"/>
      <c r="J21" s="120"/>
      <c r="K21" s="119" t="s">
        <v>70</v>
      </c>
      <c r="L21" s="119"/>
      <c r="M21" s="119"/>
      <c r="N21" s="118"/>
    </row>
    <row r="22" spans="4:14" ht="15.5" outlineLevel="1" x14ac:dyDescent="0.35">
      <c r="D22" s="120"/>
      <c r="E22" s="119"/>
      <c r="F22" s="119" t="s">
        <v>57</v>
      </c>
      <c r="G22" s="119"/>
      <c r="H22" s="118"/>
      <c r="J22" s="120"/>
      <c r="K22" s="119" t="s">
        <v>88</v>
      </c>
      <c r="L22" s="119"/>
      <c r="M22" s="119"/>
      <c r="N22" s="118"/>
    </row>
    <row r="23" spans="4:14" ht="15.5" outlineLevel="1" x14ac:dyDescent="0.35">
      <c r="D23" s="120"/>
      <c r="E23" s="119"/>
      <c r="F23" s="121" t="s">
        <v>243</v>
      </c>
      <c r="G23" s="119"/>
      <c r="H23" s="118"/>
      <c r="J23" s="120"/>
      <c r="K23" s="119" t="s">
        <v>67</v>
      </c>
      <c r="L23" s="121"/>
      <c r="M23" s="119"/>
      <c r="N23" s="118"/>
    </row>
    <row r="24" spans="4:14" ht="15.5" outlineLevel="1" x14ac:dyDescent="0.35">
      <c r="D24" s="120"/>
      <c r="E24" s="119"/>
      <c r="F24" s="119" t="s">
        <v>35</v>
      </c>
      <c r="G24" s="121"/>
      <c r="H24" s="118"/>
      <c r="J24" s="120"/>
      <c r="K24" s="119" t="s">
        <v>24</v>
      </c>
      <c r="L24" s="119"/>
      <c r="M24" s="121"/>
      <c r="N24" s="118"/>
    </row>
    <row r="25" spans="4:14" ht="15.5" outlineLevel="1" x14ac:dyDescent="0.35">
      <c r="D25" s="120"/>
      <c r="E25" s="119"/>
      <c r="F25" s="119" t="s">
        <v>31</v>
      </c>
      <c r="G25" s="121"/>
      <c r="H25" s="118"/>
      <c r="J25" s="120"/>
      <c r="K25" s="119" t="s">
        <v>68</v>
      </c>
      <c r="L25" s="119"/>
      <c r="M25" s="121"/>
      <c r="N25" s="118"/>
    </row>
    <row r="26" spans="4:14" ht="15.5" outlineLevel="1" x14ac:dyDescent="0.35">
      <c r="D26" s="120"/>
      <c r="E26" s="119"/>
      <c r="F26" s="119" t="s">
        <v>56</v>
      </c>
      <c r="G26" s="119"/>
      <c r="H26" s="118"/>
      <c r="J26" s="120"/>
      <c r="K26" s="119" t="s">
        <v>57</v>
      </c>
      <c r="L26" s="119"/>
      <c r="M26" s="119"/>
      <c r="N26" s="118"/>
    </row>
    <row r="27" spans="4:14" ht="15.5" outlineLevel="1" x14ac:dyDescent="0.35">
      <c r="D27" s="120"/>
      <c r="E27" s="119"/>
      <c r="F27" s="119" t="s">
        <v>66</v>
      </c>
      <c r="G27" s="119"/>
      <c r="H27" s="118"/>
      <c r="J27" s="120"/>
      <c r="K27" s="119" t="s">
        <v>243</v>
      </c>
      <c r="L27" s="119"/>
      <c r="M27" s="119"/>
      <c r="N27" s="118"/>
    </row>
    <row r="28" spans="4:14" ht="15.5" outlineLevel="1" x14ac:dyDescent="0.35">
      <c r="D28" s="120"/>
      <c r="E28" s="121"/>
      <c r="F28" s="119" t="s">
        <v>78</v>
      </c>
      <c r="G28" s="119"/>
      <c r="H28" s="118"/>
      <c r="J28" s="120"/>
      <c r="K28" s="121" t="s">
        <v>56</v>
      </c>
      <c r="L28" s="119"/>
      <c r="M28" s="119"/>
      <c r="N28" s="118"/>
    </row>
    <row r="29" spans="4:14" ht="15.5" outlineLevel="1" x14ac:dyDescent="0.35">
      <c r="D29" s="120"/>
      <c r="E29" s="119"/>
      <c r="F29" s="119" t="s">
        <v>76</v>
      </c>
      <c r="G29" s="119"/>
      <c r="H29" s="118"/>
      <c r="J29" s="120"/>
      <c r="K29" s="119" t="s">
        <v>66</v>
      </c>
      <c r="L29" s="119"/>
      <c r="M29" s="119"/>
      <c r="N29" s="118"/>
    </row>
    <row r="30" spans="4:14" ht="15.5" outlineLevel="1" x14ac:dyDescent="0.35">
      <c r="D30" s="120"/>
      <c r="E30" s="119"/>
      <c r="F30" s="119" t="s">
        <v>39</v>
      </c>
      <c r="G30" s="119"/>
      <c r="H30" s="118"/>
      <c r="J30" s="120"/>
      <c r="K30" s="119" t="s">
        <v>76</v>
      </c>
      <c r="L30" s="119"/>
      <c r="M30" s="119"/>
      <c r="N30" s="118"/>
    </row>
    <row r="31" spans="4:14" ht="15.5" outlineLevel="1" x14ac:dyDescent="0.35">
      <c r="D31" s="120"/>
      <c r="E31" s="119"/>
      <c r="F31" s="119" t="s">
        <v>74</v>
      </c>
      <c r="G31" s="119"/>
      <c r="H31" s="118"/>
      <c r="J31" s="120"/>
      <c r="K31" s="119" t="s">
        <v>74</v>
      </c>
      <c r="L31" s="119"/>
      <c r="M31" s="119"/>
      <c r="N31" s="118"/>
    </row>
    <row r="32" spans="4:14" ht="15.5" outlineLevel="1" x14ac:dyDescent="0.35">
      <c r="D32" s="120"/>
      <c r="E32" s="119"/>
      <c r="F32" s="119" t="s">
        <v>53</v>
      </c>
      <c r="G32" s="119"/>
      <c r="H32" s="118"/>
      <c r="J32" s="120"/>
      <c r="K32" s="119" t="s">
        <v>53</v>
      </c>
      <c r="L32" s="119"/>
      <c r="M32" s="119"/>
      <c r="N32" s="118"/>
    </row>
    <row r="33" spans="1:14" ht="15.5" outlineLevel="1" x14ac:dyDescent="0.35">
      <c r="D33" s="120"/>
      <c r="E33" s="119"/>
      <c r="F33" s="119" t="s">
        <v>49</v>
      </c>
      <c r="G33" s="119"/>
      <c r="H33" s="118"/>
      <c r="J33" s="120"/>
      <c r="K33" s="119" t="s">
        <v>94</v>
      </c>
      <c r="L33" s="119"/>
      <c r="M33" s="119"/>
      <c r="N33" s="118"/>
    </row>
    <row r="34" spans="1:14" ht="15.5" outlineLevel="1" x14ac:dyDescent="0.35">
      <c r="D34" s="120"/>
      <c r="E34" s="119"/>
      <c r="F34" s="119"/>
      <c r="G34" s="119"/>
      <c r="H34" s="118"/>
      <c r="J34" s="120"/>
      <c r="K34" s="119"/>
      <c r="L34" s="119"/>
      <c r="M34" s="119"/>
      <c r="N34" s="118"/>
    </row>
    <row r="35" spans="1:14" ht="15.5" outlineLevel="1" x14ac:dyDescent="0.35">
      <c r="D35" s="120"/>
      <c r="E35" s="119"/>
      <c r="F35" s="119"/>
      <c r="G35" s="119"/>
      <c r="H35" s="118"/>
      <c r="J35" s="120"/>
      <c r="K35" s="119"/>
      <c r="L35" s="119"/>
      <c r="M35" s="119"/>
      <c r="N35" s="118"/>
    </row>
    <row r="36" spans="1:14" ht="15.5" outlineLevel="1" x14ac:dyDescent="0.35">
      <c r="D36" s="120"/>
      <c r="E36" s="119"/>
      <c r="F36" s="119"/>
      <c r="G36" s="119"/>
      <c r="H36" s="118"/>
      <c r="J36" s="120"/>
      <c r="K36" s="119"/>
      <c r="L36" s="119"/>
      <c r="M36" s="119"/>
      <c r="N36" s="118"/>
    </row>
    <row r="37" spans="1:14" ht="15.5" outlineLevel="1" x14ac:dyDescent="0.35">
      <c r="D37" s="120"/>
      <c r="E37" s="119"/>
      <c r="F37" s="119"/>
      <c r="G37" s="119"/>
      <c r="H37" s="118"/>
      <c r="J37" s="120"/>
      <c r="K37" s="119"/>
      <c r="L37" s="119"/>
      <c r="M37" s="119"/>
      <c r="N37" s="118"/>
    </row>
    <row r="38" spans="1:14" ht="15.5" outlineLevel="1" x14ac:dyDescent="0.35">
      <c r="D38" s="120"/>
      <c r="E38" s="119"/>
      <c r="F38" s="119"/>
      <c r="G38" s="119"/>
      <c r="H38" s="118"/>
      <c r="J38" s="120"/>
      <c r="K38" s="119"/>
      <c r="L38" s="119"/>
      <c r="M38" s="119"/>
      <c r="N38" s="118"/>
    </row>
    <row r="39" spans="1:14" ht="15.5" outlineLevel="1" x14ac:dyDescent="0.35">
      <c r="D39" s="120"/>
      <c r="E39" s="119"/>
      <c r="F39" s="119"/>
      <c r="G39" s="119"/>
      <c r="H39" s="118"/>
      <c r="J39" s="120"/>
      <c r="K39" s="119"/>
      <c r="L39" s="119"/>
      <c r="M39" s="119"/>
      <c r="N39" s="118"/>
    </row>
    <row r="40" spans="1:14" ht="15.5" outlineLevel="1" x14ac:dyDescent="0.35">
      <c r="D40" s="120"/>
      <c r="E40" s="119"/>
      <c r="F40" s="119"/>
      <c r="G40" s="119"/>
      <c r="H40" s="118"/>
      <c r="J40" s="120"/>
      <c r="K40" s="119"/>
      <c r="L40" s="119"/>
      <c r="M40" s="119"/>
      <c r="N40" s="118"/>
    </row>
    <row r="41" spans="1:14" ht="15.5" outlineLevel="1" x14ac:dyDescent="0.35">
      <c r="D41" s="120"/>
      <c r="E41" s="119"/>
      <c r="F41" s="119"/>
      <c r="G41" s="119"/>
      <c r="H41" s="118"/>
      <c r="J41" s="120"/>
      <c r="K41" s="119"/>
      <c r="L41" s="119"/>
      <c r="M41" s="119"/>
      <c r="N41" s="118"/>
    </row>
    <row r="42" spans="1:14" ht="16" outlineLevel="1" thickBot="1" x14ac:dyDescent="0.4">
      <c r="D42" s="130"/>
      <c r="E42" s="129"/>
      <c r="F42" s="129"/>
      <c r="G42" s="129"/>
      <c r="H42" s="128"/>
      <c r="J42" s="130"/>
      <c r="K42" s="129"/>
      <c r="L42" s="129"/>
      <c r="M42" s="129"/>
      <c r="N42" s="128"/>
    </row>
    <row r="43" spans="1:14" ht="15.65" customHeight="1" thickTop="1" thickBot="1" x14ac:dyDescent="0.4">
      <c r="A43" s="135">
        <f>A9+1</f>
        <v>2</v>
      </c>
      <c r="B43" s="126" t="s">
        <v>213</v>
      </c>
      <c r="C43" s="125">
        <f>SUM(D43:H43)</f>
        <v>35</v>
      </c>
      <c r="D43" s="119">
        <f>COUNTA(D44:D76)</f>
        <v>5</v>
      </c>
      <c r="E43" s="119">
        <f>COUNTA(E44:E76)</f>
        <v>1</v>
      </c>
      <c r="F43" s="119">
        <f>COUNTA(F44:F76)</f>
        <v>29</v>
      </c>
      <c r="G43" s="119">
        <f>COUNTA(G44:G76)</f>
        <v>0</v>
      </c>
      <c r="H43" s="119">
        <f>COUNTA(H44:H76)</f>
        <v>0</v>
      </c>
    </row>
    <row r="44" spans="1:14" ht="15.65" customHeight="1" outlineLevel="1" thickTop="1" x14ac:dyDescent="0.35">
      <c r="D44" s="124"/>
      <c r="E44" s="123"/>
      <c r="F44" s="123"/>
      <c r="G44" s="123"/>
      <c r="H44" s="122"/>
    </row>
    <row r="45" spans="1:14" ht="15.65" customHeight="1" outlineLevel="1" x14ac:dyDescent="0.35">
      <c r="D45" s="120"/>
      <c r="E45" s="119"/>
      <c r="F45" s="119" t="s">
        <v>196</v>
      </c>
      <c r="G45" s="119"/>
      <c r="H45" s="118"/>
    </row>
    <row r="46" spans="1:14" ht="15.5" outlineLevel="1" x14ac:dyDescent="0.35">
      <c r="D46" s="120" t="s">
        <v>85</v>
      </c>
      <c r="E46" s="119"/>
      <c r="F46" s="119" t="s">
        <v>70</v>
      </c>
      <c r="G46" s="119"/>
      <c r="H46" s="118"/>
    </row>
    <row r="47" spans="1:14" ht="15.5" outlineLevel="1" x14ac:dyDescent="0.35">
      <c r="D47" s="120" t="s">
        <v>69</v>
      </c>
      <c r="E47" s="119"/>
      <c r="F47" s="119" t="s">
        <v>28</v>
      </c>
      <c r="G47" s="119"/>
      <c r="H47" s="118"/>
    </row>
    <row r="48" spans="1:14" ht="15.5" outlineLevel="1" x14ac:dyDescent="0.35">
      <c r="D48" s="120" t="s">
        <v>88</v>
      </c>
      <c r="E48" s="119"/>
      <c r="F48" s="119" t="s">
        <v>100</v>
      </c>
      <c r="G48" s="119"/>
      <c r="H48" s="118"/>
    </row>
    <row r="49" spans="4:8" ht="15.5" outlineLevel="1" x14ac:dyDescent="0.35">
      <c r="D49" s="120" t="s">
        <v>84</v>
      </c>
      <c r="E49" s="119"/>
      <c r="F49" s="119" t="s">
        <v>80</v>
      </c>
      <c r="G49" s="119"/>
      <c r="H49" s="118"/>
    </row>
    <row r="50" spans="4:8" ht="15.5" outlineLevel="1" x14ac:dyDescent="0.35">
      <c r="D50" s="120" t="s">
        <v>65</v>
      </c>
      <c r="E50" s="119"/>
      <c r="F50" s="119" t="s">
        <v>83</v>
      </c>
      <c r="G50" s="119"/>
      <c r="H50" s="118"/>
    </row>
    <row r="51" spans="4:8" ht="15.5" outlineLevel="1" x14ac:dyDescent="0.35">
      <c r="D51" s="120"/>
      <c r="E51" s="119"/>
      <c r="F51" s="119" t="s">
        <v>96</v>
      </c>
      <c r="G51" s="119"/>
      <c r="H51" s="118"/>
    </row>
    <row r="52" spans="4:8" ht="15.5" outlineLevel="1" x14ac:dyDescent="0.35">
      <c r="D52" s="120"/>
      <c r="E52" s="119"/>
      <c r="F52" s="119" t="s">
        <v>89</v>
      </c>
      <c r="G52" s="119"/>
      <c r="H52" s="118"/>
    </row>
    <row r="53" spans="4:8" ht="15.5" outlineLevel="1" x14ac:dyDescent="0.35">
      <c r="D53" s="120"/>
      <c r="E53" s="119"/>
      <c r="F53" s="119" t="s">
        <v>21</v>
      </c>
      <c r="G53" s="119"/>
      <c r="H53" s="118"/>
    </row>
    <row r="54" spans="4:8" ht="15.5" outlineLevel="1" x14ac:dyDescent="0.35">
      <c r="D54" s="120"/>
      <c r="E54" s="119"/>
      <c r="F54" s="119" t="s">
        <v>17</v>
      </c>
      <c r="G54" s="119"/>
      <c r="H54" s="118"/>
    </row>
    <row r="55" spans="4:8" ht="15.5" outlineLevel="1" x14ac:dyDescent="0.35">
      <c r="D55" s="120"/>
      <c r="E55" s="119"/>
      <c r="F55" s="121" t="s">
        <v>67</v>
      </c>
      <c r="G55" s="119"/>
      <c r="H55" s="118"/>
    </row>
    <row r="56" spans="4:8" ht="15.5" outlineLevel="1" x14ac:dyDescent="0.35">
      <c r="D56" s="120"/>
      <c r="E56" s="119"/>
      <c r="F56" s="119" t="s">
        <v>24</v>
      </c>
      <c r="G56" s="119"/>
      <c r="H56" s="118"/>
    </row>
    <row r="57" spans="4:8" ht="15.5" outlineLevel="1" x14ac:dyDescent="0.35">
      <c r="D57" s="120"/>
      <c r="E57" s="119"/>
      <c r="F57" s="119" t="s">
        <v>68</v>
      </c>
      <c r="G57" s="119"/>
      <c r="H57" s="118"/>
    </row>
    <row r="58" spans="4:8" ht="15.5" outlineLevel="1" x14ac:dyDescent="0.35">
      <c r="D58" s="120"/>
      <c r="E58" s="119"/>
      <c r="F58" s="119" t="s">
        <v>57</v>
      </c>
      <c r="G58" s="121"/>
      <c r="H58" s="118"/>
    </row>
    <row r="59" spans="4:8" ht="15.5" outlineLevel="1" x14ac:dyDescent="0.35">
      <c r="D59" s="120"/>
      <c r="E59" s="119"/>
      <c r="F59" s="119" t="s">
        <v>243</v>
      </c>
      <c r="G59" s="121"/>
      <c r="H59" s="118"/>
    </row>
    <row r="60" spans="4:8" ht="15.5" outlineLevel="1" x14ac:dyDescent="0.35">
      <c r="D60" s="120"/>
      <c r="E60" s="119"/>
      <c r="F60" s="119" t="s">
        <v>98</v>
      </c>
      <c r="G60" s="119"/>
      <c r="H60" s="118"/>
    </row>
    <row r="61" spans="4:8" ht="15.5" outlineLevel="1" x14ac:dyDescent="0.35">
      <c r="D61" s="120"/>
      <c r="E61" s="119"/>
      <c r="F61" s="119" t="s">
        <v>35</v>
      </c>
      <c r="G61" s="119"/>
      <c r="H61" s="118"/>
    </row>
    <row r="62" spans="4:8" ht="15.5" outlineLevel="1" x14ac:dyDescent="0.35">
      <c r="D62" s="120"/>
      <c r="E62" s="121"/>
      <c r="F62" s="119" t="s">
        <v>31</v>
      </c>
      <c r="G62" s="119"/>
      <c r="H62" s="118"/>
    </row>
    <row r="63" spans="4:8" ht="15.5" outlineLevel="1" x14ac:dyDescent="0.35">
      <c r="D63" s="120"/>
      <c r="E63" s="119"/>
      <c r="F63" s="119" t="s">
        <v>56</v>
      </c>
      <c r="G63" s="119"/>
      <c r="H63" s="118"/>
    </row>
    <row r="64" spans="4:8" ht="15.5" outlineLevel="1" x14ac:dyDescent="0.35">
      <c r="D64" s="120"/>
      <c r="E64" s="119"/>
      <c r="F64" s="119" t="s">
        <v>66</v>
      </c>
      <c r="G64" s="119"/>
      <c r="H64" s="118"/>
    </row>
    <row r="65" spans="1:8" ht="15.5" outlineLevel="1" x14ac:dyDescent="0.35">
      <c r="D65" s="120"/>
      <c r="E65" s="119"/>
      <c r="F65" s="119" t="s">
        <v>99</v>
      </c>
      <c r="G65" s="119"/>
      <c r="H65" s="118"/>
    </row>
    <row r="66" spans="1:8" ht="15.5" outlineLevel="1" x14ac:dyDescent="0.35">
      <c r="D66" s="120"/>
      <c r="E66" s="119"/>
      <c r="F66" s="119" t="s">
        <v>78</v>
      </c>
      <c r="G66" s="119"/>
      <c r="H66" s="118"/>
    </row>
    <row r="67" spans="1:8" ht="15.5" outlineLevel="1" x14ac:dyDescent="0.35">
      <c r="D67" s="120"/>
      <c r="E67" s="119"/>
      <c r="F67" s="119" t="s">
        <v>76</v>
      </c>
      <c r="G67" s="119"/>
      <c r="H67" s="118"/>
    </row>
    <row r="68" spans="1:8" ht="15.5" outlineLevel="1" x14ac:dyDescent="0.35">
      <c r="D68" s="120"/>
      <c r="E68" s="119"/>
      <c r="F68" s="119" t="s">
        <v>39</v>
      </c>
      <c r="G68" s="119"/>
      <c r="H68" s="118"/>
    </row>
    <row r="69" spans="1:8" ht="15.5" outlineLevel="1" x14ac:dyDescent="0.35">
      <c r="D69" s="120"/>
      <c r="E69" s="119" t="s">
        <v>72</v>
      </c>
      <c r="F69" s="119"/>
      <c r="G69" s="119"/>
      <c r="H69" s="118"/>
    </row>
    <row r="70" spans="1:8" ht="15.5" outlineLevel="1" x14ac:dyDescent="0.35">
      <c r="D70" s="120"/>
      <c r="E70" s="119"/>
      <c r="F70" s="119" t="s">
        <v>74</v>
      </c>
      <c r="G70" s="119"/>
      <c r="H70" s="118"/>
    </row>
    <row r="71" spans="1:8" ht="15.5" outlineLevel="1" x14ac:dyDescent="0.35">
      <c r="D71" s="120"/>
      <c r="E71" s="119"/>
      <c r="F71" s="119" t="s">
        <v>91</v>
      </c>
      <c r="G71" s="119"/>
      <c r="H71" s="118"/>
    </row>
    <row r="72" spans="1:8" ht="15.5" outlineLevel="1" x14ac:dyDescent="0.35">
      <c r="D72" s="120"/>
      <c r="E72" s="119"/>
      <c r="F72" s="119" t="s">
        <v>53</v>
      </c>
      <c r="G72" s="119"/>
      <c r="H72" s="118"/>
    </row>
    <row r="73" spans="1:8" ht="15.5" outlineLevel="1" x14ac:dyDescent="0.35">
      <c r="D73" s="120"/>
      <c r="E73" s="119"/>
      <c r="F73" s="119" t="s">
        <v>49</v>
      </c>
      <c r="G73" s="119"/>
      <c r="H73" s="118"/>
    </row>
    <row r="74" spans="1:8" ht="15.5" outlineLevel="1" x14ac:dyDescent="0.35">
      <c r="D74" s="120"/>
      <c r="E74" s="119"/>
      <c r="F74" s="119" t="s">
        <v>197</v>
      </c>
      <c r="G74" s="119"/>
      <c r="H74" s="118"/>
    </row>
    <row r="75" spans="1:8" ht="15.5" outlineLevel="1" x14ac:dyDescent="0.35">
      <c r="D75" s="120"/>
      <c r="E75" s="119"/>
      <c r="F75" s="119"/>
      <c r="G75" s="119"/>
      <c r="H75" s="118"/>
    </row>
    <row r="76" spans="1:8" ht="16" outlineLevel="1" thickBot="1" x14ac:dyDescent="0.4">
      <c r="D76" s="130"/>
      <c r="E76" s="129"/>
      <c r="F76" s="129"/>
      <c r="G76" s="129"/>
      <c r="H76" s="128"/>
    </row>
    <row r="77" spans="1:8" ht="15.65" customHeight="1" thickTop="1" thickBot="1" x14ac:dyDescent="0.4">
      <c r="A77" s="135">
        <f>A43+1</f>
        <v>3</v>
      </c>
      <c r="B77" s="126" t="s">
        <v>212</v>
      </c>
      <c r="C77" s="125">
        <f>SUM(D77:H77)</f>
        <v>36</v>
      </c>
      <c r="D77" s="119">
        <f>COUNTA(D78:D110)</f>
        <v>5</v>
      </c>
      <c r="E77" s="119">
        <f>COUNTA(E78:E110)</f>
        <v>0</v>
      </c>
      <c r="F77" s="119">
        <f>COUNTA(F78:F110)</f>
        <v>31</v>
      </c>
      <c r="G77" s="119">
        <f>COUNTA(G78:G110)</f>
        <v>0</v>
      </c>
      <c r="H77" s="119">
        <f>COUNTA(H78:H110)</f>
        <v>0</v>
      </c>
    </row>
    <row r="78" spans="1:8" ht="15.65" customHeight="1" outlineLevel="1" thickTop="1" x14ac:dyDescent="0.35">
      <c r="D78" s="124"/>
      <c r="E78" s="123"/>
      <c r="F78" s="123"/>
      <c r="G78" s="123"/>
      <c r="H78" s="122"/>
    </row>
    <row r="79" spans="1:8" ht="15.65" customHeight="1" outlineLevel="1" x14ac:dyDescent="0.35">
      <c r="D79" s="120" t="s">
        <v>88</v>
      </c>
      <c r="E79" s="119"/>
      <c r="F79" s="119" t="s">
        <v>70</v>
      </c>
      <c r="G79" s="119"/>
      <c r="H79" s="118"/>
    </row>
    <row r="80" spans="1:8" ht="15.5" outlineLevel="1" x14ac:dyDescent="0.35">
      <c r="D80" s="120" t="s">
        <v>85</v>
      </c>
      <c r="E80" s="119"/>
      <c r="F80" s="119" t="s">
        <v>28</v>
      </c>
      <c r="G80" s="119"/>
      <c r="H80" s="118"/>
    </row>
    <row r="81" spans="4:8" ht="15.5" outlineLevel="1" x14ac:dyDescent="0.35">
      <c r="D81" s="120" t="s">
        <v>69</v>
      </c>
      <c r="E81" s="119"/>
      <c r="F81" s="119" t="s">
        <v>100</v>
      </c>
      <c r="G81" s="119"/>
      <c r="H81" s="118"/>
    </row>
    <row r="82" spans="4:8" ht="15.5" outlineLevel="1" x14ac:dyDescent="0.35">
      <c r="D82" s="120" t="s">
        <v>84</v>
      </c>
      <c r="E82" s="119"/>
      <c r="F82" s="119" t="s">
        <v>80</v>
      </c>
      <c r="G82" s="119"/>
      <c r="H82" s="118"/>
    </row>
    <row r="83" spans="4:8" ht="15.5" outlineLevel="1" x14ac:dyDescent="0.35">
      <c r="D83" s="120" t="s">
        <v>65</v>
      </c>
      <c r="E83" s="119"/>
      <c r="F83" s="119" t="s">
        <v>83</v>
      </c>
      <c r="G83" s="119"/>
      <c r="H83" s="118"/>
    </row>
    <row r="84" spans="4:8" ht="15.5" outlineLevel="1" x14ac:dyDescent="0.35">
      <c r="D84" s="120"/>
      <c r="E84" s="119"/>
      <c r="F84" s="119" t="s">
        <v>94</v>
      </c>
      <c r="G84" s="119"/>
      <c r="H84" s="118"/>
    </row>
    <row r="85" spans="4:8" ht="15.5" outlineLevel="1" x14ac:dyDescent="0.35">
      <c r="D85" s="120"/>
      <c r="E85" s="119"/>
      <c r="F85" s="119" t="s">
        <v>53</v>
      </c>
      <c r="G85" s="119"/>
      <c r="H85" s="118"/>
    </row>
    <row r="86" spans="4:8" ht="15.5" outlineLevel="1" x14ac:dyDescent="0.35">
      <c r="D86" s="120"/>
      <c r="E86" s="119"/>
      <c r="F86" s="119" t="s">
        <v>96</v>
      </c>
      <c r="G86" s="119"/>
      <c r="H86" s="118"/>
    </row>
    <row r="87" spans="4:8" ht="15.5" outlineLevel="1" x14ac:dyDescent="0.35">
      <c r="D87" s="120"/>
      <c r="E87" s="119"/>
      <c r="F87" s="119" t="s">
        <v>89</v>
      </c>
      <c r="G87" s="119"/>
      <c r="H87" s="118"/>
    </row>
    <row r="88" spans="4:8" ht="15.5" outlineLevel="1" x14ac:dyDescent="0.35">
      <c r="D88" s="120"/>
      <c r="E88" s="119"/>
      <c r="F88" s="119" t="s">
        <v>21</v>
      </c>
      <c r="G88" s="119"/>
      <c r="H88" s="118"/>
    </row>
    <row r="89" spans="4:8" ht="15.5" outlineLevel="1" x14ac:dyDescent="0.35">
      <c r="D89" s="120"/>
      <c r="E89" s="119"/>
      <c r="F89" s="121" t="s">
        <v>17</v>
      </c>
      <c r="G89" s="119"/>
      <c r="H89" s="118"/>
    </row>
    <row r="90" spans="4:8" ht="15.5" outlineLevel="1" x14ac:dyDescent="0.35">
      <c r="D90" s="120"/>
      <c r="E90" s="119"/>
      <c r="F90" s="119" t="s">
        <v>67</v>
      </c>
      <c r="G90" s="119"/>
      <c r="H90" s="118"/>
    </row>
    <row r="91" spans="4:8" ht="15.5" outlineLevel="1" x14ac:dyDescent="0.35">
      <c r="D91" s="120"/>
      <c r="E91" s="119"/>
      <c r="F91" s="119" t="s">
        <v>24</v>
      </c>
      <c r="G91" s="119"/>
      <c r="H91" s="118"/>
    </row>
    <row r="92" spans="4:8" ht="15.5" outlineLevel="1" x14ac:dyDescent="0.35">
      <c r="D92" s="120"/>
      <c r="E92" s="119"/>
      <c r="F92" s="119" t="s">
        <v>68</v>
      </c>
      <c r="G92" s="121"/>
      <c r="H92" s="118"/>
    </row>
    <row r="93" spans="4:8" ht="15.5" outlineLevel="1" x14ac:dyDescent="0.35">
      <c r="D93" s="120"/>
      <c r="E93" s="119"/>
      <c r="F93" s="119" t="s">
        <v>57</v>
      </c>
      <c r="G93" s="121"/>
      <c r="H93" s="118"/>
    </row>
    <row r="94" spans="4:8" ht="15.5" outlineLevel="1" x14ac:dyDescent="0.35">
      <c r="D94" s="120"/>
      <c r="E94" s="119"/>
      <c r="F94" s="119" t="s">
        <v>243</v>
      </c>
      <c r="G94" s="119"/>
      <c r="H94" s="118"/>
    </row>
    <row r="95" spans="4:8" ht="15.5" outlineLevel="1" x14ac:dyDescent="0.35">
      <c r="D95" s="120"/>
      <c r="E95" s="119"/>
      <c r="F95" s="119" t="s">
        <v>35</v>
      </c>
      <c r="G95" s="119"/>
      <c r="H95" s="118"/>
    </row>
    <row r="96" spans="4:8" ht="15.5" outlineLevel="1" x14ac:dyDescent="0.35">
      <c r="D96" s="120"/>
      <c r="E96" s="121"/>
      <c r="F96" s="119" t="s">
        <v>31</v>
      </c>
      <c r="G96" s="119"/>
      <c r="H96" s="118"/>
    </row>
    <row r="97" spans="1:8" ht="15.5" outlineLevel="1" x14ac:dyDescent="0.35">
      <c r="D97" s="120"/>
      <c r="E97" s="119"/>
      <c r="F97" s="119" t="s">
        <v>56</v>
      </c>
      <c r="G97" s="119"/>
      <c r="H97" s="118"/>
    </row>
    <row r="98" spans="1:8" ht="15.5" outlineLevel="1" x14ac:dyDescent="0.35">
      <c r="D98" s="120"/>
      <c r="E98" s="119"/>
      <c r="F98" s="119" t="s">
        <v>66</v>
      </c>
      <c r="G98" s="119"/>
      <c r="H98" s="118"/>
    </row>
    <row r="99" spans="1:8" ht="15.5" outlineLevel="1" x14ac:dyDescent="0.35">
      <c r="D99" s="120"/>
      <c r="E99" s="119"/>
      <c r="F99" s="119" t="s">
        <v>99</v>
      </c>
      <c r="G99" s="119"/>
      <c r="H99" s="118"/>
    </row>
    <row r="100" spans="1:8" ht="15.5" outlineLevel="1" x14ac:dyDescent="0.35">
      <c r="D100" s="120"/>
      <c r="E100" s="119"/>
      <c r="F100" s="119" t="s">
        <v>78</v>
      </c>
      <c r="G100" s="119"/>
      <c r="H100" s="118"/>
    </row>
    <row r="101" spans="1:8" ht="15.5" outlineLevel="1" x14ac:dyDescent="0.35">
      <c r="D101" s="120"/>
      <c r="E101" s="119"/>
      <c r="F101" s="119" t="s">
        <v>76</v>
      </c>
      <c r="G101" s="119"/>
      <c r="H101" s="118"/>
    </row>
    <row r="102" spans="1:8" ht="15.5" outlineLevel="1" x14ac:dyDescent="0.35">
      <c r="D102" s="120"/>
      <c r="E102" s="119"/>
      <c r="F102" s="119" t="s">
        <v>39</v>
      </c>
      <c r="G102" s="119"/>
      <c r="H102" s="118"/>
    </row>
    <row r="103" spans="1:8" ht="15.5" outlineLevel="1" x14ac:dyDescent="0.35">
      <c r="D103" s="120"/>
      <c r="E103" s="119"/>
      <c r="F103" s="119" t="s">
        <v>98</v>
      </c>
      <c r="G103" s="119"/>
      <c r="H103" s="118"/>
    </row>
    <row r="104" spans="1:8" ht="15.5" outlineLevel="1" x14ac:dyDescent="0.35">
      <c r="D104" s="120"/>
      <c r="E104" s="119"/>
      <c r="F104" s="119" t="s">
        <v>74</v>
      </c>
      <c r="G104" s="119"/>
      <c r="H104" s="118"/>
    </row>
    <row r="105" spans="1:8" ht="15.5" outlineLevel="1" x14ac:dyDescent="0.35">
      <c r="D105" s="120"/>
      <c r="E105" s="119"/>
      <c r="F105" s="119" t="s">
        <v>91</v>
      </c>
      <c r="G105" s="119"/>
      <c r="H105" s="118"/>
    </row>
    <row r="106" spans="1:8" ht="15.5" outlineLevel="1" x14ac:dyDescent="0.35">
      <c r="D106" s="120"/>
      <c r="E106" s="119"/>
      <c r="F106" s="119" t="s">
        <v>49</v>
      </c>
      <c r="G106" s="119"/>
      <c r="H106" s="118"/>
    </row>
    <row r="107" spans="1:8" ht="15.5" outlineLevel="1" x14ac:dyDescent="0.35">
      <c r="D107" s="120"/>
      <c r="E107" s="119"/>
      <c r="F107" s="119" t="s">
        <v>196</v>
      </c>
      <c r="G107" s="119"/>
      <c r="H107" s="118"/>
    </row>
    <row r="108" spans="1:8" ht="15.5" outlineLevel="1" x14ac:dyDescent="0.35">
      <c r="D108" s="120"/>
      <c r="E108" s="119"/>
      <c r="F108" s="119" t="s">
        <v>197</v>
      </c>
      <c r="G108" s="119"/>
      <c r="H108" s="118"/>
    </row>
    <row r="109" spans="1:8" ht="15.5" outlineLevel="1" x14ac:dyDescent="0.35">
      <c r="D109" s="120"/>
      <c r="E109" s="119"/>
      <c r="F109" s="118" t="s">
        <v>72</v>
      </c>
      <c r="G109" s="119"/>
      <c r="H109" s="118"/>
    </row>
    <row r="110" spans="1:8" ht="16" outlineLevel="1" thickBot="1" x14ac:dyDescent="0.4">
      <c r="D110" s="130"/>
      <c r="E110" s="129"/>
      <c r="F110" s="129"/>
      <c r="G110" s="129"/>
      <c r="H110" s="128"/>
    </row>
    <row r="111" spans="1:8" ht="15.65" customHeight="1" thickTop="1" thickBot="1" x14ac:dyDescent="0.4">
      <c r="A111" s="134"/>
      <c r="B111" s="126"/>
      <c r="C111" s="125"/>
      <c r="D111" s="119"/>
      <c r="E111" s="119"/>
      <c r="F111" s="119"/>
      <c r="G111" s="119"/>
      <c r="H111" s="119"/>
    </row>
    <row r="112" spans="1:8" ht="15.65" customHeight="1" outlineLevel="1" thickTop="1" x14ac:dyDescent="0.35">
      <c r="D112" s="124"/>
      <c r="E112" s="123"/>
      <c r="F112" s="123"/>
      <c r="G112" s="123"/>
      <c r="H112" s="122"/>
    </row>
    <row r="113" spans="4:8" ht="15.65" customHeight="1" outlineLevel="1" x14ac:dyDescent="0.35">
      <c r="D113" s="120"/>
      <c r="E113" s="119"/>
      <c r="F113" s="119"/>
      <c r="G113" s="119"/>
      <c r="H113" s="118"/>
    </row>
    <row r="114" spans="4:8" ht="15.5" outlineLevel="1" x14ac:dyDescent="0.35">
      <c r="D114" s="120"/>
      <c r="E114" s="119"/>
      <c r="F114" s="119"/>
      <c r="G114" s="119"/>
      <c r="H114" s="118"/>
    </row>
    <row r="115" spans="4:8" ht="15.5" outlineLevel="1" x14ac:dyDescent="0.35">
      <c r="D115" s="120"/>
      <c r="E115" s="119"/>
      <c r="F115" s="119"/>
      <c r="G115" s="119"/>
      <c r="H115" s="118"/>
    </row>
    <row r="116" spans="4:8" ht="15.5" outlineLevel="1" x14ac:dyDescent="0.35">
      <c r="D116" s="120"/>
      <c r="E116" s="119"/>
      <c r="F116" s="119"/>
      <c r="G116" s="119"/>
      <c r="H116" s="118"/>
    </row>
    <row r="117" spans="4:8" ht="15.5" outlineLevel="1" x14ac:dyDescent="0.35">
      <c r="D117" s="120"/>
      <c r="F117" s="119"/>
      <c r="G117" s="119"/>
      <c r="H117" s="118"/>
    </row>
    <row r="118" spans="4:8" ht="15.5" outlineLevel="1" x14ac:dyDescent="0.35">
      <c r="D118" s="120"/>
      <c r="E118" s="119"/>
      <c r="F118" s="119"/>
      <c r="G118" s="119"/>
      <c r="H118" s="118"/>
    </row>
    <row r="119" spans="4:8" ht="15.5" outlineLevel="1" x14ac:dyDescent="0.35">
      <c r="D119" s="120"/>
      <c r="E119" s="119"/>
      <c r="F119" s="119"/>
      <c r="G119" s="119"/>
      <c r="H119" s="118"/>
    </row>
    <row r="120" spans="4:8" ht="15.5" outlineLevel="1" x14ac:dyDescent="0.35">
      <c r="D120" s="120"/>
      <c r="E120" s="119"/>
      <c r="F120" s="119"/>
      <c r="G120" s="119"/>
      <c r="H120" s="118"/>
    </row>
    <row r="121" spans="4:8" ht="15.5" outlineLevel="1" x14ac:dyDescent="0.35">
      <c r="D121" s="120"/>
      <c r="E121" s="119"/>
      <c r="F121" s="119"/>
      <c r="G121" s="119"/>
      <c r="H121" s="118"/>
    </row>
    <row r="122" spans="4:8" ht="15.5" outlineLevel="1" x14ac:dyDescent="0.35">
      <c r="D122" s="120"/>
      <c r="E122" s="119"/>
      <c r="F122" s="119"/>
      <c r="G122" s="119"/>
      <c r="H122" s="118"/>
    </row>
    <row r="123" spans="4:8" ht="15.5" outlineLevel="1" x14ac:dyDescent="0.35">
      <c r="D123" s="120"/>
      <c r="E123" s="119"/>
      <c r="F123" s="119"/>
      <c r="G123" s="119"/>
      <c r="H123" s="118"/>
    </row>
    <row r="124" spans="4:8" ht="15.5" outlineLevel="1" x14ac:dyDescent="0.35">
      <c r="D124" s="120"/>
      <c r="E124" s="119"/>
      <c r="F124" s="119"/>
      <c r="G124" s="119"/>
      <c r="H124" s="118"/>
    </row>
    <row r="125" spans="4:8" ht="15.5" outlineLevel="1" x14ac:dyDescent="0.35">
      <c r="D125" s="120"/>
      <c r="E125" s="119"/>
      <c r="F125" s="121"/>
      <c r="G125" s="119"/>
      <c r="H125" s="118"/>
    </row>
    <row r="126" spans="4:8" ht="15.5" outlineLevel="1" x14ac:dyDescent="0.35">
      <c r="D126" s="120"/>
      <c r="E126" s="119"/>
      <c r="F126" s="119"/>
      <c r="G126" s="121"/>
      <c r="H126" s="118"/>
    </row>
    <row r="127" spans="4:8" ht="15.5" outlineLevel="1" x14ac:dyDescent="0.35">
      <c r="D127" s="120"/>
      <c r="E127" s="119"/>
      <c r="F127" s="119"/>
      <c r="G127" s="121"/>
      <c r="H127" s="118"/>
    </row>
    <row r="128" spans="4:8" ht="15.5" outlineLevel="1" x14ac:dyDescent="0.35">
      <c r="D128" s="120"/>
      <c r="E128" s="119"/>
      <c r="F128" s="119"/>
      <c r="G128" s="119"/>
      <c r="H128" s="118"/>
    </row>
    <row r="129" spans="4:8" ht="15.5" outlineLevel="1" x14ac:dyDescent="0.35">
      <c r="D129" s="120"/>
      <c r="E129" s="119"/>
      <c r="F129" s="119"/>
      <c r="G129" s="119"/>
      <c r="H129" s="118"/>
    </row>
    <row r="130" spans="4:8" ht="15.5" outlineLevel="1" x14ac:dyDescent="0.35">
      <c r="D130" s="120"/>
      <c r="E130" s="121"/>
      <c r="F130" s="119"/>
      <c r="G130" s="119"/>
      <c r="H130" s="118"/>
    </row>
    <row r="131" spans="4:8" ht="15.5" outlineLevel="1" x14ac:dyDescent="0.35">
      <c r="D131" s="120"/>
      <c r="E131" s="119"/>
      <c r="F131" s="119"/>
      <c r="G131" s="119"/>
      <c r="H131" s="118"/>
    </row>
    <row r="132" spans="4:8" ht="15.5" outlineLevel="1" x14ac:dyDescent="0.35">
      <c r="D132" s="120"/>
      <c r="E132" s="119"/>
      <c r="F132" s="119"/>
      <c r="G132" s="119"/>
      <c r="H132" s="118"/>
    </row>
    <row r="133" spans="4:8" ht="15.5" outlineLevel="1" x14ac:dyDescent="0.35">
      <c r="D133" s="120"/>
      <c r="E133" s="119"/>
      <c r="F133" s="119"/>
      <c r="G133" s="119"/>
      <c r="H133" s="118"/>
    </row>
    <row r="134" spans="4:8" ht="15.5" outlineLevel="1" x14ac:dyDescent="0.35">
      <c r="D134" s="120"/>
      <c r="E134" s="119"/>
      <c r="F134" s="119"/>
      <c r="G134" s="119"/>
      <c r="H134" s="118"/>
    </row>
    <row r="135" spans="4:8" ht="15.5" outlineLevel="1" x14ac:dyDescent="0.35">
      <c r="D135" s="120"/>
      <c r="E135" s="119"/>
      <c r="F135" s="119"/>
      <c r="G135" s="119"/>
      <c r="H135" s="118"/>
    </row>
    <row r="136" spans="4:8" ht="15.5" outlineLevel="1" x14ac:dyDescent="0.35">
      <c r="D136" s="120"/>
      <c r="E136" s="119"/>
      <c r="F136" s="119"/>
      <c r="G136" s="119"/>
      <c r="H136" s="118"/>
    </row>
    <row r="137" spans="4:8" ht="15.5" outlineLevel="1" x14ac:dyDescent="0.35">
      <c r="D137" s="120"/>
      <c r="E137" s="119"/>
      <c r="F137" s="119"/>
      <c r="G137" s="119"/>
      <c r="H137" s="118"/>
    </row>
    <row r="138" spans="4:8" ht="15.5" outlineLevel="1" x14ac:dyDescent="0.35">
      <c r="D138" s="120"/>
      <c r="E138" s="119"/>
      <c r="F138" s="119"/>
      <c r="G138" s="119"/>
      <c r="H138" s="118"/>
    </row>
    <row r="139" spans="4:8" ht="15.5" outlineLevel="1" x14ac:dyDescent="0.35">
      <c r="D139" s="120"/>
      <c r="E139" s="119"/>
      <c r="F139" s="119"/>
      <c r="G139" s="119"/>
      <c r="H139" s="118"/>
    </row>
    <row r="140" spans="4:8" ht="15.5" outlineLevel="1" x14ac:dyDescent="0.35">
      <c r="D140" s="120"/>
      <c r="E140" s="119"/>
      <c r="F140" s="119"/>
      <c r="G140" s="119"/>
      <c r="H140" s="118"/>
    </row>
    <row r="141" spans="4:8" ht="15.5" outlineLevel="1" x14ac:dyDescent="0.35">
      <c r="D141" s="120"/>
      <c r="E141" s="119"/>
      <c r="F141" s="119"/>
      <c r="G141" s="119"/>
      <c r="H141" s="118"/>
    </row>
    <row r="142" spans="4:8" ht="15.5" outlineLevel="1" x14ac:dyDescent="0.35">
      <c r="D142" s="120"/>
      <c r="E142" s="119"/>
      <c r="F142" s="119"/>
      <c r="G142" s="119"/>
      <c r="H142" s="118"/>
    </row>
    <row r="143" spans="4:8" ht="15.5" outlineLevel="1" x14ac:dyDescent="0.35">
      <c r="D143" s="120"/>
      <c r="E143" s="119"/>
      <c r="F143" s="119"/>
      <c r="G143" s="119"/>
      <c r="H143" s="118"/>
    </row>
    <row r="144" spans="4:8" ht="16" outlineLevel="1" thickBot="1" x14ac:dyDescent="0.4">
      <c r="D144" s="130"/>
      <c r="E144" s="129"/>
      <c r="F144" s="129"/>
      <c r="G144" s="129"/>
      <c r="H144" s="128"/>
    </row>
    <row r="145" spans="1:8" ht="15.65" customHeight="1" thickTop="1" thickBot="1" x14ac:dyDescent="0.4">
      <c r="A145" s="134"/>
      <c r="B145" s="126"/>
      <c r="C145" s="125"/>
      <c r="D145" s="119">
        <f>COUNTA(D146:D178)</f>
        <v>0</v>
      </c>
      <c r="E145" s="119">
        <f>COUNTA(E146:E178)</f>
        <v>0</v>
      </c>
      <c r="F145" s="119">
        <f>COUNTA(F146:F178)</f>
        <v>0</v>
      </c>
      <c r="G145" s="119">
        <f>COUNTA(G146:G178)</f>
        <v>0</v>
      </c>
      <c r="H145" s="119">
        <f>COUNTA(H146:H178)</f>
        <v>0</v>
      </c>
    </row>
    <row r="146" spans="1:8" ht="15.65" customHeight="1" outlineLevel="1" thickTop="1" x14ac:dyDescent="0.35">
      <c r="D146" s="124"/>
      <c r="E146" s="123"/>
      <c r="F146" s="123"/>
      <c r="G146" s="123"/>
      <c r="H146" s="122"/>
    </row>
    <row r="147" spans="1:8" ht="15.65" customHeight="1" outlineLevel="1" x14ac:dyDescent="0.35">
      <c r="D147" s="120"/>
      <c r="E147" s="119"/>
      <c r="F147" s="119"/>
      <c r="G147" s="119"/>
      <c r="H147" s="118"/>
    </row>
    <row r="148" spans="1:8" ht="15.5" outlineLevel="1" x14ac:dyDescent="0.35">
      <c r="D148" s="120"/>
      <c r="E148" s="119"/>
      <c r="F148" s="119"/>
      <c r="G148" s="119"/>
      <c r="H148" s="118"/>
    </row>
    <row r="149" spans="1:8" ht="15.5" outlineLevel="1" x14ac:dyDescent="0.35">
      <c r="D149" s="120"/>
      <c r="E149" s="119"/>
      <c r="F149" s="119"/>
      <c r="G149" s="119"/>
      <c r="H149" s="118"/>
    </row>
    <row r="150" spans="1:8" ht="15.5" outlineLevel="1" x14ac:dyDescent="0.35">
      <c r="D150" s="120"/>
      <c r="E150" s="119"/>
      <c r="F150" s="119"/>
      <c r="G150" s="119"/>
      <c r="H150" s="118"/>
    </row>
    <row r="151" spans="1:8" ht="15.5" outlineLevel="1" x14ac:dyDescent="0.35">
      <c r="D151" s="120"/>
      <c r="F151" s="119"/>
      <c r="G151" s="119"/>
      <c r="H151" s="118"/>
    </row>
    <row r="152" spans="1:8" ht="15.5" outlineLevel="1" x14ac:dyDescent="0.35">
      <c r="D152" s="120"/>
      <c r="E152" s="119"/>
      <c r="F152" s="119"/>
      <c r="G152" s="119"/>
      <c r="H152" s="118"/>
    </row>
    <row r="153" spans="1:8" ht="15.5" outlineLevel="1" x14ac:dyDescent="0.35">
      <c r="D153" s="120"/>
      <c r="E153" s="119"/>
      <c r="F153" s="119"/>
      <c r="G153" s="119"/>
      <c r="H153" s="118"/>
    </row>
    <row r="154" spans="1:8" ht="15.5" outlineLevel="1" x14ac:dyDescent="0.35">
      <c r="D154" s="120"/>
      <c r="E154" s="119"/>
      <c r="F154" s="119"/>
      <c r="G154" s="119"/>
      <c r="H154" s="118"/>
    </row>
    <row r="155" spans="1:8" ht="15.5" outlineLevel="1" x14ac:dyDescent="0.35">
      <c r="D155" s="120"/>
      <c r="E155" s="119"/>
      <c r="F155" s="119"/>
      <c r="G155" s="119"/>
      <c r="H155" s="118"/>
    </row>
    <row r="156" spans="1:8" ht="15.5" outlineLevel="1" x14ac:dyDescent="0.35">
      <c r="D156" s="120"/>
      <c r="E156" s="119"/>
      <c r="F156" s="119"/>
      <c r="G156" s="119"/>
      <c r="H156" s="118"/>
    </row>
    <row r="157" spans="1:8" ht="15.5" outlineLevel="1" x14ac:dyDescent="0.35">
      <c r="D157" s="120"/>
      <c r="E157" s="119"/>
      <c r="F157" s="119"/>
      <c r="G157" s="119"/>
      <c r="H157" s="118"/>
    </row>
    <row r="158" spans="1:8" ht="15.5" outlineLevel="1" x14ac:dyDescent="0.35">
      <c r="D158" s="120"/>
      <c r="E158" s="119"/>
      <c r="F158" s="119"/>
      <c r="G158" s="119"/>
      <c r="H158" s="118"/>
    </row>
    <row r="159" spans="1:8" ht="15.5" outlineLevel="1" x14ac:dyDescent="0.35">
      <c r="D159" s="120"/>
      <c r="E159" s="119"/>
      <c r="F159" s="121"/>
      <c r="G159" s="119"/>
      <c r="H159" s="118"/>
    </row>
    <row r="160" spans="1:8" ht="15.5" outlineLevel="1" x14ac:dyDescent="0.35">
      <c r="D160" s="120"/>
      <c r="E160" s="119"/>
      <c r="F160" s="119"/>
      <c r="G160" s="121"/>
      <c r="H160" s="118"/>
    </row>
    <row r="161" spans="4:8" ht="15.5" outlineLevel="1" x14ac:dyDescent="0.35">
      <c r="D161" s="120"/>
      <c r="E161" s="119"/>
      <c r="F161" s="119"/>
      <c r="G161" s="121"/>
      <c r="H161" s="118"/>
    </row>
    <row r="162" spans="4:8" ht="15.5" outlineLevel="1" x14ac:dyDescent="0.35">
      <c r="D162" s="120"/>
      <c r="E162" s="119"/>
      <c r="F162" s="119"/>
      <c r="G162" s="119"/>
      <c r="H162" s="118"/>
    </row>
    <row r="163" spans="4:8" ht="15.5" outlineLevel="1" x14ac:dyDescent="0.35">
      <c r="D163" s="120"/>
      <c r="E163" s="119"/>
      <c r="F163" s="119"/>
      <c r="G163" s="119"/>
      <c r="H163" s="118"/>
    </row>
    <row r="164" spans="4:8" ht="15.5" outlineLevel="1" x14ac:dyDescent="0.35">
      <c r="D164" s="120"/>
      <c r="E164" s="121"/>
      <c r="F164" s="119"/>
      <c r="G164" s="119"/>
      <c r="H164" s="118"/>
    </row>
    <row r="165" spans="4:8" ht="15.5" outlineLevel="1" x14ac:dyDescent="0.35">
      <c r="D165" s="120"/>
      <c r="E165" s="119"/>
      <c r="F165" s="119"/>
      <c r="G165" s="119"/>
      <c r="H165" s="118"/>
    </row>
    <row r="166" spans="4:8" ht="15.5" outlineLevel="1" x14ac:dyDescent="0.35">
      <c r="D166" s="120"/>
      <c r="E166" s="119"/>
      <c r="F166" s="119"/>
      <c r="G166" s="119"/>
      <c r="H166" s="118"/>
    </row>
    <row r="167" spans="4:8" ht="15.5" outlineLevel="1" x14ac:dyDescent="0.35">
      <c r="D167" s="120"/>
      <c r="E167" s="119"/>
      <c r="F167" s="119"/>
      <c r="G167" s="119"/>
      <c r="H167" s="118"/>
    </row>
    <row r="168" spans="4:8" ht="15.5" outlineLevel="1" x14ac:dyDescent="0.35">
      <c r="D168" s="120"/>
      <c r="E168" s="119"/>
      <c r="F168" s="119"/>
      <c r="G168" s="119"/>
      <c r="H168" s="118"/>
    </row>
    <row r="169" spans="4:8" ht="15.5" outlineLevel="1" x14ac:dyDescent="0.35">
      <c r="D169" s="120"/>
      <c r="E169" s="119"/>
      <c r="F169" s="119"/>
      <c r="G169" s="119"/>
      <c r="H169" s="118"/>
    </row>
    <row r="170" spans="4:8" ht="15.5" outlineLevel="1" x14ac:dyDescent="0.35">
      <c r="D170" s="120"/>
      <c r="E170" s="119"/>
      <c r="F170" s="119"/>
      <c r="G170" s="119"/>
      <c r="H170" s="118"/>
    </row>
    <row r="171" spans="4:8" ht="15.5" outlineLevel="1" x14ac:dyDescent="0.35">
      <c r="D171" s="120"/>
      <c r="E171" s="119"/>
      <c r="F171" s="119"/>
      <c r="G171" s="119"/>
      <c r="H171" s="118"/>
    </row>
    <row r="172" spans="4:8" ht="15.5" outlineLevel="1" x14ac:dyDescent="0.35">
      <c r="D172" s="120"/>
      <c r="E172" s="119"/>
      <c r="F172" s="119"/>
      <c r="G172" s="119"/>
      <c r="H172" s="118"/>
    </row>
    <row r="173" spans="4:8" ht="15.5" outlineLevel="1" x14ac:dyDescent="0.35">
      <c r="D173" s="120"/>
      <c r="E173" s="119"/>
      <c r="F173" s="119"/>
      <c r="G173" s="119"/>
      <c r="H173" s="118"/>
    </row>
    <row r="174" spans="4:8" ht="15.5" outlineLevel="1" x14ac:dyDescent="0.35">
      <c r="D174" s="120"/>
      <c r="E174" s="119"/>
      <c r="F174" s="119"/>
      <c r="G174" s="119"/>
      <c r="H174" s="118"/>
    </row>
    <row r="175" spans="4:8" ht="15.5" outlineLevel="1" x14ac:dyDescent="0.35">
      <c r="D175" s="120"/>
      <c r="E175" s="119"/>
      <c r="F175" s="119"/>
      <c r="G175" s="119"/>
      <c r="H175" s="118"/>
    </row>
    <row r="176" spans="4:8" ht="15.5" outlineLevel="1" x14ac:dyDescent="0.35">
      <c r="D176" s="120"/>
      <c r="E176" s="119"/>
      <c r="F176" s="119"/>
      <c r="G176" s="119"/>
      <c r="H176" s="118"/>
    </row>
    <row r="177" spans="1:8" ht="15.5" outlineLevel="1" x14ac:dyDescent="0.35">
      <c r="D177" s="120"/>
      <c r="E177" s="119"/>
      <c r="F177" s="119"/>
      <c r="G177" s="119"/>
      <c r="H177" s="118"/>
    </row>
    <row r="178" spans="1:8" ht="16" outlineLevel="1" thickBot="1" x14ac:dyDescent="0.4">
      <c r="D178" s="130"/>
      <c r="E178" s="129"/>
      <c r="F178" s="129"/>
      <c r="G178" s="129"/>
      <c r="H178" s="128"/>
    </row>
    <row r="179" spans="1:8" ht="15.65" customHeight="1" thickTop="1" thickBot="1" x14ac:dyDescent="0.4">
      <c r="A179" s="134"/>
      <c r="B179" s="126"/>
      <c r="C179" s="125"/>
      <c r="D179" s="119">
        <f>COUNTA(D180:D212)</f>
        <v>0</v>
      </c>
      <c r="E179" s="119">
        <f>COUNTA(E180:E212)</f>
        <v>0</v>
      </c>
      <c r="F179" s="119">
        <f>COUNTA(F180:F212)</f>
        <v>0</v>
      </c>
      <c r="G179" s="119">
        <f>COUNTA(G180:G212)</f>
        <v>0</v>
      </c>
      <c r="H179" s="119">
        <f>COUNTA(H180:H212)</f>
        <v>0</v>
      </c>
    </row>
    <row r="180" spans="1:8" ht="15.65" customHeight="1" outlineLevel="1" thickTop="1" x14ac:dyDescent="0.35">
      <c r="D180" s="124"/>
      <c r="E180" s="123"/>
      <c r="F180" s="123"/>
      <c r="G180" s="123"/>
      <c r="H180" s="122"/>
    </row>
    <row r="181" spans="1:8" ht="15.65" customHeight="1" outlineLevel="1" x14ac:dyDescent="0.35">
      <c r="D181" s="120"/>
      <c r="E181" s="119"/>
      <c r="F181" s="119"/>
      <c r="G181" s="119"/>
      <c r="H181" s="118"/>
    </row>
    <row r="182" spans="1:8" ht="15.5" outlineLevel="1" x14ac:dyDescent="0.35">
      <c r="D182" s="120"/>
      <c r="E182" s="119"/>
      <c r="F182" s="119"/>
      <c r="G182" s="119"/>
      <c r="H182" s="118"/>
    </row>
    <row r="183" spans="1:8" ht="15.5" outlineLevel="1" x14ac:dyDescent="0.35">
      <c r="D183" s="120"/>
      <c r="E183" s="119"/>
      <c r="F183" s="119"/>
      <c r="G183" s="119"/>
      <c r="H183" s="118"/>
    </row>
    <row r="184" spans="1:8" ht="15.5" outlineLevel="1" x14ac:dyDescent="0.35">
      <c r="D184" s="120"/>
      <c r="E184" s="119"/>
      <c r="F184" s="119"/>
      <c r="G184" s="119"/>
      <c r="H184" s="118"/>
    </row>
    <row r="185" spans="1:8" ht="15.5" outlineLevel="1" x14ac:dyDescent="0.35">
      <c r="D185" s="120"/>
      <c r="E185" s="119"/>
      <c r="F185" s="119"/>
      <c r="G185" s="119"/>
      <c r="H185" s="118"/>
    </row>
    <row r="186" spans="1:8" ht="15.5" outlineLevel="1" x14ac:dyDescent="0.35">
      <c r="D186" s="120"/>
      <c r="E186" s="119"/>
      <c r="F186" s="119"/>
      <c r="G186" s="119"/>
      <c r="H186" s="118"/>
    </row>
    <row r="187" spans="1:8" ht="15.5" outlineLevel="1" x14ac:dyDescent="0.35">
      <c r="D187" s="120"/>
      <c r="E187" s="119"/>
      <c r="F187" s="119"/>
      <c r="G187" s="119"/>
      <c r="H187" s="118"/>
    </row>
    <row r="188" spans="1:8" ht="15.5" outlineLevel="1" x14ac:dyDescent="0.35">
      <c r="D188" s="120"/>
      <c r="E188" s="119"/>
      <c r="F188" s="119"/>
      <c r="G188" s="119"/>
      <c r="H188" s="118"/>
    </row>
    <row r="189" spans="1:8" ht="15.5" outlineLevel="1" x14ac:dyDescent="0.35">
      <c r="D189" s="120"/>
      <c r="E189" s="119"/>
      <c r="F189" s="119"/>
      <c r="G189" s="119"/>
      <c r="H189" s="118"/>
    </row>
    <row r="190" spans="1:8" ht="15.5" outlineLevel="1" x14ac:dyDescent="0.35">
      <c r="D190" s="120"/>
      <c r="E190" s="119"/>
      <c r="F190" s="119"/>
      <c r="G190" s="119"/>
      <c r="H190" s="118"/>
    </row>
    <row r="191" spans="1:8" ht="15.5" outlineLevel="1" x14ac:dyDescent="0.35">
      <c r="D191" s="120"/>
      <c r="E191" s="119"/>
      <c r="F191" s="119"/>
      <c r="G191" s="119"/>
      <c r="H191" s="118"/>
    </row>
    <row r="192" spans="1:8" ht="15.5" outlineLevel="1" x14ac:dyDescent="0.35">
      <c r="D192" s="120"/>
      <c r="E192" s="119"/>
      <c r="F192" s="121"/>
      <c r="G192" s="119"/>
      <c r="H192" s="118"/>
    </row>
    <row r="193" spans="4:8" ht="15.5" outlineLevel="1" x14ac:dyDescent="0.35">
      <c r="D193" s="120"/>
      <c r="E193" s="119"/>
      <c r="F193" s="119"/>
      <c r="G193" s="119"/>
      <c r="H193" s="118"/>
    </row>
    <row r="194" spans="4:8" ht="15.5" outlineLevel="1" x14ac:dyDescent="0.35">
      <c r="D194" s="120"/>
      <c r="E194" s="119"/>
      <c r="F194" s="119"/>
      <c r="G194" s="121"/>
      <c r="H194" s="118"/>
    </row>
    <row r="195" spans="4:8" ht="15.5" outlineLevel="1" x14ac:dyDescent="0.35">
      <c r="D195" s="120"/>
      <c r="E195" s="119"/>
      <c r="F195" s="119"/>
      <c r="G195" s="121"/>
      <c r="H195" s="118"/>
    </row>
    <row r="196" spans="4:8" ht="15.5" outlineLevel="1" x14ac:dyDescent="0.35">
      <c r="D196" s="120"/>
      <c r="E196" s="119"/>
      <c r="F196" s="119"/>
      <c r="G196" s="119"/>
      <c r="H196" s="118"/>
    </row>
    <row r="197" spans="4:8" ht="15.5" outlineLevel="1" x14ac:dyDescent="0.35">
      <c r="D197" s="120"/>
      <c r="E197" s="119"/>
      <c r="F197" s="119"/>
      <c r="G197" s="119"/>
      <c r="H197" s="118"/>
    </row>
    <row r="198" spans="4:8" ht="15.5" outlineLevel="1" x14ac:dyDescent="0.35">
      <c r="D198" s="120"/>
      <c r="E198" s="121"/>
      <c r="F198" s="119"/>
      <c r="G198" s="119"/>
      <c r="H198" s="118"/>
    </row>
    <row r="199" spans="4:8" ht="15.5" outlineLevel="1" x14ac:dyDescent="0.35">
      <c r="D199" s="120"/>
      <c r="E199" s="119"/>
      <c r="F199" s="119"/>
      <c r="G199" s="119"/>
      <c r="H199" s="118"/>
    </row>
    <row r="200" spans="4:8" ht="15.5" outlineLevel="1" x14ac:dyDescent="0.35">
      <c r="D200" s="120"/>
      <c r="E200" s="119"/>
      <c r="F200" s="119"/>
      <c r="G200" s="119"/>
      <c r="H200" s="118"/>
    </row>
    <row r="201" spans="4:8" ht="15.5" outlineLevel="1" x14ac:dyDescent="0.35">
      <c r="D201" s="120"/>
      <c r="E201" s="119"/>
      <c r="F201" s="119"/>
      <c r="G201" s="119"/>
      <c r="H201" s="118"/>
    </row>
    <row r="202" spans="4:8" ht="15.5" outlineLevel="1" x14ac:dyDescent="0.35">
      <c r="D202" s="120"/>
      <c r="E202" s="119"/>
      <c r="F202" s="119"/>
      <c r="G202" s="119"/>
      <c r="H202" s="118"/>
    </row>
    <row r="203" spans="4:8" ht="15.5" outlineLevel="1" x14ac:dyDescent="0.35">
      <c r="D203" s="120"/>
      <c r="E203" s="119"/>
      <c r="F203" s="119"/>
      <c r="G203" s="119"/>
      <c r="H203" s="118"/>
    </row>
    <row r="204" spans="4:8" ht="15.5" outlineLevel="1" x14ac:dyDescent="0.35">
      <c r="D204" s="120"/>
      <c r="E204" s="119"/>
      <c r="F204" s="119"/>
      <c r="G204" s="119"/>
      <c r="H204" s="118"/>
    </row>
    <row r="205" spans="4:8" ht="15.5" outlineLevel="1" x14ac:dyDescent="0.35">
      <c r="D205" s="120"/>
      <c r="E205" s="119"/>
      <c r="F205" s="119"/>
      <c r="G205" s="119"/>
      <c r="H205" s="118"/>
    </row>
    <row r="206" spans="4:8" ht="15.5" outlineLevel="1" x14ac:dyDescent="0.35">
      <c r="D206" s="120"/>
      <c r="E206" s="119"/>
      <c r="F206" s="119"/>
      <c r="G206" s="119"/>
      <c r="H206" s="118"/>
    </row>
    <row r="207" spans="4:8" ht="15.5" outlineLevel="1" x14ac:dyDescent="0.35">
      <c r="D207" s="120"/>
      <c r="E207" s="119"/>
      <c r="F207" s="119"/>
      <c r="G207" s="119"/>
      <c r="H207" s="118"/>
    </row>
    <row r="208" spans="4:8" ht="15.5" outlineLevel="1" x14ac:dyDescent="0.35">
      <c r="D208" s="120"/>
      <c r="E208" s="119"/>
      <c r="F208" s="119"/>
      <c r="G208" s="119"/>
      <c r="H208" s="118"/>
    </row>
    <row r="209" spans="1:8" ht="15.5" outlineLevel="1" x14ac:dyDescent="0.35">
      <c r="D209" s="120"/>
      <c r="E209" s="119"/>
      <c r="F209" s="119"/>
      <c r="G209" s="119"/>
      <c r="H209" s="118"/>
    </row>
    <row r="210" spans="1:8" ht="15.5" outlineLevel="1" x14ac:dyDescent="0.35">
      <c r="D210" s="120"/>
      <c r="E210" s="119"/>
      <c r="F210" s="119"/>
      <c r="G210" s="119"/>
      <c r="H210" s="118"/>
    </row>
    <row r="211" spans="1:8" ht="15.5" outlineLevel="1" x14ac:dyDescent="0.35">
      <c r="D211" s="120"/>
      <c r="E211" s="119"/>
      <c r="F211" s="119"/>
      <c r="G211" s="119"/>
      <c r="H211" s="118"/>
    </row>
    <row r="212" spans="1:8" ht="16" outlineLevel="1" thickBot="1" x14ac:dyDescent="0.4">
      <c r="D212" s="130"/>
      <c r="E212" s="129"/>
      <c r="F212" s="129"/>
      <c r="G212" s="129"/>
      <c r="H212" s="128"/>
    </row>
    <row r="213" spans="1:8" ht="15.65" customHeight="1" thickTop="1" thickBot="1" x14ac:dyDescent="0.4">
      <c r="A213" s="134"/>
      <c r="B213" s="126"/>
      <c r="C213" s="125"/>
      <c r="D213" s="119">
        <f>COUNTA(D214:D246)</f>
        <v>0</v>
      </c>
      <c r="E213" s="119">
        <f>COUNTA(E214:E246)</f>
        <v>0</v>
      </c>
      <c r="F213" s="119">
        <f>COUNTA(F214:F246)</f>
        <v>0</v>
      </c>
      <c r="G213" s="119">
        <f>COUNTA(G214:G246)</f>
        <v>0</v>
      </c>
      <c r="H213" s="119">
        <f>COUNTA(H214:H246)</f>
        <v>0</v>
      </c>
    </row>
    <row r="214" spans="1:8" ht="15.65" customHeight="1" outlineLevel="1" thickTop="1" x14ac:dyDescent="0.35">
      <c r="D214" s="124"/>
      <c r="E214" s="123"/>
      <c r="F214" s="123"/>
      <c r="G214" s="123"/>
      <c r="H214" s="122"/>
    </row>
    <row r="215" spans="1:8" ht="15.65" customHeight="1" outlineLevel="1" x14ac:dyDescent="0.35">
      <c r="D215" s="120"/>
      <c r="E215" s="119"/>
      <c r="F215" s="119"/>
      <c r="G215" s="119"/>
      <c r="H215" s="118"/>
    </row>
    <row r="216" spans="1:8" ht="15.5" outlineLevel="1" x14ac:dyDescent="0.35">
      <c r="D216" s="120"/>
      <c r="E216" s="119"/>
      <c r="F216" s="119"/>
      <c r="G216" s="119"/>
      <c r="H216" s="118"/>
    </row>
    <row r="217" spans="1:8" ht="15.5" outlineLevel="1" x14ac:dyDescent="0.35">
      <c r="D217" s="120"/>
      <c r="E217" s="119"/>
      <c r="F217" s="119"/>
      <c r="G217" s="119"/>
      <c r="H217" s="118"/>
    </row>
    <row r="218" spans="1:8" ht="15.5" outlineLevel="1" x14ac:dyDescent="0.35">
      <c r="D218" s="120"/>
      <c r="E218" s="119"/>
      <c r="F218" s="119"/>
      <c r="G218" s="119"/>
      <c r="H218" s="118"/>
    </row>
    <row r="219" spans="1:8" ht="15.5" outlineLevel="1" x14ac:dyDescent="0.35">
      <c r="D219" s="120"/>
      <c r="F219" s="119"/>
      <c r="G219" s="119"/>
      <c r="H219" s="118"/>
    </row>
    <row r="220" spans="1:8" ht="15.5" outlineLevel="1" x14ac:dyDescent="0.35">
      <c r="D220" s="120"/>
      <c r="E220" s="119"/>
      <c r="F220" s="119"/>
      <c r="G220" s="119"/>
      <c r="H220" s="118"/>
    </row>
    <row r="221" spans="1:8" ht="15.5" outlineLevel="1" x14ac:dyDescent="0.35">
      <c r="D221" s="120"/>
      <c r="E221" s="119"/>
      <c r="F221" s="119"/>
      <c r="G221" s="119"/>
      <c r="H221" s="118"/>
    </row>
    <row r="222" spans="1:8" ht="15.5" outlineLevel="1" x14ac:dyDescent="0.35">
      <c r="D222" s="120"/>
      <c r="E222" s="119"/>
      <c r="F222" s="119"/>
      <c r="G222" s="119"/>
      <c r="H222" s="118"/>
    </row>
    <row r="223" spans="1:8" ht="15.5" outlineLevel="1" x14ac:dyDescent="0.35">
      <c r="D223" s="120"/>
      <c r="E223" s="119"/>
      <c r="F223" s="119"/>
      <c r="G223" s="119"/>
      <c r="H223" s="118"/>
    </row>
    <row r="224" spans="1:8" ht="15.5" outlineLevel="1" x14ac:dyDescent="0.35">
      <c r="D224" s="120"/>
      <c r="E224" s="119"/>
      <c r="F224" s="119"/>
      <c r="G224" s="119"/>
      <c r="H224" s="118"/>
    </row>
    <row r="225" spans="4:8" ht="15.5" outlineLevel="1" x14ac:dyDescent="0.35">
      <c r="D225" s="120"/>
      <c r="E225" s="119"/>
      <c r="F225" s="121"/>
      <c r="G225" s="119"/>
      <c r="H225" s="118"/>
    </row>
    <row r="226" spans="4:8" ht="15.5" outlineLevel="1" x14ac:dyDescent="0.35">
      <c r="D226" s="120"/>
      <c r="E226" s="119"/>
      <c r="F226" s="119"/>
      <c r="G226" s="119"/>
      <c r="H226" s="118"/>
    </row>
    <row r="227" spans="4:8" ht="15.5" outlineLevel="1" x14ac:dyDescent="0.35">
      <c r="D227" s="120"/>
      <c r="E227" s="119"/>
      <c r="F227" s="119"/>
      <c r="G227" s="119"/>
      <c r="H227" s="118"/>
    </row>
    <row r="228" spans="4:8" ht="15.5" outlineLevel="1" x14ac:dyDescent="0.35">
      <c r="D228" s="120"/>
      <c r="E228" s="119"/>
      <c r="F228" s="119"/>
      <c r="G228" s="121"/>
      <c r="H228" s="118"/>
    </row>
    <row r="229" spans="4:8" ht="15.5" outlineLevel="1" x14ac:dyDescent="0.35">
      <c r="D229" s="120"/>
      <c r="E229" s="119"/>
      <c r="F229" s="119"/>
      <c r="G229" s="121"/>
      <c r="H229" s="118"/>
    </row>
    <row r="230" spans="4:8" ht="15.5" outlineLevel="1" x14ac:dyDescent="0.35">
      <c r="D230" s="120"/>
      <c r="E230" s="119"/>
      <c r="F230" s="119"/>
      <c r="G230" s="119"/>
      <c r="H230" s="118"/>
    </row>
    <row r="231" spans="4:8" ht="15.5" outlineLevel="1" x14ac:dyDescent="0.35">
      <c r="D231" s="120"/>
      <c r="E231" s="119"/>
      <c r="F231" s="119"/>
      <c r="G231" s="119"/>
      <c r="H231" s="118"/>
    </row>
    <row r="232" spans="4:8" ht="15.5" outlineLevel="1" x14ac:dyDescent="0.35">
      <c r="D232" s="120"/>
      <c r="E232" s="121"/>
      <c r="F232" s="119"/>
      <c r="G232" s="119"/>
      <c r="H232" s="118"/>
    </row>
    <row r="233" spans="4:8" ht="15.5" outlineLevel="1" x14ac:dyDescent="0.35">
      <c r="D233" s="120"/>
      <c r="E233" s="119"/>
      <c r="F233" s="119"/>
      <c r="G233" s="119"/>
      <c r="H233" s="118"/>
    </row>
    <row r="234" spans="4:8" ht="15.5" outlineLevel="1" x14ac:dyDescent="0.35">
      <c r="D234" s="120"/>
      <c r="E234" s="119"/>
      <c r="F234" s="119"/>
      <c r="G234" s="119"/>
      <c r="H234" s="118"/>
    </row>
    <row r="235" spans="4:8" ht="15.5" outlineLevel="1" x14ac:dyDescent="0.35">
      <c r="D235" s="120"/>
      <c r="E235" s="119"/>
      <c r="F235" s="119"/>
      <c r="G235" s="119"/>
      <c r="H235" s="118"/>
    </row>
    <row r="236" spans="4:8" ht="15.5" outlineLevel="1" x14ac:dyDescent="0.35">
      <c r="D236" s="120"/>
      <c r="E236" s="119"/>
      <c r="F236" s="119"/>
      <c r="G236" s="119"/>
      <c r="H236" s="118"/>
    </row>
    <row r="237" spans="4:8" ht="15.5" outlineLevel="1" x14ac:dyDescent="0.35">
      <c r="D237" s="120"/>
      <c r="E237" s="119"/>
      <c r="F237" s="119"/>
      <c r="G237" s="119"/>
      <c r="H237" s="118"/>
    </row>
    <row r="238" spans="4:8" ht="15.5" outlineLevel="1" x14ac:dyDescent="0.35">
      <c r="D238" s="120"/>
      <c r="E238" s="119"/>
      <c r="F238" s="119"/>
      <c r="G238" s="119"/>
      <c r="H238" s="118"/>
    </row>
    <row r="239" spans="4:8" ht="15.5" outlineLevel="1" x14ac:dyDescent="0.35">
      <c r="D239" s="120"/>
      <c r="E239" s="119"/>
      <c r="F239" s="119"/>
      <c r="G239" s="119"/>
      <c r="H239" s="118"/>
    </row>
    <row r="240" spans="4:8" ht="15.5" outlineLevel="1" x14ac:dyDescent="0.35">
      <c r="D240" s="120"/>
      <c r="E240" s="119"/>
      <c r="F240" s="119"/>
      <c r="G240" s="119"/>
      <c r="H240" s="118"/>
    </row>
    <row r="241" spans="1:8" ht="15.5" outlineLevel="1" x14ac:dyDescent="0.35">
      <c r="D241" s="120"/>
      <c r="E241" s="119"/>
      <c r="F241" s="119"/>
      <c r="G241" s="119"/>
      <c r="H241" s="118"/>
    </row>
    <row r="242" spans="1:8" ht="15.5" outlineLevel="1" x14ac:dyDescent="0.35">
      <c r="D242" s="120"/>
      <c r="E242" s="119"/>
      <c r="G242" s="119"/>
      <c r="H242" s="118"/>
    </row>
    <row r="243" spans="1:8" ht="15.5" outlineLevel="1" x14ac:dyDescent="0.35">
      <c r="D243" s="120"/>
      <c r="E243" s="119"/>
      <c r="F243" s="119"/>
      <c r="G243" s="119"/>
      <c r="H243" s="118"/>
    </row>
    <row r="244" spans="1:8" ht="15.5" outlineLevel="1" x14ac:dyDescent="0.35">
      <c r="D244" s="120"/>
      <c r="E244" s="119"/>
      <c r="F244" s="119"/>
      <c r="G244" s="119"/>
      <c r="H244" s="118"/>
    </row>
    <row r="245" spans="1:8" ht="15.5" outlineLevel="1" x14ac:dyDescent="0.35">
      <c r="D245" s="120"/>
      <c r="E245" s="119"/>
      <c r="F245" s="119"/>
      <c r="G245" s="119"/>
      <c r="H245" s="118"/>
    </row>
    <row r="246" spans="1:8" ht="16" outlineLevel="1" thickBot="1" x14ac:dyDescent="0.4">
      <c r="D246" s="130"/>
      <c r="E246" s="129"/>
      <c r="F246" s="129"/>
      <c r="G246" s="129"/>
      <c r="H246" s="128"/>
    </row>
    <row r="247" spans="1:8" ht="15.65" customHeight="1" thickTop="1" thickBot="1" x14ac:dyDescent="0.4">
      <c r="A247" s="134"/>
      <c r="B247" s="126"/>
      <c r="C247" s="125"/>
      <c r="D247" s="119">
        <f>COUNTA(D248:D280)</f>
        <v>0</v>
      </c>
      <c r="E247" s="119">
        <f>COUNTA(E248:E280)</f>
        <v>0</v>
      </c>
      <c r="F247" s="119">
        <f>COUNTA(F248:F280)</f>
        <v>0</v>
      </c>
      <c r="G247" s="119">
        <f>COUNTA(G248:G280)</f>
        <v>0</v>
      </c>
      <c r="H247" s="119">
        <f>COUNTA(H248:H280)</f>
        <v>0</v>
      </c>
    </row>
    <row r="248" spans="1:8" ht="15.65" customHeight="1" outlineLevel="1" thickTop="1" x14ac:dyDescent="0.35">
      <c r="D248" s="124"/>
      <c r="E248" s="123"/>
      <c r="F248" s="123"/>
      <c r="G248" s="123"/>
      <c r="H248" s="122"/>
    </row>
    <row r="249" spans="1:8" ht="15.65" customHeight="1" outlineLevel="1" x14ac:dyDescent="0.35">
      <c r="D249" s="120"/>
      <c r="E249" s="119"/>
      <c r="F249" s="119"/>
      <c r="G249" s="119"/>
      <c r="H249" s="118"/>
    </row>
    <row r="250" spans="1:8" ht="15.5" outlineLevel="1" x14ac:dyDescent="0.35">
      <c r="D250" s="120"/>
      <c r="E250" s="119"/>
      <c r="F250" s="119"/>
      <c r="G250" s="119"/>
      <c r="H250" s="118"/>
    </row>
    <row r="251" spans="1:8" ht="15.5" outlineLevel="1" x14ac:dyDescent="0.35">
      <c r="D251" s="120"/>
      <c r="E251" s="119"/>
      <c r="F251" s="119"/>
      <c r="G251" s="119"/>
      <c r="H251" s="118"/>
    </row>
    <row r="252" spans="1:8" ht="15.5" outlineLevel="1" x14ac:dyDescent="0.35">
      <c r="D252" s="120"/>
      <c r="E252" s="119"/>
      <c r="F252" s="119"/>
      <c r="G252" s="119"/>
      <c r="H252" s="118"/>
    </row>
    <row r="253" spans="1:8" ht="15.5" outlineLevel="1" x14ac:dyDescent="0.35">
      <c r="D253" s="120"/>
      <c r="F253" s="119"/>
      <c r="G253" s="119"/>
      <c r="H253" s="118"/>
    </row>
    <row r="254" spans="1:8" ht="15.5" outlineLevel="1" x14ac:dyDescent="0.35">
      <c r="D254" s="120"/>
      <c r="E254" s="119"/>
      <c r="F254" s="119"/>
      <c r="G254" s="119"/>
      <c r="H254" s="118"/>
    </row>
    <row r="255" spans="1:8" ht="15.5" outlineLevel="1" x14ac:dyDescent="0.35">
      <c r="D255" s="120"/>
      <c r="E255" s="119"/>
      <c r="F255" s="119"/>
      <c r="G255" s="119"/>
      <c r="H255" s="118"/>
    </row>
    <row r="256" spans="1:8" ht="15.5" outlineLevel="1" x14ac:dyDescent="0.35">
      <c r="D256" s="120"/>
      <c r="E256" s="119"/>
      <c r="F256" s="119"/>
      <c r="G256" s="119"/>
      <c r="H256" s="118"/>
    </row>
    <row r="257" spans="4:8" ht="15.5" outlineLevel="1" x14ac:dyDescent="0.35">
      <c r="D257" s="120"/>
      <c r="E257" s="119"/>
      <c r="F257" s="119"/>
      <c r="G257" s="119"/>
      <c r="H257" s="118"/>
    </row>
    <row r="258" spans="4:8" ht="15.5" outlineLevel="1" x14ac:dyDescent="0.35">
      <c r="D258" s="120"/>
      <c r="E258" s="119"/>
      <c r="F258" s="119"/>
      <c r="G258" s="119"/>
      <c r="H258" s="118"/>
    </row>
    <row r="259" spans="4:8" ht="15.5" outlineLevel="1" x14ac:dyDescent="0.35">
      <c r="D259" s="120"/>
      <c r="E259" s="119"/>
      <c r="F259" s="119"/>
      <c r="G259" s="119"/>
      <c r="H259" s="118"/>
    </row>
    <row r="260" spans="4:8" ht="15.5" outlineLevel="1" x14ac:dyDescent="0.35">
      <c r="D260" s="120"/>
      <c r="E260" s="119"/>
      <c r="F260" s="119"/>
      <c r="G260" s="119"/>
      <c r="H260" s="118"/>
    </row>
    <row r="261" spans="4:8" ht="15.5" outlineLevel="1" x14ac:dyDescent="0.35">
      <c r="D261" s="120"/>
      <c r="E261" s="119"/>
      <c r="F261" s="121"/>
      <c r="G261" s="119"/>
      <c r="H261" s="118"/>
    </row>
    <row r="262" spans="4:8" ht="15.5" outlineLevel="1" x14ac:dyDescent="0.35">
      <c r="D262" s="120"/>
      <c r="E262" s="119"/>
      <c r="F262" s="119"/>
      <c r="G262" s="121"/>
      <c r="H262" s="118"/>
    </row>
    <row r="263" spans="4:8" ht="15.5" outlineLevel="1" x14ac:dyDescent="0.35">
      <c r="D263" s="120"/>
      <c r="E263" s="119"/>
      <c r="F263" s="119"/>
      <c r="G263" s="121"/>
      <c r="H263" s="118"/>
    </row>
    <row r="264" spans="4:8" ht="15.5" outlineLevel="1" x14ac:dyDescent="0.35">
      <c r="D264" s="120"/>
      <c r="E264" s="119"/>
      <c r="F264" s="119"/>
      <c r="G264" s="119"/>
      <c r="H264" s="118"/>
    </row>
    <row r="265" spans="4:8" ht="15.5" outlineLevel="1" x14ac:dyDescent="0.35">
      <c r="D265" s="120"/>
      <c r="E265" s="119"/>
      <c r="F265" s="119"/>
      <c r="G265" s="119"/>
      <c r="H265" s="118"/>
    </row>
    <row r="266" spans="4:8" ht="15.5" outlineLevel="1" x14ac:dyDescent="0.35">
      <c r="D266" s="120"/>
      <c r="E266" s="121"/>
      <c r="F266" s="119"/>
      <c r="G266" s="119"/>
      <c r="H266" s="118"/>
    </row>
    <row r="267" spans="4:8" ht="15.5" outlineLevel="1" x14ac:dyDescent="0.35">
      <c r="D267" s="120"/>
      <c r="E267" s="119"/>
      <c r="F267" s="119"/>
      <c r="G267" s="119"/>
      <c r="H267" s="118"/>
    </row>
    <row r="268" spans="4:8" ht="15.5" outlineLevel="1" x14ac:dyDescent="0.35">
      <c r="D268" s="120"/>
      <c r="E268" s="119"/>
      <c r="F268" s="119"/>
      <c r="G268" s="119"/>
      <c r="H268" s="118"/>
    </row>
    <row r="269" spans="4:8" ht="15.5" outlineLevel="1" x14ac:dyDescent="0.35">
      <c r="D269" s="120"/>
      <c r="E269" s="119"/>
      <c r="F269" s="119"/>
      <c r="G269" s="119"/>
      <c r="H269" s="118"/>
    </row>
    <row r="270" spans="4:8" ht="15.5" outlineLevel="1" x14ac:dyDescent="0.35">
      <c r="D270" s="120"/>
      <c r="E270" s="119"/>
      <c r="F270" s="119"/>
      <c r="G270" s="119"/>
      <c r="H270" s="118"/>
    </row>
    <row r="271" spans="4:8" ht="15.5" outlineLevel="1" x14ac:dyDescent="0.35">
      <c r="D271" s="120"/>
      <c r="E271" s="119"/>
      <c r="F271" s="119"/>
      <c r="G271" s="119"/>
      <c r="H271" s="118"/>
    </row>
    <row r="272" spans="4:8" ht="15.5" outlineLevel="1" x14ac:dyDescent="0.35">
      <c r="D272" s="120"/>
      <c r="E272" s="119"/>
      <c r="F272" s="119"/>
      <c r="G272" s="119"/>
      <c r="H272" s="118"/>
    </row>
    <row r="273" spans="3:8" ht="15.5" outlineLevel="1" x14ac:dyDescent="0.35">
      <c r="D273" s="120"/>
      <c r="E273" s="119"/>
      <c r="F273" s="119"/>
      <c r="G273" s="119"/>
      <c r="H273" s="118"/>
    </row>
    <row r="274" spans="3:8" ht="15.5" outlineLevel="1" x14ac:dyDescent="0.35">
      <c r="D274" s="120"/>
      <c r="E274" s="119"/>
      <c r="F274" s="119"/>
      <c r="G274" s="119"/>
      <c r="H274" s="118"/>
    </row>
    <row r="275" spans="3:8" ht="15.5" outlineLevel="1" x14ac:dyDescent="0.35">
      <c r="D275" s="120"/>
      <c r="E275" s="119"/>
      <c r="F275" s="119"/>
      <c r="G275" s="119"/>
      <c r="H275" s="118"/>
    </row>
    <row r="276" spans="3:8" ht="15.5" outlineLevel="1" x14ac:dyDescent="0.35">
      <c r="D276" s="120"/>
      <c r="E276" s="119"/>
      <c r="F276" s="119"/>
      <c r="G276" s="119"/>
      <c r="H276" s="118"/>
    </row>
    <row r="277" spans="3:8" ht="15.5" outlineLevel="1" x14ac:dyDescent="0.35">
      <c r="D277" s="120"/>
      <c r="E277" s="119"/>
      <c r="F277" s="119"/>
      <c r="G277" s="119"/>
      <c r="H277" s="118"/>
    </row>
    <row r="278" spans="3:8" ht="15.5" outlineLevel="1" x14ac:dyDescent="0.35">
      <c r="D278" s="120"/>
      <c r="E278" s="119"/>
      <c r="F278" s="119"/>
      <c r="G278" s="119"/>
      <c r="H278" s="118"/>
    </row>
    <row r="279" spans="3:8" ht="15.5" outlineLevel="1" x14ac:dyDescent="0.35">
      <c r="D279" s="120"/>
      <c r="E279" s="119"/>
      <c r="F279" s="119"/>
      <c r="G279" s="119"/>
      <c r="H279" s="118"/>
    </row>
    <row r="280" spans="3:8" ht="15.5" outlineLevel="1" x14ac:dyDescent="0.35">
      <c r="D280" s="120"/>
      <c r="E280" s="119"/>
      <c r="F280" s="119"/>
      <c r="G280" s="119"/>
      <c r="H280" s="118"/>
    </row>
    <row r="281" spans="3:8" ht="15" customHeight="1" x14ac:dyDescent="0.35">
      <c r="C281" s="117">
        <f>SUM(D281:H281)</f>
        <v>106</v>
      </c>
      <c r="D281" s="116">
        <f>D247+D213+D179+D145+D111+D77+D43+D9</f>
        <v>15</v>
      </c>
      <c r="E281" s="116">
        <f>E247+E213+E179+E145+E111+E77+E43+E9</f>
        <v>1</v>
      </c>
      <c r="F281" s="116">
        <f>F247+F213+F179+F145+F111+F77+F43+F9</f>
        <v>83</v>
      </c>
      <c r="G281" s="116">
        <f>G247+G213+G179+G145+G111+G77+G43+G9</f>
        <v>0</v>
      </c>
      <c r="H281" s="116">
        <f>H247+H213+H179+H145+H111+H77+H43+H9</f>
        <v>7</v>
      </c>
    </row>
    <row r="282" spans="3:8" ht="15.5" x14ac:dyDescent="0.35">
      <c r="C282" s="115"/>
      <c r="D282" s="114">
        <f>D281/$C$281</f>
        <v>0.14150943396226415</v>
      </c>
      <c r="E282" s="114">
        <f>E281/$C$281</f>
        <v>9.433962264150943E-3</v>
      </c>
      <c r="F282" s="114">
        <f>F281/$C$281</f>
        <v>0.78301886792452835</v>
      </c>
      <c r="G282" s="114">
        <f>G281/$C$281</f>
        <v>0</v>
      </c>
      <c r="H282" s="114">
        <f>H281/$C$281</f>
        <v>6.6037735849056603E-2</v>
      </c>
    </row>
  </sheetData>
  <mergeCells count="12">
    <mergeCell ref="J1:N1"/>
    <mergeCell ref="J3:J8"/>
    <mergeCell ref="K3:K8"/>
    <mergeCell ref="L3:L8"/>
    <mergeCell ref="M3:M8"/>
    <mergeCell ref="N3:N8"/>
    <mergeCell ref="D1:H1"/>
    <mergeCell ref="D3:D8"/>
    <mergeCell ref="E3:E8"/>
    <mergeCell ref="F3:F8"/>
    <mergeCell ref="G3:G8"/>
    <mergeCell ref="H3:H8"/>
  </mergeCells>
  <conditionalFormatting sqref="D78:H110">
    <cfRule type="duplicateValues" dxfId="64" priority="65"/>
  </conditionalFormatting>
  <conditionalFormatting sqref="D10:H11 D34:H42 D12:E33 G12:H33 F12:F32">
    <cfRule type="duplicateValues" dxfId="63" priority="64"/>
  </conditionalFormatting>
  <conditionalFormatting sqref="D112:H144">
    <cfRule type="duplicateValues" dxfId="62" priority="63"/>
  </conditionalFormatting>
  <conditionalFormatting sqref="D146:H178">
    <cfRule type="duplicateValues" dxfId="61" priority="62"/>
  </conditionalFormatting>
  <conditionalFormatting sqref="D180:H212">
    <cfRule type="duplicateValues" dxfId="60" priority="61"/>
  </conditionalFormatting>
  <conditionalFormatting sqref="D248:H280">
    <cfRule type="duplicateValues" dxfId="59" priority="60"/>
  </conditionalFormatting>
  <conditionalFormatting sqref="D214:H246">
    <cfRule type="duplicateValues" dxfId="58" priority="59"/>
  </conditionalFormatting>
  <conditionalFormatting sqref="F33">
    <cfRule type="duplicateValues" dxfId="57" priority="58"/>
  </conditionalFormatting>
  <conditionalFormatting sqref="D10:H42">
    <cfRule type="duplicateValues" dxfId="56" priority="20"/>
    <cfRule type="duplicateValues" dxfId="55" priority="28"/>
    <cfRule type="duplicateValues" dxfId="54" priority="35"/>
    <cfRule type="duplicateValues" dxfId="53" priority="41"/>
    <cfRule type="duplicateValues" dxfId="52" priority="46"/>
    <cfRule type="duplicateValues" dxfId="51" priority="49"/>
    <cfRule type="duplicateValues" dxfId="50" priority="51"/>
    <cfRule type="duplicateValues" dxfId="49" priority="52"/>
    <cfRule type="duplicateValues" dxfId="48" priority="57"/>
  </conditionalFormatting>
  <conditionalFormatting sqref="F33">
    <cfRule type="duplicateValues" dxfId="47" priority="56"/>
  </conditionalFormatting>
  <conditionalFormatting sqref="D44:H46 D68:H76 G47:H67 F47:F66 D47:E67">
    <cfRule type="duplicateValues" dxfId="46" priority="55"/>
  </conditionalFormatting>
  <conditionalFormatting sqref="D44:H76">
    <cfRule type="duplicateValues" dxfId="45" priority="54"/>
  </conditionalFormatting>
  <conditionalFormatting sqref="F67">
    <cfRule type="duplicateValues" dxfId="44" priority="53"/>
  </conditionalFormatting>
  <conditionalFormatting sqref="D44:H76">
    <cfRule type="duplicateValues" dxfId="43" priority="34"/>
    <cfRule type="duplicateValues" dxfId="42" priority="50"/>
  </conditionalFormatting>
  <conditionalFormatting sqref="D44:H76">
    <cfRule type="duplicateValues" dxfId="41" priority="48"/>
  </conditionalFormatting>
  <conditionalFormatting sqref="D78:H110">
    <cfRule type="duplicateValues" dxfId="40" priority="47"/>
  </conditionalFormatting>
  <conditionalFormatting sqref="D44:H76">
    <cfRule type="duplicateValues" dxfId="39" priority="45"/>
  </conditionalFormatting>
  <conditionalFormatting sqref="D78:H110">
    <cfRule type="duplicateValues" dxfId="38" priority="44"/>
  </conditionalFormatting>
  <conditionalFormatting sqref="D112:H144">
    <cfRule type="duplicateValues" dxfId="37" priority="43"/>
  </conditionalFormatting>
  <conditionalFormatting sqref="D146:H178">
    <cfRule type="duplicateValues" dxfId="36" priority="42"/>
  </conditionalFormatting>
  <conditionalFormatting sqref="D44:H76">
    <cfRule type="duplicateValues" dxfId="35" priority="19"/>
    <cfRule type="duplicateValues" dxfId="34" priority="27"/>
    <cfRule type="duplicateValues" dxfId="33" priority="40"/>
  </conditionalFormatting>
  <conditionalFormatting sqref="D78:H110">
    <cfRule type="duplicateValues" dxfId="32" priority="39"/>
  </conditionalFormatting>
  <conditionalFormatting sqref="D112:H144">
    <cfRule type="duplicateValues" dxfId="31" priority="38"/>
  </conditionalFormatting>
  <conditionalFormatting sqref="D146:H178">
    <cfRule type="duplicateValues" dxfId="30" priority="37"/>
  </conditionalFormatting>
  <conditionalFormatting sqref="D180:H212">
    <cfRule type="duplicateValues" dxfId="29" priority="36"/>
  </conditionalFormatting>
  <conditionalFormatting sqref="D78:H110">
    <cfRule type="duplicateValues" dxfId="28" priority="33"/>
  </conditionalFormatting>
  <conditionalFormatting sqref="D112:H144">
    <cfRule type="duplicateValues" dxfId="27" priority="32"/>
  </conditionalFormatting>
  <conditionalFormatting sqref="D146:H178">
    <cfRule type="duplicateValues" dxfId="26" priority="31"/>
  </conditionalFormatting>
  <conditionalFormatting sqref="D180:H212">
    <cfRule type="duplicateValues" dxfId="25" priority="30"/>
  </conditionalFormatting>
  <conditionalFormatting sqref="D214:H246">
    <cfRule type="duplicateValues" dxfId="24" priority="29"/>
  </conditionalFormatting>
  <conditionalFormatting sqref="D78:H110">
    <cfRule type="duplicateValues" dxfId="23" priority="26"/>
  </conditionalFormatting>
  <conditionalFormatting sqref="D112:H144">
    <cfRule type="duplicateValues" dxfId="22" priority="25"/>
  </conditionalFormatting>
  <conditionalFormatting sqref="D146:H178">
    <cfRule type="duplicateValues" dxfId="21" priority="24"/>
  </conditionalFormatting>
  <conditionalFormatting sqref="D180:H212">
    <cfRule type="duplicateValues" dxfId="20" priority="23"/>
  </conditionalFormatting>
  <conditionalFormatting sqref="D214:H246">
    <cfRule type="duplicateValues" dxfId="19" priority="22"/>
  </conditionalFormatting>
  <conditionalFormatting sqref="D248:H280">
    <cfRule type="duplicateValues" dxfId="18" priority="21"/>
  </conditionalFormatting>
  <conditionalFormatting sqref="D78:H110">
    <cfRule type="duplicateValues" dxfId="17" priority="18"/>
  </conditionalFormatting>
  <conditionalFormatting sqref="D112:H144">
    <cfRule type="duplicateValues" dxfId="16" priority="17"/>
  </conditionalFormatting>
  <conditionalFormatting sqref="D146:H178">
    <cfRule type="duplicateValues" dxfId="15" priority="16"/>
  </conditionalFormatting>
  <conditionalFormatting sqref="D180:H212">
    <cfRule type="duplicateValues" dxfId="14" priority="15"/>
  </conditionalFormatting>
  <conditionalFormatting sqref="D214:H246">
    <cfRule type="duplicateValues" dxfId="13" priority="14"/>
  </conditionalFormatting>
  <conditionalFormatting sqref="D248:H280">
    <cfRule type="duplicateValues" dxfId="12" priority="13"/>
  </conditionalFormatting>
  <conditionalFormatting sqref="J10:N11 J34:N42 J12:K33 M12:N33 L12:L32">
    <cfRule type="duplicateValues" dxfId="11" priority="12"/>
  </conditionalFormatting>
  <conditionalFormatting sqref="L33">
    <cfRule type="duplicateValues" dxfId="10" priority="11"/>
  </conditionalFormatting>
  <conditionalFormatting sqref="J10:N42">
    <cfRule type="duplicateValues" dxfId="9" priority="1"/>
    <cfRule type="duplicateValues" dxfId="8" priority="2"/>
    <cfRule type="duplicateValues" dxfId="7" priority="3"/>
    <cfRule type="duplicateValues" dxfId="6" priority="4"/>
    <cfRule type="duplicateValues" dxfId="5" priority="5"/>
    <cfRule type="duplicateValues" dxfId="4" priority="6"/>
    <cfRule type="duplicateValues" dxfId="3" priority="7"/>
    <cfRule type="duplicateValues" dxfId="2" priority="8"/>
    <cfRule type="duplicateValues" dxfId="1" priority="10"/>
  </conditionalFormatting>
  <conditionalFormatting sqref="L33">
    <cfRule type="duplicateValues" dxfId="0" priority="9"/>
  </conditionalFormatting>
  <dataValidations count="1">
    <dataValidation type="list" allowBlank="1" showInputMessage="1" showErrorMessage="1" sqref="F2 J9:N42 L2 D9:H281" xr:uid="{703BEBED-9DDF-408B-B0E9-3C30D8ADB1D9}">
      <formula1>_CompoundList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F032D-5485-49F5-89E9-1A4A1390A093}">
  <sheetPr codeName="Sheet15" filterMode="1"/>
  <dimension ref="B1:K89"/>
  <sheetViews>
    <sheetView workbookViewId="0">
      <selection activeCell="L2" sqref="L2"/>
    </sheetView>
  </sheetViews>
  <sheetFormatPr defaultColWidth="9.1796875" defaultRowHeight="12" x14ac:dyDescent="0.3"/>
  <cols>
    <col min="1" max="2" width="9.1796875" style="113"/>
    <col min="3" max="3" width="8.7265625" style="113" bestFit="1" customWidth="1"/>
    <col min="4" max="4" width="16.81640625" style="113" bestFit="1" customWidth="1"/>
    <col min="5" max="5" width="21.81640625" style="113" bestFit="1" customWidth="1"/>
    <col min="6" max="7" width="12.7265625" style="113" customWidth="1"/>
    <col min="8" max="11" width="11" style="113" customWidth="1"/>
    <col min="12" max="16384" width="9.1796875" style="113"/>
  </cols>
  <sheetData>
    <row r="1" spans="2:11" ht="23.25" customHeight="1" x14ac:dyDescent="0.3">
      <c r="F1" s="174" t="s">
        <v>289</v>
      </c>
      <c r="G1" s="175"/>
      <c r="H1" s="175"/>
      <c r="I1" s="175"/>
      <c r="J1" s="175"/>
      <c r="K1" s="176"/>
    </row>
    <row r="2" spans="2:11" ht="35.25" customHeight="1" x14ac:dyDescent="0.3">
      <c r="B2" s="144" t="s">
        <v>290</v>
      </c>
      <c r="C2" s="144" t="s">
        <v>291</v>
      </c>
      <c r="D2" s="144" t="s">
        <v>292</v>
      </c>
      <c r="E2" s="144" t="s">
        <v>293</v>
      </c>
      <c r="F2" s="144" t="s">
        <v>144</v>
      </c>
      <c r="G2" s="144" t="s">
        <v>287</v>
      </c>
      <c r="H2" s="144" t="s">
        <v>144</v>
      </c>
      <c r="I2" s="144" t="s">
        <v>288</v>
      </c>
      <c r="J2" s="144" t="s">
        <v>142</v>
      </c>
      <c r="K2" s="144" t="s">
        <v>287</v>
      </c>
    </row>
    <row r="3" spans="2:11" x14ac:dyDescent="0.3">
      <c r="B3" s="145">
        <f t="array" ref="B3:B52">'1'!C9:C58</f>
        <v>0</v>
      </c>
      <c r="C3" s="138" t="str">
        <f t="array" ref="C3:C52">'1'!W9:W58</f>
        <v>AAPS</v>
      </c>
      <c r="D3" s="143" t="str">
        <f t="array" ref="D3:D52">'1'!B9:B58</f>
        <v>Aripiprazole</v>
      </c>
      <c r="E3" s="138" t="str">
        <f t="shared" ref="E3:E34" si="0">D3&amp;" ("&amp;C3&amp;")"</f>
        <v>Aripiprazole (AAPS)</v>
      </c>
      <c r="F3" s="137">
        <f t="shared" ref="F3:F34" si="1">H3/$H$3</f>
        <v>1</v>
      </c>
      <c r="G3" s="137">
        <f t="shared" ref="G3:G34" si="2">K3/$K$3</f>
        <v>1</v>
      </c>
      <c r="H3" s="142">
        <f t="array" ref="H3:H52">'1'!AB9:AB58</f>
        <v>1.4482758</v>
      </c>
      <c r="I3" s="142">
        <f t="array" ref="I3:I52">'1'!AC9:AC58</f>
        <v>0.7529247</v>
      </c>
      <c r="J3" s="142">
        <f t="array" ref="J3:J52">'1'!AD9:AD58</f>
        <v>0.56099999999999994</v>
      </c>
      <c r="K3" s="142">
        <f t="shared" ref="K3:K34" si="3">J3+I3</f>
        <v>1.3139246999999998</v>
      </c>
    </row>
    <row r="4" spans="2:11" x14ac:dyDescent="0.3">
      <c r="B4" s="145">
        <v>0</v>
      </c>
      <c r="C4" s="138" t="str">
        <v>AAPS</v>
      </c>
      <c r="D4" s="143" t="str">
        <v>Quetiapine</v>
      </c>
      <c r="E4" s="138" t="str">
        <f t="shared" si="0"/>
        <v>Quetiapine (AAPS)</v>
      </c>
      <c r="F4" s="137">
        <f t="shared" si="1"/>
        <v>0.95987587447087086</v>
      </c>
      <c r="G4" s="137">
        <f t="shared" si="2"/>
        <v>0.89711639933399556</v>
      </c>
      <c r="H4" s="142">
        <v>1.3901650000000001</v>
      </c>
      <c r="I4" s="142">
        <v>0.65777060000000009</v>
      </c>
      <c r="J4" s="142">
        <v>0.52097279586</v>
      </c>
      <c r="K4" s="142">
        <f t="shared" si="3"/>
        <v>1.1787433958600002</v>
      </c>
    </row>
    <row r="5" spans="2:11" x14ac:dyDescent="0.3">
      <c r="B5" s="145">
        <v>0</v>
      </c>
      <c r="C5" s="138" t="str">
        <v>AAPS</v>
      </c>
      <c r="D5" s="143" t="str">
        <v>Olanzapine / Fluoxetine</v>
      </c>
      <c r="E5" s="138" t="str">
        <f t="shared" si="0"/>
        <v>Olanzapine / Fluoxetine (AAPS)</v>
      </c>
      <c r="F5" s="137">
        <f t="shared" si="1"/>
        <v>0.74273332468857101</v>
      </c>
      <c r="G5" s="137">
        <f t="shared" si="2"/>
        <v>0.66379801633990143</v>
      </c>
      <c r="H5" s="142">
        <v>1.0756827</v>
      </c>
      <c r="I5" s="142">
        <v>0.45589129999999994</v>
      </c>
      <c r="J5" s="142">
        <v>0.41628930947999998</v>
      </c>
      <c r="K5" s="142">
        <f t="shared" si="3"/>
        <v>0.87218060947999998</v>
      </c>
    </row>
    <row r="6" spans="2:11" x14ac:dyDescent="0.3">
      <c r="B6" s="145">
        <v>0</v>
      </c>
      <c r="C6" s="138" t="str">
        <v>ATAD</v>
      </c>
      <c r="D6" s="143" t="str">
        <v>Bupropion</v>
      </c>
      <c r="E6" s="138" t="str">
        <f t="shared" si="0"/>
        <v>Bupropion (ATAD)</v>
      </c>
      <c r="F6" s="137">
        <f t="shared" si="1"/>
        <v>0.91462952015078902</v>
      </c>
      <c r="G6" s="137">
        <f t="shared" si="2"/>
        <v>1.171175822419656</v>
      </c>
      <c r="H6" s="142">
        <v>1.3246358</v>
      </c>
      <c r="I6" s="142">
        <v>1.0775680999999999</v>
      </c>
      <c r="J6" s="142">
        <v>0.46126874111999994</v>
      </c>
      <c r="K6" s="142">
        <f t="shared" si="3"/>
        <v>1.5388368411199997</v>
      </c>
    </row>
    <row r="7" spans="2:11" x14ac:dyDescent="0.3">
      <c r="B7" s="145">
        <v>0</v>
      </c>
      <c r="C7" s="138" t="str">
        <v>AAPS</v>
      </c>
      <c r="D7" s="143" t="str">
        <v>Brexpiprazole</v>
      </c>
      <c r="E7" s="138" t="str">
        <f t="shared" si="0"/>
        <v>Brexpiprazole (AAPS)</v>
      </c>
      <c r="F7" s="137">
        <f t="shared" si="1"/>
        <v>1</v>
      </c>
      <c r="G7" s="137">
        <f t="shared" si="2"/>
        <v>1.0266105812608592</v>
      </c>
      <c r="H7" s="142">
        <v>1.4482758</v>
      </c>
      <c r="I7" s="142">
        <v>0.78788900000000006</v>
      </c>
      <c r="J7" s="142">
        <v>0.56099999999999994</v>
      </c>
      <c r="K7" s="142">
        <f t="shared" si="3"/>
        <v>1.348889</v>
      </c>
    </row>
    <row r="8" spans="2:11" x14ac:dyDescent="0.3">
      <c r="B8" s="145">
        <v>0</v>
      </c>
      <c r="C8" s="138" t="str">
        <v>ATAD</v>
      </c>
      <c r="D8" s="143" t="str">
        <v>Trazodone</v>
      </c>
      <c r="E8" s="138" t="str">
        <f t="shared" si="0"/>
        <v>Trazodone (ATAD)</v>
      </c>
      <c r="F8" s="137">
        <f t="shared" si="1"/>
        <v>0.69293749160208296</v>
      </c>
      <c r="G8" s="137">
        <f t="shared" si="2"/>
        <v>1.0258082521776171</v>
      </c>
      <c r="H8" s="142">
        <v>1.0035646</v>
      </c>
      <c r="I8" s="142">
        <v>0.78683479999999995</v>
      </c>
      <c r="J8" s="142">
        <v>0.56099999999999994</v>
      </c>
      <c r="K8" s="142">
        <f t="shared" si="3"/>
        <v>1.3478347999999998</v>
      </c>
    </row>
    <row r="9" spans="2:11" x14ac:dyDescent="0.3">
      <c r="B9" s="145">
        <v>0</v>
      </c>
      <c r="C9" s="138" t="str">
        <v>AAPS</v>
      </c>
      <c r="D9" s="143" t="str">
        <v>Cariprazine</v>
      </c>
      <c r="E9" s="138" t="str">
        <f t="shared" si="0"/>
        <v>Cariprazine (AAPS)</v>
      </c>
      <c r="F9" s="137">
        <f t="shared" si="1"/>
        <v>1.0169670031081097</v>
      </c>
      <c r="G9" s="137">
        <f t="shared" si="2"/>
        <v>1.0232539930636817</v>
      </c>
      <c r="H9" s="142">
        <v>1.4728487000000001</v>
      </c>
      <c r="I9" s="142">
        <v>0.82350590000000001</v>
      </c>
      <c r="J9" s="142">
        <v>0.52097279586</v>
      </c>
      <c r="K9" s="142">
        <f t="shared" si="3"/>
        <v>1.3444786958599999</v>
      </c>
    </row>
    <row r="10" spans="2:11" x14ac:dyDescent="0.3">
      <c r="B10" s="145">
        <v>0</v>
      </c>
      <c r="C10" s="138" t="str">
        <v>KOR</v>
      </c>
      <c r="D10" s="143" t="str">
        <v>ALKS-5461</v>
      </c>
      <c r="E10" s="138" t="str">
        <f t="shared" si="0"/>
        <v>ALKS-5461 (KOR)</v>
      </c>
      <c r="F10" s="137">
        <f t="shared" si="1"/>
        <v>1.2385328816514092</v>
      </c>
      <c r="G10" s="137">
        <f t="shared" si="2"/>
        <v>0.94297603203593039</v>
      </c>
      <c r="H10" s="142">
        <v>1.7937372</v>
      </c>
      <c r="I10" s="142">
        <v>0.91994010000000004</v>
      </c>
      <c r="J10" s="142">
        <v>0.31905939999999999</v>
      </c>
      <c r="K10" s="142">
        <f t="shared" si="3"/>
        <v>1.2389995</v>
      </c>
    </row>
    <row r="11" spans="2:11" x14ac:dyDescent="0.3">
      <c r="B11" s="145">
        <v>0</v>
      </c>
      <c r="C11" s="138" t="str">
        <v>NMDA</v>
      </c>
      <c r="D11" s="143" t="str">
        <v>Esketamine</v>
      </c>
      <c r="E11" s="138" t="str">
        <f t="shared" si="0"/>
        <v>Esketamine (NMDA)</v>
      </c>
      <c r="F11" s="137">
        <f t="shared" si="1"/>
        <v>1.4863110327466633</v>
      </c>
      <c r="G11" s="137">
        <f t="shared" si="2"/>
        <v>0.97343988140264071</v>
      </c>
      <c r="H11" s="142">
        <v>2.1525883000000001</v>
      </c>
      <c r="I11" s="142">
        <v>0.91994010000000004</v>
      </c>
      <c r="J11" s="142">
        <v>0.35908660413999993</v>
      </c>
      <c r="K11" s="142">
        <f t="shared" si="3"/>
        <v>1.2790267041400001</v>
      </c>
    </row>
    <row r="12" spans="2:11" x14ac:dyDescent="0.3">
      <c r="B12" s="145">
        <v>0</v>
      </c>
      <c r="C12" s="138" t="str">
        <v>NMDA</v>
      </c>
      <c r="D12" s="143" t="str">
        <v>Rapastinel</v>
      </c>
      <c r="E12" s="138" t="str">
        <f t="shared" si="0"/>
        <v>Rapastinel (NMDA)</v>
      </c>
      <c r="F12" s="137">
        <f t="shared" si="1"/>
        <v>1</v>
      </c>
      <c r="G12" s="137">
        <f t="shared" si="2"/>
        <v>0.95908171821414123</v>
      </c>
      <c r="H12" s="142">
        <v>1.4482758</v>
      </c>
      <c r="I12" s="142">
        <v>0.73148930000000001</v>
      </c>
      <c r="J12" s="142">
        <v>0.52867185888000001</v>
      </c>
      <c r="K12" s="142">
        <f t="shared" si="3"/>
        <v>1.2601611588799999</v>
      </c>
    </row>
    <row r="13" spans="2:11" x14ac:dyDescent="0.3">
      <c r="B13" s="145">
        <v>0</v>
      </c>
      <c r="C13" s="138" t="str">
        <v>ATAD</v>
      </c>
      <c r="D13" s="143" t="str">
        <v>AXS-05</v>
      </c>
      <c r="E13" s="138" t="str">
        <f t="shared" si="0"/>
        <v>AXS-05 (ATAD)</v>
      </c>
      <c r="F13" s="137">
        <f t="shared" si="1"/>
        <v>1</v>
      </c>
      <c r="G13" s="137">
        <f t="shared" si="2"/>
        <v>1.0312246683695041</v>
      </c>
      <c r="H13" s="142">
        <v>1.4482758</v>
      </c>
      <c r="I13" s="142">
        <v>0.97325250000000008</v>
      </c>
      <c r="J13" s="142">
        <v>0.38169906301999995</v>
      </c>
      <c r="K13" s="142">
        <f t="shared" si="3"/>
        <v>1.35495156302</v>
      </c>
    </row>
    <row r="14" spans="2:11" x14ac:dyDescent="0.3">
      <c r="B14" s="145">
        <v>0</v>
      </c>
      <c r="C14" s="138" t="str">
        <v>NMDA</v>
      </c>
      <c r="D14" s="143" t="str">
        <v>AV-101</v>
      </c>
      <c r="E14" s="138" t="str">
        <f t="shared" si="0"/>
        <v>AV-101 (NMDA)</v>
      </c>
      <c r="F14" s="137">
        <f t="shared" si="1"/>
        <v>1.1818577649367614</v>
      </c>
      <c r="G14" s="137">
        <f t="shared" si="2"/>
        <v>1.100501269212764</v>
      </c>
      <c r="H14" s="142">
        <v>1.7116560000000001</v>
      </c>
      <c r="I14" s="142">
        <v>0.88497580000000009</v>
      </c>
      <c r="J14" s="142">
        <v>0.56099999999999994</v>
      </c>
      <c r="K14" s="142">
        <f t="shared" si="3"/>
        <v>1.4459758</v>
      </c>
    </row>
    <row r="15" spans="2:11" x14ac:dyDescent="0.3">
      <c r="B15" s="145">
        <v>0</v>
      </c>
      <c r="C15" s="138" t="str">
        <v>KOR</v>
      </c>
      <c r="D15" s="143" t="str">
        <v>JNJ-67953964</v>
      </c>
      <c r="E15" s="138" t="str">
        <f t="shared" si="0"/>
        <v>JNJ-67953964 (KOR)</v>
      </c>
      <c r="F15" s="137">
        <f t="shared" si="1"/>
        <v>1.0893285657331289</v>
      </c>
      <c r="G15" s="137">
        <f t="shared" si="2"/>
        <v>1.1724243406033847</v>
      </c>
      <c r="H15" s="142">
        <v>1.5776481999999998</v>
      </c>
      <c r="I15" s="142">
        <v>0.97947730000000011</v>
      </c>
      <c r="J15" s="142">
        <v>0.56099999999999994</v>
      </c>
      <c r="K15" s="142">
        <f t="shared" si="3"/>
        <v>1.5404773</v>
      </c>
    </row>
    <row r="16" spans="2:11" x14ac:dyDescent="0.3">
      <c r="B16" s="145">
        <v>0</v>
      </c>
      <c r="C16" s="138" t="str">
        <v>NMDA</v>
      </c>
      <c r="D16" s="143" t="str">
        <v>REL-1017</v>
      </c>
      <c r="E16" s="138" t="str">
        <f t="shared" si="0"/>
        <v>REL-1017 (NMDA)</v>
      </c>
      <c r="F16" s="137">
        <f t="shared" si="1"/>
        <v>1.0740193269817806</v>
      </c>
      <c r="G16" s="137">
        <f t="shared" si="2"/>
        <v>1.100501269212764</v>
      </c>
      <c r="H16" s="142">
        <v>1.5554762</v>
      </c>
      <c r="I16" s="142">
        <v>0.88497580000000009</v>
      </c>
      <c r="J16" s="142">
        <v>0.56099999999999994</v>
      </c>
      <c r="K16" s="142">
        <f t="shared" si="3"/>
        <v>1.4459758</v>
      </c>
    </row>
    <row r="17" spans="2:11" x14ac:dyDescent="0.3">
      <c r="B17" s="145">
        <v>0</v>
      </c>
      <c r="C17" s="138" t="str">
        <v>OX2</v>
      </c>
      <c r="D17" s="143" t="str">
        <v>Seltorexant</v>
      </c>
      <c r="E17" s="138" t="str">
        <f t="shared" si="0"/>
        <v>Seltorexant (OX2)</v>
      </c>
      <c r="F17" s="137">
        <f t="shared" si="1"/>
        <v>1.2575084110360748</v>
      </c>
      <c r="G17" s="137">
        <f t="shared" si="2"/>
        <v>1.2017666613619489</v>
      </c>
      <c r="H17" s="142">
        <v>1.8212189999999999</v>
      </c>
      <c r="I17" s="142">
        <v>1.0180309000000001</v>
      </c>
      <c r="J17" s="142">
        <v>0.56099999999999994</v>
      </c>
      <c r="K17" s="142">
        <f t="shared" si="3"/>
        <v>1.5790309</v>
      </c>
    </row>
    <row r="18" spans="2:11" x14ac:dyDescent="0.3">
      <c r="B18" s="145">
        <v>0</v>
      </c>
      <c r="C18" s="138" t="str">
        <v>AMPA</v>
      </c>
      <c r="D18" s="143" t="str">
        <v>S-47445</v>
      </c>
      <c r="E18" s="138" t="str">
        <f t="shared" si="0"/>
        <v>S-47445 (AMPA)</v>
      </c>
      <c r="F18" s="137">
        <f t="shared" si="1"/>
        <v>1.0990872042465945</v>
      </c>
      <c r="G18" s="137">
        <f t="shared" si="2"/>
        <v>0.97008961015802508</v>
      </c>
      <c r="H18" s="142">
        <v>1.5917814000000001</v>
      </c>
      <c r="I18" s="142">
        <v>0.82350590000000001</v>
      </c>
      <c r="J18" s="142">
        <v>0.45111879999999999</v>
      </c>
      <c r="K18" s="142">
        <f t="shared" si="3"/>
        <v>1.2746246999999999</v>
      </c>
    </row>
    <row r="19" spans="2:11" hidden="1" x14ac:dyDescent="0.3">
      <c r="B19" s="145" t="str">
        <v>OFF</v>
      </c>
      <c r="C19" s="138" t="str">
        <v>AMPA</v>
      </c>
      <c r="D19" s="143" t="str">
        <v>TAK-653</v>
      </c>
      <c r="E19" s="138" t="str">
        <f t="shared" si="0"/>
        <v>TAK-653 (AMPA)</v>
      </c>
      <c r="F19" s="137">
        <f t="shared" si="1"/>
        <v>1.0990872042465945</v>
      </c>
      <c r="G19" s="137">
        <f t="shared" si="2"/>
        <v>0.92330618337565329</v>
      </c>
      <c r="H19" s="142">
        <v>1.5917814000000001</v>
      </c>
      <c r="I19" s="142">
        <v>0.76203600000000005</v>
      </c>
      <c r="J19" s="142">
        <v>0.45111879999999999</v>
      </c>
      <c r="K19" s="142">
        <f t="shared" si="3"/>
        <v>1.2131548000000001</v>
      </c>
    </row>
    <row r="20" spans="2:11" x14ac:dyDescent="0.3">
      <c r="B20" s="145">
        <v>0</v>
      </c>
      <c r="C20" s="138" t="str">
        <v>IL6</v>
      </c>
      <c r="D20" s="143" t="str">
        <v>Sirukumab</v>
      </c>
      <c r="E20" s="138" t="str">
        <f t="shared" si="0"/>
        <v>Sirukumab (IL6)</v>
      </c>
      <c r="F20" s="137">
        <f t="shared" si="1"/>
        <v>1.1708868573237228</v>
      </c>
      <c r="G20" s="137">
        <f t="shared" si="2"/>
        <v>0.96780196318708378</v>
      </c>
      <c r="H20" s="142">
        <v>1.6957671000000003</v>
      </c>
      <c r="I20" s="142">
        <v>0.85759169999999996</v>
      </c>
      <c r="J20" s="142">
        <v>0.41402720413999994</v>
      </c>
      <c r="K20" s="142">
        <f t="shared" si="3"/>
        <v>1.2716189041399999</v>
      </c>
    </row>
    <row r="21" spans="2:11" x14ac:dyDescent="0.3">
      <c r="B21" s="145">
        <v>0</v>
      </c>
      <c r="C21" s="138" t="str">
        <v>FAAH</v>
      </c>
      <c r="D21" s="143" t="str">
        <v>FAAH in Anxious Distress</v>
      </c>
      <c r="E21" s="138" t="str">
        <f t="shared" si="0"/>
        <v>FAAH in Anxious Distress (FAAH)</v>
      </c>
      <c r="F21" s="137">
        <f t="shared" si="1"/>
        <v>1.0257182368164959</v>
      </c>
      <c r="G21" s="137">
        <f t="shared" si="2"/>
        <v>1.1232530296446974</v>
      </c>
      <c r="H21" s="142">
        <v>1.4855229000000001</v>
      </c>
      <c r="I21" s="142">
        <v>0.91486990000000001</v>
      </c>
      <c r="J21" s="142">
        <v>0.56099999999999994</v>
      </c>
      <c r="K21" s="142">
        <f t="shared" si="3"/>
        <v>1.4758699</v>
      </c>
    </row>
    <row r="22" spans="2:11" x14ac:dyDescent="0.3">
      <c r="B22" s="145">
        <v>0</v>
      </c>
      <c r="C22" s="138" t="str">
        <v>NMDA</v>
      </c>
      <c r="D22" s="143" t="str">
        <v>AGN241751</v>
      </c>
      <c r="E22" s="138" t="str">
        <f t="shared" si="0"/>
        <v>AGN241751 (NMDA)</v>
      </c>
      <c r="F22" s="137">
        <f t="shared" si="1"/>
        <v>1</v>
      </c>
      <c r="G22" s="137">
        <f t="shared" si="2"/>
        <v>1.0816723707682794</v>
      </c>
      <c r="H22" s="142">
        <v>1.4482758</v>
      </c>
      <c r="I22" s="142">
        <v>0.91994010000000004</v>
      </c>
      <c r="J22" s="142">
        <v>0.50129594525999999</v>
      </c>
      <c r="K22" s="142">
        <f t="shared" si="3"/>
        <v>1.4212360452600001</v>
      </c>
    </row>
    <row r="23" spans="2:11" hidden="1" x14ac:dyDescent="0.3">
      <c r="B23" s="145" t="str">
        <v>OFF</v>
      </c>
      <c r="C23" s="138" t="str">
        <v>NMDA</v>
      </c>
      <c r="D23" s="143" t="str">
        <v>Esketamine ODT</v>
      </c>
      <c r="E23" s="138" t="str">
        <f t="shared" si="0"/>
        <v>Esketamine ODT (NMDA)</v>
      </c>
      <c r="F23" s="137">
        <f t="shared" si="1"/>
        <v>1.4438675285467035</v>
      </c>
      <c r="G23" s="137">
        <f t="shared" si="2"/>
        <v>0.99804413849591234</v>
      </c>
      <c r="H23" s="142">
        <v>2.0911184</v>
      </c>
      <c r="I23" s="142">
        <v>0.91994010000000004</v>
      </c>
      <c r="J23" s="142">
        <v>0.39141474525999997</v>
      </c>
      <c r="K23" s="142">
        <f t="shared" si="3"/>
        <v>1.3113548452599999</v>
      </c>
    </row>
    <row r="24" spans="2:11" x14ac:dyDescent="0.3">
      <c r="B24" s="145">
        <v>0</v>
      </c>
      <c r="C24" s="138" t="str">
        <v>mGluNAM</v>
      </c>
      <c r="D24" s="143" t="str">
        <v>mGluNAM</v>
      </c>
      <c r="E24" s="138" t="str">
        <f t="shared" si="0"/>
        <v>mGluNAM (mGluNAM)</v>
      </c>
      <c r="F24" s="137">
        <f t="shared" si="1"/>
        <v>1.2482045892087681</v>
      </c>
      <c r="G24" s="137">
        <f t="shared" si="2"/>
        <v>1.1434258751662101</v>
      </c>
      <c r="H24" s="142">
        <v>1.8077445000000001</v>
      </c>
      <c r="I24" s="142">
        <v>0.94137550000000003</v>
      </c>
      <c r="J24" s="142">
        <v>0.56099999999999994</v>
      </c>
      <c r="K24" s="142">
        <f t="shared" si="3"/>
        <v>1.5023754999999999</v>
      </c>
    </row>
    <row r="25" spans="2:11" hidden="1" x14ac:dyDescent="0.3">
      <c r="B25" s="145" t="str">
        <v>OFF</v>
      </c>
      <c r="C25" s="138" t="str">
        <v>NR2B</v>
      </c>
      <c r="D25" s="143" t="str">
        <v>NR2B</v>
      </c>
      <c r="E25" s="138" t="str">
        <f t="shared" si="0"/>
        <v>NR2B (NR2B)</v>
      </c>
      <c r="F25" s="137">
        <f t="shared" si="1"/>
        <v>1.3474283696516922</v>
      </c>
      <c r="G25" s="137">
        <f t="shared" si="2"/>
        <v>1.1434258751662101</v>
      </c>
      <c r="H25" s="142">
        <v>1.9514479000000002</v>
      </c>
      <c r="I25" s="142">
        <v>0.94137550000000003</v>
      </c>
      <c r="J25" s="142">
        <v>0.56099999999999994</v>
      </c>
      <c r="K25" s="142">
        <f t="shared" si="3"/>
        <v>1.5023754999999999</v>
      </c>
    </row>
    <row r="26" spans="2:11" hidden="1" x14ac:dyDescent="0.3">
      <c r="B26" s="145" t="str">
        <v>OFF</v>
      </c>
      <c r="C26" s="138" t="str">
        <v>NR2A</v>
      </c>
      <c r="D26" s="143" t="str">
        <v>NR2A</v>
      </c>
      <c r="E26" s="138" t="str">
        <f t="shared" si="0"/>
        <v>NR2A (NR2A)</v>
      </c>
      <c r="F26" s="137">
        <f t="shared" si="1"/>
        <v>1.2482045892087681</v>
      </c>
      <c r="G26" s="137">
        <f t="shared" si="2"/>
        <v>1.1434258751662101</v>
      </c>
      <c r="H26" s="142">
        <v>1.8077445000000001</v>
      </c>
      <c r="I26" s="142">
        <v>0.94137550000000003</v>
      </c>
      <c r="J26" s="142">
        <v>0.56099999999999994</v>
      </c>
      <c r="K26" s="142">
        <f t="shared" si="3"/>
        <v>1.5023754999999999</v>
      </c>
    </row>
    <row r="27" spans="2:11" hidden="1" x14ac:dyDescent="0.3">
      <c r="B27" s="145" t="str">
        <v>OFF</v>
      </c>
      <c r="C27" s="138" t="str">
        <v>M1,5</v>
      </c>
      <c r="D27" s="143" t="str">
        <v>M1,5</v>
      </c>
      <c r="E27" s="138" t="str">
        <f t="shared" si="0"/>
        <v>M1,5 (M1,5)</v>
      </c>
      <c r="F27" s="137">
        <f t="shared" si="1"/>
        <v>1.2482045892087681</v>
      </c>
      <c r="G27" s="137">
        <f t="shared" si="2"/>
        <v>1.1434258751662101</v>
      </c>
      <c r="H27" s="142">
        <v>1.8077445000000001</v>
      </c>
      <c r="I27" s="142">
        <v>0.94137550000000003</v>
      </c>
      <c r="J27" s="142">
        <v>0.56099999999999994</v>
      </c>
      <c r="K27" s="142">
        <f t="shared" si="3"/>
        <v>1.5023754999999999</v>
      </c>
    </row>
    <row r="28" spans="2:11" hidden="1" x14ac:dyDescent="0.3">
      <c r="B28" s="145" t="str">
        <v>OFF</v>
      </c>
      <c r="C28" s="138" t="str">
        <v>NMDA</v>
      </c>
      <c r="D28" s="143" t="str">
        <v>PRIME</v>
      </c>
      <c r="E28" s="138" t="str">
        <f t="shared" si="0"/>
        <v>PRIME (NMDA)</v>
      </c>
      <c r="F28" s="137">
        <f t="shared" si="1"/>
        <v>1.2482045892087681</v>
      </c>
      <c r="G28" s="137">
        <f t="shared" si="2"/>
        <v>1.1434258751662101</v>
      </c>
      <c r="H28" s="142">
        <v>1.8077445000000001</v>
      </c>
      <c r="I28" s="142">
        <v>0.94137550000000003</v>
      </c>
      <c r="J28" s="142">
        <v>0.56099999999999994</v>
      </c>
      <c r="K28" s="142">
        <f t="shared" si="3"/>
        <v>1.5023754999999999</v>
      </c>
    </row>
    <row r="29" spans="2:11" hidden="1" x14ac:dyDescent="0.3">
      <c r="B29" s="145" t="str">
        <v>OFF</v>
      </c>
      <c r="C29" s="138" t="str">
        <v>NMDA</v>
      </c>
      <c r="D29" s="143" t="str">
        <v>Rapastinel +</v>
      </c>
      <c r="E29" s="138" t="str">
        <f t="shared" si="0"/>
        <v>Rapastinel + (NMDA)</v>
      </c>
      <c r="F29" s="137">
        <f t="shared" si="1"/>
        <v>0.97627012755443399</v>
      </c>
      <c r="G29" s="137">
        <f t="shared" si="2"/>
        <v>1.0979863954608664</v>
      </c>
      <c r="H29" s="142">
        <v>1.4139084</v>
      </c>
      <c r="I29" s="142">
        <v>0.94137550000000003</v>
      </c>
      <c r="J29" s="142">
        <v>0.50129594525999999</v>
      </c>
      <c r="K29" s="142">
        <f t="shared" si="3"/>
        <v>1.44267144526</v>
      </c>
    </row>
    <row r="30" spans="2:11" x14ac:dyDescent="0.3">
      <c r="B30" s="145">
        <v>0</v>
      </c>
      <c r="C30" s="138" t="str">
        <v>Orexin1</v>
      </c>
      <c r="D30" s="143" t="str">
        <v>Orexin1</v>
      </c>
      <c r="E30" s="138" t="str">
        <f t="shared" si="0"/>
        <v>Orexin1 (Orexin1)</v>
      </c>
      <c r="F30" s="137">
        <f t="shared" si="1"/>
        <v>1.2075760017532573</v>
      </c>
      <c r="G30" s="137">
        <f t="shared" si="2"/>
        <v>1.1434258751662101</v>
      </c>
      <c r="H30" s="142">
        <v>1.7489031000000002</v>
      </c>
      <c r="I30" s="142">
        <v>0.94137550000000003</v>
      </c>
      <c r="J30" s="142">
        <v>0.56099999999999994</v>
      </c>
      <c r="K30" s="142">
        <f t="shared" si="3"/>
        <v>1.5023754999999999</v>
      </c>
    </row>
    <row r="31" spans="2:11" x14ac:dyDescent="0.3">
      <c r="B31" s="145">
        <v>0</v>
      </c>
      <c r="C31" s="138" t="str">
        <v>P2X7</v>
      </c>
      <c r="D31" s="143" t="str">
        <v>P2X7</v>
      </c>
      <c r="E31" s="138" t="str">
        <f t="shared" si="0"/>
        <v>P2X7 (P2X7)</v>
      </c>
      <c r="F31" s="137">
        <f t="shared" si="1"/>
        <v>1.1906089986451476</v>
      </c>
      <c r="G31" s="137">
        <f t="shared" si="2"/>
        <v>1.1434258751662101</v>
      </c>
      <c r="H31" s="142">
        <v>1.7243302</v>
      </c>
      <c r="I31" s="142">
        <v>0.94137550000000003</v>
      </c>
      <c r="J31" s="142">
        <v>0.56099999999999994</v>
      </c>
      <c r="K31" s="142">
        <f t="shared" si="3"/>
        <v>1.5023754999999999</v>
      </c>
    </row>
    <row r="32" spans="2:11" x14ac:dyDescent="0.3">
      <c r="B32" s="145">
        <v>0</v>
      </c>
      <c r="C32" s="138" t="str">
        <v>AMPA</v>
      </c>
      <c r="D32" s="143" t="str">
        <v>AMPAR</v>
      </c>
      <c r="E32" s="138" t="str">
        <f t="shared" si="0"/>
        <v>AMPAR (AMPA)</v>
      </c>
      <c r="F32" s="137">
        <f t="shared" si="1"/>
        <v>1.2049667611652422</v>
      </c>
      <c r="G32" s="137">
        <f t="shared" si="2"/>
        <v>1.0498590216014663</v>
      </c>
      <c r="H32" s="142">
        <v>1.7451242</v>
      </c>
      <c r="I32" s="142">
        <v>0.81843569999999999</v>
      </c>
      <c r="J32" s="142">
        <v>0.56099999999999994</v>
      </c>
      <c r="K32" s="142">
        <f t="shared" si="3"/>
        <v>1.3794356999999999</v>
      </c>
    </row>
    <row r="33" spans="2:11" x14ac:dyDescent="0.3">
      <c r="B33" s="145">
        <v>0</v>
      </c>
      <c r="C33" s="138" t="str">
        <v>NR2B</v>
      </c>
      <c r="D33" s="143" t="str">
        <v>NR2B C/N</v>
      </c>
      <c r="E33" s="138" t="str">
        <f t="shared" si="0"/>
        <v>NR2B C/N (NR2B)</v>
      </c>
      <c r="F33" s="137">
        <f t="shared" si="1"/>
        <v>1.3474283696516922</v>
      </c>
      <c r="G33" s="137">
        <f t="shared" si="2"/>
        <v>1.0966424483838382</v>
      </c>
      <c r="H33" s="142">
        <v>1.9514479000000002</v>
      </c>
      <c r="I33" s="142">
        <v>0.87990560000000007</v>
      </c>
      <c r="J33" s="142">
        <v>0.56099999999999994</v>
      </c>
      <c r="K33" s="142">
        <f t="shared" si="3"/>
        <v>1.4409056</v>
      </c>
    </row>
    <row r="34" spans="2:11" x14ac:dyDescent="0.3">
      <c r="B34" s="145">
        <v>0</v>
      </c>
      <c r="C34" s="138" t="str">
        <v>AAPS</v>
      </c>
      <c r="D34" s="143" t="str">
        <v>Pimavanserin</v>
      </c>
      <c r="E34" s="138" t="str">
        <f t="shared" si="0"/>
        <v>Pimavanserin (AAPS)</v>
      </c>
      <c r="F34" s="137">
        <f t="shared" si="1"/>
        <v>0.93434234004324301</v>
      </c>
      <c r="G34" s="137">
        <f t="shared" si="2"/>
        <v>1.0266105812608592</v>
      </c>
      <c r="H34" s="142">
        <v>1.3531853999999999</v>
      </c>
      <c r="I34" s="142">
        <v>0.78788900000000006</v>
      </c>
      <c r="J34" s="142">
        <v>0.56099999999999994</v>
      </c>
      <c r="K34" s="142">
        <f t="shared" si="3"/>
        <v>1.348889</v>
      </c>
    </row>
    <row r="35" spans="2:11" x14ac:dyDescent="0.3">
      <c r="B35" s="145">
        <v>0</v>
      </c>
      <c r="C35" s="138" t="str">
        <v>OPRL1</v>
      </c>
      <c r="D35" s="143" t="str">
        <v>Btrx246040</v>
      </c>
      <c r="E35" s="138" t="str">
        <f t="shared" ref="E35:E52" si="4">D35&amp;" ("&amp;C35&amp;")"</f>
        <v>Btrx246040 (OPRL1)</v>
      </c>
      <c r="F35" s="137">
        <f t="shared" ref="F35:F52" si="5">H35/$H$3</f>
        <v>1</v>
      </c>
      <c r="G35" s="137">
        <f t="shared" ref="G35:G52" si="6">K35/$K$3</f>
        <v>1</v>
      </c>
      <c r="H35" s="142">
        <v>1.4482758</v>
      </c>
      <c r="I35" s="142">
        <v>0.7529247</v>
      </c>
      <c r="J35" s="142">
        <v>0.56099999999999994</v>
      </c>
      <c r="K35" s="142">
        <f t="shared" ref="K35:K52" si="7">J35+I35</f>
        <v>1.3139246999999998</v>
      </c>
    </row>
    <row r="36" spans="2:11" x14ac:dyDescent="0.3">
      <c r="B36" s="145">
        <v>0</v>
      </c>
      <c r="C36" s="138" t="str">
        <v>TRANQ</v>
      </c>
      <c r="D36" s="143" t="str">
        <v>N05C0 Tranquillisers</v>
      </c>
      <c r="E36" s="138" t="str">
        <f t="shared" si="4"/>
        <v>N05C0 Tranquillisers (TRANQ)</v>
      </c>
      <c r="F36" s="137">
        <f t="shared" si="5"/>
        <v>0.75570343714919497</v>
      </c>
      <c r="G36" s="137">
        <f t="shared" si="6"/>
        <v>0.95797323849684857</v>
      </c>
      <c r="H36" s="142">
        <v>1.0944670000000001</v>
      </c>
      <c r="I36" s="142">
        <v>0.69770470000000007</v>
      </c>
      <c r="J36" s="142">
        <v>0.56099999999999994</v>
      </c>
      <c r="K36" s="142">
        <f t="shared" si="7"/>
        <v>1.2587047</v>
      </c>
    </row>
    <row r="37" spans="2:11" x14ac:dyDescent="0.3">
      <c r="B37" s="145">
        <v>0</v>
      </c>
      <c r="C37" s="138" t="str">
        <v>GABAA</v>
      </c>
      <c r="D37" s="143" t="str">
        <v>Sage217</v>
      </c>
      <c r="E37" s="138" t="str">
        <f t="shared" si="4"/>
        <v>Sage217 (GABAA)</v>
      </c>
      <c r="F37" s="137">
        <f t="shared" si="5"/>
        <v>1.0840476655068048</v>
      </c>
      <c r="G37" s="137">
        <f t="shared" si="6"/>
        <v>0.87524041522318596</v>
      </c>
      <c r="H37" s="142">
        <v>1.57</v>
      </c>
      <c r="I37" s="142">
        <v>0.65</v>
      </c>
      <c r="J37" s="142">
        <v>0.5</v>
      </c>
      <c r="K37" s="142">
        <f t="shared" si="7"/>
        <v>1.1499999999999999</v>
      </c>
    </row>
    <row r="38" spans="2:11" x14ac:dyDescent="0.3">
      <c r="B38" s="145">
        <v>0</v>
      </c>
      <c r="C38" s="138" t="str">
        <v>OX2</v>
      </c>
      <c r="D38" s="143" t="str">
        <v>Other OX2</v>
      </c>
      <c r="E38" s="138" t="str">
        <f t="shared" si="4"/>
        <v>Other OX2 (OX2)</v>
      </c>
      <c r="F38" s="137">
        <f t="shared" si="5"/>
        <v>1.2575084110360748</v>
      </c>
      <c r="G38" s="137">
        <f t="shared" si="6"/>
        <v>1.2017666613619489</v>
      </c>
      <c r="H38" s="142">
        <v>1.8212189999999999</v>
      </c>
      <c r="I38" s="142">
        <v>1.0180309000000001</v>
      </c>
      <c r="J38" s="142">
        <v>0.56099999999999994</v>
      </c>
      <c r="K38" s="142">
        <f t="shared" si="7"/>
        <v>1.5790309</v>
      </c>
    </row>
    <row r="39" spans="2:11" x14ac:dyDescent="0.3">
      <c r="B39" s="145">
        <v>0</v>
      </c>
      <c r="C39" s="138" t="str">
        <v>OX1</v>
      </c>
      <c r="D39" s="143" t="str">
        <v>Other OX1</v>
      </c>
      <c r="E39" s="138" t="str">
        <f t="shared" si="4"/>
        <v>Other OX1 (OX1)</v>
      </c>
      <c r="F39" s="137">
        <f t="shared" si="5"/>
        <v>1.2075760017532573</v>
      </c>
      <c r="G39" s="137">
        <f t="shared" si="6"/>
        <v>1.1434258751662101</v>
      </c>
      <c r="H39" s="142">
        <v>1.7489031000000002</v>
      </c>
      <c r="I39" s="142">
        <v>0.94137550000000003</v>
      </c>
      <c r="J39" s="142">
        <v>0.56099999999999994</v>
      </c>
      <c r="K39" s="142">
        <f t="shared" si="7"/>
        <v>1.5023754999999999</v>
      </c>
    </row>
    <row r="40" spans="2:11" x14ac:dyDescent="0.3">
      <c r="B40" s="145">
        <v>0</v>
      </c>
      <c r="C40" s="138" t="str">
        <v>P2X7</v>
      </c>
      <c r="D40" s="143" t="str">
        <v>Other P2X7</v>
      </c>
      <c r="E40" s="138" t="str">
        <f t="shared" si="4"/>
        <v>Other P2X7 (P2X7)</v>
      </c>
      <c r="F40" s="137">
        <f t="shared" si="5"/>
        <v>1.1906089986451476</v>
      </c>
      <c r="G40" s="137">
        <f t="shared" si="6"/>
        <v>1.1434258751662101</v>
      </c>
      <c r="H40" s="142">
        <v>1.7243302</v>
      </c>
      <c r="I40" s="142">
        <v>0.94137550000000003</v>
      </c>
      <c r="J40" s="142">
        <v>0.56099999999999994</v>
      </c>
      <c r="K40" s="142">
        <f t="shared" si="7"/>
        <v>1.5023754999999999</v>
      </c>
    </row>
    <row r="41" spans="2:11" x14ac:dyDescent="0.3">
      <c r="B41" s="145">
        <v>0</v>
      </c>
      <c r="C41" s="138" t="str">
        <v>AMPA</v>
      </c>
      <c r="D41" s="143" t="str">
        <v>Other AMPA</v>
      </c>
      <c r="E41" s="138" t="str">
        <f t="shared" si="4"/>
        <v>Other AMPA (AMPA)</v>
      </c>
      <c r="F41" s="137">
        <f t="shared" si="5"/>
        <v>1.2049667611652422</v>
      </c>
      <c r="G41" s="137">
        <f t="shared" si="6"/>
        <v>1.0498590216014663</v>
      </c>
      <c r="H41" s="142">
        <v>1.7451242</v>
      </c>
      <c r="I41" s="142">
        <v>0.81843569999999999</v>
      </c>
      <c r="J41" s="142">
        <v>0.56099999999999994</v>
      </c>
      <c r="K41" s="142">
        <f t="shared" si="7"/>
        <v>1.3794356999999999</v>
      </c>
    </row>
    <row r="42" spans="2:11" x14ac:dyDescent="0.3">
      <c r="B42" s="145">
        <v>0</v>
      </c>
      <c r="C42" s="138" t="str">
        <v>mGluNAM</v>
      </c>
      <c r="D42" s="143" t="str">
        <v>Other mGluNAM</v>
      </c>
      <c r="E42" s="138" t="str">
        <f t="shared" si="4"/>
        <v>Other mGluNAM (mGluNAM)</v>
      </c>
      <c r="F42" s="137">
        <f t="shared" si="5"/>
        <v>1.2482045892087681</v>
      </c>
      <c r="G42" s="137">
        <f t="shared" si="6"/>
        <v>1.1434258751662101</v>
      </c>
      <c r="H42" s="142">
        <v>1.8077445000000001</v>
      </c>
      <c r="I42" s="142">
        <v>0.94137550000000003</v>
      </c>
      <c r="J42" s="142">
        <v>0.56099999999999994</v>
      </c>
      <c r="K42" s="142">
        <f t="shared" si="7"/>
        <v>1.5023754999999999</v>
      </c>
    </row>
    <row r="43" spans="2:11" x14ac:dyDescent="0.3">
      <c r="B43" s="145">
        <v>0</v>
      </c>
      <c r="C43" s="138" t="str">
        <v>FAAH</v>
      </c>
      <c r="D43" s="143" t="str">
        <v>Other FAAH</v>
      </c>
      <c r="E43" s="138" t="str">
        <f t="shared" si="4"/>
        <v>Other FAAH (FAAH)</v>
      </c>
      <c r="F43" s="137">
        <f t="shared" si="5"/>
        <v>1.0257182368164959</v>
      </c>
      <c r="G43" s="137">
        <f t="shared" si="6"/>
        <v>1.1232530296446974</v>
      </c>
      <c r="H43" s="142">
        <v>1.4855229000000001</v>
      </c>
      <c r="I43" s="142">
        <v>0.91486990000000001</v>
      </c>
      <c r="J43" s="142">
        <v>0.56099999999999994</v>
      </c>
      <c r="K43" s="142">
        <f t="shared" si="7"/>
        <v>1.4758699</v>
      </c>
    </row>
    <row r="44" spans="2:11" x14ac:dyDescent="0.3">
      <c r="B44" s="145">
        <v>0</v>
      </c>
      <c r="C44" s="138" t="str">
        <v>KOR</v>
      </c>
      <c r="D44" s="143" t="str">
        <v>Other KOR</v>
      </c>
      <c r="E44" s="138" t="str">
        <f t="shared" si="4"/>
        <v>Other KOR (KOR)</v>
      </c>
      <c r="F44" s="137">
        <f t="shared" si="5"/>
        <v>1.0893285657331289</v>
      </c>
      <c r="G44" s="137">
        <f t="shared" si="6"/>
        <v>1.1724243406033847</v>
      </c>
      <c r="H44" s="142">
        <v>1.5776481999999998</v>
      </c>
      <c r="I44" s="142">
        <v>0.97947730000000011</v>
      </c>
      <c r="J44" s="142">
        <v>0.56099999999999994</v>
      </c>
      <c r="K44" s="142">
        <f t="shared" si="7"/>
        <v>1.5404773</v>
      </c>
    </row>
    <row r="45" spans="2:11" x14ac:dyDescent="0.3">
      <c r="B45" s="145">
        <v>0</v>
      </c>
      <c r="C45" s="138" t="str">
        <v>NME1</v>
      </c>
      <c r="D45" s="143" t="str">
        <v>NME1</v>
      </c>
      <c r="E45" s="138" t="str">
        <f t="shared" si="4"/>
        <v>NME1 (NME1)</v>
      </c>
      <c r="F45" s="137">
        <f t="shared" si="5"/>
        <v>1.6072156974521015</v>
      </c>
      <c r="G45" s="137">
        <f t="shared" si="6"/>
        <v>1.0966424483838382</v>
      </c>
      <c r="H45" s="142">
        <v>2.3276916000000001</v>
      </c>
      <c r="I45" s="142">
        <v>0.87990560000000007</v>
      </c>
      <c r="J45" s="142">
        <v>0.56099999999999994</v>
      </c>
      <c r="K45" s="142">
        <f t="shared" si="7"/>
        <v>1.4409056</v>
      </c>
    </row>
    <row r="46" spans="2:11" x14ac:dyDescent="0.3">
      <c r="B46" s="145">
        <v>0</v>
      </c>
      <c r="C46" s="138" t="str">
        <v>NME2</v>
      </c>
      <c r="D46" s="143" t="str">
        <v>NME2</v>
      </c>
      <c r="E46" s="138" t="str">
        <f t="shared" si="4"/>
        <v>NME2 (NME2)</v>
      </c>
      <c r="F46" s="137">
        <f t="shared" si="5"/>
        <v>1.6072156974521015</v>
      </c>
      <c r="G46" s="137">
        <f t="shared" si="6"/>
        <v>1.0966424483838382</v>
      </c>
      <c r="H46" s="142">
        <v>2.3276916000000001</v>
      </c>
      <c r="I46" s="142">
        <v>0.87990560000000007</v>
      </c>
      <c r="J46" s="142">
        <v>0.56099999999999994</v>
      </c>
      <c r="K46" s="142">
        <f t="shared" si="7"/>
        <v>1.4409056</v>
      </c>
    </row>
    <row r="47" spans="2:11" x14ac:dyDescent="0.3">
      <c r="B47" s="145">
        <v>0</v>
      </c>
      <c r="C47" s="138" t="str">
        <v>NME3</v>
      </c>
      <c r="D47" s="143" t="str">
        <v>NME3</v>
      </c>
      <c r="E47" s="138" t="str">
        <f t="shared" si="4"/>
        <v>NME3 (NME3)</v>
      </c>
      <c r="F47" s="137">
        <f t="shared" si="5"/>
        <v>1.6072156974521015</v>
      </c>
      <c r="G47" s="137">
        <f t="shared" si="6"/>
        <v>1.0966424483838382</v>
      </c>
      <c r="H47" s="142">
        <v>2.3276916000000001</v>
      </c>
      <c r="I47" s="142">
        <v>0.87990560000000007</v>
      </c>
      <c r="J47" s="142">
        <v>0.56099999999999994</v>
      </c>
      <c r="K47" s="142">
        <f t="shared" si="7"/>
        <v>1.4409056</v>
      </c>
    </row>
    <row r="48" spans="2:11" x14ac:dyDescent="0.3">
      <c r="B48" s="145">
        <v>0</v>
      </c>
      <c r="C48" s="138" t="str">
        <v>NME1</v>
      </c>
      <c r="D48" s="143" t="str">
        <v>NME1 FO</v>
      </c>
      <c r="E48" s="138" t="str">
        <f t="shared" si="4"/>
        <v>NME1 FO (NME1)</v>
      </c>
      <c r="F48" s="137">
        <f t="shared" si="5"/>
        <v>1.6072156974521015</v>
      </c>
      <c r="G48" s="137">
        <f t="shared" si="6"/>
        <v>1.0966424483838382</v>
      </c>
      <c r="H48" s="142">
        <v>2.3276916000000001</v>
      </c>
      <c r="I48" s="142">
        <v>0.87990560000000007</v>
      </c>
      <c r="J48" s="142">
        <v>0.56099999999999994</v>
      </c>
      <c r="K48" s="142">
        <f t="shared" si="7"/>
        <v>1.4409056</v>
      </c>
    </row>
    <row r="49" spans="2:11" x14ac:dyDescent="0.3">
      <c r="B49" s="145">
        <v>0</v>
      </c>
      <c r="C49" s="138" t="str">
        <v>NME2</v>
      </c>
      <c r="D49" s="143" t="str">
        <v>NME2 FO</v>
      </c>
      <c r="E49" s="138" t="str">
        <f t="shared" si="4"/>
        <v>NME2 FO (NME2)</v>
      </c>
      <c r="F49" s="137">
        <f t="shared" si="5"/>
        <v>1.6072156974521015</v>
      </c>
      <c r="G49" s="137">
        <f t="shared" si="6"/>
        <v>1.0966424483838382</v>
      </c>
      <c r="H49" s="142">
        <v>2.3276916000000001</v>
      </c>
      <c r="I49" s="142">
        <v>0.87990560000000007</v>
      </c>
      <c r="J49" s="142">
        <v>0.56099999999999994</v>
      </c>
      <c r="K49" s="142">
        <f t="shared" si="7"/>
        <v>1.4409056</v>
      </c>
    </row>
    <row r="50" spans="2:11" x14ac:dyDescent="0.3">
      <c r="B50" s="145">
        <v>0</v>
      </c>
      <c r="C50" s="138" t="str">
        <v>NME3</v>
      </c>
      <c r="D50" s="143" t="str">
        <v>NME3 FO</v>
      </c>
      <c r="E50" s="138" t="str">
        <f t="shared" si="4"/>
        <v>NME3 FO (NME3)</v>
      </c>
      <c r="F50" s="137">
        <f t="shared" si="5"/>
        <v>1.6072156974521015</v>
      </c>
      <c r="G50" s="137">
        <f t="shared" si="6"/>
        <v>1.0966424483838382</v>
      </c>
      <c r="H50" s="142">
        <v>2.3276916000000001</v>
      </c>
      <c r="I50" s="142">
        <v>0.87990560000000007</v>
      </c>
      <c r="J50" s="142">
        <v>0.56099999999999994</v>
      </c>
      <c r="K50" s="142">
        <f t="shared" si="7"/>
        <v>1.4409056</v>
      </c>
    </row>
    <row r="51" spans="2:11" hidden="1" x14ac:dyDescent="0.3">
      <c r="B51" s="145" t="str">
        <v>OFF</v>
      </c>
      <c r="C51" s="138" t="str">
        <v>PLH</v>
      </c>
      <c r="D51" s="143" t="str">
        <v>PLH19</v>
      </c>
      <c r="E51" s="138" t="str">
        <f t="shared" si="4"/>
        <v>PLH19 (PLH)</v>
      </c>
      <c r="F51" s="137">
        <f t="shared" si="5"/>
        <v>0</v>
      </c>
      <c r="G51" s="137">
        <f t="shared" si="6"/>
        <v>0</v>
      </c>
      <c r="H51" s="142">
        <v>0</v>
      </c>
      <c r="I51" s="142">
        <v>0</v>
      </c>
      <c r="J51" s="142">
        <v>0</v>
      </c>
      <c r="K51" s="142">
        <f t="shared" si="7"/>
        <v>0</v>
      </c>
    </row>
    <row r="52" spans="2:11" hidden="1" x14ac:dyDescent="0.3">
      <c r="B52" s="145" t="str">
        <v>OFF</v>
      </c>
      <c r="C52" s="138" t="str">
        <v>PLH</v>
      </c>
      <c r="D52" s="143" t="str">
        <v>PLH20</v>
      </c>
      <c r="E52" s="138" t="str">
        <f t="shared" si="4"/>
        <v>PLH20 (PLH)</v>
      </c>
      <c r="F52" s="137">
        <f t="shared" si="5"/>
        <v>0</v>
      </c>
      <c r="G52" s="137">
        <f t="shared" si="6"/>
        <v>0</v>
      </c>
      <c r="H52" s="142">
        <v>0</v>
      </c>
      <c r="I52" s="142">
        <v>0</v>
      </c>
      <c r="J52" s="142">
        <v>0</v>
      </c>
      <c r="K52" s="142">
        <f t="shared" si="7"/>
        <v>0</v>
      </c>
    </row>
    <row r="55" spans="2:11" x14ac:dyDescent="0.3">
      <c r="F55" s="141">
        <f>MIN(F3:F35)</f>
        <v>0.69293749160208296</v>
      </c>
      <c r="G55" s="141">
        <f>MIN(G3:G35)</f>
        <v>0.66379801633990143</v>
      </c>
    </row>
    <row r="56" spans="2:11" x14ac:dyDescent="0.3">
      <c r="F56" s="141">
        <f>MAX(F3:F28)</f>
        <v>1.4863110327466633</v>
      </c>
      <c r="G56" s="141">
        <f>MAX(G3:G28)</f>
        <v>1.2017666613619489</v>
      </c>
    </row>
    <row r="57" spans="2:11" x14ac:dyDescent="0.3">
      <c r="F57" s="141">
        <f>ROUND((F55-5%)*100,0)/100</f>
        <v>0.64</v>
      </c>
      <c r="G57" s="141">
        <f>ROUND((G55-5%)*100,0)/100</f>
        <v>0.61</v>
      </c>
    </row>
    <row r="58" spans="2:11" x14ac:dyDescent="0.3">
      <c r="F58" s="141">
        <f>ROUND((F56+5%)*100,0)/100</f>
        <v>1.54</v>
      </c>
      <c r="G58" s="141">
        <f>ROUND((G56+5%)*100,0)/100</f>
        <v>1.25</v>
      </c>
    </row>
    <row r="59" spans="2:11" x14ac:dyDescent="0.3">
      <c r="E59" s="139"/>
      <c r="F59" s="140">
        <f>(F58-F57)/10</f>
        <v>0.09</v>
      </c>
      <c r="G59" s="140">
        <f>(G58-G57)/10</f>
        <v>6.4000000000000001E-2</v>
      </c>
    </row>
    <row r="60" spans="2:11" x14ac:dyDescent="0.3">
      <c r="E60" s="139"/>
    </row>
    <row r="61" spans="2:11" x14ac:dyDescent="0.3">
      <c r="E61" s="138" t="s">
        <v>286</v>
      </c>
      <c r="F61" s="137">
        <v>1</v>
      </c>
      <c r="G61" s="137">
        <v>1</v>
      </c>
    </row>
    <row r="62" spans="2:11" x14ac:dyDescent="0.3">
      <c r="E62" s="138" t="s">
        <v>285</v>
      </c>
      <c r="F62" s="137">
        <v>0.92836666666666667</v>
      </c>
      <c r="G62" s="137">
        <v>0.89711639933399556</v>
      </c>
    </row>
    <row r="63" spans="2:11" x14ac:dyDescent="0.3">
      <c r="E63" s="138" t="s">
        <v>284</v>
      </c>
      <c r="F63" s="137">
        <v>0.73596666666666666</v>
      </c>
      <c r="G63" s="137">
        <v>0.66379801633990143</v>
      </c>
    </row>
    <row r="64" spans="2:11" x14ac:dyDescent="0.3">
      <c r="E64" s="138" t="s">
        <v>283</v>
      </c>
      <c r="F64" s="137">
        <v>0.93113333333333326</v>
      </c>
      <c r="G64" s="137">
        <v>1.171175822419656</v>
      </c>
    </row>
    <row r="65" spans="5:7" x14ac:dyDescent="0.3">
      <c r="E65" s="138" t="s">
        <v>282</v>
      </c>
      <c r="F65" s="137">
        <v>1</v>
      </c>
      <c r="G65" s="137">
        <v>1.0266105812608592</v>
      </c>
    </row>
    <row r="66" spans="5:7" x14ac:dyDescent="0.3">
      <c r="E66" s="138" t="s">
        <v>281</v>
      </c>
      <c r="F66" s="137">
        <v>0.70289999999999997</v>
      </c>
      <c r="G66" s="137">
        <v>1.0258082521776171</v>
      </c>
    </row>
    <row r="67" spans="5:7" x14ac:dyDescent="0.3">
      <c r="E67" s="138" t="s">
        <v>280</v>
      </c>
      <c r="F67" s="137">
        <v>1.0366666666666666</v>
      </c>
      <c r="G67" s="137">
        <v>1.0232539930636817</v>
      </c>
    </row>
    <row r="68" spans="5:7" x14ac:dyDescent="0.3">
      <c r="E68" s="138" t="s">
        <v>279</v>
      </c>
      <c r="F68" s="137">
        <v>1.2575333333333334</v>
      </c>
      <c r="G68" s="137">
        <v>0.94297603203593039</v>
      </c>
    </row>
    <row r="69" spans="5:7" x14ac:dyDescent="0.3">
      <c r="E69" s="138" t="s">
        <v>278</v>
      </c>
      <c r="F69" s="137">
        <v>1.5027666666666664</v>
      </c>
      <c r="G69" s="137">
        <v>0.97343988140264071</v>
      </c>
    </row>
    <row r="70" spans="5:7" x14ac:dyDescent="0.3">
      <c r="E70" s="138" t="s">
        <v>277</v>
      </c>
      <c r="F70" s="137">
        <v>1</v>
      </c>
      <c r="G70" s="137">
        <v>0.95908171821414123</v>
      </c>
    </row>
    <row r="71" spans="5:7" x14ac:dyDescent="0.3">
      <c r="E71" s="138" t="s">
        <v>276</v>
      </c>
      <c r="F71" s="137">
        <v>1</v>
      </c>
      <c r="G71" s="137">
        <v>1.0312246683695041</v>
      </c>
    </row>
    <row r="72" spans="5:7" x14ac:dyDescent="0.3">
      <c r="E72" s="138" t="s">
        <v>275</v>
      </c>
      <c r="F72" s="137">
        <v>1.2289000000000001</v>
      </c>
      <c r="G72" s="137">
        <v>1.100501269212764</v>
      </c>
    </row>
    <row r="73" spans="5:7" x14ac:dyDescent="0.3">
      <c r="E73" s="138" t="s">
        <v>274</v>
      </c>
      <c r="F73" s="137">
        <v>1.1009666666666666</v>
      </c>
      <c r="G73" s="137">
        <v>1.1724243406033847</v>
      </c>
    </row>
    <row r="74" spans="5:7" x14ac:dyDescent="0.3">
      <c r="E74" s="138" t="s">
        <v>273</v>
      </c>
      <c r="F74" s="137">
        <v>1.1223333333333334</v>
      </c>
      <c r="G74" s="137">
        <v>1.100501269212764</v>
      </c>
    </row>
    <row r="75" spans="5:7" x14ac:dyDescent="0.3">
      <c r="E75" s="138" t="s">
        <v>272</v>
      </c>
      <c r="F75" s="137">
        <v>1.2759</v>
      </c>
      <c r="G75" s="137">
        <v>1.2017666613619489</v>
      </c>
    </row>
    <row r="76" spans="5:7" x14ac:dyDescent="0.3">
      <c r="E76" s="138" t="s">
        <v>271</v>
      </c>
      <c r="F76" s="137">
        <v>1.1454666666666669</v>
      </c>
      <c r="G76" s="137">
        <v>0.97008961015802508</v>
      </c>
    </row>
    <row r="77" spans="5:7" x14ac:dyDescent="0.3">
      <c r="E77" s="138" t="s">
        <v>270</v>
      </c>
      <c r="F77" s="137">
        <v>1.1454666666666669</v>
      </c>
      <c r="G77" s="137">
        <v>0.92330618337565329</v>
      </c>
    </row>
    <row r="78" spans="5:7" x14ac:dyDescent="0.3">
      <c r="E78" s="138" t="s">
        <v>269</v>
      </c>
      <c r="F78" s="137">
        <v>1.1335</v>
      </c>
      <c r="G78" s="137">
        <v>0.96780196318708378</v>
      </c>
    </row>
    <row r="79" spans="5:7" x14ac:dyDescent="0.3">
      <c r="E79" s="138" t="s">
        <v>268</v>
      </c>
      <c r="F79" s="137">
        <v>0.99776666666666669</v>
      </c>
      <c r="G79" s="137">
        <v>1.1232530296446974</v>
      </c>
    </row>
    <row r="80" spans="5:7" x14ac:dyDescent="0.3">
      <c r="E80" s="138" t="s">
        <v>267</v>
      </c>
      <c r="F80" s="137">
        <v>1</v>
      </c>
      <c r="G80" s="137">
        <v>1.0816723707682794</v>
      </c>
    </row>
    <row r="81" spans="5:7" x14ac:dyDescent="0.3">
      <c r="E81" s="138" t="s">
        <v>266</v>
      </c>
      <c r="F81" s="137">
        <v>1.2763333333333335</v>
      </c>
      <c r="G81" s="137">
        <v>1.1434258751662101</v>
      </c>
    </row>
    <row r="82" spans="5:7" x14ac:dyDescent="0.3">
      <c r="E82" s="138" t="s">
        <v>265</v>
      </c>
      <c r="F82" s="137">
        <v>1.226666666666667</v>
      </c>
      <c r="G82" s="137">
        <v>1.1434258751662101</v>
      </c>
    </row>
    <row r="83" spans="5:7" x14ac:dyDescent="0.3">
      <c r="E83" s="138" t="s">
        <v>264</v>
      </c>
      <c r="F83" s="137">
        <v>1.1900000000000004</v>
      </c>
      <c r="G83" s="137">
        <v>1.1434258751662101</v>
      </c>
    </row>
    <row r="84" spans="5:7" x14ac:dyDescent="0.3">
      <c r="E84" s="138" t="s">
        <v>263</v>
      </c>
      <c r="F84" s="137">
        <v>1.2034333333333334</v>
      </c>
      <c r="G84" s="137">
        <v>1.0498590216014663</v>
      </c>
    </row>
    <row r="85" spans="5:7" x14ac:dyDescent="0.3">
      <c r="E85" s="138" t="s">
        <v>262</v>
      </c>
      <c r="F85" s="137">
        <v>1.3805999999999998</v>
      </c>
      <c r="G85" s="137">
        <v>1.0966424483838382</v>
      </c>
    </row>
    <row r="86" spans="5:7" x14ac:dyDescent="0.3">
      <c r="E86" s="138" t="s">
        <v>261</v>
      </c>
      <c r="F86" s="137">
        <v>0.94983333333333331</v>
      </c>
      <c r="G86" s="137">
        <v>1.0266105812608592</v>
      </c>
    </row>
    <row r="87" spans="5:7" x14ac:dyDescent="0.3">
      <c r="E87" s="138" t="s">
        <v>260</v>
      </c>
      <c r="F87" s="137">
        <v>1</v>
      </c>
      <c r="G87" s="137">
        <v>1</v>
      </c>
    </row>
    <row r="88" spans="5:7" x14ac:dyDescent="0.3">
      <c r="E88" s="138" t="s">
        <v>259</v>
      </c>
      <c r="F88" s="137">
        <v>0.77526666666666655</v>
      </c>
      <c r="G88" s="137">
        <v>0.95797323849684857</v>
      </c>
    </row>
    <row r="89" spans="5:7" x14ac:dyDescent="0.3">
      <c r="E89" s="138" t="s">
        <v>258</v>
      </c>
      <c r="F89" s="137">
        <v>0.93119810201660735</v>
      </c>
      <c r="G89" s="137">
        <v>0.87524041522318596</v>
      </c>
    </row>
  </sheetData>
  <autoFilter ref="B2:K52" xr:uid="{25F1004A-8907-4B69-A735-7A33E4CE899C}">
    <filterColumn colId="0">
      <filters>
        <filter val="0"/>
      </filters>
    </filterColumn>
  </autoFilter>
  <mergeCells count="1">
    <mergeCell ref="F1:K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3CCFF-1B9D-4491-9380-B0F9B8C3EC40}">
  <sheetPr codeName="Sheet2"/>
  <dimension ref="A1:I11"/>
  <sheetViews>
    <sheetView workbookViewId="0">
      <selection activeCell="B3" sqref="B3"/>
    </sheetView>
  </sheetViews>
  <sheetFormatPr defaultRowHeight="14.5" x14ac:dyDescent="0.35"/>
  <cols>
    <col min="1" max="1" width="23.26953125" bestFit="1" customWidth="1"/>
  </cols>
  <sheetData>
    <row r="1" spans="1:9" x14ac:dyDescent="0.35">
      <c r="A1" s="56"/>
      <c r="B1" s="55" t="s">
        <v>5</v>
      </c>
      <c r="C1" s="55" t="s">
        <v>184</v>
      </c>
      <c r="D1" s="55" t="s">
        <v>183</v>
      </c>
      <c r="E1" s="55" t="s">
        <v>182</v>
      </c>
      <c r="F1" s="55" t="s">
        <v>181</v>
      </c>
      <c r="G1" s="55" t="s">
        <v>180</v>
      </c>
      <c r="H1" s="54" t="s">
        <v>179</v>
      </c>
      <c r="I1" s="62"/>
    </row>
    <row r="2" spans="1:9" x14ac:dyDescent="0.35">
      <c r="A2" s="43" t="s">
        <v>173</v>
      </c>
      <c r="B2" s="52">
        <v>15900000</v>
      </c>
      <c r="C2" s="52">
        <v>4570000</v>
      </c>
      <c r="D2" s="52">
        <v>5240000</v>
      </c>
      <c r="E2" s="52">
        <v>1200000</v>
      </c>
      <c r="F2" s="52">
        <v>1200000</v>
      </c>
      <c r="G2" s="52">
        <v>2650000</v>
      </c>
      <c r="H2" s="51">
        <v>1480000</v>
      </c>
    </row>
    <row r="3" spans="1:9" x14ac:dyDescent="0.35">
      <c r="A3" s="43" t="s">
        <v>170</v>
      </c>
      <c r="B3" s="17">
        <v>0.33801339275229542</v>
      </c>
      <c r="C3" s="17">
        <v>0.40679986673590129</v>
      </c>
      <c r="D3" s="17">
        <v>0.33783012100159637</v>
      </c>
      <c r="E3" s="17">
        <v>0.30692064384445356</v>
      </c>
      <c r="F3" s="17">
        <v>0.46</v>
      </c>
      <c r="G3" s="17">
        <v>0.25428345124605634</v>
      </c>
      <c r="H3" s="48">
        <v>0.41119735566421051</v>
      </c>
    </row>
    <row r="4" spans="1:9" x14ac:dyDescent="0.35">
      <c r="A4" s="43" t="s">
        <v>167</v>
      </c>
      <c r="B4" s="17">
        <v>0.81</v>
      </c>
      <c r="C4" s="17">
        <v>0.81</v>
      </c>
      <c r="D4" s="17">
        <v>0.81</v>
      </c>
      <c r="E4" s="17">
        <v>0.81</v>
      </c>
      <c r="F4" s="17">
        <v>0.81</v>
      </c>
      <c r="G4" s="17">
        <v>0.81</v>
      </c>
      <c r="H4" s="48">
        <v>0.81</v>
      </c>
    </row>
    <row r="5" spans="1:9" x14ac:dyDescent="0.35">
      <c r="A5" s="43" t="s">
        <v>164</v>
      </c>
      <c r="B5" s="42">
        <v>232</v>
      </c>
      <c r="C5" s="42">
        <v>223</v>
      </c>
      <c r="D5" s="42">
        <v>201</v>
      </c>
      <c r="E5" s="42">
        <v>230</v>
      </c>
      <c r="F5" s="42">
        <v>231</v>
      </c>
      <c r="G5" s="42">
        <v>231</v>
      </c>
      <c r="H5" s="41">
        <v>230</v>
      </c>
    </row>
    <row r="6" spans="1:9" ht="15" thickBot="1" x14ac:dyDescent="0.4">
      <c r="A6" s="40" t="s">
        <v>163</v>
      </c>
      <c r="B6" s="39">
        <v>15</v>
      </c>
      <c r="C6" s="39">
        <v>3.5</v>
      </c>
      <c r="D6" s="39">
        <v>3.5</v>
      </c>
      <c r="E6" s="39">
        <v>3.5</v>
      </c>
      <c r="F6" s="39">
        <v>3.5</v>
      </c>
      <c r="G6" s="39">
        <v>3.5</v>
      </c>
      <c r="H6" s="38">
        <v>0.75</v>
      </c>
    </row>
    <row r="8" spans="1:9" x14ac:dyDescent="0.35">
      <c r="A8" s="63" t="s">
        <v>208</v>
      </c>
      <c r="B8" s="64">
        <v>0.5</v>
      </c>
    </row>
    <row r="9" spans="1:9" x14ac:dyDescent="0.35">
      <c r="A9" s="63" t="s">
        <v>209</v>
      </c>
      <c r="B9" s="64">
        <v>0.3</v>
      </c>
    </row>
    <row r="10" spans="1:9" x14ac:dyDescent="0.35">
      <c r="A10" s="63" t="s">
        <v>210</v>
      </c>
      <c r="B10" s="65">
        <v>0.15</v>
      </c>
    </row>
    <row r="11" spans="1:9" x14ac:dyDescent="0.35">
      <c r="A11" s="63" t="s">
        <v>211</v>
      </c>
      <c r="B11" s="65">
        <v>0.15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9B8D-0D8C-4B93-B67C-A6A73F02A8A2}">
  <sheetPr codeName="Sheet11">
    <outlinePr summaryBelow="0" summaryRight="0"/>
  </sheetPr>
  <dimension ref="A1:CR58"/>
  <sheetViews>
    <sheetView topLeftCell="M1" zoomScale="67" zoomScaleNormal="67" workbookViewId="0">
      <selection activeCell="M24" sqref="M24"/>
    </sheetView>
  </sheetViews>
  <sheetFormatPr defaultRowHeight="14.5" x14ac:dyDescent="0.35"/>
  <cols>
    <col min="1" max="1" width="6.81640625" customWidth="1"/>
    <col min="2" max="2" width="24.26953125" bestFit="1" customWidth="1"/>
    <col min="3" max="3" width="4.453125" bestFit="1" customWidth="1"/>
    <col min="4" max="4" width="11.453125" bestFit="1" customWidth="1"/>
    <col min="5" max="5" width="8.26953125" bestFit="1" customWidth="1"/>
    <col min="6" max="6" width="8.453125" bestFit="1" customWidth="1"/>
    <col min="7" max="7" width="5.1796875" customWidth="1"/>
    <col min="8" max="8" width="4.453125" bestFit="1" customWidth="1"/>
    <col min="9" max="9" width="4" bestFit="1" customWidth="1"/>
    <col min="10" max="10" width="4.81640625" bestFit="1" customWidth="1"/>
    <col min="11" max="19" width="5.1796875" customWidth="1"/>
    <col min="20" max="20" width="21.7265625" bestFit="1" customWidth="1"/>
    <col min="21" max="21" width="7.1796875" bestFit="1" customWidth="1"/>
    <col min="22" max="22" width="4.81640625" bestFit="1" customWidth="1"/>
    <col min="23" max="23" width="8.7265625" bestFit="1" customWidth="1"/>
    <col min="24" max="24" width="4.81640625" bestFit="1" customWidth="1"/>
    <col min="25" max="25" width="3.1796875" bestFit="1" customWidth="1"/>
    <col min="26" max="30" width="5" bestFit="1" customWidth="1"/>
    <col min="31" max="34" width="4" bestFit="1" customWidth="1"/>
    <col min="35" max="35" width="4.453125" bestFit="1" customWidth="1"/>
    <col min="36" max="36" width="4" customWidth="1"/>
    <col min="37" max="37" width="4.81640625" bestFit="1" customWidth="1"/>
    <col min="38" max="38" width="4" style="2" bestFit="1" customWidth="1"/>
    <col min="39" max="39" width="5.7265625" style="2" bestFit="1" customWidth="1"/>
    <col min="40" max="40" width="4.81640625" style="2" bestFit="1" customWidth="1"/>
    <col min="41" max="41" width="4" style="2" customWidth="1"/>
    <col min="42" max="42" width="5.26953125" bestFit="1" customWidth="1"/>
    <col min="43" max="43" width="4.81640625" style="2" bestFit="1" customWidth="1"/>
    <col min="44" max="44" width="5.26953125" bestFit="1" customWidth="1"/>
    <col min="45" max="46" width="4.54296875" customWidth="1"/>
    <col min="47" max="47" width="3.26953125" bestFit="1" customWidth="1"/>
    <col min="48" max="48" width="3.54296875" bestFit="1" customWidth="1"/>
    <col min="49" max="49" width="4.54296875" bestFit="1" customWidth="1"/>
    <col min="50" max="65" width="3.54296875" bestFit="1" customWidth="1"/>
    <col min="66" max="68" width="4.26953125" customWidth="1"/>
    <col min="69" max="72" width="7.7265625" style="1" bestFit="1" customWidth="1"/>
    <col min="73" max="74" width="3.54296875" bestFit="1" customWidth="1"/>
    <col min="75" max="75" width="4.54296875" bestFit="1" customWidth="1"/>
    <col min="76" max="92" width="3.54296875" bestFit="1" customWidth="1"/>
    <col min="93" max="94" width="4.54296875" bestFit="1" customWidth="1"/>
    <col min="95" max="95" width="5.1796875" style="1" bestFit="1" customWidth="1"/>
  </cols>
  <sheetData>
    <row r="1" spans="1:96" x14ac:dyDescent="0.35">
      <c r="A1" s="177" t="s">
        <v>187</v>
      </c>
      <c r="B1" s="179"/>
      <c r="C1" s="58" t="s">
        <v>179</v>
      </c>
      <c r="D1" s="57"/>
      <c r="E1" s="57"/>
      <c r="F1" s="177" t="s">
        <v>186</v>
      </c>
      <c r="G1" s="178"/>
      <c r="H1" s="178"/>
      <c r="I1" s="178"/>
      <c r="J1" s="180" t="s">
        <v>202</v>
      </c>
      <c r="K1" s="181"/>
      <c r="L1" s="181"/>
      <c r="M1" s="181"/>
      <c r="N1" s="181"/>
      <c r="O1" s="181"/>
      <c r="P1" s="181"/>
      <c r="Q1" s="181"/>
      <c r="R1" s="181"/>
      <c r="S1" s="182"/>
      <c r="T1" s="177" t="s">
        <v>185</v>
      </c>
      <c r="U1" s="178"/>
      <c r="V1" s="178"/>
      <c r="W1" s="179"/>
      <c r="X1" s="49">
        <v>3</v>
      </c>
      <c r="AL1"/>
      <c r="AM1"/>
      <c r="AN1"/>
      <c r="AO1"/>
      <c r="AQ1"/>
      <c r="BR1" s="37"/>
    </row>
    <row r="2" spans="1:96" x14ac:dyDescent="0.35">
      <c r="B2" t="s">
        <v>178</v>
      </c>
      <c r="C2" s="50">
        <v>3</v>
      </c>
      <c r="T2" s="177" t="s">
        <v>174</v>
      </c>
      <c r="U2" s="178"/>
      <c r="V2" s="178"/>
      <c r="W2" s="179"/>
      <c r="X2" s="49">
        <v>0.2</v>
      </c>
      <c r="AL2"/>
      <c r="AM2"/>
      <c r="AN2"/>
      <c r="AO2"/>
      <c r="AQ2"/>
      <c r="BR2" s="37"/>
    </row>
    <row r="3" spans="1:96" x14ac:dyDescent="0.35">
      <c r="B3" t="s">
        <v>172</v>
      </c>
      <c r="C3" s="50">
        <v>2</v>
      </c>
      <c r="T3" s="177" t="s">
        <v>171</v>
      </c>
      <c r="U3" s="178"/>
      <c r="V3" s="178"/>
      <c r="W3" s="179"/>
      <c r="X3" s="49">
        <v>-0.5</v>
      </c>
      <c r="AL3"/>
      <c r="AM3"/>
      <c r="AN3"/>
      <c r="AO3"/>
      <c r="AQ3"/>
      <c r="BR3" s="37"/>
    </row>
    <row r="4" spans="1:96" x14ac:dyDescent="0.35">
      <c r="B4" t="s">
        <v>169</v>
      </c>
      <c r="C4" s="47">
        <v>0.01</v>
      </c>
      <c r="T4" s="177" t="s">
        <v>168</v>
      </c>
      <c r="U4" s="178"/>
      <c r="V4" s="178"/>
      <c r="W4" s="179"/>
      <c r="X4" s="49">
        <v>1.2</v>
      </c>
      <c r="AL4"/>
      <c r="AM4"/>
      <c r="AN4"/>
      <c r="AO4"/>
      <c r="AQ4"/>
      <c r="BR4" s="37"/>
    </row>
    <row r="5" spans="1:96" x14ac:dyDescent="0.35">
      <c r="B5" t="s">
        <v>207</v>
      </c>
      <c r="C5" s="47" t="s">
        <v>165</v>
      </c>
      <c r="D5" s="46"/>
      <c r="U5" s="45"/>
      <c r="V5" s="44"/>
      <c r="AL5"/>
      <c r="AM5"/>
      <c r="AN5"/>
      <c r="AO5"/>
      <c r="AQ5"/>
      <c r="BR5" s="37"/>
    </row>
    <row r="6" spans="1:96" x14ac:dyDescent="0.35">
      <c r="AL6"/>
      <c r="AM6"/>
      <c r="AN6"/>
      <c r="AO6"/>
      <c r="AQ6"/>
      <c r="BR6" s="37"/>
    </row>
    <row r="7" spans="1:96" x14ac:dyDescent="0.35">
      <c r="AL7"/>
      <c r="AM7"/>
      <c r="AN7"/>
      <c r="AO7"/>
      <c r="AQ7"/>
      <c r="AU7" s="29">
        <f>IF($C$5="ON",BU7,INDEX(Conjoint!$F$9:$F$33,MATCH(AU8,Conjoint!$B$9:$B$33,0)))</f>
        <v>8.4581000000000003E-2</v>
      </c>
      <c r="AV7" s="29">
        <f>IF($C$5="ON",BV7,INDEX(Conjoint!$F$9:$F$33,MATCH(AV8,Conjoint!$B$9:$B$33,0)))</f>
        <v>8.0703200000000017E-2</v>
      </c>
      <c r="AW7" s="29">
        <f>IF($C$5="ON",BW7,INDEX(Conjoint!$F$9:$F$33,MATCH(AW8,Conjoint!$B$9:$B$33,0)))</f>
        <v>9.5090400000000005E-2</v>
      </c>
      <c r="AX7" s="29">
        <f>IF($C$5="ON",BX7,INDEX(Conjoint!$F$9:$F$33,MATCH(AX8,Conjoint!$B$9:$B$33,0)))</f>
        <v>8.2614000000000007E-2</v>
      </c>
      <c r="AY7" s="29">
        <f>IF($C$5="ON",BY7,INDEX(Conjoint!$F$9:$F$33,MATCH(AY8,Conjoint!$B$9:$B$33,0)))</f>
        <v>6.1089400000000009E-2</v>
      </c>
      <c r="AZ7" s="29">
        <f>IF($C$5="ON",BZ7,INDEX(Conjoint!$F$9:$F$33,MATCH(AZ8,Conjoint!$B$9:$B$33,0)))</f>
        <v>5.8054600000000005E-2</v>
      </c>
      <c r="BA7" s="29">
        <f>IF($C$5="ON",CA7,INDEX(Conjoint!$F$9:$F$33,MATCH(BA8,Conjoint!$B$9:$B$33,0)))</f>
        <v>3.8047400000000002E-2</v>
      </c>
      <c r="BB7" s="29">
        <f>IF($C$5="ON",CB7,INDEX(Conjoint!$F$9:$F$33,MATCH(BB8,Conjoint!$B$9:$B$33,0)))</f>
        <v>6.1820000000000007E-2</v>
      </c>
      <c r="BC7" s="29">
        <f>IF($C$5="ON",CC7,INDEX(Conjoint!$F$9:$F$33,MATCH(BC8,Conjoint!$B$9:$B$33,0)))</f>
        <v>6.1469900000000001E-2</v>
      </c>
      <c r="BD7" s="29">
        <f>IF($C$5="ON",CD7,INDEX(Conjoint!$F$9:$F$33,MATCH(BD8,Conjoint!$B$9:$B$33,0)))</f>
        <v>2.4572900000000002E-2</v>
      </c>
      <c r="BE7" s="29">
        <f>IF($C$5="ON",CE7,INDEX(Conjoint!$F$9:$F$33,MATCH(BE8,Conjoint!$B$9:$B$33,0)))</f>
        <v>3.06471E-2</v>
      </c>
      <c r="BF7" s="29">
        <f>IF($C$5="ON",CF7,INDEX(Conjoint!$F$9:$F$33,MATCH(BF8,Conjoint!$B$9:$B$33,0)))</f>
        <v>3.4964300000000004E-2</v>
      </c>
      <c r="BG7" s="29">
        <f>IF($C$5="ON",CG7,INDEX(Conjoint!$F$9:$F$33,MATCH(BG8,Conjoint!$B$9:$B$33,0)))</f>
        <v>4.6008299999999995E-2</v>
      </c>
      <c r="BH7" s="29">
        <f>IF($C$5="ON",CH7,INDEX(Conjoint!$F$9:$F$33,MATCH(BH8,Conjoint!$B$9:$B$33,0)))</f>
        <v>2.14354E-2</v>
      </c>
      <c r="BI7" s="29">
        <f>IF($C$5="ON",CI7,INDEX(Conjoint!$F$9:$F$33,MATCH(BI8,Conjoint!$B$9:$B$33,0)))</f>
        <v>3.1877000000000003E-2</v>
      </c>
      <c r="BJ7" s="29">
        <f>IF($C$5="ON",CJ7,INDEX(Conjoint!$F$9:$F$33,MATCH(BJ8,Conjoint!$B$9:$B$33,0)))</f>
        <v>5.9704054739999991E-2</v>
      </c>
      <c r="BK7" s="29">
        <f>IF($C$5="ON",CK7,INDEX(Conjoint!$F$9:$F$33,MATCH(BK8,Conjoint!$B$9:$B$33,0)))</f>
        <v>4.0027204139999994E-2</v>
      </c>
      <c r="BL7" s="29">
        <f>IF($C$5="ON",CL7,INDEX(Conjoint!$F$9:$F$33,MATCH(BL8,Conjoint!$B$9:$B$33,0)))</f>
        <v>3.2328141120000001E-2</v>
      </c>
      <c r="BM7" s="29">
        <f>IF($C$5="ON",CM7,INDEX(Conjoint!$F$9:$F$33,MATCH(BM8,Conjoint!$B$9:$B$33,0)))</f>
        <v>5.4940599999999999E-2</v>
      </c>
      <c r="BN7" s="29">
        <f>IF($C$5="ON",CN7,INDEX(Conjoint!$F$9:$F$37,MATCH(BN8,Conjoint!$B$9:$B$37,0)))</f>
        <v>0.05</v>
      </c>
      <c r="BO7" s="29">
        <f>IF($C$5="ON",CO7,INDEX(Conjoint!$F$9:$F$37,MATCH(BO8,Conjoint!$B$9:$B$37,0)))</f>
        <v>0.47499999999999998</v>
      </c>
      <c r="BP7" s="29">
        <f>IF($C$5="ON",CP7,INDEX(Conjoint!$F$9:$F$37,MATCH(BP8,Conjoint!$B$9:$B$37,0)))</f>
        <v>0.47499999999999998</v>
      </c>
      <c r="BQ7" s="33">
        <f>MAX(BQ9:BQ58)</f>
        <v>4.9932578149053504E-2</v>
      </c>
      <c r="BR7" s="36">
        <f>SUM(BR9:BR58)</f>
        <v>81.850000000000037</v>
      </c>
      <c r="BS7" s="35"/>
      <c r="BT7" s="34">
        <f>SUM(BT9:BT58)</f>
        <v>0.51114776305424126</v>
      </c>
      <c r="BU7" s="29">
        <v>8.4581000000000003E-2</v>
      </c>
      <c r="BV7" s="29">
        <v>8.0703200000000017E-2</v>
      </c>
      <c r="BW7" s="29">
        <v>9.5090400000000005E-2</v>
      </c>
      <c r="BX7" s="29">
        <v>8.2614000000000007E-2</v>
      </c>
      <c r="BY7" s="29">
        <v>6.1089400000000009E-2</v>
      </c>
      <c r="BZ7" s="29">
        <v>5.8054600000000005E-2</v>
      </c>
      <c r="CA7" s="29">
        <v>3.8047400000000002E-2</v>
      </c>
      <c r="CB7" s="29">
        <v>6.1820000000000007E-2</v>
      </c>
      <c r="CC7" s="29">
        <v>6.1469900000000001E-2</v>
      </c>
      <c r="CD7" s="29">
        <v>2.4572900000000002E-2</v>
      </c>
      <c r="CE7" s="29">
        <v>3.06471E-2</v>
      </c>
      <c r="CF7" s="29">
        <v>3.4964300000000004E-2</v>
      </c>
      <c r="CG7" s="29">
        <v>4.6008299999999995E-2</v>
      </c>
      <c r="CH7" s="29">
        <v>2.14354E-2</v>
      </c>
      <c r="CI7" s="29">
        <v>3.1877000000000003E-2</v>
      </c>
      <c r="CJ7" s="29">
        <v>5.9704054739999991E-2</v>
      </c>
      <c r="CK7" s="29">
        <v>4.0027204139999994E-2</v>
      </c>
      <c r="CL7" s="29">
        <v>3.2328141120000001E-2</v>
      </c>
      <c r="CM7" s="29">
        <v>5.4940599999999999E-2</v>
      </c>
      <c r="CN7" s="29">
        <v>0.05</v>
      </c>
      <c r="CO7" s="29">
        <v>0.47499999999999998</v>
      </c>
      <c r="CP7" s="28">
        <v>0.47499999999999998</v>
      </c>
      <c r="CQ7" s="33">
        <v>5.3883834849545127E-2</v>
      </c>
    </row>
    <row r="8" spans="1:96" ht="104.25" customHeight="1" x14ac:dyDescent="0.35">
      <c r="A8" s="30" t="s">
        <v>162</v>
      </c>
      <c r="B8" s="30" t="s">
        <v>161</v>
      </c>
      <c r="C8" s="31" t="s">
        <v>160</v>
      </c>
      <c r="D8" s="31" t="s">
        <v>159</v>
      </c>
      <c r="E8" s="31" t="s">
        <v>158</v>
      </c>
      <c r="F8" s="31" t="s">
        <v>157</v>
      </c>
      <c r="G8" s="31" t="s">
        <v>156</v>
      </c>
      <c r="H8" s="31" t="s">
        <v>155</v>
      </c>
      <c r="I8" s="31" t="s">
        <v>154</v>
      </c>
      <c r="J8" s="32" t="s">
        <v>206</v>
      </c>
      <c r="K8" s="32" t="s">
        <v>205</v>
      </c>
      <c r="L8" s="32" t="s">
        <v>153</v>
      </c>
      <c r="M8" s="32" t="s">
        <v>204</v>
      </c>
      <c r="N8" s="32" t="s">
        <v>203</v>
      </c>
      <c r="O8" s="32" t="s">
        <v>202</v>
      </c>
      <c r="P8" s="32" t="s">
        <v>201</v>
      </c>
      <c r="Q8" s="32" t="s">
        <v>200</v>
      </c>
      <c r="R8" s="32" t="s">
        <v>152</v>
      </c>
      <c r="S8" s="32" t="s">
        <v>151</v>
      </c>
      <c r="T8" s="31" t="s">
        <v>150</v>
      </c>
      <c r="U8" s="31" t="s">
        <v>199</v>
      </c>
      <c r="V8" s="31" t="s">
        <v>198</v>
      </c>
      <c r="W8" s="31" t="s">
        <v>149</v>
      </c>
      <c r="X8" s="31" t="s">
        <v>148</v>
      </c>
      <c r="Y8" s="31" t="s">
        <v>147</v>
      </c>
      <c r="Z8" s="31" t="s">
        <v>146</v>
      </c>
      <c r="AA8" s="31" t="s">
        <v>145</v>
      </c>
      <c r="AB8" s="31" t="s">
        <v>144</v>
      </c>
      <c r="AC8" s="31" t="s">
        <v>143</v>
      </c>
      <c r="AD8" s="31" t="s">
        <v>142</v>
      </c>
      <c r="AE8" s="31" t="s">
        <v>141</v>
      </c>
      <c r="AF8" s="31" t="s">
        <v>140</v>
      </c>
      <c r="AG8" s="31" t="s">
        <v>139</v>
      </c>
      <c r="AH8" s="31" t="s">
        <v>138</v>
      </c>
      <c r="AI8" s="31" t="s">
        <v>137</v>
      </c>
      <c r="AJ8" s="31" t="s">
        <v>136</v>
      </c>
      <c r="AK8" s="31" t="s">
        <v>135</v>
      </c>
      <c r="AL8" s="31" t="s">
        <v>134</v>
      </c>
      <c r="AM8" s="31" t="s">
        <v>133</v>
      </c>
      <c r="AN8" s="31" t="s">
        <v>132</v>
      </c>
      <c r="AO8" s="31" t="s">
        <v>131</v>
      </c>
      <c r="AP8" s="31" t="s">
        <v>130</v>
      </c>
      <c r="AQ8" s="31" t="s">
        <v>129</v>
      </c>
      <c r="AR8" s="31" t="s">
        <v>128</v>
      </c>
      <c r="AS8" s="31" t="s">
        <v>127</v>
      </c>
      <c r="AT8" s="31"/>
      <c r="AU8" s="26" t="s">
        <v>119</v>
      </c>
      <c r="AV8" s="25" t="s">
        <v>118</v>
      </c>
      <c r="AW8" s="25" t="s">
        <v>117</v>
      </c>
      <c r="AX8" s="25" t="s">
        <v>116</v>
      </c>
      <c r="AY8" s="25" t="s">
        <v>115</v>
      </c>
      <c r="AZ8" s="25" t="s">
        <v>114</v>
      </c>
      <c r="BA8" s="25" t="s">
        <v>113</v>
      </c>
      <c r="BB8" s="25" t="s">
        <v>112</v>
      </c>
      <c r="BC8" s="25" t="s">
        <v>111</v>
      </c>
      <c r="BD8" s="25" t="s">
        <v>110</v>
      </c>
      <c r="BE8" s="25" t="s">
        <v>109</v>
      </c>
      <c r="BF8" s="25" t="s">
        <v>108</v>
      </c>
      <c r="BG8" s="25" t="s">
        <v>107</v>
      </c>
      <c r="BH8" s="25" t="s">
        <v>106</v>
      </c>
      <c r="BI8" s="25" t="s">
        <v>105</v>
      </c>
      <c r="BJ8" s="25" t="s">
        <v>104</v>
      </c>
      <c r="BK8" s="25" t="s">
        <v>103</v>
      </c>
      <c r="BL8" s="25" t="s">
        <v>102</v>
      </c>
      <c r="BM8" s="25" t="s">
        <v>101</v>
      </c>
      <c r="BN8" s="29" t="s">
        <v>123</v>
      </c>
      <c r="BO8" s="29" t="s">
        <v>122</v>
      </c>
      <c r="BP8" s="28" t="s">
        <v>121</v>
      </c>
      <c r="BQ8" s="27" t="s">
        <v>120</v>
      </c>
      <c r="BR8" s="27" t="s">
        <v>126</v>
      </c>
      <c r="BS8" s="27" t="s">
        <v>125</v>
      </c>
      <c r="BT8" s="27" t="s">
        <v>124</v>
      </c>
      <c r="BU8" s="26" t="s">
        <v>119</v>
      </c>
      <c r="BV8" s="25" t="s">
        <v>118</v>
      </c>
      <c r="BW8" s="25" t="s">
        <v>117</v>
      </c>
      <c r="BX8" s="25" t="s">
        <v>116</v>
      </c>
      <c r="BY8" s="25" t="s">
        <v>115</v>
      </c>
      <c r="BZ8" s="25" t="s">
        <v>114</v>
      </c>
      <c r="CA8" s="25" t="s">
        <v>113</v>
      </c>
      <c r="CB8" s="25" t="s">
        <v>112</v>
      </c>
      <c r="CC8" s="25" t="s">
        <v>111</v>
      </c>
      <c r="CD8" s="25" t="s">
        <v>110</v>
      </c>
      <c r="CE8" s="25" t="s">
        <v>109</v>
      </c>
      <c r="CF8" s="25" t="s">
        <v>108</v>
      </c>
      <c r="CG8" s="25" t="s">
        <v>107</v>
      </c>
      <c r="CH8" s="25" t="s">
        <v>106</v>
      </c>
      <c r="CI8" s="25" t="s">
        <v>105</v>
      </c>
      <c r="CJ8" s="25" t="s">
        <v>104</v>
      </c>
      <c r="CK8" s="25" t="s">
        <v>103</v>
      </c>
      <c r="CL8" s="25" t="s">
        <v>102</v>
      </c>
      <c r="CM8" s="25" t="s">
        <v>101</v>
      </c>
      <c r="CN8" s="29" t="s">
        <v>123</v>
      </c>
      <c r="CO8" s="29" t="s">
        <v>122</v>
      </c>
      <c r="CP8" s="28" t="s">
        <v>121</v>
      </c>
      <c r="CQ8" s="27" t="s">
        <v>120</v>
      </c>
    </row>
    <row r="9" spans="1:96" x14ac:dyDescent="0.35">
      <c r="A9" s="9" t="str">
        <f t="shared" ref="A9:A58" si="0">$C$1</f>
        <v>JP</v>
      </c>
      <c r="B9" s="9" t="s">
        <v>49</v>
      </c>
      <c r="C9" s="20"/>
      <c r="D9" s="9" t="s">
        <v>48</v>
      </c>
      <c r="E9" s="9" t="s">
        <v>193</v>
      </c>
      <c r="F9" s="9" t="s">
        <v>47</v>
      </c>
      <c r="G9" s="19">
        <v>0.45900000000000002</v>
      </c>
      <c r="H9" s="9">
        <v>2014</v>
      </c>
      <c r="I9" s="9">
        <v>6</v>
      </c>
      <c r="J9" s="18">
        <f>INDEX(PTRS!$D$6:$D$12,MATCH('7'!$F9,PTRS!$B$6:$B$12,0))</f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36" si="1">BQ9/$BQ$7</f>
        <v>0.74129766176673451</v>
      </c>
      <c r="V9" s="17">
        <v>1</v>
      </c>
      <c r="W9" s="9" t="s">
        <v>46</v>
      </c>
      <c r="X9" s="9">
        <f>INDEX('Unique Asset List'!$C$4:$I$60,MATCH('7'!$B9,'Unique Asset List'!$A$4:$A$60,0),MATCH('7'!$C$1,'Unique Asset List'!$C$3:$I$3,0))</f>
        <v>1982</v>
      </c>
      <c r="Y9" s="9">
        <f>INDEX('Unique Asset List'!$J$4:$P$60,MATCH('7'!$B9,'Unique Asset List'!$A$4:$A$60,0),MATCH('7'!$C$1,'Unique Asset List'!$J$3:$P$3,0))</f>
        <v>11</v>
      </c>
      <c r="Z9" s="9">
        <f>INDEX('Unique Asset List'!$X$4:$AD$60,MATCH('7'!$B9,'Unique Asset List'!$A$4:$A$60,0),MATCH('7'!$C$1,'Unique Asset List'!$X$3:$AD$3,0))</f>
        <v>1990</v>
      </c>
      <c r="AA9" s="9">
        <f>INDEX('Unique Asset List'!$AE$4:$AK$60,MATCH('7'!$B9,'Unique Asset List'!$A$4:$A$60,0),MATCH('7'!$C$1,'Unique Asset List'!$AE$3:$AK$3,0))</f>
        <v>11</v>
      </c>
      <c r="AB9" s="16">
        <f t="shared" ref="AB9:AB36" si="2">SUMPRODUCT($AU9:$BB9,$AU$7:$BB$7)</f>
        <v>1.4218038</v>
      </c>
      <c r="AC9" s="16">
        <f t="shared" ref="AC9:AC36" si="3">SUMPRODUCT($BC9:$BI9,$BC$7:$BI$7)</f>
        <v>0.72835179999999999</v>
      </c>
      <c r="AD9" s="16">
        <f t="shared" ref="AD9:AD36" si="4">SUMPRODUCT($BJ9:$BM9,$BJ$7:$BM$7)</f>
        <v>0.56099999999999994</v>
      </c>
      <c r="AE9" s="15">
        <f>INDEX('Unique Asset List'!$BN$4:$BT$60,MATCH('7'!$B9,'Unique Asset List'!$A$4:$A$60,0),MATCH('7'!$C$1,'Unique Asset List'!$BN$3:$BT$3,0))</f>
        <v>0.16</v>
      </c>
      <c r="AF9" s="15">
        <f>INDEX('Unique Asset List'!$BU$4:$CA$60,MATCH('7'!$B9,'Unique Asset List'!$A$4:$A$60,0),MATCH('7'!$C$1,'Unique Asset List'!$BU$3:$CA$3,0))</f>
        <v>0.34</v>
      </c>
      <c r="AG9" s="15">
        <f>INDEX('Unique Asset List'!$AZ$4:$BF$60,MATCH('7'!$B9,'Unique Asset List'!$A$4:$A$60,0),MATCH('7'!$C$1,'Unique Asset List'!$AZ$3:$BF$3,0))</f>
        <v>0.16</v>
      </c>
      <c r="AH9" s="15">
        <f>INDEX('Unique Asset List'!$BG$4:$BM$60,MATCH('7'!$B9,'Unique Asset List'!$A$4:$A$60,0),MATCH('7'!$C$1,'Unique Asset List'!$BG$3:$BM$3,0))</f>
        <v>0.34</v>
      </c>
      <c r="AI9" s="11">
        <v>0.7</v>
      </c>
      <c r="AJ9" s="15">
        <f>INDEX('Unique Asset List'!$AL$4:$AR$60,MATCH('7'!$B9,'Unique Asset List'!$A$4:$A$60,0),MATCH('7'!$C$1,'Unique Asset List'!$AL$3:$AR$3,0))</f>
        <v>0.14000000000000001</v>
      </c>
      <c r="AK9" s="15">
        <f>INDEX('Unique Asset List'!$AS$4:$AY$60,MATCH('7'!$B9,'Unique Asset List'!$A$4:$A$60,0),MATCH('7'!$C$1,'Unique Asset List'!$AS$3:$AY$3,0))</f>
        <v>0.15</v>
      </c>
      <c r="AL9" s="9">
        <v>169</v>
      </c>
      <c r="AM9" s="14">
        <f>INDEX(Simulation!$B$6:$H$6,MATCH($A9,Simulation!$B$1:$H$1,0))*(1+AN9)^((DATE(X9,Y9,15)-DATE(2017,1,15))/365.5)</f>
        <v>0.75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58" si="5">AP9</f>
        <v>0.82</v>
      </c>
      <c r="AS9" s="10">
        <v>1</v>
      </c>
      <c r="AT9" s="10"/>
      <c r="AU9" s="4">
        <f>IF($C$5="ON",BU9,MyRating(_E1,$B9,Efficacy!$F$1))</f>
        <v>2</v>
      </c>
      <c r="AV9" s="3">
        <f>IF($C$5="ON",BV9,MyRating(_E2,$B9,Efficacy!$F$1))</f>
        <v>2</v>
      </c>
      <c r="AW9" s="3">
        <f>IF($C$5="ON",BW9,MyRating(_E3,$B9,Efficacy!$F$1))</f>
        <v>2</v>
      </c>
      <c r="AX9" s="3">
        <f>IF($C$5="ON",BX9,MyRating(_E4,$B9,Efficacy!$F$1))</f>
        <v>2</v>
      </c>
      <c r="AY9" s="3">
        <f>IF($C$5="ON",BY9,MyRating(_E5,$B9,Efficacy!$F$1))</f>
        <v>2</v>
      </c>
      <c r="AZ9" s="3">
        <f>IF($C$5="ON",BZ9,MyRating(_E6,$B9,Efficacy!$F$1))</f>
        <v>5</v>
      </c>
      <c r="BA9" s="3">
        <f>IF($C$5="ON",CA9,MyRating(_E7,$B9,Efficacy!$F$1))</f>
        <v>2</v>
      </c>
      <c r="BB9" s="3">
        <f>IF($C$5="ON",CB9,MyRating(_E8,$B9,Efficacy!$F$1))</f>
        <v>4</v>
      </c>
      <c r="BC9" s="3">
        <f>IF($C$5="ON",CC9,MyRating(_S1,$B9,Efficacy!$F$1))</f>
        <v>3</v>
      </c>
      <c r="BD9" s="3">
        <f>IF($C$5="ON",CD9,MyRating(_S2,$B9,Efficacy!$F$1))</f>
        <v>2</v>
      </c>
      <c r="BE9" s="3">
        <f>IF($C$5="ON",CE9,MyRating(_S3,$B9,Efficacy!$F$1))</f>
        <v>3</v>
      </c>
      <c r="BF9" s="3">
        <f>IF($C$5="ON",CF9,MyRating(_S4,$B9,Efficacy!$F$1))</f>
        <v>3</v>
      </c>
      <c r="BG9" s="3">
        <f>IF($C$5="ON",CG9,MyRating(_S5,$B9,Efficacy!$F$1))</f>
        <v>3</v>
      </c>
      <c r="BH9" s="3">
        <f>IF($C$5="ON",CH9,MyRating(_S6,$B9,Efficacy!$F$1))</f>
        <v>3</v>
      </c>
      <c r="BI9" s="3">
        <f>IF($C$5="ON",CI9,MyRating(_S7,$B9,Efficacy!$F$1))</f>
        <v>3</v>
      </c>
      <c r="BJ9" s="3">
        <f>IF($C$5="ON",CJ9,MyRating(_D1,$B9,Efficacy!$F$1))</f>
        <v>3</v>
      </c>
      <c r="BK9" s="3">
        <f>IF($C$5="ON",CK9,MyRating(_D2,$B9,Efficacy!$F$1))</f>
        <v>3</v>
      </c>
      <c r="BL9" s="3">
        <f>IF($C$5="ON",CL9,MyRating(_D3,$B9,Efficacy!$F$1))</f>
        <v>3</v>
      </c>
      <c r="BM9" s="3">
        <f>IF($C$5="ON",CM9,MyRating(_D4,$B9,Efficacy!$F$1))</f>
        <v>3</v>
      </c>
      <c r="BN9" s="3">
        <f>IF($C$5="ON",CN9,MyRating(_B1G5,$B9,Barrier!$L$2))</f>
        <v>3</v>
      </c>
      <c r="BO9" s="3">
        <f>IF($C$5="ON",CO9,MyRating(_B2,$B9,Barrier!$F$2))</f>
        <v>3</v>
      </c>
      <c r="BP9" s="6">
        <f>IF($C$5="ON",CP9,MyRating(_B3,$B9,Barrier!$F$2))</f>
        <v>3</v>
      </c>
      <c r="BQ9" s="5">
        <f t="shared" ref="BQ9:BQ58" si="6">BT9/$BT$7</f>
        <v>3.7014903427878103E-2</v>
      </c>
      <c r="BR9" s="8">
        <f t="shared" ref="BR9:BR58" si="7">SUMPRODUCT($BN9:$BP9,$BN$7:$BP$7)</f>
        <v>2.9999999999999996</v>
      </c>
      <c r="BS9" s="5">
        <f t="shared" ref="BS9:BS58" si="8">BR9/$BR$7</f>
        <v>3.6652412950519221E-2</v>
      </c>
      <c r="BT9" s="7">
        <f t="shared" ref="BT9:BT58" si="9">BS9^$X$4</f>
        <v>1.8920085086828659E-2</v>
      </c>
      <c r="BU9" s="4">
        <v>2</v>
      </c>
      <c r="BV9" s="3">
        <v>2</v>
      </c>
      <c r="BW9" s="3">
        <v>2</v>
      </c>
      <c r="BX9" s="3">
        <v>2</v>
      </c>
      <c r="BY9" s="3">
        <v>2</v>
      </c>
      <c r="BZ9" s="3">
        <v>5</v>
      </c>
      <c r="CA9" s="3">
        <v>2</v>
      </c>
      <c r="CB9" s="3">
        <v>4</v>
      </c>
      <c r="CC9" s="3">
        <v>3</v>
      </c>
      <c r="CD9" s="3">
        <v>2</v>
      </c>
      <c r="CE9" s="3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6">
        <v>3</v>
      </c>
      <c r="CQ9" s="5">
        <v>3.7014903427878103E-2</v>
      </c>
      <c r="CR9" s="61"/>
    </row>
    <row r="10" spans="1:96" x14ac:dyDescent="0.35">
      <c r="A10" s="9" t="str">
        <f t="shared" si="0"/>
        <v>JP</v>
      </c>
      <c r="B10" s="9" t="s">
        <v>197</v>
      </c>
      <c r="C10" s="20"/>
      <c r="D10" s="9" t="s">
        <v>48</v>
      </c>
      <c r="E10" s="9" t="s">
        <v>193</v>
      </c>
      <c r="F10" s="9" t="s">
        <v>47</v>
      </c>
      <c r="G10" s="19">
        <v>0.41899999999999998</v>
      </c>
      <c r="H10" s="9">
        <v>2014</v>
      </c>
      <c r="I10" s="9">
        <v>6</v>
      </c>
      <c r="J10" s="18">
        <f>INDEX(PTRS!$D$6:$D$12,MATCH('7'!$F10,PTRS!$B$6:$B$12,0))</f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0.74129766176673451</v>
      </c>
      <c r="V10" s="17">
        <v>1</v>
      </c>
      <c r="W10" s="9" t="s">
        <v>195</v>
      </c>
      <c r="X10" s="9">
        <f>INDEX('Unique Asset List'!$C$4:$I$60,MATCH('7'!$B10,'Unique Asset List'!$A$4:$A$60,0),MATCH('7'!$C$1,'Unique Asset List'!$C$3:$I$3,0))</f>
        <v>1980</v>
      </c>
      <c r="Y10" s="9">
        <f>INDEX('Unique Asset List'!$J$4:$P$60,MATCH('7'!$B10,'Unique Asset List'!$A$4:$A$60,0),MATCH('7'!$C$1,'Unique Asset List'!$J$3:$P$3,0))</f>
        <v>7</v>
      </c>
      <c r="Z10" s="9">
        <f>INDEX('Unique Asset List'!$X$4:$AD$60,MATCH('7'!$B10,'Unique Asset List'!$A$4:$A$60,0),MATCH('7'!$C$1,'Unique Asset List'!$X$3:$AD$3,0))</f>
        <v>1988</v>
      </c>
      <c r="AA10" s="9">
        <f>INDEX('Unique Asset List'!$AE$4:$AK$60,MATCH('7'!$B10,'Unique Asset List'!$A$4:$A$60,0),MATCH('7'!$C$1,'Unique Asset List'!$AE$3:$AK$3,0))</f>
        <v>7</v>
      </c>
      <c r="AB10" s="16">
        <f t="shared" si="2"/>
        <v>1.5698908</v>
      </c>
      <c r="AC10" s="16">
        <f t="shared" si="3"/>
        <v>0.99973299999999998</v>
      </c>
      <c r="AD10" s="16">
        <f t="shared" si="4"/>
        <v>0.46126874111999994</v>
      </c>
      <c r="AE10" s="15">
        <f>INDEX('Unique Asset List'!$BN$4:$BT$60,MATCH('7'!$B10,'Unique Asset List'!$A$4:$A$60,0),MATCH('7'!$C$1,'Unique Asset List'!$BN$3:$BT$3,0))</f>
        <v>0.16</v>
      </c>
      <c r="AF10" s="15">
        <f>INDEX('Unique Asset List'!$BU$4:$CA$60,MATCH('7'!$B10,'Unique Asset List'!$A$4:$A$60,0),MATCH('7'!$C$1,'Unique Asset List'!$BU$3:$CA$3,0))</f>
        <v>0.34</v>
      </c>
      <c r="AG10" s="15">
        <f>INDEX('Unique Asset List'!$AZ$4:$BF$60,MATCH('7'!$B10,'Unique Asset List'!$A$4:$A$60,0),MATCH('7'!$C$1,'Unique Asset List'!$AZ$3:$BF$3,0))</f>
        <v>0.16</v>
      </c>
      <c r="AH10" s="15">
        <f>INDEX('Unique Asset List'!$BG$4:$BM$60,MATCH('7'!$B10,'Unique Asset List'!$A$4:$A$60,0),MATCH('7'!$C$1,'Unique Asset List'!$BG$3:$BM$3,0))</f>
        <v>0.34</v>
      </c>
      <c r="AI10" s="11">
        <v>0.7</v>
      </c>
      <c r="AJ10" s="15">
        <f>INDEX('Unique Asset List'!$AL$4:$AR$60,MATCH('7'!$B10,'Unique Asset List'!$A$4:$A$60,0),MATCH('7'!$C$1,'Unique Asset List'!$AL$3:$AR$3,0))</f>
        <v>0.14000000000000001</v>
      </c>
      <c r="AK10" s="15">
        <f>INDEX('Unique Asset List'!$AS$4:$AY$60,MATCH('7'!$B10,'Unique Asset List'!$A$4:$A$60,0),MATCH('7'!$C$1,'Unique Asset List'!$AS$3:$AY$3,0))</f>
        <v>0.15</v>
      </c>
      <c r="AL10" s="9">
        <v>169</v>
      </c>
      <c r="AM10" s="14">
        <f>INDEX(Simulation!$B$6:$H$6,MATCH($A10,Simulation!$B$1:$H$1,0))*(1+AN10)^((DATE(X10,Y10,15)-DATE(2017,1,15))/365.5)</f>
        <v>0.75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5"/>
        <v>0.82</v>
      </c>
      <c r="AS10" s="10">
        <v>1</v>
      </c>
      <c r="AT10" s="10"/>
      <c r="AU10" s="4">
        <f>IF($C$5="ON",BU10,MyRating(_E1,$B10,Efficacy!$F$1))</f>
        <v>3</v>
      </c>
      <c r="AV10" s="3">
        <f>IF($C$5="ON",BV10,MyRating(_E2,$B10,Efficacy!$F$1))</f>
        <v>3</v>
      </c>
      <c r="AW10" s="3">
        <f>IF($C$5="ON",BW10,MyRating(_E3,$B10,Efficacy!$F$1))</f>
        <v>3</v>
      </c>
      <c r="AX10" s="3">
        <f>IF($C$5="ON",BX10,MyRating(_E4,$B10,Efficacy!$F$1))</f>
        <v>3</v>
      </c>
      <c r="AY10" s="3">
        <f>IF($C$5="ON",BY10,MyRating(_E5,$B10,Efficacy!$F$1))</f>
        <v>3</v>
      </c>
      <c r="AZ10" s="3">
        <f>IF($C$5="ON",BZ10,MyRating(_E6,$B10,Efficacy!$F$1))</f>
        <v>1</v>
      </c>
      <c r="BA10" s="3">
        <f>IF($C$5="ON",CA10,MyRating(_E7,$B10,Efficacy!$F$1))</f>
        <v>3</v>
      </c>
      <c r="BB10" s="3">
        <f>IF($C$5="ON",CB10,MyRating(_E8,$B10,Efficacy!$F$1))</f>
        <v>3</v>
      </c>
      <c r="BC10" s="3">
        <f>IF($C$5="ON",CC10,MyRating(_S1,$B10,Efficacy!$F$1))</f>
        <v>4</v>
      </c>
      <c r="BD10" s="3">
        <f>IF($C$5="ON",CD10,MyRating(_S2,$B10,Efficacy!$F$1))</f>
        <v>5</v>
      </c>
      <c r="BE10" s="3">
        <f>IF($C$5="ON",CE10,MyRating(_S3,$B10,Efficacy!$F$1))</f>
        <v>4</v>
      </c>
      <c r="BF10" s="3">
        <f>IF($C$5="ON",CF10,MyRating(_S4,$B10,Efficacy!$F$1))</f>
        <v>4</v>
      </c>
      <c r="BG10" s="3">
        <f>IF($C$5="ON",CG10,MyRating(_S5,$B10,Efficacy!$F$1))</f>
        <v>5</v>
      </c>
      <c r="BH10" s="3">
        <f>IF($C$5="ON",CH10,MyRating(_S6,$B10,Efficacy!$F$1))</f>
        <v>2</v>
      </c>
      <c r="BI10" s="3">
        <f>IF($C$5="ON",CI10,MyRating(_S7,$B10,Efficacy!$F$1))</f>
        <v>3</v>
      </c>
      <c r="BJ10" s="3">
        <f>IF($C$5="ON",CJ10,MyRating(_D1,$B10,Efficacy!$F$1))</f>
        <v>2</v>
      </c>
      <c r="BK10" s="3">
        <f>IF($C$5="ON",CK10,MyRating(_D2,$B10,Efficacy!$F$1))</f>
        <v>2</v>
      </c>
      <c r="BL10" s="3">
        <f>IF($C$5="ON",CL10,MyRating(_D3,$B10,Efficacy!$F$1))</f>
        <v>3</v>
      </c>
      <c r="BM10" s="3">
        <f>IF($C$5="ON",CM10,MyRating(_D4,$B10,Efficacy!$F$1))</f>
        <v>3</v>
      </c>
      <c r="BN10" s="3">
        <f>IF($C$5="ON",CN10,MyRating(_B1G5,$B10,Barrier!$L$2))</f>
        <v>3</v>
      </c>
      <c r="BO10" s="3">
        <f>IF($C$5="ON",CO10,MyRating(_B2,$B10,Barrier!$F$2))</f>
        <v>3</v>
      </c>
      <c r="BP10" s="6">
        <f>IF($C$5="ON",CP10,MyRating(_B3,$B10,Barrier!$F$2))</f>
        <v>3</v>
      </c>
      <c r="BQ10" s="5">
        <f t="shared" si="6"/>
        <v>3.7014903427878103E-2</v>
      </c>
      <c r="BR10" s="8">
        <f t="shared" si="7"/>
        <v>2.9999999999999996</v>
      </c>
      <c r="BS10" s="5">
        <f t="shared" si="8"/>
        <v>3.6652412950519221E-2</v>
      </c>
      <c r="BT10" s="7">
        <f t="shared" si="9"/>
        <v>1.8920085086828659E-2</v>
      </c>
      <c r="BU10" s="4">
        <v>3</v>
      </c>
      <c r="BV10" s="3">
        <v>3</v>
      </c>
      <c r="BW10" s="3">
        <v>3</v>
      </c>
      <c r="BX10" s="3">
        <v>3</v>
      </c>
      <c r="BY10" s="3">
        <v>3</v>
      </c>
      <c r="BZ10" s="3">
        <v>1</v>
      </c>
      <c r="CA10" s="3">
        <v>3</v>
      </c>
      <c r="CB10" s="3">
        <v>3</v>
      </c>
      <c r="CC10" s="3">
        <v>4</v>
      </c>
      <c r="CD10" s="3">
        <v>5</v>
      </c>
      <c r="CE10" s="3">
        <v>4</v>
      </c>
      <c r="CF10" s="3">
        <v>4</v>
      </c>
      <c r="CG10" s="3">
        <v>5</v>
      </c>
      <c r="CH10" s="3">
        <v>2</v>
      </c>
      <c r="CI10" s="3">
        <v>3</v>
      </c>
      <c r="CJ10" s="3">
        <v>2</v>
      </c>
      <c r="CK10" s="3">
        <v>2</v>
      </c>
      <c r="CL10" s="3">
        <v>3</v>
      </c>
      <c r="CM10" s="3">
        <v>3</v>
      </c>
      <c r="CN10" s="3">
        <v>3</v>
      </c>
      <c r="CO10" s="3">
        <v>3</v>
      </c>
      <c r="CP10" s="6">
        <v>3</v>
      </c>
      <c r="CQ10" s="5">
        <v>3.7014903427878103E-2</v>
      </c>
      <c r="CR10" s="61"/>
    </row>
    <row r="11" spans="1:96" x14ac:dyDescent="0.35">
      <c r="A11" s="9" t="str">
        <f t="shared" si="0"/>
        <v>JP</v>
      </c>
      <c r="B11" s="9" t="s">
        <v>196</v>
      </c>
      <c r="C11" s="20"/>
      <c r="D11" s="9" t="s">
        <v>90</v>
      </c>
      <c r="E11" s="9" t="s">
        <v>193</v>
      </c>
      <c r="F11" s="9" t="s">
        <v>47</v>
      </c>
      <c r="G11" s="19">
        <v>0.122</v>
      </c>
      <c r="H11" s="9">
        <v>2014</v>
      </c>
      <c r="I11" s="9">
        <v>6</v>
      </c>
      <c r="J11" s="18">
        <f>INDEX(PTRS!$D$6:$D$12,MATCH('7'!$F11,PTRS!$B$6:$B$12,0))</f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0.74129766176673451</v>
      </c>
      <c r="V11" s="17">
        <v>1</v>
      </c>
      <c r="W11" s="9" t="s">
        <v>54</v>
      </c>
      <c r="X11" s="9">
        <f>INDEX('Unique Asset List'!$C$4:$I$60,MATCH('7'!$B11,'Unique Asset List'!$A$4:$A$60,0),MATCH('7'!$C$1,'Unique Asset List'!$C$3:$I$3,0))</f>
        <v>2010</v>
      </c>
      <c r="Y11" s="9">
        <f>INDEX('Unique Asset List'!$J$4:$P$60,MATCH('7'!$B11,'Unique Asset List'!$A$4:$A$60,0),MATCH('7'!$C$1,'Unique Asset List'!$J$3:$P$3,0))</f>
        <v>1</v>
      </c>
      <c r="Z11" s="9">
        <f>INDEX('Unique Asset List'!$X$4:$AD$60,MATCH('7'!$B11,'Unique Asset List'!$A$4:$A$60,0),MATCH('7'!$C$1,'Unique Asset List'!$X$3:$AD$3,0))</f>
        <v>2018</v>
      </c>
      <c r="AA11" s="9">
        <f>INDEX('Unique Asset List'!$AE$4:$AK$60,MATCH('7'!$B11,'Unique Asset List'!$A$4:$A$60,0),MATCH('7'!$C$1,'Unique Asset List'!$AE$3:$AK$3,0))</f>
        <v>1</v>
      </c>
      <c r="AB11" s="16">
        <f t="shared" si="2"/>
        <v>1.6603166</v>
      </c>
      <c r="AC11" s="16">
        <f t="shared" si="3"/>
        <v>0.65777060000000009</v>
      </c>
      <c r="AD11" s="16">
        <f t="shared" si="4"/>
        <v>0.52097279586</v>
      </c>
      <c r="AE11" s="15">
        <f>INDEX('Unique Asset List'!$BN$4:$BT$60,MATCH('7'!$B11,'Unique Asset List'!$A$4:$A$60,0),MATCH('7'!$C$1,'Unique Asset List'!$BN$3:$BT$3,0))</f>
        <v>0.16</v>
      </c>
      <c r="AF11" s="15">
        <f>INDEX('Unique Asset List'!$BU$4:$CA$60,MATCH('7'!$B11,'Unique Asset List'!$A$4:$A$60,0),MATCH('7'!$C$1,'Unique Asset List'!$BU$3:$CA$3,0))</f>
        <v>0.34</v>
      </c>
      <c r="AG11" s="15">
        <f>INDEX('Unique Asset List'!$AZ$4:$BF$60,MATCH('7'!$B11,'Unique Asset List'!$A$4:$A$60,0),MATCH('7'!$C$1,'Unique Asset List'!$AZ$3:$BF$3,0))</f>
        <v>0.16</v>
      </c>
      <c r="AH11" s="15">
        <f>INDEX('Unique Asset List'!$BG$4:$BM$60,MATCH('7'!$B11,'Unique Asset List'!$A$4:$A$60,0),MATCH('7'!$C$1,'Unique Asset List'!$BG$3:$BM$3,0))</f>
        <v>0.34</v>
      </c>
      <c r="AI11" s="11">
        <v>0.7</v>
      </c>
      <c r="AJ11" s="15">
        <f>INDEX('Unique Asset List'!$AL$4:$AR$60,MATCH('7'!$B11,'Unique Asset List'!$A$4:$A$60,0),MATCH('7'!$C$1,'Unique Asset List'!$AL$3:$AR$3,0))</f>
        <v>0.14000000000000001</v>
      </c>
      <c r="AK11" s="15">
        <f>INDEX('Unique Asset List'!$AS$4:$AY$60,MATCH('7'!$B11,'Unique Asset List'!$A$4:$A$60,0),MATCH('7'!$C$1,'Unique Asset List'!$AS$3:$AY$3,0))</f>
        <v>0.15</v>
      </c>
      <c r="AL11" s="9">
        <v>169</v>
      </c>
      <c r="AM11" s="14">
        <f>INDEX(Simulation!$B$6:$H$6,MATCH($A11,Simulation!$B$1:$H$1,0))*(1+AN11)^((DATE(X11,Y11,15)-DATE(2017,1,15))/365.5)</f>
        <v>0.75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5"/>
        <v>0.82</v>
      </c>
      <c r="AS11" s="10">
        <v>1</v>
      </c>
      <c r="AT11" s="10"/>
      <c r="AU11" s="4">
        <f>IF($C$5="ON",BU11,MyRating(_E1,$B11,Efficacy!$F$1))</f>
        <v>3</v>
      </c>
      <c r="AV11" s="3">
        <f>IF($C$5="ON",BV11,MyRating(_E2,$B11,Efficacy!$F$1))</f>
        <v>2</v>
      </c>
      <c r="AW11" s="3">
        <f>IF($C$5="ON",BW11,MyRating(_E3,$B11,Efficacy!$F$1))</f>
        <v>3</v>
      </c>
      <c r="AX11" s="3">
        <f>IF($C$5="ON",BX11,MyRating(_E4,$B11,Efficacy!$F$1))</f>
        <v>3</v>
      </c>
      <c r="AY11" s="3">
        <f>IF($C$5="ON",BY11,MyRating(_E5,$B11,Efficacy!$F$1))</f>
        <v>2</v>
      </c>
      <c r="AZ11" s="3">
        <f>IF($C$5="ON",BZ11,MyRating(_E6,$B11,Efficacy!$F$1))</f>
        <v>5</v>
      </c>
      <c r="BA11" s="3">
        <f>IF($C$5="ON",CA11,MyRating(_E7,$B11,Efficacy!$F$1))</f>
        <v>3</v>
      </c>
      <c r="BB11" s="3">
        <f>IF($C$5="ON",CB11,MyRating(_E8,$B11,Efficacy!$F$1))</f>
        <v>3</v>
      </c>
      <c r="BC11" s="3">
        <f>IF($C$5="ON",CC11,MyRating(_S1,$B11,Efficacy!$F$1))</f>
        <v>3</v>
      </c>
      <c r="BD11" s="3">
        <f>IF($C$5="ON",CD11,MyRating(_S2,$B11,Efficacy!$F$1))</f>
        <v>1</v>
      </c>
      <c r="BE11" s="3">
        <f>IF($C$5="ON",CE11,MyRating(_S3,$B11,Efficacy!$F$1))</f>
        <v>3</v>
      </c>
      <c r="BF11" s="3">
        <f>IF($C$5="ON",CF11,MyRating(_S4,$B11,Efficacy!$F$1))</f>
        <v>3</v>
      </c>
      <c r="BG11" s="3">
        <f>IF($C$5="ON",CG11,MyRating(_S5,$B11,Efficacy!$F$1))</f>
        <v>2</v>
      </c>
      <c r="BH11" s="3">
        <f>IF($C$5="ON",CH11,MyRating(_S6,$B11,Efficacy!$F$1))</f>
        <v>3</v>
      </c>
      <c r="BI11" s="3">
        <f>IF($C$5="ON",CI11,MyRating(_S7,$B11,Efficacy!$F$1))</f>
        <v>3</v>
      </c>
      <c r="BJ11" s="3">
        <f>IF($C$5="ON",CJ11,MyRating(_D1,$B11,Efficacy!$F$1))</f>
        <v>3</v>
      </c>
      <c r="BK11" s="3">
        <f>IF($C$5="ON",CK11,MyRating(_D2,$B11,Efficacy!$F$1))</f>
        <v>2</v>
      </c>
      <c r="BL11" s="3">
        <f>IF($C$5="ON",CL11,MyRating(_D3,$B11,Efficacy!$F$1))</f>
        <v>3</v>
      </c>
      <c r="BM11" s="3">
        <f>IF($C$5="ON",CM11,MyRating(_D4,$B11,Efficacy!$F$1))</f>
        <v>3</v>
      </c>
      <c r="BN11" s="3">
        <f>IF($C$5="ON",CN11,MyRating(_B1G5,$B11,Barrier!$L$2))</f>
        <v>3</v>
      </c>
      <c r="BO11" s="3">
        <f>IF($C$5="ON",CO11,MyRating(_B2,$B11,Barrier!$F$2))</f>
        <v>3</v>
      </c>
      <c r="BP11" s="6">
        <f>IF($C$5="ON",CP11,MyRating(_B3,$B11,Barrier!$F$2))</f>
        <v>3</v>
      </c>
      <c r="BQ11" s="5">
        <f t="shared" si="6"/>
        <v>3.7014903427878103E-2</v>
      </c>
      <c r="BR11" s="8">
        <f t="shared" si="7"/>
        <v>2.9999999999999996</v>
      </c>
      <c r="BS11" s="5">
        <f t="shared" si="8"/>
        <v>3.6652412950519221E-2</v>
      </c>
      <c r="BT11" s="7">
        <f t="shared" si="9"/>
        <v>1.8920085086828659E-2</v>
      </c>
      <c r="BU11" s="4">
        <v>3</v>
      </c>
      <c r="BV11" s="3">
        <v>2</v>
      </c>
      <c r="BW11" s="3">
        <v>3</v>
      </c>
      <c r="BX11" s="3">
        <v>3</v>
      </c>
      <c r="BY11" s="3">
        <v>2</v>
      </c>
      <c r="BZ11" s="3">
        <v>5</v>
      </c>
      <c r="CA11" s="3">
        <v>3</v>
      </c>
      <c r="CB11" s="3">
        <v>3</v>
      </c>
      <c r="CC11" s="3">
        <v>3</v>
      </c>
      <c r="CD11" s="3">
        <v>1</v>
      </c>
      <c r="CE11" s="3">
        <v>3</v>
      </c>
      <c r="CF11" s="3">
        <v>3</v>
      </c>
      <c r="CG11" s="3">
        <v>2</v>
      </c>
      <c r="CH11" s="3">
        <v>3</v>
      </c>
      <c r="CI11" s="3">
        <v>3</v>
      </c>
      <c r="CJ11" s="3">
        <v>3</v>
      </c>
      <c r="CK11" s="3">
        <v>2</v>
      </c>
      <c r="CL11" s="3">
        <v>3</v>
      </c>
      <c r="CM11" s="3">
        <v>3</v>
      </c>
      <c r="CN11" s="3">
        <v>3</v>
      </c>
      <c r="CO11" s="3">
        <v>3</v>
      </c>
      <c r="CP11" s="6">
        <v>3</v>
      </c>
      <c r="CQ11" s="5">
        <v>3.7014903427878103E-2</v>
      </c>
      <c r="CR11" s="61"/>
    </row>
    <row r="12" spans="1:96" x14ac:dyDescent="0.35">
      <c r="A12" s="9" t="str">
        <f t="shared" si="0"/>
        <v>JP</v>
      </c>
      <c r="B12" s="9" t="s">
        <v>88</v>
      </c>
      <c r="C12" s="20"/>
      <c r="D12" s="9" t="s">
        <v>87</v>
      </c>
      <c r="E12" s="9" t="s">
        <v>193</v>
      </c>
      <c r="F12" s="9" t="s">
        <v>86</v>
      </c>
      <c r="G12" s="19">
        <v>0</v>
      </c>
      <c r="H12" s="9">
        <v>2014</v>
      </c>
      <c r="I12" s="9">
        <v>6</v>
      </c>
      <c r="J12" s="18">
        <f>INDEX(PTRS!$D$6:$D$12,MATCH('7'!$F12,PTRS!$B$6:$B$12,0))</f>
        <v>0.9</v>
      </c>
      <c r="K12" s="17">
        <v>1</v>
      </c>
      <c r="L12" s="17">
        <v>0.9</v>
      </c>
      <c r="M12" s="17">
        <v>0.5</v>
      </c>
      <c r="N12" s="17">
        <v>0.5</v>
      </c>
      <c r="O12" s="17">
        <v>0.5</v>
      </c>
      <c r="P12" s="17">
        <v>0.9</v>
      </c>
      <c r="Q12" s="17">
        <v>1</v>
      </c>
      <c r="R12" s="17">
        <v>1</v>
      </c>
      <c r="S12" s="17">
        <v>1</v>
      </c>
      <c r="T12" s="17"/>
      <c r="U12" s="17">
        <f t="shared" si="1"/>
        <v>0.21031695408457127</v>
      </c>
      <c r="V12" s="17">
        <v>1</v>
      </c>
      <c r="W12" s="9" t="s">
        <v>16</v>
      </c>
      <c r="X12" s="9">
        <f>INDEX('Unique Asset List'!$C$4:$I$60,MATCH('7'!$B12,'Unique Asset List'!$A$4:$A$60,0),MATCH('7'!$C$1,'Unique Asset List'!$C$3:$I$3,0))</f>
        <v>2019</v>
      </c>
      <c r="Y12" s="9">
        <f>INDEX('Unique Asset List'!$J$4:$P$60,MATCH('7'!$B12,'Unique Asset List'!$A$4:$A$60,0),MATCH('7'!$C$1,'Unique Asset List'!$J$3:$P$3,0))</f>
        <v>10</v>
      </c>
      <c r="Z12" s="9">
        <f>INDEX('Unique Asset List'!$X$4:$AD$60,MATCH('7'!$B12,'Unique Asset List'!$A$4:$A$60,0),MATCH('7'!$C$1,'Unique Asset List'!$X$3:$AD$3,0))</f>
        <v>2027</v>
      </c>
      <c r="AA12" s="9">
        <f>INDEX('Unique Asset List'!$AE$4:$AK$60,MATCH('7'!$B12,'Unique Asset List'!$A$4:$A$60,0),MATCH('7'!$C$1,'Unique Asset List'!$AE$3:$AK$3,0))</f>
        <v>10</v>
      </c>
      <c r="AB12" s="16">
        <f t="shared" si="2"/>
        <v>2.1202012000000003</v>
      </c>
      <c r="AC12" s="16">
        <f t="shared" si="3"/>
        <v>0.98141</v>
      </c>
      <c r="AD12" s="16">
        <f t="shared" si="4"/>
        <v>0.31905939999999999</v>
      </c>
      <c r="AE12" s="15">
        <f>INDEX('Unique Asset List'!$BN$4:$BT$60,MATCH('7'!$B12,'Unique Asset List'!$A$4:$A$60,0),MATCH('7'!$C$1,'Unique Asset List'!$BN$3:$BT$3,0))</f>
        <v>0.16</v>
      </c>
      <c r="AF12" s="15">
        <f>INDEX('Unique Asset List'!$BU$4:$CA$60,MATCH('7'!$B12,'Unique Asset List'!$A$4:$A$60,0),MATCH('7'!$C$1,'Unique Asset List'!$BU$3:$CA$3,0))</f>
        <v>0.34</v>
      </c>
      <c r="AG12" s="15">
        <f>INDEX('Unique Asset List'!$AZ$4:$BF$60,MATCH('7'!$B12,'Unique Asset List'!$A$4:$A$60,0),MATCH('7'!$C$1,'Unique Asset List'!$AZ$3:$BF$3,0))</f>
        <v>0.16</v>
      </c>
      <c r="AH12" s="15">
        <f>INDEX('Unique Asset List'!$BG$4:$BM$60,MATCH('7'!$B12,'Unique Asset List'!$A$4:$A$60,0),MATCH('7'!$C$1,'Unique Asset List'!$BG$3:$BM$3,0))</f>
        <v>0.34</v>
      </c>
      <c r="AI12" s="11">
        <v>0.7</v>
      </c>
      <c r="AJ12" s="15">
        <f>INDEX('Unique Asset List'!$AL$4:$AR$60,MATCH('7'!$B12,'Unique Asset List'!$A$4:$A$60,0),MATCH('7'!$C$1,'Unique Asset List'!$AL$3:$AR$3,0))</f>
        <v>0.14000000000000001</v>
      </c>
      <c r="AK12" s="15">
        <f>INDEX('Unique Asset List'!$AS$4:$AY$60,MATCH('7'!$B12,'Unique Asset List'!$A$4:$A$60,0),MATCH('7'!$C$1,'Unique Asset List'!$AS$3:$AY$3,0))</f>
        <v>0.15</v>
      </c>
      <c r="AL12" s="9">
        <v>169</v>
      </c>
      <c r="AM12" s="14">
        <f>INDEX(Simulation!$B$6:$H$6,MATCH($A12,Simulation!$B$1:$H$1,0))*(1+AN12)^((DATE(X12,Y12,15)-DATE(2017,1,15))/365.5)</f>
        <v>0.75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0"/>
      <c r="AU12" s="4">
        <f>IF($C$5="ON",BU12,MyRating(_E1,$B12,Efficacy!$F$1))</f>
        <v>3</v>
      </c>
      <c r="AV12" s="3">
        <f>IF($C$5="ON",BV12,MyRating(_E2,$B12,Efficacy!$F$1))</f>
        <v>5</v>
      </c>
      <c r="AW12" s="3">
        <f>IF($C$5="ON",BW12,MyRating(_E3,$B12,Efficacy!$F$1))</f>
        <v>5</v>
      </c>
      <c r="AX12" s="3">
        <f>IF($C$5="ON",BX12,MyRating(_E4,$B12,Efficacy!$F$1))</f>
        <v>4</v>
      </c>
      <c r="AY12" s="3">
        <f>IF($C$5="ON",BY12,MyRating(_E5,$B12,Efficacy!$F$1))</f>
        <v>3</v>
      </c>
      <c r="AZ12" s="3">
        <f>IF($C$5="ON",BZ12,MyRating(_E6,$B12,Efficacy!$F$1))</f>
        <v>3</v>
      </c>
      <c r="BA12" s="3">
        <f>IF($C$5="ON",CA12,MyRating(_E7,$B12,Efficacy!$F$1))</f>
        <v>3</v>
      </c>
      <c r="BB12" s="3">
        <f>IF($C$5="ON",CB12,MyRating(_E8,$B12,Efficacy!$F$1))</f>
        <v>3</v>
      </c>
      <c r="BC12" s="3">
        <f>IF($C$5="ON",CC12,MyRating(_S1,$B12,Efficacy!$F$1))</f>
        <v>5</v>
      </c>
      <c r="BD12" s="3">
        <f>IF($C$5="ON",CD12,MyRating(_S2,$B12,Efficacy!$F$1))</f>
        <v>3</v>
      </c>
      <c r="BE12" s="3">
        <f>IF($C$5="ON",CE12,MyRating(_S3,$B12,Efficacy!$F$1))</f>
        <v>3</v>
      </c>
      <c r="BF12" s="3">
        <f>IF($C$5="ON",CF12,MyRating(_S4,$B12,Efficacy!$F$1))</f>
        <v>4</v>
      </c>
      <c r="BG12" s="3">
        <f>IF($C$5="ON",CG12,MyRating(_S5,$B12,Efficacy!$F$1))</f>
        <v>5</v>
      </c>
      <c r="BH12" s="3">
        <f>IF($C$5="ON",CH12,MyRating(_S6,$B12,Efficacy!$F$1))</f>
        <v>2</v>
      </c>
      <c r="BI12" s="3">
        <f>IF($C$5="ON",CI12,MyRating(_S7,$B12,Efficacy!$F$1))</f>
        <v>3</v>
      </c>
      <c r="BJ12" s="3">
        <f>IF($C$5="ON",CJ12,MyRating(_D1,$B12,Efficacy!$F$1))</f>
        <v>2</v>
      </c>
      <c r="BK12" s="3">
        <f>IF($C$5="ON",CK12,MyRating(_D2,$B12,Efficacy!$F$1))</f>
        <v>2</v>
      </c>
      <c r="BL12" s="3">
        <f>IF($C$5="ON",CL12,MyRating(_D3,$B12,Efficacy!$F$1))</f>
        <v>2</v>
      </c>
      <c r="BM12" s="3">
        <f>IF($C$5="ON",CM12,MyRating(_D4,$B12,Efficacy!$F$1))</f>
        <v>1</v>
      </c>
      <c r="BN12" s="3">
        <f>IF($C$5="ON",CN12,MyRating(_B1G5,$B12,Barrier!$L$2))</f>
        <v>2</v>
      </c>
      <c r="BO12" s="3">
        <f>IF($C$5="ON",CO12,MyRating(_B2,$B12,Barrier!$F$2))</f>
        <v>1</v>
      </c>
      <c r="BP12" s="6">
        <f>IF($C$5="ON",CP12,MyRating(_B3,$B12,Barrier!$F$2))</f>
        <v>1</v>
      </c>
      <c r="BQ12" s="5">
        <f t="shared" si="6"/>
        <v>1.0501667745898752E-2</v>
      </c>
      <c r="BR12" s="8">
        <f t="shared" si="7"/>
        <v>1.0499999999999998</v>
      </c>
      <c r="BS12" s="5">
        <f t="shared" si="8"/>
        <v>1.2828344532681727E-2</v>
      </c>
      <c r="BT12" s="7">
        <f t="shared" si="9"/>
        <v>5.3679039766550227E-3</v>
      </c>
      <c r="BU12" s="4">
        <v>3</v>
      </c>
      <c r="BV12" s="3">
        <v>5</v>
      </c>
      <c r="BW12" s="3">
        <v>5</v>
      </c>
      <c r="BX12" s="3">
        <v>4</v>
      </c>
      <c r="BY12" s="3">
        <v>3</v>
      </c>
      <c r="BZ12" s="3">
        <v>3</v>
      </c>
      <c r="CA12" s="3">
        <v>3</v>
      </c>
      <c r="CB12" s="3">
        <v>3</v>
      </c>
      <c r="CC12" s="3">
        <v>5</v>
      </c>
      <c r="CD12" s="3">
        <v>3</v>
      </c>
      <c r="CE12" s="3">
        <v>3</v>
      </c>
      <c r="CF12" s="3">
        <v>4</v>
      </c>
      <c r="CG12" s="3">
        <v>5</v>
      </c>
      <c r="CH12" s="3">
        <v>2</v>
      </c>
      <c r="CI12" s="3">
        <v>3</v>
      </c>
      <c r="CJ12" s="3">
        <v>2</v>
      </c>
      <c r="CK12" s="3">
        <v>2</v>
      </c>
      <c r="CL12" s="3">
        <v>2</v>
      </c>
      <c r="CM12" s="3">
        <v>1</v>
      </c>
      <c r="CN12" s="3">
        <v>2</v>
      </c>
      <c r="CO12" s="3">
        <v>1</v>
      </c>
      <c r="CP12" s="6">
        <v>1</v>
      </c>
      <c r="CQ12" s="5">
        <v>1.0501667745898752E-2</v>
      </c>
      <c r="CR12" s="61"/>
    </row>
    <row r="13" spans="1:96" x14ac:dyDescent="0.35">
      <c r="A13" s="9" t="str">
        <f t="shared" si="0"/>
        <v>JP</v>
      </c>
      <c r="B13" s="9" t="s">
        <v>85</v>
      </c>
      <c r="C13" s="20"/>
      <c r="D13" s="9" t="s">
        <v>2</v>
      </c>
      <c r="E13" s="9" t="s">
        <v>193</v>
      </c>
      <c r="F13" s="9" t="s">
        <v>63</v>
      </c>
      <c r="G13" s="19">
        <v>0</v>
      </c>
      <c r="H13" s="9">
        <v>2014</v>
      </c>
      <c r="I13" s="9">
        <v>6</v>
      </c>
      <c r="J13" s="18">
        <f>INDEX(PTRS!$D$6:$D$12,MATCH('7'!$F13,PTRS!$B$6:$B$12,0))</f>
        <v>0.58500000000000008</v>
      </c>
      <c r="K13" s="17">
        <v>1</v>
      </c>
      <c r="L13" s="17">
        <v>1</v>
      </c>
      <c r="M13" s="17">
        <v>0.58500000000000008</v>
      </c>
      <c r="N13" s="17">
        <v>0.62</v>
      </c>
      <c r="O13" s="17">
        <v>0.62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0.19835681424527862</v>
      </c>
      <c r="V13" s="17">
        <v>1</v>
      </c>
      <c r="W13" s="9" t="s">
        <v>62</v>
      </c>
      <c r="X13" s="9">
        <f>INDEX('Unique Asset List'!$C$4:$I$60,MATCH('7'!$B13,'Unique Asset List'!$A$4:$A$60,0),MATCH('7'!$C$1,'Unique Asset List'!$C$3:$I$3,0))</f>
        <v>2022</v>
      </c>
      <c r="Y13" s="9">
        <f>INDEX('Unique Asset List'!$J$4:$P$60,MATCH('7'!$B13,'Unique Asset List'!$A$4:$A$60,0),MATCH('7'!$C$1,'Unique Asset List'!$J$3:$P$3,0))</f>
        <v>11</v>
      </c>
      <c r="Z13" s="9">
        <f>INDEX('Unique Asset List'!$X$4:$AD$60,MATCH('7'!$B13,'Unique Asset List'!$A$4:$A$60,0),MATCH('7'!$C$1,'Unique Asset List'!$X$3:$AD$3,0))</f>
        <v>2030</v>
      </c>
      <c r="AA13" s="9">
        <f>INDEX('Unique Asset List'!$AE$4:$AK$60,MATCH('7'!$B13,'Unique Asset List'!$A$4:$A$60,0),MATCH('7'!$C$1,'Unique Asset List'!$AE$3:$AK$3,0))</f>
        <v>11</v>
      </c>
      <c r="AB13" s="16">
        <f t="shared" si="2"/>
        <v>2.3511832000000004</v>
      </c>
      <c r="AC13" s="16">
        <f t="shared" si="3"/>
        <v>0.88497580000000009</v>
      </c>
      <c r="AD13" s="16">
        <f t="shared" si="4"/>
        <v>0.39141474525999997</v>
      </c>
      <c r="AE13" s="15">
        <f>INDEX('Unique Asset List'!$BN$4:$BT$60,MATCH('7'!$B13,'Unique Asset List'!$A$4:$A$60,0),MATCH('7'!$C$1,'Unique Asset List'!$BN$3:$BT$3,0))</f>
        <v>0.23</v>
      </c>
      <c r="AF13" s="15">
        <f>INDEX('Unique Asset List'!$BU$4:$CA$60,MATCH('7'!$B13,'Unique Asset List'!$A$4:$A$60,0),MATCH('7'!$C$1,'Unique Asset List'!$BU$3:$CA$3,0))</f>
        <v>0.27</v>
      </c>
      <c r="AG13" s="15">
        <f>INDEX('Unique Asset List'!$AZ$4:$BF$60,MATCH('7'!$B13,'Unique Asset List'!$A$4:$A$60,0),MATCH('7'!$C$1,'Unique Asset List'!$AZ$3:$BF$3,0))</f>
        <v>0.23</v>
      </c>
      <c r="AH13" s="15">
        <f>INDEX('Unique Asset List'!$BG$4:$BM$60,MATCH('7'!$B13,'Unique Asset List'!$A$4:$A$60,0),MATCH('7'!$C$1,'Unique Asset List'!$BG$3:$BM$3,0))</f>
        <v>0.27</v>
      </c>
      <c r="AI13" s="11">
        <v>0.7</v>
      </c>
      <c r="AJ13" s="15">
        <f>INDEX('Unique Asset List'!$AL$4:$AR$60,MATCH('7'!$B13,'Unique Asset List'!$A$4:$A$60,0),MATCH('7'!$C$1,'Unique Asset List'!$AL$3:$AR$3,0))</f>
        <v>0.14000000000000001</v>
      </c>
      <c r="AK13" s="15">
        <f>INDEX('Unique Asset List'!$AS$4:$AY$60,MATCH('7'!$B13,'Unique Asset List'!$A$4:$A$60,0),MATCH('7'!$C$1,'Unique Asset List'!$AS$3:$AY$3,0))</f>
        <v>0.15</v>
      </c>
      <c r="AL13" s="9">
        <v>177.56756756756758</v>
      </c>
      <c r="AM13" s="14">
        <f>5365/365</f>
        <v>14.698630136986301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f>2.8*37/365</f>
        <v>0.28383561643835614</v>
      </c>
      <c r="AT13" s="10"/>
      <c r="AU13" s="4">
        <f>IF($C$5="ON",BU13,MyRating(_E1,$B13,Efficacy!$F$1))</f>
        <v>5</v>
      </c>
      <c r="AV13" s="3">
        <f>IF($C$5="ON",BV13,MyRating(_E2,$B13,Efficacy!$F$1))</f>
        <v>5</v>
      </c>
      <c r="AW13" s="3">
        <f>IF($C$5="ON",BW13,MyRating(_E3,$B13,Efficacy!$F$1))</f>
        <v>5</v>
      </c>
      <c r="AX13" s="3">
        <f>IF($C$5="ON",BX13,MyRating(_E4,$B13,Efficacy!$F$1))</f>
        <v>4</v>
      </c>
      <c r="AY13" s="3">
        <f>IF($C$5="ON",BY13,MyRating(_E5,$B13,Efficacy!$F$1))</f>
        <v>3</v>
      </c>
      <c r="AZ13" s="3">
        <f>IF($C$5="ON",BZ13,MyRating(_E6,$B13,Efficacy!$F$1))</f>
        <v>3</v>
      </c>
      <c r="BA13" s="3">
        <f>IF($C$5="ON",CA13,MyRating(_E7,$B13,Efficacy!$F$1))</f>
        <v>3</v>
      </c>
      <c r="BB13" s="3">
        <f>IF($C$5="ON",CB13,MyRating(_E8,$B13,Efficacy!$F$1))</f>
        <v>4</v>
      </c>
      <c r="BC13" s="3">
        <f>IF($C$5="ON",CC13,MyRating(_S1,$B13,Efficacy!$F$1))</f>
        <v>4</v>
      </c>
      <c r="BD13" s="3">
        <f>IF($C$5="ON",CD13,MyRating(_S2,$B13,Efficacy!$F$1))</f>
        <v>3</v>
      </c>
      <c r="BE13" s="3">
        <f>IF($C$5="ON",CE13,MyRating(_S3,$B13,Efficacy!$F$1))</f>
        <v>3</v>
      </c>
      <c r="BF13" s="3">
        <f>IF($C$5="ON",CF13,MyRating(_S4,$B13,Efficacy!$F$1))</f>
        <v>3</v>
      </c>
      <c r="BG13" s="3">
        <f>IF($C$5="ON",CG13,MyRating(_S5,$B13,Efficacy!$F$1))</f>
        <v>5</v>
      </c>
      <c r="BH13" s="3">
        <f>IF($C$5="ON",CH13,MyRating(_S6,$B13,Efficacy!$F$1))</f>
        <v>2</v>
      </c>
      <c r="BI13" s="3">
        <f>IF($C$5="ON",CI13,MyRating(_S7,$B13,Efficacy!$F$1))</f>
        <v>3</v>
      </c>
      <c r="BJ13" s="3">
        <f>IF($C$5="ON",CJ13,MyRating(_D1,$B13,Efficacy!$F$1))</f>
        <v>2</v>
      </c>
      <c r="BK13" s="3">
        <f>IF($C$5="ON",CK13,MyRating(_D2,$B13,Efficacy!$F$1))</f>
        <v>3</v>
      </c>
      <c r="BL13" s="3">
        <f>IF($C$5="ON",CL13,MyRating(_D3,$B13,Efficacy!$F$1))</f>
        <v>3</v>
      </c>
      <c r="BM13" s="3">
        <f>IF($C$5="ON",CM13,MyRating(_D4,$B13,Efficacy!$F$1))</f>
        <v>1</v>
      </c>
      <c r="BN13" s="3">
        <f>IF($C$5="ON",CN13,MyRating(_B1G5,$B13,Barrier!$L$2))</f>
        <v>1</v>
      </c>
      <c r="BO13" s="3">
        <f>IF($C$5="ON",CO13,MyRating(_B2,$B13,Barrier!$F$2))</f>
        <v>1</v>
      </c>
      <c r="BP13" s="6">
        <f>IF($C$5="ON",CP13,MyRating(_B3,$B13,Barrier!$F$2))</f>
        <v>1</v>
      </c>
      <c r="BQ13" s="5">
        <f t="shared" si="6"/>
        <v>9.9044671286996639E-3</v>
      </c>
      <c r="BR13" s="8">
        <f t="shared" si="7"/>
        <v>1</v>
      </c>
      <c r="BS13" s="5">
        <f t="shared" si="8"/>
        <v>1.2217470983506409E-2</v>
      </c>
      <c r="BT13" s="7">
        <f t="shared" si="9"/>
        <v>5.0626462170790974E-3</v>
      </c>
      <c r="BU13" s="4">
        <v>5</v>
      </c>
      <c r="BV13" s="3">
        <v>5</v>
      </c>
      <c r="BW13" s="3">
        <v>5</v>
      </c>
      <c r="BX13" s="3">
        <v>4</v>
      </c>
      <c r="BY13" s="3">
        <v>3</v>
      </c>
      <c r="BZ13" s="3">
        <v>3</v>
      </c>
      <c r="CA13" s="3">
        <v>3</v>
      </c>
      <c r="CB13" s="3">
        <v>4</v>
      </c>
      <c r="CC13" s="3">
        <v>4</v>
      </c>
      <c r="CD13" s="3">
        <v>3</v>
      </c>
      <c r="CE13" s="3">
        <v>3</v>
      </c>
      <c r="CF13" s="3">
        <v>3</v>
      </c>
      <c r="CG13" s="3">
        <v>5</v>
      </c>
      <c r="CH13" s="3">
        <v>2</v>
      </c>
      <c r="CI13" s="3">
        <v>3</v>
      </c>
      <c r="CJ13" s="3">
        <v>2</v>
      </c>
      <c r="CK13" s="3">
        <v>3</v>
      </c>
      <c r="CL13" s="3">
        <v>3</v>
      </c>
      <c r="CM13" s="3">
        <v>1</v>
      </c>
      <c r="CN13" s="3">
        <v>1</v>
      </c>
      <c r="CO13" s="3">
        <v>1</v>
      </c>
      <c r="CP13" s="6">
        <v>1</v>
      </c>
      <c r="CQ13" s="5">
        <v>9.9044671286996639E-3</v>
      </c>
      <c r="CR13" s="61"/>
    </row>
    <row r="14" spans="1:96" x14ac:dyDescent="0.35">
      <c r="A14" s="9" t="str">
        <f t="shared" si="0"/>
        <v>JP</v>
      </c>
      <c r="B14" s="9" t="s">
        <v>94</v>
      </c>
      <c r="C14" s="20"/>
      <c r="D14" s="9" t="s">
        <v>93</v>
      </c>
      <c r="E14" s="9" t="s">
        <v>92</v>
      </c>
      <c r="F14" s="9" t="s">
        <v>47</v>
      </c>
      <c r="G14" s="19">
        <v>0</v>
      </c>
      <c r="H14" s="9">
        <v>2014</v>
      </c>
      <c r="I14" s="9">
        <v>6</v>
      </c>
      <c r="J14" s="18">
        <f>INDEX(PTRS!$D$6:$D$12,MATCH('7'!$F14,PTRS!$B$6:$B$12,0))</f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0.74129766176673451</v>
      </c>
      <c r="V14" s="17">
        <v>1</v>
      </c>
      <c r="W14" s="9" t="s">
        <v>54</v>
      </c>
      <c r="X14" s="9">
        <f>INDEX('Unique Asset List'!$C$4:$I$60,MATCH('7'!$B14,'Unique Asset List'!$A$4:$A$60,0),MATCH('7'!$C$1,'Unique Asset List'!$C$3:$I$3,0))</f>
        <v>2016</v>
      </c>
      <c r="Y14" s="9">
        <f>INDEX('Unique Asset List'!$J$4:$P$60,MATCH('7'!$B14,'Unique Asset List'!$A$4:$A$60,0),MATCH('7'!$C$1,'Unique Asset List'!$J$3:$P$3,0))</f>
        <v>7</v>
      </c>
      <c r="Z14" s="9">
        <f>INDEX('Unique Asset List'!$X$4:$AD$60,MATCH('7'!$B14,'Unique Asset List'!$A$4:$A$60,0),MATCH('7'!$C$1,'Unique Asset List'!$X$3:$AD$3,0))</f>
        <v>2024</v>
      </c>
      <c r="AA14" s="9">
        <f>INDEX('Unique Asset List'!$AE$4:$AK$60,MATCH('7'!$B14,'Unique Asset List'!$A$4:$A$60,0),MATCH('7'!$C$1,'Unique Asset List'!$AE$3:$AK$3,0))</f>
        <v>7</v>
      </c>
      <c r="AB14" s="16">
        <f t="shared" si="2"/>
        <v>1.6860000000000002</v>
      </c>
      <c r="AC14" s="16">
        <f t="shared" si="3"/>
        <v>0.78788900000000006</v>
      </c>
      <c r="AD14" s="16">
        <f t="shared" si="4"/>
        <v>0.56099999999999994</v>
      </c>
      <c r="AE14" s="15">
        <f>INDEX('Unique Asset List'!$BN$4:$BT$60,MATCH('7'!$B14,'Unique Asset List'!$A$4:$A$60,0),MATCH('7'!$C$1,'Unique Asset List'!$BN$3:$BT$3,0))</f>
        <v>0.16</v>
      </c>
      <c r="AF14" s="15">
        <f>INDEX('Unique Asset List'!$BU$4:$CA$60,MATCH('7'!$B14,'Unique Asset List'!$A$4:$A$60,0),MATCH('7'!$C$1,'Unique Asset List'!$BU$3:$CA$3,0))</f>
        <v>0.34</v>
      </c>
      <c r="AG14" s="15">
        <f>INDEX('Unique Asset List'!$AZ$4:$BF$60,MATCH('7'!$B14,'Unique Asset List'!$A$4:$A$60,0),MATCH('7'!$C$1,'Unique Asset List'!$AZ$3:$BF$3,0))</f>
        <v>0.16</v>
      </c>
      <c r="AH14" s="15">
        <f>INDEX('Unique Asset List'!$BG$4:$BM$60,MATCH('7'!$B14,'Unique Asset List'!$A$4:$A$60,0),MATCH('7'!$C$1,'Unique Asset List'!$BG$3:$BM$3,0))</f>
        <v>0.34</v>
      </c>
      <c r="AI14" s="11">
        <v>0.7</v>
      </c>
      <c r="AJ14" s="15">
        <f>INDEX('Unique Asset List'!$AL$4:$AR$60,MATCH('7'!$B14,'Unique Asset List'!$A$4:$A$60,0),MATCH('7'!$C$1,'Unique Asset List'!$AL$3:$AR$3,0))</f>
        <v>0.14000000000000001</v>
      </c>
      <c r="AK14" s="15">
        <f>INDEX('Unique Asset List'!$AS$4:$AY$60,MATCH('7'!$B14,'Unique Asset List'!$A$4:$A$60,0),MATCH('7'!$C$1,'Unique Asset List'!$AS$3:$AY$3,0))</f>
        <v>0.15</v>
      </c>
      <c r="AL14" s="9">
        <v>169</v>
      </c>
      <c r="AM14" s="14">
        <f>INDEX(Simulation!$B$6:$H$6,MATCH($A14,Simulation!$B$1:$H$1,0))*(1+AN14)^((DATE(X14,Y14,15)-DATE(2017,1,15))/365.5)</f>
        <v>0.75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5"/>
        <v>0.82</v>
      </c>
      <c r="AS14" s="10">
        <v>1</v>
      </c>
      <c r="AT14" s="10"/>
      <c r="AU14" s="4">
        <f>IF($C$5="ON",BU14,MyRating(_E1,$B14,Efficacy!$F$1))</f>
        <v>3</v>
      </c>
      <c r="AV14" s="3">
        <f>IF($C$5="ON",BV14,MyRating(_E2,$B14,Efficacy!$F$1))</f>
        <v>3</v>
      </c>
      <c r="AW14" s="3">
        <f>IF($C$5="ON",BW14,MyRating(_E3,$B14,Efficacy!$F$1))</f>
        <v>3</v>
      </c>
      <c r="AX14" s="3">
        <f>IF($C$5="ON",BX14,MyRating(_E4,$B14,Efficacy!$F$1))</f>
        <v>3</v>
      </c>
      <c r="AY14" s="3">
        <f>IF($C$5="ON",BY14,MyRating(_E5,$B14,Efficacy!$F$1))</f>
        <v>3</v>
      </c>
      <c r="AZ14" s="3">
        <f>IF($C$5="ON",BZ14,MyRating(_E6,$B14,Efficacy!$F$1))</f>
        <v>3</v>
      </c>
      <c r="BA14" s="3">
        <f>IF($C$5="ON",CA14,MyRating(_E7,$B14,Efficacy!$F$1))</f>
        <v>3</v>
      </c>
      <c r="BB14" s="3">
        <f>IF($C$5="ON",CB14,MyRating(_E8,$B14,Efficacy!$F$1))</f>
        <v>3</v>
      </c>
      <c r="BC14" s="3">
        <f>IF($C$5="ON",CC14,MyRating(_S1,$B14,Efficacy!$F$1))</f>
        <v>3</v>
      </c>
      <c r="BD14" s="3">
        <f>IF($C$5="ON",CD14,MyRating(_S2,$B14,Efficacy!$F$1))</f>
        <v>3</v>
      </c>
      <c r="BE14" s="3">
        <f>IF($C$5="ON",CE14,MyRating(_S3,$B14,Efficacy!$F$1))</f>
        <v>3</v>
      </c>
      <c r="BF14" s="3">
        <f>IF($C$5="ON",CF14,MyRating(_S4,$B14,Efficacy!$F$1))</f>
        <v>4</v>
      </c>
      <c r="BG14" s="3">
        <f>IF($C$5="ON",CG14,MyRating(_S5,$B14,Efficacy!$F$1))</f>
        <v>3</v>
      </c>
      <c r="BH14" s="3">
        <f>IF($C$5="ON",CH14,MyRating(_S6,$B14,Efficacy!$F$1))</f>
        <v>3</v>
      </c>
      <c r="BI14" s="3">
        <f>IF($C$5="ON",CI14,MyRating(_S7,$B14,Efficacy!$F$1))</f>
        <v>3</v>
      </c>
      <c r="BJ14" s="3">
        <f>IF($C$5="ON",CJ14,MyRating(_D1,$B14,Efficacy!$F$1))</f>
        <v>3</v>
      </c>
      <c r="BK14" s="3">
        <f>IF($C$5="ON",CK14,MyRating(_D2,$B14,Efficacy!$F$1))</f>
        <v>3</v>
      </c>
      <c r="BL14" s="3">
        <f>IF($C$5="ON",CL14,MyRating(_D3,$B14,Efficacy!$F$1))</f>
        <v>3</v>
      </c>
      <c r="BM14" s="3">
        <f>IF($C$5="ON",CM14,MyRating(_D4,$B14,Efficacy!$F$1))</f>
        <v>3</v>
      </c>
      <c r="BN14" s="3">
        <f>IF($C$5="ON",CN14,MyRating(_B1G5,$B14,Barrier!$L$2))</f>
        <v>3</v>
      </c>
      <c r="BO14" s="3">
        <f>IF($C$5="ON",CO14,MyRating(_B2,$B14,Barrier!$F$2))</f>
        <v>3</v>
      </c>
      <c r="BP14" s="6">
        <f>IF($C$5="ON",CP14,MyRating(_B3,$B14,Barrier!$F$2))</f>
        <v>3</v>
      </c>
      <c r="BQ14" s="5">
        <f t="shared" si="6"/>
        <v>3.7014903427878103E-2</v>
      </c>
      <c r="BR14" s="8">
        <f t="shared" si="7"/>
        <v>2.9999999999999996</v>
      </c>
      <c r="BS14" s="5">
        <f t="shared" si="8"/>
        <v>3.6652412950519221E-2</v>
      </c>
      <c r="BT14" s="7">
        <f t="shared" si="9"/>
        <v>1.8920085086828659E-2</v>
      </c>
      <c r="BU14" s="4">
        <v>3</v>
      </c>
      <c r="BV14" s="3">
        <v>3</v>
      </c>
      <c r="BW14" s="3">
        <v>3</v>
      </c>
      <c r="BX14" s="3">
        <v>3</v>
      </c>
      <c r="BY14" s="3">
        <v>3</v>
      </c>
      <c r="BZ14" s="3">
        <v>3</v>
      </c>
      <c r="CA14" s="3">
        <v>3</v>
      </c>
      <c r="CB14" s="3">
        <v>3</v>
      </c>
      <c r="CC14" s="3">
        <v>3</v>
      </c>
      <c r="CD14" s="3">
        <v>3</v>
      </c>
      <c r="CE14" s="3">
        <v>3</v>
      </c>
      <c r="CF14" s="3">
        <v>4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3</v>
      </c>
      <c r="CP14" s="6">
        <v>3</v>
      </c>
      <c r="CQ14" s="5">
        <v>3.7014903427878103E-2</v>
      </c>
      <c r="CR14" s="61"/>
    </row>
    <row r="15" spans="1:96" x14ac:dyDescent="0.35">
      <c r="A15" s="9" t="str">
        <f t="shared" si="0"/>
        <v>JP</v>
      </c>
      <c r="B15" s="9" t="s">
        <v>83</v>
      </c>
      <c r="C15" s="20"/>
      <c r="D15" s="9" t="s">
        <v>82</v>
      </c>
      <c r="E15" s="9" t="s">
        <v>193</v>
      </c>
      <c r="F15" s="9" t="s">
        <v>63</v>
      </c>
      <c r="G15" s="19">
        <v>0</v>
      </c>
      <c r="H15" s="9">
        <v>2014</v>
      </c>
      <c r="I15" s="9">
        <v>6</v>
      </c>
      <c r="J15" s="18">
        <f>INDEX(PTRS!$D$6:$D$12,MATCH('7'!$F15,PTRS!$B$6:$B$12,0))</f>
        <v>0.58500000000000008</v>
      </c>
      <c r="K15" s="17">
        <v>1</v>
      </c>
      <c r="L15" s="17">
        <v>0.58500000000000008</v>
      </c>
      <c r="M15" s="17">
        <v>0.19500000000000003</v>
      </c>
      <c r="N15" s="17">
        <v>0.58500000000000008</v>
      </c>
      <c r="O15" s="17">
        <v>0.58500000000000008</v>
      </c>
      <c r="P15" s="17">
        <v>0.58500000000000008</v>
      </c>
      <c r="Q15" s="17">
        <v>0.58500000000000008</v>
      </c>
      <c r="R15" s="17">
        <v>0.58500000000000008</v>
      </c>
      <c r="S15" s="17">
        <v>1</v>
      </c>
      <c r="T15" s="17"/>
      <c r="U15" s="17">
        <f t="shared" si="1"/>
        <v>0.72649652910676854</v>
      </c>
      <c r="V15" s="17">
        <v>1</v>
      </c>
      <c r="W15" s="9" t="s">
        <v>195</v>
      </c>
      <c r="X15" s="9">
        <f>INDEX('Unique Asset List'!$C$4:$I$60,MATCH('7'!$B15,'Unique Asset List'!$A$4:$A$60,0),MATCH('7'!$C$1,'Unique Asset List'!$C$3:$I$3,0))</f>
        <v>2022</v>
      </c>
      <c r="Y15" s="9">
        <f>INDEX('Unique Asset List'!$J$4:$P$60,MATCH('7'!$B15,'Unique Asset List'!$A$4:$A$60,0),MATCH('7'!$C$1,'Unique Asset List'!$J$3:$P$3,0))</f>
        <v>3</v>
      </c>
      <c r="Z15" s="9">
        <f>INDEX('Unique Asset List'!$X$4:$AD$60,MATCH('7'!$B15,'Unique Asset List'!$A$4:$A$60,0),MATCH('7'!$C$1,'Unique Asset List'!$X$3:$AD$3,0))</f>
        <v>2030</v>
      </c>
      <c r="AA15" s="9">
        <f>INDEX('Unique Asset List'!$AE$4:$AK$60,MATCH('7'!$B15,'Unique Asset List'!$A$4:$A$60,0),MATCH('7'!$C$1,'Unique Asset List'!$AE$3:$AK$3,0))</f>
        <v>3</v>
      </c>
      <c r="AB15" s="16">
        <f t="shared" si="2"/>
        <v>1.6860000000000002</v>
      </c>
      <c r="AC15" s="16">
        <f t="shared" si="3"/>
        <v>1.0347223999999999</v>
      </c>
      <c r="AD15" s="16">
        <f t="shared" si="4"/>
        <v>0.38169906301999995</v>
      </c>
      <c r="AE15" s="15">
        <f>INDEX('Unique Asset List'!$BN$4:$BT$60,MATCH('7'!$B15,'Unique Asset List'!$A$4:$A$60,0),MATCH('7'!$C$1,'Unique Asset List'!$BN$3:$BT$3,0))</f>
        <v>0.16</v>
      </c>
      <c r="AF15" s="15">
        <f>INDEX('Unique Asset List'!$BU$4:$CA$60,MATCH('7'!$B15,'Unique Asset List'!$A$4:$A$60,0),MATCH('7'!$C$1,'Unique Asset List'!$BU$3:$CA$3,0))</f>
        <v>0.34</v>
      </c>
      <c r="AG15" s="15">
        <f>INDEX('Unique Asset List'!$AZ$4:$BF$60,MATCH('7'!$B15,'Unique Asset List'!$A$4:$A$60,0),MATCH('7'!$C$1,'Unique Asset List'!$AZ$3:$BF$3,0))</f>
        <v>0.16</v>
      </c>
      <c r="AH15" s="15">
        <f>INDEX('Unique Asset List'!$BG$4:$BM$60,MATCH('7'!$B15,'Unique Asset List'!$A$4:$A$60,0),MATCH('7'!$C$1,'Unique Asset List'!$BG$3:$BM$3,0))</f>
        <v>0.34</v>
      </c>
      <c r="AI15" s="11">
        <v>0.7</v>
      </c>
      <c r="AJ15" s="15">
        <f>INDEX('Unique Asset List'!$AL$4:$AR$60,MATCH('7'!$B15,'Unique Asset List'!$A$4:$A$60,0),MATCH('7'!$C$1,'Unique Asset List'!$AL$3:$AR$3,0))</f>
        <v>0.14000000000000001</v>
      </c>
      <c r="AK15" s="15">
        <f>INDEX('Unique Asset List'!$AS$4:$AY$60,MATCH('7'!$B15,'Unique Asset List'!$A$4:$A$60,0),MATCH('7'!$C$1,'Unique Asset List'!$AS$3:$AY$3,0))</f>
        <v>0.15</v>
      </c>
      <c r="AL15" s="9">
        <v>169</v>
      </c>
      <c r="AM15" s="14">
        <f>INDEX(Simulation!$B$6:$H$6,MATCH($A15,Simulation!$B$1:$H$1,0))*(1+AN15)^((DATE(X15,Y15,15)-DATE(2017,1,15))/365.5)</f>
        <v>0.75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0"/>
      <c r="AU15" s="4">
        <f>IF($C$5="ON",BU15,MyRating(_E1,$B15,Efficacy!$F$1))</f>
        <v>3</v>
      </c>
      <c r="AV15" s="3">
        <f>IF($C$5="ON",BV15,MyRating(_E2,$B15,Efficacy!$F$1))</f>
        <v>3</v>
      </c>
      <c r="AW15" s="3">
        <f>IF($C$5="ON",BW15,MyRating(_E3,$B15,Efficacy!$F$1))</f>
        <v>3</v>
      </c>
      <c r="AX15" s="3">
        <f>IF($C$5="ON",BX15,MyRating(_E4,$B15,Efficacy!$F$1))</f>
        <v>3</v>
      </c>
      <c r="AY15" s="3">
        <f>IF($C$5="ON",BY15,MyRating(_E5,$B15,Efficacy!$F$1))</f>
        <v>3</v>
      </c>
      <c r="AZ15" s="3">
        <f>IF($C$5="ON",BZ15,MyRating(_E6,$B15,Efficacy!$F$1))</f>
        <v>3</v>
      </c>
      <c r="BA15" s="3">
        <f>IF($C$5="ON",CA15,MyRating(_E7,$B15,Efficacy!$F$1))</f>
        <v>3</v>
      </c>
      <c r="BB15" s="3">
        <f>IF($C$5="ON",CB15,MyRating(_E8,$B15,Efficacy!$F$1))</f>
        <v>3</v>
      </c>
      <c r="BC15" s="3">
        <f>IF($C$5="ON",CC15,MyRating(_S1,$B15,Efficacy!$F$1))</f>
        <v>5</v>
      </c>
      <c r="BD15" s="3">
        <f>IF($C$5="ON",CD15,MyRating(_S2,$B15,Efficacy!$F$1))</f>
        <v>3</v>
      </c>
      <c r="BE15" s="3">
        <f>IF($C$5="ON",CE15,MyRating(_S3,$B15,Efficacy!$F$1))</f>
        <v>3</v>
      </c>
      <c r="BF15" s="3">
        <f>IF($C$5="ON",CF15,MyRating(_S4,$B15,Efficacy!$F$1))</f>
        <v>4</v>
      </c>
      <c r="BG15" s="3">
        <f>IF($C$5="ON",CG15,MyRating(_S5,$B15,Efficacy!$F$1))</f>
        <v>5</v>
      </c>
      <c r="BH15" s="3">
        <f>IF($C$5="ON",CH15,MyRating(_S6,$B15,Efficacy!$F$1))</f>
        <v>3</v>
      </c>
      <c r="BI15" s="3">
        <f>IF($C$5="ON",CI15,MyRating(_S7,$B15,Efficacy!$F$1))</f>
        <v>4</v>
      </c>
      <c r="BJ15" s="3">
        <f>IF($C$5="ON",CJ15,MyRating(_D1,$B15,Efficacy!$F$1))</f>
        <v>2</v>
      </c>
      <c r="BK15" s="3">
        <f>IF($C$5="ON",CK15,MyRating(_D2,$B15,Efficacy!$F$1))</f>
        <v>3</v>
      </c>
      <c r="BL15" s="3">
        <f>IF($C$5="ON",CL15,MyRating(_D3,$B15,Efficacy!$F$1))</f>
        <v>1</v>
      </c>
      <c r="BM15" s="3">
        <f>IF($C$5="ON",CM15,MyRating(_D4,$B15,Efficacy!$F$1))</f>
        <v>2</v>
      </c>
      <c r="BN15" s="3">
        <f>IF($C$5="ON",CN15,MyRating(_B1G5,$B15,Barrier!$L$2))</f>
        <v>2</v>
      </c>
      <c r="BO15" s="3">
        <f>IF($C$5="ON",CO15,MyRating(_B2,$B15,Barrier!$F$2))</f>
        <v>3</v>
      </c>
      <c r="BP15" s="6">
        <f>IF($C$5="ON",CP15,MyRating(_B3,$B15,Barrier!$F$2))</f>
        <v>3</v>
      </c>
      <c r="BQ15" s="5">
        <f t="shared" si="6"/>
        <v>3.6275844714639842E-2</v>
      </c>
      <c r="BR15" s="8">
        <f t="shared" si="7"/>
        <v>2.9499999999999997</v>
      </c>
      <c r="BS15" s="5">
        <f t="shared" si="8"/>
        <v>3.60415394013439E-2</v>
      </c>
      <c r="BT15" s="7">
        <f t="shared" si="9"/>
        <v>1.8542316878791175E-2</v>
      </c>
      <c r="BU15" s="4">
        <v>3</v>
      </c>
      <c r="BV15" s="3">
        <v>3</v>
      </c>
      <c r="BW15" s="3">
        <v>3</v>
      </c>
      <c r="BX15" s="3">
        <v>3</v>
      </c>
      <c r="BY15" s="3">
        <v>3</v>
      </c>
      <c r="BZ15" s="3">
        <v>3</v>
      </c>
      <c r="CA15" s="3">
        <v>3</v>
      </c>
      <c r="CB15" s="3">
        <v>3</v>
      </c>
      <c r="CC15" s="3">
        <v>5</v>
      </c>
      <c r="CD15" s="3">
        <v>3</v>
      </c>
      <c r="CE15" s="3">
        <v>3</v>
      </c>
      <c r="CF15" s="3">
        <v>4</v>
      </c>
      <c r="CG15" s="3">
        <v>5</v>
      </c>
      <c r="CH15" s="3">
        <v>3</v>
      </c>
      <c r="CI15" s="3">
        <v>4</v>
      </c>
      <c r="CJ15" s="3">
        <v>2</v>
      </c>
      <c r="CK15" s="3">
        <v>3</v>
      </c>
      <c r="CL15" s="3">
        <v>1</v>
      </c>
      <c r="CM15" s="3">
        <v>2</v>
      </c>
      <c r="CN15" s="3">
        <v>2</v>
      </c>
      <c r="CO15" s="3">
        <v>3</v>
      </c>
      <c r="CP15" s="6">
        <v>3</v>
      </c>
      <c r="CQ15" s="5">
        <v>3.6275844714639842E-2</v>
      </c>
      <c r="CR15" s="61"/>
    </row>
    <row r="16" spans="1:96" x14ac:dyDescent="0.35">
      <c r="A16" s="9" t="str">
        <f t="shared" si="0"/>
        <v>JP</v>
      </c>
      <c r="B16" s="9" t="s">
        <v>84</v>
      </c>
      <c r="C16" s="20"/>
      <c r="D16" s="9" t="s">
        <v>64</v>
      </c>
      <c r="E16" s="9" t="s">
        <v>193</v>
      </c>
      <c r="F16" s="9" t="s">
        <v>63</v>
      </c>
      <c r="G16" s="19">
        <v>0</v>
      </c>
      <c r="H16" s="9">
        <v>2014</v>
      </c>
      <c r="I16" s="9">
        <v>6</v>
      </c>
      <c r="J16" s="18">
        <f>INDEX(PTRS!$D$6:$D$12,MATCH('7'!$F16,PTRS!$B$6:$B$12,0))</f>
        <v>0.58500000000000008</v>
      </c>
      <c r="K16" s="17">
        <v>0</v>
      </c>
      <c r="L16" s="17">
        <v>0.29250000000000004</v>
      </c>
      <c r="M16" s="17">
        <v>0.19500000000000003</v>
      </c>
      <c r="N16" s="17">
        <v>0.58500000000000008</v>
      </c>
      <c r="O16" s="17">
        <v>0.58500000000000008</v>
      </c>
      <c r="P16" s="17">
        <f>J16/2</f>
        <v>0.29250000000000004</v>
      </c>
      <c r="Q16" s="17">
        <v>0.29250000000000004</v>
      </c>
      <c r="R16" s="17">
        <v>0.29250000000000004</v>
      </c>
      <c r="S16" s="17">
        <v>1</v>
      </c>
      <c r="T16" s="17"/>
      <c r="U16" s="17">
        <f t="shared" si="1"/>
        <v>0.19835681424527862</v>
      </c>
      <c r="V16" s="17">
        <v>1</v>
      </c>
      <c r="W16" s="9" t="s">
        <v>62</v>
      </c>
      <c r="X16" s="9">
        <f>INDEX('Unique Asset List'!$C$4:$I$60,MATCH('7'!$B16,'Unique Asset List'!$A$4:$A$60,0),MATCH('7'!$C$1,'Unique Asset List'!$C$3:$I$3,0))</f>
        <v>2022</v>
      </c>
      <c r="Y16" s="9">
        <f>INDEX('Unique Asset List'!$J$4:$P$60,MATCH('7'!$B16,'Unique Asset List'!$A$4:$A$60,0),MATCH('7'!$C$1,'Unique Asset List'!$J$3:$P$3,0))</f>
        <v>6</v>
      </c>
      <c r="Z16" s="9">
        <f>INDEX('Unique Asset List'!$X$4:$AD$60,MATCH('7'!$B16,'Unique Asset List'!$A$4:$A$60,0),MATCH('7'!$C$1,'Unique Asset List'!$X$3:$AD$3,0))</f>
        <v>2030</v>
      </c>
      <c r="AA16" s="9">
        <f>INDEX('Unique Asset List'!$AE$4:$AK$60,MATCH('7'!$B16,'Unique Asset List'!$A$4:$A$60,0),MATCH('7'!$C$1,'Unique Asset List'!$AE$3:$AK$3,0))</f>
        <v>6</v>
      </c>
      <c r="AB16" s="16">
        <f t="shared" si="2"/>
        <v>1.6860000000000002</v>
      </c>
      <c r="AC16" s="16">
        <f t="shared" si="3"/>
        <v>0.73148930000000001</v>
      </c>
      <c r="AD16" s="16">
        <f t="shared" si="4"/>
        <v>0.56099999999999994</v>
      </c>
      <c r="AE16" s="15">
        <f>INDEX('Unique Asset List'!$BN$4:$BT$60,MATCH('7'!$B16,'Unique Asset List'!$A$4:$A$60,0),MATCH('7'!$C$1,'Unique Asset List'!$BN$3:$BT$3,0))</f>
        <v>0.23</v>
      </c>
      <c r="AF16" s="15">
        <f>INDEX('Unique Asset List'!$BU$4:$CA$60,MATCH('7'!$B16,'Unique Asset List'!$A$4:$A$60,0),MATCH('7'!$C$1,'Unique Asset List'!$BU$3:$CA$3,0))</f>
        <v>0.27</v>
      </c>
      <c r="AG16" s="15">
        <f>INDEX('Unique Asset List'!$AZ$4:$BF$60,MATCH('7'!$B16,'Unique Asset List'!$A$4:$A$60,0),MATCH('7'!$C$1,'Unique Asset List'!$AZ$3:$BF$3,0))</f>
        <v>0.23</v>
      </c>
      <c r="AH16" s="15">
        <f>INDEX('Unique Asset List'!$BG$4:$BM$60,MATCH('7'!$B16,'Unique Asset List'!$A$4:$A$60,0),MATCH('7'!$C$1,'Unique Asset List'!$BG$3:$BM$3,0))</f>
        <v>0.27</v>
      </c>
      <c r="AI16" s="11">
        <v>0.7</v>
      </c>
      <c r="AJ16" s="15">
        <f>INDEX('Unique Asset List'!$AL$4:$AR$60,MATCH('7'!$B16,'Unique Asset List'!$A$4:$A$60,0),MATCH('7'!$C$1,'Unique Asset List'!$AL$3:$AR$3,0))</f>
        <v>0.14000000000000001</v>
      </c>
      <c r="AK16" s="15">
        <f>INDEX('Unique Asset List'!$AS$4:$AY$60,MATCH('7'!$B16,'Unique Asset List'!$A$4:$A$60,0),MATCH('7'!$C$1,'Unique Asset List'!$AS$3:$AY$3,0))</f>
        <v>0.15</v>
      </c>
      <c r="AL16" s="9">
        <v>169</v>
      </c>
      <c r="AM16" s="14">
        <f>5365/365</f>
        <v>14.698630136986301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0"/>
      <c r="AU16" s="4">
        <f>IF($C$5="ON",BU16,MyRating(_E1,$B16,Efficacy!$F$1))</f>
        <v>3</v>
      </c>
      <c r="AV16" s="3">
        <f>IF($C$5="ON",BV16,MyRating(_E2,$B16,Efficacy!$F$1))</f>
        <v>3</v>
      </c>
      <c r="AW16" s="3">
        <f>IF($C$5="ON",BW16,MyRating(_E3,$B16,Efficacy!$F$1))</f>
        <v>3</v>
      </c>
      <c r="AX16" s="3">
        <f>IF($C$5="ON",BX16,MyRating(_E4,$B16,Efficacy!$F$1))</f>
        <v>3</v>
      </c>
      <c r="AY16" s="3">
        <f>IF($C$5="ON",BY16,MyRating(_E5,$B16,Efficacy!$F$1))</f>
        <v>3</v>
      </c>
      <c r="AZ16" s="3">
        <f>IF($C$5="ON",BZ16,MyRating(_E6,$B16,Efficacy!$F$1))</f>
        <v>3</v>
      </c>
      <c r="BA16" s="3">
        <f>IF($C$5="ON",CA16,MyRating(_E7,$B16,Efficacy!$F$1))</f>
        <v>3</v>
      </c>
      <c r="BB16" s="3">
        <f>IF($C$5="ON",CB16,MyRating(_E8,$B16,Efficacy!$F$1))</f>
        <v>3</v>
      </c>
      <c r="BC16" s="3">
        <f>IF($C$5="ON",CC16,MyRating(_S1,$B16,Efficacy!$F$1))</f>
        <v>3</v>
      </c>
      <c r="BD16" s="3">
        <f>IF($C$5="ON",CD16,MyRating(_S2,$B16,Efficacy!$F$1))</f>
        <v>3</v>
      </c>
      <c r="BE16" s="3">
        <f>IF($C$5="ON",CE16,MyRating(_S3,$B16,Efficacy!$F$1))</f>
        <v>3</v>
      </c>
      <c r="BF16" s="3">
        <f>IF($C$5="ON",CF16,MyRating(_S4,$B16,Efficacy!$F$1))</f>
        <v>3</v>
      </c>
      <c r="BG16" s="3">
        <f>IF($C$5="ON",CG16,MyRating(_S5,$B16,Efficacy!$F$1))</f>
        <v>3</v>
      </c>
      <c r="BH16" s="3">
        <f>IF($C$5="ON",CH16,MyRating(_S6,$B16,Efficacy!$F$1))</f>
        <v>2</v>
      </c>
      <c r="BI16" s="3">
        <f>IF($C$5="ON",CI16,MyRating(_S7,$B16,Efficacy!$F$1))</f>
        <v>3</v>
      </c>
      <c r="BJ16" s="3">
        <f>IF($C$5="ON",CJ16,MyRating(_D1,$B16,Efficacy!$F$1))</f>
        <v>3</v>
      </c>
      <c r="BK16" s="3">
        <f>IF($C$5="ON",CK16,MyRating(_D2,$B16,Efficacy!$F$1))</f>
        <v>3</v>
      </c>
      <c r="BL16" s="3">
        <f>IF($C$5="ON",CL16,MyRating(_D3,$B16,Efficacy!$F$1))</f>
        <v>3</v>
      </c>
      <c r="BM16" s="3">
        <f>IF($C$5="ON",CM16,MyRating(_D4,$B16,Efficacy!$F$1))</f>
        <v>3</v>
      </c>
      <c r="BN16" s="3">
        <f>IF($C$5="ON",CN16,MyRating(_B1G5,$B16,Barrier!$L$2))</f>
        <v>1</v>
      </c>
      <c r="BO16" s="3">
        <f>IF($C$5="ON",CO16,MyRating(_B2,$B16,Barrier!$F$2))</f>
        <v>1</v>
      </c>
      <c r="BP16" s="6">
        <f>IF($C$5="ON",CP16,MyRating(_B3,$B16,Barrier!$F$2))</f>
        <v>1</v>
      </c>
      <c r="BQ16" s="5">
        <f t="shared" si="6"/>
        <v>9.9044671286996639E-3</v>
      </c>
      <c r="BR16" s="8">
        <f t="shared" si="7"/>
        <v>1</v>
      </c>
      <c r="BS16" s="5">
        <f t="shared" si="8"/>
        <v>1.2217470983506409E-2</v>
      </c>
      <c r="BT16" s="7">
        <f t="shared" si="9"/>
        <v>5.0626462170790974E-3</v>
      </c>
      <c r="BU16" s="4">
        <v>3</v>
      </c>
      <c r="BV16" s="3">
        <v>3</v>
      </c>
      <c r="BW16" s="3">
        <v>3</v>
      </c>
      <c r="BX16" s="3">
        <v>3</v>
      </c>
      <c r="BY16" s="3">
        <v>3</v>
      </c>
      <c r="BZ16" s="3">
        <v>3</v>
      </c>
      <c r="CA16" s="3">
        <v>3</v>
      </c>
      <c r="CB16" s="3">
        <v>3</v>
      </c>
      <c r="CC16" s="3">
        <v>3</v>
      </c>
      <c r="CD16" s="3">
        <v>3</v>
      </c>
      <c r="CE16" s="3">
        <v>3</v>
      </c>
      <c r="CF16" s="3">
        <v>3</v>
      </c>
      <c r="CG16" s="3">
        <v>3</v>
      </c>
      <c r="CH16" s="3">
        <v>2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1</v>
      </c>
      <c r="CO16" s="3">
        <v>1</v>
      </c>
      <c r="CP16" s="6">
        <v>1</v>
      </c>
      <c r="CQ16" s="5">
        <v>9.9044671286996639E-3</v>
      </c>
      <c r="CR16" s="61"/>
    </row>
    <row r="17" spans="1:96" x14ac:dyDescent="0.35">
      <c r="A17" s="9" t="str">
        <f t="shared" si="0"/>
        <v>JP</v>
      </c>
      <c r="B17" s="9" t="s">
        <v>80</v>
      </c>
      <c r="C17" s="20"/>
      <c r="D17" s="9" t="s">
        <v>79</v>
      </c>
      <c r="E17" s="9" t="s">
        <v>193</v>
      </c>
      <c r="F17" s="9" t="s">
        <v>43</v>
      </c>
      <c r="G17" s="19">
        <v>0</v>
      </c>
      <c r="H17" s="9">
        <v>2014</v>
      </c>
      <c r="I17" s="9">
        <v>6</v>
      </c>
      <c r="J17" s="18">
        <f>INDEX(PTRS!$D$6:$D$12,MATCH('7'!$F17,PTRS!$B$6:$B$12,0))</f>
        <v>0.40949999999999998</v>
      </c>
      <c r="K17" s="17">
        <v>0</v>
      </c>
      <c r="L17" s="17">
        <v>0.40949999999999998</v>
      </c>
      <c r="M17" s="17">
        <v>0.13649999999999998</v>
      </c>
      <c r="N17" s="17">
        <v>0.40949999999999998</v>
      </c>
      <c r="O17" s="17">
        <v>0.40949999999999998</v>
      </c>
      <c r="P17" s="17">
        <v>0.40949999999999998</v>
      </c>
      <c r="Q17" s="17">
        <v>0.41</v>
      </c>
      <c r="R17" s="17">
        <v>0.41</v>
      </c>
      <c r="S17" s="17">
        <v>1</v>
      </c>
      <c r="T17" s="17"/>
      <c r="U17" s="17">
        <f t="shared" si="1"/>
        <v>0.72649652910676854</v>
      </c>
      <c r="V17" s="17">
        <v>1</v>
      </c>
      <c r="W17" s="9" t="s">
        <v>62</v>
      </c>
      <c r="X17" s="9">
        <f>INDEX('Unique Asset List'!$C$4:$I$60,MATCH('7'!$B17,'Unique Asset List'!$A$4:$A$60,0),MATCH('7'!$C$1,'Unique Asset List'!$C$3:$I$3,0))</f>
        <v>2023</v>
      </c>
      <c r="Y17" s="9">
        <f>INDEX('Unique Asset List'!$J$4:$P$60,MATCH('7'!$B17,'Unique Asset List'!$A$4:$A$60,0),MATCH('7'!$C$1,'Unique Asset List'!$J$3:$P$3,0))</f>
        <v>7</v>
      </c>
      <c r="Z17" s="9">
        <f>INDEX('Unique Asset List'!$X$4:$AD$60,MATCH('7'!$B17,'Unique Asset List'!$A$4:$A$60,0),MATCH('7'!$C$1,'Unique Asset List'!$X$3:$AD$3,0))</f>
        <v>2031</v>
      </c>
      <c r="AA17" s="9">
        <f>INDEX('Unique Asset List'!$AE$4:$AK$60,MATCH('7'!$B17,'Unique Asset List'!$A$4:$A$60,0),MATCH('7'!$C$1,'Unique Asset List'!$AE$3:$AK$3,0))</f>
        <v>7</v>
      </c>
      <c r="AB17" s="16">
        <f t="shared" si="2"/>
        <v>2.1526286000000003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List'!$BN$4:$BT$60,MATCH('7'!$B17,'Unique Asset List'!$A$4:$A$60,0),MATCH('7'!$C$1,'Unique Asset List'!$BN$3:$BT$3,0))</f>
        <v>0.23</v>
      </c>
      <c r="AF17" s="15">
        <f>INDEX('Unique Asset List'!$BU$4:$CA$60,MATCH('7'!$B17,'Unique Asset List'!$A$4:$A$60,0),MATCH('7'!$C$1,'Unique Asset List'!$BU$3:$CA$3,0))</f>
        <v>0.27</v>
      </c>
      <c r="AG17" s="15">
        <f>INDEX('Unique Asset List'!$AZ$4:$BF$60,MATCH('7'!$B17,'Unique Asset List'!$A$4:$A$60,0),MATCH('7'!$C$1,'Unique Asset List'!$AZ$3:$BF$3,0))</f>
        <v>0.23</v>
      </c>
      <c r="AH17" s="15">
        <f>INDEX('Unique Asset List'!$BG$4:$BM$60,MATCH('7'!$B17,'Unique Asset List'!$A$4:$A$60,0),MATCH('7'!$C$1,'Unique Asset List'!$BG$3:$BM$3,0))</f>
        <v>0.27</v>
      </c>
      <c r="AI17" s="11">
        <v>0.7</v>
      </c>
      <c r="AJ17" s="15">
        <f>INDEX('Unique Asset List'!$AL$4:$AR$60,MATCH('7'!$B17,'Unique Asset List'!$A$4:$A$60,0),MATCH('7'!$C$1,'Unique Asset List'!$AL$3:$AR$3,0))</f>
        <v>0.14000000000000001</v>
      </c>
      <c r="AK17" s="15">
        <f>INDEX('Unique Asset List'!$AS$4:$AY$60,MATCH('7'!$B17,'Unique Asset List'!$A$4:$A$60,0),MATCH('7'!$C$1,'Unique Asset List'!$AS$3:$AY$3,0))</f>
        <v>0.15</v>
      </c>
      <c r="AL17" s="9">
        <v>169</v>
      </c>
      <c r="AM17" s="14">
        <f>INDEX(Simulation!$B$6:$H$6,MATCH($A17,Simulation!$B$1:$H$1,0))*(1+AN17)^((DATE(X17,Y17,15)-DATE(2017,1,15))/365.5)</f>
        <v>0.75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v>1</v>
      </c>
      <c r="AT17" s="10"/>
      <c r="AU17" s="4">
        <f>IF($C$5="ON",BU17,MyRating(_E1,$B17,Efficacy!$F$1))</f>
        <v>4</v>
      </c>
      <c r="AV17" s="3">
        <f>IF($C$5="ON",BV17,MyRating(_E2,$B17,Efficacy!$F$1))</f>
        <v>4</v>
      </c>
      <c r="AW17" s="3">
        <f>IF($C$5="ON",BW17,MyRating(_E3,$B17,Efficacy!$F$1))</f>
        <v>4</v>
      </c>
      <c r="AX17" s="3">
        <f>IF($C$5="ON",BX17,MyRating(_E4,$B17,Efficacy!$F$1))</f>
        <v>4</v>
      </c>
      <c r="AY17" s="3">
        <f>IF($C$5="ON",BY17,MyRating(_E5,$B17,Efficacy!$F$1))</f>
        <v>3</v>
      </c>
      <c r="AZ17" s="3">
        <f>IF($C$5="ON",BZ17,MyRating(_E6,$B17,Efficacy!$F$1))</f>
        <v>3</v>
      </c>
      <c r="BA17" s="3">
        <f>IF($C$5="ON",CA17,MyRating(_E7,$B17,Efficacy!$F$1))</f>
        <v>3</v>
      </c>
      <c r="BB17" s="3">
        <f>IF($C$5="ON",CB17,MyRating(_E8,$B17,Efficacy!$F$1))</f>
        <v>5</v>
      </c>
      <c r="BC17" s="3">
        <f>IF($C$5="ON",CC17,MyRating(_S1,$B17,Efficacy!$F$1))</f>
        <v>4</v>
      </c>
      <c r="BD17" s="3">
        <f>IF($C$5="ON",CD17,MyRating(_S2,$B17,Efficacy!$F$1))</f>
        <v>3</v>
      </c>
      <c r="BE17" s="3">
        <f>IF($C$5="ON",CE17,MyRating(_S3,$B17,Efficacy!$F$1))</f>
        <v>3</v>
      </c>
      <c r="BF17" s="3">
        <f>IF($C$5="ON",CF17,MyRating(_S4,$B17,Efficacy!$F$1))</f>
        <v>3</v>
      </c>
      <c r="BG17" s="3">
        <f>IF($C$5="ON",CG17,MyRating(_S5,$B17,Efficacy!$F$1))</f>
        <v>5</v>
      </c>
      <c r="BH17" s="3">
        <f>IF($C$5="ON",CH17,MyRating(_S6,$B17,Efficacy!$F$1))</f>
        <v>2</v>
      </c>
      <c r="BI17" s="3">
        <f>IF($C$5="ON",CI17,MyRating(_S7,$B17,Efficacy!$F$1))</f>
        <v>3</v>
      </c>
      <c r="BJ17" s="3">
        <f>IF($C$5="ON",CJ17,MyRating(_D1,$B17,Efficacy!$F$1))</f>
        <v>3</v>
      </c>
      <c r="BK17" s="3">
        <f>IF($C$5="ON",CK17,MyRating(_D2,$B17,Efficacy!$F$1))</f>
        <v>3</v>
      </c>
      <c r="BL17" s="3">
        <f>IF($C$5="ON",CL17,MyRating(_D3,$B17,Efficacy!$F$1))</f>
        <v>3</v>
      </c>
      <c r="BM17" s="3">
        <f>IF($C$5="ON",CM17,MyRating(_D4,$B17,Efficacy!$F$1))</f>
        <v>3</v>
      </c>
      <c r="BN17" s="3">
        <f>IF($C$5="ON",CN17,MyRating(_B1G5,$B17,Barrier!$L$2))</f>
        <v>2</v>
      </c>
      <c r="BO17" s="3">
        <f>IF($C$5="ON",CO17,MyRating(_B2,$B17,Barrier!$F$2))</f>
        <v>3</v>
      </c>
      <c r="BP17" s="6">
        <f>IF($C$5="ON",CP17,MyRating(_B3,$B17,Barrier!$F$2))</f>
        <v>3</v>
      </c>
      <c r="BQ17" s="5">
        <f t="shared" si="6"/>
        <v>3.6275844714639842E-2</v>
      </c>
      <c r="BR17" s="8">
        <f t="shared" si="7"/>
        <v>2.9499999999999997</v>
      </c>
      <c r="BS17" s="5">
        <f t="shared" si="8"/>
        <v>3.60415394013439E-2</v>
      </c>
      <c r="BT17" s="7">
        <f t="shared" si="9"/>
        <v>1.8542316878791175E-2</v>
      </c>
      <c r="BU17" s="4">
        <v>4</v>
      </c>
      <c r="BV17" s="3">
        <v>4</v>
      </c>
      <c r="BW17" s="3">
        <v>4</v>
      </c>
      <c r="BX17" s="3">
        <v>4</v>
      </c>
      <c r="BY17" s="3">
        <v>3</v>
      </c>
      <c r="BZ17" s="3">
        <v>3</v>
      </c>
      <c r="CA17" s="3">
        <v>3</v>
      </c>
      <c r="CB17" s="3">
        <v>5</v>
      </c>
      <c r="CC17" s="3">
        <v>4</v>
      </c>
      <c r="CD17" s="3">
        <v>3</v>
      </c>
      <c r="CE17" s="3">
        <v>3</v>
      </c>
      <c r="CF17" s="3">
        <v>3</v>
      </c>
      <c r="CG17" s="3">
        <v>5</v>
      </c>
      <c r="CH17" s="3">
        <v>2</v>
      </c>
      <c r="CI17" s="3">
        <v>3</v>
      </c>
      <c r="CJ17" s="3">
        <v>3</v>
      </c>
      <c r="CK17" s="3">
        <v>3</v>
      </c>
      <c r="CL17" s="3">
        <v>3</v>
      </c>
      <c r="CM17" s="3">
        <v>3</v>
      </c>
      <c r="CN17" s="3">
        <v>2</v>
      </c>
      <c r="CO17" s="3">
        <v>3</v>
      </c>
      <c r="CP17" s="6">
        <v>3</v>
      </c>
      <c r="CQ17" s="5">
        <v>3.6275844714639842E-2</v>
      </c>
      <c r="CR17" s="61"/>
    </row>
    <row r="18" spans="1:96" x14ac:dyDescent="0.35">
      <c r="A18" s="9" t="str">
        <f t="shared" si="0"/>
        <v>JP</v>
      </c>
      <c r="B18" s="9" t="s">
        <v>89</v>
      </c>
      <c r="C18" s="20"/>
      <c r="D18" s="9" t="s">
        <v>64</v>
      </c>
      <c r="E18" s="9" t="s">
        <v>193</v>
      </c>
      <c r="F18" s="9" t="s">
        <v>63</v>
      </c>
      <c r="G18" s="19">
        <v>0</v>
      </c>
      <c r="H18" s="9">
        <v>2014</v>
      </c>
      <c r="I18" s="9">
        <v>6</v>
      </c>
      <c r="J18" s="18">
        <f>INDEX(PTRS!$D$6:$D$12,MATCH('7'!$F18,PTRS!$B$6:$B$12,0))</f>
        <v>0.58500000000000008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0.58500000000000008</v>
      </c>
      <c r="Q18" s="17">
        <v>1</v>
      </c>
      <c r="R18" s="17">
        <v>1</v>
      </c>
      <c r="S18" s="17">
        <v>1</v>
      </c>
      <c r="T18" s="17"/>
      <c r="U18" s="17">
        <f t="shared" si="1"/>
        <v>0.72649652910676854</v>
      </c>
      <c r="V18" s="17">
        <v>0.25</v>
      </c>
      <c r="W18" s="9" t="s">
        <v>54</v>
      </c>
      <c r="X18" s="9">
        <f>INDEX('Unique Asset List'!$C$4:$I$60,MATCH('7'!$B18,'Unique Asset List'!$A$4:$A$60,0),MATCH('7'!$C$1,'Unique Asset List'!$C$3:$I$3,0))</f>
        <v>2017</v>
      </c>
      <c r="Y18" s="9">
        <f>INDEX('Unique Asset List'!$J$4:$P$60,MATCH('7'!$B18,'Unique Asset List'!$A$4:$A$60,0),MATCH('7'!$C$1,'Unique Asset List'!$J$3:$P$3,0))</f>
        <v>3</v>
      </c>
      <c r="Z18" s="9">
        <f>INDEX('Unique Asset List'!$X$4:$AD$60,MATCH('7'!$B18,'Unique Asset List'!$A$4:$A$60,0),MATCH('7'!$C$1,'Unique Asset List'!$X$3:$AD$3,0))</f>
        <v>2025</v>
      </c>
      <c r="AA18" s="9">
        <f>INDEX('Unique Asset List'!$AE$4:$AK$60,MATCH('7'!$B18,'Unique Asset List'!$A$4:$A$60,0),MATCH('7'!$C$1,'Unique Asset List'!$AE$3:$AK$3,0))</f>
        <v>3</v>
      </c>
      <c r="AB18" s="16">
        <f t="shared" si="2"/>
        <v>1.8285232000000005</v>
      </c>
      <c r="AC18" s="16">
        <f t="shared" si="3"/>
        <v>0.82350590000000001</v>
      </c>
      <c r="AD18" s="16">
        <f t="shared" si="4"/>
        <v>0.52097279586</v>
      </c>
      <c r="AE18" s="15">
        <f>INDEX('Unique Asset List'!$BN$4:$BT$60,MATCH('7'!$B18,'Unique Asset List'!$A$4:$A$60,0),MATCH('7'!$C$1,'Unique Asset List'!$BN$3:$BT$3,0))</f>
        <v>0.16</v>
      </c>
      <c r="AF18" s="15">
        <f>INDEX('Unique Asset List'!$BU$4:$CA$60,MATCH('7'!$B18,'Unique Asset List'!$A$4:$A$60,0),MATCH('7'!$C$1,'Unique Asset List'!$BU$3:$CA$3,0))</f>
        <v>0.34</v>
      </c>
      <c r="AG18" s="15">
        <f>INDEX('Unique Asset List'!$AZ$4:$BF$60,MATCH('7'!$B18,'Unique Asset List'!$A$4:$A$60,0),MATCH('7'!$C$1,'Unique Asset List'!$AZ$3:$BF$3,0))</f>
        <v>0.16</v>
      </c>
      <c r="AH18" s="15">
        <f>INDEX('Unique Asset List'!$BG$4:$BM$60,MATCH('7'!$B18,'Unique Asset List'!$A$4:$A$60,0),MATCH('7'!$C$1,'Unique Asset List'!$BG$3:$BM$3,0))</f>
        <v>0.34</v>
      </c>
      <c r="AI18" s="11">
        <v>0.7</v>
      </c>
      <c r="AJ18" s="15">
        <f>INDEX('Unique Asset List'!$AL$4:$AR$60,MATCH('7'!$B18,'Unique Asset List'!$A$4:$A$60,0),MATCH('7'!$C$1,'Unique Asset List'!$AL$3:$AR$3,0))</f>
        <v>0.14000000000000001</v>
      </c>
      <c r="AK18" s="15">
        <f>INDEX('Unique Asset List'!$AS$4:$AY$60,MATCH('7'!$B18,'Unique Asset List'!$A$4:$A$60,0),MATCH('7'!$C$1,'Unique Asset List'!$AS$3:$AY$3,0))</f>
        <v>0.15</v>
      </c>
      <c r="AL18" s="9">
        <v>169</v>
      </c>
      <c r="AM18" s="14">
        <f>INDEX(Simulation!$B$6:$H$6,MATCH($A18,Simulation!$B$1:$H$1,0))*(1+AN18)^((DATE(X18,Y18,15)-DATE(2017,1,15))/365.5)</f>
        <v>0.75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5"/>
        <v>0.82</v>
      </c>
      <c r="AS18" s="10">
        <v>1</v>
      </c>
      <c r="AT18" s="10"/>
      <c r="AU18" s="4">
        <f>IF($C$5="ON",BU18,MyRating(_E1,$B18,Efficacy!$F$1))</f>
        <v>3</v>
      </c>
      <c r="AV18" s="3">
        <f>IF($C$5="ON",BV18,MyRating(_E2,$B18,Efficacy!$F$1))</f>
        <v>4</v>
      </c>
      <c r="AW18" s="3">
        <f>IF($C$5="ON",BW18,MyRating(_E3,$B18,Efficacy!$F$1))</f>
        <v>3</v>
      </c>
      <c r="AX18" s="3">
        <f>IF($C$5="ON",BX18,MyRating(_E4,$B18,Efficacy!$F$1))</f>
        <v>3</v>
      </c>
      <c r="AY18" s="3">
        <f>IF($C$5="ON",BY18,MyRating(_E5,$B18,Efficacy!$F$1))</f>
        <v>3</v>
      </c>
      <c r="AZ18" s="3">
        <f>IF($C$5="ON",BZ18,MyRating(_E6,$B18,Efficacy!$F$1))</f>
        <v>3</v>
      </c>
      <c r="BA18" s="3">
        <f>IF($C$5="ON",CA18,MyRating(_E7,$B18,Efficacy!$F$1))</f>
        <v>3</v>
      </c>
      <c r="BB18" s="3">
        <f>IF($C$5="ON",CB18,MyRating(_E8,$B18,Efficacy!$F$1))</f>
        <v>4</v>
      </c>
      <c r="BC18" s="3">
        <f>IF($C$5="ON",CC18,MyRating(_S1,$B18,Efficacy!$F$1))</f>
        <v>3</v>
      </c>
      <c r="BD18" s="3">
        <f>IF($C$5="ON",CD18,MyRating(_S2,$B18,Efficacy!$F$1))</f>
        <v>3</v>
      </c>
      <c r="BE18" s="3">
        <f>IF($C$5="ON",CE18,MyRating(_S3,$B18,Efficacy!$F$1))</f>
        <v>3</v>
      </c>
      <c r="BF18" s="3">
        <f>IF($C$5="ON",CF18,MyRating(_S4,$B18,Efficacy!$F$1))</f>
        <v>3</v>
      </c>
      <c r="BG18" s="3">
        <f>IF($C$5="ON",CG18,MyRating(_S5,$B18,Efficacy!$F$1))</f>
        <v>5</v>
      </c>
      <c r="BH18" s="3">
        <f>IF($C$5="ON",CH18,MyRating(_S6,$B18,Efficacy!$F$1))</f>
        <v>2</v>
      </c>
      <c r="BI18" s="3">
        <f>IF($C$5="ON",CI18,MyRating(_S7,$B18,Efficacy!$F$1))</f>
        <v>3</v>
      </c>
      <c r="BJ18" s="3">
        <f>IF($C$5="ON",CJ18,MyRating(_D1,$B18,Efficacy!$F$1))</f>
        <v>3</v>
      </c>
      <c r="BK18" s="3">
        <f>IF($C$5="ON",CK18,MyRating(_D2,$B18,Efficacy!$F$1))</f>
        <v>2</v>
      </c>
      <c r="BL18" s="3">
        <f>IF($C$5="ON",CL18,MyRating(_D3,$B18,Efficacy!$F$1))</f>
        <v>3</v>
      </c>
      <c r="BM18" s="3">
        <f>IF($C$5="ON",CM18,MyRating(_D4,$B18,Efficacy!$F$1))</f>
        <v>3</v>
      </c>
      <c r="BN18" s="3">
        <f>IF($C$5="ON",CN18,MyRating(_B1G5,$B18,Barrier!$L$2))</f>
        <v>2</v>
      </c>
      <c r="BO18" s="3">
        <f>IF($C$5="ON",CO18,MyRating(_B2,$B18,Barrier!$F$2))</f>
        <v>3</v>
      </c>
      <c r="BP18" s="6">
        <f>IF($C$5="ON",CP18,MyRating(_B3,$B18,Barrier!$F$2))</f>
        <v>3</v>
      </c>
      <c r="BQ18" s="5">
        <f t="shared" si="6"/>
        <v>3.6275844714639842E-2</v>
      </c>
      <c r="BR18" s="8">
        <f t="shared" si="7"/>
        <v>2.9499999999999997</v>
      </c>
      <c r="BS18" s="5">
        <f t="shared" si="8"/>
        <v>3.60415394013439E-2</v>
      </c>
      <c r="BT18" s="7">
        <f t="shared" si="9"/>
        <v>1.8542316878791175E-2</v>
      </c>
      <c r="BU18" s="4">
        <v>3</v>
      </c>
      <c r="BV18" s="3">
        <v>4</v>
      </c>
      <c r="BW18" s="3">
        <v>3</v>
      </c>
      <c r="BX18" s="3">
        <v>3</v>
      </c>
      <c r="BY18" s="3">
        <v>3</v>
      </c>
      <c r="BZ18" s="3">
        <v>3</v>
      </c>
      <c r="CA18" s="3">
        <v>3</v>
      </c>
      <c r="CB18" s="3">
        <v>4</v>
      </c>
      <c r="CC18" s="3">
        <v>3</v>
      </c>
      <c r="CD18" s="3">
        <v>3</v>
      </c>
      <c r="CE18" s="3">
        <v>3</v>
      </c>
      <c r="CF18" s="3">
        <v>3</v>
      </c>
      <c r="CG18" s="3">
        <v>5</v>
      </c>
      <c r="CH18" s="3">
        <v>2</v>
      </c>
      <c r="CI18" s="3">
        <v>3</v>
      </c>
      <c r="CJ18" s="3">
        <v>3</v>
      </c>
      <c r="CK18" s="3">
        <v>2</v>
      </c>
      <c r="CL18" s="3">
        <v>3</v>
      </c>
      <c r="CM18" s="3">
        <v>3</v>
      </c>
      <c r="CN18" s="3">
        <v>2</v>
      </c>
      <c r="CO18" s="3">
        <v>3</v>
      </c>
      <c r="CP18" s="6">
        <v>3</v>
      </c>
      <c r="CQ18" s="5">
        <v>3.6275844714639842E-2</v>
      </c>
      <c r="CR18" s="61"/>
    </row>
    <row r="19" spans="1:96" x14ac:dyDescent="0.35">
      <c r="A19" s="9" t="str">
        <f t="shared" si="0"/>
        <v>JP</v>
      </c>
      <c r="B19" s="9" t="s">
        <v>78</v>
      </c>
      <c r="C19" s="20"/>
      <c r="D19" s="9" t="s">
        <v>77</v>
      </c>
      <c r="E19" s="9" t="s">
        <v>193</v>
      </c>
      <c r="F19" s="9" t="s">
        <v>51</v>
      </c>
      <c r="G19" s="19">
        <v>0</v>
      </c>
      <c r="H19" s="9">
        <v>2014</v>
      </c>
      <c r="I19" s="9">
        <v>6</v>
      </c>
      <c r="J19" s="18">
        <f>INDEX(PTRS!$D$6:$D$12,MATCH('7'!$F19,PTRS!$B$6:$B$12,0))</f>
        <v>0.1638</v>
      </c>
      <c r="K19" s="17">
        <v>0</v>
      </c>
      <c r="L19" s="17">
        <v>0.1638</v>
      </c>
      <c r="M19" s="17">
        <v>5.4600000000000003E-2</v>
      </c>
      <c r="N19" s="17">
        <v>0.1638</v>
      </c>
      <c r="O19" s="17">
        <v>0.1638</v>
      </c>
      <c r="P19" s="17">
        <v>0.1638</v>
      </c>
      <c r="Q19" s="17">
        <v>0.16</v>
      </c>
      <c r="R19" s="17">
        <v>0.16</v>
      </c>
      <c r="S19" s="17">
        <v>1</v>
      </c>
      <c r="T19" s="17"/>
      <c r="U19" s="17">
        <f t="shared" si="1"/>
        <v>0.72649652910676854</v>
      </c>
      <c r="V19" s="17">
        <v>1</v>
      </c>
      <c r="W19" s="9" t="s">
        <v>62</v>
      </c>
      <c r="X19" s="9">
        <f>INDEX('Unique Asset List'!$C$4:$I$60,MATCH('7'!$B19,'Unique Asset List'!$A$4:$A$60,0),MATCH('7'!$C$1,'Unique Asset List'!$C$3:$I$3,0))</f>
        <v>2024</v>
      </c>
      <c r="Y19" s="9">
        <f>INDEX('Unique Asset List'!$J$4:$P$60,MATCH('7'!$B19,'Unique Asset List'!$A$4:$A$60,0),MATCH('7'!$C$1,'Unique Asset List'!$J$3:$P$3,0))</f>
        <v>10</v>
      </c>
      <c r="Z19" s="9">
        <f>INDEX('Unique Asset List'!$X$4:$AD$60,MATCH('7'!$B19,'Unique Asset List'!$A$4:$A$60,0),MATCH('7'!$C$1,'Unique Asset List'!$X$3:$AD$3,0))</f>
        <v>2032</v>
      </c>
      <c r="AA19" s="9">
        <f>INDEX('Unique Asset List'!$AE$4:$AK$60,MATCH('7'!$B19,'Unique Asset List'!$A$4:$A$60,0),MATCH('7'!$C$1,'Unique Asset List'!$AE$3:$AK$3,0))</f>
        <v>10</v>
      </c>
      <c r="AB19" s="16">
        <f t="shared" si="2"/>
        <v>1.8922540000000003</v>
      </c>
      <c r="AC19" s="16">
        <f t="shared" si="3"/>
        <v>0.88497580000000009</v>
      </c>
      <c r="AD19" s="16">
        <f t="shared" si="4"/>
        <v>0.56099999999999994</v>
      </c>
      <c r="AE19" s="15">
        <f>INDEX('Unique Asset List'!$BN$4:$BT$60,MATCH('7'!$B19,'Unique Asset List'!$A$4:$A$60,0),MATCH('7'!$C$1,'Unique Asset List'!$BN$3:$BT$3,0))</f>
        <v>0.23</v>
      </c>
      <c r="AF19" s="15">
        <f>INDEX('Unique Asset List'!$BU$4:$CA$60,MATCH('7'!$B19,'Unique Asset List'!$A$4:$A$60,0),MATCH('7'!$C$1,'Unique Asset List'!$BU$3:$CA$3,0))</f>
        <v>0.27</v>
      </c>
      <c r="AG19" s="15">
        <f>INDEX('Unique Asset List'!$AZ$4:$BF$60,MATCH('7'!$B19,'Unique Asset List'!$A$4:$A$60,0),MATCH('7'!$C$1,'Unique Asset List'!$AZ$3:$BF$3,0))</f>
        <v>0.23</v>
      </c>
      <c r="AH19" s="15">
        <f>INDEX('Unique Asset List'!$BG$4:$BM$60,MATCH('7'!$B19,'Unique Asset List'!$A$4:$A$60,0),MATCH('7'!$C$1,'Unique Asset List'!$BG$3:$BM$3,0))</f>
        <v>0.27</v>
      </c>
      <c r="AI19" s="11">
        <v>0.7</v>
      </c>
      <c r="AJ19" s="15">
        <f>INDEX('Unique Asset List'!$AL$4:$AR$60,MATCH('7'!$B19,'Unique Asset List'!$A$4:$A$60,0),MATCH('7'!$C$1,'Unique Asset List'!$AL$3:$AR$3,0))</f>
        <v>0.14000000000000001</v>
      </c>
      <c r="AK19" s="15">
        <f>INDEX('Unique Asset List'!$AS$4:$AY$60,MATCH('7'!$B19,'Unique Asset List'!$A$4:$A$60,0),MATCH('7'!$C$1,'Unique Asset List'!$AS$3:$AY$3,0))</f>
        <v>0.15</v>
      </c>
      <c r="AL19" s="9">
        <v>169</v>
      </c>
      <c r="AM19" s="14">
        <f>INDEX(Simulation!$B$6:$H$6,MATCH($A19,Simulation!$B$1:$H$1,0))*(1+AN19)^((DATE(X19,Y19,15)-DATE(2017,1,15))/365.5)</f>
        <v>0.75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0"/>
      <c r="AU19" s="4">
        <f>IF($C$5="ON",BU19,MyRating(_E1,$B19,Efficacy!$F$1))</f>
        <v>3</v>
      </c>
      <c r="AV19" s="3">
        <f>IF($C$5="ON",BV19,MyRating(_E2,$B19,Efficacy!$F$1))</f>
        <v>3</v>
      </c>
      <c r="AW19" s="3">
        <f>IF($C$5="ON",BW19,MyRating(_E3,$B19,Efficacy!$F$1))</f>
        <v>3</v>
      </c>
      <c r="AX19" s="3">
        <f>IF($C$5="ON",BX19,MyRating(_E4,$B19,Efficacy!$F$1))</f>
        <v>4</v>
      </c>
      <c r="AY19" s="3">
        <f>IF($C$5="ON",BY19,MyRating(_E5,$B19,Efficacy!$F$1))</f>
        <v>3</v>
      </c>
      <c r="AZ19" s="3">
        <f>IF($C$5="ON",BZ19,MyRating(_E6,$B19,Efficacy!$F$1))</f>
        <v>3</v>
      </c>
      <c r="BA19" s="3">
        <f>IF($C$5="ON",CA19,MyRating(_E7,$B19,Efficacy!$F$1))</f>
        <v>3</v>
      </c>
      <c r="BB19" s="3">
        <f>IF($C$5="ON",CB19,MyRating(_E8,$B19,Efficacy!$F$1))</f>
        <v>5</v>
      </c>
      <c r="BC19" s="3">
        <f>IF($C$5="ON",CC19,MyRating(_S1,$B19,Efficacy!$F$1))</f>
        <v>4</v>
      </c>
      <c r="BD19" s="3">
        <f>IF($C$5="ON",CD19,MyRating(_S2,$B19,Efficacy!$F$1))</f>
        <v>3</v>
      </c>
      <c r="BE19" s="3">
        <f>IF($C$5="ON",CE19,MyRating(_S3,$B19,Efficacy!$F$1))</f>
        <v>3</v>
      </c>
      <c r="BF19" s="3">
        <f>IF($C$5="ON",CF19,MyRating(_S4,$B19,Efficacy!$F$1))</f>
        <v>3</v>
      </c>
      <c r="BG19" s="3">
        <f>IF($C$5="ON",CG19,MyRating(_S5,$B19,Efficacy!$F$1))</f>
        <v>5</v>
      </c>
      <c r="BH19" s="3">
        <f>IF($C$5="ON",CH19,MyRating(_S6,$B19,Efficacy!$F$1))</f>
        <v>2</v>
      </c>
      <c r="BI19" s="3">
        <f>IF($C$5="ON",CI19,MyRating(_S7,$B19,Efficacy!$F$1))</f>
        <v>3</v>
      </c>
      <c r="BJ19" s="3">
        <f>IF($C$5="ON",CJ19,MyRating(_D1,$B19,Efficacy!$F$1))</f>
        <v>3</v>
      </c>
      <c r="BK19" s="3">
        <f>IF($C$5="ON",CK19,MyRating(_D2,$B19,Efficacy!$F$1))</f>
        <v>3</v>
      </c>
      <c r="BL19" s="3">
        <f>IF($C$5="ON",CL19,MyRating(_D3,$B19,Efficacy!$F$1))</f>
        <v>3</v>
      </c>
      <c r="BM19" s="3">
        <f>IF($C$5="ON",CM19,MyRating(_D4,$B19,Efficacy!$F$1))</f>
        <v>3</v>
      </c>
      <c r="BN19" s="3">
        <f>IF($C$5="ON",CN19,MyRating(_B1G5,$B19,Barrier!$L$2))</f>
        <v>2</v>
      </c>
      <c r="BO19" s="3">
        <f>IF($C$5="ON",CO19,MyRating(_B2,$B19,Barrier!$F$2))</f>
        <v>3</v>
      </c>
      <c r="BP19" s="6">
        <f>IF($C$5="ON",CP19,MyRating(_B3,$B19,Barrier!$F$2))</f>
        <v>3</v>
      </c>
      <c r="BQ19" s="5">
        <f t="shared" si="6"/>
        <v>3.6275844714639842E-2</v>
      </c>
      <c r="BR19" s="8">
        <f t="shared" si="7"/>
        <v>2.9499999999999997</v>
      </c>
      <c r="BS19" s="5">
        <f t="shared" si="8"/>
        <v>3.60415394013439E-2</v>
      </c>
      <c r="BT19" s="7">
        <f t="shared" si="9"/>
        <v>1.8542316878791175E-2</v>
      </c>
      <c r="BU19" s="4">
        <v>3</v>
      </c>
      <c r="BV19" s="3">
        <v>3</v>
      </c>
      <c r="BW19" s="3">
        <v>3</v>
      </c>
      <c r="BX19" s="3">
        <v>4</v>
      </c>
      <c r="BY19" s="3">
        <v>3</v>
      </c>
      <c r="BZ19" s="3">
        <v>3</v>
      </c>
      <c r="CA19" s="3">
        <v>3</v>
      </c>
      <c r="CB19" s="3">
        <v>5</v>
      </c>
      <c r="CC19" s="3">
        <v>4</v>
      </c>
      <c r="CD19" s="3">
        <v>3</v>
      </c>
      <c r="CE19" s="3">
        <v>3</v>
      </c>
      <c r="CF19" s="3">
        <v>3</v>
      </c>
      <c r="CG19" s="3">
        <v>5</v>
      </c>
      <c r="CH19" s="3">
        <v>2</v>
      </c>
      <c r="CI19" s="3">
        <v>3</v>
      </c>
      <c r="CJ19" s="3">
        <v>3</v>
      </c>
      <c r="CK19" s="3">
        <v>3</v>
      </c>
      <c r="CL19" s="3">
        <v>3</v>
      </c>
      <c r="CM19" s="3">
        <v>3</v>
      </c>
      <c r="CN19" s="3">
        <v>2</v>
      </c>
      <c r="CO19" s="3">
        <v>3</v>
      </c>
      <c r="CP19" s="6">
        <v>3</v>
      </c>
      <c r="CQ19" s="5">
        <v>3.6275844714639842E-2</v>
      </c>
      <c r="CR19" s="61"/>
    </row>
    <row r="20" spans="1:96" x14ac:dyDescent="0.35">
      <c r="A20" s="9" t="str">
        <f t="shared" si="0"/>
        <v>JP</v>
      </c>
      <c r="B20" s="9" t="s">
        <v>39</v>
      </c>
      <c r="C20" s="20"/>
      <c r="D20" s="9" t="s">
        <v>2</v>
      </c>
      <c r="E20" s="9" t="s">
        <v>193</v>
      </c>
      <c r="F20" s="9" t="s">
        <v>43</v>
      </c>
      <c r="G20" s="19">
        <v>0</v>
      </c>
      <c r="H20" s="9">
        <v>2014</v>
      </c>
      <c r="I20" s="9">
        <v>6</v>
      </c>
      <c r="J20" s="18">
        <f>INDEX(PTRS!$D$6:$D$12,MATCH('7'!$F20,PTRS!$B$6:$B$12,0))</f>
        <v>0.40949999999999998</v>
      </c>
      <c r="K20" s="17">
        <v>0</v>
      </c>
      <c r="L20" s="17">
        <v>0.40949999999999998</v>
      </c>
      <c r="M20" s="17">
        <v>0.40949999999999998</v>
      </c>
      <c r="N20" s="17">
        <v>0.4</v>
      </c>
      <c r="O20" s="17">
        <v>0.4</v>
      </c>
      <c r="P20" s="17">
        <v>0.40949999999999998</v>
      </c>
      <c r="Q20" s="17">
        <v>1</v>
      </c>
      <c r="R20" s="17">
        <v>1</v>
      </c>
      <c r="S20" s="17">
        <v>1</v>
      </c>
      <c r="T20" s="17"/>
      <c r="U20" s="17">
        <f t="shared" si="1"/>
        <v>0.72649652910676854</v>
      </c>
      <c r="V20" s="17">
        <v>1</v>
      </c>
      <c r="W20" s="9" t="s">
        <v>38</v>
      </c>
      <c r="X20" s="9">
        <f>INDEX('Unique Asset List'!$C$4:$I$60,MATCH('7'!$B20,'Unique Asset List'!$A$4:$A$60,0),MATCH('7'!$C$1,'Unique Asset List'!$C$3:$I$3,0))</f>
        <v>2024</v>
      </c>
      <c r="Y20" s="9">
        <f>INDEX('Unique Asset List'!$J$4:$P$60,MATCH('7'!$B20,'Unique Asset List'!$A$4:$A$60,0),MATCH('7'!$C$1,'Unique Asset List'!$J$3:$P$3,0))</f>
        <v>5</v>
      </c>
      <c r="Z20" s="9">
        <f>INDEX('Unique Asset List'!$X$4:$AD$60,MATCH('7'!$B20,'Unique Asset List'!$A$4:$A$60,0),MATCH('7'!$C$1,'Unique Asset List'!$X$3:$AD$3,0))</f>
        <v>2032</v>
      </c>
      <c r="AA20" s="9">
        <f>INDEX('Unique Asset List'!$AE$4:$AK$60,MATCH('7'!$B20,'Unique Asset List'!$A$4:$A$60,0),MATCH('7'!$C$1,'Unique Asset List'!$AE$3:$AK$3,0))</f>
        <v>5</v>
      </c>
      <c r="AB20" s="16">
        <f t="shared" si="2"/>
        <v>1.7951404000000002</v>
      </c>
      <c r="AC20" s="16">
        <f t="shared" si="3"/>
        <v>0.94451300000000005</v>
      </c>
      <c r="AD20" s="16">
        <f t="shared" si="4"/>
        <v>0.52097279586</v>
      </c>
      <c r="AE20" s="15">
        <f>INDEX('Unique Asset List'!$BN$4:$BT$60,MATCH('7'!$B20,'Unique Asset List'!$A$4:$A$60,0),MATCH('7'!$C$1,'Unique Asset List'!$BN$3:$BT$3,0))</f>
        <v>0.16</v>
      </c>
      <c r="AF20" s="15">
        <f>INDEX('Unique Asset List'!$BU$4:$CA$60,MATCH('7'!$B20,'Unique Asset List'!$A$4:$A$60,0),MATCH('7'!$C$1,'Unique Asset List'!$BU$3:$CA$3,0))</f>
        <v>0.34</v>
      </c>
      <c r="AG20" s="15">
        <f>INDEX('Unique Asset List'!$AZ$4:$BF$60,MATCH('7'!$B20,'Unique Asset List'!$A$4:$A$60,0),MATCH('7'!$C$1,'Unique Asset List'!$AZ$3:$BF$3,0))</f>
        <v>0.16</v>
      </c>
      <c r="AH20" s="15">
        <f>INDEX('Unique Asset List'!$BG$4:$BM$60,MATCH('7'!$B20,'Unique Asset List'!$A$4:$A$60,0),MATCH('7'!$C$1,'Unique Asset List'!$BG$3:$BM$3,0))</f>
        <v>0.34</v>
      </c>
      <c r="AI20" s="11">
        <v>0.7</v>
      </c>
      <c r="AJ20" s="15">
        <f>INDEX('Unique Asset List'!$AL$4:$AR$60,MATCH('7'!$B20,'Unique Asset List'!$A$4:$A$60,0),MATCH('7'!$C$1,'Unique Asset List'!$AL$3:$AR$3,0))</f>
        <v>0.14000000000000001</v>
      </c>
      <c r="AK20" s="15">
        <f>INDEX('Unique Asset List'!$AS$4:$AY$60,MATCH('7'!$B20,'Unique Asset List'!$A$4:$A$60,0),MATCH('7'!$C$1,'Unique Asset List'!$AS$3:$AY$3,0))</f>
        <v>0.15</v>
      </c>
      <c r="AL20" s="9">
        <v>169</v>
      </c>
      <c r="AM20" s="14">
        <f>INDEX(Simulation!$B$6:$H$6,MATCH($A20,Simulation!$B$1:$H$1,0))*(1+AN20)^((DATE(X20,Y20,15)-DATE(2017,1,15))/365.5)</f>
        <v>0.75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0"/>
      <c r="AU20" s="4">
        <f>IF($C$5="ON",BU20,MyRating(_E1,$B20,Efficacy!$F$1))</f>
        <v>4</v>
      </c>
      <c r="AV20" s="3">
        <f>IF($C$5="ON",BV20,MyRating(_E2,$B20,Efficacy!$F$1))</f>
        <v>3</v>
      </c>
      <c r="AW20" s="3">
        <f>IF($C$5="ON",BW20,MyRating(_E3,$B20,Efficacy!$F$1))</f>
        <v>3</v>
      </c>
      <c r="AX20" s="3">
        <f>IF($C$5="ON",BX20,MyRating(_E4,$B20,Efficacy!$F$1))</f>
        <v>4</v>
      </c>
      <c r="AY20" s="3">
        <f>IF($C$5="ON",BY20,MyRating(_E5,$B20,Efficacy!$F$1))</f>
        <v>3</v>
      </c>
      <c r="AZ20" s="3">
        <f>IF($C$5="ON",BZ20,MyRating(_E6,$B20,Efficacy!$F$1))</f>
        <v>2</v>
      </c>
      <c r="BA20" s="3">
        <f>IF($C$5="ON",CA20,MyRating(_E7,$B20,Efficacy!$F$1))</f>
        <v>3</v>
      </c>
      <c r="BB20" s="3">
        <f>IF($C$5="ON",CB20,MyRating(_E8,$B20,Efficacy!$F$1))</f>
        <v>3</v>
      </c>
      <c r="BC20" s="3">
        <f>IF($C$5="ON",CC20,MyRating(_S1,$B20,Efficacy!$F$1))</f>
        <v>4</v>
      </c>
      <c r="BD20" s="3">
        <f>IF($C$5="ON",CD20,MyRating(_S2,$B20,Efficacy!$F$1))</f>
        <v>4</v>
      </c>
      <c r="BE20" s="3">
        <f>IF($C$5="ON",CE20,MyRating(_S3,$B20,Efficacy!$F$1))</f>
        <v>3</v>
      </c>
      <c r="BF20" s="3">
        <f>IF($C$5="ON",CF20,MyRating(_S4,$B20,Efficacy!$F$1))</f>
        <v>4</v>
      </c>
      <c r="BG20" s="3">
        <f>IF($C$5="ON",CG20,MyRating(_S5,$B20,Efficacy!$F$1))</f>
        <v>5</v>
      </c>
      <c r="BH20" s="3">
        <f>IF($C$5="ON",CH20,MyRating(_S6,$B20,Efficacy!$F$1))</f>
        <v>2</v>
      </c>
      <c r="BI20" s="3">
        <f>IF($C$5="ON",CI20,MyRating(_S7,$B20,Efficacy!$F$1))</f>
        <v>3</v>
      </c>
      <c r="BJ20" s="3">
        <f>IF($C$5="ON",CJ20,MyRating(_D1,$B20,Efficacy!$F$1))</f>
        <v>3</v>
      </c>
      <c r="BK20" s="3">
        <f>IF($C$5="ON",CK20,MyRating(_D2,$B20,Efficacy!$F$1))</f>
        <v>2</v>
      </c>
      <c r="BL20" s="3">
        <f>IF($C$5="ON",CL20,MyRating(_D3,$B20,Efficacy!$F$1))</f>
        <v>3</v>
      </c>
      <c r="BM20" s="3">
        <f>IF($C$5="ON",CM20,MyRating(_D4,$B20,Efficacy!$F$1))</f>
        <v>3</v>
      </c>
      <c r="BN20" s="3">
        <f>IF($C$5="ON",CN20,MyRating(_B1G5,$B20,Barrier!$L$2))</f>
        <v>2</v>
      </c>
      <c r="BO20" s="3">
        <f>IF($C$5="ON",CO20,MyRating(_B2,$B20,Barrier!$F$2))</f>
        <v>3</v>
      </c>
      <c r="BP20" s="6">
        <f>IF($C$5="ON",CP20,MyRating(_B3,$B20,Barrier!$F$2))</f>
        <v>3</v>
      </c>
      <c r="BQ20" s="5">
        <f t="shared" si="6"/>
        <v>3.6275844714639842E-2</v>
      </c>
      <c r="BR20" s="8">
        <f t="shared" si="7"/>
        <v>2.9499999999999997</v>
      </c>
      <c r="BS20" s="5">
        <f t="shared" si="8"/>
        <v>3.60415394013439E-2</v>
      </c>
      <c r="BT20" s="7">
        <f t="shared" si="9"/>
        <v>1.8542316878791175E-2</v>
      </c>
      <c r="BU20" s="4">
        <v>4</v>
      </c>
      <c r="BV20" s="3">
        <v>3</v>
      </c>
      <c r="BW20" s="3">
        <v>3</v>
      </c>
      <c r="BX20" s="3">
        <v>4</v>
      </c>
      <c r="BY20" s="3">
        <v>3</v>
      </c>
      <c r="BZ20" s="3">
        <v>2</v>
      </c>
      <c r="CA20" s="3">
        <v>3</v>
      </c>
      <c r="CB20" s="3">
        <v>3</v>
      </c>
      <c r="CC20" s="3">
        <v>4</v>
      </c>
      <c r="CD20" s="3">
        <v>4</v>
      </c>
      <c r="CE20" s="3">
        <v>3</v>
      </c>
      <c r="CF20" s="3">
        <v>4</v>
      </c>
      <c r="CG20" s="3">
        <v>5</v>
      </c>
      <c r="CH20" s="3">
        <v>2</v>
      </c>
      <c r="CI20" s="3">
        <v>3</v>
      </c>
      <c r="CJ20" s="3">
        <v>3</v>
      </c>
      <c r="CK20" s="3">
        <v>2</v>
      </c>
      <c r="CL20" s="3">
        <v>3</v>
      </c>
      <c r="CM20" s="3">
        <v>3</v>
      </c>
      <c r="CN20" s="3">
        <v>2</v>
      </c>
      <c r="CO20" s="3">
        <v>3</v>
      </c>
      <c r="CP20" s="6">
        <v>3</v>
      </c>
      <c r="CQ20" s="5">
        <v>3.6275844714639842E-2</v>
      </c>
      <c r="CR20" s="61"/>
    </row>
    <row r="21" spans="1:96" x14ac:dyDescent="0.35">
      <c r="A21" s="9" t="str">
        <f t="shared" si="0"/>
        <v>JP</v>
      </c>
      <c r="B21" s="9" t="s">
        <v>76</v>
      </c>
      <c r="C21" s="20"/>
      <c r="D21" s="9" t="s">
        <v>75</v>
      </c>
      <c r="E21" s="9" t="s">
        <v>193</v>
      </c>
      <c r="F21" s="9" t="s">
        <v>51</v>
      </c>
      <c r="G21" s="19">
        <v>0</v>
      </c>
      <c r="H21" s="9">
        <v>2014</v>
      </c>
      <c r="I21" s="9">
        <v>6</v>
      </c>
      <c r="J21" s="18">
        <f>INDEX(PTRS!$D$6:$D$12,MATCH('7'!$F21,PTRS!$B$6:$B$12,0))</f>
        <v>0.1638</v>
      </c>
      <c r="K21" s="17">
        <v>0</v>
      </c>
      <c r="L21" s="17">
        <v>0.1638</v>
      </c>
      <c r="M21" s="17">
        <v>0.1638</v>
      </c>
      <c r="N21" s="17">
        <v>0.1638</v>
      </c>
      <c r="O21" s="17">
        <v>0.1638</v>
      </c>
      <c r="P21" s="17">
        <v>0.1638</v>
      </c>
      <c r="Q21" s="17">
        <v>0.16</v>
      </c>
      <c r="R21" s="17">
        <v>0.16</v>
      </c>
      <c r="S21" s="17">
        <v>1</v>
      </c>
      <c r="T21" s="17"/>
      <c r="U21" s="17">
        <f t="shared" si="1"/>
        <v>0.72649652910676854</v>
      </c>
      <c r="V21" s="17">
        <v>1</v>
      </c>
      <c r="W21" s="9" t="s">
        <v>27</v>
      </c>
      <c r="X21" s="9">
        <f>INDEX('Unique Asset List'!$C$4:$I$60,MATCH('7'!$B21,'Unique Asset List'!$A$4:$A$60,0),MATCH('7'!$C$1,'Unique Asset List'!$C$3:$I$3,0))</f>
        <v>2024</v>
      </c>
      <c r="Y21" s="9">
        <f>INDEX('Unique Asset List'!$J$4:$P$60,MATCH('7'!$B21,'Unique Asset List'!$A$4:$A$60,0),MATCH('7'!$C$1,'Unique Asset List'!$J$3:$P$3,0))</f>
        <v>9</v>
      </c>
      <c r="Z21" s="9">
        <f>INDEX('Unique Asset List'!$X$4:$AD$60,MATCH('7'!$B21,'Unique Asset List'!$A$4:$A$60,0),MATCH('7'!$C$1,'Unique Asset List'!$X$3:$AD$3,0))</f>
        <v>2032</v>
      </c>
      <c r="AA21" s="9">
        <f>INDEX('Unique Asset List'!$AE$4:$AK$60,MATCH('7'!$B21,'Unique Asset List'!$A$4:$A$60,0),MATCH('7'!$C$1,'Unique Asset List'!$AE$3:$AK$3,0))</f>
        <v>9</v>
      </c>
      <c r="AB21" s="16">
        <f t="shared" si="2"/>
        <v>2.0119600000000002</v>
      </c>
      <c r="AC21" s="16">
        <f t="shared" si="3"/>
        <v>0.76203600000000005</v>
      </c>
      <c r="AD21" s="16">
        <f t="shared" si="4"/>
        <v>0.56099999999999994</v>
      </c>
      <c r="AE21" s="15">
        <f>INDEX('Unique Asset List'!$BN$4:$BT$60,MATCH('7'!$B21,'Unique Asset List'!$A$4:$A$60,0),MATCH('7'!$C$1,'Unique Asset List'!$BN$3:$BT$3,0))</f>
        <v>0.16</v>
      </c>
      <c r="AF21" s="15">
        <f>INDEX('Unique Asset List'!$BU$4:$CA$60,MATCH('7'!$B21,'Unique Asset List'!$A$4:$A$60,0),MATCH('7'!$C$1,'Unique Asset List'!$BU$3:$CA$3,0))</f>
        <v>0.34</v>
      </c>
      <c r="AG21" s="15">
        <f>INDEX('Unique Asset List'!$AZ$4:$BF$60,MATCH('7'!$B21,'Unique Asset List'!$A$4:$A$60,0),MATCH('7'!$C$1,'Unique Asset List'!$AZ$3:$BF$3,0))</f>
        <v>0.16</v>
      </c>
      <c r="AH21" s="15">
        <f>INDEX('Unique Asset List'!$BG$4:$BM$60,MATCH('7'!$B21,'Unique Asset List'!$A$4:$A$60,0),MATCH('7'!$C$1,'Unique Asset List'!$BG$3:$BM$3,0))</f>
        <v>0.34</v>
      </c>
      <c r="AI21" s="11">
        <v>0.7</v>
      </c>
      <c r="AJ21" s="15">
        <f>INDEX('Unique Asset List'!$AL$4:$AR$60,MATCH('7'!$B21,'Unique Asset List'!$A$4:$A$60,0),MATCH('7'!$C$1,'Unique Asset List'!$AL$3:$AR$3,0))</f>
        <v>0.14000000000000001</v>
      </c>
      <c r="AK21" s="15">
        <f>INDEX('Unique Asset List'!$AS$4:$AY$60,MATCH('7'!$B21,'Unique Asset List'!$A$4:$A$60,0),MATCH('7'!$C$1,'Unique Asset List'!$AS$3:$AY$3,0))</f>
        <v>0.15</v>
      </c>
      <c r="AL21" s="9">
        <v>169</v>
      </c>
      <c r="AM21" s="14">
        <f>INDEX(Simulation!$B$6:$H$6,MATCH($A21,Simulation!$B$1:$H$1,0))*(1+AN21)^((DATE(X21,Y21,15)-DATE(2017,1,15))/365.5)</f>
        <v>0.75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0"/>
      <c r="AU21" s="4">
        <f>IF($C$5="ON",BU21,MyRating(_E1,$B21,Efficacy!$F$1))</f>
        <v>4</v>
      </c>
      <c r="AV21" s="3">
        <f>IF($C$5="ON",BV21,MyRating(_E2,$B21,Efficacy!$F$1))</f>
        <v>4</v>
      </c>
      <c r="AW21" s="3">
        <f>IF($C$5="ON",BW21,MyRating(_E3,$B21,Efficacy!$F$1))</f>
        <v>4</v>
      </c>
      <c r="AX21" s="3">
        <f>IF($C$5="ON",BX21,MyRating(_E4,$B21,Efficacy!$F$1))</f>
        <v>3</v>
      </c>
      <c r="AY21" s="3">
        <f>IF($C$5="ON",BY21,MyRating(_E5,$B21,Efficacy!$F$1))</f>
        <v>3</v>
      </c>
      <c r="AZ21" s="3">
        <f>IF($C$5="ON",BZ21,MyRating(_E6,$B21,Efficacy!$F$1))</f>
        <v>2</v>
      </c>
      <c r="BA21" s="3">
        <f>IF($C$5="ON",CA21,MyRating(_E7,$B21,Efficacy!$F$1))</f>
        <v>3</v>
      </c>
      <c r="BB21" s="3">
        <f>IF($C$5="ON",CB21,MyRating(_E8,$B21,Efficacy!$F$1))</f>
        <v>5</v>
      </c>
      <c r="BC21" s="3">
        <f>IF($C$5="ON",CC21,MyRating(_S1,$B21,Efficacy!$F$1))</f>
        <v>2</v>
      </c>
      <c r="BD21" s="3">
        <f>IF($C$5="ON",CD21,MyRating(_S2,$B21,Efficacy!$F$1))</f>
        <v>3</v>
      </c>
      <c r="BE21" s="3">
        <f>IF($C$5="ON",CE21,MyRating(_S3,$B21,Efficacy!$F$1))</f>
        <v>3</v>
      </c>
      <c r="BF21" s="3">
        <f>IF($C$5="ON",CF21,MyRating(_S4,$B21,Efficacy!$F$1))</f>
        <v>3</v>
      </c>
      <c r="BG21" s="3">
        <f>IF($C$5="ON",CG21,MyRating(_S5,$B21,Efficacy!$F$1))</f>
        <v>5</v>
      </c>
      <c r="BH21" s="3">
        <f>IF($C$5="ON",CH21,MyRating(_S6,$B21,Efficacy!$F$1))</f>
        <v>2</v>
      </c>
      <c r="BI21" s="3">
        <f>IF($C$5="ON",CI21,MyRating(_S7,$B21,Efficacy!$F$1))</f>
        <v>3</v>
      </c>
      <c r="BJ21" s="3">
        <f>IF($C$5="ON",CJ21,MyRating(_D1,$B21,Efficacy!$F$1))</f>
        <v>3</v>
      </c>
      <c r="BK21" s="3">
        <f>IF($C$5="ON",CK21,MyRating(_D2,$B21,Efficacy!$F$1))</f>
        <v>3</v>
      </c>
      <c r="BL21" s="3">
        <f>IF($C$5="ON",CL21,MyRating(_D3,$B21,Efficacy!$F$1))</f>
        <v>3</v>
      </c>
      <c r="BM21" s="3">
        <f>IF($C$5="ON",CM21,MyRating(_D4,$B21,Efficacy!$F$1))</f>
        <v>3</v>
      </c>
      <c r="BN21" s="3">
        <f>IF($C$5="ON",CN21,MyRating(_B1G5,$B21,Barrier!$L$2))</f>
        <v>2</v>
      </c>
      <c r="BO21" s="3">
        <f>IF($C$5="ON",CO21,MyRating(_B2,$B21,Barrier!$F$2))</f>
        <v>3</v>
      </c>
      <c r="BP21" s="6">
        <f>IF($C$5="ON",CP21,MyRating(_B3,$B21,Barrier!$F$2))</f>
        <v>3</v>
      </c>
      <c r="BQ21" s="5">
        <f t="shared" si="6"/>
        <v>3.6275844714639842E-2</v>
      </c>
      <c r="BR21" s="8">
        <f t="shared" si="7"/>
        <v>2.9499999999999997</v>
      </c>
      <c r="BS21" s="5">
        <f t="shared" si="8"/>
        <v>3.60415394013439E-2</v>
      </c>
      <c r="BT21" s="7">
        <f t="shared" si="9"/>
        <v>1.8542316878791175E-2</v>
      </c>
      <c r="BU21" s="4">
        <v>4</v>
      </c>
      <c r="BV21" s="3">
        <v>4</v>
      </c>
      <c r="BW21" s="3">
        <v>4</v>
      </c>
      <c r="BX21" s="3">
        <v>3</v>
      </c>
      <c r="BY21" s="3">
        <v>3</v>
      </c>
      <c r="BZ21" s="3">
        <v>2</v>
      </c>
      <c r="CA21" s="3">
        <v>3</v>
      </c>
      <c r="CB21" s="3">
        <v>5</v>
      </c>
      <c r="CC21" s="3">
        <v>2</v>
      </c>
      <c r="CD21" s="3">
        <v>3</v>
      </c>
      <c r="CE21" s="3">
        <v>3</v>
      </c>
      <c r="CF21" s="3">
        <v>3</v>
      </c>
      <c r="CG21" s="3">
        <v>5</v>
      </c>
      <c r="CH21" s="3">
        <v>2</v>
      </c>
      <c r="CI21" s="3">
        <v>3</v>
      </c>
      <c r="CJ21" s="3">
        <v>3</v>
      </c>
      <c r="CK21" s="3">
        <v>3</v>
      </c>
      <c r="CL21" s="3">
        <v>3</v>
      </c>
      <c r="CM21" s="3">
        <v>3</v>
      </c>
      <c r="CN21" s="3">
        <v>2</v>
      </c>
      <c r="CO21" s="3">
        <v>3</v>
      </c>
      <c r="CP21" s="6">
        <v>3</v>
      </c>
      <c r="CQ21" s="5">
        <v>3.6275844714639842E-2</v>
      </c>
      <c r="CR21" s="61"/>
    </row>
    <row r="22" spans="1:96" x14ac:dyDescent="0.35">
      <c r="A22" s="9" t="str">
        <f t="shared" si="0"/>
        <v>JP</v>
      </c>
      <c r="B22" s="9" t="s">
        <v>69</v>
      </c>
      <c r="C22" s="20" t="s">
        <v>3</v>
      </c>
      <c r="D22" s="9" t="s">
        <v>2</v>
      </c>
      <c r="E22" s="9" t="s">
        <v>193</v>
      </c>
      <c r="F22" s="9" t="s">
        <v>51</v>
      </c>
      <c r="G22" s="19">
        <v>0</v>
      </c>
      <c r="H22" s="9">
        <v>2014</v>
      </c>
      <c r="I22" s="9">
        <v>6</v>
      </c>
      <c r="J22" s="18">
        <f>INDEX(PTRS!$D$6:$D$12,MATCH('7'!$F22,PTRS!$B$6:$B$12,0))</f>
        <v>0.1638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0.1638</v>
      </c>
      <c r="Q22" s="17">
        <v>0</v>
      </c>
      <c r="R22" s="17">
        <v>0</v>
      </c>
      <c r="S22" s="17">
        <v>1</v>
      </c>
      <c r="T22" s="17"/>
      <c r="U22" s="17">
        <f t="shared" si="1"/>
        <v>0.19835681424527862</v>
      </c>
      <c r="V22" s="17">
        <v>1</v>
      </c>
      <c r="W22" s="9" t="s">
        <v>62</v>
      </c>
      <c r="X22" s="9">
        <f>INDEX('Unique Asset List'!$C$4:$I$60,MATCH('7'!$B22,'Unique Asset List'!$A$4:$A$60,0),MATCH('7'!$C$1,'Unique Asset List'!$C$3:$I$3,0))</f>
        <v>2024</v>
      </c>
      <c r="Y22" s="9">
        <f>INDEX('Unique Asset List'!$J$4:$P$60,MATCH('7'!$B22,'Unique Asset List'!$A$4:$A$60,0),MATCH('7'!$C$1,'Unique Asset List'!$J$3:$P$3,0))</f>
        <v>9</v>
      </c>
      <c r="Z22" s="9">
        <f>INDEX('Unique Asset List'!$X$4:$AD$60,MATCH('7'!$B22,'Unique Asset List'!$A$4:$A$60,0),MATCH('7'!$C$1,'Unique Asset List'!$X$3:$AD$3,0))</f>
        <v>2032</v>
      </c>
      <c r="AA22" s="9">
        <f>INDEX('Unique Asset List'!$AE$4:$AK$60,MATCH('7'!$B22,'Unique Asset List'!$A$4:$A$60,0),MATCH('7'!$C$1,'Unique Asset List'!$AE$3:$AK$3,0))</f>
        <v>9</v>
      </c>
      <c r="AB22" s="16">
        <f t="shared" si="2"/>
        <v>2.3511832000000004</v>
      </c>
      <c r="AC22" s="16">
        <f t="shared" si="3"/>
        <v>0.94644569999999995</v>
      </c>
      <c r="AD22" s="16">
        <f t="shared" si="4"/>
        <v>0.39141474525999997</v>
      </c>
      <c r="AE22" s="15">
        <f>INDEX('Unique Asset List'!$BN$4:$BT$60,MATCH('7'!$B22,'Unique Asset List'!$A$4:$A$60,0),MATCH('7'!$C$1,'Unique Asset List'!$BN$3:$BT$3,0))</f>
        <v>0.23</v>
      </c>
      <c r="AF22" s="15">
        <f>INDEX('Unique Asset List'!$BU$4:$CA$60,MATCH('7'!$B22,'Unique Asset List'!$A$4:$A$60,0),MATCH('7'!$C$1,'Unique Asset List'!$BU$3:$CA$3,0))</f>
        <v>0.27</v>
      </c>
      <c r="AG22" s="15">
        <f>INDEX('Unique Asset List'!$AZ$4:$BF$60,MATCH('7'!$B22,'Unique Asset List'!$A$4:$A$60,0),MATCH('7'!$C$1,'Unique Asset List'!$AZ$3:$BF$3,0))</f>
        <v>0.23</v>
      </c>
      <c r="AH22" s="15">
        <f>INDEX('Unique Asset List'!$BG$4:$BM$60,MATCH('7'!$B22,'Unique Asset List'!$A$4:$A$60,0),MATCH('7'!$C$1,'Unique Asset List'!$BG$3:$BM$3,0))</f>
        <v>0.34</v>
      </c>
      <c r="AI22" s="11">
        <v>0.7</v>
      </c>
      <c r="AJ22" s="15">
        <f>INDEX('Unique Asset List'!$AL$4:$AR$60,MATCH('7'!$B22,'Unique Asset List'!$A$4:$A$60,0),MATCH('7'!$C$1,'Unique Asset List'!$AL$3:$AR$3,0))</f>
        <v>0.14000000000000001</v>
      </c>
      <c r="AK22" s="15">
        <f>INDEX('Unique Asset List'!$AS$4:$AY$60,MATCH('7'!$B22,'Unique Asset List'!$A$4:$A$60,0),MATCH('7'!$C$1,'Unique Asset List'!$AS$3:$AY$3,0))</f>
        <v>0.15</v>
      </c>
      <c r="AL22" s="9">
        <v>177.56756756756758</v>
      </c>
      <c r="AM22" s="14">
        <f>5365/365</f>
        <v>14.698630136986301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f>2.8*37/365</f>
        <v>0.28383561643835614</v>
      </c>
      <c r="AT22" s="10"/>
      <c r="AU22" s="4">
        <f>IF($C$5="ON",BU22,MyRating(_E1,$B22,Efficacy!$F$1))</f>
        <v>5</v>
      </c>
      <c r="AV22" s="3">
        <f>IF($C$5="ON",BV22,MyRating(_E2,$B22,Efficacy!$F$1))</f>
        <v>5</v>
      </c>
      <c r="AW22" s="3">
        <f>IF($C$5="ON",BW22,MyRating(_E3,$B22,Efficacy!$F$1))</f>
        <v>5</v>
      </c>
      <c r="AX22" s="3">
        <f>IF($C$5="ON",BX22,MyRating(_E4,$B22,Efficacy!$F$1))</f>
        <v>4</v>
      </c>
      <c r="AY22" s="3">
        <f>IF($C$5="ON",BY22,MyRating(_E5,$B22,Efficacy!$F$1))</f>
        <v>3</v>
      </c>
      <c r="AZ22" s="3">
        <f>IF($C$5="ON",BZ22,MyRating(_E6,$B22,Efficacy!$F$1))</f>
        <v>3</v>
      </c>
      <c r="BA22" s="3">
        <f>IF($C$5="ON",CA22,MyRating(_E7,$B22,Efficacy!$F$1))</f>
        <v>3</v>
      </c>
      <c r="BB22" s="3">
        <f>IF($C$5="ON",CB22,MyRating(_E8,$B22,Efficacy!$F$1))</f>
        <v>4</v>
      </c>
      <c r="BC22" s="3">
        <f>IF($C$5="ON",CC22,MyRating(_S1,$B22,Efficacy!$F$1))</f>
        <v>5</v>
      </c>
      <c r="BD22" s="3">
        <f>IF($C$5="ON",CD22,MyRating(_S2,$B22,Efficacy!$F$1))</f>
        <v>3</v>
      </c>
      <c r="BE22" s="3">
        <f>IF($C$5="ON",CE22,MyRating(_S3,$B22,Efficacy!$F$1))</f>
        <v>3</v>
      </c>
      <c r="BF22" s="3">
        <f>IF($C$5="ON",CF22,MyRating(_S4,$B22,Efficacy!$F$1))</f>
        <v>3</v>
      </c>
      <c r="BG22" s="3">
        <f>IF($C$5="ON",CG22,MyRating(_S5,$B22,Efficacy!$F$1))</f>
        <v>5</v>
      </c>
      <c r="BH22" s="3">
        <f>IF($C$5="ON",CH22,MyRating(_S6,$B22,Efficacy!$F$1))</f>
        <v>2</v>
      </c>
      <c r="BI22" s="3">
        <f>IF($C$5="ON",CI22,MyRating(_S7,$B22,Efficacy!$F$1))</f>
        <v>3</v>
      </c>
      <c r="BJ22" s="3">
        <f>IF($C$5="ON",CJ22,MyRating(_D1,$B22,Efficacy!$F$1))</f>
        <v>2</v>
      </c>
      <c r="BK22" s="3">
        <f>IF($C$5="ON",CK22,MyRating(_D2,$B22,Efficacy!$F$1))</f>
        <v>3</v>
      </c>
      <c r="BL22" s="3">
        <f>IF($C$5="ON",CL22,MyRating(_D3,$B22,Efficacy!$F$1))</f>
        <v>3</v>
      </c>
      <c r="BM22" s="3">
        <f>IF($C$5="ON",CM22,MyRating(_D4,$B22,Efficacy!$F$1))</f>
        <v>1</v>
      </c>
      <c r="BN22" s="3">
        <f>IF($C$5="ON",CN22,MyRating(_B1G5,$B22,Barrier!$L$2))</f>
        <v>1</v>
      </c>
      <c r="BO22" s="3">
        <f>IF($C$5="ON",CO22,MyRating(_B2,$B22,Barrier!$F$2))</f>
        <v>1</v>
      </c>
      <c r="BP22" s="6">
        <f>IF($C$5="ON",CP22,MyRating(_B3,$B22,Barrier!$F$2))</f>
        <v>1</v>
      </c>
      <c r="BQ22" s="5">
        <f t="shared" si="6"/>
        <v>9.9044671286996639E-3</v>
      </c>
      <c r="BR22" s="8">
        <f t="shared" si="7"/>
        <v>1</v>
      </c>
      <c r="BS22" s="5">
        <f t="shared" si="8"/>
        <v>1.2217470983506409E-2</v>
      </c>
      <c r="BT22" s="7">
        <f t="shared" si="9"/>
        <v>5.0626462170790974E-3</v>
      </c>
      <c r="BU22" s="4">
        <v>5</v>
      </c>
      <c r="BV22" s="3">
        <v>5</v>
      </c>
      <c r="BW22" s="3">
        <v>5</v>
      </c>
      <c r="BX22" s="3">
        <v>4</v>
      </c>
      <c r="BY22" s="3">
        <v>3</v>
      </c>
      <c r="BZ22" s="3">
        <v>3</v>
      </c>
      <c r="CA22" s="3">
        <v>3</v>
      </c>
      <c r="CB22" s="3">
        <v>4</v>
      </c>
      <c r="CC22" s="3">
        <v>5</v>
      </c>
      <c r="CD22" s="3">
        <v>3</v>
      </c>
      <c r="CE22" s="3">
        <v>3</v>
      </c>
      <c r="CF22" s="3">
        <v>3</v>
      </c>
      <c r="CG22" s="3">
        <v>5</v>
      </c>
      <c r="CH22" s="3">
        <v>2</v>
      </c>
      <c r="CI22" s="3">
        <v>3</v>
      </c>
      <c r="CJ22" s="3">
        <v>2</v>
      </c>
      <c r="CK22" s="3">
        <v>3</v>
      </c>
      <c r="CL22" s="3">
        <v>3</v>
      </c>
      <c r="CM22" s="3">
        <v>1</v>
      </c>
      <c r="CN22" s="3">
        <v>1</v>
      </c>
      <c r="CO22" s="3">
        <v>1</v>
      </c>
      <c r="CP22" s="6">
        <v>1</v>
      </c>
      <c r="CQ22" s="5">
        <v>9.9044671286996639E-3</v>
      </c>
      <c r="CR22" s="61"/>
    </row>
    <row r="23" spans="1:96" x14ac:dyDescent="0.35">
      <c r="A23" s="9" t="str">
        <f t="shared" si="0"/>
        <v>JP</v>
      </c>
      <c r="B23" s="9" t="s">
        <v>74</v>
      </c>
      <c r="C23" s="20" t="s">
        <v>3</v>
      </c>
      <c r="D23" s="9" t="s">
        <v>73</v>
      </c>
      <c r="E23" s="9" t="s">
        <v>193</v>
      </c>
      <c r="F23" s="9" t="s">
        <v>58</v>
      </c>
      <c r="G23" s="19">
        <v>0</v>
      </c>
      <c r="H23" s="9">
        <v>2014</v>
      </c>
      <c r="I23" s="9">
        <v>6</v>
      </c>
      <c r="J23" s="18">
        <f>INDEX(PTRS!$D$6:$D$12,MATCH('7'!$F23,PTRS!$B$6:$B$12,0))</f>
        <v>0.13923000000000002</v>
      </c>
      <c r="K23" s="17">
        <v>0</v>
      </c>
      <c r="L23" s="17">
        <v>0.13923000000000002</v>
      </c>
      <c r="M23" s="17">
        <v>4.6410000000000007E-2</v>
      </c>
      <c r="N23" s="17">
        <v>0.13923000000000002</v>
      </c>
      <c r="O23" s="17">
        <v>0.13923000000000002</v>
      </c>
      <c r="P23" s="17">
        <v>0.13923000000000002</v>
      </c>
      <c r="Q23" s="17">
        <v>0.14000000000000001</v>
      </c>
      <c r="R23" s="17">
        <v>0.14000000000000001</v>
      </c>
      <c r="S23" s="17">
        <v>1</v>
      </c>
      <c r="T23" s="17"/>
      <c r="U23" s="17">
        <f t="shared" si="1"/>
        <v>0.72649652910676854</v>
      </c>
      <c r="V23" s="17">
        <v>1</v>
      </c>
      <c r="W23" s="9" t="s">
        <v>27</v>
      </c>
      <c r="X23" s="9">
        <f>INDEX('Unique Asset List'!$C$4:$I$60,MATCH('7'!$B23,'Unique Asset List'!$A$4:$A$60,0),MATCH('7'!$C$1,'Unique Asset List'!$C$3:$I$3,0))</f>
        <v>2026</v>
      </c>
      <c r="Y23" s="9">
        <f>INDEX('Unique Asset List'!$J$4:$P$60,MATCH('7'!$B23,'Unique Asset List'!$A$4:$A$60,0),MATCH('7'!$C$1,'Unique Asset List'!$J$3:$P$3,0))</f>
        <v>7</v>
      </c>
      <c r="Z23" s="9">
        <f>INDEX('Unique Asset List'!$X$4:$AD$60,MATCH('7'!$B23,'Unique Asset List'!$A$4:$A$60,0),MATCH('7'!$C$1,'Unique Asset List'!$X$3:$AD$3,0))</f>
        <v>2034</v>
      </c>
      <c r="AA23" s="9">
        <f>INDEX('Unique Asset List'!$AE$4:$AK$60,MATCH('7'!$B23,'Unique Asset List'!$A$4:$A$60,0),MATCH('7'!$C$1,'Unique Asset List'!$AE$3:$AK$3,0))</f>
        <v>7</v>
      </c>
      <c r="AB23" s="16">
        <f t="shared" si="2"/>
        <v>2.0119600000000002</v>
      </c>
      <c r="AC23" s="16">
        <f t="shared" si="3"/>
        <v>0.76203600000000005</v>
      </c>
      <c r="AD23" s="16">
        <f t="shared" si="4"/>
        <v>0.56099999999999994</v>
      </c>
      <c r="AE23" s="15">
        <f>INDEX('Unique Asset List'!$BN$4:$BT$60,MATCH('7'!$B23,'Unique Asset List'!$A$4:$A$60,0),MATCH('7'!$C$1,'Unique Asset List'!$BN$3:$BT$3,0))</f>
        <v>0.16</v>
      </c>
      <c r="AF23" s="15">
        <f>INDEX('Unique Asset List'!$BU$4:$CA$60,MATCH('7'!$B23,'Unique Asset List'!$A$4:$A$60,0),MATCH('7'!$C$1,'Unique Asset List'!$BU$3:$CA$3,0))</f>
        <v>0.34</v>
      </c>
      <c r="AG23" s="15">
        <f>INDEX('Unique Asset List'!$AZ$4:$BF$60,MATCH('7'!$B23,'Unique Asset List'!$A$4:$A$60,0),MATCH('7'!$C$1,'Unique Asset List'!$AZ$3:$BF$3,0))</f>
        <v>0.16</v>
      </c>
      <c r="AH23" s="15">
        <f>INDEX('Unique Asset List'!$BG$4:$BM$60,MATCH('7'!$B23,'Unique Asset List'!$A$4:$A$60,0),MATCH('7'!$C$1,'Unique Asset List'!$BG$3:$BM$3,0))</f>
        <v>0.34</v>
      </c>
      <c r="AI23" s="11">
        <v>0.7</v>
      </c>
      <c r="AJ23" s="15">
        <f>INDEX('Unique Asset List'!$AL$4:$AR$60,MATCH('7'!$B23,'Unique Asset List'!$A$4:$A$60,0),MATCH('7'!$C$1,'Unique Asset List'!$AL$3:$AR$3,0))</f>
        <v>0.14000000000000001</v>
      </c>
      <c r="AK23" s="15">
        <f>INDEX('Unique Asset List'!$AS$4:$AY$60,MATCH('7'!$B23,'Unique Asset List'!$A$4:$A$60,0),MATCH('7'!$C$1,'Unique Asset List'!$AS$3:$AY$3,0))</f>
        <v>0.15</v>
      </c>
      <c r="AL23" s="9">
        <v>169</v>
      </c>
      <c r="AM23" s="14">
        <f>INDEX(Simulation!$B$6:$H$6,MATCH($A23,Simulation!$B$1:$H$1,0))*(1+AN23)^((DATE(X23,Y23,15)-DATE(2017,1,15))/365.5)</f>
        <v>0.75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0"/>
      <c r="AU23" s="4">
        <f>IF($C$5="ON",BU23,MyRating(_E1,$B23,Efficacy!$F$1))</f>
        <v>4</v>
      </c>
      <c r="AV23" s="3">
        <f>IF($C$5="ON",BV23,MyRating(_E2,$B23,Efficacy!$F$1))</f>
        <v>4</v>
      </c>
      <c r="AW23" s="3">
        <f>IF($C$5="ON",BW23,MyRating(_E3,$B23,Efficacy!$F$1))</f>
        <v>4</v>
      </c>
      <c r="AX23" s="3">
        <f>IF($C$5="ON",BX23,MyRating(_E4,$B23,Efficacy!$F$1))</f>
        <v>3</v>
      </c>
      <c r="AY23" s="3">
        <f>IF($C$5="ON",BY23,MyRating(_E5,$B23,Efficacy!$F$1))</f>
        <v>3</v>
      </c>
      <c r="AZ23" s="3">
        <f>IF($C$5="ON",BZ23,MyRating(_E6,$B23,Efficacy!$F$1))</f>
        <v>2</v>
      </c>
      <c r="BA23" s="3">
        <f>IF($C$5="ON",CA23,MyRating(_E7,$B23,Efficacy!$F$1))</f>
        <v>3</v>
      </c>
      <c r="BB23" s="3">
        <f>IF($C$5="ON",CB23,MyRating(_E8,$B23,Efficacy!$F$1))</f>
        <v>5</v>
      </c>
      <c r="BC23" s="3">
        <f>IF($C$5="ON",CC23,MyRating(_S1,$B23,Efficacy!$F$1))</f>
        <v>2</v>
      </c>
      <c r="BD23" s="3">
        <f>IF($C$5="ON",CD23,MyRating(_S2,$B23,Efficacy!$F$1))</f>
        <v>3</v>
      </c>
      <c r="BE23" s="3">
        <f>IF($C$5="ON",CE23,MyRating(_S3,$B23,Efficacy!$F$1))</f>
        <v>3</v>
      </c>
      <c r="BF23" s="3">
        <f>IF($C$5="ON",CF23,MyRating(_S4,$B23,Efficacy!$F$1))</f>
        <v>3</v>
      </c>
      <c r="BG23" s="3">
        <f>IF($C$5="ON",CG23,MyRating(_S5,$B23,Efficacy!$F$1))</f>
        <v>5</v>
      </c>
      <c r="BH23" s="3">
        <f>IF($C$5="ON",CH23,MyRating(_S6,$B23,Efficacy!$F$1))</f>
        <v>2</v>
      </c>
      <c r="BI23" s="3">
        <f>IF($C$5="ON",CI23,MyRating(_S7,$B23,Efficacy!$F$1))</f>
        <v>3</v>
      </c>
      <c r="BJ23" s="3">
        <f>IF($C$5="ON",CJ23,MyRating(_D1,$B23,Efficacy!$F$1))</f>
        <v>3</v>
      </c>
      <c r="BK23" s="3">
        <f>IF($C$5="ON",CK23,MyRating(_D2,$B23,Efficacy!$F$1))</f>
        <v>3</v>
      </c>
      <c r="BL23" s="3">
        <f>IF($C$5="ON",CL23,MyRating(_D3,$B23,Efficacy!$F$1))</f>
        <v>3</v>
      </c>
      <c r="BM23" s="3">
        <f>IF($C$5="ON",CM23,MyRating(_D4,$B23,Efficacy!$F$1))</f>
        <v>3</v>
      </c>
      <c r="BN23" s="3">
        <f>IF($C$5="ON",CN23,MyRating(_B1G5,$B23,Barrier!$L$2))</f>
        <v>2</v>
      </c>
      <c r="BO23" s="3">
        <f>IF($C$5="ON",CO23,MyRating(_B2,$B23,Barrier!$F$2))</f>
        <v>3</v>
      </c>
      <c r="BP23" s="6">
        <f>IF($C$5="ON",CP23,MyRating(_B3,$B23,Barrier!$F$2))</f>
        <v>3</v>
      </c>
      <c r="BQ23" s="5">
        <f t="shared" si="6"/>
        <v>3.6275844714639842E-2</v>
      </c>
      <c r="BR23" s="8">
        <f t="shared" si="7"/>
        <v>2.9499999999999997</v>
      </c>
      <c r="BS23" s="5">
        <f t="shared" si="8"/>
        <v>3.60415394013439E-2</v>
      </c>
      <c r="BT23" s="7">
        <f t="shared" si="9"/>
        <v>1.8542316878791175E-2</v>
      </c>
      <c r="BU23" s="4">
        <v>4</v>
      </c>
      <c r="BV23" s="3">
        <v>4</v>
      </c>
      <c r="BW23" s="3">
        <v>4</v>
      </c>
      <c r="BX23" s="3">
        <v>3</v>
      </c>
      <c r="BY23" s="3">
        <v>3</v>
      </c>
      <c r="BZ23" s="3">
        <v>2</v>
      </c>
      <c r="CA23" s="3">
        <v>3</v>
      </c>
      <c r="CB23" s="3">
        <v>5</v>
      </c>
      <c r="CC23" s="3">
        <v>2</v>
      </c>
      <c r="CD23" s="3">
        <v>3</v>
      </c>
      <c r="CE23" s="3">
        <v>3</v>
      </c>
      <c r="CF23" s="3">
        <v>3</v>
      </c>
      <c r="CG23" s="3">
        <v>5</v>
      </c>
      <c r="CH23" s="3">
        <v>2</v>
      </c>
      <c r="CI23" s="3">
        <v>3</v>
      </c>
      <c r="CJ23" s="3">
        <v>3</v>
      </c>
      <c r="CK23" s="3">
        <v>3</v>
      </c>
      <c r="CL23" s="3">
        <v>3</v>
      </c>
      <c r="CM23" s="3">
        <v>3</v>
      </c>
      <c r="CN23" s="3">
        <v>2</v>
      </c>
      <c r="CO23" s="3">
        <v>3</v>
      </c>
      <c r="CP23" s="6">
        <v>3</v>
      </c>
      <c r="CQ23" s="5">
        <v>3.6275844714639842E-2</v>
      </c>
      <c r="CR23" s="61"/>
    </row>
    <row r="24" spans="1:96" x14ac:dyDescent="0.35">
      <c r="A24" s="9" t="str">
        <f t="shared" si="0"/>
        <v>JP</v>
      </c>
      <c r="B24" s="9" t="s">
        <v>17</v>
      </c>
      <c r="C24" s="20"/>
      <c r="D24" s="9" t="s">
        <v>2</v>
      </c>
      <c r="E24" s="9" t="s">
        <v>193</v>
      </c>
      <c r="F24" s="9" t="s">
        <v>51</v>
      </c>
      <c r="G24" s="19">
        <v>0</v>
      </c>
      <c r="H24" s="9">
        <v>2014</v>
      </c>
      <c r="I24" s="9">
        <v>6</v>
      </c>
      <c r="J24" s="18">
        <f>INDEX(PTRS!$D$6:$D$12,MATCH('7'!$F24,PTRS!$B$6:$B$12,0))</f>
        <v>0.1638</v>
      </c>
      <c r="K24" s="17">
        <v>0</v>
      </c>
      <c r="L24" s="17">
        <v>0.1638</v>
      </c>
      <c r="M24" s="17">
        <v>0.25</v>
      </c>
      <c r="N24" s="17">
        <v>0.25</v>
      </c>
      <c r="O24" s="17">
        <v>0.25</v>
      </c>
      <c r="P24" s="17">
        <v>0.1638</v>
      </c>
      <c r="Q24" s="17">
        <v>0.1638</v>
      </c>
      <c r="R24" s="17">
        <v>0.1638</v>
      </c>
      <c r="S24" s="17">
        <v>1</v>
      </c>
      <c r="T24" s="17"/>
      <c r="U24" s="17">
        <f t="shared" si="1"/>
        <v>0.72649652910676854</v>
      </c>
      <c r="V24" s="17">
        <v>1</v>
      </c>
      <c r="W24" s="9" t="s">
        <v>16</v>
      </c>
      <c r="X24" s="9">
        <f>INDEX('Unique Asset List'!$C$4:$I$60,MATCH('7'!$B24,'Unique Asset List'!$A$4:$A$60,0),MATCH('7'!$C$1,'Unique Asset List'!$C$3:$I$3,0))</f>
        <v>2026</v>
      </c>
      <c r="Y24" s="9">
        <f>INDEX('Unique Asset List'!$J$4:$P$60,MATCH('7'!$B24,'Unique Asset List'!$A$4:$A$60,0),MATCH('7'!$C$1,'Unique Asset List'!$J$3:$P$3,0))</f>
        <v>12</v>
      </c>
      <c r="Z24" s="9">
        <f>INDEX('Unique Asset List'!$X$4:$AD$60,MATCH('7'!$B24,'Unique Asset List'!$A$4:$A$60,0),MATCH('7'!$C$1,'Unique Asset List'!$X$3:$AD$3,0))</f>
        <v>2034</v>
      </c>
      <c r="AA24" s="9">
        <f>INDEX('Unique Asset List'!$AE$4:$AK$60,MATCH('7'!$B24,'Unique Asset List'!$A$4:$A$60,0),MATCH('7'!$C$1,'Unique Asset List'!$AE$3:$AK$3,0))</f>
        <v>12</v>
      </c>
      <c r="AB24" s="16">
        <f t="shared" si="2"/>
        <v>1.7951404000000002</v>
      </c>
      <c r="AC24" s="16">
        <f t="shared" si="3"/>
        <v>0.88497580000000009</v>
      </c>
      <c r="AD24" s="16">
        <f t="shared" si="4"/>
        <v>0.56099999999999994</v>
      </c>
      <c r="AE24" s="15">
        <f>INDEX('Unique Asset List'!$BN$4:$BT$60,MATCH('7'!$B24,'Unique Asset List'!$A$4:$A$60,0),MATCH('7'!$C$1,'Unique Asset List'!$BN$3:$BT$3,0))</f>
        <v>0.16</v>
      </c>
      <c r="AF24" s="15">
        <f>INDEX('Unique Asset List'!$BU$4:$CA$60,MATCH('7'!$B24,'Unique Asset List'!$A$4:$A$60,0),MATCH('7'!$C$1,'Unique Asset List'!$BU$3:$CA$3,0))</f>
        <v>0.34</v>
      </c>
      <c r="AG24" s="15">
        <f>INDEX('Unique Asset List'!$AZ$4:$BF$60,MATCH('7'!$B24,'Unique Asset List'!$A$4:$A$60,0),MATCH('7'!$C$1,'Unique Asset List'!$AZ$3:$BF$3,0))</f>
        <v>0.16</v>
      </c>
      <c r="AH24" s="15">
        <f>INDEX('Unique Asset List'!$BG$4:$BM$60,MATCH('7'!$B24,'Unique Asset List'!$A$4:$A$60,0),MATCH('7'!$C$1,'Unique Asset List'!$BG$3:$BM$3,0))</f>
        <v>0.34</v>
      </c>
      <c r="AI24" s="11">
        <v>0.7</v>
      </c>
      <c r="AJ24" s="15">
        <f>INDEX('Unique Asset List'!$AL$4:$AR$60,MATCH('7'!$B24,'Unique Asset List'!$A$4:$A$60,0),MATCH('7'!$C$1,'Unique Asset List'!$AL$3:$AR$3,0))</f>
        <v>0.14000000000000001</v>
      </c>
      <c r="AK24" s="15">
        <f>INDEX('Unique Asset List'!$AS$4:$AY$60,MATCH('7'!$B24,'Unique Asset List'!$A$4:$A$60,0),MATCH('7'!$C$1,'Unique Asset List'!$AS$3:$AY$3,0))</f>
        <v>0.15</v>
      </c>
      <c r="AL24" s="9">
        <v>169</v>
      </c>
      <c r="AM24" s="14">
        <f>INDEX(Simulation!$B$6:$H$6,MATCH($A24,Simulation!$B$1:$H$1,0))*(1+AN24)^((DATE(X24,Y24,15)-DATE(2017,1,15))/365.5)</f>
        <v>0.75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0"/>
      <c r="AU24" s="4">
        <f>IF($C$5="ON",BU24,MyRating(_E1,$B24,Efficacy!$F$1))</f>
        <v>4</v>
      </c>
      <c r="AV24" s="3">
        <f>IF($C$5="ON",BV24,MyRating(_E2,$B24,Efficacy!$F$1))</f>
        <v>3</v>
      </c>
      <c r="AW24" s="3">
        <f>IF($C$5="ON",BW24,MyRating(_E3,$B24,Efficacy!$F$1))</f>
        <v>3</v>
      </c>
      <c r="AX24" s="3">
        <f>IF($C$5="ON",BX24,MyRating(_E4,$B24,Efficacy!$F$1))</f>
        <v>4</v>
      </c>
      <c r="AY24" s="3">
        <f>IF($C$5="ON",BY24,MyRating(_E5,$B24,Efficacy!$F$1))</f>
        <v>3</v>
      </c>
      <c r="AZ24" s="3">
        <f>IF($C$5="ON",BZ24,MyRating(_E6,$B24,Efficacy!$F$1))</f>
        <v>2</v>
      </c>
      <c r="BA24" s="3">
        <f>IF($C$5="ON",CA24,MyRating(_E7,$B24,Efficacy!$F$1))</f>
        <v>3</v>
      </c>
      <c r="BB24" s="3">
        <f>IF($C$5="ON",CB24,MyRating(_E8,$B24,Efficacy!$F$1))</f>
        <v>3</v>
      </c>
      <c r="BC24" s="3">
        <f>IF($C$5="ON",CC24,MyRating(_S1,$B24,Efficacy!$F$1))</f>
        <v>4</v>
      </c>
      <c r="BD24" s="3">
        <f>IF($C$5="ON",CD24,MyRating(_S2,$B24,Efficacy!$F$1))</f>
        <v>3</v>
      </c>
      <c r="BE24" s="3">
        <f>IF($C$5="ON",CE24,MyRating(_S3,$B24,Efficacy!$F$1))</f>
        <v>3</v>
      </c>
      <c r="BF24" s="3">
        <f>IF($C$5="ON",CF24,MyRating(_S4,$B24,Efficacy!$F$1))</f>
        <v>3</v>
      </c>
      <c r="BG24" s="3">
        <f>IF($C$5="ON",CG24,MyRating(_S5,$B24,Efficacy!$F$1))</f>
        <v>5</v>
      </c>
      <c r="BH24" s="3">
        <f>IF($C$5="ON",CH24,MyRating(_S6,$B24,Efficacy!$F$1))</f>
        <v>2</v>
      </c>
      <c r="BI24" s="3">
        <f>IF($C$5="ON",CI24,MyRating(_S7,$B24,Efficacy!$F$1))</f>
        <v>3</v>
      </c>
      <c r="BJ24" s="3">
        <f>IF($C$5="ON",CJ24,MyRating(_D1,$B24,Efficacy!$F$1))</f>
        <v>3</v>
      </c>
      <c r="BK24" s="3">
        <f>IF($C$5="ON",CK24,MyRating(_D2,$B24,Efficacy!$F$1))</f>
        <v>3</v>
      </c>
      <c r="BL24" s="3">
        <f>IF($C$5="ON",CL24,MyRating(_D3,$B24,Efficacy!$F$1))</f>
        <v>3</v>
      </c>
      <c r="BM24" s="3">
        <f>IF($C$5="ON",CM24,MyRating(_D4,$B24,Efficacy!$F$1))</f>
        <v>3</v>
      </c>
      <c r="BN24" s="3">
        <f>IF($C$5="ON",CN24,MyRating(_B1G5,$B24,Barrier!$L$2))</f>
        <v>2</v>
      </c>
      <c r="BO24" s="3">
        <f>IF($C$5="ON",CO24,MyRating(_B2,$B24,Barrier!$F$2))</f>
        <v>3</v>
      </c>
      <c r="BP24" s="6">
        <f>IF($C$5="ON",CP24,MyRating(_B3,$B24,Barrier!$F$2))</f>
        <v>3</v>
      </c>
      <c r="BQ24" s="5">
        <f t="shared" si="6"/>
        <v>3.6275844714639842E-2</v>
      </c>
      <c r="BR24" s="8">
        <f t="shared" si="7"/>
        <v>2.9499999999999997</v>
      </c>
      <c r="BS24" s="5">
        <f t="shared" si="8"/>
        <v>3.60415394013439E-2</v>
      </c>
      <c r="BT24" s="7">
        <f t="shared" si="9"/>
        <v>1.8542316878791175E-2</v>
      </c>
      <c r="BU24" s="4">
        <v>4</v>
      </c>
      <c r="BV24" s="3">
        <v>3</v>
      </c>
      <c r="BW24" s="3">
        <v>3</v>
      </c>
      <c r="BX24" s="3">
        <v>4</v>
      </c>
      <c r="BY24" s="3">
        <v>3</v>
      </c>
      <c r="BZ24" s="3">
        <v>2</v>
      </c>
      <c r="CA24" s="3">
        <v>3</v>
      </c>
      <c r="CB24" s="3">
        <v>3</v>
      </c>
      <c r="CC24" s="3">
        <v>4</v>
      </c>
      <c r="CD24" s="3">
        <v>3</v>
      </c>
      <c r="CE24" s="3">
        <v>3</v>
      </c>
      <c r="CF24" s="3">
        <v>3</v>
      </c>
      <c r="CG24" s="3">
        <v>5</v>
      </c>
      <c r="CH24" s="3">
        <v>2</v>
      </c>
      <c r="CI24" s="3">
        <v>3</v>
      </c>
      <c r="CJ24" s="3">
        <v>3</v>
      </c>
      <c r="CK24" s="3">
        <v>3</v>
      </c>
      <c r="CL24" s="3">
        <v>3</v>
      </c>
      <c r="CM24" s="3">
        <v>3</v>
      </c>
      <c r="CN24" s="3">
        <v>2</v>
      </c>
      <c r="CO24" s="3">
        <v>3</v>
      </c>
      <c r="CP24" s="6">
        <v>3</v>
      </c>
      <c r="CQ24" s="5">
        <v>3.6275844714639842E-2</v>
      </c>
      <c r="CR24" s="61"/>
    </row>
    <row r="25" spans="1:96" x14ac:dyDescent="0.35">
      <c r="A25" s="9" t="str">
        <f t="shared" si="0"/>
        <v>JP</v>
      </c>
      <c r="B25" s="9" t="s">
        <v>21</v>
      </c>
      <c r="C25" s="20"/>
      <c r="D25" s="9" t="s">
        <v>2</v>
      </c>
      <c r="E25" s="9" t="s">
        <v>193</v>
      </c>
      <c r="F25" s="9" t="s">
        <v>51</v>
      </c>
      <c r="G25" s="19">
        <v>0</v>
      </c>
      <c r="H25" s="9">
        <v>2014</v>
      </c>
      <c r="I25" s="9">
        <v>6</v>
      </c>
      <c r="J25" s="18">
        <f>INDEX(PTRS!$D$6:$D$12,MATCH('7'!$F25,PTRS!$B$6:$B$12,0))</f>
        <v>0.1638</v>
      </c>
      <c r="K25" s="17">
        <v>0</v>
      </c>
      <c r="L25" s="17">
        <v>0.1638</v>
      </c>
      <c r="M25" s="17">
        <v>0.1638</v>
      </c>
      <c r="N25" s="17">
        <v>0.12</v>
      </c>
      <c r="O25" s="17">
        <v>0.12</v>
      </c>
      <c r="P25" s="17">
        <v>0.1638</v>
      </c>
      <c r="Q25" s="17">
        <v>1</v>
      </c>
      <c r="R25" s="17">
        <v>1</v>
      </c>
      <c r="S25" s="17">
        <v>1</v>
      </c>
      <c r="T25" s="17"/>
      <c r="U25" s="17">
        <f t="shared" si="1"/>
        <v>0.72649652910676854</v>
      </c>
      <c r="V25" s="17">
        <v>1</v>
      </c>
      <c r="W25" s="9" t="s">
        <v>20</v>
      </c>
      <c r="X25" s="9">
        <f>INDEX('Unique Asset List'!$C$4:$I$60,MATCH('7'!$B25,'Unique Asset List'!$A$4:$A$60,0),MATCH('7'!$C$1,'Unique Asset List'!$C$3:$I$3,0))</f>
        <v>2027</v>
      </c>
      <c r="Y25" s="9">
        <f>INDEX('Unique Asset List'!$J$4:$P$60,MATCH('7'!$B25,'Unique Asset List'!$A$4:$A$60,0),MATCH('7'!$C$1,'Unique Asset List'!$J$3:$P$3,0))</f>
        <v>2</v>
      </c>
      <c r="Z25" s="9">
        <f>INDEX('Unique Asset List'!$X$4:$AD$60,MATCH('7'!$B25,'Unique Asset List'!$A$4:$A$60,0),MATCH('7'!$C$1,'Unique Asset List'!$X$3:$AD$3,0))</f>
        <v>2035</v>
      </c>
      <c r="AA25" s="9">
        <f>INDEX('Unique Asset List'!$AE$4:$AK$60,MATCH('7'!$B25,'Unique Asset List'!$A$4:$A$60,0),MATCH('7'!$C$1,'Unique Asset List'!$AE$3:$AK$3,0))</f>
        <v>2</v>
      </c>
      <c r="AB25" s="16">
        <f t="shared" si="2"/>
        <v>1.6822346000000001</v>
      </c>
      <c r="AC25" s="16">
        <f t="shared" si="3"/>
        <v>0.86278740000000009</v>
      </c>
      <c r="AD25" s="16">
        <f t="shared" si="4"/>
        <v>0.56099999999999994</v>
      </c>
      <c r="AE25" s="15">
        <f>INDEX('Unique Asset List'!$BN$4:$BT$60,MATCH('7'!$B25,'Unique Asset List'!$A$4:$A$60,0),MATCH('7'!$C$1,'Unique Asset List'!$BN$3:$BT$3,0))</f>
        <v>0.16</v>
      </c>
      <c r="AF25" s="15">
        <f>INDEX('Unique Asset List'!$BU$4:$CA$60,MATCH('7'!$B25,'Unique Asset List'!$A$4:$A$60,0),MATCH('7'!$C$1,'Unique Asset List'!$BU$3:$CA$3,0))</f>
        <v>0.34</v>
      </c>
      <c r="AG25" s="15">
        <f>INDEX('Unique Asset List'!$AZ$4:$BF$60,MATCH('7'!$B25,'Unique Asset List'!$A$4:$A$60,0),MATCH('7'!$C$1,'Unique Asset List'!$AZ$3:$BF$3,0))</f>
        <v>0.16</v>
      </c>
      <c r="AH25" s="15">
        <f>INDEX('Unique Asset List'!$BG$4:$BM$60,MATCH('7'!$B25,'Unique Asset List'!$A$4:$A$60,0),MATCH('7'!$C$1,'Unique Asset List'!$BG$3:$BM$3,0))</f>
        <v>0.34</v>
      </c>
      <c r="AI25" s="11">
        <v>0.7</v>
      </c>
      <c r="AJ25" s="15">
        <f>INDEX('Unique Asset List'!$AL$4:$AR$60,MATCH('7'!$B25,'Unique Asset List'!$A$4:$A$60,0),MATCH('7'!$C$1,'Unique Asset List'!$AL$3:$AR$3,0))</f>
        <v>0.14000000000000001</v>
      </c>
      <c r="AK25" s="15">
        <f>INDEX('Unique Asset List'!$AS$4:$AY$60,MATCH('7'!$B25,'Unique Asset List'!$A$4:$A$60,0),MATCH('7'!$C$1,'Unique Asset List'!$AS$3:$AY$3,0))</f>
        <v>0.15</v>
      </c>
      <c r="AL25" s="9">
        <v>169</v>
      </c>
      <c r="AM25" s="14">
        <f>INDEX(Simulation!$B$6:$H$6,MATCH($A25,Simulation!$B$1:$H$1,0))*(1+AN25)^((DATE(X25,Y25,15)-DATE(2017,1,15))/365.5)</f>
        <v>0.75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0"/>
      <c r="AU25" s="4">
        <f>IF($C$5="ON",BU25,MyRating(_E1,$B25,Efficacy!$F$1))</f>
        <v>3</v>
      </c>
      <c r="AV25" s="3">
        <f>IF($C$5="ON",BV25,MyRating(_E2,$B25,Efficacy!$F$1))</f>
        <v>3</v>
      </c>
      <c r="AW25" s="3">
        <f>IF($C$5="ON",BW25,MyRating(_E3,$B25,Efficacy!$F$1))</f>
        <v>3</v>
      </c>
      <c r="AX25" s="3">
        <f>IF($C$5="ON",BX25,MyRating(_E4,$B25,Efficacy!$F$1))</f>
        <v>3</v>
      </c>
      <c r="AY25" s="3">
        <f>IF($C$5="ON",BY25,MyRating(_E5,$B25,Efficacy!$F$1))</f>
        <v>3</v>
      </c>
      <c r="AZ25" s="3">
        <f>IF($C$5="ON",BZ25,MyRating(_E6,$B25,Efficacy!$F$1))</f>
        <v>4</v>
      </c>
      <c r="BA25" s="3">
        <f>IF($C$5="ON",CA25,MyRating(_E7,$B25,Efficacy!$F$1))</f>
        <v>3</v>
      </c>
      <c r="BB25" s="3">
        <f>IF($C$5="ON",CB25,MyRating(_E8,$B25,Efficacy!$F$1))</f>
        <v>2</v>
      </c>
      <c r="BC25" s="3">
        <f>IF($C$5="ON",CC25,MyRating(_S1,$B25,Efficacy!$F$1))</f>
        <v>3</v>
      </c>
      <c r="BD25" s="3">
        <f>IF($C$5="ON",CD25,MyRating(_S2,$B25,Efficacy!$F$1))</f>
        <v>4</v>
      </c>
      <c r="BE25" s="3">
        <f>IF($C$5="ON",CE25,MyRating(_S3,$B25,Efficacy!$F$1))</f>
        <v>2</v>
      </c>
      <c r="BF25" s="3">
        <f>IF($C$5="ON",CF25,MyRating(_S4,$B25,Efficacy!$F$1))</f>
        <v>5</v>
      </c>
      <c r="BG25" s="3">
        <f>IF($C$5="ON",CG25,MyRating(_S5,$B25,Efficacy!$F$1))</f>
        <v>4</v>
      </c>
      <c r="BH25" s="3">
        <f>IF($C$5="ON",CH25,MyRating(_S6,$B25,Efficacy!$F$1))</f>
        <v>3</v>
      </c>
      <c r="BI25" s="3">
        <f>IF($C$5="ON",CI25,MyRating(_S7,$B25,Efficacy!$F$1))</f>
        <v>3</v>
      </c>
      <c r="BJ25" s="3">
        <f>IF($C$5="ON",CJ25,MyRating(_D1,$B25,Efficacy!$F$1))</f>
        <v>3</v>
      </c>
      <c r="BK25" s="3">
        <f>IF($C$5="ON",CK25,MyRating(_D2,$B25,Efficacy!$F$1))</f>
        <v>3</v>
      </c>
      <c r="BL25" s="3">
        <f>IF($C$5="ON",CL25,MyRating(_D3,$B25,Efficacy!$F$1))</f>
        <v>3</v>
      </c>
      <c r="BM25" s="3">
        <f>IF($C$5="ON",CM25,MyRating(_D4,$B25,Efficacy!$F$1))</f>
        <v>3</v>
      </c>
      <c r="BN25" s="3">
        <f>IF($C$5="ON",CN25,MyRating(_B1G5,$B25,Barrier!$L$2))</f>
        <v>2</v>
      </c>
      <c r="BO25" s="3">
        <f>IF($C$5="ON",CO25,MyRating(_B2,$B25,Barrier!$F$2))</f>
        <v>3</v>
      </c>
      <c r="BP25" s="6">
        <f>IF($C$5="ON",CP25,MyRating(_B3,$B25,Barrier!$F$2))</f>
        <v>3</v>
      </c>
      <c r="BQ25" s="5">
        <f t="shared" si="6"/>
        <v>3.6275844714639842E-2</v>
      </c>
      <c r="BR25" s="8">
        <f t="shared" si="7"/>
        <v>2.9499999999999997</v>
      </c>
      <c r="BS25" s="5">
        <f t="shared" si="8"/>
        <v>3.60415394013439E-2</v>
      </c>
      <c r="BT25" s="7">
        <f t="shared" si="9"/>
        <v>1.8542316878791175E-2</v>
      </c>
      <c r="BU25" s="4">
        <v>3</v>
      </c>
      <c r="BV25" s="3">
        <v>3</v>
      </c>
      <c r="BW25" s="3">
        <v>3</v>
      </c>
      <c r="BX25" s="3">
        <v>3</v>
      </c>
      <c r="BY25" s="3">
        <v>3</v>
      </c>
      <c r="BZ25" s="3">
        <v>4</v>
      </c>
      <c r="CA25" s="3">
        <v>3</v>
      </c>
      <c r="CB25" s="3">
        <v>2</v>
      </c>
      <c r="CC25" s="3">
        <v>3</v>
      </c>
      <c r="CD25" s="3">
        <v>4</v>
      </c>
      <c r="CE25" s="3">
        <v>2</v>
      </c>
      <c r="CF25" s="3">
        <v>5</v>
      </c>
      <c r="CG25" s="3">
        <v>4</v>
      </c>
      <c r="CH25" s="3">
        <v>3</v>
      </c>
      <c r="CI25" s="3">
        <v>3</v>
      </c>
      <c r="CJ25" s="3">
        <v>3</v>
      </c>
      <c r="CK25" s="3">
        <v>3</v>
      </c>
      <c r="CL25" s="3">
        <v>3</v>
      </c>
      <c r="CM25" s="3">
        <v>3</v>
      </c>
      <c r="CN25" s="3">
        <v>2</v>
      </c>
      <c r="CO25" s="3">
        <v>3</v>
      </c>
      <c r="CP25" s="6">
        <v>3</v>
      </c>
      <c r="CQ25" s="5">
        <v>3.6275844714639842E-2</v>
      </c>
      <c r="CR25" s="61"/>
    </row>
    <row r="26" spans="1:96" x14ac:dyDescent="0.35">
      <c r="A26" s="9" t="str">
        <f t="shared" si="0"/>
        <v>JP</v>
      </c>
      <c r="B26" s="9" t="s">
        <v>72</v>
      </c>
      <c r="C26" s="20"/>
      <c r="D26" s="9" t="s">
        <v>2</v>
      </c>
      <c r="E26" s="9" t="s">
        <v>193</v>
      </c>
      <c r="F26" s="9" t="s">
        <v>51</v>
      </c>
      <c r="G26" s="19">
        <v>0</v>
      </c>
      <c r="H26" s="9">
        <v>2014</v>
      </c>
      <c r="I26" s="9">
        <v>6</v>
      </c>
      <c r="J26" s="18">
        <f>INDEX(PTRS!$D$6:$D$12,MATCH('7'!$F26,PTRS!$B$6:$B$12,0))</f>
        <v>0.1638</v>
      </c>
      <c r="K26" s="17">
        <v>0</v>
      </c>
      <c r="L26" s="17">
        <v>0.1638</v>
      </c>
      <c r="M26" s="17">
        <v>0.1638</v>
      </c>
      <c r="N26" s="17">
        <v>0.1638</v>
      </c>
      <c r="O26" s="17">
        <v>0.1638</v>
      </c>
      <c r="P26" s="17">
        <v>0.1638</v>
      </c>
      <c r="Q26" s="17">
        <v>1</v>
      </c>
      <c r="R26" s="17">
        <v>1</v>
      </c>
      <c r="S26" s="17">
        <v>1</v>
      </c>
      <c r="T26" s="17"/>
      <c r="U26" s="17">
        <f t="shared" si="1"/>
        <v>1</v>
      </c>
      <c r="V26" s="17">
        <v>1</v>
      </c>
      <c r="W26" s="9" t="s">
        <v>71</v>
      </c>
      <c r="X26" s="9">
        <f>INDEX('Unique Asset List'!$C$4:$I$60,MATCH('7'!$B26,'Unique Asset List'!$A$4:$A$60,0),MATCH('7'!$C$1,'Unique Asset List'!$C$3:$I$3,0))</f>
        <v>2026</v>
      </c>
      <c r="Y26" s="9">
        <f>INDEX('Unique Asset List'!$J$4:$P$60,MATCH('7'!$B26,'Unique Asset List'!$A$4:$A$60,0),MATCH('7'!$C$1,'Unique Asset List'!$J$3:$P$3,0))</f>
        <v>3</v>
      </c>
      <c r="Z26" s="9">
        <f>INDEX('Unique Asset List'!$X$4:$AD$60,MATCH('7'!$B26,'Unique Asset List'!$A$4:$A$60,0),MATCH('7'!$C$1,'Unique Asset List'!$X$3:$AD$3,0))</f>
        <v>2034</v>
      </c>
      <c r="AA26" s="9">
        <f>INDEX('Unique Asset List'!$AE$4:$AK$60,MATCH('7'!$B26,'Unique Asset List'!$A$4:$A$60,0),MATCH('7'!$C$1,'Unique Asset List'!$AE$3:$AK$3,0))</f>
        <v>3</v>
      </c>
      <c r="AB26" s="16">
        <f t="shared" si="2"/>
        <v>1.849261</v>
      </c>
      <c r="AC26" s="16">
        <f t="shared" si="3"/>
        <v>0.94988439999999996</v>
      </c>
      <c r="AD26" s="16">
        <f t="shared" si="4"/>
        <v>0.41402720413999994</v>
      </c>
      <c r="AE26" s="15">
        <f>INDEX('Unique Asset List'!$BN$4:$BT$60,MATCH('7'!$B26,'Unique Asset List'!$A$4:$A$60,0),MATCH('7'!$C$1,'Unique Asset List'!$BN$3:$BT$3,0))</f>
        <v>0.23</v>
      </c>
      <c r="AF26" s="15">
        <f>INDEX('Unique Asset List'!$BU$4:$CA$60,MATCH('7'!$B26,'Unique Asset List'!$A$4:$A$60,0),MATCH('7'!$C$1,'Unique Asset List'!$BU$3:$CA$3,0))</f>
        <v>0.27</v>
      </c>
      <c r="AG26" s="15">
        <f>INDEX('Unique Asset List'!$AZ$4:$BF$60,MATCH('7'!$B26,'Unique Asset List'!$A$4:$A$60,0),MATCH('7'!$C$1,'Unique Asset List'!$AZ$3:$BF$3,0))</f>
        <v>0.23</v>
      </c>
      <c r="AH26" s="15">
        <f>INDEX('Unique Asset List'!$BG$4:$BM$60,MATCH('7'!$B26,'Unique Asset List'!$A$4:$A$60,0),MATCH('7'!$C$1,'Unique Asset List'!$BG$3:$BM$3,0))</f>
        <v>0.27</v>
      </c>
      <c r="AI26" s="11">
        <v>0.7</v>
      </c>
      <c r="AJ26" s="15">
        <f>INDEX('Unique Asset List'!$AL$4:$AR$60,MATCH('7'!$B26,'Unique Asset List'!$A$4:$A$60,0),MATCH('7'!$C$1,'Unique Asset List'!$AL$3:$AR$3,0))</f>
        <v>0.14000000000000001</v>
      </c>
      <c r="AK26" s="15">
        <f>INDEX('Unique Asset List'!$AS$4:$AY$60,MATCH('7'!$B26,'Unique Asset List'!$A$4:$A$60,0),MATCH('7'!$C$1,'Unique Asset List'!$AS$3:$AY$3,0))</f>
        <v>0.15</v>
      </c>
      <c r="AL26" s="9">
        <v>169</v>
      </c>
      <c r="AM26" s="14">
        <f>INDEX(Simulation!$B$6:$H$6,MATCH($A26,Simulation!$B$1:$H$1,0))*(1+AN26)^((DATE(X26,Y26,15)-DATE(2017,1,15))/365.5)</f>
        <v>0.75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0"/>
      <c r="AU26" s="4">
        <f>IF($C$5="ON",BU26,MyRating(_E1,$B26,Efficacy!$F$1))</f>
        <v>5</v>
      </c>
      <c r="AV26" s="3">
        <f>IF($C$5="ON",BV26,MyRating(_E2,$B26,Efficacy!$F$1))</f>
        <v>4</v>
      </c>
      <c r="AW26" s="3">
        <f>IF($C$5="ON",BW26,MyRating(_E3,$B26,Efficacy!$F$1))</f>
        <v>4</v>
      </c>
      <c r="AX26" s="3">
        <f>IF($C$5="ON",BX26,MyRating(_E4,$B26,Efficacy!$F$1))</f>
        <v>3</v>
      </c>
      <c r="AY26" s="3">
        <f>IF($C$5="ON",BY26,MyRating(_E5,$B26,Efficacy!$F$1))</f>
        <v>3</v>
      </c>
      <c r="AZ26" s="3">
        <f>IF($C$5="ON",BZ26,MyRating(_E6,$B26,Efficacy!$F$1))</f>
        <v>2</v>
      </c>
      <c r="BA26" s="3">
        <f>IF($C$5="ON",CA26,MyRating(_E7,$B26,Efficacy!$F$1))</f>
        <v>3</v>
      </c>
      <c r="BB26" s="3">
        <f>IF($C$5="ON",CB26,MyRating(_E8,$B26,Efficacy!$F$1))</f>
        <v>1</v>
      </c>
      <c r="BC26" s="3">
        <f>IF($C$5="ON",CC26,MyRating(_S1,$B26,Efficacy!$F$1))</f>
        <v>3</v>
      </c>
      <c r="BD26" s="3">
        <f>IF($C$5="ON",CD26,MyRating(_S2,$B26,Efficacy!$F$1))</f>
        <v>4</v>
      </c>
      <c r="BE26" s="3">
        <f>IF($C$5="ON",CE26,MyRating(_S3,$B26,Efficacy!$F$1))</f>
        <v>3</v>
      </c>
      <c r="BF26" s="3">
        <f>IF($C$5="ON",CF26,MyRating(_S4,$B26,Efficacy!$F$1))</f>
        <v>5</v>
      </c>
      <c r="BG26" s="3">
        <f>IF($C$5="ON",CG26,MyRating(_S5,$B26,Efficacy!$F$1))</f>
        <v>5</v>
      </c>
      <c r="BH26" s="3">
        <f>IF($C$5="ON",CH26,MyRating(_S6,$B26,Efficacy!$F$1))</f>
        <v>2</v>
      </c>
      <c r="BI26" s="3">
        <f>IF($C$5="ON",CI26,MyRating(_S7,$B26,Efficacy!$F$1))</f>
        <v>4</v>
      </c>
      <c r="BJ26" s="3">
        <f>IF($C$5="ON",CJ26,MyRating(_D1,$B26,Efficacy!$F$1))</f>
        <v>2</v>
      </c>
      <c r="BK26" s="3">
        <f>IF($C$5="ON",CK26,MyRating(_D2,$B26,Efficacy!$F$1))</f>
        <v>3</v>
      </c>
      <c r="BL26" s="3">
        <f>IF($C$5="ON",CL26,MyRating(_D3,$B26,Efficacy!$F$1))</f>
        <v>2</v>
      </c>
      <c r="BM26" s="3">
        <f>IF($C$5="ON",CM26,MyRating(_D4,$B26,Efficacy!$F$1))</f>
        <v>2</v>
      </c>
      <c r="BN26" s="3">
        <f>IF($C$5="ON",CN26,MyRating(_B1G5,$B26,Barrier!$L$2))</f>
        <v>1</v>
      </c>
      <c r="BO26" s="3">
        <f>IF($C$5="ON",CO26,MyRating(_B2,$B26,Barrier!$F$2))</f>
        <v>3</v>
      </c>
      <c r="BP26" s="6">
        <f>IF($C$5="ON",CP26,MyRating(_B3,$B26,Barrier!$F$2))</f>
        <v>5</v>
      </c>
      <c r="BQ26" s="5">
        <f t="shared" si="6"/>
        <v>4.9932578149053504E-2</v>
      </c>
      <c r="BR26" s="8">
        <f t="shared" si="7"/>
        <v>3.8499999999999996</v>
      </c>
      <c r="BS26" s="5">
        <f t="shared" si="8"/>
        <v>4.7037263286499667E-2</v>
      </c>
      <c r="BT26" s="7">
        <f t="shared" si="9"/>
        <v>2.5522925624419785E-2</v>
      </c>
      <c r="BU26" s="4">
        <v>5</v>
      </c>
      <c r="BV26" s="3">
        <v>4</v>
      </c>
      <c r="BW26" s="3">
        <v>4</v>
      </c>
      <c r="BX26" s="3">
        <v>3</v>
      </c>
      <c r="BY26" s="3">
        <v>3</v>
      </c>
      <c r="BZ26" s="3">
        <v>2</v>
      </c>
      <c r="CA26" s="3">
        <v>3</v>
      </c>
      <c r="CB26" s="3">
        <v>1</v>
      </c>
      <c r="CC26" s="3">
        <v>3</v>
      </c>
      <c r="CD26" s="3">
        <v>4</v>
      </c>
      <c r="CE26" s="3">
        <v>3</v>
      </c>
      <c r="CF26" s="3">
        <v>5</v>
      </c>
      <c r="CG26" s="3">
        <v>5</v>
      </c>
      <c r="CH26" s="3">
        <v>2</v>
      </c>
      <c r="CI26" s="3">
        <v>4</v>
      </c>
      <c r="CJ26" s="3">
        <v>2</v>
      </c>
      <c r="CK26" s="3">
        <v>3</v>
      </c>
      <c r="CL26" s="3">
        <v>2</v>
      </c>
      <c r="CM26" s="3">
        <v>2</v>
      </c>
      <c r="CN26" s="3">
        <v>1</v>
      </c>
      <c r="CO26" s="3">
        <v>3</v>
      </c>
      <c r="CP26" s="6">
        <v>5</v>
      </c>
      <c r="CQ26" s="5">
        <v>4.9932578149053504E-2</v>
      </c>
      <c r="CR26" s="61"/>
    </row>
    <row r="27" spans="1:96" x14ac:dyDescent="0.35">
      <c r="A27" s="9" t="str">
        <f t="shared" si="0"/>
        <v>JP</v>
      </c>
      <c r="B27" s="9" t="s">
        <v>31</v>
      </c>
      <c r="C27" s="20"/>
      <c r="D27" s="9" t="s">
        <v>2</v>
      </c>
      <c r="E27" s="9" t="s">
        <v>193</v>
      </c>
      <c r="F27" s="9" t="s">
        <v>58</v>
      </c>
      <c r="G27" s="19">
        <v>0</v>
      </c>
      <c r="H27" s="9">
        <v>2014</v>
      </c>
      <c r="I27" s="9">
        <v>6</v>
      </c>
      <c r="J27" s="18">
        <f>INDEX(PTRS!$D$6:$D$12,MATCH('7'!$F27,PTRS!$B$6:$B$12,0))</f>
        <v>0.13923000000000002</v>
      </c>
      <c r="K27" s="17">
        <v>0</v>
      </c>
      <c r="L27" s="17">
        <v>0.1044225</v>
      </c>
      <c r="M27" s="17">
        <v>0.13923000000000002</v>
      </c>
      <c r="N27" s="17">
        <v>0.14000000000000001</v>
      </c>
      <c r="O27" s="17">
        <v>0.14000000000000001</v>
      </c>
      <c r="P27" s="17">
        <v>0.1044225</v>
      </c>
      <c r="Q27" s="17">
        <v>0.1044225</v>
      </c>
      <c r="R27" s="17">
        <v>0.1044225</v>
      </c>
      <c r="S27" s="17">
        <v>1</v>
      </c>
      <c r="T27" s="17"/>
      <c r="U27" s="17">
        <f t="shared" si="1"/>
        <v>0.72649652910676854</v>
      </c>
      <c r="V27" s="17">
        <v>1</v>
      </c>
      <c r="W27" s="9" t="s">
        <v>31</v>
      </c>
      <c r="X27" s="9">
        <f>INDEX('Unique Asset List'!$C$4:$I$60,MATCH('7'!$B27,'Unique Asset List'!$A$4:$A$60,0),MATCH('7'!$C$1,'Unique Asset List'!$C$3:$I$3,0))</f>
        <v>2027</v>
      </c>
      <c r="Y27" s="9">
        <f>INDEX('Unique Asset List'!$J$4:$P$60,MATCH('7'!$B27,'Unique Asset List'!$A$4:$A$60,0),MATCH('7'!$C$1,'Unique Asset List'!$J$3:$P$3,0))</f>
        <v>12</v>
      </c>
      <c r="Z27" s="9">
        <f>INDEX('Unique Asset List'!$X$4:$AD$60,MATCH('7'!$B27,'Unique Asset List'!$A$4:$A$60,0),MATCH('7'!$C$1,'Unique Asset List'!$X$3:$AD$3,0))</f>
        <v>2035</v>
      </c>
      <c r="AA27" s="9">
        <f>INDEX('Unique Asset List'!$AE$4:$AK$60,MATCH('7'!$B27,'Unique Asset List'!$A$4:$A$60,0),MATCH('7'!$C$1,'Unique Asset List'!$AE$3:$AK$3,0))</f>
        <v>12</v>
      </c>
      <c r="AB27" s="16">
        <f t="shared" si="2"/>
        <v>2.1250906000000005</v>
      </c>
      <c r="AC27" s="16">
        <f t="shared" si="3"/>
        <v>0.97325250000000008</v>
      </c>
      <c r="AD27" s="16">
        <f t="shared" si="4"/>
        <v>0.56099999999999994</v>
      </c>
      <c r="AE27" s="15">
        <f>INDEX('Unique Asset List'!$BN$4:$BT$60,MATCH('7'!$B27,'Unique Asset List'!$A$4:$A$60,0),MATCH('7'!$C$1,'Unique Asset List'!$BN$3:$BT$3,0))</f>
        <v>0.16</v>
      </c>
      <c r="AF27" s="15">
        <f>INDEX('Unique Asset List'!$BU$4:$CA$60,MATCH('7'!$B27,'Unique Asset List'!$A$4:$A$60,0),MATCH('7'!$C$1,'Unique Asset List'!$BU$3:$CA$3,0))</f>
        <v>0.34</v>
      </c>
      <c r="AG27" s="15">
        <f>INDEX('Unique Asset List'!$AZ$4:$BF$60,MATCH('7'!$B27,'Unique Asset List'!$A$4:$A$60,0),MATCH('7'!$C$1,'Unique Asset List'!$AZ$3:$BF$3,0))</f>
        <v>0.16</v>
      </c>
      <c r="AH27" s="15">
        <f>INDEX('Unique Asset List'!$BG$4:$BM$60,MATCH('7'!$B27,'Unique Asset List'!$A$4:$A$60,0),MATCH('7'!$C$1,'Unique Asset List'!$BG$3:$BM$3,0))</f>
        <v>0.34</v>
      </c>
      <c r="AI27" s="11">
        <v>0.7</v>
      </c>
      <c r="AJ27" s="15">
        <f>INDEX('Unique Asset List'!$AL$4:$AR$60,MATCH('7'!$B27,'Unique Asset List'!$A$4:$A$60,0),MATCH('7'!$C$1,'Unique Asset List'!$AL$3:$AR$3,0))</f>
        <v>0.14000000000000001</v>
      </c>
      <c r="AK27" s="15">
        <f>INDEX('Unique Asset List'!$AS$4:$AY$60,MATCH('7'!$B27,'Unique Asset List'!$A$4:$A$60,0),MATCH('7'!$C$1,'Unique Asset List'!$AS$3:$AY$3,0))</f>
        <v>0.15</v>
      </c>
      <c r="AL27" s="9">
        <v>169</v>
      </c>
      <c r="AM27" s="14">
        <f>INDEX(Simulation!$B$6:$H$6,MATCH($A27,Simulation!$B$1:$H$1,0))*(1+AN27)^((DATE(X27,Y27,15)-DATE(2017,1,15))/365.5)</f>
        <v>0.75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0"/>
      <c r="AU27" s="4">
        <f>IF($C$5="ON",BU27,MyRating(_E1,$B27,Efficacy!$F$1))</f>
        <v>4</v>
      </c>
      <c r="AV27" s="3">
        <f>IF($C$5="ON",BV27,MyRating(_E2,$B27,Efficacy!$F$1))</f>
        <v>4</v>
      </c>
      <c r="AW27" s="3">
        <f>IF($C$5="ON",BW27,MyRating(_E3,$B27,Efficacy!$F$1))</f>
        <v>4</v>
      </c>
      <c r="AX27" s="3">
        <f>IF($C$5="ON",BX27,MyRating(_E4,$B27,Efficacy!$F$1))</f>
        <v>4</v>
      </c>
      <c r="AY27" s="3">
        <f>IF($C$5="ON",BY27,MyRating(_E5,$B27,Efficacy!$F$1))</f>
        <v>3</v>
      </c>
      <c r="AZ27" s="3">
        <f>IF($C$5="ON",BZ27,MyRating(_E6,$B27,Efficacy!$F$1))</f>
        <v>4</v>
      </c>
      <c r="BA27" s="3">
        <f>IF($C$5="ON",CA27,MyRating(_E7,$B27,Efficacy!$F$1))</f>
        <v>4</v>
      </c>
      <c r="BB27" s="3">
        <f>IF($C$5="ON",CB27,MyRating(_E8,$B27,Efficacy!$F$1))</f>
        <v>3</v>
      </c>
      <c r="BC27" s="3">
        <f>IF($C$5="ON",CC27,MyRating(_S1,$B27,Efficacy!$F$1))</f>
        <v>4</v>
      </c>
      <c r="BD27" s="3">
        <f>IF($C$5="ON",CD27,MyRating(_S2,$B27,Efficacy!$F$1))</f>
        <v>3</v>
      </c>
      <c r="BE27" s="3">
        <f>IF($C$5="ON",CE27,MyRating(_S3,$B27,Efficacy!$F$1))</f>
        <v>3</v>
      </c>
      <c r="BF27" s="3">
        <f>IF($C$5="ON",CF27,MyRating(_S4,$B27,Efficacy!$F$1))</f>
        <v>4</v>
      </c>
      <c r="BG27" s="3">
        <f>IF($C$5="ON",CG27,MyRating(_S5,$B27,Efficacy!$F$1))</f>
        <v>5</v>
      </c>
      <c r="BH27" s="3">
        <f>IF($C$5="ON",CH27,MyRating(_S6,$B27,Efficacy!$F$1))</f>
        <v>3</v>
      </c>
      <c r="BI27" s="3">
        <f>IF($C$5="ON",CI27,MyRating(_S7,$B27,Efficacy!$F$1))</f>
        <v>4</v>
      </c>
      <c r="BJ27" s="3">
        <f>IF($C$5="ON",CJ27,MyRating(_D1,$B27,Efficacy!$F$1))</f>
        <v>3</v>
      </c>
      <c r="BK27" s="3">
        <f>IF($C$5="ON",CK27,MyRating(_D2,$B27,Efficacy!$F$1))</f>
        <v>3</v>
      </c>
      <c r="BL27" s="3">
        <f>IF($C$5="ON",CL27,MyRating(_D3,$B27,Efficacy!$F$1))</f>
        <v>3</v>
      </c>
      <c r="BM27" s="3">
        <f>IF($C$5="ON",CM27,MyRating(_D4,$B27,Efficacy!$F$1))</f>
        <v>3</v>
      </c>
      <c r="BN27" s="3">
        <f>IF($C$5="ON",CN27,MyRating(_B1G5,$B27,Barrier!$L$2))</f>
        <v>2</v>
      </c>
      <c r="BO27" s="3">
        <f>IF($C$5="ON",CO27,MyRating(_B2,$B27,Barrier!$F$2))</f>
        <v>3</v>
      </c>
      <c r="BP27" s="6">
        <f>IF($C$5="ON",CP27,MyRating(_B3,$B27,Barrier!$F$2))</f>
        <v>3</v>
      </c>
      <c r="BQ27" s="5">
        <f t="shared" si="6"/>
        <v>3.6275844714639842E-2</v>
      </c>
      <c r="BR27" s="8">
        <f t="shared" si="7"/>
        <v>2.9499999999999997</v>
      </c>
      <c r="BS27" s="5">
        <f t="shared" si="8"/>
        <v>3.60415394013439E-2</v>
      </c>
      <c r="BT27" s="7">
        <f t="shared" si="9"/>
        <v>1.8542316878791175E-2</v>
      </c>
      <c r="BU27" s="4">
        <v>4</v>
      </c>
      <c r="BV27" s="3">
        <v>4</v>
      </c>
      <c r="BW27" s="3">
        <v>4</v>
      </c>
      <c r="BX27" s="3">
        <v>4</v>
      </c>
      <c r="BY27" s="3">
        <v>3</v>
      </c>
      <c r="BZ27" s="3">
        <v>4</v>
      </c>
      <c r="CA27" s="3">
        <v>4</v>
      </c>
      <c r="CB27" s="3">
        <v>3</v>
      </c>
      <c r="CC27" s="3">
        <v>4</v>
      </c>
      <c r="CD27" s="3">
        <v>3</v>
      </c>
      <c r="CE27" s="3">
        <v>3</v>
      </c>
      <c r="CF27" s="3">
        <v>4</v>
      </c>
      <c r="CG27" s="3">
        <v>5</v>
      </c>
      <c r="CH27" s="3">
        <v>3</v>
      </c>
      <c r="CI27" s="3">
        <v>4</v>
      </c>
      <c r="CJ27" s="3">
        <v>3</v>
      </c>
      <c r="CK27" s="3">
        <v>3</v>
      </c>
      <c r="CL27" s="3">
        <v>3</v>
      </c>
      <c r="CM27" s="3">
        <v>3</v>
      </c>
      <c r="CN27" s="3">
        <v>2</v>
      </c>
      <c r="CO27" s="3">
        <v>3</v>
      </c>
      <c r="CP27" s="6">
        <v>3</v>
      </c>
      <c r="CQ27" s="5">
        <v>3.6275844714639842E-2</v>
      </c>
      <c r="CR27" s="61"/>
    </row>
    <row r="28" spans="1:96" x14ac:dyDescent="0.35">
      <c r="A28" s="9" t="str">
        <f t="shared" si="0"/>
        <v>JP</v>
      </c>
      <c r="B28" s="9" t="s">
        <v>35</v>
      </c>
      <c r="C28" s="20"/>
      <c r="D28" s="9" t="s">
        <v>2</v>
      </c>
      <c r="E28" s="9" t="s">
        <v>193</v>
      </c>
      <c r="F28" s="9" t="s">
        <v>58</v>
      </c>
      <c r="G28" s="19">
        <v>0</v>
      </c>
      <c r="H28" s="9">
        <v>2014</v>
      </c>
      <c r="I28" s="9">
        <v>6</v>
      </c>
      <c r="J28" s="18">
        <f>INDEX(PTRS!$D$6:$D$12,MATCH('7'!$F28,PTRS!$B$6:$B$12,0))</f>
        <v>0.13923000000000002</v>
      </c>
      <c r="K28" s="17">
        <v>0</v>
      </c>
      <c r="L28" s="17">
        <v>0.1044225</v>
      </c>
      <c r="M28" s="17">
        <v>0.13923000000000002</v>
      </c>
      <c r="N28" s="17">
        <v>0.14000000000000001</v>
      </c>
      <c r="O28" s="17">
        <v>0.14000000000000001</v>
      </c>
      <c r="P28" s="17">
        <v>0.1044225</v>
      </c>
      <c r="Q28" s="17">
        <v>0.1044225</v>
      </c>
      <c r="R28" s="17">
        <v>0.1044225</v>
      </c>
      <c r="S28" s="17">
        <v>1</v>
      </c>
      <c r="T28" s="17"/>
      <c r="U28" s="17">
        <f t="shared" si="1"/>
        <v>0.72649652910676854</v>
      </c>
      <c r="V28" s="17">
        <v>1</v>
      </c>
      <c r="W28" s="9" t="s">
        <v>35</v>
      </c>
      <c r="X28" s="9">
        <f>INDEX('Unique Asset List'!$C$4:$I$60,MATCH('7'!$B28,'Unique Asset List'!$A$4:$A$60,0),MATCH('7'!$C$1,'Unique Asset List'!$C$3:$I$3,0))</f>
        <v>2028</v>
      </c>
      <c r="Y28" s="9">
        <f>INDEX('Unique Asset List'!$J$4:$P$60,MATCH('7'!$B28,'Unique Asset List'!$A$4:$A$60,0),MATCH('7'!$C$1,'Unique Asset List'!$J$3:$P$3,0))</f>
        <v>2</v>
      </c>
      <c r="Z28" s="9">
        <f>INDEX('Unique Asset List'!$X$4:$AD$60,MATCH('7'!$B28,'Unique Asset List'!$A$4:$A$60,0),MATCH('7'!$C$1,'Unique Asset List'!$X$3:$AD$3,0))</f>
        <v>2036</v>
      </c>
      <c r="AA28" s="9">
        <f>INDEX('Unique Asset List'!$AE$4:$AK$60,MATCH('7'!$B28,'Unique Asset List'!$A$4:$A$60,0),MATCH('7'!$C$1,'Unique Asset List'!$AE$3:$AK$3,0))</f>
        <v>2</v>
      </c>
      <c r="AB28" s="16">
        <f t="shared" si="2"/>
        <v>2.0908086000000004</v>
      </c>
      <c r="AC28" s="16">
        <f t="shared" si="3"/>
        <v>0.97325250000000008</v>
      </c>
      <c r="AD28" s="16">
        <f t="shared" si="4"/>
        <v>0.56099999999999994</v>
      </c>
      <c r="AE28" s="15">
        <f>INDEX('Unique Asset List'!$BN$4:$BT$60,MATCH('7'!$B28,'Unique Asset List'!$A$4:$A$60,0),MATCH('7'!$C$1,'Unique Asset List'!$BN$3:$BT$3,0))</f>
        <v>0.16</v>
      </c>
      <c r="AF28" s="15">
        <f>INDEX('Unique Asset List'!$BU$4:$CA$60,MATCH('7'!$B28,'Unique Asset List'!$A$4:$A$60,0),MATCH('7'!$C$1,'Unique Asset List'!$BU$3:$CA$3,0))</f>
        <v>0.34</v>
      </c>
      <c r="AG28" s="15">
        <f>INDEX('Unique Asset List'!$AZ$4:$BF$60,MATCH('7'!$B28,'Unique Asset List'!$A$4:$A$60,0),MATCH('7'!$C$1,'Unique Asset List'!$AZ$3:$BF$3,0))</f>
        <v>0.16</v>
      </c>
      <c r="AH28" s="15">
        <f>INDEX('Unique Asset List'!$BG$4:$BM$60,MATCH('7'!$B28,'Unique Asset List'!$A$4:$A$60,0),MATCH('7'!$C$1,'Unique Asset List'!$BG$3:$BM$3,0))</f>
        <v>0.34</v>
      </c>
      <c r="AI28" s="11">
        <v>0.7</v>
      </c>
      <c r="AJ28" s="15">
        <f>INDEX('Unique Asset List'!$AL$4:$AR$60,MATCH('7'!$B28,'Unique Asset List'!$A$4:$A$60,0),MATCH('7'!$C$1,'Unique Asset List'!$AL$3:$AR$3,0))</f>
        <v>0.14000000000000001</v>
      </c>
      <c r="AK28" s="15">
        <f>INDEX('Unique Asset List'!$AS$4:$AY$60,MATCH('7'!$B28,'Unique Asset List'!$A$4:$A$60,0),MATCH('7'!$C$1,'Unique Asset List'!$AS$3:$AY$3,0))</f>
        <v>0.15</v>
      </c>
      <c r="AL28" s="9">
        <v>169</v>
      </c>
      <c r="AM28" s="14">
        <f>INDEX(Simulation!$B$6:$H$6,MATCH($A28,Simulation!$B$1:$H$1,0))*(1+AN28)^((DATE(X28,Y28,15)-DATE(2017,1,15))/365.5)</f>
        <v>0.75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0"/>
      <c r="AU28" s="4">
        <f>IF($C$5="ON",BU28,MyRating(_E1,$B28,Efficacy!$F$1))</f>
        <v>4</v>
      </c>
      <c r="AV28" s="3">
        <f>IF($C$5="ON",BV28,MyRating(_E2,$B28,Efficacy!$F$1))</f>
        <v>4</v>
      </c>
      <c r="AW28" s="3">
        <f>IF($C$5="ON",BW28,MyRating(_E3,$B28,Efficacy!$F$1))</f>
        <v>4</v>
      </c>
      <c r="AX28" s="3">
        <f>IF($C$5="ON",BX28,MyRating(_E4,$B28,Efficacy!$F$1))</f>
        <v>4</v>
      </c>
      <c r="AY28" s="3">
        <f>IF($C$5="ON",BY28,MyRating(_E5,$B28,Efficacy!$F$1))</f>
        <v>3</v>
      </c>
      <c r="AZ28" s="3">
        <f>IF($C$5="ON",BZ28,MyRating(_E6,$B28,Efficacy!$F$1))</f>
        <v>3</v>
      </c>
      <c r="BA28" s="3">
        <f>IF($C$5="ON",CA28,MyRating(_E7,$B28,Efficacy!$F$1))</f>
        <v>3</v>
      </c>
      <c r="BB28" s="3">
        <f>IF($C$5="ON",CB28,MyRating(_E8,$B28,Efficacy!$F$1))</f>
        <v>4</v>
      </c>
      <c r="BC28" s="3">
        <f>IF($C$5="ON",CC28,MyRating(_S1,$B28,Efficacy!$F$1))</f>
        <v>4</v>
      </c>
      <c r="BD28" s="3">
        <f>IF($C$5="ON",CD28,MyRating(_S2,$B28,Efficacy!$F$1))</f>
        <v>3</v>
      </c>
      <c r="BE28" s="3">
        <f>IF($C$5="ON",CE28,MyRating(_S3,$B28,Efficacy!$F$1))</f>
        <v>3</v>
      </c>
      <c r="BF28" s="3">
        <f>IF($C$5="ON",CF28,MyRating(_S4,$B28,Efficacy!$F$1))</f>
        <v>4</v>
      </c>
      <c r="BG28" s="3">
        <f>IF($C$5="ON",CG28,MyRating(_S5,$B28,Efficacy!$F$1))</f>
        <v>5</v>
      </c>
      <c r="BH28" s="3">
        <f>IF($C$5="ON",CH28,MyRating(_S6,$B28,Efficacy!$F$1))</f>
        <v>3</v>
      </c>
      <c r="BI28" s="3">
        <f>IF($C$5="ON",CI28,MyRating(_S7,$B28,Efficacy!$F$1))</f>
        <v>4</v>
      </c>
      <c r="BJ28" s="3">
        <f>IF($C$5="ON",CJ28,MyRating(_D1,$B28,Efficacy!$F$1))</f>
        <v>3</v>
      </c>
      <c r="BK28" s="3">
        <f>IF($C$5="ON",CK28,MyRating(_D2,$B28,Efficacy!$F$1))</f>
        <v>3</v>
      </c>
      <c r="BL28" s="3">
        <f>IF($C$5="ON",CL28,MyRating(_D3,$B28,Efficacy!$F$1))</f>
        <v>3</v>
      </c>
      <c r="BM28" s="3">
        <f>IF($C$5="ON",CM28,MyRating(_D4,$B28,Efficacy!$F$1))</f>
        <v>3</v>
      </c>
      <c r="BN28" s="3">
        <f>IF($C$5="ON",CN28,MyRating(_B1G5,$B28,Barrier!$L$2))</f>
        <v>2</v>
      </c>
      <c r="BO28" s="3">
        <f>IF($C$5="ON",CO28,MyRating(_B2,$B28,Barrier!$F$2))</f>
        <v>3</v>
      </c>
      <c r="BP28" s="6">
        <f>IF($C$5="ON",CP28,MyRating(_B3,$B28,Barrier!$F$2))</f>
        <v>3</v>
      </c>
      <c r="BQ28" s="5">
        <f t="shared" si="6"/>
        <v>3.6275844714639842E-2</v>
      </c>
      <c r="BR28" s="8">
        <f t="shared" si="7"/>
        <v>2.9499999999999997</v>
      </c>
      <c r="BS28" s="5">
        <f t="shared" si="8"/>
        <v>3.60415394013439E-2</v>
      </c>
      <c r="BT28" s="7">
        <f t="shared" si="9"/>
        <v>1.8542316878791175E-2</v>
      </c>
      <c r="BU28" s="4">
        <v>4</v>
      </c>
      <c r="BV28" s="3">
        <v>4</v>
      </c>
      <c r="BW28" s="3">
        <v>4</v>
      </c>
      <c r="BX28" s="3">
        <v>4</v>
      </c>
      <c r="BY28" s="3">
        <v>3</v>
      </c>
      <c r="BZ28" s="3">
        <v>3</v>
      </c>
      <c r="CA28" s="3">
        <v>3</v>
      </c>
      <c r="CB28" s="3">
        <v>4</v>
      </c>
      <c r="CC28" s="3">
        <v>4</v>
      </c>
      <c r="CD28" s="3">
        <v>3</v>
      </c>
      <c r="CE28" s="3">
        <v>3</v>
      </c>
      <c r="CF28" s="3">
        <v>4</v>
      </c>
      <c r="CG28" s="3">
        <v>5</v>
      </c>
      <c r="CH28" s="3">
        <v>3</v>
      </c>
      <c r="CI28" s="3">
        <v>4</v>
      </c>
      <c r="CJ28" s="3">
        <v>3</v>
      </c>
      <c r="CK28" s="3">
        <v>3</v>
      </c>
      <c r="CL28" s="3">
        <v>3</v>
      </c>
      <c r="CM28" s="3">
        <v>3</v>
      </c>
      <c r="CN28" s="3">
        <v>2</v>
      </c>
      <c r="CO28" s="3">
        <v>3</v>
      </c>
      <c r="CP28" s="6">
        <v>3</v>
      </c>
      <c r="CQ28" s="5">
        <v>3.6275844714639842E-2</v>
      </c>
      <c r="CR28" s="61"/>
    </row>
    <row r="29" spans="1:96" x14ac:dyDescent="0.35">
      <c r="A29" s="9" t="str">
        <f t="shared" si="0"/>
        <v>JP</v>
      </c>
      <c r="B29" s="9" t="s">
        <v>70</v>
      </c>
      <c r="C29" s="20"/>
      <c r="D29" s="9" t="s">
        <v>64</v>
      </c>
      <c r="E29" s="9" t="s">
        <v>193</v>
      </c>
      <c r="F29" s="9" t="s">
        <v>58</v>
      </c>
      <c r="G29" s="19">
        <v>0</v>
      </c>
      <c r="H29" s="9">
        <v>2014</v>
      </c>
      <c r="I29" s="9">
        <v>6</v>
      </c>
      <c r="J29" s="18">
        <f>INDEX(PTRS!$D$6:$D$12,MATCH('7'!$F29,PTRS!$B$6:$B$12,0))</f>
        <v>0.13923000000000002</v>
      </c>
      <c r="K29" s="17">
        <v>0</v>
      </c>
      <c r="L29" s="17">
        <v>0.13923000000000002</v>
      </c>
      <c r="M29" s="17">
        <v>0.13923000000000002</v>
      </c>
      <c r="N29" s="17">
        <v>0.13923000000000002</v>
      </c>
      <c r="O29" s="17">
        <v>0.13923000000000002</v>
      </c>
      <c r="P29" s="17">
        <v>0.13923000000000002</v>
      </c>
      <c r="Q29" s="17">
        <v>0.14000000000000001</v>
      </c>
      <c r="R29" s="17">
        <v>0.14000000000000001</v>
      </c>
      <c r="S29" s="17">
        <v>1</v>
      </c>
      <c r="T29" s="17"/>
      <c r="U29" s="17">
        <f t="shared" si="1"/>
        <v>0.72649652910676854</v>
      </c>
      <c r="V29" s="17">
        <v>1</v>
      </c>
      <c r="W29" s="9" t="s">
        <v>62</v>
      </c>
      <c r="X29" s="9">
        <f>INDEX('Unique Asset List'!$C$4:$I$60,MATCH('7'!$B29,'Unique Asset List'!$A$4:$A$60,0),MATCH('7'!$C$1,'Unique Asset List'!$C$3:$I$3,0))</f>
        <v>2026</v>
      </c>
      <c r="Y29" s="9">
        <f>INDEX('Unique Asset List'!$J$4:$P$60,MATCH('7'!$B29,'Unique Asset List'!$A$4:$A$60,0),MATCH('7'!$C$1,'Unique Asset List'!$J$3:$P$3,0))</f>
        <v>6</v>
      </c>
      <c r="Z29" s="9">
        <f>INDEX('Unique Asset List'!$X$4:$AD$60,MATCH('7'!$B29,'Unique Asset List'!$A$4:$A$60,0),MATCH('7'!$C$1,'Unique Asset List'!$X$3:$AD$3,0))</f>
        <v>2034</v>
      </c>
      <c r="AA29" s="9">
        <f>INDEX('Unique Asset List'!$AE$4:$AK$60,MATCH('7'!$B29,'Unique Asset List'!$A$4:$A$60,0),MATCH('7'!$C$1,'Unique Asset List'!$AE$3:$AK$3,0))</f>
        <v>6</v>
      </c>
      <c r="AB29" s="16">
        <f t="shared" si="2"/>
        <v>1.6860000000000002</v>
      </c>
      <c r="AC29" s="16">
        <f t="shared" si="3"/>
        <v>0.98141</v>
      </c>
      <c r="AD29" s="16">
        <f t="shared" si="4"/>
        <v>0.50129594525999999</v>
      </c>
      <c r="AE29" s="15">
        <f>INDEX('Unique Asset List'!$BN$4:$BT$60,MATCH('7'!$B29,'Unique Asset List'!$A$4:$A$60,0),MATCH('7'!$C$1,'Unique Asset List'!$BN$3:$BT$3,0))</f>
        <v>0.16</v>
      </c>
      <c r="AF29" s="15">
        <f>INDEX('Unique Asset List'!$BU$4:$CA$60,MATCH('7'!$B29,'Unique Asset List'!$A$4:$A$60,0),MATCH('7'!$C$1,'Unique Asset List'!$BU$3:$CA$3,0))</f>
        <v>0.34</v>
      </c>
      <c r="AG29" s="15">
        <f>INDEX('Unique Asset List'!$AZ$4:$BF$60,MATCH('7'!$B29,'Unique Asset List'!$A$4:$A$60,0),MATCH('7'!$C$1,'Unique Asset List'!$AZ$3:$BF$3,0))</f>
        <v>0.16</v>
      </c>
      <c r="AH29" s="15">
        <f>INDEX('Unique Asset List'!$BG$4:$BM$60,MATCH('7'!$B29,'Unique Asset List'!$A$4:$A$60,0),MATCH('7'!$C$1,'Unique Asset List'!$BG$3:$BM$3,0))</f>
        <v>0.34</v>
      </c>
      <c r="AI29" s="11">
        <v>0.7</v>
      </c>
      <c r="AJ29" s="15">
        <f>INDEX('Unique Asset List'!$AL$4:$AR$60,MATCH('7'!$B29,'Unique Asset List'!$A$4:$A$60,0),MATCH('7'!$C$1,'Unique Asset List'!$AL$3:$AR$3,0))</f>
        <v>0.14000000000000001</v>
      </c>
      <c r="AK29" s="15">
        <f>INDEX('Unique Asset List'!$AS$4:$AY$60,MATCH('7'!$B29,'Unique Asset List'!$A$4:$A$60,0),MATCH('7'!$C$1,'Unique Asset List'!$AS$3:$AY$3,0))</f>
        <v>0.15</v>
      </c>
      <c r="AL29" s="9">
        <v>169</v>
      </c>
      <c r="AM29" s="14">
        <f>INDEX(Simulation!$B$6:$H$6,MATCH($A29,Simulation!$B$1:$H$1,0))*(1+AN29)^((DATE(X29,Y29,15)-DATE(2017,1,15))/365.5)</f>
        <v>0.75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0"/>
      <c r="AU29" s="4">
        <f>IF($C$5="ON",BU29,MyRating(_E1,$B29,Efficacy!$F$1))</f>
        <v>3</v>
      </c>
      <c r="AV29" s="3">
        <f>IF($C$5="ON",BV29,MyRating(_E2,$B29,Efficacy!$F$1))</f>
        <v>3</v>
      </c>
      <c r="AW29" s="3">
        <f>IF($C$5="ON",BW29,MyRating(_E3,$B29,Efficacy!$F$1))</f>
        <v>3</v>
      </c>
      <c r="AX29" s="3">
        <f>IF($C$5="ON",BX29,MyRating(_E4,$B29,Efficacy!$F$1))</f>
        <v>3</v>
      </c>
      <c r="AY29" s="3">
        <f>IF($C$5="ON",BY29,MyRating(_E5,$B29,Efficacy!$F$1))</f>
        <v>3</v>
      </c>
      <c r="AZ29" s="3">
        <f>IF($C$5="ON",BZ29,MyRating(_E6,$B29,Efficacy!$F$1))</f>
        <v>3</v>
      </c>
      <c r="BA29" s="3">
        <f>IF($C$5="ON",CA29,MyRating(_E7,$B29,Efficacy!$F$1))</f>
        <v>3</v>
      </c>
      <c r="BB29" s="3">
        <f>IF($C$5="ON",CB29,MyRating(_E8,$B29,Efficacy!$F$1))</f>
        <v>3</v>
      </c>
      <c r="BC29" s="3">
        <f>IF($C$5="ON",CC29,MyRating(_S1,$B29,Efficacy!$F$1))</f>
        <v>5</v>
      </c>
      <c r="BD29" s="3">
        <f>IF($C$5="ON",CD29,MyRating(_S2,$B29,Efficacy!$F$1))</f>
        <v>3</v>
      </c>
      <c r="BE29" s="3">
        <f>IF($C$5="ON",CE29,MyRating(_S3,$B29,Efficacy!$F$1))</f>
        <v>3</v>
      </c>
      <c r="BF29" s="3">
        <f>IF($C$5="ON",CF29,MyRating(_S4,$B29,Efficacy!$F$1))</f>
        <v>4</v>
      </c>
      <c r="BG29" s="3">
        <f>IF($C$5="ON",CG29,MyRating(_S5,$B29,Efficacy!$F$1))</f>
        <v>5</v>
      </c>
      <c r="BH29" s="3">
        <f>IF($C$5="ON",CH29,MyRating(_S6,$B29,Efficacy!$F$1))</f>
        <v>2</v>
      </c>
      <c r="BI29" s="3">
        <f>IF($C$5="ON",CI29,MyRating(_S7,$B29,Efficacy!$F$1))</f>
        <v>3</v>
      </c>
      <c r="BJ29" s="3">
        <f>IF($C$5="ON",CJ29,MyRating(_D1,$B29,Efficacy!$F$1))</f>
        <v>2</v>
      </c>
      <c r="BK29" s="3">
        <f>IF($C$5="ON",CK29,MyRating(_D2,$B29,Efficacy!$F$1))</f>
        <v>3</v>
      </c>
      <c r="BL29" s="3">
        <f>IF($C$5="ON",CL29,MyRating(_D3,$B29,Efficacy!$F$1))</f>
        <v>3</v>
      </c>
      <c r="BM29" s="3">
        <f>IF($C$5="ON",CM29,MyRating(_D4,$B29,Efficacy!$F$1))</f>
        <v>3</v>
      </c>
      <c r="BN29" s="3">
        <f>IF($C$5="ON",CN29,MyRating(_B1G5,$B29,Barrier!$L$2))</f>
        <v>2</v>
      </c>
      <c r="BO29" s="3">
        <f>IF($C$5="ON",CO29,MyRating(_B2,$B29,Barrier!$F$2))</f>
        <v>3</v>
      </c>
      <c r="BP29" s="6">
        <f>IF($C$5="ON",CP29,MyRating(_B3,$B29,Barrier!$F$2))</f>
        <v>3</v>
      </c>
      <c r="BQ29" s="5">
        <f t="shared" si="6"/>
        <v>3.6275844714639842E-2</v>
      </c>
      <c r="BR29" s="8">
        <f t="shared" si="7"/>
        <v>2.9499999999999997</v>
      </c>
      <c r="BS29" s="5">
        <f t="shared" si="8"/>
        <v>3.60415394013439E-2</v>
      </c>
      <c r="BT29" s="7">
        <f t="shared" si="9"/>
        <v>1.8542316878791175E-2</v>
      </c>
      <c r="BU29" s="4">
        <v>3</v>
      </c>
      <c r="BV29" s="3">
        <v>3</v>
      </c>
      <c r="BW29" s="3">
        <v>3</v>
      </c>
      <c r="BX29" s="3">
        <v>3</v>
      </c>
      <c r="BY29" s="3">
        <v>3</v>
      </c>
      <c r="BZ29" s="3">
        <v>3</v>
      </c>
      <c r="CA29" s="3">
        <v>3</v>
      </c>
      <c r="CB29" s="3">
        <v>3</v>
      </c>
      <c r="CC29" s="3">
        <v>5</v>
      </c>
      <c r="CD29" s="3">
        <v>3</v>
      </c>
      <c r="CE29" s="3">
        <v>3</v>
      </c>
      <c r="CF29" s="3">
        <v>4</v>
      </c>
      <c r="CG29" s="3">
        <v>5</v>
      </c>
      <c r="CH29" s="3">
        <v>2</v>
      </c>
      <c r="CI29" s="3">
        <v>3</v>
      </c>
      <c r="CJ29" s="3">
        <v>2</v>
      </c>
      <c r="CK29" s="3">
        <v>3</v>
      </c>
      <c r="CL29" s="3">
        <v>3</v>
      </c>
      <c r="CM29" s="3">
        <v>3</v>
      </c>
      <c r="CN29" s="3">
        <v>2</v>
      </c>
      <c r="CO29" s="3">
        <v>3</v>
      </c>
      <c r="CP29" s="6">
        <v>3</v>
      </c>
      <c r="CQ29" s="5">
        <v>3.6275844714639842E-2</v>
      </c>
      <c r="CR29" s="61"/>
    </row>
    <row r="30" spans="1:96" x14ac:dyDescent="0.35">
      <c r="A30" s="9" t="str">
        <f t="shared" si="0"/>
        <v>JP</v>
      </c>
      <c r="B30" s="9" t="s">
        <v>24</v>
      </c>
      <c r="C30" s="20"/>
      <c r="D30" s="9" t="s">
        <v>2</v>
      </c>
      <c r="E30" s="9" t="s">
        <v>193</v>
      </c>
      <c r="F30" s="9" t="s">
        <v>58</v>
      </c>
      <c r="G30" s="19">
        <v>0</v>
      </c>
      <c r="H30" s="9">
        <v>2014</v>
      </c>
      <c r="I30" s="9">
        <v>6</v>
      </c>
      <c r="J30" s="18">
        <f>INDEX(PTRS!$D$6:$D$12,MATCH('7'!$F30,PTRS!$B$6:$B$12,0))</f>
        <v>0.13923000000000002</v>
      </c>
      <c r="K30" s="17">
        <v>0</v>
      </c>
      <c r="L30" s="17">
        <v>0.1044225</v>
      </c>
      <c r="M30" s="17">
        <v>0.13923000000000002</v>
      </c>
      <c r="N30" s="17">
        <v>0.1</v>
      </c>
      <c r="O30" s="17">
        <v>0.1</v>
      </c>
      <c r="P30" s="17">
        <v>0.1044225</v>
      </c>
      <c r="Q30" s="17">
        <v>1</v>
      </c>
      <c r="R30" s="17">
        <v>1</v>
      </c>
      <c r="S30" s="17">
        <v>1</v>
      </c>
      <c r="T30" s="17"/>
      <c r="U30" s="17">
        <f t="shared" si="1"/>
        <v>0.72649652910676854</v>
      </c>
      <c r="V30" s="17">
        <v>1</v>
      </c>
      <c r="W30" s="9" t="s">
        <v>24</v>
      </c>
      <c r="X30" s="9">
        <f>INDEX('Unique Asset List'!$C$4:$I$60,MATCH('7'!$B30,'Unique Asset List'!$A$4:$A$60,0),MATCH('7'!$C$1,'Unique Asset List'!$C$3:$I$3,0))</f>
        <v>2027</v>
      </c>
      <c r="Y30" s="9">
        <f>INDEX('Unique Asset List'!$J$4:$P$60,MATCH('7'!$B30,'Unique Asset List'!$A$4:$A$60,0),MATCH('7'!$C$1,'Unique Asset List'!$J$3:$P$3,0))</f>
        <v>1</v>
      </c>
      <c r="Z30" s="9">
        <f>INDEX('Unique Asset List'!$X$4:$AD$60,MATCH('7'!$B30,'Unique Asset List'!$A$4:$A$60,0),MATCH('7'!$C$1,'Unique Asset List'!$X$3:$AD$3,0))</f>
        <v>2035</v>
      </c>
      <c r="AA30" s="9">
        <f>INDEX('Unique Asset List'!$AE$4:$AK$60,MATCH('7'!$B30,'Unique Asset List'!$A$4:$A$60,0),MATCH('7'!$C$1,'Unique Asset List'!$AE$3:$AK$3,0))</f>
        <v>1</v>
      </c>
      <c r="AB30" s="16">
        <f t="shared" si="2"/>
        <v>2.3276916000000001</v>
      </c>
      <c r="AC30" s="16">
        <f t="shared" si="3"/>
        <v>1.0028454</v>
      </c>
      <c r="AD30" s="16">
        <f t="shared" si="4"/>
        <v>0.56099999999999994</v>
      </c>
      <c r="AE30" s="15">
        <f>INDEX('Unique Asset List'!$BN$4:$BT$60,MATCH('7'!$B30,'Unique Asset List'!$A$4:$A$60,0),MATCH('7'!$C$1,'Unique Asset List'!$BN$3:$BT$3,0))</f>
        <v>0.16</v>
      </c>
      <c r="AF30" s="15">
        <f>INDEX('Unique Asset List'!$BU$4:$CA$60,MATCH('7'!$B30,'Unique Asset List'!$A$4:$A$60,0),MATCH('7'!$C$1,'Unique Asset List'!$BU$3:$CA$3,0))</f>
        <v>0.34</v>
      </c>
      <c r="AG30" s="15">
        <f>INDEX('Unique Asset List'!$AZ$4:$BF$60,MATCH('7'!$B30,'Unique Asset List'!$A$4:$A$60,0),MATCH('7'!$C$1,'Unique Asset List'!$AZ$3:$BF$3,0))</f>
        <v>0.16</v>
      </c>
      <c r="AH30" s="15">
        <f>INDEX('Unique Asset List'!$BG$4:$BM$60,MATCH('7'!$B30,'Unique Asset List'!$A$4:$A$60,0),MATCH('7'!$C$1,'Unique Asset List'!$BG$3:$BM$3,0))</f>
        <v>0.34</v>
      </c>
      <c r="AI30" s="11">
        <v>0.7</v>
      </c>
      <c r="AJ30" s="15">
        <f>INDEX('Unique Asset List'!$AL$4:$AR$60,MATCH('7'!$B30,'Unique Asset List'!$A$4:$A$60,0),MATCH('7'!$C$1,'Unique Asset List'!$AL$3:$AR$3,0))</f>
        <v>0.14000000000000001</v>
      </c>
      <c r="AK30" s="15">
        <f>INDEX('Unique Asset List'!$AS$4:$AY$60,MATCH('7'!$B30,'Unique Asset List'!$A$4:$A$60,0),MATCH('7'!$C$1,'Unique Asset List'!$AS$3:$AY$3,0))</f>
        <v>0.15</v>
      </c>
      <c r="AL30" s="9">
        <v>169</v>
      </c>
      <c r="AM30" s="14">
        <f>INDEX(Simulation!$B$6:$H$6,MATCH($A30,Simulation!$B$1:$H$1,0))*(1+AN30)^((DATE(X30,Y30,15)-DATE(2017,1,15))/365.5)</f>
        <v>0.75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0"/>
      <c r="AU30" s="4">
        <f>IF($C$5="ON",BU30,MyRating(_E1,$B30,Efficacy!$F$1))</f>
        <v>4</v>
      </c>
      <c r="AV30" s="3">
        <f>IF($C$5="ON",BV30,MyRating(_E2,$B30,Efficacy!$F$1))</f>
        <v>5</v>
      </c>
      <c r="AW30" s="3">
        <f>IF($C$5="ON",BW30,MyRating(_E3,$B30,Efficacy!$F$1))</f>
        <v>5</v>
      </c>
      <c r="AX30" s="3">
        <f>IF($C$5="ON",BX30,MyRating(_E4,$B30,Efficacy!$F$1))</f>
        <v>4</v>
      </c>
      <c r="AY30" s="3">
        <f>IF($C$5="ON",BY30,MyRating(_E5,$B30,Efficacy!$F$1))</f>
        <v>4</v>
      </c>
      <c r="AZ30" s="3">
        <f>IF($C$5="ON",BZ30,MyRating(_E6,$B30,Efficacy!$F$1))</f>
        <v>3</v>
      </c>
      <c r="BA30" s="3">
        <f>IF($C$5="ON",CA30,MyRating(_E7,$B30,Efficacy!$F$1))</f>
        <v>3</v>
      </c>
      <c r="BB30" s="3">
        <f>IF($C$5="ON",CB30,MyRating(_E8,$B30,Efficacy!$F$1))</f>
        <v>4</v>
      </c>
      <c r="BC30" s="3">
        <f>IF($C$5="ON",CC30,MyRating(_S1,$B30,Efficacy!$F$1))</f>
        <v>5</v>
      </c>
      <c r="BD30" s="3">
        <f>IF($C$5="ON",CD30,MyRating(_S2,$B30,Efficacy!$F$1))</f>
        <v>3</v>
      </c>
      <c r="BE30" s="3">
        <f>IF($C$5="ON",CE30,MyRating(_S3,$B30,Efficacy!$F$1))</f>
        <v>3</v>
      </c>
      <c r="BF30" s="3">
        <f>IF($C$5="ON",CF30,MyRating(_S4,$B30,Efficacy!$F$1))</f>
        <v>4</v>
      </c>
      <c r="BG30" s="3">
        <f>IF($C$5="ON",CG30,MyRating(_S5,$B30,Efficacy!$F$1))</f>
        <v>5</v>
      </c>
      <c r="BH30" s="3">
        <f>IF($C$5="ON",CH30,MyRating(_S6,$B30,Efficacy!$F$1))</f>
        <v>3</v>
      </c>
      <c r="BI30" s="3">
        <f>IF($C$5="ON",CI30,MyRating(_S7,$B30,Efficacy!$F$1))</f>
        <v>3</v>
      </c>
      <c r="BJ30" s="3">
        <f>IF($C$5="ON",CJ30,MyRating(_D1,$B30,Efficacy!$F$1))</f>
        <v>3</v>
      </c>
      <c r="BK30" s="3">
        <f>IF($C$5="ON",CK30,MyRating(_D2,$B30,Efficacy!$F$1))</f>
        <v>3</v>
      </c>
      <c r="BL30" s="3">
        <f>IF($C$5="ON",CL30,MyRating(_D3,$B30,Efficacy!$F$1))</f>
        <v>3</v>
      </c>
      <c r="BM30" s="3">
        <f>IF($C$5="ON",CM30,MyRating(_D4,$B30,Efficacy!$F$1))</f>
        <v>3</v>
      </c>
      <c r="BN30" s="3">
        <f>IF($C$5="ON",CN30,MyRating(_B1G5,$B30,Barrier!$L$2))</f>
        <v>2</v>
      </c>
      <c r="BO30" s="3">
        <f>IF($C$5="ON",CO30,MyRating(_B2,$B30,Barrier!$F$2))</f>
        <v>3</v>
      </c>
      <c r="BP30" s="6">
        <f>IF($C$5="ON",CP30,MyRating(_B3,$B30,Barrier!$F$2))</f>
        <v>3</v>
      </c>
      <c r="BQ30" s="5">
        <f t="shared" si="6"/>
        <v>3.6275844714639842E-2</v>
      </c>
      <c r="BR30" s="8">
        <f t="shared" si="7"/>
        <v>2.9499999999999997</v>
      </c>
      <c r="BS30" s="5">
        <f t="shared" si="8"/>
        <v>3.60415394013439E-2</v>
      </c>
      <c r="BT30" s="7">
        <f t="shared" si="9"/>
        <v>1.8542316878791175E-2</v>
      </c>
      <c r="BU30" s="4">
        <v>4</v>
      </c>
      <c r="BV30" s="3">
        <v>5</v>
      </c>
      <c r="BW30" s="3">
        <v>5</v>
      </c>
      <c r="BX30" s="3">
        <v>4</v>
      </c>
      <c r="BY30" s="3">
        <v>4</v>
      </c>
      <c r="BZ30" s="3">
        <v>3</v>
      </c>
      <c r="CA30" s="3">
        <v>3</v>
      </c>
      <c r="CB30" s="3">
        <v>4</v>
      </c>
      <c r="CC30" s="3">
        <v>5</v>
      </c>
      <c r="CD30" s="3">
        <v>3</v>
      </c>
      <c r="CE30" s="3">
        <v>3</v>
      </c>
      <c r="CF30" s="3">
        <v>4</v>
      </c>
      <c r="CG30" s="3">
        <v>5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3</v>
      </c>
      <c r="CN30" s="3">
        <v>2</v>
      </c>
      <c r="CO30" s="3">
        <v>3</v>
      </c>
      <c r="CP30" s="6">
        <v>3</v>
      </c>
      <c r="CQ30" s="5">
        <v>3.6275844714639842E-2</v>
      </c>
      <c r="CR30" s="61"/>
    </row>
    <row r="31" spans="1:96" x14ac:dyDescent="0.35">
      <c r="A31" s="9" t="str">
        <f t="shared" si="0"/>
        <v>JP</v>
      </c>
      <c r="B31" s="9" t="s">
        <v>66</v>
      </c>
      <c r="C31" s="20" t="s">
        <v>3</v>
      </c>
      <c r="D31" s="9" t="s">
        <v>2</v>
      </c>
      <c r="E31" s="9" t="s">
        <v>193</v>
      </c>
      <c r="F31" s="9" t="s">
        <v>1</v>
      </c>
      <c r="G31" s="19">
        <v>0</v>
      </c>
      <c r="H31" s="9">
        <v>2014</v>
      </c>
      <c r="I31" s="9">
        <v>6</v>
      </c>
      <c r="J31" s="18">
        <f>INDEX(PTRS!$D$6:$D$12,MATCH('7'!$F31,PTRS!$B$6:$B$12,0))</f>
        <v>0.1044225</v>
      </c>
      <c r="K31" s="17">
        <v>0</v>
      </c>
      <c r="L31" s="17">
        <v>0.1044225</v>
      </c>
      <c r="M31" s="17">
        <v>0.1044225</v>
      </c>
      <c r="N31" s="17">
        <v>0.1044225</v>
      </c>
      <c r="O31" s="17">
        <v>0.1044225</v>
      </c>
      <c r="P31" s="17">
        <v>0.1044225</v>
      </c>
      <c r="Q31" s="17">
        <v>1</v>
      </c>
      <c r="R31" s="17">
        <v>1</v>
      </c>
      <c r="S31" s="17">
        <v>1</v>
      </c>
      <c r="T31" s="17"/>
      <c r="U31" s="17">
        <f t="shared" si="1"/>
        <v>0.72649652910676854</v>
      </c>
      <c r="V31" s="17">
        <v>1</v>
      </c>
      <c r="W31" s="9" t="s">
        <v>62</v>
      </c>
      <c r="X31" s="9">
        <f>INDEX('Unique Asset List'!$C$4:$I$60,MATCH('7'!$B31,'Unique Asset List'!$A$4:$A$60,0),MATCH('7'!$C$1,'Unique Asset List'!$C$3:$I$3,0))</f>
        <v>2029</v>
      </c>
      <c r="Y31" s="9">
        <f>INDEX('Unique Asset List'!$J$4:$P$60,MATCH('7'!$B31,'Unique Asset List'!$A$4:$A$60,0),MATCH('7'!$C$1,'Unique Asset List'!$J$3:$P$3,0))</f>
        <v>3</v>
      </c>
      <c r="Z31" s="9">
        <f>INDEX('Unique Asset List'!$X$4:$AD$60,MATCH('7'!$B31,'Unique Asset List'!$A$4:$A$60,0),MATCH('7'!$C$1,'Unique Asset List'!$X$3:$AD$3,0))</f>
        <v>2037</v>
      </c>
      <c r="AA31" s="9">
        <f>INDEX('Unique Asset List'!$AE$4:$AK$60,MATCH('7'!$B31,'Unique Asset List'!$A$4:$A$60,0),MATCH('7'!$C$1,'Unique Asset List'!$AE$3:$AK$3,0))</f>
        <v>3</v>
      </c>
      <c r="AB31" s="16">
        <f t="shared" si="2"/>
        <v>2.3276916000000001</v>
      </c>
      <c r="AC31" s="16">
        <f t="shared" si="3"/>
        <v>1.0028454</v>
      </c>
      <c r="AD31" s="16">
        <f t="shared" si="4"/>
        <v>0.56099999999999994</v>
      </c>
      <c r="AE31" s="15">
        <f>INDEX('Unique Asset List'!$BN$4:$BT$60,MATCH('7'!$B31,'Unique Asset List'!$A$4:$A$60,0),MATCH('7'!$C$1,'Unique Asset List'!$BN$3:$BT$3,0))</f>
        <v>0.16</v>
      </c>
      <c r="AF31" s="15">
        <f>INDEX('Unique Asset List'!$BU$4:$CA$60,MATCH('7'!$B31,'Unique Asset List'!$A$4:$A$60,0),MATCH('7'!$C$1,'Unique Asset List'!$BU$3:$CA$3,0))</f>
        <v>0.34</v>
      </c>
      <c r="AG31" s="15">
        <f>INDEX('Unique Asset List'!$AZ$4:$BF$60,MATCH('7'!$B31,'Unique Asset List'!$A$4:$A$60,0),MATCH('7'!$C$1,'Unique Asset List'!$AZ$3:$BF$3,0))</f>
        <v>0.16</v>
      </c>
      <c r="AH31" s="15">
        <f>INDEX('Unique Asset List'!$BG$4:$BM$60,MATCH('7'!$B31,'Unique Asset List'!$A$4:$A$60,0),MATCH('7'!$C$1,'Unique Asset List'!$BG$3:$BM$3,0))</f>
        <v>0.34</v>
      </c>
      <c r="AI31" s="11">
        <v>0.7</v>
      </c>
      <c r="AJ31" s="15">
        <f>INDEX('Unique Asset List'!$AL$4:$AR$60,MATCH('7'!$B31,'Unique Asset List'!$A$4:$A$60,0),MATCH('7'!$C$1,'Unique Asset List'!$AL$3:$AR$3,0))</f>
        <v>0.14000000000000001</v>
      </c>
      <c r="AK31" s="15">
        <f>INDEX('Unique Asset List'!$AS$4:$AY$60,MATCH('7'!$B31,'Unique Asset List'!$A$4:$A$60,0),MATCH('7'!$C$1,'Unique Asset List'!$AS$3:$AY$3,0))</f>
        <v>0.15</v>
      </c>
      <c r="AL31" s="9">
        <v>169</v>
      </c>
      <c r="AM31" s="14">
        <f>INDEX(Simulation!$B$6:$H$6,MATCH($A31,Simulation!$B$1:$H$1,0))*(1+AN31)^((DATE(X31,Y31,15)-DATE(2017,1,15))/365.5)</f>
        <v>0.75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0"/>
      <c r="AU31" s="4">
        <f>IF($C$5="ON",BU31,MyRating(_E1,$B31,Efficacy!$F$1))</f>
        <v>4</v>
      </c>
      <c r="AV31" s="3">
        <f>IF($C$5="ON",BV31,MyRating(_E2,$B31,Efficacy!$F$1))</f>
        <v>5</v>
      </c>
      <c r="AW31" s="3">
        <f>IF($C$5="ON",BW31,MyRating(_E3,$B31,Efficacy!$F$1))</f>
        <v>5</v>
      </c>
      <c r="AX31" s="3">
        <f>IF($C$5="ON",BX31,MyRating(_E4,$B31,Efficacy!$F$1))</f>
        <v>4</v>
      </c>
      <c r="AY31" s="3">
        <f>IF($C$5="ON",BY31,MyRating(_E5,$B31,Efficacy!$F$1))</f>
        <v>4</v>
      </c>
      <c r="AZ31" s="3">
        <f>IF($C$5="ON",BZ31,MyRating(_E6,$B31,Efficacy!$F$1))</f>
        <v>3</v>
      </c>
      <c r="BA31" s="3">
        <f>IF($C$5="ON",CA31,MyRating(_E7,$B31,Efficacy!$F$1))</f>
        <v>3</v>
      </c>
      <c r="BB31" s="3">
        <f>IF($C$5="ON",CB31,MyRating(_E8,$B31,Efficacy!$F$1))</f>
        <v>4</v>
      </c>
      <c r="BC31" s="3">
        <f>IF($C$5="ON",CC31,MyRating(_S1,$B31,Efficacy!$F$1))</f>
        <v>5</v>
      </c>
      <c r="BD31" s="3">
        <f>IF($C$5="ON",CD31,MyRating(_S2,$B31,Efficacy!$F$1))</f>
        <v>3</v>
      </c>
      <c r="BE31" s="3">
        <f>IF($C$5="ON",CE31,MyRating(_S3,$B31,Efficacy!$F$1))</f>
        <v>3</v>
      </c>
      <c r="BF31" s="3">
        <f>IF($C$5="ON",CF31,MyRating(_S4,$B31,Efficacy!$F$1))</f>
        <v>4</v>
      </c>
      <c r="BG31" s="3">
        <f>IF($C$5="ON",CG31,MyRating(_S5,$B31,Efficacy!$F$1))</f>
        <v>5</v>
      </c>
      <c r="BH31" s="3">
        <f>IF($C$5="ON",CH31,MyRating(_S6,$B31,Efficacy!$F$1))</f>
        <v>3</v>
      </c>
      <c r="BI31" s="3">
        <f>IF($C$5="ON",CI31,MyRating(_S7,$B31,Efficacy!$F$1))</f>
        <v>3</v>
      </c>
      <c r="BJ31" s="3">
        <f>IF($C$5="ON",CJ31,MyRating(_D1,$B31,Efficacy!$F$1))</f>
        <v>3</v>
      </c>
      <c r="BK31" s="3">
        <f>IF($C$5="ON",CK31,MyRating(_D2,$B31,Efficacy!$F$1))</f>
        <v>3</v>
      </c>
      <c r="BL31" s="3">
        <f>IF($C$5="ON",CL31,MyRating(_D3,$B31,Efficacy!$F$1))</f>
        <v>3</v>
      </c>
      <c r="BM31" s="3">
        <f>IF($C$5="ON",CM31,MyRating(_D4,$B31,Efficacy!$F$1))</f>
        <v>3</v>
      </c>
      <c r="BN31" s="3">
        <f>IF($C$5="ON",CN31,MyRating(_B1G5,$B31,Barrier!$L$2))</f>
        <v>2</v>
      </c>
      <c r="BO31" s="3">
        <f>IF($C$5="ON",CO31,MyRating(_B2,$B31,Barrier!$F$2))</f>
        <v>3</v>
      </c>
      <c r="BP31" s="6">
        <f>IF($C$5="ON",CP31,MyRating(_B3,$B31,Barrier!$F$2))</f>
        <v>3</v>
      </c>
      <c r="BQ31" s="5">
        <f t="shared" si="6"/>
        <v>3.6275844714639842E-2</v>
      </c>
      <c r="BR31" s="8">
        <f t="shared" si="7"/>
        <v>2.9499999999999997</v>
      </c>
      <c r="BS31" s="5">
        <f t="shared" si="8"/>
        <v>3.60415394013439E-2</v>
      </c>
      <c r="BT31" s="7">
        <f t="shared" si="9"/>
        <v>1.8542316878791175E-2</v>
      </c>
      <c r="BU31" s="4">
        <v>4</v>
      </c>
      <c r="BV31" s="3">
        <v>5</v>
      </c>
      <c r="BW31" s="3">
        <v>5</v>
      </c>
      <c r="BX31" s="3">
        <v>4</v>
      </c>
      <c r="BY31" s="3">
        <v>4</v>
      </c>
      <c r="BZ31" s="3">
        <v>3</v>
      </c>
      <c r="CA31" s="3">
        <v>3</v>
      </c>
      <c r="CB31" s="3">
        <v>4</v>
      </c>
      <c r="CC31" s="3">
        <v>5</v>
      </c>
      <c r="CD31" s="3">
        <v>3</v>
      </c>
      <c r="CE31" s="3">
        <v>3</v>
      </c>
      <c r="CF31" s="3">
        <v>4</v>
      </c>
      <c r="CG31" s="3">
        <v>5</v>
      </c>
      <c r="CH31" s="3">
        <v>3</v>
      </c>
      <c r="CI31" s="3">
        <v>3</v>
      </c>
      <c r="CJ31" s="3">
        <v>3</v>
      </c>
      <c r="CK31" s="3">
        <v>3</v>
      </c>
      <c r="CL31" s="3">
        <v>3</v>
      </c>
      <c r="CM31" s="3">
        <v>3</v>
      </c>
      <c r="CN31" s="3">
        <v>2</v>
      </c>
      <c r="CO31" s="3">
        <v>3</v>
      </c>
      <c r="CP31" s="6">
        <v>3</v>
      </c>
      <c r="CQ31" s="5">
        <v>3.6275844714639842E-2</v>
      </c>
      <c r="CR31" s="61"/>
    </row>
    <row r="32" spans="1:96" x14ac:dyDescent="0.35">
      <c r="A32" s="9" t="str">
        <f t="shared" si="0"/>
        <v>JP</v>
      </c>
      <c r="B32" s="9" t="s">
        <v>57</v>
      </c>
      <c r="C32" s="20" t="s">
        <v>3</v>
      </c>
      <c r="D32" s="9" t="s">
        <v>2</v>
      </c>
      <c r="E32" s="9" t="s">
        <v>193</v>
      </c>
      <c r="F32" s="9" t="s">
        <v>1</v>
      </c>
      <c r="G32" s="19">
        <v>0</v>
      </c>
      <c r="H32" s="9">
        <v>2014</v>
      </c>
      <c r="I32" s="9">
        <v>6</v>
      </c>
      <c r="J32" s="18">
        <f>INDEX(PTRS!$D$6:$D$12,MATCH('7'!$F32,PTRS!$B$6:$B$12,0))</f>
        <v>0.1044225</v>
      </c>
      <c r="K32" s="17">
        <v>0</v>
      </c>
      <c r="L32" s="17">
        <v>0.1044225</v>
      </c>
      <c r="M32" s="17">
        <v>0.1044225</v>
      </c>
      <c r="N32" s="17">
        <v>0.1044225</v>
      </c>
      <c r="O32" s="17">
        <v>0.1044225</v>
      </c>
      <c r="P32" s="17">
        <v>0.1044225</v>
      </c>
      <c r="Q32" s="17">
        <v>1</v>
      </c>
      <c r="R32" s="17">
        <v>1</v>
      </c>
      <c r="S32" s="17">
        <v>1</v>
      </c>
      <c r="T32" s="17"/>
      <c r="U32" s="17">
        <f t="shared" si="1"/>
        <v>0.72649652910676854</v>
      </c>
      <c r="V32" s="17">
        <v>1</v>
      </c>
      <c r="W32" s="9" t="s">
        <v>57</v>
      </c>
      <c r="X32" s="9">
        <f>INDEX('Unique Asset List'!$C$4:$I$60,MATCH('7'!$B32,'Unique Asset List'!$A$4:$A$60,0),MATCH('7'!$C$1,'Unique Asset List'!$C$3:$I$3,0))</f>
        <v>2029</v>
      </c>
      <c r="Y32" s="9">
        <f>INDEX('Unique Asset List'!$J$4:$P$60,MATCH('7'!$B32,'Unique Asset List'!$A$4:$A$60,0),MATCH('7'!$C$1,'Unique Asset List'!$J$3:$P$3,0))</f>
        <v>9</v>
      </c>
      <c r="Z32" s="9">
        <f>INDEX('Unique Asset List'!$X$4:$AD$60,MATCH('7'!$B32,'Unique Asset List'!$A$4:$A$60,0),MATCH('7'!$C$1,'Unique Asset List'!$X$3:$AD$3,0))</f>
        <v>2037</v>
      </c>
      <c r="AA32" s="9">
        <f>INDEX('Unique Asset List'!$AE$4:$AK$60,MATCH('7'!$B32,'Unique Asset List'!$A$4:$A$60,0),MATCH('7'!$C$1,'Unique Asset List'!$AE$3:$AK$3,0))</f>
        <v>9</v>
      </c>
      <c r="AB32" s="16">
        <f t="shared" si="2"/>
        <v>2.3276916000000001</v>
      </c>
      <c r="AC32" s="16">
        <f t="shared" si="3"/>
        <v>1.0028454</v>
      </c>
      <c r="AD32" s="16">
        <f t="shared" si="4"/>
        <v>0.56099999999999994</v>
      </c>
      <c r="AE32" s="15">
        <f>INDEX('Unique Asset List'!$BN$4:$BT$60,MATCH('7'!$B32,'Unique Asset List'!$A$4:$A$60,0),MATCH('7'!$C$1,'Unique Asset List'!$BN$3:$BT$3,0))</f>
        <v>0.23</v>
      </c>
      <c r="AF32" s="15">
        <f>INDEX('Unique Asset List'!$BU$4:$CA$60,MATCH('7'!$B32,'Unique Asset List'!$A$4:$A$60,0),MATCH('7'!$C$1,'Unique Asset List'!$BU$3:$CA$3,0))</f>
        <v>0.27</v>
      </c>
      <c r="AG32" s="15">
        <f>INDEX('Unique Asset List'!$AZ$4:$BF$60,MATCH('7'!$B32,'Unique Asset List'!$A$4:$A$60,0),MATCH('7'!$C$1,'Unique Asset List'!$AZ$3:$BF$3,0))</f>
        <v>0.23</v>
      </c>
      <c r="AH32" s="15">
        <f>INDEX('Unique Asset List'!$BG$4:$BM$60,MATCH('7'!$B32,'Unique Asset List'!$A$4:$A$60,0),MATCH('7'!$C$1,'Unique Asset List'!$BG$3:$BM$3,0))</f>
        <v>0.27</v>
      </c>
      <c r="AI32" s="11">
        <v>0.7</v>
      </c>
      <c r="AJ32" s="15">
        <f>INDEX('Unique Asset List'!$AL$4:$AR$60,MATCH('7'!$B32,'Unique Asset List'!$A$4:$A$60,0),MATCH('7'!$C$1,'Unique Asset List'!$AL$3:$AR$3,0))</f>
        <v>0.14000000000000001</v>
      </c>
      <c r="AK32" s="15">
        <f>INDEX('Unique Asset List'!$AS$4:$AY$60,MATCH('7'!$B32,'Unique Asset List'!$A$4:$A$60,0),MATCH('7'!$C$1,'Unique Asset List'!$AS$3:$AY$3,0))</f>
        <v>0.15</v>
      </c>
      <c r="AL32" s="9">
        <v>169</v>
      </c>
      <c r="AM32" s="14">
        <f>INDEX(Simulation!$B$6:$H$6,MATCH($A32,Simulation!$B$1:$H$1,0))*(1+AN32)^((DATE(X32,Y32,15)-DATE(2017,1,15))/365.5)</f>
        <v>0.75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0"/>
      <c r="AU32" s="4">
        <f>IF($C$5="ON",BU32,MyRating(_E1,$B32,Efficacy!$F$1))</f>
        <v>4</v>
      </c>
      <c r="AV32" s="3">
        <f>IF($C$5="ON",BV32,MyRating(_E2,$B32,Efficacy!$F$1))</f>
        <v>5</v>
      </c>
      <c r="AW32" s="3">
        <f>IF($C$5="ON",BW32,MyRating(_E3,$B32,Efficacy!$F$1))</f>
        <v>5</v>
      </c>
      <c r="AX32" s="3">
        <f>IF($C$5="ON",BX32,MyRating(_E4,$B32,Efficacy!$F$1))</f>
        <v>4</v>
      </c>
      <c r="AY32" s="3">
        <f>IF($C$5="ON",BY32,MyRating(_E5,$B32,Efficacy!$F$1))</f>
        <v>4</v>
      </c>
      <c r="AZ32" s="3">
        <f>IF($C$5="ON",BZ32,MyRating(_E6,$B32,Efficacy!$F$1))</f>
        <v>3</v>
      </c>
      <c r="BA32" s="3">
        <f>IF($C$5="ON",CA32,MyRating(_E7,$B32,Efficacy!$F$1))</f>
        <v>3</v>
      </c>
      <c r="BB32" s="3">
        <f>IF($C$5="ON",CB32,MyRating(_E8,$B32,Efficacy!$F$1))</f>
        <v>4</v>
      </c>
      <c r="BC32" s="3">
        <f>IF($C$5="ON",CC32,MyRating(_S1,$B32,Efficacy!$F$1))</f>
        <v>5</v>
      </c>
      <c r="BD32" s="3">
        <f>IF($C$5="ON",CD32,MyRating(_S2,$B32,Efficacy!$F$1))</f>
        <v>3</v>
      </c>
      <c r="BE32" s="3">
        <f>IF($C$5="ON",CE32,MyRating(_S3,$B32,Efficacy!$F$1))</f>
        <v>3</v>
      </c>
      <c r="BF32" s="3">
        <f>IF($C$5="ON",CF32,MyRating(_S4,$B32,Efficacy!$F$1))</f>
        <v>4</v>
      </c>
      <c r="BG32" s="3">
        <f>IF($C$5="ON",CG32,MyRating(_S5,$B32,Efficacy!$F$1))</f>
        <v>5</v>
      </c>
      <c r="BH32" s="3">
        <f>IF($C$5="ON",CH32,MyRating(_S6,$B32,Efficacy!$F$1))</f>
        <v>3</v>
      </c>
      <c r="BI32" s="3">
        <f>IF($C$5="ON",CI32,MyRating(_S7,$B32,Efficacy!$F$1))</f>
        <v>3</v>
      </c>
      <c r="BJ32" s="3">
        <f>IF($C$5="ON",CJ32,MyRating(_D1,$B32,Efficacy!$F$1))</f>
        <v>3</v>
      </c>
      <c r="BK32" s="3">
        <f>IF($C$5="ON",CK32,MyRating(_D2,$B32,Efficacy!$F$1))</f>
        <v>3</v>
      </c>
      <c r="BL32" s="3">
        <f>IF($C$5="ON",CL32,MyRating(_D3,$B32,Efficacy!$F$1))</f>
        <v>3</v>
      </c>
      <c r="BM32" s="3">
        <f>IF($C$5="ON",CM32,MyRating(_D4,$B32,Efficacy!$F$1))</f>
        <v>3</v>
      </c>
      <c r="BN32" s="3">
        <f>IF($C$5="ON",CN32,MyRating(_B1G5,$B32,Barrier!$L$2))</f>
        <v>2</v>
      </c>
      <c r="BO32" s="3">
        <f>IF($C$5="ON",CO32,MyRating(_B2,$B32,Barrier!$F$2))</f>
        <v>3</v>
      </c>
      <c r="BP32" s="6">
        <f>IF($C$5="ON",CP32,MyRating(_B3,$B32,Barrier!$F$2))</f>
        <v>3</v>
      </c>
      <c r="BQ32" s="5">
        <f t="shared" si="6"/>
        <v>3.6275844714639842E-2</v>
      </c>
      <c r="BR32" s="8">
        <f t="shared" si="7"/>
        <v>2.9499999999999997</v>
      </c>
      <c r="BS32" s="5">
        <f t="shared" si="8"/>
        <v>3.60415394013439E-2</v>
      </c>
      <c r="BT32" s="7">
        <f t="shared" si="9"/>
        <v>1.8542316878791175E-2</v>
      </c>
      <c r="BU32" s="4">
        <v>4</v>
      </c>
      <c r="BV32" s="3">
        <v>5</v>
      </c>
      <c r="BW32" s="3">
        <v>5</v>
      </c>
      <c r="BX32" s="3">
        <v>4</v>
      </c>
      <c r="BY32" s="3">
        <v>4</v>
      </c>
      <c r="BZ32" s="3">
        <v>3</v>
      </c>
      <c r="CA32" s="3">
        <v>3</v>
      </c>
      <c r="CB32" s="3">
        <v>4</v>
      </c>
      <c r="CC32" s="3">
        <v>5</v>
      </c>
      <c r="CD32" s="3">
        <v>3</v>
      </c>
      <c r="CE32" s="3">
        <v>3</v>
      </c>
      <c r="CF32" s="3">
        <v>4</v>
      </c>
      <c r="CG32" s="3">
        <v>5</v>
      </c>
      <c r="CH32" s="3">
        <v>3</v>
      </c>
      <c r="CI32" s="3">
        <v>3</v>
      </c>
      <c r="CJ32" s="3">
        <v>3</v>
      </c>
      <c r="CK32" s="3">
        <v>3</v>
      </c>
      <c r="CL32" s="3">
        <v>3</v>
      </c>
      <c r="CM32" s="3">
        <v>3</v>
      </c>
      <c r="CN32" s="3">
        <v>2</v>
      </c>
      <c r="CO32" s="3">
        <v>3</v>
      </c>
      <c r="CP32" s="6">
        <v>3</v>
      </c>
      <c r="CQ32" s="5">
        <v>3.6275844714639842E-2</v>
      </c>
      <c r="CR32" s="61"/>
    </row>
    <row r="33" spans="1:96" x14ac:dyDescent="0.35">
      <c r="A33" s="9" t="str">
        <f t="shared" si="0"/>
        <v>JP</v>
      </c>
      <c r="B33" s="9" t="s">
        <v>28</v>
      </c>
      <c r="C33" s="20"/>
      <c r="D33" s="9" t="s">
        <v>2</v>
      </c>
      <c r="E33" s="9" t="s">
        <v>193</v>
      </c>
      <c r="F33" s="9" t="s">
        <v>58</v>
      </c>
      <c r="G33" s="19">
        <v>0</v>
      </c>
      <c r="H33" s="9">
        <v>2014</v>
      </c>
      <c r="I33" s="9">
        <v>6</v>
      </c>
      <c r="J33" s="18">
        <f>INDEX(PTRS!$D$6:$D$12,MATCH('7'!$F33,PTRS!$B$6:$B$12,0))</f>
        <v>0.13923000000000002</v>
      </c>
      <c r="K33" s="17">
        <v>0</v>
      </c>
      <c r="L33" s="17">
        <v>0.1044225</v>
      </c>
      <c r="M33" s="17">
        <v>0.13923000000000002</v>
      </c>
      <c r="N33" s="17">
        <v>0.1</v>
      </c>
      <c r="O33" s="17">
        <v>0.1</v>
      </c>
      <c r="P33" s="17">
        <v>0.1044225</v>
      </c>
      <c r="Q33" s="17">
        <v>0.1044225</v>
      </c>
      <c r="R33" s="17">
        <v>0.1044225</v>
      </c>
      <c r="S33" s="17">
        <v>1</v>
      </c>
      <c r="T33" s="17"/>
      <c r="U33" s="17">
        <f t="shared" si="1"/>
        <v>0.72649652910676854</v>
      </c>
      <c r="V33" s="17">
        <v>1</v>
      </c>
      <c r="W33" s="9" t="s">
        <v>27</v>
      </c>
      <c r="X33" s="9">
        <f>INDEX('Unique Asset List'!$C$4:$I$60,MATCH('7'!$B33,'Unique Asset List'!$A$4:$A$60,0),MATCH('7'!$C$1,'Unique Asset List'!$C$3:$I$3,0))</f>
        <v>2031</v>
      </c>
      <c r="Y33" s="9">
        <f>INDEX('Unique Asset List'!$J$4:$P$60,MATCH('7'!$B33,'Unique Asset List'!$A$4:$A$60,0),MATCH('7'!$C$1,'Unique Asset List'!$J$3:$P$3,0))</f>
        <v>12</v>
      </c>
      <c r="Z33" s="9">
        <f>INDEX('Unique Asset List'!$X$4:$AD$60,MATCH('7'!$B33,'Unique Asset List'!$A$4:$A$60,0),MATCH('7'!$C$1,'Unique Asset List'!$X$3:$AD$3,0))</f>
        <v>2039</v>
      </c>
      <c r="AA33" s="9">
        <f>INDEX('Unique Asset List'!$AE$4:$AK$60,MATCH('7'!$B33,'Unique Asset List'!$A$4:$A$60,0),MATCH('7'!$C$1,'Unique Asset List'!$AE$3:$AK$3,0))</f>
        <v>12</v>
      </c>
      <c r="AB33" s="16">
        <f t="shared" si="2"/>
        <v>2.0289886000000004</v>
      </c>
      <c r="AC33" s="16">
        <f t="shared" si="3"/>
        <v>0.85031269999999992</v>
      </c>
      <c r="AD33" s="16">
        <f t="shared" si="4"/>
        <v>0.56099999999999994</v>
      </c>
      <c r="AE33" s="15">
        <f>INDEX('Unique Asset List'!$BN$4:$BT$60,MATCH('7'!$B33,'Unique Asset List'!$A$4:$A$60,0),MATCH('7'!$C$1,'Unique Asset List'!$BN$3:$BT$3,0))</f>
        <v>0.16</v>
      </c>
      <c r="AF33" s="15">
        <f>INDEX('Unique Asset List'!$BU$4:$CA$60,MATCH('7'!$B33,'Unique Asset List'!$A$4:$A$60,0),MATCH('7'!$C$1,'Unique Asset List'!$BU$3:$CA$3,0))</f>
        <v>0.34</v>
      </c>
      <c r="AG33" s="15">
        <f>INDEX('Unique Asset List'!$AZ$4:$BF$60,MATCH('7'!$B33,'Unique Asset List'!$A$4:$A$60,0),MATCH('7'!$C$1,'Unique Asset List'!$AZ$3:$BF$3,0))</f>
        <v>0.16</v>
      </c>
      <c r="AH33" s="15">
        <f>INDEX('Unique Asset List'!$BG$4:$BM$60,MATCH('7'!$B33,'Unique Asset List'!$A$4:$A$60,0),MATCH('7'!$C$1,'Unique Asset List'!$BG$3:$BM$3,0))</f>
        <v>0.34</v>
      </c>
      <c r="AI33" s="11">
        <v>0.7</v>
      </c>
      <c r="AJ33" s="15">
        <f>INDEX('Unique Asset List'!$AL$4:$AR$60,MATCH('7'!$B33,'Unique Asset List'!$A$4:$A$60,0),MATCH('7'!$C$1,'Unique Asset List'!$AL$3:$AR$3,0))</f>
        <v>0.14000000000000001</v>
      </c>
      <c r="AK33" s="15">
        <f>INDEX('Unique Asset List'!$AS$4:$AY$60,MATCH('7'!$B33,'Unique Asset List'!$A$4:$A$60,0),MATCH('7'!$C$1,'Unique Asset List'!$AS$3:$AY$3,0))</f>
        <v>0.15</v>
      </c>
      <c r="AL33" s="9">
        <v>169</v>
      </c>
      <c r="AM33" s="14">
        <f>INDEX(Simulation!$B$6:$H$6,MATCH($A33,Simulation!$B$1:$H$1,0))*(1+AN33)^((DATE(X33,Y33,15)-DATE(2017,1,15))/365.5)</f>
        <v>0.75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5"/>
        <v>0.82</v>
      </c>
      <c r="AS33" s="10">
        <v>1</v>
      </c>
      <c r="AT33" s="10"/>
      <c r="AU33" s="4">
        <f>IF($C$5="ON",BU33,MyRating(_E1,$B33,Efficacy!$F$1))</f>
        <v>4</v>
      </c>
      <c r="AV33" s="3">
        <f>IF($C$5="ON",BV33,MyRating(_E2,$B33,Efficacy!$F$1))</f>
        <v>4</v>
      </c>
      <c r="AW33" s="3">
        <f>IF($C$5="ON",BW33,MyRating(_E3,$B33,Efficacy!$F$1))</f>
        <v>4</v>
      </c>
      <c r="AX33" s="3">
        <f>IF($C$5="ON",BX33,MyRating(_E4,$B33,Efficacy!$F$1))</f>
        <v>4</v>
      </c>
      <c r="AY33" s="3">
        <f>IF($C$5="ON",BY33,MyRating(_E5,$B33,Efficacy!$F$1))</f>
        <v>3</v>
      </c>
      <c r="AZ33" s="3">
        <f>IF($C$5="ON",BZ33,MyRating(_E6,$B33,Efficacy!$F$1))</f>
        <v>3</v>
      </c>
      <c r="BA33" s="3">
        <f>IF($C$5="ON",CA33,MyRating(_E7,$B33,Efficacy!$F$1))</f>
        <v>3</v>
      </c>
      <c r="BB33" s="3">
        <f>IF($C$5="ON",CB33,MyRating(_E8,$B33,Efficacy!$F$1))</f>
        <v>3</v>
      </c>
      <c r="BC33" s="3">
        <f>IF($C$5="ON",CC33,MyRating(_S1,$B33,Efficacy!$F$1))</f>
        <v>2</v>
      </c>
      <c r="BD33" s="3">
        <f>IF($C$5="ON",CD33,MyRating(_S2,$B33,Efficacy!$F$1))</f>
        <v>3</v>
      </c>
      <c r="BE33" s="3">
        <f>IF($C$5="ON",CE33,MyRating(_S3,$B33,Efficacy!$F$1))</f>
        <v>3</v>
      </c>
      <c r="BF33" s="3">
        <f>IF($C$5="ON",CF33,MyRating(_S4,$B33,Efficacy!$F$1))</f>
        <v>4</v>
      </c>
      <c r="BG33" s="3">
        <f>IF($C$5="ON",CG33,MyRating(_S5,$B33,Efficacy!$F$1))</f>
        <v>5</v>
      </c>
      <c r="BH33" s="3">
        <f>IF($C$5="ON",CH33,MyRating(_S6,$B33,Efficacy!$F$1))</f>
        <v>3</v>
      </c>
      <c r="BI33" s="3">
        <f>IF($C$5="ON",CI33,MyRating(_S7,$B33,Efficacy!$F$1))</f>
        <v>4</v>
      </c>
      <c r="BJ33" s="3">
        <f>IF($C$5="ON",CJ33,MyRating(_D1,$B33,Efficacy!$F$1))</f>
        <v>3</v>
      </c>
      <c r="BK33" s="3">
        <f>IF($C$5="ON",CK33,MyRating(_D2,$B33,Efficacy!$F$1))</f>
        <v>3</v>
      </c>
      <c r="BL33" s="3">
        <f>IF($C$5="ON",CL33,MyRating(_D3,$B33,Efficacy!$F$1))</f>
        <v>3</v>
      </c>
      <c r="BM33" s="3">
        <f>IF($C$5="ON",CM33,MyRating(_D4,$B33,Efficacy!$F$1))</f>
        <v>3</v>
      </c>
      <c r="BN33" s="3">
        <f>IF($C$5="ON",CN33,MyRating(_B1G5,$B33,Barrier!$L$2))</f>
        <v>2</v>
      </c>
      <c r="BO33" s="3">
        <f>IF($C$5="ON",CO33,MyRating(_B2,$B33,Barrier!$F$2))</f>
        <v>3</v>
      </c>
      <c r="BP33" s="6">
        <f>IF($C$5="ON",CP33,MyRating(_B3,$B33,Barrier!$F$2))</f>
        <v>3</v>
      </c>
      <c r="BQ33" s="5">
        <f t="shared" si="6"/>
        <v>3.6275844714639842E-2</v>
      </c>
      <c r="BR33" s="8">
        <f t="shared" si="7"/>
        <v>2.9499999999999997</v>
      </c>
      <c r="BS33" s="5">
        <f t="shared" si="8"/>
        <v>3.60415394013439E-2</v>
      </c>
      <c r="BT33" s="7">
        <f t="shared" si="9"/>
        <v>1.8542316878791175E-2</v>
      </c>
      <c r="BU33" s="4">
        <v>4</v>
      </c>
      <c r="BV33" s="3">
        <v>4</v>
      </c>
      <c r="BW33" s="3">
        <v>4</v>
      </c>
      <c r="BX33" s="3">
        <v>4</v>
      </c>
      <c r="BY33" s="3">
        <v>3</v>
      </c>
      <c r="BZ33" s="3">
        <v>3</v>
      </c>
      <c r="CA33" s="3">
        <v>3</v>
      </c>
      <c r="CB33" s="3">
        <v>3</v>
      </c>
      <c r="CC33" s="3">
        <v>2</v>
      </c>
      <c r="CD33" s="3">
        <v>3</v>
      </c>
      <c r="CE33" s="3">
        <v>3</v>
      </c>
      <c r="CF33" s="3">
        <v>4</v>
      </c>
      <c r="CG33" s="3">
        <v>5</v>
      </c>
      <c r="CH33" s="3">
        <v>3</v>
      </c>
      <c r="CI33" s="3">
        <v>4</v>
      </c>
      <c r="CJ33" s="3">
        <v>3</v>
      </c>
      <c r="CK33" s="3">
        <v>3</v>
      </c>
      <c r="CL33" s="3">
        <v>3</v>
      </c>
      <c r="CM33" s="3">
        <v>3</v>
      </c>
      <c r="CN33" s="3">
        <v>2</v>
      </c>
      <c r="CO33" s="3">
        <v>3</v>
      </c>
      <c r="CP33" s="6">
        <v>3</v>
      </c>
      <c r="CQ33" s="5">
        <v>3.6275844714639842E-2</v>
      </c>
      <c r="CR33" s="61"/>
    </row>
    <row r="34" spans="1:96" x14ac:dyDescent="0.35">
      <c r="A34" s="9" t="str">
        <f t="shared" si="0"/>
        <v>JP</v>
      </c>
      <c r="B34" s="9" t="s">
        <v>61</v>
      </c>
      <c r="C34" s="20"/>
      <c r="D34" s="9" t="s">
        <v>60</v>
      </c>
      <c r="E34" s="9" t="s">
        <v>59</v>
      </c>
      <c r="F34" s="9" t="s">
        <v>58</v>
      </c>
      <c r="G34" s="19">
        <v>0</v>
      </c>
      <c r="H34" s="9">
        <v>2014</v>
      </c>
      <c r="I34" s="9">
        <v>6</v>
      </c>
      <c r="J34" s="18">
        <f>INDEX(PTRS!$D$6:$D$12,MATCH('7'!$F34,PTRS!$B$6:$B$12,0))</f>
        <v>0.13923000000000002</v>
      </c>
      <c r="K34" s="17">
        <v>0</v>
      </c>
      <c r="L34" s="17">
        <v>0.1044225</v>
      </c>
      <c r="M34" s="17">
        <v>0.13923000000000002</v>
      </c>
      <c r="N34" s="17">
        <v>0.1044225</v>
      </c>
      <c r="O34" s="17">
        <v>0.1044225</v>
      </c>
      <c r="P34" s="17">
        <v>0.13923000000000002</v>
      </c>
      <c r="Q34" s="17">
        <v>0.1044225</v>
      </c>
      <c r="R34" s="17">
        <v>0.1044225</v>
      </c>
      <c r="S34" s="17">
        <v>1</v>
      </c>
      <c r="T34" s="17"/>
      <c r="U34" s="17">
        <f t="shared" si="1"/>
        <v>0.72649652910676854</v>
      </c>
      <c r="V34" s="17">
        <v>1</v>
      </c>
      <c r="W34" s="9" t="s">
        <v>57</v>
      </c>
      <c r="X34" s="9">
        <f>INDEX('Unique Asset List'!$C$4:$I$60,MATCH('7'!$B34,'Unique Asset List'!$A$4:$A$60,0),MATCH('7'!$C$1,'Unique Asset List'!$C$3:$I$3,0))</f>
        <v>2028</v>
      </c>
      <c r="Y34" s="9">
        <f>INDEX('Unique Asset List'!$J$4:$P$60,MATCH('7'!$B34,'Unique Asset List'!$A$4:$A$60,0),MATCH('7'!$C$1,'Unique Asset List'!$J$3:$P$3,0))</f>
        <v>6</v>
      </c>
      <c r="Z34" s="9">
        <f>INDEX('Unique Asset List'!$X$4:$AD$60,MATCH('7'!$B34,'Unique Asset List'!$A$4:$A$60,0),MATCH('7'!$C$1,'Unique Asset List'!$X$3:$AD$3,0))</f>
        <v>2036</v>
      </c>
      <c r="AA34" s="9">
        <f>INDEX('Unique Asset List'!$AE$4:$AK$60,MATCH('7'!$B34,'Unique Asset List'!$A$4:$A$60,0),MATCH('7'!$C$1,'Unique Asset List'!$AE$3:$AK$3,0))</f>
        <v>6</v>
      </c>
      <c r="AB34" s="16">
        <f t="shared" si="2"/>
        <v>2.3276916000000001</v>
      </c>
      <c r="AC34" s="16">
        <f t="shared" si="3"/>
        <v>1.0028454</v>
      </c>
      <c r="AD34" s="16">
        <f t="shared" si="4"/>
        <v>0.56099999999999994</v>
      </c>
      <c r="AE34" s="15">
        <f>INDEX('Unique Asset List'!$BN$4:$BT$60,MATCH('7'!$B34,'Unique Asset List'!$A$4:$A$60,0),MATCH('7'!$C$1,'Unique Asset List'!$BN$3:$BT$3,0))</f>
        <v>0.23</v>
      </c>
      <c r="AF34" s="15">
        <f>INDEX('Unique Asset List'!$BU$4:$CA$60,MATCH('7'!$B34,'Unique Asset List'!$A$4:$A$60,0),MATCH('7'!$C$1,'Unique Asset List'!$BU$3:$CA$3,0))</f>
        <v>0.27</v>
      </c>
      <c r="AG34" s="15">
        <f>INDEX('Unique Asset List'!$AZ$4:$BF$60,MATCH('7'!$B34,'Unique Asset List'!$A$4:$A$60,0),MATCH('7'!$C$1,'Unique Asset List'!$AZ$3:$BF$3,0))</f>
        <v>0.23</v>
      </c>
      <c r="AH34" s="15">
        <f>INDEX('Unique Asset List'!$BG$4:$BM$60,MATCH('7'!$B34,'Unique Asset List'!$A$4:$A$60,0),MATCH('7'!$C$1,'Unique Asset List'!$BG$3:$BM$3,0))</f>
        <v>0.27</v>
      </c>
      <c r="AI34" s="11">
        <v>0.7</v>
      </c>
      <c r="AJ34" s="15">
        <f>INDEX('Unique Asset List'!$AL$4:$AR$60,MATCH('7'!$B34,'Unique Asset List'!$A$4:$A$60,0),MATCH('7'!$C$1,'Unique Asset List'!$AL$3:$AR$3,0))</f>
        <v>0.14000000000000001</v>
      </c>
      <c r="AK34" s="15">
        <f>INDEX('Unique Asset List'!$AS$4:$AY$60,MATCH('7'!$B34,'Unique Asset List'!$A$4:$A$60,0),MATCH('7'!$C$1,'Unique Asset List'!$AS$3:$AY$3,0))</f>
        <v>0.15</v>
      </c>
      <c r="AL34" s="9">
        <v>169</v>
      </c>
      <c r="AM34" s="14">
        <f>INDEX(Simulation!$B$6:$H$6,MATCH($A34,Simulation!$B$1:$H$1,0))*(1+AN34)^((DATE(X34,Y34,15)-DATE(2017,1,15))/365.5)</f>
        <v>0.75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5"/>
        <v>0.82</v>
      </c>
      <c r="AS34" s="10">
        <v>1</v>
      </c>
      <c r="AT34" s="10"/>
      <c r="AU34" s="4">
        <f>IF($C$5="ON",BU34,MyRating(_E1,$B34,Efficacy!$F$1))</f>
        <v>4</v>
      </c>
      <c r="AV34" s="3">
        <f>IF($C$5="ON",BV34,MyRating(_E2,$B34,Efficacy!$F$1))</f>
        <v>5</v>
      </c>
      <c r="AW34" s="3">
        <f>IF($C$5="ON",BW34,MyRating(_E3,$B34,Efficacy!$F$1))</f>
        <v>5</v>
      </c>
      <c r="AX34" s="3">
        <f>IF($C$5="ON",BX34,MyRating(_E4,$B34,Efficacy!$F$1))</f>
        <v>4</v>
      </c>
      <c r="AY34" s="3">
        <f>IF($C$5="ON",BY34,MyRating(_E5,$B34,Efficacy!$F$1))</f>
        <v>4</v>
      </c>
      <c r="AZ34" s="3">
        <f>IF($C$5="ON",BZ34,MyRating(_E6,$B34,Efficacy!$F$1))</f>
        <v>3</v>
      </c>
      <c r="BA34" s="3">
        <f>IF($C$5="ON",CA34,MyRating(_E7,$B34,Efficacy!$F$1))</f>
        <v>3</v>
      </c>
      <c r="BB34" s="3">
        <f>IF($C$5="ON",CB34,MyRating(_E8,$B34,Efficacy!$F$1))</f>
        <v>4</v>
      </c>
      <c r="BC34" s="3">
        <f>IF($C$5="ON",CC34,MyRating(_S1,$B34,Efficacy!$F$1))</f>
        <v>5</v>
      </c>
      <c r="BD34" s="3">
        <f>IF($C$5="ON",CD34,MyRating(_S2,$B34,Efficacy!$F$1))</f>
        <v>3</v>
      </c>
      <c r="BE34" s="3">
        <f>IF($C$5="ON",CE34,MyRating(_S3,$B34,Efficacy!$F$1))</f>
        <v>3</v>
      </c>
      <c r="BF34" s="3">
        <f>IF($C$5="ON",CF34,MyRating(_S4,$B34,Efficacy!$F$1))</f>
        <v>4</v>
      </c>
      <c r="BG34" s="3">
        <f>IF($C$5="ON",CG34,MyRating(_S5,$B34,Efficacy!$F$1))</f>
        <v>5</v>
      </c>
      <c r="BH34" s="3">
        <f>IF($C$5="ON",CH34,MyRating(_S6,$B34,Efficacy!$F$1))</f>
        <v>3</v>
      </c>
      <c r="BI34" s="3">
        <f>IF($C$5="ON",CI34,MyRating(_S7,$B34,Efficacy!$F$1))</f>
        <v>3</v>
      </c>
      <c r="BJ34" s="3">
        <f>IF($C$5="ON",CJ34,MyRating(_D1,$B34,Efficacy!$F$1))</f>
        <v>3</v>
      </c>
      <c r="BK34" s="3">
        <f>IF($C$5="ON",CK34,MyRating(_D2,$B34,Efficacy!$F$1))</f>
        <v>3</v>
      </c>
      <c r="BL34" s="3">
        <f>IF($C$5="ON",CL34,MyRating(_D3,$B34,Efficacy!$F$1))</f>
        <v>3</v>
      </c>
      <c r="BM34" s="3">
        <f>IF($C$5="ON",CM34,MyRating(_D4,$B34,Efficacy!$F$1))</f>
        <v>3</v>
      </c>
      <c r="BN34" s="3">
        <f>IF($C$5="ON",CN34,MyRating(_B1G5,$B34,Barrier!$L$2))</f>
        <v>2</v>
      </c>
      <c r="BO34" s="3">
        <f>IF($C$5="ON",CO34,MyRating(_B2,$B34,Barrier!$F$2))</f>
        <v>3</v>
      </c>
      <c r="BP34" s="6">
        <f>IF($C$5="ON",CP34,MyRating(_B3,$B34,Barrier!$F$2))</f>
        <v>3</v>
      </c>
      <c r="BQ34" s="5">
        <f t="shared" si="6"/>
        <v>3.6275844714639842E-2</v>
      </c>
      <c r="BR34" s="8">
        <f t="shared" si="7"/>
        <v>2.9499999999999997</v>
      </c>
      <c r="BS34" s="5">
        <f t="shared" si="8"/>
        <v>3.60415394013439E-2</v>
      </c>
      <c r="BT34" s="7">
        <f t="shared" si="9"/>
        <v>1.8542316878791175E-2</v>
      </c>
      <c r="BU34" s="4">
        <v>4</v>
      </c>
      <c r="BV34" s="3">
        <v>5</v>
      </c>
      <c r="BW34" s="3">
        <v>5</v>
      </c>
      <c r="BX34" s="3">
        <v>4</v>
      </c>
      <c r="BY34" s="3">
        <v>4</v>
      </c>
      <c r="BZ34" s="3">
        <v>3</v>
      </c>
      <c r="CA34" s="3">
        <v>3</v>
      </c>
      <c r="CB34" s="3">
        <v>4</v>
      </c>
      <c r="CC34" s="3">
        <v>5</v>
      </c>
      <c r="CD34" s="3">
        <v>3</v>
      </c>
      <c r="CE34" s="3">
        <v>3</v>
      </c>
      <c r="CF34" s="3">
        <v>4</v>
      </c>
      <c r="CG34" s="3">
        <v>5</v>
      </c>
      <c r="CH34" s="3">
        <v>3</v>
      </c>
      <c r="CI34" s="3">
        <v>3</v>
      </c>
      <c r="CJ34" s="3">
        <v>3</v>
      </c>
      <c r="CK34" s="3">
        <v>3</v>
      </c>
      <c r="CL34" s="3">
        <v>3</v>
      </c>
      <c r="CM34" s="3">
        <v>3</v>
      </c>
      <c r="CN34" s="3">
        <v>2</v>
      </c>
      <c r="CO34" s="3">
        <v>3</v>
      </c>
      <c r="CP34" s="6">
        <v>3</v>
      </c>
      <c r="CQ34" s="5">
        <v>3.6275844714639842E-2</v>
      </c>
      <c r="CR34" s="61"/>
    </row>
    <row r="35" spans="1:96" x14ac:dyDescent="0.35">
      <c r="A35" s="9" t="str">
        <f t="shared" si="0"/>
        <v>JP</v>
      </c>
      <c r="B35" s="9" t="s">
        <v>56</v>
      </c>
      <c r="C35" s="20"/>
      <c r="D35" s="9" t="s">
        <v>55</v>
      </c>
      <c r="E35" s="9" t="s">
        <v>193</v>
      </c>
      <c r="F35" s="9" t="s">
        <v>51</v>
      </c>
      <c r="G35" s="19">
        <v>0</v>
      </c>
      <c r="H35" s="9">
        <v>2014</v>
      </c>
      <c r="I35" s="9">
        <v>6</v>
      </c>
      <c r="J35" s="18">
        <f>INDEX(PTRS!$D$6:$D$12,MATCH('7'!$F35,PTRS!$B$6:$B$12,0))</f>
        <v>0.1638</v>
      </c>
      <c r="K35" s="17">
        <v>0</v>
      </c>
      <c r="L35" s="17">
        <v>0.1044225</v>
      </c>
      <c r="M35" s="17">
        <v>5.4600000000000003E-2</v>
      </c>
      <c r="N35" s="17">
        <v>0.1044225</v>
      </c>
      <c r="O35" s="17">
        <v>0.1044225</v>
      </c>
      <c r="P35" s="17">
        <v>0.1638</v>
      </c>
      <c r="Q35" s="17">
        <v>0.1044225</v>
      </c>
      <c r="R35" s="17">
        <v>0.1044225</v>
      </c>
      <c r="S35" s="17">
        <v>1</v>
      </c>
      <c r="T35" s="17"/>
      <c r="U35" s="17">
        <f t="shared" si="1"/>
        <v>0.72649652910676854</v>
      </c>
      <c r="V35" s="17">
        <v>1</v>
      </c>
      <c r="W35" s="9" t="s">
        <v>54</v>
      </c>
      <c r="X35" s="9">
        <f>INDEX('Unique Asset List'!$C$4:$I$60,MATCH('7'!$B35,'Unique Asset List'!$A$4:$A$60,0),MATCH('7'!$C$1,'Unique Asset List'!$C$3:$I$3,0))</f>
        <v>2023</v>
      </c>
      <c r="Y35" s="9">
        <f>INDEX('Unique Asset List'!$J$4:$P$60,MATCH('7'!$B35,'Unique Asset List'!$A$4:$A$60,0),MATCH('7'!$C$1,'Unique Asset List'!$J$3:$P$3,0))</f>
        <v>6</v>
      </c>
      <c r="Z35" s="9">
        <f>INDEX('Unique Asset List'!$X$4:$AD$60,MATCH('7'!$B35,'Unique Asset List'!$A$4:$A$60,0),MATCH('7'!$C$1,'Unique Asset List'!$X$3:$AD$3,0))</f>
        <v>2031</v>
      </c>
      <c r="AA35" s="9">
        <f>INDEX('Unique Asset List'!$AE$4:$AK$60,MATCH('7'!$B35,'Unique Asset List'!$A$4:$A$60,0),MATCH('7'!$C$1,'Unique Asset List'!$AE$3:$AK$3,0))</f>
        <v>6</v>
      </c>
      <c r="AB35" s="16">
        <f t="shared" si="2"/>
        <v>1.6014190000000001</v>
      </c>
      <c r="AC35" s="16">
        <f t="shared" si="3"/>
        <v>0.78788900000000006</v>
      </c>
      <c r="AD35" s="16">
        <f t="shared" si="4"/>
        <v>0.56099999999999994</v>
      </c>
      <c r="AE35" s="15">
        <f>INDEX('Unique Asset List'!$BN$4:$BT$60,MATCH('7'!$B35,'Unique Asset List'!$A$4:$A$60,0),MATCH('7'!$C$1,'Unique Asset List'!$BN$3:$BT$3,0))</f>
        <v>0.16</v>
      </c>
      <c r="AF35" s="15">
        <f>INDEX('Unique Asset List'!$BU$4:$CA$60,MATCH('7'!$B35,'Unique Asset List'!$A$4:$A$60,0),MATCH('7'!$C$1,'Unique Asset List'!$BU$3:$CA$3,0))</f>
        <v>0.34</v>
      </c>
      <c r="AG35" s="15">
        <f>INDEX('Unique Asset List'!$AZ$4:$BF$60,MATCH('7'!$B35,'Unique Asset List'!$A$4:$A$60,0),MATCH('7'!$C$1,'Unique Asset List'!$AZ$3:$BF$3,0))</f>
        <v>0.16</v>
      </c>
      <c r="AH35" s="15">
        <f>INDEX('Unique Asset List'!$BG$4:$BM$60,MATCH('7'!$B35,'Unique Asset List'!$A$4:$A$60,0),MATCH('7'!$C$1,'Unique Asset List'!$BG$3:$BM$3,0))</f>
        <v>0.34</v>
      </c>
      <c r="AI35" s="11">
        <v>0.7</v>
      </c>
      <c r="AJ35" s="15">
        <f>INDEX('Unique Asset List'!$AL$4:$AR$60,MATCH('7'!$B35,'Unique Asset List'!$A$4:$A$60,0),MATCH('7'!$C$1,'Unique Asset List'!$AL$3:$AR$3,0))</f>
        <v>0.14000000000000001</v>
      </c>
      <c r="AK35" s="15">
        <f>INDEX('Unique Asset List'!$AS$4:$AY$60,MATCH('7'!$B35,'Unique Asset List'!$A$4:$A$60,0),MATCH('7'!$C$1,'Unique Asset List'!$AS$3:$AY$3,0))</f>
        <v>0.15</v>
      </c>
      <c r="AL35" s="9">
        <v>169</v>
      </c>
      <c r="AM35" s="14">
        <f>INDEX(Simulation!$B$6:$H$6,MATCH($A35,Simulation!$B$1:$H$1,0))*(1+AN35)^((DATE(X35,Y35,15)-DATE(2017,1,15))/365.5)</f>
        <v>0.75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5"/>
        <v>0.82</v>
      </c>
      <c r="AS35" s="10">
        <v>1</v>
      </c>
      <c r="AT35" s="10"/>
      <c r="AU35" s="4">
        <f>IF($C$5="ON",BU35,MyRating(_E1,$B35,Efficacy!$F$1))</f>
        <v>2</v>
      </c>
      <c r="AV35" s="3">
        <f>IF($C$5="ON",BV35,MyRating(_E2,$B35,Efficacy!$F$1))</f>
        <v>3</v>
      </c>
      <c r="AW35" s="3">
        <f>IF($C$5="ON",BW35,MyRating(_E3,$B35,Efficacy!$F$1))</f>
        <v>3</v>
      </c>
      <c r="AX35" s="3">
        <f>IF($C$5="ON",BX35,MyRating(_E4,$B35,Efficacy!$F$1))</f>
        <v>3</v>
      </c>
      <c r="AY35" s="3">
        <f>IF($C$5="ON",BY35,MyRating(_E5,$B35,Efficacy!$F$1))</f>
        <v>3</v>
      </c>
      <c r="AZ35" s="3">
        <f>IF($C$5="ON",BZ35,MyRating(_E6,$B35,Efficacy!$F$1))</f>
        <v>3</v>
      </c>
      <c r="BA35" s="3">
        <f>IF($C$5="ON",CA35,MyRating(_E7,$B35,Efficacy!$F$1))</f>
        <v>3</v>
      </c>
      <c r="BB35" s="3">
        <f>IF($C$5="ON",CB35,MyRating(_E8,$B35,Efficacy!$F$1))</f>
        <v>3</v>
      </c>
      <c r="BC35" s="3">
        <f>IF($C$5="ON",CC35,MyRating(_S1,$B35,Efficacy!$F$1))</f>
        <v>3</v>
      </c>
      <c r="BD35" s="3">
        <f>IF($C$5="ON",CD35,MyRating(_S2,$B35,Efficacy!$F$1))</f>
        <v>3</v>
      </c>
      <c r="BE35" s="3">
        <f>IF($C$5="ON",CE35,MyRating(_S3,$B35,Efficacy!$F$1))</f>
        <v>3</v>
      </c>
      <c r="BF35" s="3">
        <f>IF($C$5="ON",CF35,MyRating(_S4,$B35,Efficacy!$F$1))</f>
        <v>4</v>
      </c>
      <c r="BG35" s="3">
        <f>IF($C$5="ON",CG35,MyRating(_S5,$B35,Efficacy!$F$1))</f>
        <v>3</v>
      </c>
      <c r="BH35" s="3">
        <f>IF($C$5="ON",CH35,MyRating(_S6,$B35,Efficacy!$F$1))</f>
        <v>3</v>
      </c>
      <c r="BI35" s="3">
        <f>IF($C$5="ON",CI35,MyRating(_S7,$B35,Efficacy!$F$1))</f>
        <v>3</v>
      </c>
      <c r="BJ35" s="3">
        <f>IF($C$5="ON",CJ35,MyRating(_D1,$B35,Efficacy!$F$1))</f>
        <v>3</v>
      </c>
      <c r="BK35" s="3">
        <f>IF($C$5="ON",CK35,MyRating(_D2,$B35,Efficacy!$F$1))</f>
        <v>3</v>
      </c>
      <c r="BL35" s="3">
        <f>IF($C$5="ON",CL35,MyRating(_D3,$B35,Efficacy!$F$1))</f>
        <v>3</v>
      </c>
      <c r="BM35" s="3">
        <f>IF($C$5="ON",CM35,MyRating(_D4,$B35,Efficacy!$F$1))</f>
        <v>3</v>
      </c>
      <c r="BN35" s="3">
        <f>IF($C$5="ON",CN35,MyRating(_B1G5,$B35,Barrier!$L$2))</f>
        <v>2</v>
      </c>
      <c r="BO35" s="3">
        <f>IF($C$5="ON",CO35,MyRating(_B2,$B35,Barrier!$F$2))</f>
        <v>3</v>
      </c>
      <c r="BP35" s="6">
        <f>IF($C$5="ON",CP35,MyRating(_B3,$B35,Barrier!$F$2))</f>
        <v>3</v>
      </c>
      <c r="BQ35" s="5">
        <f t="shared" si="6"/>
        <v>3.6275844714639842E-2</v>
      </c>
      <c r="BR35" s="8">
        <f t="shared" si="7"/>
        <v>2.9499999999999997</v>
      </c>
      <c r="BS35" s="5">
        <f t="shared" si="8"/>
        <v>3.60415394013439E-2</v>
      </c>
      <c r="BT35" s="7">
        <f t="shared" si="9"/>
        <v>1.8542316878791175E-2</v>
      </c>
      <c r="BU35" s="4">
        <v>2</v>
      </c>
      <c r="BV35" s="3">
        <v>3</v>
      </c>
      <c r="BW35" s="3">
        <v>3</v>
      </c>
      <c r="BX35" s="3">
        <v>3</v>
      </c>
      <c r="BY35" s="3">
        <v>3</v>
      </c>
      <c r="BZ35" s="3">
        <v>3</v>
      </c>
      <c r="CA35" s="3">
        <v>3</v>
      </c>
      <c r="CB35" s="3">
        <v>3</v>
      </c>
      <c r="CC35" s="3">
        <v>3</v>
      </c>
      <c r="CD35" s="3">
        <v>3</v>
      </c>
      <c r="CE35" s="3">
        <v>3</v>
      </c>
      <c r="CF35" s="3">
        <v>4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2</v>
      </c>
      <c r="CO35" s="3">
        <v>3</v>
      </c>
      <c r="CP35" s="6">
        <v>3</v>
      </c>
      <c r="CQ35" s="5">
        <v>3.6275844714639842E-2</v>
      </c>
      <c r="CR35" s="61"/>
    </row>
    <row r="36" spans="1:96" x14ac:dyDescent="0.35">
      <c r="A36" s="9" t="str">
        <f t="shared" si="0"/>
        <v>JP</v>
      </c>
      <c r="B36" s="9" t="s">
        <v>53</v>
      </c>
      <c r="C36" s="20"/>
      <c r="D36" s="9" t="s">
        <v>52</v>
      </c>
      <c r="E36" s="9" t="s">
        <v>193</v>
      </c>
      <c r="F36" s="9" t="s">
        <v>51</v>
      </c>
      <c r="G36" s="19">
        <v>0</v>
      </c>
      <c r="H36" s="9">
        <v>2014</v>
      </c>
      <c r="I36" s="9">
        <v>6</v>
      </c>
      <c r="J36" s="18">
        <f>INDEX(PTRS!$D$6:$D$12,MATCH('7'!$F36,PTRS!$B$6:$B$12,0))</f>
        <v>0.1638</v>
      </c>
      <c r="K36" s="17">
        <v>0</v>
      </c>
      <c r="L36" s="17">
        <v>0.1044225</v>
      </c>
      <c r="M36" s="17">
        <v>0.1638</v>
      </c>
      <c r="N36" s="17">
        <v>0.1044225</v>
      </c>
      <c r="O36" s="17">
        <v>0.1044225</v>
      </c>
      <c r="P36" s="17">
        <v>0.1638</v>
      </c>
      <c r="Q36" s="17">
        <v>0.1044225</v>
      </c>
      <c r="R36" s="17">
        <v>0.1044225</v>
      </c>
      <c r="S36" s="17">
        <v>1</v>
      </c>
      <c r="T36" s="17"/>
      <c r="U36" s="17">
        <f t="shared" si="1"/>
        <v>0.72649652910676854</v>
      </c>
      <c r="V36" s="17">
        <v>1</v>
      </c>
      <c r="W36" s="9" t="s">
        <v>50</v>
      </c>
      <c r="X36" s="9">
        <f>INDEX('Unique Asset List'!$C$4:$I$60,MATCH('7'!$B36,'Unique Asset List'!$A$4:$A$60,0),MATCH('7'!$C$1,'Unique Asset List'!$C$3:$I$3,0))</f>
        <v>2024</v>
      </c>
      <c r="Y36" s="9">
        <f>INDEX('Unique Asset List'!$J$4:$P$60,MATCH('7'!$B36,'Unique Asset List'!$A$4:$A$60,0),MATCH('7'!$C$1,'Unique Asset List'!$J$3:$P$3,0))</f>
        <v>6</v>
      </c>
      <c r="Z36" s="9">
        <f>INDEX('Unique Asset List'!$X$4:$AD$60,MATCH('7'!$B36,'Unique Asset List'!$A$4:$A$60,0),MATCH('7'!$C$1,'Unique Asset List'!$X$3:$AD$3,0))</f>
        <v>2032</v>
      </c>
      <c r="AA36" s="9">
        <f>INDEX('Unique Asset List'!$AE$4:$AK$60,MATCH('7'!$B36,'Unique Asset List'!$A$4:$A$60,0),MATCH('7'!$C$1,'Unique Asset List'!$AE$3:$AK$3,0))</f>
        <v>6</v>
      </c>
      <c r="AB36" s="16">
        <f t="shared" si="2"/>
        <v>1.6860000000000002</v>
      </c>
      <c r="AC36" s="16">
        <f t="shared" si="3"/>
        <v>0.7529247</v>
      </c>
      <c r="AD36" s="16">
        <f t="shared" si="4"/>
        <v>0.56099999999999994</v>
      </c>
      <c r="AE36" s="15">
        <f>INDEX('Unique Asset List'!$BN$4:$BT$60,MATCH('7'!$B36,'Unique Asset List'!$A$4:$A$60,0),MATCH('7'!$C$1,'Unique Asset List'!$BN$3:$BT$3,0))</f>
        <v>0.16</v>
      </c>
      <c r="AF36" s="15">
        <f>INDEX('Unique Asset List'!$BU$4:$CA$60,MATCH('7'!$B36,'Unique Asset List'!$A$4:$A$60,0),MATCH('7'!$C$1,'Unique Asset List'!$BU$3:$CA$3,0))</f>
        <v>0.34</v>
      </c>
      <c r="AG36" s="15">
        <f>INDEX('Unique Asset List'!$AZ$4:$BF$60,MATCH('7'!$B36,'Unique Asset List'!$A$4:$A$60,0),MATCH('7'!$C$1,'Unique Asset List'!$AZ$3:$BF$3,0))</f>
        <v>0.16</v>
      </c>
      <c r="AH36" s="15">
        <f>INDEX('Unique Asset List'!$BG$4:$BM$60,MATCH('7'!$B36,'Unique Asset List'!$A$4:$A$60,0),MATCH('7'!$C$1,'Unique Asset List'!$BG$3:$BM$3,0))</f>
        <v>0.34</v>
      </c>
      <c r="AI36" s="11">
        <v>0.7</v>
      </c>
      <c r="AJ36" s="15">
        <f>INDEX('Unique Asset List'!$AL$4:$AR$60,MATCH('7'!$B36,'Unique Asset List'!$A$4:$A$60,0),MATCH('7'!$C$1,'Unique Asset List'!$AL$3:$AR$3,0))</f>
        <v>0.14000000000000001</v>
      </c>
      <c r="AK36" s="15">
        <f>INDEX('Unique Asset List'!$AS$4:$AY$60,MATCH('7'!$B36,'Unique Asset List'!$A$4:$A$60,0),MATCH('7'!$C$1,'Unique Asset List'!$AS$3:$AY$3,0))</f>
        <v>0.15</v>
      </c>
      <c r="AL36" s="9">
        <v>169</v>
      </c>
      <c r="AM36" s="14">
        <f>INDEX(Simulation!$B$6:$H$6,MATCH($A36,Simulation!$B$1:$H$1,0))*(1+AN36)^((DATE(X36,Y36,15)-DATE(2017,1,15))/365.5)</f>
        <v>0.75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5"/>
        <v>0.82</v>
      </c>
      <c r="AS36" s="10">
        <v>1</v>
      </c>
      <c r="AT36" s="10"/>
      <c r="AU36" s="4">
        <f>IF($C$5="ON",BU36,MyRating(_E1,$B36,Efficacy!$F$1))</f>
        <v>3</v>
      </c>
      <c r="AV36" s="3">
        <f>IF($C$5="ON",BV36,MyRating(_E2,$B36,Efficacy!$F$1))</f>
        <v>3</v>
      </c>
      <c r="AW36" s="3">
        <f>IF($C$5="ON",BW36,MyRating(_E3,$B36,Efficacy!$F$1))</f>
        <v>3</v>
      </c>
      <c r="AX36" s="3">
        <f>IF($C$5="ON",BX36,MyRating(_E4,$B36,Efficacy!$F$1))</f>
        <v>3</v>
      </c>
      <c r="AY36" s="3">
        <f>IF($C$5="ON",BY36,MyRating(_E5,$B36,Efficacy!$F$1))</f>
        <v>3</v>
      </c>
      <c r="AZ36" s="3">
        <f>IF($C$5="ON",BZ36,MyRating(_E6,$B36,Efficacy!$F$1))</f>
        <v>3</v>
      </c>
      <c r="BA36" s="3">
        <f>IF($C$5="ON",CA36,MyRating(_E7,$B36,Efficacy!$F$1))</f>
        <v>3</v>
      </c>
      <c r="BB36" s="3">
        <f>IF($C$5="ON",CB36,MyRating(_E8,$B36,Efficacy!$F$1))</f>
        <v>3</v>
      </c>
      <c r="BC36" s="3">
        <f>IF($C$5="ON",CC36,MyRating(_S1,$B36,Efficacy!$F$1))</f>
        <v>3</v>
      </c>
      <c r="BD36" s="3">
        <f>IF($C$5="ON",CD36,MyRating(_S2,$B36,Efficacy!$F$1))</f>
        <v>3</v>
      </c>
      <c r="BE36" s="3">
        <f>IF($C$5="ON",CE36,MyRating(_S3,$B36,Efficacy!$F$1))</f>
        <v>3</v>
      </c>
      <c r="BF36" s="3">
        <f>IF($C$5="ON",CF36,MyRating(_S4,$B36,Efficacy!$F$1))</f>
        <v>3</v>
      </c>
      <c r="BG36" s="3">
        <f>IF($C$5="ON",CG36,MyRating(_S5,$B36,Efficacy!$F$1))</f>
        <v>3</v>
      </c>
      <c r="BH36" s="3">
        <f>IF($C$5="ON",CH36,MyRating(_S6,$B36,Efficacy!$F$1))</f>
        <v>3</v>
      </c>
      <c r="BI36" s="3">
        <f>IF($C$5="ON",CI36,MyRating(_S7,$B36,Efficacy!$F$1))</f>
        <v>3</v>
      </c>
      <c r="BJ36" s="3">
        <f>IF($C$5="ON",CJ36,MyRating(_D1,$B36,Efficacy!$F$1))</f>
        <v>3</v>
      </c>
      <c r="BK36" s="3">
        <f>IF($C$5="ON",CK36,MyRating(_D2,$B36,Efficacy!$F$1))</f>
        <v>3</v>
      </c>
      <c r="BL36" s="3">
        <f>IF($C$5="ON",CL36,MyRating(_D3,$B36,Efficacy!$F$1))</f>
        <v>3</v>
      </c>
      <c r="BM36" s="3">
        <f>IF($C$5="ON",CM36,MyRating(_D4,$B36,Efficacy!$F$1))</f>
        <v>3</v>
      </c>
      <c r="BN36" s="3">
        <f>IF($C$5="ON",CN36,MyRating(_B1G5,$B36,Barrier!$L$2))</f>
        <v>2</v>
      </c>
      <c r="BO36" s="3">
        <f>IF($C$5="ON",CO36,MyRating(_B2,$B36,Barrier!$F$2))</f>
        <v>3</v>
      </c>
      <c r="BP36" s="6">
        <f>IF($C$5="ON",CP36,MyRating(_B3,$B36,Barrier!$F$2))</f>
        <v>3</v>
      </c>
      <c r="BQ36" s="5">
        <f t="shared" si="6"/>
        <v>3.6275844714639842E-2</v>
      </c>
      <c r="BR36" s="8">
        <f t="shared" si="7"/>
        <v>2.9499999999999997</v>
      </c>
      <c r="BS36" s="5">
        <f t="shared" si="8"/>
        <v>3.60415394013439E-2</v>
      </c>
      <c r="BT36" s="7">
        <f t="shared" si="9"/>
        <v>1.8542316878791175E-2</v>
      </c>
      <c r="BU36" s="4">
        <v>3</v>
      </c>
      <c r="BV36" s="3">
        <v>3</v>
      </c>
      <c r="BW36" s="3">
        <v>3</v>
      </c>
      <c r="BX36" s="3">
        <v>3</v>
      </c>
      <c r="BY36" s="3">
        <v>3</v>
      </c>
      <c r="BZ36" s="3">
        <v>3</v>
      </c>
      <c r="CA36" s="3">
        <v>3</v>
      </c>
      <c r="CB36" s="3">
        <v>3</v>
      </c>
      <c r="CC36" s="3">
        <v>3</v>
      </c>
      <c r="CD36" s="3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2</v>
      </c>
      <c r="CO36" s="3">
        <v>3</v>
      </c>
      <c r="CP36" s="6">
        <v>3</v>
      </c>
      <c r="CQ36" s="5">
        <v>3.6275844714639842E-2</v>
      </c>
      <c r="CR36" s="61"/>
    </row>
    <row r="37" spans="1:96" x14ac:dyDescent="0.35">
      <c r="A37" s="9" t="str">
        <f t="shared" si="0"/>
        <v>JP</v>
      </c>
      <c r="B37" s="9" t="s">
        <v>45</v>
      </c>
      <c r="C37" s="20"/>
      <c r="D37" s="9" t="s">
        <v>44</v>
      </c>
      <c r="E37" s="9" t="s">
        <v>193</v>
      </c>
      <c r="F37" s="9" t="s">
        <v>43</v>
      </c>
      <c r="G37" s="19">
        <v>0</v>
      </c>
      <c r="H37" s="9">
        <v>2014</v>
      </c>
      <c r="I37" s="9">
        <v>6</v>
      </c>
      <c r="J37" s="18">
        <f>INDEX(PTRS!$D$6:$D$12,MATCH('7'!$F37,PTRS!$B$6:$B$12,0))</f>
        <v>0.40949999999999998</v>
      </c>
      <c r="K37" s="17">
        <v>0</v>
      </c>
      <c r="L37" s="17">
        <v>0.1044225</v>
      </c>
      <c r="M37" s="17">
        <v>0.40949999999999998</v>
      </c>
      <c r="N37" s="17">
        <v>0.41</v>
      </c>
      <c r="O37" s="17">
        <v>0.41</v>
      </c>
      <c r="P37" s="17">
        <v>0.1044225</v>
      </c>
      <c r="Q37" s="17">
        <v>0.1044225</v>
      </c>
      <c r="R37" s="17">
        <v>0.1044225</v>
      </c>
      <c r="S37" s="17">
        <v>1</v>
      </c>
      <c r="T37" s="17"/>
      <c r="U37" s="22">
        <v>0.73</v>
      </c>
      <c r="V37" s="17">
        <v>1</v>
      </c>
      <c r="W37" s="9" t="s">
        <v>42</v>
      </c>
      <c r="X37" s="9">
        <f>INDEX('Unique Asset List'!$C$4:$I$60,MATCH('7'!$B37,'Unique Asset List'!$A$4:$A$60,0),MATCH('7'!$C$1,'Unique Asset List'!$C$3:$I$3,0))</f>
        <v>2022</v>
      </c>
      <c r="Y37" s="9">
        <f>INDEX('Unique Asset List'!$J$4:$P$60,MATCH('7'!$B37,'Unique Asset List'!$A$4:$A$60,0),MATCH('7'!$C$1,'Unique Asset List'!$J$3:$P$3,0))</f>
        <v>6</v>
      </c>
      <c r="Z37" s="9">
        <f>INDEX('Unique Asset List'!$X$4:$AD$60,MATCH('7'!$B37,'Unique Asset List'!$A$4:$A$60,0),MATCH('7'!$C$1,'Unique Asset List'!$X$3:$AD$3,0))</f>
        <v>2030</v>
      </c>
      <c r="AA37" s="9">
        <f>INDEX('Unique Asset List'!$AE$4:$AK$60,MATCH('7'!$B37,'Unique Asset List'!$A$4:$A$60,0),MATCH('7'!$C$1,'Unique Asset List'!$AE$3:$AK$3,0))</f>
        <v>6</v>
      </c>
      <c r="AB37" s="23">
        <v>1.57</v>
      </c>
      <c r="AC37" s="23">
        <v>0.65</v>
      </c>
      <c r="AD37" s="23">
        <v>0.5</v>
      </c>
      <c r="AE37" s="15">
        <f>INDEX('Unique Asset List'!$BN$4:$BT$60,MATCH('7'!$B37,'Unique Asset List'!$A$4:$A$60,0),MATCH('7'!$C$1,'Unique Asset List'!$BN$3:$BT$3,0))</f>
        <v>0.16</v>
      </c>
      <c r="AF37" s="15">
        <f>INDEX('Unique Asset List'!$BU$4:$CA$60,MATCH('7'!$B37,'Unique Asset List'!$A$4:$A$60,0),MATCH('7'!$C$1,'Unique Asset List'!$BU$3:$CA$3,0))</f>
        <v>0.34</v>
      </c>
      <c r="AG37" s="15">
        <f>INDEX('Unique Asset List'!$AZ$4:$BF$60,MATCH('7'!$B37,'Unique Asset List'!$A$4:$A$60,0),MATCH('7'!$C$1,'Unique Asset List'!$AZ$3:$BF$3,0))</f>
        <v>0.16</v>
      </c>
      <c r="AH37" s="15">
        <f>INDEX('Unique Asset List'!$BG$4:$BM$60,MATCH('7'!$B37,'Unique Asset List'!$A$4:$A$60,0),MATCH('7'!$C$1,'Unique Asset List'!$BG$3:$BM$3,0))</f>
        <v>0.34</v>
      </c>
      <c r="AI37" s="11">
        <v>0.7</v>
      </c>
      <c r="AJ37" s="15">
        <f>INDEX('Unique Asset List'!$AL$4:$AR$60,MATCH('7'!$B37,'Unique Asset List'!$A$4:$A$60,0),MATCH('7'!$C$1,'Unique Asset List'!$AL$3:$AR$3,0))</f>
        <v>0.14000000000000001</v>
      </c>
      <c r="AK37" s="15">
        <f>INDEX('Unique Asset List'!$AS$4:$AY$60,MATCH('7'!$B37,'Unique Asset List'!$A$4:$A$60,0),MATCH('7'!$C$1,'Unique Asset List'!$AS$3:$AY$3,0))</f>
        <v>0.15</v>
      </c>
      <c r="AL37" s="9">
        <v>169</v>
      </c>
      <c r="AM37" s="14">
        <f>INDEX(Simulation!$B$6:$H$6,MATCH($A37,Simulation!$B$1:$H$1,0))*(1+AN37)^((DATE(X37,Y37,15)-DATE(2017,1,15))/365.5)</f>
        <v>0.75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5"/>
        <v>0.82</v>
      </c>
      <c r="AS37" s="10">
        <v>1</v>
      </c>
      <c r="AT37" s="10"/>
      <c r="AU37" s="4">
        <f>IF($C$5="ON",BU37,MyRating(_E1,$B37,Efficacy!$F$1))</f>
        <v>0</v>
      </c>
      <c r="AV37" s="3">
        <f>IF($C$5="ON",BV37,MyRating(_E2,$B37,Efficacy!$F$1))</f>
        <v>0</v>
      </c>
      <c r="AW37" s="3">
        <f>IF($C$5="ON",BW37,MyRating(_E3,$B37,Efficacy!$F$1))</f>
        <v>0</v>
      </c>
      <c r="AX37" s="3">
        <f>IF($C$5="ON",BX37,MyRating(_E4,$B37,Efficacy!$F$1))</f>
        <v>0</v>
      </c>
      <c r="AY37" s="3">
        <f>IF($C$5="ON",BY37,MyRating(_E5,$B37,Efficacy!$F$1))</f>
        <v>0</v>
      </c>
      <c r="AZ37" s="3">
        <f>IF($C$5="ON",BZ37,MyRating(_E6,$B37,Efficacy!$F$1))</f>
        <v>0</v>
      </c>
      <c r="BA37" s="3">
        <f>IF($C$5="ON",CA37,MyRating(_E7,$B37,Efficacy!$F$1))</f>
        <v>0</v>
      </c>
      <c r="BB37" s="3">
        <f>IF($C$5="ON",CB37,MyRating(_E8,$B37,Efficacy!$F$1))</f>
        <v>0</v>
      </c>
      <c r="BC37" s="3">
        <f>IF($C$5="ON",CC37,MyRating(_S1,$B37,Efficacy!$F$1))</f>
        <v>0</v>
      </c>
      <c r="BD37" s="3">
        <f>IF($C$5="ON",CD37,MyRating(_S2,$B37,Efficacy!$F$1))</f>
        <v>0</v>
      </c>
      <c r="BE37" s="3">
        <f>IF($C$5="ON",CE37,MyRating(_S3,$B37,Efficacy!$F$1))</f>
        <v>0</v>
      </c>
      <c r="BF37" s="3">
        <f>IF($C$5="ON",CF37,MyRating(_S4,$B37,Efficacy!$F$1))</f>
        <v>0</v>
      </c>
      <c r="BG37" s="3">
        <f>IF($C$5="ON",CG37,MyRating(_S5,$B37,Efficacy!$F$1))</f>
        <v>0</v>
      </c>
      <c r="BH37" s="3">
        <f>IF($C$5="ON",CH37,MyRating(_S6,$B37,Efficacy!$F$1))</f>
        <v>0</v>
      </c>
      <c r="BI37" s="3">
        <f>IF($C$5="ON",CI37,MyRating(_S7,$B37,Efficacy!$F$1))</f>
        <v>0</v>
      </c>
      <c r="BJ37" s="3">
        <f>IF($C$5="ON",CJ37,MyRating(_D1,$B37,Efficacy!$F$1))</f>
        <v>0</v>
      </c>
      <c r="BK37" s="3">
        <f>IF($C$5="ON",CK37,MyRating(_D2,$B37,Efficacy!$F$1))</f>
        <v>0</v>
      </c>
      <c r="BL37" s="3">
        <f>IF($C$5="ON",CL37,MyRating(_D3,$B37,Efficacy!$F$1))</f>
        <v>0</v>
      </c>
      <c r="BM37" s="3">
        <f>IF($C$5="ON",CM37,MyRating(_D4,$B37,Efficacy!$F$1))</f>
        <v>0</v>
      </c>
      <c r="BN37" s="3">
        <f>IF($C$5="ON",CN37,MyRating(_B1G5,$B37,Barrier!$L$2))</f>
        <v>0</v>
      </c>
      <c r="BO37" s="3">
        <f>IF($C$5="ON",CO37,MyRating(_B2,$B37,Barrier!$F$2))</f>
        <v>0</v>
      </c>
      <c r="BP37" s="6">
        <f>IF($C$5="ON",CP37,MyRating(_B3,$B37,Barrier!$F$2))</f>
        <v>0</v>
      </c>
      <c r="BQ37" s="5">
        <f t="shared" si="6"/>
        <v>0</v>
      </c>
      <c r="BR37" s="8">
        <f t="shared" si="7"/>
        <v>0</v>
      </c>
      <c r="BS37" s="5">
        <f t="shared" si="8"/>
        <v>0</v>
      </c>
      <c r="BT37" s="7">
        <f t="shared" si="9"/>
        <v>0</v>
      </c>
      <c r="BU37" s="4">
        <v>0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6">
        <v>0</v>
      </c>
      <c r="CQ37" s="5">
        <v>0</v>
      </c>
      <c r="CR37" s="61"/>
    </row>
    <row r="38" spans="1:96" x14ac:dyDescent="0.35">
      <c r="A38" s="9" t="str">
        <f t="shared" si="0"/>
        <v>JP</v>
      </c>
      <c r="B38" s="9" t="s">
        <v>41</v>
      </c>
      <c r="C38" s="20"/>
      <c r="D38" s="9" t="s">
        <v>194</v>
      </c>
      <c r="E38" s="9" t="s">
        <v>193</v>
      </c>
      <c r="F38" s="9" t="s">
        <v>1</v>
      </c>
      <c r="G38" s="19">
        <v>0</v>
      </c>
      <c r="H38" s="9">
        <v>2014</v>
      </c>
      <c r="I38" s="9">
        <v>6</v>
      </c>
      <c r="J38" s="18">
        <f>INDEX(PTRS!$D$6:$D$12,MATCH('7'!$F38,PTRS!$B$6:$B$12,0))</f>
        <v>0.1044225</v>
      </c>
      <c r="K38" s="17">
        <v>0</v>
      </c>
      <c r="L38" s="17">
        <v>0.1044225</v>
      </c>
      <c r="M38" s="17">
        <v>0.1044225</v>
      </c>
      <c r="N38" s="17">
        <v>0.1044225</v>
      </c>
      <c r="O38" s="17">
        <v>0.1044225</v>
      </c>
      <c r="P38" s="17">
        <v>0.1044225</v>
      </c>
      <c r="Q38" s="17">
        <v>0.1044225</v>
      </c>
      <c r="R38" s="17">
        <v>0.1044225</v>
      </c>
      <c r="S38" s="17">
        <v>1</v>
      </c>
      <c r="T38" s="17" t="s">
        <v>39</v>
      </c>
      <c r="U38" s="22">
        <v>0.72649652910676854</v>
      </c>
      <c r="V38" s="17">
        <v>1</v>
      </c>
      <c r="W38" s="59" t="s">
        <v>38</v>
      </c>
      <c r="X38" s="9">
        <f>INDEX('Unique Asset List'!$C$4:$I$60,MATCH('7'!$B38,'Unique Asset List'!$A$4:$A$60,0),MATCH('7'!$C$1,'Unique Asset List'!$C$3:$I$3,0))</f>
        <v>2028</v>
      </c>
      <c r="Y38" s="9">
        <f>INDEX('Unique Asset List'!$J$4:$P$60,MATCH('7'!$B38,'Unique Asset List'!$A$4:$A$60,0),MATCH('7'!$C$1,'Unique Asset List'!$J$3:$P$3,0))</f>
        <v>8</v>
      </c>
      <c r="Z38" s="9">
        <f>INDEX('Unique Asset List'!$X$4:$AD$60,MATCH('7'!$B38,'Unique Asset List'!$A$4:$A$60,0),MATCH('7'!$C$1,'Unique Asset List'!$X$3:$AD$3,0))</f>
        <v>2036</v>
      </c>
      <c r="AA38" s="9">
        <f>INDEX('Unique Asset List'!$AE$4:$AK$60,MATCH('7'!$B38,'Unique Asset List'!$A$4:$A$60,0),MATCH('7'!$C$1,'Unique Asset List'!$AE$3:$AK$3,0))</f>
        <v>8</v>
      </c>
      <c r="AB38" s="16">
        <f>AB20</f>
        <v>1.7951404000000002</v>
      </c>
      <c r="AC38" s="16">
        <f>AC20</f>
        <v>0.94451300000000005</v>
      </c>
      <c r="AD38" s="16">
        <f>AD20</f>
        <v>0.52097279586</v>
      </c>
      <c r="AE38" s="15">
        <f>INDEX('Unique Asset List'!$BN$4:$BT$60,MATCH('7'!$B38,'Unique Asset List'!$A$4:$A$60,0),MATCH('7'!$C$1,'Unique Asset List'!$BN$3:$BT$3,0))</f>
        <v>0.16</v>
      </c>
      <c r="AF38" s="15">
        <f>INDEX('Unique Asset List'!$BU$4:$CA$60,MATCH('7'!$B38,'Unique Asset List'!$A$4:$A$60,0),MATCH('7'!$C$1,'Unique Asset List'!$BU$3:$CA$3,0))</f>
        <v>0.34</v>
      </c>
      <c r="AG38" s="15">
        <f>INDEX('Unique Asset List'!$AZ$4:$BF$60,MATCH('7'!$B38,'Unique Asset List'!$A$4:$A$60,0),MATCH('7'!$C$1,'Unique Asset List'!$AZ$3:$BF$3,0))</f>
        <v>0.16</v>
      </c>
      <c r="AH38" s="15">
        <f>INDEX('Unique Asset List'!$BG$4:$BM$60,MATCH('7'!$B38,'Unique Asset List'!$A$4:$A$60,0),MATCH('7'!$C$1,'Unique Asset List'!$BG$3:$BM$3,0))</f>
        <v>0.34</v>
      </c>
      <c r="AI38" s="11">
        <v>0.7</v>
      </c>
      <c r="AJ38" s="15">
        <f>INDEX('Unique Asset List'!$AL$4:$AR$60,MATCH('7'!$B38,'Unique Asset List'!$A$4:$A$60,0),MATCH('7'!$C$1,'Unique Asset List'!$AL$3:$AR$3,0))</f>
        <v>0.14000000000000001</v>
      </c>
      <c r="AK38" s="15">
        <f>INDEX('Unique Asset List'!$AS$4:$AY$60,MATCH('7'!$B38,'Unique Asset List'!$A$4:$A$60,0),MATCH('7'!$C$1,'Unique Asset List'!$AS$3:$AY$3,0))</f>
        <v>0.15</v>
      </c>
      <c r="AL38" s="9">
        <v>169</v>
      </c>
      <c r="AM38" s="14">
        <f>INDEX(Simulation!$B$6:$H$6,MATCH($A38,Simulation!$B$1:$H$1,0))*(1+AN38)^((DATE(X38,Y38,15)-DATE(2017,1,15))/365.5)</f>
        <v>0.75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5"/>
        <v>0.82</v>
      </c>
      <c r="AS38" s="10">
        <v>1</v>
      </c>
      <c r="AT38" s="10"/>
      <c r="AU38" s="4">
        <f>IF($C$5="ON",BU38,MyRating(_E1,$B38,Efficacy!$F$1))</f>
        <v>0</v>
      </c>
      <c r="AV38" s="3">
        <f>IF($C$5="ON",BV38,MyRating(_E2,$B38,Efficacy!$F$1))</f>
        <v>0</v>
      </c>
      <c r="AW38" s="3">
        <f>IF($C$5="ON",BW38,MyRating(_E3,$B38,Efficacy!$F$1))</f>
        <v>0</v>
      </c>
      <c r="AX38" s="3">
        <f>IF($C$5="ON",BX38,MyRating(_E4,$B38,Efficacy!$F$1))</f>
        <v>0</v>
      </c>
      <c r="AY38" s="3">
        <f>IF($C$5="ON",BY38,MyRating(_E5,$B38,Efficacy!$F$1))</f>
        <v>0</v>
      </c>
      <c r="AZ38" s="3">
        <f>IF($C$5="ON",BZ38,MyRating(_E6,$B38,Efficacy!$F$1))</f>
        <v>0</v>
      </c>
      <c r="BA38" s="3">
        <f>IF($C$5="ON",CA38,MyRating(_E7,$B38,Efficacy!$F$1))</f>
        <v>0</v>
      </c>
      <c r="BB38" s="3">
        <f>IF($C$5="ON",CB38,MyRating(_E8,$B38,Efficacy!$F$1))</f>
        <v>0</v>
      </c>
      <c r="BC38" s="3">
        <f>IF($C$5="ON",CC38,MyRating(_S1,$B38,Efficacy!$F$1))</f>
        <v>0</v>
      </c>
      <c r="BD38" s="3">
        <f>IF($C$5="ON",CD38,MyRating(_S2,$B38,Efficacy!$F$1))</f>
        <v>0</v>
      </c>
      <c r="BE38" s="3">
        <f>IF($C$5="ON",CE38,MyRating(_S3,$B38,Efficacy!$F$1))</f>
        <v>0</v>
      </c>
      <c r="BF38" s="3">
        <f>IF($C$5="ON",CF38,MyRating(_S4,$B38,Efficacy!$F$1))</f>
        <v>0</v>
      </c>
      <c r="BG38" s="3">
        <f>IF($C$5="ON",CG38,MyRating(_S5,$B38,Efficacy!$F$1))</f>
        <v>0</v>
      </c>
      <c r="BH38" s="3">
        <f>IF($C$5="ON",CH38,MyRating(_S6,$B38,Efficacy!$F$1))</f>
        <v>0</v>
      </c>
      <c r="BI38" s="3">
        <f>IF($C$5="ON",CI38,MyRating(_S7,$B38,Efficacy!$F$1))</f>
        <v>0</v>
      </c>
      <c r="BJ38" s="3">
        <f>IF($C$5="ON",CJ38,MyRating(_D1,$B38,Efficacy!$F$1))</f>
        <v>0</v>
      </c>
      <c r="BK38" s="3">
        <f>IF($C$5="ON",CK38,MyRating(_D2,$B38,Efficacy!$F$1))</f>
        <v>0</v>
      </c>
      <c r="BL38" s="3">
        <f>IF($C$5="ON",CL38,MyRating(_D3,$B38,Efficacy!$F$1))</f>
        <v>0</v>
      </c>
      <c r="BM38" s="3">
        <f>IF($C$5="ON",CM38,MyRating(_D4,$B38,Efficacy!$F$1))</f>
        <v>0</v>
      </c>
      <c r="BN38" s="3">
        <f>IF($C$5="ON",CN38,MyRating(_B1G5,$B38,Barrier!$L$2))</f>
        <v>0</v>
      </c>
      <c r="BO38" s="3">
        <f>IF($C$5="ON",CO38,MyRating(_B2,$B38,Barrier!$F$2))</f>
        <v>0</v>
      </c>
      <c r="BP38" s="6">
        <f>IF($C$5="ON",CP38,MyRating(_B3,$B38,Barrier!$F$2))</f>
        <v>0</v>
      </c>
      <c r="BQ38" s="5">
        <f t="shared" si="6"/>
        <v>0</v>
      </c>
      <c r="BR38" s="8">
        <f t="shared" si="7"/>
        <v>0</v>
      </c>
      <c r="BS38" s="5">
        <f t="shared" si="8"/>
        <v>0</v>
      </c>
      <c r="BT38" s="7">
        <f t="shared" si="9"/>
        <v>0</v>
      </c>
      <c r="BU38" s="4">
        <v>0</v>
      </c>
      <c r="BV38" s="3">
        <v>0</v>
      </c>
      <c r="BW38" s="3">
        <v>0</v>
      </c>
      <c r="BX38" s="3">
        <v>0</v>
      </c>
      <c r="BY38" s="3">
        <v>0</v>
      </c>
      <c r="BZ38" s="3">
        <v>0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6">
        <v>0</v>
      </c>
      <c r="CQ38" s="5">
        <v>0</v>
      </c>
      <c r="CR38" s="61"/>
    </row>
    <row r="39" spans="1:96" x14ac:dyDescent="0.35">
      <c r="A39" s="9" t="str">
        <f t="shared" si="0"/>
        <v>JP</v>
      </c>
      <c r="B39" s="9" t="s">
        <v>37</v>
      </c>
      <c r="C39" s="20"/>
      <c r="D39" s="9" t="s">
        <v>36</v>
      </c>
      <c r="E39" s="9" t="s">
        <v>193</v>
      </c>
      <c r="F39" s="9" t="s">
        <v>1</v>
      </c>
      <c r="G39" s="19">
        <v>0</v>
      </c>
      <c r="H39" s="9">
        <v>2014</v>
      </c>
      <c r="I39" s="9">
        <v>6</v>
      </c>
      <c r="J39" s="18">
        <f>INDEX(PTRS!$D$6:$D$12,MATCH('7'!$F39,PTRS!$B$6:$B$12,0))</f>
        <v>0.1044225</v>
      </c>
      <c r="K39" s="17">
        <v>0</v>
      </c>
      <c r="L39" s="17">
        <v>0.1044225</v>
      </c>
      <c r="M39" s="17">
        <v>0.1044225</v>
      </c>
      <c r="N39" s="17">
        <v>0.1044225</v>
      </c>
      <c r="O39" s="17">
        <v>0.1044225</v>
      </c>
      <c r="P39" s="17">
        <v>0.1044225</v>
      </c>
      <c r="Q39" s="17">
        <v>0.1044225</v>
      </c>
      <c r="R39" s="17">
        <v>0.1044225</v>
      </c>
      <c r="S39" s="17">
        <v>1</v>
      </c>
      <c r="T39" s="17" t="s">
        <v>35</v>
      </c>
      <c r="U39" s="22">
        <v>0.72649652910676854</v>
      </c>
      <c r="V39" s="17">
        <v>1</v>
      </c>
      <c r="W39" s="9" t="s">
        <v>34</v>
      </c>
      <c r="X39" s="9">
        <f>INDEX('Unique Asset List'!$C$4:$I$60,MATCH('7'!$B39,'Unique Asset List'!$A$4:$A$60,0),MATCH('7'!$C$1,'Unique Asset List'!$C$3:$I$3,0))</f>
        <v>2033</v>
      </c>
      <c r="Y39" s="9">
        <f>INDEX('Unique Asset List'!$J$4:$P$60,MATCH('7'!$B39,'Unique Asset List'!$A$4:$A$60,0),MATCH('7'!$C$1,'Unique Asset List'!$J$3:$P$3,0))</f>
        <v>6</v>
      </c>
      <c r="Z39" s="9">
        <f>INDEX('Unique Asset List'!$X$4:$AD$60,MATCH('7'!$B39,'Unique Asset List'!$A$4:$A$60,0),MATCH('7'!$C$1,'Unique Asset List'!$X$3:$AD$3,0))</f>
        <v>2041</v>
      </c>
      <c r="AA39" s="9">
        <f>INDEX('Unique Asset List'!$AE$4:$AK$60,MATCH('7'!$B39,'Unique Asset List'!$A$4:$A$60,0),MATCH('7'!$C$1,'Unique Asset List'!$AE$3:$AK$3,0))</f>
        <v>6</v>
      </c>
      <c r="AB39" s="16">
        <f>AB28</f>
        <v>2.0908086000000004</v>
      </c>
      <c r="AC39" s="16">
        <f>AC28</f>
        <v>0.97325250000000008</v>
      </c>
      <c r="AD39" s="16">
        <f>AD28</f>
        <v>0.56099999999999994</v>
      </c>
      <c r="AE39" s="15">
        <f>INDEX('Unique Asset List'!$BN$4:$BT$60,MATCH('7'!$B39,'Unique Asset List'!$A$4:$A$60,0),MATCH('7'!$C$1,'Unique Asset List'!$BN$3:$BT$3,0))</f>
        <v>0.16</v>
      </c>
      <c r="AF39" s="15">
        <f>INDEX('Unique Asset List'!$BU$4:$CA$60,MATCH('7'!$B39,'Unique Asset List'!$A$4:$A$60,0),MATCH('7'!$C$1,'Unique Asset List'!$BU$3:$CA$3,0))</f>
        <v>0.34</v>
      </c>
      <c r="AG39" s="15">
        <f>INDEX('Unique Asset List'!$AZ$4:$BF$60,MATCH('7'!$B39,'Unique Asset List'!$A$4:$A$60,0),MATCH('7'!$C$1,'Unique Asset List'!$AZ$3:$BF$3,0))</f>
        <v>0.16</v>
      </c>
      <c r="AH39" s="15">
        <f>INDEX('Unique Asset List'!$BG$4:$BM$60,MATCH('7'!$B39,'Unique Asset List'!$A$4:$A$60,0),MATCH('7'!$C$1,'Unique Asset List'!$BG$3:$BM$3,0))</f>
        <v>0.34</v>
      </c>
      <c r="AI39" s="11">
        <v>0.7</v>
      </c>
      <c r="AJ39" s="15">
        <f>INDEX('Unique Asset List'!$AL$4:$AR$60,MATCH('7'!$B39,'Unique Asset List'!$A$4:$A$60,0),MATCH('7'!$C$1,'Unique Asset List'!$AL$3:$AR$3,0))</f>
        <v>0.14000000000000001</v>
      </c>
      <c r="AK39" s="15">
        <f>INDEX('Unique Asset List'!$AS$4:$AY$60,MATCH('7'!$B39,'Unique Asset List'!$A$4:$A$60,0),MATCH('7'!$C$1,'Unique Asset List'!$AS$3:$AY$3,0))</f>
        <v>0.15</v>
      </c>
      <c r="AL39" s="9">
        <v>169</v>
      </c>
      <c r="AM39" s="14">
        <f>INDEX(Simulation!$B$6:$H$6,MATCH($A39,Simulation!$B$1:$H$1,0))*(1+AN39)^((DATE(X39,Y39,15)-DATE(2017,1,15))/365.5)</f>
        <v>0.75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5"/>
        <v>0.82</v>
      </c>
      <c r="AS39" s="10">
        <v>1</v>
      </c>
      <c r="AT39" s="10"/>
      <c r="AU39" s="4">
        <f>IF($C$5="ON",BU39,MyRating(_E1,$B39,Efficacy!$F$1))</f>
        <v>0</v>
      </c>
      <c r="AV39" s="3">
        <f>IF($C$5="ON",BV39,MyRating(_E2,$B39,Efficacy!$F$1))</f>
        <v>0</v>
      </c>
      <c r="AW39" s="3">
        <f>IF($C$5="ON",BW39,MyRating(_E3,$B39,Efficacy!$F$1))</f>
        <v>0</v>
      </c>
      <c r="AX39" s="3">
        <f>IF($C$5="ON",BX39,MyRating(_E4,$B39,Efficacy!$F$1))</f>
        <v>0</v>
      </c>
      <c r="AY39" s="3">
        <f>IF($C$5="ON",BY39,MyRating(_E5,$B39,Efficacy!$F$1))</f>
        <v>0</v>
      </c>
      <c r="AZ39" s="3">
        <f>IF($C$5="ON",BZ39,MyRating(_E6,$B39,Efficacy!$F$1))</f>
        <v>0</v>
      </c>
      <c r="BA39" s="3">
        <f>IF($C$5="ON",CA39,MyRating(_E7,$B39,Efficacy!$F$1))</f>
        <v>0</v>
      </c>
      <c r="BB39" s="3">
        <f>IF($C$5="ON",CB39,MyRating(_E8,$B39,Efficacy!$F$1))</f>
        <v>0</v>
      </c>
      <c r="BC39" s="3">
        <f>IF($C$5="ON",CC39,MyRating(_S1,$B39,Efficacy!$F$1))</f>
        <v>0</v>
      </c>
      <c r="BD39" s="3">
        <f>IF($C$5="ON",CD39,MyRating(_S2,$B39,Efficacy!$F$1))</f>
        <v>0</v>
      </c>
      <c r="BE39" s="3">
        <f>IF($C$5="ON",CE39,MyRating(_S3,$B39,Efficacy!$F$1))</f>
        <v>0</v>
      </c>
      <c r="BF39" s="3">
        <f>IF($C$5="ON",CF39,MyRating(_S4,$B39,Efficacy!$F$1))</f>
        <v>0</v>
      </c>
      <c r="BG39" s="3">
        <f>IF($C$5="ON",CG39,MyRating(_S5,$B39,Efficacy!$F$1))</f>
        <v>0</v>
      </c>
      <c r="BH39" s="3">
        <f>IF($C$5="ON",CH39,MyRating(_S6,$B39,Efficacy!$F$1))</f>
        <v>0</v>
      </c>
      <c r="BI39" s="3">
        <f>IF($C$5="ON",CI39,MyRating(_S7,$B39,Efficacy!$F$1))</f>
        <v>0</v>
      </c>
      <c r="BJ39" s="3">
        <f>IF($C$5="ON",CJ39,MyRating(_D1,$B39,Efficacy!$F$1))</f>
        <v>0</v>
      </c>
      <c r="BK39" s="3">
        <f>IF($C$5="ON",CK39,MyRating(_D2,$B39,Efficacy!$F$1))</f>
        <v>0</v>
      </c>
      <c r="BL39" s="3">
        <f>IF($C$5="ON",CL39,MyRating(_D3,$B39,Efficacy!$F$1))</f>
        <v>0</v>
      </c>
      <c r="BM39" s="3">
        <f>IF($C$5="ON",CM39,MyRating(_D4,$B39,Efficacy!$F$1))</f>
        <v>0</v>
      </c>
      <c r="BN39" s="3">
        <f>IF($C$5="ON",CN39,MyRating(_B1G5,$B39,Barrier!$L$2))</f>
        <v>0</v>
      </c>
      <c r="BO39" s="3">
        <f>IF($C$5="ON",CO39,MyRating(_B2,$B39,Barrier!$F$2))</f>
        <v>0</v>
      </c>
      <c r="BP39" s="6">
        <f>IF($C$5="ON",CP39,MyRating(_B3,$B39,Barrier!$F$2))</f>
        <v>0</v>
      </c>
      <c r="BQ39" s="5">
        <f t="shared" si="6"/>
        <v>0</v>
      </c>
      <c r="BR39" s="8">
        <f t="shared" si="7"/>
        <v>0</v>
      </c>
      <c r="BS39" s="5">
        <f t="shared" si="8"/>
        <v>0</v>
      </c>
      <c r="BT39" s="7">
        <f t="shared" si="9"/>
        <v>0</v>
      </c>
      <c r="BU39" s="4">
        <v>0</v>
      </c>
      <c r="BV39" s="3">
        <v>0</v>
      </c>
      <c r="BW39" s="3">
        <v>0</v>
      </c>
      <c r="BX39" s="3">
        <v>0</v>
      </c>
      <c r="BY39" s="3">
        <v>0</v>
      </c>
      <c r="BZ39" s="3">
        <v>0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6">
        <v>0</v>
      </c>
      <c r="CQ39" s="5">
        <v>0</v>
      </c>
      <c r="CR39" s="61"/>
    </row>
    <row r="40" spans="1:96" x14ac:dyDescent="0.35">
      <c r="A40" s="9" t="str">
        <f t="shared" si="0"/>
        <v>JP</v>
      </c>
      <c r="B40" s="9" t="s">
        <v>33</v>
      </c>
      <c r="C40" s="20"/>
      <c r="D40" s="9" t="s">
        <v>32</v>
      </c>
      <c r="E40" s="9" t="s">
        <v>193</v>
      </c>
      <c r="F40" s="9" t="s">
        <v>1</v>
      </c>
      <c r="G40" s="19">
        <v>0</v>
      </c>
      <c r="H40" s="9">
        <v>2014</v>
      </c>
      <c r="I40" s="9">
        <v>6</v>
      </c>
      <c r="J40" s="18">
        <f>INDEX(PTRS!$D$6:$D$12,MATCH('7'!$F40,PTRS!$B$6:$B$12,0))</f>
        <v>0.1044225</v>
      </c>
      <c r="K40" s="17">
        <v>0</v>
      </c>
      <c r="L40" s="17">
        <v>0.1044225</v>
      </c>
      <c r="M40" s="17">
        <v>0.1044225</v>
      </c>
      <c r="N40" s="17">
        <v>0.1044225</v>
      </c>
      <c r="O40" s="17">
        <v>0.1044225</v>
      </c>
      <c r="P40" s="17">
        <v>0.1044225</v>
      </c>
      <c r="Q40" s="17">
        <v>0.1044225</v>
      </c>
      <c r="R40" s="17">
        <v>0.1044225</v>
      </c>
      <c r="S40" s="17">
        <v>1</v>
      </c>
      <c r="T40" s="17" t="s">
        <v>31</v>
      </c>
      <c r="U40" s="22">
        <v>0.72649652910676854</v>
      </c>
      <c r="V40" s="17">
        <v>1</v>
      </c>
      <c r="W40" s="9" t="s">
        <v>31</v>
      </c>
      <c r="X40" s="9">
        <f>INDEX('Unique Asset List'!$C$4:$I$60,MATCH('7'!$B40,'Unique Asset List'!$A$4:$A$60,0),MATCH('7'!$C$1,'Unique Asset List'!$C$3:$I$3,0))</f>
        <v>2032</v>
      </c>
      <c r="Y40" s="9">
        <f>INDEX('Unique Asset List'!$J$4:$P$60,MATCH('7'!$B40,'Unique Asset List'!$A$4:$A$60,0),MATCH('7'!$C$1,'Unique Asset List'!$J$3:$P$3,0))</f>
        <v>5</v>
      </c>
      <c r="Z40" s="9">
        <f>INDEX('Unique Asset List'!$X$4:$AD$60,MATCH('7'!$B40,'Unique Asset List'!$A$4:$A$60,0),MATCH('7'!$C$1,'Unique Asset List'!$X$3:$AD$3,0))</f>
        <v>2040</v>
      </c>
      <c r="AA40" s="9">
        <f>INDEX('Unique Asset List'!$AE$4:$AK$60,MATCH('7'!$B40,'Unique Asset List'!$A$4:$A$60,0),MATCH('7'!$C$1,'Unique Asset List'!$AE$3:$AK$3,0))</f>
        <v>5</v>
      </c>
      <c r="AB40" s="16">
        <f>AB27</f>
        <v>2.1250906000000005</v>
      </c>
      <c r="AC40" s="16">
        <f>AC27</f>
        <v>0.97325250000000008</v>
      </c>
      <c r="AD40" s="16">
        <f>AD27</f>
        <v>0.56099999999999994</v>
      </c>
      <c r="AE40" s="15">
        <f>INDEX('Unique Asset List'!$BN$4:$BT$60,MATCH('7'!$B40,'Unique Asset List'!$A$4:$A$60,0),MATCH('7'!$C$1,'Unique Asset List'!$BN$3:$BT$3,0))</f>
        <v>0.16</v>
      </c>
      <c r="AF40" s="15">
        <f>INDEX('Unique Asset List'!$BU$4:$CA$60,MATCH('7'!$B40,'Unique Asset List'!$A$4:$A$60,0),MATCH('7'!$C$1,'Unique Asset List'!$BU$3:$CA$3,0))</f>
        <v>0.34</v>
      </c>
      <c r="AG40" s="15">
        <f>INDEX('Unique Asset List'!$AZ$4:$BF$60,MATCH('7'!$B40,'Unique Asset List'!$A$4:$A$60,0),MATCH('7'!$C$1,'Unique Asset List'!$AZ$3:$BF$3,0))</f>
        <v>0.16</v>
      </c>
      <c r="AH40" s="15">
        <f>INDEX('Unique Asset List'!$BG$4:$BM$60,MATCH('7'!$B40,'Unique Asset List'!$A$4:$A$60,0),MATCH('7'!$C$1,'Unique Asset List'!$BG$3:$BM$3,0))</f>
        <v>0.34</v>
      </c>
      <c r="AI40" s="11">
        <v>0.7</v>
      </c>
      <c r="AJ40" s="15">
        <f>INDEX('Unique Asset List'!$AL$4:$AR$60,MATCH('7'!$B40,'Unique Asset List'!$A$4:$A$60,0),MATCH('7'!$C$1,'Unique Asset List'!$AL$3:$AR$3,0))</f>
        <v>0.14000000000000001</v>
      </c>
      <c r="AK40" s="15">
        <f>INDEX('Unique Asset List'!$AS$4:$AY$60,MATCH('7'!$B40,'Unique Asset List'!$A$4:$A$60,0),MATCH('7'!$C$1,'Unique Asset List'!$AS$3:$AY$3,0))</f>
        <v>0.15</v>
      </c>
      <c r="AL40" s="9">
        <v>169</v>
      </c>
      <c r="AM40" s="14">
        <f>INDEX(Simulation!$B$6:$H$6,MATCH($A40,Simulation!$B$1:$H$1,0))*(1+AN40)^((DATE(X40,Y40,15)-DATE(2017,1,15))/365.5)</f>
        <v>0.75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5"/>
        <v>0.82</v>
      </c>
      <c r="AS40" s="10">
        <v>1</v>
      </c>
      <c r="AT40" s="10"/>
      <c r="AU40" s="4">
        <f>IF($C$5="ON",BU40,MyRating(_E1,$B40,Efficacy!$F$1))</f>
        <v>0</v>
      </c>
      <c r="AV40" s="3">
        <f>IF($C$5="ON",BV40,MyRating(_E2,$B40,Efficacy!$F$1))</f>
        <v>0</v>
      </c>
      <c r="AW40" s="3">
        <f>IF($C$5="ON",BW40,MyRating(_E3,$B40,Efficacy!$F$1))</f>
        <v>0</v>
      </c>
      <c r="AX40" s="3">
        <f>IF($C$5="ON",BX40,MyRating(_E4,$B40,Efficacy!$F$1))</f>
        <v>0</v>
      </c>
      <c r="AY40" s="3">
        <f>IF($C$5="ON",BY40,MyRating(_E5,$B40,Efficacy!$F$1))</f>
        <v>0</v>
      </c>
      <c r="AZ40" s="3">
        <f>IF($C$5="ON",BZ40,MyRating(_E6,$B40,Efficacy!$F$1))</f>
        <v>0</v>
      </c>
      <c r="BA40" s="3">
        <f>IF($C$5="ON",CA40,MyRating(_E7,$B40,Efficacy!$F$1))</f>
        <v>0</v>
      </c>
      <c r="BB40" s="3">
        <f>IF($C$5="ON",CB40,MyRating(_E8,$B40,Efficacy!$F$1))</f>
        <v>0</v>
      </c>
      <c r="BC40" s="3">
        <f>IF($C$5="ON",CC40,MyRating(_S1,$B40,Efficacy!$F$1))</f>
        <v>0</v>
      </c>
      <c r="BD40" s="3">
        <f>IF($C$5="ON",CD40,MyRating(_S2,$B40,Efficacy!$F$1))</f>
        <v>0</v>
      </c>
      <c r="BE40" s="3">
        <f>IF($C$5="ON",CE40,MyRating(_S3,$B40,Efficacy!$F$1))</f>
        <v>0</v>
      </c>
      <c r="BF40" s="3">
        <f>IF($C$5="ON",CF40,MyRating(_S4,$B40,Efficacy!$F$1))</f>
        <v>0</v>
      </c>
      <c r="BG40" s="3">
        <f>IF($C$5="ON",CG40,MyRating(_S5,$B40,Efficacy!$F$1))</f>
        <v>0</v>
      </c>
      <c r="BH40" s="3">
        <f>IF($C$5="ON",CH40,MyRating(_S6,$B40,Efficacy!$F$1))</f>
        <v>0</v>
      </c>
      <c r="BI40" s="3">
        <f>IF($C$5="ON",CI40,MyRating(_S7,$B40,Efficacy!$F$1))</f>
        <v>0</v>
      </c>
      <c r="BJ40" s="3">
        <f>IF($C$5="ON",CJ40,MyRating(_D1,$B40,Efficacy!$F$1))</f>
        <v>0</v>
      </c>
      <c r="BK40" s="3">
        <f>IF($C$5="ON",CK40,MyRating(_D2,$B40,Efficacy!$F$1))</f>
        <v>0</v>
      </c>
      <c r="BL40" s="3">
        <f>IF($C$5="ON",CL40,MyRating(_D3,$B40,Efficacy!$F$1))</f>
        <v>0</v>
      </c>
      <c r="BM40" s="3">
        <f>IF($C$5="ON",CM40,MyRating(_D4,$B40,Efficacy!$F$1))</f>
        <v>0</v>
      </c>
      <c r="BN40" s="3">
        <f>IF($C$5="ON",CN40,MyRating(_B1G5,$B40,Barrier!$L$2))</f>
        <v>0</v>
      </c>
      <c r="BO40" s="3">
        <f>IF($C$5="ON",CO40,MyRating(_B2,$B40,Barrier!$F$2))</f>
        <v>0</v>
      </c>
      <c r="BP40" s="6">
        <f>IF($C$5="ON",CP40,MyRating(_B3,$B40,Barrier!$F$2))</f>
        <v>0</v>
      </c>
      <c r="BQ40" s="5">
        <f t="shared" si="6"/>
        <v>0</v>
      </c>
      <c r="BR40" s="8">
        <f t="shared" si="7"/>
        <v>0</v>
      </c>
      <c r="BS40" s="5">
        <f t="shared" si="8"/>
        <v>0</v>
      </c>
      <c r="BT40" s="7">
        <f t="shared" si="9"/>
        <v>0</v>
      </c>
      <c r="BU40" s="4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6">
        <v>0</v>
      </c>
      <c r="CQ40" s="5">
        <v>0</v>
      </c>
      <c r="CR40" s="61"/>
    </row>
    <row r="41" spans="1:96" x14ac:dyDescent="0.35">
      <c r="A41" s="9" t="str">
        <f t="shared" si="0"/>
        <v>JP</v>
      </c>
      <c r="B41" s="9" t="s">
        <v>30</v>
      </c>
      <c r="C41" s="20"/>
      <c r="D41" s="9" t="s">
        <v>29</v>
      </c>
      <c r="E41" s="9" t="s">
        <v>193</v>
      </c>
      <c r="F41" s="9" t="s">
        <v>1</v>
      </c>
      <c r="G41" s="19">
        <v>0</v>
      </c>
      <c r="H41" s="9">
        <v>2014</v>
      </c>
      <c r="I41" s="9">
        <v>6</v>
      </c>
      <c r="J41" s="18">
        <f>INDEX(PTRS!$D$6:$D$12,MATCH('7'!$F41,PTRS!$B$6:$B$12,0))</f>
        <v>0.1044225</v>
      </c>
      <c r="K41" s="17">
        <v>0</v>
      </c>
      <c r="L41" s="17">
        <v>0.1044225</v>
      </c>
      <c r="M41" s="17">
        <v>0.1044225</v>
      </c>
      <c r="N41" s="17">
        <v>0.1044225</v>
      </c>
      <c r="O41" s="17">
        <v>0.1044225</v>
      </c>
      <c r="P41" s="17">
        <v>0.1044225</v>
      </c>
      <c r="Q41" s="17">
        <v>0.1044225</v>
      </c>
      <c r="R41" s="17">
        <v>0.1044225</v>
      </c>
      <c r="S41" s="17">
        <v>1</v>
      </c>
      <c r="T41" s="17" t="s">
        <v>28</v>
      </c>
      <c r="U41" s="22">
        <v>0.72649652910676854</v>
      </c>
      <c r="V41" s="17">
        <v>1</v>
      </c>
      <c r="W41" s="9" t="s">
        <v>27</v>
      </c>
      <c r="X41" s="9">
        <f>INDEX('Unique Asset List'!$C$4:$I$60,MATCH('7'!$B41,'Unique Asset List'!$A$4:$A$60,0),MATCH('7'!$C$1,'Unique Asset List'!$C$3:$I$3,0))</f>
        <v>2034</v>
      </c>
      <c r="Y41" s="9">
        <f>INDEX('Unique Asset List'!$J$4:$P$60,MATCH('7'!$B41,'Unique Asset List'!$A$4:$A$60,0),MATCH('7'!$C$1,'Unique Asset List'!$J$3:$P$3,0))</f>
        <v>9</v>
      </c>
      <c r="Z41" s="9">
        <f>INDEX('Unique Asset List'!$X$4:$AD$60,MATCH('7'!$B41,'Unique Asset List'!$A$4:$A$60,0),MATCH('7'!$C$1,'Unique Asset List'!$X$3:$AD$3,0))</f>
        <v>2042</v>
      </c>
      <c r="AA41" s="9">
        <f>INDEX('Unique Asset List'!$AE$4:$AK$60,MATCH('7'!$B41,'Unique Asset List'!$A$4:$A$60,0),MATCH('7'!$C$1,'Unique Asset List'!$AE$3:$AK$3,0))</f>
        <v>9</v>
      </c>
      <c r="AB41" s="16">
        <f>AB33</f>
        <v>2.0289886000000004</v>
      </c>
      <c r="AC41" s="16">
        <f>AC33</f>
        <v>0.85031269999999992</v>
      </c>
      <c r="AD41" s="16">
        <f>AD33</f>
        <v>0.56099999999999994</v>
      </c>
      <c r="AE41" s="15">
        <f>INDEX('Unique Asset List'!$BN$4:$BT$60,MATCH('7'!$B41,'Unique Asset List'!$A$4:$A$60,0),MATCH('7'!$C$1,'Unique Asset List'!$BN$3:$BT$3,0))</f>
        <v>0.16</v>
      </c>
      <c r="AF41" s="15">
        <f>INDEX('Unique Asset List'!$BU$4:$CA$60,MATCH('7'!$B41,'Unique Asset List'!$A$4:$A$60,0),MATCH('7'!$C$1,'Unique Asset List'!$BU$3:$CA$3,0))</f>
        <v>0.34</v>
      </c>
      <c r="AG41" s="15">
        <f>INDEX('Unique Asset List'!$AZ$4:$BF$60,MATCH('7'!$B41,'Unique Asset List'!$A$4:$A$60,0),MATCH('7'!$C$1,'Unique Asset List'!$AZ$3:$BF$3,0))</f>
        <v>0.16</v>
      </c>
      <c r="AH41" s="15">
        <f>INDEX('Unique Asset List'!$BG$4:$BM$60,MATCH('7'!$B41,'Unique Asset List'!$A$4:$A$60,0),MATCH('7'!$C$1,'Unique Asset List'!$BG$3:$BM$3,0))</f>
        <v>0.34</v>
      </c>
      <c r="AI41" s="11">
        <v>0.7</v>
      </c>
      <c r="AJ41" s="15">
        <f>INDEX('Unique Asset List'!$AL$4:$AR$60,MATCH('7'!$B41,'Unique Asset List'!$A$4:$A$60,0),MATCH('7'!$C$1,'Unique Asset List'!$AL$3:$AR$3,0))</f>
        <v>0.14000000000000001</v>
      </c>
      <c r="AK41" s="15">
        <f>INDEX('Unique Asset List'!$AS$4:$AY$60,MATCH('7'!$B41,'Unique Asset List'!$A$4:$A$60,0),MATCH('7'!$C$1,'Unique Asset List'!$AS$3:$AY$3,0))</f>
        <v>0.15</v>
      </c>
      <c r="AL41" s="9">
        <v>169</v>
      </c>
      <c r="AM41" s="14">
        <f>INDEX(Simulation!$B$6:$H$6,MATCH($A41,Simulation!$B$1:$H$1,0))*(1+AN41)^((DATE(X41,Y41,15)-DATE(2017,1,15))/365.5)</f>
        <v>0.75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si="5"/>
        <v>0.82</v>
      </c>
      <c r="AS41" s="10">
        <v>1</v>
      </c>
      <c r="AT41" s="10"/>
      <c r="AU41" s="4">
        <f>IF($C$5="ON",BU41,MyRating(_E1,$B41,Efficacy!$F$1))</f>
        <v>0</v>
      </c>
      <c r="AV41" s="3">
        <f>IF($C$5="ON",BV41,MyRating(_E2,$B41,Efficacy!$F$1))</f>
        <v>0</v>
      </c>
      <c r="AW41" s="3">
        <f>IF($C$5="ON",BW41,MyRating(_E3,$B41,Efficacy!$F$1))</f>
        <v>0</v>
      </c>
      <c r="AX41" s="3">
        <f>IF($C$5="ON",BX41,MyRating(_E4,$B41,Efficacy!$F$1))</f>
        <v>0</v>
      </c>
      <c r="AY41" s="3">
        <f>IF($C$5="ON",BY41,MyRating(_E5,$B41,Efficacy!$F$1))</f>
        <v>0</v>
      </c>
      <c r="AZ41" s="3">
        <f>IF($C$5="ON",BZ41,MyRating(_E6,$B41,Efficacy!$F$1))</f>
        <v>0</v>
      </c>
      <c r="BA41" s="3">
        <f>IF($C$5="ON",CA41,MyRating(_E7,$B41,Efficacy!$F$1))</f>
        <v>0</v>
      </c>
      <c r="BB41" s="3">
        <f>IF($C$5="ON",CB41,MyRating(_E8,$B41,Efficacy!$F$1))</f>
        <v>0</v>
      </c>
      <c r="BC41" s="3">
        <f>IF($C$5="ON",CC41,MyRating(_S1,$B41,Efficacy!$F$1))</f>
        <v>0</v>
      </c>
      <c r="BD41" s="3">
        <f>IF($C$5="ON",CD41,MyRating(_S2,$B41,Efficacy!$F$1))</f>
        <v>0</v>
      </c>
      <c r="BE41" s="3">
        <f>IF($C$5="ON",CE41,MyRating(_S3,$B41,Efficacy!$F$1))</f>
        <v>0</v>
      </c>
      <c r="BF41" s="3">
        <f>IF($C$5="ON",CF41,MyRating(_S4,$B41,Efficacy!$F$1))</f>
        <v>0</v>
      </c>
      <c r="BG41" s="3">
        <f>IF($C$5="ON",CG41,MyRating(_S5,$B41,Efficacy!$F$1))</f>
        <v>0</v>
      </c>
      <c r="BH41" s="3">
        <f>IF($C$5="ON",CH41,MyRating(_S6,$B41,Efficacy!$F$1))</f>
        <v>0</v>
      </c>
      <c r="BI41" s="3">
        <f>IF($C$5="ON",CI41,MyRating(_S7,$B41,Efficacy!$F$1))</f>
        <v>0</v>
      </c>
      <c r="BJ41" s="3">
        <f>IF($C$5="ON",CJ41,MyRating(_D1,$B41,Efficacy!$F$1))</f>
        <v>0</v>
      </c>
      <c r="BK41" s="3">
        <f>IF($C$5="ON",CK41,MyRating(_D2,$B41,Efficacy!$F$1))</f>
        <v>0</v>
      </c>
      <c r="BL41" s="3">
        <f>IF($C$5="ON",CL41,MyRating(_D3,$B41,Efficacy!$F$1))</f>
        <v>0</v>
      </c>
      <c r="BM41" s="3">
        <f>IF($C$5="ON",CM41,MyRating(_D4,$B41,Efficacy!$F$1))</f>
        <v>0</v>
      </c>
      <c r="BN41" s="3">
        <f>IF($C$5="ON",CN41,MyRating(_B1G5,$B41,Barrier!$L$2))</f>
        <v>0</v>
      </c>
      <c r="BO41" s="3">
        <f>IF($C$5="ON",CO41,MyRating(_B2,$B41,Barrier!$F$2))</f>
        <v>0</v>
      </c>
      <c r="BP41" s="6">
        <f>IF($C$5="ON",CP41,MyRating(_B3,$B41,Barrier!$F$2))</f>
        <v>0</v>
      </c>
      <c r="BQ41" s="5">
        <f t="shared" si="6"/>
        <v>0</v>
      </c>
      <c r="BR41" s="8">
        <f t="shared" si="7"/>
        <v>0</v>
      </c>
      <c r="BS41" s="5">
        <f t="shared" si="8"/>
        <v>0</v>
      </c>
      <c r="BT41" s="7">
        <f t="shared" si="9"/>
        <v>0</v>
      </c>
      <c r="BU41" s="4">
        <v>0</v>
      </c>
      <c r="BV41" s="3">
        <v>0</v>
      </c>
      <c r="BW41" s="3">
        <v>0</v>
      </c>
      <c r="BX41" s="3">
        <v>0</v>
      </c>
      <c r="BY41" s="3">
        <v>0</v>
      </c>
      <c r="BZ41" s="3">
        <v>0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6">
        <v>0</v>
      </c>
      <c r="CQ41" s="5">
        <v>0</v>
      </c>
      <c r="CR41" s="61"/>
    </row>
    <row r="42" spans="1:96" x14ac:dyDescent="0.35">
      <c r="A42" s="9" t="str">
        <f t="shared" si="0"/>
        <v>JP</v>
      </c>
      <c r="B42" s="9" t="s">
        <v>26</v>
      </c>
      <c r="C42" s="20"/>
      <c r="D42" s="9" t="s">
        <v>25</v>
      </c>
      <c r="E42" s="9" t="s">
        <v>193</v>
      </c>
      <c r="F42" s="9" t="s">
        <v>1</v>
      </c>
      <c r="G42" s="19">
        <v>0</v>
      </c>
      <c r="H42" s="9">
        <v>2014</v>
      </c>
      <c r="I42" s="9">
        <v>6</v>
      </c>
      <c r="J42" s="18">
        <f>INDEX(PTRS!$D$6:$D$12,MATCH('7'!$F42,PTRS!$B$6:$B$12,0))</f>
        <v>0.1044225</v>
      </c>
      <c r="K42" s="17">
        <v>0</v>
      </c>
      <c r="L42" s="17">
        <v>0.1044225</v>
      </c>
      <c r="M42" s="17">
        <v>0.1044225</v>
      </c>
      <c r="N42" s="17">
        <v>0.1044225</v>
      </c>
      <c r="O42" s="17">
        <v>0.1044225</v>
      </c>
      <c r="P42" s="17">
        <v>0.1044225</v>
      </c>
      <c r="Q42" s="17">
        <v>0.1044225</v>
      </c>
      <c r="R42" s="17">
        <v>0.1044225</v>
      </c>
      <c r="S42" s="17">
        <v>1</v>
      </c>
      <c r="T42" s="17" t="s">
        <v>24</v>
      </c>
      <c r="U42" s="22">
        <v>0.72649652910676854</v>
      </c>
      <c r="V42" s="17">
        <v>1</v>
      </c>
      <c r="W42" s="9" t="s">
        <v>24</v>
      </c>
      <c r="X42" s="9">
        <f>INDEX('Unique Asset List'!$C$4:$I$60,MATCH('7'!$B42,'Unique Asset List'!$A$4:$A$60,0),MATCH('7'!$C$1,'Unique Asset List'!$C$3:$I$3,0))</f>
        <v>2032</v>
      </c>
      <c r="Y42" s="9">
        <f>INDEX('Unique Asset List'!$J$4:$P$60,MATCH('7'!$B42,'Unique Asset List'!$A$4:$A$60,0),MATCH('7'!$C$1,'Unique Asset List'!$J$3:$P$3,0))</f>
        <v>4</v>
      </c>
      <c r="Z42" s="9">
        <f>INDEX('Unique Asset List'!$X$4:$AD$60,MATCH('7'!$B42,'Unique Asset List'!$A$4:$A$60,0),MATCH('7'!$C$1,'Unique Asset List'!$X$3:$AD$3,0))</f>
        <v>2040</v>
      </c>
      <c r="AA42" s="9">
        <f>INDEX('Unique Asset List'!$AE$4:$AK$60,MATCH('7'!$B42,'Unique Asset List'!$A$4:$A$60,0),MATCH('7'!$C$1,'Unique Asset List'!$AE$3:$AK$3,0))</f>
        <v>4</v>
      </c>
      <c r="AB42" s="16">
        <f>AB30</f>
        <v>2.3276916000000001</v>
      </c>
      <c r="AC42" s="16">
        <f>AC30</f>
        <v>1.0028454</v>
      </c>
      <c r="AD42" s="16">
        <f>AD30</f>
        <v>0.56099999999999994</v>
      </c>
      <c r="AE42" s="15">
        <f>INDEX('Unique Asset List'!$BN$4:$BT$60,MATCH('7'!$B42,'Unique Asset List'!$A$4:$A$60,0),MATCH('7'!$C$1,'Unique Asset List'!$BN$3:$BT$3,0))</f>
        <v>0.16</v>
      </c>
      <c r="AF42" s="15">
        <f>INDEX('Unique Asset List'!$BU$4:$CA$60,MATCH('7'!$B42,'Unique Asset List'!$A$4:$A$60,0),MATCH('7'!$C$1,'Unique Asset List'!$BU$3:$CA$3,0))</f>
        <v>0.34</v>
      </c>
      <c r="AG42" s="15">
        <f>INDEX('Unique Asset List'!$AZ$4:$BF$60,MATCH('7'!$B42,'Unique Asset List'!$A$4:$A$60,0),MATCH('7'!$C$1,'Unique Asset List'!$AZ$3:$BF$3,0))</f>
        <v>0.16</v>
      </c>
      <c r="AH42" s="15">
        <f>INDEX('Unique Asset List'!$BG$4:$BM$60,MATCH('7'!$B42,'Unique Asset List'!$A$4:$A$60,0),MATCH('7'!$C$1,'Unique Asset List'!$BG$3:$BM$3,0))</f>
        <v>0.34</v>
      </c>
      <c r="AI42" s="11">
        <v>0.7</v>
      </c>
      <c r="AJ42" s="15">
        <f>INDEX('Unique Asset List'!$AL$4:$AR$60,MATCH('7'!$B42,'Unique Asset List'!$A$4:$A$60,0),MATCH('7'!$C$1,'Unique Asset List'!$AL$3:$AR$3,0))</f>
        <v>0.14000000000000001</v>
      </c>
      <c r="AK42" s="15">
        <f>INDEX('Unique Asset List'!$AS$4:$AY$60,MATCH('7'!$B42,'Unique Asset List'!$A$4:$A$60,0),MATCH('7'!$C$1,'Unique Asset List'!$AS$3:$AY$3,0))</f>
        <v>0.15</v>
      </c>
      <c r="AL42" s="9">
        <v>169</v>
      </c>
      <c r="AM42" s="14">
        <f>INDEX(Simulation!$B$6:$H$6,MATCH($A42,Simulation!$B$1:$H$1,0))*(1+AN42)^((DATE(X42,Y42,15)-DATE(2017,1,15))/365.5)</f>
        <v>0.75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5"/>
        <v>0.82</v>
      </c>
      <c r="AS42" s="10">
        <v>1</v>
      </c>
      <c r="AT42" s="10"/>
      <c r="AU42" s="4">
        <f>IF($C$5="ON",BU42,MyRating(_E1,$B42,Efficacy!$F$1))</f>
        <v>0</v>
      </c>
      <c r="AV42" s="3">
        <f>IF($C$5="ON",BV42,MyRating(_E2,$B42,Efficacy!$F$1))</f>
        <v>0</v>
      </c>
      <c r="AW42" s="3">
        <f>IF($C$5="ON",BW42,MyRating(_E3,$B42,Efficacy!$F$1))</f>
        <v>0</v>
      </c>
      <c r="AX42" s="3">
        <f>IF($C$5="ON",BX42,MyRating(_E4,$B42,Efficacy!$F$1))</f>
        <v>0</v>
      </c>
      <c r="AY42" s="3">
        <f>IF($C$5="ON",BY42,MyRating(_E5,$B42,Efficacy!$F$1))</f>
        <v>0</v>
      </c>
      <c r="AZ42" s="3">
        <f>IF($C$5="ON",BZ42,MyRating(_E6,$B42,Efficacy!$F$1))</f>
        <v>0</v>
      </c>
      <c r="BA42" s="3">
        <f>IF($C$5="ON",CA42,MyRating(_E7,$B42,Efficacy!$F$1))</f>
        <v>0</v>
      </c>
      <c r="BB42" s="3">
        <f>IF($C$5="ON",CB42,MyRating(_E8,$B42,Efficacy!$F$1))</f>
        <v>0</v>
      </c>
      <c r="BC42" s="3">
        <f>IF($C$5="ON",CC42,MyRating(_S1,$B42,Efficacy!$F$1))</f>
        <v>0</v>
      </c>
      <c r="BD42" s="3">
        <f>IF($C$5="ON",CD42,MyRating(_S2,$B42,Efficacy!$F$1))</f>
        <v>0</v>
      </c>
      <c r="BE42" s="3">
        <f>IF($C$5="ON",CE42,MyRating(_S3,$B42,Efficacy!$F$1))</f>
        <v>0</v>
      </c>
      <c r="BF42" s="3">
        <f>IF($C$5="ON",CF42,MyRating(_S4,$B42,Efficacy!$F$1))</f>
        <v>0</v>
      </c>
      <c r="BG42" s="3">
        <f>IF($C$5="ON",CG42,MyRating(_S5,$B42,Efficacy!$F$1))</f>
        <v>0</v>
      </c>
      <c r="BH42" s="3">
        <f>IF($C$5="ON",CH42,MyRating(_S6,$B42,Efficacy!$F$1))</f>
        <v>0</v>
      </c>
      <c r="BI42" s="3">
        <f>IF($C$5="ON",CI42,MyRating(_S7,$B42,Efficacy!$F$1))</f>
        <v>0</v>
      </c>
      <c r="BJ42" s="3">
        <f>IF($C$5="ON",CJ42,MyRating(_D1,$B42,Efficacy!$F$1))</f>
        <v>0</v>
      </c>
      <c r="BK42" s="3">
        <f>IF($C$5="ON",CK42,MyRating(_D2,$B42,Efficacy!$F$1))</f>
        <v>0</v>
      </c>
      <c r="BL42" s="3">
        <f>IF($C$5="ON",CL42,MyRating(_D3,$B42,Efficacy!$F$1))</f>
        <v>0</v>
      </c>
      <c r="BM42" s="3">
        <f>IF($C$5="ON",CM42,MyRating(_D4,$B42,Efficacy!$F$1))</f>
        <v>0</v>
      </c>
      <c r="BN42" s="3">
        <f>IF($C$5="ON",CN42,MyRating(_B1G5,$B42,Barrier!$L$2))</f>
        <v>0</v>
      </c>
      <c r="BO42" s="3">
        <f>IF($C$5="ON",CO42,MyRating(_B2,$B42,Barrier!$F$2))</f>
        <v>0</v>
      </c>
      <c r="BP42" s="6">
        <f>IF($C$5="ON",CP42,MyRating(_B3,$B42,Barrier!$F$2))</f>
        <v>0</v>
      </c>
      <c r="BQ42" s="5">
        <f t="shared" si="6"/>
        <v>0</v>
      </c>
      <c r="BR42" s="8">
        <f t="shared" si="7"/>
        <v>0</v>
      </c>
      <c r="BS42" s="5">
        <f t="shared" si="8"/>
        <v>0</v>
      </c>
      <c r="BT42" s="7">
        <f t="shared" si="9"/>
        <v>0</v>
      </c>
      <c r="BU42" s="4">
        <v>0</v>
      </c>
      <c r="BV42" s="3">
        <v>0</v>
      </c>
      <c r="BW42" s="3">
        <v>0</v>
      </c>
      <c r="BX42" s="3">
        <v>0</v>
      </c>
      <c r="BY42" s="3">
        <v>0</v>
      </c>
      <c r="BZ42" s="3">
        <v>0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6">
        <v>0</v>
      </c>
      <c r="CQ42" s="5">
        <v>0</v>
      </c>
      <c r="CR42" s="61"/>
    </row>
    <row r="43" spans="1:96" x14ac:dyDescent="0.35">
      <c r="A43" s="9" t="str">
        <f t="shared" si="0"/>
        <v>JP</v>
      </c>
      <c r="B43" s="9" t="s">
        <v>23</v>
      </c>
      <c r="C43" s="20"/>
      <c r="D43" s="9" t="s">
        <v>22</v>
      </c>
      <c r="E43" s="9" t="s">
        <v>193</v>
      </c>
      <c r="F43" s="9" t="s">
        <v>1</v>
      </c>
      <c r="G43" s="19">
        <v>0</v>
      </c>
      <c r="H43" s="9">
        <v>2014</v>
      </c>
      <c r="I43" s="9">
        <v>6</v>
      </c>
      <c r="J43" s="18">
        <f>INDEX(PTRS!$D$6:$D$12,MATCH('7'!$F43,PTRS!$B$6:$B$12,0))</f>
        <v>0.1044225</v>
      </c>
      <c r="K43" s="17">
        <v>0</v>
      </c>
      <c r="L43" s="17">
        <v>0.1044225</v>
      </c>
      <c r="M43" s="17">
        <v>0.1044225</v>
      </c>
      <c r="N43" s="17">
        <v>0.1044225</v>
      </c>
      <c r="O43" s="17">
        <v>0.1044225</v>
      </c>
      <c r="P43" s="17">
        <v>0.1044225</v>
      </c>
      <c r="Q43" s="17">
        <v>0.1044225</v>
      </c>
      <c r="R43" s="17">
        <v>0.1044225</v>
      </c>
      <c r="S43" s="17">
        <v>1</v>
      </c>
      <c r="T43" s="9" t="s">
        <v>21</v>
      </c>
      <c r="U43" s="22">
        <v>0.72649652910676854</v>
      </c>
      <c r="V43" s="17">
        <v>1</v>
      </c>
      <c r="W43" s="9" t="s">
        <v>20</v>
      </c>
      <c r="X43" s="9">
        <f>INDEX('Unique Asset List'!$C$4:$I$60,MATCH('7'!$B43,'Unique Asset List'!$A$4:$A$60,0),MATCH('7'!$C$1,'Unique Asset List'!$C$3:$I$3,0))</f>
        <v>2031</v>
      </c>
      <c r="Y43" s="9">
        <f>INDEX('Unique Asset List'!$J$4:$P$60,MATCH('7'!$B43,'Unique Asset List'!$A$4:$A$60,0),MATCH('7'!$C$1,'Unique Asset List'!$J$3:$P$3,0))</f>
        <v>6</v>
      </c>
      <c r="Z43" s="9">
        <f>INDEX('Unique Asset List'!$X$4:$AD$60,MATCH('7'!$B43,'Unique Asset List'!$A$4:$A$60,0),MATCH('7'!$C$1,'Unique Asset List'!$X$3:$AD$3,0))</f>
        <v>2039</v>
      </c>
      <c r="AA43" s="9">
        <f>INDEX('Unique Asset List'!$AE$4:$AK$60,MATCH('7'!$B43,'Unique Asset List'!$A$4:$A$60,0),MATCH('7'!$C$1,'Unique Asset List'!$AE$3:$AK$3,0))</f>
        <v>6</v>
      </c>
      <c r="AB43" s="16">
        <f>AB25</f>
        <v>1.6822346000000001</v>
      </c>
      <c r="AC43" s="16">
        <f>AC25</f>
        <v>0.86278740000000009</v>
      </c>
      <c r="AD43" s="16">
        <f>AD25</f>
        <v>0.56099999999999994</v>
      </c>
      <c r="AE43" s="15">
        <f>INDEX('Unique Asset List'!$BN$4:$BT$60,MATCH('7'!$B43,'Unique Asset List'!$A$4:$A$60,0),MATCH('7'!$C$1,'Unique Asset List'!$BN$3:$BT$3,0))</f>
        <v>0.16</v>
      </c>
      <c r="AF43" s="15">
        <f>INDEX('Unique Asset List'!$BU$4:$CA$60,MATCH('7'!$B43,'Unique Asset List'!$A$4:$A$60,0),MATCH('7'!$C$1,'Unique Asset List'!$BU$3:$CA$3,0))</f>
        <v>0.34</v>
      </c>
      <c r="AG43" s="15">
        <f>INDEX('Unique Asset List'!$AZ$4:$BF$60,MATCH('7'!$B43,'Unique Asset List'!$A$4:$A$60,0),MATCH('7'!$C$1,'Unique Asset List'!$AZ$3:$BF$3,0))</f>
        <v>0.16</v>
      </c>
      <c r="AH43" s="15">
        <f>INDEX('Unique Asset List'!$BG$4:$BM$60,MATCH('7'!$B43,'Unique Asset List'!$A$4:$A$60,0),MATCH('7'!$C$1,'Unique Asset List'!$BG$3:$BM$3,0))</f>
        <v>0.34</v>
      </c>
      <c r="AI43" s="11">
        <v>0.7</v>
      </c>
      <c r="AJ43" s="15">
        <f>INDEX('Unique Asset List'!$AL$4:$AR$60,MATCH('7'!$B43,'Unique Asset List'!$A$4:$A$60,0),MATCH('7'!$C$1,'Unique Asset List'!$AL$3:$AR$3,0))</f>
        <v>0.14000000000000001</v>
      </c>
      <c r="AK43" s="15">
        <f>INDEX('Unique Asset List'!$AS$4:$AY$60,MATCH('7'!$B43,'Unique Asset List'!$A$4:$A$60,0),MATCH('7'!$C$1,'Unique Asset List'!$AS$3:$AY$3,0))</f>
        <v>0.15</v>
      </c>
      <c r="AL43" s="9">
        <v>169</v>
      </c>
      <c r="AM43" s="14">
        <f>INDEX(Simulation!$B$6:$H$6,MATCH($A43,Simulation!$B$1:$H$1,0))*(1+AN43)^((DATE(X43,Y43,15)-DATE(2017,1,15))/365.5)</f>
        <v>0.75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5"/>
        <v>0.82</v>
      </c>
      <c r="AS43" s="10">
        <v>1</v>
      </c>
      <c r="AT43" s="10"/>
      <c r="AU43" s="4">
        <f>IF($C$5="ON",BU43,MyRating(_E1,$B43,Efficacy!$F$1))</f>
        <v>0</v>
      </c>
      <c r="AV43" s="3">
        <f>IF($C$5="ON",BV43,MyRating(_E2,$B43,Efficacy!$F$1))</f>
        <v>0</v>
      </c>
      <c r="AW43" s="3">
        <f>IF($C$5="ON",BW43,MyRating(_E3,$B43,Efficacy!$F$1))</f>
        <v>0</v>
      </c>
      <c r="AX43" s="3">
        <f>IF($C$5="ON",BX43,MyRating(_E4,$B43,Efficacy!$F$1))</f>
        <v>0</v>
      </c>
      <c r="AY43" s="3">
        <f>IF($C$5="ON",BY43,MyRating(_E5,$B43,Efficacy!$F$1))</f>
        <v>0</v>
      </c>
      <c r="AZ43" s="3">
        <f>IF($C$5="ON",BZ43,MyRating(_E6,$B43,Efficacy!$F$1))</f>
        <v>0</v>
      </c>
      <c r="BA43" s="3">
        <f>IF($C$5="ON",CA43,MyRating(_E7,$B43,Efficacy!$F$1))</f>
        <v>0</v>
      </c>
      <c r="BB43" s="3">
        <f>IF($C$5="ON",CB43,MyRating(_E8,$B43,Efficacy!$F$1))</f>
        <v>0</v>
      </c>
      <c r="BC43" s="3">
        <f>IF($C$5="ON",CC43,MyRating(_S1,$B43,Efficacy!$F$1))</f>
        <v>0</v>
      </c>
      <c r="BD43" s="3">
        <f>IF($C$5="ON",CD43,MyRating(_S2,$B43,Efficacy!$F$1))</f>
        <v>0</v>
      </c>
      <c r="BE43" s="3">
        <f>IF($C$5="ON",CE43,MyRating(_S3,$B43,Efficacy!$F$1))</f>
        <v>0</v>
      </c>
      <c r="BF43" s="3">
        <f>IF($C$5="ON",CF43,MyRating(_S4,$B43,Efficacy!$F$1))</f>
        <v>0</v>
      </c>
      <c r="BG43" s="3">
        <f>IF($C$5="ON",CG43,MyRating(_S5,$B43,Efficacy!$F$1))</f>
        <v>0</v>
      </c>
      <c r="BH43" s="3">
        <f>IF($C$5="ON",CH43,MyRating(_S6,$B43,Efficacy!$F$1))</f>
        <v>0</v>
      </c>
      <c r="BI43" s="3">
        <f>IF($C$5="ON",CI43,MyRating(_S7,$B43,Efficacy!$F$1))</f>
        <v>0</v>
      </c>
      <c r="BJ43" s="3">
        <f>IF($C$5="ON",CJ43,MyRating(_D1,$B43,Efficacy!$F$1))</f>
        <v>0</v>
      </c>
      <c r="BK43" s="3">
        <f>IF($C$5="ON",CK43,MyRating(_D2,$B43,Efficacy!$F$1))</f>
        <v>0</v>
      </c>
      <c r="BL43" s="3">
        <f>IF($C$5="ON",CL43,MyRating(_D3,$B43,Efficacy!$F$1))</f>
        <v>0</v>
      </c>
      <c r="BM43" s="3">
        <f>IF($C$5="ON",CM43,MyRating(_D4,$B43,Efficacy!$F$1))</f>
        <v>0</v>
      </c>
      <c r="BN43" s="3">
        <f>IF($C$5="ON",CN43,MyRating(_B1G5,$B43,Barrier!$L$2))</f>
        <v>0</v>
      </c>
      <c r="BO43" s="3">
        <f>IF($C$5="ON",CO43,MyRating(_B2,$B43,Barrier!$F$2))</f>
        <v>0</v>
      </c>
      <c r="BP43" s="6">
        <f>IF($C$5="ON",CP43,MyRating(_B3,$B43,Barrier!$F$2))</f>
        <v>0</v>
      </c>
      <c r="BQ43" s="5">
        <f t="shared" si="6"/>
        <v>0</v>
      </c>
      <c r="BR43" s="8">
        <f t="shared" si="7"/>
        <v>0</v>
      </c>
      <c r="BS43" s="5">
        <f t="shared" si="8"/>
        <v>0</v>
      </c>
      <c r="BT43" s="7">
        <f t="shared" si="9"/>
        <v>0</v>
      </c>
      <c r="BU43" s="4">
        <v>0</v>
      </c>
      <c r="BV43" s="3">
        <v>0</v>
      </c>
      <c r="BW43" s="3">
        <v>0</v>
      </c>
      <c r="BX43" s="3">
        <v>0</v>
      </c>
      <c r="BY43" s="3">
        <v>0</v>
      </c>
      <c r="BZ43" s="3">
        <v>0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6">
        <v>0</v>
      </c>
      <c r="CQ43" s="5">
        <v>0</v>
      </c>
      <c r="CR43" s="61"/>
    </row>
    <row r="44" spans="1:96" x14ac:dyDescent="0.35">
      <c r="A44" s="9" t="str">
        <f t="shared" si="0"/>
        <v>JP</v>
      </c>
      <c r="B44" s="9" t="s">
        <v>19</v>
      </c>
      <c r="C44" s="20"/>
      <c r="D44" s="9" t="s">
        <v>18</v>
      </c>
      <c r="E44" s="9" t="s">
        <v>193</v>
      </c>
      <c r="F44" s="9" t="s">
        <v>1</v>
      </c>
      <c r="G44" s="19">
        <v>0</v>
      </c>
      <c r="H44" s="9">
        <v>2014</v>
      </c>
      <c r="I44" s="9">
        <v>6</v>
      </c>
      <c r="J44" s="18">
        <f>INDEX(PTRS!$D$6:$D$12,MATCH('7'!$F44,PTRS!$B$6:$B$12,0))</f>
        <v>0.1044225</v>
      </c>
      <c r="K44" s="17">
        <v>0</v>
      </c>
      <c r="L44" s="17">
        <v>0.1044225</v>
      </c>
      <c r="M44" s="17">
        <v>0.1044225</v>
      </c>
      <c r="N44" s="17">
        <v>0.1044225</v>
      </c>
      <c r="O44" s="17">
        <v>0.1044225</v>
      </c>
      <c r="P44" s="17">
        <v>0.1044225</v>
      </c>
      <c r="Q44" s="17">
        <v>0.1044225</v>
      </c>
      <c r="R44" s="17">
        <v>0.1044225</v>
      </c>
      <c r="S44" s="17">
        <v>1</v>
      </c>
      <c r="T44" s="9" t="s">
        <v>17</v>
      </c>
      <c r="U44" s="22">
        <v>0.72649652910676854</v>
      </c>
      <c r="V44" s="17">
        <v>1</v>
      </c>
      <c r="W44" s="9" t="s">
        <v>16</v>
      </c>
      <c r="X44" s="9">
        <f>INDEX('Unique Asset List'!$C$4:$I$60,MATCH('7'!$B44,'Unique Asset List'!$A$4:$A$60,0),MATCH('7'!$C$1,'Unique Asset List'!$C$3:$I$3,0))</f>
        <v>2030</v>
      </c>
      <c r="Y44" s="9">
        <f>INDEX('Unique Asset List'!$J$4:$P$60,MATCH('7'!$B44,'Unique Asset List'!$A$4:$A$60,0),MATCH('7'!$C$1,'Unique Asset List'!$J$3:$P$3,0))</f>
        <v>11</v>
      </c>
      <c r="Z44" s="9">
        <f>INDEX('Unique Asset List'!$X$4:$AD$60,MATCH('7'!$B44,'Unique Asset List'!$A$4:$A$60,0),MATCH('7'!$C$1,'Unique Asset List'!$X$3:$AD$3,0))</f>
        <v>2038</v>
      </c>
      <c r="AA44" s="9">
        <f>INDEX('Unique Asset List'!$AE$4:$AK$60,MATCH('7'!$B44,'Unique Asset List'!$A$4:$A$60,0),MATCH('7'!$C$1,'Unique Asset List'!$AE$3:$AK$3,0))</f>
        <v>11</v>
      </c>
      <c r="AB44" s="16">
        <f>AB24</f>
        <v>1.7951404000000002</v>
      </c>
      <c r="AC44" s="16">
        <f>AC24</f>
        <v>0.88497580000000009</v>
      </c>
      <c r="AD44" s="16">
        <f>AD24</f>
        <v>0.56099999999999994</v>
      </c>
      <c r="AE44" s="15">
        <f>INDEX('Unique Asset List'!$BN$4:$BT$60,MATCH('7'!$B44,'Unique Asset List'!$A$4:$A$60,0),MATCH('7'!$C$1,'Unique Asset List'!$BN$3:$BT$3,0))</f>
        <v>0.16</v>
      </c>
      <c r="AF44" s="15">
        <f>INDEX('Unique Asset List'!$BU$4:$CA$60,MATCH('7'!$B44,'Unique Asset List'!$A$4:$A$60,0),MATCH('7'!$C$1,'Unique Asset List'!$BU$3:$CA$3,0))</f>
        <v>0.34</v>
      </c>
      <c r="AG44" s="15">
        <f>INDEX('Unique Asset List'!$AZ$4:$BF$60,MATCH('7'!$B44,'Unique Asset List'!$A$4:$A$60,0),MATCH('7'!$C$1,'Unique Asset List'!$AZ$3:$BF$3,0))</f>
        <v>0.16</v>
      </c>
      <c r="AH44" s="15">
        <f>INDEX('Unique Asset List'!$BG$4:$BM$60,MATCH('7'!$B44,'Unique Asset List'!$A$4:$A$60,0),MATCH('7'!$C$1,'Unique Asset List'!$BG$3:$BM$3,0))</f>
        <v>0.34</v>
      </c>
      <c r="AI44" s="11">
        <v>0.7</v>
      </c>
      <c r="AJ44" s="15">
        <f>INDEX('Unique Asset List'!$AL$4:$AR$60,MATCH('7'!$B44,'Unique Asset List'!$A$4:$A$60,0),MATCH('7'!$C$1,'Unique Asset List'!$AL$3:$AR$3,0))</f>
        <v>0.14000000000000001</v>
      </c>
      <c r="AK44" s="15">
        <f>INDEX('Unique Asset List'!$AS$4:$AY$60,MATCH('7'!$B44,'Unique Asset List'!$A$4:$A$60,0),MATCH('7'!$C$1,'Unique Asset List'!$AS$3:$AY$3,0))</f>
        <v>0.15</v>
      </c>
      <c r="AL44" s="9">
        <v>169</v>
      </c>
      <c r="AM44" s="14">
        <f>INDEX(Simulation!$B$6:$H$6,MATCH($A44,Simulation!$B$1:$H$1,0))*(1+AN44)^((DATE(X44,Y44,15)-DATE(2017,1,15))/365.5)</f>
        <v>0.75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5"/>
        <v>0.82</v>
      </c>
      <c r="AS44" s="10">
        <v>1</v>
      </c>
      <c r="AT44" s="10"/>
      <c r="AU44" s="4">
        <f>IF($C$5="ON",BU44,MyRating(_E1,$B44,Efficacy!$F$1))</f>
        <v>0</v>
      </c>
      <c r="AV44" s="3">
        <f>IF($C$5="ON",BV44,MyRating(_E2,$B44,Efficacy!$F$1))</f>
        <v>0</v>
      </c>
      <c r="AW44" s="3">
        <f>IF($C$5="ON",BW44,MyRating(_E3,$B44,Efficacy!$F$1))</f>
        <v>0</v>
      </c>
      <c r="AX44" s="3">
        <f>IF($C$5="ON",BX44,MyRating(_E4,$B44,Efficacy!$F$1))</f>
        <v>0</v>
      </c>
      <c r="AY44" s="3">
        <f>IF($C$5="ON",BY44,MyRating(_E5,$B44,Efficacy!$F$1))</f>
        <v>0</v>
      </c>
      <c r="AZ44" s="3">
        <f>IF($C$5="ON",BZ44,MyRating(_E6,$B44,Efficacy!$F$1))</f>
        <v>0</v>
      </c>
      <c r="BA44" s="3">
        <f>IF($C$5="ON",CA44,MyRating(_E7,$B44,Efficacy!$F$1))</f>
        <v>0</v>
      </c>
      <c r="BB44" s="3">
        <f>IF($C$5="ON",CB44,MyRating(_E8,$B44,Efficacy!$F$1))</f>
        <v>0</v>
      </c>
      <c r="BC44" s="3">
        <f>IF($C$5="ON",CC44,MyRating(_S1,$B44,Efficacy!$F$1))</f>
        <v>0</v>
      </c>
      <c r="BD44" s="3">
        <f>IF($C$5="ON",CD44,MyRating(_S2,$B44,Efficacy!$F$1))</f>
        <v>0</v>
      </c>
      <c r="BE44" s="3">
        <f>IF($C$5="ON",CE44,MyRating(_S3,$B44,Efficacy!$F$1))</f>
        <v>0</v>
      </c>
      <c r="BF44" s="3">
        <f>IF($C$5="ON",CF44,MyRating(_S4,$B44,Efficacy!$F$1))</f>
        <v>0</v>
      </c>
      <c r="BG44" s="3">
        <f>IF($C$5="ON",CG44,MyRating(_S5,$B44,Efficacy!$F$1))</f>
        <v>0</v>
      </c>
      <c r="BH44" s="3">
        <f>IF($C$5="ON",CH44,MyRating(_S6,$B44,Efficacy!$F$1))</f>
        <v>0</v>
      </c>
      <c r="BI44" s="3">
        <f>IF($C$5="ON",CI44,MyRating(_S7,$B44,Efficacy!$F$1))</f>
        <v>0</v>
      </c>
      <c r="BJ44" s="3">
        <f>IF($C$5="ON",CJ44,MyRating(_D1,$B44,Efficacy!$F$1))</f>
        <v>0</v>
      </c>
      <c r="BK44" s="3">
        <f>IF($C$5="ON",CK44,MyRating(_D2,$B44,Efficacy!$F$1))</f>
        <v>0</v>
      </c>
      <c r="BL44" s="3">
        <f>IF($C$5="ON",CL44,MyRating(_D3,$B44,Efficacy!$F$1))</f>
        <v>0</v>
      </c>
      <c r="BM44" s="3">
        <f>IF($C$5="ON",CM44,MyRating(_D4,$B44,Efficacy!$F$1))</f>
        <v>0</v>
      </c>
      <c r="BN44" s="3">
        <f>IF($C$5="ON",CN44,MyRating(_B1G5,$B44,Barrier!$L$2))</f>
        <v>0</v>
      </c>
      <c r="BO44" s="3">
        <f>IF($C$5="ON",CO44,MyRating(_B2,$B44,Barrier!$F$2))</f>
        <v>0</v>
      </c>
      <c r="BP44" s="6">
        <f>IF($C$5="ON",CP44,MyRating(_B3,$B44,Barrier!$F$2))</f>
        <v>0</v>
      </c>
      <c r="BQ44" s="5">
        <f t="shared" si="6"/>
        <v>0</v>
      </c>
      <c r="BR44" s="8">
        <f t="shared" si="7"/>
        <v>0</v>
      </c>
      <c r="BS44" s="5">
        <f t="shared" si="8"/>
        <v>0</v>
      </c>
      <c r="BT44" s="7">
        <f t="shared" si="9"/>
        <v>0</v>
      </c>
      <c r="BU44" s="4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6">
        <v>0</v>
      </c>
      <c r="CQ44" s="5">
        <v>0</v>
      </c>
      <c r="CR44" s="61"/>
    </row>
    <row r="45" spans="1:96" x14ac:dyDescent="0.35">
      <c r="A45" s="9" t="str">
        <f t="shared" si="0"/>
        <v>JP</v>
      </c>
      <c r="B45" s="9" t="s">
        <v>13</v>
      </c>
      <c r="C45" s="20"/>
      <c r="D45" s="9" t="s">
        <v>2</v>
      </c>
      <c r="E45" s="9" t="s">
        <v>193</v>
      </c>
      <c r="F45" s="9" t="s">
        <v>1</v>
      </c>
      <c r="G45" s="19">
        <v>0</v>
      </c>
      <c r="H45" s="9">
        <v>2014</v>
      </c>
      <c r="I45" s="9">
        <v>6</v>
      </c>
      <c r="J45" s="18">
        <f>INDEX(PTRS!$D$6:$D$12,MATCH('7'!$F45,PTRS!$B$6:$B$12,0))</f>
        <v>0.1044225</v>
      </c>
      <c r="K45" s="17">
        <v>0</v>
      </c>
      <c r="L45" s="17">
        <v>0.1044225</v>
      </c>
      <c r="M45" s="17">
        <v>0</v>
      </c>
      <c r="N45" s="17">
        <v>0</v>
      </c>
      <c r="O45" s="17">
        <v>1</v>
      </c>
      <c r="P45" s="17">
        <v>0.1044225</v>
      </c>
      <c r="Q45" s="17">
        <v>0.1044225</v>
      </c>
      <c r="R45" s="17">
        <v>0.1044225</v>
      </c>
      <c r="S45" s="17">
        <v>1</v>
      </c>
      <c r="T45" s="17"/>
      <c r="U45" s="22">
        <v>0.72649652910676854</v>
      </c>
      <c r="V45" s="17">
        <v>1</v>
      </c>
      <c r="W45" s="9" t="s">
        <v>13</v>
      </c>
      <c r="X45" s="9">
        <f>INDEX('Unique Asset List'!$C$4:$I$60,MATCH('7'!$B45,'Unique Asset List'!$A$4:$A$60,0),MATCH('7'!$C$1,'Unique Asset List'!$C$3:$I$3,0))</f>
        <v>2030</v>
      </c>
      <c r="Y45" s="9">
        <f>INDEX('Unique Asset List'!$J$4:$P$60,MATCH('7'!$B45,'Unique Asset List'!$A$4:$A$60,0),MATCH('7'!$C$1,'Unique Asset List'!$J$3:$P$3,0))</f>
        <v>6</v>
      </c>
      <c r="Z45" s="9">
        <f>INDEX('Unique Asset List'!$X$4:$AD$60,MATCH('7'!$B45,'Unique Asset List'!$A$4:$A$60,0),MATCH('7'!$C$1,'Unique Asset List'!$X$3:$AD$3,0))</f>
        <v>2038</v>
      </c>
      <c r="AA45" s="9">
        <f>INDEX('Unique Asset List'!$AE$4:$AK$60,MATCH('7'!$B45,'Unique Asset List'!$A$4:$A$60,0),MATCH('7'!$C$1,'Unique Asset List'!$AE$3:$AK$3,0))</f>
        <v>6</v>
      </c>
      <c r="AB45" s="16">
        <v>2.3276916000000001</v>
      </c>
      <c r="AC45" s="16">
        <v>1.0028454</v>
      </c>
      <c r="AD45" s="16">
        <v>0.56099999999999994</v>
      </c>
      <c r="AE45" s="15">
        <f>INDEX('Unique Asset List'!$BN$4:$BT$60,MATCH('7'!$B45,'Unique Asset List'!$A$4:$A$60,0),MATCH('7'!$C$1,'Unique Asset List'!$BN$3:$BT$3,0))</f>
        <v>0.16</v>
      </c>
      <c r="AF45" s="15">
        <f>INDEX('Unique Asset List'!$BU$4:$CA$60,MATCH('7'!$B45,'Unique Asset List'!$A$4:$A$60,0),MATCH('7'!$C$1,'Unique Asset List'!$BU$3:$CA$3,0))</f>
        <v>0.34</v>
      </c>
      <c r="AG45" s="15">
        <f>INDEX('Unique Asset List'!$AZ$4:$BF$60,MATCH('7'!$B45,'Unique Asset List'!$A$4:$A$60,0),MATCH('7'!$C$1,'Unique Asset List'!$AZ$3:$BF$3,0))</f>
        <v>0.16</v>
      </c>
      <c r="AH45" s="15">
        <f>INDEX('Unique Asset List'!$BG$4:$BM$60,MATCH('7'!$B45,'Unique Asset List'!$A$4:$A$60,0),MATCH('7'!$C$1,'Unique Asset List'!$BG$3:$BM$3,0))</f>
        <v>0.34</v>
      </c>
      <c r="AI45" s="11">
        <v>0.7</v>
      </c>
      <c r="AJ45" s="15">
        <f>INDEX('Unique Asset List'!$AL$4:$AR$60,MATCH('7'!$B45,'Unique Asset List'!$A$4:$A$60,0),MATCH('7'!$C$1,'Unique Asset List'!$AL$3:$AR$3,0))</f>
        <v>0.14000000000000001</v>
      </c>
      <c r="AK45" s="15">
        <f>INDEX('Unique Asset List'!$AS$4:$AY$60,MATCH('7'!$B45,'Unique Asset List'!$A$4:$A$60,0),MATCH('7'!$C$1,'Unique Asset List'!$AS$3:$AY$3,0))</f>
        <v>0.15</v>
      </c>
      <c r="AL45" s="9">
        <v>169</v>
      </c>
      <c r="AM45" s="14">
        <f>INDEX(Simulation!$B$6:$H$6,MATCH($A45,Simulation!$B$1:$H$1,0))*(1+AN45)^((DATE(X45,Y45,15)-DATE(2017,1,15))/365.5)</f>
        <v>0.75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5"/>
        <v>0.82</v>
      </c>
      <c r="AS45" s="10">
        <v>1</v>
      </c>
      <c r="AT45" s="10"/>
      <c r="AU45" s="4">
        <f>IF($C$5="ON",BU45,MyRating(_E1,$B45,Efficacy!$F$1))</f>
        <v>0</v>
      </c>
      <c r="AV45" s="3">
        <f>IF($C$5="ON",BV45,MyRating(_E2,$B45,Efficacy!$F$1))</f>
        <v>0</v>
      </c>
      <c r="AW45" s="3">
        <f>IF($C$5="ON",BW45,MyRating(_E3,$B45,Efficacy!$F$1))</f>
        <v>0</v>
      </c>
      <c r="AX45" s="3">
        <f>IF($C$5="ON",BX45,MyRating(_E4,$B45,Efficacy!$F$1))</f>
        <v>0</v>
      </c>
      <c r="AY45" s="3">
        <f>IF($C$5="ON",BY45,MyRating(_E5,$B45,Efficacy!$F$1))</f>
        <v>0</v>
      </c>
      <c r="AZ45" s="3">
        <f>IF($C$5="ON",BZ45,MyRating(_E6,$B45,Efficacy!$F$1))</f>
        <v>0</v>
      </c>
      <c r="BA45" s="3">
        <f>IF($C$5="ON",CA45,MyRating(_E7,$B45,Efficacy!$F$1))</f>
        <v>0</v>
      </c>
      <c r="BB45" s="3">
        <f>IF($C$5="ON",CB45,MyRating(_E8,$B45,Efficacy!$F$1))</f>
        <v>0</v>
      </c>
      <c r="BC45" s="3">
        <f>IF($C$5="ON",CC45,MyRating(_S1,$B45,Efficacy!$F$1))</f>
        <v>0</v>
      </c>
      <c r="BD45" s="3">
        <f>IF($C$5="ON",CD45,MyRating(_S2,$B45,Efficacy!$F$1))</f>
        <v>0</v>
      </c>
      <c r="BE45" s="3">
        <f>IF($C$5="ON",CE45,MyRating(_S3,$B45,Efficacy!$F$1))</f>
        <v>0</v>
      </c>
      <c r="BF45" s="3">
        <f>IF($C$5="ON",CF45,MyRating(_S4,$B45,Efficacy!$F$1))</f>
        <v>0</v>
      </c>
      <c r="BG45" s="3">
        <f>IF($C$5="ON",CG45,MyRating(_S5,$B45,Efficacy!$F$1))</f>
        <v>0</v>
      </c>
      <c r="BH45" s="3">
        <f>IF($C$5="ON",CH45,MyRating(_S6,$B45,Efficacy!$F$1))</f>
        <v>0</v>
      </c>
      <c r="BI45" s="3">
        <f>IF($C$5="ON",CI45,MyRating(_S7,$B45,Efficacy!$F$1))</f>
        <v>0</v>
      </c>
      <c r="BJ45" s="3">
        <f>IF($C$5="ON",CJ45,MyRating(_D1,$B45,Efficacy!$F$1))</f>
        <v>0</v>
      </c>
      <c r="BK45" s="3">
        <f>IF($C$5="ON",CK45,MyRating(_D2,$B45,Efficacy!$F$1))</f>
        <v>0</v>
      </c>
      <c r="BL45" s="3">
        <f>IF($C$5="ON",CL45,MyRating(_D3,$B45,Efficacy!$F$1))</f>
        <v>0</v>
      </c>
      <c r="BM45" s="3">
        <f>IF($C$5="ON",CM45,MyRating(_D4,$B45,Efficacy!$F$1))</f>
        <v>0</v>
      </c>
      <c r="BN45" s="3">
        <f>IF($C$5="ON",CN45,MyRating(_B1G5,$B45,Barrier!$L$2))</f>
        <v>0</v>
      </c>
      <c r="BO45" s="3">
        <f>IF($C$5="ON",CO45,MyRating(_B2,$B45,Barrier!$F$2))</f>
        <v>0</v>
      </c>
      <c r="BP45" s="6">
        <f>IF($C$5="ON",CP45,MyRating(_B3,$B45,Barrier!$F$2))</f>
        <v>0</v>
      </c>
      <c r="BQ45" s="5">
        <f t="shared" si="6"/>
        <v>0</v>
      </c>
      <c r="BR45" s="8">
        <f t="shared" si="7"/>
        <v>0</v>
      </c>
      <c r="BS45" s="5">
        <f t="shared" si="8"/>
        <v>0</v>
      </c>
      <c r="BT45" s="7">
        <f t="shared" si="9"/>
        <v>0</v>
      </c>
      <c r="BU45" s="4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6">
        <v>0</v>
      </c>
      <c r="CQ45" s="5">
        <v>0</v>
      </c>
      <c r="CR45" s="61"/>
    </row>
    <row r="46" spans="1:96" x14ac:dyDescent="0.35">
      <c r="A46" s="9" t="str">
        <f t="shared" si="0"/>
        <v>JP</v>
      </c>
      <c r="B46" s="9" t="s">
        <v>10</v>
      </c>
      <c r="C46" s="20"/>
      <c r="D46" s="9" t="s">
        <v>2</v>
      </c>
      <c r="E46" s="9" t="s">
        <v>193</v>
      </c>
      <c r="F46" s="9" t="s">
        <v>1</v>
      </c>
      <c r="G46" s="19">
        <v>0</v>
      </c>
      <c r="H46" s="9">
        <v>2014</v>
      </c>
      <c r="I46" s="9">
        <v>6</v>
      </c>
      <c r="J46" s="18">
        <f>INDEX(PTRS!$D$6:$D$12,MATCH('7'!$F46,PTRS!$B$6:$B$12,0))</f>
        <v>0.1044225</v>
      </c>
      <c r="K46" s="17">
        <v>0</v>
      </c>
      <c r="L46" s="17">
        <v>0.1044225</v>
      </c>
      <c r="M46" s="17">
        <v>0</v>
      </c>
      <c r="N46" s="17">
        <v>0</v>
      </c>
      <c r="O46" s="17">
        <v>1</v>
      </c>
      <c r="P46" s="17">
        <v>0.1044225</v>
      </c>
      <c r="Q46" s="17">
        <v>0.1044225</v>
      </c>
      <c r="R46" s="17">
        <v>0.1044225</v>
      </c>
      <c r="S46" s="17">
        <v>1</v>
      </c>
      <c r="T46" s="17"/>
      <c r="U46" s="22">
        <v>0.72649652910676854</v>
      </c>
      <c r="V46" s="17">
        <v>1</v>
      </c>
      <c r="W46" s="9" t="s">
        <v>10</v>
      </c>
      <c r="X46" s="9">
        <f>INDEX('Unique Asset List'!$C$4:$I$60,MATCH('7'!$B46,'Unique Asset List'!$A$4:$A$60,0),MATCH('7'!$C$1,'Unique Asset List'!$C$3:$I$3,0))</f>
        <v>2034</v>
      </c>
      <c r="Y46" s="9">
        <f>INDEX('Unique Asset List'!$J$4:$P$60,MATCH('7'!$B46,'Unique Asset List'!$A$4:$A$60,0),MATCH('7'!$C$1,'Unique Asset List'!$J$3:$P$3,0))</f>
        <v>6</v>
      </c>
      <c r="Z46" s="9">
        <f>INDEX('Unique Asset List'!$X$4:$AD$60,MATCH('7'!$B46,'Unique Asset List'!$A$4:$A$60,0),MATCH('7'!$C$1,'Unique Asset List'!$X$3:$AD$3,0))</f>
        <v>2042</v>
      </c>
      <c r="AA46" s="9">
        <f>INDEX('Unique Asset List'!$AE$4:$AK$60,MATCH('7'!$B46,'Unique Asset List'!$A$4:$A$60,0),MATCH('7'!$C$1,'Unique Asset List'!$AE$3:$AK$3,0))</f>
        <v>6</v>
      </c>
      <c r="AB46" s="16">
        <v>2.3276916000000001</v>
      </c>
      <c r="AC46" s="16">
        <v>1.0028454</v>
      </c>
      <c r="AD46" s="16">
        <v>0.56099999999999994</v>
      </c>
      <c r="AE46" s="15">
        <f>INDEX('Unique Asset List'!$BN$4:$BT$60,MATCH('7'!$B46,'Unique Asset List'!$A$4:$A$60,0),MATCH('7'!$C$1,'Unique Asset List'!$BN$3:$BT$3,0))</f>
        <v>0.16</v>
      </c>
      <c r="AF46" s="15">
        <f>INDEX('Unique Asset List'!$BU$4:$CA$60,MATCH('7'!$B46,'Unique Asset List'!$A$4:$A$60,0),MATCH('7'!$C$1,'Unique Asset List'!$BU$3:$CA$3,0))</f>
        <v>0.34</v>
      </c>
      <c r="AG46" s="15">
        <f>INDEX('Unique Asset List'!$AZ$4:$BF$60,MATCH('7'!$B46,'Unique Asset List'!$A$4:$A$60,0),MATCH('7'!$C$1,'Unique Asset List'!$AZ$3:$BF$3,0))</f>
        <v>0.16</v>
      </c>
      <c r="AH46" s="15">
        <f>INDEX('Unique Asset List'!$BG$4:$BM$60,MATCH('7'!$B46,'Unique Asset List'!$A$4:$A$60,0),MATCH('7'!$C$1,'Unique Asset List'!$BG$3:$BM$3,0))</f>
        <v>0.34</v>
      </c>
      <c r="AI46" s="11">
        <v>0.7</v>
      </c>
      <c r="AJ46" s="15">
        <f>INDEX('Unique Asset List'!$AL$4:$AR$60,MATCH('7'!$B46,'Unique Asset List'!$A$4:$A$60,0),MATCH('7'!$C$1,'Unique Asset List'!$AL$3:$AR$3,0))</f>
        <v>0.14000000000000001</v>
      </c>
      <c r="AK46" s="15">
        <f>INDEX('Unique Asset List'!$AS$4:$AY$60,MATCH('7'!$B46,'Unique Asset List'!$A$4:$A$60,0),MATCH('7'!$C$1,'Unique Asset List'!$AS$3:$AY$3,0))</f>
        <v>0.15</v>
      </c>
      <c r="AL46" s="9">
        <v>169</v>
      </c>
      <c r="AM46" s="14">
        <f>INDEX(Simulation!$B$6:$H$6,MATCH($A46,Simulation!$B$1:$H$1,0))*(1+AN46)^((DATE(X46,Y46,15)-DATE(2017,1,15))/365.5)</f>
        <v>0.75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5"/>
        <v>0.82</v>
      </c>
      <c r="AS46" s="10">
        <v>1</v>
      </c>
      <c r="AT46" s="10"/>
      <c r="AU46" s="4">
        <f>IF($C$5="ON",BU46,MyRating(_E1,$B46,Efficacy!$F$1))</f>
        <v>0</v>
      </c>
      <c r="AV46" s="3">
        <f>IF($C$5="ON",BV46,MyRating(_E2,$B46,Efficacy!$F$1))</f>
        <v>0</v>
      </c>
      <c r="AW46" s="3">
        <f>IF($C$5="ON",BW46,MyRating(_E3,$B46,Efficacy!$F$1))</f>
        <v>0</v>
      </c>
      <c r="AX46" s="3">
        <f>IF($C$5="ON",BX46,MyRating(_E4,$B46,Efficacy!$F$1))</f>
        <v>0</v>
      </c>
      <c r="AY46" s="3">
        <f>IF($C$5="ON",BY46,MyRating(_E5,$B46,Efficacy!$F$1))</f>
        <v>0</v>
      </c>
      <c r="AZ46" s="3">
        <f>IF($C$5="ON",BZ46,MyRating(_E6,$B46,Efficacy!$F$1))</f>
        <v>0</v>
      </c>
      <c r="BA46" s="3">
        <f>IF($C$5="ON",CA46,MyRating(_E7,$B46,Efficacy!$F$1))</f>
        <v>0</v>
      </c>
      <c r="BB46" s="3">
        <f>IF($C$5="ON",CB46,MyRating(_E8,$B46,Efficacy!$F$1))</f>
        <v>0</v>
      </c>
      <c r="BC46" s="3">
        <f>IF($C$5="ON",CC46,MyRating(_S1,$B46,Efficacy!$F$1))</f>
        <v>0</v>
      </c>
      <c r="BD46" s="3">
        <f>IF($C$5="ON",CD46,MyRating(_S2,$B46,Efficacy!$F$1))</f>
        <v>0</v>
      </c>
      <c r="BE46" s="3">
        <f>IF($C$5="ON",CE46,MyRating(_S3,$B46,Efficacy!$F$1))</f>
        <v>0</v>
      </c>
      <c r="BF46" s="3">
        <f>IF($C$5="ON",CF46,MyRating(_S4,$B46,Efficacy!$F$1))</f>
        <v>0</v>
      </c>
      <c r="BG46" s="3">
        <f>IF($C$5="ON",CG46,MyRating(_S5,$B46,Efficacy!$F$1))</f>
        <v>0</v>
      </c>
      <c r="BH46" s="3">
        <f>IF($C$5="ON",CH46,MyRating(_S6,$B46,Efficacy!$F$1))</f>
        <v>0</v>
      </c>
      <c r="BI46" s="3">
        <f>IF($C$5="ON",CI46,MyRating(_S7,$B46,Efficacy!$F$1))</f>
        <v>0</v>
      </c>
      <c r="BJ46" s="3">
        <f>IF($C$5="ON",CJ46,MyRating(_D1,$B46,Efficacy!$F$1))</f>
        <v>0</v>
      </c>
      <c r="BK46" s="3">
        <f>IF($C$5="ON",CK46,MyRating(_D2,$B46,Efficacy!$F$1))</f>
        <v>0</v>
      </c>
      <c r="BL46" s="3">
        <f>IF($C$5="ON",CL46,MyRating(_D3,$B46,Efficacy!$F$1))</f>
        <v>0</v>
      </c>
      <c r="BM46" s="3">
        <f>IF($C$5="ON",CM46,MyRating(_D4,$B46,Efficacy!$F$1))</f>
        <v>0</v>
      </c>
      <c r="BN46" s="3">
        <f>IF($C$5="ON",CN46,MyRating(_B1G5,$B46,Barrier!$L$2))</f>
        <v>0</v>
      </c>
      <c r="BO46" s="3">
        <f>IF($C$5="ON",CO46,MyRating(_B2,$B46,Barrier!$F$2))</f>
        <v>0</v>
      </c>
      <c r="BP46" s="6">
        <f>IF($C$5="ON",CP46,MyRating(_B3,$B46,Barrier!$F$2))</f>
        <v>0</v>
      </c>
      <c r="BQ46" s="5">
        <f t="shared" si="6"/>
        <v>0</v>
      </c>
      <c r="BR46" s="8">
        <f t="shared" si="7"/>
        <v>0</v>
      </c>
      <c r="BS46" s="5">
        <f t="shared" si="8"/>
        <v>0</v>
      </c>
      <c r="BT46" s="7">
        <f t="shared" si="9"/>
        <v>0</v>
      </c>
      <c r="BU46" s="4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6">
        <v>0</v>
      </c>
      <c r="CQ46" s="5">
        <v>0</v>
      </c>
      <c r="CR46" s="61"/>
    </row>
    <row r="47" spans="1:96" x14ac:dyDescent="0.35">
      <c r="A47" s="9" t="str">
        <f t="shared" si="0"/>
        <v>JP</v>
      </c>
      <c r="B47" s="9" t="s">
        <v>7</v>
      </c>
      <c r="C47" s="20"/>
      <c r="D47" s="9" t="s">
        <v>2</v>
      </c>
      <c r="E47" s="9" t="s">
        <v>193</v>
      </c>
      <c r="F47" s="9" t="s">
        <v>1</v>
      </c>
      <c r="G47" s="19">
        <v>0</v>
      </c>
      <c r="H47" s="9">
        <v>2014</v>
      </c>
      <c r="I47" s="9">
        <v>6</v>
      </c>
      <c r="J47" s="18">
        <f>INDEX(PTRS!$D$6:$D$12,MATCH('7'!$F47,PTRS!$B$6:$B$12,0))</f>
        <v>0.1044225</v>
      </c>
      <c r="K47" s="17">
        <v>0</v>
      </c>
      <c r="L47" s="17">
        <v>0.1044225</v>
      </c>
      <c r="M47" s="17">
        <v>0</v>
      </c>
      <c r="N47" s="17">
        <v>0</v>
      </c>
      <c r="O47" s="17">
        <v>1</v>
      </c>
      <c r="P47" s="17">
        <v>0.1044225</v>
      </c>
      <c r="Q47" s="17">
        <v>0.1044225</v>
      </c>
      <c r="R47" s="17">
        <v>0.1044225</v>
      </c>
      <c r="S47" s="17">
        <v>1</v>
      </c>
      <c r="T47" s="17"/>
      <c r="U47" s="22">
        <v>0.72649652910676854</v>
      </c>
      <c r="V47" s="17">
        <v>1</v>
      </c>
      <c r="W47" s="9" t="s">
        <v>7</v>
      </c>
      <c r="X47" s="9">
        <f>INDEX('Unique Asset List'!$C$4:$I$60,MATCH('7'!$B47,'Unique Asset List'!$A$4:$A$60,0),MATCH('7'!$C$1,'Unique Asset List'!$C$3:$I$3,0))</f>
        <v>2038</v>
      </c>
      <c r="Y47" s="9">
        <f>INDEX('Unique Asset List'!$J$4:$P$60,MATCH('7'!$B47,'Unique Asset List'!$A$4:$A$60,0),MATCH('7'!$C$1,'Unique Asset List'!$J$3:$P$3,0))</f>
        <v>6</v>
      </c>
      <c r="Z47" s="9">
        <f>INDEX('Unique Asset List'!$X$4:$AD$60,MATCH('7'!$B47,'Unique Asset List'!$A$4:$A$60,0),MATCH('7'!$C$1,'Unique Asset List'!$X$3:$AD$3,0))</f>
        <v>2046</v>
      </c>
      <c r="AA47" s="9">
        <f>INDEX('Unique Asset List'!$AE$4:$AK$60,MATCH('7'!$B47,'Unique Asset List'!$A$4:$A$60,0),MATCH('7'!$C$1,'Unique Asset List'!$AE$3:$AK$3,0))</f>
        <v>6</v>
      </c>
      <c r="AB47" s="16">
        <v>2.3276916000000001</v>
      </c>
      <c r="AC47" s="16">
        <v>1.0028454</v>
      </c>
      <c r="AD47" s="16">
        <v>0.56099999999999994</v>
      </c>
      <c r="AE47" s="15">
        <f>INDEX('Unique Asset List'!$BN$4:$BT$60,MATCH('7'!$B47,'Unique Asset List'!$A$4:$A$60,0),MATCH('7'!$C$1,'Unique Asset List'!$BN$3:$BT$3,0))</f>
        <v>0.16</v>
      </c>
      <c r="AF47" s="15">
        <f>INDEX('Unique Asset List'!$BU$4:$CA$60,MATCH('7'!$B47,'Unique Asset List'!$A$4:$A$60,0),MATCH('7'!$C$1,'Unique Asset List'!$BU$3:$CA$3,0))</f>
        <v>0.34</v>
      </c>
      <c r="AG47" s="15">
        <f>INDEX('Unique Asset List'!$AZ$4:$BF$60,MATCH('7'!$B47,'Unique Asset List'!$A$4:$A$60,0),MATCH('7'!$C$1,'Unique Asset List'!$AZ$3:$BF$3,0))</f>
        <v>0.16</v>
      </c>
      <c r="AH47" s="15">
        <f>INDEX('Unique Asset List'!$BG$4:$BM$60,MATCH('7'!$B47,'Unique Asset List'!$A$4:$A$60,0),MATCH('7'!$C$1,'Unique Asset List'!$BG$3:$BM$3,0))</f>
        <v>0.34</v>
      </c>
      <c r="AI47" s="11">
        <v>0.7</v>
      </c>
      <c r="AJ47" s="15">
        <f>INDEX('Unique Asset List'!$AL$4:$AR$60,MATCH('7'!$B47,'Unique Asset List'!$A$4:$A$60,0),MATCH('7'!$C$1,'Unique Asset List'!$AL$3:$AR$3,0))</f>
        <v>0.14000000000000001</v>
      </c>
      <c r="AK47" s="15">
        <f>INDEX('Unique Asset List'!$AS$4:$AY$60,MATCH('7'!$B47,'Unique Asset List'!$A$4:$A$60,0),MATCH('7'!$C$1,'Unique Asset List'!$AS$3:$AY$3,0))</f>
        <v>0.15</v>
      </c>
      <c r="AL47" s="9">
        <v>169</v>
      </c>
      <c r="AM47" s="14">
        <f>INDEX(Simulation!$B$6:$H$6,MATCH($A47,Simulation!$B$1:$H$1,0))*(1+AN47)^((DATE(X47,Y47,15)-DATE(2017,1,15))/365.5)</f>
        <v>0.75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5"/>
        <v>0.82</v>
      </c>
      <c r="AS47" s="10">
        <v>1</v>
      </c>
      <c r="AT47" s="10"/>
      <c r="AU47" s="4">
        <f>IF($C$5="ON",BU47,MyRating(_E1,$B47,Efficacy!$F$1))</f>
        <v>0</v>
      </c>
      <c r="AV47" s="3">
        <f>IF($C$5="ON",BV47,MyRating(_E2,$B47,Efficacy!$F$1))</f>
        <v>0</v>
      </c>
      <c r="AW47" s="3">
        <f>IF($C$5="ON",BW47,MyRating(_E3,$B47,Efficacy!$F$1))</f>
        <v>0</v>
      </c>
      <c r="AX47" s="3">
        <f>IF($C$5="ON",BX47,MyRating(_E4,$B47,Efficacy!$F$1))</f>
        <v>0</v>
      </c>
      <c r="AY47" s="3">
        <f>IF($C$5="ON",BY47,MyRating(_E5,$B47,Efficacy!$F$1))</f>
        <v>0</v>
      </c>
      <c r="AZ47" s="3">
        <f>IF($C$5="ON",BZ47,MyRating(_E6,$B47,Efficacy!$F$1))</f>
        <v>0</v>
      </c>
      <c r="BA47" s="3">
        <f>IF($C$5="ON",CA47,MyRating(_E7,$B47,Efficacy!$F$1))</f>
        <v>0</v>
      </c>
      <c r="BB47" s="3">
        <f>IF($C$5="ON",CB47,MyRating(_E8,$B47,Efficacy!$F$1))</f>
        <v>0</v>
      </c>
      <c r="BC47" s="3">
        <f>IF($C$5="ON",CC47,MyRating(_S1,$B47,Efficacy!$F$1))</f>
        <v>0</v>
      </c>
      <c r="BD47" s="3">
        <f>IF($C$5="ON",CD47,MyRating(_S2,$B47,Efficacy!$F$1))</f>
        <v>0</v>
      </c>
      <c r="BE47" s="3">
        <f>IF($C$5="ON",CE47,MyRating(_S3,$B47,Efficacy!$F$1))</f>
        <v>0</v>
      </c>
      <c r="BF47" s="3">
        <f>IF($C$5="ON",CF47,MyRating(_S4,$B47,Efficacy!$F$1))</f>
        <v>0</v>
      </c>
      <c r="BG47" s="3">
        <f>IF($C$5="ON",CG47,MyRating(_S5,$B47,Efficacy!$F$1))</f>
        <v>0</v>
      </c>
      <c r="BH47" s="3">
        <f>IF($C$5="ON",CH47,MyRating(_S6,$B47,Efficacy!$F$1))</f>
        <v>0</v>
      </c>
      <c r="BI47" s="3">
        <f>IF($C$5="ON",CI47,MyRating(_S7,$B47,Efficacy!$F$1))</f>
        <v>0</v>
      </c>
      <c r="BJ47" s="3">
        <f>IF($C$5="ON",CJ47,MyRating(_D1,$B47,Efficacy!$F$1))</f>
        <v>0</v>
      </c>
      <c r="BK47" s="3">
        <f>IF($C$5="ON",CK47,MyRating(_D2,$B47,Efficacy!$F$1))</f>
        <v>0</v>
      </c>
      <c r="BL47" s="3">
        <f>IF($C$5="ON",CL47,MyRating(_D3,$B47,Efficacy!$F$1))</f>
        <v>0</v>
      </c>
      <c r="BM47" s="3">
        <f>IF($C$5="ON",CM47,MyRating(_D4,$B47,Efficacy!$F$1))</f>
        <v>0</v>
      </c>
      <c r="BN47" s="3">
        <f>IF($C$5="ON",CN47,MyRating(_B1G5,$B47,Barrier!$L$2))</f>
        <v>0</v>
      </c>
      <c r="BO47" s="3">
        <f>IF($C$5="ON",CO47,MyRating(_B2,$B47,Barrier!$F$2))</f>
        <v>0</v>
      </c>
      <c r="BP47" s="6">
        <f>IF($C$5="ON",CP47,MyRating(_B3,$B47,Barrier!$F$2))</f>
        <v>0</v>
      </c>
      <c r="BQ47" s="5">
        <f t="shared" si="6"/>
        <v>0</v>
      </c>
      <c r="BR47" s="8">
        <f t="shared" si="7"/>
        <v>0</v>
      </c>
      <c r="BS47" s="5">
        <f t="shared" si="8"/>
        <v>0</v>
      </c>
      <c r="BT47" s="7">
        <f t="shared" si="9"/>
        <v>0</v>
      </c>
      <c r="BU47" s="4">
        <v>0</v>
      </c>
      <c r="BV47" s="3">
        <v>0</v>
      </c>
      <c r="BW47" s="3">
        <v>0</v>
      </c>
      <c r="BX47" s="3">
        <v>0</v>
      </c>
      <c r="BY47" s="3">
        <v>0</v>
      </c>
      <c r="BZ47" s="3">
        <v>0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6">
        <v>0</v>
      </c>
      <c r="CQ47" s="5">
        <v>0</v>
      </c>
      <c r="CR47" s="61"/>
    </row>
    <row r="48" spans="1:96" x14ac:dyDescent="0.35">
      <c r="A48" s="9" t="str">
        <f t="shared" si="0"/>
        <v>JP</v>
      </c>
      <c r="B48" s="9" t="s">
        <v>15</v>
      </c>
      <c r="C48" s="20"/>
      <c r="D48" s="9" t="s">
        <v>14</v>
      </c>
      <c r="E48" s="9" t="s">
        <v>193</v>
      </c>
      <c r="F48" s="9" t="s">
        <v>1</v>
      </c>
      <c r="G48" s="19">
        <v>0</v>
      </c>
      <c r="H48" s="9">
        <v>2014</v>
      </c>
      <c r="I48" s="9">
        <v>6</v>
      </c>
      <c r="J48" s="18">
        <f>INDEX(PTRS!$D$6:$D$12,MATCH('7'!$F48,PTRS!$B$6:$B$12,0))</f>
        <v>0.1044225</v>
      </c>
      <c r="K48" s="17">
        <v>0</v>
      </c>
      <c r="L48" s="17">
        <v>0.1044225</v>
      </c>
      <c r="M48" s="17">
        <v>0</v>
      </c>
      <c r="N48" s="17">
        <v>0</v>
      </c>
      <c r="O48" s="17">
        <v>1</v>
      </c>
      <c r="P48" s="17">
        <v>0.1044225</v>
      </c>
      <c r="Q48" s="17">
        <v>0.1044225</v>
      </c>
      <c r="R48" s="17">
        <v>0.1044225</v>
      </c>
      <c r="S48" s="17">
        <v>1</v>
      </c>
      <c r="T48" s="17" t="s">
        <v>13</v>
      </c>
      <c r="U48" s="22">
        <v>0.72649652910676854</v>
      </c>
      <c r="V48" s="17">
        <v>1</v>
      </c>
      <c r="W48" s="9" t="s">
        <v>13</v>
      </c>
      <c r="X48" s="9">
        <f>INDEX('Unique Asset List'!$C$4:$I$60,MATCH('7'!$B48,'Unique Asset List'!$A$4:$A$60,0),MATCH('7'!$C$1,'Unique Asset List'!$C$3:$I$3,0))</f>
        <v>2032</v>
      </c>
      <c r="Y48" s="9">
        <f>INDEX('Unique Asset List'!$J$4:$P$60,MATCH('7'!$B48,'Unique Asset List'!$A$4:$A$60,0),MATCH('7'!$C$1,'Unique Asset List'!$J$3:$P$3,0))</f>
        <v>6</v>
      </c>
      <c r="Z48" s="9">
        <f>INDEX('Unique Asset List'!$X$4:$AD$60,MATCH('7'!$B48,'Unique Asset List'!$A$4:$A$60,0),MATCH('7'!$C$1,'Unique Asset List'!$X$3:$AD$3,0))</f>
        <v>2040</v>
      </c>
      <c r="AA48" s="9">
        <f>INDEX('Unique Asset List'!$AE$4:$AK$60,MATCH('7'!$B48,'Unique Asset List'!$A$4:$A$60,0),MATCH('7'!$C$1,'Unique Asset List'!$AE$3:$AK$3,0))</f>
        <v>6</v>
      </c>
      <c r="AB48" s="16">
        <v>2.3276916000000001</v>
      </c>
      <c r="AC48" s="16">
        <v>1.0028454</v>
      </c>
      <c r="AD48" s="16">
        <v>0.56099999999999994</v>
      </c>
      <c r="AE48" s="15">
        <f>INDEX('Unique Asset List'!$BN$4:$BT$60,MATCH('7'!$B48,'Unique Asset List'!$A$4:$A$60,0),MATCH('7'!$C$1,'Unique Asset List'!$BN$3:$BT$3,0))</f>
        <v>0.16</v>
      </c>
      <c r="AF48" s="15">
        <f>INDEX('Unique Asset List'!$BU$4:$CA$60,MATCH('7'!$B48,'Unique Asset List'!$A$4:$A$60,0),MATCH('7'!$C$1,'Unique Asset List'!$BU$3:$CA$3,0))</f>
        <v>0.34</v>
      </c>
      <c r="AG48" s="15">
        <f>INDEX('Unique Asset List'!$AZ$4:$BF$60,MATCH('7'!$B48,'Unique Asset List'!$A$4:$A$60,0),MATCH('7'!$C$1,'Unique Asset List'!$AZ$3:$BF$3,0))</f>
        <v>0.16</v>
      </c>
      <c r="AH48" s="15">
        <f>INDEX('Unique Asset List'!$BG$4:$BM$60,MATCH('7'!$B48,'Unique Asset List'!$A$4:$A$60,0),MATCH('7'!$C$1,'Unique Asset List'!$BG$3:$BM$3,0))</f>
        <v>0.34</v>
      </c>
      <c r="AI48" s="11">
        <v>0.7</v>
      </c>
      <c r="AJ48" s="15">
        <f>INDEX('Unique Asset List'!$AL$4:$AR$60,MATCH('7'!$B48,'Unique Asset List'!$A$4:$A$60,0),MATCH('7'!$C$1,'Unique Asset List'!$AL$3:$AR$3,0))</f>
        <v>0.14000000000000001</v>
      </c>
      <c r="AK48" s="15">
        <f>INDEX('Unique Asset List'!$AS$4:$AY$60,MATCH('7'!$B48,'Unique Asset List'!$A$4:$A$60,0),MATCH('7'!$C$1,'Unique Asset List'!$AS$3:$AY$3,0))</f>
        <v>0.15</v>
      </c>
      <c r="AL48" s="9">
        <v>169</v>
      </c>
      <c r="AM48" s="14">
        <f>INDEX(Simulation!$B$6:$H$6,MATCH($A48,Simulation!$B$1:$H$1,0))*(1+AN48)^((DATE(X48,Y48,15)-DATE(2017,1,15))/365.5)</f>
        <v>0.75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5"/>
        <v>0.82</v>
      </c>
      <c r="AS48" s="10">
        <v>1</v>
      </c>
      <c r="AT48" s="10"/>
      <c r="AU48" s="4">
        <f>IF($C$5="ON",BU48,MyRating(_E1,$B48,Efficacy!$F$1))</f>
        <v>0</v>
      </c>
      <c r="AV48" s="3">
        <f>IF($C$5="ON",BV48,MyRating(_E2,$B48,Efficacy!$F$1))</f>
        <v>0</v>
      </c>
      <c r="AW48" s="3">
        <f>IF($C$5="ON",BW48,MyRating(_E3,$B48,Efficacy!$F$1))</f>
        <v>0</v>
      </c>
      <c r="AX48" s="3">
        <f>IF($C$5="ON",BX48,MyRating(_E4,$B48,Efficacy!$F$1))</f>
        <v>0</v>
      </c>
      <c r="AY48" s="3">
        <f>IF($C$5="ON",BY48,MyRating(_E5,$B48,Efficacy!$F$1))</f>
        <v>0</v>
      </c>
      <c r="AZ48" s="3">
        <f>IF($C$5="ON",BZ48,MyRating(_E6,$B48,Efficacy!$F$1))</f>
        <v>0</v>
      </c>
      <c r="BA48" s="3">
        <f>IF($C$5="ON",CA48,MyRating(_E7,$B48,Efficacy!$F$1))</f>
        <v>0</v>
      </c>
      <c r="BB48" s="3">
        <f>IF($C$5="ON",CB48,MyRating(_E8,$B48,Efficacy!$F$1))</f>
        <v>0</v>
      </c>
      <c r="BC48" s="3">
        <f>IF($C$5="ON",CC48,MyRating(_S1,$B48,Efficacy!$F$1))</f>
        <v>0</v>
      </c>
      <c r="BD48" s="3">
        <f>IF($C$5="ON",CD48,MyRating(_S2,$B48,Efficacy!$F$1))</f>
        <v>0</v>
      </c>
      <c r="BE48" s="3">
        <f>IF($C$5="ON",CE48,MyRating(_S3,$B48,Efficacy!$F$1))</f>
        <v>0</v>
      </c>
      <c r="BF48" s="3">
        <f>IF($C$5="ON",CF48,MyRating(_S4,$B48,Efficacy!$F$1))</f>
        <v>0</v>
      </c>
      <c r="BG48" s="3">
        <f>IF($C$5="ON",CG48,MyRating(_S5,$B48,Efficacy!$F$1))</f>
        <v>0</v>
      </c>
      <c r="BH48" s="3">
        <f>IF($C$5="ON",CH48,MyRating(_S6,$B48,Efficacy!$F$1))</f>
        <v>0</v>
      </c>
      <c r="BI48" s="3">
        <f>IF($C$5="ON",CI48,MyRating(_S7,$B48,Efficacy!$F$1))</f>
        <v>0</v>
      </c>
      <c r="BJ48" s="3">
        <f>IF($C$5="ON",CJ48,MyRating(_D1,$B48,Efficacy!$F$1))</f>
        <v>0</v>
      </c>
      <c r="BK48" s="3">
        <f>IF($C$5="ON",CK48,MyRating(_D2,$B48,Efficacy!$F$1))</f>
        <v>0</v>
      </c>
      <c r="BL48" s="3">
        <f>IF($C$5="ON",CL48,MyRating(_D3,$B48,Efficacy!$F$1))</f>
        <v>0</v>
      </c>
      <c r="BM48" s="3">
        <f>IF($C$5="ON",CM48,MyRating(_D4,$B48,Efficacy!$F$1))</f>
        <v>0</v>
      </c>
      <c r="BN48" s="3">
        <f>IF($C$5="ON",CN48,MyRating(_B1G5,$B48,Barrier!$L$2))</f>
        <v>0</v>
      </c>
      <c r="BO48" s="3">
        <f>IF($C$5="ON",CO48,MyRating(_B2,$B48,Barrier!$F$2))</f>
        <v>0</v>
      </c>
      <c r="BP48" s="6">
        <f>IF($C$5="ON",CP48,MyRating(_B3,$B48,Barrier!$F$2))</f>
        <v>0</v>
      </c>
      <c r="BQ48" s="5">
        <f t="shared" si="6"/>
        <v>0</v>
      </c>
      <c r="BR48" s="8">
        <f t="shared" si="7"/>
        <v>0</v>
      </c>
      <c r="BS48" s="5">
        <f t="shared" si="8"/>
        <v>0</v>
      </c>
      <c r="BT48" s="7">
        <f t="shared" si="9"/>
        <v>0</v>
      </c>
      <c r="BU48" s="4">
        <v>0</v>
      </c>
      <c r="BV48" s="3">
        <v>0</v>
      </c>
      <c r="BW48" s="3">
        <v>0</v>
      </c>
      <c r="BX48" s="3">
        <v>0</v>
      </c>
      <c r="BY48" s="3">
        <v>0</v>
      </c>
      <c r="BZ48" s="3">
        <v>0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6">
        <v>0</v>
      </c>
      <c r="CQ48" s="5">
        <v>0</v>
      </c>
      <c r="CR48" s="61"/>
    </row>
    <row r="49" spans="1:96" x14ac:dyDescent="0.35">
      <c r="A49" s="9" t="str">
        <f t="shared" si="0"/>
        <v>JP</v>
      </c>
      <c r="B49" s="9" t="s">
        <v>12</v>
      </c>
      <c r="C49" s="20"/>
      <c r="D49" s="9" t="s">
        <v>11</v>
      </c>
      <c r="E49" s="9" t="s">
        <v>193</v>
      </c>
      <c r="F49" s="9" t="s">
        <v>1</v>
      </c>
      <c r="G49" s="19">
        <v>0</v>
      </c>
      <c r="H49" s="9">
        <v>2014</v>
      </c>
      <c r="I49" s="9">
        <v>6</v>
      </c>
      <c r="J49" s="18">
        <f>INDEX(PTRS!$D$6:$D$12,MATCH('7'!$F49,PTRS!$B$6:$B$12,0))</f>
        <v>0.1044225</v>
      </c>
      <c r="K49" s="17">
        <v>0</v>
      </c>
      <c r="L49" s="17">
        <v>0.1044225</v>
      </c>
      <c r="M49" s="17">
        <v>0</v>
      </c>
      <c r="N49" s="17">
        <v>0</v>
      </c>
      <c r="O49" s="17">
        <v>1</v>
      </c>
      <c r="P49" s="17">
        <v>0.1044225</v>
      </c>
      <c r="Q49" s="17">
        <v>0.1044225</v>
      </c>
      <c r="R49" s="17">
        <v>0.1044225</v>
      </c>
      <c r="S49" s="17">
        <v>1</v>
      </c>
      <c r="T49" s="17" t="s">
        <v>10</v>
      </c>
      <c r="U49" s="22">
        <v>0.72649652910676854</v>
      </c>
      <c r="V49" s="17">
        <v>1</v>
      </c>
      <c r="W49" s="9" t="s">
        <v>10</v>
      </c>
      <c r="X49" s="9">
        <f>INDEX('Unique Asset List'!$C$4:$I$60,MATCH('7'!$B49,'Unique Asset List'!$A$4:$A$60,0),MATCH('7'!$C$1,'Unique Asset List'!$C$3:$I$3,0))</f>
        <v>2036</v>
      </c>
      <c r="Y49" s="9">
        <f>INDEX('Unique Asset List'!$J$4:$P$60,MATCH('7'!$B49,'Unique Asset List'!$A$4:$A$60,0),MATCH('7'!$C$1,'Unique Asset List'!$J$3:$P$3,0))</f>
        <v>6</v>
      </c>
      <c r="Z49" s="9">
        <f>INDEX('Unique Asset List'!$X$4:$AD$60,MATCH('7'!$B49,'Unique Asset List'!$A$4:$A$60,0),MATCH('7'!$C$1,'Unique Asset List'!$X$3:$AD$3,0))</f>
        <v>2044</v>
      </c>
      <c r="AA49" s="9">
        <f>INDEX('Unique Asset List'!$AE$4:$AK$60,MATCH('7'!$B49,'Unique Asset List'!$A$4:$A$60,0),MATCH('7'!$C$1,'Unique Asset List'!$AE$3:$AK$3,0))</f>
        <v>6</v>
      </c>
      <c r="AB49" s="16">
        <v>2.3276916000000001</v>
      </c>
      <c r="AC49" s="16">
        <v>1.0028454</v>
      </c>
      <c r="AD49" s="16">
        <v>0.56099999999999994</v>
      </c>
      <c r="AE49" s="15">
        <f>INDEX('Unique Asset List'!$BN$4:$BT$60,MATCH('7'!$B49,'Unique Asset List'!$A$4:$A$60,0),MATCH('7'!$C$1,'Unique Asset List'!$BN$3:$BT$3,0))</f>
        <v>0.16</v>
      </c>
      <c r="AF49" s="15">
        <f>INDEX('Unique Asset List'!$BU$4:$CA$60,MATCH('7'!$B49,'Unique Asset List'!$A$4:$A$60,0),MATCH('7'!$C$1,'Unique Asset List'!$BU$3:$CA$3,0))</f>
        <v>0.34</v>
      </c>
      <c r="AG49" s="15">
        <f>INDEX('Unique Asset List'!$AZ$4:$BF$60,MATCH('7'!$B49,'Unique Asset List'!$A$4:$A$60,0),MATCH('7'!$C$1,'Unique Asset List'!$AZ$3:$BF$3,0))</f>
        <v>0.16</v>
      </c>
      <c r="AH49" s="15">
        <f>INDEX('Unique Asset List'!$BG$4:$BM$60,MATCH('7'!$B49,'Unique Asset List'!$A$4:$A$60,0),MATCH('7'!$C$1,'Unique Asset List'!$BG$3:$BM$3,0))</f>
        <v>0.34</v>
      </c>
      <c r="AI49" s="11">
        <v>0.7</v>
      </c>
      <c r="AJ49" s="15">
        <f>INDEX('Unique Asset List'!$AL$4:$AR$60,MATCH('7'!$B49,'Unique Asset List'!$A$4:$A$60,0),MATCH('7'!$C$1,'Unique Asset List'!$AL$3:$AR$3,0))</f>
        <v>0.14000000000000001</v>
      </c>
      <c r="AK49" s="15">
        <f>INDEX('Unique Asset List'!$AS$4:$AY$60,MATCH('7'!$B49,'Unique Asset List'!$A$4:$A$60,0),MATCH('7'!$C$1,'Unique Asset List'!$AS$3:$AY$3,0))</f>
        <v>0.15</v>
      </c>
      <c r="AL49" s="9">
        <v>169</v>
      </c>
      <c r="AM49" s="14">
        <f>INDEX(Simulation!$B$6:$H$6,MATCH($A49,Simulation!$B$1:$H$1,0))*(1+AN49)^((DATE(X49,Y49,15)-DATE(2017,1,15))/365.5)</f>
        <v>0.75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5"/>
        <v>0.82</v>
      </c>
      <c r="AS49" s="10">
        <v>1</v>
      </c>
      <c r="AT49" s="10"/>
      <c r="AU49" s="4">
        <f>IF($C$5="ON",BU49,MyRating(_E1,$B49,Efficacy!$F$1))</f>
        <v>0</v>
      </c>
      <c r="AV49" s="3">
        <f>IF($C$5="ON",BV49,MyRating(_E2,$B49,Efficacy!$F$1))</f>
        <v>0</v>
      </c>
      <c r="AW49" s="3">
        <f>IF($C$5="ON",BW49,MyRating(_E3,$B49,Efficacy!$F$1))</f>
        <v>0</v>
      </c>
      <c r="AX49" s="3">
        <f>IF($C$5="ON",BX49,MyRating(_E4,$B49,Efficacy!$F$1))</f>
        <v>0</v>
      </c>
      <c r="AY49" s="3">
        <f>IF($C$5="ON",BY49,MyRating(_E5,$B49,Efficacy!$F$1))</f>
        <v>0</v>
      </c>
      <c r="AZ49" s="3">
        <f>IF($C$5="ON",BZ49,MyRating(_E6,$B49,Efficacy!$F$1))</f>
        <v>0</v>
      </c>
      <c r="BA49" s="3">
        <f>IF($C$5="ON",CA49,MyRating(_E7,$B49,Efficacy!$F$1))</f>
        <v>0</v>
      </c>
      <c r="BB49" s="3">
        <f>IF($C$5="ON",CB49,MyRating(_E8,$B49,Efficacy!$F$1))</f>
        <v>0</v>
      </c>
      <c r="BC49" s="3">
        <f>IF($C$5="ON",CC49,MyRating(_S1,$B49,Efficacy!$F$1))</f>
        <v>0</v>
      </c>
      <c r="BD49" s="3">
        <f>IF($C$5="ON",CD49,MyRating(_S2,$B49,Efficacy!$F$1))</f>
        <v>0</v>
      </c>
      <c r="BE49" s="3">
        <f>IF($C$5="ON",CE49,MyRating(_S3,$B49,Efficacy!$F$1))</f>
        <v>0</v>
      </c>
      <c r="BF49" s="3">
        <f>IF($C$5="ON",CF49,MyRating(_S4,$B49,Efficacy!$F$1))</f>
        <v>0</v>
      </c>
      <c r="BG49" s="3">
        <f>IF($C$5="ON",CG49,MyRating(_S5,$B49,Efficacy!$F$1))</f>
        <v>0</v>
      </c>
      <c r="BH49" s="3">
        <f>IF($C$5="ON",CH49,MyRating(_S6,$B49,Efficacy!$F$1))</f>
        <v>0</v>
      </c>
      <c r="BI49" s="3">
        <f>IF($C$5="ON",CI49,MyRating(_S7,$B49,Efficacy!$F$1))</f>
        <v>0</v>
      </c>
      <c r="BJ49" s="3">
        <f>IF($C$5="ON",CJ49,MyRating(_D1,$B49,Efficacy!$F$1))</f>
        <v>0</v>
      </c>
      <c r="BK49" s="3">
        <f>IF($C$5="ON",CK49,MyRating(_D2,$B49,Efficacy!$F$1))</f>
        <v>0</v>
      </c>
      <c r="BL49" s="3">
        <f>IF($C$5="ON",CL49,MyRating(_D3,$B49,Efficacy!$F$1))</f>
        <v>0</v>
      </c>
      <c r="BM49" s="3">
        <f>IF($C$5="ON",CM49,MyRating(_D4,$B49,Efficacy!$F$1))</f>
        <v>0</v>
      </c>
      <c r="BN49" s="3">
        <f>IF($C$5="ON",CN49,MyRating(_B1G5,$B49,Barrier!$L$2))</f>
        <v>0</v>
      </c>
      <c r="BO49" s="3">
        <f>IF($C$5="ON",CO49,MyRating(_B2,$B49,Barrier!$F$2))</f>
        <v>0</v>
      </c>
      <c r="BP49" s="6">
        <f>IF($C$5="ON",CP49,MyRating(_B3,$B49,Barrier!$F$2))</f>
        <v>0</v>
      </c>
      <c r="BQ49" s="5">
        <f t="shared" si="6"/>
        <v>0</v>
      </c>
      <c r="BR49" s="8">
        <f t="shared" si="7"/>
        <v>0</v>
      </c>
      <c r="BS49" s="5">
        <f t="shared" si="8"/>
        <v>0</v>
      </c>
      <c r="BT49" s="7">
        <f t="shared" si="9"/>
        <v>0</v>
      </c>
      <c r="BU49" s="4">
        <v>0</v>
      </c>
      <c r="BV49" s="3">
        <v>0</v>
      </c>
      <c r="BW49" s="3">
        <v>0</v>
      </c>
      <c r="BX49" s="3">
        <v>0</v>
      </c>
      <c r="BY49" s="3">
        <v>0</v>
      </c>
      <c r="BZ49" s="3">
        <v>0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6">
        <v>0</v>
      </c>
      <c r="CQ49" s="5">
        <v>0</v>
      </c>
      <c r="CR49" s="61"/>
    </row>
    <row r="50" spans="1:96" x14ac:dyDescent="0.35">
      <c r="A50" s="9" t="str">
        <f t="shared" si="0"/>
        <v>JP</v>
      </c>
      <c r="B50" s="9" t="s">
        <v>9</v>
      </c>
      <c r="C50" s="20"/>
      <c r="D50" s="9" t="s">
        <v>8</v>
      </c>
      <c r="E50" s="9" t="s">
        <v>193</v>
      </c>
      <c r="F50" s="9" t="s">
        <v>1</v>
      </c>
      <c r="G50" s="19">
        <v>0</v>
      </c>
      <c r="H50" s="9">
        <v>2014</v>
      </c>
      <c r="I50" s="9">
        <v>6</v>
      </c>
      <c r="J50" s="18">
        <f>INDEX(PTRS!$D$6:$D$12,MATCH('7'!$F50,PTRS!$B$6:$B$12,0))</f>
        <v>0.1044225</v>
      </c>
      <c r="K50" s="17">
        <v>0</v>
      </c>
      <c r="L50" s="17">
        <v>0.1044225</v>
      </c>
      <c r="M50" s="17">
        <v>0</v>
      </c>
      <c r="N50" s="17">
        <v>0</v>
      </c>
      <c r="O50" s="17">
        <v>1</v>
      </c>
      <c r="P50" s="17">
        <v>0.1044225</v>
      </c>
      <c r="Q50" s="17">
        <v>0.1044225</v>
      </c>
      <c r="R50" s="17">
        <v>0.1044225</v>
      </c>
      <c r="S50" s="17">
        <v>1</v>
      </c>
      <c r="T50" s="17" t="s">
        <v>7</v>
      </c>
      <c r="U50" s="22">
        <v>0.72649652910676854</v>
      </c>
      <c r="V50" s="17">
        <v>1</v>
      </c>
      <c r="W50" s="9" t="s">
        <v>7</v>
      </c>
      <c r="X50" s="9">
        <f>INDEX('Unique Asset List'!$C$4:$I$60,MATCH('7'!$B50,'Unique Asset List'!$A$4:$A$60,0),MATCH('7'!$C$1,'Unique Asset List'!$C$3:$I$3,0))</f>
        <v>2041</v>
      </c>
      <c r="Y50" s="9">
        <f>INDEX('Unique Asset List'!$J$4:$P$60,MATCH('7'!$B50,'Unique Asset List'!$A$4:$A$60,0),MATCH('7'!$C$1,'Unique Asset List'!$J$3:$P$3,0))</f>
        <v>6</v>
      </c>
      <c r="Z50" s="9">
        <f>INDEX('Unique Asset List'!$X$4:$AD$60,MATCH('7'!$B50,'Unique Asset List'!$A$4:$A$60,0),MATCH('7'!$C$1,'Unique Asset List'!$X$3:$AD$3,0))</f>
        <v>2049</v>
      </c>
      <c r="AA50" s="9">
        <f>INDEX('Unique Asset List'!$AE$4:$AK$60,MATCH('7'!$B50,'Unique Asset List'!$A$4:$A$60,0),MATCH('7'!$C$1,'Unique Asset List'!$AE$3:$AK$3,0))</f>
        <v>6</v>
      </c>
      <c r="AB50" s="16">
        <v>2.3276916000000001</v>
      </c>
      <c r="AC50" s="16">
        <v>1.0028454</v>
      </c>
      <c r="AD50" s="16">
        <v>0.56099999999999994</v>
      </c>
      <c r="AE50" s="15">
        <f>INDEX('Unique Asset List'!$BN$4:$BT$60,MATCH('7'!$B50,'Unique Asset List'!$A$4:$A$60,0),MATCH('7'!$C$1,'Unique Asset List'!$BN$3:$BT$3,0))</f>
        <v>0.16</v>
      </c>
      <c r="AF50" s="15">
        <f>INDEX('Unique Asset List'!$BU$4:$CA$60,MATCH('7'!$B50,'Unique Asset List'!$A$4:$A$60,0),MATCH('7'!$C$1,'Unique Asset List'!$BU$3:$CA$3,0))</f>
        <v>0.34</v>
      </c>
      <c r="AG50" s="15">
        <f>INDEX('Unique Asset List'!$AZ$4:$BF$60,MATCH('7'!$B50,'Unique Asset List'!$A$4:$A$60,0),MATCH('7'!$C$1,'Unique Asset List'!$AZ$3:$BF$3,0))</f>
        <v>0.16</v>
      </c>
      <c r="AH50" s="15">
        <f>INDEX('Unique Asset List'!$BG$4:$BM$60,MATCH('7'!$B50,'Unique Asset List'!$A$4:$A$60,0),MATCH('7'!$C$1,'Unique Asset List'!$BG$3:$BM$3,0))</f>
        <v>0.34</v>
      </c>
      <c r="AI50" s="11">
        <v>0.7</v>
      </c>
      <c r="AJ50" s="15">
        <f>INDEX('Unique Asset List'!$AL$4:$AR$60,MATCH('7'!$B50,'Unique Asset List'!$A$4:$A$60,0),MATCH('7'!$C$1,'Unique Asset List'!$AL$3:$AR$3,0))</f>
        <v>0.14000000000000001</v>
      </c>
      <c r="AK50" s="15">
        <f>INDEX('Unique Asset List'!$AS$4:$AY$60,MATCH('7'!$B50,'Unique Asset List'!$A$4:$A$60,0),MATCH('7'!$C$1,'Unique Asset List'!$AS$3:$AY$3,0))</f>
        <v>0.15</v>
      </c>
      <c r="AL50" s="9">
        <v>169</v>
      </c>
      <c r="AM50" s="14">
        <f>INDEX(Simulation!$B$6:$H$6,MATCH($A50,Simulation!$B$1:$H$1,0))*(1+AN50)^((DATE(X50,Y50,15)-DATE(2017,1,15))/365.5)</f>
        <v>0.75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5"/>
        <v>0.82</v>
      </c>
      <c r="AS50" s="10">
        <v>1</v>
      </c>
      <c r="AT50" s="10"/>
      <c r="AU50" s="4">
        <f>IF($C$5="ON",BU50,MyRating(_E1,$B50,Efficacy!$F$1))</f>
        <v>0</v>
      </c>
      <c r="AV50" s="3">
        <f>IF($C$5="ON",BV50,MyRating(_E2,$B50,Efficacy!$F$1))</f>
        <v>0</v>
      </c>
      <c r="AW50" s="3">
        <f>IF($C$5="ON",BW50,MyRating(_E3,$B50,Efficacy!$F$1))</f>
        <v>0</v>
      </c>
      <c r="AX50" s="3">
        <f>IF($C$5="ON",BX50,MyRating(_E4,$B50,Efficacy!$F$1))</f>
        <v>0</v>
      </c>
      <c r="AY50" s="3">
        <f>IF($C$5="ON",BY50,MyRating(_E5,$B50,Efficacy!$F$1))</f>
        <v>0</v>
      </c>
      <c r="AZ50" s="3">
        <f>IF($C$5="ON",BZ50,MyRating(_E6,$B50,Efficacy!$F$1))</f>
        <v>0</v>
      </c>
      <c r="BA50" s="3">
        <f>IF($C$5="ON",CA50,MyRating(_E7,$B50,Efficacy!$F$1))</f>
        <v>0</v>
      </c>
      <c r="BB50" s="3">
        <f>IF($C$5="ON",CB50,MyRating(_E8,$B50,Efficacy!$F$1))</f>
        <v>0</v>
      </c>
      <c r="BC50" s="3">
        <f>IF($C$5="ON",CC50,MyRating(_S1,$B50,Efficacy!$F$1))</f>
        <v>0</v>
      </c>
      <c r="BD50" s="3">
        <f>IF($C$5="ON",CD50,MyRating(_S2,$B50,Efficacy!$F$1))</f>
        <v>0</v>
      </c>
      <c r="BE50" s="3">
        <f>IF($C$5="ON",CE50,MyRating(_S3,$B50,Efficacy!$F$1))</f>
        <v>0</v>
      </c>
      <c r="BF50" s="3">
        <f>IF($C$5="ON",CF50,MyRating(_S4,$B50,Efficacy!$F$1))</f>
        <v>0</v>
      </c>
      <c r="BG50" s="3">
        <f>IF($C$5="ON",CG50,MyRating(_S5,$B50,Efficacy!$F$1))</f>
        <v>0</v>
      </c>
      <c r="BH50" s="3">
        <f>IF($C$5="ON",CH50,MyRating(_S6,$B50,Efficacy!$F$1))</f>
        <v>0</v>
      </c>
      <c r="BI50" s="3">
        <f>IF($C$5="ON",CI50,MyRating(_S7,$B50,Efficacy!$F$1))</f>
        <v>0</v>
      </c>
      <c r="BJ50" s="3">
        <f>IF($C$5="ON",CJ50,MyRating(_D1,$B50,Efficacy!$F$1))</f>
        <v>0</v>
      </c>
      <c r="BK50" s="3">
        <f>IF($C$5="ON",CK50,MyRating(_D2,$B50,Efficacy!$F$1))</f>
        <v>0</v>
      </c>
      <c r="BL50" s="3">
        <f>IF($C$5="ON",CL50,MyRating(_D3,$B50,Efficacy!$F$1))</f>
        <v>0</v>
      </c>
      <c r="BM50" s="3">
        <f>IF($C$5="ON",CM50,MyRating(_D4,$B50,Efficacy!$F$1))</f>
        <v>0</v>
      </c>
      <c r="BN50" s="3">
        <f>IF($C$5="ON",CN50,MyRating(_B1G5,$B50,Barrier!$L$2))</f>
        <v>0</v>
      </c>
      <c r="BO50" s="3">
        <f>IF($C$5="ON",CO50,MyRating(_B2,$B50,Barrier!$F$2))</f>
        <v>0</v>
      </c>
      <c r="BP50" s="6">
        <f>IF($C$5="ON",CP50,MyRating(_B3,$B50,Barrier!$F$2))</f>
        <v>0</v>
      </c>
      <c r="BQ50" s="5">
        <f t="shared" si="6"/>
        <v>0</v>
      </c>
      <c r="BR50" s="8">
        <f t="shared" si="7"/>
        <v>0</v>
      </c>
      <c r="BS50" s="5">
        <f t="shared" si="8"/>
        <v>0</v>
      </c>
      <c r="BT50" s="7">
        <f t="shared" si="9"/>
        <v>0</v>
      </c>
      <c r="BU50" s="4">
        <v>0</v>
      </c>
      <c r="BV50" s="3">
        <v>0</v>
      </c>
      <c r="BW50" s="3">
        <v>0</v>
      </c>
      <c r="BX50" s="3">
        <v>0</v>
      </c>
      <c r="BY50" s="3">
        <v>0</v>
      </c>
      <c r="BZ50" s="3">
        <v>0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6">
        <v>0</v>
      </c>
      <c r="CQ50" s="5">
        <v>0</v>
      </c>
      <c r="CR50" s="61"/>
    </row>
    <row r="51" spans="1:96" x14ac:dyDescent="0.35">
      <c r="A51" s="9" t="str">
        <f t="shared" si="0"/>
        <v>JP</v>
      </c>
      <c r="B51" s="9" t="s">
        <v>4</v>
      </c>
      <c r="C51" s="20" t="s">
        <v>3</v>
      </c>
      <c r="D51" s="9" t="s">
        <v>2</v>
      </c>
      <c r="E51" s="9" t="s">
        <v>193</v>
      </c>
      <c r="F51" s="9" t="s">
        <v>1</v>
      </c>
      <c r="G51" s="19">
        <v>0</v>
      </c>
      <c r="H51" s="9">
        <v>2014</v>
      </c>
      <c r="I51" s="9">
        <v>6</v>
      </c>
      <c r="J51" s="18">
        <f>INDEX(PTRS!$D$6:$D$12,MATCH('7'!$F51,PTRS!$B$6:$B$12,0))</f>
        <v>0.1044225</v>
      </c>
      <c r="K51" s="17">
        <v>0</v>
      </c>
      <c r="L51" s="17">
        <v>0.1044225</v>
      </c>
      <c r="M51" s="17">
        <v>0</v>
      </c>
      <c r="N51" s="17">
        <v>0.1044225</v>
      </c>
      <c r="O51" s="17">
        <v>0.1044225</v>
      </c>
      <c r="P51" s="17">
        <v>0.1044225</v>
      </c>
      <c r="Q51" s="17">
        <v>0.1044225</v>
      </c>
      <c r="R51" s="17">
        <v>0.1044225</v>
      </c>
      <c r="S51" s="17">
        <v>1</v>
      </c>
      <c r="T51" s="17"/>
      <c r="U51" s="17">
        <f t="shared" ref="U51:U58" si="10">BQ51/$BQ$7</f>
        <v>0</v>
      </c>
      <c r="V51" s="17">
        <v>1</v>
      </c>
      <c r="W51" s="9" t="s">
        <v>0</v>
      </c>
      <c r="X51" s="9">
        <f>INDEX('Unique Asset List'!$C$4:$I$60,MATCH('7'!$B51,'Unique Asset List'!$A$4:$A$60,0),MATCH('7'!$C$1,'Unique Asset List'!$C$3:$I$3,0))</f>
        <v>2051</v>
      </c>
      <c r="Y51" s="9">
        <f>INDEX('Unique Asset List'!$J$4:$P$60,MATCH('7'!$B51,'Unique Asset List'!$A$4:$A$60,0),MATCH('7'!$C$1,'Unique Asset List'!$J$3:$P$3,0))</f>
        <v>9</v>
      </c>
      <c r="Z51" s="9">
        <f>INDEX('Unique Asset List'!$X$4:$AD$60,MATCH('7'!$B51,'Unique Asset List'!$A$4:$A$60,0),MATCH('7'!$C$1,'Unique Asset List'!$X$3:$AD$3,0))</f>
        <v>2059</v>
      </c>
      <c r="AA51" s="9">
        <f>INDEX('Unique Asset List'!$AE$4:$AK$60,MATCH('7'!$B51,'Unique Asset List'!$A$4:$A$60,0),MATCH('7'!$C$1,'Unique Asset List'!$AE$3:$AK$3,0))</f>
        <v>9</v>
      </c>
      <c r="AB51" s="16">
        <f t="shared" ref="AB51:AB58" si="11">SUMPRODUCT($AU51:$BB51,$AU$7:$BB$7)</f>
        <v>0</v>
      </c>
      <c r="AC51" s="16">
        <f t="shared" ref="AC51:AC58" si="12">SUMPRODUCT($BC51:$BI51,$BC$7:$BI$7)</f>
        <v>0</v>
      </c>
      <c r="AD51" s="16">
        <f t="shared" ref="AD51:AD58" si="13">SUMPRODUCT($BJ51:$BM51,$BJ$7:$BM$7)</f>
        <v>0</v>
      </c>
      <c r="AE51" s="15">
        <f>INDEX('Unique Asset List'!$BN$4:$BT$60,MATCH('7'!$B51,'Unique Asset List'!$A$4:$A$60,0),MATCH('7'!$C$1,'Unique Asset List'!$BN$3:$BT$3,0))</f>
        <v>0.16</v>
      </c>
      <c r="AF51" s="15">
        <f>INDEX('Unique Asset List'!$BU$4:$CA$60,MATCH('7'!$B51,'Unique Asset List'!$A$4:$A$60,0),MATCH('7'!$C$1,'Unique Asset List'!$BU$3:$CA$3,0))</f>
        <v>0.34</v>
      </c>
      <c r="AG51" s="15">
        <f>INDEX('Unique Asset List'!$AZ$4:$BF$60,MATCH('7'!$B51,'Unique Asset List'!$A$4:$A$60,0),MATCH('7'!$C$1,'Unique Asset List'!$AZ$3:$BF$3,0))</f>
        <v>0.16</v>
      </c>
      <c r="AH51" s="15">
        <f>INDEX('Unique Asset List'!$BG$4:$BM$60,MATCH('7'!$B51,'Unique Asset List'!$A$4:$A$60,0),MATCH('7'!$C$1,'Unique Asset List'!$BG$3:$BM$3,0))</f>
        <v>0.34</v>
      </c>
      <c r="AI51" s="11">
        <v>0.7</v>
      </c>
      <c r="AJ51" s="15">
        <f>INDEX('Unique Asset List'!$AL$4:$AR$60,MATCH('7'!$B51,'Unique Asset List'!$A$4:$A$60,0),MATCH('7'!$C$1,'Unique Asset List'!$AL$3:$AR$3,0))</f>
        <v>0.14000000000000001</v>
      </c>
      <c r="AK51" s="15">
        <f>INDEX('Unique Asset List'!$AS$4:$AY$60,MATCH('7'!$B51,'Unique Asset List'!$A$4:$A$60,0),MATCH('7'!$C$1,'Unique Asset List'!$AS$3:$AY$3,0))</f>
        <v>0.15</v>
      </c>
      <c r="AL51" s="9">
        <v>169</v>
      </c>
      <c r="AM51" s="14">
        <f>INDEX(Simulation!$B$6:$H$6,MATCH($A51,Simulation!$B$1:$H$1,0))*(1+AN51)^((DATE(X51,Y51,15)-DATE(2017,1,15))/365.5)</f>
        <v>0.75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5"/>
        <v>0.82</v>
      </c>
      <c r="AS51" s="10">
        <v>1</v>
      </c>
      <c r="AT51" s="10"/>
      <c r="AU51" s="4">
        <f>IF($C$5="ON",BU51,MyRating(_E1,$B51,Efficacy!$F$1))</f>
        <v>0</v>
      </c>
      <c r="AV51" s="3">
        <f>IF($C$5="ON",BV51,MyRating(_E2,$B51,Efficacy!$F$1))</f>
        <v>0</v>
      </c>
      <c r="AW51" s="3">
        <f>IF($C$5="ON",BW51,MyRating(_E3,$B51,Efficacy!$F$1))</f>
        <v>0</v>
      </c>
      <c r="AX51" s="3">
        <f>IF($C$5="ON",BX51,MyRating(_E4,$B51,Efficacy!$F$1))</f>
        <v>0</v>
      </c>
      <c r="AY51" s="3">
        <f>IF($C$5="ON",BY51,MyRating(_E5,$B51,Efficacy!$F$1))</f>
        <v>0</v>
      </c>
      <c r="AZ51" s="3">
        <f>IF($C$5="ON",BZ51,MyRating(_E6,$B51,Efficacy!$F$1))</f>
        <v>0</v>
      </c>
      <c r="BA51" s="3">
        <f>IF($C$5="ON",CA51,MyRating(_E7,$B51,Efficacy!$F$1))</f>
        <v>0</v>
      </c>
      <c r="BB51" s="3">
        <f>IF($C$5="ON",CB51,MyRating(_E8,$B51,Efficacy!$F$1))</f>
        <v>0</v>
      </c>
      <c r="BC51" s="3">
        <f>IF($C$5="ON",CC51,MyRating(_S1,$B51,Efficacy!$F$1))</f>
        <v>0</v>
      </c>
      <c r="BD51" s="3">
        <f>IF($C$5="ON",CD51,MyRating(_S2,$B51,Efficacy!$F$1))</f>
        <v>0</v>
      </c>
      <c r="BE51" s="3">
        <f>IF($C$5="ON",CE51,MyRating(_S3,$B51,Efficacy!$F$1))</f>
        <v>0</v>
      </c>
      <c r="BF51" s="3">
        <f>IF($C$5="ON",CF51,MyRating(_S4,$B51,Efficacy!$F$1))</f>
        <v>0</v>
      </c>
      <c r="BG51" s="3">
        <f>IF($C$5="ON",CG51,MyRating(_S5,$B51,Efficacy!$F$1))</f>
        <v>0</v>
      </c>
      <c r="BH51" s="3">
        <f>IF($C$5="ON",CH51,MyRating(_S6,$B51,Efficacy!$F$1))</f>
        <v>0</v>
      </c>
      <c r="BI51" s="3">
        <f>IF($C$5="ON",CI51,MyRating(_S7,$B51,Efficacy!$F$1))</f>
        <v>0</v>
      </c>
      <c r="BJ51" s="3">
        <f>IF($C$5="ON",CJ51,MyRating(_D1,$B51,Efficacy!$F$1))</f>
        <v>0</v>
      </c>
      <c r="BK51" s="3">
        <f>IF($C$5="ON",CK51,MyRating(_D2,$B51,Efficacy!$F$1))</f>
        <v>0</v>
      </c>
      <c r="BL51" s="3">
        <f>IF($C$5="ON",CL51,MyRating(_D3,$B51,Efficacy!$F$1))</f>
        <v>0</v>
      </c>
      <c r="BM51" s="3">
        <f>IF($C$5="ON",CM51,MyRating(_D4,$B51,Efficacy!$F$1))</f>
        <v>0</v>
      </c>
      <c r="BN51" s="3">
        <f>IF($C$5="ON",CN51,MyRating(_B1G5,$B51,Barrier!$L$2))</f>
        <v>0</v>
      </c>
      <c r="BO51" s="3">
        <f>IF($C$5="ON",CO51,MyRating(_B2,$B51,Barrier!$F$2))</f>
        <v>0</v>
      </c>
      <c r="BP51" s="6">
        <f>IF($C$5="ON",CP51,MyRating(_B3,$B51,Barrier!$F$2))</f>
        <v>0</v>
      </c>
      <c r="BQ51" s="5">
        <f t="shared" si="6"/>
        <v>0</v>
      </c>
      <c r="BR51" s="8">
        <f t="shared" si="7"/>
        <v>0</v>
      </c>
      <c r="BS51" s="5">
        <f t="shared" si="8"/>
        <v>0</v>
      </c>
      <c r="BT51" s="7">
        <f t="shared" si="9"/>
        <v>0</v>
      </c>
      <c r="BU51" s="4">
        <v>0</v>
      </c>
      <c r="BV51" s="3">
        <v>0</v>
      </c>
      <c r="BW51" s="3">
        <v>0</v>
      </c>
      <c r="BX51" s="3">
        <v>0</v>
      </c>
      <c r="BY51" s="3">
        <v>0</v>
      </c>
      <c r="BZ51" s="3">
        <v>0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6">
        <v>0</v>
      </c>
      <c r="CQ51" s="5">
        <v>0</v>
      </c>
      <c r="CR51" s="61"/>
    </row>
    <row r="52" spans="1:96" x14ac:dyDescent="0.35">
      <c r="A52" s="9" t="str">
        <f t="shared" si="0"/>
        <v>JP</v>
      </c>
      <c r="B52" s="9" t="s">
        <v>68</v>
      </c>
      <c r="C52" s="20" t="s">
        <v>3</v>
      </c>
      <c r="D52" s="9" t="s">
        <v>2</v>
      </c>
      <c r="E52" s="9" t="s">
        <v>193</v>
      </c>
      <c r="F52" s="9" t="s">
        <v>1</v>
      </c>
      <c r="G52" s="19">
        <v>0</v>
      </c>
      <c r="H52" s="9">
        <v>2014</v>
      </c>
      <c r="I52" s="9">
        <v>6</v>
      </c>
      <c r="J52" s="18">
        <f>INDEX(PTRS!$D$6:$D$12,MATCH('7'!$F52,PTRS!$B$6:$B$12,0))</f>
        <v>0.1044225</v>
      </c>
      <c r="K52" s="17">
        <v>0</v>
      </c>
      <c r="L52" s="17">
        <v>1</v>
      </c>
      <c r="M52" s="17">
        <v>0</v>
      </c>
      <c r="N52" s="17">
        <v>0.1044225</v>
      </c>
      <c r="O52" s="17">
        <v>0.1044225</v>
      </c>
      <c r="P52" s="17">
        <v>0.1044225</v>
      </c>
      <c r="Q52" s="17">
        <v>1</v>
      </c>
      <c r="R52" s="17">
        <v>1</v>
      </c>
      <c r="S52" s="17">
        <v>1</v>
      </c>
      <c r="T52" s="17"/>
      <c r="U52" s="17">
        <f t="shared" si="10"/>
        <v>0.72649652910676854</v>
      </c>
      <c r="V52" s="17">
        <v>1</v>
      </c>
      <c r="W52" s="9" t="s">
        <v>68</v>
      </c>
      <c r="X52" s="9">
        <f>INDEX('Unique Asset List'!$C$4:$I$60,MATCH('7'!$B52,'Unique Asset List'!$A$4:$A$60,0),MATCH('7'!$C$1,'Unique Asset List'!$C$3:$I$3,0))</f>
        <v>2032</v>
      </c>
      <c r="Y52" s="9">
        <f>INDEX('Unique Asset List'!$J$4:$P$60,MATCH('7'!$B52,'Unique Asset List'!$A$4:$A$60,0),MATCH('7'!$C$1,'Unique Asset List'!$J$3:$P$3,0))</f>
        <v>3</v>
      </c>
      <c r="Z52" s="9">
        <f>INDEX('Unique Asset List'!$X$4:$AD$60,MATCH('7'!$B52,'Unique Asset List'!$A$4:$A$60,0),MATCH('7'!$C$1,'Unique Asset List'!$X$3:$AD$3,0))</f>
        <v>2040</v>
      </c>
      <c r="AA52" s="9">
        <f>INDEX('Unique Asset List'!$AE$4:$AK$60,MATCH('7'!$B52,'Unique Asset List'!$A$4:$A$60,0),MATCH('7'!$C$1,'Unique Asset List'!$AE$3:$AK$3,0))</f>
        <v>3</v>
      </c>
      <c r="AB52" s="16">
        <f t="shared" si="11"/>
        <v>2.3276916000000001</v>
      </c>
      <c r="AC52" s="16">
        <f t="shared" si="12"/>
        <v>1.0028454</v>
      </c>
      <c r="AD52" s="16">
        <f t="shared" si="13"/>
        <v>0.56099999999999994</v>
      </c>
      <c r="AE52" s="15">
        <f>INDEX('Unique Asset List'!$BN$4:$BT$60,MATCH('7'!$B52,'Unique Asset List'!$A$4:$A$60,0),MATCH('7'!$C$1,'Unique Asset List'!$BN$3:$BT$3,0))</f>
        <v>0.16</v>
      </c>
      <c r="AF52" s="15">
        <f>INDEX('Unique Asset List'!$BU$4:$CA$60,MATCH('7'!$B52,'Unique Asset List'!$A$4:$A$60,0),MATCH('7'!$C$1,'Unique Asset List'!$BU$3:$CA$3,0))</f>
        <v>0.34</v>
      </c>
      <c r="AG52" s="15">
        <f>INDEX('Unique Asset List'!$AZ$4:$BF$60,MATCH('7'!$B52,'Unique Asset List'!$A$4:$A$60,0),MATCH('7'!$C$1,'Unique Asset List'!$AZ$3:$BF$3,0))</f>
        <v>0.16</v>
      </c>
      <c r="AH52" s="15">
        <f>INDEX('Unique Asset List'!$BG$4:$BM$60,MATCH('7'!$B52,'Unique Asset List'!$A$4:$A$60,0),MATCH('7'!$C$1,'Unique Asset List'!$BG$3:$BM$3,0))</f>
        <v>0.34</v>
      </c>
      <c r="AI52" s="11">
        <v>0.7</v>
      </c>
      <c r="AJ52" s="15">
        <f>INDEX('Unique Asset List'!$AL$4:$AR$60,MATCH('7'!$B52,'Unique Asset List'!$A$4:$A$60,0),MATCH('7'!$C$1,'Unique Asset List'!$AL$3:$AR$3,0))</f>
        <v>0.14000000000000001</v>
      </c>
      <c r="AK52" s="15">
        <f>INDEX('Unique Asset List'!$AS$4:$AY$60,MATCH('7'!$B52,'Unique Asset List'!$A$4:$A$60,0),MATCH('7'!$C$1,'Unique Asset List'!$AS$3:$AY$3,0))</f>
        <v>0.15</v>
      </c>
      <c r="AL52" s="9">
        <v>169</v>
      </c>
      <c r="AM52" s="14">
        <f>INDEX(Simulation!$B$6:$H$6,MATCH($A52,Simulation!$B$1:$H$1,0))*(1+AN52)^((DATE(X52,Y52,15)-DATE(2017,1,15))/365.5)</f>
        <v>0.75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5"/>
        <v>0.82</v>
      </c>
      <c r="AS52" s="10">
        <v>1</v>
      </c>
      <c r="AT52" s="10"/>
      <c r="AU52" s="4">
        <f>IF($C$5="ON",BU52,MyRating(_E1,$B52,Efficacy!$F$1))</f>
        <v>4</v>
      </c>
      <c r="AV52" s="3">
        <f>IF($C$5="ON",BV52,MyRating(_E2,$B52,Efficacy!$F$1))</f>
        <v>5</v>
      </c>
      <c r="AW52" s="3">
        <f>IF($C$5="ON",BW52,MyRating(_E3,$B52,Efficacy!$F$1))</f>
        <v>5</v>
      </c>
      <c r="AX52" s="3">
        <f>IF($C$5="ON",BX52,MyRating(_E4,$B52,Efficacy!$F$1))</f>
        <v>4</v>
      </c>
      <c r="AY52" s="3">
        <f>IF($C$5="ON",BY52,MyRating(_E5,$B52,Efficacy!$F$1))</f>
        <v>4</v>
      </c>
      <c r="AZ52" s="3">
        <f>IF($C$5="ON",BZ52,MyRating(_E6,$B52,Efficacy!$F$1))</f>
        <v>3</v>
      </c>
      <c r="BA52" s="3">
        <f>IF($C$5="ON",CA52,MyRating(_E7,$B52,Efficacy!$F$1))</f>
        <v>3</v>
      </c>
      <c r="BB52" s="3">
        <f>IF($C$5="ON",CB52,MyRating(_E8,$B52,Efficacy!$F$1))</f>
        <v>4</v>
      </c>
      <c r="BC52" s="3">
        <f>IF($C$5="ON",CC52,MyRating(_S1,$B52,Efficacy!$F$1))</f>
        <v>5</v>
      </c>
      <c r="BD52" s="3">
        <f>IF($C$5="ON",CD52,MyRating(_S2,$B52,Efficacy!$F$1))</f>
        <v>3</v>
      </c>
      <c r="BE52" s="3">
        <f>IF($C$5="ON",CE52,MyRating(_S3,$B52,Efficacy!$F$1))</f>
        <v>3</v>
      </c>
      <c r="BF52" s="3">
        <f>IF($C$5="ON",CF52,MyRating(_S4,$B52,Efficacy!$F$1))</f>
        <v>4</v>
      </c>
      <c r="BG52" s="3">
        <f>IF($C$5="ON",CG52,MyRating(_S5,$B52,Efficacy!$F$1))</f>
        <v>5</v>
      </c>
      <c r="BH52" s="3">
        <f>IF($C$5="ON",CH52,MyRating(_S6,$B52,Efficacy!$F$1))</f>
        <v>3</v>
      </c>
      <c r="BI52" s="3">
        <f>IF($C$5="ON",CI52,MyRating(_S7,$B52,Efficacy!$F$1))</f>
        <v>3</v>
      </c>
      <c r="BJ52" s="3">
        <f>IF($C$5="ON",CJ52,MyRating(_D1,$B52,Efficacy!$F$1))</f>
        <v>3</v>
      </c>
      <c r="BK52" s="3">
        <f>IF($C$5="ON",CK52,MyRating(_D2,$B52,Efficacy!$F$1))</f>
        <v>3</v>
      </c>
      <c r="BL52" s="3">
        <f>IF($C$5="ON",CL52,MyRating(_D3,$B52,Efficacy!$F$1))</f>
        <v>3</v>
      </c>
      <c r="BM52" s="3">
        <f>IF($C$5="ON",CM52,MyRating(_D4,$B52,Efficacy!$F$1))</f>
        <v>3</v>
      </c>
      <c r="BN52" s="3">
        <f>IF($C$5="ON",CN52,MyRating(_B1G5,$B52,Barrier!$L$2))</f>
        <v>2</v>
      </c>
      <c r="BO52" s="3">
        <f>IF($C$5="ON",CO52,MyRating(_B2,$B52,Barrier!$F$2))</f>
        <v>3</v>
      </c>
      <c r="BP52" s="6">
        <f>IF($C$5="ON",CP52,MyRating(_B3,$B52,Barrier!$F$2))</f>
        <v>3</v>
      </c>
      <c r="BQ52" s="5">
        <f t="shared" si="6"/>
        <v>3.6275844714639842E-2</v>
      </c>
      <c r="BR52" s="8">
        <f t="shared" si="7"/>
        <v>2.9499999999999997</v>
      </c>
      <c r="BS52" s="5">
        <f t="shared" si="8"/>
        <v>3.60415394013439E-2</v>
      </c>
      <c r="BT52" s="7">
        <f t="shared" si="9"/>
        <v>1.8542316878791175E-2</v>
      </c>
      <c r="BU52" s="4">
        <v>4</v>
      </c>
      <c r="BV52" s="3">
        <v>5</v>
      </c>
      <c r="BW52" s="3">
        <v>5</v>
      </c>
      <c r="BX52" s="3">
        <v>4</v>
      </c>
      <c r="BY52" s="3">
        <v>4</v>
      </c>
      <c r="BZ52" s="3">
        <v>3</v>
      </c>
      <c r="CA52" s="3">
        <v>3</v>
      </c>
      <c r="CB52" s="3">
        <v>4</v>
      </c>
      <c r="CC52" s="3">
        <v>5</v>
      </c>
      <c r="CD52" s="3">
        <v>3</v>
      </c>
      <c r="CE52" s="3">
        <v>3</v>
      </c>
      <c r="CF52" s="3">
        <v>4</v>
      </c>
      <c r="CG52" s="3">
        <v>5</v>
      </c>
      <c r="CH52" s="3">
        <v>3</v>
      </c>
      <c r="CI52" s="3">
        <v>3</v>
      </c>
      <c r="CJ52" s="3">
        <v>3</v>
      </c>
      <c r="CK52" s="3">
        <v>3</v>
      </c>
      <c r="CL52" s="3">
        <v>3</v>
      </c>
      <c r="CM52" s="3">
        <v>3</v>
      </c>
      <c r="CN52" s="3">
        <v>2</v>
      </c>
      <c r="CO52" s="3">
        <v>3</v>
      </c>
      <c r="CP52" s="6">
        <v>3</v>
      </c>
      <c r="CQ52" s="5">
        <v>3.6275844714639842E-2</v>
      </c>
      <c r="CR52" s="61"/>
    </row>
    <row r="53" spans="1:96" x14ac:dyDescent="0.35">
      <c r="A53" s="9" t="str">
        <f t="shared" si="0"/>
        <v>JP</v>
      </c>
      <c r="B53" s="9" t="s">
        <v>67</v>
      </c>
      <c r="C53" s="20" t="s">
        <v>3</v>
      </c>
      <c r="D53" s="9" t="s">
        <v>2</v>
      </c>
      <c r="E53" s="9" t="s">
        <v>193</v>
      </c>
      <c r="F53" s="9" t="s">
        <v>1</v>
      </c>
      <c r="G53" s="19">
        <v>0</v>
      </c>
      <c r="H53" s="9">
        <v>2014</v>
      </c>
      <c r="I53" s="9">
        <v>6</v>
      </c>
      <c r="J53" s="18">
        <f>INDEX(PTRS!$D$6:$D$12,MATCH('7'!$F53,PTRS!$B$6:$B$12,0))</f>
        <v>0.1044225</v>
      </c>
      <c r="K53" s="17">
        <v>0</v>
      </c>
      <c r="L53" s="17">
        <v>0.1044225</v>
      </c>
      <c r="M53" s="17">
        <v>0</v>
      </c>
      <c r="N53" s="17">
        <v>0.1044225</v>
      </c>
      <c r="O53" s="17">
        <v>0.1044225</v>
      </c>
      <c r="P53" s="17">
        <v>0.1044225</v>
      </c>
      <c r="Q53" s="17">
        <v>1</v>
      </c>
      <c r="R53" s="17">
        <v>1</v>
      </c>
      <c r="S53" s="17">
        <v>1</v>
      </c>
      <c r="T53" s="17"/>
      <c r="U53" s="17">
        <f t="shared" si="10"/>
        <v>0.72649652910676854</v>
      </c>
      <c r="V53" s="17">
        <v>1</v>
      </c>
      <c r="W53" s="9" t="s">
        <v>67</v>
      </c>
      <c r="X53" s="9">
        <f>INDEX('Unique Asset List'!$C$4:$I$60,MATCH('7'!$B53,'Unique Asset List'!$A$4:$A$60,0),MATCH('7'!$C$1,'Unique Asset List'!$C$3:$I$3,0))</f>
        <v>2032</v>
      </c>
      <c r="Y53" s="9">
        <f>INDEX('Unique Asset List'!$J$4:$P$60,MATCH('7'!$B53,'Unique Asset List'!$A$4:$A$60,0),MATCH('7'!$C$1,'Unique Asset List'!$J$3:$P$3,0))</f>
        <v>3</v>
      </c>
      <c r="Z53" s="9">
        <f>INDEX('Unique Asset List'!$X$4:$AD$60,MATCH('7'!$B53,'Unique Asset List'!$A$4:$A$60,0),MATCH('7'!$C$1,'Unique Asset List'!$X$3:$AD$3,0))</f>
        <v>2040</v>
      </c>
      <c r="AA53" s="9">
        <f>INDEX('Unique Asset List'!$AE$4:$AK$60,MATCH('7'!$B53,'Unique Asset List'!$A$4:$A$60,0),MATCH('7'!$C$1,'Unique Asset List'!$AE$3:$AK$3,0))</f>
        <v>3</v>
      </c>
      <c r="AB53" s="16">
        <f t="shared" si="11"/>
        <v>2.3276916000000001</v>
      </c>
      <c r="AC53" s="16">
        <f t="shared" si="12"/>
        <v>1.0028454</v>
      </c>
      <c r="AD53" s="16">
        <f t="shared" si="13"/>
        <v>0.56099999999999994</v>
      </c>
      <c r="AE53" s="15">
        <f>INDEX('Unique Asset List'!$BN$4:$BT$60,MATCH('7'!$B53,'Unique Asset List'!$A$4:$A$60,0),MATCH('7'!$C$1,'Unique Asset List'!$BN$3:$BT$3,0))</f>
        <v>0.16</v>
      </c>
      <c r="AF53" s="15">
        <f>INDEX('Unique Asset List'!$BU$4:$CA$60,MATCH('7'!$B53,'Unique Asset List'!$A$4:$A$60,0),MATCH('7'!$C$1,'Unique Asset List'!$BU$3:$CA$3,0))</f>
        <v>0.34</v>
      </c>
      <c r="AG53" s="15">
        <f>INDEX('Unique Asset List'!$AZ$4:$BF$60,MATCH('7'!$B53,'Unique Asset List'!$A$4:$A$60,0),MATCH('7'!$C$1,'Unique Asset List'!$AZ$3:$BF$3,0))</f>
        <v>0.16</v>
      </c>
      <c r="AH53" s="15">
        <f>INDEX('Unique Asset List'!$BG$4:$BM$60,MATCH('7'!$B53,'Unique Asset List'!$A$4:$A$60,0),MATCH('7'!$C$1,'Unique Asset List'!$BG$3:$BM$3,0))</f>
        <v>0.34</v>
      </c>
      <c r="AI53" s="11">
        <v>0.7</v>
      </c>
      <c r="AJ53" s="15">
        <f>INDEX('Unique Asset List'!$AL$4:$AR$60,MATCH('7'!$B53,'Unique Asset List'!$A$4:$A$60,0),MATCH('7'!$C$1,'Unique Asset List'!$AL$3:$AR$3,0))</f>
        <v>0.14000000000000001</v>
      </c>
      <c r="AK53" s="15">
        <f>INDEX('Unique Asset List'!$AS$4:$AY$60,MATCH('7'!$B53,'Unique Asset List'!$A$4:$A$60,0),MATCH('7'!$C$1,'Unique Asset List'!$AS$3:$AY$3,0))</f>
        <v>0.15</v>
      </c>
      <c r="AL53" s="9">
        <v>169</v>
      </c>
      <c r="AM53" s="14">
        <f>INDEX(Simulation!$B$6:$H$6,MATCH($A53,Simulation!$B$1:$H$1,0))*(1+AN53)^((DATE(X53,Y53,15)-DATE(2017,1,15))/365.5)</f>
        <v>0.75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5"/>
        <v>0.82</v>
      </c>
      <c r="AS53" s="10">
        <v>1</v>
      </c>
      <c r="AT53" s="10"/>
      <c r="AU53" s="4">
        <f>IF($C$5="ON",BU53,MyRating(_E1,$B53,Efficacy!$F$1))</f>
        <v>4</v>
      </c>
      <c r="AV53" s="3">
        <f>IF($C$5="ON",BV53,MyRating(_E2,$B53,Efficacy!$F$1))</f>
        <v>5</v>
      </c>
      <c r="AW53" s="3">
        <f>IF($C$5="ON",BW53,MyRating(_E3,$B53,Efficacy!$F$1))</f>
        <v>5</v>
      </c>
      <c r="AX53" s="3">
        <f>IF($C$5="ON",BX53,MyRating(_E4,$B53,Efficacy!$F$1))</f>
        <v>4</v>
      </c>
      <c r="AY53" s="3">
        <f>IF($C$5="ON",BY53,MyRating(_E5,$B53,Efficacy!$F$1))</f>
        <v>4</v>
      </c>
      <c r="AZ53" s="3">
        <f>IF($C$5="ON",BZ53,MyRating(_E6,$B53,Efficacy!$F$1))</f>
        <v>3</v>
      </c>
      <c r="BA53" s="3">
        <f>IF($C$5="ON",CA53,MyRating(_E7,$B53,Efficacy!$F$1))</f>
        <v>3</v>
      </c>
      <c r="BB53" s="3">
        <f>IF($C$5="ON",CB53,MyRating(_E8,$B53,Efficacy!$F$1))</f>
        <v>4</v>
      </c>
      <c r="BC53" s="3">
        <f>IF($C$5="ON",CC53,MyRating(_S1,$B53,Efficacy!$F$1))</f>
        <v>5</v>
      </c>
      <c r="BD53" s="3">
        <f>IF($C$5="ON",CD53,MyRating(_S2,$B53,Efficacy!$F$1))</f>
        <v>3</v>
      </c>
      <c r="BE53" s="3">
        <f>IF($C$5="ON",CE53,MyRating(_S3,$B53,Efficacy!$F$1))</f>
        <v>3</v>
      </c>
      <c r="BF53" s="3">
        <f>IF($C$5="ON",CF53,MyRating(_S4,$B53,Efficacy!$F$1))</f>
        <v>4</v>
      </c>
      <c r="BG53" s="3">
        <f>IF($C$5="ON",CG53,MyRating(_S5,$B53,Efficacy!$F$1))</f>
        <v>5</v>
      </c>
      <c r="BH53" s="3">
        <f>IF($C$5="ON",CH53,MyRating(_S6,$B53,Efficacy!$F$1))</f>
        <v>3</v>
      </c>
      <c r="BI53" s="3">
        <f>IF($C$5="ON",CI53,MyRating(_S7,$B53,Efficacy!$F$1))</f>
        <v>3</v>
      </c>
      <c r="BJ53" s="3">
        <f>IF($C$5="ON",CJ53,MyRating(_D1,$B53,Efficacy!$F$1))</f>
        <v>3</v>
      </c>
      <c r="BK53" s="3">
        <f>IF($C$5="ON",CK53,MyRating(_D2,$B53,Efficacy!$F$1))</f>
        <v>3</v>
      </c>
      <c r="BL53" s="3">
        <f>IF($C$5="ON",CL53,MyRating(_D3,$B53,Efficacy!$F$1))</f>
        <v>3</v>
      </c>
      <c r="BM53" s="3">
        <f>IF($C$5="ON",CM53,MyRating(_D4,$B53,Efficacy!$F$1))</f>
        <v>3</v>
      </c>
      <c r="BN53" s="3">
        <f>IF($C$5="ON",CN53,MyRating(_B1G5,$B53,Barrier!$L$2))</f>
        <v>2</v>
      </c>
      <c r="BO53" s="3">
        <f>IF($C$5="ON",CO53,MyRating(_B2,$B53,Barrier!$F$2))</f>
        <v>3</v>
      </c>
      <c r="BP53" s="6">
        <f>IF($C$5="ON",CP53,MyRating(_B3,$B53,Barrier!$F$2))</f>
        <v>3</v>
      </c>
      <c r="BQ53" s="5">
        <f t="shared" si="6"/>
        <v>3.6275844714639842E-2</v>
      </c>
      <c r="BR53" s="8">
        <f t="shared" si="7"/>
        <v>2.9499999999999997</v>
      </c>
      <c r="BS53" s="5">
        <f t="shared" si="8"/>
        <v>3.60415394013439E-2</v>
      </c>
      <c r="BT53" s="7">
        <f t="shared" si="9"/>
        <v>1.8542316878791175E-2</v>
      </c>
      <c r="BU53" s="4">
        <v>4</v>
      </c>
      <c r="BV53" s="3">
        <v>5</v>
      </c>
      <c r="BW53" s="3">
        <v>5</v>
      </c>
      <c r="BX53" s="3">
        <v>4</v>
      </c>
      <c r="BY53" s="3">
        <v>4</v>
      </c>
      <c r="BZ53" s="3">
        <v>3</v>
      </c>
      <c r="CA53" s="3">
        <v>3</v>
      </c>
      <c r="CB53" s="3">
        <v>4</v>
      </c>
      <c r="CC53" s="3">
        <v>5</v>
      </c>
      <c r="CD53" s="3">
        <v>3</v>
      </c>
      <c r="CE53" s="3">
        <v>3</v>
      </c>
      <c r="CF53" s="3">
        <v>4</v>
      </c>
      <c r="CG53" s="3">
        <v>5</v>
      </c>
      <c r="CH53" s="3">
        <v>3</v>
      </c>
      <c r="CI53" s="3">
        <v>3</v>
      </c>
      <c r="CJ53" s="3">
        <v>3</v>
      </c>
      <c r="CK53" s="3">
        <v>3</v>
      </c>
      <c r="CL53" s="3">
        <v>3</v>
      </c>
      <c r="CM53" s="3">
        <v>3</v>
      </c>
      <c r="CN53" s="3">
        <v>2</v>
      </c>
      <c r="CO53" s="3">
        <v>3</v>
      </c>
      <c r="CP53" s="6">
        <v>3</v>
      </c>
      <c r="CQ53" s="5">
        <v>3.6275844714639842E-2</v>
      </c>
      <c r="CR53" s="61"/>
    </row>
    <row r="54" spans="1:96" x14ac:dyDescent="0.35">
      <c r="A54" s="9" t="str">
        <f t="shared" si="0"/>
        <v>JP</v>
      </c>
      <c r="B54" s="9" t="s">
        <v>192</v>
      </c>
      <c r="C54" s="20" t="s">
        <v>3</v>
      </c>
      <c r="D54" s="9" t="s">
        <v>2</v>
      </c>
      <c r="E54" s="9"/>
      <c r="F54" s="9" t="s">
        <v>1</v>
      </c>
      <c r="G54" s="19">
        <v>0</v>
      </c>
      <c r="H54" s="9">
        <v>2014</v>
      </c>
      <c r="I54" s="9">
        <v>6</v>
      </c>
      <c r="J54" s="18">
        <f>INDEX(PTRS!$D$6:$D$12,MATCH('7'!$F54,PTRS!$B$6:$B$12,0))</f>
        <v>0.1044225</v>
      </c>
      <c r="K54" s="17">
        <v>0</v>
      </c>
      <c r="L54" s="17">
        <v>0.1044225</v>
      </c>
      <c r="M54" s="17">
        <v>0</v>
      </c>
      <c r="N54" s="17">
        <v>0.1044225</v>
      </c>
      <c r="O54" s="17">
        <v>0.1044225</v>
      </c>
      <c r="P54" s="17">
        <v>0.1044225</v>
      </c>
      <c r="Q54" s="17">
        <v>0.1044225</v>
      </c>
      <c r="R54" s="17">
        <v>0.1044225</v>
      </c>
      <c r="S54" s="17">
        <v>1</v>
      </c>
      <c r="T54" s="17"/>
      <c r="U54" s="17">
        <f t="shared" si="10"/>
        <v>0</v>
      </c>
      <c r="V54" s="17">
        <v>1</v>
      </c>
      <c r="W54" s="9" t="s">
        <v>0</v>
      </c>
      <c r="X54" s="9">
        <f>INDEX('Unique Asset List'!$C$4:$I$60,MATCH('7'!$B54,'Unique Asset List'!$A$4:$A$60,0),MATCH('7'!$C$1,'Unique Asset List'!$C$3:$I$3,0))</f>
        <v>2051</v>
      </c>
      <c r="Y54" s="9">
        <f>INDEX('Unique Asset List'!$J$4:$P$60,MATCH('7'!$B54,'Unique Asset List'!$A$4:$A$60,0),MATCH('7'!$C$1,'Unique Asset List'!$J$3:$P$3,0))</f>
        <v>9</v>
      </c>
      <c r="Z54" s="9">
        <f>INDEX('Unique Asset List'!$X$4:$AD$60,MATCH('7'!$B54,'Unique Asset List'!$A$4:$A$60,0),MATCH('7'!$C$1,'Unique Asset List'!$X$3:$AD$3,0))</f>
        <v>2059</v>
      </c>
      <c r="AA54" s="9">
        <f>INDEX('Unique Asset List'!$AE$4:$AK$60,MATCH('7'!$B54,'Unique Asset List'!$A$4:$A$60,0),MATCH('7'!$C$1,'Unique Asset List'!$AE$3:$AK$3,0))</f>
        <v>9</v>
      </c>
      <c r="AB54" s="16">
        <f t="shared" si="11"/>
        <v>0</v>
      </c>
      <c r="AC54" s="16">
        <f t="shared" si="12"/>
        <v>0</v>
      </c>
      <c r="AD54" s="16">
        <f t="shared" si="13"/>
        <v>0</v>
      </c>
      <c r="AE54" s="15">
        <f>INDEX('Unique Asset List'!$BN$4:$BT$60,MATCH('7'!$B54,'Unique Asset List'!$A$4:$A$60,0),MATCH('7'!$C$1,'Unique Asset List'!$BN$3:$BT$3,0))</f>
        <v>0.16</v>
      </c>
      <c r="AF54" s="15">
        <f>INDEX('Unique Asset List'!$BU$4:$CA$60,MATCH('7'!$B54,'Unique Asset List'!$A$4:$A$60,0),MATCH('7'!$C$1,'Unique Asset List'!$BU$3:$CA$3,0))</f>
        <v>0.34</v>
      </c>
      <c r="AG54" s="15">
        <f>INDEX('Unique Asset List'!$AZ$4:$BF$60,MATCH('7'!$B54,'Unique Asset List'!$A$4:$A$60,0),MATCH('7'!$C$1,'Unique Asset List'!$AZ$3:$BF$3,0))</f>
        <v>0.16</v>
      </c>
      <c r="AH54" s="15">
        <f>INDEX('Unique Asset List'!$BG$4:$BM$60,MATCH('7'!$B54,'Unique Asset List'!$A$4:$A$60,0),MATCH('7'!$C$1,'Unique Asset List'!$BG$3:$BM$3,0))</f>
        <v>0.34</v>
      </c>
      <c r="AI54" s="11">
        <v>0.7</v>
      </c>
      <c r="AJ54" s="15">
        <f>INDEX('Unique Asset List'!$AL$4:$AR$60,MATCH('7'!$B54,'Unique Asset List'!$A$4:$A$60,0),MATCH('7'!$C$1,'Unique Asset List'!$AL$3:$AR$3,0))</f>
        <v>0.14000000000000001</v>
      </c>
      <c r="AK54" s="15">
        <f>INDEX('Unique Asset List'!$AS$4:$AY$60,MATCH('7'!$B54,'Unique Asset List'!$A$4:$A$60,0),MATCH('7'!$C$1,'Unique Asset List'!$AS$3:$AY$3,0))</f>
        <v>0.15</v>
      </c>
      <c r="AL54" s="9">
        <v>169</v>
      </c>
      <c r="AM54" s="14">
        <f>INDEX(Simulation!$B$6:$H$6,MATCH($A54,Simulation!$B$1:$H$1,0))*(1+AN54)^((DATE(X54,Y54,15)-DATE(2017,1,15))/365.5)</f>
        <v>0.75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5"/>
        <v>0.82</v>
      </c>
      <c r="AS54" s="10">
        <v>1</v>
      </c>
      <c r="AT54" s="10"/>
      <c r="AU54" s="4">
        <f>IF($C$5="ON",BU54,MyRating(_E1,$B54,Efficacy!$F$1))</f>
        <v>0</v>
      </c>
      <c r="AV54" s="3">
        <f>IF($C$5="ON",BV54,MyRating(_E2,$B54,Efficacy!$F$1))</f>
        <v>0</v>
      </c>
      <c r="AW54" s="3">
        <f>IF($C$5="ON",BW54,MyRating(_E3,$B54,Efficacy!$F$1))</f>
        <v>0</v>
      </c>
      <c r="AX54" s="3">
        <f>IF($C$5="ON",BX54,MyRating(_E4,$B54,Efficacy!$F$1))</f>
        <v>0</v>
      </c>
      <c r="AY54" s="3">
        <f>IF($C$5="ON",BY54,MyRating(_E5,$B54,Efficacy!$F$1))</f>
        <v>0</v>
      </c>
      <c r="AZ54" s="3">
        <f>IF($C$5="ON",BZ54,MyRating(_E6,$B54,Efficacy!$F$1))</f>
        <v>0</v>
      </c>
      <c r="BA54" s="3">
        <f>IF($C$5="ON",CA54,MyRating(_E7,$B54,Efficacy!$F$1))</f>
        <v>0</v>
      </c>
      <c r="BB54" s="3">
        <f>IF($C$5="ON",CB54,MyRating(_E8,$B54,Efficacy!$F$1))</f>
        <v>0</v>
      </c>
      <c r="BC54" s="3">
        <f>IF($C$5="ON",CC54,MyRating(_S1,$B54,Efficacy!$F$1))</f>
        <v>0</v>
      </c>
      <c r="BD54" s="3">
        <f>IF($C$5="ON",CD54,MyRating(_S2,$B54,Efficacy!$F$1))</f>
        <v>0</v>
      </c>
      <c r="BE54" s="3">
        <f>IF($C$5="ON",CE54,MyRating(_S3,$B54,Efficacy!$F$1))</f>
        <v>0</v>
      </c>
      <c r="BF54" s="3">
        <f>IF($C$5="ON",CF54,MyRating(_S4,$B54,Efficacy!$F$1))</f>
        <v>0</v>
      </c>
      <c r="BG54" s="3">
        <f>IF($C$5="ON",CG54,MyRating(_S5,$B54,Efficacy!$F$1))</f>
        <v>0</v>
      </c>
      <c r="BH54" s="3">
        <f>IF($C$5="ON",CH54,MyRating(_S6,$B54,Efficacy!$F$1))</f>
        <v>0</v>
      </c>
      <c r="BI54" s="3">
        <f>IF($C$5="ON",CI54,MyRating(_S7,$B54,Efficacy!$F$1))</f>
        <v>0</v>
      </c>
      <c r="BJ54" s="3">
        <f>IF($C$5="ON",CJ54,MyRating(_D1,$B54,Efficacy!$F$1))</f>
        <v>0</v>
      </c>
      <c r="BK54" s="3">
        <f>IF($C$5="ON",CK54,MyRating(_D2,$B54,Efficacy!$F$1))</f>
        <v>0</v>
      </c>
      <c r="BL54" s="3">
        <f>IF($C$5="ON",CL54,MyRating(_D3,$B54,Efficacy!$F$1))</f>
        <v>0</v>
      </c>
      <c r="BM54" s="3">
        <f>IF($C$5="ON",CM54,MyRating(_D4,$B54,Efficacy!$F$1))</f>
        <v>0</v>
      </c>
      <c r="BN54" s="3">
        <f>IF($C$5="ON",CN54,MyRating(_B1G5,$B54,Barrier!$L$2))</f>
        <v>0</v>
      </c>
      <c r="BO54" s="3">
        <f>IF($C$5="ON",CO54,MyRating(_B2,$B54,Barrier!$F$2))</f>
        <v>0</v>
      </c>
      <c r="BP54" s="6">
        <f>IF($C$5="ON",CP54,MyRating(_B3,$B54,Barrier!$F$2))</f>
        <v>0</v>
      </c>
      <c r="BQ54" s="5">
        <f t="shared" si="6"/>
        <v>0</v>
      </c>
      <c r="BR54" s="8">
        <f t="shared" si="7"/>
        <v>0</v>
      </c>
      <c r="BS54" s="5">
        <f t="shared" si="8"/>
        <v>0</v>
      </c>
      <c r="BT54" s="7">
        <f t="shared" si="9"/>
        <v>0</v>
      </c>
      <c r="BU54" s="4">
        <v>0</v>
      </c>
      <c r="BV54" s="3">
        <v>0</v>
      </c>
      <c r="BW54" s="3">
        <v>0</v>
      </c>
      <c r="BX54" s="3">
        <v>0</v>
      </c>
      <c r="BY54" s="3">
        <v>0</v>
      </c>
      <c r="BZ54" s="3">
        <v>0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6">
        <v>0</v>
      </c>
      <c r="CQ54" s="5">
        <v>0</v>
      </c>
      <c r="CR54" s="61"/>
    </row>
    <row r="55" spans="1:96" x14ac:dyDescent="0.35">
      <c r="A55" s="9" t="str">
        <f t="shared" si="0"/>
        <v>JP</v>
      </c>
      <c r="B55" s="9" t="s">
        <v>191</v>
      </c>
      <c r="C55" s="20" t="s">
        <v>3</v>
      </c>
      <c r="D55" s="9" t="s">
        <v>2</v>
      </c>
      <c r="E55" s="9"/>
      <c r="F55" s="9" t="s">
        <v>1</v>
      </c>
      <c r="G55" s="19">
        <v>0</v>
      </c>
      <c r="H55" s="9">
        <v>2014</v>
      </c>
      <c r="I55" s="9">
        <v>6</v>
      </c>
      <c r="J55" s="18">
        <f>INDEX(PTRS!$D$6:$D$12,MATCH('7'!$F55,PTRS!$B$6:$B$12,0))</f>
        <v>0.1044225</v>
      </c>
      <c r="K55" s="17">
        <v>0</v>
      </c>
      <c r="L55" s="17">
        <v>0.1044225</v>
      </c>
      <c r="M55" s="17">
        <v>0</v>
      </c>
      <c r="N55" s="17">
        <v>0.1044225</v>
      </c>
      <c r="O55" s="17">
        <v>0.1044225</v>
      </c>
      <c r="P55" s="17">
        <v>0.1044225</v>
      </c>
      <c r="Q55" s="17">
        <v>0.1044225</v>
      </c>
      <c r="R55" s="17">
        <v>0.1044225</v>
      </c>
      <c r="S55" s="17">
        <v>1</v>
      </c>
      <c r="T55" s="17"/>
      <c r="U55" s="17">
        <f t="shared" si="10"/>
        <v>0</v>
      </c>
      <c r="V55" s="17">
        <v>1</v>
      </c>
      <c r="W55" s="9" t="s">
        <v>0</v>
      </c>
      <c r="X55" s="9">
        <f>INDEX('Unique Asset List'!$C$4:$I$60,MATCH('7'!$B55,'Unique Asset List'!$A$4:$A$60,0),MATCH('7'!$C$1,'Unique Asset List'!$C$3:$I$3,0))</f>
        <v>2051</v>
      </c>
      <c r="Y55" s="9">
        <f>INDEX('Unique Asset List'!$J$4:$P$60,MATCH('7'!$B55,'Unique Asset List'!$A$4:$A$60,0),MATCH('7'!$C$1,'Unique Asset List'!$J$3:$P$3,0))</f>
        <v>6</v>
      </c>
      <c r="Z55" s="9">
        <f>INDEX('Unique Asset List'!$X$4:$AD$60,MATCH('7'!$B55,'Unique Asset List'!$A$4:$A$60,0),MATCH('7'!$C$1,'Unique Asset List'!$X$3:$AD$3,0))</f>
        <v>2059</v>
      </c>
      <c r="AA55" s="9">
        <f>INDEX('Unique Asset List'!$AE$4:$AK$60,MATCH('7'!$B55,'Unique Asset List'!$A$4:$A$60,0),MATCH('7'!$C$1,'Unique Asset List'!$AE$3:$AK$3,0))</f>
        <v>6</v>
      </c>
      <c r="AB55" s="16">
        <f t="shared" si="11"/>
        <v>0</v>
      </c>
      <c r="AC55" s="16">
        <f t="shared" si="12"/>
        <v>0</v>
      </c>
      <c r="AD55" s="16">
        <f t="shared" si="13"/>
        <v>0</v>
      </c>
      <c r="AE55" s="15">
        <f>INDEX('Unique Asset List'!$BN$4:$BT$60,MATCH('7'!$B55,'Unique Asset List'!$A$4:$A$60,0),MATCH('7'!$C$1,'Unique Asset List'!$BN$3:$BT$3,0))</f>
        <v>0.16</v>
      </c>
      <c r="AF55" s="15">
        <f>INDEX('Unique Asset List'!$BU$4:$CA$60,MATCH('7'!$B55,'Unique Asset List'!$A$4:$A$60,0),MATCH('7'!$C$1,'Unique Asset List'!$BU$3:$CA$3,0))</f>
        <v>0.34</v>
      </c>
      <c r="AG55" s="15">
        <f>INDEX('Unique Asset List'!$AZ$4:$BF$60,MATCH('7'!$B55,'Unique Asset List'!$A$4:$A$60,0),MATCH('7'!$C$1,'Unique Asset List'!$AZ$3:$BF$3,0))</f>
        <v>0.16</v>
      </c>
      <c r="AH55" s="15">
        <f>INDEX('Unique Asset List'!$BG$4:$BM$60,MATCH('7'!$B55,'Unique Asset List'!$A$4:$A$60,0),MATCH('7'!$C$1,'Unique Asset List'!$BG$3:$BM$3,0))</f>
        <v>0.34</v>
      </c>
      <c r="AI55" s="11">
        <v>0.7</v>
      </c>
      <c r="AJ55" s="15">
        <f>INDEX('Unique Asset List'!$AL$4:$AR$60,MATCH('7'!$B55,'Unique Asset List'!$A$4:$A$60,0),MATCH('7'!$C$1,'Unique Asset List'!$AL$3:$AR$3,0))</f>
        <v>0.14000000000000001</v>
      </c>
      <c r="AK55" s="15">
        <f>INDEX('Unique Asset List'!$AS$4:$AY$60,MATCH('7'!$B55,'Unique Asset List'!$A$4:$A$60,0),MATCH('7'!$C$1,'Unique Asset List'!$AS$3:$AY$3,0))</f>
        <v>0.15</v>
      </c>
      <c r="AL55" s="9">
        <v>169</v>
      </c>
      <c r="AM55" s="14">
        <f>INDEX(Simulation!$B$6:$H$6,MATCH($A55,Simulation!$B$1:$H$1,0))*(1+AN55)^((DATE(X55,Y55,15)-DATE(2017,1,15))/365.5)</f>
        <v>0.75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5"/>
        <v>0.82</v>
      </c>
      <c r="AS55" s="10">
        <v>1</v>
      </c>
      <c r="AT55" s="10"/>
      <c r="AU55" s="4">
        <f>IF($C$5="ON",BU55,MyRating(_E1,$B55,Efficacy!$F$1))</f>
        <v>0</v>
      </c>
      <c r="AV55" s="3">
        <f>IF($C$5="ON",BV55,MyRating(_E2,$B55,Efficacy!$F$1))</f>
        <v>0</v>
      </c>
      <c r="AW55" s="3">
        <f>IF($C$5="ON",BW55,MyRating(_E3,$B55,Efficacy!$F$1))</f>
        <v>0</v>
      </c>
      <c r="AX55" s="3">
        <f>IF($C$5="ON",BX55,MyRating(_E4,$B55,Efficacy!$F$1))</f>
        <v>0</v>
      </c>
      <c r="AY55" s="3">
        <f>IF($C$5="ON",BY55,MyRating(_E5,$B55,Efficacy!$F$1))</f>
        <v>0</v>
      </c>
      <c r="AZ55" s="3">
        <f>IF($C$5="ON",BZ55,MyRating(_E6,$B55,Efficacy!$F$1))</f>
        <v>0</v>
      </c>
      <c r="BA55" s="3">
        <f>IF($C$5="ON",CA55,MyRating(_E7,$B55,Efficacy!$F$1))</f>
        <v>0</v>
      </c>
      <c r="BB55" s="3">
        <f>IF($C$5="ON",CB55,MyRating(_E8,$B55,Efficacy!$F$1))</f>
        <v>0</v>
      </c>
      <c r="BC55" s="3">
        <f>IF($C$5="ON",CC55,MyRating(_S1,$B55,Efficacy!$F$1))</f>
        <v>0</v>
      </c>
      <c r="BD55" s="3">
        <f>IF($C$5="ON",CD55,MyRating(_S2,$B55,Efficacy!$F$1))</f>
        <v>0</v>
      </c>
      <c r="BE55" s="3">
        <f>IF($C$5="ON",CE55,MyRating(_S3,$B55,Efficacy!$F$1))</f>
        <v>0</v>
      </c>
      <c r="BF55" s="3">
        <f>IF($C$5="ON",CF55,MyRating(_S4,$B55,Efficacy!$F$1))</f>
        <v>0</v>
      </c>
      <c r="BG55" s="3">
        <f>IF($C$5="ON",CG55,MyRating(_S5,$B55,Efficacy!$F$1))</f>
        <v>0</v>
      </c>
      <c r="BH55" s="3">
        <f>IF($C$5="ON",CH55,MyRating(_S6,$B55,Efficacy!$F$1))</f>
        <v>0</v>
      </c>
      <c r="BI55" s="3">
        <f>IF($C$5="ON",CI55,MyRating(_S7,$B55,Efficacy!$F$1))</f>
        <v>0</v>
      </c>
      <c r="BJ55" s="3">
        <f>IF($C$5="ON",CJ55,MyRating(_D1,$B55,Efficacy!$F$1))</f>
        <v>0</v>
      </c>
      <c r="BK55" s="3">
        <f>IF($C$5="ON",CK55,MyRating(_D2,$B55,Efficacy!$F$1))</f>
        <v>0</v>
      </c>
      <c r="BL55" s="3">
        <f>IF($C$5="ON",CL55,MyRating(_D3,$B55,Efficacy!$F$1))</f>
        <v>0</v>
      </c>
      <c r="BM55" s="3">
        <f>IF($C$5="ON",CM55,MyRating(_D4,$B55,Efficacy!$F$1))</f>
        <v>0</v>
      </c>
      <c r="BN55" s="3">
        <f>IF($C$5="ON",CN55,MyRating(_B1G5,$B55,Barrier!$L$2))</f>
        <v>0</v>
      </c>
      <c r="BO55" s="3">
        <f>IF($C$5="ON",CO55,MyRating(_B2,$B55,Barrier!$F$2))</f>
        <v>0</v>
      </c>
      <c r="BP55" s="6">
        <f>IF($C$5="ON",CP55,MyRating(_B3,$B55,Barrier!$F$2))</f>
        <v>0</v>
      </c>
      <c r="BQ55" s="5">
        <f t="shared" si="6"/>
        <v>0</v>
      </c>
      <c r="BR55" s="8">
        <f t="shared" si="7"/>
        <v>0</v>
      </c>
      <c r="BS55" s="5">
        <f t="shared" si="8"/>
        <v>0</v>
      </c>
      <c r="BT55" s="7">
        <f t="shared" si="9"/>
        <v>0</v>
      </c>
      <c r="BU55" s="4">
        <v>0</v>
      </c>
      <c r="BV55" s="3">
        <v>0</v>
      </c>
      <c r="BW55" s="3">
        <v>0</v>
      </c>
      <c r="BX55" s="3">
        <v>0</v>
      </c>
      <c r="BY55" s="3">
        <v>0</v>
      </c>
      <c r="BZ55" s="3">
        <v>0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6">
        <v>0</v>
      </c>
      <c r="CQ55" s="5">
        <v>0</v>
      </c>
      <c r="CR55" s="61"/>
    </row>
    <row r="56" spans="1:96" x14ac:dyDescent="0.35">
      <c r="A56" s="9" t="str">
        <f t="shared" si="0"/>
        <v>JP</v>
      </c>
      <c r="B56" s="9" t="s">
        <v>190</v>
      </c>
      <c r="C56" s="20" t="s">
        <v>3</v>
      </c>
      <c r="D56" s="9" t="s">
        <v>2</v>
      </c>
      <c r="E56" s="9"/>
      <c r="F56" s="9" t="s">
        <v>1</v>
      </c>
      <c r="G56" s="19">
        <v>0</v>
      </c>
      <c r="H56" s="9">
        <v>2014</v>
      </c>
      <c r="I56" s="9">
        <v>6</v>
      </c>
      <c r="J56" s="18">
        <f>INDEX(PTRS!$D$6:$D$12,MATCH('7'!$F56,PTRS!$B$6:$B$12,0))</f>
        <v>0.1044225</v>
      </c>
      <c r="K56" s="17">
        <v>0</v>
      </c>
      <c r="L56" s="17">
        <v>0.1044225</v>
      </c>
      <c r="M56" s="17">
        <v>0</v>
      </c>
      <c r="N56" s="17">
        <v>0.1044225</v>
      </c>
      <c r="O56" s="17">
        <v>0.1044225</v>
      </c>
      <c r="P56" s="17">
        <v>0.1044225</v>
      </c>
      <c r="Q56" s="17">
        <v>0.1044225</v>
      </c>
      <c r="R56" s="17">
        <v>0.1044225</v>
      </c>
      <c r="S56" s="17">
        <v>1</v>
      </c>
      <c r="T56" s="17"/>
      <c r="U56" s="17">
        <f t="shared" si="10"/>
        <v>0</v>
      </c>
      <c r="V56" s="17">
        <v>1</v>
      </c>
      <c r="W56" s="9" t="s">
        <v>0</v>
      </c>
      <c r="X56" s="9">
        <f>INDEX('Unique Asset List'!$C$4:$I$60,MATCH('7'!$B56,'Unique Asset List'!$A$4:$A$60,0),MATCH('7'!$C$1,'Unique Asset List'!$C$3:$I$3,0))</f>
        <v>2051</v>
      </c>
      <c r="Y56" s="9">
        <f>INDEX('Unique Asset List'!$J$4:$P$60,MATCH('7'!$B56,'Unique Asset List'!$A$4:$A$60,0),MATCH('7'!$C$1,'Unique Asset List'!$J$3:$P$3,0))</f>
        <v>6</v>
      </c>
      <c r="Z56" s="9">
        <f>INDEX('Unique Asset List'!$X$4:$AD$60,MATCH('7'!$B56,'Unique Asset List'!$A$4:$A$60,0),MATCH('7'!$C$1,'Unique Asset List'!$X$3:$AD$3,0))</f>
        <v>2059</v>
      </c>
      <c r="AA56" s="9">
        <f>INDEX('Unique Asset List'!$AE$4:$AK$60,MATCH('7'!$B56,'Unique Asset List'!$A$4:$A$60,0),MATCH('7'!$C$1,'Unique Asset List'!$AE$3:$AK$3,0))</f>
        <v>6</v>
      </c>
      <c r="AB56" s="16">
        <f t="shared" si="11"/>
        <v>0</v>
      </c>
      <c r="AC56" s="16">
        <f t="shared" si="12"/>
        <v>0</v>
      </c>
      <c r="AD56" s="16">
        <f t="shared" si="13"/>
        <v>0</v>
      </c>
      <c r="AE56" s="15">
        <f>INDEX('Unique Asset List'!$BN$4:$BT$60,MATCH('7'!$B56,'Unique Asset List'!$A$4:$A$60,0),MATCH('7'!$C$1,'Unique Asset List'!$BN$3:$BT$3,0))</f>
        <v>0.16</v>
      </c>
      <c r="AF56" s="15">
        <f>INDEX('Unique Asset List'!$BU$4:$CA$60,MATCH('7'!$B56,'Unique Asset List'!$A$4:$A$60,0),MATCH('7'!$C$1,'Unique Asset List'!$BU$3:$CA$3,0))</f>
        <v>0.34</v>
      </c>
      <c r="AG56" s="15">
        <f>INDEX('Unique Asset List'!$AZ$4:$BF$60,MATCH('7'!$B56,'Unique Asset List'!$A$4:$A$60,0),MATCH('7'!$C$1,'Unique Asset List'!$AZ$3:$BF$3,0))</f>
        <v>0.16</v>
      </c>
      <c r="AH56" s="15">
        <f>INDEX('Unique Asset List'!$BG$4:$BM$60,MATCH('7'!$B56,'Unique Asset List'!$A$4:$A$60,0),MATCH('7'!$C$1,'Unique Asset List'!$BG$3:$BM$3,0))</f>
        <v>0.34</v>
      </c>
      <c r="AI56" s="11">
        <v>0.7</v>
      </c>
      <c r="AJ56" s="15">
        <f>INDEX('Unique Asset List'!$AL$4:$AR$60,MATCH('7'!$B56,'Unique Asset List'!$A$4:$A$60,0),MATCH('7'!$C$1,'Unique Asset List'!$AL$3:$AR$3,0))</f>
        <v>0.14000000000000001</v>
      </c>
      <c r="AK56" s="15">
        <f>INDEX('Unique Asset List'!$AS$4:$AY$60,MATCH('7'!$B56,'Unique Asset List'!$A$4:$A$60,0),MATCH('7'!$C$1,'Unique Asset List'!$AS$3:$AY$3,0))</f>
        <v>0.15</v>
      </c>
      <c r="AL56" s="9">
        <v>169</v>
      </c>
      <c r="AM56" s="14">
        <f>INDEX(Simulation!$B$6:$H$6,MATCH($A56,Simulation!$B$1:$H$1,0))*(1+AN56)^((DATE(X56,Y56,15)-DATE(2017,1,15))/365.5)</f>
        <v>0.75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5"/>
        <v>0.82</v>
      </c>
      <c r="AS56" s="10">
        <v>1</v>
      </c>
      <c r="AT56" s="10"/>
      <c r="AU56" s="4">
        <f>IF($C$5="ON",BU56,MyRating(_E1,$B56,Efficacy!$F$1))</f>
        <v>0</v>
      </c>
      <c r="AV56" s="3">
        <f>IF($C$5="ON",BV56,MyRating(_E2,$B56,Efficacy!$F$1))</f>
        <v>0</v>
      </c>
      <c r="AW56" s="3">
        <f>IF($C$5="ON",BW56,MyRating(_E3,$B56,Efficacy!$F$1))</f>
        <v>0</v>
      </c>
      <c r="AX56" s="3">
        <f>IF($C$5="ON",BX56,MyRating(_E4,$B56,Efficacy!$F$1))</f>
        <v>0</v>
      </c>
      <c r="AY56" s="3">
        <f>IF($C$5="ON",BY56,MyRating(_E5,$B56,Efficacy!$F$1))</f>
        <v>0</v>
      </c>
      <c r="AZ56" s="3">
        <f>IF($C$5="ON",BZ56,MyRating(_E6,$B56,Efficacy!$F$1))</f>
        <v>0</v>
      </c>
      <c r="BA56" s="3">
        <f>IF($C$5="ON",CA56,MyRating(_E7,$B56,Efficacy!$F$1))</f>
        <v>0</v>
      </c>
      <c r="BB56" s="3">
        <f>IF($C$5="ON",CB56,MyRating(_E8,$B56,Efficacy!$F$1))</f>
        <v>0</v>
      </c>
      <c r="BC56" s="3">
        <f>IF($C$5="ON",CC56,MyRating(_S1,$B56,Efficacy!$F$1))</f>
        <v>0</v>
      </c>
      <c r="BD56" s="3">
        <f>IF($C$5="ON",CD56,MyRating(_S2,$B56,Efficacy!$F$1))</f>
        <v>0</v>
      </c>
      <c r="BE56" s="3">
        <f>IF($C$5="ON",CE56,MyRating(_S3,$B56,Efficacy!$F$1))</f>
        <v>0</v>
      </c>
      <c r="BF56" s="3">
        <f>IF($C$5="ON",CF56,MyRating(_S4,$B56,Efficacy!$F$1))</f>
        <v>0</v>
      </c>
      <c r="BG56" s="3">
        <f>IF($C$5="ON",CG56,MyRating(_S5,$B56,Efficacy!$F$1))</f>
        <v>0</v>
      </c>
      <c r="BH56" s="3">
        <f>IF($C$5="ON",CH56,MyRating(_S6,$B56,Efficacy!$F$1))</f>
        <v>0</v>
      </c>
      <c r="BI56" s="3">
        <f>IF($C$5="ON",CI56,MyRating(_S7,$B56,Efficacy!$F$1))</f>
        <v>0</v>
      </c>
      <c r="BJ56" s="3">
        <f>IF($C$5="ON",CJ56,MyRating(_D1,$B56,Efficacy!$F$1))</f>
        <v>0</v>
      </c>
      <c r="BK56" s="3">
        <f>IF($C$5="ON",CK56,MyRating(_D2,$B56,Efficacy!$F$1))</f>
        <v>0</v>
      </c>
      <c r="BL56" s="3">
        <f>IF($C$5="ON",CL56,MyRating(_D3,$B56,Efficacy!$F$1))</f>
        <v>0</v>
      </c>
      <c r="BM56" s="3">
        <f>IF($C$5="ON",CM56,MyRating(_D4,$B56,Efficacy!$F$1))</f>
        <v>0</v>
      </c>
      <c r="BN56" s="3">
        <f>IF($C$5="ON",CN56,MyRating(_B1G5,$B56,Barrier!$L$2))</f>
        <v>0</v>
      </c>
      <c r="BO56" s="3">
        <f>IF($C$5="ON",CO56,MyRating(_B2,$B56,Barrier!$F$2))</f>
        <v>0</v>
      </c>
      <c r="BP56" s="6">
        <f>IF($C$5="ON",CP56,MyRating(_B3,$B56,Barrier!$F$2))</f>
        <v>0</v>
      </c>
      <c r="BQ56" s="5">
        <f t="shared" si="6"/>
        <v>0</v>
      </c>
      <c r="BR56" s="8">
        <f t="shared" si="7"/>
        <v>0</v>
      </c>
      <c r="BS56" s="5">
        <f t="shared" si="8"/>
        <v>0</v>
      </c>
      <c r="BT56" s="7">
        <f t="shared" si="9"/>
        <v>0</v>
      </c>
      <c r="BU56" s="4">
        <v>0</v>
      </c>
      <c r="BV56" s="3">
        <v>0</v>
      </c>
      <c r="BW56" s="3">
        <v>0</v>
      </c>
      <c r="BX56" s="3">
        <v>0</v>
      </c>
      <c r="BY56" s="3">
        <v>0</v>
      </c>
      <c r="BZ56" s="3">
        <v>0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6">
        <v>0</v>
      </c>
      <c r="CQ56" s="5">
        <v>0</v>
      </c>
      <c r="CR56" s="61"/>
    </row>
    <row r="57" spans="1:96" x14ac:dyDescent="0.35">
      <c r="A57" s="9" t="str">
        <f t="shared" si="0"/>
        <v>JP</v>
      </c>
      <c r="B57" s="9" t="s">
        <v>189</v>
      </c>
      <c r="C57" s="20" t="s">
        <v>3</v>
      </c>
      <c r="D57" s="9" t="s">
        <v>2</v>
      </c>
      <c r="E57" s="9"/>
      <c r="F57" s="9" t="s">
        <v>1</v>
      </c>
      <c r="G57" s="19">
        <v>0</v>
      </c>
      <c r="H57" s="9">
        <v>2014</v>
      </c>
      <c r="I57" s="9">
        <v>6</v>
      </c>
      <c r="J57" s="18">
        <f>INDEX(PTRS!$D$6:$D$12,MATCH('7'!$F57,PTRS!$B$6:$B$12,0))</f>
        <v>0.1044225</v>
      </c>
      <c r="K57" s="17">
        <v>0</v>
      </c>
      <c r="L57" s="17">
        <v>0.1044225</v>
      </c>
      <c r="M57" s="17">
        <v>0</v>
      </c>
      <c r="N57" s="17">
        <v>0.1044225</v>
      </c>
      <c r="O57" s="17">
        <v>0.1044225</v>
      </c>
      <c r="P57" s="17">
        <v>0.1044225</v>
      </c>
      <c r="Q57" s="17">
        <v>0.1044225</v>
      </c>
      <c r="R57" s="17">
        <v>0.1044225</v>
      </c>
      <c r="S57" s="17">
        <v>1</v>
      </c>
      <c r="T57" s="17"/>
      <c r="U57" s="17">
        <f t="shared" si="10"/>
        <v>0</v>
      </c>
      <c r="V57" s="17">
        <v>1</v>
      </c>
      <c r="W57" s="9" t="s">
        <v>0</v>
      </c>
      <c r="X57" s="9">
        <f>INDEX('Unique Asset List'!$C$4:$I$60,MATCH('7'!$B57,'Unique Asset List'!$A$4:$A$60,0),MATCH('7'!$C$1,'Unique Asset List'!$C$3:$I$3,0))</f>
        <v>2051</v>
      </c>
      <c r="Y57" s="9">
        <f>INDEX('Unique Asset List'!$J$4:$P$60,MATCH('7'!$B57,'Unique Asset List'!$A$4:$A$60,0),MATCH('7'!$C$1,'Unique Asset List'!$J$3:$P$3,0))</f>
        <v>6</v>
      </c>
      <c r="Z57" s="9">
        <f>INDEX('Unique Asset List'!$X$4:$AD$60,MATCH('7'!$B57,'Unique Asset List'!$A$4:$A$60,0),MATCH('7'!$C$1,'Unique Asset List'!$X$3:$AD$3,0))</f>
        <v>2059</v>
      </c>
      <c r="AA57" s="9">
        <f>INDEX('Unique Asset List'!$AE$4:$AK$60,MATCH('7'!$B57,'Unique Asset List'!$A$4:$A$60,0),MATCH('7'!$C$1,'Unique Asset List'!$AE$3:$AK$3,0))</f>
        <v>6</v>
      </c>
      <c r="AB57" s="16">
        <f t="shared" si="11"/>
        <v>0</v>
      </c>
      <c r="AC57" s="16">
        <f t="shared" si="12"/>
        <v>0</v>
      </c>
      <c r="AD57" s="16">
        <f t="shared" si="13"/>
        <v>0</v>
      </c>
      <c r="AE57" s="15">
        <f>INDEX('Unique Asset List'!$BN$4:$BT$60,MATCH('7'!$B57,'Unique Asset List'!$A$4:$A$60,0),MATCH('7'!$C$1,'Unique Asset List'!$BN$3:$BT$3,0))</f>
        <v>0.16</v>
      </c>
      <c r="AF57" s="15">
        <f>INDEX('Unique Asset List'!$BU$4:$CA$60,MATCH('7'!$B57,'Unique Asset List'!$A$4:$A$60,0),MATCH('7'!$C$1,'Unique Asset List'!$BU$3:$CA$3,0))</f>
        <v>0.34</v>
      </c>
      <c r="AG57" s="15">
        <f>INDEX('Unique Asset List'!$AZ$4:$BF$60,MATCH('7'!$B57,'Unique Asset List'!$A$4:$A$60,0),MATCH('7'!$C$1,'Unique Asset List'!$AZ$3:$BF$3,0))</f>
        <v>0.16</v>
      </c>
      <c r="AH57" s="15">
        <f>INDEX('Unique Asset List'!$BG$4:$BM$60,MATCH('7'!$B57,'Unique Asset List'!$A$4:$A$60,0),MATCH('7'!$C$1,'Unique Asset List'!$BG$3:$BM$3,0))</f>
        <v>0.34</v>
      </c>
      <c r="AI57" s="11">
        <v>0.7</v>
      </c>
      <c r="AJ57" s="15">
        <f>INDEX('Unique Asset List'!$AL$4:$AR$60,MATCH('7'!$B57,'Unique Asset List'!$A$4:$A$60,0),MATCH('7'!$C$1,'Unique Asset List'!$AL$3:$AR$3,0))</f>
        <v>0.14000000000000001</v>
      </c>
      <c r="AK57" s="15">
        <f>INDEX('Unique Asset List'!$AS$4:$AY$60,MATCH('7'!$B57,'Unique Asset List'!$A$4:$A$60,0),MATCH('7'!$C$1,'Unique Asset List'!$AS$3:$AY$3,0))</f>
        <v>0.15</v>
      </c>
      <c r="AL57" s="9">
        <v>169</v>
      </c>
      <c r="AM57" s="14">
        <f>INDEX(Simulation!$B$6:$H$6,MATCH($A57,Simulation!$B$1:$H$1,0))*(1+AN57)^((DATE(X57,Y57,15)-DATE(2017,1,15))/365.5)</f>
        <v>0.75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5"/>
        <v>0.82</v>
      </c>
      <c r="AS57" s="10">
        <v>1</v>
      </c>
      <c r="AT57" s="10"/>
      <c r="AU57" s="4">
        <f>IF($C$5="ON",BU57,MyRating(_E1,$B57,Efficacy!$F$1))</f>
        <v>0</v>
      </c>
      <c r="AV57" s="3">
        <f>IF($C$5="ON",BV57,MyRating(_E2,$B57,Efficacy!$F$1))</f>
        <v>0</v>
      </c>
      <c r="AW57" s="3">
        <f>IF($C$5="ON",BW57,MyRating(_E3,$B57,Efficacy!$F$1))</f>
        <v>0</v>
      </c>
      <c r="AX57" s="3">
        <f>IF($C$5="ON",BX57,MyRating(_E4,$B57,Efficacy!$F$1))</f>
        <v>0</v>
      </c>
      <c r="AY57" s="3">
        <f>IF($C$5="ON",BY57,MyRating(_E5,$B57,Efficacy!$F$1))</f>
        <v>0</v>
      </c>
      <c r="AZ57" s="3">
        <f>IF($C$5="ON",BZ57,MyRating(_E6,$B57,Efficacy!$F$1))</f>
        <v>0</v>
      </c>
      <c r="BA57" s="3">
        <f>IF($C$5="ON",CA57,MyRating(_E7,$B57,Efficacy!$F$1))</f>
        <v>0</v>
      </c>
      <c r="BB57" s="3">
        <f>IF($C$5="ON",CB57,MyRating(_E8,$B57,Efficacy!$F$1))</f>
        <v>0</v>
      </c>
      <c r="BC57" s="3">
        <f>IF($C$5="ON",CC57,MyRating(_S1,$B57,Efficacy!$F$1))</f>
        <v>0</v>
      </c>
      <c r="BD57" s="3">
        <f>IF($C$5="ON",CD57,MyRating(_S2,$B57,Efficacy!$F$1))</f>
        <v>0</v>
      </c>
      <c r="BE57" s="3">
        <f>IF($C$5="ON",CE57,MyRating(_S3,$B57,Efficacy!$F$1))</f>
        <v>0</v>
      </c>
      <c r="BF57" s="3">
        <f>IF($C$5="ON",CF57,MyRating(_S4,$B57,Efficacy!$F$1))</f>
        <v>0</v>
      </c>
      <c r="BG57" s="3">
        <f>IF($C$5="ON",CG57,MyRating(_S5,$B57,Efficacy!$F$1))</f>
        <v>0</v>
      </c>
      <c r="BH57" s="3">
        <f>IF($C$5="ON",CH57,MyRating(_S6,$B57,Efficacy!$F$1))</f>
        <v>0</v>
      </c>
      <c r="BI57" s="3">
        <f>IF($C$5="ON",CI57,MyRating(_S7,$B57,Efficacy!$F$1))</f>
        <v>0</v>
      </c>
      <c r="BJ57" s="3">
        <f>IF($C$5="ON",CJ57,MyRating(_D1,$B57,Efficacy!$F$1))</f>
        <v>0</v>
      </c>
      <c r="BK57" s="3">
        <f>IF($C$5="ON",CK57,MyRating(_D2,$B57,Efficacy!$F$1))</f>
        <v>0</v>
      </c>
      <c r="BL57" s="3">
        <f>IF($C$5="ON",CL57,MyRating(_D3,$B57,Efficacy!$F$1))</f>
        <v>0</v>
      </c>
      <c r="BM57" s="3">
        <f>IF($C$5="ON",CM57,MyRating(_D4,$B57,Efficacy!$F$1))</f>
        <v>0</v>
      </c>
      <c r="BN57" s="3">
        <f>IF($C$5="ON",CN57,MyRating(_B1G5,$B57,Barrier!$L$2))</f>
        <v>0</v>
      </c>
      <c r="BO57" s="3">
        <f>IF($C$5="ON",CO57,MyRating(_B2,$B57,Barrier!$F$2))</f>
        <v>0</v>
      </c>
      <c r="BP57" s="6">
        <f>IF($C$5="ON",CP57,MyRating(_B3,$B57,Barrier!$F$2))</f>
        <v>0</v>
      </c>
      <c r="BQ57" s="5">
        <f t="shared" si="6"/>
        <v>0</v>
      </c>
      <c r="BR57" s="8">
        <f t="shared" si="7"/>
        <v>0</v>
      </c>
      <c r="BS57" s="5">
        <f t="shared" si="8"/>
        <v>0</v>
      </c>
      <c r="BT57" s="7">
        <f t="shared" si="9"/>
        <v>0</v>
      </c>
      <c r="BU57" s="4">
        <v>0</v>
      </c>
      <c r="BV57" s="3">
        <v>0</v>
      </c>
      <c r="BW57" s="3">
        <v>0</v>
      </c>
      <c r="BX57" s="3">
        <v>0</v>
      </c>
      <c r="BY57" s="3">
        <v>0</v>
      </c>
      <c r="BZ57" s="3">
        <v>0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6">
        <v>0</v>
      </c>
      <c r="CQ57" s="5">
        <v>0</v>
      </c>
      <c r="CR57" s="61"/>
    </row>
    <row r="58" spans="1:96" x14ac:dyDescent="0.35">
      <c r="A58" s="9" t="str">
        <f t="shared" si="0"/>
        <v>JP</v>
      </c>
      <c r="B58" s="9" t="s">
        <v>188</v>
      </c>
      <c r="C58" s="20" t="s">
        <v>3</v>
      </c>
      <c r="D58" s="9" t="s">
        <v>2</v>
      </c>
      <c r="E58" s="9"/>
      <c r="F58" s="9" t="s">
        <v>1</v>
      </c>
      <c r="G58" s="19">
        <v>0</v>
      </c>
      <c r="H58" s="9">
        <v>2014</v>
      </c>
      <c r="I58" s="9">
        <v>6</v>
      </c>
      <c r="J58" s="18">
        <f>INDEX(PTRS!$D$6:$D$12,MATCH('7'!$F58,PTRS!$B$6:$B$12,0))</f>
        <v>0.1044225</v>
      </c>
      <c r="K58" s="17">
        <v>0</v>
      </c>
      <c r="L58" s="17">
        <v>0.1044225</v>
      </c>
      <c r="M58" s="17">
        <v>0</v>
      </c>
      <c r="N58" s="17">
        <v>0.1044225</v>
      </c>
      <c r="O58" s="17">
        <v>0.1044225</v>
      </c>
      <c r="P58" s="17">
        <v>0.1044225</v>
      </c>
      <c r="Q58" s="17">
        <v>0.1044225</v>
      </c>
      <c r="R58" s="17">
        <v>0.1044225</v>
      </c>
      <c r="S58" s="17">
        <v>1</v>
      </c>
      <c r="T58" s="17"/>
      <c r="U58" s="17">
        <f t="shared" si="10"/>
        <v>0</v>
      </c>
      <c r="V58" s="17">
        <v>1</v>
      </c>
      <c r="W58" s="9" t="s">
        <v>0</v>
      </c>
      <c r="X58" s="9">
        <f>INDEX('Unique Asset List'!$C$4:$I$60,MATCH('7'!$B58,'Unique Asset List'!$A$4:$A$60,0),MATCH('7'!$C$1,'Unique Asset List'!$C$3:$I$3,0))</f>
        <v>2051</v>
      </c>
      <c r="Y58" s="9">
        <f>INDEX('Unique Asset List'!$J$4:$P$60,MATCH('7'!$B58,'Unique Asset List'!$A$4:$A$60,0),MATCH('7'!$C$1,'Unique Asset List'!$J$3:$P$3,0))</f>
        <v>6</v>
      </c>
      <c r="Z58" s="9">
        <f>INDEX('Unique Asset List'!$X$4:$AD$60,MATCH('7'!$B58,'Unique Asset List'!$A$4:$A$60,0),MATCH('7'!$C$1,'Unique Asset List'!$X$3:$AD$3,0))</f>
        <v>2059</v>
      </c>
      <c r="AA58" s="9">
        <f>INDEX('Unique Asset List'!$AE$4:$AK$60,MATCH('7'!$B58,'Unique Asset List'!$A$4:$A$60,0),MATCH('7'!$C$1,'Unique Asset List'!$AE$3:$AK$3,0))</f>
        <v>6</v>
      </c>
      <c r="AB58" s="16">
        <f t="shared" si="11"/>
        <v>0</v>
      </c>
      <c r="AC58" s="16">
        <f t="shared" si="12"/>
        <v>0</v>
      </c>
      <c r="AD58" s="16">
        <f t="shared" si="13"/>
        <v>0</v>
      </c>
      <c r="AE58" s="15">
        <f>INDEX('Unique Asset List'!$BN$4:$BT$60,MATCH('7'!$B58,'Unique Asset List'!$A$4:$A$60,0),MATCH('7'!$C$1,'Unique Asset List'!$BN$3:$BT$3,0))</f>
        <v>0.16</v>
      </c>
      <c r="AF58" s="15">
        <f>INDEX('Unique Asset List'!$BU$4:$CA$60,MATCH('7'!$B58,'Unique Asset List'!$A$4:$A$60,0),MATCH('7'!$C$1,'Unique Asset List'!$BU$3:$CA$3,0))</f>
        <v>0.34</v>
      </c>
      <c r="AG58" s="15">
        <f>INDEX('Unique Asset List'!$AZ$4:$BF$60,MATCH('7'!$B58,'Unique Asset List'!$A$4:$A$60,0),MATCH('7'!$C$1,'Unique Asset List'!$AZ$3:$BF$3,0))</f>
        <v>0.16</v>
      </c>
      <c r="AH58" s="15">
        <f>INDEX('Unique Asset List'!$BG$4:$BM$60,MATCH('7'!$B58,'Unique Asset List'!$A$4:$A$60,0),MATCH('7'!$C$1,'Unique Asset List'!$BG$3:$BM$3,0))</f>
        <v>0.34</v>
      </c>
      <c r="AI58" s="11">
        <v>0.7</v>
      </c>
      <c r="AJ58" s="15">
        <f>INDEX('Unique Asset List'!$AL$4:$AR$60,MATCH('7'!$B58,'Unique Asset List'!$A$4:$A$60,0),MATCH('7'!$C$1,'Unique Asset List'!$AL$3:$AR$3,0))</f>
        <v>0.14000000000000001</v>
      </c>
      <c r="AK58" s="15">
        <f>INDEX('Unique Asset List'!$AS$4:$AY$60,MATCH('7'!$B58,'Unique Asset List'!$A$4:$A$60,0),MATCH('7'!$C$1,'Unique Asset List'!$AS$3:$AY$3,0))</f>
        <v>0.15</v>
      </c>
      <c r="AL58" s="9">
        <v>169</v>
      </c>
      <c r="AM58" s="14">
        <f>INDEX(Simulation!$B$6:$H$6,MATCH($A58,Simulation!$B$1:$H$1,0))*(1+AN58)^((DATE(X58,Y58,15)-DATE(2017,1,15))/365.5)</f>
        <v>0.75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5"/>
        <v>0.82</v>
      </c>
      <c r="AS58" s="10">
        <v>1</v>
      </c>
      <c r="AT58" s="10"/>
      <c r="AU58" s="4">
        <f>IF($C$5="ON",BU58,MyRating(_E1,$B58,Efficacy!$F$1))</f>
        <v>0</v>
      </c>
      <c r="AV58" s="3">
        <f>IF($C$5="ON",BV58,MyRating(_E2,$B58,Efficacy!$F$1))</f>
        <v>0</v>
      </c>
      <c r="AW58" s="3">
        <f>IF($C$5="ON",BW58,MyRating(_E3,$B58,Efficacy!$F$1))</f>
        <v>0</v>
      </c>
      <c r="AX58" s="3">
        <f>IF($C$5="ON",BX58,MyRating(_E4,$B58,Efficacy!$F$1))</f>
        <v>0</v>
      </c>
      <c r="AY58" s="3">
        <f>IF($C$5="ON",BY58,MyRating(_E5,$B58,Efficacy!$F$1))</f>
        <v>0</v>
      </c>
      <c r="AZ58" s="3">
        <f>IF($C$5="ON",BZ58,MyRating(_E6,$B58,Efficacy!$F$1))</f>
        <v>0</v>
      </c>
      <c r="BA58" s="3">
        <f>IF($C$5="ON",CA58,MyRating(_E7,$B58,Efficacy!$F$1))</f>
        <v>0</v>
      </c>
      <c r="BB58" s="3">
        <f>IF($C$5="ON",CB58,MyRating(_E8,$B58,Efficacy!$F$1))</f>
        <v>0</v>
      </c>
      <c r="BC58" s="3">
        <f>IF($C$5="ON",CC58,MyRating(_S1,$B58,Efficacy!$F$1))</f>
        <v>0</v>
      </c>
      <c r="BD58" s="3">
        <f>IF($C$5="ON",CD58,MyRating(_S2,$B58,Efficacy!$F$1))</f>
        <v>0</v>
      </c>
      <c r="BE58" s="3">
        <f>IF($C$5="ON",CE58,MyRating(_S3,$B58,Efficacy!$F$1))</f>
        <v>0</v>
      </c>
      <c r="BF58" s="3">
        <f>IF($C$5="ON",CF58,MyRating(_S4,$B58,Efficacy!$F$1))</f>
        <v>0</v>
      </c>
      <c r="BG58" s="3">
        <f>IF($C$5="ON",CG58,MyRating(_S5,$B58,Efficacy!$F$1))</f>
        <v>0</v>
      </c>
      <c r="BH58" s="3">
        <f>IF($C$5="ON",CH58,MyRating(_S6,$B58,Efficacy!$F$1))</f>
        <v>0</v>
      </c>
      <c r="BI58" s="3">
        <f>IF($C$5="ON",CI58,MyRating(_S7,$B58,Efficacy!$F$1))</f>
        <v>0</v>
      </c>
      <c r="BJ58" s="3">
        <f>IF($C$5="ON",CJ58,MyRating(_D1,$B58,Efficacy!$F$1))</f>
        <v>0</v>
      </c>
      <c r="BK58" s="3">
        <f>IF($C$5="ON",CK58,MyRating(_D2,$B58,Efficacy!$F$1))</f>
        <v>0</v>
      </c>
      <c r="BL58" s="3">
        <f>IF($C$5="ON",CL58,MyRating(_D3,$B58,Efficacy!$F$1))</f>
        <v>0</v>
      </c>
      <c r="BM58" s="3">
        <f>IF($C$5="ON",CM58,MyRating(_D4,$B58,Efficacy!$F$1))</f>
        <v>0</v>
      </c>
      <c r="BN58" s="3">
        <f>IF($C$5="ON",CN58,MyRating(_B1G5,$B58,Barrier!$L$2))</f>
        <v>0</v>
      </c>
      <c r="BO58" s="3">
        <f>IF($C$5="ON",CO58,MyRating(_B2,$B58,Barrier!$F$2))</f>
        <v>0</v>
      </c>
      <c r="BP58" s="6">
        <f>IF($C$5="ON",CP58,MyRating(_B3,$B58,Barrier!$F$2))</f>
        <v>0</v>
      </c>
      <c r="BQ58" s="5">
        <f t="shared" si="6"/>
        <v>0</v>
      </c>
      <c r="BR58" s="8">
        <f t="shared" si="7"/>
        <v>0</v>
      </c>
      <c r="BS58" s="5">
        <f t="shared" si="8"/>
        <v>0</v>
      </c>
      <c r="BT58" s="7">
        <f t="shared" si="9"/>
        <v>0</v>
      </c>
      <c r="BU58" s="4">
        <v>0</v>
      </c>
      <c r="BV58" s="3">
        <v>0</v>
      </c>
      <c r="BW58" s="3">
        <v>0</v>
      </c>
      <c r="BX58" s="3">
        <v>0</v>
      </c>
      <c r="BY58" s="3">
        <v>0</v>
      </c>
      <c r="BZ58" s="3">
        <v>0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6">
        <v>0</v>
      </c>
      <c r="CQ58" s="5">
        <v>0</v>
      </c>
      <c r="CR58" s="61"/>
    </row>
  </sheetData>
  <mergeCells count="7">
    <mergeCell ref="T4:W4"/>
    <mergeCell ref="A1:B1"/>
    <mergeCell ref="F1:I1"/>
    <mergeCell ref="J1:S1"/>
    <mergeCell ref="T1:W1"/>
    <mergeCell ref="T2:W2"/>
    <mergeCell ref="T3:W3"/>
  </mergeCells>
  <dataValidations count="3">
    <dataValidation type="list" allowBlank="1" showInputMessage="1" showErrorMessage="1" sqref="J1:S1" xr:uid="{A633DD70-3444-4861-A6F0-6EE203E08A7A}">
      <formula1>$J$8:$S$8</formula1>
    </dataValidation>
    <dataValidation type="list" allowBlank="1" showInputMessage="1" showErrorMessage="1" sqref="C1" xr:uid="{8FB16374-EDA2-40EC-AE17-2AB978EE3E4D}">
      <formula1>"US,FR,DE,ES,IT,UK,JP"</formula1>
    </dataValidation>
    <dataValidation type="list" allowBlank="1" showInputMessage="1" showErrorMessage="1" sqref="C5" xr:uid="{72557941-417B-46C2-859F-54349A124441}">
      <formula1>"ON,OFF"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C8D0-835B-4AD5-B842-EAA77DDFA9C9}">
  <sheetPr codeName="Sheet3">
    <outlinePr summaryBelow="0" summaryRight="0"/>
  </sheetPr>
  <dimension ref="A1:CR58"/>
  <sheetViews>
    <sheetView zoomScale="67" zoomScaleNormal="67" workbookViewId="0">
      <selection sqref="A1:B1"/>
    </sheetView>
  </sheetViews>
  <sheetFormatPr defaultRowHeight="14.5" x14ac:dyDescent="0.35"/>
  <cols>
    <col min="1" max="1" width="6.81640625" customWidth="1"/>
    <col min="2" max="2" width="24.26953125" bestFit="1" customWidth="1"/>
    <col min="3" max="3" width="4.453125" bestFit="1" customWidth="1"/>
    <col min="4" max="4" width="11.453125" bestFit="1" customWidth="1"/>
    <col min="5" max="5" width="8.26953125" bestFit="1" customWidth="1"/>
    <col min="6" max="6" width="8.453125" bestFit="1" customWidth="1"/>
    <col min="7" max="7" width="5.1796875" customWidth="1"/>
    <col min="8" max="8" width="4.453125" bestFit="1" customWidth="1"/>
    <col min="9" max="9" width="4" bestFit="1" customWidth="1"/>
    <col min="10" max="10" width="4.81640625" bestFit="1" customWidth="1"/>
    <col min="11" max="19" width="5.1796875" customWidth="1"/>
    <col min="20" max="20" width="21.7265625" bestFit="1" customWidth="1"/>
    <col min="21" max="21" width="7.1796875" bestFit="1" customWidth="1"/>
    <col min="22" max="22" width="4.81640625" bestFit="1" customWidth="1"/>
    <col min="23" max="23" width="8.7265625" bestFit="1" customWidth="1"/>
    <col min="24" max="24" width="4.81640625" bestFit="1" customWidth="1"/>
    <col min="25" max="25" width="3.1796875" bestFit="1" customWidth="1"/>
    <col min="26" max="30" width="5" bestFit="1" customWidth="1"/>
    <col min="31" max="34" width="4" bestFit="1" customWidth="1"/>
    <col min="35" max="35" width="4.453125" bestFit="1" customWidth="1"/>
    <col min="36" max="36" width="4" customWidth="1"/>
    <col min="37" max="37" width="4.81640625" bestFit="1" customWidth="1"/>
    <col min="38" max="38" width="4" style="2" bestFit="1" customWidth="1"/>
    <col min="39" max="39" width="5.7265625" style="2" bestFit="1" customWidth="1"/>
    <col min="40" max="40" width="4.81640625" style="2" bestFit="1" customWidth="1"/>
    <col min="41" max="41" width="4" style="2" customWidth="1"/>
    <col min="42" max="42" width="5.26953125" bestFit="1" customWidth="1"/>
    <col min="43" max="43" width="4.81640625" style="2" bestFit="1" customWidth="1"/>
    <col min="44" max="44" width="5.26953125" bestFit="1" customWidth="1"/>
    <col min="45" max="46" width="4.54296875" customWidth="1"/>
    <col min="47" max="47" width="3.26953125" bestFit="1" customWidth="1"/>
    <col min="48" max="48" width="3.54296875" bestFit="1" customWidth="1"/>
    <col min="49" max="49" width="4.54296875" bestFit="1" customWidth="1"/>
    <col min="50" max="65" width="3.54296875" bestFit="1" customWidth="1"/>
    <col min="66" max="68" width="4.26953125" customWidth="1"/>
    <col min="69" max="72" width="7.7265625" style="1" bestFit="1" customWidth="1"/>
    <col min="73" max="74" width="3.54296875" bestFit="1" customWidth="1"/>
    <col min="75" max="75" width="4.54296875" bestFit="1" customWidth="1"/>
    <col min="76" max="92" width="3.54296875" bestFit="1" customWidth="1"/>
    <col min="93" max="94" width="4.54296875" bestFit="1" customWidth="1"/>
    <col min="95" max="95" width="5.1796875" style="1" bestFit="1" customWidth="1"/>
  </cols>
  <sheetData>
    <row r="1" spans="1:96" x14ac:dyDescent="0.35">
      <c r="A1" s="177" t="s">
        <v>187</v>
      </c>
      <c r="B1" s="179"/>
      <c r="C1" s="58" t="s">
        <v>182</v>
      </c>
      <c r="D1" s="57"/>
      <c r="E1" s="57"/>
      <c r="F1" s="177" t="s">
        <v>186</v>
      </c>
      <c r="G1" s="178"/>
      <c r="H1" s="178"/>
      <c r="I1" s="178"/>
      <c r="J1" s="180" t="s">
        <v>202</v>
      </c>
      <c r="K1" s="181"/>
      <c r="L1" s="181"/>
      <c r="M1" s="181"/>
      <c r="N1" s="181"/>
      <c r="O1" s="181"/>
      <c r="P1" s="181"/>
      <c r="Q1" s="181"/>
      <c r="R1" s="181"/>
      <c r="S1" s="182"/>
      <c r="T1" s="177" t="s">
        <v>185</v>
      </c>
      <c r="U1" s="178"/>
      <c r="V1" s="178"/>
      <c r="W1" s="179"/>
      <c r="X1" s="49">
        <v>3</v>
      </c>
      <c r="AL1"/>
      <c r="AM1"/>
      <c r="AN1"/>
      <c r="AO1"/>
      <c r="AQ1"/>
      <c r="BR1" s="37"/>
    </row>
    <row r="2" spans="1:96" x14ac:dyDescent="0.35">
      <c r="B2" t="s">
        <v>178</v>
      </c>
      <c r="C2" s="50">
        <v>3</v>
      </c>
      <c r="T2" s="177" t="s">
        <v>174</v>
      </c>
      <c r="U2" s="178"/>
      <c r="V2" s="178"/>
      <c r="W2" s="179"/>
      <c r="X2" s="49">
        <v>0.2</v>
      </c>
      <c r="AL2"/>
      <c r="AM2"/>
      <c r="AN2"/>
      <c r="AO2"/>
      <c r="AQ2"/>
      <c r="BR2" s="37"/>
    </row>
    <row r="3" spans="1:96" x14ac:dyDescent="0.35">
      <c r="B3" t="s">
        <v>172</v>
      </c>
      <c r="C3" s="50">
        <v>2</v>
      </c>
      <c r="T3" s="177" t="s">
        <v>171</v>
      </c>
      <c r="U3" s="178"/>
      <c r="V3" s="178"/>
      <c r="W3" s="179"/>
      <c r="X3" s="49">
        <v>-0.5</v>
      </c>
      <c r="AL3"/>
      <c r="AM3"/>
      <c r="AN3"/>
      <c r="AO3"/>
      <c r="AQ3"/>
      <c r="BR3" s="37"/>
    </row>
    <row r="4" spans="1:96" x14ac:dyDescent="0.35">
      <c r="B4" t="s">
        <v>169</v>
      </c>
      <c r="C4" s="47">
        <v>0.01</v>
      </c>
      <c r="T4" s="177" t="s">
        <v>168</v>
      </c>
      <c r="U4" s="178"/>
      <c r="V4" s="178"/>
      <c r="W4" s="179"/>
      <c r="X4" s="49">
        <v>1.2</v>
      </c>
      <c r="AL4"/>
      <c r="AM4"/>
      <c r="AN4"/>
      <c r="AO4"/>
      <c r="AQ4"/>
      <c r="BR4" s="37"/>
    </row>
    <row r="5" spans="1:96" x14ac:dyDescent="0.35">
      <c r="B5" t="s">
        <v>207</v>
      </c>
      <c r="C5" s="47" t="s">
        <v>165</v>
      </c>
      <c r="D5" s="46"/>
      <c r="U5" s="45"/>
      <c r="V5" s="44"/>
      <c r="AL5"/>
      <c r="AM5"/>
      <c r="AN5"/>
      <c r="AO5"/>
      <c r="AQ5"/>
      <c r="BR5" s="37"/>
    </row>
    <row r="6" spans="1:96" x14ac:dyDescent="0.35">
      <c r="AL6"/>
      <c r="AM6"/>
      <c r="AN6"/>
      <c r="AO6"/>
      <c r="AQ6"/>
      <c r="BR6" s="37"/>
    </row>
    <row r="7" spans="1:96" x14ac:dyDescent="0.35">
      <c r="AL7"/>
      <c r="AM7"/>
      <c r="AN7"/>
      <c r="AO7"/>
      <c r="AQ7"/>
      <c r="AU7" s="29">
        <f>IF($C$5="ON",BU7,INDEX(Conjoint!$F$9:$F$33,MATCH(AU8,Conjoint!$B$9:$B$33,0)))</f>
        <v>8.4581000000000003E-2</v>
      </c>
      <c r="AV7" s="29">
        <f>IF($C$5="ON",BV7,INDEX(Conjoint!$F$9:$F$33,MATCH(AV8,Conjoint!$B$9:$B$33,0)))</f>
        <v>8.0703200000000017E-2</v>
      </c>
      <c r="AW7" s="29">
        <f>IF($C$5="ON",BW7,INDEX(Conjoint!$F$9:$F$33,MATCH(AW8,Conjoint!$B$9:$B$33,0)))</f>
        <v>9.5090400000000005E-2</v>
      </c>
      <c r="AX7" s="29">
        <f>IF($C$5="ON",BX7,INDEX(Conjoint!$F$9:$F$33,MATCH(AX8,Conjoint!$B$9:$B$33,0)))</f>
        <v>8.2614000000000007E-2</v>
      </c>
      <c r="AY7" s="29">
        <f>IF($C$5="ON",BY7,INDEX(Conjoint!$F$9:$F$33,MATCH(AY8,Conjoint!$B$9:$B$33,0)))</f>
        <v>6.1089400000000009E-2</v>
      </c>
      <c r="AZ7" s="29">
        <f>IF($C$5="ON",BZ7,INDEX(Conjoint!$F$9:$F$33,MATCH(AZ8,Conjoint!$B$9:$B$33,0)))</f>
        <v>5.8054600000000005E-2</v>
      </c>
      <c r="BA7" s="29">
        <f>IF($C$5="ON",CA7,INDEX(Conjoint!$F$9:$F$33,MATCH(BA8,Conjoint!$B$9:$B$33,0)))</f>
        <v>3.8047400000000002E-2</v>
      </c>
      <c r="BB7" s="29">
        <f>IF($C$5="ON",CB7,INDEX(Conjoint!$F$9:$F$33,MATCH(BB8,Conjoint!$B$9:$B$33,0)))</f>
        <v>6.1820000000000007E-2</v>
      </c>
      <c r="BC7" s="29">
        <f>IF($C$5="ON",CC7,INDEX(Conjoint!$F$9:$F$33,MATCH(BC8,Conjoint!$B$9:$B$33,0)))</f>
        <v>6.1469900000000001E-2</v>
      </c>
      <c r="BD7" s="29">
        <f>IF($C$5="ON",CD7,INDEX(Conjoint!$F$9:$F$33,MATCH(BD8,Conjoint!$B$9:$B$33,0)))</f>
        <v>2.4572900000000002E-2</v>
      </c>
      <c r="BE7" s="29">
        <f>IF($C$5="ON",CE7,INDEX(Conjoint!$F$9:$F$33,MATCH(BE8,Conjoint!$B$9:$B$33,0)))</f>
        <v>3.06471E-2</v>
      </c>
      <c r="BF7" s="29">
        <f>IF($C$5="ON",CF7,INDEX(Conjoint!$F$9:$F$33,MATCH(BF8,Conjoint!$B$9:$B$33,0)))</f>
        <v>3.4964300000000004E-2</v>
      </c>
      <c r="BG7" s="29">
        <f>IF($C$5="ON",CG7,INDEX(Conjoint!$F$9:$F$33,MATCH(BG8,Conjoint!$B$9:$B$33,0)))</f>
        <v>4.6008299999999995E-2</v>
      </c>
      <c r="BH7" s="29">
        <f>IF($C$5="ON",CH7,INDEX(Conjoint!$F$9:$F$33,MATCH(BH8,Conjoint!$B$9:$B$33,0)))</f>
        <v>2.14354E-2</v>
      </c>
      <c r="BI7" s="29">
        <f>IF($C$5="ON",CI7,INDEX(Conjoint!$F$9:$F$33,MATCH(BI8,Conjoint!$B$9:$B$33,0)))</f>
        <v>3.1877000000000003E-2</v>
      </c>
      <c r="BJ7" s="29">
        <f>IF($C$5="ON",CJ7,INDEX(Conjoint!$F$9:$F$33,MATCH(BJ8,Conjoint!$B$9:$B$33,0)))</f>
        <v>5.9704054739999991E-2</v>
      </c>
      <c r="BK7" s="29">
        <f>IF($C$5="ON",CK7,INDEX(Conjoint!$F$9:$F$33,MATCH(BK8,Conjoint!$B$9:$B$33,0)))</f>
        <v>4.0027204139999994E-2</v>
      </c>
      <c r="BL7" s="29">
        <f>IF($C$5="ON",CL7,INDEX(Conjoint!$F$9:$F$33,MATCH(BL8,Conjoint!$B$9:$B$33,0)))</f>
        <v>3.2328141120000001E-2</v>
      </c>
      <c r="BM7" s="29">
        <f>IF($C$5="ON",CM7,INDEX(Conjoint!$F$9:$F$33,MATCH(BM8,Conjoint!$B$9:$B$33,0)))</f>
        <v>5.4940599999999999E-2</v>
      </c>
      <c r="BN7" s="29">
        <f>IF($C$5="ON",CN7,INDEX(Conjoint!$F$9:$F$37,MATCH(BN8,Conjoint!$B$9:$B$37,0)))</f>
        <v>0.05</v>
      </c>
      <c r="BO7" s="29">
        <f>IF($C$5="ON",CO7,INDEX(Conjoint!$F$9:$F$37,MATCH(BO8,Conjoint!$B$9:$B$37,0)))</f>
        <v>0.47499999999999998</v>
      </c>
      <c r="BP7" s="29">
        <f>IF($C$5="ON",CP7,INDEX(Conjoint!$F$9:$F$37,MATCH(BP8,Conjoint!$B$9:$B$37,0)))</f>
        <v>0.47499999999999998</v>
      </c>
      <c r="BQ7" s="33">
        <f>MAX(BQ9:BQ58)</f>
        <v>4.9932578149053504E-2</v>
      </c>
      <c r="BR7" s="36">
        <f>SUM(BR9:BR58)</f>
        <v>81.850000000000037</v>
      </c>
      <c r="BS7" s="35"/>
      <c r="BT7" s="34">
        <f>SUM(BT9:BT58)</f>
        <v>0.51114776305424126</v>
      </c>
      <c r="BU7" s="29">
        <v>8.4581000000000003E-2</v>
      </c>
      <c r="BV7" s="29">
        <v>8.0703200000000017E-2</v>
      </c>
      <c r="BW7" s="29">
        <v>9.5090400000000005E-2</v>
      </c>
      <c r="BX7" s="29">
        <v>8.2614000000000007E-2</v>
      </c>
      <c r="BY7" s="29">
        <v>6.1089400000000009E-2</v>
      </c>
      <c r="BZ7" s="29">
        <v>5.8054600000000005E-2</v>
      </c>
      <c r="CA7" s="29">
        <v>3.8047400000000002E-2</v>
      </c>
      <c r="CB7" s="29">
        <v>6.1820000000000007E-2</v>
      </c>
      <c r="CC7" s="29">
        <v>6.1469900000000001E-2</v>
      </c>
      <c r="CD7" s="29">
        <v>2.4572900000000002E-2</v>
      </c>
      <c r="CE7" s="29">
        <v>3.06471E-2</v>
      </c>
      <c r="CF7" s="29">
        <v>3.4964300000000004E-2</v>
      </c>
      <c r="CG7" s="29">
        <v>4.6008299999999995E-2</v>
      </c>
      <c r="CH7" s="29">
        <v>2.14354E-2</v>
      </c>
      <c r="CI7" s="29">
        <v>3.1877000000000003E-2</v>
      </c>
      <c r="CJ7" s="29">
        <v>5.9704054739999991E-2</v>
      </c>
      <c r="CK7" s="29">
        <v>4.0027204139999994E-2</v>
      </c>
      <c r="CL7" s="29">
        <v>3.2328141120000001E-2</v>
      </c>
      <c r="CM7" s="29">
        <v>5.4940599999999999E-2</v>
      </c>
      <c r="CN7" s="29">
        <v>0.05</v>
      </c>
      <c r="CO7" s="29">
        <v>0.47499999999999998</v>
      </c>
      <c r="CP7" s="28">
        <v>0.47499999999999998</v>
      </c>
      <c r="CQ7" s="33">
        <v>5.3883834849545127E-2</v>
      </c>
    </row>
    <row r="8" spans="1:96" ht="104.25" customHeight="1" x14ac:dyDescent="0.35">
      <c r="A8" s="30" t="s">
        <v>162</v>
      </c>
      <c r="B8" s="30" t="s">
        <v>161</v>
      </c>
      <c r="C8" s="31" t="s">
        <v>160</v>
      </c>
      <c r="D8" s="31" t="s">
        <v>159</v>
      </c>
      <c r="E8" s="31" t="s">
        <v>158</v>
      </c>
      <c r="F8" s="31" t="s">
        <v>157</v>
      </c>
      <c r="G8" s="31" t="s">
        <v>156</v>
      </c>
      <c r="H8" s="31" t="s">
        <v>155</v>
      </c>
      <c r="I8" s="31" t="s">
        <v>154</v>
      </c>
      <c r="J8" s="32" t="s">
        <v>206</v>
      </c>
      <c r="K8" s="32" t="s">
        <v>205</v>
      </c>
      <c r="L8" s="32" t="s">
        <v>153</v>
      </c>
      <c r="M8" s="32" t="s">
        <v>204</v>
      </c>
      <c r="N8" s="32" t="s">
        <v>203</v>
      </c>
      <c r="O8" s="32" t="s">
        <v>202</v>
      </c>
      <c r="P8" s="32" t="s">
        <v>201</v>
      </c>
      <c r="Q8" s="32" t="s">
        <v>200</v>
      </c>
      <c r="R8" s="32" t="s">
        <v>152</v>
      </c>
      <c r="S8" s="32" t="s">
        <v>151</v>
      </c>
      <c r="T8" s="31" t="s">
        <v>150</v>
      </c>
      <c r="U8" s="31" t="s">
        <v>199</v>
      </c>
      <c r="V8" s="31" t="s">
        <v>198</v>
      </c>
      <c r="W8" s="31" t="s">
        <v>149</v>
      </c>
      <c r="X8" s="31" t="s">
        <v>148</v>
      </c>
      <c r="Y8" s="31" t="s">
        <v>147</v>
      </c>
      <c r="Z8" s="31" t="s">
        <v>146</v>
      </c>
      <c r="AA8" s="31" t="s">
        <v>145</v>
      </c>
      <c r="AB8" s="31" t="s">
        <v>144</v>
      </c>
      <c r="AC8" s="31" t="s">
        <v>143</v>
      </c>
      <c r="AD8" s="31" t="s">
        <v>142</v>
      </c>
      <c r="AE8" s="31" t="s">
        <v>141</v>
      </c>
      <c r="AF8" s="31" t="s">
        <v>140</v>
      </c>
      <c r="AG8" s="31" t="s">
        <v>139</v>
      </c>
      <c r="AH8" s="31" t="s">
        <v>138</v>
      </c>
      <c r="AI8" s="31" t="s">
        <v>137</v>
      </c>
      <c r="AJ8" s="31" t="s">
        <v>136</v>
      </c>
      <c r="AK8" s="31" t="s">
        <v>135</v>
      </c>
      <c r="AL8" s="31" t="s">
        <v>134</v>
      </c>
      <c r="AM8" s="31" t="s">
        <v>133</v>
      </c>
      <c r="AN8" s="31" t="s">
        <v>132</v>
      </c>
      <c r="AO8" s="31" t="s">
        <v>131</v>
      </c>
      <c r="AP8" s="31" t="s">
        <v>130</v>
      </c>
      <c r="AQ8" s="31" t="s">
        <v>129</v>
      </c>
      <c r="AR8" s="31" t="s">
        <v>128</v>
      </c>
      <c r="AS8" s="31" t="s">
        <v>127</v>
      </c>
      <c r="AT8" s="31"/>
      <c r="AU8" s="26" t="s">
        <v>119</v>
      </c>
      <c r="AV8" s="25" t="s">
        <v>118</v>
      </c>
      <c r="AW8" s="25" t="s">
        <v>117</v>
      </c>
      <c r="AX8" s="25" t="s">
        <v>116</v>
      </c>
      <c r="AY8" s="25" t="s">
        <v>115</v>
      </c>
      <c r="AZ8" s="25" t="s">
        <v>114</v>
      </c>
      <c r="BA8" s="25" t="s">
        <v>113</v>
      </c>
      <c r="BB8" s="25" t="s">
        <v>112</v>
      </c>
      <c r="BC8" s="25" t="s">
        <v>111</v>
      </c>
      <c r="BD8" s="25" t="s">
        <v>110</v>
      </c>
      <c r="BE8" s="25" t="s">
        <v>109</v>
      </c>
      <c r="BF8" s="25" t="s">
        <v>108</v>
      </c>
      <c r="BG8" s="25" t="s">
        <v>107</v>
      </c>
      <c r="BH8" s="25" t="s">
        <v>106</v>
      </c>
      <c r="BI8" s="25" t="s">
        <v>105</v>
      </c>
      <c r="BJ8" s="25" t="s">
        <v>104</v>
      </c>
      <c r="BK8" s="25" t="s">
        <v>103</v>
      </c>
      <c r="BL8" s="25" t="s">
        <v>102</v>
      </c>
      <c r="BM8" s="25" t="s">
        <v>101</v>
      </c>
      <c r="BN8" s="29" t="s">
        <v>123</v>
      </c>
      <c r="BO8" s="29" t="s">
        <v>122</v>
      </c>
      <c r="BP8" s="28" t="s">
        <v>121</v>
      </c>
      <c r="BQ8" s="27" t="s">
        <v>120</v>
      </c>
      <c r="BR8" s="27" t="s">
        <v>126</v>
      </c>
      <c r="BS8" s="27" t="s">
        <v>125</v>
      </c>
      <c r="BT8" s="27" t="s">
        <v>124</v>
      </c>
      <c r="BU8" s="26" t="s">
        <v>119</v>
      </c>
      <c r="BV8" s="25" t="s">
        <v>118</v>
      </c>
      <c r="BW8" s="25" t="s">
        <v>117</v>
      </c>
      <c r="BX8" s="25" t="s">
        <v>116</v>
      </c>
      <c r="BY8" s="25" t="s">
        <v>115</v>
      </c>
      <c r="BZ8" s="25" t="s">
        <v>114</v>
      </c>
      <c r="CA8" s="25" t="s">
        <v>113</v>
      </c>
      <c r="CB8" s="25" t="s">
        <v>112</v>
      </c>
      <c r="CC8" s="25" t="s">
        <v>111</v>
      </c>
      <c r="CD8" s="25" t="s">
        <v>110</v>
      </c>
      <c r="CE8" s="25" t="s">
        <v>109</v>
      </c>
      <c r="CF8" s="25" t="s">
        <v>108</v>
      </c>
      <c r="CG8" s="25" t="s">
        <v>107</v>
      </c>
      <c r="CH8" s="25" t="s">
        <v>106</v>
      </c>
      <c r="CI8" s="25" t="s">
        <v>105</v>
      </c>
      <c r="CJ8" s="25" t="s">
        <v>104</v>
      </c>
      <c r="CK8" s="25" t="s">
        <v>103</v>
      </c>
      <c r="CL8" s="25" t="s">
        <v>102</v>
      </c>
      <c r="CM8" s="25" t="s">
        <v>101</v>
      </c>
      <c r="CN8" s="29" t="s">
        <v>123</v>
      </c>
      <c r="CO8" s="29" t="s">
        <v>122</v>
      </c>
      <c r="CP8" s="28" t="s">
        <v>121</v>
      </c>
      <c r="CQ8" s="27" t="s">
        <v>120</v>
      </c>
    </row>
    <row r="9" spans="1:96" x14ac:dyDescent="0.35">
      <c r="A9" s="9" t="str">
        <f t="shared" ref="A9:A40" si="0">$C$1</f>
        <v>IT</v>
      </c>
      <c r="B9" s="9" t="s">
        <v>49</v>
      </c>
      <c r="C9" s="20"/>
      <c r="D9" s="9" t="s">
        <v>48</v>
      </c>
      <c r="E9" s="9" t="s">
        <v>193</v>
      </c>
      <c r="F9" s="9" t="s">
        <v>47</v>
      </c>
      <c r="G9" s="19">
        <v>0.45</v>
      </c>
      <c r="H9" s="9">
        <v>2014</v>
      </c>
      <c r="I9" s="9">
        <v>6</v>
      </c>
      <c r="J9" s="18">
        <f>INDEX(PTRS!$D$6:$D$12,MATCH('6'!$F9,PTRS!$B$6:$B$12,0))</f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36" si="1">BQ9/$BQ$7</f>
        <v>0.74129766176673451</v>
      </c>
      <c r="V9" s="17">
        <v>1</v>
      </c>
      <c r="W9" s="9" t="s">
        <v>46</v>
      </c>
      <c r="X9" s="9">
        <f>INDEX('Unique Asset List'!$C$4:$I$60,MATCH('6'!$B9,'Unique Asset List'!$A$4:$A$60,0),MATCH('6'!$C$1,'Unique Asset List'!$C$3:$I$3,0))</f>
        <v>1984</v>
      </c>
      <c r="Y9" s="9">
        <f>INDEX('Unique Asset List'!$J$4:$P$60,MATCH('6'!$B9,'Unique Asset List'!$A$4:$A$60,0),MATCH('6'!$C$1,'Unique Asset List'!$J$3:$P$3,0))</f>
        <v>7</v>
      </c>
      <c r="Z9" s="9">
        <f>INDEX('Unique Asset List'!$X$4:$AD$60,MATCH('6'!$B9,'Unique Asset List'!$A$4:$A$60,0),MATCH('6'!$C$1,'Unique Asset List'!$X$3:$AD$3,0))</f>
        <v>1994</v>
      </c>
      <c r="AA9" s="9">
        <f>INDEX('Unique Asset List'!$AE$4:$AK$60,MATCH('6'!$B9,'Unique Asset List'!$A$4:$A$60,0),MATCH('6'!$C$1,'Unique Asset List'!$AE$3:$AK$3,0))</f>
        <v>7</v>
      </c>
      <c r="AB9" s="16">
        <f t="shared" ref="AB9:AB36" si="2">SUMPRODUCT($AU9:$BB9,$AU$7:$BB$7)</f>
        <v>1.4218038</v>
      </c>
      <c r="AC9" s="16">
        <f t="shared" ref="AC9:AC36" si="3">SUMPRODUCT($BC9:$BI9,$BC$7:$BI$7)</f>
        <v>0.72835179999999999</v>
      </c>
      <c r="AD9" s="16">
        <f t="shared" ref="AD9:AD36" si="4">SUMPRODUCT($BJ9:$BM9,$BJ$7:$BM$7)</f>
        <v>0.56099999999999994</v>
      </c>
      <c r="AE9" s="15">
        <f>INDEX('Unique Asset List'!$BN$4:$BT$60,MATCH('6'!$B9,'Unique Asset List'!$A$4:$A$60,0),MATCH('6'!$C$1,'Unique Asset List'!$BN$3:$BT$3,0))</f>
        <v>0.18</v>
      </c>
      <c r="AF9" s="15">
        <f>INDEX('Unique Asset List'!$BU$4:$CA$60,MATCH('6'!$B9,'Unique Asset List'!$A$4:$A$60,0),MATCH('6'!$C$1,'Unique Asset List'!$BU$3:$CA$3,0))</f>
        <v>0.32</v>
      </c>
      <c r="AG9" s="15">
        <f>INDEX('Unique Asset List'!$AZ$4:$BF$60,MATCH('6'!$B9,'Unique Asset List'!$A$4:$A$60,0),MATCH('6'!$C$1,'Unique Asset List'!$AZ$3:$BF$3,0))</f>
        <v>0.18</v>
      </c>
      <c r="AH9" s="15">
        <f>INDEX('Unique Asset List'!$BG$4:$BM$60,MATCH('6'!$B9,'Unique Asset List'!$A$4:$A$60,0),MATCH('6'!$C$1,'Unique Asset List'!$BG$3:$BM$3,0))</f>
        <v>0.32</v>
      </c>
      <c r="AI9" s="11">
        <v>0.96187963349867744</v>
      </c>
      <c r="AJ9" s="15">
        <f>INDEX('Unique Asset List'!$AL$4:$AR$60,MATCH('6'!$B9,'Unique Asset List'!$A$4:$A$60,0),MATCH('6'!$C$1,'Unique Asset List'!$AL$3:$AR$3,0))</f>
        <v>0.32314284341629806</v>
      </c>
      <c r="AK9" s="15">
        <f>INDEX('Unique Asset List'!$AS$4:$AY$60,MATCH('6'!$B9,'Unique Asset List'!$A$4:$A$60,0),MATCH('6'!$C$1,'Unique Asset List'!$AS$3:$AY$3,0))</f>
        <v>0.61768216477991222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40" si="5">AP9</f>
        <v>0.82</v>
      </c>
      <c r="AS9" s="10">
        <v>1</v>
      </c>
      <c r="AT9" s="10"/>
      <c r="AU9" s="4">
        <f>IF($C$5="ON",BU9,MyRating(_E1,$B9,Efficacy!$F$1))</f>
        <v>2</v>
      </c>
      <c r="AV9" s="3">
        <f>IF($C$5="ON",BV9,MyRating(_E2,$B9,Efficacy!$F$1))</f>
        <v>2</v>
      </c>
      <c r="AW9" s="3">
        <f>IF($C$5="ON",BW9,MyRating(_E3,$B9,Efficacy!$F$1))</f>
        <v>2</v>
      </c>
      <c r="AX9" s="3">
        <f>IF($C$5="ON",BX9,MyRating(_E4,$B9,Efficacy!$F$1))</f>
        <v>2</v>
      </c>
      <c r="AY9" s="3">
        <f>IF($C$5="ON",BY9,MyRating(_E5,$B9,Efficacy!$F$1))</f>
        <v>2</v>
      </c>
      <c r="AZ9" s="3">
        <f>IF($C$5="ON",BZ9,MyRating(_E6,$B9,Efficacy!$F$1))</f>
        <v>5</v>
      </c>
      <c r="BA9" s="3">
        <f>IF($C$5="ON",CA9,MyRating(_E7,$B9,Efficacy!$F$1))</f>
        <v>2</v>
      </c>
      <c r="BB9" s="3">
        <f>IF($C$5="ON",CB9,MyRating(_E8,$B9,Efficacy!$F$1))</f>
        <v>4</v>
      </c>
      <c r="BC9" s="3">
        <f>IF($C$5="ON",CC9,MyRating(_S1,$B9,Efficacy!$F$1))</f>
        <v>3</v>
      </c>
      <c r="BD9" s="3">
        <f>IF($C$5="ON",CD9,MyRating(_S2,$B9,Efficacy!$F$1))</f>
        <v>2</v>
      </c>
      <c r="BE9" s="3">
        <f>IF($C$5="ON",CE9,MyRating(_S3,$B9,Efficacy!$F$1))</f>
        <v>3</v>
      </c>
      <c r="BF9" s="3">
        <f>IF($C$5="ON",CF9,MyRating(_S4,$B9,Efficacy!$F$1))</f>
        <v>3</v>
      </c>
      <c r="BG9" s="3">
        <f>IF($C$5="ON",CG9,MyRating(_S5,$B9,Efficacy!$F$1))</f>
        <v>3</v>
      </c>
      <c r="BH9" s="3">
        <f>IF($C$5="ON",CH9,MyRating(_S6,$B9,Efficacy!$F$1))</f>
        <v>3</v>
      </c>
      <c r="BI9" s="3">
        <f>IF($C$5="ON",CI9,MyRating(_S7,$B9,Efficacy!$F$1))</f>
        <v>3</v>
      </c>
      <c r="BJ9" s="3">
        <f>IF($C$5="ON",CJ9,MyRating(_D1,$B9,Efficacy!$F$1))</f>
        <v>3</v>
      </c>
      <c r="BK9" s="3">
        <f>IF($C$5="ON",CK9,MyRating(_D2,$B9,Efficacy!$F$1))</f>
        <v>3</v>
      </c>
      <c r="BL9" s="3">
        <f>IF($C$5="ON",CL9,MyRating(_D3,$B9,Efficacy!$F$1))</f>
        <v>3</v>
      </c>
      <c r="BM9" s="3">
        <f>IF($C$5="ON",CM9,MyRating(_D4,$B9,Efficacy!$F$1))</f>
        <v>3</v>
      </c>
      <c r="BN9" s="3">
        <f>IF($C$5="ON",CN9,MyRating(_B1G5,$B9,Barrier!$L$2))</f>
        <v>3</v>
      </c>
      <c r="BO9" s="3">
        <f>IF($C$5="ON",CO9,MyRating(_B2,$B9,Barrier!$F$2))</f>
        <v>3</v>
      </c>
      <c r="BP9" s="6">
        <f>IF($C$5="ON",CP9,MyRating(_B3,$B9,Barrier!$F$2))</f>
        <v>3</v>
      </c>
      <c r="BQ9" s="5">
        <f t="shared" ref="BQ9:BQ40" si="6">BT9/$BT$7</f>
        <v>3.7014903427878103E-2</v>
      </c>
      <c r="BR9" s="8">
        <f t="shared" ref="BR9:BR40" si="7">SUMPRODUCT($BN9:$BP9,$BN$7:$BP$7)</f>
        <v>2.9999999999999996</v>
      </c>
      <c r="BS9" s="5">
        <f t="shared" ref="BS9:BS40" si="8">BR9/$BR$7</f>
        <v>3.6652412950519221E-2</v>
      </c>
      <c r="BT9" s="7">
        <f t="shared" ref="BT9:BT40" si="9">BS9^$X$4</f>
        <v>1.8920085086828659E-2</v>
      </c>
      <c r="BU9" s="4">
        <v>2</v>
      </c>
      <c r="BV9" s="3">
        <v>2</v>
      </c>
      <c r="BW9" s="3">
        <v>2</v>
      </c>
      <c r="BX9" s="3">
        <v>2</v>
      </c>
      <c r="BY9" s="3">
        <v>2</v>
      </c>
      <c r="BZ9" s="3">
        <v>5</v>
      </c>
      <c r="CA9" s="3">
        <v>2</v>
      </c>
      <c r="CB9" s="3">
        <v>4</v>
      </c>
      <c r="CC9" s="3">
        <v>3</v>
      </c>
      <c r="CD9" s="3">
        <v>2</v>
      </c>
      <c r="CE9" s="3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6">
        <v>3</v>
      </c>
      <c r="CQ9" s="5">
        <v>3.7014903427878103E-2</v>
      </c>
      <c r="CR9" s="61"/>
    </row>
    <row r="10" spans="1:96" x14ac:dyDescent="0.35">
      <c r="A10" s="9" t="str">
        <f t="shared" si="0"/>
        <v>IT</v>
      </c>
      <c r="B10" s="9" t="s">
        <v>197</v>
      </c>
      <c r="C10" s="20"/>
      <c r="D10" s="9" t="s">
        <v>48</v>
      </c>
      <c r="E10" s="9" t="s">
        <v>193</v>
      </c>
      <c r="F10" s="9" t="s">
        <v>47</v>
      </c>
      <c r="G10" s="19">
        <v>0.34</v>
      </c>
      <c r="H10" s="9">
        <v>2014</v>
      </c>
      <c r="I10" s="9">
        <v>6</v>
      </c>
      <c r="J10" s="18">
        <f>INDEX(PTRS!$D$6:$D$12,MATCH('6'!$F10,PTRS!$B$6:$B$12,0))</f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0.74129766176673451</v>
      </c>
      <c r="V10" s="17">
        <v>1</v>
      </c>
      <c r="W10" s="9" t="s">
        <v>195</v>
      </c>
      <c r="X10" s="9">
        <f>INDEX('Unique Asset List'!$C$4:$I$60,MATCH('6'!$B10,'Unique Asset List'!$A$4:$A$60,0),MATCH('6'!$C$1,'Unique Asset List'!$C$3:$I$3,0))</f>
        <v>1972</v>
      </c>
      <c r="Y10" s="9">
        <f>INDEX('Unique Asset List'!$J$4:$P$60,MATCH('6'!$B10,'Unique Asset List'!$A$4:$A$60,0),MATCH('6'!$C$1,'Unique Asset List'!$J$3:$P$3,0))</f>
        <v>7</v>
      </c>
      <c r="Z10" s="9">
        <f>INDEX('Unique Asset List'!$X$4:$AD$60,MATCH('6'!$B10,'Unique Asset List'!$A$4:$A$60,0),MATCH('6'!$C$1,'Unique Asset List'!$X$3:$AD$3,0))</f>
        <v>2001</v>
      </c>
      <c r="AA10" s="9">
        <f>INDEX('Unique Asset List'!$AE$4:$AK$60,MATCH('6'!$B10,'Unique Asset List'!$A$4:$A$60,0),MATCH('6'!$C$1,'Unique Asset List'!$AE$3:$AK$3,0))</f>
        <v>7</v>
      </c>
      <c r="AB10" s="16">
        <f t="shared" si="2"/>
        <v>1.5698908</v>
      </c>
      <c r="AC10" s="16">
        <f t="shared" si="3"/>
        <v>0.99973299999999998</v>
      </c>
      <c r="AD10" s="16">
        <f t="shared" si="4"/>
        <v>0.46126874111999994</v>
      </c>
      <c r="AE10" s="15">
        <f>INDEX('Unique Asset List'!$BN$4:$BT$60,MATCH('6'!$B10,'Unique Asset List'!$A$4:$A$60,0),MATCH('6'!$C$1,'Unique Asset List'!$BN$3:$BT$3,0))</f>
        <v>0.18</v>
      </c>
      <c r="AF10" s="15">
        <f>INDEX('Unique Asset List'!$BU$4:$CA$60,MATCH('6'!$B10,'Unique Asset List'!$A$4:$A$60,0),MATCH('6'!$C$1,'Unique Asset List'!$BU$3:$CA$3,0))</f>
        <v>0.32</v>
      </c>
      <c r="AG10" s="15">
        <f>INDEX('Unique Asset List'!$AZ$4:$BF$60,MATCH('6'!$B10,'Unique Asset List'!$A$4:$A$60,0),MATCH('6'!$C$1,'Unique Asset List'!$AZ$3:$BF$3,0))</f>
        <v>0.18</v>
      </c>
      <c r="AH10" s="15">
        <f>INDEX('Unique Asset List'!$BG$4:$BM$60,MATCH('6'!$B10,'Unique Asset List'!$A$4:$A$60,0),MATCH('6'!$C$1,'Unique Asset List'!$BG$3:$BM$3,0))</f>
        <v>0.32</v>
      </c>
      <c r="AI10" s="11">
        <v>0.96187963349867744</v>
      </c>
      <c r="AJ10" s="15">
        <f>INDEX('Unique Asset List'!$AL$4:$AR$60,MATCH('6'!$B10,'Unique Asset List'!$A$4:$A$60,0),MATCH('6'!$C$1,'Unique Asset List'!$AL$3:$AR$3,0))</f>
        <v>0.32314284341629806</v>
      </c>
      <c r="AK10" s="15">
        <f>INDEX('Unique Asset List'!$AS$4:$AY$60,MATCH('6'!$B10,'Unique Asset List'!$A$4:$A$60,0),MATCH('6'!$C$1,'Unique Asset List'!$AS$3:$AY$3,0))</f>
        <v>0.61768216477991222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5"/>
        <v>0.82</v>
      </c>
      <c r="AS10" s="10">
        <v>1</v>
      </c>
      <c r="AT10" s="10"/>
      <c r="AU10" s="4">
        <f>IF($C$5="ON",BU10,MyRating(_E1,$B10,Efficacy!$F$1))</f>
        <v>3</v>
      </c>
      <c r="AV10" s="3">
        <f>IF($C$5="ON",BV10,MyRating(_E2,$B10,Efficacy!$F$1))</f>
        <v>3</v>
      </c>
      <c r="AW10" s="3">
        <f>IF($C$5="ON",BW10,MyRating(_E3,$B10,Efficacy!$F$1))</f>
        <v>3</v>
      </c>
      <c r="AX10" s="3">
        <f>IF($C$5="ON",BX10,MyRating(_E4,$B10,Efficacy!$F$1))</f>
        <v>3</v>
      </c>
      <c r="AY10" s="3">
        <f>IF($C$5="ON",BY10,MyRating(_E5,$B10,Efficacy!$F$1))</f>
        <v>3</v>
      </c>
      <c r="AZ10" s="3">
        <f>IF($C$5="ON",BZ10,MyRating(_E6,$B10,Efficacy!$F$1))</f>
        <v>1</v>
      </c>
      <c r="BA10" s="3">
        <f>IF($C$5="ON",CA10,MyRating(_E7,$B10,Efficacy!$F$1))</f>
        <v>3</v>
      </c>
      <c r="BB10" s="3">
        <f>IF($C$5="ON",CB10,MyRating(_E8,$B10,Efficacy!$F$1))</f>
        <v>3</v>
      </c>
      <c r="BC10" s="3">
        <f>IF($C$5="ON",CC10,MyRating(_S1,$B10,Efficacy!$F$1))</f>
        <v>4</v>
      </c>
      <c r="BD10" s="3">
        <f>IF($C$5="ON",CD10,MyRating(_S2,$B10,Efficacy!$F$1))</f>
        <v>5</v>
      </c>
      <c r="BE10" s="3">
        <f>IF($C$5="ON",CE10,MyRating(_S3,$B10,Efficacy!$F$1))</f>
        <v>4</v>
      </c>
      <c r="BF10" s="3">
        <f>IF($C$5="ON",CF10,MyRating(_S4,$B10,Efficacy!$F$1))</f>
        <v>4</v>
      </c>
      <c r="BG10" s="3">
        <f>IF($C$5="ON",CG10,MyRating(_S5,$B10,Efficacy!$F$1))</f>
        <v>5</v>
      </c>
      <c r="BH10" s="3">
        <f>IF($C$5="ON",CH10,MyRating(_S6,$B10,Efficacy!$F$1))</f>
        <v>2</v>
      </c>
      <c r="BI10" s="3">
        <f>IF($C$5="ON",CI10,MyRating(_S7,$B10,Efficacy!$F$1))</f>
        <v>3</v>
      </c>
      <c r="BJ10" s="3">
        <f>IF($C$5="ON",CJ10,MyRating(_D1,$B10,Efficacy!$F$1))</f>
        <v>2</v>
      </c>
      <c r="BK10" s="3">
        <f>IF($C$5="ON",CK10,MyRating(_D2,$B10,Efficacy!$F$1))</f>
        <v>2</v>
      </c>
      <c r="BL10" s="3">
        <f>IF($C$5="ON",CL10,MyRating(_D3,$B10,Efficacy!$F$1))</f>
        <v>3</v>
      </c>
      <c r="BM10" s="3">
        <f>IF($C$5="ON",CM10,MyRating(_D4,$B10,Efficacy!$F$1))</f>
        <v>3</v>
      </c>
      <c r="BN10" s="3">
        <f>IF($C$5="ON",CN10,MyRating(_B1G5,$B10,Barrier!$L$2))</f>
        <v>3</v>
      </c>
      <c r="BO10" s="3">
        <f>IF($C$5="ON",CO10,MyRating(_B2,$B10,Barrier!$F$2))</f>
        <v>3</v>
      </c>
      <c r="BP10" s="6">
        <f>IF($C$5="ON",CP10,MyRating(_B3,$B10,Barrier!$F$2))</f>
        <v>3</v>
      </c>
      <c r="BQ10" s="5">
        <f t="shared" si="6"/>
        <v>3.7014903427878103E-2</v>
      </c>
      <c r="BR10" s="8">
        <f t="shared" si="7"/>
        <v>2.9999999999999996</v>
      </c>
      <c r="BS10" s="5">
        <f t="shared" si="8"/>
        <v>3.6652412950519221E-2</v>
      </c>
      <c r="BT10" s="7">
        <f t="shared" si="9"/>
        <v>1.8920085086828659E-2</v>
      </c>
      <c r="BU10" s="4">
        <v>3</v>
      </c>
      <c r="BV10" s="3">
        <v>3</v>
      </c>
      <c r="BW10" s="3">
        <v>3</v>
      </c>
      <c r="BX10" s="3">
        <v>3</v>
      </c>
      <c r="BY10" s="3">
        <v>3</v>
      </c>
      <c r="BZ10" s="3">
        <v>1</v>
      </c>
      <c r="CA10" s="3">
        <v>3</v>
      </c>
      <c r="CB10" s="3">
        <v>3</v>
      </c>
      <c r="CC10" s="3">
        <v>4</v>
      </c>
      <c r="CD10" s="3">
        <v>5</v>
      </c>
      <c r="CE10" s="3">
        <v>4</v>
      </c>
      <c r="CF10" s="3">
        <v>4</v>
      </c>
      <c r="CG10" s="3">
        <v>5</v>
      </c>
      <c r="CH10" s="3">
        <v>2</v>
      </c>
      <c r="CI10" s="3">
        <v>3</v>
      </c>
      <c r="CJ10" s="3">
        <v>2</v>
      </c>
      <c r="CK10" s="3">
        <v>2</v>
      </c>
      <c r="CL10" s="3">
        <v>3</v>
      </c>
      <c r="CM10" s="3">
        <v>3</v>
      </c>
      <c r="CN10" s="3">
        <v>3</v>
      </c>
      <c r="CO10" s="3">
        <v>3</v>
      </c>
      <c r="CP10" s="6">
        <v>3</v>
      </c>
      <c r="CQ10" s="5">
        <v>3.7014903427878103E-2</v>
      </c>
      <c r="CR10" s="61"/>
    </row>
    <row r="11" spans="1:96" x14ac:dyDescent="0.35">
      <c r="A11" s="9" t="str">
        <f t="shared" si="0"/>
        <v>IT</v>
      </c>
      <c r="B11" s="9" t="s">
        <v>196</v>
      </c>
      <c r="C11" s="20"/>
      <c r="D11" s="9" t="s">
        <v>90</v>
      </c>
      <c r="E11" s="9" t="s">
        <v>193</v>
      </c>
      <c r="F11" s="9" t="s">
        <v>47</v>
      </c>
      <c r="G11" s="19">
        <v>0.21</v>
      </c>
      <c r="H11" s="9">
        <v>2014</v>
      </c>
      <c r="I11" s="9">
        <v>6</v>
      </c>
      <c r="J11" s="18">
        <f>INDEX(PTRS!$D$6:$D$12,MATCH('6'!$F11,PTRS!$B$6:$B$12,0))</f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0.74129766176673451</v>
      </c>
      <c r="V11" s="17">
        <v>1</v>
      </c>
      <c r="W11" s="9" t="s">
        <v>54</v>
      </c>
      <c r="X11" s="9">
        <f>INDEX('Unique Asset List'!$C$4:$I$60,MATCH('6'!$B11,'Unique Asset List'!$A$4:$A$60,0),MATCH('6'!$C$1,'Unique Asset List'!$C$3:$I$3,0))</f>
        <v>2010</v>
      </c>
      <c r="Y11" s="9">
        <f>INDEX('Unique Asset List'!$J$4:$P$60,MATCH('6'!$B11,'Unique Asset List'!$A$4:$A$60,0),MATCH('6'!$C$1,'Unique Asset List'!$J$3:$P$3,0))</f>
        <v>9</v>
      </c>
      <c r="Z11" s="9">
        <f>INDEX('Unique Asset List'!$X$4:$AD$60,MATCH('6'!$B11,'Unique Asset List'!$A$4:$A$60,0),MATCH('6'!$C$1,'Unique Asset List'!$X$3:$AD$3,0))</f>
        <v>2017</v>
      </c>
      <c r="AA11" s="9">
        <f>INDEX('Unique Asset List'!$AE$4:$AK$60,MATCH('6'!$B11,'Unique Asset List'!$A$4:$A$60,0),MATCH('6'!$C$1,'Unique Asset List'!$AE$3:$AK$3,0))</f>
        <v>3</v>
      </c>
      <c r="AB11" s="16">
        <f t="shared" si="2"/>
        <v>1.6603166</v>
      </c>
      <c r="AC11" s="16">
        <f t="shared" si="3"/>
        <v>0.65777060000000009</v>
      </c>
      <c r="AD11" s="16">
        <f t="shared" si="4"/>
        <v>0.52097279586</v>
      </c>
      <c r="AE11" s="15">
        <f>INDEX('Unique Asset List'!$BN$4:$BT$60,MATCH('6'!$B11,'Unique Asset List'!$A$4:$A$60,0),MATCH('6'!$C$1,'Unique Asset List'!$BN$3:$BT$3,0))</f>
        <v>0.18</v>
      </c>
      <c r="AF11" s="15">
        <f>INDEX('Unique Asset List'!$BU$4:$CA$60,MATCH('6'!$B11,'Unique Asset List'!$A$4:$A$60,0),MATCH('6'!$C$1,'Unique Asset List'!$BU$3:$CA$3,0))</f>
        <v>0.32</v>
      </c>
      <c r="AG11" s="15">
        <f>INDEX('Unique Asset List'!$AZ$4:$BF$60,MATCH('6'!$B11,'Unique Asset List'!$A$4:$A$60,0),MATCH('6'!$C$1,'Unique Asset List'!$AZ$3:$BF$3,0))</f>
        <v>0.18</v>
      </c>
      <c r="AH11" s="15">
        <f>INDEX('Unique Asset List'!$BG$4:$BM$60,MATCH('6'!$B11,'Unique Asset List'!$A$4:$A$60,0),MATCH('6'!$C$1,'Unique Asset List'!$BG$3:$BM$3,0))</f>
        <v>0.32</v>
      </c>
      <c r="AI11" s="11">
        <v>0.96187963349867744</v>
      </c>
      <c r="AJ11" s="15">
        <f>INDEX('Unique Asset List'!$AL$4:$AR$60,MATCH('6'!$B11,'Unique Asset List'!$A$4:$A$60,0),MATCH('6'!$C$1,'Unique Asset List'!$AL$3:$AR$3,0))</f>
        <v>0.32314284341629806</v>
      </c>
      <c r="AK11" s="15">
        <f>INDEX('Unique Asset List'!$AS$4:$AY$60,MATCH('6'!$B11,'Unique Asset List'!$A$4:$A$60,0),MATCH('6'!$C$1,'Unique Asset List'!$AS$3:$AY$3,0))</f>
        <v>0.61768216477991222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5"/>
        <v>0.82</v>
      </c>
      <c r="AS11" s="10">
        <v>1</v>
      </c>
      <c r="AT11" s="10"/>
      <c r="AU11" s="4">
        <f>IF($C$5="ON",BU11,MyRating(_E1,$B11,Efficacy!$F$1))</f>
        <v>3</v>
      </c>
      <c r="AV11" s="3">
        <f>IF($C$5="ON",BV11,MyRating(_E2,$B11,Efficacy!$F$1))</f>
        <v>2</v>
      </c>
      <c r="AW11" s="3">
        <f>IF($C$5="ON",BW11,MyRating(_E3,$B11,Efficacy!$F$1))</f>
        <v>3</v>
      </c>
      <c r="AX11" s="3">
        <f>IF($C$5="ON",BX11,MyRating(_E4,$B11,Efficacy!$F$1))</f>
        <v>3</v>
      </c>
      <c r="AY11" s="3">
        <f>IF($C$5="ON",BY11,MyRating(_E5,$B11,Efficacy!$F$1))</f>
        <v>2</v>
      </c>
      <c r="AZ11" s="3">
        <f>IF($C$5="ON",BZ11,MyRating(_E6,$B11,Efficacy!$F$1))</f>
        <v>5</v>
      </c>
      <c r="BA11" s="3">
        <f>IF($C$5="ON",CA11,MyRating(_E7,$B11,Efficacy!$F$1))</f>
        <v>3</v>
      </c>
      <c r="BB11" s="3">
        <f>IF($C$5="ON",CB11,MyRating(_E8,$B11,Efficacy!$F$1))</f>
        <v>3</v>
      </c>
      <c r="BC11" s="3">
        <f>IF($C$5="ON",CC11,MyRating(_S1,$B11,Efficacy!$F$1))</f>
        <v>3</v>
      </c>
      <c r="BD11" s="3">
        <f>IF($C$5="ON",CD11,MyRating(_S2,$B11,Efficacy!$F$1))</f>
        <v>1</v>
      </c>
      <c r="BE11" s="3">
        <f>IF($C$5="ON",CE11,MyRating(_S3,$B11,Efficacy!$F$1))</f>
        <v>3</v>
      </c>
      <c r="BF11" s="3">
        <f>IF($C$5="ON",CF11,MyRating(_S4,$B11,Efficacy!$F$1))</f>
        <v>3</v>
      </c>
      <c r="BG11" s="3">
        <f>IF($C$5="ON",CG11,MyRating(_S5,$B11,Efficacy!$F$1))</f>
        <v>2</v>
      </c>
      <c r="BH11" s="3">
        <f>IF($C$5="ON",CH11,MyRating(_S6,$B11,Efficacy!$F$1))</f>
        <v>3</v>
      </c>
      <c r="BI11" s="3">
        <f>IF($C$5="ON",CI11,MyRating(_S7,$B11,Efficacy!$F$1))</f>
        <v>3</v>
      </c>
      <c r="BJ11" s="3">
        <f>IF($C$5="ON",CJ11,MyRating(_D1,$B11,Efficacy!$F$1))</f>
        <v>3</v>
      </c>
      <c r="BK11" s="3">
        <f>IF($C$5="ON",CK11,MyRating(_D2,$B11,Efficacy!$F$1))</f>
        <v>2</v>
      </c>
      <c r="BL11" s="3">
        <f>IF($C$5="ON",CL11,MyRating(_D3,$B11,Efficacy!$F$1))</f>
        <v>3</v>
      </c>
      <c r="BM11" s="3">
        <f>IF($C$5="ON",CM11,MyRating(_D4,$B11,Efficacy!$F$1))</f>
        <v>3</v>
      </c>
      <c r="BN11" s="3">
        <f>IF($C$5="ON",CN11,MyRating(_B1G5,$B11,Barrier!$L$2))</f>
        <v>3</v>
      </c>
      <c r="BO11" s="3">
        <f>IF($C$5="ON",CO11,MyRating(_B2,$B11,Barrier!$F$2))</f>
        <v>3</v>
      </c>
      <c r="BP11" s="6">
        <f>IF($C$5="ON",CP11,MyRating(_B3,$B11,Barrier!$F$2))</f>
        <v>3</v>
      </c>
      <c r="BQ11" s="5">
        <f t="shared" si="6"/>
        <v>3.7014903427878103E-2</v>
      </c>
      <c r="BR11" s="8">
        <f t="shared" si="7"/>
        <v>2.9999999999999996</v>
      </c>
      <c r="BS11" s="5">
        <f t="shared" si="8"/>
        <v>3.6652412950519221E-2</v>
      </c>
      <c r="BT11" s="7">
        <f t="shared" si="9"/>
        <v>1.8920085086828659E-2</v>
      </c>
      <c r="BU11" s="4">
        <v>3</v>
      </c>
      <c r="BV11" s="3">
        <v>2</v>
      </c>
      <c r="BW11" s="3">
        <v>3</v>
      </c>
      <c r="BX11" s="3">
        <v>3</v>
      </c>
      <c r="BY11" s="3">
        <v>2</v>
      </c>
      <c r="BZ11" s="3">
        <v>5</v>
      </c>
      <c r="CA11" s="3">
        <v>3</v>
      </c>
      <c r="CB11" s="3">
        <v>3</v>
      </c>
      <c r="CC11" s="3">
        <v>3</v>
      </c>
      <c r="CD11" s="3">
        <v>1</v>
      </c>
      <c r="CE11" s="3">
        <v>3</v>
      </c>
      <c r="CF11" s="3">
        <v>3</v>
      </c>
      <c r="CG11" s="3">
        <v>2</v>
      </c>
      <c r="CH11" s="3">
        <v>3</v>
      </c>
      <c r="CI11" s="3">
        <v>3</v>
      </c>
      <c r="CJ11" s="3">
        <v>3</v>
      </c>
      <c r="CK11" s="3">
        <v>2</v>
      </c>
      <c r="CL11" s="3">
        <v>3</v>
      </c>
      <c r="CM11" s="3">
        <v>3</v>
      </c>
      <c r="CN11" s="3">
        <v>3</v>
      </c>
      <c r="CO11" s="3">
        <v>3</v>
      </c>
      <c r="CP11" s="6">
        <v>3</v>
      </c>
      <c r="CQ11" s="5">
        <v>3.7014903427878103E-2</v>
      </c>
      <c r="CR11" s="61"/>
    </row>
    <row r="12" spans="1:96" x14ac:dyDescent="0.35">
      <c r="A12" s="9" t="str">
        <f t="shared" si="0"/>
        <v>IT</v>
      </c>
      <c r="B12" s="9" t="s">
        <v>88</v>
      </c>
      <c r="C12" s="20"/>
      <c r="D12" s="9" t="s">
        <v>87</v>
      </c>
      <c r="E12" s="9" t="s">
        <v>193</v>
      </c>
      <c r="F12" s="9" t="s">
        <v>86</v>
      </c>
      <c r="G12" s="19">
        <v>0</v>
      </c>
      <c r="H12" s="9">
        <v>2014</v>
      </c>
      <c r="I12" s="9">
        <v>6</v>
      </c>
      <c r="J12" s="18">
        <f>INDEX(PTRS!$D$6:$D$12,MATCH('6'!$F12,PTRS!$B$6:$B$12,0))</f>
        <v>0.9</v>
      </c>
      <c r="K12" s="17">
        <v>1</v>
      </c>
      <c r="L12" s="17">
        <v>0.9</v>
      </c>
      <c r="M12" s="17">
        <v>0.5</v>
      </c>
      <c r="N12" s="17">
        <v>0.5</v>
      </c>
      <c r="O12" s="17">
        <v>0.5</v>
      </c>
      <c r="P12" s="17">
        <v>0.9</v>
      </c>
      <c r="Q12" s="17">
        <v>1</v>
      </c>
      <c r="R12" s="17">
        <v>1</v>
      </c>
      <c r="S12" s="17">
        <v>1</v>
      </c>
      <c r="T12" s="17"/>
      <c r="U12" s="17">
        <f t="shared" si="1"/>
        <v>0.21031695408457127</v>
      </c>
      <c r="V12" s="17">
        <v>1</v>
      </c>
      <c r="W12" s="9" t="s">
        <v>16</v>
      </c>
      <c r="X12" s="9">
        <f>INDEX('Unique Asset List'!$C$4:$I$60,MATCH('6'!$B12,'Unique Asset List'!$A$4:$A$60,0),MATCH('6'!$C$1,'Unique Asset List'!$C$3:$I$3,0))</f>
        <v>2020</v>
      </c>
      <c r="Y12" s="9">
        <f>INDEX('Unique Asset List'!$J$4:$P$60,MATCH('6'!$B12,'Unique Asset List'!$A$4:$A$60,0),MATCH('6'!$C$1,'Unique Asset List'!$J$3:$P$3,0))</f>
        <v>7.999999999998181</v>
      </c>
      <c r="Z12" s="9">
        <f>INDEX('Unique Asset List'!$X$4:$AD$60,MATCH('6'!$B12,'Unique Asset List'!$A$4:$A$60,0),MATCH('6'!$C$1,'Unique Asset List'!$X$3:$AD$3,0))</f>
        <v>2029</v>
      </c>
      <c r="AA12" s="9">
        <f>INDEX('Unique Asset List'!$AE$4:$AK$60,MATCH('6'!$B12,'Unique Asset List'!$A$4:$A$60,0),MATCH('6'!$C$1,'Unique Asset List'!$AE$3:$AK$3,0))</f>
        <v>7</v>
      </c>
      <c r="AB12" s="16">
        <f t="shared" si="2"/>
        <v>2.1202012000000003</v>
      </c>
      <c r="AC12" s="16">
        <f t="shared" si="3"/>
        <v>0.98141</v>
      </c>
      <c r="AD12" s="16">
        <f t="shared" si="4"/>
        <v>0.31905939999999999</v>
      </c>
      <c r="AE12" s="15">
        <f>INDEX('Unique Asset List'!$BN$4:$BT$60,MATCH('6'!$B12,'Unique Asset List'!$A$4:$A$60,0),MATCH('6'!$C$1,'Unique Asset List'!$BN$3:$BT$3,0))</f>
        <v>0.18</v>
      </c>
      <c r="AF12" s="15">
        <f>INDEX('Unique Asset List'!$BU$4:$CA$60,MATCH('6'!$B12,'Unique Asset List'!$A$4:$A$60,0),MATCH('6'!$C$1,'Unique Asset List'!$BU$3:$CA$3,0))</f>
        <v>0.32</v>
      </c>
      <c r="AG12" s="15">
        <f>INDEX('Unique Asset List'!$AZ$4:$BF$60,MATCH('6'!$B12,'Unique Asset List'!$A$4:$A$60,0),MATCH('6'!$C$1,'Unique Asset List'!$AZ$3:$BF$3,0))</f>
        <v>0.18</v>
      </c>
      <c r="AH12" s="15">
        <f>INDEX('Unique Asset List'!$BG$4:$BM$60,MATCH('6'!$B12,'Unique Asset List'!$A$4:$A$60,0),MATCH('6'!$C$1,'Unique Asset List'!$BG$3:$BM$3,0))</f>
        <v>0.32</v>
      </c>
      <c r="AI12" s="11">
        <v>0.96187963349867744</v>
      </c>
      <c r="AJ12" s="15">
        <f>INDEX('Unique Asset List'!$AL$4:$AR$60,MATCH('6'!$B12,'Unique Asset List'!$A$4:$A$60,0),MATCH('6'!$C$1,'Unique Asset List'!$AL$3:$AR$3,0))</f>
        <v>0.32314284341629806</v>
      </c>
      <c r="AK12" s="15">
        <f>INDEX('Unique Asset List'!$AS$4:$AY$60,MATCH('6'!$B12,'Unique Asset List'!$A$4:$A$60,0),MATCH('6'!$C$1,'Unique Asset List'!$AS$3:$AY$3,0))</f>
        <v>0.61768216477991222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0"/>
      <c r="AU12" s="4">
        <f>IF($C$5="ON",BU12,MyRating(_E1,$B12,Efficacy!$F$1))</f>
        <v>3</v>
      </c>
      <c r="AV12" s="3">
        <f>IF($C$5="ON",BV12,MyRating(_E2,$B12,Efficacy!$F$1))</f>
        <v>5</v>
      </c>
      <c r="AW12" s="3">
        <f>IF($C$5="ON",BW12,MyRating(_E3,$B12,Efficacy!$F$1))</f>
        <v>5</v>
      </c>
      <c r="AX12" s="3">
        <f>IF($C$5="ON",BX12,MyRating(_E4,$B12,Efficacy!$F$1))</f>
        <v>4</v>
      </c>
      <c r="AY12" s="3">
        <f>IF($C$5="ON",BY12,MyRating(_E5,$B12,Efficacy!$F$1))</f>
        <v>3</v>
      </c>
      <c r="AZ12" s="3">
        <f>IF($C$5="ON",BZ12,MyRating(_E6,$B12,Efficacy!$F$1))</f>
        <v>3</v>
      </c>
      <c r="BA12" s="3">
        <f>IF($C$5="ON",CA12,MyRating(_E7,$B12,Efficacy!$F$1))</f>
        <v>3</v>
      </c>
      <c r="BB12" s="3">
        <f>IF($C$5="ON",CB12,MyRating(_E8,$B12,Efficacy!$F$1))</f>
        <v>3</v>
      </c>
      <c r="BC12" s="3">
        <f>IF($C$5="ON",CC12,MyRating(_S1,$B12,Efficacy!$F$1))</f>
        <v>5</v>
      </c>
      <c r="BD12" s="3">
        <f>IF($C$5="ON",CD12,MyRating(_S2,$B12,Efficacy!$F$1))</f>
        <v>3</v>
      </c>
      <c r="BE12" s="3">
        <f>IF($C$5="ON",CE12,MyRating(_S3,$B12,Efficacy!$F$1))</f>
        <v>3</v>
      </c>
      <c r="BF12" s="3">
        <f>IF($C$5="ON",CF12,MyRating(_S4,$B12,Efficacy!$F$1))</f>
        <v>4</v>
      </c>
      <c r="BG12" s="3">
        <f>IF($C$5="ON",CG12,MyRating(_S5,$B12,Efficacy!$F$1))</f>
        <v>5</v>
      </c>
      <c r="BH12" s="3">
        <f>IF($C$5="ON",CH12,MyRating(_S6,$B12,Efficacy!$F$1))</f>
        <v>2</v>
      </c>
      <c r="BI12" s="3">
        <f>IF($C$5="ON",CI12,MyRating(_S7,$B12,Efficacy!$F$1))</f>
        <v>3</v>
      </c>
      <c r="BJ12" s="3">
        <f>IF($C$5="ON",CJ12,MyRating(_D1,$B12,Efficacy!$F$1))</f>
        <v>2</v>
      </c>
      <c r="BK12" s="3">
        <f>IF($C$5="ON",CK12,MyRating(_D2,$B12,Efficacy!$F$1))</f>
        <v>2</v>
      </c>
      <c r="BL12" s="3">
        <f>IF($C$5="ON",CL12,MyRating(_D3,$B12,Efficacy!$F$1))</f>
        <v>2</v>
      </c>
      <c r="BM12" s="3">
        <f>IF($C$5="ON",CM12,MyRating(_D4,$B12,Efficacy!$F$1))</f>
        <v>1</v>
      </c>
      <c r="BN12" s="3">
        <f>IF($C$5="ON",CN12,MyRating(_B1G5,$B12,Barrier!$L$2))</f>
        <v>2</v>
      </c>
      <c r="BO12" s="3">
        <f>IF($C$5="ON",CO12,MyRating(_B2,$B12,Barrier!$F$2))</f>
        <v>1</v>
      </c>
      <c r="BP12" s="6">
        <f>IF($C$5="ON",CP12,MyRating(_B3,$B12,Barrier!$F$2))</f>
        <v>1</v>
      </c>
      <c r="BQ12" s="5">
        <f t="shared" si="6"/>
        <v>1.0501667745898752E-2</v>
      </c>
      <c r="BR12" s="8">
        <f t="shared" si="7"/>
        <v>1.0499999999999998</v>
      </c>
      <c r="BS12" s="5">
        <f t="shared" si="8"/>
        <v>1.2828344532681727E-2</v>
      </c>
      <c r="BT12" s="7">
        <f t="shared" si="9"/>
        <v>5.3679039766550227E-3</v>
      </c>
      <c r="BU12" s="4">
        <v>3</v>
      </c>
      <c r="BV12" s="3">
        <v>5</v>
      </c>
      <c r="BW12" s="3">
        <v>5</v>
      </c>
      <c r="BX12" s="3">
        <v>4</v>
      </c>
      <c r="BY12" s="3">
        <v>3</v>
      </c>
      <c r="BZ12" s="3">
        <v>3</v>
      </c>
      <c r="CA12" s="3">
        <v>3</v>
      </c>
      <c r="CB12" s="3">
        <v>3</v>
      </c>
      <c r="CC12" s="3">
        <v>5</v>
      </c>
      <c r="CD12" s="3">
        <v>3</v>
      </c>
      <c r="CE12" s="3">
        <v>3</v>
      </c>
      <c r="CF12" s="3">
        <v>4</v>
      </c>
      <c r="CG12" s="3">
        <v>5</v>
      </c>
      <c r="CH12" s="3">
        <v>2</v>
      </c>
      <c r="CI12" s="3">
        <v>3</v>
      </c>
      <c r="CJ12" s="3">
        <v>2</v>
      </c>
      <c r="CK12" s="3">
        <v>2</v>
      </c>
      <c r="CL12" s="3">
        <v>2</v>
      </c>
      <c r="CM12" s="3">
        <v>1</v>
      </c>
      <c r="CN12" s="3">
        <v>2</v>
      </c>
      <c r="CO12" s="3">
        <v>1</v>
      </c>
      <c r="CP12" s="6">
        <v>1</v>
      </c>
      <c r="CQ12" s="5">
        <v>1.0501667745898752E-2</v>
      </c>
      <c r="CR12" s="61"/>
    </row>
    <row r="13" spans="1:96" x14ac:dyDescent="0.35">
      <c r="A13" s="9" t="str">
        <f t="shared" si="0"/>
        <v>IT</v>
      </c>
      <c r="B13" s="9" t="s">
        <v>85</v>
      </c>
      <c r="C13" s="20"/>
      <c r="D13" s="9" t="s">
        <v>2</v>
      </c>
      <c r="E13" s="9" t="s">
        <v>193</v>
      </c>
      <c r="F13" s="9" t="s">
        <v>63</v>
      </c>
      <c r="G13" s="19">
        <v>0</v>
      </c>
      <c r="H13" s="9">
        <v>2014</v>
      </c>
      <c r="I13" s="9">
        <v>6</v>
      </c>
      <c r="J13" s="18">
        <f>INDEX(PTRS!$D$6:$D$12,MATCH('6'!$F13,PTRS!$B$6:$B$12,0))</f>
        <v>0.58500000000000008</v>
      </c>
      <c r="K13" s="17">
        <v>1</v>
      </c>
      <c r="L13" s="17">
        <v>1</v>
      </c>
      <c r="M13" s="17">
        <v>0.58500000000000008</v>
      </c>
      <c r="N13" s="17">
        <v>0.62</v>
      </c>
      <c r="O13" s="17">
        <v>0.62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0.19835681424527862</v>
      </c>
      <c r="V13" s="17">
        <v>1</v>
      </c>
      <c r="W13" s="9" t="s">
        <v>62</v>
      </c>
      <c r="X13" s="9">
        <f>INDEX('Unique Asset List'!$C$4:$I$60,MATCH('6'!$B13,'Unique Asset List'!$A$4:$A$60,0),MATCH('6'!$C$1,'Unique Asset List'!$C$3:$I$3,0))</f>
        <v>2021</v>
      </c>
      <c r="Y13" s="9">
        <f>INDEX('Unique Asset List'!$J$4:$P$60,MATCH('6'!$B13,'Unique Asset List'!$A$4:$A$60,0),MATCH('6'!$C$1,'Unique Asset List'!$J$3:$P$3,0))</f>
        <v>3.9999999999990905</v>
      </c>
      <c r="Z13" s="9">
        <f>INDEX('Unique Asset List'!$X$4:$AD$60,MATCH('6'!$B13,'Unique Asset List'!$A$4:$A$60,0),MATCH('6'!$C$1,'Unique Asset List'!$X$3:$AD$3,0))</f>
        <v>2031</v>
      </c>
      <c r="AA13" s="9">
        <f>INDEX('Unique Asset List'!$AE$4:$AK$60,MATCH('6'!$B13,'Unique Asset List'!$A$4:$A$60,0),MATCH('6'!$C$1,'Unique Asset List'!$AE$3:$AK$3,0))</f>
        <v>1</v>
      </c>
      <c r="AB13" s="16">
        <f t="shared" si="2"/>
        <v>2.3511832000000004</v>
      </c>
      <c r="AC13" s="16">
        <f t="shared" si="3"/>
        <v>0.88497580000000009</v>
      </c>
      <c r="AD13" s="16">
        <f t="shared" si="4"/>
        <v>0.39141474525999997</v>
      </c>
      <c r="AE13" s="15">
        <f>INDEX('Unique Asset List'!$BN$4:$BT$60,MATCH('6'!$B13,'Unique Asset List'!$A$4:$A$60,0),MATCH('6'!$C$1,'Unique Asset List'!$BN$3:$BT$3,0))</f>
        <v>0.23</v>
      </c>
      <c r="AF13" s="15">
        <f>INDEX('Unique Asset List'!$BU$4:$CA$60,MATCH('6'!$B13,'Unique Asset List'!$A$4:$A$60,0),MATCH('6'!$C$1,'Unique Asset List'!$BU$3:$CA$3,0))</f>
        <v>0.27</v>
      </c>
      <c r="AG13" s="15">
        <f>INDEX('Unique Asset List'!$AZ$4:$BF$60,MATCH('6'!$B13,'Unique Asset List'!$A$4:$A$60,0),MATCH('6'!$C$1,'Unique Asset List'!$AZ$3:$BF$3,0))</f>
        <v>0.23</v>
      </c>
      <c r="AH13" s="15">
        <f>INDEX('Unique Asset List'!$BG$4:$BM$60,MATCH('6'!$B13,'Unique Asset List'!$A$4:$A$60,0),MATCH('6'!$C$1,'Unique Asset List'!$BG$3:$BM$3,0))</f>
        <v>0.27</v>
      </c>
      <c r="AI13" s="11">
        <v>0.96187963349867744</v>
      </c>
      <c r="AJ13" s="15">
        <f>INDEX('Unique Asset List'!$AL$4:$AR$60,MATCH('6'!$B13,'Unique Asset List'!$A$4:$A$60,0),MATCH('6'!$C$1,'Unique Asset List'!$AL$3:$AR$3,0))</f>
        <v>0.32314284341629806</v>
      </c>
      <c r="AK13" s="15">
        <f>INDEX('Unique Asset List'!$AS$4:$AY$60,MATCH('6'!$B13,'Unique Asset List'!$A$4:$A$60,0),MATCH('6'!$C$1,'Unique Asset List'!$AS$3:$AY$3,0))</f>
        <v>0.61768216477991222</v>
      </c>
      <c r="AL13" s="9">
        <v>177.56756756756758</v>
      </c>
      <c r="AM13" s="14">
        <v>28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f>2.8*37/365</f>
        <v>0.28383561643835614</v>
      </c>
      <c r="AT13" s="10"/>
      <c r="AU13" s="4">
        <f>IF($C$5="ON",BU13,MyRating(_E1,$B13,Efficacy!$F$1))</f>
        <v>5</v>
      </c>
      <c r="AV13" s="3">
        <f>IF($C$5="ON",BV13,MyRating(_E2,$B13,Efficacy!$F$1))</f>
        <v>5</v>
      </c>
      <c r="AW13" s="3">
        <f>IF($C$5="ON",BW13,MyRating(_E3,$B13,Efficacy!$F$1))</f>
        <v>5</v>
      </c>
      <c r="AX13" s="3">
        <f>IF($C$5="ON",BX13,MyRating(_E4,$B13,Efficacy!$F$1))</f>
        <v>4</v>
      </c>
      <c r="AY13" s="3">
        <f>IF($C$5="ON",BY13,MyRating(_E5,$B13,Efficacy!$F$1))</f>
        <v>3</v>
      </c>
      <c r="AZ13" s="3">
        <f>IF($C$5="ON",BZ13,MyRating(_E6,$B13,Efficacy!$F$1))</f>
        <v>3</v>
      </c>
      <c r="BA13" s="3">
        <f>IF($C$5="ON",CA13,MyRating(_E7,$B13,Efficacy!$F$1))</f>
        <v>3</v>
      </c>
      <c r="BB13" s="3">
        <f>IF($C$5="ON",CB13,MyRating(_E8,$B13,Efficacy!$F$1))</f>
        <v>4</v>
      </c>
      <c r="BC13" s="3">
        <f>IF($C$5="ON",CC13,MyRating(_S1,$B13,Efficacy!$F$1))</f>
        <v>4</v>
      </c>
      <c r="BD13" s="3">
        <f>IF($C$5="ON",CD13,MyRating(_S2,$B13,Efficacy!$F$1))</f>
        <v>3</v>
      </c>
      <c r="BE13" s="3">
        <f>IF($C$5="ON",CE13,MyRating(_S3,$B13,Efficacy!$F$1))</f>
        <v>3</v>
      </c>
      <c r="BF13" s="3">
        <f>IF($C$5="ON",CF13,MyRating(_S4,$B13,Efficacy!$F$1))</f>
        <v>3</v>
      </c>
      <c r="BG13" s="3">
        <f>IF($C$5="ON",CG13,MyRating(_S5,$B13,Efficacy!$F$1))</f>
        <v>5</v>
      </c>
      <c r="BH13" s="3">
        <f>IF($C$5="ON",CH13,MyRating(_S6,$B13,Efficacy!$F$1))</f>
        <v>2</v>
      </c>
      <c r="BI13" s="3">
        <f>IF($C$5="ON",CI13,MyRating(_S7,$B13,Efficacy!$F$1))</f>
        <v>3</v>
      </c>
      <c r="BJ13" s="3">
        <f>IF($C$5="ON",CJ13,MyRating(_D1,$B13,Efficacy!$F$1))</f>
        <v>2</v>
      </c>
      <c r="BK13" s="3">
        <f>IF($C$5="ON",CK13,MyRating(_D2,$B13,Efficacy!$F$1))</f>
        <v>3</v>
      </c>
      <c r="BL13" s="3">
        <f>IF($C$5="ON",CL13,MyRating(_D3,$B13,Efficacy!$F$1))</f>
        <v>3</v>
      </c>
      <c r="BM13" s="3">
        <f>IF($C$5="ON",CM13,MyRating(_D4,$B13,Efficacy!$F$1))</f>
        <v>1</v>
      </c>
      <c r="BN13" s="3">
        <f>IF($C$5="ON",CN13,MyRating(_B1G5,$B13,Barrier!$L$2))</f>
        <v>1</v>
      </c>
      <c r="BO13" s="3">
        <f>IF($C$5="ON",CO13,MyRating(_B2,$B13,Barrier!$F$2))</f>
        <v>1</v>
      </c>
      <c r="BP13" s="6">
        <f>IF($C$5="ON",CP13,MyRating(_B3,$B13,Barrier!$F$2))</f>
        <v>1</v>
      </c>
      <c r="BQ13" s="5">
        <f t="shared" si="6"/>
        <v>9.9044671286996639E-3</v>
      </c>
      <c r="BR13" s="8">
        <f t="shared" si="7"/>
        <v>1</v>
      </c>
      <c r="BS13" s="5">
        <f t="shared" si="8"/>
        <v>1.2217470983506409E-2</v>
      </c>
      <c r="BT13" s="7">
        <f t="shared" si="9"/>
        <v>5.0626462170790974E-3</v>
      </c>
      <c r="BU13" s="4">
        <v>5</v>
      </c>
      <c r="BV13" s="3">
        <v>5</v>
      </c>
      <c r="BW13" s="3">
        <v>5</v>
      </c>
      <c r="BX13" s="3">
        <v>4</v>
      </c>
      <c r="BY13" s="3">
        <v>3</v>
      </c>
      <c r="BZ13" s="3">
        <v>3</v>
      </c>
      <c r="CA13" s="3">
        <v>3</v>
      </c>
      <c r="CB13" s="3">
        <v>4</v>
      </c>
      <c r="CC13" s="3">
        <v>4</v>
      </c>
      <c r="CD13" s="3">
        <v>3</v>
      </c>
      <c r="CE13" s="3">
        <v>3</v>
      </c>
      <c r="CF13" s="3">
        <v>3</v>
      </c>
      <c r="CG13" s="3">
        <v>5</v>
      </c>
      <c r="CH13" s="3">
        <v>2</v>
      </c>
      <c r="CI13" s="3">
        <v>3</v>
      </c>
      <c r="CJ13" s="3">
        <v>2</v>
      </c>
      <c r="CK13" s="3">
        <v>3</v>
      </c>
      <c r="CL13" s="3">
        <v>3</v>
      </c>
      <c r="CM13" s="3">
        <v>1</v>
      </c>
      <c r="CN13" s="3">
        <v>1</v>
      </c>
      <c r="CO13" s="3">
        <v>1</v>
      </c>
      <c r="CP13" s="6">
        <v>1</v>
      </c>
      <c r="CQ13" s="5">
        <v>9.9044671286996639E-3</v>
      </c>
      <c r="CR13" s="61"/>
    </row>
    <row r="14" spans="1:96" x14ac:dyDescent="0.35">
      <c r="A14" s="9" t="str">
        <f t="shared" si="0"/>
        <v>IT</v>
      </c>
      <c r="B14" s="9" t="s">
        <v>94</v>
      </c>
      <c r="C14" s="20"/>
      <c r="D14" s="9" t="s">
        <v>93</v>
      </c>
      <c r="E14" s="9" t="s">
        <v>92</v>
      </c>
      <c r="F14" s="9" t="s">
        <v>47</v>
      </c>
      <c r="G14" s="19">
        <v>0</v>
      </c>
      <c r="H14" s="9">
        <v>2014</v>
      </c>
      <c r="I14" s="9">
        <v>6</v>
      </c>
      <c r="J14" s="18">
        <f>INDEX(PTRS!$D$6:$D$12,MATCH('6'!$F14,PTRS!$B$6:$B$12,0))</f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0.74129766176673451</v>
      </c>
      <c r="V14" s="17">
        <v>1</v>
      </c>
      <c r="W14" s="9" t="s">
        <v>54</v>
      </c>
      <c r="X14" s="9">
        <f>INDEX('Unique Asset List'!$C$4:$I$60,MATCH('6'!$B14,'Unique Asset List'!$A$4:$A$60,0),MATCH('6'!$C$1,'Unique Asset List'!$C$3:$I$3,0))</f>
        <v>2017</v>
      </c>
      <c r="Y14" s="9">
        <f>INDEX('Unique Asset List'!$J$4:$P$60,MATCH('6'!$B14,'Unique Asset List'!$A$4:$A$60,0),MATCH('6'!$C$1,'Unique Asset List'!$J$3:$P$3,0))</f>
        <v>7.999999999998181</v>
      </c>
      <c r="Z14" s="9">
        <f>INDEX('Unique Asset List'!$X$4:$AD$60,MATCH('6'!$B14,'Unique Asset List'!$A$4:$A$60,0),MATCH('6'!$C$1,'Unique Asset List'!$X$3:$AD$3,0))</f>
        <v>2027</v>
      </c>
      <c r="AA14" s="9">
        <f>INDEX('Unique Asset List'!$AE$4:$AK$60,MATCH('6'!$B14,'Unique Asset List'!$A$4:$A$60,0),MATCH('6'!$C$1,'Unique Asset List'!$AE$3:$AK$3,0))</f>
        <v>2</v>
      </c>
      <c r="AB14" s="16">
        <f t="shared" si="2"/>
        <v>1.6860000000000002</v>
      </c>
      <c r="AC14" s="16">
        <f t="shared" si="3"/>
        <v>0.78788900000000006</v>
      </c>
      <c r="AD14" s="16">
        <f t="shared" si="4"/>
        <v>0.56099999999999994</v>
      </c>
      <c r="AE14" s="15">
        <f>INDEX('Unique Asset List'!$BN$4:$BT$60,MATCH('6'!$B14,'Unique Asset List'!$A$4:$A$60,0),MATCH('6'!$C$1,'Unique Asset List'!$BN$3:$BT$3,0))</f>
        <v>0.18</v>
      </c>
      <c r="AF14" s="15">
        <f>INDEX('Unique Asset List'!$BU$4:$CA$60,MATCH('6'!$B14,'Unique Asset List'!$A$4:$A$60,0),MATCH('6'!$C$1,'Unique Asset List'!$BU$3:$CA$3,0))</f>
        <v>0.32</v>
      </c>
      <c r="AG14" s="15">
        <f>INDEX('Unique Asset List'!$AZ$4:$BF$60,MATCH('6'!$B14,'Unique Asset List'!$A$4:$A$60,0),MATCH('6'!$C$1,'Unique Asset List'!$AZ$3:$BF$3,0))</f>
        <v>0.18</v>
      </c>
      <c r="AH14" s="15">
        <f>INDEX('Unique Asset List'!$BG$4:$BM$60,MATCH('6'!$B14,'Unique Asset List'!$A$4:$A$60,0),MATCH('6'!$C$1,'Unique Asset List'!$BG$3:$BM$3,0))</f>
        <v>0.32</v>
      </c>
      <c r="AI14" s="11">
        <v>0.96187963349867744</v>
      </c>
      <c r="AJ14" s="15">
        <f>INDEX('Unique Asset List'!$AL$4:$AR$60,MATCH('6'!$B14,'Unique Asset List'!$A$4:$A$60,0),MATCH('6'!$C$1,'Unique Asset List'!$AL$3:$AR$3,0))</f>
        <v>0.32314284341629806</v>
      </c>
      <c r="AK14" s="15">
        <f>INDEX('Unique Asset List'!$AS$4:$AY$60,MATCH('6'!$B14,'Unique Asset List'!$A$4:$A$60,0),MATCH('6'!$C$1,'Unique Asset List'!$AS$3:$AY$3,0))</f>
        <v>0.61768216477991222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5"/>
        <v>0.82</v>
      </c>
      <c r="AS14" s="10">
        <v>1</v>
      </c>
      <c r="AT14" s="10"/>
      <c r="AU14" s="4">
        <f>IF($C$5="ON",BU14,MyRating(_E1,$B14,Efficacy!$F$1))</f>
        <v>3</v>
      </c>
      <c r="AV14" s="3">
        <f>IF($C$5="ON",BV14,MyRating(_E2,$B14,Efficacy!$F$1))</f>
        <v>3</v>
      </c>
      <c r="AW14" s="3">
        <f>IF($C$5="ON",BW14,MyRating(_E3,$B14,Efficacy!$F$1))</f>
        <v>3</v>
      </c>
      <c r="AX14" s="3">
        <f>IF($C$5="ON",BX14,MyRating(_E4,$B14,Efficacy!$F$1))</f>
        <v>3</v>
      </c>
      <c r="AY14" s="3">
        <f>IF($C$5="ON",BY14,MyRating(_E5,$B14,Efficacy!$F$1))</f>
        <v>3</v>
      </c>
      <c r="AZ14" s="3">
        <f>IF($C$5="ON",BZ14,MyRating(_E6,$B14,Efficacy!$F$1))</f>
        <v>3</v>
      </c>
      <c r="BA14" s="3">
        <f>IF($C$5="ON",CA14,MyRating(_E7,$B14,Efficacy!$F$1))</f>
        <v>3</v>
      </c>
      <c r="BB14" s="3">
        <f>IF($C$5="ON",CB14,MyRating(_E8,$B14,Efficacy!$F$1))</f>
        <v>3</v>
      </c>
      <c r="BC14" s="3">
        <f>IF($C$5="ON",CC14,MyRating(_S1,$B14,Efficacy!$F$1))</f>
        <v>3</v>
      </c>
      <c r="BD14" s="3">
        <f>IF($C$5="ON",CD14,MyRating(_S2,$B14,Efficacy!$F$1))</f>
        <v>3</v>
      </c>
      <c r="BE14" s="3">
        <f>IF($C$5="ON",CE14,MyRating(_S3,$B14,Efficacy!$F$1))</f>
        <v>3</v>
      </c>
      <c r="BF14" s="3">
        <f>IF($C$5="ON",CF14,MyRating(_S4,$B14,Efficacy!$F$1))</f>
        <v>4</v>
      </c>
      <c r="BG14" s="3">
        <f>IF($C$5="ON",CG14,MyRating(_S5,$B14,Efficacy!$F$1))</f>
        <v>3</v>
      </c>
      <c r="BH14" s="3">
        <f>IF($C$5="ON",CH14,MyRating(_S6,$B14,Efficacy!$F$1))</f>
        <v>3</v>
      </c>
      <c r="BI14" s="3">
        <f>IF($C$5="ON",CI14,MyRating(_S7,$B14,Efficacy!$F$1))</f>
        <v>3</v>
      </c>
      <c r="BJ14" s="3">
        <f>IF($C$5="ON",CJ14,MyRating(_D1,$B14,Efficacy!$F$1))</f>
        <v>3</v>
      </c>
      <c r="BK14" s="3">
        <f>IF($C$5="ON",CK14,MyRating(_D2,$B14,Efficacy!$F$1))</f>
        <v>3</v>
      </c>
      <c r="BL14" s="3">
        <f>IF($C$5="ON",CL14,MyRating(_D3,$B14,Efficacy!$F$1))</f>
        <v>3</v>
      </c>
      <c r="BM14" s="3">
        <f>IF($C$5="ON",CM14,MyRating(_D4,$B14,Efficacy!$F$1))</f>
        <v>3</v>
      </c>
      <c r="BN14" s="3">
        <f>IF($C$5="ON",CN14,MyRating(_B1G5,$B14,Barrier!$L$2))</f>
        <v>3</v>
      </c>
      <c r="BO14" s="3">
        <f>IF($C$5="ON",CO14,MyRating(_B2,$B14,Barrier!$F$2))</f>
        <v>3</v>
      </c>
      <c r="BP14" s="6">
        <f>IF($C$5="ON",CP14,MyRating(_B3,$B14,Barrier!$F$2))</f>
        <v>3</v>
      </c>
      <c r="BQ14" s="5">
        <f t="shared" si="6"/>
        <v>3.7014903427878103E-2</v>
      </c>
      <c r="BR14" s="8">
        <f t="shared" si="7"/>
        <v>2.9999999999999996</v>
      </c>
      <c r="BS14" s="5">
        <f t="shared" si="8"/>
        <v>3.6652412950519221E-2</v>
      </c>
      <c r="BT14" s="7">
        <f t="shared" si="9"/>
        <v>1.8920085086828659E-2</v>
      </c>
      <c r="BU14" s="4">
        <v>3</v>
      </c>
      <c r="BV14" s="3">
        <v>3</v>
      </c>
      <c r="BW14" s="3">
        <v>3</v>
      </c>
      <c r="BX14" s="3">
        <v>3</v>
      </c>
      <c r="BY14" s="3">
        <v>3</v>
      </c>
      <c r="BZ14" s="3">
        <v>3</v>
      </c>
      <c r="CA14" s="3">
        <v>3</v>
      </c>
      <c r="CB14" s="3">
        <v>3</v>
      </c>
      <c r="CC14" s="3">
        <v>3</v>
      </c>
      <c r="CD14" s="3">
        <v>3</v>
      </c>
      <c r="CE14" s="3">
        <v>3</v>
      </c>
      <c r="CF14" s="3">
        <v>4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3</v>
      </c>
      <c r="CP14" s="6">
        <v>3</v>
      </c>
      <c r="CQ14" s="5">
        <v>3.7014903427878103E-2</v>
      </c>
      <c r="CR14" s="61"/>
    </row>
    <row r="15" spans="1:96" x14ac:dyDescent="0.35">
      <c r="A15" s="9" t="str">
        <f t="shared" si="0"/>
        <v>IT</v>
      </c>
      <c r="B15" s="9" t="s">
        <v>83</v>
      </c>
      <c r="C15" s="20"/>
      <c r="D15" s="9" t="s">
        <v>82</v>
      </c>
      <c r="E15" s="9" t="s">
        <v>193</v>
      </c>
      <c r="F15" s="9" t="s">
        <v>63</v>
      </c>
      <c r="G15" s="19">
        <v>0</v>
      </c>
      <c r="H15" s="9">
        <v>2014</v>
      </c>
      <c r="I15" s="9">
        <v>6</v>
      </c>
      <c r="J15" s="18">
        <f>INDEX(PTRS!$D$6:$D$12,MATCH('6'!$F15,PTRS!$B$6:$B$12,0))</f>
        <v>0.58500000000000008</v>
      </c>
      <c r="K15" s="17">
        <v>1</v>
      </c>
      <c r="L15" s="17">
        <v>0.58500000000000008</v>
      </c>
      <c r="M15" s="17">
        <v>0.19500000000000003</v>
      </c>
      <c r="N15" s="17">
        <v>0.58500000000000008</v>
      </c>
      <c r="O15" s="17">
        <v>0.58500000000000008</v>
      </c>
      <c r="P15" s="17">
        <v>0.58500000000000008</v>
      </c>
      <c r="Q15" s="17">
        <v>0.58500000000000008</v>
      </c>
      <c r="R15" s="17">
        <v>0.58500000000000008</v>
      </c>
      <c r="S15" s="17">
        <v>1</v>
      </c>
      <c r="T15" s="17"/>
      <c r="U15" s="17">
        <f t="shared" si="1"/>
        <v>0.72649652910676854</v>
      </c>
      <c r="V15" s="17">
        <v>1</v>
      </c>
      <c r="W15" s="9" t="s">
        <v>195</v>
      </c>
      <c r="X15" s="9">
        <f>INDEX('Unique Asset List'!$C$4:$I$60,MATCH('6'!$B15,'Unique Asset List'!$A$4:$A$60,0),MATCH('6'!$C$1,'Unique Asset List'!$C$3:$I$3,0))</f>
        <v>2023</v>
      </c>
      <c r="Y15" s="9">
        <f>INDEX('Unique Asset List'!$J$4:$P$60,MATCH('6'!$B15,'Unique Asset List'!$A$4:$A$60,0),MATCH('6'!$C$1,'Unique Asset List'!$J$3:$P$3,0))</f>
        <v>1.999999999998181</v>
      </c>
      <c r="Z15" s="9">
        <f>INDEX('Unique Asset List'!$X$4:$AD$60,MATCH('6'!$B15,'Unique Asset List'!$A$4:$A$60,0),MATCH('6'!$C$1,'Unique Asset List'!$X$3:$AD$3,0))</f>
        <v>2032</v>
      </c>
      <c r="AA15" s="9">
        <f>INDEX('Unique Asset List'!$AE$4:$AK$60,MATCH('6'!$B15,'Unique Asset List'!$A$4:$A$60,0),MATCH('6'!$C$1,'Unique Asset List'!$AE$3:$AK$3,0))</f>
        <v>1</v>
      </c>
      <c r="AB15" s="16">
        <f t="shared" si="2"/>
        <v>1.6860000000000002</v>
      </c>
      <c r="AC15" s="16">
        <f t="shared" si="3"/>
        <v>1.0347223999999999</v>
      </c>
      <c r="AD15" s="16">
        <f t="shared" si="4"/>
        <v>0.38169906301999995</v>
      </c>
      <c r="AE15" s="15">
        <f>INDEX('Unique Asset List'!$BN$4:$BT$60,MATCH('6'!$B15,'Unique Asset List'!$A$4:$A$60,0),MATCH('6'!$C$1,'Unique Asset List'!$BN$3:$BT$3,0))</f>
        <v>0.18</v>
      </c>
      <c r="AF15" s="15">
        <f>INDEX('Unique Asset List'!$BU$4:$CA$60,MATCH('6'!$B15,'Unique Asset List'!$A$4:$A$60,0),MATCH('6'!$C$1,'Unique Asset List'!$BU$3:$CA$3,0))</f>
        <v>0.32</v>
      </c>
      <c r="AG15" s="15">
        <f>INDEX('Unique Asset List'!$AZ$4:$BF$60,MATCH('6'!$B15,'Unique Asset List'!$A$4:$A$60,0),MATCH('6'!$C$1,'Unique Asset List'!$AZ$3:$BF$3,0))</f>
        <v>0.18</v>
      </c>
      <c r="AH15" s="15">
        <f>INDEX('Unique Asset List'!$BG$4:$BM$60,MATCH('6'!$B15,'Unique Asset List'!$A$4:$A$60,0),MATCH('6'!$C$1,'Unique Asset List'!$BG$3:$BM$3,0))</f>
        <v>0.32</v>
      </c>
      <c r="AI15" s="11">
        <v>0.96187963349867744</v>
      </c>
      <c r="AJ15" s="15">
        <f>INDEX('Unique Asset List'!$AL$4:$AR$60,MATCH('6'!$B15,'Unique Asset List'!$A$4:$A$60,0),MATCH('6'!$C$1,'Unique Asset List'!$AL$3:$AR$3,0))</f>
        <v>0.32314284341629806</v>
      </c>
      <c r="AK15" s="15">
        <f>INDEX('Unique Asset List'!$AS$4:$AY$60,MATCH('6'!$B15,'Unique Asset List'!$A$4:$A$60,0),MATCH('6'!$C$1,'Unique Asset List'!$AS$3:$AY$3,0))</f>
        <v>0.61768216477991222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0"/>
      <c r="AU15" s="4">
        <f>IF($C$5="ON",BU15,MyRating(_E1,$B15,Efficacy!$F$1))</f>
        <v>3</v>
      </c>
      <c r="AV15" s="3">
        <f>IF($C$5="ON",BV15,MyRating(_E2,$B15,Efficacy!$F$1))</f>
        <v>3</v>
      </c>
      <c r="AW15" s="3">
        <f>IF($C$5="ON",BW15,MyRating(_E3,$B15,Efficacy!$F$1))</f>
        <v>3</v>
      </c>
      <c r="AX15" s="3">
        <f>IF($C$5="ON",BX15,MyRating(_E4,$B15,Efficacy!$F$1))</f>
        <v>3</v>
      </c>
      <c r="AY15" s="3">
        <f>IF($C$5="ON",BY15,MyRating(_E5,$B15,Efficacy!$F$1))</f>
        <v>3</v>
      </c>
      <c r="AZ15" s="3">
        <f>IF($C$5="ON",BZ15,MyRating(_E6,$B15,Efficacy!$F$1))</f>
        <v>3</v>
      </c>
      <c r="BA15" s="3">
        <f>IF($C$5="ON",CA15,MyRating(_E7,$B15,Efficacy!$F$1))</f>
        <v>3</v>
      </c>
      <c r="BB15" s="3">
        <f>IF($C$5="ON",CB15,MyRating(_E8,$B15,Efficacy!$F$1))</f>
        <v>3</v>
      </c>
      <c r="BC15" s="3">
        <f>IF($C$5="ON",CC15,MyRating(_S1,$B15,Efficacy!$F$1))</f>
        <v>5</v>
      </c>
      <c r="BD15" s="3">
        <f>IF($C$5="ON",CD15,MyRating(_S2,$B15,Efficacy!$F$1))</f>
        <v>3</v>
      </c>
      <c r="BE15" s="3">
        <f>IF($C$5="ON",CE15,MyRating(_S3,$B15,Efficacy!$F$1))</f>
        <v>3</v>
      </c>
      <c r="BF15" s="3">
        <f>IF($C$5="ON",CF15,MyRating(_S4,$B15,Efficacy!$F$1))</f>
        <v>4</v>
      </c>
      <c r="BG15" s="3">
        <f>IF($C$5="ON",CG15,MyRating(_S5,$B15,Efficacy!$F$1))</f>
        <v>5</v>
      </c>
      <c r="BH15" s="3">
        <f>IF($C$5="ON",CH15,MyRating(_S6,$B15,Efficacy!$F$1))</f>
        <v>3</v>
      </c>
      <c r="BI15" s="3">
        <f>IF($C$5="ON",CI15,MyRating(_S7,$B15,Efficacy!$F$1))</f>
        <v>4</v>
      </c>
      <c r="BJ15" s="3">
        <f>IF($C$5="ON",CJ15,MyRating(_D1,$B15,Efficacy!$F$1))</f>
        <v>2</v>
      </c>
      <c r="BK15" s="3">
        <f>IF($C$5="ON",CK15,MyRating(_D2,$B15,Efficacy!$F$1))</f>
        <v>3</v>
      </c>
      <c r="BL15" s="3">
        <f>IF($C$5="ON",CL15,MyRating(_D3,$B15,Efficacy!$F$1))</f>
        <v>1</v>
      </c>
      <c r="BM15" s="3">
        <f>IF($C$5="ON",CM15,MyRating(_D4,$B15,Efficacy!$F$1))</f>
        <v>2</v>
      </c>
      <c r="BN15" s="3">
        <f>IF($C$5="ON",CN15,MyRating(_B1G5,$B15,Barrier!$L$2))</f>
        <v>2</v>
      </c>
      <c r="BO15" s="3">
        <f>IF($C$5="ON",CO15,MyRating(_B2,$B15,Barrier!$F$2))</f>
        <v>3</v>
      </c>
      <c r="BP15" s="6">
        <f>IF($C$5="ON",CP15,MyRating(_B3,$B15,Barrier!$F$2))</f>
        <v>3</v>
      </c>
      <c r="BQ15" s="5">
        <f t="shared" si="6"/>
        <v>3.6275844714639842E-2</v>
      </c>
      <c r="BR15" s="8">
        <f t="shared" si="7"/>
        <v>2.9499999999999997</v>
      </c>
      <c r="BS15" s="5">
        <f t="shared" si="8"/>
        <v>3.60415394013439E-2</v>
      </c>
      <c r="BT15" s="7">
        <f t="shared" si="9"/>
        <v>1.8542316878791175E-2</v>
      </c>
      <c r="BU15" s="4">
        <v>3</v>
      </c>
      <c r="BV15" s="3">
        <v>3</v>
      </c>
      <c r="BW15" s="3">
        <v>3</v>
      </c>
      <c r="BX15" s="3">
        <v>3</v>
      </c>
      <c r="BY15" s="3">
        <v>3</v>
      </c>
      <c r="BZ15" s="3">
        <v>3</v>
      </c>
      <c r="CA15" s="3">
        <v>3</v>
      </c>
      <c r="CB15" s="3">
        <v>3</v>
      </c>
      <c r="CC15" s="3">
        <v>5</v>
      </c>
      <c r="CD15" s="3">
        <v>3</v>
      </c>
      <c r="CE15" s="3">
        <v>3</v>
      </c>
      <c r="CF15" s="3">
        <v>4</v>
      </c>
      <c r="CG15" s="3">
        <v>5</v>
      </c>
      <c r="CH15" s="3">
        <v>3</v>
      </c>
      <c r="CI15" s="3">
        <v>4</v>
      </c>
      <c r="CJ15" s="3">
        <v>2</v>
      </c>
      <c r="CK15" s="3">
        <v>3</v>
      </c>
      <c r="CL15" s="3">
        <v>1</v>
      </c>
      <c r="CM15" s="3">
        <v>2</v>
      </c>
      <c r="CN15" s="3">
        <v>2</v>
      </c>
      <c r="CO15" s="3">
        <v>3</v>
      </c>
      <c r="CP15" s="6">
        <v>3</v>
      </c>
      <c r="CQ15" s="5">
        <v>3.6275844714639842E-2</v>
      </c>
      <c r="CR15" s="61"/>
    </row>
    <row r="16" spans="1:96" x14ac:dyDescent="0.35">
      <c r="A16" s="9" t="str">
        <f t="shared" si="0"/>
        <v>IT</v>
      </c>
      <c r="B16" s="9" t="s">
        <v>84</v>
      </c>
      <c r="C16" s="20"/>
      <c r="D16" s="9" t="s">
        <v>64</v>
      </c>
      <c r="E16" s="9" t="s">
        <v>193</v>
      </c>
      <c r="F16" s="9" t="s">
        <v>63</v>
      </c>
      <c r="G16" s="19">
        <v>0</v>
      </c>
      <c r="H16" s="9">
        <v>2014</v>
      </c>
      <c r="I16" s="9">
        <v>6</v>
      </c>
      <c r="J16" s="18">
        <f>INDEX(PTRS!$D$6:$D$12,MATCH('6'!$F16,PTRS!$B$6:$B$12,0))</f>
        <v>0.58500000000000008</v>
      </c>
      <c r="K16" s="17">
        <v>0</v>
      </c>
      <c r="L16" s="17">
        <v>0.29250000000000004</v>
      </c>
      <c r="M16" s="17">
        <v>0.19500000000000003</v>
      </c>
      <c r="N16" s="17">
        <v>0.58500000000000008</v>
      </c>
      <c r="O16" s="17">
        <v>0.58500000000000008</v>
      </c>
      <c r="P16" s="17">
        <f>J16/2</f>
        <v>0.29250000000000004</v>
      </c>
      <c r="Q16" s="17">
        <v>0.29250000000000004</v>
      </c>
      <c r="R16" s="17">
        <v>0.29250000000000004</v>
      </c>
      <c r="S16" s="17">
        <v>1</v>
      </c>
      <c r="T16" s="17"/>
      <c r="U16" s="17">
        <f t="shared" si="1"/>
        <v>0.19835681424527862</v>
      </c>
      <c r="V16" s="17">
        <v>1</v>
      </c>
      <c r="W16" s="9" t="s">
        <v>62</v>
      </c>
      <c r="X16" s="9">
        <f>INDEX('Unique Asset List'!$C$4:$I$60,MATCH('6'!$B16,'Unique Asset List'!$A$4:$A$60,0),MATCH('6'!$C$1,'Unique Asset List'!$C$3:$I$3,0))</f>
        <v>2023</v>
      </c>
      <c r="Y16" s="9">
        <f>INDEX('Unique Asset List'!$J$4:$P$60,MATCH('6'!$B16,'Unique Asset List'!$A$4:$A$60,0),MATCH('6'!$C$1,'Unique Asset List'!$J$3:$P$3,0))</f>
        <v>7.999999999998181</v>
      </c>
      <c r="Z16" s="9">
        <f>INDEX('Unique Asset List'!$X$4:$AD$60,MATCH('6'!$B16,'Unique Asset List'!$A$4:$A$60,0),MATCH('6'!$C$1,'Unique Asset List'!$X$3:$AD$3,0))</f>
        <v>2031</v>
      </c>
      <c r="AA16" s="9">
        <f>INDEX('Unique Asset List'!$AE$4:$AK$60,MATCH('6'!$B16,'Unique Asset List'!$A$4:$A$60,0),MATCH('6'!$C$1,'Unique Asset List'!$AE$3:$AK$3,0))</f>
        <v>7</v>
      </c>
      <c r="AB16" s="16">
        <f t="shared" si="2"/>
        <v>1.6860000000000002</v>
      </c>
      <c r="AC16" s="16">
        <f t="shared" si="3"/>
        <v>0.73148930000000001</v>
      </c>
      <c r="AD16" s="16">
        <f t="shared" si="4"/>
        <v>0.56099999999999994</v>
      </c>
      <c r="AE16" s="15">
        <f>INDEX('Unique Asset List'!$BN$4:$BT$60,MATCH('6'!$B16,'Unique Asset List'!$A$4:$A$60,0),MATCH('6'!$C$1,'Unique Asset List'!$BN$3:$BT$3,0))</f>
        <v>0.23</v>
      </c>
      <c r="AF16" s="15">
        <f>INDEX('Unique Asset List'!$BU$4:$CA$60,MATCH('6'!$B16,'Unique Asset List'!$A$4:$A$60,0),MATCH('6'!$C$1,'Unique Asset List'!$BU$3:$CA$3,0))</f>
        <v>0.27</v>
      </c>
      <c r="AG16" s="15">
        <f>INDEX('Unique Asset List'!$AZ$4:$BF$60,MATCH('6'!$B16,'Unique Asset List'!$A$4:$A$60,0),MATCH('6'!$C$1,'Unique Asset List'!$AZ$3:$BF$3,0))</f>
        <v>0.23</v>
      </c>
      <c r="AH16" s="15">
        <f>INDEX('Unique Asset List'!$BG$4:$BM$60,MATCH('6'!$B16,'Unique Asset List'!$A$4:$A$60,0),MATCH('6'!$C$1,'Unique Asset List'!$BG$3:$BM$3,0))</f>
        <v>0.27</v>
      </c>
      <c r="AI16" s="11">
        <v>0.96187963349867744</v>
      </c>
      <c r="AJ16" s="15">
        <f>INDEX('Unique Asset List'!$AL$4:$AR$60,MATCH('6'!$B16,'Unique Asset List'!$A$4:$A$60,0),MATCH('6'!$C$1,'Unique Asset List'!$AL$3:$AR$3,0))</f>
        <v>0.32314284341629806</v>
      </c>
      <c r="AK16" s="15">
        <f>INDEX('Unique Asset List'!$AS$4:$AY$60,MATCH('6'!$B16,'Unique Asset List'!$A$4:$A$60,0),MATCH('6'!$C$1,'Unique Asset List'!$AS$3:$AY$3,0))</f>
        <v>0.61768216477991222</v>
      </c>
      <c r="AL16" s="9">
        <v>169</v>
      </c>
      <c r="AM16" s="14">
        <v>28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0"/>
      <c r="AU16" s="4">
        <f>IF($C$5="ON",BU16,MyRating(_E1,$B16,Efficacy!$F$1))</f>
        <v>3</v>
      </c>
      <c r="AV16" s="3">
        <f>IF($C$5="ON",BV16,MyRating(_E2,$B16,Efficacy!$F$1))</f>
        <v>3</v>
      </c>
      <c r="AW16" s="3">
        <f>IF($C$5="ON",BW16,MyRating(_E3,$B16,Efficacy!$F$1))</f>
        <v>3</v>
      </c>
      <c r="AX16" s="3">
        <f>IF($C$5="ON",BX16,MyRating(_E4,$B16,Efficacy!$F$1))</f>
        <v>3</v>
      </c>
      <c r="AY16" s="3">
        <f>IF($C$5="ON",BY16,MyRating(_E5,$B16,Efficacy!$F$1))</f>
        <v>3</v>
      </c>
      <c r="AZ16" s="3">
        <f>IF($C$5="ON",BZ16,MyRating(_E6,$B16,Efficacy!$F$1))</f>
        <v>3</v>
      </c>
      <c r="BA16" s="3">
        <f>IF($C$5="ON",CA16,MyRating(_E7,$B16,Efficacy!$F$1))</f>
        <v>3</v>
      </c>
      <c r="BB16" s="3">
        <f>IF($C$5="ON",CB16,MyRating(_E8,$B16,Efficacy!$F$1))</f>
        <v>3</v>
      </c>
      <c r="BC16" s="3">
        <f>IF($C$5="ON",CC16,MyRating(_S1,$B16,Efficacy!$F$1))</f>
        <v>3</v>
      </c>
      <c r="BD16" s="3">
        <f>IF($C$5="ON",CD16,MyRating(_S2,$B16,Efficacy!$F$1))</f>
        <v>3</v>
      </c>
      <c r="BE16" s="3">
        <f>IF($C$5="ON",CE16,MyRating(_S3,$B16,Efficacy!$F$1))</f>
        <v>3</v>
      </c>
      <c r="BF16" s="3">
        <f>IF($C$5="ON",CF16,MyRating(_S4,$B16,Efficacy!$F$1))</f>
        <v>3</v>
      </c>
      <c r="BG16" s="3">
        <f>IF($C$5="ON",CG16,MyRating(_S5,$B16,Efficacy!$F$1))</f>
        <v>3</v>
      </c>
      <c r="BH16" s="3">
        <f>IF($C$5="ON",CH16,MyRating(_S6,$B16,Efficacy!$F$1))</f>
        <v>2</v>
      </c>
      <c r="BI16" s="3">
        <f>IF($C$5="ON",CI16,MyRating(_S7,$B16,Efficacy!$F$1))</f>
        <v>3</v>
      </c>
      <c r="BJ16" s="3">
        <f>IF($C$5="ON",CJ16,MyRating(_D1,$B16,Efficacy!$F$1))</f>
        <v>3</v>
      </c>
      <c r="BK16" s="3">
        <f>IF($C$5="ON",CK16,MyRating(_D2,$B16,Efficacy!$F$1))</f>
        <v>3</v>
      </c>
      <c r="BL16" s="3">
        <f>IF($C$5="ON",CL16,MyRating(_D3,$B16,Efficacy!$F$1))</f>
        <v>3</v>
      </c>
      <c r="BM16" s="3">
        <f>IF($C$5="ON",CM16,MyRating(_D4,$B16,Efficacy!$F$1))</f>
        <v>3</v>
      </c>
      <c r="BN16" s="3">
        <f>IF($C$5="ON",CN16,MyRating(_B1G5,$B16,Barrier!$L$2))</f>
        <v>1</v>
      </c>
      <c r="BO16" s="3">
        <f>IF($C$5="ON",CO16,MyRating(_B2,$B16,Barrier!$F$2))</f>
        <v>1</v>
      </c>
      <c r="BP16" s="6">
        <f>IF($C$5="ON",CP16,MyRating(_B3,$B16,Barrier!$F$2))</f>
        <v>1</v>
      </c>
      <c r="BQ16" s="5">
        <f t="shared" si="6"/>
        <v>9.9044671286996639E-3</v>
      </c>
      <c r="BR16" s="8">
        <f t="shared" si="7"/>
        <v>1</v>
      </c>
      <c r="BS16" s="5">
        <f t="shared" si="8"/>
        <v>1.2217470983506409E-2</v>
      </c>
      <c r="BT16" s="7">
        <f t="shared" si="9"/>
        <v>5.0626462170790974E-3</v>
      </c>
      <c r="BU16" s="4">
        <v>3</v>
      </c>
      <c r="BV16" s="3">
        <v>3</v>
      </c>
      <c r="BW16" s="3">
        <v>3</v>
      </c>
      <c r="BX16" s="3">
        <v>3</v>
      </c>
      <c r="BY16" s="3">
        <v>3</v>
      </c>
      <c r="BZ16" s="3">
        <v>3</v>
      </c>
      <c r="CA16" s="3">
        <v>3</v>
      </c>
      <c r="CB16" s="3">
        <v>3</v>
      </c>
      <c r="CC16" s="3">
        <v>3</v>
      </c>
      <c r="CD16" s="3">
        <v>3</v>
      </c>
      <c r="CE16" s="3">
        <v>3</v>
      </c>
      <c r="CF16" s="3">
        <v>3</v>
      </c>
      <c r="CG16" s="3">
        <v>3</v>
      </c>
      <c r="CH16" s="3">
        <v>2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1</v>
      </c>
      <c r="CO16" s="3">
        <v>1</v>
      </c>
      <c r="CP16" s="6">
        <v>1</v>
      </c>
      <c r="CQ16" s="5">
        <v>9.9044671286996639E-3</v>
      </c>
      <c r="CR16" s="61"/>
    </row>
    <row r="17" spans="1:96" x14ac:dyDescent="0.35">
      <c r="A17" s="9" t="str">
        <f t="shared" si="0"/>
        <v>IT</v>
      </c>
      <c r="B17" s="9" t="s">
        <v>80</v>
      </c>
      <c r="C17" s="20"/>
      <c r="D17" s="9" t="s">
        <v>79</v>
      </c>
      <c r="E17" s="9" t="s">
        <v>193</v>
      </c>
      <c r="F17" s="9" t="s">
        <v>43</v>
      </c>
      <c r="G17" s="19">
        <v>0</v>
      </c>
      <c r="H17" s="9">
        <v>2014</v>
      </c>
      <c r="I17" s="9">
        <v>6</v>
      </c>
      <c r="J17" s="18">
        <f>INDEX(PTRS!$D$6:$D$12,MATCH('6'!$F17,PTRS!$B$6:$B$12,0))</f>
        <v>0.40949999999999998</v>
      </c>
      <c r="K17" s="17">
        <v>0</v>
      </c>
      <c r="L17" s="17">
        <v>0.40949999999999998</v>
      </c>
      <c r="M17" s="17">
        <v>0.13649999999999998</v>
      </c>
      <c r="N17" s="17">
        <v>0.40949999999999998</v>
      </c>
      <c r="O17" s="17">
        <v>0.40949999999999998</v>
      </c>
      <c r="P17" s="17">
        <v>0.40949999999999998</v>
      </c>
      <c r="Q17" s="17">
        <v>0.41</v>
      </c>
      <c r="R17" s="17">
        <v>0.41</v>
      </c>
      <c r="S17" s="17">
        <v>1</v>
      </c>
      <c r="T17" s="17"/>
      <c r="U17" s="17">
        <f t="shared" si="1"/>
        <v>0.72649652910676854</v>
      </c>
      <c r="V17" s="17">
        <v>1</v>
      </c>
      <c r="W17" s="9" t="s">
        <v>62</v>
      </c>
      <c r="X17" s="9">
        <f>INDEX('Unique Asset List'!$C$4:$I$60,MATCH('6'!$B17,'Unique Asset List'!$A$4:$A$60,0),MATCH('6'!$C$1,'Unique Asset List'!$C$3:$I$3,0))</f>
        <v>2024</v>
      </c>
      <c r="Y17" s="9">
        <f>INDEX('Unique Asset List'!$J$4:$P$60,MATCH('6'!$B17,'Unique Asset List'!$A$4:$A$60,0),MATCH('6'!$C$1,'Unique Asset List'!$J$3:$P$3,0))</f>
        <v>3.9999999999990905</v>
      </c>
      <c r="Z17" s="9">
        <f>INDEX('Unique Asset List'!$X$4:$AD$60,MATCH('6'!$B17,'Unique Asset List'!$A$4:$A$60,0),MATCH('6'!$C$1,'Unique Asset List'!$X$3:$AD$3,0))</f>
        <v>2033</v>
      </c>
      <c r="AA17" s="9">
        <f>INDEX('Unique Asset List'!$AE$4:$AK$60,MATCH('6'!$B17,'Unique Asset List'!$A$4:$A$60,0),MATCH('6'!$C$1,'Unique Asset List'!$AE$3:$AK$3,0))</f>
        <v>3</v>
      </c>
      <c r="AB17" s="16">
        <f t="shared" si="2"/>
        <v>2.1526286000000003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List'!$BN$4:$BT$60,MATCH('6'!$B17,'Unique Asset List'!$A$4:$A$60,0),MATCH('6'!$C$1,'Unique Asset List'!$BN$3:$BT$3,0))</f>
        <v>0.23</v>
      </c>
      <c r="AF17" s="15">
        <f>INDEX('Unique Asset List'!$BU$4:$CA$60,MATCH('6'!$B17,'Unique Asset List'!$A$4:$A$60,0),MATCH('6'!$C$1,'Unique Asset List'!$BU$3:$CA$3,0))</f>
        <v>0.27</v>
      </c>
      <c r="AG17" s="15">
        <f>INDEX('Unique Asset List'!$AZ$4:$BF$60,MATCH('6'!$B17,'Unique Asset List'!$A$4:$A$60,0),MATCH('6'!$C$1,'Unique Asset List'!$AZ$3:$BF$3,0))</f>
        <v>0.23</v>
      </c>
      <c r="AH17" s="15">
        <f>INDEX('Unique Asset List'!$BG$4:$BM$60,MATCH('6'!$B17,'Unique Asset List'!$A$4:$A$60,0),MATCH('6'!$C$1,'Unique Asset List'!$BG$3:$BM$3,0))</f>
        <v>0.27</v>
      </c>
      <c r="AI17" s="11">
        <v>0.96187963349867744</v>
      </c>
      <c r="AJ17" s="15">
        <f>INDEX('Unique Asset List'!$AL$4:$AR$60,MATCH('6'!$B17,'Unique Asset List'!$A$4:$A$60,0),MATCH('6'!$C$1,'Unique Asset List'!$AL$3:$AR$3,0))</f>
        <v>0.32314284341629806</v>
      </c>
      <c r="AK17" s="15">
        <f>INDEX('Unique Asset List'!$AS$4:$AY$60,MATCH('6'!$B17,'Unique Asset List'!$A$4:$A$60,0),MATCH('6'!$C$1,'Unique Asset List'!$AS$3:$AY$3,0))</f>
        <v>0.61768216477991222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v>1</v>
      </c>
      <c r="AT17" s="10"/>
      <c r="AU17" s="4">
        <f>IF($C$5="ON",BU17,MyRating(_E1,$B17,Efficacy!$F$1))</f>
        <v>4</v>
      </c>
      <c r="AV17" s="3">
        <f>IF($C$5="ON",BV17,MyRating(_E2,$B17,Efficacy!$F$1))</f>
        <v>4</v>
      </c>
      <c r="AW17" s="3">
        <f>IF($C$5="ON",BW17,MyRating(_E3,$B17,Efficacy!$F$1))</f>
        <v>4</v>
      </c>
      <c r="AX17" s="3">
        <f>IF($C$5="ON",BX17,MyRating(_E4,$B17,Efficacy!$F$1))</f>
        <v>4</v>
      </c>
      <c r="AY17" s="3">
        <f>IF($C$5="ON",BY17,MyRating(_E5,$B17,Efficacy!$F$1))</f>
        <v>3</v>
      </c>
      <c r="AZ17" s="3">
        <f>IF($C$5="ON",BZ17,MyRating(_E6,$B17,Efficacy!$F$1))</f>
        <v>3</v>
      </c>
      <c r="BA17" s="3">
        <f>IF($C$5="ON",CA17,MyRating(_E7,$B17,Efficacy!$F$1))</f>
        <v>3</v>
      </c>
      <c r="BB17" s="3">
        <f>IF($C$5="ON",CB17,MyRating(_E8,$B17,Efficacy!$F$1))</f>
        <v>5</v>
      </c>
      <c r="BC17" s="3">
        <f>IF($C$5="ON",CC17,MyRating(_S1,$B17,Efficacy!$F$1))</f>
        <v>4</v>
      </c>
      <c r="BD17" s="3">
        <f>IF($C$5="ON",CD17,MyRating(_S2,$B17,Efficacy!$F$1))</f>
        <v>3</v>
      </c>
      <c r="BE17" s="3">
        <f>IF($C$5="ON",CE17,MyRating(_S3,$B17,Efficacy!$F$1))</f>
        <v>3</v>
      </c>
      <c r="BF17" s="3">
        <f>IF($C$5="ON",CF17,MyRating(_S4,$B17,Efficacy!$F$1))</f>
        <v>3</v>
      </c>
      <c r="BG17" s="3">
        <f>IF($C$5="ON",CG17,MyRating(_S5,$B17,Efficacy!$F$1))</f>
        <v>5</v>
      </c>
      <c r="BH17" s="3">
        <f>IF($C$5="ON",CH17,MyRating(_S6,$B17,Efficacy!$F$1))</f>
        <v>2</v>
      </c>
      <c r="BI17" s="3">
        <f>IF($C$5="ON",CI17,MyRating(_S7,$B17,Efficacy!$F$1))</f>
        <v>3</v>
      </c>
      <c r="BJ17" s="3">
        <f>IF($C$5="ON",CJ17,MyRating(_D1,$B17,Efficacy!$F$1))</f>
        <v>3</v>
      </c>
      <c r="BK17" s="3">
        <f>IF($C$5="ON",CK17,MyRating(_D2,$B17,Efficacy!$F$1))</f>
        <v>3</v>
      </c>
      <c r="BL17" s="3">
        <f>IF($C$5="ON",CL17,MyRating(_D3,$B17,Efficacy!$F$1))</f>
        <v>3</v>
      </c>
      <c r="BM17" s="3">
        <f>IF($C$5="ON",CM17,MyRating(_D4,$B17,Efficacy!$F$1))</f>
        <v>3</v>
      </c>
      <c r="BN17" s="3">
        <f>IF($C$5="ON",CN17,MyRating(_B1G5,$B17,Barrier!$L$2))</f>
        <v>2</v>
      </c>
      <c r="BO17" s="3">
        <f>IF($C$5="ON",CO17,MyRating(_B2,$B17,Barrier!$F$2))</f>
        <v>3</v>
      </c>
      <c r="BP17" s="6">
        <f>IF($C$5="ON",CP17,MyRating(_B3,$B17,Barrier!$F$2))</f>
        <v>3</v>
      </c>
      <c r="BQ17" s="5">
        <f t="shared" si="6"/>
        <v>3.6275844714639842E-2</v>
      </c>
      <c r="BR17" s="8">
        <f t="shared" si="7"/>
        <v>2.9499999999999997</v>
      </c>
      <c r="BS17" s="5">
        <f t="shared" si="8"/>
        <v>3.60415394013439E-2</v>
      </c>
      <c r="BT17" s="7">
        <f t="shared" si="9"/>
        <v>1.8542316878791175E-2</v>
      </c>
      <c r="BU17" s="4">
        <v>4</v>
      </c>
      <c r="BV17" s="3">
        <v>4</v>
      </c>
      <c r="BW17" s="3">
        <v>4</v>
      </c>
      <c r="BX17" s="3">
        <v>4</v>
      </c>
      <c r="BY17" s="3">
        <v>3</v>
      </c>
      <c r="BZ17" s="3">
        <v>3</v>
      </c>
      <c r="CA17" s="3">
        <v>3</v>
      </c>
      <c r="CB17" s="3">
        <v>5</v>
      </c>
      <c r="CC17" s="3">
        <v>4</v>
      </c>
      <c r="CD17" s="3">
        <v>3</v>
      </c>
      <c r="CE17" s="3">
        <v>3</v>
      </c>
      <c r="CF17" s="3">
        <v>3</v>
      </c>
      <c r="CG17" s="3">
        <v>5</v>
      </c>
      <c r="CH17" s="3">
        <v>2</v>
      </c>
      <c r="CI17" s="3">
        <v>3</v>
      </c>
      <c r="CJ17" s="3">
        <v>3</v>
      </c>
      <c r="CK17" s="3">
        <v>3</v>
      </c>
      <c r="CL17" s="3">
        <v>3</v>
      </c>
      <c r="CM17" s="3">
        <v>3</v>
      </c>
      <c r="CN17" s="3">
        <v>2</v>
      </c>
      <c r="CO17" s="3">
        <v>3</v>
      </c>
      <c r="CP17" s="6">
        <v>3</v>
      </c>
      <c r="CQ17" s="5">
        <v>3.6275844714639842E-2</v>
      </c>
      <c r="CR17" s="61"/>
    </row>
    <row r="18" spans="1:96" x14ac:dyDescent="0.35">
      <c r="A18" s="9" t="str">
        <f t="shared" si="0"/>
        <v>IT</v>
      </c>
      <c r="B18" s="9" t="s">
        <v>89</v>
      </c>
      <c r="C18" s="20"/>
      <c r="D18" s="9" t="s">
        <v>64</v>
      </c>
      <c r="E18" s="9" t="s">
        <v>193</v>
      </c>
      <c r="F18" s="9" t="s">
        <v>63</v>
      </c>
      <c r="G18" s="19">
        <v>0</v>
      </c>
      <c r="H18" s="9">
        <v>2014</v>
      </c>
      <c r="I18" s="9">
        <v>6</v>
      </c>
      <c r="J18" s="18">
        <f>INDEX(PTRS!$D$6:$D$12,MATCH('6'!$F18,PTRS!$B$6:$B$12,0))</f>
        <v>0.58500000000000008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0.58500000000000008</v>
      </c>
      <c r="Q18" s="17">
        <v>1</v>
      </c>
      <c r="R18" s="17">
        <v>1</v>
      </c>
      <c r="S18" s="17">
        <v>1</v>
      </c>
      <c r="T18" s="17"/>
      <c r="U18" s="17">
        <f t="shared" si="1"/>
        <v>0.72649652910676854</v>
      </c>
      <c r="V18" s="17">
        <v>0.25</v>
      </c>
      <c r="W18" s="9" t="s">
        <v>54</v>
      </c>
      <c r="X18" s="9">
        <f>INDEX('Unique Asset List'!$C$4:$I$60,MATCH('6'!$B18,'Unique Asset List'!$A$4:$A$60,0),MATCH('6'!$C$1,'Unique Asset List'!$C$3:$I$3,0))</f>
        <v>2018</v>
      </c>
      <c r="Y18" s="9">
        <f>INDEX('Unique Asset List'!$J$4:$P$60,MATCH('6'!$B18,'Unique Asset List'!$A$4:$A$60,0),MATCH('6'!$C$1,'Unique Asset List'!$J$3:$P$3,0))</f>
        <v>3.9999999999990905</v>
      </c>
      <c r="Z18" s="9">
        <f>INDEX('Unique Asset List'!$X$4:$AD$60,MATCH('6'!$B18,'Unique Asset List'!$A$4:$A$60,0),MATCH('6'!$C$1,'Unique Asset List'!$X$3:$AD$3,0))</f>
        <v>2033</v>
      </c>
      <c r="AA18" s="9">
        <f>INDEX('Unique Asset List'!$AE$4:$AK$60,MATCH('6'!$B18,'Unique Asset List'!$A$4:$A$60,0),MATCH('6'!$C$1,'Unique Asset List'!$AE$3:$AK$3,0))</f>
        <v>11</v>
      </c>
      <c r="AB18" s="16">
        <f t="shared" si="2"/>
        <v>1.8285232000000005</v>
      </c>
      <c r="AC18" s="16">
        <f t="shared" si="3"/>
        <v>0.82350590000000001</v>
      </c>
      <c r="AD18" s="16">
        <f t="shared" si="4"/>
        <v>0.52097279586</v>
      </c>
      <c r="AE18" s="15">
        <f>INDEX('Unique Asset List'!$BN$4:$BT$60,MATCH('6'!$B18,'Unique Asset List'!$A$4:$A$60,0),MATCH('6'!$C$1,'Unique Asset List'!$BN$3:$BT$3,0))</f>
        <v>0.18</v>
      </c>
      <c r="AF18" s="15">
        <f>INDEX('Unique Asset List'!$BU$4:$CA$60,MATCH('6'!$B18,'Unique Asset List'!$A$4:$A$60,0),MATCH('6'!$C$1,'Unique Asset List'!$BU$3:$CA$3,0))</f>
        <v>0.32</v>
      </c>
      <c r="AG18" s="15">
        <f>INDEX('Unique Asset List'!$AZ$4:$BF$60,MATCH('6'!$B18,'Unique Asset List'!$A$4:$A$60,0),MATCH('6'!$C$1,'Unique Asset List'!$AZ$3:$BF$3,0))</f>
        <v>0.18</v>
      </c>
      <c r="AH18" s="15">
        <f>INDEX('Unique Asset List'!$BG$4:$BM$60,MATCH('6'!$B18,'Unique Asset List'!$A$4:$A$60,0),MATCH('6'!$C$1,'Unique Asset List'!$BG$3:$BM$3,0))</f>
        <v>0.32</v>
      </c>
      <c r="AI18" s="11">
        <v>0.96187963349867744</v>
      </c>
      <c r="AJ18" s="15">
        <f>INDEX('Unique Asset List'!$AL$4:$AR$60,MATCH('6'!$B18,'Unique Asset List'!$A$4:$A$60,0),MATCH('6'!$C$1,'Unique Asset List'!$AL$3:$AR$3,0))</f>
        <v>0.32314284341629806</v>
      </c>
      <c r="AK18" s="15">
        <f>INDEX('Unique Asset List'!$AS$4:$AY$60,MATCH('6'!$B18,'Unique Asset List'!$A$4:$A$60,0),MATCH('6'!$C$1,'Unique Asset List'!$AS$3:$AY$3,0))</f>
        <v>0.61768216477991222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5"/>
        <v>0.82</v>
      </c>
      <c r="AS18" s="10">
        <v>1</v>
      </c>
      <c r="AT18" s="10"/>
      <c r="AU18" s="4">
        <f>IF($C$5="ON",BU18,MyRating(_E1,$B18,Efficacy!$F$1))</f>
        <v>3</v>
      </c>
      <c r="AV18" s="3">
        <f>IF($C$5="ON",BV18,MyRating(_E2,$B18,Efficacy!$F$1))</f>
        <v>4</v>
      </c>
      <c r="AW18" s="3">
        <f>IF($C$5="ON",BW18,MyRating(_E3,$B18,Efficacy!$F$1))</f>
        <v>3</v>
      </c>
      <c r="AX18" s="3">
        <f>IF($C$5="ON",BX18,MyRating(_E4,$B18,Efficacy!$F$1))</f>
        <v>3</v>
      </c>
      <c r="AY18" s="3">
        <f>IF($C$5="ON",BY18,MyRating(_E5,$B18,Efficacy!$F$1))</f>
        <v>3</v>
      </c>
      <c r="AZ18" s="3">
        <f>IF($C$5="ON",BZ18,MyRating(_E6,$B18,Efficacy!$F$1))</f>
        <v>3</v>
      </c>
      <c r="BA18" s="3">
        <f>IF($C$5="ON",CA18,MyRating(_E7,$B18,Efficacy!$F$1))</f>
        <v>3</v>
      </c>
      <c r="BB18" s="3">
        <f>IF($C$5="ON",CB18,MyRating(_E8,$B18,Efficacy!$F$1))</f>
        <v>4</v>
      </c>
      <c r="BC18" s="3">
        <f>IF($C$5="ON",CC18,MyRating(_S1,$B18,Efficacy!$F$1))</f>
        <v>3</v>
      </c>
      <c r="BD18" s="3">
        <f>IF($C$5="ON",CD18,MyRating(_S2,$B18,Efficacy!$F$1))</f>
        <v>3</v>
      </c>
      <c r="BE18" s="3">
        <f>IF($C$5="ON",CE18,MyRating(_S3,$B18,Efficacy!$F$1))</f>
        <v>3</v>
      </c>
      <c r="BF18" s="3">
        <f>IF($C$5="ON",CF18,MyRating(_S4,$B18,Efficacy!$F$1))</f>
        <v>3</v>
      </c>
      <c r="BG18" s="3">
        <f>IF($C$5="ON",CG18,MyRating(_S5,$B18,Efficacy!$F$1))</f>
        <v>5</v>
      </c>
      <c r="BH18" s="3">
        <f>IF($C$5="ON",CH18,MyRating(_S6,$B18,Efficacy!$F$1))</f>
        <v>2</v>
      </c>
      <c r="BI18" s="3">
        <f>IF($C$5="ON",CI18,MyRating(_S7,$B18,Efficacy!$F$1))</f>
        <v>3</v>
      </c>
      <c r="BJ18" s="3">
        <f>IF($C$5="ON",CJ18,MyRating(_D1,$B18,Efficacy!$F$1))</f>
        <v>3</v>
      </c>
      <c r="BK18" s="3">
        <f>IF($C$5="ON",CK18,MyRating(_D2,$B18,Efficacy!$F$1))</f>
        <v>2</v>
      </c>
      <c r="BL18" s="3">
        <f>IF($C$5="ON",CL18,MyRating(_D3,$B18,Efficacy!$F$1))</f>
        <v>3</v>
      </c>
      <c r="BM18" s="3">
        <f>IF($C$5="ON",CM18,MyRating(_D4,$B18,Efficacy!$F$1))</f>
        <v>3</v>
      </c>
      <c r="BN18" s="3">
        <f>IF($C$5="ON",CN18,MyRating(_B1G5,$B18,Barrier!$L$2))</f>
        <v>2</v>
      </c>
      <c r="BO18" s="3">
        <f>IF($C$5="ON",CO18,MyRating(_B2,$B18,Barrier!$F$2))</f>
        <v>3</v>
      </c>
      <c r="BP18" s="6">
        <f>IF($C$5="ON",CP18,MyRating(_B3,$B18,Barrier!$F$2))</f>
        <v>3</v>
      </c>
      <c r="BQ18" s="5">
        <f t="shared" si="6"/>
        <v>3.6275844714639842E-2</v>
      </c>
      <c r="BR18" s="8">
        <f t="shared" si="7"/>
        <v>2.9499999999999997</v>
      </c>
      <c r="BS18" s="5">
        <f t="shared" si="8"/>
        <v>3.60415394013439E-2</v>
      </c>
      <c r="BT18" s="7">
        <f t="shared" si="9"/>
        <v>1.8542316878791175E-2</v>
      </c>
      <c r="BU18" s="4">
        <v>3</v>
      </c>
      <c r="BV18" s="3">
        <v>4</v>
      </c>
      <c r="BW18" s="3">
        <v>3</v>
      </c>
      <c r="BX18" s="3">
        <v>3</v>
      </c>
      <c r="BY18" s="3">
        <v>3</v>
      </c>
      <c r="BZ18" s="3">
        <v>3</v>
      </c>
      <c r="CA18" s="3">
        <v>3</v>
      </c>
      <c r="CB18" s="3">
        <v>4</v>
      </c>
      <c r="CC18" s="3">
        <v>3</v>
      </c>
      <c r="CD18" s="3">
        <v>3</v>
      </c>
      <c r="CE18" s="3">
        <v>3</v>
      </c>
      <c r="CF18" s="3">
        <v>3</v>
      </c>
      <c r="CG18" s="3">
        <v>5</v>
      </c>
      <c r="CH18" s="3">
        <v>2</v>
      </c>
      <c r="CI18" s="3">
        <v>3</v>
      </c>
      <c r="CJ18" s="3">
        <v>3</v>
      </c>
      <c r="CK18" s="3">
        <v>2</v>
      </c>
      <c r="CL18" s="3">
        <v>3</v>
      </c>
      <c r="CM18" s="3">
        <v>3</v>
      </c>
      <c r="CN18" s="3">
        <v>2</v>
      </c>
      <c r="CO18" s="3">
        <v>3</v>
      </c>
      <c r="CP18" s="6">
        <v>3</v>
      </c>
      <c r="CQ18" s="5">
        <v>3.6275844714639842E-2</v>
      </c>
      <c r="CR18" s="61"/>
    </row>
    <row r="19" spans="1:96" x14ac:dyDescent="0.35">
      <c r="A19" s="9" t="str">
        <f t="shared" si="0"/>
        <v>IT</v>
      </c>
      <c r="B19" s="9" t="s">
        <v>78</v>
      </c>
      <c r="C19" s="20"/>
      <c r="D19" s="9" t="s">
        <v>77</v>
      </c>
      <c r="E19" s="9" t="s">
        <v>193</v>
      </c>
      <c r="F19" s="9" t="s">
        <v>51</v>
      </c>
      <c r="G19" s="19">
        <v>0</v>
      </c>
      <c r="H19" s="9">
        <v>2014</v>
      </c>
      <c r="I19" s="9">
        <v>6</v>
      </c>
      <c r="J19" s="18">
        <f>INDEX(PTRS!$D$6:$D$12,MATCH('6'!$F19,PTRS!$B$6:$B$12,0))</f>
        <v>0.1638</v>
      </c>
      <c r="K19" s="17">
        <v>0</v>
      </c>
      <c r="L19" s="17">
        <v>0.1638</v>
      </c>
      <c r="M19" s="17">
        <v>5.4600000000000003E-2</v>
      </c>
      <c r="N19" s="17">
        <v>0.1638</v>
      </c>
      <c r="O19" s="17">
        <v>0.1638</v>
      </c>
      <c r="P19" s="17">
        <v>0.1638</v>
      </c>
      <c r="Q19" s="17">
        <v>0.16</v>
      </c>
      <c r="R19" s="17">
        <v>0.16</v>
      </c>
      <c r="S19" s="17">
        <v>1</v>
      </c>
      <c r="T19" s="17"/>
      <c r="U19" s="17">
        <f t="shared" si="1"/>
        <v>0.72649652910676854</v>
      </c>
      <c r="V19" s="17">
        <v>1</v>
      </c>
      <c r="W19" s="9" t="s">
        <v>62</v>
      </c>
      <c r="X19" s="9">
        <f>INDEX('Unique Asset List'!$C$4:$I$60,MATCH('6'!$B19,'Unique Asset List'!$A$4:$A$60,0),MATCH('6'!$C$1,'Unique Asset List'!$C$3:$I$3,0))</f>
        <v>2025</v>
      </c>
      <c r="Y19" s="9">
        <f>INDEX('Unique Asset List'!$J$4:$P$60,MATCH('6'!$B19,'Unique Asset List'!$A$4:$A$60,0),MATCH('6'!$C$1,'Unique Asset List'!$J$3:$P$3,0))</f>
        <v>7.999999999998181</v>
      </c>
      <c r="Z19" s="9">
        <f>INDEX('Unique Asset List'!$X$4:$AD$60,MATCH('6'!$B19,'Unique Asset List'!$A$4:$A$60,0),MATCH('6'!$C$1,'Unique Asset List'!$X$3:$AD$3,0))</f>
        <v>2034</v>
      </c>
      <c r="AA19" s="9">
        <f>INDEX('Unique Asset List'!$AE$4:$AK$60,MATCH('6'!$B19,'Unique Asset List'!$A$4:$A$60,0),MATCH('6'!$C$1,'Unique Asset List'!$AE$3:$AK$3,0))</f>
        <v>7</v>
      </c>
      <c r="AB19" s="16">
        <f t="shared" si="2"/>
        <v>1.8922540000000003</v>
      </c>
      <c r="AC19" s="16">
        <f t="shared" si="3"/>
        <v>0.88497580000000009</v>
      </c>
      <c r="AD19" s="16">
        <f t="shared" si="4"/>
        <v>0.56099999999999994</v>
      </c>
      <c r="AE19" s="15">
        <f>INDEX('Unique Asset List'!$BN$4:$BT$60,MATCH('6'!$B19,'Unique Asset List'!$A$4:$A$60,0),MATCH('6'!$C$1,'Unique Asset List'!$BN$3:$BT$3,0))</f>
        <v>0.23</v>
      </c>
      <c r="AF19" s="15">
        <f>INDEX('Unique Asset List'!$BU$4:$CA$60,MATCH('6'!$B19,'Unique Asset List'!$A$4:$A$60,0),MATCH('6'!$C$1,'Unique Asset List'!$BU$3:$CA$3,0))</f>
        <v>0.27</v>
      </c>
      <c r="AG19" s="15">
        <f>INDEX('Unique Asset List'!$AZ$4:$BF$60,MATCH('6'!$B19,'Unique Asset List'!$A$4:$A$60,0),MATCH('6'!$C$1,'Unique Asset List'!$AZ$3:$BF$3,0))</f>
        <v>0.23</v>
      </c>
      <c r="AH19" s="15">
        <f>INDEX('Unique Asset List'!$BG$4:$BM$60,MATCH('6'!$B19,'Unique Asset List'!$A$4:$A$60,0),MATCH('6'!$C$1,'Unique Asset List'!$BG$3:$BM$3,0))</f>
        <v>0.27</v>
      </c>
      <c r="AI19" s="11">
        <v>0.96187963349867744</v>
      </c>
      <c r="AJ19" s="15">
        <f>INDEX('Unique Asset List'!$AL$4:$AR$60,MATCH('6'!$B19,'Unique Asset List'!$A$4:$A$60,0),MATCH('6'!$C$1,'Unique Asset List'!$AL$3:$AR$3,0))</f>
        <v>0.32314284341629806</v>
      </c>
      <c r="AK19" s="15">
        <f>INDEX('Unique Asset List'!$AS$4:$AY$60,MATCH('6'!$B19,'Unique Asset List'!$A$4:$A$60,0),MATCH('6'!$C$1,'Unique Asset List'!$AS$3:$AY$3,0))</f>
        <v>0.61768216477991222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0"/>
      <c r="AU19" s="4">
        <f>IF($C$5="ON",BU19,MyRating(_E1,$B19,Efficacy!$F$1))</f>
        <v>3</v>
      </c>
      <c r="AV19" s="3">
        <f>IF($C$5="ON",BV19,MyRating(_E2,$B19,Efficacy!$F$1))</f>
        <v>3</v>
      </c>
      <c r="AW19" s="3">
        <f>IF($C$5="ON",BW19,MyRating(_E3,$B19,Efficacy!$F$1))</f>
        <v>3</v>
      </c>
      <c r="AX19" s="3">
        <f>IF($C$5="ON",BX19,MyRating(_E4,$B19,Efficacy!$F$1))</f>
        <v>4</v>
      </c>
      <c r="AY19" s="3">
        <f>IF($C$5="ON",BY19,MyRating(_E5,$B19,Efficacy!$F$1))</f>
        <v>3</v>
      </c>
      <c r="AZ19" s="3">
        <f>IF($C$5="ON",BZ19,MyRating(_E6,$B19,Efficacy!$F$1))</f>
        <v>3</v>
      </c>
      <c r="BA19" s="3">
        <f>IF($C$5="ON",CA19,MyRating(_E7,$B19,Efficacy!$F$1))</f>
        <v>3</v>
      </c>
      <c r="BB19" s="3">
        <f>IF($C$5="ON",CB19,MyRating(_E8,$B19,Efficacy!$F$1))</f>
        <v>5</v>
      </c>
      <c r="BC19" s="3">
        <f>IF($C$5="ON",CC19,MyRating(_S1,$B19,Efficacy!$F$1))</f>
        <v>4</v>
      </c>
      <c r="BD19" s="3">
        <f>IF($C$5="ON",CD19,MyRating(_S2,$B19,Efficacy!$F$1))</f>
        <v>3</v>
      </c>
      <c r="BE19" s="3">
        <f>IF($C$5="ON",CE19,MyRating(_S3,$B19,Efficacy!$F$1))</f>
        <v>3</v>
      </c>
      <c r="BF19" s="3">
        <f>IF($C$5="ON",CF19,MyRating(_S4,$B19,Efficacy!$F$1))</f>
        <v>3</v>
      </c>
      <c r="BG19" s="3">
        <f>IF($C$5="ON",CG19,MyRating(_S5,$B19,Efficacy!$F$1))</f>
        <v>5</v>
      </c>
      <c r="BH19" s="3">
        <f>IF($C$5="ON",CH19,MyRating(_S6,$B19,Efficacy!$F$1))</f>
        <v>2</v>
      </c>
      <c r="BI19" s="3">
        <f>IF($C$5="ON",CI19,MyRating(_S7,$B19,Efficacy!$F$1))</f>
        <v>3</v>
      </c>
      <c r="BJ19" s="3">
        <f>IF($C$5="ON",CJ19,MyRating(_D1,$B19,Efficacy!$F$1))</f>
        <v>3</v>
      </c>
      <c r="BK19" s="3">
        <f>IF($C$5="ON",CK19,MyRating(_D2,$B19,Efficacy!$F$1))</f>
        <v>3</v>
      </c>
      <c r="BL19" s="3">
        <f>IF($C$5="ON",CL19,MyRating(_D3,$B19,Efficacy!$F$1))</f>
        <v>3</v>
      </c>
      <c r="BM19" s="3">
        <f>IF($C$5="ON",CM19,MyRating(_D4,$B19,Efficacy!$F$1))</f>
        <v>3</v>
      </c>
      <c r="BN19" s="3">
        <f>IF($C$5="ON",CN19,MyRating(_B1G5,$B19,Barrier!$L$2))</f>
        <v>2</v>
      </c>
      <c r="BO19" s="3">
        <f>IF($C$5="ON",CO19,MyRating(_B2,$B19,Barrier!$F$2))</f>
        <v>3</v>
      </c>
      <c r="BP19" s="6">
        <f>IF($C$5="ON",CP19,MyRating(_B3,$B19,Barrier!$F$2))</f>
        <v>3</v>
      </c>
      <c r="BQ19" s="5">
        <f t="shared" si="6"/>
        <v>3.6275844714639842E-2</v>
      </c>
      <c r="BR19" s="8">
        <f t="shared" si="7"/>
        <v>2.9499999999999997</v>
      </c>
      <c r="BS19" s="5">
        <f t="shared" si="8"/>
        <v>3.60415394013439E-2</v>
      </c>
      <c r="BT19" s="7">
        <f t="shared" si="9"/>
        <v>1.8542316878791175E-2</v>
      </c>
      <c r="BU19" s="4">
        <v>3</v>
      </c>
      <c r="BV19" s="3">
        <v>3</v>
      </c>
      <c r="BW19" s="3">
        <v>3</v>
      </c>
      <c r="BX19" s="3">
        <v>4</v>
      </c>
      <c r="BY19" s="3">
        <v>3</v>
      </c>
      <c r="BZ19" s="3">
        <v>3</v>
      </c>
      <c r="CA19" s="3">
        <v>3</v>
      </c>
      <c r="CB19" s="3">
        <v>5</v>
      </c>
      <c r="CC19" s="3">
        <v>4</v>
      </c>
      <c r="CD19" s="3">
        <v>3</v>
      </c>
      <c r="CE19" s="3">
        <v>3</v>
      </c>
      <c r="CF19" s="3">
        <v>3</v>
      </c>
      <c r="CG19" s="3">
        <v>5</v>
      </c>
      <c r="CH19" s="3">
        <v>2</v>
      </c>
      <c r="CI19" s="3">
        <v>3</v>
      </c>
      <c r="CJ19" s="3">
        <v>3</v>
      </c>
      <c r="CK19" s="3">
        <v>3</v>
      </c>
      <c r="CL19" s="3">
        <v>3</v>
      </c>
      <c r="CM19" s="3">
        <v>3</v>
      </c>
      <c r="CN19" s="3">
        <v>2</v>
      </c>
      <c r="CO19" s="3">
        <v>3</v>
      </c>
      <c r="CP19" s="6">
        <v>3</v>
      </c>
      <c r="CQ19" s="5">
        <v>3.6275844714639842E-2</v>
      </c>
      <c r="CR19" s="61"/>
    </row>
    <row r="20" spans="1:96" x14ac:dyDescent="0.35">
      <c r="A20" s="9" t="str">
        <f t="shared" si="0"/>
        <v>IT</v>
      </c>
      <c r="B20" s="9" t="s">
        <v>39</v>
      </c>
      <c r="C20" s="20"/>
      <c r="D20" s="9" t="s">
        <v>2</v>
      </c>
      <c r="E20" s="9" t="s">
        <v>193</v>
      </c>
      <c r="F20" s="9" t="s">
        <v>43</v>
      </c>
      <c r="G20" s="19">
        <v>0</v>
      </c>
      <c r="H20" s="9">
        <v>2014</v>
      </c>
      <c r="I20" s="9">
        <v>6</v>
      </c>
      <c r="J20" s="18">
        <f>INDEX(PTRS!$D$6:$D$12,MATCH('6'!$F20,PTRS!$B$6:$B$12,0))</f>
        <v>0.40949999999999998</v>
      </c>
      <c r="K20" s="17">
        <v>0</v>
      </c>
      <c r="L20" s="17">
        <v>0.40949999999999998</v>
      </c>
      <c r="M20" s="17">
        <v>0.40949999999999998</v>
      </c>
      <c r="N20" s="17">
        <v>0.4</v>
      </c>
      <c r="O20" s="17">
        <v>0.4</v>
      </c>
      <c r="P20" s="17">
        <v>0.40949999999999998</v>
      </c>
      <c r="Q20" s="17">
        <v>1</v>
      </c>
      <c r="R20" s="17">
        <v>1</v>
      </c>
      <c r="S20" s="17">
        <v>1</v>
      </c>
      <c r="T20" s="17"/>
      <c r="U20" s="17">
        <f t="shared" si="1"/>
        <v>0.72649652910676854</v>
      </c>
      <c r="V20" s="17">
        <v>1</v>
      </c>
      <c r="W20" s="9" t="s">
        <v>38</v>
      </c>
      <c r="X20" s="9">
        <f>INDEX('Unique Asset List'!$C$4:$I$60,MATCH('6'!$B20,'Unique Asset List'!$A$4:$A$60,0),MATCH('6'!$C$1,'Unique Asset List'!$C$3:$I$3,0))</f>
        <v>2024</v>
      </c>
      <c r="Y20" s="9">
        <f>INDEX('Unique Asset List'!$J$4:$P$60,MATCH('6'!$B20,'Unique Asset List'!$A$4:$A$60,0),MATCH('6'!$C$1,'Unique Asset List'!$J$3:$P$3,0))</f>
        <v>9</v>
      </c>
      <c r="Z20" s="9">
        <f>INDEX('Unique Asset List'!$X$4:$AD$60,MATCH('6'!$B20,'Unique Asset List'!$A$4:$A$60,0),MATCH('6'!$C$1,'Unique Asset List'!$X$3:$AD$3,0))</f>
        <v>2034</v>
      </c>
      <c r="AA20" s="9">
        <f>INDEX('Unique Asset List'!$AE$4:$AK$60,MATCH('6'!$B20,'Unique Asset List'!$A$4:$A$60,0),MATCH('6'!$C$1,'Unique Asset List'!$AE$3:$AK$3,0))</f>
        <v>3</v>
      </c>
      <c r="AB20" s="16">
        <f t="shared" si="2"/>
        <v>1.7951404000000002</v>
      </c>
      <c r="AC20" s="16">
        <f t="shared" si="3"/>
        <v>0.94451300000000005</v>
      </c>
      <c r="AD20" s="16">
        <f t="shared" si="4"/>
        <v>0.52097279586</v>
      </c>
      <c r="AE20" s="15">
        <f>INDEX('Unique Asset List'!$BN$4:$BT$60,MATCH('6'!$B20,'Unique Asset List'!$A$4:$A$60,0),MATCH('6'!$C$1,'Unique Asset List'!$BN$3:$BT$3,0))</f>
        <v>0.18</v>
      </c>
      <c r="AF20" s="15">
        <f>INDEX('Unique Asset List'!$BU$4:$CA$60,MATCH('6'!$B20,'Unique Asset List'!$A$4:$A$60,0),MATCH('6'!$C$1,'Unique Asset List'!$BU$3:$CA$3,0))</f>
        <v>0.32</v>
      </c>
      <c r="AG20" s="15">
        <f>INDEX('Unique Asset List'!$AZ$4:$BF$60,MATCH('6'!$B20,'Unique Asset List'!$A$4:$A$60,0),MATCH('6'!$C$1,'Unique Asset List'!$AZ$3:$BF$3,0))</f>
        <v>0.18</v>
      </c>
      <c r="AH20" s="15">
        <f>INDEX('Unique Asset List'!$BG$4:$BM$60,MATCH('6'!$B20,'Unique Asset List'!$A$4:$A$60,0),MATCH('6'!$C$1,'Unique Asset List'!$BG$3:$BM$3,0))</f>
        <v>0.32</v>
      </c>
      <c r="AI20" s="11">
        <v>0.96187963349867744</v>
      </c>
      <c r="AJ20" s="15">
        <f>INDEX('Unique Asset List'!$AL$4:$AR$60,MATCH('6'!$B20,'Unique Asset List'!$A$4:$A$60,0),MATCH('6'!$C$1,'Unique Asset List'!$AL$3:$AR$3,0))</f>
        <v>0.32314284341629806</v>
      </c>
      <c r="AK20" s="15">
        <f>INDEX('Unique Asset List'!$AS$4:$AY$60,MATCH('6'!$B20,'Unique Asset List'!$A$4:$A$60,0),MATCH('6'!$C$1,'Unique Asset List'!$AS$3:$AY$3,0))</f>
        <v>0.61768216477991222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0"/>
      <c r="AU20" s="4">
        <f>IF($C$5="ON",BU20,MyRating(_E1,$B20,Efficacy!$F$1))</f>
        <v>4</v>
      </c>
      <c r="AV20" s="3">
        <f>IF($C$5="ON",BV20,MyRating(_E2,$B20,Efficacy!$F$1))</f>
        <v>3</v>
      </c>
      <c r="AW20" s="3">
        <f>IF($C$5="ON",BW20,MyRating(_E3,$B20,Efficacy!$F$1))</f>
        <v>3</v>
      </c>
      <c r="AX20" s="3">
        <f>IF($C$5="ON",BX20,MyRating(_E4,$B20,Efficacy!$F$1))</f>
        <v>4</v>
      </c>
      <c r="AY20" s="3">
        <f>IF($C$5="ON",BY20,MyRating(_E5,$B20,Efficacy!$F$1))</f>
        <v>3</v>
      </c>
      <c r="AZ20" s="3">
        <f>IF($C$5="ON",BZ20,MyRating(_E6,$B20,Efficacy!$F$1))</f>
        <v>2</v>
      </c>
      <c r="BA20" s="3">
        <f>IF($C$5="ON",CA20,MyRating(_E7,$B20,Efficacy!$F$1))</f>
        <v>3</v>
      </c>
      <c r="BB20" s="3">
        <f>IF($C$5="ON",CB20,MyRating(_E8,$B20,Efficacy!$F$1))</f>
        <v>3</v>
      </c>
      <c r="BC20" s="3">
        <f>IF($C$5="ON",CC20,MyRating(_S1,$B20,Efficacy!$F$1))</f>
        <v>4</v>
      </c>
      <c r="BD20" s="3">
        <f>IF($C$5="ON",CD20,MyRating(_S2,$B20,Efficacy!$F$1))</f>
        <v>4</v>
      </c>
      <c r="BE20" s="3">
        <f>IF($C$5="ON",CE20,MyRating(_S3,$B20,Efficacy!$F$1))</f>
        <v>3</v>
      </c>
      <c r="BF20" s="3">
        <f>IF($C$5="ON",CF20,MyRating(_S4,$B20,Efficacy!$F$1))</f>
        <v>4</v>
      </c>
      <c r="BG20" s="3">
        <f>IF($C$5="ON",CG20,MyRating(_S5,$B20,Efficacy!$F$1))</f>
        <v>5</v>
      </c>
      <c r="BH20" s="3">
        <f>IF($C$5="ON",CH20,MyRating(_S6,$B20,Efficacy!$F$1))</f>
        <v>2</v>
      </c>
      <c r="BI20" s="3">
        <f>IF($C$5="ON",CI20,MyRating(_S7,$B20,Efficacy!$F$1))</f>
        <v>3</v>
      </c>
      <c r="BJ20" s="3">
        <f>IF($C$5="ON",CJ20,MyRating(_D1,$B20,Efficacy!$F$1))</f>
        <v>3</v>
      </c>
      <c r="BK20" s="3">
        <f>IF($C$5="ON",CK20,MyRating(_D2,$B20,Efficacy!$F$1))</f>
        <v>2</v>
      </c>
      <c r="BL20" s="3">
        <f>IF($C$5="ON",CL20,MyRating(_D3,$B20,Efficacy!$F$1))</f>
        <v>3</v>
      </c>
      <c r="BM20" s="3">
        <f>IF($C$5="ON",CM20,MyRating(_D4,$B20,Efficacy!$F$1))</f>
        <v>3</v>
      </c>
      <c r="BN20" s="3">
        <f>IF($C$5="ON",CN20,MyRating(_B1G5,$B20,Barrier!$L$2))</f>
        <v>2</v>
      </c>
      <c r="BO20" s="3">
        <f>IF($C$5="ON",CO20,MyRating(_B2,$B20,Barrier!$F$2))</f>
        <v>3</v>
      </c>
      <c r="BP20" s="6">
        <f>IF($C$5="ON",CP20,MyRating(_B3,$B20,Barrier!$F$2))</f>
        <v>3</v>
      </c>
      <c r="BQ20" s="5">
        <f t="shared" si="6"/>
        <v>3.6275844714639842E-2</v>
      </c>
      <c r="BR20" s="8">
        <f t="shared" si="7"/>
        <v>2.9499999999999997</v>
      </c>
      <c r="BS20" s="5">
        <f t="shared" si="8"/>
        <v>3.60415394013439E-2</v>
      </c>
      <c r="BT20" s="7">
        <f t="shared" si="9"/>
        <v>1.8542316878791175E-2</v>
      </c>
      <c r="BU20" s="4">
        <v>4</v>
      </c>
      <c r="BV20" s="3">
        <v>3</v>
      </c>
      <c r="BW20" s="3">
        <v>3</v>
      </c>
      <c r="BX20" s="3">
        <v>4</v>
      </c>
      <c r="BY20" s="3">
        <v>3</v>
      </c>
      <c r="BZ20" s="3">
        <v>2</v>
      </c>
      <c r="CA20" s="3">
        <v>3</v>
      </c>
      <c r="CB20" s="3">
        <v>3</v>
      </c>
      <c r="CC20" s="3">
        <v>4</v>
      </c>
      <c r="CD20" s="3">
        <v>4</v>
      </c>
      <c r="CE20" s="3">
        <v>3</v>
      </c>
      <c r="CF20" s="3">
        <v>4</v>
      </c>
      <c r="CG20" s="3">
        <v>5</v>
      </c>
      <c r="CH20" s="3">
        <v>2</v>
      </c>
      <c r="CI20" s="3">
        <v>3</v>
      </c>
      <c r="CJ20" s="3">
        <v>3</v>
      </c>
      <c r="CK20" s="3">
        <v>2</v>
      </c>
      <c r="CL20" s="3">
        <v>3</v>
      </c>
      <c r="CM20" s="3">
        <v>3</v>
      </c>
      <c r="CN20" s="3">
        <v>2</v>
      </c>
      <c r="CO20" s="3">
        <v>3</v>
      </c>
      <c r="CP20" s="6">
        <v>3</v>
      </c>
      <c r="CQ20" s="5">
        <v>3.6275844714639842E-2</v>
      </c>
      <c r="CR20" s="61"/>
    </row>
    <row r="21" spans="1:96" x14ac:dyDescent="0.35">
      <c r="A21" s="9" t="str">
        <f t="shared" si="0"/>
        <v>IT</v>
      </c>
      <c r="B21" s="9" t="s">
        <v>76</v>
      </c>
      <c r="C21" s="20"/>
      <c r="D21" s="9" t="s">
        <v>75</v>
      </c>
      <c r="E21" s="9" t="s">
        <v>193</v>
      </c>
      <c r="F21" s="9" t="s">
        <v>51</v>
      </c>
      <c r="G21" s="19">
        <v>0</v>
      </c>
      <c r="H21" s="9">
        <v>2014</v>
      </c>
      <c r="I21" s="9">
        <v>6</v>
      </c>
      <c r="J21" s="18">
        <f>INDEX(PTRS!$D$6:$D$12,MATCH('6'!$F21,PTRS!$B$6:$B$12,0))</f>
        <v>0.1638</v>
      </c>
      <c r="K21" s="17">
        <v>0</v>
      </c>
      <c r="L21" s="17">
        <v>0.1638</v>
      </c>
      <c r="M21" s="17">
        <v>0.1638</v>
      </c>
      <c r="N21" s="17">
        <v>0.1638</v>
      </c>
      <c r="O21" s="17">
        <v>0.1638</v>
      </c>
      <c r="P21" s="17">
        <v>0.1638</v>
      </c>
      <c r="Q21" s="17">
        <v>0.16</v>
      </c>
      <c r="R21" s="17">
        <v>0.16</v>
      </c>
      <c r="S21" s="17">
        <v>1</v>
      </c>
      <c r="T21" s="17"/>
      <c r="U21" s="17">
        <f t="shared" si="1"/>
        <v>0.72649652910676854</v>
      </c>
      <c r="V21" s="17">
        <v>1</v>
      </c>
      <c r="W21" s="9" t="s">
        <v>27</v>
      </c>
      <c r="X21" s="9">
        <f>INDEX('Unique Asset List'!$C$4:$I$60,MATCH('6'!$B21,'Unique Asset List'!$A$4:$A$60,0),MATCH('6'!$C$1,'Unique Asset List'!$C$3:$I$3,0))</f>
        <v>2025</v>
      </c>
      <c r="Y21" s="9">
        <f>INDEX('Unique Asset List'!$J$4:$P$60,MATCH('6'!$B21,'Unique Asset List'!$A$4:$A$60,0),MATCH('6'!$C$1,'Unique Asset List'!$J$3:$P$3,0))</f>
        <v>6.9999999999990905</v>
      </c>
      <c r="Z21" s="9">
        <f>INDEX('Unique Asset List'!$X$4:$AD$60,MATCH('6'!$B21,'Unique Asset List'!$A$4:$A$60,0),MATCH('6'!$C$1,'Unique Asset List'!$X$3:$AD$3,0))</f>
        <v>2034</v>
      </c>
      <c r="AA21" s="9">
        <f>INDEX('Unique Asset List'!$AE$4:$AK$60,MATCH('6'!$B21,'Unique Asset List'!$A$4:$A$60,0),MATCH('6'!$C$1,'Unique Asset List'!$AE$3:$AK$3,0))</f>
        <v>6</v>
      </c>
      <c r="AB21" s="16">
        <f t="shared" si="2"/>
        <v>2.0119600000000002</v>
      </c>
      <c r="AC21" s="16">
        <f t="shared" si="3"/>
        <v>0.76203600000000005</v>
      </c>
      <c r="AD21" s="16">
        <f t="shared" si="4"/>
        <v>0.56099999999999994</v>
      </c>
      <c r="AE21" s="15">
        <f>INDEX('Unique Asset List'!$BN$4:$BT$60,MATCH('6'!$B21,'Unique Asset List'!$A$4:$A$60,0),MATCH('6'!$C$1,'Unique Asset List'!$BN$3:$BT$3,0))</f>
        <v>0.18</v>
      </c>
      <c r="AF21" s="15">
        <f>INDEX('Unique Asset List'!$BU$4:$CA$60,MATCH('6'!$B21,'Unique Asset List'!$A$4:$A$60,0),MATCH('6'!$C$1,'Unique Asset List'!$BU$3:$CA$3,0))</f>
        <v>0.32</v>
      </c>
      <c r="AG21" s="15">
        <f>INDEX('Unique Asset List'!$AZ$4:$BF$60,MATCH('6'!$B21,'Unique Asset List'!$A$4:$A$60,0),MATCH('6'!$C$1,'Unique Asset List'!$AZ$3:$BF$3,0))</f>
        <v>0.18</v>
      </c>
      <c r="AH21" s="15">
        <f>INDEX('Unique Asset List'!$BG$4:$BM$60,MATCH('6'!$B21,'Unique Asset List'!$A$4:$A$60,0),MATCH('6'!$C$1,'Unique Asset List'!$BG$3:$BM$3,0))</f>
        <v>0.32</v>
      </c>
      <c r="AI21" s="11">
        <v>0.96187963349867744</v>
      </c>
      <c r="AJ21" s="15">
        <f>INDEX('Unique Asset List'!$AL$4:$AR$60,MATCH('6'!$B21,'Unique Asset List'!$A$4:$A$60,0),MATCH('6'!$C$1,'Unique Asset List'!$AL$3:$AR$3,0))</f>
        <v>0.32314284341629806</v>
      </c>
      <c r="AK21" s="15">
        <f>INDEX('Unique Asset List'!$AS$4:$AY$60,MATCH('6'!$B21,'Unique Asset List'!$A$4:$A$60,0),MATCH('6'!$C$1,'Unique Asset List'!$AS$3:$AY$3,0))</f>
        <v>0.61768216477991222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0"/>
      <c r="AU21" s="4">
        <f>IF($C$5="ON",BU21,MyRating(_E1,$B21,Efficacy!$F$1))</f>
        <v>4</v>
      </c>
      <c r="AV21" s="3">
        <f>IF($C$5="ON",BV21,MyRating(_E2,$B21,Efficacy!$F$1))</f>
        <v>4</v>
      </c>
      <c r="AW21" s="3">
        <f>IF($C$5="ON",BW21,MyRating(_E3,$B21,Efficacy!$F$1))</f>
        <v>4</v>
      </c>
      <c r="AX21" s="3">
        <f>IF($C$5="ON",BX21,MyRating(_E4,$B21,Efficacy!$F$1))</f>
        <v>3</v>
      </c>
      <c r="AY21" s="3">
        <f>IF($C$5="ON",BY21,MyRating(_E5,$B21,Efficacy!$F$1))</f>
        <v>3</v>
      </c>
      <c r="AZ21" s="3">
        <f>IF($C$5="ON",BZ21,MyRating(_E6,$B21,Efficacy!$F$1))</f>
        <v>2</v>
      </c>
      <c r="BA21" s="3">
        <f>IF($C$5="ON",CA21,MyRating(_E7,$B21,Efficacy!$F$1))</f>
        <v>3</v>
      </c>
      <c r="BB21" s="3">
        <f>IF($C$5="ON",CB21,MyRating(_E8,$B21,Efficacy!$F$1))</f>
        <v>5</v>
      </c>
      <c r="BC21" s="3">
        <f>IF($C$5="ON",CC21,MyRating(_S1,$B21,Efficacy!$F$1))</f>
        <v>2</v>
      </c>
      <c r="BD21" s="3">
        <f>IF($C$5="ON",CD21,MyRating(_S2,$B21,Efficacy!$F$1))</f>
        <v>3</v>
      </c>
      <c r="BE21" s="3">
        <f>IF($C$5="ON",CE21,MyRating(_S3,$B21,Efficacy!$F$1))</f>
        <v>3</v>
      </c>
      <c r="BF21" s="3">
        <f>IF($C$5="ON",CF21,MyRating(_S4,$B21,Efficacy!$F$1))</f>
        <v>3</v>
      </c>
      <c r="BG21" s="3">
        <f>IF($C$5="ON",CG21,MyRating(_S5,$B21,Efficacy!$F$1))</f>
        <v>5</v>
      </c>
      <c r="BH21" s="3">
        <f>IF($C$5="ON",CH21,MyRating(_S6,$B21,Efficacy!$F$1))</f>
        <v>2</v>
      </c>
      <c r="BI21" s="3">
        <f>IF($C$5="ON",CI21,MyRating(_S7,$B21,Efficacy!$F$1))</f>
        <v>3</v>
      </c>
      <c r="BJ21" s="3">
        <f>IF($C$5="ON",CJ21,MyRating(_D1,$B21,Efficacy!$F$1))</f>
        <v>3</v>
      </c>
      <c r="BK21" s="3">
        <f>IF($C$5="ON",CK21,MyRating(_D2,$B21,Efficacy!$F$1))</f>
        <v>3</v>
      </c>
      <c r="BL21" s="3">
        <f>IF($C$5="ON",CL21,MyRating(_D3,$B21,Efficacy!$F$1))</f>
        <v>3</v>
      </c>
      <c r="BM21" s="3">
        <f>IF($C$5="ON",CM21,MyRating(_D4,$B21,Efficacy!$F$1))</f>
        <v>3</v>
      </c>
      <c r="BN21" s="3">
        <f>IF($C$5="ON",CN21,MyRating(_B1G5,$B21,Barrier!$L$2))</f>
        <v>2</v>
      </c>
      <c r="BO21" s="3">
        <f>IF($C$5="ON",CO21,MyRating(_B2,$B21,Barrier!$F$2))</f>
        <v>3</v>
      </c>
      <c r="BP21" s="6">
        <f>IF($C$5="ON",CP21,MyRating(_B3,$B21,Barrier!$F$2))</f>
        <v>3</v>
      </c>
      <c r="BQ21" s="5">
        <f t="shared" si="6"/>
        <v>3.6275844714639842E-2</v>
      </c>
      <c r="BR21" s="8">
        <f t="shared" si="7"/>
        <v>2.9499999999999997</v>
      </c>
      <c r="BS21" s="5">
        <f t="shared" si="8"/>
        <v>3.60415394013439E-2</v>
      </c>
      <c r="BT21" s="7">
        <f t="shared" si="9"/>
        <v>1.8542316878791175E-2</v>
      </c>
      <c r="BU21" s="4">
        <v>4</v>
      </c>
      <c r="BV21" s="3">
        <v>4</v>
      </c>
      <c r="BW21" s="3">
        <v>4</v>
      </c>
      <c r="BX21" s="3">
        <v>3</v>
      </c>
      <c r="BY21" s="3">
        <v>3</v>
      </c>
      <c r="BZ21" s="3">
        <v>2</v>
      </c>
      <c r="CA21" s="3">
        <v>3</v>
      </c>
      <c r="CB21" s="3">
        <v>5</v>
      </c>
      <c r="CC21" s="3">
        <v>2</v>
      </c>
      <c r="CD21" s="3">
        <v>3</v>
      </c>
      <c r="CE21" s="3">
        <v>3</v>
      </c>
      <c r="CF21" s="3">
        <v>3</v>
      </c>
      <c r="CG21" s="3">
        <v>5</v>
      </c>
      <c r="CH21" s="3">
        <v>2</v>
      </c>
      <c r="CI21" s="3">
        <v>3</v>
      </c>
      <c r="CJ21" s="3">
        <v>3</v>
      </c>
      <c r="CK21" s="3">
        <v>3</v>
      </c>
      <c r="CL21" s="3">
        <v>3</v>
      </c>
      <c r="CM21" s="3">
        <v>3</v>
      </c>
      <c r="CN21" s="3">
        <v>2</v>
      </c>
      <c r="CO21" s="3">
        <v>3</v>
      </c>
      <c r="CP21" s="6">
        <v>3</v>
      </c>
      <c r="CQ21" s="5">
        <v>3.6275844714639842E-2</v>
      </c>
      <c r="CR21" s="61"/>
    </row>
    <row r="22" spans="1:96" x14ac:dyDescent="0.35">
      <c r="A22" s="9" t="str">
        <f t="shared" si="0"/>
        <v>IT</v>
      </c>
      <c r="B22" s="9" t="s">
        <v>69</v>
      </c>
      <c r="C22" s="20" t="s">
        <v>3</v>
      </c>
      <c r="D22" s="9" t="s">
        <v>2</v>
      </c>
      <c r="E22" s="9" t="s">
        <v>193</v>
      </c>
      <c r="F22" s="9" t="s">
        <v>51</v>
      </c>
      <c r="G22" s="19">
        <v>0</v>
      </c>
      <c r="H22" s="9">
        <v>2014</v>
      </c>
      <c r="I22" s="9">
        <v>6</v>
      </c>
      <c r="J22" s="18">
        <f>INDEX(PTRS!$D$6:$D$12,MATCH('6'!$F22,PTRS!$B$6:$B$12,0))</f>
        <v>0.1638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0.1638</v>
      </c>
      <c r="Q22" s="17">
        <v>0</v>
      </c>
      <c r="R22" s="17">
        <v>0</v>
      </c>
      <c r="S22" s="17">
        <v>1</v>
      </c>
      <c r="T22" s="17"/>
      <c r="U22" s="17">
        <f t="shared" si="1"/>
        <v>0.19835681424527862</v>
      </c>
      <c r="V22" s="17">
        <v>1</v>
      </c>
      <c r="W22" s="9" t="s">
        <v>62</v>
      </c>
      <c r="X22" s="9">
        <f>INDEX('Unique Asset List'!$C$4:$I$60,MATCH('6'!$B22,'Unique Asset List'!$A$4:$A$60,0),MATCH('6'!$C$1,'Unique Asset List'!$C$3:$I$3,0))</f>
        <v>2025</v>
      </c>
      <c r="Y22" s="9">
        <f>INDEX('Unique Asset List'!$J$4:$P$60,MATCH('6'!$B22,'Unique Asset List'!$A$4:$A$60,0),MATCH('6'!$C$1,'Unique Asset List'!$J$3:$P$3,0))</f>
        <v>9.9999999999990905</v>
      </c>
      <c r="Z22" s="9">
        <f>INDEX('Unique Asset List'!$X$4:$AD$60,MATCH('6'!$B22,'Unique Asset List'!$A$4:$A$60,0),MATCH('6'!$C$1,'Unique Asset List'!$X$3:$AD$3,0))</f>
        <v>2026</v>
      </c>
      <c r="AA22" s="9">
        <f>INDEX('Unique Asset List'!$AE$4:$AK$60,MATCH('6'!$B22,'Unique Asset List'!$A$4:$A$60,0),MATCH('6'!$C$1,'Unique Asset List'!$AE$3:$AK$3,0))</f>
        <v>9</v>
      </c>
      <c r="AB22" s="16">
        <f t="shared" si="2"/>
        <v>2.3511832000000004</v>
      </c>
      <c r="AC22" s="16">
        <f t="shared" si="3"/>
        <v>0.94644569999999995</v>
      </c>
      <c r="AD22" s="16">
        <f t="shared" si="4"/>
        <v>0.39141474525999997</v>
      </c>
      <c r="AE22" s="15">
        <f>INDEX('Unique Asset List'!$BN$4:$BT$60,MATCH('6'!$B22,'Unique Asset List'!$A$4:$A$60,0),MATCH('6'!$C$1,'Unique Asset List'!$BN$3:$BT$3,0))</f>
        <v>0.23</v>
      </c>
      <c r="AF22" s="15">
        <f>INDEX('Unique Asset List'!$BU$4:$CA$60,MATCH('6'!$B22,'Unique Asset List'!$A$4:$A$60,0),MATCH('6'!$C$1,'Unique Asset List'!$BU$3:$CA$3,0))</f>
        <v>0.27</v>
      </c>
      <c r="AG22" s="15">
        <f>INDEX('Unique Asset List'!$AZ$4:$BF$60,MATCH('6'!$B22,'Unique Asset List'!$A$4:$A$60,0),MATCH('6'!$C$1,'Unique Asset List'!$AZ$3:$BF$3,0))</f>
        <v>0.23</v>
      </c>
      <c r="AH22" s="15">
        <f>INDEX('Unique Asset List'!$BG$4:$BM$60,MATCH('6'!$B22,'Unique Asset List'!$A$4:$A$60,0),MATCH('6'!$C$1,'Unique Asset List'!$BG$3:$BM$3,0))</f>
        <v>0.27</v>
      </c>
      <c r="AI22" s="11">
        <v>0.96187963349867744</v>
      </c>
      <c r="AJ22" s="15">
        <f>INDEX('Unique Asset List'!$AL$4:$AR$60,MATCH('6'!$B22,'Unique Asset List'!$A$4:$A$60,0),MATCH('6'!$C$1,'Unique Asset List'!$AL$3:$AR$3,0))</f>
        <v>0.32314284341629806</v>
      </c>
      <c r="AK22" s="15">
        <f>INDEX('Unique Asset List'!$AS$4:$AY$60,MATCH('6'!$B22,'Unique Asset List'!$A$4:$A$60,0),MATCH('6'!$C$1,'Unique Asset List'!$AS$3:$AY$3,0))</f>
        <v>0.61768216477991222</v>
      </c>
      <c r="AL22" s="9">
        <v>177.56756756756758</v>
      </c>
      <c r="AM22" s="14">
        <v>28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f>2.8*37/365</f>
        <v>0.28383561643835614</v>
      </c>
      <c r="AT22" s="10"/>
      <c r="AU22" s="4">
        <f>IF($C$5="ON",BU22,MyRating(_E1,$B22,Efficacy!$F$1))</f>
        <v>5</v>
      </c>
      <c r="AV22" s="3">
        <f>IF($C$5="ON",BV22,MyRating(_E2,$B22,Efficacy!$F$1))</f>
        <v>5</v>
      </c>
      <c r="AW22" s="3">
        <f>IF($C$5="ON",BW22,MyRating(_E3,$B22,Efficacy!$F$1))</f>
        <v>5</v>
      </c>
      <c r="AX22" s="3">
        <f>IF($C$5="ON",BX22,MyRating(_E4,$B22,Efficacy!$F$1))</f>
        <v>4</v>
      </c>
      <c r="AY22" s="3">
        <f>IF($C$5="ON",BY22,MyRating(_E5,$B22,Efficacy!$F$1))</f>
        <v>3</v>
      </c>
      <c r="AZ22" s="3">
        <f>IF($C$5="ON",BZ22,MyRating(_E6,$B22,Efficacy!$F$1))</f>
        <v>3</v>
      </c>
      <c r="BA22" s="3">
        <f>IF($C$5="ON",CA22,MyRating(_E7,$B22,Efficacy!$F$1))</f>
        <v>3</v>
      </c>
      <c r="BB22" s="3">
        <f>IF($C$5="ON",CB22,MyRating(_E8,$B22,Efficacy!$F$1))</f>
        <v>4</v>
      </c>
      <c r="BC22" s="3">
        <f>IF($C$5="ON",CC22,MyRating(_S1,$B22,Efficacy!$F$1))</f>
        <v>5</v>
      </c>
      <c r="BD22" s="3">
        <f>IF($C$5="ON",CD22,MyRating(_S2,$B22,Efficacy!$F$1))</f>
        <v>3</v>
      </c>
      <c r="BE22" s="3">
        <f>IF($C$5="ON",CE22,MyRating(_S3,$B22,Efficacy!$F$1))</f>
        <v>3</v>
      </c>
      <c r="BF22" s="3">
        <f>IF($C$5="ON",CF22,MyRating(_S4,$B22,Efficacy!$F$1))</f>
        <v>3</v>
      </c>
      <c r="BG22" s="3">
        <f>IF($C$5="ON",CG22,MyRating(_S5,$B22,Efficacy!$F$1))</f>
        <v>5</v>
      </c>
      <c r="BH22" s="3">
        <f>IF($C$5="ON",CH22,MyRating(_S6,$B22,Efficacy!$F$1))</f>
        <v>2</v>
      </c>
      <c r="BI22" s="3">
        <f>IF($C$5="ON",CI22,MyRating(_S7,$B22,Efficacy!$F$1))</f>
        <v>3</v>
      </c>
      <c r="BJ22" s="3">
        <f>IF($C$5="ON",CJ22,MyRating(_D1,$B22,Efficacy!$F$1))</f>
        <v>2</v>
      </c>
      <c r="BK22" s="3">
        <f>IF($C$5="ON",CK22,MyRating(_D2,$B22,Efficacy!$F$1))</f>
        <v>3</v>
      </c>
      <c r="BL22" s="3">
        <f>IF($C$5="ON",CL22,MyRating(_D3,$B22,Efficacy!$F$1))</f>
        <v>3</v>
      </c>
      <c r="BM22" s="3">
        <f>IF($C$5="ON",CM22,MyRating(_D4,$B22,Efficacy!$F$1))</f>
        <v>1</v>
      </c>
      <c r="BN22" s="3">
        <f>IF($C$5="ON",CN22,MyRating(_B1G5,$B22,Barrier!$L$2))</f>
        <v>1</v>
      </c>
      <c r="BO22" s="3">
        <f>IF($C$5="ON",CO22,MyRating(_B2,$B22,Barrier!$F$2))</f>
        <v>1</v>
      </c>
      <c r="BP22" s="6">
        <f>IF($C$5="ON",CP22,MyRating(_B3,$B22,Barrier!$F$2))</f>
        <v>1</v>
      </c>
      <c r="BQ22" s="5">
        <f t="shared" si="6"/>
        <v>9.9044671286996639E-3</v>
      </c>
      <c r="BR22" s="8">
        <f t="shared" si="7"/>
        <v>1</v>
      </c>
      <c r="BS22" s="5">
        <f t="shared" si="8"/>
        <v>1.2217470983506409E-2</v>
      </c>
      <c r="BT22" s="7">
        <f t="shared" si="9"/>
        <v>5.0626462170790974E-3</v>
      </c>
      <c r="BU22" s="4">
        <v>5</v>
      </c>
      <c r="BV22" s="3">
        <v>5</v>
      </c>
      <c r="BW22" s="3">
        <v>5</v>
      </c>
      <c r="BX22" s="3">
        <v>4</v>
      </c>
      <c r="BY22" s="3">
        <v>3</v>
      </c>
      <c r="BZ22" s="3">
        <v>3</v>
      </c>
      <c r="CA22" s="3">
        <v>3</v>
      </c>
      <c r="CB22" s="3">
        <v>4</v>
      </c>
      <c r="CC22" s="3">
        <v>5</v>
      </c>
      <c r="CD22" s="3">
        <v>3</v>
      </c>
      <c r="CE22" s="3">
        <v>3</v>
      </c>
      <c r="CF22" s="3">
        <v>3</v>
      </c>
      <c r="CG22" s="3">
        <v>5</v>
      </c>
      <c r="CH22" s="3">
        <v>2</v>
      </c>
      <c r="CI22" s="3">
        <v>3</v>
      </c>
      <c r="CJ22" s="3">
        <v>2</v>
      </c>
      <c r="CK22" s="3">
        <v>3</v>
      </c>
      <c r="CL22" s="3">
        <v>3</v>
      </c>
      <c r="CM22" s="3">
        <v>1</v>
      </c>
      <c r="CN22" s="3">
        <v>1</v>
      </c>
      <c r="CO22" s="3">
        <v>1</v>
      </c>
      <c r="CP22" s="6">
        <v>1</v>
      </c>
      <c r="CQ22" s="5">
        <v>9.9044671286996639E-3</v>
      </c>
      <c r="CR22" s="61"/>
    </row>
    <row r="23" spans="1:96" x14ac:dyDescent="0.35">
      <c r="A23" s="9" t="str">
        <f t="shared" si="0"/>
        <v>IT</v>
      </c>
      <c r="B23" s="9" t="s">
        <v>74</v>
      </c>
      <c r="C23" s="20" t="s">
        <v>3</v>
      </c>
      <c r="D23" s="9" t="s">
        <v>73</v>
      </c>
      <c r="E23" s="9" t="s">
        <v>193</v>
      </c>
      <c r="F23" s="9" t="s">
        <v>58</v>
      </c>
      <c r="G23" s="19">
        <v>0</v>
      </c>
      <c r="H23" s="9">
        <v>2014</v>
      </c>
      <c r="I23" s="9">
        <v>6</v>
      </c>
      <c r="J23" s="18">
        <f>INDEX(PTRS!$D$6:$D$12,MATCH('6'!$F23,PTRS!$B$6:$B$12,0))</f>
        <v>0.13923000000000002</v>
      </c>
      <c r="K23" s="17">
        <v>0</v>
      </c>
      <c r="L23" s="17">
        <v>0.13923000000000002</v>
      </c>
      <c r="M23" s="17">
        <v>4.6410000000000007E-2</v>
      </c>
      <c r="N23" s="17">
        <v>0.13923000000000002</v>
      </c>
      <c r="O23" s="17">
        <v>0.13923000000000002</v>
      </c>
      <c r="P23" s="17">
        <v>0.13923000000000002</v>
      </c>
      <c r="Q23" s="17">
        <v>0.14000000000000001</v>
      </c>
      <c r="R23" s="17">
        <v>0.14000000000000001</v>
      </c>
      <c r="S23" s="17">
        <v>1</v>
      </c>
      <c r="T23" s="17"/>
      <c r="U23" s="17">
        <f t="shared" si="1"/>
        <v>0.72649652910676854</v>
      </c>
      <c r="V23" s="17">
        <v>1</v>
      </c>
      <c r="W23" s="9" t="s">
        <v>27</v>
      </c>
      <c r="X23" s="9">
        <f>INDEX('Unique Asset List'!$C$4:$I$60,MATCH('6'!$B23,'Unique Asset List'!$A$4:$A$60,0),MATCH('6'!$C$1,'Unique Asset List'!$C$3:$I$3,0))</f>
        <v>2027</v>
      </c>
      <c r="Y23" s="9">
        <f>INDEX('Unique Asset List'!$J$4:$P$60,MATCH('6'!$B23,'Unique Asset List'!$A$4:$A$60,0),MATCH('6'!$C$1,'Unique Asset List'!$J$3:$P$3,0))</f>
        <v>3.9999999999990905</v>
      </c>
      <c r="Z23" s="9">
        <f>INDEX('Unique Asset List'!$X$4:$AD$60,MATCH('6'!$B23,'Unique Asset List'!$A$4:$A$60,0),MATCH('6'!$C$1,'Unique Asset List'!$X$3:$AD$3,0))</f>
        <v>2036</v>
      </c>
      <c r="AA23" s="9">
        <f>INDEX('Unique Asset List'!$AE$4:$AK$60,MATCH('6'!$B23,'Unique Asset List'!$A$4:$A$60,0),MATCH('6'!$C$1,'Unique Asset List'!$AE$3:$AK$3,0))</f>
        <v>3</v>
      </c>
      <c r="AB23" s="16">
        <f t="shared" si="2"/>
        <v>2.0119600000000002</v>
      </c>
      <c r="AC23" s="16">
        <f t="shared" si="3"/>
        <v>0.76203600000000005</v>
      </c>
      <c r="AD23" s="16">
        <f t="shared" si="4"/>
        <v>0.56099999999999994</v>
      </c>
      <c r="AE23" s="15">
        <f>INDEX('Unique Asset List'!$BN$4:$BT$60,MATCH('6'!$B23,'Unique Asset List'!$A$4:$A$60,0),MATCH('6'!$C$1,'Unique Asset List'!$BN$3:$BT$3,0))</f>
        <v>0.18</v>
      </c>
      <c r="AF23" s="15">
        <f>INDEX('Unique Asset List'!$BU$4:$CA$60,MATCH('6'!$B23,'Unique Asset List'!$A$4:$A$60,0),MATCH('6'!$C$1,'Unique Asset List'!$BU$3:$CA$3,0))</f>
        <v>0.32</v>
      </c>
      <c r="AG23" s="15">
        <f>INDEX('Unique Asset List'!$AZ$4:$BF$60,MATCH('6'!$B23,'Unique Asset List'!$A$4:$A$60,0),MATCH('6'!$C$1,'Unique Asset List'!$AZ$3:$BF$3,0))</f>
        <v>0.18</v>
      </c>
      <c r="AH23" s="15">
        <f>INDEX('Unique Asset List'!$BG$4:$BM$60,MATCH('6'!$B23,'Unique Asset List'!$A$4:$A$60,0),MATCH('6'!$C$1,'Unique Asset List'!$BG$3:$BM$3,0))</f>
        <v>0.32</v>
      </c>
      <c r="AI23" s="11">
        <v>0.96187963349867744</v>
      </c>
      <c r="AJ23" s="15">
        <f>INDEX('Unique Asset List'!$AL$4:$AR$60,MATCH('6'!$B23,'Unique Asset List'!$A$4:$A$60,0),MATCH('6'!$C$1,'Unique Asset List'!$AL$3:$AR$3,0))</f>
        <v>0.32314284341629806</v>
      </c>
      <c r="AK23" s="15">
        <f>INDEX('Unique Asset List'!$AS$4:$AY$60,MATCH('6'!$B23,'Unique Asset List'!$A$4:$A$60,0),MATCH('6'!$C$1,'Unique Asset List'!$AS$3:$AY$3,0))</f>
        <v>0.61768216477991222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0"/>
      <c r="AU23" s="4">
        <f>IF($C$5="ON",BU23,MyRating(_E1,$B23,Efficacy!$F$1))</f>
        <v>4</v>
      </c>
      <c r="AV23" s="3">
        <f>IF($C$5="ON",BV23,MyRating(_E2,$B23,Efficacy!$F$1))</f>
        <v>4</v>
      </c>
      <c r="AW23" s="3">
        <f>IF($C$5="ON",BW23,MyRating(_E3,$B23,Efficacy!$F$1))</f>
        <v>4</v>
      </c>
      <c r="AX23" s="3">
        <f>IF($C$5="ON",BX23,MyRating(_E4,$B23,Efficacy!$F$1))</f>
        <v>3</v>
      </c>
      <c r="AY23" s="3">
        <f>IF($C$5="ON",BY23,MyRating(_E5,$B23,Efficacy!$F$1))</f>
        <v>3</v>
      </c>
      <c r="AZ23" s="3">
        <f>IF($C$5="ON",BZ23,MyRating(_E6,$B23,Efficacy!$F$1))</f>
        <v>2</v>
      </c>
      <c r="BA23" s="3">
        <f>IF($C$5="ON",CA23,MyRating(_E7,$B23,Efficacy!$F$1))</f>
        <v>3</v>
      </c>
      <c r="BB23" s="3">
        <f>IF($C$5="ON",CB23,MyRating(_E8,$B23,Efficacy!$F$1))</f>
        <v>5</v>
      </c>
      <c r="BC23" s="3">
        <f>IF($C$5="ON",CC23,MyRating(_S1,$B23,Efficacy!$F$1))</f>
        <v>2</v>
      </c>
      <c r="BD23" s="3">
        <f>IF($C$5="ON",CD23,MyRating(_S2,$B23,Efficacy!$F$1))</f>
        <v>3</v>
      </c>
      <c r="BE23" s="3">
        <f>IF($C$5="ON",CE23,MyRating(_S3,$B23,Efficacy!$F$1))</f>
        <v>3</v>
      </c>
      <c r="BF23" s="3">
        <f>IF($C$5="ON",CF23,MyRating(_S4,$B23,Efficacy!$F$1))</f>
        <v>3</v>
      </c>
      <c r="BG23" s="3">
        <f>IF($C$5="ON",CG23,MyRating(_S5,$B23,Efficacy!$F$1))</f>
        <v>5</v>
      </c>
      <c r="BH23" s="3">
        <f>IF($C$5="ON",CH23,MyRating(_S6,$B23,Efficacy!$F$1))</f>
        <v>2</v>
      </c>
      <c r="BI23" s="3">
        <f>IF($C$5="ON",CI23,MyRating(_S7,$B23,Efficacy!$F$1))</f>
        <v>3</v>
      </c>
      <c r="BJ23" s="3">
        <f>IF($C$5="ON",CJ23,MyRating(_D1,$B23,Efficacy!$F$1))</f>
        <v>3</v>
      </c>
      <c r="BK23" s="3">
        <f>IF($C$5="ON",CK23,MyRating(_D2,$B23,Efficacy!$F$1))</f>
        <v>3</v>
      </c>
      <c r="BL23" s="3">
        <f>IF($C$5="ON",CL23,MyRating(_D3,$B23,Efficacy!$F$1))</f>
        <v>3</v>
      </c>
      <c r="BM23" s="3">
        <f>IF($C$5="ON",CM23,MyRating(_D4,$B23,Efficacy!$F$1))</f>
        <v>3</v>
      </c>
      <c r="BN23" s="3">
        <f>IF($C$5="ON",CN23,MyRating(_B1G5,$B23,Barrier!$L$2))</f>
        <v>2</v>
      </c>
      <c r="BO23" s="3">
        <f>IF($C$5="ON",CO23,MyRating(_B2,$B23,Barrier!$F$2))</f>
        <v>3</v>
      </c>
      <c r="BP23" s="6">
        <f>IF($C$5="ON",CP23,MyRating(_B3,$B23,Barrier!$F$2))</f>
        <v>3</v>
      </c>
      <c r="BQ23" s="5">
        <f t="shared" si="6"/>
        <v>3.6275844714639842E-2</v>
      </c>
      <c r="BR23" s="8">
        <f t="shared" si="7"/>
        <v>2.9499999999999997</v>
      </c>
      <c r="BS23" s="5">
        <f t="shared" si="8"/>
        <v>3.60415394013439E-2</v>
      </c>
      <c r="BT23" s="7">
        <f t="shared" si="9"/>
        <v>1.8542316878791175E-2</v>
      </c>
      <c r="BU23" s="4">
        <v>4</v>
      </c>
      <c r="BV23" s="3">
        <v>4</v>
      </c>
      <c r="BW23" s="3">
        <v>4</v>
      </c>
      <c r="BX23" s="3">
        <v>3</v>
      </c>
      <c r="BY23" s="3">
        <v>3</v>
      </c>
      <c r="BZ23" s="3">
        <v>2</v>
      </c>
      <c r="CA23" s="3">
        <v>3</v>
      </c>
      <c r="CB23" s="3">
        <v>5</v>
      </c>
      <c r="CC23" s="3">
        <v>2</v>
      </c>
      <c r="CD23" s="3">
        <v>3</v>
      </c>
      <c r="CE23" s="3">
        <v>3</v>
      </c>
      <c r="CF23" s="3">
        <v>3</v>
      </c>
      <c r="CG23" s="3">
        <v>5</v>
      </c>
      <c r="CH23" s="3">
        <v>2</v>
      </c>
      <c r="CI23" s="3">
        <v>3</v>
      </c>
      <c r="CJ23" s="3">
        <v>3</v>
      </c>
      <c r="CK23" s="3">
        <v>3</v>
      </c>
      <c r="CL23" s="3">
        <v>3</v>
      </c>
      <c r="CM23" s="3">
        <v>3</v>
      </c>
      <c r="CN23" s="3">
        <v>2</v>
      </c>
      <c r="CO23" s="3">
        <v>3</v>
      </c>
      <c r="CP23" s="6">
        <v>3</v>
      </c>
      <c r="CQ23" s="5">
        <v>3.6275844714639842E-2</v>
      </c>
      <c r="CR23" s="61"/>
    </row>
    <row r="24" spans="1:96" x14ac:dyDescent="0.35">
      <c r="A24" s="9" t="str">
        <f t="shared" si="0"/>
        <v>IT</v>
      </c>
      <c r="B24" s="9" t="s">
        <v>17</v>
      </c>
      <c r="C24" s="20"/>
      <c r="D24" s="9" t="s">
        <v>2</v>
      </c>
      <c r="E24" s="9" t="s">
        <v>193</v>
      </c>
      <c r="F24" s="9" t="s">
        <v>51</v>
      </c>
      <c r="G24" s="19">
        <v>0</v>
      </c>
      <c r="H24" s="9">
        <v>2014</v>
      </c>
      <c r="I24" s="9">
        <v>6</v>
      </c>
      <c r="J24" s="18">
        <f>INDEX(PTRS!$D$6:$D$12,MATCH('6'!$F24,PTRS!$B$6:$B$12,0))</f>
        <v>0.1638</v>
      </c>
      <c r="K24" s="17">
        <v>0</v>
      </c>
      <c r="L24" s="17">
        <v>0.1638</v>
      </c>
      <c r="M24" s="17">
        <v>0.25</v>
      </c>
      <c r="N24" s="17">
        <v>0.25</v>
      </c>
      <c r="O24" s="17">
        <v>0.25</v>
      </c>
      <c r="P24" s="17">
        <v>0.1638</v>
      </c>
      <c r="Q24" s="17">
        <v>0.1638</v>
      </c>
      <c r="R24" s="17">
        <v>0.1638</v>
      </c>
      <c r="S24" s="17">
        <v>1</v>
      </c>
      <c r="T24" s="17"/>
      <c r="U24" s="17">
        <f t="shared" si="1"/>
        <v>0.72649652910676854</v>
      </c>
      <c r="V24" s="17">
        <v>1</v>
      </c>
      <c r="W24" s="9" t="s">
        <v>16</v>
      </c>
      <c r="X24" s="9">
        <f>INDEX('Unique Asset List'!$C$4:$I$60,MATCH('6'!$B24,'Unique Asset List'!$A$4:$A$60,0),MATCH('6'!$C$1,'Unique Asset List'!$C$3:$I$3,0))</f>
        <v>2028</v>
      </c>
      <c r="Y24" s="9">
        <f>INDEX('Unique Asset List'!$J$4:$P$60,MATCH('6'!$B24,'Unique Asset List'!$A$4:$A$60,0),MATCH('6'!$C$1,'Unique Asset List'!$J$3:$P$3,0))</f>
        <v>1.999999999998181</v>
      </c>
      <c r="Z24" s="9">
        <f>INDEX('Unique Asset List'!$X$4:$AD$60,MATCH('6'!$B24,'Unique Asset List'!$A$4:$A$60,0),MATCH('6'!$C$1,'Unique Asset List'!$X$3:$AD$3,0))</f>
        <v>2035</v>
      </c>
      <c r="AA24" s="9">
        <f>INDEX('Unique Asset List'!$AE$4:$AK$60,MATCH('6'!$B24,'Unique Asset List'!$A$4:$A$60,0),MATCH('6'!$C$1,'Unique Asset List'!$AE$3:$AK$3,0))</f>
        <v>8</v>
      </c>
      <c r="AB24" s="16">
        <f t="shared" si="2"/>
        <v>1.7951404000000002</v>
      </c>
      <c r="AC24" s="16">
        <f t="shared" si="3"/>
        <v>0.88497580000000009</v>
      </c>
      <c r="AD24" s="16">
        <f t="shared" si="4"/>
        <v>0.56099999999999994</v>
      </c>
      <c r="AE24" s="15">
        <f>INDEX('Unique Asset List'!$BN$4:$BT$60,MATCH('6'!$B24,'Unique Asset List'!$A$4:$A$60,0),MATCH('6'!$C$1,'Unique Asset List'!$BN$3:$BT$3,0))</f>
        <v>0.18</v>
      </c>
      <c r="AF24" s="15">
        <f>INDEX('Unique Asset List'!$BU$4:$CA$60,MATCH('6'!$B24,'Unique Asset List'!$A$4:$A$60,0),MATCH('6'!$C$1,'Unique Asset List'!$BU$3:$CA$3,0))</f>
        <v>0.32</v>
      </c>
      <c r="AG24" s="15">
        <f>INDEX('Unique Asset List'!$AZ$4:$BF$60,MATCH('6'!$B24,'Unique Asset List'!$A$4:$A$60,0),MATCH('6'!$C$1,'Unique Asset List'!$AZ$3:$BF$3,0))</f>
        <v>0.18</v>
      </c>
      <c r="AH24" s="15">
        <f>INDEX('Unique Asset List'!$BG$4:$BM$60,MATCH('6'!$B24,'Unique Asset List'!$A$4:$A$60,0),MATCH('6'!$C$1,'Unique Asset List'!$BG$3:$BM$3,0))</f>
        <v>0.32</v>
      </c>
      <c r="AI24" s="11">
        <v>0.96187963349867744</v>
      </c>
      <c r="AJ24" s="15">
        <f>INDEX('Unique Asset List'!$AL$4:$AR$60,MATCH('6'!$B24,'Unique Asset List'!$A$4:$A$60,0),MATCH('6'!$C$1,'Unique Asset List'!$AL$3:$AR$3,0))</f>
        <v>0.32314284341629806</v>
      </c>
      <c r="AK24" s="15">
        <f>INDEX('Unique Asset List'!$AS$4:$AY$60,MATCH('6'!$B24,'Unique Asset List'!$A$4:$A$60,0),MATCH('6'!$C$1,'Unique Asset List'!$AS$3:$AY$3,0))</f>
        <v>0.61768216477991222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0"/>
      <c r="AU24" s="4">
        <f>IF($C$5="ON",BU24,MyRating(_E1,$B24,Efficacy!$F$1))</f>
        <v>4</v>
      </c>
      <c r="AV24" s="3">
        <f>IF($C$5="ON",BV24,MyRating(_E2,$B24,Efficacy!$F$1))</f>
        <v>3</v>
      </c>
      <c r="AW24" s="3">
        <f>IF($C$5="ON",BW24,MyRating(_E3,$B24,Efficacy!$F$1))</f>
        <v>3</v>
      </c>
      <c r="AX24" s="3">
        <f>IF($C$5="ON",BX24,MyRating(_E4,$B24,Efficacy!$F$1))</f>
        <v>4</v>
      </c>
      <c r="AY24" s="3">
        <f>IF($C$5="ON",BY24,MyRating(_E5,$B24,Efficacy!$F$1))</f>
        <v>3</v>
      </c>
      <c r="AZ24" s="3">
        <f>IF($C$5="ON",BZ24,MyRating(_E6,$B24,Efficacy!$F$1))</f>
        <v>2</v>
      </c>
      <c r="BA24" s="3">
        <f>IF($C$5="ON",CA24,MyRating(_E7,$B24,Efficacy!$F$1))</f>
        <v>3</v>
      </c>
      <c r="BB24" s="3">
        <f>IF($C$5="ON",CB24,MyRating(_E8,$B24,Efficacy!$F$1))</f>
        <v>3</v>
      </c>
      <c r="BC24" s="3">
        <f>IF($C$5="ON",CC24,MyRating(_S1,$B24,Efficacy!$F$1))</f>
        <v>4</v>
      </c>
      <c r="BD24" s="3">
        <f>IF($C$5="ON",CD24,MyRating(_S2,$B24,Efficacy!$F$1))</f>
        <v>3</v>
      </c>
      <c r="BE24" s="3">
        <f>IF($C$5="ON",CE24,MyRating(_S3,$B24,Efficacy!$F$1))</f>
        <v>3</v>
      </c>
      <c r="BF24" s="3">
        <f>IF($C$5="ON",CF24,MyRating(_S4,$B24,Efficacy!$F$1))</f>
        <v>3</v>
      </c>
      <c r="BG24" s="3">
        <f>IF($C$5="ON",CG24,MyRating(_S5,$B24,Efficacy!$F$1))</f>
        <v>5</v>
      </c>
      <c r="BH24" s="3">
        <f>IF($C$5="ON",CH24,MyRating(_S6,$B24,Efficacy!$F$1))</f>
        <v>2</v>
      </c>
      <c r="BI24" s="3">
        <f>IF($C$5="ON",CI24,MyRating(_S7,$B24,Efficacy!$F$1))</f>
        <v>3</v>
      </c>
      <c r="BJ24" s="3">
        <f>IF($C$5="ON",CJ24,MyRating(_D1,$B24,Efficacy!$F$1))</f>
        <v>3</v>
      </c>
      <c r="BK24" s="3">
        <f>IF($C$5="ON",CK24,MyRating(_D2,$B24,Efficacy!$F$1))</f>
        <v>3</v>
      </c>
      <c r="BL24" s="3">
        <f>IF($C$5="ON",CL24,MyRating(_D3,$B24,Efficacy!$F$1))</f>
        <v>3</v>
      </c>
      <c r="BM24" s="3">
        <f>IF($C$5="ON",CM24,MyRating(_D4,$B24,Efficacy!$F$1))</f>
        <v>3</v>
      </c>
      <c r="BN24" s="3">
        <f>IF($C$5="ON",CN24,MyRating(_B1G5,$B24,Barrier!$L$2))</f>
        <v>2</v>
      </c>
      <c r="BO24" s="3">
        <f>IF($C$5="ON",CO24,MyRating(_B2,$B24,Barrier!$F$2))</f>
        <v>3</v>
      </c>
      <c r="BP24" s="6">
        <f>IF($C$5="ON",CP24,MyRating(_B3,$B24,Barrier!$F$2))</f>
        <v>3</v>
      </c>
      <c r="BQ24" s="5">
        <f t="shared" si="6"/>
        <v>3.6275844714639842E-2</v>
      </c>
      <c r="BR24" s="8">
        <f t="shared" si="7"/>
        <v>2.9499999999999997</v>
      </c>
      <c r="BS24" s="5">
        <f t="shared" si="8"/>
        <v>3.60415394013439E-2</v>
      </c>
      <c r="BT24" s="7">
        <f t="shared" si="9"/>
        <v>1.8542316878791175E-2</v>
      </c>
      <c r="BU24" s="4">
        <v>4</v>
      </c>
      <c r="BV24" s="3">
        <v>3</v>
      </c>
      <c r="BW24" s="3">
        <v>3</v>
      </c>
      <c r="BX24" s="3">
        <v>4</v>
      </c>
      <c r="BY24" s="3">
        <v>3</v>
      </c>
      <c r="BZ24" s="3">
        <v>2</v>
      </c>
      <c r="CA24" s="3">
        <v>3</v>
      </c>
      <c r="CB24" s="3">
        <v>3</v>
      </c>
      <c r="CC24" s="3">
        <v>4</v>
      </c>
      <c r="CD24" s="3">
        <v>3</v>
      </c>
      <c r="CE24" s="3">
        <v>3</v>
      </c>
      <c r="CF24" s="3">
        <v>3</v>
      </c>
      <c r="CG24" s="3">
        <v>5</v>
      </c>
      <c r="CH24" s="3">
        <v>2</v>
      </c>
      <c r="CI24" s="3">
        <v>3</v>
      </c>
      <c r="CJ24" s="3">
        <v>3</v>
      </c>
      <c r="CK24" s="3">
        <v>3</v>
      </c>
      <c r="CL24" s="3">
        <v>3</v>
      </c>
      <c r="CM24" s="3">
        <v>3</v>
      </c>
      <c r="CN24" s="3">
        <v>2</v>
      </c>
      <c r="CO24" s="3">
        <v>3</v>
      </c>
      <c r="CP24" s="6">
        <v>3</v>
      </c>
      <c r="CQ24" s="5">
        <v>3.6275844714639842E-2</v>
      </c>
      <c r="CR24" s="61"/>
    </row>
    <row r="25" spans="1:96" x14ac:dyDescent="0.35">
      <c r="A25" s="9" t="str">
        <f t="shared" si="0"/>
        <v>IT</v>
      </c>
      <c r="B25" s="9" t="s">
        <v>21</v>
      </c>
      <c r="C25" s="20"/>
      <c r="D25" s="9" t="s">
        <v>2</v>
      </c>
      <c r="E25" s="9" t="s">
        <v>193</v>
      </c>
      <c r="F25" s="9" t="s">
        <v>51</v>
      </c>
      <c r="G25" s="19">
        <v>0</v>
      </c>
      <c r="H25" s="9">
        <v>2014</v>
      </c>
      <c r="I25" s="9">
        <v>6</v>
      </c>
      <c r="J25" s="18">
        <f>INDEX(PTRS!$D$6:$D$12,MATCH('6'!$F25,PTRS!$B$6:$B$12,0))</f>
        <v>0.1638</v>
      </c>
      <c r="K25" s="17">
        <v>0</v>
      </c>
      <c r="L25" s="17">
        <v>0.1638</v>
      </c>
      <c r="M25" s="17">
        <v>0.1638</v>
      </c>
      <c r="N25" s="17">
        <v>0.12</v>
      </c>
      <c r="O25" s="17">
        <v>0.12</v>
      </c>
      <c r="P25" s="17">
        <v>0.1638</v>
      </c>
      <c r="Q25" s="17">
        <v>1</v>
      </c>
      <c r="R25" s="17">
        <v>1</v>
      </c>
      <c r="S25" s="17">
        <v>1</v>
      </c>
      <c r="T25" s="17"/>
      <c r="U25" s="17">
        <f t="shared" si="1"/>
        <v>0.72649652910676854</v>
      </c>
      <c r="V25" s="17">
        <v>1</v>
      </c>
      <c r="W25" s="9" t="s">
        <v>20</v>
      </c>
      <c r="X25" s="9">
        <f>INDEX('Unique Asset List'!$C$4:$I$60,MATCH('6'!$B25,'Unique Asset List'!$A$4:$A$60,0),MATCH('6'!$C$1,'Unique Asset List'!$C$3:$I$3,0))</f>
        <v>2027</v>
      </c>
      <c r="Y25" s="9">
        <f>INDEX('Unique Asset List'!$J$4:$P$60,MATCH('6'!$B25,'Unique Asset List'!$A$4:$A$60,0),MATCH('6'!$C$1,'Unique Asset List'!$J$3:$P$3,0))</f>
        <v>3.9999999999990905</v>
      </c>
      <c r="Z25" s="9">
        <f>INDEX('Unique Asset List'!$X$4:$AD$60,MATCH('6'!$B25,'Unique Asset List'!$A$4:$A$60,0),MATCH('6'!$C$1,'Unique Asset List'!$X$3:$AD$3,0))</f>
        <v>2036</v>
      </c>
      <c r="AA25" s="9">
        <f>INDEX('Unique Asset List'!$AE$4:$AK$60,MATCH('6'!$B25,'Unique Asset List'!$A$4:$A$60,0),MATCH('6'!$C$1,'Unique Asset List'!$AE$3:$AK$3,0))</f>
        <v>3</v>
      </c>
      <c r="AB25" s="16">
        <f t="shared" si="2"/>
        <v>1.6822346000000001</v>
      </c>
      <c r="AC25" s="16">
        <f t="shared" si="3"/>
        <v>0.86278740000000009</v>
      </c>
      <c r="AD25" s="16">
        <f t="shared" si="4"/>
        <v>0.56099999999999994</v>
      </c>
      <c r="AE25" s="15">
        <f>INDEX('Unique Asset List'!$BN$4:$BT$60,MATCH('6'!$B25,'Unique Asset List'!$A$4:$A$60,0),MATCH('6'!$C$1,'Unique Asset List'!$BN$3:$BT$3,0))</f>
        <v>0.18</v>
      </c>
      <c r="AF25" s="15">
        <f>INDEX('Unique Asset List'!$BU$4:$CA$60,MATCH('6'!$B25,'Unique Asset List'!$A$4:$A$60,0),MATCH('6'!$C$1,'Unique Asset List'!$BU$3:$CA$3,0))</f>
        <v>0.32</v>
      </c>
      <c r="AG25" s="15">
        <f>INDEX('Unique Asset List'!$AZ$4:$BF$60,MATCH('6'!$B25,'Unique Asset List'!$A$4:$A$60,0),MATCH('6'!$C$1,'Unique Asset List'!$AZ$3:$BF$3,0))</f>
        <v>0.18</v>
      </c>
      <c r="AH25" s="15">
        <f>INDEX('Unique Asset List'!$BG$4:$BM$60,MATCH('6'!$B25,'Unique Asset List'!$A$4:$A$60,0),MATCH('6'!$C$1,'Unique Asset List'!$BG$3:$BM$3,0))</f>
        <v>0.32</v>
      </c>
      <c r="AI25" s="11">
        <v>0.96187963349867744</v>
      </c>
      <c r="AJ25" s="15">
        <f>INDEX('Unique Asset List'!$AL$4:$AR$60,MATCH('6'!$B25,'Unique Asset List'!$A$4:$A$60,0),MATCH('6'!$C$1,'Unique Asset List'!$AL$3:$AR$3,0))</f>
        <v>0.32314284341629806</v>
      </c>
      <c r="AK25" s="15">
        <f>INDEX('Unique Asset List'!$AS$4:$AY$60,MATCH('6'!$B25,'Unique Asset List'!$A$4:$A$60,0),MATCH('6'!$C$1,'Unique Asset List'!$AS$3:$AY$3,0))</f>
        <v>0.61768216477991222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0"/>
      <c r="AU25" s="4">
        <f>IF($C$5="ON",BU25,MyRating(_E1,$B25,Efficacy!$F$1))</f>
        <v>3</v>
      </c>
      <c r="AV25" s="3">
        <f>IF($C$5="ON",BV25,MyRating(_E2,$B25,Efficacy!$F$1))</f>
        <v>3</v>
      </c>
      <c r="AW25" s="3">
        <f>IF($C$5="ON",BW25,MyRating(_E3,$B25,Efficacy!$F$1))</f>
        <v>3</v>
      </c>
      <c r="AX25" s="3">
        <f>IF($C$5="ON",BX25,MyRating(_E4,$B25,Efficacy!$F$1))</f>
        <v>3</v>
      </c>
      <c r="AY25" s="3">
        <f>IF($C$5="ON",BY25,MyRating(_E5,$B25,Efficacy!$F$1))</f>
        <v>3</v>
      </c>
      <c r="AZ25" s="3">
        <f>IF($C$5="ON",BZ25,MyRating(_E6,$B25,Efficacy!$F$1))</f>
        <v>4</v>
      </c>
      <c r="BA25" s="3">
        <f>IF($C$5="ON",CA25,MyRating(_E7,$B25,Efficacy!$F$1))</f>
        <v>3</v>
      </c>
      <c r="BB25" s="3">
        <f>IF($C$5="ON",CB25,MyRating(_E8,$B25,Efficacy!$F$1))</f>
        <v>2</v>
      </c>
      <c r="BC25" s="3">
        <f>IF($C$5="ON",CC25,MyRating(_S1,$B25,Efficacy!$F$1))</f>
        <v>3</v>
      </c>
      <c r="BD25" s="3">
        <f>IF($C$5="ON",CD25,MyRating(_S2,$B25,Efficacy!$F$1))</f>
        <v>4</v>
      </c>
      <c r="BE25" s="3">
        <f>IF($C$5="ON",CE25,MyRating(_S3,$B25,Efficacy!$F$1))</f>
        <v>2</v>
      </c>
      <c r="BF25" s="3">
        <f>IF($C$5="ON",CF25,MyRating(_S4,$B25,Efficacy!$F$1))</f>
        <v>5</v>
      </c>
      <c r="BG25" s="3">
        <f>IF($C$5="ON",CG25,MyRating(_S5,$B25,Efficacy!$F$1))</f>
        <v>4</v>
      </c>
      <c r="BH25" s="3">
        <f>IF($C$5="ON",CH25,MyRating(_S6,$B25,Efficacy!$F$1))</f>
        <v>3</v>
      </c>
      <c r="BI25" s="3">
        <f>IF($C$5="ON",CI25,MyRating(_S7,$B25,Efficacy!$F$1))</f>
        <v>3</v>
      </c>
      <c r="BJ25" s="3">
        <f>IF($C$5="ON",CJ25,MyRating(_D1,$B25,Efficacy!$F$1))</f>
        <v>3</v>
      </c>
      <c r="BK25" s="3">
        <f>IF($C$5="ON",CK25,MyRating(_D2,$B25,Efficacy!$F$1))</f>
        <v>3</v>
      </c>
      <c r="BL25" s="3">
        <f>IF($C$5="ON",CL25,MyRating(_D3,$B25,Efficacy!$F$1))</f>
        <v>3</v>
      </c>
      <c r="BM25" s="3">
        <f>IF($C$5="ON",CM25,MyRating(_D4,$B25,Efficacy!$F$1))</f>
        <v>3</v>
      </c>
      <c r="BN25" s="3">
        <f>IF($C$5="ON",CN25,MyRating(_B1G5,$B25,Barrier!$L$2))</f>
        <v>2</v>
      </c>
      <c r="BO25" s="3">
        <f>IF($C$5="ON",CO25,MyRating(_B2,$B25,Barrier!$F$2))</f>
        <v>3</v>
      </c>
      <c r="BP25" s="6">
        <f>IF($C$5="ON",CP25,MyRating(_B3,$B25,Barrier!$F$2))</f>
        <v>3</v>
      </c>
      <c r="BQ25" s="5">
        <f t="shared" si="6"/>
        <v>3.6275844714639842E-2</v>
      </c>
      <c r="BR25" s="8">
        <f t="shared" si="7"/>
        <v>2.9499999999999997</v>
      </c>
      <c r="BS25" s="5">
        <f t="shared" si="8"/>
        <v>3.60415394013439E-2</v>
      </c>
      <c r="BT25" s="7">
        <f t="shared" si="9"/>
        <v>1.8542316878791175E-2</v>
      </c>
      <c r="BU25" s="4">
        <v>3</v>
      </c>
      <c r="BV25" s="3">
        <v>3</v>
      </c>
      <c r="BW25" s="3">
        <v>3</v>
      </c>
      <c r="BX25" s="3">
        <v>3</v>
      </c>
      <c r="BY25" s="3">
        <v>3</v>
      </c>
      <c r="BZ25" s="3">
        <v>4</v>
      </c>
      <c r="CA25" s="3">
        <v>3</v>
      </c>
      <c r="CB25" s="3">
        <v>2</v>
      </c>
      <c r="CC25" s="3">
        <v>3</v>
      </c>
      <c r="CD25" s="3">
        <v>4</v>
      </c>
      <c r="CE25" s="3">
        <v>2</v>
      </c>
      <c r="CF25" s="3">
        <v>5</v>
      </c>
      <c r="CG25" s="3">
        <v>4</v>
      </c>
      <c r="CH25" s="3">
        <v>3</v>
      </c>
      <c r="CI25" s="3">
        <v>3</v>
      </c>
      <c r="CJ25" s="3">
        <v>3</v>
      </c>
      <c r="CK25" s="3">
        <v>3</v>
      </c>
      <c r="CL25" s="3">
        <v>3</v>
      </c>
      <c r="CM25" s="3">
        <v>3</v>
      </c>
      <c r="CN25" s="3">
        <v>2</v>
      </c>
      <c r="CO25" s="3">
        <v>3</v>
      </c>
      <c r="CP25" s="6">
        <v>3</v>
      </c>
      <c r="CQ25" s="5">
        <v>3.6275844714639842E-2</v>
      </c>
      <c r="CR25" s="61"/>
    </row>
    <row r="26" spans="1:96" x14ac:dyDescent="0.35">
      <c r="A26" s="9" t="str">
        <f t="shared" si="0"/>
        <v>IT</v>
      </c>
      <c r="B26" s="9" t="s">
        <v>72</v>
      </c>
      <c r="C26" s="20"/>
      <c r="D26" s="9" t="s">
        <v>2</v>
      </c>
      <c r="E26" s="9" t="s">
        <v>193</v>
      </c>
      <c r="F26" s="9" t="s">
        <v>51</v>
      </c>
      <c r="G26" s="19">
        <v>0</v>
      </c>
      <c r="H26" s="9">
        <v>2014</v>
      </c>
      <c r="I26" s="9">
        <v>6</v>
      </c>
      <c r="J26" s="18">
        <f>INDEX(PTRS!$D$6:$D$12,MATCH('6'!$F26,PTRS!$B$6:$B$12,0))</f>
        <v>0.1638</v>
      </c>
      <c r="K26" s="17">
        <v>0</v>
      </c>
      <c r="L26" s="17">
        <v>0.1638</v>
      </c>
      <c r="M26" s="17">
        <v>0.1638</v>
      </c>
      <c r="N26" s="17">
        <v>0.1638</v>
      </c>
      <c r="O26" s="17">
        <v>0.1638</v>
      </c>
      <c r="P26" s="17">
        <v>0.1638</v>
      </c>
      <c r="Q26" s="17">
        <v>1</v>
      </c>
      <c r="R26" s="17">
        <v>1</v>
      </c>
      <c r="S26" s="17">
        <v>1</v>
      </c>
      <c r="T26" s="17"/>
      <c r="U26" s="17">
        <f t="shared" si="1"/>
        <v>1</v>
      </c>
      <c r="V26" s="17">
        <v>1</v>
      </c>
      <c r="W26" s="9" t="s">
        <v>71</v>
      </c>
      <c r="X26" s="9">
        <f>INDEX('Unique Asset List'!$C$4:$I$60,MATCH('6'!$B26,'Unique Asset List'!$A$4:$A$60,0),MATCH('6'!$C$1,'Unique Asset List'!$C$3:$I$3,0))</f>
        <v>2027</v>
      </c>
      <c r="Y26" s="9">
        <f>INDEX('Unique Asset List'!$J$4:$P$60,MATCH('6'!$B26,'Unique Asset List'!$A$4:$A$60,0),MATCH('6'!$C$1,'Unique Asset List'!$J$3:$P$3,0))</f>
        <v>9</v>
      </c>
      <c r="Z26" s="9">
        <f>INDEX('Unique Asset List'!$X$4:$AD$60,MATCH('6'!$B26,'Unique Asset List'!$A$4:$A$60,0),MATCH('6'!$C$1,'Unique Asset List'!$X$3:$AD$3,0))</f>
        <v>2037</v>
      </c>
      <c r="AA26" s="9">
        <f>INDEX('Unique Asset List'!$AE$4:$AK$60,MATCH('6'!$B26,'Unique Asset List'!$A$4:$A$60,0),MATCH('6'!$C$1,'Unique Asset List'!$AE$3:$AK$3,0))</f>
        <v>6</v>
      </c>
      <c r="AB26" s="16">
        <f t="shared" si="2"/>
        <v>1.849261</v>
      </c>
      <c r="AC26" s="16">
        <f t="shared" si="3"/>
        <v>0.94988439999999996</v>
      </c>
      <c r="AD26" s="16">
        <f t="shared" si="4"/>
        <v>0.41402720413999994</v>
      </c>
      <c r="AE26" s="15">
        <f>INDEX('Unique Asset List'!$BN$4:$BT$60,MATCH('6'!$B26,'Unique Asset List'!$A$4:$A$60,0),MATCH('6'!$C$1,'Unique Asset List'!$BN$3:$BT$3,0))</f>
        <v>0.23</v>
      </c>
      <c r="AF26" s="15">
        <f>INDEX('Unique Asset List'!$BU$4:$CA$60,MATCH('6'!$B26,'Unique Asset List'!$A$4:$A$60,0),MATCH('6'!$C$1,'Unique Asset List'!$BU$3:$CA$3,0))</f>
        <v>0.27</v>
      </c>
      <c r="AG26" s="15">
        <f>INDEX('Unique Asset List'!$AZ$4:$BF$60,MATCH('6'!$B26,'Unique Asset List'!$A$4:$A$60,0),MATCH('6'!$C$1,'Unique Asset List'!$AZ$3:$BF$3,0))</f>
        <v>0.23</v>
      </c>
      <c r="AH26" s="15">
        <f>INDEX('Unique Asset List'!$BG$4:$BM$60,MATCH('6'!$B26,'Unique Asset List'!$A$4:$A$60,0),MATCH('6'!$C$1,'Unique Asset List'!$BG$3:$BM$3,0))</f>
        <v>0.27</v>
      </c>
      <c r="AI26" s="11">
        <v>0.96187963349867744</v>
      </c>
      <c r="AJ26" s="15">
        <f>INDEX('Unique Asset List'!$AL$4:$AR$60,MATCH('6'!$B26,'Unique Asset List'!$A$4:$A$60,0),MATCH('6'!$C$1,'Unique Asset List'!$AL$3:$AR$3,0))</f>
        <v>0.32314284341629806</v>
      </c>
      <c r="AK26" s="15">
        <f>INDEX('Unique Asset List'!$AS$4:$AY$60,MATCH('6'!$B26,'Unique Asset List'!$A$4:$A$60,0),MATCH('6'!$C$1,'Unique Asset List'!$AS$3:$AY$3,0))</f>
        <v>0.61768216477991222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0"/>
      <c r="AU26" s="4">
        <f>IF($C$5="ON",BU26,MyRating(_E1,$B26,Efficacy!$F$1))</f>
        <v>5</v>
      </c>
      <c r="AV26" s="3">
        <f>IF($C$5="ON",BV26,MyRating(_E2,$B26,Efficacy!$F$1))</f>
        <v>4</v>
      </c>
      <c r="AW26" s="3">
        <f>IF($C$5="ON",BW26,MyRating(_E3,$B26,Efficacy!$F$1))</f>
        <v>4</v>
      </c>
      <c r="AX26" s="3">
        <f>IF($C$5="ON",BX26,MyRating(_E4,$B26,Efficacy!$F$1))</f>
        <v>3</v>
      </c>
      <c r="AY26" s="3">
        <f>IF($C$5="ON",BY26,MyRating(_E5,$B26,Efficacy!$F$1))</f>
        <v>3</v>
      </c>
      <c r="AZ26" s="3">
        <f>IF($C$5="ON",BZ26,MyRating(_E6,$B26,Efficacy!$F$1))</f>
        <v>2</v>
      </c>
      <c r="BA26" s="3">
        <f>IF($C$5="ON",CA26,MyRating(_E7,$B26,Efficacy!$F$1))</f>
        <v>3</v>
      </c>
      <c r="BB26" s="3">
        <f>IF($C$5="ON",CB26,MyRating(_E8,$B26,Efficacy!$F$1))</f>
        <v>1</v>
      </c>
      <c r="BC26" s="3">
        <f>IF($C$5="ON",CC26,MyRating(_S1,$B26,Efficacy!$F$1))</f>
        <v>3</v>
      </c>
      <c r="BD26" s="3">
        <f>IF($C$5="ON",CD26,MyRating(_S2,$B26,Efficacy!$F$1))</f>
        <v>4</v>
      </c>
      <c r="BE26" s="3">
        <f>IF($C$5="ON",CE26,MyRating(_S3,$B26,Efficacy!$F$1))</f>
        <v>3</v>
      </c>
      <c r="BF26" s="3">
        <f>IF($C$5="ON",CF26,MyRating(_S4,$B26,Efficacy!$F$1))</f>
        <v>5</v>
      </c>
      <c r="BG26" s="3">
        <f>IF($C$5="ON",CG26,MyRating(_S5,$B26,Efficacy!$F$1))</f>
        <v>5</v>
      </c>
      <c r="BH26" s="3">
        <f>IF($C$5="ON",CH26,MyRating(_S6,$B26,Efficacy!$F$1))</f>
        <v>2</v>
      </c>
      <c r="BI26" s="3">
        <f>IF($C$5="ON",CI26,MyRating(_S7,$B26,Efficacy!$F$1))</f>
        <v>4</v>
      </c>
      <c r="BJ26" s="3">
        <f>IF($C$5="ON",CJ26,MyRating(_D1,$B26,Efficacy!$F$1))</f>
        <v>2</v>
      </c>
      <c r="BK26" s="3">
        <f>IF($C$5="ON",CK26,MyRating(_D2,$B26,Efficacy!$F$1))</f>
        <v>3</v>
      </c>
      <c r="BL26" s="3">
        <f>IF($C$5="ON",CL26,MyRating(_D3,$B26,Efficacy!$F$1))</f>
        <v>2</v>
      </c>
      <c r="BM26" s="3">
        <f>IF($C$5="ON",CM26,MyRating(_D4,$B26,Efficacy!$F$1))</f>
        <v>2</v>
      </c>
      <c r="BN26" s="3">
        <f>IF($C$5="ON",CN26,MyRating(_B1G5,$B26,Barrier!$L$2))</f>
        <v>1</v>
      </c>
      <c r="BO26" s="3">
        <f>IF($C$5="ON",CO26,MyRating(_B2,$B26,Barrier!$F$2))</f>
        <v>3</v>
      </c>
      <c r="BP26" s="6">
        <f>IF($C$5="ON",CP26,MyRating(_B3,$B26,Barrier!$F$2))</f>
        <v>5</v>
      </c>
      <c r="BQ26" s="5">
        <f t="shared" si="6"/>
        <v>4.9932578149053504E-2</v>
      </c>
      <c r="BR26" s="8">
        <f t="shared" si="7"/>
        <v>3.8499999999999996</v>
      </c>
      <c r="BS26" s="5">
        <f t="shared" si="8"/>
        <v>4.7037263286499667E-2</v>
      </c>
      <c r="BT26" s="7">
        <f t="shared" si="9"/>
        <v>2.5522925624419785E-2</v>
      </c>
      <c r="BU26" s="4">
        <v>5</v>
      </c>
      <c r="BV26" s="3">
        <v>4</v>
      </c>
      <c r="BW26" s="3">
        <v>4</v>
      </c>
      <c r="BX26" s="3">
        <v>3</v>
      </c>
      <c r="BY26" s="3">
        <v>3</v>
      </c>
      <c r="BZ26" s="3">
        <v>2</v>
      </c>
      <c r="CA26" s="3">
        <v>3</v>
      </c>
      <c r="CB26" s="3">
        <v>1</v>
      </c>
      <c r="CC26" s="3">
        <v>3</v>
      </c>
      <c r="CD26" s="3">
        <v>4</v>
      </c>
      <c r="CE26" s="3">
        <v>3</v>
      </c>
      <c r="CF26" s="3">
        <v>5</v>
      </c>
      <c r="CG26" s="3">
        <v>5</v>
      </c>
      <c r="CH26" s="3">
        <v>2</v>
      </c>
      <c r="CI26" s="3">
        <v>4</v>
      </c>
      <c r="CJ26" s="3">
        <v>2</v>
      </c>
      <c r="CK26" s="3">
        <v>3</v>
      </c>
      <c r="CL26" s="3">
        <v>2</v>
      </c>
      <c r="CM26" s="3">
        <v>2</v>
      </c>
      <c r="CN26" s="3">
        <v>1</v>
      </c>
      <c r="CO26" s="3">
        <v>3</v>
      </c>
      <c r="CP26" s="6">
        <v>5</v>
      </c>
      <c r="CQ26" s="5">
        <v>4.9932578149053504E-2</v>
      </c>
      <c r="CR26" s="61"/>
    </row>
    <row r="27" spans="1:96" x14ac:dyDescent="0.35">
      <c r="A27" s="9" t="str">
        <f t="shared" si="0"/>
        <v>IT</v>
      </c>
      <c r="B27" s="9" t="s">
        <v>31</v>
      </c>
      <c r="C27" s="20"/>
      <c r="D27" s="9" t="s">
        <v>2</v>
      </c>
      <c r="E27" s="9" t="s">
        <v>193</v>
      </c>
      <c r="F27" s="9" t="s">
        <v>58</v>
      </c>
      <c r="G27" s="19">
        <v>0</v>
      </c>
      <c r="H27" s="9">
        <v>2014</v>
      </c>
      <c r="I27" s="9">
        <v>6</v>
      </c>
      <c r="J27" s="18">
        <f>INDEX(PTRS!$D$6:$D$12,MATCH('6'!$F27,PTRS!$B$6:$B$12,0))</f>
        <v>0.13923000000000002</v>
      </c>
      <c r="K27" s="17">
        <v>0</v>
      </c>
      <c r="L27" s="17">
        <v>0.1044225</v>
      </c>
      <c r="M27" s="17">
        <v>0.13923000000000002</v>
      </c>
      <c r="N27" s="17">
        <v>0.14000000000000001</v>
      </c>
      <c r="O27" s="17">
        <v>0.14000000000000001</v>
      </c>
      <c r="P27" s="17">
        <v>0.1044225</v>
      </c>
      <c r="Q27" s="17">
        <v>0.1044225</v>
      </c>
      <c r="R27" s="17">
        <v>0.1044225</v>
      </c>
      <c r="S27" s="17">
        <v>1</v>
      </c>
      <c r="T27" s="17"/>
      <c r="U27" s="17">
        <f t="shared" si="1"/>
        <v>0.72649652910676854</v>
      </c>
      <c r="V27" s="17">
        <v>1</v>
      </c>
      <c r="W27" s="9" t="s">
        <v>31</v>
      </c>
      <c r="X27" s="9">
        <f>INDEX('Unique Asset List'!$C$4:$I$60,MATCH('6'!$B27,'Unique Asset List'!$A$4:$A$60,0),MATCH('6'!$C$1,'Unique Asset List'!$C$3:$I$3,0))</f>
        <v>2029</v>
      </c>
      <c r="Y27" s="9">
        <f>INDEX('Unique Asset List'!$J$4:$P$60,MATCH('6'!$B27,'Unique Asset List'!$A$4:$A$60,0),MATCH('6'!$C$1,'Unique Asset List'!$J$3:$P$3,0))</f>
        <v>3</v>
      </c>
      <c r="Z27" s="9">
        <f>INDEX('Unique Asset List'!$X$4:$AD$60,MATCH('6'!$B27,'Unique Asset List'!$A$4:$A$60,0),MATCH('6'!$C$1,'Unique Asset List'!$X$3:$AD$3,0))</f>
        <v>2037</v>
      </c>
      <c r="AA27" s="9">
        <f>INDEX('Unique Asset List'!$AE$4:$AK$60,MATCH('6'!$B27,'Unique Asset List'!$A$4:$A$60,0),MATCH('6'!$C$1,'Unique Asset List'!$AE$3:$AK$3,0))</f>
        <v>2</v>
      </c>
      <c r="AB27" s="16">
        <f t="shared" si="2"/>
        <v>2.1250906000000005</v>
      </c>
      <c r="AC27" s="16">
        <f t="shared" si="3"/>
        <v>0.97325250000000008</v>
      </c>
      <c r="AD27" s="16">
        <f t="shared" si="4"/>
        <v>0.56099999999999994</v>
      </c>
      <c r="AE27" s="15">
        <f>INDEX('Unique Asset List'!$BN$4:$BT$60,MATCH('6'!$B27,'Unique Asset List'!$A$4:$A$60,0),MATCH('6'!$C$1,'Unique Asset List'!$BN$3:$BT$3,0))</f>
        <v>0.18</v>
      </c>
      <c r="AF27" s="15">
        <f>INDEX('Unique Asset List'!$BU$4:$CA$60,MATCH('6'!$B27,'Unique Asset List'!$A$4:$A$60,0),MATCH('6'!$C$1,'Unique Asset List'!$BU$3:$CA$3,0))</f>
        <v>0.32</v>
      </c>
      <c r="AG27" s="15">
        <f>INDEX('Unique Asset List'!$AZ$4:$BF$60,MATCH('6'!$B27,'Unique Asset List'!$A$4:$A$60,0),MATCH('6'!$C$1,'Unique Asset List'!$AZ$3:$BF$3,0))</f>
        <v>0.18</v>
      </c>
      <c r="AH27" s="15">
        <f>INDEX('Unique Asset List'!$BG$4:$BM$60,MATCH('6'!$B27,'Unique Asset List'!$A$4:$A$60,0),MATCH('6'!$C$1,'Unique Asset List'!$BG$3:$BM$3,0))</f>
        <v>0.32</v>
      </c>
      <c r="AI27" s="11">
        <v>0.96187963349867744</v>
      </c>
      <c r="AJ27" s="15">
        <f>INDEX('Unique Asset List'!$AL$4:$AR$60,MATCH('6'!$B27,'Unique Asset List'!$A$4:$A$60,0),MATCH('6'!$C$1,'Unique Asset List'!$AL$3:$AR$3,0))</f>
        <v>0.32314284341629806</v>
      </c>
      <c r="AK27" s="15">
        <f>INDEX('Unique Asset List'!$AS$4:$AY$60,MATCH('6'!$B27,'Unique Asset List'!$A$4:$A$60,0),MATCH('6'!$C$1,'Unique Asset List'!$AS$3:$AY$3,0))</f>
        <v>0.61768216477991222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0"/>
      <c r="AU27" s="4">
        <f>IF($C$5="ON",BU27,MyRating(_E1,$B27,Efficacy!$F$1))</f>
        <v>4</v>
      </c>
      <c r="AV27" s="3">
        <f>IF($C$5="ON",BV27,MyRating(_E2,$B27,Efficacy!$F$1))</f>
        <v>4</v>
      </c>
      <c r="AW27" s="3">
        <f>IF($C$5="ON",BW27,MyRating(_E3,$B27,Efficacy!$F$1))</f>
        <v>4</v>
      </c>
      <c r="AX27" s="3">
        <f>IF($C$5="ON",BX27,MyRating(_E4,$B27,Efficacy!$F$1))</f>
        <v>4</v>
      </c>
      <c r="AY27" s="3">
        <f>IF($C$5="ON",BY27,MyRating(_E5,$B27,Efficacy!$F$1))</f>
        <v>3</v>
      </c>
      <c r="AZ27" s="3">
        <f>IF($C$5="ON",BZ27,MyRating(_E6,$B27,Efficacy!$F$1))</f>
        <v>4</v>
      </c>
      <c r="BA27" s="3">
        <f>IF($C$5="ON",CA27,MyRating(_E7,$B27,Efficacy!$F$1))</f>
        <v>4</v>
      </c>
      <c r="BB27" s="3">
        <f>IF($C$5="ON",CB27,MyRating(_E8,$B27,Efficacy!$F$1))</f>
        <v>3</v>
      </c>
      <c r="BC27" s="3">
        <f>IF($C$5="ON",CC27,MyRating(_S1,$B27,Efficacy!$F$1))</f>
        <v>4</v>
      </c>
      <c r="BD27" s="3">
        <f>IF($C$5="ON",CD27,MyRating(_S2,$B27,Efficacy!$F$1))</f>
        <v>3</v>
      </c>
      <c r="BE27" s="3">
        <f>IF($C$5="ON",CE27,MyRating(_S3,$B27,Efficacy!$F$1))</f>
        <v>3</v>
      </c>
      <c r="BF27" s="3">
        <f>IF($C$5="ON",CF27,MyRating(_S4,$B27,Efficacy!$F$1))</f>
        <v>4</v>
      </c>
      <c r="BG27" s="3">
        <f>IF($C$5="ON",CG27,MyRating(_S5,$B27,Efficacy!$F$1))</f>
        <v>5</v>
      </c>
      <c r="BH27" s="3">
        <f>IF($C$5="ON",CH27,MyRating(_S6,$B27,Efficacy!$F$1))</f>
        <v>3</v>
      </c>
      <c r="BI27" s="3">
        <f>IF($C$5="ON",CI27,MyRating(_S7,$B27,Efficacy!$F$1))</f>
        <v>4</v>
      </c>
      <c r="BJ27" s="3">
        <f>IF($C$5="ON",CJ27,MyRating(_D1,$B27,Efficacy!$F$1))</f>
        <v>3</v>
      </c>
      <c r="BK27" s="3">
        <f>IF($C$5="ON",CK27,MyRating(_D2,$B27,Efficacy!$F$1))</f>
        <v>3</v>
      </c>
      <c r="BL27" s="3">
        <f>IF($C$5="ON",CL27,MyRating(_D3,$B27,Efficacy!$F$1))</f>
        <v>3</v>
      </c>
      <c r="BM27" s="3">
        <f>IF($C$5="ON",CM27,MyRating(_D4,$B27,Efficacy!$F$1))</f>
        <v>3</v>
      </c>
      <c r="BN27" s="3">
        <f>IF($C$5="ON",CN27,MyRating(_B1G5,$B27,Barrier!$L$2))</f>
        <v>2</v>
      </c>
      <c r="BO27" s="3">
        <f>IF($C$5="ON",CO27,MyRating(_B2,$B27,Barrier!$F$2))</f>
        <v>3</v>
      </c>
      <c r="BP27" s="6">
        <f>IF($C$5="ON",CP27,MyRating(_B3,$B27,Barrier!$F$2))</f>
        <v>3</v>
      </c>
      <c r="BQ27" s="5">
        <f t="shared" si="6"/>
        <v>3.6275844714639842E-2</v>
      </c>
      <c r="BR27" s="8">
        <f t="shared" si="7"/>
        <v>2.9499999999999997</v>
      </c>
      <c r="BS27" s="5">
        <f t="shared" si="8"/>
        <v>3.60415394013439E-2</v>
      </c>
      <c r="BT27" s="7">
        <f t="shared" si="9"/>
        <v>1.8542316878791175E-2</v>
      </c>
      <c r="BU27" s="4">
        <v>4</v>
      </c>
      <c r="BV27" s="3">
        <v>4</v>
      </c>
      <c r="BW27" s="3">
        <v>4</v>
      </c>
      <c r="BX27" s="3">
        <v>4</v>
      </c>
      <c r="BY27" s="3">
        <v>3</v>
      </c>
      <c r="BZ27" s="3">
        <v>4</v>
      </c>
      <c r="CA27" s="3">
        <v>4</v>
      </c>
      <c r="CB27" s="3">
        <v>3</v>
      </c>
      <c r="CC27" s="3">
        <v>4</v>
      </c>
      <c r="CD27" s="3">
        <v>3</v>
      </c>
      <c r="CE27" s="3">
        <v>3</v>
      </c>
      <c r="CF27" s="3">
        <v>4</v>
      </c>
      <c r="CG27" s="3">
        <v>5</v>
      </c>
      <c r="CH27" s="3">
        <v>3</v>
      </c>
      <c r="CI27" s="3">
        <v>4</v>
      </c>
      <c r="CJ27" s="3">
        <v>3</v>
      </c>
      <c r="CK27" s="3">
        <v>3</v>
      </c>
      <c r="CL27" s="3">
        <v>3</v>
      </c>
      <c r="CM27" s="3">
        <v>3</v>
      </c>
      <c r="CN27" s="3">
        <v>2</v>
      </c>
      <c r="CO27" s="3">
        <v>3</v>
      </c>
      <c r="CP27" s="6">
        <v>3</v>
      </c>
      <c r="CQ27" s="5">
        <v>3.6275844714639842E-2</v>
      </c>
      <c r="CR27" s="61"/>
    </row>
    <row r="28" spans="1:96" x14ac:dyDescent="0.35">
      <c r="A28" s="9" t="str">
        <f t="shared" si="0"/>
        <v>IT</v>
      </c>
      <c r="B28" s="9" t="s">
        <v>35</v>
      </c>
      <c r="C28" s="20"/>
      <c r="D28" s="9" t="s">
        <v>2</v>
      </c>
      <c r="E28" s="9" t="s">
        <v>193</v>
      </c>
      <c r="F28" s="9" t="s">
        <v>58</v>
      </c>
      <c r="G28" s="19">
        <v>0</v>
      </c>
      <c r="H28" s="9">
        <v>2014</v>
      </c>
      <c r="I28" s="9">
        <v>6</v>
      </c>
      <c r="J28" s="18">
        <f>INDEX(PTRS!$D$6:$D$12,MATCH('6'!$F28,PTRS!$B$6:$B$12,0))</f>
        <v>0.13923000000000002</v>
      </c>
      <c r="K28" s="17">
        <v>0</v>
      </c>
      <c r="L28" s="17">
        <v>0.1044225</v>
      </c>
      <c r="M28" s="17">
        <v>0.13923000000000002</v>
      </c>
      <c r="N28" s="17">
        <v>0.14000000000000001</v>
      </c>
      <c r="O28" s="17">
        <v>0.14000000000000001</v>
      </c>
      <c r="P28" s="17">
        <v>0.1044225</v>
      </c>
      <c r="Q28" s="17">
        <v>0.1044225</v>
      </c>
      <c r="R28" s="17">
        <v>0.1044225</v>
      </c>
      <c r="S28" s="17">
        <v>1</v>
      </c>
      <c r="T28" s="17"/>
      <c r="U28" s="17">
        <f t="shared" si="1"/>
        <v>0.72649652910676854</v>
      </c>
      <c r="V28" s="17">
        <v>1</v>
      </c>
      <c r="W28" s="9" t="s">
        <v>35</v>
      </c>
      <c r="X28" s="9">
        <f>INDEX('Unique Asset List'!$C$4:$I$60,MATCH('6'!$B28,'Unique Asset List'!$A$4:$A$60,0),MATCH('6'!$C$1,'Unique Asset List'!$C$3:$I$3,0))</f>
        <v>2029</v>
      </c>
      <c r="Y28" s="9">
        <f>INDEX('Unique Asset List'!$J$4:$P$60,MATCH('6'!$B28,'Unique Asset List'!$A$4:$A$60,0),MATCH('6'!$C$1,'Unique Asset List'!$J$3:$P$3,0))</f>
        <v>4.999999999998181</v>
      </c>
      <c r="Z28" s="9">
        <f>INDEX('Unique Asset List'!$X$4:$AD$60,MATCH('6'!$B28,'Unique Asset List'!$A$4:$A$60,0),MATCH('6'!$C$1,'Unique Asset List'!$X$3:$AD$3,0))</f>
        <v>2038</v>
      </c>
      <c r="AA28" s="9">
        <f>INDEX('Unique Asset List'!$AE$4:$AK$60,MATCH('6'!$B28,'Unique Asset List'!$A$4:$A$60,0),MATCH('6'!$C$1,'Unique Asset List'!$AE$3:$AK$3,0))</f>
        <v>2</v>
      </c>
      <c r="AB28" s="16">
        <f t="shared" si="2"/>
        <v>2.0908086000000004</v>
      </c>
      <c r="AC28" s="16">
        <f t="shared" si="3"/>
        <v>0.97325250000000008</v>
      </c>
      <c r="AD28" s="16">
        <f t="shared" si="4"/>
        <v>0.56099999999999994</v>
      </c>
      <c r="AE28" s="15">
        <f>INDEX('Unique Asset List'!$BN$4:$BT$60,MATCH('6'!$B28,'Unique Asset List'!$A$4:$A$60,0),MATCH('6'!$C$1,'Unique Asset List'!$BN$3:$BT$3,0))</f>
        <v>0.18</v>
      </c>
      <c r="AF28" s="15">
        <f>INDEX('Unique Asset List'!$BU$4:$CA$60,MATCH('6'!$B28,'Unique Asset List'!$A$4:$A$60,0),MATCH('6'!$C$1,'Unique Asset List'!$BU$3:$CA$3,0))</f>
        <v>0.32</v>
      </c>
      <c r="AG28" s="15">
        <f>INDEX('Unique Asset List'!$AZ$4:$BF$60,MATCH('6'!$B28,'Unique Asset List'!$A$4:$A$60,0),MATCH('6'!$C$1,'Unique Asset List'!$AZ$3:$BF$3,0))</f>
        <v>0.18</v>
      </c>
      <c r="AH28" s="15">
        <f>INDEX('Unique Asset List'!$BG$4:$BM$60,MATCH('6'!$B28,'Unique Asset List'!$A$4:$A$60,0),MATCH('6'!$C$1,'Unique Asset List'!$BG$3:$BM$3,0))</f>
        <v>0.32</v>
      </c>
      <c r="AI28" s="11">
        <v>0.96187963349867744</v>
      </c>
      <c r="AJ28" s="15">
        <f>INDEX('Unique Asset List'!$AL$4:$AR$60,MATCH('6'!$B28,'Unique Asset List'!$A$4:$A$60,0),MATCH('6'!$C$1,'Unique Asset List'!$AL$3:$AR$3,0))</f>
        <v>0.32314284341629806</v>
      </c>
      <c r="AK28" s="15">
        <f>INDEX('Unique Asset List'!$AS$4:$AY$60,MATCH('6'!$B28,'Unique Asset List'!$A$4:$A$60,0),MATCH('6'!$C$1,'Unique Asset List'!$AS$3:$AY$3,0))</f>
        <v>0.61768216477991222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0"/>
      <c r="AU28" s="4">
        <f>IF($C$5="ON",BU28,MyRating(_E1,$B28,Efficacy!$F$1))</f>
        <v>4</v>
      </c>
      <c r="AV28" s="3">
        <f>IF($C$5="ON",BV28,MyRating(_E2,$B28,Efficacy!$F$1))</f>
        <v>4</v>
      </c>
      <c r="AW28" s="3">
        <f>IF($C$5="ON",BW28,MyRating(_E3,$B28,Efficacy!$F$1))</f>
        <v>4</v>
      </c>
      <c r="AX28" s="3">
        <f>IF($C$5="ON",BX28,MyRating(_E4,$B28,Efficacy!$F$1))</f>
        <v>4</v>
      </c>
      <c r="AY28" s="3">
        <f>IF($C$5="ON",BY28,MyRating(_E5,$B28,Efficacy!$F$1))</f>
        <v>3</v>
      </c>
      <c r="AZ28" s="3">
        <f>IF($C$5="ON",BZ28,MyRating(_E6,$B28,Efficacy!$F$1))</f>
        <v>3</v>
      </c>
      <c r="BA28" s="3">
        <f>IF($C$5="ON",CA28,MyRating(_E7,$B28,Efficacy!$F$1))</f>
        <v>3</v>
      </c>
      <c r="BB28" s="3">
        <f>IF($C$5="ON",CB28,MyRating(_E8,$B28,Efficacy!$F$1))</f>
        <v>4</v>
      </c>
      <c r="BC28" s="3">
        <f>IF($C$5="ON",CC28,MyRating(_S1,$B28,Efficacy!$F$1))</f>
        <v>4</v>
      </c>
      <c r="BD28" s="3">
        <f>IF($C$5="ON",CD28,MyRating(_S2,$B28,Efficacy!$F$1))</f>
        <v>3</v>
      </c>
      <c r="BE28" s="3">
        <f>IF($C$5="ON",CE28,MyRating(_S3,$B28,Efficacy!$F$1))</f>
        <v>3</v>
      </c>
      <c r="BF28" s="3">
        <f>IF($C$5="ON",CF28,MyRating(_S4,$B28,Efficacy!$F$1))</f>
        <v>4</v>
      </c>
      <c r="BG28" s="3">
        <f>IF($C$5="ON",CG28,MyRating(_S5,$B28,Efficacy!$F$1))</f>
        <v>5</v>
      </c>
      <c r="BH28" s="3">
        <f>IF($C$5="ON",CH28,MyRating(_S6,$B28,Efficacy!$F$1))</f>
        <v>3</v>
      </c>
      <c r="BI28" s="3">
        <f>IF($C$5="ON",CI28,MyRating(_S7,$B28,Efficacy!$F$1))</f>
        <v>4</v>
      </c>
      <c r="BJ28" s="3">
        <f>IF($C$5="ON",CJ28,MyRating(_D1,$B28,Efficacy!$F$1))</f>
        <v>3</v>
      </c>
      <c r="BK28" s="3">
        <f>IF($C$5="ON",CK28,MyRating(_D2,$B28,Efficacy!$F$1))</f>
        <v>3</v>
      </c>
      <c r="BL28" s="3">
        <f>IF($C$5="ON",CL28,MyRating(_D3,$B28,Efficacy!$F$1))</f>
        <v>3</v>
      </c>
      <c r="BM28" s="3">
        <f>IF($C$5="ON",CM28,MyRating(_D4,$B28,Efficacy!$F$1))</f>
        <v>3</v>
      </c>
      <c r="BN28" s="3">
        <f>IF($C$5="ON",CN28,MyRating(_B1G5,$B28,Barrier!$L$2))</f>
        <v>2</v>
      </c>
      <c r="BO28" s="3">
        <f>IF($C$5="ON",CO28,MyRating(_B2,$B28,Barrier!$F$2))</f>
        <v>3</v>
      </c>
      <c r="BP28" s="6">
        <f>IF($C$5="ON",CP28,MyRating(_B3,$B28,Barrier!$F$2))</f>
        <v>3</v>
      </c>
      <c r="BQ28" s="5">
        <f t="shared" si="6"/>
        <v>3.6275844714639842E-2</v>
      </c>
      <c r="BR28" s="8">
        <f t="shared" si="7"/>
        <v>2.9499999999999997</v>
      </c>
      <c r="BS28" s="5">
        <f t="shared" si="8"/>
        <v>3.60415394013439E-2</v>
      </c>
      <c r="BT28" s="7">
        <f t="shared" si="9"/>
        <v>1.8542316878791175E-2</v>
      </c>
      <c r="BU28" s="4">
        <v>4</v>
      </c>
      <c r="BV28" s="3">
        <v>4</v>
      </c>
      <c r="BW28" s="3">
        <v>4</v>
      </c>
      <c r="BX28" s="3">
        <v>4</v>
      </c>
      <c r="BY28" s="3">
        <v>3</v>
      </c>
      <c r="BZ28" s="3">
        <v>3</v>
      </c>
      <c r="CA28" s="3">
        <v>3</v>
      </c>
      <c r="CB28" s="3">
        <v>4</v>
      </c>
      <c r="CC28" s="3">
        <v>4</v>
      </c>
      <c r="CD28" s="3">
        <v>3</v>
      </c>
      <c r="CE28" s="3">
        <v>3</v>
      </c>
      <c r="CF28" s="3">
        <v>4</v>
      </c>
      <c r="CG28" s="3">
        <v>5</v>
      </c>
      <c r="CH28" s="3">
        <v>3</v>
      </c>
      <c r="CI28" s="3">
        <v>4</v>
      </c>
      <c r="CJ28" s="3">
        <v>3</v>
      </c>
      <c r="CK28" s="3">
        <v>3</v>
      </c>
      <c r="CL28" s="3">
        <v>3</v>
      </c>
      <c r="CM28" s="3">
        <v>3</v>
      </c>
      <c r="CN28" s="3">
        <v>2</v>
      </c>
      <c r="CO28" s="3">
        <v>3</v>
      </c>
      <c r="CP28" s="6">
        <v>3</v>
      </c>
      <c r="CQ28" s="5">
        <v>3.6275844714639842E-2</v>
      </c>
      <c r="CR28" s="61"/>
    </row>
    <row r="29" spans="1:96" x14ac:dyDescent="0.35">
      <c r="A29" s="9" t="str">
        <f t="shared" si="0"/>
        <v>IT</v>
      </c>
      <c r="B29" s="9" t="s">
        <v>70</v>
      </c>
      <c r="C29" s="20"/>
      <c r="D29" s="9" t="s">
        <v>64</v>
      </c>
      <c r="E29" s="9" t="s">
        <v>193</v>
      </c>
      <c r="F29" s="9" t="s">
        <v>58</v>
      </c>
      <c r="G29" s="19">
        <v>0</v>
      </c>
      <c r="H29" s="9">
        <v>2014</v>
      </c>
      <c r="I29" s="9">
        <v>6</v>
      </c>
      <c r="J29" s="18">
        <f>INDEX(PTRS!$D$6:$D$12,MATCH('6'!$F29,PTRS!$B$6:$B$12,0))</f>
        <v>0.13923000000000002</v>
      </c>
      <c r="K29" s="17">
        <v>0</v>
      </c>
      <c r="L29" s="17">
        <v>0.13923000000000002</v>
      </c>
      <c r="M29" s="17">
        <v>0.13923000000000002</v>
      </c>
      <c r="N29" s="17">
        <v>0.13923000000000002</v>
      </c>
      <c r="O29" s="17">
        <v>0.13923000000000002</v>
      </c>
      <c r="P29" s="17">
        <v>0.13923000000000002</v>
      </c>
      <c r="Q29" s="17">
        <v>0.14000000000000001</v>
      </c>
      <c r="R29" s="17">
        <v>0.14000000000000001</v>
      </c>
      <c r="S29" s="17">
        <v>1</v>
      </c>
      <c r="T29" s="17"/>
      <c r="U29" s="17">
        <f t="shared" si="1"/>
        <v>0.72649652910676854</v>
      </c>
      <c r="V29" s="17">
        <v>1</v>
      </c>
      <c r="W29" s="9" t="s">
        <v>62</v>
      </c>
      <c r="X29" s="9">
        <f>INDEX('Unique Asset List'!$C$4:$I$60,MATCH('6'!$B29,'Unique Asset List'!$A$4:$A$60,0),MATCH('6'!$C$1,'Unique Asset List'!$C$3:$I$3,0))</f>
        <v>2027</v>
      </c>
      <c r="Y29" s="9">
        <f>INDEX('Unique Asset List'!$J$4:$P$60,MATCH('6'!$B29,'Unique Asset List'!$A$4:$A$60,0),MATCH('6'!$C$1,'Unique Asset List'!$J$3:$P$3,0))</f>
        <v>3.9999999999990905</v>
      </c>
      <c r="Z29" s="9">
        <f>INDEX('Unique Asset List'!$X$4:$AD$60,MATCH('6'!$B29,'Unique Asset List'!$A$4:$A$60,0),MATCH('6'!$C$1,'Unique Asset List'!$X$3:$AD$3,0))</f>
        <v>2037</v>
      </c>
      <c r="AA29" s="9">
        <f>INDEX('Unique Asset List'!$AE$4:$AK$60,MATCH('6'!$B29,'Unique Asset List'!$A$4:$A$60,0),MATCH('6'!$C$1,'Unique Asset List'!$AE$3:$AK$3,0))</f>
        <v>3</v>
      </c>
      <c r="AB29" s="16">
        <f t="shared" si="2"/>
        <v>1.6860000000000002</v>
      </c>
      <c r="AC29" s="16">
        <f t="shared" si="3"/>
        <v>0.98141</v>
      </c>
      <c r="AD29" s="16">
        <f t="shared" si="4"/>
        <v>0.50129594525999999</v>
      </c>
      <c r="AE29" s="15">
        <f>INDEX('Unique Asset List'!$BN$4:$BT$60,MATCH('6'!$B29,'Unique Asset List'!$A$4:$A$60,0),MATCH('6'!$C$1,'Unique Asset List'!$BN$3:$BT$3,0))</f>
        <v>0.23</v>
      </c>
      <c r="AF29" s="15">
        <f>INDEX('Unique Asset List'!$BU$4:$CA$60,MATCH('6'!$B29,'Unique Asset List'!$A$4:$A$60,0),MATCH('6'!$C$1,'Unique Asset List'!$BU$3:$CA$3,0))</f>
        <v>0.27</v>
      </c>
      <c r="AG29" s="15">
        <f>INDEX('Unique Asset List'!$AZ$4:$BF$60,MATCH('6'!$B29,'Unique Asset List'!$A$4:$A$60,0),MATCH('6'!$C$1,'Unique Asset List'!$AZ$3:$BF$3,0))</f>
        <v>0.23</v>
      </c>
      <c r="AH29" s="15">
        <f>INDEX('Unique Asset List'!$BG$4:$BM$60,MATCH('6'!$B29,'Unique Asset List'!$A$4:$A$60,0),MATCH('6'!$C$1,'Unique Asset List'!$BG$3:$BM$3,0))</f>
        <v>0.27</v>
      </c>
      <c r="AI29" s="11">
        <v>0.96187963349867744</v>
      </c>
      <c r="AJ29" s="15">
        <f>INDEX('Unique Asset List'!$AL$4:$AR$60,MATCH('6'!$B29,'Unique Asset List'!$A$4:$A$60,0),MATCH('6'!$C$1,'Unique Asset List'!$AL$3:$AR$3,0))</f>
        <v>0.32314284341629806</v>
      </c>
      <c r="AK29" s="15">
        <f>INDEX('Unique Asset List'!$AS$4:$AY$60,MATCH('6'!$B29,'Unique Asset List'!$A$4:$A$60,0),MATCH('6'!$C$1,'Unique Asset List'!$AS$3:$AY$3,0))</f>
        <v>0.61768216477991222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0"/>
      <c r="AU29" s="4">
        <f>IF($C$5="ON",BU29,MyRating(_E1,$B29,Efficacy!$F$1))</f>
        <v>3</v>
      </c>
      <c r="AV29" s="3">
        <f>IF($C$5="ON",BV29,MyRating(_E2,$B29,Efficacy!$F$1))</f>
        <v>3</v>
      </c>
      <c r="AW29" s="3">
        <f>IF($C$5="ON",BW29,MyRating(_E3,$B29,Efficacy!$F$1))</f>
        <v>3</v>
      </c>
      <c r="AX29" s="3">
        <f>IF($C$5="ON",BX29,MyRating(_E4,$B29,Efficacy!$F$1))</f>
        <v>3</v>
      </c>
      <c r="AY29" s="3">
        <f>IF($C$5="ON",BY29,MyRating(_E5,$B29,Efficacy!$F$1))</f>
        <v>3</v>
      </c>
      <c r="AZ29" s="3">
        <f>IF($C$5="ON",BZ29,MyRating(_E6,$B29,Efficacy!$F$1))</f>
        <v>3</v>
      </c>
      <c r="BA29" s="3">
        <f>IF($C$5="ON",CA29,MyRating(_E7,$B29,Efficacy!$F$1))</f>
        <v>3</v>
      </c>
      <c r="BB29" s="3">
        <f>IF($C$5="ON",CB29,MyRating(_E8,$B29,Efficacy!$F$1))</f>
        <v>3</v>
      </c>
      <c r="BC29" s="3">
        <f>IF($C$5="ON",CC29,MyRating(_S1,$B29,Efficacy!$F$1))</f>
        <v>5</v>
      </c>
      <c r="BD29" s="3">
        <f>IF($C$5="ON",CD29,MyRating(_S2,$B29,Efficacy!$F$1))</f>
        <v>3</v>
      </c>
      <c r="BE29" s="3">
        <f>IF($C$5="ON",CE29,MyRating(_S3,$B29,Efficacy!$F$1))</f>
        <v>3</v>
      </c>
      <c r="BF29" s="3">
        <f>IF($C$5="ON",CF29,MyRating(_S4,$B29,Efficacy!$F$1))</f>
        <v>4</v>
      </c>
      <c r="BG29" s="3">
        <f>IF($C$5="ON",CG29,MyRating(_S5,$B29,Efficacy!$F$1))</f>
        <v>5</v>
      </c>
      <c r="BH29" s="3">
        <f>IF($C$5="ON",CH29,MyRating(_S6,$B29,Efficacy!$F$1))</f>
        <v>2</v>
      </c>
      <c r="BI29" s="3">
        <f>IF($C$5="ON",CI29,MyRating(_S7,$B29,Efficacy!$F$1))</f>
        <v>3</v>
      </c>
      <c r="BJ29" s="3">
        <f>IF($C$5="ON",CJ29,MyRating(_D1,$B29,Efficacy!$F$1))</f>
        <v>2</v>
      </c>
      <c r="BK29" s="3">
        <f>IF($C$5="ON",CK29,MyRating(_D2,$B29,Efficacy!$F$1))</f>
        <v>3</v>
      </c>
      <c r="BL29" s="3">
        <f>IF($C$5="ON",CL29,MyRating(_D3,$B29,Efficacy!$F$1))</f>
        <v>3</v>
      </c>
      <c r="BM29" s="3">
        <f>IF($C$5="ON",CM29,MyRating(_D4,$B29,Efficacy!$F$1))</f>
        <v>3</v>
      </c>
      <c r="BN29" s="3">
        <f>IF($C$5="ON",CN29,MyRating(_B1G5,$B29,Barrier!$L$2))</f>
        <v>2</v>
      </c>
      <c r="BO29" s="3">
        <f>IF($C$5="ON",CO29,MyRating(_B2,$B29,Barrier!$F$2))</f>
        <v>3</v>
      </c>
      <c r="BP29" s="6">
        <f>IF($C$5="ON",CP29,MyRating(_B3,$B29,Barrier!$F$2))</f>
        <v>3</v>
      </c>
      <c r="BQ29" s="5">
        <f t="shared" si="6"/>
        <v>3.6275844714639842E-2</v>
      </c>
      <c r="BR29" s="8">
        <f t="shared" si="7"/>
        <v>2.9499999999999997</v>
      </c>
      <c r="BS29" s="5">
        <f t="shared" si="8"/>
        <v>3.60415394013439E-2</v>
      </c>
      <c r="BT29" s="7">
        <f t="shared" si="9"/>
        <v>1.8542316878791175E-2</v>
      </c>
      <c r="BU29" s="4">
        <v>3</v>
      </c>
      <c r="BV29" s="3">
        <v>3</v>
      </c>
      <c r="BW29" s="3">
        <v>3</v>
      </c>
      <c r="BX29" s="3">
        <v>3</v>
      </c>
      <c r="BY29" s="3">
        <v>3</v>
      </c>
      <c r="BZ29" s="3">
        <v>3</v>
      </c>
      <c r="CA29" s="3">
        <v>3</v>
      </c>
      <c r="CB29" s="3">
        <v>3</v>
      </c>
      <c r="CC29" s="3">
        <v>5</v>
      </c>
      <c r="CD29" s="3">
        <v>3</v>
      </c>
      <c r="CE29" s="3">
        <v>3</v>
      </c>
      <c r="CF29" s="3">
        <v>4</v>
      </c>
      <c r="CG29" s="3">
        <v>5</v>
      </c>
      <c r="CH29" s="3">
        <v>2</v>
      </c>
      <c r="CI29" s="3">
        <v>3</v>
      </c>
      <c r="CJ29" s="3">
        <v>2</v>
      </c>
      <c r="CK29" s="3">
        <v>3</v>
      </c>
      <c r="CL29" s="3">
        <v>3</v>
      </c>
      <c r="CM29" s="3">
        <v>3</v>
      </c>
      <c r="CN29" s="3">
        <v>2</v>
      </c>
      <c r="CO29" s="3">
        <v>3</v>
      </c>
      <c r="CP29" s="6">
        <v>3</v>
      </c>
      <c r="CQ29" s="5">
        <v>3.6275844714639842E-2</v>
      </c>
      <c r="CR29" s="61"/>
    </row>
    <row r="30" spans="1:96" x14ac:dyDescent="0.35">
      <c r="A30" s="9" t="str">
        <f t="shared" si="0"/>
        <v>IT</v>
      </c>
      <c r="B30" s="9" t="s">
        <v>24</v>
      </c>
      <c r="C30" s="20"/>
      <c r="D30" s="9" t="s">
        <v>2</v>
      </c>
      <c r="E30" s="9" t="s">
        <v>193</v>
      </c>
      <c r="F30" s="9" t="s">
        <v>58</v>
      </c>
      <c r="G30" s="19">
        <v>0</v>
      </c>
      <c r="H30" s="9">
        <v>2014</v>
      </c>
      <c r="I30" s="9">
        <v>6</v>
      </c>
      <c r="J30" s="18">
        <f>INDEX(PTRS!$D$6:$D$12,MATCH('6'!$F30,PTRS!$B$6:$B$12,0))</f>
        <v>0.13923000000000002</v>
      </c>
      <c r="K30" s="17">
        <v>0</v>
      </c>
      <c r="L30" s="17">
        <v>0.1044225</v>
      </c>
      <c r="M30" s="17">
        <v>0.13923000000000002</v>
      </c>
      <c r="N30" s="17">
        <v>0.1</v>
      </c>
      <c r="O30" s="17">
        <v>0.1</v>
      </c>
      <c r="P30" s="17">
        <v>0.1044225</v>
      </c>
      <c r="Q30" s="17">
        <v>1</v>
      </c>
      <c r="R30" s="17">
        <v>1</v>
      </c>
      <c r="S30" s="17">
        <v>1</v>
      </c>
      <c r="T30" s="17"/>
      <c r="U30" s="17">
        <f t="shared" si="1"/>
        <v>0.72649652910676854</v>
      </c>
      <c r="V30" s="17">
        <v>1</v>
      </c>
      <c r="W30" s="9" t="s">
        <v>24</v>
      </c>
      <c r="X30" s="9">
        <f>INDEX('Unique Asset List'!$C$4:$I$60,MATCH('6'!$B30,'Unique Asset List'!$A$4:$A$60,0),MATCH('6'!$C$1,'Unique Asset List'!$C$3:$I$3,0))</f>
        <v>2027</v>
      </c>
      <c r="Y30" s="9">
        <f>INDEX('Unique Asset List'!$J$4:$P$60,MATCH('6'!$B30,'Unique Asset List'!$A$4:$A$60,0),MATCH('6'!$C$1,'Unique Asset List'!$J$3:$P$3,0))</f>
        <v>6.9999999999990905</v>
      </c>
      <c r="Z30" s="9">
        <f>INDEX('Unique Asset List'!$X$4:$AD$60,MATCH('6'!$B30,'Unique Asset List'!$A$4:$A$60,0),MATCH('6'!$C$1,'Unique Asset List'!$X$3:$AD$3,0))</f>
        <v>2037</v>
      </c>
      <c r="AA30" s="9">
        <f>INDEX('Unique Asset List'!$AE$4:$AK$60,MATCH('6'!$B30,'Unique Asset List'!$A$4:$A$60,0),MATCH('6'!$C$1,'Unique Asset List'!$AE$3:$AK$3,0))</f>
        <v>2</v>
      </c>
      <c r="AB30" s="16">
        <f t="shared" si="2"/>
        <v>2.3276916000000001</v>
      </c>
      <c r="AC30" s="16">
        <f t="shared" si="3"/>
        <v>1.0028454</v>
      </c>
      <c r="AD30" s="16">
        <f t="shared" si="4"/>
        <v>0.56099999999999994</v>
      </c>
      <c r="AE30" s="15">
        <f>INDEX('Unique Asset List'!$BN$4:$BT$60,MATCH('6'!$B30,'Unique Asset List'!$A$4:$A$60,0),MATCH('6'!$C$1,'Unique Asset List'!$BN$3:$BT$3,0))</f>
        <v>0.18</v>
      </c>
      <c r="AF30" s="15">
        <f>INDEX('Unique Asset List'!$BU$4:$CA$60,MATCH('6'!$B30,'Unique Asset List'!$A$4:$A$60,0),MATCH('6'!$C$1,'Unique Asset List'!$BU$3:$CA$3,0))</f>
        <v>0.32</v>
      </c>
      <c r="AG30" s="15">
        <f>INDEX('Unique Asset List'!$AZ$4:$BF$60,MATCH('6'!$B30,'Unique Asset List'!$A$4:$A$60,0),MATCH('6'!$C$1,'Unique Asset List'!$AZ$3:$BF$3,0))</f>
        <v>0.18</v>
      </c>
      <c r="AH30" s="15">
        <f>INDEX('Unique Asset List'!$BG$4:$BM$60,MATCH('6'!$B30,'Unique Asset List'!$A$4:$A$60,0),MATCH('6'!$C$1,'Unique Asset List'!$BG$3:$BM$3,0))</f>
        <v>0.32</v>
      </c>
      <c r="AI30" s="11">
        <v>0.96187963349867744</v>
      </c>
      <c r="AJ30" s="15">
        <f>INDEX('Unique Asset List'!$AL$4:$AR$60,MATCH('6'!$B30,'Unique Asset List'!$A$4:$A$60,0),MATCH('6'!$C$1,'Unique Asset List'!$AL$3:$AR$3,0))</f>
        <v>0.32314284341629806</v>
      </c>
      <c r="AK30" s="15">
        <f>INDEX('Unique Asset List'!$AS$4:$AY$60,MATCH('6'!$B30,'Unique Asset List'!$A$4:$A$60,0),MATCH('6'!$C$1,'Unique Asset List'!$AS$3:$AY$3,0))</f>
        <v>0.61768216477991222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0"/>
      <c r="AU30" s="4">
        <f>IF($C$5="ON",BU30,MyRating(_E1,$B30,Efficacy!$F$1))</f>
        <v>4</v>
      </c>
      <c r="AV30" s="3">
        <f>IF($C$5="ON",BV30,MyRating(_E2,$B30,Efficacy!$F$1))</f>
        <v>5</v>
      </c>
      <c r="AW30" s="3">
        <f>IF($C$5="ON",BW30,MyRating(_E3,$B30,Efficacy!$F$1))</f>
        <v>5</v>
      </c>
      <c r="AX30" s="3">
        <f>IF($C$5="ON",BX30,MyRating(_E4,$B30,Efficacy!$F$1))</f>
        <v>4</v>
      </c>
      <c r="AY30" s="3">
        <f>IF($C$5="ON",BY30,MyRating(_E5,$B30,Efficacy!$F$1))</f>
        <v>4</v>
      </c>
      <c r="AZ30" s="3">
        <f>IF($C$5="ON",BZ30,MyRating(_E6,$B30,Efficacy!$F$1))</f>
        <v>3</v>
      </c>
      <c r="BA30" s="3">
        <f>IF($C$5="ON",CA30,MyRating(_E7,$B30,Efficacy!$F$1))</f>
        <v>3</v>
      </c>
      <c r="BB30" s="3">
        <f>IF($C$5="ON",CB30,MyRating(_E8,$B30,Efficacy!$F$1))</f>
        <v>4</v>
      </c>
      <c r="BC30" s="3">
        <f>IF($C$5="ON",CC30,MyRating(_S1,$B30,Efficacy!$F$1))</f>
        <v>5</v>
      </c>
      <c r="BD30" s="3">
        <f>IF($C$5="ON",CD30,MyRating(_S2,$B30,Efficacy!$F$1))</f>
        <v>3</v>
      </c>
      <c r="BE30" s="3">
        <f>IF($C$5="ON",CE30,MyRating(_S3,$B30,Efficacy!$F$1))</f>
        <v>3</v>
      </c>
      <c r="BF30" s="3">
        <f>IF($C$5="ON",CF30,MyRating(_S4,$B30,Efficacy!$F$1))</f>
        <v>4</v>
      </c>
      <c r="BG30" s="3">
        <f>IF($C$5="ON",CG30,MyRating(_S5,$B30,Efficacy!$F$1))</f>
        <v>5</v>
      </c>
      <c r="BH30" s="3">
        <f>IF($C$5="ON",CH30,MyRating(_S6,$B30,Efficacy!$F$1))</f>
        <v>3</v>
      </c>
      <c r="BI30" s="3">
        <f>IF($C$5="ON",CI30,MyRating(_S7,$B30,Efficacy!$F$1))</f>
        <v>3</v>
      </c>
      <c r="BJ30" s="3">
        <f>IF($C$5="ON",CJ30,MyRating(_D1,$B30,Efficacy!$F$1))</f>
        <v>3</v>
      </c>
      <c r="BK30" s="3">
        <f>IF($C$5="ON",CK30,MyRating(_D2,$B30,Efficacy!$F$1))</f>
        <v>3</v>
      </c>
      <c r="BL30" s="3">
        <f>IF($C$5="ON",CL30,MyRating(_D3,$B30,Efficacy!$F$1))</f>
        <v>3</v>
      </c>
      <c r="BM30" s="3">
        <f>IF($C$5="ON",CM30,MyRating(_D4,$B30,Efficacy!$F$1))</f>
        <v>3</v>
      </c>
      <c r="BN30" s="3">
        <f>IF($C$5="ON",CN30,MyRating(_B1G5,$B30,Barrier!$L$2))</f>
        <v>2</v>
      </c>
      <c r="BO30" s="3">
        <f>IF($C$5="ON",CO30,MyRating(_B2,$B30,Barrier!$F$2))</f>
        <v>3</v>
      </c>
      <c r="BP30" s="6">
        <f>IF($C$5="ON",CP30,MyRating(_B3,$B30,Barrier!$F$2))</f>
        <v>3</v>
      </c>
      <c r="BQ30" s="5">
        <f t="shared" si="6"/>
        <v>3.6275844714639842E-2</v>
      </c>
      <c r="BR30" s="8">
        <f t="shared" si="7"/>
        <v>2.9499999999999997</v>
      </c>
      <c r="BS30" s="5">
        <f t="shared" si="8"/>
        <v>3.60415394013439E-2</v>
      </c>
      <c r="BT30" s="7">
        <f t="shared" si="9"/>
        <v>1.8542316878791175E-2</v>
      </c>
      <c r="BU30" s="4">
        <v>4</v>
      </c>
      <c r="BV30" s="3">
        <v>5</v>
      </c>
      <c r="BW30" s="3">
        <v>5</v>
      </c>
      <c r="BX30" s="3">
        <v>4</v>
      </c>
      <c r="BY30" s="3">
        <v>4</v>
      </c>
      <c r="BZ30" s="3">
        <v>3</v>
      </c>
      <c r="CA30" s="3">
        <v>3</v>
      </c>
      <c r="CB30" s="3">
        <v>4</v>
      </c>
      <c r="CC30" s="3">
        <v>5</v>
      </c>
      <c r="CD30" s="3">
        <v>3</v>
      </c>
      <c r="CE30" s="3">
        <v>3</v>
      </c>
      <c r="CF30" s="3">
        <v>4</v>
      </c>
      <c r="CG30" s="3">
        <v>5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3</v>
      </c>
      <c r="CN30" s="3">
        <v>2</v>
      </c>
      <c r="CO30" s="3">
        <v>3</v>
      </c>
      <c r="CP30" s="6">
        <v>3</v>
      </c>
      <c r="CQ30" s="5">
        <v>3.6275844714639842E-2</v>
      </c>
      <c r="CR30" s="61"/>
    </row>
    <row r="31" spans="1:96" x14ac:dyDescent="0.35">
      <c r="A31" s="9" t="str">
        <f t="shared" si="0"/>
        <v>IT</v>
      </c>
      <c r="B31" s="9" t="s">
        <v>66</v>
      </c>
      <c r="C31" s="20" t="s">
        <v>3</v>
      </c>
      <c r="D31" s="9" t="s">
        <v>2</v>
      </c>
      <c r="E31" s="9" t="s">
        <v>193</v>
      </c>
      <c r="F31" s="9" t="s">
        <v>1</v>
      </c>
      <c r="G31" s="19">
        <v>0</v>
      </c>
      <c r="H31" s="9">
        <v>2014</v>
      </c>
      <c r="I31" s="9">
        <v>6</v>
      </c>
      <c r="J31" s="18">
        <f>INDEX(PTRS!$D$6:$D$12,MATCH('6'!$F31,PTRS!$B$6:$B$12,0))</f>
        <v>0.1044225</v>
      </c>
      <c r="K31" s="17">
        <v>0</v>
      </c>
      <c r="L31" s="17">
        <v>0.1044225</v>
      </c>
      <c r="M31" s="17">
        <v>0.1044225</v>
      </c>
      <c r="N31" s="17">
        <v>0.1044225</v>
      </c>
      <c r="O31" s="17">
        <v>0.1044225</v>
      </c>
      <c r="P31" s="17">
        <v>0.1044225</v>
      </c>
      <c r="Q31" s="17">
        <v>1</v>
      </c>
      <c r="R31" s="17">
        <v>1</v>
      </c>
      <c r="S31" s="17">
        <v>1</v>
      </c>
      <c r="T31" s="17"/>
      <c r="U31" s="17">
        <f t="shared" si="1"/>
        <v>0.72649652910676854</v>
      </c>
      <c r="V31" s="17">
        <v>1</v>
      </c>
      <c r="W31" s="9" t="s">
        <v>62</v>
      </c>
      <c r="X31" s="9">
        <f>INDEX('Unique Asset List'!$C$4:$I$60,MATCH('6'!$B31,'Unique Asset List'!$A$4:$A$60,0),MATCH('6'!$C$1,'Unique Asset List'!$C$3:$I$3,0))</f>
        <v>2030</v>
      </c>
      <c r="Y31" s="9">
        <f>INDEX('Unique Asset List'!$J$4:$P$60,MATCH('6'!$B31,'Unique Asset List'!$A$4:$A$60,0),MATCH('6'!$C$1,'Unique Asset List'!$J$3:$P$3,0))</f>
        <v>3.9999999999990905</v>
      </c>
      <c r="Z31" s="9">
        <f>INDEX('Unique Asset List'!$X$4:$AD$60,MATCH('6'!$B31,'Unique Asset List'!$A$4:$A$60,0),MATCH('6'!$C$1,'Unique Asset List'!$X$3:$AD$3,0))</f>
        <v>2038</v>
      </c>
      <c r="AA31" s="9">
        <f>INDEX('Unique Asset List'!$AE$4:$AK$60,MATCH('6'!$B31,'Unique Asset List'!$A$4:$A$60,0),MATCH('6'!$C$1,'Unique Asset List'!$AE$3:$AK$3,0))</f>
        <v>3</v>
      </c>
      <c r="AB31" s="16">
        <f t="shared" si="2"/>
        <v>2.3276916000000001</v>
      </c>
      <c r="AC31" s="16">
        <f t="shared" si="3"/>
        <v>1.0028454</v>
      </c>
      <c r="AD31" s="16">
        <f t="shared" si="4"/>
        <v>0.56099999999999994</v>
      </c>
      <c r="AE31" s="15">
        <f>INDEX('Unique Asset List'!$BN$4:$BT$60,MATCH('6'!$B31,'Unique Asset List'!$A$4:$A$60,0),MATCH('6'!$C$1,'Unique Asset List'!$BN$3:$BT$3,0))</f>
        <v>0.23</v>
      </c>
      <c r="AF31" s="15">
        <f>INDEX('Unique Asset List'!$BU$4:$CA$60,MATCH('6'!$B31,'Unique Asset List'!$A$4:$A$60,0),MATCH('6'!$C$1,'Unique Asset List'!$BU$3:$CA$3,0))</f>
        <v>0.27</v>
      </c>
      <c r="AG31" s="15">
        <f>INDEX('Unique Asset List'!$AZ$4:$BF$60,MATCH('6'!$B31,'Unique Asset List'!$A$4:$A$60,0),MATCH('6'!$C$1,'Unique Asset List'!$AZ$3:$BF$3,0))</f>
        <v>0.23</v>
      </c>
      <c r="AH31" s="15">
        <f>INDEX('Unique Asset List'!$BG$4:$BM$60,MATCH('6'!$B31,'Unique Asset List'!$A$4:$A$60,0),MATCH('6'!$C$1,'Unique Asset List'!$BG$3:$BM$3,0))</f>
        <v>0.27</v>
      </c>
      <c r="AI31" s="11">
        <v>0.96187963349867744</v>
      </c>
      <c r="AJ31" s="15">
        <f>INDEX('Unique Asset List'!$AL$4:$AR$60,MATCH('6'!$B31,'Unique Asset List'!$A$4:$A$60,0),MATCH('6'!$C$1,'Unique Asset List'!$AL$3:$AR$3,0))</f>
        <v>0.32314284341629806</v>
      </c>
      <c r="AK31" s="15">
        <f>INDEX('Unique Asset List'!$AS$4:$AY$60,MATCH('6'!$B31,'Unique Asset List'!$A$4:$A$60,0),MATCH('6'!$C$1,'Unique Asset List'!$AS$3:$AY$3,0))</f>
        <v>0.61768216477991222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0"/>
      <c r="AU31" s="4">
        <f>IF($C$5="ON",BU31,MyRating(_E1,$B31,Efficacy!$F$1))</f>
        <v>4</v>
      </c>
      <c r="AV31" s="3">
        <f>IF($C$5="ON",BV31,MyRating(_E2,$B31,Efficacy!$F$1))</f>
        <v>5</v>
      </c>
      <c r="AW31" s="3">
        <f>IF($C$5="ON",BW31,MyRating(_E3,$B31,Efficacy!$F$1))</f>
        <v>5</v>
      </c>
      <c r="AX31" s="3">
        <f>IF($C$5="ON",BX31,MyRating(_E4,$B31,Efficacy!$F$1))</f>
        <v>4</v>
      </c>
      <c r="AY31" s="3">
        <f>IF($C$5="ON",BY31,MyRating(_E5,$B31,Efficacy!$F$1))</f>
        <v>4</v>
      </c>
      <c r="AZ31" s="3">
        <f>IF($C$5="ON",BZ31,MyRating(_E6,$B31,Efficacy!$F$1))</f>
        <v>3</v>
      </c>
      <c r="BA31" s="3">
        <f>IF($C$5="ON",CA31,MyRating(_E7,$B31,Efficacy!$F$1))</f>
        <v>3</v>
      </c>
      <c r="BB31" s="3">
        <f>IF($C$5="ON",CB31,MyRating(_E8,$B31,Efficacy!$F$1))</f>
        <v>4</v>
      </c>
      <c r="BC31" s="3">
        <f>IF($C$5="ON",CC31,MyRating(_S1,$B31,Efficacy!$F$1))</f>
        <v>5</v>
      </c>
      <c r="BD31" s="3">
        <f>IF($C$5="ON",CD31,MyRating(_S2,$B31,Efficacy!$F$1))</f>
        <v>3</v>
      </c>
      <c r="BE31" s="3">
        <f>IF($C$5="ON",CE31,MyRating(_S3,$B31,Efficacy!$F$1))</f>
        <v>3</v>
      </c>
      <c r="BF31" s="3">
        <f>IF($C$5="ON",CF31,MyRating(_S4,$B31,Efficacy!$F$1))</f>
        <v>4</v>
      </c>
      <c r="BG31" s="3">
        <f>IF($C$5="ON",CG31,MyRating(_S5,$B31,Efficacy!$F$1))</f>
        <v>5</v>
      </c>
      <c r="BH31" s="3">
        <f>IF($C$5="ON",CH31,MyRating(_S6,$B31,Efficacy!$F$1))</f>
        <v>3</v>
      </c>
      <c r="BI31" s="3">
        <f>IF($C$5="ON",CI31,MyRating(_S7,$B31,Efficacy!$F$1))</f>
        <v>3</v>
      </c>
      <c r="BJ31" s="3">
        <f>IF($C$5="ON",CJ31,MyRating(_D1,$B31,Efficacy!$F$1))</f>
        <v>3</v>
      </c>
      <c r="BK31" s="3">
        <f>IF($C$5="ON",CK31,MyRating(_D2,$B31,Efficacy!$F$1))</f>
        <v>3</v>
      </c>
      <c r="BL31" s="3">
        <f>IF($C$5="ON",CL31,MyRating(_D3,$B31,Efficacy!$F$1))</f>
        <v>3</v>
      </c>
      <c r="BM31" s="3">
        <f>IF($C$5="ON",CM31,MyRating(_D4,$B31,Efficacy!$F$1))</f>
        <v>3</v>
      </c>
      <c r="BN31" s="3">
        <f>IF($C$5="ON",CN31,MyRating(_B1G5,$B31,Barrier!$L$2))</f>
        <v>2</v>
      </c>
      <c r="BO31" s="3">
        <f>IF($C$5="ON",CO31,MyRating(_B2,$B31,Barrier!$F$2))</f>
        <v>3</v>
      </c>
      <c r="BP31" s="6">
        <f>IF($C$5="ON",CP31,MyRating(_B3,$B31,Barrier!$F$2))</f>
        <v>3</v>
      </c>
      <c r="BQ31" s="5">
        <f t="shared" si="6"/>
        <v>3.6275844714639842E-2</v>
      </c>
      <c r="BR31" s="8">
        <f t="shared" si="7"/>
        <v>2.9499999999999997</v>
      </c>
      <c r="BS31" s="5">
        <f t="shared" si="8"/>
        <v>3.60415394013439E-2</v>
      </c>
      <c r="BT31" s="7">
        <f t="shared" si="9"/>
        <v>1.8542316878791175E-2</v>
      </c>
      <c r="BU31" s="4">
        <v>4</v>
      </c>
      <c r="BV31" s="3">
        <v>5</v>
      </c>
      <c r="BW31" s="3">
        <v>5</v>
      </c>
      <c r="BX31" s="3">
        <v>4</v>
      </c>
      <c r="BY31" s="3">
        <v>4</v>
      </c>
      <c r="BZ31" s="3">
        <v>3</v>
      </c>
      <c r="CA31" s="3">
        <v>3</v>
      </c>
      <c r="CB31" s="3">
        <v>4</v>
      </c>
      <c r="CC31" s="3">
        <v>5</v>
      </c>
      <c r="CD31" s="3">
        <v>3</v>
      </c>
      <c r="CE31" s="3">
        <v>3</v>
      </c>
      <c r="CF31" s="3">
        <v>4</v>
      </c>
      <c r="CG31" s="3">
        <v>5</v>
      </c>
      <c r="CH31" s="3">
        <v>3</v>
      </c>
      <c r="CI31" s="3">
        <v>3</v>
      </c>
      <c r="CJ31" s="3">
        <v>3</v>
      </c>
      <c r="CK31" s="3">
        <v>3</v>
      </c>
      <c r="CL31" s="3">
        <v>3</v>
      </c>
      <c r="CM31" s="3">
        <v>3</v>
      </c>
      <c r="CN31" s="3">
        <v>2</v>
      </c>
      <c r="CO31" s="3">
        <v>3</v>
      </c>
      <c r="CP31" s="6">
        <v>3</v>
      </c>
      <c r="CQ31" s="5">
        <v>3.6275844714639842E-2</v>
      </c>
      <c r="CR31" s="61"/>
    </row>
    <row r="32" spans="1:96" x14ac:dyDescent="0.35">
      <c r="A32" s="9" t="str">
        <f t="shared" si="0"/>
        <v>IT</v>
      </c>
      <c r="B32" s="9" t="s">
        <v>57</v>
      </c>
      <c r="C32" s="20" t="s">
        <v>3</v>
      </c>
      <c r="D32" s="9" t="s">
        <v>2</v>
      </c>
      <c r="E32" s="9" t="s">
        <v>193</v>
      </c>
      <c r="F32" s="9" t="s">
        <v>1</v>
      </c>
      <c r="G32" s="19">
        <v>0</v>
      </c>
      <c r="H32" s="9">
        <v>2014</v>
      </c>
      <c r="I32" s="9">
        <v>6</v>
      </c>
      <c r="J32" s="18">
        <f>INDEX(PTRS!$D$6:$D$12,MATCH('6'!$F32,PTRS!$B$6:$B$12,0))</f>
        <v>0.1044225</v>
      </c>
      <c r="K32" s="17">
        <v>0</v>
      </c>
      <c r="L32" s="17">
        <v>0.1044225</v>
      </c>
      <c r="M32" s="17">
        <v>0.1044225</v>
      </c>
      <c r="N32" s="17">
        <v>0.1044225</v>
      </c>
      <c r="O32" s="17">
        <v>0.1044225</v>
      </c>
      <c r="P32" s="17">
        <v>0.1044225</v>
      </c>
      <c r="Q32" s="17">
        <v>1</v>
      </c>
      <c r="R32" s="17">
        <v>1</v>
      </c>
      <c r="S32" s="17">
        <v>1</v>
      </c>
      <c r="T32" s="17"/>
      <c r="U32" s="17">
        <f t="shared" si="1"/>
        <v>0.72649652910676854</v>
      </c>
      <c r="V32" s="17">
        <v>1</v>
      </c>
      <c r="W32" s="9" t="s">
        <v>57</v>
      </c>
      <c r="X32" s="9">
        <f>INDEX('Unique Asset List'!$C$4:$I$60,MATCH('6'!$B32,'Unique Asset List'!$A$4:$A$60,0),MATCH('6'!$C$1,'Unique Asset List'!$C$3:$I$3,0))</f>
        <v>2030</v>
      </c>
      <c r="Y32" s="9">
        <f>INDEX('Unique Asset List'!$J$4:$P$60,MATCH('6'!$B32,'Unique Asset List'!$A$4:$A$60,0),MATCH('6'!$C$1,'Unique Asset List'!$J$3:$P$3,0))</f>
        <v>9.9999999999990905</v>
      </c>
      <c r="Z32" s="9">
        <f>INDEX('Unique Asset List'!$X$4:$AD$60,MATCH('6'!$B32,'Unique Asset List'!$A$4:$A$60,0),MATCH('6'!$C$1,'Unique Asset List'!$X$3:$AD$3,0))</f>
        <v>2038</v>
      </c>
      <c r="AA32" s="9">
        <f>INDEX('Unique Asset List'!$AE$4:$AK$60,MATCH('6'!$B32,'Unique Asset List'!$A$4:$A$60,0),MATCH('6'!$C$1,'Unique Asset List'!$AE$3:$AK$3,0))</f>
        <v>9</v>
      </c>
      <c r="AB32" s="16">
        <f t="shared" si="2"/>
        <v>2.3276916000000001</v>
      </c>
      <c r="AC32" s="16">
        <f t="shared" si="3"/>
        <v>1.0028454</v>
      </c>
      <c r="AD32" s="16">
        <f t="shared" si="4"/>
        <v>0.56099999999999994</v>
      </c>
      <c r="AE32" s="15">
        <f>INDEX('Unique Asset List'!$BN$4:$BT$60,MATCH('6'!$B32,'Unique Asset List'!$A$4:$A$60,0),MATCH('6'!$C$1,'Unique Asset List'!$BN$3:$BT$3,0))</f>
        <v>0.23</v>
      </c>
      <c r="AF32" s="15">
        <f>INDEX('Unique Asset List'!$BU$4:$CA$60,MATCH('6'!$B32,'Unique Asset List'!$A$4:$A$60,0),MATCH('6'!$C$1,'Unique Asset List'!$BU$3:$CA$3,0))</f>
        <v>0.27</v>
      </c>
      <c r="AG32" s="15">
        <f>INDEX('Unique Asset List'!$AZ$4:$BF$60,MATCH('6'!$B32,'Unique Asset List'!$A$4:$A$60,0),MATCH('6'!$C$1,'Unique Asset List'!$AZ$3:$BF$3,0))</f>
        <v>0.23</v>
      </c>
      <c r="AH32" s="15">
        <f>INDEX('Unique Asset List'!$BG$4:$BM$60,MATCH('6'!$B32,'Unique Asset List'!$A$4:$A$60,0),MATCH('6'!$C$1,'Unique Asset List'!$BG$3:$BM$3,0))</f>
        <v>0.27</v>
      </c>
      <c r="AI32" s="11">
        <v>0.96187963349867744</v>
      </c>
      <c r="AJ32" s="15">
        <f>INDEX('Unique Asset List'!$AL$4:$AR$60,MATCH('6'!$B32,'Unique Asset List'!$A$4:$A$60,0),MATCH('6'!$C$1,'Unique Asset List'!$AL$3:$AR$3,0))</f>
        <v>0.32314284341629806</v>
      </c>
      <c r="AK32" s="15">
        <f>INDEX('Unique Asset List'!$AS$4:$AY$60,MATCH('6'!$B32,'Unique Asset List'!$A$4:$A$60,0),MATCH('6'!$C$1,'Unique Asset List'!$AS$3:$AY$3,0))</f>
        <v>0.61768216477991222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0"/>
      <c r="AU32" s="4">
        <f>IF($C$5="ON",BU32,MyRating(_E1,$B32,Efficacy!$F$1))</f>
        <v>4</v>
      </c>
      <c r="AV32" s="3">
        <f>IF($C$5="ON",BV32,MyRating(_E2,$B32,Efficacy!$F$1))</f>
        <v>5</v>
      </c>
      <c r="AW32" s="3">
        <f>IF($C$5="ON",BW32,MyRating(_E3,$B32,Efficacy!$F$1))</f>
        <v>5</v>
      </c>
      <c r="AX32" s="3">
        <f>IF($C$5="ON",BX32,MyRating(_E4,$B32,Efficacy!$F$1))</f>
        <v>4</v>
      </c>
      <c r="AY32" s="3">
        <f>IF($C$5="ON",BY32,MyRating(_E5,$B32,Efficacy!$F$1))</f>
        <v>4</v>
      </c>
      <c r="AZ32" s="3">
        <f>IF($C$5="ON",BZ32,MyRating(_E6,$B32,Efficacy!$F$1))</f>
        <v>3</v>
      </c>
      <c r="BA32" s="3">
        <f>IF($C$5="ON",CA32,MyRating(_E7,$B32,Efficacy!$F$1))</f>
        <v>3</v>
      </c>
      <c r="BB32" s="3">
        <f>IF($C$5="ON",CB32,MyRating(_E8,$B32,Efficacy!$F$1))</f>
        <v>4</v>
      </c>
      <c r="BC32" s="3">
        <f>IF($C$5="ON",CC32,MyRating(_S1,$B32,Efficacy!$F$1))</f>
        <v>5</v>
      </c>
      <c r="BD32" s="3">
        <f>IF($C$5="ON",CD32,MyRating(_S2,$B32,Efficacy!$F$1))</f>
        <v>3</v>
      </c>
      <c r="BE32" s="3">
        <f>IF($C$5="ON",CE32,MyRating(_S3,$B32,Efficacy!$F$1))</f>
        <v>3</v>
      </c>
      <c r="BF32" s="3">
        <f>IF($C$5="ON",CF32,MyRating(_S4,$B32,Efficacy!$F$1))</f>
        <v>4</v>
      </c>
      <c r="BG32" s="3">
        <f>IF($C$5="ON",CG32,MyRating(_S5,$B32,Efficacy!$F$1))</f>
        <v>5</v>
      </c>
      <c r="BH32" s="3">
        <f>IF($C$5="ON",CH32,MyRating(_S6,$B32,Efficacy!$F$1))</f>
        <v>3</v>
      </c>
      <c r="BI32" s="3">
        <f>IF($C$5="ON",CI32,MyRating(_S7,$B32,Efficacy!$F$1))</f>
        <v>3</v>
      </c>
      <c r="BJ32" s="3">
        <f>IF($C$5="ON",CJ32,MyRating(_D1,$B32,Efficacy!$F$1))</f>
        <v>3</v>
      </c>
      <c r="BK32" s="3">
        <f>IF($C$5="ON",CK32,MyRating(_D2,$B32,Efficacy!$F$1))</f>
        <v>3</v>
      </c>
      <c r="BL32" s="3">
        <f>IF($C$5="ON",CL32,MyRating(_D3,$B32,Efficacy!$F$1))</f>
        <v>3</v>
      </c>
      <c r="BM32" s="3">
        <f>IF($C$5="ON",CM32,MyRating(_D4,$B32,Efficacy!$F$1))</f>
        <v>3</v>
      </c>
      <c r="BN32" s="3">
        <f>IF($C$5="ON",CN32,MyRating(_B1G5,$B32,Barrier!$L$2))</f>
        <v>2</v>
      </c>
      <c r="BO32" s="3">
        <f>IF($C$5="ON",CO32,MyRating(_B2,$B32,Barrier!$F$2))</f>
        <v>3</v>
      </c>
      <c r="BP32" s="6">
        <f>IF($C$5="ON",CP32,MyRating(_B3,$B32,Barrier!$F$2))</f>
        <v>3</v>
      </c>
      <c r="BQ32" s="5">
        <f t="shared" si="6"/>
        <v>3.6275844714639842E-2</v>
      </c>
      <c r="BR32" s="8">
        <f t="shared" si="7"/>
        <v>2.9499999999999997</v>
      </c>
      <c r="BS32" s="5">
        <f t="shared" si="8"/>
        <v>3.60415394013439E-2</v>
      </c>
      <c r="BT32" s="7">
        <f t="shared" si="9"/>
        <v>1.8542316878791175E-2</v>
      </c>
      <c r="BU32" s="4">
        <v>4</v>
      </c>
      <c r="BV32" s="3">
        <v>5</v>
      </c>
      <c r="BW32" s="3">
        <v>5</v>
      </c>
      <c r="BX32" s="3">
        <v>4</v>
      </c>
      <c r="BY32" s="3">
        <v>4</v>
      </c>
      <c r="BZ32" s="3">
        <v>3</v>
      </c>
      <c r="CA32" s="3">
        <v>3</v>
      </c>
      <c r="CB32" s="3">
        <v>4</v>
      </c>
      <c r="CC32" s="3">
        <v>5</v>
      </c>
      <c r="CD32" s="3">
        <v>3</v>
      </c>
      <c r="CE32" s="3">
        <v>3</v>
      </c>
      <c r="CF32" s="3">
        <v>4</v>
      </c>
      <c r="CG32" s="3">
        <v>5</v>
      </c>
      <c r="CH32" s="3">
        <v>3</v>
      </c>
      <c r="CI32" s="3">
        <v>3</v>
      </c>
      <c r="CJ32" s="3">
        <v>3</v>
      </c>
      <c r="CK32" s="3">
        <v>3</v>
      </c>
      <c r="CL32" s="3">
        <v>3</v>
      </c>
      <c r="CM32" s="3">
        <v>3</v>
      </c>
      <c r="CN32" s="3">
        <v>2</v>
      </c>
      <c r="CO32" s="3">
        <v>3</v>
      </c>
      <c r="CP32" s="6">
        <v>3</v>
      </c>
      <c r="CQ32" s="5">
        <v>3.6275844714639842E-2</v>
      </c>
      <c r="CR32" s="61"/>
    </row>
    <row r="33" spans="1:96" x14ac:dyDescent="0.35">
      <c r="A33" s="9" t="str">
        <f t="shared" si="0"/>
        <v>IT</v>
      </c>
      <c r="B33" s="9" t="s">
        <v>28</v>
      </c>
      <c r="C33" s="20"/>
      <c r="D33" s="9" t="s">
        <v>2</v>
      </c>
      <c r="E33" s="9" t="s">
        <v>193</v>
      </c>
      <c r="F33" s="9" t="s">
        <v>58</v>
      </c>
      <c r="G33" s="19">
        <v>0</v>
      </c>
      <c r="H33" s="9">
        <v>2014</v>
      </c>
      <c r="I33" s="9">
        <v>6</v>
      </c>
      <c r="J33" s="18">
        <f>INDEX(PTRS!$D$6:$D$12,MATCH('6'!$F33,PTRS!$B$6:$B$12,0))</f>
        <v>0.13923000000000002</v>
      </c>
      <c r="K33" s="17">
        <v>0</v>
      </c>
      <c r="L33" s="17">
        <v>0.1044225</v>
      </c>
      <c r="M33" s="17">
        <v>0.13923000000000002</v>
      </c>
      <c r="N33" s="17">
        <v>0.1</v>
      </c>
      <c r="O33" s="17">
        <v>0.1</v>
      </c>
      <c r="P33" s="17">
        <v>0.1044225</v>
      </c>
      <c r="Q33" s="17">
        <v>0.1044225</v>
      </c>
      <c r="R33" s="17">
        <v>0.1044225</v>
      </c>
      <c r="S33" s="17">
        <v>1</v>
      </c>
      <c r="T33" s="17"/>
      <c r="U33" s="17">
        <f t="shared" si="1"/>
        <v>0.72649652910676854</v>
      </c>
      <c r="V33" s="17">
        <v>1</v>
      </c>
      <c r="W33" s="9" t="s">
        <v>27</v>
      </c>
      <c r="X33" s="9">
        <f>INDEX('Unique Asset List'!$C$4:$I$60,MATCH('6'!$B33,'Unique Asset List'!$A$4:$A$60,0),MATCH('6'!$C$1,'Unique Asset List'!$C$3:$I$3,0))</f>
        <v>2032</v>
      </c>
      <c r="Y33" s="9">
        <f>INDEX('Unique Asset List'!$J$4:$P$60,MATCH('6'!$B33,'Unique Asset List'!$A$4:$A$60,0),MATCH('6'!$C$1,'Unique Asset List'!$J$3:$P$3,0))</f>
        <v>6.9999999999990905</v>
      </c>
      <c r="Z33" s="9">
        <f>INDEX('Unique Asset List'!$X$4:$AD$60,MATCH('6'!$B33,'Unique Asset List'!$A$4:$A$60,0),MATCH('6'!$C$1,'Unique Asset List'!$X$3:$AD$3,0))</f>
        <v>2038</v>
      </c>
      <c r="AA33" s="9">
        <f>INDEX('Unique Asset List'!$AE$4:$AK$60,MATCH('6'!$B33,'Unique Asset List'!$A$4:$A$60,0),MATCH('6'!$C$1,'Unique Asset List'!$AE$3:$AK$3,0))</f>
        <v>9</v>
      </c>
      <c r="AB33" s="16">
        <f t="shared" si="2"/>
        <v>2.0289886000000004</v>
      </c>
      <c r="AC33" s="16">
        <f t="shared" si="3"/>
        <v>0.85031269999999992</v>
      </c>
      <c r="AD33" s="16">
        <f t="shared" si="4"/>
        <v>0.56099999999999994</v>
      </c>
      <c r="AE33" s="15">
        <f>INDEX('Unique Asset List'!$BN$4:$BT$60,MATCH('6'!$B33,'Unique Asset List'!$A$4:$A$60,0),MATCH('6'!$C$1,'Unique Asset List'!$BN$3:$BT$3,0))</f>
        <v>0.18</v>
      </c>
      <c r="AF33" s="15">
        <f>INDEX('Unique Asset List'!$BU$4:$CA$60,MATCH('6'!$B33,'Unique Asset List'!$A$4:$A$60,0),MATCH('6'!$C$1,'Unique Asset List'!$BU$3:$CA$3,0))</f>
        <v>0.32</v>
      </c>
      <c r="AG33" s="15">
        <f>INDEX('Unique Asset List'!$AZ$4:$BF$60,MATCH('6'!$B33,'Unique Asset List'!$A$4:$A$60,0),MATCH('6'!$C$1,'Unique Asset List'!$AZ$3:$BF$3,0))</f>
        <v>0.18</v>
      </c>
      <c r="AH33" s="15">
        <f>INDEX('Unique Asset List'!$BG$4:$BM$60,MATCH('6'!$B33,'Unique Asset List'!$A$4:$A$60,0),MATCH('6'!$C$1,'Unique Asset List'!$BG$3:$BM$3,0))</f>
        <v>0.32</v>
      </c>
      <c r="AI33" s="11">
        <v>0.96187963349867744</v>
      </c>
      <c r="AJ33" s="15">
        <f>INDEX('Unique Asset List'!$AL$4:$AR$60,MATCH('6'!$B33,'Unique Asset List'!$A$4:$A$60,0),MATCH('6'!$C$1,'Unique Asset List'!$AL$3:$AR$3,0))</f>
        <v>0.32314284341629806</v>
      </c>
      <c r="AK33" s="15">
        <f>INDEX('Unique Asset List'!$AS$4:$AY$60,MATCH('6'!$B33,'Unique Asset List'!$A$4:$A$60,0),MATCH('6'!$C$1,'Unique Asset List'!$AS$3:$AY$3,0))</f>
        <v>0.61768216477991222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5"/>
        <v>0.82</v>
      </c>
      <c r="AS33" s="10">
        <v>1</v>
      </c>
      <c r="AT33" s="10"/>
      <c r="AU33" s="4">
        <f>IF($C$5="ON",BU33,MyRating(_E1,$B33,Efficacy!$F$1))</f>
        <v>4</v>
      </c>
      <c r="AV33" s="3">
        <f>IF($C$5="ON",BV33,MyRating(_E2,$B33,Efficacy!$F$1))</f>
        <v>4</v>
      </c>
      <c r="AW33" s="3">
        <f>IF($C$5="ON",BW33,MyRating(_E3,$B33,Efficacy!$F$1))</f>
        <v>4</v>
      </c>
      <c r="AX33" s="3">
        <f>IF($C$5="ON",BX33,MyRating(_E4,$B33,Efficacy!$F$1))</f>
        <v>4</v>
      </c>
      <c r="AY33" s="3">
        <f>IF($C$5="ON",BY33,MyRating(_E5,$B33,Efficacy!$F$1))</f>
        <v>3</v>
      </c>
      <c r="AZ33" s="3">
        <f>IF($C$5="ON",BZ33,MyRating(_E6,$B33,Efficacy!$F$1))</f>
        <v>3</v>
      </c>
      <c r="BA33" s="3">
        <f>IF($C$5="ON",CA33,MyRating(_E7,$B33,Efficacy!$F$1))</f>
        <v>3</v>
      </c>
      <c r="BB33" s="3">
        <f>IF($C$5="ON",CB33,MyRating(_E8,$B33,Efficacy!$F$1))</f>
        <v>3</v>
      </c>
      <c r="BC33" s="3">
        <f>IF($C$5="ON",CC33,MyRating(_S1,$B33,Efficacy!$F$1))</f>
        <v>2</v>
      </c>
      <c r="BD33" s="3">
        <f>IF($C$5="ON",CD33,MyRating(_S2,$B33,Efficacy!$F$1))</f>
        <v>3</v>
      </c>
      <c r="BE33" s="3">
        <f>IF($C$5="ON",CE33,MyRating(_S3,$B33,Efficacy!$F$1))</f>
        <v>3</v>
      </c>
      <c r="BF33" s="3">
        <f>IF($C$5="ON",CF33,MyRating(_S4,$B33,Efficacy!$F$1))</f>
        <v>4</v>
      </c>
      <c r="BG33" s="3">
        <f>IF($C$5="ON",CG33,MyRating(_S5,$B33,Efficacy!$F$1))</f>
        <v>5</v>
      </c>
      <c r="BH33" s="3">
        <f>IF($C$5="ON",CH33,MyRating(_S6,$B33,Efficacy!$F$1))</f>
        <v>3</v>
      </c>
      <c r="BI33" s="3">
        <f>IF($C$5="ON",CI33,MyRating(_S7,$B33,Efficacy!$F$1))</f>
        <v>4</v>
      </c>
      <c r="BJ33" s="3">
        <f>IF($C$5="ON",CJ33,MyRating(_D1,$B33,Efficacy!$F$1))</f>
        <v>3</v>
      </c>
      <c r="BK33" s="3">
        <f>IF($C$5="ON",CK33,MyRating(_D2,$B33,Efficacy!$F$1))</f>
        <v>3</v>
      </c>
      <c r="BL33" s="3">
        <f>IF($C$5="ON",CL33,MyRating(_D3,$B33,Efficacy!$F$1))</f>
        <v>3</v>
      </c>
      <c r="BM33" s="3">
        <f>IF($C$5="ON",CM33,MyRating(_D4,$B33,Efficacy!$F$1))</f>
        <v>3</v>
      </c>
      <c r="BN33" s="3">
        <f>IF($C$5="ON",CN33,MyRating(_B1G5,$B33,Barrier!$L$2))</f>
        <v>2</v>
      </c>
      <c r="BO33" s="3">
        <f>IF($C$5="ON",CO33,MyRating(_B2,$B33,Barrier!$F$2))</f>
        <v>3</v>
      </c>
      <c r="BP33" s="6">
        <f>IF($C$5="ON",CP33,MyRating(_B3,$B33,Barrier!$F$2))</f>
        <v>3</v>
      </c>
      <c r="BQ33" s="5">
        <f t="shared" si="6"/>
        <v>3.6275844714639842E-2</v>
      </c>
      <c r="BR33" s="8">
        <f t="shared" si="7"/>
        <v>2.9499999999999997</v>
      </c>
      <c r="BS33" s="5">
        <f t="shared" si="8"/>
        <v>3.60415394013439E-2</v>
      </c>
      <c r="BT33" s="7">
        <f t="shared" si="9"/>
        <v>1.8542316878791175E-2</v>
      </c>
      <c r="BU33" s="4">
        <v>4</v>
      </c>
      <c r="BV33" s="3">
        <v>4</v>
      </c>
      <c r="BW33" s="3">
        <v>4</v>
      </c>
      <c r="BX33" s="3">
        <v>4</v>
      </c>
      <c r="BY33" s="3">
        <v>3</v>
      </c>
      <c r="BZ33" s="3">
        <v>3</v>
      </c>
      <c r="CA33" s="3">
        <v>3</v>
      </c>
      <c r="CB33" s="3">
        <v>3</v>
      </c>
      <c r="CC33" s="3">
        <v>2</v>
      </c>
      <c r="CD33" s="3">
        <v>3</v>
      </c>
      <c r="CE33" s="3">
        <v>3</v>
      </c>
      <c r="CF33" s="3">
        <v>4</v>
      </c>
      <c r="CG33" s="3">
        <v>5</v>
      </c>
      <c r="CH33" s="3">
        <v>3</v>
      </c>
      <c r="CI33" s="3">
        <v>4</v>
      </c>
      <c r="CJ33" s="3">
        <v>3</v>
      </c>
      <c r="CK33" s="3">
        <v>3</v>
      </c>
      <c r="CL33" s="3">
        <v>3</v>
      </c>
      <c r="CM33" s="3">
        <v>3</v>
      </c>
      <c r="CN33" s="3">
        <v>2</v>
      </c>
      <c r="CO33" s="3">
        <v>3</v>
      </c>
      <c r="CP33" s="6">
        <v>3</v>
      </c>
      <c r="CQ33" s="5">
        <v>3.6275844714639842E-2</v>
      </c>
      <c r="CR33" s="61"/>
    </row>
    <row r="34" spans="1:96" x14ac:dyDescent="0.35">
      <c r="A34" s="9" t="str">
        <f t="shared" si="0"/>
        <v>IT</v>
      </c>
      <c r="B34" s="9" t="s">
        <v>61</v>
      </c>
      <c r="C34" s="20"/>
      <c r="D34" s="9" t="s">
        <v>60</v>
      </c>
      <c r="E34" s="9" t="s">
        <v>59</v>
      </c>
      <c r="F34" s="9" t="s">
        <v>58</v>
      </c>
      <c r="G34" s="19">
        <v>0</v>
      </c>
      <c r="H34" s="9">
        <v>2014</v>
      </c>
      <c r="I34" s="9">
        <v>6</v>
      </c>
      <c r="J34" s="18">
        <f>INDEX(PTRS!$D$6:$D$12,MATCH('6'!$F34,PTRS!$B$6:$B$12,0))</f>
        <v>0.13923000000000002</v>
      </c>
      <c r="K34" s="17">
        <v>0</v>
      </c>
      <c r="L34" s="17">
        <v>0.1044225</v>
      </c>
      <c r="M34" s="17">
        <v>0.13923000000000002</v>
      </c>
      <c r="N34" s="17">
        <v>0.1044225</v>
      </c>
      <c r="O34" s="17">
        <v>0.1044225</v>
      </c>
      <c r="P34" s="17">
        <v>0.13923000000000002</v>
      </c>
      <c r="Q34" s="17">
        <v>0.1044225</v>
      </c>
      <c r="R34" s="17">
        <v>0.1044225</v>
      </c>
      <c r="S34" s="17">
        <v>1</v>
      </c>
      <c r="T34" s="17"/>
      <c r="U34" s="17">
        <f t="shared" si="1"/>
        <v>0.72649652910676854</v>
      </c>
      <c r="V34" s="17">
        <v>1</v>
      </c>
      <c r="W34" s="9" t="s">
        <v>57</v>
      </c>
      <c r="X34" s="9">
        <f>INDEX('Unique Asset List'!$C$4:$I$60,MATCH('6'!$B34,'Unique Asset List'!$A$4:$A$60,0),MATCH('6'!$C$1,'Unique Asset List'!$C$3:$I$3,0))</f>
        <v>2029</v>
      </c>
      <c r="Y34" s="9">
        <f>INDEX('Unique Asset List'!$J$4:$P$60,MATCH('6'!$B34,'Unique Asset List'!$A$4:$A$60,0),MATCH('6'!$C$1,'Unique Asset List'!$J$3:$P$3,0))</f>
        <v>9.9999999999990905</v>
      </c>
      <c r="Z34" s="9">
        <f>INDEX('Unique Asset List'!$X$4:$AD$60,MATCH('6'!$B34,'Unique Asset List'!$A$4:$A$60,0),MATCH('6'!$C$1,'Unique Asset List'!$X$3:$AD$3,0))</f>
        <v>2036</v>
      </c>
      <c r="AA34" s="9">
        <f>INDEX('Unique Asset List'!$AE$4:$AK$60,MATCH('6'!$B34,'Unique Asset List'!$A$4:$A$60,0),MATCH('6'!$C$1,'Unique Asset List'!$AE$3:$AK$3,0))</f>
        <v>9</v>
      </c>
      <c r="AB34" s="16">
        <f t="shared" si="2"/>
        <v>2.3276916000000001</v>
      </c>
      <c r="AC34" s="16">
        <f t="shared" si="3"/>
        <v>1.0028454</v>
      </c>
      <c r="AD34" s="16">
        <f t="shared" si="4"/>
        <v>0.56099999999999994</v>
      </c>
      <c r="AE34" s="15">
        <f>INDEX('Unique Asset List'!$BN$4:$BT$60,MATCH('6'!$B34,'Unique Asset List'!$A$4:$A$60,0),MATCH('6'!$C$1,'Unique Asset List'!$BN$3:$BT$3,0))</f>
        <v>0.23</v>
      </c>
      <c r="AF34" s="15">
        <f>INDEX('Unique Asset List'!$BU$4:$CA$60,MATCH('6'!$B34,'Unique Asset List'!$A$4:$A$60,0),MATCH('6'!$C$1,'Unique Asset List'!$BU$3:$CA$3,0))</f>
        <v>0.27</v>
      </c>
      <c r="AG34" s="15">
        <f>INDEX('Unique Asset List'!$AZ$4:$BF$60,MATCH('6'!$B34,'Unique Asset List'!$A$4:$A$60,0),MATCH('6'!$C$1,'Unique Asset List'!$AZ$3:$BF$3,0))</f>
        <v>0.23</v>
      </c>
      <c r="AH34" s="15">
        <f>INDEX('Unique Asset List'!$BG$4:$BM$60,MATCH('6'!$B34,'Unique Asset List'!$A$4:$A$60,0),MATCH('6'!$C$1,'Unique Asset List'!$BG$3:$BM$3,0))</f>
        <v>0.27</v>
      </c>
      <c r="AI34" s="11">
        <v>0.96187963349867744</v>
      </c>
      <c r="AJ34" s="15">
        <f>INDEX('Unique Asset List'!$AL$4:$AR$60,MATCH('6'!$B34,'Unique Asset List'!$A$4:$A$60,0),MATCH('6'!$C$1,'Unique Asset List'!$AL$3:$AR$3,0))</f>
        <v>0.32314284341629806</v>
      </c>
      <c r="AK34" s="15">
        <f>INDEX('Unique Asset List'!$AS$4:$AY$60,MATCH('6'!$B34,'Unique Asset List'!$A$4:$A$60,0),MATCH('6'!$C$1,'Unique Asset List'!$AS$3:$AY$3,0))</f>
        <v>0.61768216477991222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5"/>
        <v>0.82</v>
      </c>
      <c r="AS34" s="10">
        <v>1</v>
      </c>
      <c r="AT34" s="10"/>
      <c r="AU34" s="4">
        <f>IF($C$5="ON",BU34,MyRating(_E1,$B34,Efficacy!$F$1))</f>
        <v>4</v>
      </c>
      <c r="AV34" s="3">
        <f>IF($C$5="ON",BV34,MyRating(_E2,$B34,Efficacy!$F$1))</f>
        <v>5</v>
      </c>
      <c r="AW34" s="3">
        <f>IF($C$5="ON",BW34,MyRating(_E3,$B34,Efficacy!$F$1))</f>
        <v>5</v>
      </c>
      <c r="AX34" s="3">
        <f>IF($C$5="ON",BX34,MyRating(_E4,$B34,Efficacy!$F$1))</f>
        <v>4</v>
      </c>
      <c r="AY34" s="3">
        <f>IF($C$5="ON",BY34,MyRating(_E5,$B34,Efficacy!$F$1))</f>
        <v>4</v>
      </c>
      <c r="AZ34" s="3">
        <f>IF($C$5="ON",BZ34,MyRating(_E6,$B34,Efficacy!$F$1))</f>
        <v>3</v>
      </c>
      <c r="BA34" s="3">
        <f>IF($C$5="ON",CA34,MyRating(_E7,$B34,Efficacy!$F$1))</f>
        <v>3</v>
      </c>
      <c r="BB34" s="3">
        <f>IF($C$5="ON",CB34,MyRating(_E8,$B34,Efficacy!$F$1))</f>
        <v>4</v>
      </c>
      <c r="BC34" s="3">
        <f>IF($C$5="ON",CC34,MyRating(_S1,$B34,Efficacy!$F$1))</f>
        <v>5</v>
      </c>
      <c r="BD34" s="3">
        <f>IF($C$5="ON",CD34,MyRating(_S2,$B34,Efficacy!$F$1))</f>
        <v>3</v>
      </c>
      <c r="BE34" s="3">
        <f>IF($C$5="ON",CE34,MyRating(_S3,$B34,Efficacy!$F$1))</f>
        <v>3</v>
      </c>
      <c r="BF34" s="3">
        <f>IF($C$5="ON",CF34,MyRating(_S4,$B34,Efficacy!$F$1))</f>
        <v>4</v>
      </c>
      <c r="BG34" s="3">
        <f>IF($C$5="ON",CG34,MyRating(_S5,$B34,Efficacy!$F$1))</f>
        <v>5</v>
      </c>
      <c r="BH34" s="3">
        <f>IF($C$5="ON",CH34,MyRating(_S6,$B34,Efficacy!$F$1))</f>
        <v>3</v>
      </c>
      <c r="BI34" s="3">
        <f>IF($C$5="ON",CI34,MyRating(_S7,$B34,Efficacy!$F$1))</f>
        <v>3</v>
      </c>
      <c r="BJ34" s="3">
        <f>IF($C$5="ON",CJ34,MyRating(_D1,$B34,Efficacy!$F$1))</f>
        <v>3</v>
      </c>
      <c r="BK34" s="3">
        <f>IF($C$5="ON",CK34,MyRating(_D2,$B34,Efficacy!$F$1))</f>
        <v>3</v>
      </c>
      <c r="BL34" s="3">
        <f>IF($C$5="ON",CL34,MyRating(_D3,$B34,Efficacy!$F$1))</f>
        <v>3</v>
      </c>
      <c r="BM34" s="3">
        <f>IF($C$5="ON",CM34,MyRating(_D4,$B34,Efficacy!$F$1))</f>
        <v>3</v>
      </c>
      <c r="BN34" s="3">
        <f>IF($C$5="ON",CN34,MyRating(_B1G5,$B34,Barrier!$L$2))</f>
        <v>2</v>
      </c>
      <c r="BO34" s="3">
        <f>IF($C$5="ON",CO34,MyRating(_B2,$B34,Barrier!$F$2))</f>
        <v>3</v>
      </c>
      <c r="BP34" s="6">
        <f>IF($C$5="ON",CP34,MyRating(_B3,$B34,Barrier!$F$2))</f>
        <v>3</v>
      </c>
      <c r="BQ34" s="5">
        <f t="shared" si="6"/>
        <v>3.6275844714639842E-2</v>
      </c>
      <c r="BR34" s="8">
        <f t="shared" si="7"/>
        <v>2.9499999999999997</v>
      </c>
      <c r="BS34" s="5">
        <f t="shared" si="8"/>
        <v>3.60415394013439E-2</v>
      </c>
      <c r="BT34" s="7">
        <f t="shared" si="9"/>
        <v>1.8542316878791175E-2</v>
      </c>
      <c r="BU34" s="4">
        <v>4</v>
      </c>
      <c r="BV34" s="3">
        <v>5</v>
      </c>
      <c r="BW34" s="3">
        <v>5</v>
      </c>
      <c r="BX34" s="3">
        <v>4</v>
      </c>
      <c r="BY34" s="3">
        <v>4</v>
      </c>
      <c r="BZ34" s="3">
        <v>3</v>
      </c>
      <c r="CA34" s="3">
        <v>3</v>
      </c>
      <c r="CB34" s="3">
        <v>4</v>
      </c>
      <c r="CC34" s="3">
        <v>5</v>
      </c>
      <c r="CD34" s="3">
        <v>3</v>
      </c>
      <c r="CE34" s="3">
        <v>3</v>
      </c>
      <c r="CF34" s="3">
        <v>4</v>
      </c>
      <c r="CG34" s="3">
        <v>5</v>
      </c>
      <c r="CH34" s="3">
        <v>3</v>
      </c>
      <c r="CI34" s="3">
        <v>3</v>
      </c>
      <c r="CJ34" s="3">
        <v>3</v>
      </c>
      <c r="CK34" s="3">
        <v>3</v>
      </c>
      <c r="CL34" s="3">
        <v>3</v>
      </c>
      <c r="CM34" s="3">
        <v>3</v>
      </c>
      <c r="CN34" s="3">
        <v>2</v>
      </c>
      <c r="CO34" s="3">
        <v>3</v>
      </c>
      <c r="CP34" s="6">
        <v>3</v>
      </c>
      <c r="CQ34" s="5">
        <v>3.6275844714639842E-2</v>
      </c>
      <c r="CR34" s="61"/>
    </row>
    <row r="35" spans="1:96" x14ac:dyDescent="0.35">
      <c r="A35" s="9" t="str">
        <f t="shared" si="0"/>
        <v>IT</v>
      </c>
      <c r="B35" s="9" t="s">
        <v>56</v>
      </c>
      <c r="C35" s="20"/>
      <c r="D35" s="9" t="s">
        <v>55</v>
      </c>
      <c r="E35" s="9" t="s">
        <v>193</v>
      </c>
      <c r="F35" s="9" t="s">
        <v>51</v>
      </c>
      <c r="G35" s="19">
        <v>0</v>
      </c>
      <c r="H35" s="9">
        <v>2014</v>
      </c>
      <c r="I35" s="9">
        <v>6</v>
      </c>
      <c r="J35" s="18">
        <f>INDEX(PTRS!$D$6:$D$12,MATCH('6'!$F35,PTRS!$B$6:$B$12,0))</f>
        <v>0.1638</v>
      </c>
      <c r="K35" s="17">
        <v>0</v>
      </c>
      <c r="L35" s="17">
        <v>0.1044225</v>
      </c>
      <c r="M35" s="17">
        <v>5.4600000000000003E-2</v>
      </c>
      <c r="N35" s="17">
        <v>0.1044225</v>
      </c>
      <c r="O35" s="17">
        <v>0.1044225</v>
      </c>
      <c r="P35" s="17">
        <v>0.1638</v>
      </c>
      <c r="Q35" s="17">
        <v>0.1044225</v>
      </c>
      <c r="R35" s="17">
        <v>0.1044225</v>
      </c>
      <c r="S35" s="17">
        <v>1</v>
      </c>
      <c r="T35" s="17"/>
      <c r="U35" s="17">
        <f t="shared" si="1"/>
        <v>0.72649652910676854</v>
      </c>
      <c r="V35" s="17">
        <v>1</v>
      </c>
      <c r="W35" s="9" t="s">
        <v>54</v>
      </c>
      <c r="X35" s="9">
        <f>INDEX('Unique Asset List'!$C$4:$I$60,MATCH('6'!$B35,'Unique Asset List'!$A$4:$A$60,0),MATCH('6'!$C$1,'Unique Asset List'!$C$3:$I$3,0))</f>
        <v>2024</v>
      </c>
      <c r="Y35" s="9">
        <f>INDEX('Unique Asset List'!$J$4:$P$60,MATCH('6'!$B35,'Unique Asset List'!$A$4:$A$60,0),MATCH('6'!$C$1,'Unique Asset List'!$J$3:$P$3,0))</f>
        <v>9.9999999999990905</v>
      </c>
      <c r="Z35" s="9">
        <f>INDEX('Unique Asset List'!$X$4:$AD$60,MATCH('6'!$B35,'Unique Asset List'!$A$4:$A$60,0),MATCH('6'!$C$1,'Unique Asset List'!$X$3:$AD$3,0))</f>
        <v>2036</v>
      </c>
      <c r="AA35" s="9">
        <f>INDEX('Unique Asset List'!$AE$4:$AK$60,MATCH('6'!$B35,'Unique Asset List'!$A$4:$A$60,0),MATCH('6'!$C$1,'Unique Asset List'!$AE$3:$AK$3,0))</f>
        <v>9</v>
      </c>
      <c r="AB35" s="16">
        <f t="shared" si="2"/>
        <v>1.6014190000000001</v>
      </c>
      <c r="AC35" s="16">
        <f t="shared" si="3"/>
        <v>0.78788900000000006</v>
      </c>
      <c r="AD35" s="16">
        <f t="shared" si="4"/>
        <v>0.56099999999999994</v>
      </c>
      <c r="AE35" s="15">
        <f>INDEX('Unique Asset List'!$BN$4:$BT$60,MATCH('6'!$B35,'Unique Asset List'!$A$4:$A$60,0),MATCH('6'!$C$1,'Unique Asset List'!$BN$3:$BT$3,0))</f>
        <v>0.18</v>
      </c>
      <c r="AF35" s="15">
        <f>INDEX('Unique Asset List'!$BU$4:$CA$60,MATCH('6'!$B35,'Unique Asset List'!$A$4:$A$60,0),MATCH('6'!$C$1,'Unique Asset List'!$BU$3:$CA$3,0))</f>
        <v>0.32</v>
      </c>
      <c r="AG35" s="15">
        <f>INDEX('Unique Asset List'!$AZ$4:$BF$60,MATCH('6'!$B35,'Unique Asset List'!$A$4:$A$60,0),MATCH('6'!$C$1,'Unique Asset List'!$AZ$3:$BF$3,0))</f>
        <v>0.18</v>
      </c>
      <c r="AH35" s="15">
        <f>INDEX('Unique Asset List'!$BG$4:$BM$60,MATCH('6'!$B35,'Unique Asset List'!$A$4:$A$60,0),MATCH('6'!$C$1,'Unique Asset List'!$BG$3:$BM$3,0))</f>
        <v>0.32</v>
      </c>
      <c r="AI35" s="11">
        <v>0.96187963349867744</v>
      </c>
      <c r="AJ35" s="15">
        <f>INDEX('Unique Asset List'!$AL$4:$AR$60,MATCH('6'!$B35,'Unique Asset List'!$A$4:$A$60,0),MATCH('6'!$C$1,'Unique Asset List'!$AL$3:$AR$3,0))</f>
        <v>0.32314284341629806</v>
      </c>
      <c r="AK35" s="15">
        <f>INDEX('Unique Asset List'!$AS$4:$AY$60,MATCH('6'!$B35,'Unique Asset List'!$A$4:$A$60,0),MATCH('6'!$C$1,'Unique Asset List'!$AS$3:$AY$3,0))</f>
        <v>0.61768216477991222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5"/>
        <v>0.82</v>
      </c>
      <c r="AS35" s="10">
        <v>1</v>
      </c>
      <c r="AT35" s="10"/>
      <c r="AU35" s="4">
        <f>IF($C$5="ON",BU35,MyRating(_E1,$B35,Efficacy!$F$1))</f>
        <v>2</v>
      </c>
      <c r="AV35" s="3">
        <f>IF($C$5="ON",BV35,MyRating(_E2,$B35,Efficacy!$F$1))</f>
        <v>3</v>
      </c>
      <c r="AW35" s="3">
        <f>IF($C$5="ON",BW35,MyRating(_E3,$B35,Efficacy!$F$1))</f>
        <v>3</v>
      </c>
      <c r="AX35" s="3">
        <f>IF($C$5="ON",BX35,MyRating(_E4,$B35,Efficacy!$F$1))</f>
        <v>3</v>
      </c>
      <c r="AY35" s="3">
        <f>IF($C$5="ON",BY35,MyRating(_E5,$B35,Efficacy!$F$1))</f>
        <v>3</v>
      </c>
      <c r="AZ35" s="3">
        <f>IF($C$5="ON",BZ35,MyRating(_E6,$B35,Efficacy!$F$1))</f>
        <v>3</v>
      </c>
      <c r="BA35" s="3">
        <f>IF($C$5="ON",CA35,MyRating(_E7,$B35,Efficacy!$F$1))</f>
        <v>3</v>
      </c>
      <c r="BB35" s="3">
        <f>IF($C$5="ON",CB35,MyRating(_E8,$B35,Efficacy!$F$1))</f>
        <v>3</v>
      </c>
      <c r="BC35" s="3">
        <f>IF($C$5="ON",CC35,MyRating(_S1,$B35,Efficacy!$F$1))</f>
        <v>3</v>
      </c>
      <c r="BD35" s="3">
        <f>IF($C$5="ON",CD35,MyRating(_S2,$B35,Efficacy!$F$1))</f>
        <v>3</v>
      </c>
      <c r="BE35" s="3">
        <f>IF($C$5="ON",CE35,MyRating(_S3,$B35,Efficacy!$F$1))</f>
        <v>3</v>
      </c>
      <c r="BF35" s="3">
        <f>IF($C$5="ON",CF35,MyRating(_S4,$B35,Efficacy!$F$1))</f>
        <v>4</v>
      </c>
      <c r="BG35" s="3">
        <f>IF($C$5="ON",CG35,MyRating(_S5,$B35,Efficacy!$F$1))</f>
        <v>3</v>
      </c>
      <c r="BH35" s="3">
        <f>IF($C$5="ON",CH35,MyRating(_S6,$B35,Efficacy!$F$1))</f>
        <v>3</v>
      </c>
      <c r="BI35" s="3">
        <f>IF($C$5="ON",CI35,MyRating(_S7,$B35,Efficacy!$F$1))</f>
        <v>3</v>
      </c>
      <c r="BJ35" s="3">
        <f>IF($C$5="ON",CJ35,MyRating(_D1,$B35,Efficacy!$F$1))</f>
        <v>3</v>
      </c>
      <c r="BK35" s="3">
        <f>IF($C$5="ON",CK35,MyRating(_D2,$B35,Efficacy!$F$1))</f>
        <v>3</v>
      </c>
      <c r="BL35" s="3">
        <f>IF($C$5="ON",CL35,MyRating(_D3,$B35,Efficacy!$F$1))</f>
        <v>3</v>
      </c>
      <c r="BM35" s="3">
        <f>IF($C$5="ON",CM35,MyRating(_D4,$B35,Efficacy!$F$1))</f>
        <v>3</v>
      </c>
      <c r="BN35" s="3">
        <f>IF($C$5="ON",CN35,MyRating(_B1G5,$B35,Barrier!$L$2))</f>
        <v>2</v>
      </c>
      <c r="BO35" s="3">
        <f>IF($C$5="ON",CO35,MyRating(_B2,$B35,Barrier!$F$2))</f>
        <v>3</v>
      </c>
      <c r="BP35" s="6">
        <f>IF($C$5="ON",CP35,MyRating(_B3,$B35,Barrier!$F$2))</f>
        <v>3</v>
      </c>
      <c r="BQ35" s="5">
        <f t="shared" si="6"/>
        <v>3.6275844714639842E-2</v>
      </c>
      <c r="BR35" s="8">
        <f t="shared" si="7"/>
        <v>2.9499999999999997</v>
      </c>
      <c r="BS35" s="5">
        <f t="shared" si="8"/>
        <v>3.60415394013439E-2</v>
      </c>
      <c r="BT35" s="7">
        <f t="shared" si="9"/>
        <v>1.8542316878791175E-2</v>
      </c>
      <c r="BU35" s="4">
        <v>2</v>
      </c>
      <c r="BV35" s="3">
        <v>3</v>
      </c>
      <c r="BW35" s="3">
        <v>3</v>
      </c>
      <c r="BX35" s="3">
        <v>3</v>
      </c>
      <c r="BY35" s="3">
        <v>3</v>
      </c>
      <c r="BZ35" s="3">
        <v>3</v>
      </c>
      <c r="CA35" s="3">
        <v>3</v>
      </c>
      <c r="CB35" s="3">
        <v>3</v>
      </c>
      <c r="CC35" s="3">
        <v>3</v>
      </c>
      <c r="CD35" s="3">
        <v>3</v>
      </c>
      <c r="CE35" s="3">
        <v>3</v>
      </c>
      <c r="CF35" s="3">
        <v>4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2</v>
      </c>
      <c r="CO35" s="3">
        <v>3</v>
      </c>
      <c r="CP35" s="6">
        <v>3</v>
      </c>
      <c r="CQ35" s="5">
        <v>3.6275844714639842E-2</v>
      </c>
      <c r="CR35" s="61"/>
    </row>
    <row r="36" spans="1:96" x14ac:dyDescent="0.35">
      <c r="A36" s="9" t="str">
        <f t="shared" si="0"/>
        <v>IT</v>
      </c>
      <c r="B36" s="9" t="s">
        <v>53</v>
      </c>
      <c r="C36" s="20"/>
      <c r="D36" s="9" t="s">
        <v>52</v>
      </c>
      <c r="E36" s="9" t="s">
        <v>193</v>
      </c>
      <c r="F36" s="9" t="s">
        <v>51</v>
      </c>
      <c r="G36" s="19">
        <v>0</v>
      </c>
      <c r="H36" s="9">
        <v>2014</v>
      </c>
      <c r="I36" s="9">
        <v>6</v>
      </c>
      <c r="J36" s="18">
        <f>INDEX(PTRS!$D$6:$D$12,MATCH('6'!$F36,PTRS!$B$6:$B$12,0))</f>
        <v>0.1638</v>
      </c>
      <c r="K36" s="17">
        <v>0</v>
      </c>
      <c r="L36" s="17">
        <v>0.1044225</v>
      </c>
      <c r="M36" s="17">
        <v>0.1638</v>
      </c>
      <c r="N36" s="17">
        <v>0.1044225</v>
      </c>
      <c r="O36" s="17">
        <v>0.1044225</v>
      </c>
      <c r="P36" s="17">
        <v>0.1638</v>
      </c>
      <c r="Q36" s="17">
        <v>0.1044225</v>
      </c>
      <c r="R36" s="17">
        <v>0.1044225</v>
      </c>
      <c r="S36" s="17">
        <v>1</v>
      </c>
      <c r="T36" s="17"/>
      <c r="U36" s="17">
        <f t="shared" si="1"/>
        <v>0.72649652910676854</v>
      </c>
      <c r="V36" s="17">
        <v>1</v>
      </c>
      <c r="W36" s="9" t="s">
        <v>50</v>
      </c>
      <c r="X36" s="9">
        <f>INDEX('Unique Asset List'!$C$4:$I$60,MATCH('6'!$B36,'Unique Asset List'!$A$4:$A$60,0),MATCH('6'!$C$1,'Unique Asset List'!$C$3:$I$3,0))</f>
        <v>2025</v>
      </c>
      <c r="Y36" s="9">
        <f>INDEX('Unique Asset List'!$J$4:$P$60,MATCH('6'!$B36,'Unique Asset List'!$A$4:$A$60,0),MATCH('6'!$C$1,'Unique Asset List'!$J$3:$P$3,0))</f>
        <v>9.9999999999990905</v>
      </c>
      <c r="Z36" s="9">
        <f>INDEX('Unique Asset List'!$X$4:$AD$60,MATCH('6'!$B36,'Unique Asset List'!$A$4:$A$60,0),MATCH('6'!$C$1,'Unique Asset List'!$X$3:$AD$3,0))</f>
        <v>2036</v>
      </c>
      <c r="AA36" s="9">
        <f>INDEX('Unique Asset List'!$AE$4:$AK$60,MATCH('6'!$B36,'Unique Asset List'!$A$4:$A$60,0),MATCH('6'!$C$1,'Unique Asset List'!$AE$3:$AK$3,0))</f>
        <v>9</v>
      </c>
      <c r="AB36" s="16">
        <f t="shared" si="2"/>
        <v>1.6860000000000002</v>
      </c>
      <c r="AC36" s="16">
        <f t="shared" si="3"/>
        <v>0.7529247</v>
      </c>
      <c r="AD36" s="16">
        <f t="shared" si="4"/>
        <v>0.56099999999999994</v>
      </c>
      <c r="AE36" s="15">
        <f>INDEX('Unique Asset List'!$BN$4:$BT$60,MATCH('6'!$B36,'Unique Asset List'!$A$4:$A$60,0),MATCH('6'!$C$1,'Unique Asset List'!$BN$3:$BT$3,0))</f>
        <v>0.18</v>
      </c>
      <c r="AF36" s="15">
        <f>INDEX('Unique Asset List'!$BU$4:$CA$60,MATCH('6'!$B36,'Unique Asset List'!$A$4:$A$60,0),MATCH('6'!$C$1,'Unique Asset List'!$BU$3:$CA$3,0))</f>
        <v>0.32</v>
      </c>
      <c r="AG36" s="15">
        <f>INDEX('Unique Asset List'!$AZ$4:$BF$60,MATCH('6'!$B36,'Unique Asset List'!$A$4:$A$60,0),MATCH('6'!$C$1,'Unique Asset List'!$AZ$3:$BF$3,0))</f>
        <v>0.18</v>
      </c>
      <c r="AH36" s="15">
        <f>INDEX('Unique Asset List'!$BG$4:$BM$60,MATCH('6'!$B36,'Unique Asset List'!$A$4:$A$60,0),MATCH('6'!$C$1,'Unique Asset List'!$BG$3:$BM$3,0))</f>
        <v>0.32</v>
      </c>
      <c r="AI36" s="11">
        <v>0.96187963349867744</v>
      </c>
      <c r="AJ36" s="15">
        <f>INDEX('Unique Asset List'!$AL$4:$AR$60,MATCH('6'!$B36,'Unique Asset List'!$A$4:$A$60,0),MATCH('6'!$C$1,'Unique Asset List'!$AL$3:$AR$3,0))</f>
        <v>0.32314284341629806</v>
      </c>
      <c r="AK36" s="15">
        <f>INDEX('Unique Asset List'!$AS$4:$AY$60,MATCH('6'!$B36,'Unique Asset List'!$A$4:$A$60,0),MATCH('6'!$C$1,'Unique Asset List'!$AS$3:$AY$3,0))</f>
        <v>0.61768216477991222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5"/>
        <v>0.82</v>
      </c>
      <c r="AS36" s="10">
        <v>1</v>
      </c>
      <c r="AT36" s="10"/>
      <c r="AU36" s="4">
        <f>IF($C$5="ON",BU36,MyRating(_E1,$B36,Efficacy!$F$1))</f>
        <v>3</v>
      </c>
      <c r="AV36" s="3">
        <f>IF($C$5="ON",BV36,MyRating(_E2,$B36,Efficacy!$F$1))</f>
        <v>3</v>
      </c>
      <c r="AW36" s="3">
        <f>IF($C$5="ON",BW36,MyRating(_E3,$B36,Efficacy!$F$1))</f>
        <v>3</v>
      </c>
      <c r="AX36" s="3">
        <f>IF($C$5="ON",BX36,MyRating(_E4,$B36,Efficacy!$F$1))</f>
        <v>3</v>
      </c>
      <c r="AY36" s="3">
        <f>IF($C$5="ON",BY36,MyRating(_E5,$B36,Efficacy!$F$1))</f>
        <v>3</v>
      </c>
      <c r="AZ36" s="3">
        <f>IF($C$5="ON",BZ36,MyRating(_E6,$B36,Efficacy!$F$1))</f>
        <v>3</v>
      </c>
      <c r="BA36" s="3">
        <f>IF($C$5="ON",CA36,MyRating(_E7,$B36,Efficacy!$F$1))</f>
        <v>3</v>
      </c>
      <c r="BB36" s="3">
        <f>IF($C$5="ON",CB36,MyRating(_E8,$B36,Efficacy!$F$1))</f>
        <v>3</v>
      </c>
      <c r="BC36" s="3">
        <f>IF($C$5="ON",CC36,MyRating(_S1,$B36,Efficacy!$F$1))</f>
        <v>3</v>
      </c>
      <c r="BD36" s="3">
        <f>IF($C$5="ON",CD36,MyRating(_S2,$B36,Efficacy!$F$1))</f>
        <v>3</v>
      </c>
      <c r="BE36" s="3">
        <f>IF($C$5="ON",CE36,MyRating(_S3,$B36,Efficacy!$F$1))</f>
        <v>3</v>
      </c>
      <c r="BF36" s="3">
        <f>IF($C$5="ON",CF36,MyRating(_S4,$B36,Efficacy!$F$1))</f>
        <v>3</v>
      </c>
      <c r="BG36" s="3">
        <f>IF($C$5="ON",CG36,MyRating(_S5,$B36,Efficacy!$F$1))</f>
        <v>3</v>
      </c>
      <c r="BH36" s="3">
        <f>IF($C$5="ON",CH36,MyRating(_S6,$B36,Efficacy!$F$1))</f>
        <v>3</v>
      </c>
      <c r="BI36" s="3">
        <f>IF($C$5="ON",CI36,MyRating(_S7,$B36,Efficacy!$F$1))</f>
        <v>3</v>
      </c>
      <c r="BJ36" s="3">
        <f>IF($C$5="ON",CJ36,MyRating(_D1,$B36,Efficacy!$F$1))</f>
        <v>3</v>
      </c>
      <c r="BK36" s="3">
        <f>IF($C$5="ON",CK36,MyRating(_D2,$B36,Efficacy!$F$1))</f>
        <v>3</v>
      </c>
      <c r="BL36" s="3">
        <f>IF($C$5="ON",CL36,MyRating(_D3,$B36,Efficacy!$F$1))</f>
        <v>3</v>
      </c>
      <c r="BM36" s="3">
        <f>IF($C$5="ON",CM36,MyRating(_D4,$B36,Efficacy!$F$1))</f>
        <v>3</v>
      </c>
      <c r="BN36" s="3">
        <f>IF($C$5="ON",CN36,MyRating(_B1G5,$B36,Barrier!$L$2))</f>
        <v>2</v>
      </c>
      <c r="BO36" s="3">
        <f>IF($C$5="ON",CO36,MyRating(_B2,$B36,Barrier!$F$2))</f>
        <v>3</v>
      </c>
      <c r="BP36" s="6">
        <f>IF($C$5="ON",CP36,MyRating(_B3,$B36,Barrier!$F$2))</f>
        <v>3</v>
      </c>
      <c r="BQ36" s="5">
        <f t="shared" si="6"/>
        <v>3.6275844714639842E-2</v>
      </c>
      <c r="BR36" s="8">
        <f t="shared" si="7"/>
        <v>2.9499999999999997</v>
      </c>
      <c r="BS36" s="5">
        <f t="shared" si="8"/>
        <v>3.60415394013439E-2</v>
      </c>
      <c r="BT36" s="7">
        <f t="shared" si="9"/>
        <v>1.8542316878791175E-2</v>
      </c>
      <c r="BU36" s="4">
        <v>3</v>
      </c>
      <c r="BV36" s="3">
        <v>3</v>
      </c>
      <c r="BW36" s="3">
        <v>3</v>
      </c>
      <c r="BX36" s="3">
        <v>3</v>
      </c>
      <c r="BY36" s="3">
        <v>3</v>
      </c>
      <c r="BZ36" s="3">
        <v>3</v>
      </c>
      <c r="CA36" s="3">
        <v>3</v>
      </c>
      <c r="CB36" s="3">
        <v>3</v>
      </c>
      <c r="CC36" s="3">
        <v>3</v>
      </c>
      <c r="CD36" s="3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2</v>
      </c>
      <c r="CO36" s="3">
        <v>3</v>
      </c>
      <c r="CP36" s="6">
        <v>3</v>
      </c>
      <c r="CQ36" s="5">
        <v>3.6275844714639842E-2</v>
      </c>
      <c r="CR36" s="61"/>
    </row>
    <row r="37" spans="1:96" x14ac:dyDescent="0.35">
      <c r="A37" s="9" t="str">
        <f t="shared" si="0"/>
        <v>IT</v>
      </c>
      <c r="B37" s="9" t="s">
        <v>45</v>
      </c>
      <c r="C37" s="20"/>
      <c r="D37" s="9" t="s">
        <v>44</v>
      </c>
      <c r="E37" s="9" t="s">
        <v>193</v>
      </c>
      <c r="F37" s="9" t="s">
        <v>43</v>
      </c>
      <c r="G37" s="19">
        <v>0</v>
      </c>
      <c r="H37" s="9">
        <v>2014</v>
      </c>
      <c r="I37" s="9">
        <v>6</v>
      </c>
      <c r="J37" s="18">
        <f>INDEX(PTRS!$D$6:$D$12,MATCH('6'!$F37,PTRS!$B$6:$B$12,0))</f>
        <v>0.40949999999999998</v>
      </c>
      <c r="K37" s="17">
        <v>0</v>
      </c>
      <c r="L37" s="17">
        <v>0.1044225</v>
      </c>
      <c r="M37" s="17">
        <v>0.40949999999999998</v>
      </c>
      <c r="N37" s="17">
        <v>0.41</v>
      </c>
      <c r="O37" s="17">
        <v>0.41</v>
      </c>
      <c r="P37" s="17">
        <v>0.1044225</v>
      </c>
      <c r="Q37" s="17">
        <v>0.1044225</v>
      </c>
      <c r="R37" s="17">
        <v>0.1044225</v>
      </c>
      <c r="S37" s="17">
        <v>1</v>
      </c>
      <c r="T37" s="17"/>
      <c r="U37" s="22">
        <v>0.73</v>
      </c>
      <c r="V37" s="17">
        <v>1</v>
      </c>
      <c r="W37" s="9" t="s">
        <v>42</v>
      </c>
      <c r="X37" s="9">
        <f>INDEX('Unique Asset List'!$C$4:$I$60,MATCH('6'!$B37,'Unique Asset List'!$A$4:$A$60,0),MATCH('6'!$C$1,'Unique Asset List'!$C$3:$I$3,0))</f>
        <v>2023</v>
      </c>
      <c r="Y37" s="9">
        <f>INDEX('Unique Asset List'!$J$4:$P$60,MATCH('6'!$B37,'Unique Asset List'!$A$4:$A$60,0),MATCH('6'!$C$1,'Unique Asset List'!$J$3:$P$3,0))</f>
        <v>1.999999999998181</v>
      </c>
      <c r="Z37" s="9">
        <f>INDEX('Unique Asset List'!$X$4:$AD$60,MATCH('6'!$B37,'Unique Asset List'!$A$4:$A$60,0),MATCH('6'!$C$1,'Unique Asset List'!$X$3:$AD$3,0))</f>
        <v>2035</v>
      </c>
      <c r="AA37" s="9">
        <f>INDEX('Unique Asset List'!$AE$4:$AK$60,MATCH('6'!$B37,'Unique Asset List'!$A$4:$A$60,0),MATCH('6'!$C$1,'Unique Asset List'!$AE$3:$AK$3,0))</f>
        <v>1</v>
      </c>
      <c r="AB37" s="23">
        <v>1.57</v>
      </c>
      <c r="AC37" s="23">
        <v>0.65</v>
      </c>
      <c r="AD37" s="23">
        <v>0.5</v>
      </c>
      <c r="AE37" s="15">
        <f>INDEX('Unique Asset List'!$BN$4:$BT$60,MATCH('6'!$B37,'Unique Asset List'!$A$4:$A$60,0),MATCH('6'!$C$1,'Unique Asset List'!$BN$3:$BT$3,0))</f>
        <v>0.18</v>
      </c>
      <c r="AF37" s="15">
        <f>INDEX('Unique Asset List'!$BU$4:$CA$60,MATCH('6'!$B37,'Unique Asset List'!$A$4:$A$60,0),MATCH('6'!$C$1,'Unique Asset List'!$BU$3:$CA$3,0))</f>
        <v>0.32</v>
      </c>
      <c r="AG37" s="15">
        <f>INDEX('Unique Asset List'!$AZ$4:$BF$60,MATCH('6'!$B37,'Unique Asset List'!$A$4:$A$60,0),MATCH('6'!$C$1,'Unique Asset List'!$AZ$3:$BF$3,0))</f>
        <v>0.18</v>
      </c>
      <c r="AH37" s="15">
        <f>INDEX('Unique Asset List'!$BG$4:$BM$60,MATCH('6'!$B37,'Unique Asset List'!$A$4:$A$60,0),MATCH('6'!$C$1,'Unique Asset List'!$BG$3:$BM$3,0))</f>
        <v>0.32</v>
      </c>
      <c r="AI37" s="11">
        <v>0.96187963349867744</v>
      </c>
      <c r="AJ37" s="15">
        <f>INDEX('Unique Asset List'!$AL$4:$AR$60,MATCH('6'!$B37,'Unique Asset List'!$A$4:$A$60,0),MATCH('6'!$C$1,'Unique Asset List'!$AL$3:$AR$3,0))</f>
        <v>0.32314284341629806</v>
      </c>
      <c r="AK37" s="15">
        <f>INDEX('Unique Asset List'!$AS$4:$AY$60,MATCH('6'!$B37,'Unique Asset List'!$A$4:$A$60,0),MATCH('6'!$C$1,'Unique Asset List'!$AS$3:$AY$3,0))</f>
        <v>0.61768216477991222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5"/>
        <v>0.82</v>
      </c>
      <c r="AS37" s="10">
        <v>1</v>
      </c>
      <c r="AT37" s="10"/>
      <c r="AU37" s="4">
        <f>IF($C$5="ON",BU37,MyRating(_E1,$B37,Efficacy!$F$1))</f>
        <v>0</v>
      </c>
      <c r="AV37" s="3">
        <f>IF($C$5="ON",BV37,MyRating(_E2,$B37,Efficacy!$F$1))</f>
        <v>0</v>
      </c>
      <c r="AW37" s="3">
        <f>IF($C$5="ON",BW37,MyRating(_E3,$B37,Efficacy!$F$1))</f>
        <v>0</v>
      </c>
      <c r="AX37" s="3">
        <f>IF($C$5="ON",BX37,MyRating(_E4,$B37,Efficacy!$F$1))</f>
        <v>0</v>
      </c>
      <c r="AY37" s="3">
        <f>IF($C$5="ON",BY37,MyRating(_E5,$B37,Efficacy!$F$1))</f>
        <v>0</v>
      </c>
      <c r="AZ37" s="3">
        <f>IF($C$5="ON",BZ37,MyRating(_E6,$B37,Efficacy!$F$1))</f>
        <v>0</v>
      </c>
      <c r="BA37" s="3">
        <f>IF($C$5="ON",CA37,MyRating(_E7,$B37,Efficacy!$F$1))</f>
        <v>0</v>
      </c>
      <c r="BB37" s="3">
        <f>IF($C$5="ON",CB37,MyRating(_E8,$B37,Efficacy!$F$1))</f>
        <v>0</v>
      </c>
      <c r="BC37" s="3">
        <f>IF($C$5="ON",CC37,MyRating(_S1,$B37,Efficacy!$F$1))</f>
        <v>0</v>
      </c>
      <c r="BD37" s="3">
        <f>IF($C$5="ON",CD37,MyRating(_S2,$B37,Efficacy!$F$1))</f>
        <v>0</v>
      </c>
      <c r="BE37" s="3">
        <f>IF($C$5="ON",CE37,MyRating(_S3,$B37,Efficacy!$F$1))</f>
        <v>0</v>
      </c>
      <c r="BF37" s="3">
        <f>IF($C$5="ON",CF37,MyRating(_S4,$B37,Efficacy!$F$1))</f>
        <v>0</v>
      </c>
      <c r="BG37" s="3">
        <f>IF($C$5="ON",CG37,MyRating(_S5,$B37,Efficacy!$F$1))</f>
        <v>0</v>
      </c>
      <c r="BH37" s="3">
        <f>IF($C$5="ON",CH37,MyRating(_S6,$B37,Efficacy!$F$1))</f>
        <v>0</v>
      </c>
      <c r="BI37" s="3">
        <f>IF($C$5="ON",CI37,MyRating(_S7,$B37,Efficacy!$F$1))</f>
        <v>0</v>
      </c>
      <c r="BJ37" s="3">
        <f>IF($C$5="ON",CJ37,MyRating(_D1,$B37,Efficacy!$F$1))</f>
        <v>0</v>
      </c>
      <c r="BK37" s="3">
        <f>IF($C$5="ON",CK37,MyRating(_D2,$B37,Efficacy!$F$1))</f>
        <v>0</v>
      </c>
      <c r="BL37" s="3">
        <f>IF($C$5="ON",CL37,MyRating(_D3,$B37,Efficacy!$F$1))</f>
        <v>0</v>
      </c>
      <c r="BM37" s="3">
        <f>IF($C$5="ON",CM37,MyRating(_D4,$B37,Efficacy!$F$1))</f>
        <v>0</v>
      </c>
      <c r="BN37" s="3">
        <f>IF($C$5="ON",CN37,MyRating(_B1G5,$B37,Barrier!$L$2))</f>
        <v>0</v>
      </c>
      <c r="BO37" s="3">
        <f>IF($C$5="ON",CO37,MyRating(_B2,$B37,Barrier!$F$2))</f>
        <v>0</v>
      </c>
      <c r="BP37" s="6">
        <f>IF($C$5="ON",CP37,MyRating(_B3,$B37,Barrier!$F$2))</f>
        <v>0</v>
      </c>
      <c r="BQ37" s="5">
        <f t="shared" si="6"/>
        <v>0</v>
      </c>
      <c r="BR37" s="8">
        <f t="shared" si="7"/>
        <v>0</v>
      </c>
      <c r="BS37" s="5">
        <f t="shared" si="8"/>
        <v>0</v>
      </c>
      <c r="BT37" s="7">
        <f t="shared" si="9"/>
        <v>0</v>
      </c>
      <c r="BU37" s="4">
        <v>0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6">
        <v>0</v>
      </c>
      <c r="CQ37" s="5">
        <v>0</v>
      </c>
      <c r="CR37" s="61"/>
    </row>
    <row r="38" spans="1:96" x14ac:dyDescent="0.35">
      <c r="A38" s="9" t="str">
        <f t="shared" si="0"/>
        <v>IT</v>
      </c>
      <c r="B38" s="9" t="s">
        <v>41</v>
      </c>
      <c r="C38" s="20"/>
      <c r="D38" s="9" t="s">
        <v>194</v>
      </c>
      <c r="E38" s="9" t="s">
        <v>193</v>
      </c>
      <c r="F38" s="9" t="s">
        <v>1</v>
      </c>
      <c r="G38" s="19">
        <v>0</v>
      </c>
      <c r="H38" s="9">
        <v>2014</v>
      </c>
      <c r="I38" s="9">
        <v>6</v>
      </c>
      <c r="J38" s="18">
        <f>INDEX(PTRS!$D$6:$D$12,MATCH('6'!$F38,PTRS!$B$6:$B$12,0))</f>
        <v>0.1044225</v>
      </c>
      <c r="K38" s="17">
        <v>0</v>
      </c>
      <c r="L38" s="17">
        <v>0.1044225</v>
      </c>
      <c r="M38" s="17">
        <v>0.1044225</v>
      </c>
      <c r="N38" s="17">
        <v>0.1044225</v>
      </c>
      <c r="O38" s="17">
        <v>0.1044225</v>
      </c>
      <c r="P38" s="17">
        <v>0.1044225</v>
      </c>
      <c r="Q38" s="17">
        <v>0.1044225</v>
      </c>
      <c r="R38" s="17">
        <v>0.1044225</v>
      </c>
      <c r="S38" s="17">
        <v>1</v>
      </c>
      <c r="T38" s="17" t="s">
        <v>39</v>
      </c>
      <c r="U38" s="22">
        <v>0.72649652910676854</v>
      </c>
      <c r="V38" s="17">
        <v>1</v>
      </c>
      <c r="W38" s="59" t="s">
        <v>38</v>
      </c>
      <c r="X38" s="9">
        <f>INDEX('Unique Asset List'!$C$4:$I$60,MATCH('6'!$B38,'Unique Asset List'!$A$4:$A$60,0),MATCH('6'!$C$1,'Unique Asset List'!$C$3:$I$3,0))</f>
        <v>2029</v>
      </c>
      <c r="Y38" s="9">
        <f>INDEX('Unique Asset List'!$J$4:$P$60,MATCH('6'!$B38,'Unique Asset List'!$A$4:$A$60,0),MATCH('6'!$C$1,'Unique Asset List'!$J$3:$P$3,0))</f>
        <v>3.9999999999990905</v>
      </c>
      <c r="Z38" s="9">
        <f>INDEX('Unique Asset List'!$X$4:$AD$60,MATCH('6'!$B38,'Unique Asset List'!$A$4:$A$60,0),MATCH('6'!$C$1,'Unique Asset List'!$X$3:$AD$3,0))</f>
        <v>2038</v>
      </c>
      <c r="AA38" s="9">
        <f>INDEX('Unique Asset List'!$AE$4:$AK$60,MATCH('6'!$B38,'Unique Asset List'!$A$4:$A$60,0),MATCH('6'!$C$1,'Unique Asset List'!$AE$3:$AK$3,0))</f>
        <v>3</v>
      </c>
      <c r="AB38" s="16">
        <f>AB20</f>
        <v>1.7951404000000002</v>
      </c>
      <c r="AC38" s="16">
        <f>AC20</f>
        <v>0.94451300000000005</v>
      </c>
      <c r="AD38" s="16">
        <f>AD20</f>
        <v>0.52097279586</v>
      </c>
      <c r="AE38" s="15">
        <f>INDEX('Unique Asset List'!$BN$4:$BT$60,MATCH('6'!$B38,'Unique Asset List'!$A$4:$A$60,0),MATCH('6'!$C$1,'Unique Asset List'!$BN$3:$BT$3,0))</f>
        <v>0.18</v>
      </c>
      <c r="AF38" s="15">
        <f>INDEX('Unique Asset List'!$BU$4:$CA$60,MATCH('6'!$B38,'Unique Asset List'!$A$4:$A$60,0),MATCH('6'!$C$1,'Unique Asset List'!$BU$3:$CA$3,0))</f>
        <v>0.32</v>
      </c>
      <c r="AG38" s="15">
        <f>INDEX('Unique Asset List'!$AZ$4:$BF$60,MATCH('6'!$B38,'Unique Asset List'!$A$4:$A$60,0),MATCH('6'!$C$1,'Unique Asset List'!$AZ$3:$BF$3,0))</f>
        <v>0.18</v>
      </c>
      <c r="AH38" s="15">
        <f>INDEX('Unique Asset List'!$BG$4:$BM$60,MATCH('6'!$B38,'Unique Asset List'!$A$4:$A$60,0),MATCH('6'!$C$1,'Unique Asset List'!$BG$3:$BM$3,0))</f>
        <v>0.32</v>
      </c>
      <c r="AI38" s="11">
        <v>0.96187963349867744</v>
      </c>
      <c r="AJ38" s="15">
        <f>INDEX('Unique Asset List'!$AL$4:$AR$60,MATCH('6'!$B38,'Unique Asset List'!$A$4:$A$60,0),MATCH('6'!$C$1,'Unique Asset List'!$AL$3:$AR$3,0))</f>
        <v>0.32314284341629806</v>
      </c>
      <c r="AK38" s="15">
        <f>INDEX('Unique Asset List'!$AS$4:$AY$60,MATCH('6'!$B38,'Unique Asset List'!$A$4:$A$60,0),MATCH('6'!$C$1,'Unique Asset List'!$AS$3:$AY$3,0))</f>
        <v>0.61768216477991222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5"/>
        <v>0.82</v>
      </c>
      <c r="AS38" s="10">
        <v>1</v>
      </c>
      <c r="AT38" s="10"/>
      <c r="AU38" s="4">
        <f>IF($C$5="ON",BU38,MyRating(_E1,$B38,Efficacy!$F$1))</f>
        <v>0</v>
      </c>
      <c r="AV38" s="3">
        <f>IF($C$5="ON",BV38,MyRating(_E2,$B38,Efficacy!$F$1))</f>
        <v>0</v>
      </c>
      <c r="AW38" s="3">
        <f>IF($C$5="ON",BW38,MyRating(_E3,$B38,Efficacy!$F$1))</f>
        <v>0</v>
      </c>
      <c r="AX38" s="3">
        <f>IF($C$5="ON",BX38,MyRating(_E4,$B38,Efficacy!$F$1))</f>
        <v>0</v>
      </c>
      <c r="AY38" s="3">
        <f>IF($C$5="ON",BY38,MyRating(_E5,$B38,Efficacy!$F$1))</f>
        <v>0</v>
      </c>
      <c r="AZ38" s="3">
        <f>IF($C$5="ON",BZ38,MyRating(_E6,$B38,Efficacy!$F$1))</f>
        <v>0</v>
      </c>
      <c r="BA38" s="3">
        <f>IF($C$5="ON",CA38,MyRating(_E7,$B38,Efficacy!$F$1))</f>
        <v>0</v>
      </c>
      <c r="BB38" s="3">
        <f>IF($C$5="ON",CB38,MyRating(_E8,$B38,Efficacy!$F$1))</f>
        <v>0</v>
      </c>
      <c r="BC38" s="3">
        <f>IF($C$5="ON",CC38,MyRating(_S1,$B38,Efficacy!$F$1))</f>
        <v>0</v>
      </c>
      <c r="BD38" s="3">
        <f>IF($C$5="ON",CD38,MyRating(_S2,$B38,Efficacy!$F$1))</f>
        <v>0</v>
      </c>
      <c r="BE38" s="3">
        <f>IF($C$5="ON",CE38,MyRating(_S3,$B38,Efficacy!$F$1))</f>
        <v>0</v>
      </c>
      <c r="BF38" s="3">
        <f>IF($C$5="ON",CF38,MyRating(_S4,$B38,Efficacy!$F$1))</f>
        <v>0</v>
      </c>
      <c r="BG38" s="3">
        <f>IF($C$5="ON",CG38,MyRating(_S5,$B38,Efficacy!$F$1))</f>
        <v>0</v>
      </c>
      <c r="BH38" s="3">
        <f>IF($C$5="ON",CH38,MyRating(_S6,$B38,Efficacy!$F$1))</f>
        <v>0</v>
      </c>
      <c r="BI38" s="3">
        <f>IF($C$5="ON",CI38,MyRating(_S7,$B38,Efficacy!$F$1))</f>
        <v>0</v>
      </c>
      <c r="BJ38" s="3">
        <f>IF($C$5="ON",CJ38,MyRating(_D1,$B38,Efficacy!$F$1))</f>
        <v>0</v>
      </c>
      <c r="BK38" s="3">
        <f>IF($C$5="ON",CK38,MyRating(_D2,$B38,Efficacy!$F$1))</f>
        <v>0</v>
      </c>
      <c r="BL38" s="3">
        <f>IF($C$5="ON",CL38,MyRating(_D3,$B38,Efficacy!$F$1))</f>
        <v>0</v>
      </c>
      <c r="BM38" s="3">
        <f>IF($C$5="ON",CM38,MyRating(_D4,$B38,Efficacy!$F$1))</f>
        <v>0</v>
      </c>
      <c r="BN38" s="3">
        <f>IF($C$5="ON",CN38,MyRating(_B1G5,$B38,Barrier!$L$2))</f>
        <v>0</v>
      </c>
      <c r="BO38" s="3">
        <f>IF($C$5="ON",CO38,MyRating(_B2,$B38,Barrier!$F$2))</f>
        <v>0</v>
      </c>
      <c r="BP38" s="6">
        <f>IF($C$5="ON",CP38,MyRating(_B3,$B38,Barrier!$F$2))</f>
        <v>0</v>
      </c>
      <c r="BQ38" s="5">
        <f t="shared" si="6"/>
        <v>0</v>
      </c>
      <c r="BR38" s="8">
        <f t="shared" si="7"/>
        <v>0</v>
      </c>
      <c r="BS38" s="5">
        <f t="shared" si="8"/>
        <v>0</v>
      </c>
      <c r="BT38" s="7">
        <f t="shared" si="9"/>
        <v>0</v>
      </c>
      <c r="BU38" s="4">
        <v>0</v>
      </c>
      <c r="BV38" s="3">
        <v>0</v>
      </c>
      <c r="BW38" s="3">
        <v>0</v>
      </c>
      <c r="BX38" s="3">
        <v>0</v>
      </c>
      <c r="BY38" s="3">
        <v>0</v>
      </c>
      <c r="BZ38" s="3">
        <v>0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6">
        <v>0</v>
      </c>
      <c r="CQ38" s="5">
        <v>0</v>
      </c>
      <c r="CR38" s="61"/>
    </row>
    <row r="39" spans="1:96" x14ac:dyDescent="0.35">
      <c r="A39" s="9" t="str">
        <f t="shared" si="0"/>
        <v>IT</v>
      </c>
      <c r="B39" s="9" t="s">
        <v>37</v>
      </c>
      <c r="C39" s="20"/>
      <c r="D39" s="9" t="s">
        <v>36</v>
      </c>
      <c r="E39" s="9" t="s">
        <v>193</v>
      </c>
      <c r="F39" s="9" t="s">
        <v>1</v>
      </c>
      <c r="G39" s="19">
        <v>0</v>
      </c>
      <c r="H39" s="9">
        <v>2014</v>
      </c>
      <c r="I39" s="9">
        <v>6</v>
      </c>
      <c r="J39" s="18">
        <f>INDEX(PTRS!$D$6:$D$12,MATCH('6'!$F39,PTRS!$B$6:$B$12,0))</f>
        <v>0.1044225</v>
      </c>
      <c r="K39" s="17">
        <v>0</v>
      </c>
      <c r="L39" s="17">
        <v>0.1044225</v>
      </c>
      <c r="M39" s="17">
        <v>0.1044225</v>
      </c>
      <c r="N39" s="17">
        <v>0.1044225</v>
      </c>
      <c r="O39" s="17">
        <v>0.1044225</v>
      </c>
      <c r="P39" s="17">
        <v>0.1044225</v>
      </c>
      <c r="Q39" s="17">
        <v>0.1044225</v>
      </c>
      <c r="R39" s="17">
        <v>0.1044225</v>
      </c>
      <c r="S39" s="17">
        <v>1</v>
      </c>
      <c r="T39" s="17" t="s">
        <v>35</v>
      </c>
      <c r="U39" s="22">
        <v>0.72649652910676854</v>
      </c>
      <c r="V39" s="17">
        <v>1</v>
      </c>
      <c r="W39" s="9" t="s">
        <v>34</v>
      </c>
      <c r="X39" s="9">
        <f>INDEX('Unique Asset List'!$C$4:$I$60,MATCH('6'!$B39,'Unique Asset List'!$A$4:$A$60,0),MATCH('6'!$C$1,'Unique Asset List'!$C$3:$I$3,0))</f>
        <v>2034</v>
      </c>
      <c r="Y39" s="9">
        <f>INDEX('Unique Asset List'!$J$4:$P$60,MATCH('6'!$B39,'Unique Asset List'!$A$4:$A$60,0),MATCH('6'!$C$1,'Unique Asset List'!$J$3:$P$3,0))</f>
        <v>3</v>
      </c>
      <c r="Z39" s="9">
        <f>INDEX('Unique Asset List'!$X$4:$AD$60,MATCH('6'!$B39,'Unique Asset List'!$A$4:$A$60,0),MATCH('6'!$C$1,'Unique Asset List'!$X$3:$AD$3,0))</f>
        <v>2043</v>
      </c>
      <c r="AA39" s="9">
        <f>INDEX('Unique Asset List'!$AE$4:$AK$60,MATCH('6'!$B39,'Unique Asset List'!$A$4:$A$60,0),MATCH('6'!$C$1,'Unique Asset List'!$AE$3:$AK$3,0))</f>
        <v>2</v>
      </c>
      <c r="AB39" s="16">
        <f>AB28</f>
        <v>2.0908086000000004</v>
      </c>
      <c r="AC39" s="16">
        <f>AC28</f>
        <v>0.97325250000000008</v>
      </c>
      <c r="AD39" s="16">
        <f>AD28</f>
        <v>0.56099999999999994</v>
      </c>
      <c r="AE39" s="15">
        <f>INDEX('Unique Asset List'!$BN$4:$BT$60,MATCH('6'!$B39,'Unique Asset List'!$A$4:$A$60,0),MATCH('6'!$C$1,'Unique Asset List'!$BN$3:$BT$3,0))</f>
        <v>0.18</v>
      </c>
      <c r="AF39" s="15">
        <f>INDEX('Unique Asset List'!$BU$4:$CA$60,MATCH('6'!$B39,'Unique Asset List'!$A$4:$A$60,0),MATCH('6'!$C$1,'Unique Asset List'!$BU$3:$CA$3,0))</f>
        <v>0.32</v>
      </c>
      <c r="AG39" s="15">
        <f>INDEX('Unique Asset List'!$AZ$4:$BF$60,MATCH('6'!$B39,'Unique Asset List'!$A$4:$A$60,0),MATCH('6'!$C$1,'Unique Asset List'!$AZ$3:$BF$3,0))</f>
        <v>0.18</v>
      </c>
      <c r="AH39" s="15">
        <f>INDEX('Unique Asset List'!$BG$4:$BM$60,MATCH('6'!$B39,'Unique Asset List'!$A$4:$A$60,0),MATCH('6'!$C$1,'Unique Asset List'!$BG$3:$BM$3,0))</f>
        <v>0.32</v>
      </c>
      <c r="AI39" s="11">
        <v>0.96187963349867744</v>
      </c>
      <c r="AJ39" s="15">
        <f>INDEX('Unique Asset List'!$AL$4:$AR$60,MATCH('6'!$B39,'Unique Asset List'!$A$4:$A$60,0),MATCH('6'!$C$1,'Unique Asset List'!$AL$3:$AR$3,0))</f>
        <v>0.32314284341629806</v>
      </c>
      <c r="AK39" s="15">
        <f>INDEX('Unique Asset List'!$AS$4:$AY$60,MATCH('6'!$B39,'Unique Asset List'!$A$4:$A$60,0),MATCH('6'!$C$1,'Unique Asset List'!$AS$3:$AY$3,0))</f>
        <v>0.61768216477991222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5"/>
        <v>0.82</v>
      </c>
      <c r="AS39" s="10">
        <v>1</v>
      </c>
      <c r="AT39" s="10"/>
      <c r="AU39" s="4">
        <f>IF($C$5="ON",BU39,MyRating(_E1,$B39,Efficacy!$F$1))</f>
        <v>0</v>
      </c>
      <c r="AV39" s="3">
        <f>IF($C$5="ON",BV39,MyRating(_E2,$B39,Efficacy!$F$1))</f>
        <v>0</v>
      </c>
      <c r="AW39" s="3">
        <f>IF($C$5="ON",BW39,MyRating(_E3,$B39,Efficacy!$F$1))</f>
        <v>0</v>
      </c>
      <c r="AX39" s="3">
        <f>IF($C$5="ON",BX39,MyRating(_E4,$B39,Efficacy!$F$1))</f>
        <v>0</v>
      </c>
      <c r="AY39" s="3">
        <f>IF($C$5="ON",BY39,MyRating(_E5,$B39,Efficacy!$F$1))</f>
        <v>0</v>
      </c>
      <c r="AZ39" s="3">
        <f>IF($C$5="ON",BZ39,MyRating(_E6,$B39,Efficacy!$F$1))</f>
        <v>0</v>
      </c>
      <c r="BA39" s="3">
        <f>IF($C$5="ON",CA39,MyRating(_E7,$B39,Efficacy!$F$1))</f>
        <v>0</v>
      </c>
      <c r="BB39" s="3">
        <f>IF($C$5="ON",CB39,MyRating(_E8,$B39,Efficacy!$F$1))</f>
        <v>0</v>
      </c>
      <c r="BC39" s="3">
        <f>IF($C$5="ON",CC39,MyRating(_S1,$B39,Efficacy!$F$1))</f>
        <v>0</v>
      </c>
      <c r="BD39" s="3">
        <f>IF($C$5="ON",CD39,MyRating(_S2,$B39,Efficacy!$F$1))</f>
        <v>0</v>
      </c>
      <c r="BE39" s="3">
        <f>IF($C$5="ON",CE39,MyRating(_S3,$B39,Efficacy!$F$1))</f>
        <v>0</v>
      </c>
      <c r="BF39" s="3">
        <f>IF($C$5="ON",CF39,MyRating(_S4,$B39,Efficacy!$F$1))</f>
        <v>0</v>
      </c>
      <c r="BG39" s="3">
        <f>IF($C$5="ON",CG39,MyRating(_S5,$B39,Efficacy!$F$1))</f>
        <v>0</v>
      </c>
      <c r="BH39" s="3">
        <f>IF($C$5="ON",CH39,MyRating(_S6,$B39,Efficacy!$F$1))</f>
        <v>0</v>
      </c>
      <c r="BI39" s="3">
        <f>IF($C$5="ON",CI39,MyRating(_S7,$B39,Efficacy!$F$1))</f>
        <v>0</v>
      </c>
      <c r="BJ39" s="3">
        <f>IF($C$5="ON",CJ39,MyRating(_D1,$B39,Efficacy!$F$1))</f>
        <v>0</v>
      </c>
      <c r="BK39" s="3">
        <f>IF($C$5="ON",CK39,MyRating(_D2,$B39,Efficacy!$F$1))</f>
        <v>0</v>
      </c>
      <c r="BL39" s="3">
        <f>IF($C$5="ON",CL39,MyRating(_D3,$B39,Efficacy!$F$1))</f>
        <v>0</v>
      </c>
      <c r="BM39" s="3">
        <f>IF($C$5="ON",CM39,MyRating(_D4,$B39,Efficacy!$F$1))</f>
        <v>0</v>
      </c>
      <c r="BN39" s="3">
        <f>IF($C$5="ON",CN39,MyRating(_B1G5,$B39,Barrier!$L$2))</f>
        <v>0</v>
      </c>
      <c r="BO39" s="3">
        <f>IF($C$5="ON",CO39,MyRating(_B2,$B39,Barrier!$F$2))</f>
        <v>0</v>
      </c>
      <c r="BP39" s="6">
        <f>IF($C$5="ON",CP39,MyRating(_B3,$B39,Barrier!$F$2))</f>
        <v>0</v>
      </c>
      <c r="BQ39" s="5">
        <f t="shared" si="6"/>
        <v>0</v>
      </c>
      <c r="BR39" s="8">
        <f t="shared" si="7"/>
        <v>0</v>
      </c>
      <c r="BS39" s="5">
        <f t="shared" si="8"/>
        <v>0</v>
      </c>
      <c r="BT39" s="7">
        <f t="shared" si="9"/>
        <v>0</v>
      </c>
      <c r="BU39" s="4">
        <v>0</v>
      </c>
      <c r="BV39" s="3">
        <v>0</v>
      </c>
      <c r="BW39" s="3">
        <v>0</v>
      </c>
      <c r="BX39" s="3">
        <v>0</v>
      </c>
      <c r="BY39" s="3">
        <v>0</v>
      </c>
      <c r="BZ39" s="3">
        <v>0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6">
        <v>0</v>
      </c>
      <c r="CQ39" s="5">
        <v>0</v>
      </c>
      <c r="CR39" s="61"/>
    </row>
    <row r="40" spans="1:96" x14ac:dyDescent="0.35">
      <c r="A40" s="9" t="str">
        <f t="shared" si="0"/>
        <v>IT</v>
      </c>
      <c r="B40" s="9" t="s">
        <v>33</v>
      </c>
      <c r="C40" s="20"/>
      <c r="D40" s="9" t="s">
        <v>32</v>
      </c>
      <c r="E40" s="9" t="s">
        <v>193</v>
      </c>
      <c r="F40" s="9" t="s">
        <v>1</v>
      </c>
      <c r="G40" s="19">
        <v>0</v>
      </c>
      <c r="H40" s="9">
        <v>2014</v>
      </c>
      <c r="I40" s="9">
        <v>6</v>
      </c>
      <c r="J40" s="18">
        <f>INDEX(PTRS!$D$6:$D$12,MATCH('6'!$F40,PTRS!$B$6:$B$12,0))</f>
        <v>0.1044225</v>
      </c>
      <c r="K40" s="17">
        <v>0</v>
      </c>
      <c r="L40" s="17">
        <v>0.1044225</v>
      </c>
      <c r="M40" s="17">
        <v>0.1044225</v>
      </c>
      <c r="N40" s="17">
        <v>0.1044225</v>
      </c>
      <c r="O40" s="17">
        <v>0.1044225</v>
      </c>
      <c r="P40" s="17">
        <v>0.1044225</v>
      </c>
      <c r="Q40" s="17">
        <v>0.1044225</v>
      </c>
      <c r="R40" s="17">
        <v>0.1044225</v>
      </c>
      <c r="S40" s="17">
        <v>1</v>
      </c>
      <c r="T40" s="17" t="s">
        <v>31</v>
      </c>
      <c r="U40" s="22">
        <v>0.72649652910676854</v>
      </c>
      <c r="V40" s="17">
        <v>1</v>
      </c>
      <c r="W40" s="9" t="s">
        <v>31</v>
      </c>
      <c r="X40" s="9">
        <f>INDEX('Unique Asset List'!$C$4:$I$60,MATCH('6'!$B40,'Unique Asset List'!$A$4:$A$60,0),MATCH('6'!$C$1,'Unique Asset List'!$C$3:$I$3,0))</f>
        <v>2033</v>
      </c>
      <c r="Y40" s="9">
        <f>INDEX('Unique Asset List'!$J$4:$P$60,MATCH('6'!$B40,'Unique Asset List'!$A$4:$A$60,0),MATCH('6'!$C$1,'Unique Asset List'!$J$3:$P$3,0))</f>
        <v>3</v>
      </c>
      <c r="Z40" s="9">
        <f>INDEX('Unique Asset List'!$X$4:$AD$60,MATCH('6'!$B40,'Unique Asset List'!$A$4:$A$60,0),MATCH('6'!$C$1,'Unique Asset List'!$X$3:$AD$3,0))</f>
        <v>2042</v>
      </c>
      <c r="AA40" s="9">
        <f>INDEX('Unique Asset List'!$AE$4:$AK$60,MATCH('6'!$B40,'Unique Asset List'!$A$4:$A$60,0),MATCH('6'!$C$1,'Unique Asset List'!$AE$3:$AK$3,0))</f>
        <v>2</v>
      </c>
      <c r="AB40" s="16">
        <f>AB27</f>
        <v>2.1250906000000005</v>
      </c>
      <c r="AC40" s="16">
        <f>AC27</f>
        <v>0.97325250000000008</v>
      </c>
      <c r="AD40" s="16">
        <f>AD27</f>
        <v>0.56099999999999994</v>
      </c>
      <c r="AE40" s="15">
        <f>INDEX('Unique Asset List'!$BN$4:$BT$60,MATCH('6'!$B40,'Unique Asset List'!$A$4:$A$60,0),MATCH('6'!$C$1,'Unique Asset List'!$BN$3:$BT$3,0))</f>
        <v>0.18</v>
      </c>
      <c r="AF40" s="15">
        <f>INDEX('Unique Asset List'!$BU$4:$CA$60,MATCH('6'!$B40,'Unique Asset List'!$A$4:$A$60,0),MATCH('6'!$C$1,'Unique Asset List'!$BU$3:$CA$3,0))</f>
        <v>0.32</v>
      </c>
      <c r="AG40" s="15">
        <f>INDEX('Unique Asset List'!$AZ$4:$BF$60,MATCH('6'!$B40,'Unique Asset List'!$A$4:$A$60,0),MATCH('6'!$C$1,'Unique Asset List'!$AZ$3:$BF$3,0))</f>
        <v>0.18</v>
      </c>
      <c r="AH40" s="15">
        <f>INDEX('Unique Asset List'!$BG$4:$BM$60,MATCH('6'!$B40,'Unique Asset List'!$A$4:$A$60,0),MATCH('6'!$C$1,'Unique Asset List'!$BG$3:$BM$3,0))</f>
        <v>0.32</v>
      </c>
      <c r="AI40" s="11">
        <v>0.96187963349867744</v>
      </c>
      <c r="AJ40" s="15">
        <f>INDEX('Unique Asset List'!$AL$4:$AR$60,MATCH('6'!$B40,'Unique Asset List'!$A$4:$A$60,0),MATCH('6'!$C$1,'Unique Asset List'!$AL$3:$AR$3,0))</f>
        <v>0.32314284341629806</v>
      </c>
      <c r="AK40" s="15">
        <f>INDEX('Unique Asset List'!$AS$4:$AY$60,MATCH('6'!$B40,'Unique Asset List'!$A$4:$A$60,0),MATCH('6'!$C$1,'Unique Asset List'!$AS$3:$AY$3,0))</f>
        <v>0.61768216477991222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5"/>
        <v>0.82</v>
      </c>
      <c r="AS40" s="10">
        <v>1</v>
      </c>
      <c r="AT40" s="10"/>
      <c r="AU40" s="4">
        <f>IF($C$5="ON",BU40,MyRating(_E1,$B40,Efficacy!$F$1))</f>
        <v>0</v>
      </c>
      <c r="AV40" s="3">
        <f>IF($C$5="ON",BV40,MyRating(_E2,$B40,Efficacy!$F$1))</f>
        <v>0</v>
      </c>
      <c r="AW40" s="3">
        <f>IF($C$5="ON",BW40,MyRating(_E3,$B40,Efficacy!$F$1))</f>
        <v>0</v>
      </c>
      <c r="AX40" s="3">
        <f>IF($C$5="ON",BX40,MyRating(_E4,$B40,Efficacy!$F$1))</f>
        <v>0</v>
      </c>
      <c r="AY40" s="3">
        <f>IF($C$5="ON",BY40,MyRating(_E5,$B40,Efficacy!$F$1))</f>
        <v>0</v>
      </c>
      <c r="AZ40" s="3">
        <f>IF($C$5="ON",BZ40,MyRating(_E6,$B40,Efficacy!$F$1))</f>
        <v>0</v>
      </c>
      <c r="BA40" s="3">
        <f>IF($C$5="ON",CA40,MyRating(_E7,$B40,Efficacy!$F$1))</f>
        <v>0</v>
      </c>
      <c r="BB40" s="3">
        <f>IF($C$5="ON",CB40,MyRating(_E8,$B40,Efficacy!$F$1))</f>
        <v>0</v>
      </c>
      <c r="BC40" s="3">
        <f>IF($C$5="ON",CC40,MyRating(_S1,$B40,Efficacy!$F$1))</f>
        <v>0</v>
      </c>
      <c r="BD40" s="3">
        <f>IF($C$5="ON",CD40,MyRating(_S2,$B40,Efficacy!$F$1))</f>
        <v>0</v>
      </c>
      <c r="BE40" s="3">
        <f>IF($C$5="ON",CE40,MyRating(_S3,$B40,Efficacy!$F$1))</f>
        <v>0</v>
      </c>
      <c r="BF40" s="3">
        <f>IF($C$5="ON",CF40,MyRating(_S4,$B40,Efficacy!$F$1))</f>
        <v>0</v>
      </c>
      <c r="BG40" s="3">
        <f>IF($C$5="ON",CG40,MyRating(_S5,$B40,Efficacy!$F$1))</f>
        <v>0</v>
      </c>
      <c r="BH40" s="3">
        <f>IF($C$5="ON",CH40,MyRating(_S6,$B40,Efficacy!$F$1))</f>
        <v>0</v>
      </c>
      <c r="BI40" s="3">
        <f>IF($C$5="ON",CI40,MyRating(_S7,$B40,Efficacy!$F$1))</f>
        <v>0</v>
      </c>
      <c r="BJ40" s="3">
        <f>IF($C$5="ON",CJ40,MyRating(_D1,$B40,Efficacy!$F$1))</f>
        <v>0</v>
      </c>
      <c r="BK40" s="3">
        <f>IF($C$5="ON",CK40,MyRating(_D2,$B40,Efficacy!$F$1))</f>
        <v>0</v>
      </c>
      <c r="BL40" s="3">
        <f>IF($C$5="ON",CL40,MyRating(_D3,$B40,Efficacy!$F$1))</f>
        <v>0</v>
      </c>
      <c r="BM40" s="3">
        <f>IF($C$5="ON",CM40,MyRating(_D4,$B40,Efficacy!$F$1))</f>
        <v>0</v>
      </c>
      <c r="BN40" s="3">
        <f>IF($C$5="ON",CN40,MyRating(_B1G5,$B40,Barrier!$L$2))</f>
        <v>0</v>
      </c>
      <c r="BO40" s="3">
        <f>IF($C$5="ON",CO40,MyRating(_B2,$B40,Barrier!$F$2))</f>
        <v>0</v>
      </c>
      <c r="BP40" s="6">
        <f>IF($C$5="ON",CP40,MyRating(_B3,$B40,Barrier!$F$2))</f>
        <v>0</v>
      </c>
      <c r="BQ40" s="5">
        <f t="shared" si="6"/>
        <v>0</v>
      </c>
      <c r="BR40" s="8">
        <f t="shared" si="7"/>
        <v>0</v>
      </c>
      <c r="BS40" s="5">
        <f t="shared" si="8"/>
        <v>0</v>
      </c>
      <c r="BT40" s="7">
        <f t="shared" si="9"/>
        <v>0</v>
      </c>
      <c r="BU40" s="4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6">
        <v>0</v>
      </c>
      <c r="CQ40" s="5">
        <v>0</v>
      </c>
      <c r="CR40" s="61"/>
    </row>
    <row r="41" spans="1:96" x14ac:dyDescent="0.35">
      <c r="A41" s="9" t="str">
        <f t="shared" ref="A41:A58" si="10">$C$1</f>
        <v>IT</v>
      </c>
      <c r="B41" s="9" t="s">
        <v>30</v>
      </c>
      <c r="C41" s="20"/>
      <c r="D41" s="9" t="s">
        <v>29</v>
      </c>
      <c r="E41" s="9" t="s">
        <v>193</v>
      </c>
      <c r="F41" s="9" t="s">
        <v>1</v>
      </c>
      <c r="G41" s="19">
        <v>0</v>
      </c>
      <c r="H41" s="9">
        <v>2014</v>
      </c>
      <c r="I41" s="9">
        <v>6</v>
      </c>
      <c r="J41" s="18">
        <f>INDEX(PTRS!$D$6:$D$12,MATCH('6'!$F41,PTRS!$B$6:$B$12,0))</f>
        <v>0.1044225</v>
      </c>
      <c r="K41" s="17">
        <v>0</v>
      </c>
      <c r="L41" s="17">
        <v>0.1044225</v>
      </c>
      <c r="M41" s="17">
        <v>0.1044225</v>
      </c>
      <c r="N41" s="17">
        <v>0.1044225</v>
      </c>
      <c r="O41" s="17">
        <v>0.1044225</v>
      </c>
      <c r="P41" s="17">
        <v>0.1044225</v>
      </c>
      <c r="Q41" s="17">
        <v>0.1044225</v>
      </c>
      <c r="R41" s="17">
        <v>0.1044225</v>
      </c>
      <c r="S41" s="17">
        <v>1</v>
      </c>
      <c r="T41" s="17" t="s">
        <v>28</v>
      </c>
      <c r="U41" s="22">
        <v>0.72649652910676854</v>
      </c>
      <c r="V41" s="17">
        <v>1</v>
      </c>
      <c r="W41" s="9" t="s">
        <v>27</v>
      </c>
      <c r="X41" s="9">
        <f>INDEX('Unique Asset List'!$C$4:$I$60,MATCH('6'!$B41,'Unique Asset List'!$A$4:$A$60,0),MATCH('6'!$C$1,'Unique Asset List'!$C$3:$I$3,0))</f>
        <v>2035</v>
      </c>
      <c r="Y41" s="9">
        <f>INDEX('Unique Asset List'!$J$4:$P$60,MATCH('6'!$B41,'Unique Asset List'!$A$4:$A$60,0),MATCH('6'!$C$1,'Unique Asset List'!$J$3:$P$3,0))</f>
        <v>6.9999999999990905</v>
      </c>
      <c r="Z41" s="9">
        <f>INDEX('Unique Asset List'!$X$4:$AD$60,MATCH('6'!$B41,'Unique Asset List'!$A$4:$A$60,0),MATCH('6'!$C$1,'Unique Asset List'!$X$3:$AD$3,0))</f>
        <v>2044</v>
      </c>
      <c r="AA41" s="9">
        <f>INDEX('Unique Asset List'!$AE$4:$AK$60,MATCH('6'!$B41,'Unique Asset List'!$A$4:$A$60,0),MATCH('6'!$C$1,'Unique Asset List'!$AE$3:$AK$3,0))</f>
        <v>6</v>
      </c>
      <c r="AB41" s="16">
        <f>AB33</f>
        <v>2.0289886000000004</v>
      </c>
      <c r="AC41" s="16">
        <f>AC33</f>
        <v>0.85031269999999992</v>
      </c>
      <c r="AD41" s="16">
        <f>AD33</f>
        <v>0.56099999999999994</v>
      </c>
      <c r="AE41" s="15">
        <f>INDEX('Unique Asset List'!$BN$4:$BT$60,MATCH('6'!$B41,'Unique Asset List'!$A$4:$A$60,0),MATCH('6'!$C$1,'Unique Asset List'!$BN$3:$BT$3,0))</f>
        <v>0.18</v>
      </c>
      <c r="AF41" s="15">
        <f>INDEX('Unique Asset List'!$BU$4:$CA$60,MATCH('6'!$B41,'Unique Asset List'!$A$4:$A$60,0),MATCH('6'!$C$1,'Unique Asset List'!$BU$3:$CA$3,0))</f>
        <v>0.32</v>
      </c>
      <c r="AG41" s="15">
        <f>INDEX('Unique Asset List'!$AZ$4:$BF$60,MATCH('6'!$B41,'Unique Asset List'!$A$4:$A$60,0),MATCH('6'!$C$1,'Unique Asset List'!$AZ$3:$BF$3,0))</f>
        <v>0.18</v>
      </c>
      <c r="AH41" s="15">
        <f>INDEX('Unique Asset List'!$BG$4:$BM$60,MATCH('6'!$B41,'Unique Asset List'!$A$4:$A$60,0),MATCH('6'!$C$1,'Unique Asset List'!$BG$3:$BM$3,0))</f>
        <v>0.32</v>
      </c>
      <c r="AI41" s="11">
        <v>0.96187963349867744</v>
      </c>
      <c r="AJ41" s="15">
        <f>INDEX('Unique Asset List'!$AL$4:$AR$60,MATCH('6'!$B41,'Unique Asset List'!$A$4:$A$60,0),MATCH('6'!$C$1,'Unique Asset List'!$AL$3:$AR$3,0))</f>
        <v>0.32314284341629806</v>
      </c>
      <c r="AK41" s="15">
        <f>INDEX('Unique Asset List'!$AS$4:$AY$60,MATCH('6'!$B41,'Unique Asset List'!$A$4:$A$60,0),MATCH('6'!$C$1,'Unique Asset List'!$AS$3:$AY$3,0))</f>
        <v>0.61768216477991222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ref="AR41:AR58" si="11">AP41</f>
        <v>0.82</v>
      </c>
      <c r="AS41" s="10">
        <v>1</v>
      </c>
      <c r="AT41" s="10"/>
      <c r="AU41" s="4">
        <f>IF($C$5="ON",BU41,MyRating(_E1,$B41,Efficacy!$F$1))</f>
        <v>0</v>
      </c>
      <c r="AV41" s="3">
        <f>IF($C$5="ON",BV41,MyRating(_E2,$B41,Efficacy!$F$1))</f>
        <v>0</v>
      </c>
      <c r="AW41" s="3">
        <f>IF($C$5="ON",BW41,MyRating(_E3,$B41,Efficacy!$F$1))</f>
        <v>0</v>
      </c>
      <c r="AX41" s="3">
        <f>IF($C$5="ON",BX41,MyRating(_E4,$B41,Efficacy!$F$1))</f>
        <v>0</v>
      </c>
      <c r="AY41" s="3">
        <f>IF($C$5="ON",BY41,MyRating(_E5,$B41,Efficacy!$F$1))</f>
        <v>0</v>
      </c>
      <c r="AZ41" s="3">
        <f>IF($C$5="ON",BZ41,MyRating(_E6,$B41,Efficacy!$F$1))</f>
        <v>0</v>
      </c>
      <c r="BA41" s="3">
        <f>IF($C$5="ON",CA41,MyRating(_E7,$B41,Efficacy!$F$1))</f>
        <v>0</v>
      </c>
      <c r="BB41" s="3">
        <f>IF($C$5="ON",CB41,MyRating(_E8,$B41,Efficacy!$F$1))</f>
        <v>0</v>
      </c>
      <c r="BC41" s="3">
        <f>IF($C$5="ON",CC41,MyRating(_S1,$B41,Efficacy!$F$1))</f>
        <v>0</v>
      </c>
      <c r="BD41" s="3">
        <f>IF($C$5="ON",CD41,MyRating(_S2,$B41,Efficacy!$F$1))</f>
        <v>0</v>
      </c>
      <c r="BE41" s="3">
        <f>IF($C$5="ON",CE41,MyRating(_S3,$B41,Efficacy!$F$1))</f>
        <v>0</v>
      </c>
      <c r="BF41" s="3">
        <f>IF($C$5="ON",CF41,MyRating(_S4,$B41,Efficacy!$F$1))</f>
        <v>0</v>
      </c>
      <c r="BG41" s="3">
        <f>IF($C$5="ON",CG41,MyRating(_S5,$B41,Efficacy!$F$1))</f>
        <v>0</v>
      </c>
      <c r="BH41" s="3">
        <f>IF($C$5="ON",CH41,MyRating(_S6,$B41,Efficacy!$F$1))</f>
        <v>0</v>
      </c>
      <c r="BI41" s="3">
        <f>IF($C$5="ON",CI41,MyRating(_S7,$B41,Efficacy!$F$1))</f>
        <v>0</v>
      </c>
      <c r="BJ41" s="3">
        <f>IF($C$5="ON",CJ41,MyRating(_D1,$B41,Efficacy!$F$1))</f>
        <v>0</v>
      </c>
      <c r="BK41" s="3">
        <f>IF($C$5="ON",CK41,MyRating(_D2,$B41,Efficacy!$F$1))</f>
        <v>0</v>
      </c>
      <c r="BL41" s="3">
        <f>IF($C$5="ON",CL41,MyRating(_D3,$B41,Efficacy!$F$1))</f>
        <v>0</v>
      </c>
      <c r="BM41" s="3">
        <f>IF($C$5="ON",CM41,MyRating(_D4,$B41,Efficacy!$F$1))</f>
        <v>0</v>
      </c>
      <c r="BN41" s="3">
        <f>IF($C$5="ON",CN41,MyRating(_B1G5,$B41,Barrier!$L$2))</f>
        <v>0</v>
      </c>
      <c r="BO41" s="3">
        <f>IF($C$5="ON",CO41,MyRating(_B2,$B41,Barrier!$F$2))</f>
        <v>0</v>
      </c>
      <c r="BP41" s="6">
        <f>IF($C$5="ON",CP41,MyRating(_B3,$B41,Barrier!$F$2))</f>
        <v>0</v>
      </c>
      <c r="BQ41" s="5">
        <f t="shared" ref="BQ41:BQ58" si="12">BT41/$BT$7</f>
        <v>0</v>
      </c>
      <c r="BR41" s="8">
        <f t="shared" ref="BR41:BR58" si="13">SUMPRODUCT($BN41:$BP41,$BN$7:$BP$7)</f>
        <v>0</v>
      </c>
      <c r="BS41" s="5">
        <f t="shared" ref="BS41:BS58" si="14">BR41/$BR$7</f>
        <v>0</v>
      </c>
      <c r="BT41" s="7">
        <f t="shared" ref="BT41:BT58" si="15">BS41^$X$4</f>
        <v>0</v>
      </c>
      <c r="BU41" s="4">
        <v>0</v>
      </c>
      <c r="BV41" s="3">
        <v>0</v>
      </c>
      <c r="BW41" s="3">
        <v>0</v>
      </c>
      <c r="BX41" s="3">
        <v>0</v>
      </c>
      <c r="BY41" s="3">
        <v>0</v>
      </c>
      <c r="BZ41" s="3">
        <v>0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6">
        <v>0</v>
      </c>
      <c r="CQ41" s="5">
        <v>0</v>
      </c>
      <c r="CR41" s="61"/>
    </row>
    <row r="42" spans="1:96" x14ac:dyDescent="0.35">
      <c r="A42" s="9" t="str">
        <f t="shared" si="10"/>
        <v>IT</v>
      </c>
      <c r="B42" s="9" t="s">
        <v>26</v>
      </c>
      <c r="C42" s="20"/>
      <c r="D42" s="9" t="s">
        <v>25</v>
      </c>
      <c r="E42" s="9" t="s">
        <v>193</v>
      </c>
      <c r="F42" s="9" t="s">
        <v>1</v>
      </c>
      <c r="G42" s="19">
        <v>0</v>
      </c>
      <c r="H42" s="9">
        <v>2014</v>
      </c>
      <c r="I42" s="9">
        <v>6</v>
      </c>
      <c r="J42" s="18">
        <f>INDEX(PTRS!$D$6:$D$12,MATCH('6'!$F42,PTRS!$B$6:$B$12,0))</f>
        <v>0.1044225</v>
      </c>
      <c r="K42" s="17">
        <v>0</v>
      </c>
      <c r="L42" s="17">
        <v>0.1044225</v>
      </c>
      <c r="M42" s="17">
        <v>0.1044225</v>
      </c>
      <c r="N42" s="17">
        <v>0.1044225</v>
      </c>
      <c r="O42" s="17">
        <v>0.1044225</v>
      </c>
      <c r="P42" s="17">
        <v>0.1044225</v>
      </c>
      <c r="Q42" s="17">
        <v>0.1044225</v>
      </c>
      <c r="R42" s="17">
        <v>0.1044225</v>
      </c>
      <c r="S42" s="17">
        <v>1</v>
      </c>
      <c r="T42" s="17" t="s">
        <v>24</v>
      </c>
      <c r="U42" s="22">
        <v>0.72649652910676854</v>
      </c>
      <c r="V42" s="17">
        <v>1</v>
      </c>
      <c r="W42" s="9" t="s">
        <v>24</v>
      </c>
      <c r="X42" s="9">
        <f>INDEX('Unique Asset List'!$C$4:$I$60,MATCH('6'!$B42,'Unique Asset List'!$A$4:$A$60,0),MATCH('6'!$C$1,'Unique Asset List'!$C$3:$I$3,0))</f>
        <v>2033</v>
      </c>
      <c r="Y42" s="9">
        <f>INDEX('Unique Asset List'!$J$4:$P$60,MATCH('6'!$B42,'Unique Asset List'!$A$4:$A$60,0),MATCH('6'!$C$1,'Unique Asset List'!$J$3:$P$3,0))</f>
        <v>3</v>
      </c>
      <c r="Z42" s="9">
        <f>INDEX('Unique Asset List'!$X$4:$AD$60,MATCH('6'!$B42,'Unique Asset List'!$A$4:$A$60,0),MATCH('6'!$C$1,'Unique Asset List'!$X$3:$AD$3,0))</f>
        <v>2042</v>
      </c>
      <c r="AA42" s="9">
        <f>INDEX('Unique Asset List'!$AE$4:$AK$60,MATCH('6'!$B42,'Unique Asset List'!$A$4:$A$60,0),MATCH('6'!$C$1,'Unique Asset List'!$AE$3:$AK$3,0))</f>
        <v>2</v>
      </c>
      <c r="AB42" s="16">
        <f>AB30</f>
        <v>2.3276916000000001</v>
      </c>
      <c r="AC42" s="16">
        <f>AC30</f>
        <v>1.0028454</v>
      </c>
      <c r="AD42" s="16">
        <f>AD30</f>
        <v>0.56099999999999994</v>
      </c>
      <c r="AE42" s="15">
        <f>INDEX('Unique Asset List'!$BN$4:$BT$60,MATCH('6'!$B42,'Unique Asset List'!$A$4:$A$60,0),MATCH('6'!$C$1,'Unique Asset List'!$BN$3:$BT$3,0))</f>
        <v>0.18</v>
      </c>
      <c r="AF42" s="15">
        <f>INDEX('Unique Asset List'!$BU$4:$CA$60,MATCH('6'!$B42,'Unique Asset List'!$A$4:$A$60,0),MATCH('6'!$C$1,'Unique Asset List'!$BU$3:$CA$3,0))</f>
        <v>0.32</v>
      </c>
      <c r="AG42" s="15">
        <f>INDEX('Unique Asset List'!$AZ$4:$BF$60,MATCH('6'!$B42,'Unique Asset List'!$A$4:$A$60,0),MATCH('6'!$C$1,'Unique Asset List'!$AZ$3:$BF$3,0))</f>
        <v>0.18</v>
      </c>
      <c r="AH42" s="15">
        <f>INDEX('Unique Asset List'!$BG$4:$BM$60,MATCH('6'!$B42,'Unique Asset List'!$A$4:$A$60,0),MATCH('6'!$C$1,'Unique Asset List'!$BG$3:$BM$3,0))</f>
        <v>0.32</v>
      </c>
      <c r="AI42" s="11">
        <v>0.96187963349867744</v>
      </c>
      <c r="AJ42" s="15">
        <f>INDEX('Unique Asset List'!$AL$4:$AR$60,MATCH('6'!$B42,'Unique Asset List'!$A$4:$A$60,0),MATCH('6'!$C$1,'Unique Asset List'!$AL$3:$AR$3,0))</f>
        <v>0.32314284341629806</v>
      </c>
      <c r="AK42" s="15">
        <f>INDEX('Unique Asset List'!$AS$4:$AY$60,MATCH('6'!$B42,'Unique Asset List'!$A$4:$A$60,0),MATCH('6'!$C$1,'Unique Asset List'!$AS$3:$AY$3,0))</f>
        <v>0.61768216477991222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1"/>
        <v>0.82</v>
      </c>
      <c r="AS42" s="10">
        <v>1</v>
      </c>
      <c r="AT42" s="10"/>
      <c r="AU42" s="4">
        <f>IF($C$5="ON",BU42,MyRating(_E1,$B42,Efficacy!$F$1))</f>
        <v>0</v>
      </c>
      <c r="AV42" s="3">
        <f>IF($C$5="ON",BV42,MyRating(_E2,$B42,Efficacy!$F$1))</f>
        <v>0</v>
      </c>
      <c r="AW42" s="3">
        <f>IF($C$5="ON",BW42,MyRating(_E3,$B42,Efficacy!$F$1))</f>
        <v>0</v>
      </c>
      <c r="AX42" s="3">
        <f>IF($C$5="ON",BX42,MyRating(_E4,$B42,Efficacy!$F$1))</f>
        <v>0</v>
      </c>
      <c r="AY42" s="3">
        <f>IF($C$5="ON",BY42,MyRating(_E5,$B42,Efficacy!$F$1))</f>
        <v>0</v>
      </c>
      <c r="AZ42" s="3">
        <f>IF($C$5="ON",BZ42,MyRating(_E6,$B42,Efficacy!$F$1))</f>
        <v>0</v>
      </c>
      <c r="BA42" s="3">
        <f>IF($C$5="ON",CA42,MyRating(_E7,$B42,Efficacy!$F$1))</f>
        <v>0</v>
      </c>
      <c r="BB42" s="3">
        <f>IF($C$5="ON",CB42,MyRating(_E8,$B42,Efficacy!$F$1))</f>
        <v>0</v>
      </c>
      <c r="BC42" s="3">
        <f>IF($C$5="ON",CC42,MyRating(_S1,$B42,Efficacy!$F$1))</f>
        <v>0</v>
      </c>
      <c r="BD42" s="3">
        <f>IF($C$5="ON",CD42,MyRating(_S2,$B42,Efficacy!$F$1))</f>
        <v>0</v>
      </c>
      <c r="BE42" s="3">
        <f>IF($C$5="ON",CE42,MyRating(_S3,$B42,Efficacy!$F$1))</f>
        <v>0</v>
      </c>
      <c r="BF42" s="3">
        <f>IF($C$5="ON",CF42,MyRating(_S4,$B42,Efficacy!$F$1))</f>
        <v>0</v>
      </c>
      <c r="BG42" s="3">
        <f>IF($C$5="ON",CG42,MyRating(_S5,$B42,Efficacy!$F$1))</f>
        <v>0</v>
      </c>
      <c r="BH42" s="3">
        <f>IF($C$5="ON",CH42,MyRating(_S6,$B42,Efficacy!$F$1))</f>
        <v>0</v>
      </c>
      <c r="BI42" s="3">
        <f>IF($C$5="ON",CI42,MyRating(_S7,$B42,Efficacy!$F$1))</f>
        <v>0</v>
      </c>
      <c r="BJ42" s="3">
        <f>IF($C$5="ON",CJ42,MyRating(_D1,$B42,Efficacy!$F$1))</f>
        <v>0</v>
      </c>
      <c r="BK42" s="3">
        <f>IF($C$5="ON",CK42,MyRating(_D2,$B42,Efficacy!$F$1))</f>
        <v>0</v>
      </c>
      <c r="BL42" s="3">
        <f>IF($C$5="ON",CL42,MyRating(_D3,$B42,Efficacy!$F$1))</f>
        <v>0</v>
      </c>
      <c r="BM42" s="3">
        <f>IF($C$5="ON",CM42,MyRating(_D4,$B42,Efficacy!$F$1))</f>
        <v>0</v>
      </c>
      <c r="BN42" s="3">
        <f>IF($C$5="ON",CN42,MyRating(_B1G5,$B42,Barrier!$L$2))</f>
        <v>0</v>
      </c>
      <c r="BO42" s="3">
        <f>IF($C$5="ON",CO42,MyRating(_B2,$B42,Barrier!$F$2))</f>
        <v>0</v>
      </c>
      <c r="BP42" s="6">
        <f>IF($C$5="ON",CP42,MyRating(_B3,$B42,Barrier!$F$2))</f>
        <v>0</v>
      </c>
      <c r="BQ42" s="5">
        <f t="shared" si="12"/>
        <v>0</v>
      </c>
      <c r="BR42" s="8">
        <f t="shared" si="13"/>
        <v>0</v>
      </c>
      <c r="BS42" s="5">
        <f t="shared" si="14"/>
        <v>0</v>
      </c>
      <c r="BT42" s="7">
        <f t="shared" si="15"/>
        <v>0</v>
      </c>
      <c r="BU42" s="4">
        <v>0</v>
      </c>
      <c r="BV42" s="3">
        <v>0</v>
      </c>
      <c r="BW42" s="3">
        <v>0</v>
      </c>
      <c r="BX42" s="3">
        <v>0</v>
      </c>
      <c r="BY42" s="3">
        <v>0</v>
      </c>
      <c r="BZ42" s="3">
        <v>0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6">
        <v>0</v>
      </c>
      <c r="CQ42" s="5">
        <v>0</v>
      </c>
      <c r="CR42" s="61"/>
    </row>
    <row r="43" spans="1:96" x14ac:dyDescent="0.35">
      <c r="A43" s="9" t="str">
        <f t="shared" si="10"/>
        <v>IT</v>
      </c>
      <c r="B43" s="9" t="s">
        <v>23</v>
      </c>
      <c r="C43" s="20"/>
      <c r="D43" s="9" t="s">
        <v>22</v>
      </c>
      <c r="E43" s="9" t="s">
        <v>193</v>
      </c>
      <c r="F43" s="9" t="s">
        <v>1</v>
      </c>
      <c r="G43" s="19">
        <v>0</v>
      </c>
      <c r="H43" s="9">
        <v>2014</v>
      </c>
      <c r="I43" s="9">
        <v>6</v>
      </c>
      <c r="J43" s="18">
        <f>INDEX(PTRS!$D$6:$D$12,MATCH('6'!$F43,PTRS!$B$6:$B$12,0))</f>
        <v>0.1044225</v>
      </c>
      <c r="K43" s="17">
        <v>0</v>
      </c>
      <c r="L43" s="17">
        <v>0.1044225</v>
      </c>
      <c r="M43" s="17">
        <v>0.1044225</v>
      </c>
      <c r="N43" s="17">
        <v>0.1044225</v>
      </c>
      <c r="O43" s="17">
        <v>0.1044225</v>
      </c>
      <c r="P43" s="17">
        <v>0.1044225</v>
      </c>
      <c r="Q43" s="17">
        <v>0.1044225</v>
      </c>
      <c r="R43" s="17">
        <v>0.1044225</v>
      </c>
      <c r="S43" s="17">
        <v>1</v>
      </c>
      <c r="T43" s="9" t="s">
        <v>21</v>
      </c>
      <c r="U43" s="22">
        <v>0.72649652910676854</v>
      </c>
      <c r="V43" s="17">
        <v>1</v>
      </c>
      <c r="W43" s="9" t="s">
        <v>20</v>
      </c>
      <c r="X43" s="9">
        <f>INDEX('Unique Asset List'!$C$4:$I$60,MATCH('6'!$B43,'Unique Asset List'!$A$4:$A$60,0),MATCH('6'!$C$1,'Unique Asset List'!$C$3:$I$3,0))</f>
        <v>2032</v>
      </c>
      <c r="Y43" s="9">
        <f>INDEX('Unique Asset List'!$J$4:$P$60,MATCH('6'!$B43,'Unique Asset List'!$A$4:$A$60,0),MATCH('6'!$C$1,'Unique Asset List'!$J$3:$P$3,0))</f>
        <v>3.9999999999990905</v>
      </c>
      <c r="Z43" s="9">
        <f>INDEX('Unique Asset List'!$X$4:$AD$60,MATCH('6'!$B43,'Unique Asset List'!$A$4:$A$60,0),MATCH('6'!$C$1,'Unique Asset List'!$X$3:$AD$3,0))</f>
        <v>2041</v>
      </c>
      <c r="AA43" s="9">
        <f>INDEX('Unique Asset List'!$AE$4:$AK$60,MATCH('6'!$B43,'Unique Asset List'!$A$4:$A$60,0),MATCH('6'!$C$1,'Unique Asset List'!$AE$3:$AK$3,0))</f>
        <v>3</v>
      </c>
      <c r="AB43" s="16">
        <f>AB25</f>
        <v>1.6822346000000001</v>
      </c>
      <c r="AC43" s="16">
        <f>AC25</f>
        <v>0.86278740000000009</v>
      </c>
      <c r="AD43" s="16">
        <f>AD25</f>
        <v>0.56099999999999994</v>
      </c>
      <c r="AE43" s="15">
        <f>INDEX('Unique Asset List'!$BN$4:$BT$60,MATCH('6'!$B43,'Unique Asset List'!$A$4:$A$60,0),MATCH('6'!$C$1,'Unique Asset List'!$BN$3:$BT$3,0))</f>
        <v>0.18</v>
      </c>
      <c r="AF43" s="15">
        <f>INDEX('Unique Asset List'!$BU$4:$CA$60,MATCH('6'!$B43,'Unique Asset List'!$A$4:$A$60,0),MATCH('6'!$C$1,'Unique Asset List'!$BU$3:$CA$3,0))</f>
        <v>0.32</v>
      </c>
      <c r="AG43" s="15">
        <f>INDEX('Unique Asset List'!$AZ$4:$BF$60,MATCH('6'!$B43,'Unique Asset List'!$A$4:$A$60,0),MATCH('6'!$C$1,'Unique Asset List'!$AZ$3:$BF$3,0))</f>
        <v>0.18</v>
      </c>
      <c r="AH43" s="15">
        <f>INDEX('Unique Asset List'!$BG$4:$BM$60,MATCH('6'!$B43,'Unique Asset List'!$A$4:$A$60,0),MATCH('6'!$C$1,'Unique Asset List'!$BG$3:$BM$3,0))</f>
        <v>0.32</v>
      </c>
      <c r="AI43" s="11">
        <v>0.96187963349867744</v>
      </c>
      <c r="AJ43" s="15">
        <f>INDEX('Unique Asset List'!$AL$4:$AR$60,MATCH('6'!$B43,'Unique Asset List'!$A$4:$A$60,0),MATCH('6'!$C$1,'Unique Asset List'!$AL$3:$AR$3,0))</f>
        <v>0.32314284341629806</v>
      </c>
      <c r="AK43" s="15">
        <f>INDEX('Unique Asset List'!$AS$4:$AY$60,MATCH('6'!$B43,'Unique Asset List'!$A$4:$A$60,0),MATCH('6'!$C$1,'Unique Asset List'!$AS$3:$AY$3,0))</f>
        <v>0.61768216477991222</v>
      </c>
      <c r="AL43" s="9">
        <v>169</v>
      </c>
      <c r="AM43" s="14">
        <f>INDEX(Simulation!$B$6:$H$6,MATCH($A43,Simulation!$B$1:$H$1,0))*(1+AN43)^((DATE(X43,Y43,15)-DATE(2017,1,15))/365.5)</f>
        <v>3.5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11"/>
        <v>0.82</v>
      </c>
      <c r="AS43" s="10">
        <v>1</v>
      </c>
      <c r="AT43" s="10"/>
      <c r="AU43" s="4">
        <f>IF($C$5="ON",BU43,MyRating(_E1,$B43,Efficacy!$F$1))</f>
        <v>0</v>
      </c>
      <c r="AV43" s="3">
        <f>IF($C$5="ON",BV43,MyRating(_E2,$B43,Efficacy!$F$1))</f>
        <v>0</v>
      </c>
      <c r="AW43" s="3">
        <f>IF($C$5="ON",BW43,MyRating(_E3,$B43,Efficacy!$F$1))</f>
        <v>0</v>
      </c>
      <c r="AX43" s="3">
        <f>IF($C$5="ON",BX43,MyRating(_E4,$B43,Efficacy!$F$1))</f>
        <v>0</v>
      </c>
      <c r="AY43" s="3">
        <f>IF($C$5="ON",BY43,MyRating(_E5,$B43,Efficacy!$F$1))</f>
        <v>0</v>
      </c>
      <c r="AZ43" s="3">
        <f>IF($C$5="ON",BZ43,MyRating(_E6,$B43,Efficacy!$F$1))</f>
        <v>0</v>
      </c>
      <c r="BA43" s="3">
        <f>IF($C$5="ON",CA43,MyRating(_E7,$B43,Efficacy!$F$1))</f>
        <v>0</v>
      </c>
      <c r="BB43" s="3">
        <f>IF($C$5="ON",CB43,MyRating(_E8,$B43,Efficacy!$F$1))</f>
        <v>0</v>
      </c>
      <c r="BC43" s="3">
        <f>IF($C$5="ON",CC43,MyRating(_S1,$B43,Efficacy!$F$1))</f>
        <v>0</v>
      </c>
      <c r="BD43" s="3">
        <f>IF($C$5="ON",CD43,MyRating(_S2,$B43,Efficacy!$F$1))</f>
        <v>0</v>
      </c>
      <c r="BE43" s="3">
        <f>IF($C$5="ON",CE43,MyRating(_S3,$B43,Efficacy!$F$1))</f>
        <v>0</v>
      </c>
      <c r="BF43" s="3">
        <f>IF($C$5="ON",CF43,MyRating(_S4,$B43,Efficacy!$F$1))</f>
        <v>0</v>
      </c>
      <c r="BG43" s="3">
        <f>IF($C$5="ON",CG43,MyRating(_S5,$B43,Efficacy!$F$1))</f>
        <v>0</v>
      </c>
      <c r="BH43" s="3">
        <f>IF($C$5="ON",CH43,MyRating(_S6,$B43,Efficacy!$F$1))</f>
        <v>0</v>
      </c>
      <c r="BI43" s="3">
        <f>IF($C$5="ON",CI43,MyRating(_S7,$B43,Efficacy!$F$1))</f>
        <v>0</v>
      </c>
      <c r="BJ43" s="3">
        <f>IF($C$5="ON",CJ43,MyRating(_D1,$B43,Efficacy!$F$1))</f>
        <v>0</v>
      </c>
      <c r="BK43" s="3">
        <f>IF($C$5="ON",CK43,MyRating(_D2,$B43,Efficacy!$F$1))</f>
        <v>0</v>
      </c>
      <c r="BL43" s="3">
        <f>IF($C$5="ON",CL43,MyRating(_D3,$B43,Efficacy!$F$1))</f>
        <v>0</v>
      </c>
      <c r="BM43" s="3">
        <f>IF($C$5="ON",CM43,MyRating(_D4,$B43,Efficacy!$F$1))</f>
        <v>0</v>
      </c>
      <c r="BN43" s="3">
        <f>IF($C$5="ON",CN43,MyRating(_B1G5,$B43,Barrier!$L$2))</f>
        <v>0</v>
      </c>
      <c r="BO43" s="3">
        <f>IF($C$5="ON",CO43,MyRating(_B2,$B43,Barrier!$F$2))</f>
        <v>0</v>
      </c>
      <c r="BP43" s="6">
        <f>IF($C$5="ON",CP43,MyRating(_B3,$B43,Barrier!$F$2))</f>
        <v>0</v>
      </c>
      <c r="BQ43" s="5">
        <f t="shared" si="12"/>
        <v>0</v>
      </c>
      <c r="BR43" s="8">
        <f t="shared" si="13"/>
        <v>0</v>
      </c>
      <c r="BS43" s="5">
        <f t="shared" si="14"/>
        <v>0</v>
      </c>
      <c r="BT43" s="7">
        <f t="shared" si="15"/>
        <v>0</v>
      </c>
      <c r="BU43" s="4">
        <v>0</v>
      </c>
      <c r="BV43" s="3">
        <v>0</v>
      </c>
      <c r="BW43" s="3">
        <v>0</v>
      </c>
      <c r="BX43" s="3">
        <v>0</v>
      </c>
      <c r="BY43" s="3">
        <v>0</v>
      </c>
      <c r="BZ43" s="3">
        <v>0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6">
        <v>0</v>
      </c>
      <c r="CQ43" s="5">
        <v>0</v>
      </c>
      <c r="CR43" s="61"/>
    </row>
    <row r="44" spans="1:96" x14ac:dyDescent="0.35">
      <c r="A44" s="9" t="str">
        <f t="shared" si="10"/>
        <v>IT</v>
      </c>
      <c r="B44" s="9" t="s">
        <v>19</v>
      </c>
      <c r="C44" s="20"/>
      <c r="D44" s="9" t="s">
        <v>18</v>
      </c>
      <c r="E44" s="9" t="s">
        <v>193</v>
      </c>
      <c r="F44" s="9" t="s">
        <v>1</v>
      </c>
      <c r="G44" s="19">
        <v>0</v>
      </c>
      <c r="H44" s="9">
        <v>2014</v>
      </c>
      <c r="I44" s="9">
        <v>6</v>
      </c>
      <c r="J44" s="18">
        <f>INDEX(PTRS!$D$6:$D$12,MATCH('6'!$F44,PTRS!$B$6:$B$12,0))</f>
        <v>0.1044225</v>
      </c>
      <c r="K44" s="17">
        <v>0</v>
      </c>
      <c r="L44" s="17">
        <v>0.1044225</v>
      </c>
      <c r="M44" s="17">
        <v>0.1044225</v>
      </c>
      <c r="N44" s="17">
        <v>0.1044225</v>
      </c>
      <c r="O44" s="17">
        <v>0.1044225</v>
      </c>
      <c r="P44" s="17">
        <v>0.1044225</v>
      </c>
      <c r="Q44" s="17">
        <v>0.1044225</v>
      </c>
      <c r="R44" s="17">
        <v>0.1044225</v>
      </c>
      <c r="S44" s="17">
        <v>1</v>
      </c>
      <c r="T44" s="9" t="s">
        <v>17</v>
      </c>
      <c r="U44" s="22">
        <v>0.72649652910676854</v>
      </c>
      <c r="V44" s="17">
        <v>1</v>
      </c>
      <c r="W44" s="9" t="s">
        <v>16</v>
      </c>
      <c r="X44" s="9">
        <f>INDEX('Unique Asset List'!$C$4:$I$60,MATCH('6'!$B44,'Unique Asset List'!$A$4:$A$60,0),MATCH('6'!$C$1,'Unique Asset List'!$C$3:$I$3,0))</f>
        <v>2031</v>
      </c>
      <c r="Y44" s="9">
        <f>INDEX('Unique Asset List'!$J$4:$P$60,MATCH('6'!$B44,'Unique Asset List'!$A$4:$A$60,0),MATCH('6'!$C$1,'Unique Asset List'!$J$3:$P$3,0))</f>
        <v>9</v>
      </c>
      <c r="Z44" s="9">
        <f>INDEX('Unique Asset List'!$X$4:$AD$60,MATCH('6'!$B44,'Unique Asset List'!$A$4:$A$60,0),MATCH('6'!$C$1,'Unique Asset List'!$X$3:$AD$3,0))</f>
        <v>2040</v>
      </c>
      <c r="AA44" s="9">
        <f>INDEX('Unique Asset List'!$AE$4:$AK$60,MATCH('6'!$B44,'Unique Asset List'!$A$4:$A$60,0),MATCH('6'!$C$1,'Unique Asset List'!$AE$3:$AK$3,0))</f>
        <v>8</v>
      </c>
      <c r="AB44" s="16">
        <f>AB24</f>
        <v>1.7951404000000002</v>
      </c>
      <c r="AC44" s="16">
        <f>AC24</f>
        <v>0.88497580000000009</v>
      </c>
      <c r="AD44" s="16">
        <f>AD24</f>
        <v>0.56099999999999994</v>
      </c>
      <c r="AE44" s="15">
        <f>INDEX('Unique Asset List'!$BN$4:$BT$60,MATCH('6'!$B44,'Unique Asset List'!$A$4:$A$60,0),MATCH('6'!$C$1,'Unique Asset List'!$BN$3:$BT$3,0))</f>
        <v>0.18</v>
      </c>
      <c r="AF44" s="15">
        <f>INDEX('Unique Asset List'!$BU$4:$CA$60,MATCH('6'!$B44,'Unique Asset List'!$A$4:$A$60,0),MATCH('6'!$C$1,'Unique Asset List'!$BU$3:$CA$3,0))</f>
        <v>0.32</v>
      </c>
      <c r="AG44" s="15">
        <f>INDEX('Unique Asset List'!$AZ$4:$BF$60,MATCH('6'!$B44,'Unique Asset List'!$A$4:$A$60,0),MATCH('6'!$C$1,'Unique Asset List'!$AZ$3:$BF$3,0))</f>
        <v>0.18</v>
      </c>
      <c r="AH44" s="15">
        <f>INDEX('Unique Asset List'!$BG$4:$BM$60,MATCH('6'!$B44,'Unique Asset List'!$A$4:$A$60,0),MATCH('6'!$C$1,'Unique Asset List'!$BG$3:$BM$3,0))</f>
        <v>0.32</v>
      </c>
      <c r="AI44" s="11">
        <v>0.96187963349867744</v>
      </c>
      <c r="AJ44" s="15">
        <f>INDEX('Unique Asset List'!$AL$4:$AR$60,MATCH('6'!$B44,'Unique Asset List'!$A$4:$A$60,0),MATCH('6'!$C$1,'Unique Asset List'!$AL$3:$AR$3,0))</f>
        <v>0.32314284341629806</v>
      </c>
      <c r="AK44" s="15">
        <f>INDEX('Unique Asset List'!$AS$4:$AY$60,MATCH('6'!$B44,'Unique Asset List'!$A$4:$A$60,0),MATCH('6'!$C$1,'Unique Asset List'!$AS$3:$AY$3,0))</f>
        <v>0.61768216477991222</v>
      </c>
      <c r="AL44" s="9">
        <v>169</v>
      </c>
      <c r="AM44" s="14">
        <f>INDEX(Simulation!$B$6:$H$6,MATCH($A44,Simulation!$B$1:$H$1,0))*(1+AN44)^((DATE(X44,Y44,15)-DATE(2017,1,15))/365.5)</f>
        <v>3.5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11"/>
        <v>0.82</v>
      </c>
      <c r="AS44" s="10">
        <v>1</v>
      </c>
      <c r="AT44" s="10"/>
      <c r="AU44" s="4">
        <f>IF($C$5="ON",BU44,MyRating(_E1,$B44,Efficacy!$F$1))</f>
        <v>0</v>
      </c>
      <c r="AV44" s="3">
        <f>IF($C$5="ON",BV44,MyRating(_E2,$B44,Efficacy!$F$1))</f>
        <v>0</v>
      </c>
      <c r="AW44" s="3">
        <f>IF($C$5="ON",BW44,MyRating(_E3,$B44,Efficacy!$F$1))</f>
        <v>0</v>
      </c>
      <c r="AX44" s="3">
        <f>IF($C$5="ON",BX44,MyRating(_E4,$B44,Efficacy!$F$1))</f>
        <v>0</v>
      </c>
      <c r="AY44" s="3">
        <f>IF($C$5="ON",BY44,MyRating(_E5,$B44,Efficacy!$F$1))</f>
        <v>0</v>
      </c>
      <c r="AZ44" s="3">
        <f>IF($C$5="ON",BZ44,MyRating(_E6,$B44,Efficacy!$F$1))</f>
        <v>0</v>
      </c>
      <c r="BA44" s="3">
        <f>IF($C$5="ON",CA44,MyRating(_E7,$B44,Efficacy!$F$1))</f>
        <v>0</v>
      </c>
      <c r="BB44" s="3">
        <f>IF($C$5="ON",CB44,MyRating(_E8,$B44,Efficacy!$F$1))</f>
        <v>0</v>
      </c>
      <c r="BC44" s="3">
        <f>IF($C$5="ON",CC44,MyRating(_S1,$B44,Efficacy!$F$1))</f>
        <v>0</v>
      </c>
      <c r="BD44" s="3">
        <f>IF($C$5="ON",CD44,MyRating(_S2,$B44,Efficacy!$F$1))</f>
        <v>0</v>
      </c>
      <c r="BE44" s="3">
        <f>IF($C$5="ON",CE44,MyRating(_S3,$B44,Efficacy!$F$1))</f>
        <v>0</v>
      </c>
      <c r="BF44" s="3">
        <f>IF($C$5="ON",CF44,MyRating(_S4,$B44,Efficacy!$F$1))</f>
        <v>0</v>
      </c>
      <c r="BG44" s="3">
        <f>IF($C$5="ON",CG44,MyRating(_S5,$B44,Efficacy!$F$1))</f>
        <v>0</v>
      </c>
      <c r="BH44" s="3">
        <f>IF($C$5="ON",CH44,MyRating(_S6,$B44,Efficacy!$F$1))</f>
        <v>0</v>
      </c>
      <c r="BI44" s="3">
        <f>IF($C$5="ON",CI44,MyRating(_S7,$B44,Efficacy!$F$1))</f>
        <v>0</v>
      </c>
      <c r="BJ44" s="3">
        <f>IF($C$5="ON",CJ44,MyRating(_D1,$B44,Efficacy!$F$1))</f>
        <v>0</v>
      </c>
      <c r="BK44" s="3">
        <f>IF($C$5="ON",CK44,MyRating(_D2,$B44,Efficacy!$F$1))</f>
        <v>0</v>
      </c>
      <c r="BL44" s="3">
        <f>IF($C$5="ON",CL44,MyRating(_D3,$B44,Efficacy!$F$1))</f>
        <v>0</v>
      </c>
      <c r="BM44" s="3">
        <f>IF($C$5="ON",CM44,MyRating(_D4,$B44,Efficacy!$F$1))</f>
        <v>0</v>
      </c>
      <c r="BN44" s="3">
        <f>IF($C$5="ON",CN44,MyRating(_B1G5,$B44,Barrier!$L$2))</f>
        <v>0</v>
      </c>
      <c r="BO44" s="3">
        <f>IF($C$5="ON",CO44,MyRating(_B2,$B44,Barrier!$F$2))</f>
        <v>0</v>
      </c>
      <c r="BP44" s="6">
        <f>IF($C$5="ON",CP44,MyRating(_B3,$B44,Barrier!$F$2))</f>
        <v>0</v>
      </c>
      <c r="BQ44" s="5">
        <f t="shared" si="12"/>
        <v>0</v>
      </c>
      <c r="BR44" s="8">
        <f t="shared" si="13"/>
        <v>0</v>
      </c>
      <c r="BS44" s="5">
        <f t="shared" si="14"/>
        <v>0</v>
      </c>
      <c r="BT44" s="7">
        <f t="shared" si="15"/>
        <v>0</v>
      </c>
      <c r="BU44" s="4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6">
        <v>0</v>
      </c>
      <c r="CQ44" s="5">
        <v>0</v>
      </c>
      <c r="CR44" s="61"/>
    </row>
    <row r="45" spans="1:96" x14ac:dyDescent="0.35">
      <c r="A45" s="9" t="str">
        <f t="shared" si="10"/>
        <v>IT</v>
      </c>
      <c r="B45" s="9" t="s">
        <v>13</v>
      </c>
      <c r="C45" s="20"/>
      <c r="D45" s="9" t="s">
        <v>2</v>
      </c>
      <c r="E45" s="9" t="s">
        <v>193</v>
      </c>
      <c r="F45" s="9" t="s">
        <v>1</v>
      </c>
      <c r="G45" s="19">
        <v>0</v>
      </c>
      <c r="H45" s="9">
        <v>2014</v>
      </c>
      <c r="I45" s="9">
        <v>6</v>
      </c>
      <c r="J45" s="18">
        <f>INDEX(PTRS!$D$6:$D$12,MATCH('6'!$F45,PTRS!$B$6:$B$12,0))</f>
        <v>0.1044225</v>
      </c>
      <c r="K45" s="17">
        <v>0</v>
      </c>
      <c r="L45" s="17">
        <v>0.1044225</v>
      </c>
      <c r="M45" s="17">
        <v>0</v>
      </c>
      <c r="N45" s="17">
        <v>0</v>
      </c>
      <c r="O45" s="17">
        <v>1</v>
      </c>
      <c r="P45" s="17">
        <v>0.1044225</v>
      </c>
      <c r="Q45" s="17">
        <v>0.1044225</v>
      </c>
      <c r="R45" s="17">
        <v>0.1044225</v>
      </c>
      <c r="S45" s="17">
        <v>1</v>
      </c>
      <c r="T45" s="17"/>
      <c r="U45" s="22">
        <v>0.72649652910676854</v>
      </c>
      <c r="V45" s="17">
        <v>1</v>
      </c>
      <c r="W45" s="9" t="s">
        <v>13</v>
      </c>
      <c r="X45" s="9">
        <f>INDEX('Unique Asset List'!$C$4:$I$60,MATCH('6'!$B45,'Unique Asset List'!$A$4:$A$60,0),MATCH('6'!$C$1,'Unique Asset List'!$C$3:$I$3,0))</f>
        <v>2031</v>
      </c>
      <c r="Y45" s="9">
        <f>INDEX('Unique Asset List'!$J$4:$P$60,MATCH('6'!$B45,'Unique Asset List'!$A$4:$A$60,0),MATCH('6'!$C$1,'Unique Asset List'!$J$3:$P$3,0))</f>
        <v>6.9999999999990905</v>
      </c>
      <c r="Z45" s="9">
        <f>INDEX('Unique Asset List'!$X$4:$AD$60,MATCH('6'!$B45,'Unique Asset List'!$A$4:$A$60,0),MATCH('6'!$C$1,'Unique Asset List'!$X$3:$AD$3,0))</f>
        <v>2042</v>
      </c>
      <c r="AA45" s="9">
        <f>INDEX('Unique Asset List'!$AE$4:$AK$60,MATCH('6'!$B45,'Unique Asset List'!$A$4:$A$60,0),MATCH('6'!$C$1,'Unique Asset List'!$AE$3:$AK$3,0))</f>
        <v>6</v>
      </c>
      <c r="AB45" s="16">
        <v>2.3276916000000001</v>
      </c>
      <c r="AC45" s="16">
        <v>1.0028454</v>
      </c>
      <c r="AD45" s="16">
        <v>0.56099999999999994</v>
      </c>
      <c r="AE45" s="15">
        <f>INDEX('Unique Asset List'!$BN$4:$BT$60,MATCH('6'!$B45,'Unique Asset List'!$A$4:$A$60,0),MATCH('6'!$C$1,'Unique Asset List'!$BN$3:$BT$3,0))</f>
        <v>0.18</v>
      </c>
      <c r="AF45" s="15">
        <f>INDEX('Unique Asset List'!$BU$4:$CA$60,MATCH('6'!$B45,'Unique Asset List'!$A$4:$A$60,0),MATCH('6'!$C$1,'Unique Asset List'!$BU$3:$CA$3,0))</f>
        <v>0.32</v>
      </c>
      <c r="AG45" s="15">
        <f>INDEX('Unique Asset List'!$AZ$4:$BF$60,MATCH('6'!$B45,'Unique Asset List'!$A$4:$A$60,0),MATCH('6'!$C$1,'Unique Asset List'!$AZ$3:$BF$3,0))</f>
        <v>0.18</v>
      </c>
      <c r="AH45" s="15">
        <f>INDEX('Unique Asset List'!$BG$4:$BM$60,MATCH('6'!$B45,'Unique Asset List'!$A$4:$A$60,0),MATCH('6'!$C$1,'Unique Asset List'!$BG$3:$BM$3,0))</f>
        <v>0.32</v>
      </c>
      <c r="AI45" s="11">
        <v>0.96187963349867744</v>
      </c>
      <c r="AJ45" s="15">
        <f>INDEX('Unique Asset List'!$AL$4:$AR$60,MATCH('6'!$B45,'Unique Asset List'!$A$4:$A$60,0),MATCH('6'!$C$1,'Unique Asset List'!$AL$3:$AR$3,0))</f>
        <v>0.32314284341629806</v>
      </c>
      <c r="AK45" s="15">
        <f>INDEX('Unique Asset List'!$AS$4:$AY$60,MATCH('6'!$B45,'Unique Asset List'!$A$4:$A$60,0),MATCH('6'!$C$1,'Unique Asset List'!$AS$3:$AY$3,0))</f>
        <v>0.61768216477991222</v>
      </c>
      <c r="AL45" s="9">
        <v>169</v>
      </c>
      <c r="AM45" s="14">
        <f>INDEX(Simulation!$B$6:$H$6,MATCH($A45,Simulation!$B$1:$H$1,0))*(1+AN45)^((DATE(X45,Y45,15)-DATE(2017,1,15))/365.5)</f>
        <v>3.5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11"/>
        <v>0.82</v>
      </c>
      <c r="AS45" s="10">
        <v>1</v>
      </c>
      <c r="AT45" s="10"/>
      <c r="AU45" s="4">
        <f>IF($C$5="ON",BU45,MyRating(_E1,$B45,Efficacy!$F$1))</f>
        <v>0</v>
      </c>
      <c r="AV45" s="3">
        <f>IF($C$5="ON",BV45,MyRating(_E2,$B45,Efficacy!$F$1))</f>
        <v>0</v>
      </c>
      <c r="AW45" s="3">
        <f>IF($C$5="ON",BW45,MyRating(_E3,$B45,Efficacy!$F$1))</f>
        <v>0</v>
      </c>
      <c r="AX45" s="3">
        <f>IF($C$5="ON",BX45,MyRating(_E4,$B45,Efficacy!$F$1))</f>
        <v>0</v>
      </c>
      <c r="AY45" s="3">
        <f>IF($C$5="ON",BY45,MyRating(_E5,$B45,Efficacy!$F$1))</f>
        <v>0</v>
      </c>
      <c r="AZ45" s="3">
        <f>IF($C$5="ON",BZ45,MyRating(_E6,$B45,Efficacy!$F$1))</f>
        <v>0</v>
      </c>
      <c r="BA45" s="3">
        <f>IF($C$5="ON",CA45,MyRating(_E7,$B45,Efficacy!$F$1))</f>
        <v>0</v>
      </c>
      <c r="BB45" s="3">
        <f>IF($C$5="ON",CB45,MyRating(_E8,$B45,Efficacy!$F$1))</f>
        <v>0</v>
      </c>
      <c r="BC45" s="3">
        <f>IF($C$5="ON",CC45,MyRating(_S1,$B45,Efficacy!$F$1))</f>
        <v>0</v>
      </c>
      <c r="BD45" s="3">
        <f>IF($C$5="ON",CD45,MyRating(_S2,$B45,Efficacy!$F$1))</f>
        <v>0</v>
      </c>
      <c r="BE45" s="3">
        <f>IF($C$5="ON",CE45,MyRating(_S3,$B45,Efficacy!$F$1))</f>
        <v>0</v>
      </c>
      <c r="BF45" s="3">
        <f>IF($C$5="ON",CF45,MyRating(_S4,$B45,Efficacy!$F$1))</f>
        <v>0</v>
      </c>
      <c r="BG45" s="3">
        <f>IF($C$5="ON",CG45,MyRating(_S5,$B45,Efficacy!$F$1))</f>
        <v>0</v>
      </c>
      <c r="BH45" s="3">
        <f>IF($C$5="ON",CH45,MyRating(_S6,$B45,Efficacy!$F$1))</f>
        <v>0</v>
      </c>
      <c r="BI45" s="3">
        <f>IF($C$5="ON",CI45,MyRating(_S7,$B45,Efficacy!$F$1))</f>
        <v>0</v>
      </c>
      <c r="BJ45" s="3">
        <f>IF($C$5="ON",CJ45,MyRating(_D1,$B45,Efficacy!$F$1))</f>
        <v>0</v>
      </c>
      <c r="BK45" s="3">
        <f>IF($C$5="ON",CK45,MyRating(_D2,$B45,Efficacy!$F$1))</f>
        <v>0</v>
      </c>
      <c r="BL45" s="3">
        <f>IF($C$5="ON",CL45,MyRating(_D3,$B45,Efficacy!$F$1))</f>
        <v>0</v>
      </c>
      <c r="BM45" s="3">
        <f>IF($C$5="ON",CM45,MyRating(_D4,$B45,Efficacy!$F$1))</f>
        <v>0</v>
      </c>
      <c r="BN45" s="3">
        <f>IF($C$5="ON",CN45,MyRating(_B1G5,$B45,Barrier!$L$2))</f>
        <v>0</v>
      </c>
      <c r="BO45" s="3">
        <f>IF($C$5="ON",CO45,MyRating(_B2,$B45,Barrier!$F$2))</f>
        <v>0</v>
      </c>
      <c r="BP45" s="6">
        <f>IF($C$5="ON",CP45,MyRating(_B3,$B45,Barrier!$F$2))</f>
        <v>0</v>
      </c>
      <c r="BQ45" s="5">
        <f t="shared" si="12"/>
        <v>0</v>
      </c>
      <c r="BR45" s="8">
        <f t="shared" si="13"/>
        <v>0</v>
      </c>
      <c r="BS45" s="5">
        <f t="shared" si="14"/>
        <v>0</v>
      </c>
      <c r="BT45" s="7">
        <f t="shared" si="15"/>
        <v>0</v>
      </c>
      <c r="BU45" s="4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6">
        <v>0</v>
      </c>
      <c r="CQ45" s="5">
        <v>0</v>
      </c>
      <c r="CR45" s="61"/>
    </row>
    <row r="46" spans="1:96" x14ac:dyDescent="0.35">
      <c r="A46" s="9" t="str">
        <f t="shared" si="10"/>
        <v>IT</v>
      </c>
      <c r="B46" s="9" t="s">
        <v>10</v>
      </c>
      <c r="C46" s="20"/>
      <c r="D46" s="9" t="s">
        <v>2</v>
      </c>
      <c r="E46" s="9" t="s">
        <v>193</v>
      </c>
      <c r="F46" s="9" t="s">
        <v>1</v>
      </c>
      <c r="G46" s="19">
        <v>0</v>
      </c>
      <c r="H46" s="9">
        <v>2014</v>
      </c>
      <c r="I46" s="9">
        <v>6</v>
      </c>
      <c r="J46" s="18">
        <f>INDEX(PTRS!$D$6:$D$12,MATCH('6'!$F46,PTRS!$B$6:$B$12,0))</f>
        <v>0.1044225</v>
      </c>
      <c r="K46" s="17">
        <v>0</v>
      </c>
      <c r="L46" s="17">
        <v>0.1044225</v>
      </c>
      <c r="M46" s="17">
        <v>0</v>
      </c>
      <c r="N46" s="17">
        <v>0</v>
      </c>
      <c r="O46" s="17">
        <v>1</v>
      </c>
      <c r="P46" s="17">
        <v>0.1044225</v>
      </c>
      <c r="Q46" s="17">
        <v>0.1044225</v>
      </c>
      <c r="R46" s="17">
        <v>0.1044225</v>
      </c>
      <c r="S46" s="17">
        <v>1</v>
      </c>
      <c r="T46" s="17"/>
      <c r="U46" s="22">
        <v>0.72649652910676854</v>
      </c>
      <c r="V46" s="17">
        <v>1</v>
      </c>
      <c r="W46" s="9" t="s">
        <v>10</v>
      </c>
      <c r="X46" s="9">
        <f>INDEX('Unique Asset List'!$C$4:$I$60,MATCH('6'!$B46,'Unique Asset List'!$A$4:$A$60,0),MATCH('6'!$C$1,'Unique Asset List'!$C$3:$I$3,0))</f>
        <v>2035</v>
      </c>
      <c r="Y46" s="9">
        <f>INDEX('Unique Asset List'!$J$4:$P$60,MATCH('6'!$B46,'Unique Asset List'!$A$4:$A$60,0),MATCH('6'!$C$1,'Unique Asset List'!$J$3:$P$3,0))</f>
        <v>6.9999999999990905</v>
      </c>
      <c r="Z46" s="9">
        <f>INDEX('Unique Asset List'!$X$4:$AD$60,MATCH('6'!$B46,'Unique Asset List'!$A$4:$A$60,0),MATCH('6'!$C$1,'Unique Asset List'!$X$3:$AD$3,0))</f>
        <v>2046</v>
      </c>
      <c r="AA46" s="9">
        <f>INDEX('Unique Asset List'!$AE$4:$AK$60,MATCH('6'!$B46,'Unique Asset List'!$A$4:$A$60,0),MATCH('6'!$C$1,'Unique Asset List'!$AE$3:$AK$3,0))</f>
        <v>6</v>
      </c>
      <c r="AB46" s="16">
        <v>2.3276916000000001</v>
      </c>
      <c r="AC46" s="16">
        <v>1.0028454</v>
      </c>
      <c r="AD46" s="16">
        <v>0.56099999999999994</v>
      </c>
      <c r="AE46" s="15">
        <f>INDEX('Unique Asset List'!$BN$4:$BT$60,MATCH('6'!$B46,'Unique Asset List'!$A$4:$A$60,0),MATCH('6'!$C$1,'Unique Asset List'!$BN$3:$BT$3,0))</f>
        <v>0.18</v>
      </c>
      <c r="AF46" s="15">
        <f>INDEX('Unique Asset List'!$BU$4:$CA$60,MATCH('6'!$B46,'Unique Asset List'!$A$4:$A$60,0),MATCH('6'!$C$1,'Unique Asset List'!$BU$3:$CA$3,0))</f>
        <v>0.32</v>
      </c>
      <c r="AG46" s="15">
        <f>INDEX('Unique Asset List'!$AZ$4:$BF$60,MATCH('6'!$B46,'Unique Asset List'!$A$4:$A$60,0),MATCH('6'!$C$1,'Unique Asset List'!$AZ$3:$BF$3,0))</f>
        <v>0.18</v>
      </c>
      <c r="AH46" s="15">
        <f>INDEX('Unique Asset List'!$BG$4:$BM$60,MATCH('6'!$B46,'Unique Asset List'!$A$4:$A$60,0),MATCH('6'!$C$1,'Unique Asset List'!$BG$3:$BM$3,0))</f>
        <v>0.32</v>
      </c>
      <c r="AI46" s="11">
        <v>0.96187963349867744</v>
      </c>
      <c r="AJ46" s="15">
        <f>INDEX('Unique Asset List'!$AL$4:$AR$60,MATCH('6'!$B46,'Unique Asset List'!$A$4:$A$60,0),MATCH('6'!$C$1,'Unique Asset List'!$AL$3:$AR$3,0))</f>
        <v>0.32314284341629806</v>
      </c>
      <c r="AK46" s="15">
        <f>INDEX('Unique Asset List'!$AS$4:$AY$60,MATCH('6'!$B46,'Unique Asset List'!$A$4:$A$60,0),MATCH('6'!$C$1,'Unique Asset List'!$AS$3:$AY$3,0))</f>
        <v>0.61768216477991222</v>
      </c>
      <c r="AL46" s="9">
        <v>169</v>
      </c>
      <c r="AM46" s="14">
        <f>INDEX(Simulation!$B$6:$H$6,MATCH($A46,Simulation!$B$1:$H$1,0))*(1+AN46)^((DATE(X46,Y46,15)-DATE(2017,1,15))/365.5)</f>
        <v>3.5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11"/>
        <v>0.82</v>
      </c>
      <c r="AS46" s="10">
        <v>1</v>
      </c>
      <c r="AT46" s="10"/>
      <c r="AU46" s="4">
        <f>IF($C$5="ON",BU46,MyRating(_E1,$B46,Efficacy!$F$1))</f>
        <v>0</v>
      </c>
      <c r="AV46" s="3">
        <f>IF($C$5="ON",BV46,MyRating(_E2,$B46,Efficacy!$F$1))</f>
        <v>0</v>
      </c>
      <c r="AW46" s="3">
        <f>IF($C$5="ON",BW46,MyRating(_E3,$B46,Efficacy!$F$1))</f>
        <v>0</v>
      </c>
      <c r="AX46" s="3">
        <f>IF($C$5="ON",BX46,MyRating(_E4,$B46,Efficacy!$F$1))</f>
        <v>0</v>
      </c>
      <c r="AY46" s="3">
        <f>IF($C$5="ON",BY46,MyRating(_E5,$B46,Efficacy!$F$1))</f>
        <v>0</v>
      </c>
      <c r="AZ46" s="3">
        <f>IF($C$5="ON",BZ46,MyRating(_E6,$B46,Efficacy!$F$1))</f>
        <v>0</v>
      </c>
      <c r="BA46" s="3">
        <f>IF($C$5="ON",CA46,MyRating(_E7,$B46,Efficacy!$F$1))</f>
        <v>0</v>
      </c>
      <c r="BB46" s="3">
        <f>IF($C$5="ON",CB46,MyRating(_E8,$B46,Efficacy!$F$1))</f>
        <v>0</v>
      </c>
      <c r="BC46" s="3">
        <f>IF($C$5="ON",CC46,MyRating(_S1,$B46,Efficacy!$F$1))</f>
        <v>0</v>
      </c>
      <c r="BD46" s="3">
        <f>IF($C$5="ON",CD46,MyRating(_S2,$B46,Efficacy!$F$1))</f>
        <v>0</v>
      </c>
      <c r="BE46" s="3">
        <f>IF($C$5="ON",CE46,MyRating(_S3,$B46,Efficacy!$F$1))</f>
        <v>0</v>
      </c>
      <c r="BF46" s="3">
        <f>IF($C$5="ON",CF46,MyRating(_S4,$B46,Efficacy!$F$1))</f>
        <v>0</v>
      </c>
      <c r="BG46" s="3">
        <f>IF($C$5="ON",CG46,MyRating(_S5,$B46,Efficacy!$F$1))</f>
        <v>0</v>
      </c>
      <c r="BH46" s="3">
        <f>IF($C$5="ON",CH46,MyRating(_S6,$B46,Efficacy!$F$1))</f>
        <v>0</v>
      </c>
      <c r="BI46" s="3">
        <f>IF($C$5="ON",CI46,MyRating(_S7,$B46,Efficacy!$F$1))</f>
        <v>0</v>
      </c>
      <c r="BJ46" s="3">
        <f>IF($C$5="ON",CJ46,MyRating(_D1,$B46,Efficacy!$F$1))</f>
        <v>0</v>
      </c>
      <c r="BK46" s="3">
        <f>IF($C$5="ON",CK46,MyRating(_D2,$B46,Efficacy!$F$1))</f>
        <v>0</v>
      </c>
      <c r="BL46" s="3">
        <f>IF($C$5="ON",CL46,MyRating(_D3,$B46,Efficacy!$F$1))</f>
        <v>0</v>
      </c>
      <c r="BM46" s="3">
        <f>IF($C$5="ON",CM46,MyRating(_D4,$B46,Efficacy!$F$1))</f>
        <v>0</v>
      </c>
      <c r="BN46" s="3">
        <f>IF($C$5="ON",CN46,MyRating(_B1G5,$B46,Barrier!$L$2))</f>
        <v>0</v>
      </c>
      <c r="BO46" s="3">
        <f>IF($C$5="ON",CO46,MyRating(_B2,$B46,Barrier!$F$2))</f>
        <v>0</v>
      </c>
      <c r="BP46" s="6">
        <f>IF($C$5="ON",CP46,MyRating(_B3,$B46,Barrier!$F$2))</f>
        <v>0</v>
      </c>
      <c r="BQ46" s="5">
        <f t="shared" si="12"/>
        <v>0</v>
      </c>
      <c r="BR46" s="8">
        <f t="shared" si="13"/>
        <v>0</v>
      </c>
      <c r="BS46" s="5">
        <f t="shared" si="14"/>
        <v>0</v>
      </c>
      <c r="BT46" s="7">
        <f t="shared" si="15"/>
        <v>0</v>
      </c>
      <c r="BU46" s="4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6">
        <v>0</v>
      </c>
      <c r="CQ46" s="5">
        <v>0</v>
      </c>
      <c r="CR46" s="61"/>
    </row>
    <row r="47" spans="1:96" x14ac:dyDescent="0.35">
      <c r="A47" s="9" t="str">
        <f t="shared" si="10"/>
        <v>IT</v>
      </c>
      <c r="B47" s="9" t="s">
        <v>7</v>
      </c>
      <c r="C47" s="20"/>
      <c r="D47" s="9" t="s">
        <v>2</v>
      </c>
      <c r="E47" s="9" t="s">
        <v>193</v>
      </c>
      <c r="F47" s="9" t="s">
        <v>1</v>
      </c>
      <c r="G47" s="19">
        <v>0</v>
      </c>
      <c r="H47" s="9">
        <v>2014</v>
      </c>
      <c r="I47" s="9">
        <v>6</v>
      </c>
      <c r="J47" s="18">
        <f>INDEX(PTRS!$D$6:$D$12,MATCH('6'!$F47,PTRS!$B$6:$B$12,0))</f>
        <v>0.1044225</v>
      </c>
      <c r="K47" s="17">
        <v>0</v>
      </c>
      <c r="L47" s="17">
        <v>0.1044225</v>
      </c>
      <c r="M47" s="17">
        <v>0</v>
      </c>
      <c r="N47" s="17">
        <v>0</v>
      </c>
      <c r="O47" s="17">
        <v>1</v>
      </c>
      <c r="P47" s="17">
        <v>0.1044225</v>
      </c>
      <c r="Q47" s="17">
        <v>0.1044225</v>
      </c>
      <c r="R47" s="17">
        <v>0.1044225</v>
      </c>
      <c r="S47" s="17">
        <v>1</v>
      </c>
      <c r="T47" s="17"/>
      <c r="U47" s="22">
        <v>0.72649652910676854</v>
      </c>
      <c r="V47" s="17">
        <v>1</v>
      </c>
      <c r="W47" s="9" t="s">
        <v>7</v>
      </c>
      <c r="X47" s="9">
        <f>INDEX('Unique Asset List'!$C$4:$I$60,MATCH('6'!$B47,'Unique Asset List'!$A$4:$A$60,0),MATCH('6'!$C$1,'Unique Asset List'!$C$3:$I$3,0))</f>
        <v>2039</v>
      </c>
      <c r="Y47" s="9">
        <f>INDEX('Unique Asset List'!$J$4:$P$60,MATCH('6'!$B47,'Unique Asset List'!$A$4:$A$60,0),MATCH('6'!$C$1,'Unique Asset List'!$J$3:$P$3,0))</f>
        <v>6.9999999999990905</v>
      </c>
      <c r="Z47" s="9">
        <f>INDEX('Unique Asset List'!$X$4:$AD$60,MATCH('6'!$B47,'Unique Asset List'!$A$4:$A$60,0),MATCH('6'!$C$1,'Unique Asset List'!$X$3:$AD$3,0))</f>
        <v>2050</v>
      </c>
      <c r="AA47" s="9">
        <f>INDEX('Unique Asset List'!$AE$4:$AK$60,MATCH('6'!$B47,'Unique Asset List'!$A$4:$A$60,0),MATCH('6'!$C$1,'Unique Asset List'!$AE$3:$AK$3,0))</f>
        <v>6</v>
      </c>
      <c r="AB47" s="16">
        <v>2.3276916000000001</v>
      </c>
      <c r="AC47" s="16">
        <v>1.0028454</v>
      </c>
      <c r="AD47" s="16">
        <v>0.56099999999999994</v>
      </c>
      <c r="AE47" s="15">
        <f>INDEX('Unique Asset List'!$BN$4:$BT$60,MATCH('6'!$B47,'Unique Asset List'!$A$4:$A$60,0),MATCH('6'!$C$1,'Unique Asset List'!$BN$3:$BT$3,0))</f>
        <v>0.18</v>
      </c>
      <c r="AF47" s="15">
        <f>INDEX('Unique Asset List'!$BU$4:$CA$60,MATCH('6'!$B47,'Unique Asset List'!$A$4:$A$60,0),MATCH('6'!$C$1,'Unique Asset List'!$BU$3:$CA$3,0))</f>
        <v>0.32</v>
      </c>
      <c r="AG47" s="15">
        <f>INDEX('Unique Asset List'!$AZ$4:$BF$60,MATCH('6'!$B47,'Unique Asset List'!$A$4:$A$60,0),MATCH('6'!$C$1,'Unique Asset List'!$AZ$3:$BF$3,0))</f>
        <v>0.18</v>
      </c>
      <c r="AH47" s="15">
        <f>INDEX('Unique Asset List'!$BG$4:$BM$60,MATCH('6'!$B47,'Unique Asset List'!$A$4:$A$60,0),MATCH('6'!$C$1,'Unique Asset List'!$BG$3:$BM$3,0))</f>
        <v>0.32</v>
      </c>
      <c r="AI47" s="11">
        <v>0.96187963349867744</v>
      </c>
      <c r="AJ47" s="15">
        <f>INDEX('Unique Asset List'!$AL$4:$AR$60,MATCH('6'!$B47,'Unique Asset List'!$A$4:$A$60,0),MATCH('6'!$C$1,'Unique Asset List'!$AL$3:$AR$3,0))</f>
        <v>0.32314284341629806</v>
      </c>
      <c r="AK47" s="15">
        <f>INDEX('Unique Asset List'!$AS$4:$AY$60,MATCH('6'!$B47,'Unique Asset List'!$A$4:$A$60,0),MATCH('6'!$C$1,'Unique Asset List'!$AS$3:$AY$3,0))</f>
        <v>0.61768216477991222</v>
      </c>
      <c r="AL47" s="9">
        <v>169</v>
      </c>
      <c r="AM47" s="14">
        <f>INDEX(Simulation!$B$6:$H$6,MATCH($A47,Simulation!$B$1:$H$1,0))*(1+AN47)^((DATE(X47,Y47,15)-DATE(2017,1,15))/365.5)</f>
        <v>3.5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11"/>
        <v>0.82</v>
      </c>
      <c r="AS47" s="10">
        <v>1</v>
      </c>
      <c r="AT47" s="10"/>
      <c r="AU47" s="4">
        <f>IF($C$5="ON",BU47,MyRating(_E1,$B47,Efficacy!$F$1))</f>
        <v>0</v>
      </c>
      <c r="AV47" s="3">
        <f>IF($C$5="ON",BV47,MyRating(_E2,$B47,Efficacy!$F$1))</f>
        <v>0</v>
      </c>
      <c r="AW47" s="3">
        <f>IF($C$5="ON",BW47,MyRating(_E3,$B47,Efficacy!$F$1))</f>
        <v>0</v>
      </c>
      <c r="AX47" s="3">
        <f>IF($C$5="ON",BX47,MyRating(_E4,$B47,Efficacy!$F$1))</f>
        <v>0</v>
      </c>
      <c r="AY47" s="3">
        <f>IF($C$5="ON",BY47,MyRating(_E5,$B47,Efficacy!$F$1))</f>
        <v>0</v>
      </c>
      <c r="AZ47" s="3">
        <f>IF($C$5="ON",BZ47,MyRating(_E6,$B47,Efficacy!$F$1))</f>
        <v>0</v>
      </c>
      <c r="BA47" s="3">
        <f>IF($C$5="ON",CA47,MyRating(_E7,$B47,Efficacy!$F$1))</f>
        <v>0</v>
      </c>
      <c r="BB47" s="3">
        <f>IF($C$5="ON",CB47,MyRating(_E8,$B47,Efficacy!$F$1))</f>
        <v>0</v>
      </c>
      <c r="BC47" s="3">
        <f>IF($C$5="ON",CC47,MyRating(_S1,$B47,Efficacy!$F$1))</f>
        <v>0</v>
      </c>
      <c r="BD47" s="3">
        <f>IF($C$5="ON",CD47,MyRating(_S2,$B47,Efficacy!$F$1))</f>
        <v>0</v>
      </c>
      <c r="BE47" s="3">
        <f>IF($C$5="ON",CE47,MyRating(_S3,$B47,Efficacy!$F$1))</f>
        <v>0</v>
      </c>
      <c r="BF47" s="3">
        <f>IF($C$5="ON",CF47,MyRating(_S4,$B47,Efficacy!$F$1))</f>
        <v>0</v>
      </c>
      <c r="BG47" s="3">
        <f>IF($C$5="ON",CG47,MyRating(_S5,$B47,Efficacy!$F$1))</f>
        <v>0</v>
      </c>
      <c r="BH47" s="3">
        <f>IF($C$5="ON",CH47,MyRating(_S6,$B47,Efficacy!$F$1))</f>
        <v>0</v>
      </c>
      <c r="BI47" s="3">
        <f>IF($C$5="ON",CI47,MyRating(_S7,$B47,Efficacy!$F$1))</f>
        <v>0</v>
      </c>
      <c r="BJ47" s="3">
        <f>IF($C$5="ON",CJ47,MyRating(_D1,$B47,Efficacy!$F$1))</f>
        <v>0</v>
      </c>
      <c r="BK47" s="3">
        <f>IF($C$5="ON",CK47,MyRating(_D2,$B47,Efficacy!$F$1))</f>
        <v>0</v>
      </c>
      <c r="BL47" s="3">
        <f>IF($C$5="ON",CL47,MyRating(_D3,$B47,Efficacy!$F$1))</f>
        <v>0</v>
      </c>
      <c r="BM47" s="3">
        <f>IF($C$5="ON",CM47,MyRating(_D4,$B47,Efficacy!$F$1))</f>
        <v>0</v>
      </c>
      <c r="BN47" s="3">
        <f>IF($C$5="ON",CN47,MyRating(_B1G5,$B47,Barrier!$L$2))</f>
        <v>0</v>
      </c>
      <c r="BO47" s="3">
        <f>IF($C$5="ON",CO47,MyRating(_B2,$B47,Barrier!$F$2))</f>
        <v>0</v>
      </c>
      <c r="BP47" s="6">
        <f>IF($C$5="ON",CP47,MyRating(_B3,$B47,Barrier!$F$2))</f>
        <v>0</v>
      </c>
      <c r="BQ47" s="5">
        <f t="shared" si="12"/>
        <v>0</v>
      </c>
      <c r="BR47" s="8">
        <f t="shared" si="13"/>
        <v>0</v>
      </c>
      <c r="BS47" s="5">
        <f t="shared" si="14"/>
        <v>0</v>
      </c>
      <c r="BT47" s="7">
        <f t="shared" si="15"/>
        <v>0</v>
      </c>
      <c r="BU47" s="4">
        <v>0</v>
      </c>
      <c r="BV47" s="3">
        <v>0</v>
      </c>
      <c r="BW47" s="3">
        <v>0</v>
      </c>
      <c r="BX47" s="3">
        <v>0</v>
      </c>
      <c r="BY47" s="3">
        <v>0</v>
      </c>
      <c r="BZ47" s="3">
        <v>0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6">
        <v>0</v>
      </c>
      <c r="CQ47" s="5">
        <v>0</v>
      </c>
      <c r="CR47" s="61"/>
    </row>
    <row r="48" spans="1:96" x14ac:dyDescent="0.35">
      <c r="A48" s="9" t="str">
        <f t="shared" si="10"/>
        <v>IT</v>
      </c>
      <c r="B48" s="9" t="s">
        <v>15</v>
      </c>
      <c r="C48" s="20"/>
      <c r="D48" s="9" t="s">
        <v>14</v>
      </c>
      <c r="E48" s="9" t="s">
        <v>193</v>
      </c>
      <c r="F48" s="9" t="s">
        <v>1</v>
      </c>
      <c r="G48" s="19">
        <v>0</v>
      </c>
      <c r="H48" s="9">
        <v>2014</v>
      </c>
      <c r="I48" s="9">
        <v>6</v>
      </c>
      <c r="J48" s="18">
        <f>INDEX(PTRS!$D$6:$D$12,MATCH('6'!$F48,PTRS!$B$6:$B$12,0))</f>
        <v>0.1044225</v>
      </c>
      <c r="K48" s="17">
        <v>0</v>
      </c>
      <c r="L48" s="17">
        <v>0.1044225</v>
      </c>
      <c r="M48" s="17">
        <v>0</v>
      </c>
      <c r="N48" s="17">
        <v>0</v>
      </c>
      <c r="O48" s="17">
        <v>1</v>
      </c>
      <c r="P48" s="17">
        <v>0.1044225</v>
      </c>
      <c r="Q48" s="17">
        <v>0.1044225</v>
      </c>
      <c r="R48" s="17">
        <v>0.1044225</v>
      </c>
      <c r="S48" s="17">
        <v>1</v>
      </c>
      <c r="T48" s="17" t="s">
        <v>13</v>
      </c>
      <c r="U48" s="22">
        <v>0.72649652910676854</v>
      </c>
      <c r="V48" s="17">
        <v>1</v>
      </c>
      <c r="W48" s="9" t="s">
        <v>13</v>
      </c>
      <c r="X48" s="9">
        <f>INDEX('Unique Asset List'!$C$4:$I$60,MATCH('6'!$B48,'Unique Asset List'!$A$4:$A$60,0),MATCH('6'!$C$1,'Unique Asset List'!$C$3:$I$3,0))</f>
        <v>2033</v>
      </c>
      <c r="Y48" s="9">
        <f>INDEX('Unique Asset List'!$J$4:$P$60,MATCH('6'!$B48,'Unique Asset List'!$A$4:$A$60,0),MATCH('6'!$C$1,'Unique Asset List'!$J$3:$P$3,0))</f>
        <v>6.9999999999990905</v>
      </c>
      <c r="Z48" s="9">
        <f>INDEX('Unique Asset List'!$X$4:$AD$60,MATCH('6'!$B48,'Unique Asset List'!$A$4:$A$60,0),MATCH('6'!$C$1,'Unique Asset List'!$X$3:$AD$3,0))</f>
        <v>2044</v>
      </c>
      <c r="AA48" s="9">
        <f>INDEX('Unique Asset List'!$AE$4:$AK$60,MATCH('6'!$B48,'Unique Asset List'!$A$4:$A$60,0),MATCH('6'!$C$1,'Unique Asset List'!$AE$3:$AK$3,0))</f>
        <v>6</v>
      </c>
      <c r="AB48" s="16">
        <v>2.3276916000000001</v>
      </c>
      <c r="AC48" s="16">
        <v>1.0028454</v>
      </c>
      <c r="AD48" s="16">
        <v>0.56099999999999994</v>
      </c>
      <c r="AE48" s="15">
        <f>INDEX('Unique Asset List'!$BN$4:$BT$60,MATCH('6'!$B48,'Unique Asset List'!$A$4:$A$60,0),MATCH('6'!$C$1,'Unique Asset List'!$BN$3:$BT$3,0))</f>
        <v>0.18</v>
      </c>
      <c r="AF48" s="15">
        <f>INDEX('Unique Asset List'!$BU$4:$CA$60,MATCH('6'!$B48,'Unique Asset List'!$A$4:$A$60,0),MATCH('6'!$C$1,'Unique Asset List'!$BU$3:$CA$3,0))</f>
        <v>0.32</v>
      </c>
      <c r="AG48" s="15">
        <f>INDEX('Unique Asset List'!$AZ$4:$BF$60,MATCH('6'!$B48,'Unique Asset List'!$A$4:$A$60,0),MATCH('6'!$C$1,'Unique Asset List'!$AZ$3:$BF$3,0))</f>
        <v>0.18</v>
      </c>
      <c r="AH48" s="15">
        <f>INDEX('Unique Asset List'!$BG$4:$BM$60,MATCH('6'!$B48,'Unique Asset List'!$A$4:$A$60,0),MATCH('6'!$C$1,'Unique Asset List'!$BG$3:$BM$3,0))</f>
        <v>0.32</v>
      </c>
      <c r="AI48" s="11">
        <v>0.96187963349867744</v>
      </c>
      <c r="AJ48" s="15">
        <f>INDEX('Unique Asset List'!$AL$4:$AR$60,MATCH('6'!$B48,'Unique Asset List'!$A$4:$A$60,0),MATCH('6'!$C$1,'Unique Asset List'!$AL$3:$AR$3,0))</f>
        <v>0.32314284341629806</v>
      </c>
      <c r="AK48" s="15">
        <f>INDEX('Unique Asset List'!$AS$4:$AY$60,MATCH('6'!$B48,'Unique Asset List'!$A$4:$A$60,0),MATCH('6'!$C$1,'Unique Asset List'!$AS$3:$AY$3,0))</f>
        <v>0.61768216477991222</v>
      </c>
      <c r="AL48" s="9">
        <v>169</v>
      </c>
      <c r="AM48" s="14">
        <f>INDEX(Simulation!$B$6:$H$6,MATCH($A48,Simulation!$B$1:$H$1,0))*(1+AN48)^((DATE(X48,Y48,15)-DATE(2017,1,15))/365.5)</f>
        <v>3.5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11"/>
        <v>0.82</v>
      </c>
      <c r="AS48" s="10">
        <v>1</v>
      </c>
      <c r="AT48" s="10"/>
      <c r="AU48" s="4">
        <f>IF($C$5="ON",BU48,MyRating(_E1,$B48,Efficacy!$F$1))</f>
        <v>0</v>
      </c>
      <c r="AV48" s="3">
        <f>IF($C$5="ON",BV48,MyRating(_E2,$B48,Efficacy!$F$1))</f>
        <v>0</v>
      </c>
      <c r="AW48" s="3">
        <f>IF($C$5="ON",BW48,MyRating(_E3,$B48,Efficacy!$F$1))</f>
        <v>0</v>
      </c>
      <c r="AX48" s="3">
        <f>IF($C$5="ON",BX48,MyRating(_E4,$B48,Efficacy!$F$1))</f>
        <v>0</v>
      </c>
      <c r="AY48" s="3">
        <f>IF($C$5="ON",BY48,MyRating(_E5,$B48,Efficacy!$F$1))</f>
        <v>0</v>
      </c>
      <c r="AZ48" s="3">
        <f>IF($C$5="ON",BZ48,MyRating(_E6,$B48,Efficacy!$F$1))</f>
        <v>0</v>
      </c>
      <c r="BA48" s="3">
        <f>IF($C$5="ON",CA48,MyRating(_E7,$B48,Efficacy!$F$1))</f>
        <v>0</v>
      </c>
      <c r="BB48" s="3">
        <f>IF($C$5="ON",CB48,MyRating(_E8,$B48,Efficacy!$F$1))</f>
        <v>0</v>
      </c>
      <c r="BC48" s="3">
        <f>IF($C$5="ON",CC48,MyRating(_S1,$B48,Efficacy!$F$1))</f>
        <v>0</v>
      </c>
      <c r="BD48" s="3">
        <f>IF($C$5="ON",CD48,MyRating(_S2,$B48,Efficacy!$F$1))</f>
        <v>0</v>
      </c>
      <c r="BE48" s="3">
        <f>IF($C$5="ON",CE48,MyRating(_S3,$B48,Efficacy!$F$1))</f>
        <v>0</v>
      </c>
      <c r="BF48" s="3">
        <f>IF($C$5="ON",CF48,MyRating(_S4,$B48,Efficacy!$F$1))</f>
        <v>0</v>
      </c>
      <c r="BG48" s="3">
        <f>IF($C$5="ON",CG48,MyRating(_S5,$B48,Efficacy!$F$1))</f>
        <v>0</v>
      </c>
      <c r="BH48" s="3">
        <f>IF($C$5="ON",CH48,MyRating(_S6,$B48,Efficacy!$F$1))</f>
        <v>0</v>
      </c>
      <c r="BI48" s="3">
        <f>IF($C$5="ON",CI48,MyRating(_S7,$B48,Efficacy!$F$1))</f>
        <v>0</v>
      </c>
      <c r="BJ48" s="3">
        <f>IF($C$5="ON",CJ48,MyRating(_D1,$B48,Efficacy!$F$1))</f>
        <v>0</v>
      </c>
      <c r="BK48" s="3">
        <f>IF($C$5="ON",CK48,MyRating(_D2,$B48,Efficacy!$F$1))</f>
        <v>0</v>
      </c>
      <c r="BL48" s="3">
        <f>IF($C$5="ON",CL48,MyRating(_D3,$B48,Efficacy!$F$1))</f>
        <v>0</v>
      </c>
      <c r="BM48" s="3">
        <f>IF($C$5="ON",CM48,MyRating(_D4,$B48,Efficacy!$F$1))</f>
        <v>0</v>
      </c>
      <c r="BN48" s="3">
        <f>IF($C$5="ON",CN48,MyRating(_B1G5,$B48,Barrier!$L$2))</f>
        <v>0</v>
      </c>
      <c r="BO48" s="3">
        <f>IF($C$5="ON",CO48,MyRating(_B2,$B48,Barrier!$F$2))</f>
        <v>0</v>
      </c>
      <c r="BP48" s="6">
        <f>IF($C$5="ON",CP48,MyRating(_B3,$B48,Barrier!$F$2))</f>
        <v>0</v>
      </c>
      <c r="BQ48" s="5">
        <f t="shared" si="12"/>
        <v>0</v>
      </c>
      <c r="BR48" s="8">
        <f t="shared" si="13"/>
        <v>0</v>
      </c>
      <c r="BS48" s="5">
        <f t="shared" si="14"/>
        <v>0</v>
      </c>
      <c r="BT48" s="7">
        <f t="shared" si="15"/>
        <v>0</v>
      </c>
      <c r="BU48" s="4">
        <v>0</v>
      </c>
      <c r="BV48" s="3">
        <v>0</v>
      </c>
      <c r="BW48" s="3">
        <v>0</v>
      </c>
      <c r="BX48" s="3">
        <v>0</v>
      </c>
      <c r="BY48" s="3">
        <v>0</v>
      </c>
      <c r="BZ48" s="3">
        <v>0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6">
        <v>0</v>
      </c>
      <c r="CQ48" s="5">
        <v>0</v>
      </c>
      <c r="CR48" s="61"/>
    </row>
    <row r="49" spans="1:96" x14ac:dyDescent="0.35">
      <c r="A49" s="9" t="str">
        <f t="shared" si="10"/>
        <v>IT</v>
      </c>
      <c r="B49" s="9" t="s">
        <v>12</v>
      </c>
      <c r="C49" s="20"/>
      <c r="D49" s="9" t="s">
        <v>11</v>
      </c>
      <c r="E49" s="9" t="s">
        <v>193</v>
      </c>
      <c r="F49" s="9" t="s">
        <v>1</v>
      </c>
      <c r="G49" s="19">
        <v>0</v>
      </c>
      <c r="H49" s="9">
        <v>2014</v>
      </c>
      <c r="I49" s="9">
        <v>6</v>
      </c>
      <c r="J49" s="18">
        <f>INDEX(PTRS!$D$6:$D$12,MATCH('6'!$F49,PTRS!$B$6:$B$12,0))</f>
        <v>0.1044225</v>
      </c>
      <c r="K49" s="17">
        <v>0</v>
      </c>
      <c r="L49" s="17">
        <v>0.1044225</v>
      </c>
      <c r="M49" s="17">
        <v>0</v>
      </c>
      <c r="N49" s="17">
        <v>0</v>
      </c>
      <c r="O49" s="17">
        <v>1</v>
      </c>
      <c r="P49" s="17">
        <v>0.1044225</v>
      </c>
      <c r="Q49" s="17">
        <v>0.1044225</v>
      </c>
      <c r="R49" s="17">
        <v>0.1044225</v>
      </c>
      <c r="S49" s="17">
        <v>1</v>
      </c>
      <c r="T49" s="17" t="s">
        <v>10</v>
      </c>
      <c r="U49" s="22">
        <v>0.72649652910676854</v>
      </c>
      <c r="V49" s="17">
        <v>1</v>
      </c>
      <c r="W49" s="9" t="s">
        <v>10</v>
      </c>
      <c r="X49" s="9">
        <f>INDEX('Unique Asset List'!$C$4:$I$60,MATCH('6'!$B49,'Unique Asset List'!$A$4:$A$60,0),MATCH('6'!$C$1,'Unique Asset List'!$C$3:$I$3,0))</f>
        <v>2037</v>
      </c>
      <c r="Y49" s="9">
        <f>INDEX('Unique Asset List'!$J$4:$P$60,MATCH('6'!$B49,'Unique Asset List'!$A$4:$A$60,0),MATCH('6'!$C$1,'Unique Asset List'!$J$3:$P$3,0))</f>
        <v>6.9999999999990905</v>
      </c>
      <c r="Z49" s="9">
        <f>INDEX('Unique Asset List'!$X$4:$AD$60,MATCH('6'!$B49,'Unique Asset List'!$A$4:$A$60,0),MATCH('6'!$C$1,'Unique Asset List'!$X$3:$AD$3,0))</f>
        <v>2048</v>
      </c>
      <c r="AA49" s="9">
        <f>INDEX('Unique Asset List'!$AE$4:$AK$60,MATCH('6'!$B49,'Unique Asset List'!$A$4:$A$60,0),MATCH('6'!$C$1,'Unique Asset List'!$AE$3:$AK$3,0))</f>
        <v>6</v>
      </c>
      <c r="AB49" s="16">
        <v>2.3276916000000001</v>
      </c>
      <c r="AC49" s="16">
        <v>1.0028454</v>
      </c>
      <c r="AD49" s="16">
        <v>0.56099999999999994</v>
      </c>
      <c r="AE49" s="15">
        <f>INDEX('Unique Asset List'!$BN$4:$BT$60,MATCH('6'!$B49,'Unique Asset List'!$A$4:$A$60,0),MATCH('6'!$C$1,'Unique Asset List'!$BN$3:$BT$3,0))</f>
        <v>0.18</v>
      </c>
      <c r="AF49" s="15">
        <f>INDEX('Unique Asset List'!$BU$4:$CA$60,MATCH('6'!$B49,'Unique Asset List'!$A$4:$A$60,0),MATCH('6'!$C$1,'Unique Asset List'!$BU$3:$CA$3,0))</f>
        <v>0.32</v>
      </c>
      <c r="AG49" s="15">
        <f>INDEX('Unique Asset List'!$AZ$4:$BF$60,MATCH('6'!$B49,'Unique Asset List'!$A$4:$A$60,0),MATCH('6'!$C$1,'Unique Asset List'!$AZ$3:$BF$3,0))</f>
        <v>0.18</v>
      </c>
      <c r="AH49" s="15">
        <f>INDEX('Unique Asset List'!$BG$4:$BM$60,MATCH('6'!$B49,'Unique Asset List'!$A$4:$A$60,0),MATCH('6'!$C$1,'Unique Asset List'!$BG$3:$BM$3,0))</f>
        <v>0.32</v>
      </c>
      <c r="AI49" s="11">
        <v>0.96187963349867744</v>
      </c>
      <c r="AJ49" s="15">
        <f>INDEX('Unique Asset List'!$AL$4:$AR$60,MATCH('6'!$B49,'Unique Asset List'!$A$4:$A$60,0),MATCH('6'!$C$1,'Unique Asset List'!$AL$3:$AR$3,0))</f>
        <v>0.32314284341629806</v>
      </c>
      <c r="AK49" s="15">
        <f>INDEX('Unique Asset List'!$AS$4:$AY$60,MATCH('6'!$B49,'Unique Asset List'!$A$4:$A$60,0),MATCH('6'!$C$1,'Unique Asset List'!$AS$3:$AY$3,0))</f>
        <v>0.61768216477991222</v>
      </c>
      <c r="AL49" s="9">
        <v>169</v>
      </c>
      <c r="AM49" s="14">
        <f>INDEX(Simulation!$B$6:$H$6,MATCH($A49,Simulation!$B$1:$H$1,0))*(1+AN49)^((DATE(X49,Y49,15)-DATE(2017,1,15))/365.5)</f>
        <v>3.5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11"/>
        <v>0.82</v>
      </c>
      <c r="AS49" s="10">
        <v>1</v>
      </c>
      <c r="AT49" s="10"/>
      <c r="AU49" s="4">
        <f>IF($C$5="ON",BU49,MyRating(_E1,$B49,Efficacy!$F$1))</f>
        <v>0</v>
      </c>
      <c r="AV49" s="3">
        <f>IF($C$5="ON",BV49,MyRating(_E2,$B49,Efficacy!$F$1))</f>
        <v>0</v>
      </c>
      <c r="AW49" s="3">
        <f>IF($C$5="ON",BW49,MyRating(_E3,$B49,Efficacy!$F$1))</f>
        <v>0</v>
      </c>
      <c r="AX49" s="3">
        <f>IF($C$5="ON",BX49,MyRating(_E4,$B49,Efficacy!$F$1))</f>
        <v>0</v>
      </c>
      <c r="AY49" s="3">
        <f>IF($C$5="ON",BY49,MyRating(_E5,$B49,Efficacy!$F$1))</f>
        <v>0</v>
      </c>
      <c r="AZ49" s="3">
        <f>IF($C$5="ON",BZ49,MyRating(_E6,$B49,Efficacy!$F$1))</f>
        <v>0</v>
      </c>
      <c r="BA49" s="3">
        <f>IF($C$5="ON",CA49,MyRating(_E7,$B49,Efficacy!$F$1))</f>
        <v>0</v>
      </c>
      <c r="BB49" s="3">
        <f>IF($C$5="ON",CB49,MyRating(_E8,$B49,Efficacy!$F$1))</f>
        <v>0</v>
      </c>
      <c r="BC49" s="3">
        <f>IF($C$5="ON",CC49,MyRating(_S1,$B49,Efficacy!$F$1))</f>
        <v>0</v>
      </c>
      <c r="BD49" s="3">
        <f>IF($C$5="ON",CD49,MyRating(_S2,$B49,Efficacy!$F$1))</f>
        <v>0</v>
      </c>
      <c r="BE49" s="3">
        <f>IF($C$5="ON",CE49,MyRating(_S3,$B49,Efficacy!$F$1))</f>
        <v>0</v>
      </c>
      <c r="BF49" s="3">
        <f>IF($C$5="ON",CF49,MyRating(_S4,$B49,Efficacy!$F$1))</f>
        <v>0</v>
      </c>
      <c r="BG49" s="3">
        <f>IF($C$5="ON",CG49,MyRating(_S5,$B49,Efficacy!$F$1))</f>
        <v>0</v>
      </c>
      <c r="BH49" s="3">
        <f>IF($C$5="ON",CH49,MyRating(_S6,$B49,Efficacy!$F$1))</f>
        <v>0</v>
      </c>
      <c r="BI49" s="3">
        <f>IF($C$5="ON",CI49,MyRating(_S7,$B49,Efficacy!$F$1))</f>
        <v>0</v>
      </c>
      <c r="BJ49" s="3">
        <f>IF($C$5="ON",CJ49,MyRating(_D1,$B49,Efficacy!$F$1))</f>
        <v>0</v>
      </c>
      <c r="BK49" s="3">
        <f>IF($C$5="ON",CK49,MyRating(_D2,$B49,Efficacy!$F$1))</f>
        <v>0</v>
      </c>
      <c r="BL49" s="3">
        <f>IF($C$5="ON",CL49,MyRating(_D3,$B49,Efficacy!$F$1))</f>
        <v>0</v>
      </c>
      <c r="BM49" s="3">
        <f>IF($C$5="ON",CM49,MyRating(_D4,$B49,Efficacy!$F$1))</f>
        <v>0</v>
      </c>
      <c r="BN49" s="3">
        <f>IF($C$5="ON",CN49,MyRating(_B1G5,$B49,Barrier!$L$2))</f>
        <v>0</v>
      </c>
      <c r="BO49" s="3">
        <f>IF($C$5="ON",CO49,MyRating(_B2,$B49,Barrier!$F$2))</f>
        <v>0</v>
      </c>
      <c r="BP49" s="6">
        <f>IF($C$5="ON",CP49,MyRating(_B3,$B49,Barrier!$F$2))</f>
        <v>0</v>
      </c>
      <c r="BQ49" s="5">
        <f t="shared" si="12"/>
        <v>0</v>
      </c>
      <c r="BR49" s="8">
        <f t="shared" si="13"/>
        <v>0</v>
      </c>
      <c r="BS49" s="5">
        <f t="shared" si="14"/>
        <v>0</v>
      </c>
      <c r="BT49" s="7">
        <f t="shared" si="15"/>
        <v>0</v>
      </c>
      <c r="BU49" s="4">
        <v>0</v>
      </c>
      <c r="BV49" s="3">
        <v>0</v>
      </c>
      <c r="BW49" s="3">
        <v>0</v>
      </c>
      <c r="BX49" s="3">
        <v>0</v>
      </c>
      <c r="BY49" s="3">
        <v>0</v>
      </c>
      <c r="BZ49" s="3">
        <v>0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6">
        <v>0</v>
      </c>
      <c r="CQ49" s="5">
        <v>0</v>
      </c>
      <c r="CR49" s="61"/>
    </row>
    <row r="50" spans="1:96" x14ac:dyDescent="0.35">
      <c r="A50" s="9" t="str">
        <f t="shared" si="10"/>
        <v>IT</v>
      </c>
      <c r="B50" s="9" t="s">
        <v>9</v>
      </c>
      <c r="C50" s="20"/>
      <c r="D50" s="9" t="s">
        <v>8</v>
      </c>
      <c r="E50" s="9" t="s">
        <v>193</v>
      </c>
      <c r="F50" s="9" t="s">
        <v>1</v>
      </c>
      <c r="G50" s="19">
        <v>0</v>
      </c>
      <c r="H50" s="9">
        <v>2014</v>
      </c>
      <c r="I50" s="9">
        <v>6</v>
      </c>
      <c r="J50" s="18">
        <f>INDEX(PTRS!$D$6:$D$12,MATCH('6'!$F50,PTRS!$B$6:$B$12,0))</f>
        <v>0.1044225</v>
      </c>
      <c r="K50" s="17">
        <v>0</v>
      </c>
      <c r="L50" s="17">
        <v>0.1044225</v>
      </c>
      <c r="M50" s="17">
        <v>0</v>
      </c>
      <c r="N50" s="17">
        <v>0</v>
      </c>
      <c r="O50" s="17">
        <v>1</v>
      </c>
      <c r="P50" s="17">
        <v>0.1044225</v>
      </c>
      <c r="Q50" s="17">
        <v>0.1044225</v>
      </c>
      <c r="R50" s="17">
        <v>0.1044225</v>
      </c>
      <c r="S50" s="17">
        <v>1</v>
      </c>
      <c r="T50" s="17" t="s">
        <v>7</v>
      </c>
      <c r="U50" s="22">
        <v>0.72649652910676854</v>
      </c>
      <c r="V50" s="17">
        <v>1</v>
      </c>
      <c r="W50" s="9" t="s">
        <v>7</v>
      </c>
      <c r="X50" s="9">
        <f>INDEX('Unique Asset List'!$C$4:$I$60,MATCH('6'!$B50,'Unique Asset List'!$A$4:$A$60,0),MATCH('6'!$C$1,'Unique Asset List'!$C$3:$I$3,0))</f>
        <v>2042</v>
      </c>
      <c r="Y50" s="9">
        <f>INDEX('Unique Asset List'!$J$4:$P$60,MATCH('6'!$B50,'Unique Asset List'!$A$4:$A$60,0),MATCH('6'!$C$1,'Unique Asset List'!$J$3:$P$3,0))</f>
        <v>6.9999999999990905</v>
      </c>
      <c r="Z50" s="9">
        <f>INDEX('Unique Asset List'!$X$4:$AD$60,MATCH('6'!$B50,'Unique Asset List'!$A$4:$A$60,0),MATCH('6'!$C$1,'Unique Asset List'!$X$3:$AD$3,0))</f>
        <v>2053</v>
      </c>
      <c r="AA50" s="9">
        <f>INDEX('Unique Asset List'!$AE$4:$AK$60,MATCH('6'!$B50,'Unique Asset List'!$A$4:$A$60,0),MATCH('6'!$C$1,'Unique Asset List'!$AE$3:$AK$3,0))</f>
        <v>6</v>
      </c>
      <c r="AB50" s="16">
        <v>2.3276916000000001</v>
      </c>
      <c r="AC50" s="16">
        <v>1.0028454</v>
      </c>
      <c r="AD50" s="16">
        <v>0.56099999999999994</v>
      </c>
      <c r="AE50" s="15">
        <f>INDEX('Unique Asset List'!$BN$4:$BT$60,MATCH('6'!$B50,'Unique Asset List'!$A$4:$A$60,0),MATCH('6'!$C$1,'Unique Asset List'!$BN$3:$BT$3,0))</f>
        <v>0.18</v>
      </c>
      <c r="AF50" s="15">
        <f>INDEX('Unique Asset List'!$BU$4:$CA$60,MATCH('6'!$B50,'Unique Asset List'!$A$4:$A$60,0),MATCH('6'!$C$1,'Unique Asset List'!$BU$3:$CA$3,0))</f>
        <v>0.32</v>
      </c>
      <c r="AG50" s="15">
        <f>INDEX('Unique Asset List'!$AZ$4:$BF$60,MATCH('6'!$B50,'Unique Asset List'!$A$4:$A$60,0),MATCH('6'!$C$1,'Unique Asset List'!$AZ$3:$BF$3,0))</f>
        <v>0.18</v>
      </c>
      <c r="AH50" s="15">
        <f>INDEX('Unique Asset List'!$BG$4:$BM$60,MATCH('6'!$B50,'Unique Asset List'!$A$4:$A$60,0),MATCH('6'!$C$1,'Unique Asset List'!$BG$3:$BM$3,0))</f>
        <v>0.32</v>
      </c>
      <c r="AI50" s="11">
        <v>0.96187963349867744</v>
      </c>
      <c r="AJ50" s="15">
        <f>INDEX('Unique Asset List'!$AL$4:$AR$60,MATCH('6'!$B50,'Unique Asset List'!$A$4:$A$60,0),MATCH('6'!$C$1,'Unique Asset List'!$AL$3:$AR$3,0))</f>
        <v>0.32314284341629806</v>
      </c>
      <c r="AK50" s="15">
        <f>INDEX('Unique Asset List'!$AS$4:$AY$60,MATCH('6'!$B50,'Unique Asset List'!$A$4:$A$60,0),MATCH('6'!$C$1,'Unique Asset List'!$AS$3:$AY$3,0))</f>
        <v>0.61768216477991222</v>
      </c>
      <c r="AL50" s="9">
        <v>169</v>
      </c>
      <c r="AM50" s="14">
        <f>INDEX(Simulation!$B$6:$H$6,MATCH($A50,Simulation!$B$1:$H$1,0))*(1+AN50)^((DATE(X50,Y50,15)-DATE(2017,1,15))/365.5)</f>
        <v>3.5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11"/>
        <v>0.82</v>
      </c>
      <c r="AS50" s="10">
        <v>1</v>
      </c>
      <c r="AT50" s="10"/>
      <c r="AU50" s="4">
        <f>IF($C$5="ON",BU50,MyRating(_E1,$B50,Efficacy!$F$1))</f>
        <v>0</v>
      </c>
      <c r="AV50" s="3">
        <f>IF($C$5="ON",BV50,MyRating(_E2,$B50,Efficacy!$F$1))</f>
        <v>0</v>
      </c>
      <c r="AW50" s="3">
        <f>IF($C$5="ON",BW50,MyRating(_E3,$B50,Efficacy!$F$1))</f>
        <v>0</v>
      </c>
      <c r="AX50" s="3">
        <f>IF($C$5="ON",BX50,MyRating(_E4,$B50,Efficacy!$F$1))</f>
        <v>0</v>
      </c>
      <c r="AY50" s="3">
        <f>IF($C$5="ON",BY50,MyRating(_E5,$B50,Efficacy!$F$1))</f>
        <v>0</v>
      </c>
      <c r="AZ50" s="3">
        <f>IF($C$5="ON",BZ50,MyRating(_E6,$B50,Efficacy!$F$1))</f>
        <v>0</v>
      </c>
      <c r="BA50" s="3">
        <f>IF($C$5="ON",CA50,MyRating(_E7,$B50,Efficacy!$F$1))</f>
        <v>0</v>
      </c>
      <c r="BB50" s="3">
        <f>IF($C$5="ON",CB50,MyRating(_E8,$B50,Efficacy!$F$1))</f>
        <v>0</v>
      </c>
      <c r="BC50" s="3">
        <f>IF($C$5="ON",CC50,MyRating(_S1,$B50,Efficacy!$F$1))</f>
        <v>0</v>
      </c>
      <c r="BD50" s="3">
        <f>IF($C$5="ON",CD50,MyRating(_S2,$B50,Efficacy!$F$1))</f>
        <v>0</v>
      </c>
      <c r="BE50" s="3">
        <f>IF($C$5="ON",CE50,MyRating(_S3,$B50,Efficacy!$F$1))</f>
        <v>0</v>
      </c>
      <c r="BF50" s="3">
        <f>IF($C$5="ON",CF50,MyRating(_S4,$B50,Efficacy!$F$1))</f>
        <v>0</v>
      </c>
      <c r="BG50" s="3">
        <f>IF($C$5="ON",CG50,MyRating(_S5,$B50,Efficacy!$F$1))</f>
        <v>0</v>
      </c>
      <c r="BH50" s="3">
        <f>IF($C$5="ON",CH50,MyRating(_S6,$B50,Efficacy!$F$1))</f>
        <v>0</v>
      </c>
      <c r="BI50" s="3">
        <f>IF($C$5="ON",CI50,MyRating(_S7,$B50,Efficacy!$F$1))</f>
        <v>0</v>
      </c>
      <c r="BJ50" s="3">
        <f>IF($C$5="ON",CJ50,MyRating(_D1,$B50,Efficacy!$F$1))</f>
        <v>0</v>
      </c>
      <c r="BK50" s="3">
        <f>IF($C$5="ON",CK50,MyRating(_D2,$B50,Efficacy!$F$1))</f>
        <v>0</v>
      </c>
      <c r="BL50" s="3">
        <f>IF($C$5="ON",CL50,MyRating(_D3,$B50,Efficacy!$F$1))</f>
        <v>0</v>
      </c>
      <c r="BM50" s="3">
        <f>IF($C$5="ON",CM50,MyRating(_D4,$B50,Efficacy!$F$1))</f>
        <v>0</v>
      </c>
      <c r="BN50" s="3">
        <f>IF($C$5="ON",CN50,MyRating(_B1G5,$B50,Barrier!$L$2))</f>
        <v>0</v>
      </c>
      <c r="BO50" s="3">
        <f>IF($C$5="ON",CO50,MyRating(_B2,$B50,Barrier!$F$2))</f>
        <v>0</v>
      </c>
      <c r="BP50" s="6">
        <f>IF($C$5="ON",CP50,MyRating(_B3,$B50,Barrier!$F$2))</f>
        <v>0</v>
      </c>
      <c r="BQ50" s="5">
        <f t="shared" si="12"/>
        <v>0</v>
      </c>
      <c r="BR50" s="8">
        <f t="shared" si="13"/>
        <v>0</v>
      </c>
      <c r="BS50" s="5">
        <f t="shared" si="14"/>
        <v>0</v>
      </c>
      <c r="BT50" s="7">
        <f t="shared" si="15"/>
        <v>0</v>
      </c>
      <c r="BU50" s="4">
        <v>0</v>
      </c>
      <c r="BV50" s="3">
        <v>0</v>
      </c>
      <c r="BW50" s="3">
        <v>0</v>
      </c>
      <c r="BX50" s="3">
        <v>0</v>
      </c>
      <c r="BY50" s="3">
        <v>0</v>
      </c>
      <c r="BZ50" s="3">
        <v>0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6">
        <v>0</v>
      </c>
      <c r="CQ50" s="5">
        <v>0</v>
      </c>
      <c r="CR50" s="61"/>
    </row>
    <row r="51" spans="1:96" x14ac:dyDescent="0.35">
      <c r="A51" s="9" t="str">
        <f t="shared" si="10"/>
        <v>IT</v>
      </c>
      <c r="B51" s="9" t="s">
        <v>4</v>
      </c>
      <c r="C51" s="20" t="s">
        <v>3</v>
      </c>
      <c r="D51" s="9" t="s">
        <v>2</v>
      </c>
      <c r="E51" s="9" t="s">
        <v>193</v>
      </c>
      <c r="F51" s="9" t="s">
        <v>1</v>
      </c>
      <c r="G51" s="19">
        <v>0</v>
      </c>
      <c r="H51" s="9">
        <v>2014</v>
      </c>
      <c r="I51" s="9">
        <v>6</v>
      </c>
      <c r="J51" s="18">
        <f>INDEX(PTRS!$D$6:$D$12,MATCH('6'!$F51,PTRS!$B$6:$B$12,0))</f>
        <v>0.1044225</v>
      </c>
      <c r="K51" s="17">
        <v>0</v>
      </c>
      <c r="L51" s="17">
        <v>0.1044225</v>
      </c>
      <c r="M51" s="17">
        <v>0</v>
      </c>
      <c r="N51" s="17">
        <v>0.1044225</v>
      </c>
      <c r="O51" s="17">
        <v>0.1044225</v>
      </c>
      <c r="P51" s="17">
        <v>0.1044225</v>
      </c>
      <c r="Q51" s="17">
        <v>0.1044225</v>
      </c>
      <c r="R51" s="17">
        <v>0.1044225</v>
      </c>
      <c r="S51" s="17">
        <v>1</v>
      </c>
      <c r="T51" s="17"/>
      <c r="U51" s="17">
        <f t="shared" ref="U51:U58" si="16">BQ51/$BQ$7</f>
        <v>0</v>
      </c>
      <c r="V51" s="17">
        <v>1</v>
      </c>
      <c r="W51" s="9" t="s">
        <v>0</v>
      </c>
      <c r="X51" s="9">
        <f>INDEX('Unique Asset List'!$C$4:$I$60,MATCH('6'!$B51,'Unique Asset List'!$A$4:$A$60,0),MATCH('6'!$C$1,'Unique Asset List'!$C$3:$I$3,0))</f>
        <v>2052</v>
      </c>
      <c r="Y51" s="9">
        <f>INDEX('Unique Asset List'!$J$4:$P$60,MATCH('6'!$B51,'Unique Asset List'!$A$4:$A$60,0),MATCH('6'!$C$1,'Unique Asset List'!$J$3:$P$3,0))</f>
        <v>7.000000000001819</v>
      </c>
      <c r="Z51" s="9">
        <f>INDEX('Unique Asset List'!$X$4:$AD$60,MATCH('6'!$B51,'Unique Asset List'!$A$4:$A$60,0),MATCH('6'!$C$1,'Unique Asset List'!$X$3:$AD$3,0))</f>
        <v>2060</v>
      </c>
      <c r="AA51" s="9">
        <f>INDEX('Unique Asset List'!$AE$4:$AK$60,MATCH('6'!$B51,'Unique Asset List'!$A$4:$A$60,0),MATCH('6'!$C$1,'Unique Asset List'!$AE$3:$AK$3,0))</f>
        <v>6</v>
      </c>
      <c r="AB51" s="16">
        <f t="shared" ref="AB51:AB58" si="17">SUMPRODUCT($AU51:$BB51,$AU$7:$BB$7)</f>
        <v>0</v>
      </c>
      <c r="AC51" s="16">
        <f t="shared" ref="AC51:AC58" si="18">SUMPRODUCT($BC51:$BI51,$BC$7:$BI$7)</f>
        <v>0</v>
      </c>
      <c r="AD51" s="16">
        <f t="shared" ref="AD51:AD58" si="19">SUMPRODUCT($BJ51:$BM51,$BJ$7:$BM$7)</f>
        <v>0</v>
      </c>
      <c r="AE51" s="15">
        <f>INDEX('Unique Asset List'!$BN$4:$BT$60,MATCH('6'!$B51,'Unique Asset List'!$A$4:$A$60,0),MATCH('6'!$C$1,'Unique Asset List'!$BN$3:$BT$3,0))</f>
        <v>0.18</v>
      </c>
      <c r="AF51" s="15">
        <f>INDEX('Unique Asset List'!$BU$4:$CA$60,MATCH('6'!$B51,'Unique Asset List'!$A$4:$A$60,0),MATCH('6'!$C$1,'Unique Asset List'!$BU$3:$CA$3,0))</f>
        <v>0.32</v>
      </c>
      <c r="AG51" s="15">
        <f>INDEX('Unique Asset List'!$AZ$4:$BF$60,MATCH('6'!$B51,'Unique Asset List'!$A$4:$A$60,0),MATCH('6'!$C$1,'Unique Asset List'!$AZ$3:$BF$3,0))</f>
        <v>0.18</v>
      </c>
      <c r="AH51" s="15">
        <f>INDEX('Unique Asset List'!$BG$4:$BM$60,MATCH('6'!$B51,'Unique Asset List'!$A$4:$A$60,0),MATCH('6'!$C$1,'Unique Asset List'!$BG$3:$BM$3,0))</f>
        <v>0.32</v>
      </c>
      <c r="AI51" s="11">
        <v>0.96187963349867744</v>
      </c>
      <c r="AJ51" s="15">
        <f>INDEX('Unique Asset List'!$AL$4:$AR$60,MATCH('6'!$B51,'Unique Asset List'!$A$4:$A$60,0),MATCH('6'!$C$1,'Unique Asset List'!$AL$3:$AR$3,0))</f>
        <v>0.32314284341629806</v>
      </c>
      <c r="AK51" s="15">
        <f>INDEX('Unique Asset List'!$AS$4:$AY$60,MATCH('6'!$B51,'Unique Asset List'!$A$4:$A$60,0),MATCH('6'!$C$1,'Unique Asset List'!$AS$3:$AY$3,0))</f>
        <v>0.61768216477991222</v>
      </c>
      <c r="AL51" s="9">
        <v>169</v>
      </c>
      <c r="AM51" s="14">
        <f>INDEX(Simulation!$B$6:$H$6,MATCH($A51,Simulation!$B$1:$H$1,0))*(1+AN51)^((DATE(X51,Y51,15)-DATE(2017,1,15))/365.5)</f>
        <v>3.5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11"/>
        <v>0.82</v>
      </c>
      <c r="AS51" s="10">
        <v>1</v>
      </c>
      <c r="AT51" s="10"/>
      <c r="AU51" s="4">
        <f>IF($C$5="ON",BU51,MyRating(_E1,$B51,Efficacy!$F$1))</f>
        <v>0</v>
      </c>
      <c r="AV51" s="3">
        <f>IF($C$5="ON",BV51,MyRating(_E2,$B51,Efficacy!$F$1))</f>
        <v>0</v>
      </c>
      <c r="AW51" s="3">
        <f>IF($C$5="ON",BW51,MyRating(_E3,$B51,Efficacy!$F$1))</f>
        <v>0</v>
      </c>
      <c r="AX51" s="3">
        <f>IF($C$5="ON",BX51,MyRating(_E4,$B51,Efficacy!$F$1))</f>
        <v>0</v>
      </c>
      <c r="AY51" s="3">
        <f>IF($C$5="ON",BY51,MyRating(_E5,$B51,Efficacy!$F$1))</f>
        <v>0</v>
      </c>
      <c r="AZ51" s="3">
        <f>IF($C$5="ON",BZ51,MyRating(_E6,$B51,Efficacy!$F$1))</f>
        <v>0</v>
      </c>
      <c r="BA51" s="3">
        <f>IF($C$5="ON",CA51,MyRating(_E7,$B51,Efficacy!$F$1))</f>
        <v>0</v>
      </c>
      <c r="BB51" s="3">
        <f>IF($C$5="ON",CB51,MyRating(_E8,$B51,Efficacy!$F$1))</f>
        <v>0</v>
      </c>
      <c r="BC51" s="3">
        <f>IF($C$5="ON",CC51,MyRating(_S1,$B51,Efficacy!$F$1))</f>
        <v>0</v>
      </c>
      <c r="BD51" s="3">
        <f>IF($C$5="ON",CD51,MyRating(_S2,$B51,Efficacy!$F$1))</f>
        <v>0</v>
      </c>
      <c r="BE51" s="3">
        <f>IF($C$5="ON",CE51,MyRating(_S3,$B51,Efficacy!$F$1))</f>
        <v>0</v>
      </c>
      <c r="BF51" s="3">
        <f>IF($C$5="ON",CF51,MyRating(_S4,$B51,Efficacy!$F$1))</f>
        <v>0</v>
      </c>
      <c r="BG51" s="3">
        <f>IF($C$5="ON",CG51,MyRating(_S5,$B51,Efficacy!$F$1))</f>
        <v>0</v>
      </c>
      <c r="BH51" s="3">
        <f>IF($C$5="ON",CH51,MyRating(_S6,$B51,Efficacy!$F$1))</f>
        <v>0</v>
      </c>
      <c r="BI51" s="3">
        <f>IF($C$5="ON",CI51,MyRating(_S7,$B51,Efficacy!$F$1))</f>
        <v>0</v>
      </c>
      <c r="BJ51" s="3">
        <f>IF($C$5="ON",CJ51,MyRating(_D1,$B51,Efficacy!$F$1))</f>
        <v>0</v>
      </c>
      <c r="BK51" s="3">
        <f>IF($C$5="ON",CK51,MyRating(_D2,$B51,Efficacy!$F$1))</f>
        <v>0</v>
      </c>
      <c r="BL51" s="3">
        <f>IF($C$5="ON",CL51,MyRating(_D3,$B51,Efficacy!$F$1))</f>
        <v>0</v>
      </c>
      <c r="BM51" s="3">
        <f>IF($C$5="ON",CM51,MyRating(_D4,$B51,Efficacy!$F$1))</f>
        <v>0</v>
      </c>
      <c r="BN51" s="3">
        <f>IF($C$5="ON",CN51,MyRating(_B1G5,$B51,Barrier!$L$2))</f>
        <v>0</v>
      </c>
      <c r="BO51" s="3">
        <f>IF($C$5="ON",CO51,MyRating(_B2,$B51,Barrier!$F$2))</f>
        <v>0</v>
      </c>
      <c r="BP51" s="6">
        <f>IF($C$5="ON",CP51,MyRating(_B3,$B51,Barrier!$F$2))</f>
        <v>0</v>
      </c>
      <c r="BQ51" s="5">
        <f t="shared" si="12"/>
        <v>0</v>
      </c>
      <c r="BR51" s="8">
        <f t="shared" si="13"/>
        <v>0</v>
      </c>
      <c r="BS51" s="5">
        <f t="shared" si="14"/>
        <v>0</v>
      </c>
      <c r="BT51" s="7">
        <f t="shared" si="15"/>
        <v>0</v>
      </c>
      <c r="BU51" s="4">
        <v>0</v>
      </c>
      <c r="BV51" s="3">
        <v>0</v>
      </c>
      <c r="BW51" s="3">
        <v>0</v>
      </c>
      <c r="BX51" s="3">
        <v>0</v>
      </c>
      <c r="BY51" s="3">
        <v>0</v>
      </c>
      <c r="BZ51" s="3">
        <v>0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6">
        <v>0</v>
      </c>
      <c r="CQ51" s="5">
        <v>0</v>
      </c>
      <c r="CR51" s="61"/>
    </row>
    <row r="52" spans="1:96" x14ac:dyDescent="0.35">
      <c r="A52" s="9" t="str">
        <f t="shared" si="10"/>
        <v>IT</v>
      </c>
      <c r="B52" s="9" t="s">
        <v>68</v>
      </c>
      <c r="C52" s="20" t="s">
        <v>3</v>
      </c>
      <c r="D52" s="9" t="s">
        <v>2</v>
      </c>
      <c r="E52" s="9" t="s">
        <v>193</v>
      </c>
      <c r="F52" s="9" t="s">
        <v>1</v>
      </c>
      <c r="G52" s="19">
        <v>0</v>
      </c>
      <c r="H52" s="9">
        <v>2014</v>
      </c>
      <c r="I52" s="9">
        <v>6</v>
      </c>
      <c r="J52" s="18">
        <f>INDEX(PTRS!$D$6:$D$12,MATCH('6'!$F52,PTRS!$B$6:$B$12,0))</f>
        <v>0.1044225</v>
      </c>
      <c r="K52" s="17">
        <v>0</v>
      </c>
      <c r="L52" s="17">
        <v>1</v>
      </c>
      <c r="M52" s="17">
        <v>0</v>
      </c>
      <c r="N52" s="17">
        <v>0.1044225</v>
      </c>
      <c r="O52" s="17">
        <v>0.1044225</v>
      </c>
      <c r="P52" s="17">
        <v>0.1044225</v>
      </c>
      <c r="Q52" s="17">
        <v>1</v>
      </c>
      <c r="R52" s="17">
        <v>1</v>
      </c>
      <c r="S52" s="17">
        <v>1</v>
      </c>
      <c r="T52" s="17"/>
      <c r="U52" s="17">
        <f t="shared" si="16"/>
        <v>0.72649652910676854</v>
      </c>
      <c r="V52" s="17">
        <v>1</v>
      </c>
      <c r="W52" s="9" t="s">
        <v>68</v>
      </c>
      <c r="X52" s="9">
        <f>INDEX('Unique Asset List'!$C$4:$I$60,MATCH('6'!$B52,'Unique Asset List'!$A$4:$A$60,0),MATCH('6'!$C$1,'Unique Asset List'!$C$3:$I$3,0))</f>
        <v>2033</v>
      </c>
      <c r="Y52" s="9">
        <f>INDEX('Unique Asset List'!$J$4:$P$60,MATCH('6'!$B52,'Unique Asset List'!$A$4:$A$60,0),MATCH('6'!$C$1,'Unique Asset List'!$J$3:$P$3,0))</f>
        <v>3.9999999999990905</v>
      </c>
      <c r="Z52" s="9">
        <f>INDEX('Unique Asset List'!$X$4:$AD$60,MATCH('6'!$B52,'Unique Asset List'!$A$4:$A$60,0),MATCH('6'!$C$1,'Unique Asset List'!$X$3:$AD$3,0))</f>
        <v>2041</v>
      </c>
      <c r="AA52" s="9">
        <f>INDEX('Unique Asset List'!$AE$4:$AK$60,MATCH('6'!$B52,'Unique Asset List'!$A$4:$A$60,0),MATCH('6'!$C$1,'Unique Asset List'!$AE$3:$AK$3,0))</f>
        <v>3</v>
      </c>
      <c r="AB52" s="16">
        <f t="shared" si="17"/>
        <v>2.3276916000000001</v>
      </c>
      <c r="AC52" s="16">
        <f t="shared" si="18"/>
        <v>1.0028454</v>
      </c>
      <c r="AD52" s="16">
        <f t="shared" si="19"/>
        <v>0.56099999999999994</v>
      </c>
      <c r="AE52" s="15">
        <f>INDEX('Unique Asset List'!$BN$4:$BT$60,MATCH('6'!$B52,'Unique Asset List'!$A$4:$A$60,0),MATCH('6'!$C$1,'Unique Asset List'!$BN$3:$BT$3,0))</f>
        <v>0.18</v>
      </c>
      <c r="AF52" s="15">
        <f>INDEX('Unique Asset List'!$BU$4:$CA$60,MATCH('6'!$B52,'Unique Asset List'!$A$4:$A$60,0),MATCH('6'!$C$1,'Unique Asset List'!$BU$3:$CA$3,0))</f>
        <v>0.32</v>
      </c>
      <c r="AG52" s="15">
        <f>INDEX('Unique Asset List'!$AZ$4:$BF$60,MATCH('6'!$B52,'Unique Asset List'!$A$4:$A$60,0),MATCH('6'!$C$1,'Unique Asset List'!$AZ$3:$BF$3,0))</f>
        <v>0.18</v>
      </c>
      <c r="AH52" s="15">
        <f>INDEX('Unique Asset List'!$BG$4:$BM$60,MATCH('6'!$B52,'Unique Asset List'!$A$4:$A$60,0),MATCH('6'!$C$1,'Unique Asset List'!$BG$3:$BM$3,0))</f>
        <v>0.32</v>
      </c>
      <c r="AI52" s="11">
        <v>0.96187963349867744</v>
      </c>
      <c r="AJ52" s="15">
        <f>INDEX('Unique Asset List'!$AL$4:$AR$60,MATCH('6'!$B52,'Unique Asset List'!$A$4:$A$60,0),MATCH('6'!$C$1,'Unique Asset List'!$AL$3:$AR$3,0))</f>
        <v>0.32314284341629806</v>
      </c>
      <c r="AK52" s="15">
        <f>INDEX('Unique Asset List'!$AS$4:$AY$60,MATCH('6'!$B52,'Unique Asset List'!$A$4:$A$60,0),MATCH('6'!$C$1,'Unique Asset List'!$AS$3:$AY$3,0))</f>
        <v>0.61768216477991222</v>
      </c>
      <c r="AL52" s="9">
        <v>169</v>
      </c>
      <c r="AM52" s="14">
        <f>INDEX(Simulation!$B$6:$H$6,MATCH($A52,Simulation!$B$1:$H$1,0))*(1+AN52)^((DATE(X52,Y52,15)-DATE(2017,1,15))/365.5)</f>
        <v>3.5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11"/>
        <v>0.82</v>
      </c>
      <c r="AS52" s="10">
        <v>1</v>
      </c>
      <c r="AT52" s="10"/>
      <c r="AU52" s="4">
        <f>IF($C$5="ON",BU52,MyRating(_E1,$B52,Efficacy!$F$1))</f>
        <v>4</v>
      </c>
      <c r="AV52" s="3">
        <f>IF($C$5="ON",BV52,MyRating(_E2,$B52,Efficacy!$F$1))</f>
        <v>5</v>
      </c>
      <c r="AW52" s="3">
        <f>IF($C$5="ON",BW52,MyRating(_E3,$B52,Efficacy!$F$1))</f>
        <v>5</v>
      </c>
      <c r="AX52" s="3">
        <f>IF($C$5="ON",BX52,MyRating(_E4,$B52,Efficacy!$F$1))</f>
        <v>4</v>
      </c>
      <c r="AY52" s="3">
        <f>IF($C$5="ON",BY52,MyRating(_E5,$B52,Efficacy!$F$1))</f>
        <v>4</v>
      </c>
      <c r="AZ52" s="3">
        <f>IF($C$5="ON",BZ52,MyRating(_E6,$B52,Efficacy!$F$1))</f>
        <v>3</v>
      </c>
      <c r="BA52" s="3">
        <f>IF($C$5="ON",CA52,MyRating(_E7,$B52,Efficacy!$F$1))</f>
        <v>3</v>
      </c>
      <c r="BB52" s="3">
        <f>IF($C$5="ON",CB52,MyRating(_E8,$B52,Efficacy!$F$1))</f>
        <v>4</v>
      </c>
      <c r="BC52" s="3">
        <f>IF($C$5="ON",CC52,MyRating(_S1,$B52,Efficacy!$F$1))</f>
        <v>5</v>
      </c>
      <c r="BD52" s="3">
        <f>IF($C$5="ON",CD52,MyRating(_S2,$B52,Efficacy!$F$1))</f>
        <v>3</v>
      </c>
      <c r="BE52" s="3">
        <f>IF($C$5="ON",CE52,MyRating(_S3,$B52,Efficacy!$F$1))</f>
        <v>3</v>
      </c>
      <c r="BF52" s="3">
        <f>IF($C$5="ON",CF52,MyRating(_S4,$B52,Efficacy!$F$1))</f>
        <v>4</v>
      </c>
      <c r="BG52" s="3">
        <f>IF($C$5="ON",CG52,MyRating(_S5,$B52,Efficacy!$F$1))</f>
        <v>5</v>
      </c>
      <c r="BH52" s="3">
        <f>IF($C$5="ON",CH52,MyRating(_S6,$B52,Efficacy!$F$1))</f>
        <v>3</v>
      </c>
      <c r="BI52" s="3">
        <f>IF($C$5="ON",CI52,MyRating(_S7,$B52,Efficacy!$F$1))</f>
        <v>3</v>
      </c>
      <c r="BJ52" s="3">
        <f>IF($C$5="ON",CJ52,MyRating(_D1,$B52,Efficacy!$F$1))</f>
        <v>3</v>
      </c>
      <c r="BK52" s="3">
        <f>IF($C$5="ON",CK52,MyRating(_D2,$B52,Efficacy!$F$1))</f>
        <v>3</v>
      </c>
      <c r="BL52" s="3">
        <f>IF($C$5="ON",CL52,MyRating(_D3,$B52,Efficacy!$F$1))</f>
        <v>3</v>
      </c>
      <c r="BM52" s="3">
        <f>IF($C$5="ON",CM52,MyRating(_D4,$B52,Efficacy!$F$1))</f>
        <v>3</v>
      </c>
      <c r="BN52" s="3">
        <f>IF($C$5="ON",CN52,MyRating(_B1G5,$B52,Barrier!$L$2))</f>
        <v>2</v>
      </c>
      <c r="BO52" s="3">
        <f>IF($C$5="ON",CO52,MyRating(_B2,$B52,Barrier!$F$2))</f>
        <v>3</v>
      </c>
      <c r="BP52" s="6">
        <f>IF($C$5="ON",CP52,MyRating(_B3,$B52,Barrier!$F$2))</f>
        <v>3</v>
      </c>
      <c r="BQ52" s="5">
        <f t="shared" si="12"/>
        <v>3.6275844714639842E-2</v>
      </c>
      <c r="BR52" s="8">
        <f t="shared" si="13"/>
        <v>2.9499999999999997</v>
      </c>
      <c r="BS52" s="5">
        <f t="shared" si="14"/>
        <v>3.60415394013439E-2</v>
      </c>
      <c r="BT52" s="7">
        <f t="shared" si="15"/>
        <v>1.8542316878791175E-2</v>
      </c>
      <c r="BU52" s="4">
        <v>4</v>
      </c>
      <c r="BV52" s="3">
        <v>5</v>
      </c>
      <c r="BW52" s="3">
        <v>5</v>
      </c>
      <c r="BX52" s="3">
        <v>4</v>
      </c>
      <c r="BY52" s="3">
        <v>4</v>
      </c>
      <c r="BZ52" s="3">
        <v>3</v>
      </c>
      <c r="CA52" s="3">
        <v>3</v>
      </c>
      <c r="CB52" s="3">
        <v>4</v>
      </c>
      <c r="CC52" s="3">
        <v>5</v>
      </c>
      <c r="CD52" s="3">
        <v>3</v>
      </c>
      <c r="CE52" s="3">
        <v>3</v>
      </c>
      <c r="CF52" s="3">
        <v>4</v>
      </c>
      <c r="CG52" s="3">
        <v>5</v>
      </c>
      <c r="CH52" s="3">
        <v>3</v>
      </c>
      <c r="CI52" s="3">
        <v>3</v>
      </c>
      <c r="CJ52" s="3">
        <v>3</v>
      </c>
      <c r="CK52" s="3">
        <v>3</v>
      </c>
      <c r="CL52" s="3">
        <v>3</v>
      </c>
      <c r="CM52" s="3">
        <v>3</v>
      </c>
      <c r="CN52" s="3">
        <v>2</v>
      </c>
      <c r="CO52" s="3">
        <v>3</v>
      </c>
      <c r="CP52" s="6">
        <v>3</v>
      </c>
      <c r="CQ52" s="5">
        <v>3.6275844714639842E-2</v>
      </c>
      <c r="CR52" s="61"/>
    </row>
    <row r="53" spans="1:96" x14ac:dyDescent="0.35">
      <c r="A53" s="9" t="str">
        <f t="shared" si="10"/>
        <v>IT</v>
      </c>
      <c r="B53" s="9" t="s">
        <v>67</v>
      </c>
      <c r="C53" s="20" t="s">
        <v>3</v>
      </c>
      <c r="D53" s="9" t="s">
        <v>2</v>
      </c>
      <c r="E53" s="9" t="s">
        <v>193</v>
      </c>
      <c r="F53" s="9" t="s">
        <v>1</v>
      </c>
      <c r="G53" s="19">
        <v>0</v>
      </c>
      <c r="H53" s="9">
        <v>2014</v>
      </c>
      <c r="I53" s="9">
        <v>6</v>
      </c>
      <c r="J53" s="18">
        <f>INDEX(PTRS!$D$6:$D$12,MATCH('6'!$F53,PTRS!$B$6:$B$12,0))</f>
        <v>0.1044225</v>
      </c>
      <c r="K53" s="17">
        <v>0</v>
      </c>
      <c r="L53" s="17">
        <v>0.1044225</v>
      </c>
      <c r="M53" s="17">
        <v>0</v>
      </c>
      <c r="N53" s="17">
        <v>0.1044225</v>
      </c>
      <c r="O53" s="17">
        <v>0.1044225</v>
      </c>
      <c r="P53" s="17">
        <v>0.1044225</v>
      </c>
      <c r="Q53" s="17">
        <v>1</v>
      </c>
      <c r="R53" s="17">
        <v>1</v>
      </c>
      <c r="S53" s="17">
        <v>1</v>
      </c>
      <c r="T53" s="17"/>
      <c r="U53" s="17">
        <f t="shared" si="16"/>
        <v>0.72649652910676854</v>
      </c>
      <c r="V53" s="17">
        <v>1</v>
      </c>
      <c r="W53" s="9" t="s">
        <v>67</v>
      </c>
      <c r="X53" s="9">
        <f>INDEX('Unique Asset List'!$C$4:$I$60,MATCH('6'!$B53,'Unique Asset List'!$A$4:$A$60,0),MATCH('6'!$C$1,'Unique Asset List'!$C$3:$I$3,0))</f>
        <v>2033</v>
      </c>
      <c r="Y53" s="9">
        <f>INDEX('Unique Asset List'!$J$4:$P$60,MATCH('6'!$B53,'Unique Asset List'!$A$4:$A$60,0),MATCH('6'!$C$1,'Unique Asset List'!$J$3:$P$3,0))</f>
        <v>3.9999999999990905</v>
      </c>
      <c r="Z53" s="9">
        <f>INDEX('Unique Asset List'!$X$4:$AD$60,MATCH('6'!$B53,'Unique Asset List'!$A$4:$A$60,0),MATCH('6'!$C$1,'Unique Asset List'!$X$3:$AD$3,0))</f>
        <v>2041</v>
      </c>
      <c r="AA53" s="9">
        <f>INDEX('Unique Asset List'!$AE$4:$AK$60,MATCH('6'!$B53,'Unique Asset List'!$A$4:$A$60,0),MATCH('6'!$C$1,'Unique Asset List'!$AE$3:$AK$3,0))</f>
        <v>3</v>
      </c>
      <c r="AB53" s="16">
        <f t="shared" si="17"/>
        <v>2.3276916000000001</v>
      </c>
      <c r="AC53" s="16">
        <f t="shared" si="18"/>
        <v>1.0028454</v>
      </c>
      <c r="AD53" s="16">
        <f t="shared" si="19"/>
        <v>0.56099999999999994</v>
      </c>
      <c r="AE53" s="15">
        <f>INDEX('Unique Asset List'!$BN$4:$BT$60,MATCH('6'!$B53,'Unique Asset List'!$A$4:$A$60,0),MATCH('6'!$C$1,'Unique Asset List'!$BN$3:$BT$3,0))</f>
        <v>0.18</v>
      </c>
      <c r="AF53" s="15">
        <f>INDEX('Unique Asset List'!$BU$4:$CA$60,MATCH('6'!$B53,'Unique Asset List'!$A$4:$A$60,0),MATCH('6'!$C$1,'Unique Asset List'!$BU$3:$CA$3,0))</f>
        <v>0.32</v>
      </c>
      <c r="AG53" s="15">
        <f>INDEX('Unique Asset List'!$AZ$4:$BF$60,MATCH('6'!$B53,'Unique Asset List'!$A$4:$A$60,0),MATCH('6'!$C$1,'Unique Asset List'!$AZ$3:$BF$3,0))</f>
        <v>0.18</v>
      </c>
      <c r="AH53" s="15">
        <f>INDEX('Unique Asset List'!$BG$4:$BM$60,MATCH('6'!$B53,'Unique Asset List'!$A$4:$A$60,0),MATCH('6'!$C$1,'Unique Asset List'!$BG$3:$BM$3,0))</f>
        <v>0.32</v>
      </c>
      <c r="AI53" s="11">
        <v>0.96187963349867744</v>
      </c>
      <c r="AJ53" s="15">
        <f>INDEX('Unique Asset List'!$AL$4:$AR$60,MATCH('6'!$B53,'Unique Asset List'!$A$4:$A$60,0),MATCH('6'!$C$1,'Unique Asset List'!$AL$3:$AR$3,0))</f>
        <v>0.32314284341629806</v>
      </c>
      <c r="AK53" s="15">
        <f>INDEX('Unique Asset List'!$AS$4:$AY$60,MATCH('6'!$B53,'Unique Asset List'!$A$4:$A$60,0),MATCH('6'!$C$1,'Unique Asset List'!$AS$3:$AY$3,0))</f>
        <v>0.61768216477991222</v>
      </c>
      <c r="AL53" s="9">
        <v>169</v>
      </c>
      <c r="AM53" s="14">
        <f>INDEX(Simulation!$B$6:$H$6,MATCH($A53,Simulation!$B$1:$H$1,0))*(1+AN53)^((DATE(X53,Y53,15)-DATE(2017,1,15))/365.5)</f>
        <v>3.5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11"/>
        <v>0.82</v>
      </c>
      <c r="AS53" s="10">
        <v>1</v>
      </c>
      <c r="AT53" s="10"/>
      <c r="AU53" s="4">
        <f>IF($C$5="ON",BU53,MyRating(_E1,$B53,Efficacy!$F$1))</f>
        <v>4</v>
      </c>
      <c r="AV53" s="3">
        <f>IF($C$5="ON",BV53,MyRating(_E2,$B53,Efficacy!$F$1))</f>
        <v>5</v>
      </c>
      <c r="AW53" s="3">
        <f>IF($C$5="ON",BW53,MyRating(_E3,$B53,Efficacy!$F$1))</f>
        <v>5</v>
      </c>
      <c r="AX53" s="3">
        <f>IF($C$5="ON",BX53,MyRating(_E4,$B53,Efficacy!$F$1))</f>
        <v>4</v>
      </c>
      <c r="AY53" s="3">
        <f>IF($C$5="ON",BY53,MyRating(_E5,$B53,Efficacy!$F$1))</f>
        <v>4</v>
      </c>
      <c r="AZ53" s="3">
        <f>IF($C$5="ON",BZ53,MyRating(_E6,$B53,Efficacy!$F$1))</f>
        <v>3</v>
      </c>
      <c r="BA53" s="3">
        <f>IF($C$5="ON",CA53,MyRating(_E7,$B53,Efficacy!$F$1))</f>
        <v>3</v>
      </c>
      <c r="BB53" s="3">
        <f>IF($C$5="ON",CB53,MyRating(_E8,$B53,Efficacy!$F$1))</f>
        <v>4</v>
      </c>
      <c r="BC53" s="3">
        <f>IF($C$5="ON",CC53,MyRating(_S1,$B53,Efficacy!$F$1))</f>
        <v>5</v>
      </c>
      <c r="BD53" s="3">
        <f>IF($C$5="ON",CD53,MyRating(_S2,$B53,Efficacy!$F$1))</f>
        <v>3</v>
      </c>
      <c r="BE53" s="3">
        <f>IF($C$5="ON",CE53,MyRating(_S3,$B53,Efficacy!$F$1))</f>
        <v>3</v>
      </c>
      <c r="BF53" s="3">
        <f>IF($C$5="ON",CF53,MyRating(_S4,$B53,Efficacy!$F$1))</f>
        <v>4</v>
      </c>
      <c r="BG53" s="3">
        <f>IF($C$5="ON",CG53,MyRating(_S5,$B53,Efficacy!$F$1))</f>
        <v>5</v>
      </c>
      <c r="BH53" s="3">
        <f>IF($C$5="ON",CH53,MyRating(_S6,$B53,Efficacy!$F$1))</f>
        <v>3</v>
      </c>
      <c r="BI53" s="3">
        <f>IF($C$5="ON",CI53,MyRating(_S7,$B53,Efficacy!$F$1))</f>
        <v>3</v>
      </c>
      <c r="BJ53" s="3">
        <f>IF($C$5="ON",CJ53,MyRating(_D1,$B53,Efficacy!$F$1))</f>
        <v>3</v>
      </c>
      <c r="BK53" s="3">
        <f>IF($C$5="ON",CK53,MyRating(_D2,$B53,Efficacy!$F$1))</f>
        <v>3</v>
      </c>
      <c r="BL53" s="3">
        <f>IF($C$5="ON",CL53,MyRating(_D3,$B53,Efficacy!$F$1))</f>
        <v>3</v>
      </c>
      <c r="BM53" s="3">
        <f>IF($C$5="ON",CM53,MyRating(_D4,$B53,Efficacy!$F$1))</f>
        <v>3</v>
      </c>
      <c r="BN53" s="3">
        <f>IF($C$5="ON",CN53,MyRating(_B1G5,$B53,Barrier!$L$2))</f>
        <v>2</v>
      </c>
      <c r="BO53" s="3">
        <f>IF($C$5="ON",CO53,MyRating(_B2,$B53,Barrier!$F$2))</f>
        <v>3</v>
      </c>
      <c r="BP53" s="6">
        <f>IF($C$5="ON",CP53,MyRating(_B3,$B53,Barrier!$F$2))</f>
        <v>3</v>
      </c>
      <c r="BQ53" s="5">
        <f t="shared" si="12"/>
        <v>3.6275844714639842E-2</v>
      </c>
      <c r="BR53" s="8">
        <f t="shared" si="13"/>
        <v>2.9499999999999997</v>
      </c>
      <c r="BS53" s="5">
        <f t="shared" si="14"/>
        <v>3.60415394013439E-2</v>
      </c>
      <c r="BT53" s="7">
        <f t="shared" si="15"/>
        <v>1.8542316878791175E-2</v>
      </c>
      <c r="BU53" s="4">
        <v>4</v>
      </c>
      <c r="BV53" s="3">
        <v>5</v>
      </c>
      <c r="BW53" s="3">
        <v>5</v>
      </c>
      <c r="BX53" s="3">
        <v>4</v>
      </c>
      <c r="BY53" s="3">
        <v>4</v>
      </c>
      <c r="BZ53" s="3">
        <v>3</v>
      </c>
      <c r="CA53" s="3">
        <v>3</v>
      </c>
      <c r="CB53" s="3">
        <v>4</v>
      </c>
      <c r="CC53" s="3">
        <v>5</v>
      </c>
      <c r="CD53" s="3">
        <v>3</v>
      </c>
      <c r="CE53" s="3">
        <v>3</v>
      </c>
      <c r="CF53" s="3">
        <v>4</v>
      </c>
      <c r="CG53" s="3">
        <v>5</v>
      </c>
      <c r="CH53" s="3">
        <v>3</v>
      </c>
      <c r="CI53" s="3">
        <v>3</v>
      </c>
      <c r="CJ53" s="3">
        <v>3</v>
      </c>
      <c r="CK53" s="3">
        <v>3</v>
      </c>
      <c r="CL53" s="3">
        <v>3</v>
      </c>
      <c r="CM53" s="3">
        <v>3</v>
      </c>
      <c r="CN53" s="3">
        <v>2</v>
      </c>
      <c r="CO53" s="3">
        <v>3</v>
      </c>
      <c r="CP53" s="6">
        <v>3</v>
      </c>
      <c r="CQ53" s="5">
        <v>3.6275844714639842E-2</v>
      </c>
      <c r="CR53" s="61"/>
    </row>
    <row r="54" spans="1:96" x14ac:dyDescent="0.35">
      <c r="A54" s="9" t="str">
        <f t="shared" si="10"/>
        <v>IT</v>
      </c>
      <c r="B54" s="9" t="s">
        <v>192</v>
      </c>
      <c r="C54" s="20" t="s">
        <v>3</v>
      </c>
      <c r="D54" s="9" t="s">
        <v>2</v>
      </c>
      <c r="E54" s="9"/>
      <c r="F54" s="9" t="s">
        <v>1</v>
      </c>
      <c r="G54" s="19">
        <v>0</v>
      </c>
      <c r="H54" s="9">
        <v>2014</v>
      </c>
      <c r="I54" s="9">
        <v>6</v>
      </c>
      <c r="J54" s="18">
        <f>INDEX(PTRS!$D$6:$D$12,MATCH('6'!$F54,PTRS!$B$6:$B$12,0))</f>
        <v>0.1044225</v>
      </c>
      <c r="K54" s="17">
        <v>0</v>
      </c>
      <c r="L54" s="17">
        <v>0.1044225</v>
      </c>
      <c r="M54" s="17">
        <v>0</v>
      </c>
      <c r="N54" s="17">
        <v>0.1044225</v>
      </c>
      <c r="O54" s="17">
        <v>0.1044225</v>
      </c>
      <c r="P54" s="17">
        <v>0.1044225</v>
      </c>
      <c r="Q54" s="17">
        <v>0.1044225</v>
      </c>
      <c r="R54" s="17">
        <v>0.1044225</v>
      </c>
      <c r="S54" s="17">
        <v>1</v>
      </c>
      <c r="T54" s="17"/>
      <c r="U54" s="17">
        <f t="shared" si="16"/>
        <v>0</v>
      </c>
      <c r="V54" s="17">
        <v>1</v>
      </c>
      <c r="W54" s="9" t="s">
        <v>0</v>
      </c>
      <c r="X54" s="9">
        <f>INDEX('Unique Asset List'!$C$4:$I$60,MATCH('6'!$B54,'Unique Asset List'!$A$4:$A$60,0),MATCH('6'!$C$1,'Unique Asset List'!$C$3:$I$3,0))</f>
        <v>2052</v>
      </c>
      <c r="Y54" s="9">
        <f>INDEX('Unique Asset List'!$J$4:$P$60,MATCH('6'!$B54,'Unique Asset List'!$A$4:$A$60,0),MATCH('6'!$C$1,'Unique Asset List'!$J$3:$P$3,0))</f>
        <v>7.000000000001819</v>
      </c>
      <c r="Z54" s="9">
        <f>INDEX('Unique Asset List'!$X$4:$AD$60,MATCH('6'!$B54,'Unique Asset List'!$A$4:$A$60,0),MATCH('6'!$C$1,'Unique Asset List'!$X$3:$AD$3,0))</f>
        <v>2060</v>
      </c>
      <c r="AA54" s="9">
        <f>INDEX('Unique Asset List'!$AE$4:$AK$60,MATCH('6'!$B54,'Unique Asset List'!$A$4:$A$60,0),MATCH('6'!$C$1,'Unique Asset List'!$AE$3:$AK$3,0))</f>
        <v>6</v>
      </c>
      <c r="AB54" s="16">
        <f t="shared" si="17"/>
        <v>0</v>
      </c>
      <c r="AC54" s="16">
        <f t="shared" si="18"/>
        <v>0</v>
      </c>
      <c r="AD54" s="16">
        <f t="shared" si="19"/>
        <v>0</v>
      </c>
      <c r="AE54" s="15">
        <f>INDEX('Unique Asset List'!$BN$4:$BT$60,MATCH('6'!$B54,'Unique Asset List'!$A$4:$A$60,0),MATCH('6'!$C$1,'Unique Asset List'!$BN$3:$BT$3,0))</f>
        <v>0.18</v>
      </c>
      <c r="AF54" s="15">
        <f>INDEX('Unique Asset List'!$BU$4:$CA$60,MATCH('6'!$B54,'Unique Asset List'!$A$4:$A$60,0),MATCH('6'!$C$1,'Unique Asset List'!$BU$3:$CA$3,0))</f>
        <v>0.32</v>
      </c>
      <c r="AG54" s="15">
        <f>INDEX('Unique Asset List'!$AZ$4:$BF$60,MATCH('6'!$B54,'Unique Asset List'!$A$4:$A$60,0),MATCH('6'!$C$1,'Unique Asset List'!$AZ$3:$BF$3,0))</f>
        <v>0.18</v>
      </c>
      <c r="AH54" s="15">
        <f>INDEX('Unique Asset List'!$BG$4:$BM$60,MATCH('6'!$B54,'Unique Asset List'!$A$4:$A$60,0),MATCH('6'!$C$1,'Unique Asset List'!$BG$3:$BM$3,0))</f>
        <v>0.32</v>
      </c>
      <c r="AI54" s="11">
        <v>0.96187963349867744</v>
      </c>
      <c r="AJ54" s="15">
        <f>INDEX('Unique Asset List'!$AL$4:$AR$60,MATCH('6'!$B54,'Unique Asset List'!$A$4:$A$60,0),MATCH('6'!$C$1,'Unique Asset List'!$AL$3:$AR$3,0))</f>
        <v>0.32314284341629806</v>
      </c>
      <c r="AK54" s="15">
        <f>INDEX('Unique Asset List'!$AS$4:$AY$60,MATCH('6'!$B54,'Unique Asset List'!$A$4:$A$60,0),MATCH('6'!$C$1,'Unique Asset List'!$AS$3:$AY$3,0))</f>
        <v>0.61768216477991222</v>
      </c>
      <c r="AL54" s="9">
        <v>169</v>
      </c>
      <c r="AM54" s="14">
        <f>INDEX(Simulation!$B$6:$H$6,MATCH($A54,Simulation!$B$1:$H$1,0))*(1+AN54)^((DATE(X54,Y54,15)-DATE(2017,1,15))/365.5)</f>
        <v>3.5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11"/>
        <v>0.82</v>
      </c>
      <c r="AS54" s="10">
        <v>1</v>
      </c>
      <c r="AT54" s="10"/>
      <c r="AU54" s="4">
        <f>IF($C$5="ON",BU54,MyRating(_E1,$B54,Efficacy!$F$1))</f>
        <v>0</v>
      </c>
      <c r="AV54" s="3">
        <f>IF($C$5="ON",BV54,MyRating(_E2,$B54,Efficacy!$F$1))</f>
        <v>0</v>
      </c>
      <c r="AW54" s="3">
        <f>IF($C$5="ON",BW54,MyRating(_E3,$B54,Efficacy!$F$1))</f>
        <v>0</v>
      </c>
      <c r="AX54" s="3">
        <f>IF($C$5="ON",BX54,MyRating(_E4,$B54,Efficacy!$F$1))</f>
        <v>0</v>
      </c>
      <c r="AY54" s="3">
        <f>IF($C$5="ON",BY54,MyRating(_E5,$B54,Efficacy!$F$1))</f>
        <v>0</v>
      </c>
      <c r="AZ54" s="3">
        <f>IF($C$5="ON",BZ54,MyRating(_E6,$B54,Efficacy!$F$1))</f>
        <v>0</v>
      </c>
      <c r="BA54" s="3">
        <f>IF($C$5="ON",CA54,MyRating(_E7,$B54,Efficacy!$F$1))</f>
        <v>0</v>
      </c>
      <c r="BB54" s="3">
        <f>IF($C$5="ON",CB54,MyRating(_E8,$B54,Efficacy!$F$1))</f>
        <v>0</v>
      </c>
      <c r="BC54" s="3">
        <f>IF($C$5="ON",CC54,MyRating(_S1,$B54,Efficacy!$F$1))</f>
        <v>0</v>
      </c>
      <c r="BD54" s="3">
        <f>IF($C$5="ON",CD54,MyRating(_S2,$B54,Efficacy!$F$1))</f>
        <v>0</v>
      </c>
      <c r="BE54" s="3">
        <f>IF($C$5="ON",CE54,MyRating(_S3,$B54,Efficacy!$F$1))</f>
        <v>0</v>
      </c>
      <c r="BF54" s="3">
        <f>IF($C$5="ON",CF54,MyRating(_S4,$B54,Efficacy!$F$1))</f>
        <v>0</v>
      </c>
      <c r="BG54" s="3">
        <f>IF($C$5="ON",CG54,MyRating(_S5,$B54,Efficacy!$F$1))</f>
        <v>0</v>
      </c>
      <c r="BH54" s="3">
        <f>IF($C$5="ON",CH54,MyRating(_S6,$B54,Efficacy!$F$1))</f>
        <v>0</v>
      </c>
      <c r="BI54" s="3">
        <f>IF($C$5="ON",CI54,MyRating(_S7,$B54,Efficacy!$F$1))</f>
        <v>0</v>
      </c>
      <c r="BJ54" s="3">
        <f>IF($C$5="ON",CJ54,MyRating(_D1,$B54,Efficacy!$F$1))</f>
        <v>0</v>
      </c>
      <c r="BK54" s="3">
        <f>IF($C$5="ON",CK54,MyRating(_D2,$B54,Efficacy!$F$1))</f>
        <v>0</v>
      </c>
      <c r="BL54" s="3">
        <f>IF($C$5="ON",CL54,MyRating(_D3,$B54,Efficacy!$F$1))</f>
        <v>0</v>
      </c>
      <c r="BM54" s="3">
        <f>IF($C$5="ON",CM54,MyRating(_D4,$B54,Efficacy!$F$1))</f>
        <v>0</v>
      </c>
      <c r="BN54" s="3">
        <f>IF($C$5="ON",CN54,MyRating(_B1G5,$B54,Barrier!$L$2))</f>
        <v>0</v>
      </c>
      <c r="BO54" s="3">
        <f>IF($C$5="ON",CO54,MyRating(_B2,$B54,Barrier!$F$2))</f>
        <v>0</v>
      </c>
      <c r="BP54" s="6">
        <f>IF($C$5="ON",CP54,MyRating(_B3,$B54,Barrier!$F$2))</f>
        <v>0</v>
      </c>
      <c r="BQ54" s="5">
        <f t="shared" si="12"/>
        <v>0</v>
      </c>
      <c r="BR54" s="8">
        <f t="shared" si="13"/>
        <v>0</v>
      </c>
      <c r="BS54" s="5">
        <f t="shared" si="14"/>
        <v>0</v>
      </c>
      <c r="BT54" s="7">
        <f t="shared" si="15"/>
        <v>0</v>
      </c>
      <c r="BU54" s="4">
        <v>0</v>
      </c>
      <c r="BV54" s="3">
        <v>0</v>
      </c>
      <c r="BW54" s="3">
        <v>0</v>
      </c>
      <c r="BX54" s="3">
        <v>0</v>
      </c>
      <c r="BY54" s="3">
        <v>0</v>
      </c>
      <c r="BZ54" s="3">
        <v>0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6">
        <v>0</v>
      </c>
      <c r="CQ54" s="5">
        <v>0</v>
      </c>
      <c r="CR54" s="61"/>
    </row>
    <row r="55" spans="1:96" x14ac:dyDescent="0.35">
      <c r="A55" s="9" t="str">
        <f t="shared" si="10"/>
        <v>IT</v>
      </c>
      <c r="B55" s="9" t="s">
        <v>191</v>
      </c>
      <c r="C55" s="20" t="s">
        <v>3</v>
      </c>
      <c r="D55" s="9" t="s">
        <v>2</v>
      </c>
      <c r="E55" s="9"/>
      <c r="F55" s="9" t="s">
        <v>1</v>
      </c>
      <c r="G55" s="19">
        <v>0</v>
      </c>
      <c r="H55" s="9">
        <v>2014</v>
      </c>
      <c r="I55" s="9">
        <v>6</v>
      </c>
      <c r="J55" s="18">
        <f>INDEX(PTRS!$D$6:$D$12,MATCH('6'!$F55,PTRS!$B$6:$B$12,0))</f>
        <v>0.1044225</v>
      </c>
      <c r="K55" s="17">
        <v>0</v>
      </c>
      <c r="L55" s="17">
        <v>0.1044225</v>
      </c>
      <c r="M55" s="17">
        <v>0</v>
      </c>
      <c r="N55" s="17">
        <v>0.1044225</v>
      </c>
      <c r="O55" s="17">
        <v>0.1044225</v>
      </c>
      <c r="P55" s="17">
        <v>0.1044225</v>
      </c>
      <c r="Q55" s="17">
        <v>0.1044225</v>
      </c>
      <c r="R55" s="17">
        <v>0.1044225</v>
      </c>
      <c r="S55" s="17">
        <v>1</v>
      </c>
      <c r="T55" s="17"/>
      <c r="U55" s="17">
        <f t="shared" si="16"/>
        <v>0</v>
      </c>
      <c r="V55" s="17">
        <v>1</v>
      </c>
      <c r="W55" s="9" t="s">
        <v>0</v>
      </c>
      <c r="X55" s="9">
        <f>INDEX('Unique Asset List'!$C$4:$I$60,MATCH('6'!$B55,'Unique Asset List'!$A$4:$A$60,0),MATCH('6'!$C$1,'Unique Asset List'!$C$3:$I$3,0))</f>
        <v>2052</v>
      </c>
      <c r="Y55" s="9">
        <f>INDEX('Unique Asset List'!$J$4:$P$60,MATCH('6'!$B55,'Unique Asset List'!$A$4:$A$60,0),MATCH('6'!$C$1,'Unique Asset List'!$J$3:$P$3,0))</f>
        <v>7.000000000001819</v>
      </c>
      <c r="Z55" s="9">
        <f>INDEX('Unique Asset List'!$X$4:$AD$60,MATCH('6'!$B55,'Unique Asset List'!$A$4:$A$60,0),MATCH('6'!$C$1,'Unique Asset List'!$X$3:$AD$3,0))</f>
        <v>2060</v>
      </c>
      <c r="AA55" s="9">
        <f>INDEX('Unique Asset List'!$AE$4:$AK$60,MATCH('6'!$B55,'Unique Asset List'!$A$4:$A$60,0),MATCH('6'!$C$1,'Unique Asset List'!$AE$3:$AK$3,0))</f>
        <v>6</v>
      </c>
      <c r="AB55" s="16">
        <f t="shared" si="17"/>
        <v>0</v>
      </c>
      <c r="AC55" s="16">
        <f t="shared" si="18"/>
        <v>0</v>
      </c>
      <c r="AD55" s="16">
        <f t="shared" si="19"/>
        <v>0</v>
      </c>
      <c r="AE55" s="15">
        <f>INDEX('Unique Asset List'!$BN$4:$BT$60,MATCH('6'!$B55,'Unique Asset List'!$A$4:$A$60,0),MATCH('6'!$C$1,'Unique Asset List'!$BN$3:$BT$3,0))</f>
        <v>0.18</v>
      </c>
      <c r="AF55" s="15">
        <f>INDEX('Unique Asset List'!$BU$4:$CA$60,MATCH('6'!$B55,'Unique Asset List'!$A$4:$A$60,0),MATCH('6'!$C$1,'Unique Asset List'!$BU$3:$CA$3,0))</f>
        <v>0.32</v>
      </c>
      <c r="AG55" s="15">
        <f>INDEX('Unique Asset List'!$AZ$4:$BF$60,MATCH('6'!$B55,'Unique Asset List'!$A$4:$A$60,0),MATCH('6'!$C$1,'Unique Asset List'!$AZ$3:$BF$3,0))</f>
        <v>0.18</v>
      </c>
      <c r="AH55" s="15">
        <f>INDEX('Unique Asset List'!$BG$4:$BM$60,MATCH('6'!$B55,'Unique Asset List'!$A$4:$A$60,0),MATCH('6'!$C$1,'Unique Asset List'!$BG$3:$BM$3,0))</f>
        <v>0.32</v>
      </c>
      <c r="AI55" s="11">
        <v>0.96187963349867744</v>
      </c>
      <c r="AJ55" s="15">
        <f>INDEX('Unique Asset List'!$AL$4:$AR$60,MATCH('6'!$B55,'Unique Asset List'!$A$4:$A$60,0),MATCH('6'!$C$1,'Unique Asset List'!$AL$3:$AR$3,0))</f>
        <v>0.32314284341629806</v>
      </c>
      <c r="AK55" s="15">
        <f>INDEX('Unique Asset List'!$AS$4:$AY$60,MATCH('6'!$B55,'Unique Asset List'!$A$4:$A$60,0),MATCH('6'!$C$1,'Unique Asset List'!$AS$3:$AY$3,0))</f>
        <v>0.61768216477991222</v>
      </c>
      <c r="AL55" s="9">
        <v>169</v>
      </c>
      <c r="AM55" s="14">
        <f>INDEX(Simulation!$B$6:$H$6,MATCH($A55,Simulation!$B$1:$H$1,0))*(1+AN55)^((DATE(X55,Y55,15)-DATE(2017,1,15))/365.5)</f>
        <v>3.5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11"/>
        <v>0.82</v>
      </c>
      <c r="AS55" s="10">
        <v>1</v>
      </c>
      <c r="AT55" s="10"/>
      <c r="AU55" s="4">
        <f>IF($C$5="ON",BU55,MyRating(_E1,$B55,Efficacy!$F$1))</f>
        <v>0</v>
      </c>
      <c r="AV55" s="3">
        <f>IF($C$5="ON",BV55,MyRating(_E2,$B55,Efficacy!$F$1))</f>
        <v>0</v>
      </c>
      <c r="AW55" s="3">
        <f>IF($C$5="ON",BW55,MyRating(_E3,$B55,Efficacy!$F$1))</f>
        <v>0</v>
      </c>
      <c r="AX55" s="3">
        <f>IF($C$5="ON",BX55,MyRating(_E4,$B55,Efficacy!$F$1))</f>
        <v>0</v>
      </c>
      <c r="AY55" s="3">
        <f>IF($C$5="ON",BY55,MyRating(_E5,$B55,Efficacy!$F$1))</f>
        <v>0</v>
      </c>
      <c r="AZ55" s="3">
        <f>IF($C$5="ON",BZ55,MyRating(_E6,$B55,Efficacy!$F$1))</f>
        <v>0</v>
      </c>
      <c r="BA55" s="3">
        <f>IF($C$5="ON",CA55,MyRating(_E7,$B55,Efficacy!$F$1))</f>
        <v>0</v>
      </c>
      <c r="BB55" s="3">
        <f>IF($C$5="ON",CB55,MyRating(_E8,$B55,Efficacy!$F$1))</f>
        <v>0</v>
      </c>
      <c r="BC55" s="3">
        <f>IF($C$5="ON",CC55,MyRating(_S1,$B55,Efficacy!$F$1))</f>
        <v>0</v>
      </c>
      <c r="BD55" s="3">
        <f>IF($C$5="ON",CD55,MyRating(_S2,$B55,Efficacy!$F$1))</f>
        <v>0</v>
      </c>
      <c r="BE55" s="3">
        <f>IF($C$5="ON",CE55,MyRating(_S3,$B55,Efficacy!$F$1))</f>
        <v>0</v>
      </c>
      <c r="BF55" s="3">
        <f>IF($C$5="ON",CF55,MyRating(_S4,$B55,Efficacy!$F$1))</f>
        <v>0</v>
      </c>
      <c r="BG55" s="3">
        <f>IF($C$5="ON",CG55,MyRating(_S5,$B55,Efficacy!$F$1))</f>
        <v>0</v>
      </c>
      <c r="BH55" s="3">
        <f>IF($C$5="ON",CH55,MyRating(_S6,$B55,Efficacy!$F$1))</f>
        <v>0</v>
      </c>
      <c r="BI55" s="3">
        <f>IF($C$5="ON",CI55,MyRating(_S7,$B55,Efficacy!$F$1))</f>
        <v>0</v>
      </c>
      <c r="BJ55" s="3">
        <f>IF($C$5="ON",CJ55,MyRating(_D1,$B55,Efficacy!$F$1))</f>
        <v>0</v>
      </c>
      <c r="BK55" s="3">
        <f>IF($C$5="ON",CK55,MyRating(_D2,$B55,Efficacy!$F$1))</f>
        <v>0</v>
      </c>
      <c r="BL55" s="3">
        <f>IF($C$5="ON",CL55,MyRating(_D3,$B55,Efficacy!$F$1))</f>
        <v>0</v>
      </c>
      <c r="BM55" s="3">
        <f>IF($C$5="ON",CM55,MyRating(_D4,$B55,Efficacy!$F$1))</f>
        <v>0</v>
      </c>
      <c r="BN55" s="3">
        <f>IF($C$5="ON",CN55,MyRating(_B1G5,$B55,Barrier!$L$2))</f>
        <v>0</v>
      </c>
      <c r="BO55" s="3">
        <f>IF($C$5="ON",CO55,MyRating(_B2,$B55,Barrier!$F$2))</f>
        <v>0</v>
      </c>
      <c r="BP55" s="6">
        <f>IF($C$5="ON",CP55,MyRating(_B3,$B55,Barrier!$F$2))</f>
        <v>0</v>
      </c>
      <c r="BQ55" s="5">
        <f t="shared" si="12"/>
        <v>0</v>
      </c>
      <c r="BR55" s="8">
        <f t="shared" si="13"/>
        <v>0</v>
      </c>
      <c r="BS55" s="5">
        <f t="shared" si="14"/>
        <v>0</v>
      </c>
      <c r="BT55" s="7">
        <f t="shared" si="15"/>
        <v>0</v>
      </c>
      <c r="BU55" s="4">
        <v>0</v>
      </c>
      <c r="BV55" s="3">
        <v>0</v>
      </c>
      <c r="BW55" s="3">
        <v>0</v>
      </c>
      <c r="BX55" s="3">
        <v>0</v>
      </c>
      <c r="BY55" s="3">
        <v>0</v>
      </c>
      <c r="BZ55" s="3">
        <v>0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6">
        <v>0</v>
      </c>
      <c r="CQ55" s="5">
        <v>0</v>
      </c>
      <c r="CR55" s="61"/>
    </row>
    <row r="56" spans="1:96" x14ac:dyDescent="0.35">
      <c r="A56" s="9" t="str">
        <f t="shared" si="10"/>
        <v>IT</v>
      </c>
      <c r="B56" s="9" t="s">
        <v>190</v>
      </c>
      <c r="C56" s="20" t="s">
        <v>3</v>
      </c>
      <c r="D56" s="9" t="s">
        <v>2</v>
      </c>
      <c r="E56" s="9"/>
      <c r="F56" s="9" t="s">
        <v>1</v>
      </c>
      <c r="G56" s="19">
        <v>0</v>
      </c>
      <c r="H56" s="9">
        <v>2014</v>
      </c>
      <c r="I56" s="9">
        <v>6</v>
      </c>
      <c r="J56" s="18">
        <f>INDEX(PTRS!$D$6:$D$12,MATCH('6'!$F56,PTRS!$B$6:$B$12,0))</f>
        <v>0.1044225</v>
      </c>
      <c r="K56" s="17">
        <v>0</v>
      </c>
      <c r="L56" s="17">
        <v>0.1044225</v>
      </c>
      <c r="M56" s="17">
        <v>0</v>
      </c>
      <c r="N56" s="17">
        <v>0.1044225</v>
      </c>
      <c r="O56" s="17">
        <v>0.1044225</v>
      </c>
      <c r="P56" s="17">
        <v>0.1044225</v>
      </c>
      <c r="Q56" s="17">
        <v>0.1044225</v>
      </c>
      <c r="R56" s="17">
        <v>0.1044225</v>
      </c>
      <c r="S56" s="17">
        <v>1</v>
      </c>
      <c r="T56" s="17"/>
      <c r="U56" s="17">
        <f t="shared" si="16"/>
        <v>0</v>
      </c>
      <c r="V56" s="17">
        <v>1</v>
      </c>
      <c r="W56" s="9" t="s">
        <v>0</v>
      </c>
      <c r="X56" s="9">
        <f>INDEX('Unique Asset List'!$C$4:$I$60,MATCH('6'!$B56,'Unique Asset List'!$A$4:$A$60,0),MATCH('6'!$C$1,'Unique Asset List'!$C$3:$I$3,0))</f>
        <v>2052</v>
      </c>
      <c r="Y56" s="9">
        <f>INDEX('Unique Asset List'!$J$4:$P$60,MATCH('6'!$B56,'Unique Asset List'!$A$4:$A$60,0),MATCH('6'!$C$1,'Unique Asset List'!$J$3:$P$3,0))</f>
        <v>7.000000000001819</v>
      </c>
      <c r="Z56" s="9">
        <f>INDEX('Unique Asset List'!$X$4:$AD$60,MATCH('6'!$B56,'Unique Asset List'!$A$4:$A$60,0),MATCH('6'!$C$1,'Unique Asset List'!$X$3:$AD$3,0))</f>
        <v>2060</v>
      </c>
      <c r="AA56" s="9">
        <f>INDEX('Unique Asset List'!$AE$4:$AK$60,MATCH('6'!$B56,'Unique Asset List'!$A$4:$A$60,0),MATCH('6'!$C$1,'Unique Asset List'!$AE$3:$AK$3,0))</f>
        <v>6</v>
      </c>
      <c r="AB56" s="16">
        <f t="shared" si="17"/>
        <v>0</v>
      </c>
      <c r="AC56" s="16">
        <f t="shared" si="18"/>
        <v>0</v>
      </c>
      <c r="AD56" s="16">
        <f t="shared" si="19"/>
        <v>0</v>
      </c>
      <c r="AE56" s="15">
        <f>INDEX('Unique Asset List'!$BN$4:$BT$60,MATCH('6'!$B56,'Unique Asset List'!$A$4:$A$60,0),MATCH('6'!$C$1,'Unique Asset List'!$BN$3:$BT$3,0))</f>
        <v>0.18</v>
      </c>
      <c r="AF56" s="15">
        <f>INDEX('Unique Asset List'!$BU$4:$CA$60,MATCH('6'!$B56,'Unique Asset List'!$A$4:$A$60,0),MATCH('6'!$C$1,'Unique Asset List'!$BU$3:$CA$3,0))</f>
        <v>0.32</v>
      </c>
      <c r="AG56" s="15">
        <f>INDEX('Unique Asset List'!$AZ$4:$BF$60,MATCH('6'!$B56,'Unique Asset List'!$A$4:$A$60,0),MATCH('6'!$C$1,'Unique Asset List'!$AZ$3:$BF$3,0))</f>
        <v>0.18</v>
      </c>
      <c r="AH56" s="15">
        <f>INDEX('Unique Asset List'!$BG$4:$BM$60,MATCH('6'!$B56,'Unique Asset List'!$A$4:$A$60,0),MATCH('6'!$C$1,'Unique Asset List'!$BG$3:$BM$3,0))</f>
        <v>0.32</v>
      </c>
      <c r="AI56" s="11">
        <v>0.96187963349867744</v>
      </c>
      <c r="AJ56" s="15">
        <f>INDEX('Unique Asset List'!$AL$4:$AR$60,MATCH('6'!$B56,'Unique Asset List'!$A$4:$A$60,0),MATCH('6'!$C$1,'Unique Asset List'!$AL$3:$AR$3,0))</f>
        <v>0.32314284341629806</v>
      </c>
      <c r="AK56" s="15">
        <f>INDEX('Unique Asset List'!$AS$4:$AY$60,MATCH('6'!$B56,'Unique Asset List'!$A$4:$A$60,0),MATCH('6'!$C$1,'Unique Asset List'!$AS$3:$AY$3,0))</f>
        <v>0.61768216477991222</v>
      </c>
      <c r="AL56" s="9">
        <v>169</v>
      </c>
      <c r="AM56" s="14">
        <f>INDEX(Simulation!$B$6:$H$6,MATCH($A56,Simulation!$B$1:$H$1,0))*(1+AN56)^((DATE(X56,Y56,15)-DATE(2017,1,15))/365.5)</f>
        <v>3.5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11"/>
        <v>0.82</v>
      </c>
      <c r="AS56" s="10">
        <v>1</v>
      </c>
      <c r="AT56" s="10"/>
      <c r="AU56" s="4">
        <f>IF($C$5="ON",BU56,MyRating(_E1,$B56,Efficacy!$F$1))</f>
        <v>0</v>
      </c>
      <c r="AV56" s="3">
        <f>IF($C$5="ON",BV56,MyRating(_E2,$B56,Efficacy!$F$1))</f>
        <v>0</v>
      </c>
      <c r="AW56" s="3">
        <f>IF($C$5="ON",BW56,MyRating(_E3,$B56,Efficacy!$F$1))</f>
        <v>0</v>
      </c>
      <c r="AX56" s="3">
        <f>IF($C$5="ON",BX56,MyRating(_E4,$B56,Efficacy!$F$1))</f>
        <v>0</v>
      </c>
      <c r="AY56" s="3">
        <f>IF($C$5="ON",BY56,MyRating(_E5,$B56,Efficacy!$F$1))</f>
        <v>0</v>
      </c>
      <c r="AZ56" s="3">
        <f>IF($C$5="ON",BZ56,MyRating(_E6,$B56,Efficacy!$F$1))</f>
        <v>0</v>
      </c>
      <c r="BA56" s="3">
        <f>IF($C$5="ON",CA56,MyRating(_E7,$B56,Efficacy!$F$1))</f>
        <v>0</v>
      </c>
      <c r="BB56" s="3">
        <f>IF($C$5="ON",CB56,MyRating(_E8,$B56,Efficacy!$F$1))</f>
        <v>0</v>
      </c>
      <c r="BC56" s="3">
        <f>IF($C$5="ON",CC56,MyRating(_S1,$B56,Efficacy!$F$1))</f>
        <v>0</v>
      </c>
      <c r="BD56" s="3">
        <f>IF($C$5="ON",CD56,MyRating(_S2,$B56,Efficacy!$F$1))</f>
        <v>0</v>
      </c>
      <c r="BE56" s="3">
        <f>IF($C$5="ON",CE56,MyRating(_S3,$B56,Efficacy!$F$1))</f>
        <v>0</v>
      </c>
      <c r="BF56" s="3">
        <f>IF($C$5="ON",CF56,MyRating(_S4,$B56,Efficacy!$F$1))</f>
        <v>0</v>
      </c>
      <c r="BG56" s="3">
        <f>IF($C$5="ON",CG56,MyRating(_S5,$B56,Efficacy!$F$1))</f>
        <v>0</v>
      </c>
      <c r="BH56" s="3">
        <f>IF($C$5="ON",CH56,MyRating(_S6,$B56,Efficacy!$F$1))</f>
        <v>0</v>
      </c>
      <c r="BI56" s="3">
        <f>IF($C$5="ON",CI56,MyRating(_S7,$B56,Efficacy!$F$1))</f>
        <v>0</v>
      </c>
      <c r="BJ56" s="3">
        <f>IF($C$5="ON",CJ56,MyRating(_D1,$B56,Efficacy!$F$1))</f>
        <v>0</v>
      </c>
      <c r="BK56" s="3">
        <f>IF($C$5="ON",CK56,MyRating(_D2,$B56,Efficacy!$F$1))</f>
        <v>0</v>
      </c>
      <c r="BL56" s="3">
        <f>IF($C$5="ON",CL56,MyRating(_D3,$B56,Efficacy!$F$1))</f>
        <v>0</v>
      </c>
      <c r="BM56" s="3">
        <f>IF($C$5="ON",CM56,MyRating(_D4,$B56,Efficacy!$F$1))</f>
        <v>0</v>
      </c>
      <c r="BN56" s="3">
        <f>IF($C$5="ON",CN56,MyRating(_B1G5,$B56,Barrier!$L$2))</f>
        <v>0</v>
      </c>
      <c r="BO56" s="3">
        <f>IF($C$5="ON",CO56,MyRating(_B2,$B56,Barrier!$F$2))</f>
        <v>0</v>
      </c>
      <c r="BP56" s="6">
        <f>IF($C$5="ON",CP56,MyRating(_B3,$B56,Barrier!$F$2))</f>
        <v>0</v>
      </c>
      <c r="BQ56" s="5">
        <f t="shared" si="12"/>
        <v>0</v>
      </c>
      <c r="BR56" s="8">
        <f t="shared" si="13"/>
        <v>0</v>
      </c>
      <c r="BS56" s="5">
        <f t="shared" si="14"/>
        <v>0</v>
      </c>
      <c r="BT56" s="7">
        <f t="shared" si="15"/>
        <v>0</v>
      </c>
      <c r="BU56" s="4">
        <v>0</v>
      </c>
      <c r="BV56" s="3">
        <v>0</v>
      </c>
      <c r="BW56" s="3">
        <v>0</v>
      </c>
      <c r="BX56" s="3">
        <v>0</v>
      </c>
      <c r="BY56" s="3">
        <v>0</v>
      </c>
      <c r="BZ56" s="3">
        <v>0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6">
        <v>0</v>
      </c>
      <c r="CQ56" s="5">
        <v>0</v>
      </c>
      <c r="CR56" s="61"/>
    </row>
    <row r="57" spans="1:96" x14ac:dyDescent="0.35">
      <c r="A57" s="9" t="str">
        <f t="shared" si="10"/>
        <v>IT</v>
      </c>
      <c r="B57" s="9" t="s">
        <v>189</v>
      </c>
      <c r="C57" s="20" t="s">
        <v>3</v>
      </c>
      <c r="D57" s="9" t="s">
        <v>2</v>
      </c>
      <c r="E57" s="9"/>
      <c r="F57" s="9" t="s">
        <v>1</v>
      </c>
      <c r="G57" s="19">
        <v>0</v>
      </c>
      <c r="H57" s="9">
        <v>2014</v>
      </c>
      <c r="I57" s="9">
        <v>6</v>
      </c>
      <c r="J57" s="18">
        <f>INDEX(PTRS!$D$6:$D$12,MATCH('6'!$F57,PTRS!$B$6:$B$12,0))</f>
        <v>0.1044225</v>
      </c>
      <c r="K57" s="17">
        <v>0</v>
      </c>
      <c r="L57" s="17">
        <v>0.1044225</v>
      </c>
      <c r="M57" s="17">
        <v>0</v>
      </c>
      <c r="N57" s="17">
        <v>0.1044225</v>
      </c>
      <c r="O57" s="17">
        <v>0.1044225</v>
      </c>
      <c r="P57" s="17">
        <v>0.1044225</v>
      </c>
      <c r="Q57" s="17">
        <v>0.1044225</v>
      </c>
      <c r="R57" s="17">
        <v>0.1044225</v>
      </c>
      <c r="S57" s="17">
        <v>1</v>
      </c>
      <c r="T57" s="17"/>
      <c r="U57" s="17">
        <f t="shared" si="16"/>
        <v>0</v>
      </c>
      <c r="V57" s="17">
        <v>1</v>
      </c>
      <c r="W57" s="9" t="s">
        <v>0</v>
      </c>
      <c r="X57" s="9">
        <f>INDEX('Unique Asset List'!$C$4:$I$60,MATCH('6'!$B57,'Unique Asset List'!$A$4:$A$60,0),MATCH('6'!$C$1,'Unique Asset List'!$C$3:$I$3,0))</f>
        <v>2052</v>
      </c>
      <c r="Y57" s="9">
        <f>INDEX('Unique Asset List'!$J$4:$P$60,MATCH('6'!$B57,'Unique Asset List'!$A$4:$A$60,0),MATCH('6'!$C$1,'Unique Asset List'!$J$3:$P$3,0))</f>
        <v>7.000000000001819</v>
      </c>
      <c r="Z57" s="9">
        <f>INDEX('Unique Asset List'!$X$4:$AD$60,MATCH('6'!$B57,'Unique Asset List'!$A$4:$A$60,0),MATCH('6'!$C$1,'Unique Asset List'!$X$3:$AD$3,0))</f>
        <v>2060</v>
      </c>
      <c r="AA57" s="9">
        <f>INDEX('Unique Asset List'!$AE$4:$AK$60,MATCH('6'!$B57,'Unique Asset List'!$A$4:$A$60,0),MATCH('6'!$C$1,'Unique Asset List'!$AE$3:$AK$3,0))</f>
        <v>6</v>
      </c>
      <c r="AB57" s="16">
        <f t="shared" si="17"/>
        <v>0</v>
      </c>
      <c r="AC57" s="16">
        <f t="shared" si="18"/>
        <v>0</v>
      </c>
      <c r="AD57" s="16">
        <f t="shared" si="19"/>
        <v>0</v>
      </c>
      <c r="AE57" s="15">
        <f>INDEX('Unique Asset List'!$BN$4:$BT$60,MATCH('6'!$B57,'Unique Asset List'!$A$4:$A$60,0),MATCH('6'!$C$1,'Unique Asset List'!$BN$3:$BT$3,0))</f>
        <v>0.18</v>
      </c>
      <c r="AF57" s="15">
        <f>INDEX('Unique Asset List'!$BU$4:$CA$60,MATCH('6'!$B57,'Unique Asset List'!$A$4:$A$60,0),MATCH('6'!$C$1,'Unique Asset List'!$BU$3:$CA$3,0))</f>
        <v>0.32</v>
      </c>
      <c r="AG57" s="15">
        <f>INDEX('Unique Asset List'!$AZ$4:$BF$60,MATCH('6'!$B57,'Unique Asset List'!$A$4:$A$60,0),MATCH('6'!$C$1,'Unique Asset List'!$AZ$3:$BF$3,0))</f>
        <v>0.18</v>
      </c>
      <c r="AH57" s="15">
        <f>INDEX('Unique Asset List'!$BG$4:$BM$60,MATCH('6'!$B57,'Unique Asset List'!$A$4:$A$60,0),MATCH('6'!$C$1,'Unique Asset List'!$BG$3:$BM$3,0))</f>
        <v>0.32</v>
      </c>
      <c r="AI57" s="11">
        <v>0.96187963349867744</v>
      </c>
      <c r="AJ57" s="15">
        <f>INDEX('Unique Asset List'!$AL$4:$AR$60,MATCH('6'!$B57,'Unique Asset List'!$A$4:$A$60,0),MATCH('6'!$C$1,'Unique Asset List'!$AL$3:$AR$3,0))</f>
        <v>0.32314284341629806</v>
      </c>
      <c r="AK57" s="15">
        <f>INDEX('Unique Asset List'!$AS$4:$AY$60,MATCH('6'!$B57,'Unique Asset List'!$A$4:$A$60,0),MATCH('6'!$C$1,'Unique Asset List'!$AS$3:$AY$3,0))</f>
        <v>0.61768216477991222</v>
      </c>
      <c r="AL57" s="9">
        <v>169</v>
      </c>
      <c r="AM57" s="14">
        <f>INDEX(Simulation!$B$6:$H$6,MATCH($A57,Simulation!$B$1:$H$1,0))*(1+AN57)^((DATE(X57,Y57,15)-DATE(2017,1,15))/365.5)</f>
        <v>3.5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11"/>
        <v>0.82</v>
      </c>
      <c r="AS57" s="10">
        <v>1</v>
      </c>
      <c r="AT57" s="10"/>
      <c r="AU57" s="4">
        <f>IF($C$5="ON",BU57,MyRating(_E1,$B57,Efficacy!$F$1))</f>
        <v>0</v>
      </c>
      <c r="AV57" s="3">
        <f>IF($C$5="ON",BV57,MyRating(_E2,$B57,Efficacy!$F$1))</f>
        <v>0</v>
      </c>
      <c r="AW57" s="3">
        <f>IF($C$5="ON",BW57,MyRating(_E3,$B57,Efficacy!$F$1))</f>
        <v>0</v>
      </c>
      <c r="AX57" s="3">
        <f>IF($C$5="ON",BX57,MyRating(_E4,$B57,Efficacy!$F$1))</f>
        <v>0</v>
      </c>
      <c r="AY57" s="3">
        <f>IF($C$5="ON",BY57,MyRating(_E5,$B57,Efficacy!$F$1))</f>
        <v>0</v>
      </c>
      <c r="AZ57" s="3">
        <f>IF($C$5="ON",BZ57,MyRating(_E6,$B57,Efficacy!$F$1))</f>
        <v>0</v>
      </c>
      <c r="BA57" s="3">
        <f>IF($C$5="ON",CA57,MyRating(_E7,$B57,Efficacy!$F$1))</f>
        <v>0</v>
      </c>
      <c r="BB57" s="3">
        <f>IF($C$5="ON",CB57,MyRating(_E8,$B57,Efficacy!$F$1))</f>
        <v>0</v>
      </c>
      <c r="BC57" s="3">
        <f>IF($C$5="ON",CC57,MyRating(_S1,$B57,Efficacy!$F$1))</f>
        <v>0</v>
      </c>
      <c r="BD57" s="3">
        <f>IF($C$5="ON",CD57,MyRating(_S2,$B57,Efficacy!$F$1))</f>
        <v>0</v>
      </c>
      <c r="BE57" s="3">
        <f>IF($C$5="ON",CE57,MyRating(_S3,$B57,Efficacy!$F$1))</f>
        <v>0</v>
      </c>
      <c r="BF57" s="3">
        <f>IF($C$5="ON",CF57,MyRating(_S4,$B57,Efficacy!$F$1))</f>
        <v>0</v>
      </c>
      <c r="BG57" s="3">
        <f>IF($C$5="ON",CG57,MyRating(_S5,$B57,Efficacy!$F$1))</f>
        <v>0</v>
      </c>
      <c r="BH57" s="3">
        <f>IF($C$5="ON",CH57,MyRating(_S6,$B57,Efficacy!$F$1))</f>
        <v>0</v>
      </c>
      <c r="BI57" s="3">
        <f>IF($C$5="ON",CI57,MyRating(_S7,$B57,Efficacy!$F$1))</f>
        <v>0</v>
      </c>
      <c r="BJ57" s="3">
        <f>IF($C$5="ON",CJ57,MyRating(_D1,$B57,Efficacy!$F$1))</f>
        <v>0</v>
      </c>
      <c r="BK57" s="3">
        <f>IF($C$5="ON",CK57,MyRating(_D2,$B57,Efficacy!$F$1))</f>
        <v>0</v>
      </c>
      <c r="BL57" s="3">
        <f>IF($C$5="ON",CL57,MyRating(_D3,$B57,Efficacy!$F$1))</f>
        <v>0</v>
      </c>
      <c r="BM57" s="3">
        <f>IF($C$5="ON",CM57,MyRating(_D4,$B57,Efficacy!$F$1))</f>
        <v>0</v>
      </c>
      <c r="BN57" s="3">
        <f>IF($C$5="ON",CN57,MyRating(_B1G5,$B57,Barrier!$L$2))</f>
        <v>0</v>
      </c>
      <c r="BO57" s="3">
        <f>IF($C$5="ON",CO57,MyRating(_B2,$B57,Barrier!$F$2))</f>
        <v>0</v>
      </c>
      <c r="BP57" s="6">
        <f>IF($C$5="ON",CP57,MyRating(_B3,$B57,Barrier!$F$2))</f>
        <v>0</v>
      </c>
      <c r="BQ57" s="5">
        <f t="shared" si="12"/>
        <v>0</v>
      </c>
      <c r="BR57" s="8">
        <f t="shared" si="13"/>
        <v>0</v>
      </c>
      <c r="BS57" s="5">
        <f t="shared" si="14"/>
        <v>0</v>
      </c>
      <c r="BT57" s="7">
        <f t="shared" si="15"/>
        <v>0</v>
      </c>
      <c r="BU57" s="4">
        <v>0</v>
      </c>
      <c r="BV57" s="3">
        <v>0</v>
      </c>
      <c r="BW57" s="3">
        <v>0</v>
      </c>
      <c r="BX57" s="3">
        <v>0</v>
      </c>
      <c r="BY57" s="3">
        <v>0</v>
      </c>
      <c r="BZ57" s="3">
        <v>0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6">
        <v>0</v>
      </c>
      <c r="CQ57" s="5">
        <v>0</v>
      </c>
      <c r="CR57" s="61"/>
    </row>
    <row r="58" spans="1:96" x14ac:dyDescent="0.35">
      <c r="A58" s="9" t="str">
        <f t="shared" si="10"/>
        <v>IT</v>
      </c>
      <c r="B58" s="9" t="s">
        <v>188</v>
      </c>
      <c r="C58" s="20" t="s">
        <v>3</v>
      </c>
      <c r="D58" s="9" t="s">
        <v>2</v>
      </c>
      <c r="E58" s="9"/>
      <c r="F58" s="9" t="s">
        <v>1</v>
      </c>
      <c r="G58" s="19">
        <v>0</v>
      </c>
      <c r="H58" s="9">
        <v>2014</v>
      </c>
      <c r="I58" s="9">
        <v>6</v>
      </c>
      <c r="J58" s="18">
        <f>INDEX(PTRS!$D$6:$D$12,MATCH('6'!$F58,PTRS!$B$6:$B$12,0))</f>
        <v>0.1044225</v>
      </c>
      <c r="K58" s="17">
        <v>0</v>
      </c>
      <c r="L58" s="17">
        <v>0.1044225</v>
      </c>
      <c r="M58" s="17">
        <v>0</v>
      </c>
      <c r="N58" s="17">
        <v>0.1044225</v>
      </c>
      <c r="O58" s="17">
        <v>0.1044225</v>
      </c>
      <c r="P58" s="17">
        <v>0.1044225</v>
      </c>
      <c r="Q58" s="17">
        <v>0.1044225</v>
      </c>
      <c r="R58" s="17">
        <v>0.1044225</v>
      </c>
      <c r="S58" s="17">
        <v>1</v>
      </c>
      <c r="T58" s="17"/>
      <c r="U58" s="17">
        <f t="shared" si="16"/>
        <v>0</v>
      </c>
      <c r="V58" s="17">
        <v>1</v>
      </c>
      <c r="W58" s="9" t="s">
        <v>0</v>
      </c>
      <c r="X58" s="9">
        <f>INDEX('Unique Asset List'!$C$4:$I$60,MATCH('6'!$B58,'Unique Asset List'!$A$4:$A$60,0),MATCH('6'!$C$1,'Unique Asset List'!$C$3:$I$3,0))</f>
        <v>2052</v>
      </c>
      <c r="Y58" s="9">
        <f>INDEX('Unique Asset List'!$J$4:$P$60,MATCH('6'!$B58,'Unique Asset List'!$A$4:$A$60,0),MATCH('6'!$C$1,'Unique Asset List'!$J$3:$P$3,0))</f>
        <v>7.000000000001819</v>
      </c>
      <c r="Z58" s="9">
        <f>INDEX('Unique Asset List'!$X$4:$AD$60,MATCH('6'!$B58,'Unique Asset List'!$A$4:$A$60,0),MATCH('6'!$C$1,'Unique Asset List'!$X$3:$AD$3,0))</f>
        <v>2060</v>
      </c>
      <c r="AA58" s="9">
        <f>INDEX('Unique Asset List'!$AE$4:$AK$60,MATCH('6'!$B58,'Unique Asset List'!$A$4:$A$60,0),MATCH('6'!$C$1,'Unique Asset List'!$AE$3:$AK$3,0))</f>
        <v>6</v>
      </c>
      <c r="AB58" s="16">
        <f t="shared" si="17"/>
        <v>0</v>
      </c>
      <c r="AC58" s="16">
        <f t="shared" si="18"/>
        <v>0</v>
      </c>
      <c r="AD58" s="16">
        <f t="shared" si="19"/>
        <v>0</v>
      </c>
      <c r="AE58" s="15">
        <f>INDEX('Unique Asset List'!$BN$4:$BT$60,MATCH('6'!$B58,'Unique Asset List'!$A$4:$A$60,0),MATCH('6'!$C$1,'Unique Asset List'!$BN$3:$BT$3,0))</f>
        <v>0.18</v>
      </c>
      <c r="AF58" s="15">
        <f>INDEX('Unique Asset List'!$BU$4:$CA$60,MATCH('6'!$B58,'Unique Asset List'!$A$4:$A$60,0),MATCH('6'!$C$1,'Unique Asset List'!$BU$3:$CA$3,0))</f>
        <v>0.32</v>
      </c>
      <c r="AG58" s="15">
        <f>INDEX('Unique Asset List'!$AZ$4:$BF$60,MATCH('6'!$B58,'Unique Asset List'!$A$4:$A$60,0),MATCH('6'!$C$1,'Unique Asset List'!$AZ$3:$BF$3,0))</f>
        <v>0.18</v>
      </c>
      <c r="AH58" s="15">
        <f>INDEX('Unique Asset List'!$BG$4:$BM$60,MATCH('6'!$B58,'Unique Asset List'!$A$4:$A$60,0),MATCH('6'!$C$1,'Unique Asset List'!$BG$3:$BM$3,0))</f>
        <v>0.32</v>
      </c>
      <c r="AI58" s="11">
        <v>0.96187963349867744</v>
      </c>
      <c r="AJ58" s="15">
        <f>INDEX('Unique Asset List'!$AL$4:$AR$60,MATCH('6'!$B58,'Unique Asset List'!$A$4:$A$60,0),MATCH('6'!$C$1,'Unique Asset List'!$AL$3:$AR$3,0))</f>
        <v>0.32314284341629806</v>
      </c>
      <c r="AK58" s="15">
        <f>INDEX('Unique Asset List'!$AS$4:$AY$60,MATCH('6'!$B58,'Unique Asset List'!$A$4:$A$60,0),MATCH('6'!$C$1,'Unique Asset List'!$AS$3:$AY$3,0))</f>
        <v>0.61768216477991222</v>
      </c>
      <c r="AL58" s="9">
        <v>169</v>
      </c>
      <c r="AM58" s="14">
        <f>INDEX(Simulation!$B$6:$H$6,MATCH($A58,Simulation!$B$1:$H$1,0))*(1+AN58)^((DATE(X58,Y58,15)-DATE(2017,1,15))/365.5)</f>
        <v>3.5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11"/>
        <v>0.82</v>
      </c>
      <c r="AS58" s="10">
        <v>1</v>
      </c>
      <c r="AT58" s="10"/>
      <c r="AU58" s="4">
        <f>IF($C$5="ON",BU58,MyRating(_E1,$B58,Efficacy!$F$1))</f>
        <v>0</v>
      </c>
      <c r="AV58" s="3">
        <f>IF($C$5="ON",BV58,MyRating(_E2,$B58,Efficacy!$F$1))</f>
        <v>0</v>
      </c>
      <c r="AW58" s="3">
        <f>IF($C$5="ON",BW58,MyRating(_E3,$B58,Efficacy!$F$1))</f>
        <v>0</v>
      </c>
      <c r="AX58" s="3">
        <f>IF($C$5="ON",BX58,MyRating(_E4,$B58,Efficacy!$F$1))</f>
        <v>0</v>
      </c>
      <c r="AY58" s="3">
        <f>IF($C$5="ON",BY58,MyRating(_E5,$B58,Efficacy!$F$1))</f>
        <v>0</v>
      </c>
      <c r="AZ58" s="3">
        <f>IF($C$5="ON",BZ58,MyRating(_E6,$B58,Efficacy!$F$1))</f>
        <v>0</v>
      </c>
      <c r="BA58" s="3">
        <f>IF($C$5="ON",CA58,MyRating(_E7,$B58,Efficacy!$F$1))</f>
        <v>0</v>
      </c>
      <c r="BB58" s="3">
        <f>IF($C$5="ON",CB58,MyRating(_E8,$B58,Efficacy!$F$1))</f>
        <v>0</v>
      </c>
      <c r="BC58" s="3">
        <f>IF($C$5="ON",CC58,MyRating(_S1,$B58,Efficacy!$F$1))</f>
        <v>0</v>
      </c>
      <c r="BD58" s="3">
        <f>IF($C$5="ON",CD58,MyRating(_S2,$B58,Efficacy!$F$1))</f>
        <v>0</v>
      </c>
      <c r="BE58" s="3">
        <f>IF($C$5="ON",CE58,MyRating(_S3,$B58,Efficacy!$F$1))</f>
        <v>0</v>
      </c>
      <c r="BF58" s="3">
        <f>IF($C$5="ON",CF58,MyRating(_S4,$B58,Efficacy!$F$1))</f>
        <v>0</v>
      </c>
      <c r="BG58" s="3">
        <f>IF($C$5="ON",CG58,MyRating(_S5,$B58,Efficacy!$F$1))</f>
        <v>0</v>
      </c>
      <c r="BH58" s="3">
        <f>IF($C$5="ON",CH58,MyRating(_S6,$B58,Efficacy!$F$1))</f>
        <v>0</v>
      </c>
      <c r="BI58" s="3">
        <f>IF($C$5="ON",CI58,MyRating(_S7,$B58,Efficacy!$F$1))</f>
        <v>0</v>
      </c>
      <c r="BJ58" s="3">
        <f>IF($C$5="ON",CJ58,MyRating(_D1,$B58,Efficacy!$F$1))</f>
        <v>0</v>
      </c>
      <c r="BK58" s="3">
        <f>IF($C$5="ON",CK58,MyRating(_D2,$B58,Efficacy!$F$1))</f>
        <v>0</v>
      </c>
      <c r="BL58" s="3">
        <f>IF($C$5="ON",CL58,MyRating(_D3,$B58,Efficacy!$F$1))</f>
        <v>0</v>
      </c>
      <c r="BM58" s="3">
        <f>IF($C$5="ON",CM58,MyRating(_D4,$B58,Efficacy!$F$1))</f>
        <v>0</v>
      </c>
      <c r="BN58" s="3">
        <f>IF($C$5="ON",CN58,MyRating(_B1G5,$B58,Barrier!$L$2))</f>
        <v>0</v>
      </c>
      <c r="BO58" s="3">
        <f>IF($C$5="ON",CO58,MyRating(_B2,$B58,Barrier!$F$2))</f>
        <v>0</v>
      </c>
      <c r="BP58" s="6">
        <f>IF($C$5="ON",CP58,MyRating(_B3,$B58,Barrier!$F$2))</f>
        <v>0</v>
      </c>
      <c r="BQ58" s="5">
        <f t="shared" si="12"/>
        <v>0</v>
      </c>
      <c r="BR58" s="8">
        <f t="shared" si="13"/>
        <v>0</v>
      </c>
      <c r="BS58" s="5">
        <f t="shared" si="14"/>
        <v>0</v>
      </c>
      <c r="BT58" s="7">
        <f t="shared" si="15"/>
        <v>0</v>
      </c>
      <c r="BU58" s="4">
        <v>0</v>
      </c>
      <c r="BV58" s="3">
        <v>0</v>
      </c>
      <c r="BW58" s="3">
        <v>0</v>
      </c>
      <c r="BX58" s="3">
        <v>0</v>
      </c>
      <c r="BY58" s="3">
        <v>0</v>
      </c>
      <c r="BZ58" s="3">
        <v>0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6">
        <v>0</v>
      </c>
      <c r="CQ58" s="5">
        <v>0</v>
      </c>
      <c r="CR58" s="61"/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3">
    <dataValidation type="list" allowBlank="1" showInputMessage="1" showErrorMessage="1" sqref="C5" xr:uid="{00000000-0002-0000-0100-000002000000}">
      <formula1>"ON,OFF"</formula1>
    </dataValidation>
    <dataValidation type="list" allowBlank="1" showInputMessage="1" showErrorMessage="1" sqref="C1" xr:uid="{00000000-0002-0000-0100-000001000000}">
      <formula1>"US,FR,DE,ES,IT,UK,JP"</formula1>
    </dataValidation>
    <dataValidation type="list" allowBlank="1" showInputMessage="1" showErrorMessage="1" sqref="J1:S1" xr:uid="{56B7B291-67BC-4620-819C-C5A89EE2B1E3}">
      <formula1>$J$8:$S$8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64331-2BE4-40CC-B7E3-07744C4A95C0}">
  <sheetPr codeName="Sheet4">
    <outlinePr summaryBelow="0" summaryRight="0"/>
  </sheetPr>
  <dimension ref="A1:CQ58"/>
  <sheetViews>
    <sheetView zoomScale="67" zoomScaleNormal="67" workbookViewId="0">
      <selection activeCell="AT58" sqref="A1:AT58"/>
    </sheetView>
  </sheetViews>
  <sheetFormatPr defaultRowHeight="14.5" x14ac:dyDescent="0.35"/>
  <cols>
    <col min="1" max="1" width="6.26953125" bestFit="1" customWidth="1"/>
    <col min="2" max="2" width="25.26953125" bestFit="1" customWidth="1"/>
    <col min="3" max="3" width="4.54296875" bestFit="1" customWidth="1"/>
    <col min="4" max="4" width="11.81640625" bestFit="1" customWidth="1"/>
    <col min="5" max="6" width="9" bestFit="1" customWidth="1"/>
    <col min="7" max="7" width="4.453125" bestFit="1" customWidth="1"/>
    <col min="8" max="8" width="4.54296875" bestFit="1" customWidth="1"/>
    <col min="9" max="9" width="3" bestFit="1" customWidth="1"/>
    <col min="10" max="12" width="4.81640625" bestFit="1" customWidth="1"/>
    <col min="13" max="13" width="5.1796875" bestFit="1" customWidth="1"/>
    <col min="14" max="14" width="4.81640625" bestFit="1" customWidth="1"/>
    <col min="15" max="15" width="5.1796875" bestFit="1" customWidth="1"/>
    <col min="16" max="19" width="4.81640625" bestFit="1" customWidth="1"/>
    <col min="20" max="20" width="21.7265625" bestFit="1" customWidth="1"/>
    <col min="21" max="22" width="4.81640625" bestFit="1" customWidth="1"/>
    <col min="23" max="23" width="9.453125" bestFit="1" customWidth="1"/>
    <col min="24" max="24" width="4.54296875" bestFit="1" customWidth="1"/>
    <col min="25" max="25" width="3" bestFit="1" customWidth="1"/>
    <col min="26" max="26" width="4.54296875" bestFit="1" customWidth="1"/>
    <col min="27" max="27" width="3" bestFit="1" customWidth="1"/>
    <col min="28" max="34" width="4.1796875" bestFit="1" customWidth="1"/>
    <col min="35" max="35" width="4.453125" bestFit="1" customWidth="1"/>
    <col min="36" max="36" width="3.81640625" bestFit="1" customWidth="1"/>
    <col min="37" max="37" width="4.453125" bestFit="1" customWidth="1"/>
    <col min="38" max="38" width="11" style="2" bestFit="1" customWidth="1"/>
    <col min="39" max="39" width="3.7265625" style="2" bestFit="1" customWidth="1"/>
    <col min="40" max="40" width="4.81640625" style="2" bestFit="1" customWidth="1"/>
    <col min="41" max="41" width="3.81640625" style="2" bestFit="1" customWidth="1"/>
    <col min="42" max="42" width="4.453125" bestFit="1" customWidth="1"/>
    <col min="43" max="43" width="4.81640625" style="2" bestFit="1" customWidth="1"/>
    <col min="44" max="45" width="4.453125" bestFit="1" customWidth="1"/>
    <col min="46" max="46" width="4.54296875" customWidth="1"/>
    <col min="47" max="48" width="3.453125" bestFit="1" customWidth="1"/>
    <col min="49" max="49" width="4.453125" bestFit="1" customWidth="1"/>
    <col min="50" max="66" width="3.453125" bestFit="1" customWidth="1"/>
    <col min="67" max="68" width="4.453125" bestFit="1" customWidth="1"/>
    <col min="69" max="69" width="5.1796875" style="1" bestFit="1" customWidth="1"/>
    <col min="70" max="70" width="4.1796875" style="1" bestFit="1" customWidth="1"/>
    <col min="71" max="71" width="4.81640625" style="1" bestFit="1" customWidth="1"/>
    <col min="72" max="72" width="4.54296875" style="1" bestFit="1" customWidth="1"/>
    <col min="73" max="74" width="3.453125" bestFit="1" customWidth="1"/>
    <col min="75" max="75" width="4.453125" bestFit="1" customWidth="1"/>
    <col min="76" max="92" width="3.453125" bestFit="1" customWidth="1"/>
    <col min="93" max="94" width="4.453125" bestFit="1" customWidth="1"/>
    <col min="95" max="95" width="5.1796875" style="1" bestFit="1" customWidth="1"/>
  </cols>
  <sheetData>
    <row r="1" spans="1:95" x14ac:dyDescent="0.35">
      <c r="A1" s="177" t="s">
        <v>187</v>
      </c>
      <c r="B1" s="179"/>
      <c r="C1" s="58" t="s">
        <v>181</v>
      </c>
      <c r="D1" s="57"/>
      <c r="E1" s="57"/>
      <c r="F1" s="177" t="s">
        <v>186</v>
      </c>
      <c r="G1" s="178"/>
      <c r="H1" s="178"/>
      <c r="I1" s="178"/>
      <c r="J1" s="180" t="s">
        <v>202</v>
      </c>
      <c r="K1" s="181"/>
      <c r="L1" s="181"/>
      <c r="M1" s="181"/>
      <c r="N1" s="181"/>
      <c r="O1" s="181"/>
      <c r="P1" s="181"/>
      <c r="Q1" s="181"/>
      <c r="R1" s="181"/>
      <c r="S1" s="182"/>
      <c r="T1" s="177" t="s">
        <v>185</v>
      </c>
      <c r="U1" s="178"/>
      <c r="V1" s="178"/>
      <c r="W1" s="179"/>
      <c r="X1" s="49">
        <v>3</v>
      </c>
      <c r="AL1"/>
      <c r="AM1"/>
      <c r="AN1"/>
      <c r="AO1"/>
      <c r="AQ1"/>
      <c r="BR1" s="37"/>
    </row>
    <row r="2" spans="1:95" x14ac:dyDescent="0.35">
      <c r="B2" t="s">
        <v>178</v>
      </c>
      <c r="C2" s="50">
        <v>3</v>
      </c>
      <c r="T2" s="177" t="s">
        <v>174</v>
      </c>
      <c r="U2" s="178"/>
      <c r="V2" s="178"/>
      <c r="W2" s="179"/>
      <c r="X2" s="49">
        <v>0.2</v>
      </c>
      <c r="AL2"/>
      <c r="AM2"/>
      <c r="AN2"/>
      <c r="AO2"/>
      <c r="AQ2"/>
      <c r="BR2" s="37"/>
    </row>
    <row r="3" spans="1:95" x14ac:dyDescent="0.35">
      <c r="B3" t="s">
        <v>172</v>
      </c>
      <c r="C3" s="50">
        <v>2</v>
      </c>
      <c r="T3" s="177" t="s">
        <v>171</v>
      </c>
      <c r="U3" s="178"/>
      <c r="V3" s="178"/>
      <c r="W3" s="179"/>
      <c r="X3" s="49">
        <v>-0.5</v>
      </c>
      <c r="AL3"/>
      <c r="AM3"/>
      <c r="AN3"/>
      <c r="AO3"/>
      <c r="AQ3"/>
      <c r="BR3" s="37"/>
    </row>
    <row r="4" spans="1:95" x14ac:dyDescent="0.35">
      <c r="B4" t="s">
        <v>169</v>
      </c>
      <c r="C4" s="47">
        <v>0.01</v>
      </c>
      <c r="T4" s="177" t="s">
        <v>168</v>
      </c>
      <c r="U4" s="178"/>
      <c r="V4" s="178"/>
      <c r="W4" s="179"/>
      <c r="X4" s="49">
        <v>1.2</v>
      </c>
      <c r="AL4"/>
      <c r="AM4"/>
      <c r="AN4"/>
      <c r="AO4"/>
      <c r="AQ4"/>
      <c r="BR4" s="37"/>
    </row>
    <row r="5" spans="1:95" x14ac:dyDescent="0.35">
      <c r="B5" t="s">
        <v>207</v>
      </c>
      <c r="C5" s="47" t="s">
        <v>165</v>
      </c>
      <c r="D5" s="46"/>
      <c r="U5" s="45"/>
      <c r="V5" s="44"/>
      <c r="AL5"/>
      <c r="AM5"/>
      <c r="AN5"/>
      <c r="AO5"/>
      <c r="AQ5"/>
      <c r="BR5" s="37"/>
    </row>
    <row r="6" spans="1:95" x14ac:dyDescent="0.35">
      <c r="AL6"/>
      <c r="AM6"/>
      <c r="AN6"/>
      <c r="AO6"/>
      <c r="AQ6"/>
      <c r="BR6" s="37"/>
    </row>
    <row r="7" spans="1:95" x14ac:dyDescent="0.35">
      <c r="AL7"/>
      <c r="AM7"/>
      <c r="AN7"/>
      <c r="AO7"/>
      <c r="AQ7"/>
      <c r="AU7" s="29">
        <f>IF($C$5="ON",BU7,INDEX(Conjoint!$F$9:$F$33,MATCH(AU8,Conjoint!$B$9:$B$33,0)))</f>
        <v>8.4581000000000003E-2</v>
      </c>
      <c r="AV7" s="29">
        <f>IF($C$5="ON",BV7,INDEX(Conjoint!$F$9:$F$33,MATCH(AV8,Conjoint!$B$9:$B$33,0)))</f>
        <v>8.0703200000000017E-2</v>
      </c>
      <c r="AW7" s="29">
        <f>IF($C$5="ON",BW7,INDEX(Conjoint!$F$9:$F$33,MATCH(AW8,Conjoint!$B$9:$B$33,0)))</f>
        <v>9.5090400000000005E-2</v>
      </c>
      <c r="AX7" s="29">
        <f>IF($C$5="ON",BX7,INDEX(Conjoint!$F$9:$F$33,MATCH(AX8,Conjoint!$B$9:$B$33,0)))</f>
        <v>8.2614000000000007E-2</v>
      </c>
      <c r="AY7" s="29">
        <f>IF($C$5="ON",BY7,INDEX(Conjoint!$F$9:$F$33,MATCH(AY8,Conjoint!$B$9:$B$33,0)))</f>
        <v>6.1089400000000009E-2</v>
      </c>
      <c r="AZ7" s="29">
        <f>IF($C$5="ON",BZ7,INDEX(Conjoint!$F$9:$F$33,MATCH(AZ8,Conjoint!$B$9:$B$33,0)))</f>
        <v>5.8054600000000005E-2</v>
      </c>
      <c r="BA7" s="29">
        <f>IF($C$5="ON",CA7,INDEX(Conjoint!$F$9:$F$33,MATCH(BA8,Conjoint!$B$9:$B$33,0)))</f>
        <v>3.8047400000000002E-2</v>
      </c>
      <c r="BB7" s="29">
        <f>IF($C$5="ON",CB7,INDEX(Conjoint!$F$9:$F$33,MATCH(BB8,Conjoint!$B$9:$B$33,0)))</f>
        <v>6.1820000000000007E-2</v>
      </c>
      <c r="BC7" s="29">
        <f>IF($C$5="ON",CC7,INDEX(Conjoint!$F$9:$F$33,MATCH(BC8,Conjoint!$B$9:$B$33,0)))</f>
        <v>6.1469900000000001E-2</v>
      </c>
      <c r="BD7" s="29">
        <f>IF($C$5="ON",CD7,INDEX(Conjoint!$F$9:$F$33,MATCH(BD8,Conjoint!$B$9:$B$33,0)))</f>
        <v>2.4572900000000002E-2</v>
      </c>
      <c r="BE7" s="29">
        <f>IF($C$5="ON",CE7,INDEX(Conjoint!$F$9:$F$33,MATCH(BE8,Conjoint!$B$9:$B$33,0)))</f>
        <v>3.06471E-2</v>
      </c>
      <c r="BF7" s="29">
        <f>IF($C$5="ON",CF7,INDEX(Conjoint!$F$9:$F$33,MATCH(BF8,Conjoint!$B$9:$B$33,0)))</f>
        <v>3.4964300000000004E-2</v>
      </c>
      <c r="BG7" s="29">
        <f>IF($C$5="ON",CG7,INDEX(Conjoint!$F$9:$F$33,MATCH(BG8,Conjoint!$B$9:$B$33,0)))</f>
        <v>4.6008299999999995E-2</v>
      </c>
      <c r="BH7" s="29">
        <f>IF($C$5="ON",CH7,INDEX(Conjoint!$F$9:$F$33,MATCH(BH8,Conjoint!$B$9:$B$33,0)))</f>
        <v>2.14354E-2</v>
      </c>
      <c r="BI7" s="29">
        <f>IF($C$5="ON",CI7,INDEX(Conjoint!$F$9:$F$33,MATCH(BI8,Conjoint!$B$9:$B$33,0)))</f>
        <v>3.1877000000000003E-2</v>
      </c>
      <c r="BJ7" s="29">
        <f>IF($C$5="ON",CJ7,INDEX(Conjoint!$F$9:$F$33,MATCH(BJ8,Conjoint!$B$9:$B$33,0)))</f>
        <v>5.9704054739999991E-2</v>
      </c>
      <c r="BK7" s="29">
        <f>IF($C$5="ON",CK7,INDEX(Conjoint!$F$9:$F$33,MATCH(BK8,Conjoint!$B$9:$B$33,0)))</f>
        <v>4.0027204139999994E-2</v>
      </c>
      <c r="BL7" s="29">
        <f>IF($C$5="ON",CL7,INDEX(Conjoint!$F$9:$F$33,MATCH(BL8,Conjoint!$B$9:$B$33,0)))</f>
        <v>3.2328141120000001E-2</v>
      </c>
      <c r="BM7" s="29">
        <f>IF($C$5="ON",CM7,INDEX(Conjoint!$F$9:$F$33,MATCH(BM8,Conjoint!$B$9:$B$33,0)))</f>
        <v>5.4940599999999999E-2</v>
      </c>
      <c r="BN7" s="29">
        <f>IF($C$5="ON",CN7,INDEX(Conjoint!$F$9:$F$37,MATCH(BN8,Conjoint!$B$9:$B$37,0)))</f>
        <v>0.05</v>
      </c>
      <c r="BO7" s="29">
        <f>IF($C$5="ON",CO7,INDEX(Conjoint!$F$9:$F$37,MATCH(BO8,Conjoint!$B$9:$B$37,0)))</f>
        <v>0.47499999999999998</v>
      </c>
      <c r="BP7" s="29">
        <f>IF($C$5="ON",CP7,INDEX(Conjoint!$F$9:$F$37,MATCH(BP8,Conjoint!$B$9:$B$37,0)))</f>
        <v>0.47499999999999998</v>
      </c>
      <c r="BQ7" s="33">
        <f>MAX(BQ9:BQ58)</f>
        <v>4.9932578149053504E-2</v>
      </c>
      <c r="BR7" s="36">
        <f>SUM(BR9:BR58)</f>
        <v>81.850000000000037</v>
      </c>
      <c r="BS7" s="35"/>
      <c r="BT7" s="34">
        <f>SUM(BT9:BT58)</f>
        <v>0.51114776305424126</v>
      </c>
      <c r="BU7" s="29">
        <v>8.4581000000000003E-2</v>
      </c>
      <c r="BV7" s="29">
        <v>8.0703200000000017E-2</v>
      </c>
      <c r="BW7" s="29">
        <v>9.5090400000000005E-2</v>
      </c>
      <c r="BX7" s="29">
        <v>8.2614000000000007E-2</v>
      </c>
      <c r="BY7" s="29">
        <v>6.1089400000000009E-2</v>
      </c>
      <c r="BZ7" s="29">
        <v>5.8054600000000005E-2</v>
      </c>
      <c r="CA7" s="29">
        <v>3.8047400000000002E-2</v>
      </c>
      <c r="CB7" s="29">
        <v>6.1820000000000007E-2</v>
      </c>
      <c r="CC7" s="29">
        <v>6.1469900000000001E-2</v>
      </c>
      <c r="CD7" s="29">
        <v>2.4572900000000002E-2</v>
      </c>
      <c r="CE7" s="29">
        <v>3.06471E-2</v>
      </c>
      <c r="CF7" s="29">
        <v>3.4964300000000004E-2</v>
      </c>
      <c r="CG7" s="29">
        <v>4.6008299999999995E-2</v>
      </c>
      <c r="CH7" s="29">
        <v>2.14354E-2</v>
      </c>
      <c r="CI7" s="29">
        <v>3.1877000000000003E-2</v>
      </c>
      <c r="CJ7" s="29">
        <v>5.9704054739999991E-2</v>
      </c>
      <c r="CK7" s="29">
        <v>4.0027204139999994E-2</v>
      </c>
      <c r="CL7" s="29">
        <v>3.2328141120000001E-2</v>
      </c>
      <c r="CM7" s="29">
        <v>5.4940599999999999E-2</v>
      </c>
      <c r="CN7" s="29">
        <v>0.05</v>
      </c>
      <c r="CO7" s="29">
        <v>0.47499999999999998</v>
      </c>
      <c r="CP7" s="28">
        <v>0.47499999999999998</v>
      </c>
      <c r="CQ7" s="33">
        <v>5.3883834849545127E-2</v>
      </c>
    </row>
    <row r="8" spans="1:95" ht="104.25" customHeight="1" x14ac:dyDescent="0.35">
      <c r="A8" s="30" t="s">
        <v>162</v>
      </c>
      <c r="B8" s="30" t="s">
        <v>161</v>
      </c>
      <c r="C8" s="31" t="s">
        <v>160</v>
      </c>
      <c r="D8" s="31" t="s">
        <v>159</v>
      </c>
      <c r="E8" s="31" t="s">
        <v>158</v>
      </c>
      <c r="F8" s="31" t="s">
        <v>157</v>
      </c>
      <c r="G8" s="31" t="s">
        <v>156</v>
      </c>
      <c r="H8" s="31" t="s">
        <v>155</v>
      </c>
      <c r="I8" s="31" t="s">
        <v>154</v>
      </c>
      <c r="J8" s="32" t="s">
        <v>206</v>
      </c>
      <c r="K8" s="32" t="s">
        <v>205</v>
      </c>
      <c r="L8" s="32" t="s">
        <v>153</v>
      </c>
      <c r="M8" s="32" t="s">
        <v>204</v>
      </c>
      <c r="N8" s="32" t="s">
        <v>203</v>
      </c>
      <c r="O8" s="32" t="s">
        <v>202</v>
      </c>
      <c r="P8" s="32" t="s">
        <v>201</v>
      </c>
      <c r="Q8" s="32" t="s">
        <v>200</v>
      </c>
      <c r="R8" s="32" t="s">
        <v>152</v>
      </c>
      <c r="S8" s="32" t="s">
        <v>151</v>
      </c>
      <c r="T8" s="31" t="s">
        <v>150</v>
      </c>
      <c r="U8" s="31" t="s">
        <v>199</v>
      </c>
      <c r="V8" s="31" t="s">
        <v>198</v>
      </c>
      <c r="W8" s="31" t="s">
        <v>149</v>
      </c>
      <c r="X8" s="31" t="s">
        <v>148</v>
      </c>
      <c r="Y8" s="31" t="s">
        <v>147</v>
      </c>
      <c r="Z8" s="31" t="s">
        <v>146</v>
      </c>
      <c r="AA8" s="31" t="s">
        <v>145</v>
      </c>
      <c r="AB8" s="31" t="s">
        <v>144</v>
      </c>
      <c r="AC8" s="31" t="s">
        <v>143</v>
      </c>
      <c r="AD8" s="31" t="s">
        <v>142</v>
      </c>
      <c r="AE8" s="31" t="s">
        <v>141</v>
      </c>
      <c r="AF8" s="31" t="s">
        <v>140</v>
      </c>
      <c r="AG8" s="31" t="s">
        <v>139</v>
      </c>
      <c r="AH8" s="31" t="s">
        <v>138</v>
      </c>
      <c r="AI8" s="31" t="s">
        <v>137</v>
      </c>
      <c r="AJ8" s="31" t="s">
        <v>136</v>
      </c>
      <c r="AK8" s="31" t="s">
        <v>135</v>
      </c>
      <c r="AL8" s="31" t="s">
        <v>134</v>
      </c>
      <c r="AM8" s="31" t="s">
        <v>133</v>
      </c>
      <c r="AN8" s="31" t="s">
        <v>132</v>
      </c>
      <c r="AO8" s="31" t="s">
        <v>131</v>
      </c>
      <c r="AP8" s="31" t="s">
        <v>130</v>
      </c>
      <c r="AQ8" s="31" t="s">
        <v>129</v>
      </c>
      <c r="AR8" s="31" t="s">
        <v>128</v>
      </c>
      <c r="AS8" s="31" t="s">
        <v>127</v>
      </c>
      <c r="AT8" s="31"/>
      <c r="AU8" s="26" t="s">
        <v>119</v>
      </c>
      <c r="AV8" s="25" t="s">
        <v>118</v>
      </c>
      <c r="AW8" s="25" t="s">
        <v>117</v>
      </c>
      <c r="AX8" s="25" t="s">
        <v>116</v>
      </c>
      <c r="AY8" s="25" t="s">
        <v>115</v>
      </c>
      <c r="AZ8" s="25" t="s">
        <v>114</v>
      </c>
      <c r="BA8" s="25" t="s">
        <v>113</v>
      </c>
      <c r="BB8" s="25" t="s">
        <v>112</v>
      </c>
      <c r="BC8" s="25" t="s">
        <v>111</v>
      </c>
      <c r="BD8" s="25" t="s">
        <v>110</v>
      </c>
      <c r="BE8" s="25" t="s">
        <v>109</v>
      </c>
      <c r="BF8" s="25" t="s">
        <v>108</v>
      </c>
      <c r="BG8" s="25" t="s">
        <v>107</v>
      </c>
      <c r="BH8" s="25" t="s">
        <v>106</v>
      </c>
      <c r="BI8" s="25" t="s">
        <v>105</v>
      </c>
      <c r="BJ8" s="25" t="s">
        <v>104</v>
      </c>
      <c r="BK8" s="25" t="s">
        <v>103</v>
      </c>
      <c r="BL8" s="25" t="s">
        <v>102</v>
      </c>
      <c r="BM8" s="25" t="s">
        <v>101</v>
      </c>
      <c r="BN8" s="29" t="s">
        <v>123</v>
      </c>
      <c r="BO8" s="29" t="s">
        <v>122</v>
      </c>
      <c r="BP8" s="28" t="s">
        <v>121</v>
      </c>
      <c r="BQ8" s="27" t="s">
        <v>120</v>
      </c>
      <c r="BR8" s="27" t="s">
        <v>126</v>
      </c>
      <c r="BS8" s="27" t="s">
        <v>125</v>
      </c>
      <c r="BT8" s="27" t="s">
        <v>124</v>
      </c>
      <c r="BU8" s="26" t="s">
        <v>119</v>
      </c>
      <c r="BV8" s="25" t="s">
        <v>118</v>
      </c>
      <c r="BW8" s="25" t="s">
        <v>117</v>
      </c>
      <c r="BX8" s="25" t="s">
        <v>116</v>
      </c>
      <c r="BY8" s="25" t="s">
        <v>115</v>
      </c>
      <c r="BZ8" s="25" t="s">
        <v>114</v>
      </c>
      <c r="CA8" s="25" t="s">
        <v>113</v>
      </c>
      <c r="CB8" s="25" t="s">
        <v>112</v>
      </c>
      <c r="CC8" s="25" t="s">
        <v>111</v>
      </c>
      <c r="CD8" s="25" t="s">
        <v>110</v>
      </c>
      <c r="CE8" s="25" t="s">
        <v>109</v>
      </c>
      <c r="CF8" s="25" t="s">
        <v>108</v>
      </c>
      <c r="CG8" s="25" t="s">
        <v>107</v>
      </c>
      <c r="CH8" s="25" t="s">
        <v>106</v>
      </c>
      <c r="CI8" s="25" t="s">
        <v>105</v>
      </c>
      <c r="CJ8" s="25" t="s">
        <v>104</v>
      </c>
      <c r="CK8" s="25" t="s">
        <v>103</v>
      </c>
      <c r="CL8" s="25" t="s">
        <v>102</v>
      </c>
      <c r="CM8" s="25" t="s">
        <v>101</v>
      </c>
      <c r="CN8" s="29" t="s">
        <v>123</v>
      </c>
      <c r="CO8" s="29" t="s">
        <v>122</v>
      </c>
      <c r="CP8" s="28" t="s">
        <v>121</v>
      </c>
      <c r="CQ8" s="27" t="s">
        <v>120</v>
      </c>
    </row>
    <row r="9" spans="1:95" x14ac:dyDescent="0.35">
      <c r="A9" s="9" t="str">
        <f t="shared" ref="A9:A40" si="0">$C$1</f>
        <v>ES</v>
      </c>
      <c r="B9" s="9" t="s">
        <v>49</v>
      </c>
      <c r="C9" s="20"/>
      <c r="D9" s="9" t="s">
        <v>48</v>
      </c>
      <c r="E9" s="9" t="s">
        <v>193</v>
      </c>
      <c r="F9" s="9" t="s">
        <v>47</v>
      </c>
      <c r="G9" s="59">
        <v>0.22</v>
      </c>
      <c r="H9" s="9">
        <v>2014</v>
      </c>
      <c r="I9" s="9">
        <v>6</v>
      </c>
      <c r="J9" s="18">
        <f>INDEX(PTRS!$D$6:$D$12,MATCH('5'!$F9,PTRS!$B$6:$B$12,0))</f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36" si="1">BQ9/$BQ$7</f>
        <v>0.74129766176673451</v>
      </c>
      <c r="V9" s="17">
        <v>1</v>
      </c>
      <c r="W9" s="9" t="s">
        <v>46</v>
      </c>
      <c r="X9" s="9">
        <f>INDEX('Unique Asset List'!$C$4:$I$60,MATCH('5'!$B9,'Unique Asset List'!$A$4:$A$60,0),MATCH('5'!$C$1,'Unique Asset List'!$C$3:$I$3,0))</f>
        <v>1984</v>
      </c>
      <c r="Y9" s="9">
        <f>INDEX('Unique Asset List'!$J$4:$P$60,MATCH('5'!$B9,'Unique Asset List'!$A$4:$A$60,0),MATCH('5'!$C$1,'Unique Asset List'!$J$3:$P$3,0))</f>
        <v>7</v>
      </c>
      <c r="Z9" s="9">
        <f>INDEX('Unique Asset List'!$X$4:$AD$60,MATCH('5'!$B9,'Unique Asset List'!$A$4:$A$60,0),MATCH('5'!$C$1,'Unique Asset List'!$X$3:$AD$3,0))</f>
        <v>1994</v>
      </c>
      <c r="AA9" s="9">
        <f>INDEX('Unique Asset List'!$AE$4:$AK$60,MATCH('5'!$B9,'Unique Asset List'!$A$4:$A$60,0),MATCH('5'!$C$1,'Unique Asset List'!$AE$3:$AK$3,0))</f>
        <v>7</v>
      </c>
      <c r="AB9" s="16">
        <f t="shared" ref="AB9:AB36" si="2">SUMPRODUCT($AU9:$BB9,$AU$7:$BB$7)</f>
        <v>1.4218038</v>
      </c>
      <c r="AC9" s="16">
        <f t="shared" ref="AC9:AC36" si="3">SUMPRODUCT($BC9:$BI9,$BC$7:$BI$7)</f>
        <v>0.72835179999999999</v>
      </c>
      <c r="AD9" s="16">
        <f t="shared" ref="AD9:AD36" si="4">SUMPRODUCT($BJ9:$BM9,$BJ$7:$BM$7)</f>
        <v>0.56099999999999994</v>
      </c>
      <c r="AE9" s="15">
        <f>INDEX('Unique Asset List'!$BN$4:$BT$60,MATCH('5'!$B9,'Unique Asset List'!$A$4:$A$60,0),MATCH('5'!$C$1,'Unique Asset List'!$BN$3:$BT$3,0))</f>
        <v>0.08</v>
      </c>
      <c r="AF9" s="15">
        <f>INDEX('Unique Asset List'!$BU$4:$CA$60,MATCH('5'!$B9,'Unique Asset List'!$A$4:$A$60,0),MATCH('5'!$C$1,'Unique Asset List'!$BU$3:$CA$3,0))</f>
        <v>0.42</v>
      </c>
      <c r="AG9" s="15">
        <f>INDEX('Unique Asset List'!$AZ$4:$BF$60,MATCH('5'!$B9,'Unique Asset List'!$A$4:$A$60,0),MATCH('5'!$C$1,'Unique Asset List'!$AZ$3:$BF$3,0))</f>
        <v>0.08</v>
      </c>
      <c r="AH9" s="15">
        <f>INDEX('Unique Asset List'!$BG$4:$BM$60,MATCH('5'!$B9,'Unique Asset List'!$A$4:$A$60,0),MATCH('5'!$C$1,'Unique Asset List'!$BG$3:$BM$3,0))</f>
        <v>0.42</v>
      </c>
      <c r="AI9" s="11">
        <v>0.96187963349867744</v>
      </c>
      <c r="AJ9" s="15">
        <f>INDEX('Unique Asset List'!$AL$4:$AR$60,MATCH('5'!$B9,'Unique Asset List'!$A$4:$A$60,0),MATCH('5'!$C$1,'Unique Asset List'!$AL$3:$AR$3,0))</f>
        <v>1.2944496352201866</v>
      </c>
      <c r="AK9" s="15">
        <f>INDEX('Unique Asset List'!$AS$4:$AY$60,MATCH('5'!$B9,'Unique Asset List'!$A$4:$A$60,0),MATCH('5'!$C$1,'Unique Asset List'!$AS$3:$AY$3,0))</f>
        <v>-1.4425350046709582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40" si="5">AP9</f>
        <v>0.82</v>
      </c>
      <c r="AS9" s="10">
        <v>1</v>
      </c>
      <c r="AT9" s="10"/>
      <c r="AU9" s="4">
        <f>IF($C$5="ON",BU9,MyRating(_E1,$B9,Efficacy!$F$1))</f>
        <v>2</v>
      </c>
      <c r="AV9" s="3">
        <f>IF($C$5="ON",BV9,MyRating(_E2,$B9,Efficacy!$F$1))</f>
        <v>2</v>
      </c>
      <c r="AW9" s="3">
        <f>IF($C$5="ON",BW9,MyRating(_E3,$B9,Efficacy!$F$1))</f>
        <v>2</v>
      </c>
      <c r="AX9" s="3">
        <f>IF($C$5="ON",BX9,MyRating(_E4,$B9,Efficacy!$F$1))</f>
        <v>2</v>
      </c>
      <c r="AY9" s="3">
        <f>IF($C$5="ON",BY9,MyRating(_E5,$B9,Efficacy!$F$1))</f>
        <v>2</v>
      </c>
      <c r="AZ9" s="3">
        <f>IF($C$5="ON",BZ9,MyRating(_E6,$B9,Efficacy!$F$1))</f>
        <v>5</v>
      </c>
      <c r="BA9" s="3">
        <f>IF($C$5="ON",CA9,MyRating(_E7,$B9,Efficacy!$F$1))</f>
        <v>2</v>
      </c>
      <c r="BB9" s="3">
        <f>IF($C$5="ON",CB9,MyRating(_E8,$B9,Efficacy!$F$1))</f>
        <v>4</v>
      </c>
      <c r="BC9" s="3">
        <f>IF($C$5="ON",CC9,MyRating(_S1,$B9,Efficacy!$F$1))</f>
        <v>3</v>
      </c>
      <c r="BD9" s="3">
        <f>IF($C$5="ON",CD9,MyRating(_S2,$B9,Efficacy!$F$1))</f>
        <v>2</v>
      </c>
      <c r="BE9" s="3">
        <f>IF($C$5="ON",CE9,MyRating(_S3,$B9,Efficacy!$F$1))</f>
        <v>3</v>
      </c>
      <c r="BF9" s="3">
        <f>IF($C$5="ON",CF9,MyRating(_S4,$B9,Efficacy!$F$1))</f>
        <v>3</v>
      </c>
      <c r="BG9" s="3">
        <f>IF($C$5="ON",CG9,MyRating(_S5,$B9,Efficacy!$F$1))</f>
        <v>3</v>
      </c>
      <c r="BH9" s="3">
        <f>IF($C$5="ON",CH9,MyRating(_S6,$B9,Efficacy!$F$1))</f>
        <v>3</v>
      </c>
      <c r="BI9" s="3">
        <f>IF($C$5="ON",CI9,MyRating(_S7,$B9,Efficacy!$F$1))</f>
        <v>3</v>
      </c>
      <c r="BJ9" s="3">
        <f>IF($C$5="ON",CJ9,MyRating(_D1,$B9,Efficacy!$F$1))</f>
        <v>3</v>
      </c>
      <c r="BK9" s="3">
        <f>IF($C$5="ON",CK9,MyRating(_D2,$B9,Efficacy!$F$1))</f>
        <v>3</v>
      </c>
      <c r="BL9" s="3">
        <f>IF($C$5="ON",CL9,MyRating(_D3,$B9,Efficacy!$F$1))</f>
        <v>3</v>
      </c>
      <c r="BM9" s="3">
        <f>IF($C$5="ON",CM9,MyRating(_D4,$B9,Efficacy!$F$1))</f>
        <v>3</v>
      </c>
      <c r="BN9" s="3">
        <f>IF($C$5="ON",CN9,MyRating(_B1G5,$B9,Barrier!$L$2))</f>
        <v>3</v>
      </c>
      <c r="BO9" s="3">
        <f>IF($C$5="ON",CO9,MyRating(_B2,$B9,Barrier!$F$2))</f>
        <v>3</v>
      </c>
      <c r="BP9" s="6">
        <f>IF($C$5="ON",CP9,MyRating(_B3,$B9,Barrier!$F$2))</f>
        <v>3</v>
      </c>
      <c r="BQ9" s="5">
        <f t="shared" ref="BQ9:BQ40" si="6">BT9/$BT$7</f>
        <v>3.7014903427878103E-2</v>
      </c>
      <c r="BR9" s="8">
        <f t="shared" ref="BR9:BR40" si="7">SUMPRODUCT($BN9:$BP9,$BN$7:$BP$7)</f>
        <v>2.9999999999999996</v>
      </c>
      <c r="BS9" s="5">
        <f t="shared" ref="BS9:BS40" si="8">BR9/$BR$7</f>
        <v>3.6652412950519221E-2</v>
      </c>
      <c r="BT9" s="7">
        <f t="shared" ref="BT9:BT40" si="9">BS9^$X$4</f>
        <v>1.8920085086828659E-2</v>
      </c>
      <c r="BU9" s="4">
        <v>2</v>
      </c>
      <c r="BV9" s="3">
        <v>2</v>
      </c>
      <c r="BW9" s="3">
        <v>2</v>
      </c>
      <c r="BX9" s="3">
        <v>2</v>
      </c>
      <c r="BY9" s="3">
        <v>2</v>
      </c>
      <c r="BZ9" s="3">
        <v>5</v>
      </c>
      <c r="CA9" s="3">
        <v>2</v>
      </c>
      <c r="CB9" s="3">
        <v>4</v>
      </c>
      <c r="CC9" s="3">
        <v>3</v>
      </c>
      <c r="CD9" s="3">
        <v>2</v>
      </c>
      <c r="CE9" s="3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3">
        <v>3</v>
      </c>
      <c r="CP9" s="6">
        <v>3</v>
      </c>
      <c r="CQ9" s="5">
        <v>3.7014903427878103E-2</v>
      </c>
    </row>
    <row r="10" spans="1:95" x14ac:dyDescent="0.35">
      <c r="A10" s="9" t="str">
        <f t="shared" si="0"/>
        <v>ES</v>
      </c>
      <c r="B10" s="9" t="s">
        <v>197</v>
      </c>
      <c r="C10" s="20"/>
      <c r="D10" s="9" t="s">
        <v>48</v>
      </c>
      <c r="E10" s="9" t="s">
        <v>193</v>
      </c>
      <c r="F10" s="9" t="s">
        <v>47</v>
      </c>
      <c r="G10" s="59">
        <v>0.42</v>
      </c>
      <c r="H10" s="9">
        <v>2014</v>
      </c>
      <c r="I10" s="9">
        <v>6</v>
      </c>
      <c r="J10" s="18">
        <f>INDEX(PTRS!$D$6:$D$12,MATCH('5'!$F10,PTRS!$B$6:$B$12,0))</f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0.74129766176673451</v>
      </c>
      <c r="V10" s="17">
        <v>1</v>
      </c>
      <c r="W10" s="9" t="s">
        <v>195</v>
      </c>
      <c r="X10" s="9">
        <f>INDEX('Unique Asset List'!$C$4:$I$60,MATCH('5'!$B10,'Unique Asset List'!$A$4:$A$60,0),MATCH('5'!$C$1,'Unique Asset List'!$C$3:$I$3,0))</f>
        <v>1975</v>
      </c>
      <c r="Y10" s="9">
        <f>INDEX('Unique Asset List'!$J$4:$P$60,MATCH('5'!$B10,'Unique Asset List'!$A$4:$A$60,0),MATCH('5'!$C$1,'Unique Asset List'!$J$3:$P$3,0))</f>
        <v>7</v>
      </c>
      <c r="Z10" s="9">
        <f>INDEX('Unique Asset List'!$X$4:$AD$60,MATCH('5'!$B10,'Unique Asset List'!$A$4:$A$60,0),MATCH('5'!$C$1,'Unique Asset List'!$X$3:$AD$3,0))</f>
        <v>2001</v>
      </c>
      <c r="AA10" s="9">
        <f>INDEX('Unique Asset List'!$AE$4:$AK$60,MATCH('5'!$B10,'Unique Asset List'!$A$4:$A$60,0),MATCH('5'!$C$1,'Unique Asset List'!$AE$3:$AK$3,0))</f>
        <v>7</v>
      </c>
      <c r="AB10" s="16">
        <f t="shared" si="2"/>
        <v>1.5698908</v>
      </c>
      <c r="AC10" s="16">
        <f t="shared" si="3"/>
        <v>0.99973299999999998</v>
      </c>
      <c r="AD10" s="16">
        <f t="shared" si="4"/>
        <v>0.46126874111999994</v>
      </c>
      <c r="AE10" s="15">
        <f>INDEX('Unique Asset List'!$BN$4:$BT$60,MATCH('5'!$B10,'Unique Asset List'!$A$4:$A$60,0),MATCH('5'!$C$1,'Unique Asset List'!$BN$3:$BT$3,0))</f>
        <v>0.08</v>
      </c>
      <c r="AF10" s="15">
        <f>INDEX('Unique Asset List'!$BU$4:$CA$60,MATCH('5'!$B10,'Unique Asset List'!$A$4:$A$60,0),MATCH('5'!$C$1,'Unique Asset List'!$BU$3:$CA$3,0))</f>
        <v>0.42</v>
      </c>
      <c r="AG10" s="15">
        <f>INDEX('Unique Asset List'!$AZ$4:$BF$60,MATCH('5'!$B10,'Unique Asset List'!$A$4:$A$60,0),MATCH('5'!$C$1,'Unique Asset List'!$AZ$3:$BF$3,0))</f>
        <v>0.08</v>
      </c>
      <c r="AH10" s="15">
        <f>INDEX('Unique Asset List'!$BG$4:$BM$60,MATCH('5'!$B10,'Unique Asset List'!$A$4:$A$60,0),MATCH('5'!$C$1,'Unique Asset List'!$BG$3:$BM$3,0))</f>
        <v>0.42</v>
      </c>
      <c r="AI10" s="11">
        <v>0.96187963349867744</v>
      </c>
      <c r="AJ10" s="15">
        <f>INDEX('Unique Asset List'!$AL$4:$AR$60,MATCH('5'!$B10,'Unique Asset List'!$A$4:$A$60,0),MATCH('5'!$C$1,'Unique Asset List'!$AL$3:$AR$3,0))</f>
        <v>1.2944496352201866</v>
      </c>
      <c r="AK10" s="15">
        <f>INDEX('Unique Asset List'!$AS$4:$AY$60,MATCH('5'!$B10,'Unique Asset List'!$A$4:$A$60,0),MATCH('5'!$C$1,'Unique Asset List'!$AS$3:$AY$3,0))</f>
        <v>-1.4425350046709582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5"/>
        <v>0.82</v>
      </c>
      <c r="AS10" s="10">
        <v>1</v>
      </c>
      <c r="AT10" s="10"/>
      <c r="AU10" s="4">
        <f>IF($C$5="ON",BU10,MyRating(_E1,$B10,Efficacy!$F$1))</f>
        <v>3</v>
      </c>
      <c r="AV10" s="3">
        <f>IF($C$5="ON",BV10,MyRating(_E2,$B10,Efficacy!$F$1))</f>
        <v>3</v>
      </c>
      <c r="AW10" s="3">
        <f>IF($C$5="ON",BW10,MyRating(_E3,$B10,Efficacy!$F$1))</f>
        <v>3</v>
      </c>
      <c r="AX10" s="3">
        <f>IF($C$5="ON",BX10,MyRating(_E4,$B10,Efficacy!$F$1))</f>
        <v>3</v>
      </c>
      <c r="AY10" s="3">
        <f>IF($C$5="ON",BY10,MyRating(_E5,$B10,Efficacy!$F$1))</f>
        <v>3</v>
      </c>
      <c r="AZ10" s="3">
        <f>IF($C$5="ON",BZ10,MyRating(_E6,$B10,Efficacy!$F$1))</f>
        <v>1</v>
      </c>
      <c r="BA10" s="3">
        <f>IF($C$5="ON",CA10,MyRating(_E7,$B10,Efficacy!$F$1))</f>
        <v>3</v>
      </c>
      <c r="BB10" s="3">
        <f>IF($C$5="ON",CB10,MyRating(_E8,$B10,Efficacy!$F$1))</f>
        <v>3</v>
      </c>
      <c r="BC10" s="3">
        <f>IF($C$5="ON",CC10,MyRating(_S1,$B10,Efficacy!$F$1))</f>
        <v>4</v>
      </c>
      <c r="BD10" s="3">
        <f>IF($C$5="ON",CD10,MyRating(_S2,$B10,Efficacy!$F$1))</f>
        <v>5</v>
      </c>
      <c r="BE10" s="3">
        <f>IF($C$5="ON",CE10,MyRating(_S3,$B10,Efficacy!$F$1))</f>
        <v>4</v>
      </c>
      <c r="BF10" s="3">
        <f>IF($C$5="ON",CF10,MyRating(_S4,$B10,Efficacy!$F$1))</f>
        <v>4</v>
      </c>
      <c r="BG10" s="3">
        <f>IF($C$5="ON",CG10,MyRating(_S5,$B10,Efficacy!$F$1))</f>
        <v>5</v>
      </c>
      <c r="BH10" s="3">
        <f>IF($C$5="ON",CH10,MyRating(_S6,$B10,Efficacy!$F$1))</f>
        <v>2</v>
      </c>
      <c r="BI10" s="3">
        <f>IF($C$5="ON",CI10,MyRating(_S7,$B10,Efficacy!$F$1))</f>
        <v>3</v>
      </c>
      <c r="BJ10" s="3">
        <f>IF($C$5="ON",CJ10,MyRating(_D1,$B10,Efficacy!$F$1))</f>
        <v>2</v>
      </c>
      <c r="BK10" s="3">
        <f>IF($C$5="ON",CK10,MyRating(_D2,$B10,Efficacy!$F$1))</f>
        <v>2</v>
      </c>
      <c r="BL10" s="3">
        <f>IF($C$5="ON",CL10,MyRating(_D3,$B10,Efficacy!$F$1))</f>
        <v>3</v>
      </c>
      <c r="BM10" s="3">
        <f>IF($C$5="ON",CM10,MyRating(_D4,$B10,Efficacy!$F$1))</f>
        <v>3</v>
      </c>
      <c r="BN10" s="3">
        <f>IF($C$5="ON",CN10,MyRating(_B1G5,$B10,Barrier!$L$2))</f>
        <v>3</v>
      </c>
      <c r="BO10" s="3">
        <f>IF($C$5="ON",CO10,MyRating(_B2,$B10,Barrier!$F$2))</f>
        <v>3</v>
      </c>
      <c r="BP10" s="6">
        <f>IF($C$5="ON",CP10,MyRating(_B3,$B10,Barrier!$F$2))</f>
        <v>3</v>
      </c>
      <c r="BQ10" s="5">
        <f t="shared" si="6"/>
        <v>3.7014903427878103E-2</v>
      </c>
      <c r="BR10" s="8">
        <f t="shared" si="7"/>
        <v>2.9999999999999996</v>
      </c>
      <c r="BS10" s="5">
        <f t="shared" si="8"/>
        <v>3.6652412950519221E-2</v>
      </c>
      <c r="BT10" s="7">
        <f t="shared" si="9"/>
        <v>1.8920085086828659E-2</v>
      </c>
      <c r="BU10" s="4">
        <v>3</v>
      </c>
      <c r="BV10" s="3">
        <v>3</v>
      </c>
      <c r="BW10" s="3">
        <v>3</v>
      </c>
      <c r="BX10" s="3">
        <v>3</v>
      </c>
      <c r="BY10" s="3">
        <v>3</v>
      </c>
      <c r="BZ10" s="3">
        <v>1</v>
      </c>
      <c r="CA10" s="3">
        <v>3</v>
      </c>
      <c r="CB10" s="3">
        <v>3</v>
      </c>
      <c r="CC10" s="3">
        <v>4</v>
      </c>
      <c r="CD10" s="3">
        <v>5</v>
      </c>
      <c r="CE10" s="3">
        <v>4</v>
      </c>
      <c r="CF10" s="3">
        <v>4</v>
      </c>
      <c r="CG10" s="3">
        <v>5</v>
      </c>
      <c r="CH10" s="3">
        <v>2</v>
      </c>
      <c r="CI10" s="3">
        <v>3</v>
      </c>
      <c r="CJ10" s="3">
        <v>2</v>
      </c>
      <c r="CK10" s="3">
        <v>2</v>
      </c>
      <c r="CL10" s="3">
        <v>3</v>
      </c>
      <c r="CM10" s="3">
        <v>3</v>
      </c>
      <c r="CN10" s="3">
        <v>3</v>
      </c>
      <c r="CO10" s="3">
        <v>3</v>
      </c>
      <c r="CP10" s="6">
        <v>3</v>
      </c>
      <c r="CQ10" s="5">
        <v>3.7014903427878103E-2</v>
      </c>
    </row>
    <row r="11" spans="1:95" x14ac:dyDescent="0.35">
      <c r="A11" s="9" t="str">
        <f t="shared" si="0"/>
        <v>ES</v>
      </c>
      <c r="B11" s="9" t="s">
        <v>196</v>
      </c>
      <c r="C11" s="20"/>
      <c r="D11" s="9" t="s">
        <v>90</v>
      </c>
      <c r="E11" s="9" t="s">
        <v>193</v>
      </c>
      <c r="F11" s="9" t="s">
        <v>47</v>
      </c>
      <c r="G11" s="59">
        <v>0.36</v>
      </c>
      <c r="H11" s="9">
        <v>2014</v>
      </c>
      <c r="I11" s="9">
        <v>6</v>
      </c>
      <c r="J11" s="18">
        <f>INDEX(PTRS!$D$6:$D$12,MATCH('5'!$F11,PTRS!$B$6:$B$12,0))</f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0.74129766176673451</v>
      </c>
      <c r="V11" s="17">
        <v>1</v>
      </c>
      <c r="W11" s="9" t="s">
        <v>54</v>
      </c>
      <c r="X11" s="9">
        <f>INDEX('Unique Asset List'!$C$4:$I$60,MATCH('5'!$B11,'Unique Asset List'!$A$4:$A$60,0),MATCH('5'!$C$1,'Unique Asset List'!$C$3:$I$3,0))</f>
        <v>2010</v>
      </c>
      <c r="Y11" s="9">
        <f>INDEX('Unique Asset List'!$J$4:$P$60,MATCH('5'!$B11,'Unique Asset List'!$A$4:$A$60,0),MATCH('5'!$C$1,'Unique Asset List'!$J$3:$P$3,0))</f>
        <v>9</v>
      </c>
      <c r="Z11" s="9">
        <f>INDEX('Unique Asset List'!$X$4:$AD$60,MATCH('5'!$B11,'Unique Asset List'!$A$4:$A$60,0),MATCH('5'!$C$1,'Unique Asset List'!$X$3:$AD$3,0))</f>
        <v>2017</v>
      </c>
      <c r="AA11" s="9">
        <f>INDEX('Unique Asset List'!$AE$4:$AK$60,MATCH('5'!$B11,'Unique Asset List'!$A$4:$A$60,0),MATCH('5'!$C$1,'Unique Asset List'!$AE$3:$AK$3,0))</f>
        <v>3</v>
      </c>
      <c r="AB11" s="16">
        <f t="shared" si="2"/>
        <v>1.6603166</v>
      </c>
      <c r="AC11" s="16">
        <f t="shared" si="3"/>
        <v>0.65777060000000009</v>
      </c>
      <c r="AD11" s="16">
        <f t="shared" si="4"/>
        <v>0.52097279586</v>
      </c>
      <c r="AE11" s="15">
        <f>INDEX('Unique Asset List'!$BN$4:$BT$60,MATCH('5'!$B11,'Unique Asset List'!$A$4:$A$60,0),MATCH('5'!$C$1,'Unique Asset List'!$BN$3:$BT$3,0))</f>
        <v>0.08</v>
      </c>
      <c r="AF11" s="15">
        <f>INDEX('Unique Asset List'!$BU$4:$CA$60,MATCH('5'!$B11,'Unique Asset List'!$A$4:$A$60,0),MATCH('5'!$C$1,'Unique Asset List'!$BU$3:$CA$3,0))</f>
        <v>0.42</v>
      </c>
      <c r="AG11" s="15">
        <f>INDEX('Unique Asset List'!$AZ$4:$BF$60,MATCH('5'!$B11,'Unique Asset List'!$A$4:$A$60,0),MATCH('5'!$C$1,'Unique Asset List'!$AZ$3:$BF$3,0))</f>
        <v>0.08</v>
      </c>
      <c r="AH11" s="15">
        <f>INDEX('Unique Asset List'!$BG$4:$BM$60,MATCH('5'!$B11,'Unique Asset List'!$A$4:$A$60,0),MATCH('5'!$C$1,'Unique Asset List'!$BG$3:$BM$3,0))</f>
        <v>0.42</v>
      </c>
      <c r="AI11" s="11">
        <v>0.96187963349867744</v>
      </c>
      <c r="AJ11" s="15">
        <f>INDEX('Unique Asset List'!$AL$4:$AR$60,MATCH('5'!$B11,'Unique Asset List'!$A$4:$A$60,0),MATCH('5'!$C$1,'Unique Asset List'!$AL$3:$AR$3,0))</f>
        <v>1.2944496352201866</v>
      </c>
      <c r="AK11" s="15">
        <f>INDEX('Unique Asset List'!$AS$4:$AY$60,MATCH('5'!$B11,'Unique Asset List'!$A$4:$A$60,0),MATCH('5'!$C$1,'Unique Asset List'!$AS$3:$AY$3,0))</f>
        <v>-1.4425350046709582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5"/>
        <v>0.82</v>
      </c>
      <c r="AS11" s="10">
        <v>1</v>
      </c>
      <c r="AT11" s="10"/>
      <c r="AU11" s="4">
        <f>IF($C$5="ON",BU11,MyRating(_E1,$B11,Efficacy!$F$1))</f>
        <v>3</v>
      </c>
      <c r="AV11" s="3">
        <f>IF($C$5="ON",BV11,MyRating(_E2,$B11,Efficacy!$F$1))</f>
        <v>2</v>
      </c>
      <c r="AW11" s="3">
        <f>IF($C$5="ON",BW11,MyRating(_E3,$B11,Efficacy!$F$1))</f>
        <v>3</v>
      </c>
      <c r="AX11" s="3">
        <f>IF($C$5="ON",BX11,MyRating(_E4,$B11,Efficacy!$F$1))</f>
        <v>3</v>
      </c>
      <c r="AY11" s="3">
        <f>IF($C$5="ON",BY11,MyRating(_E5,$B11,Efficacy!$F$1))</f>
        <v>2</v>
      </c>
      <c r="AZ11" s="3">
        <f>IF($C$5="ON",BZ11,MyRating(_E6,$B11,Efficacy!$F$1))</f>
        <v>5</v>
      </c>
      <c r="BA11" s="3">
        <f>IF($C$5="ON",CA11,MyRating(_E7,$B11,Efficacy!$F$1))</f>
        <v>3</v>
      </c>
      <c r="BB11" s="3">
        <f>IF($C$5="ON",CB11,MyRating(_E8,$B11,Efficacy!$F$1))</f>
        <v>3</v>
      </c>
      <c r="BC11" s="3">
        <f>IF($C$5="ON",CC11,MyRating(_S1,$B11,Efficacy!$F$1))</f>
        <v>3</v>
      </c>
      <c r="BD11" s="3">
        <f>IF($C$5="ON",CD11,MyRating(_S2,$B11,Efficacy!$F$1))</f>
        <v>1</v>
      </c>
      <c r="BE11" s="3">
        <f>IF($C$5="ON",CE11,MyRating(_S3,$B11,Efficacy!$F$1))</f>
        <v>3</v>
      </c>
      <c r="BF11" s="3">
        <f>IF($C$5="ON",CF11,MyRating(_S4,$B11,Efficacy!$F$1))</f>
        <v>3</v>
      </c>
      <c r="BG11" s="3">
        <f>IF($C$5="ON",CG11,MyRating(_S5,$B11,Efficacy!$F$1))</f>
        <v>2</v>
      </c>
      <c r="BH11" s="3">
        <f>IF($C$5="ON",CH11,MyRating(_S6,$B11,Efficacy!$F$1))</f>
        <v>3</v>
      </c>
      <c r="BI11" s="3">
        <f>IF($C$5="ON",CI11,MyRating(_S7,$B11,Efficacy!$F$1))</f>
        <v>3</v>
      </c>
      <c r="BJ11" s="3">
        <f>IF($C$5="ON",CJ11,MyRating(_D1,$B11,Efficacy!$F$1))</f>
        <v>3</v>
      </c>
      <c r="BK11" s="3">
        <f>IF($C$5="ON",CK11,MyRating(_D2,$B11,Efficacy!$F$1))</f>
        <v>2</v>
      </c>
      <c r="BL11" s="3">
        <f>IF($C$5="ON",CL11,MyRating(_D3,$B11,Efficacy!$F$1))</f>
        <v>3</v>
      </c>
      <c r="BM11" s="3">
        <f>IF($C$5="ON",CM11,MyRating(_D4,$B11,Efficacy!$F$1))</f>
        <v>3</v>
      </c>
      <c r="BN11" s="3">
        <f>IF($C$5="ON",CN11,MyRating(_B1G5,$B11,Barrier!$L$2))</f>
        <v>3</v>
      </c>
      <c r="BO11" s="3">
        <f>IF($C$5="ON",CO11,MyRating(_B2,$B11,Barrier!$F$2))</f>
        <v>3</v>
      </c>
      <c r="BP11" s="6">
        <f>IF($C$5="ON",CP11,MyRating(_B3,$B11,Barrier!$F$2))</f>
        <v>3</v>
      </c>
      <c r="BQ11" s="5">
        <f t="shared" si="6"/>
        <v>3.7014903427878103E-2</v>
      </c>
      <c r="BR11" s="8">
        <f t="shared" si="7"/>
        <v>2.9999999999999996</v>
      </c>
      <c r="BS11" s="5">
        <f t="shared" si="8"/>
        <v>3.6652412950519221E-2</v>
      </c>
      <c r="BT11" s="7">
        <f t="shared" si="9"/>
        <v>1.8920085086828659E-2</v>
      </c>
      <c r="BU11" s="4">
        <v>3</v>
      </c>
      <c r="BV11" s="3">
        <v>2</v>
      </c>
      <c r="BW11" s="3">
        <v>3</v>
      </c>
      <c r="BX11" s="3">
        <v>3</v>
      </c>
      <c r="BY11" s="3">
        <v>2</v>
      </c>
      <c r="BZ11" s="3">
        <v>5</v>
      </c>
      <c r="CA11" s="3">
        <v>3</v>
      </c>
      <c r="CB11" s="3">
        <v>3</v>
      </c>
      <c r="CC11" s="3">
        <v>3</v>
      </c>
      <c r="CD11" s="3">
        <v>1</v>
      </c>
      <c r="CE11" s="3">
        <v>3</v>
      </c>
      <c r="CF11" s="3">
        <v>3</v>
      </c>
      <c r="CG11" s="3">
        <v>2</v>
      </c>
      <c r="CH11" s="3">
        <v>3</v>
      </c>
      <c r="CI11" s="3">
        <v>3</v>
      </c>
      <c r="CJ11" s="3">
        <v>3</v>
      </c>
      <c r="CK11" s="3">
        <v>2</v>
      </c>
      <c r="CL11" s="3">
        <v>3</v>
      </c>
      <c r="CM11" s="3">
        <v>3</v>
      </c>
      <c r="CN11" s="3">
        <v>3</v>
      </c>
      <c r="CO11" s="3">
        <v>3</v>
      </c>
      <c r="CP11" s="6">
        <v>3</v>
      </c>
      <c r="CQ11" s="5">
        <v>3.7014903427878103E-2</v>
      </c>
    </row>
    <row r="12" spans="1:95" x14ac:dyDescent="0.35">
      <c r="A12" s="9" t="str">
        <f t="shared" si="0"/>
        <v>ES</v>
      </c>
      <c r="B12" s="9" t="s">
        <v>88</v>
      </c>
      <c r="C12" s="20"/>
      <c r="D12" s="9" t="s">
        <v>87</v>
      </c>
      <c r="E12" s="9" t="s">
        <v>193</v>
      </c>
      <c r="F12" s="9" t="s">
        <v>86</v>
      </c>
      <c r="G12" s="19">
        <v>0</v>
      </c>
      <c r="H12" s="9">
        <v>2014</v>
      </c>
      <c r="I12" s="9">
        <v>6</v>
      </c>
      <c r="J12" s="18">
        <f>INDEX(PTRS!$D$6:$D$12,MATCH('5'!$F12,PTRS!$B$6:$B$12,0))</f>
        <v>0.9</v>
      </c>
      <c r="K12" s="17">
        <v>1</v>
      </c>
      <c r="L12" s="17">
        <v>0.9</v>
      </c>
      <c r="M12" s="17">
        <v>0.5</v>
      </c>
      <c r="N12" s="17">
        <v>0.5</v>
      </c>
      <c r="O12" s="17">
        <v>0.5</v>
      </c>
      <c r="P12" s="17">
        <v>0.9</v>
      </c>
      <c r="Q12" s="17">
        <v>1</v>
      </c>
      <c r="R12" s="17">
        <v>1</v>
      </c>
      <c r="S12" s="17">
        <v>1</v>
      </c>
      <c r="T12" s="17"/>
      <c r="U12" s="17">
        <f t="shared" si="1"/>
        <v>0.21031695408457127</v>
      </c>
      <c r="V12" s="17">
        <v>1</v>
      </c>
      <c r="W12" s="9" t="s">
        <v>16</v>
      </c>
      <c r="X12" s="9">
        <f>INDEX('Unique Asset List'!$C$4:$I$60,MATCH('5'!$B12,'Unique Asset List'!$A$4:$A$60,0),MATCH('5'!$C$1,'Unique Asset List'!$C$3:$I$3,0))</f>
        <v>2020</v>
      </c>
      <c r="Y12" s="9">
        <f>INDEX('Unique Asset List'!$J$4:$P$60,MATCH('5'!$B12,'Unique Asset List'!$A$4:$A$60,0),MATCH('5'!$C$1,'Unique Asset List'!$J$3:$P$3,0))</f>
        <v>7.999999999998181</v>
      </c>
      <c r="Z12" s="9">
        <f>INDEX('Unique Asset List'!$X$4:$AD$60,MATCH('5'!$B12,'Unique Asset List'!$A$4:$A$60,0),MATCH('5'!$C$1,'Unique Asset List'!$X$3:$AD$3,0))</f>
        <v>2029</v>
      </c>
      <c r="AA12" s="9">
        <f>INDEX('Unique Asset List'!$AE$4:$AK$60,MATCH('5'!$B12,'Unique Asset List'!$A$4:$A$60,0),MATCH('5'!$C$1,'Unique Asset List'!$AE$3:$AK$3,0))</f>
        <v>7</v>
      </c>
      <c r="AB12" s="16">
        <f t="shared" si="2"/>
        <v>2.1202012000000003</v>
      </c>
      <c r="AC12" s="16">
        <f t="shared" si="3"/>
        <v>0.98141</v>
      </c>
      <c r="AD12" s="16">
        <f t="shared" si="4"/>
        <v>0.31905939999999999</v>
      </c>
      <c r="AE12" s="15">
        <f>INDEX('Unique Asset List'!$BN$4:$BT$60,MATCH('5'!$B12,'Unique Asset List'!$A$4:$A$60,0),MATCH('5'!$C$1,'Unique Asset List'!$BN$3:$BT$3,0))</f>
        <v>0.08</v>
      </c>
      <c r="AF12" s="15">
        <f>INDEX('Unique Asset List'!$BU$4:$CA$60,MATCH('5'!$B12,'Unique Asset List'!$A$4:$A$60,0),MATCH('5'!$C$1,'Unique Asset List'!$BU$3:$CA$3,0))</f>
        <v>0.42</v>
      </c>
      <c r="AG12" s="15">
        <f>INDEX('Unique Asset List'!$AZ$4:$BF$60,MATCH('5'!$B12,'Unique Asset List'!$A$4:$A$60,0),MATCH('5'!$C$1,'Unique Asset List'!$AZ$3:$BF$3,0))</f>
        <v>0.08</v>
      </c>
      <c r="AH12" s="15">
        <f>INDEX('Unique Asset List'!$BG$4:$BM$60,MATCH('5'!$B12,'Unique Asset List'!$A$4:$A$60,0),MATCH('5'!$C$1,'Unique Asset List'!$BG$3:$BM$3,0))</f>
        <v>0.42</v>
      </c>
      <c r="AI12" s="11">
        <v>0.96187963349867744</v>
      </c>
      <c r="AJ12" s="15">
        <f>INDEX('Unique Asset List'!$AL$4:$AR$60,MATCH('5'!$B12,'Unique Asset List'!$A$4:$A$60,0),MATCH('5'!$C$1,'Unique Asset List'!$AL$3:$AR$3,0))</f>
        <v>1.2944496352201866</v>
      </c>
      <c r="AK12" s="15">
        <f>INDEX('Unique Asset List'!$AS$4:$AY$60,MATCH('5'!$B12,'Unique Asset List'!$A$4:$A$60,0),MATCH('5'!$C$1,'Unique Asset List'!$AS$3:$AY$3,0))</f>
        <v>-1.4425350046709582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10"/>
      <c r="AU12" s="4">
        <f>IF($C$5="ON",BU12,MyRating(_E1,$B12,Efficacy!$F$1))</f>
        <v>3</v>
      </c>
      <c r="AV12" s="3">
        <f>IF($C$5="ON",BV12,MyRating(_E2,$B12,Efficacy!$F$1))</f>
        <v>5</v>
      </c>
      <c r="AW12" s="3">
        <f>IF($C$5="ON",BW12,MyRating(_E3,$B12,Efficacy!$F$1))</f>
        <v>5</v>
      </c>
      <c r="AX12" s="3">
        <f>IF($C$5="ON",BX12,MyRating(_E4,$B12,Efficacy!$F$1))</f>
        <v>4</v>
      </c>
      <c r="AY12" s="3">
        <f>IF($C$5="ON",BY12,MyRating(_E5,$B12,Efficacy!$F$1))</f>
        <v>3</v>
      </c>
      <c r="AZ12" s="3">
        <f>IF($C$5="ON",BZ12,MyRating(_E6,$B12,Efficacy!$F$1))</f>
        <v>3</v>
      </c>
      <c r="BA12" s="3">
        <f>IF($C$5="ON",CA12,MyRating(_E7,$B12,Efficacy!$F$1))</f>
        <v>3</v>
      </c>
      <c r="BB12" s="3">
        <f>IF($C$5="ON",CB12,MyRating(_E8,$B12,Efficacy!$F$1))</f>
        <v>3</v>
      </c>
      <c r="BC12" s="3">
        <f>IF($C$5="ON",CC12,MyRating(_S1,$B12,Efficacy!$F$1))</f>
        <v>5</v>
      </c>
      <c r="BD12" s="3">
        <f>IF($C$5="ON",CD12,MyRating(_S2,$B12,Efficacy!$F$1))</f>
        <v>3</v>
      </c>
      <c r="BE12" s="3">
        <f>IF($C$5="ON",CE12,MyRating(_S3,$B12,Efficacy!$F$1))</f>
        <v>3</v>
      </c>
      <c r="BF12" s="3">
        <f>IF($C$5="ON",CF12,MyRating(_S4,$B12,Efficacy!$F$1))</f>
        <v>4</v>
      </c>
      <c r="BG12" s="3">
        <f>IF($C$5="ON",CG12,MyRating(_S5,$B12,Efficacy!$F$1))</f>
        <v>5</v>
      </c>
      <c r="BH12" s="3">
        <f>IF($C$5="ON",CH12,MyRating(_S6,$B12,Efficacy!$F$1))</f>
        <v>2</v>
      </c>
      <c r="BI12" s="3">
        <f>IF($C$5="ON",CI12,MyRating(_S7,$B12,Efficacy!$F$1))</f>
        <v>3</v>
      </c>
      <c r="BJ12" s="3">
        <f>IF($C$5="ON",CJ12,MyRating(_D1,$B12,Efficacy!$F$1))</f>
        <v>2</v>
      </c>
      <c r="BK12" s="3">
        <f>IF($C$5="ON",CK12,MyRating(_D2,$B12,Efficacy!$F$1))</f>
        <v>2</v>
      </c>
      <c r="BL12" s="3">
        <f>IF($C$5="ON",CL12,MyRating(_D3,$B12,Efficacy!$F$1))</f>
        <v>2</v>
      </c>
      <c r="BM12" s="3">
        <f>IF($C$5="ON",CM12,MyRating(_D4,$B12,Efficacy!$F$1))</f>
        <v>1</v>
      </c>
      <c r="BN12" s="3">
        <f>IF($C$5="ON",CN12,MyRating(_B1G5,$B12,Barrier!$L$2))</f>
        <v>2</v>
      </c>
      <c r="BO12" s="3">
        <f>IF($C$5="ON",CO12,MyRating(_B2,$B12,Barrier!$F$2))</f>
        <v>1</v>
      </c>
      <c r="BP12" s="6">
        <f>IF($C$5="ON",CP12,MyRating(_B3,$B12,Barrier!$F$2))</f>
        <v>1</v>
      </c>
      <c r="BQ12" s="5">
        <f t="shared" si="6"/>
        <v>1.0501667745898752E-2</v>
      </c>
      <c r="BR12" s="8">
        <f t="shared" si="7"/>
        <v>1.0499999999999998</v>
      </c>
      <c r="BS12" s="5">
        <f t="shared" si="8"/>
        <v>1.2828344532681727E-2</v>
      </c>
      <c r="BT12" s="7">
        <f t="shared" si="9"/>
        <v>5.3679039766550227E-3</v>
      </c>
      <c r="BU12" s="4">
        <v>3</v>
      </c>
      <c r="BV12" s="3">
        <v>5</v>
      </c>
      <c r="BW12" s="3">
        <v>5</v>
      </c>
      <c r="BX12" s="3">
        <v>4</v>
      </c>
      <c r="BY12" s="3">
        <v>3</v>
      </c>
      <c r="BZ12" s="3">
        <v>3</v>
      </c>
      <c r="CA12" s="3">
        <v>3</v>
      </c>
      <c r="CB12" s="3">
        <v>3</v>
      </c>
      <c r="CC12" s="3">
        <v>5</v>
      </c>
      <c r="CD12" s="3">
        <v>3</v>
      </c>
      <c r="CE12" s="3">
        <v>3</v>
      </c>
      <c r="CF12" s="3">
        <v>4</v>
      </c>
      <c r="CG12" s="3">
        <v>5</v>
      </c>
      <c r="CH12" s="3">
        <v>2</v>
      </c>
      <c r="CI12" s="3">
        <v>3</v>
      </c>
      <c r="CJ12" s="3">
        <v>2</v>
      </c>
      <c r="CK12" s="3">
        <v>2</v>
      </c>
      <c r="CL12" s="3">
        <v>2</v>
      </c>
      <c r="CM12" s="3">
        <v>1</v>
      </c>
      <c r="CN12" s="3">
        <v>2</v>
      </c>
      <c r="CO12" s="3">
        <v>1</v>
      </c>
      <c r="CP12" s="6">
        <v>1</v>
      </c>
      <c r="CQ12" s="5">
        <v>1.0501667745898752E-2</v>
      </c>
    </row>
    <row r="13" spans="1:95" x14ac:dyDescent="0.35">
      <c r="A13" s="9" t="str">
        <f t="shared" si="0"/>
        <v>ES</v>
      </c>
      <c r="B13" s="9" t="s">
        <v>85</v>
      </c>
      <c r="C13" s="20"/>
      <c r="D13" s="9" t="s">
        <v>2</v>
      </c>
      <c r="E13" s="9" t="s">
        <v>193</v>
      </c>
      <c r="F13" s="9" t="s">
        <v>63</v>
      </c>
      <c r="G13" s="19">
        <v>0</v>
      </c>
      <c r="H13" s="9">
        <v>2014</v>
      </c>
      <c r="I13" s="9">
        <v>6</v>
      </c>
      <c r="J13" s="18">
        <f>INDEX(PTRS!$D$6:$D$12,MATCH('5'!$F13,PTRS!$B$6:$B$12,0))</f>
        <v>0.58500000000000008</v>
      </c>
      <c r="K13" s="17">
        <v>1</v>
      </c>
      <c r="L13" s="17">
        <v>1</v>
      </c>
      <c r="M13" s="17">
        <v>0.58500000000000008</v>
      </c>
      <c r="N13" s="17">
        <v>0.62</v>
      </c>
      <c r="O13" s="17">
        <v>0.62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0.19835681424527862</v>
      </c>
      <c r="V13" s="17">
        <v>1</v>
      </c>
      <c r="W13" s="9" t="s">
        <v>62</v>
      </c>
      <c r="X13" s="9">
        <f>INDEX('Unique Asset List'!$C$4:$I$60,MATCH('5'!$B13,'Unique Asset List'!$A$4:$A$60,0),MATCH('5'!$C$1,'Unique Asset List'!$C$3:$I$3,0))</f>
        <v>2021</v>
      </c>
      <c r="Y13" s="9">
        <f>INDEX('Unique Asset List'!$J$4:$P$60,MATCH('5'!$B13,'Unique Asset List'!$A$4:$A$60,0),MATCH('5'!$C$1,'Unique Asset List'!$J$3:$P$3,0))</f>
        <v>3.9999999999990905</v>
      </c>
      <c r="Z13" s="9">
        <f>INDEX('Unique Asset List'!$X$4:$AD$60,MATCH('5'!$B13,'Unique Asset List'!$A$4:$A$60,0),MATCH('5'!$C$1,'Unique Asset List'!$X$3:$AD$3,0))</f>
        <v>2031</v>
      </c>
      <c r="AA13" s="9">
        <f>INDEX('Unique Asset List'!$AE$4:$AK$60,MATCH('5'!$B13,'Unique Asset List'!$A$4:$A$60,0),MATCH('5'!$C$1,'Unique Asset List'!$AE$3:$AK$3,0))</f>
        <v>1</v>
      </c>
      <c r="AB13" s="16">
        <f t="shared" si="2"/>
        <v>2.3511832000000004</v>
      </c>
      <c r="AC13" s="16">
        <f t="shared" si="3"/>
        <v>0.88497580000000009</v>
      </c>
      <c r="AD13" s="16">
        <f t="shared" si="4"/>
        <v>0.39141474525999997</v>
      </c>
      <c r="AE13" s="15">
        <f>INDEX('Unique Asset List'!$BN$4:$BT$60,MATCH('5'!$B13,'Unique Asset List'!$A$4:$A$60,0),MATCH('5'!$C$1,'Unique Asset List'!$BN$3:$BT$3,0))</f>
        <v>0.14000000000000001</v>
      </c>
      <c r="AF13" s="15">
        <f>INDEX('Unique Asset List'!$BU$4:$CA$60,MATCH('5'!$B13,'Unique Asset List'!$A$4:$A$60,0),MATCH('5'!$C$1,'Unique Asset List'!$BU$3:$CA$3,0))</f>
        <v>0.36</v>
      </c>
      <c r="AG13" s="15">
        <f>INDEX('Unique Asset List'!$AZ$4:$BF$60,MATCH('5'!$B13,'Unique Asset List'!$A$4:$A$60,0),MATCH('5'!$C$1,'Unique Asset List'!$AZ$3:$BF$3,0))</f>
        <v>0.14000000000000001</v>
      </c>
      <c r="AH13" s="15">
        <f>INDEX('Unique Asset List'!$BG$4:$BM$60,MATCH('5'!$B13,'Unique Asset List'!$A$4:$A$60,0),MATCH('5'!$C$1,'Unique Asset List'!$BG$3:$BM$3,0))</f>
        <v>0.36</v>
      </c>
      <c r="AI13" s="11">
        <v>0.96187963349867744</v>
      </c>
      <c r="AJ13" s="15">
        <f>INDEX('Unique Asset List'!$AL$4:$AR$60,MATCH('5'!$B13,'Unique Asset List'!$A$4:$A$60,0),MATCH('5'!$C$1,'Unique Asset List'!$AL$3:$AR$3,0))</f>
        <v>1.2944496352201866</v>
      </c>
      <c r="AK13" s="15">
        <f>INDEX('Unique Asset List'!$AS$4:$AY$60,MATCH('5'!$B13,'Unique Asset List'!$A$4:$A$60,0),MATCH('5'!$C$1,'Unique Asset List'!$AS$3:$AY$3,0))</f>
        <v>-1.4425350046709582</v>
      </c>
      <c r="AL13" s="9">
        <v>177.56756756756758</v>
      </c>
      <c r="AM13" s="14">
        <v>28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f>2.8*37/365</f>
        <v>0.28383561643835614</v>
      </c>
      <c r="AT13" s="10"/>
      <c r="AU13" s="4">
        <f>IF($C$5="ON",BU13,MyRating(_E1,$B13,Efficacy!$F$1))</f>
        <v>5</v>
      </c>
      <c r="AV13" s="3">
        <f>IF($C$5="ON",BV13,MyRating(_E2,$B13,Efficacy!$F$1))</f>
        <v>5</v>
      </c>
      <c r="AW13" s="3">
        <f>IF($C$5="ON",BW13,MyRating(_E3,$B13,Efficacy!$F$1))</f>
        <v>5</v>
      </c>
      <c r="AX13" s="3">
        <f>IF($C$5="ON",BX13,MyRating(_E4,$B13,Efficacy!$F$1))</f>
        <v>4</v>
      </c>
      <c r="AY13" s="3">
        <f>IF($C$5="ON",BY13,MyRating(_E5,$B13,Efficacy!$F$1))</f>
        <v>3</v>
      </c>
      <c r="AZ13" s="3">
        <f>IF($C$5="ON",BZ13,MyRating(_E6,$B13,Efficacy!$F$1))</f>
        <v>3</v>
      </c>
      <c r="BA13" s="3">
        <f>IF($C$5="ON",CA13,MyRating(_E7,$B13,Efficacy!$F$1))</f>
        <v>3</v>
      </c>
      <c r="BB13" s="3">
        <f>IF($C$5="ON",CB13,MyRating(_E8,$B13,Efficacy!$F$1))</f>
        <v>4</v>
      </c>
      <c r="BC13" s="3">
        <f>IF($C$5="ON",CC13,MyRating(_S1,$B13,Efficacy!$F$1))</f>
        <v>4</v>
      </c>
      <c r="BD13" s="3">
        <f>IF($C$5="ON",CD13,MyRating(_S2,$B13,Efficacy!$F$1))</f>
        <v>3</v>
      </c>
      <c r="BE13" s="3">
        <f>IF($C$5="ON",CE13,MyRating(_S3,$B13,Efficacy!$F$1))</f>
        <v>3</v>
      </c>
      <c r="BF13" s="3">
        <f>IF($C$5="ON",CF13,MyRating(_S4,$B13,Efficacy!$F$1))</f>
        <v>3</v>
      </c>
      <c r="BG13" s="3">
        <f>IF($C$5="ON",CG13,MyRating(_S5,$B13,Efficacy!$F$1))</f>
        <v>5</v>
      </c>
      <c r="BH13" s="3">
        <f>IF($C$5="ON",CH13,MyRating(_S6,$B13,Efficacy!$F$1))</f>
        <v>2</v>
      </c>
      <c r="BI13" s="3">
        <f>IF($C$5="ON",CI13,MyRating(_S7,$B13,Efficacy!$F$1))</f>
        <v>3</v>
      </c>
      <c r="BJ13" s="3">
        <f>IF($C$5="ON",CJ13,MyRating(_D1,$B13,Efficacy!$F$1))</f>
        <v>2</v>
      </c>
      <c r="BK13" s="3">
        <f>IF($C$5="ON",CK13,MyRating(_D2,$B13,Efficacy!$F$1))</f>
        <v>3</v>
      </c>
      <c r="BL13" s="3">
        <f>IF($C$5="ON",CL13,MyRating(_D3,$B13,Efficacy!$F$1))</f>
        <v>3</v>
      </c>
      <c r="BM13" s="3">
        <f>IF($C$5="ON",CM13,MyRating(_D4,$B13,Efficacy!$F$1))</f>
        <v>1</v>
      </c>
      <c r="BN13" s="3">
        <f>IF($C$5="ON",CN13,MyRating(_B1G5,$B13,Barrier!$L$2))</f>
        <v>1</v>
      </c>
      <c r="BO13" s="3">
        <f>IF($C$5="ON",CO13,MyRating(_B2,$B13,Barrier!$F$2))</f>
        <v>1</v>
      </c>
      <c r="BP13" s="6">
        <f>IF($C$5="ON",CP13,MyRating(_B3,$B13,Barrier!$F$2))</f>
        <v>1</v>
      </c>
      <c r="BQ13" s="5">
        <f t="shared" si="6"/>
        <v>9.9044671286996639E-3</v>
      </c>
      <c r="BR13" s="8">
        <f t="shared" si="7"/>
        <v>1</v>
      </c>
      <c r="BS13" s="5">
        <f t="shared" si="8"/>
        <v>1.2217470983506409E-2</v>
      </c>
      <c r="BT13" s="7">
        <f t="shared" si="9"/>
        <v>5.0626462170790974E-3</v>
      </c>
      <c r="BU13" s="4">
        <v>5</v>
      </c>
      <c r="BV13" s="3">
        <v>5</v>
      </c>
      <c r="BW13" s="3">
        <v>5</v>
      </c>
      <c r="BX13" s="3">
        <v>4</v>
      </c>
      <c r="BY13" s="3">
        <v>3</v>
      </c>
      <c r="BZ13" s="3">
        <v>3</v>
      </c>
      <c r="CA13" s="3">
        <v>3</v>
      </c>
      <c r="CB13" s="3">
        <v>4</v>
      </c>
      <c r="CC13" s="3">
        <v>4</v>
      </c>
      <c r="CD13" s="3">
        <v>3</v>
      </c>
      <c r="CE13" s="3">
        <v>3</v>
      </c>
      <c r="CF13" s="3">
        <v>3</v>
      </c>
      <c r="CG13" s="3">
        <v>5</v>
      </c>
      <c r="CH13" s="3">
        <v>2</v>
      </c>
      <c r="CI13" s="3">
        <v>3</v>
      </c>
      <c r="CJ13" s="3">
        <v>2</v>
      </c>
      <c r="CK13" s="3">
        <v>3</v>
      </c>
      <c r="CL13" s="3">
        <v>3</v>
      </c>
      <c r="CM13" s="3">
        <v>1</v>
      </c>
      <c r="CN13" s="3">
        <v>1</v>
      </c>
      <c r="CO13" s="3">
        <v>1</v>
      </c>
      <c r="CP13" s="6">
        <v>1</v>
      </c>
      <c r="CQ13" s="5">
        <v>9.9044671286996639E-3</v>
      </c>
    </row>
    <row r="14" spans="1:95" x14ac:dyDescent="0.35">
      <c r="A14" s="9" t="str">
        <f t="shared" si="0"/>
        <v>ES</v>
      </c>
      <c r="B14" s="9" t="s">
        <v>94</v>
      </c>
      <c r="C14" s="20"/>
      <c r="D14" s="9" t="s">
        <v>93</v>
      </c>
      <c r="E14" s="9" t="s">
        <v>92</v>
      </c>
      <c r="F14" s="9" t="s">
        <v>47</v>
      </c>
      <c r="G14" s="19">
        <v>0</v>
      </c>
      <c r="H14" s="9">
        <v>2014</v>
      </c>
      <c r="I14" s="9">
        <v>6</v>
      </c>
      <c r="J14" s="18">
        <f>INDEX(PTRS!$D$6:$D$12,MATCH('5'!$F14,PTRS!$B$6:$B$12,0))</f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0.74129766176673451</v>
      </c>
      <c r="V14" s="17">
        <v>1</v>
      </c>
      <c r="W14" s="9" t="s">
        <v>54</v>
      </c>
      <c r="X14" s="9">
        <f>INDEX('Unique Asset List'!$C$4:$I$60,MATCH('5'!$B14,'Unique Asset List'!$A$4:$A$60,0),MATCH('5'!$C$1,'Unique Asset List'!$C$3:$I$3,0))</f>
        <v>2017</v>
      </c>
      <c r="Y14" s="9">
        <f>INDEX('Unique Asset List'!$J$4:$P$60,MATCH('5'!$B14,'Unique Asset List'!$A$4:$A$60,0),MATCH('5'!$C$1,'Unique Asset List'!$J$3:$P$3,0))</f>
        <v>7.999999999998181</v>
      </c>
      <c r="Z14" s="9">
        <f>INDEX('Unique Asset List'!$X$4:$AD$60,MATCH('5'!$B14,'Unique Asset List'!$A$4:$A$60,0),MATCH('5'!$C$1,'Unique Asset List'!$X$3:$AD$3,0))</f>
        <v>2027</v>
      </c>
      <c r="AA14" s="9">
        <f>INDEX('Unique Asset List'!$AE$4:$AK$60,MATCH('5'!$B14,'Unique Asset List'!$A$4:$A$60,0),MATCH('5'!$C$1,'Unique Asset List'!$AE$3:$AK$3,0))</f>
        <v>2</v>
      </c>
      <c r="AB14" s="16">
        <f t="shared" si="2"/>
        <v>1.6860000000000002</v>
      </c>
      <c r="AC14" s="16">
        <f t="shared" si="3"/>
        <v>0.78788900000000006</v>
      </c>
      <c r="AD14" s="16">
        <f t="shared" si="4"/>
        <v>0.56099999999999994</v>
      </c>
      <c r="AE14" s="15">
        <f>INDEX('Unique Asset List'!$BN$4:$BT$60,MATCH('5'!$B14,'Unique Asset List'!$A$4:$A$60,0),MATCH('5'!$C$1,'Unique Asset List'!$BN$3:$BT$3,0))</f>
        <v>0.08</v>
      </c>
      <c r="AF14" s="15">
        <f>INDEX('Unique Asset List'!$BU$4:$CA$60,MATCH('5'!$B14,'Unique Asset List'!$A$4:$A$60,0),MATCH('5'!$C$1,'Unique Asset List'!$BU$3:$CA$3,0))</f>
        <v>0.42</v>
      </c>
      <c r="AG14" s="15">
        <f>INDEX('Unique Asset List'!$AZ$4:$BF$60,MATCH('5'!$B14,'Unique Asset List'!$A$4:$A$60,0),MATCH('5'!$C$1,'Unique Asset List'!$AZ$3:$BF$3,0))</f>
        <v>0.08</v>
      </c>
      <c r="AH14" s="15">
        <f>INDEX('Unique Asset List'!$BG$4:$BM$60,MATCH('5'!$B14,'Unique Asset List'!$A$4:$A$60,0),MATCH('5'!$C$1,'Unique Asset List'!$BG$3:$BM$3,0))</f>
        <v>0.42</v>
      </c>
      <c r="AI14" s="11">
        <v>0.96187963349867744</v>
      </c>
      <c r="AJ14" s="15">
        <f>INDEX('Unique Asset List'!$AL$4:$AR$60,MATCH('5'!$B14,'Unique Asset List'!$A$4:$A$60,0),MATCH('5'!$C$1,'Unique Asset List'!$AL$3:$AR$3,0))</f>
        <v>1.2944496352201866</v>
      </c>
      <c r="AK14" s="15">
        <f>INDEX('Unique Asset List'!$AS$4:$AY$60,MATCH('5'!$B14,'Unique Asset List'!$A$4:$A$60,0),MATCH('5'!$C$1,'Unique Asset List'!$AS$3:$AY$3,0))</f>
        <v>-1.4425350046709582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5"/>
        <v>0.82</v>
      </c>
      <c r="AS14" s="10">
        <v>1</v>
      </c>
      <c r="AT14" s="10"/>
      <c r="AU14" s="4">
        <f>IF($C$5="ON",BU14,MyRating(_E1,$B14,Efficacy!$F$1))</f>
        <v>3</v>
      </c>
      <c r="AV14" s="3">
        <f>IF($C$5="ON",BV14,MyRating(_E2,$B14,Efficacy!$F$1))</f>
        <v>3</v>
      </c>
      <c r="AW14" s="3">
        <f>IF($C$5="ON",BW14,MyRating(_E3,$B14,Efficacy!$F$1))</f>
        <v>3</v>
      </c>
      <c r="AX14" s="3">
        <f>IF($C$5="ON",BX14,MyRating(_E4,$B14,Efficacy!$F$1))</f>
        <v>3</v>
      </c>
      <c r="AY14" s="3">
        <f>IF($C$5="ON",BY14,MyRating(_E5,$B14,Efficacy!$F$1))</f>
        <v>3</v>
      </c>
      <c r="AZ14" s="3">
        <f>IF($C$5="ON",BZ14,MyRating(_E6,$B14,Efficacy!$F$1))</f>
        <v>3</v>
      </c>
      <c r="BA14" s="3">
        <f>IF($C$5="ON",CA14,MyRating(_E7,$B14,Efficacy!$F$1))</f>
        <v>3</v>
      </c>
      <c r="BB14" s="3">
        <f>IF($C$5="ON",CB14,MyRating(_E8,$B14,Efficacy!$F$1))</f>
        <v>3</v>
      </c>
      <c r="BC14" s="3">
        <f>IF($C$5="ON",CC14,MyRating(_S1,$B14,Efficacy!$F$1))</f>
        <v>3</v>
      </c>
      <c r="BD14" s="3">
        <f>IF($C$5="ON",CD14,MyRating(_S2,$B14,Efficacy!$F$1))</f>
        <v>3</v>
      </c>
      <c r="BE14" s="3">
        <f>IF($C$5="ON",CE14,MyRating(_S3,$B14,Efficacy!$F$1))</f>
        <v>3</v>
      </c>
      <c r="BF14" s="3">
        <f>IF($C$5="ON",CF14,MyRating(_S4,$B14,Efficacy!$F$1))</f>
        <v>4</v>
      </c>
      <c r="BG14" s="3">
        <f>IF($C$5="ON",CG14,MyRating(_S5,$B14,Efficacy!$F$1))</f>
        <v>3</v>
      </c>
      <c r="BH14" s="3">
        <f>IF($C$5="ON",CH14,MyRating(_S6,$B14,Efficacy!$F$1))</f>
        <v>3</v>
      </c>
      <c r="BI14" s="3">
        <f>IF($C$5="ON",CI14,MyRating(_S7,$B14,Efficacy!$F$1))</f>
        <v>3</v>
      </c>
      <c r="BJ14" s="3">
        <f>IF($C$5="ON",CJ14,MyRating(_D1,$B14,Efficacy!$F$1))</f>
        <v>3</v>
      </c>
      <c r="BK14" s="3">
        <f>IF($C$5="ON",CK14,MyRating(_D2,$B14,Efficacy!$F$1))</f>
        <v>3</v>
      </c>
      <c r="BL14" s="3">
        <f>IF($C$5="ON",CL14,MyRating(_D3,$B14,Efficacy!$F$1))</f>
        <v>3</v>
      </c>
      <c r="BM14" s="3">
        <f>IF($C$5="ON",CM14,MyRating(_D4,$B14,Efficacy!$F$1))</f>
        <v>3</v>
      </c>
      <c r="BN14" s="3">
        <f>IF($C$5="ON",CN14,MyRating(_B1G5,$B14,Barrier!$L$2))</f>
        <v>3</v>
      </c>
      <c r="BO14" s="3">
        <f>IF($C$5="ON",CO14,MyRating(_B2,$B14,Barrier!$F$2))</f>
        <v>3</v>
      </c>
      <c r="BP14" s="6">
        <f>IF($C$5="ON",CP14,MyRating(_B3,$B14,Barrier!$F$2))</f>
        <v>3</v>
      </c>
      <c r="BQ14" s="5">
        <f t="shared" si="6"/>
        <v>3.7014903427878103E-2</v>
      </c>
      <c r="BR14" s="8">
        <f t="shared" si="7"/>
        <v>2.9999999999999996</v>
      </c>
      <c r="BS14" s="5">
        <f t="shared" si="8"/>
        <v>3.6652412950519221E-2</v>
      </c>
      <c r="BT14" s="7">
        <f t="shared" si="9"/>
        <v>1.8920085086828659E-2</v>
      </c>
      <c r="BU14" s="4">
        <v>3</v>
      </c>
      <c r="BV14" s="3">
        <v>3</v>
      </c>
      <c r="BW14" s="3">
        <v>3</v>
      </c>
      <c r="BX14" s="3">
        <v>3</v>
      </c>
      <c r="BY14" s="3">
        <v>3</v>
      </c>
      <c r="BZ14" s="3">
        <v>3</v>
      </c>
      <c r="CA14" s="3">
        <v>3</v>
      </c>
      <c r="CB14" s="3">
        <v>3</v>
      </c>
      <c r="CC14" s="3">
        <v>3</v>
      </c>
      <c r="CD14" s="3">
        <v>3</v>
      </c>
      <c r="CE14" s="3">
        <v>3</v>
      </c>
      <c r="CF14" s="3">
        <v>4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3">
        <v>3</v>
      </c>
      <c r="CP14" s="6">
        <v>3</v>
      </c>
      <c r="CQ14" s="5">
        <v>3.7014903427878103E-2</v>
      </c>
    </row>
    <row r="15" spans="1:95" x14ac:dyDescent="0.35">
      <c r="A15" s="9" t="str">
        <f t="shared" si="0"/>
        <v>ES</v>
      </c>
      <c r="B15" s="9" t="s">
        <v>83</v>
      </c>
      <c r="C15" s="20"/>
      <c r="D15" s="9" t="s">
        <v>82</v>
      </c>
      <c r="E15" s="9" t="s">
        <v>193</v>
      </c>
      <c r="F15" s="9" t="s">
        <v>63</v>
      </c>
      <c r="G15" s="19">
        <v>0</v>
      </c>
      <c r="H15" s="9">
        <v>2014</v>
      </c>
      <c r="I15" s="9">
        <v>6</v>
      </c>
      <c r="J15" s="18">
        <f>INDEX(PTRS!$D$6:$D$12,MATCH('5'!$F15,PTRS!$B$6:$B$12,0))</f>
        <v>0.58500000000000008</v>
      </c>
      <c r="K15" s="17">
        <v>1</v>
      </c>
      <c r="L15" s="17">
        <v>0.58500000000000008</v>
      </c>
      <c r="M15" s="17">
        <v>0.19500000000000003</v>
      </c>
      <c r="N15" s="17">
        <v>0.58500000000000008</v>
      </c>
      <c r="O15" s="17">
        <v>0.58500000000000008</v>
      </c>
      <c r="P15" s="17">
        <v>0.58500000000000008</v>
      </c>
      <c r="Q15" s="17">
        <v>0.58500000000000008</v>
      </c>
      <c r="R15" s="17">
        <v>0.58500000000000008</v>
      </c>
      <c r="S15" s="17">
        <v>1</v>
      </c>
      <c r="T15" s="17"/>
      <c r="U15" s="17">
        <f t="shared" si="1"/>
        <v>0.72649652910676854</v>
      </c>
      <c r="V15" s="17">
        <v>1</v>
      </c>
      <c r="W15" s="9" t="s">
        <v>195</v>
      </c>
      <c r="X15" s="9">
        <f>INDEX('Unique Asset List'!$C$4:$I$60,MATCH('5'!$B15,'Unique Asset List'!$A$4:$A$60,0),MATCH('5'!$C$1,'Unique Asset List'!$C$3:$I$3,0))</f>
        <v>2023</v>
      </c>
      <c r="Y15" s="9">
        <f>INDEX('Unique Asset List'!$J$4:$P$60,MATCH('5'!$B15,'Unique Asset List'!$A$4:$A$60,0),MATCH('5'!$C$1,'Unique Asset List'!$J$3:$P$3,0))</f>
        <v>1.999999999998181</v>
      </c>
      <c r="Z15" s="9">
        <f>INDEX('Unique Asset List'!$X$4:$AD$60,MATCH('5'!$B15,'Unique Asset List'!$A$4:$A$60,0),MATCH('5'!$C$1,'Unique Asset List'!$X$3:$AD$3,0))</f>
        <v>2032</v>
      </c>
      <c r="AA15" s="9">
        <f>INDEX('Unique Asset List'!$AE$4:$AK$60,MATCH('5'!$B15,'Unique Asset List'!$A$4:$A$60,0),MATCH('5'!$C$1,'Unique Asset List'!$AE$3:$AK$3,0))</f>
        <v>1</v>
      </c>
      <c r="AB15" s="16">
        <f t="shared" si="2"/>
        <v>1.6860000000000002</v>
      </c>
      <c r="AC15" s="16">
        <f t="shared" si="3"/>
        <v>1.0347223999999999</v>
      </c>
      <c r="AD15" s="16">
        <f t="shared" si="4"/>
        <v>0.38169906301999995</v>
      </c>
      <c r="AE15" s="15">
        <f>INDEX('Unique Asset List'!$BN$4:$BT$60,MATCH('5'!$B15,'Unique Asset List'!$A$4:$A$60,0),MATCH('5'!$C$1,'Unique Asset List'!$BN$3:$BT$3,0))</f>
        <v>0.08</v>
      </c>
      <c r="AF15" s="15">
        <f>INDEX('Unique Asset List'!$BU$4:$CA$60,MATCH('5'!$B15,'Unique Asset List'!$A$4:$A$60,0),MATCH('5'!$C$1,'Unique Asset List'!$BU$3:$CA$3,0))</f>
        <v>0.42</v>
      </c>
      <c r="AG15" s="15">
        <f>INDEX('Unique Asset List'!$AZ$4:$BF$60,MATCH('5'!$B15,'Unique Asset List'!$A$4:$A$60,0),MATCH('5'!$C$1,'Unique Asset List'!$AZ$3:$BF$3,0))</f>
        <v>0.08</v>
      </c>
      <c r="AH15" s="15">
        <f>INDEX('Unique Asset List'!$BG$4:$BM$60,MATCH('5'!$B15,'Unique Asset List'!$A$4:$A$60,0),MATCH('5'!$C$1,'Unique Asset List'!$BG$3:$BM$3,0))</f>
        <v>0.42</v>
      </c>
      <c r="AI15" s="11">
        <v>0.96187963349867744</v>
      </c>
      <c r="AJ15" s="15">
        <f>INDEX('Unique Asset List'!$AL$4:$AR$60,MATCH('5'!$B15,'Unique Asset List'!$A$4:$A$60,0),MATCH('5'!$C$1,'Unique Asset List'!$AL$3:$AR$3,0))</f>
        <v>1.2944496352201866</v>
      </c>
      <c r="AK15" s="15">
        <f>INDEX('Unique Asset List'!$AS$4:$AY$60,MATCH('5'!$B15,'Unique Asset List'!$A$4:$A$60,0),MATCH('5'!$C$1,'Unique Asset List'!$AS$3:$AY$3,0))</f>
        <v>-1.4425350046709582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10"/>
      <c r="AU15" s="4">
        <f>IF($C$5="ON",BU15,MyRating(_E1,$B15,Efficacy!$F$1))</f>
        <v>3</v>
      </c>
      <c r="AV15" s="3">
        <f>IF($C$5="ON",BV15,MyRating(_E2,$B15,Efficacy!$F$1))</f>
        <v>3</v>
      </c>
      <c r="AW15" s="3">
        <f>IF($C$5="ON",BW15,MyRating(_E3,$B15,Efficacy!$F$1))</f>
        <v>3</v>
      </c>
      <c r="AX15" s="3">
        <f>IF($C$5="ON",BX15,MyRating(_E4,$B15,Efficacy!$F$1))</f>
        <v>3</v>
      </c>
      <c r="AY15" s="3">
        <f>IF($C$5="ON",BY15,MyRating(_E5,$B15,Efficacy!$F$1))</f>
        <v>3</v>
      </c>
      <c r="AZ15" s="3">
        <f>IF($C$5="ON",BZ15,MyRating(_E6,$B15,Efficacy!$F$1))</f>
        <v>3</v>
      </c>
      <c r="BA15" s="3">
        <f>IF($C$5="ON",CA15,MyRating(_E7,$B15,Efficacy!$F$1))</f>
        <v>3</v>
      </c>
      <c r="BB15" s="3">
        <f>IF($C$5="ON",CB15,MyRating(_E8,$B15,Efficacy!$F$1))</f>
        <v>3</v>
      </c>
      <c r="BC15" s="3">
        <f>IF($C$5="ON",CC15,MyRating(_S1,$B15,Efficacy!$F$1))</f>
        <v>5</v>
      </c>
      <c r="BD15" s="3">
        <f>IF($C$5="ON",CD15,MyRating(_S2,$B15,Efficacy!$F$1))</f>
        <v>3</v>
      </c>
      <c r="BE15" s="3">
        <f>IF($C$5="ON",CE15,MyRating(_S3,$B15,Efficacy!$F$1))</f>
        <v>3</v>
      </c>
      <c r="BF15" s="3">
        <f>IF($C$5="ON",CF15,MyRating(_S4,$B15,Efficacy!$F$1))</f>
        <v>4</v>
      </c>
      <c r="BG15" s="3">
        <f>IF($C$5="ON",CG15,MyRating(_S5,$B15,Efficacy!$F$1))</f>
        <v>5</v>
      </c>
      <c r="BH15" s="3">
        <f>IF($C$5="ON",CH15,MyRating(_S6,$B15,Efficacy!$F$1))</f>
        <v>3</v>
      </c>
      <c r="BI15" s="3">
        <f>IF($C$5="ON",CI15,MyRating(_S7,$B15,Efficacy!$F$1))</f>
        <v>4</v>
      </c>
      <c r="BJ15" s="3">
        <f>IF($C$5="ON",CJ15,MyRating(_D1,$B15,Efficacy!$F$1))</f>
        <v>2</v>
      </c>
      <c r="BK15" s="3">
        <f>IF($C$5="ON",CK15,MyRating(_D2,$B15,Efficacy!$F$1))</f>
        <v>3</v>
      </c>
      <c r="BL15" s="3">
        <f>IF($C$5="ON",CL15,MyRating(_D3,$B15,Efficacy!$F$1))</f>
        <v>1</v>
      </c>
      <c r="BM15" s="3">
        <f>IF($C$5="ON",CM15,MyRating(_D4,$B15,Efficacy!$F$1))</f>
        <v>2</v>
      </c>
      <c r="BN15" s="3">
        <f>IF($C$5="ON",CN15,MyRating(_B1G5,$B15,Barrier!$L$2))</f>
        <v>2</v>
      </c>
      <c r="BO15" s="3">
        <f>IF($C$5="ON",CO15,MyRating(_B2,$B15,Barrier!$F$2))</f>
        <v>3</v>
      </c>
      <c r="BP15" s="6">
        <f>IF($C$5="ON",CP15,MyRating(_B3,$B15,Barrier!$F$2))</f>
        <v>3</v>
      </c>
      <c r="BQ15" s="5">
        <f t="shared" si="6"/>
        <v>3.6275844714639842E-2</v>
      </c>
      <c r="BR15" s="8">
        <f t="shared" si="7"/>
        <v>2.9499999999999997</v>
      </c>
      <c r="BS15" s="5">
        <f t="shared" si="8"/>
        <v>3.60415394013439E-2</v>
      </c>
      <c r="BT15" s="7">
        <f t="shared" si="9"/>
        <v>1.8542316878791175E-2</v>
      </c>
      <c r="BU15" s="4">
        <v>3</v>
      </c>
      <c r="BV15" s="3">
        <v>3</v>
      </c>
      <c r="BW15" s="3">
        <v>3</v>
      </c>
      <c r="BX15" s="3">
        <v>3</v>
      </c>
      <c r="BY15" s="3">
        <v>3</v>
      </c>
      <c r="BZ15" s="3">
        <v>3</v>
      </c>
      <c r="CA15" s="3">
        <v>3</v>
      </c>
      <c r="CB15" s="3">
        <v>3</v>
      </c>
      <c r="CC15" s="3">
        <v>5</v>
      </c>
      <c r="CD15" s="3">
        <v>3</v>
      </c>
      <c r="CE15" s="3">
        <v>3</v>
      </c>
      <c r="CF15" s="3">
        <v>4</v>
      </c>
      <c r="CG15" s="3">
        <v>5</v>
      </c>
      <c r="CH15" s="3">
        <v>3</v>
      </c>
      <c r="CI15" s="3">
        <v>4</v>
      </c>
      <c r="CJ15" s="3">
        <v>2</v>
      </c>
      <c r="CK15" s="3">
        <v>3</v>
      </c>
      <c r="CL15" s="3">
        <v>1</v>
      </c>
      <c r="CM15" s="3">
        <v>2</v>
      </c>
      <c r="CN15" s="3">
        <v>2</v>
      </c>
      <c r="CO15" s="3">
        <v>3</v>
      </c>
      <c r="CP15" s="6">
        <v>3</v>
      </c>
      <c r="CQ15" s="5">
        <v>3.6275844714639842E-2</v>
      </c>
    </row>
    <row r="16" spans="1:95" x14ac:dyDescent="0.35">
      <c r="A16" s="9" t="str">
        <f t="shared" si="0"/>
        <v>ES</v>
      </c>
      <c r="B16" s="9" t="s">
        <v>84</v>
      </c>
      <c r="C16" s="20"/>
      <c r="D16" s="9" t="s">
        <v>64</v>
      </c>
      <c r="E16" s="9" t="s">
        <v>193</v>
      </c>
      <c r="F16" s="9" t="s">
        <v>63</v>
      </c>
      <c r="G16" s="19">
        <v>0</v>
      </c>
      <c r="H16" s="9">
        <v>2014</v>
      </c>
      <c r="I16" s="9">
        <v>6</v>
      </c>
      <c r="J16" s="18">
        <f>INDEX(PTRS!$D$6:$D$12,MATCH('5'!$F16,PTRS!$B$6:$B$12,0))</f>
        <v>0.58500000000000008</v>
      </c>
      <c r="K16" s="17">
        <v>0</v>
      </c>
      <c r="L16" s="17">
        <v>0.29250000000000004</v>
      </c>
      <c r="M16" s="17">
        <v>0.19500000000000003</v>
      </c>
      <c r="N16" s="17">
        <v>0.58500000000000008</v>
      </c>
      <c r="O16" s="17">
        <v>0.58500000000000008</v>
      </c>
      <c r="P16" s="17">
        <f>J16/2</f>
        <v>0.29250000000000004</v>
      </c>
      <c r="Q16" s="17">
        <v>0.29250000000000004</v>
      </c>
      <c r="R16" s="17">
        <v>0.29250000000000004</v>
      </c>
      <c r="S16" s="17">
        <v>1</v>
      </c>
      <c r="T16" s="17"/>
      <c r="U16" s="17">
        <f t="shared" si="1"/>
        <v>0.19835681424527862</v>
      </c>
      <c r="V16" s="17">
        <v>1</v>
      </c>
      <c r="W16" s="9" t="s">
        <v>62</v>
      </c>
      <c r="X16" s="9">
        <f>INDEX('Unique Asset List'!$C$4:$I$60,MATCH('5'!$B16,'Unique Asset List'!$A$4:$A$60,0),MATCH('5'!$C$1,'Unique Asset List'!$C$3:$I$3,0))</f>
        <v>2023</v>
      </c>
      <c r="Y16" s="9">
        <f>INDEX('Unique Asset List'!$J$4:$P$60,MATCH('5'!$B16,'Unique Asset List'!$A$4:$A$60,0),MATCH('5'!$C$1,'Unique Asset List'!$J$3:$P$3,0))</f>
        <v>7.999999999998181</v>
      </c>
      <c r="Z16" s="9">
        <f>INDEX('Unique Asset List'!$X$4:$AD$60,MATCH('5'!$B16,'Unique Asset List'!$A$4:$A$60,0),MATCH('5'!$C$1,'Unique Asset List'!$X$3:$AD$3,0))</f>
        <v>2031</v>
      </c>
      <c r="AA16" s="9">
        <f>INDEX('Unique Asset List'!$AE$4:$AK$60,MATCH('5'!$B16,'Unique Asset List'!$A$4:$A$60,0),MATCH('5'!$C$1,'Unique Asset List'!$AE$3:$AK$3,0))</f>
        <v>7</v>
      </c>
      <c r="AB16" s="16">
        <f t="shared" si="2"/>
        <v>1.6860000000000002</v>
      </c>
      <c r="AC16" s="16">
        <f t="shared" si="3"/>
        <v>0.73148930000000001</v>
      </c>
      <c r="AD16" s="16">
        <f t="shared" si="4"/>
        <v>0.56099999999999994</v>
      </c>
      <c r="AE16" s="15">
        <f>INDEX('Unique Asset List'!$BN$4:$BT$60,MATCH('5'!$B16,'Unique Asset List'!$A$4:$A$60,0),MATCH('5'!$C$1,'Unique Asset List'!$BN$3:$BT$3,0))</f>
        <v>0.14000000000000001</v>
      </c>
      <c r="AF16" s="15">
        <f>INDEX('Unique Asset List'!$BU$4:$CA$60,MATCH('5'!$B16,'Unique Asset List'!$A$4:$A$60,0),MATCH('5'!$C$1,'Unique Asset List'!$BU$3:$CA$3,0))</f>
        <v>0.36</v>
      </c>
      <c r="AG16" s="15">
        <f>INDEX('Unique Asset List'!$AZ$4:$BF$60,MATCH('5'!$B16,'Unique Asset List'!$A$4:$A$60,0),MATCH('5'!$C$1,'Unique Asset List'!$AZ$3:$BF$3,0))</f>
        <v>0.14000000000000001</v>
      </c>
      <c r="AH16" s="15">
        <f>INDEX('Unique Asset List'!$BG$4:$BM$60,MATCH('5'!$B16,'Unique Asset List'!$A$4:$A$60,0),MATCH('5'!$C$1,'Unique Asset List'!$BG$3:$BM$3,0))</f>
        <v>0.36</v>
      </c>
      <c r="AI16" s="11">
        <v>0.96187963349867744</v>
      </c>
      <c r="AJ16" s="15">
        <f>INDEX('Unique Asset List'!$AL$4:$AR$60,MATCH('5'!$B16,'Unique Asset List'!$A$4:$A$60,0),MATCH('5'!$C$1,'Unique Asset List'!$AL$3:$AR$3,0))</f>
        <v>1.2944496352201866</v>
      </c>
      <c r="AK16" s="15">
        <f>INDEX('Unique Asset List'!$AS$4:$AY$60,MATCH('5'!$B16,'Unique Asset List'!$A$4:$A$60,0),MATCH('5'!$C$1,'Unique Asset List'!$AS$3:$AY$3,0))</f>
        <v>-1.4425350046709582</v>
      </c>
      <c r="AL16" s="9">
        <v>169</v>
      </c>
      <c r="AM16" s="14">
        <v>28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10"/>
      <c r="AU16" s="4">
        <f>IF($C$5="ON",BU16,MyRating(_E1,$B16,Efficacy!$F$1))</f>
        <v>3</v>
      </c>
      <c r="AV16" s="3">
        <f>IF($C$5="ON",BV16,MyRating(_E2,$B16,Efficacy!$F$1))</f>
        <v>3</v>
      </c>
      <c r="AW16" s="3">
        <f>IF($C$5="ON",BW16,MyRating(_E3,$B16,Efficacy!$F$1))</f>
        <v>3</v>
      </c>
      <c r="AX16" s="3">
        <f>IF($C$5="ON",BX16,MyRating(_E4,$B16,Efficacy!$F$1))</f>
        <v>3</v>
      </c>
      <c r="AY16" s="3">
        <f>IF($C$5="ON",BY16,MyRating(_E5,$B16,Efficacy!$F$1))</f>
        <v>3</v>
      </c>
      <c r="AZ16" s="3">
        <f>IF($C$5="ON",BZ16,MyRating(_E6,$B16,Efficacy!$F$1))</f>
        <v>3</v>
      </c>
      <c r="BA16" s="3">
        <f>IF($C$5="ON",CA16,MyRating(_E7,$B16,Efficacy!$F$1))</f>
        <v>3</v>
      </c>
      <c r="BB16" s="3">
        <f>IF($C$5="ON",CB16,MyRating(_E8,$B16,Efficacy!$F$1))</f>
        <v>3</v>
      </c>
      <c r="BC16" s="3">
        <f>IF($C$5="ON",CC16,MyRating(_S1,$B16,Efficacy!$F$1))</f>
        <v>3</v>
      </c>
      <c r="BD16" s="3">
        <f>IF($C$5="ON",CD16,MyRating(_S2,$B16,Efficacy!$F$1))</f>
        <v>3</v>
      </c>
      <c r="BE16" s="3">
        <f>IF($C$5="ON",CE16,MyRating(_S3,$B16,Efficacy!$F$1))</f>
        <v>3</v>
      </c>
      <c r="BF16" s="3">
        <f>IF($C$5="ON",CF16,MyRating(_S4,$B16,Efficacy!$F$1))</f>
        <v>3</v>
      </c>
      <c r="BG16" s="3">
        <f>IF($C$5="ON",CG16,MyRating(_S5,$B16,Efficacy!$F$1))</f>
        <v>3</v>
      </c>
      <c r="BH16" s="3">
        <f>IF($C$5="ON",CH16,MyRating(_S6,$B16,Efficacy!$F$1))</f>
        <v>2</v>
      </c>
      <c r="BI16" s="3">
        <f>IF($C$5="ON",CI16,MyRating(_S7,$B16,Efficacy!$F$1))</f>
        <v>3</v>
      </c>
      <c r="BJ16" s="3">
        <f>IF($C$5="ON",CJ16,MyRating(_D1,$B16,Efficacy!$F$1))</f>
        <v>3</v>
      </c>
      <c r="BK16" s="3">
        <f>IF($C$5="ON",CK16,MyRating(_D2,$B16,Efficacy!$F$1))</f>
        <v>3</v>
      </c>
      <c r="BL16" s="3">
        <f>IF($C$5="ON",CL16,MyRating(_D3,$B16,Efficacy!$F$1))</f>
        <v>3</v>
      </c>
      <c r="BM16" s="3">
        <f>IF($C$5="ON",CM16,MyRating(_D4,$B16,Efficacy!$F$1))</f>
        <v>3</v>
      </c>
      <c r="BN16" s="3">
        <f>IF($C$5="ON",CN16,MyRating(_B1G5,$B16,Barrier!$L$2))</f>
        <v>1</v>
      </c>
      <c r="BO16" s="3">
        <f>IF($C$5="ON",CO16,MyRating(_B2,$B16,Barrier!$F$2))</f>
        <v>1</v>
      </c>
      <c r="BP16" s="6">
        <f>IF($C$5="ON",CP16,MyRating(_B3,$B16,Barrier!$F$2))</f>
        <v>1</v>
      </c>
      <c r="BQ16" s="5">
        <f t="shared" si="6"/>
        <v>9.9044671286996639E-3</v>
      </c>
      <c r="BR16" s="8">
        <f t="shared" si="7"/>
        <v>1</v>
      </c>
      <c r="BS16" s="5">
        <f t="shared" si="8"/>
        <v>1.2217470983506409E-2</v>
      </c>
      <c r="BT16" s="7">
        <f t="shared" si="9"/>
        <v>5.0626462170790974E-3</v>
      </c>
      <c r="BU16" s="4">
        <v>3</v>
      </c>
      <c r="BV16" s="3">
        <v>3</v>
      </c>
      <c r="BW16" s="3">
        <v>3</v>
      </c>
      <c r="BX16" s="3">
        <v>3</v>
      </c>
      <c r="BY16" s="3">
        <v>3</v>
      </c>
      <c r="BZ16" s="3">
        <v>3</v>
      </c>
      <c r="CA16" s="3">
        <v>3</v>
      </c>
      <c r="CB16" s="3">
        <v>3</v>
      </c>
      <c r="CC16" s="3">
        <v>3</v>
      </c>
      <c r="CD16" s="3">
        <v>3</v>
      </c>
      <c r="CE16" s="3">
        <v>3</v>
      </c>
      <c r="CF16" s="3">
        <v>3</v>
      </c>
      <c r="CG16" s="3">
        <v>3</v>
      </c>
      <c r="CH16" s="3">
        <v>2</v>
      </c>
      <c r="CI16" s="3">
        <v>3</v>
      </c>
      <c r="CJ16" s="3">
        <v>3</v>
      </c>
      <c r="CK16" s="3">
        <v>3</v>
      </c>
      <c r="CL16" s="3">
        <v>3</v>
      </c>
      <c r="CM16" s="3">
        <v>3</v>
      </c>
      <c r="CN16" s="3">
        <v>1</v>
      </c>
      <c r="CO16" s="3">
        <v>1</v>
      </c>
      <c r="CP16" s="6">
        <v>1</v>
      </c>
      <c r="CQ16" s="5">
        <v>9.9044671286996639E-3</v>
      </c>
    </row>
    <row r="17" spans="1:95" x14ac:dyDescent="0.35">
      <c r="A17" s="9" t="str">
        <f t="shared" si="0"/>
        <v>ES</v>
      </c>
      <c r="B17" s="9" t="s">
        <v>80</v>
      </c>
      <c r="C17" s="20"/>
      <c r="D17" s="9" t="s">
        <v>79</v>
      </c>
      <c r="E17" s="9" t="s">
        <v>193</v>
      </c>
      <c r="F17" s="9" t="s">
        <v>43</v>
      </c>
      <c r="G17" s="19">
        <v>0</v>
      </c>
      <c r="H17" s="9">
        <v>2014</v>
      </c>
      <c r="I17" s="9">
        <v>6</v>
      </c>
      <c r="J17" s="18">
        <f>INDEX(PTRS!$D$6:$D$12,MATCH('5'!$F17,PTRS!$B$6:$B$12,0))</f>
        <v>0.40949999999999998</v>
      </c>
      <c r="K17" s="17">
        <v>0</v>
      </c>
      <c r="L17" s="17">
        <v>0.40949999999999998</v>
      </c>
      <c r="M17" s="17">
        <v>0.13649999999999998</v>
      </c>
      <c r="N17" s="17">
        <v>0.40949999999999998</v>
      </c>
      <c r="O17" s="17">
        <v>0.40949999999999998</v>
      </c>
      <c r="P17" s="17">
        <v>0.40949999999999998</v>
      </c>
      <c r="Q17" s="17">
        <v>0.41</v>
      </c>
      <c r="R17" s="17">
        <v>0.41</v>
      </c>
      <c r="S17" s="17">
        <v>1</v>
      </c>
      <c r="T17" s="17"/>
      <c r="U17" s="17">
        <f t="shared" si="1"/>
        <v>0.72649652910676854</v>
      </c>
      <c r="V17" s="17">
        <v>1</v>
      </c>
      <c r="W17" s="9" t="s">
        <v>62</v>
      </c>
      <c r="X17" s="9">
        <f>INDEX('Unique Asset List'!$C$4:$I$60,MATCH('5'!$B17,'Unique Asset List'!$A$4:$A$60,0),MATCH('5'!$C$1,'Unique Asset List'!$C$3:$I$3,0))</f>
        <v>2024</v>
      </c>
      <c r="Y17" s="9">
        <f>INDEX('Unique Asset List'!$J$4:$P$60,MATCH('5'!$B17,'Unique Asset List'!$A$4:$A$60,0),MATCH('5'!$C$1,'Unique Asset List'!$J$3:$P$3,0))</f>
        <v>3.9999999999990905</v>
      </c>
      <c r="Z17" s="9">
        <f>INDEX('Unique Asset List'!$X$4:$AD$60,MATCH('5'!$B17,'Unique Asset List'!$A$4:$A$60,0),MATCH('5'!$C$1,'Unique Asset List'!$X$3:$AD$3,0))</f>
        <v>2033</v>
      </c>
      <c r="AA17" s="9">
        <f>INDEX('Unique Asset List'!$AE$4:$AK$60,MATCH('5'!$B17,'Unique Asset List'!$A$4:$A$60,0),MATCH('5'!$C$1,'Unique Asset List'!$AE$3:$AK$3,0))</f>
        <v>3</v>
      </c>
      <c r="AB17" s="16">
        <f t="shared" si="2"/>
        <v>2.1526286000000003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List'!$BN$4:$BT$60,MATCH('5'!$B17,'Unique Asset List'!$A$4:$A$60,0),MATCH('5'!$C$1,'Unique Asset List'!$BN$3:$BT$3,0))</f>
        <v>0.14000000000000001</v>
      </c>
      <c r="AF17" s="15">
        <f>INDEX('Unique Asset List'!$BU$4:$CA$60,MATCH('5'!$B17,'Unique Asset List'!$A$4:$A$60,0),MATCH('5'!$C$1,'Unique Asset List'!$BU$3:$CA$3,0))</f>
        <v>0.36</v>
      </c>
      <c r="AG17" s="15">
        <f>INDEX('Unique Asset List'!$AZ$4:$BF$60,MATCH('5'!$B17,'Unique Asset List'!$A$4:$A$60,0),MATCH('5'!$C$1,'Unique Asset List'!$AZ$3:$BF$3,0))</f>
        <v>0.14000000000000001</v>
      </c>
      <c r="AH17" s="15">
        <f>INDEX('Unique Asset List'!$BG$4:$BM$60,MATCH('5'!$B17,'Unique Asset List'!$A$4:$A$60,0),MATCH('5'!$C$1,'Unique Asset List'!$BG$3:$BM$3,0))</f>
        <v>0.36</v>
      </c>
      <c r="AI17" s="11">
        <v>0.96187963349867744</v>
      </c>
      <c r="AJ17" s="15">
        <f>INDEX('Unique Asset List'!$AL$4:$AR$60,MATCH('5'!$B17,'Unique Asset List'!$A$4:$A$60,0),MATCH('5'!$C$1,'Unique Asset List'!$AL$3:$AR$3,0))</f>
        <v>1.2944496352201866</v>
      </c>
      <c r="AK17" s="15">
        <f>INDEX('Unique Asset List'!$AS$4:$AY$60,MATCH('5'!$B17,'Unique Asset List'!$A$4:$A$60,0),MATCH('5'!$C$1,'Unique Asset List'!$AS$3:$AY$3,0))</f>
        <v>-1.4425350046709582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v>1</v>
      </c>
      <c r="AT17" s="10"/>
      <c r="AU17" s="4">
        <f>IF($C$5="ON",BU17,MyRating(_E1,$B17,Efficacy!$F$1))</f>
        <v>4</v>
      </c>
      <c r="AV17" s="3">
        <f>IF($C$5="ON",BV17,MyRating(_E2,$B17,Efficacy!$F$1))</f>
        <v>4</v>
      </c>
      <c r="AW17" s="3">
        <f>IF($C$5="ON",BW17,MyRating(_E3,$B17,Efficacy!$F$1))</f>
        <v>4</v>
      </c>
      <c r="AX17" s="3">
        <f>IF($C$5="ON",BX17,MyRating(_E4,$B17,Efficacy!$F$1))</f>
        <v>4</v>
      </c>
      <c r="AY17" s="3">
        <f>IF($C$5="ON",BY17,MyRating(_E5,$B17,Efficacy!$F$1))</f>
        <v>3</v>
      </c>
      <c r="AZ17" s="3">
        <f>IF($C$5="ON",BZ17,MyRating(_E6,$B17,Efficacy!$F$1))</f>
        <v>3</v>
      </c>
      <c r="BA17" s="3">
        <f>IF($C$5="ON",CA17,MyRating(_E7,$B17,Efficacy!$F$1))</f>
        <v>3</v>
      </c>
      <c r="BB17" s="3">
        <f>IF($C$5="ON",CB17,MyRating(_E8,$B17,Efficacy!$F$1))</f>
        <v>5</v>
      </c>
      <c r="BC17" s="3">
        <f>IF($C$5="ON",CC17,MyRating(_S1,$B17,Efficacy!$F$1))</f>
        <v>4</v>
      </c>
      <c r="BD17" s="3">
        <f>IF($C$5="ON",CD17,MyRating(_S2,$B17,Efficacy!$F$1))</f>
        <v>3</v>
      </c>
      <c r="BE17" s="3">
        <f>IF($C$5="ON",CE17,MyRating(_S3,$B17,Efficacy!$F$1))</f>
        <v>3</v>
      </c>
      <c r="BF17" s="3">
        <f>IF($C$5="ON",CF17,MyRating(_S4,$B17,Efficacy!$F$1))</f>
        <v>3</v>
      </c>
      <c r="BG17" s="3">
        <f>IF($C$5="ON",CG17,MyRating(_S5,$B17,Efficacy!$F$1))</f>
        <v>5</v>
      </c>
      <c r="BH17" s="3">
        <f>IF($C$5="ON",CH17,MyRating(_S6,$B17,Efficacy!$F$1))</f>
        <v>2</v>
      </c>
      <c r="BI17" s="3">
        <f>IF($C$5="ON",CI17,MyRating(_S7,$B17,Efficacy!$F$1))</f>
        <v>3</v>
      </c>
      <c r="BJ17" s="3">
        <f>IF($C$5="ON",CJ17,MyRating(_D1,$B17,Efficacy!$F$1))</f>
        <v>3</v>
      </c>
      <c r="BK17" s="3">
        <f>IF($C$5="ON",CK17,MyRating(_D2,$B17,Efficacy!$F$1))</f>
        <v>3</v>
      </c>
      <c r="BL17" s="3">
        <f>IF($C$5="ON",CL17,MyRating(_D3,$B17,Efficacy!$F$1))</f>
        <v>3</v>
      </c>
      <c r="BM17" s="3">
        <f>IF($C$5="ON",CM17,MyRating(_D4,$B17,Efficacy!$F$1))</f>
        <v>3</v>
      </c>
      <c r="BN17" s="3">
        <f>IF($C$5="ON",CN17,MyRating(_B1G5,$B17,Barrier!$L$2))</f>
        <v>2</v>
      </c>
      <c r="BO17" s="3">
        <f>IF($C$5="ON",CO17,MyRating(_B2,$B17,Barrier!$F$2))</f>
        <v>3</v>
      </c>
      <c r="BP17" s="6">
        <f>IF($C$5="ON",CP17,MyRating(_B3,$B17,Barrier!$F$2))</f>
        <v>3</v>
      </c>
      <c r="BQ17" s="5">
        <f t="shared" si="6"/>
        <v>3.6275844714639842E-2</v>
      </c>
      <c r="BR17" s="8">
        <f t="shared" si="7"/>
        <v>2.9499999999999997</v>
      </c>
      <c r="BS17" s="5">
        <f t="shared" si="8"/>
        <v>3.60415394013439E-2</v>
      </c>
      <c r="BT17" s="7">
        <f t="shared" si="9"/>
        <v>1.8542316878791175E-2</v>
      </c>
      <c r="BU17" s="4">
        <v>4</v>
      </c>
      <c r="BV17" s="3">
        <v>4</v>
      </c>
      <c r="BW17" s="3">
        <v>4</v>
      </c>
      <c r="BX17" s="3">
        <v>4</v>
      </c>
      <c r="BY17" s="3">
        <v>3</v>
      </c>
      <c r="BZ17" s="3">
        <v>3</v>
      </c>
      <c r="CA17" s="3">
        <v>3</v>
      </c>
      <c r="CB17" s="3">
        <v>5</v>
      </c>
      <c r="CC17" s="3">
        <v>4</v>
      </c>
      <c r="CD17" s="3">
        <v>3</v>
      </c>
      <c r="CE17" s="3">
        <v>3</v>
      </c>
      <c r="CF17" s="3">
        <v>3</v>
      </c>
      <c r="CG17" s="3">
        <v>5</v>
      </c>
      <c r="CH17" s="3">
        <v>2</v>
      </c>
      <c r="CI17" s="3">
        <v>3</v>
      </c>
      <c r="CJ17" s="3">
        <v>3</v>
      </c>
      <c r="CK17" s="3">
        <v>3</v>
      </c>
      <c r="CL17" s="3">
        <v>3</v>
      </c>
      <c r="CM17" s="3">
        <v>3</v>
      </c>
      <c r="CN17" s="3">
        <v>2</v>
      </c>
      <c r="CO17" s="3">
        <v>3</v>
      </c>
      <c r="CP17" s="6">
        <v>3</v>
      </c>
      <c r="CQ17" s="5">
        <v>3.6275844714639842E-2</v>
      </c>
    </row>
    <row r="18" spans="1:95" x14ac:dyDescent="0.35">
      <c r="A18" s="9" t="str">
        <f t="shared" si="0"/>
        <v>ES</v>
      </c>
      <c r="B18" s="9" t="s">
        <v>89</v>
      </c>
      <c r="C18" s="20"/>
      <c r="D18" s="9" t="s">
        <v>64</v>
      </c>
      <c r="E18" s="9" t="s">
        <v>193</v>
      </c>
      <c r="F18" s="9" t="s">
        <v>63</v>
      </c>
      <c r="G18" s="19">
        <v>0</v>
      </c>
      <c r="H18" s="9">
        <v>2014</v>
      </c>
      <c r="I18" s="9">
        <v>6</v>
      </c>
      <c r="J18" s="18">
        <f>INDEX(PTRS!$D$6:$D$12,MATCH('5'!$F18,PTRS!$B$6:$B$12,0))</f>
        <v>0.58500000000000008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0.58500000000000008</v>
      </c>
      <c r="Q18" s="17">
        <v>1</v>
      </c>
      <c r="R18" s="17">
        <v>1</v>
      </c>
      <c r="S18" s="17">
        <v>1</v>
      </c>
      <c r="T18" s="17"/>
      <c r="U18" s="17">
        <f t="shared" si="1"/>
        <v>0.72649652910676854</v>
      </c>
      <c r="V18" s="17">
        <v>0.25</v>
      </c>
      <c r="W18" s="9" t="s">
        <v>54</v>
      </c>
      <c r="X18" s="9">
        <f>INDEX('Unique Asset List'!$C$4:$I$60,MATCH('5'!$B18,'Unique Asset List'!$A$4:$A$60,0),MATCH('5'!$C$1,'Unique Asset List'!$C$3:$I$3,0))</f>
        <v>2018</v>
      </c>
      <c r="Y18" s="9">
        <f>INDEX('Unique Asset List'!$J$4:$P$60,MATCH('5'!$B18,'Unique Asset List'!$A$4:$A$60,0),MATCH('5'!$C$1,'Unique Asset List'!$J$3:$P$3,0))</f>
        <v>3.9999999999990905</v>
      </c>
      <c r="Z18" s="9">
        <f>INDEX('Unique Asset List'!$X$4:$AD$60,MATCH('5'!$B18,'Unique Asset List'!$A$4:$A$60,0),MATCH('5'!$C$1,'Unique Asset List'!$X$3:$AD$3,0))</f>
        <v>2033</v>
      </c>
      <c r="AA18" s="9">
        <f>INDEX('Unique Asset List'!$AE$4:$AK$60,MATCH('5'!$B18,'Unique Asset List'!$A$4:$A$60,0),MATCH('5'!$C$1,'Unique Asset List'!$AE$3:$AK$3,0))</f>
        <v>11</v>
      </c>
      <c r="AB18" s="16">
        <f t="shared" si="2"/>
        <v>1.8285232000000005</v>
      </c>
      <c r="AC18" s="16">
        <f t="shared" si="3"/>
        <v>0.82350590000000001</v>
      </c>
      <c r="AD18" s="16">
        <f t="shared" si="4"/>
        <v>0.52097279586</v>
      </c>
      <c r="AE18" s="15">
        <f>INDEX('Unique Asset List'!$BN$4:$BT$60,MATCH('5'!$B18,'Unique Asset List'!$A$4:$A$60,0),MATCH('5'!$C$1,'Unique Asset List'!$BN$3:$BT$3,0))</f>
        <v>0.08</v>
      </c>
      <c r="AF18" s="15">
        <f>INDEX('Unique Asset List'!$BU$4:$CA$60,MATCH('5'!$B18,'Unique Asset List'!$A$4:$A$60,0),MATCH('5'!$C$1,'Unique Asset List'!$BU$3:$CA$3,0))</f>
        <v>0.42</v>
      </c>
      <c r="AG18" s="15">
        <f>INDEX('Unique Asset List'!$AZ$4:$BF$60,MATCH('5'!$B18,'Unique Asset List'!$A$4:$A$60,0),MATCH('5'!$C$1,'Unique Asset List'!$AZ$3:$BF$3,0))</f>
        <v>0.08</v>
      </c>
      <c r="AH18" s="15">
        <f>INDEX('Unique Asset List'!$BG$4:$BM$60,MATCH('5'!$B18,'Unique Asset List'!$A$4:$A$60,0),MATCH('5'!$C$1,'Unique Asset List'!$BG$3:$BM$3,0))</f>
        <v>0.42</v>
      </c>
      <c r="AI18" s="11">
        <v>0.96187963349867744</v>
      </c>
      <c r="AJ18" s="15">
        <f>INDEX('Unique Asset List'!$AL$4:$AR$60,MATCH('5'!$B18,'Unique Asset List'!$A$4:$A$60,0),MATCH('5'!$C$1,'Unique Asset List'!$AL$3:$AR$3,0))</f>
        <v>1.2944496352201866</v>
      </c>
      <c r="AK18" s="15">
        <f>INDEX('Unique Asset List'!$AS$4:$AY$60,MATCH('5'!$B18,'Unique Asset List'!$A$4:$A$60,0),MATCH('5'!$C$1,'Unique Asset List'!$AS$3:$AY$3,0))</f>
        <v>-1.4425350046709582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5"/>
        <v>0.82</v>
      </c>
      <c r="AS18" s="10">
        <v>1</v>
      </c>
      <c r="AT18" s="10"/>
      <c r="AU18" s="4">
        <f>IF($C$5="ON",BU18,MyRating(_E1,$B18,Efficacy!$F$1))</f>
        <v>3</v>
      </c>
      <c r="AV18" s="3">
        <f>IF($C$5="ON",BV18,MyRating(_E2,$B18,Efficacy!$F$1))</f>
        <v>4</v>
      </c>
      <c r="AW18" s="3">
        <f>IF($C$5="ON",BW18,MyRating(_E3,$B18,Efficacy!$F$1))</f>
        <v>3</v>
      </c>
      <c r="AX18" s="3">
        <f>IF($C$5="ON",BX18,MyRating(_E4,$B18,Efficacy!$F$1))</f>
        <v>3</v>
      </c>
      <c r="AY18" s="3">
        <f>IF($C$5="ON",BY18,MyRating(_E5,$B18,Efficacy!$F$1))</f>
        <v>3</v>
      </c>
      <c r="AZ18" s="3">
        <f>IF($C$5="ON",BZ18,MyRating(_E6,$B18,Efficacy!$F$1))</f>
        <v>3</v>
      </c>
      <c r="BA18" s="3">
        <f>IF($C$5="ON",CA18,MyRating(_E7,$B18,Efficacy!$F$1))</f>
        <v>3</v>
      </c>
      <c r="BB18" s="3">
        <f>IF($C$5="ON",CB18,MyRating(_E8,$B18,Efficacy!$F$1))</f>
        <v>4</v>
      </c>
      <c r="BC18" s="3">
        <f>IF($C$5="ON",CC18,MyRating(_S1,$B18,Efficacy!$F$1))</f>
        <v>3</v>
      </c>
      <c r="BD18" s="3">
        <f>IF($C$5="ON",CD18,MyRating(_S2,$B18,Efficacy!$F$1))</f>
        <v>3</v>
      </c>
      <c r="BE18" s="3">
        <f>IF($C$5="ON",CE18,MyRating(_S3,$B18,Efficacy!$F$1))</f>
        <v>3</v>
      </c>
      <c r="BF18" s="3">
        <f>IF($C$5="ON",CF18,MyRating(_S4,$B18,Efficacy!$F$1))</f>
        <v>3</v>
      </c>
      <c r="BG18" s="3">
        <f>IF($C$5="ON",CG18,MyRating(_S5,$B18,Efficacy!$F$1))</f>
        <v>5</v>
      </c>
      <c r="BH18" s="3">
        <f>IF($C$5="ON",CH18,MyRating(_S6,$B18,Efficacy!$F$1))</f>
        <v>2</v>
      </c>
      <c r="BI18" s="3">
        <f>IF($C$5="ON",CI18,MyRating(_S7,$B18,Efficacy!$F$1))</f>
        <v>3</v>
      </c>
      <c r="BJ18" s="3">
        <f>IF($C$5="ON",CJ18,MyRating(_D1,$B18,Efficacy!$F$1))</f>
        <v>3</v>
      </c>
      <c r="BK18" s="3">
        <f>IF($C$5="ON",CK18,MyRating(_D2,$B18,Efficacy!$F$1))</f>
        <v>2</v>
      </c>
      <c r="BL18" s="3">
        <f>IF($C$5="ON",CL18,MyRating(_D3,$B18,Efficacy!$F$1))</f>
        <v>3</v>
      </c>
      <c r="BM18" s="3">
        <f>IF($C$5="ON",CM18,MyRating(_D4,$B18,Efficacy!$F$1))</f>
        <v>3</v>
      </c>
      <c r="BN18" s="3">
        <f>IF($C$5="ON",CN18,MyRating(_B1G5,$B18,Barrier!$L$2))</f>
        <v>2</v>
      </c>
      <c r="BO18" s="3">
        <f>IF($C$5="ON",CO18,MyRating(_B2,$B18,Barrier!$F$2))</f>
        <v>3</v>
      </c>
      <c r="BP18" s="6">
        <f>IF($C$5="ON",CP18,MyRating(_B3,$B18,Barrier!$F$2))</f>
        <v>3</v>
      </c>
      <c r="BQ18" s="5">
        <f t="shared" si="6"/>
        <v>3.6275844714639842E-2</v>
      </c>
      <c r="BR18" s="8">
        <f t="shared" si="7"/>
        <v>2.9499999999999997</v>
      </c>
      <c r="BS18" s="5">
        <f t="shared" si="8"/>
        <v>3.60415394013439E-2</v>
      </c>
      <c r="BT18" s="7">
        <f t="shared" si="9"/>
        <v>1.8542316878791175E-2</v>
      </c>
      <c r="BU18" s="4">
        <v>3</v>
      </c>
      <c r="BV18" s="3">
        <v>4</v>
      </c>
      <c r="BW18" s="3">
        <v>3</v>
      </c>
      <c r="BX18" s="3">
        <v>3</v>
      </c>
      <c r="BY18" s="3">
        <v>3</v>
      </c>
      <c r="BZ18" s="3">
        <v>3</v>
      </c>
      <c r="CA18" s="3">
        <v>3</v>
      </c>
      <c r="CB18" s="3">
        <v>4</v>
      </c>
      <c r="CC18" s="3">
        <v>3</v>
      </c>
      <c r="CD18" s="3">
        <v>3</v>
      </c>
      <c r="CE18" s="3">
        <v>3</v>
      </c>
      <c r="CF18" s="3">
        <v>3</v>
      </c>
      <c r="CG18" s="3">
        <v>5</v>
      </c>
      <c r="CH18" s="3">
        <v>2</v>
      </c>
      <c r="CI18" s="3">
        <v>3</v>
      </c>
      <c r="CJ18" s="3">
        <v>3</v>
      </c>
      <c r="CK18" s="3">
        <v>2</v>
      </c>
      <c r="CL18" s="3">
        <v>3</v>
      </c>
      <c r="CM18" s="3">
        <v>3</v>
      </c>
      <c r="CN18" s="3">
        <v>2</v>
      </c>
      <c r="CO18" s="3">
        <v>3</v>
      </c>
      <c r="CP18" s="6">
        <v>3</v>
      </c>
      <c r="CQ18" s="5">
        <v>3.6275844714639842E-2</v>
      </c>
    </row>
    <row r="19" spans="1:95" x14ac:dyDescent="0.35">
      <c r="A19" s="9" t="str">
        <f t="shared" si="0"/>
        <v>ES</v>
      </c>
      <c r="B19" s="9" t="s">
        <v>78</v>
      </c>
      <c r="C19" s="20"/>
      <c r="D19" s="9" t="s">
        <v>77</v>
      </c>
      <c r="E19" s="9" t="s">
        <v>193</v>
      </c>
      <c r="F19" s="9" t="s">
        <v>51</v>
      </c>
      <c r="G19" s="19">
        <v>0</v>
      </c>
      <c r="H19" s="9">
        <v>2014</v>
      </c>
      <c r="I19" s="9">
        <v>6</v>
      </c>
      <c r="J19" s="18">
        <f>INDEX(PTRS!$D$6:$D$12,MATCH('5'!$F19,PTRS!$B$6:$B$12,0))</f>
        <v>0.1638</v>
      </c>
      <c r="K19" s="17">
        <v>0</v>
      </c>
      <c r="L19" s="17">
        <v>0.1638</v>
      </c>
      <c r="M19" s="17">
        <v>5.4600000000000003E-2</v>
      </c>
      <c r="N19" s="17">
        <v>0.1638</v>
      </c>
      <c r="O19" s="17">
        <v>0.1638</v>
      </c>
      <c r="P19" s="17">
        <v>0.1638</v>
      </c>
      <c r="Q19" s="17">
        <v>0.16</v>
      </c>
      <c r="R19" s="17">
        <v>0.16</v>
      </c>
      <c r="S19" s="17">
        <v>1</v>
      </c>
      <c r="T19" s="17"/>
      <c r="U19" s="17">
        <f t="shared" si="1"/>
        <v>0.72649652910676854</v>
      </c>
      <c r="V19" s="17">
        <v>1</v>
      </c>
      <c r="W19" s="9" t="s">
        <v>62</v>
      </c>
      <c r="X19" s="9">
        <f>INDEX('Unique Asset List'!$C$4:$I$60,MATCH('5'!$B19,'Unique Asset List'!$A$4:$A$60,0),MATCH('5'!$C$1,'Unique Asset List'!$C$3:$I$3,0))</f>
        <v>2025</v>
      </c>
      <c r="Y19" s="9">
        <f>INDEX('Unique Asset List'!$J$4:$P$60,MATCH('5'!$B19,'Unique Asset List'!$A$4:$A$60,0),MATCH('5'!$C$1,'Unique Asset List'!$J$3:$P$3,0))</f>
        <v>7.999999999998181</v>
      </c>
      <c r="Z19" s="9">
        <f>INDEX('Unique Asset List'!$X$4:$AD$60,MATCH('5'!$B19,'Unique Asset List'!$A$4:$A$60,0),MATCH('5'!$C$1,'Unique Asset List'!$X$3:$AD$3,0))</f>
        <v>2034</v>
      </c>
      <c r="AA19" s="9">
        <f>INDEX('Unique Asset List'!$AE$4:$AK$60,MATCH('5'!$B19,'Unique Asset List'!$A$4:$A$60,0),MATCH('5'!$C$1,'Unique Asset List'!$AE$3:$AK$3,0))</f>
        <v>7</v>
      </c>
      <c r="AB19" s="16">
        <f t="shared" si="2"/>
        <v>1.8922540000000003</v>
      </c>
      <c r="AC19" s="16">
        <f t="shared" si="3"/>
        <v>0.88497580000000009</v>
      </c>
      <c r="AD19" s="16">
        <f t="shared" si="4"/>
        <v>0.56099999999999994</v>
      </c>
      <c r="AE19" s="15">
        <f>INDEX('Unique Asset List'!$BN$4:$BT$60,MATCH('5'!$B19,'Unique Asset List'!$A$4:$A$60,0),MATCH('5'!$C$1,'Unique Asset List'!$BN$3:$BT$3,0))</f>
        <v>0.14000000000000001</v>
      </c>
      <c r="AF19" s="15">
        <f>INDEX('Unique Asset List'!$BU$4:$CA$60,MATCH('5'!$B19,'Unique Asset List'!$A$4:$A$60,0),MATCH('5'!$C$1,'Unique Asset List'!$BU$3:$CA$3,0))</f>
        <v>0.36</v>
      </c>
      <c r="AG19" s="15">
        <f>INDEX('Unique Asset List'!$AZ$4:$BF$60,MATCH('5'!$B19,'Unique Asset List'!$A$4:$A$60,0),MATCH('5'!$C$1,'Unique Asset List'!$AZ$3:$BF$3,0))</f>
        <v>0.14000000000000001</v>
      </c>
      <c r="AH19" s="15">
        <f>INDEX('Unique Asset List'!$BG$4:$BM$60,MATCH('5'!$B19,'Unique Asset List'!$A$4:$A$60,0),MATCH('5'!$C$1,'Unique Asset List'!$BG$3:$BM$3,0))</f>
        <v>0.36</v>
      </c>
      <c r="AI19" s="11">
        <v>0.96187963349867744</v>
      </c>
      <c r="AJ19" s="15">
        <f>INDEX('Unique Asset List'!$AL$4:$AR$60,MATCH('5'!$B19,'Unique Asset List'!$A$4:$A$60,0),MATCH('5'!$C$1,'Unique Asset List'!$AL$3:$AR$3,0))</f>
        <v>1.2944496352201866</v>
      </c>
      <c r="AK19" s="15">
        <f>INDEX('Unique Asset List'!$AS$4:$AY$60,MATCH('5'!$B19,'Unique Asset List'!$A$4:$A$60,0),MATCH('5'!$C$1,'Unique Asset List'!$AS$3:$AY$3,0))</f>
        <v>-1.4425350046709582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10"/>
      <c r="AU19" s="4">
        <f>IF($C$5="ON",BU19,MyRating(_E1,$B19,Efficacy!$F$1))</f>
        <v>3</v>
      </c>
      <c r="AV19" s="3">
        <f>IF($C$5="ON",BV19,MyRating(_E2,$B19,Efficacy!$F$1))</f>
        <v>3</v>
      </c>
      <c r="AW19" s="3">
        <f>IF($C$5="ON",BW19,MyRating(_E3,$B19,Efficacy!$F$1))</f>
        <v>3</v>
      </c>
      <c r="AX19" s="3">
        <f>IF($C$5="ON",BX19,MyRating(_E4,$B19,Efficacy!$F$1))</f>
        <v>4</v>
      </c>
      <c r="AY19" s="3">
        <f>IF($C$5="ON",BY19,MyRating(_E5,$B19,Efficacy!$F$1))</f>
        <v>3</v>
      </c>
      <c r="AZ19" s="3">
        <f>IF($C$5="ON",BZ19,MyRating(_E6,$B19,Efficacy!$F$1))</f>
        <v>3</v>
      </c>
      <c r="BA19" s="3">
        <f>IF($C$5="ON",CA19,MyRating(_E7,$B19,Efficacy!$F$1))</f>
        <v>3</v>
      </c>
      <c r="BB19" s="3">
        <f>IF($C$5="ON",CB19,MyRating(_E8,$B19,Efficacy!$F$1))</f>
        <v>5</v>
      </c>
      <c r="BC19" s="3">
        <f>IF($C$5="ON",CC19,MyRating(_S1,$B19,Efficacy!$F$1))</f>
        <v>4</v>
      </c>
      <c r="BD19" s="3">
        <f>IF($C$5="ON",CD19,MyRating(_S2,$B19,Efficacy!$F$1))</f>
        <v>3</v>
      </c>
      <c r="BE19" s="3">
        <f>IF($C$5="ON",CE19,MyRating(_S3,$B19,Efficacy!$F$1))</f>
        <v>3</v>
      </c>
      <c r="BF19" s="3">
        <f>IF($C$5="ON",CF19,MyRating(_S4,$B19,Efficacy!$F$1))</f>
        <v>3</v>
      </c>
      <c r="BG19" s="3">
        <f>IF($C$5="ON",CG19,MyRating(_S5,$B19,Efficacy!$F$1))</f>
        <v>5</v>
      </c>
      <c r="BH19" s="3">
        <f>IF($C$5="ON",CH19,MyRating(_S6,$B19,Efficacy!$F$1))</f>
        <v>2</v>
      </c>
      <c r="BI19" s="3">
        <f>IF($C$5="ON",CI19,MyRating(_S7,$B19,Efficacy!$F$1))</f>
        <v>3</v>
      </c>
      <c r="BJ19" s="3">
        <f>IF($C$5="ON",CJ19,MyRating(_D1,$B19,Efficacy!$F$1))</f>
        <v>3</v>
      </c>
      <c r="BK19" s="3">
        <f>IF($C$5="ON",CK19,MyRating(_D2,$B19,Efficacy!$F$1))</f>
        <v>3</v>
      </c>
      <c r="BL19" s="3">
        <f>IF($C$5="ON",CL19,MyRating(_D3,$B19,Efficacy!$F$1))</f>
        <v>3</v>
      </c>
      <c r="BM19" s="3">
        <f>IF($C$5="ON",CM19,MyRating(_D4,$B19,Efficacy!$F$1))</f>
        <v>3</v>
      </c>
      <c r="BN19" s="3">
        <f>IF($C$5="ON",CN19,MyRating(_B1G5,$B19,Barrier!$L$2))</f>
        <v>2</v>
      </c>
      <c r="BO19" s="3">
        <f>IF($C$5="ON",CO19,MyRating(_B2,$B19,Barrier!$F$2))</f>
        <v>3</v>
      </c>
      <c r="BP19" s="6">
        <f>IF($C$5="ON",CP19,MyRating(_B3,$B19,Barrier!$F$2))</f>
        <v>3</v>
      </c>
      <c r="BQ19" s="5">
        <f t="shared" si="6"/>
        <v>3.6275844714639842E-2</v>
      </c>
      <c r="BR19" s="8">
        <f t="shared" si="7"/>
        <v>2.9499999999999997</v>
      </c>
      <c r="BS19" s="5">
        <f t="shared" si="8"/>
        <v>3.60415394013439E-2</v>
      </c>
      <c r="BT19" s="7">
        <f t="shared" si="9"/>
        <v>1.8542316878791175E-2</v>
      </c>
      <c r="BU19" s="4">
        <v>3</v>
      </c>
      <c r="BV19" s="3">
        <v>3</v>
      </c>
      <c r="BW19" s="3">
        <v>3</v>
      </c>
      <c r="BX19" s="3">
        <v>4</v>
      </c>
      <c r="BY19" s="3">
        <v>3</v>
      </c>
      <c r="BZ19" s="3">
        <v>3</v>
      </c>
      <c r="CA19" s="3">
        <v>3</v>
      </c>
      <c r="CB19" s="3">
        <v>5</v>
      </c>
      <c r="CC19" s="3">
        <v>4</v>
      </c>
      <c r="CD19" s="3">
        <v>3</v>
      </c>
      <c r="CE19" s="3">
        <v>3</v>
      </c>
      <c r="CF19" s="3">
        <v>3</v>
      </c>
      <c r="CG19" s="3">
        <v>5</v>
      </c>
      <c r="CH19" s="3">
        <v>2</v>
      </c>
      <c r="CI19" s="3">
        <v>3</v>
      </c>
      <c r="CJ19" s="3">
        <v>3</v>
      </c>
      <c r="CK19" s="3">
        <v>3</v>
      </c>
      <c r="CL19" s="3">
        <v>3</v>
      </c>
      <c r="CM19" s="3">
        <v>3</v>
      </c>
      <c r="CN19" s="3">
        <v>2</v>
      </c>
      <c r="CO19" s="3">
        <v>3</v>
      </c>
      <c r="CP19" s="6">
        <v>3</v>
      </c>
      <c r="CQ19" s="5">
        <v>3.6275844714639842E-2</v>
      </c>
    </row>
    <row r="20" spans="1:95" x14ac:dyDescent="0.35">
      <c r="A20" s="9" t="str">
        <f t="shared" si="0"/>
        <v>ES</v>
      </c>
      <c r="B20" s="9" t="s">
        <v>39</v>
      </c>
      <c r="C20" s="20"/>
      <c r="D20" s="9" t="s">
        <v>2</v>
      </c>
      <c r="E20" s="9" t="s">
        <v>193</v>
      </c>
      <c r="F20" s="9" t="s">
        <v>43</v>
      </c>
      <c r="G20" s="19">
        <v>0</v>
      </c>
      <c r="H20" s="9">
        <v>2014</v>
      </c>
      <c r="I20" s="9">
        <v>6</v>
      </c>
      <c r="J20" s="18">
        <f>INDEX(PTRS!$D$6:$D$12,MATCH('5'!$F20,PTRS!$B$6:$B$12,0))</f>
        <v>0.40949999999999998</v>
      </c>
      <c r="K20" s="17">
        <v>0</v>
      </c>
      <c r="L20" s="17">
        <v>0.40949999999999998</v>
      </c>
      <c r="M20" s="17">
        <v>0.40949999999999998</v>
      </c>
      <c r="N20" s="17">
        <v>0.4</v>
      </c>
      <c r="O20" s="17">
        <v>0.4</v>
      </c>
      <c r="P20" s="17">
        <v>0.40949999999999998</v>
      </c>
      <c r="Q20" s="17">
        <v>1</v>
      </c>
      <c r="R20" s="17">
        <v>1</v>
      </c>
      <c r="S20" s="17">
        <v>1</v>
      </c>
      <c r="T20" s="17"/>
      <c r="U20" s="17">
        <f t="shared" si="1"/>
        <v>0.72649652910676854</v>
      </c>
      <c r="V20" s="17">
        <v>1</v>
      </c>
      <c r="W20" s="9" t="s">
        <v>38</v>
      </c>
      <c r="X20" s="9">
        <f>INDEX('Unique Asset List'!$C$4:$I$60,MATCH('5'!$B20,'Unique Asset List'!$A$4:$A$60,0),MATCH('5'!$C$1,'Unique Asset List'!$C$3:$I$3,0))</f>
        <v>2024</v>
      </c>
      <c r="Y20" s="9">
        <f>INDEX('Unique Asset List'!$J$4:$P$60,MATCH('5'!$B20,'Unique Asset List'!$A$4:$A$60,0),MATCH('5'!$C$1,'Unique Asset List'!$J$3:$P$3,0))</f>
        <v>9</v>
      </c>
      <c r="Z20" s="9">
        <f>INDEX('Unique Asset List'!$X$4:$AD$60,MATCH('5'!$B20,'Unique Asset List'!$A$4:$A$60,0),MATCH('5'!$C$1,'Unique Asset List'!$X$3:$AD$3,0))</f>
        <v>2034</v>
      </c>
      <c r="AA20" s="9">
        <f>INDEX('Unique Asset List'!$AE$4:$AK$60,MATCH('5'!$B20,'Unique Asset List'!$A$4:$A$60,0),MATCH('5'!$C$1,'Unique Asset List'!$AE$3:$AK$3,0))</f>
        <v>3</v>
      </c>
      <c r="AB20" s="16">
        <f t="shared" si="2"/>
        <v>1.7951404000000002</v>
      </c>
      <c r="AC20" s="16">
        <f t="shared" si="3"/>
        <v>0.94451300000000005</v>
      </c>
      <c r="AD20" s="16">
        <f t="shared" si="4"/>
        <v>0.52097279586</v>
      </c>
      <c r="AE20" s="15">
        <f>INDEX('Unique Asset List'!$BN$4:$BT$60,MATCH('5'!$B20,'Unique Asset List'!$A$4:$A$60,0),MATCH('5'!$C$1,'Unique Asset List'!$BN$3:$BT$3,0))</f>
        <v>0.08</v>
      </c>
      <c r="AF20" s="15">
        <f>INDEX('Unique Asset List'!$BU$4:$CA$60,MATCH('5'!$B20,'Unique Asset List'!$A$4:$A$60,0),MATCH('5'!$C$1,'Unique Asset List'!$BU$3:$CA$3,0))</f>
        <v>0.42</v>
      </c>
      <c r="AG20" s="15">
        <f>INDEX('Unique Asset List'!$AZ$4:$BF$60,MATCH('5'!$B20,'Unique Asset List'!$A$4:$A$60,0),MATCH('5'!$C$1,'Unique Asset List'!$AZ$3:$BF$3,0))</f>
        <v>0.08</v>
      </c>
      <c r="AH20" s="15">
        <f>INDEX('Unique Asset List'!$BG$4:$BM$60,MATCH('5'!$B20,'Unique Asset List'!$A$4:$A$60,0),MATCH('5'!$C$1,'Unique Asset List'!$BG$3:$BM$3,0))</f>
        <v>0.42</v>
      </c>
      <c r="AI20" s="11">
        <v>0.96187963349867744</v>
      </c>
      <c r="AJ20" s="15">
        <f>INDEX('Unique Asset List'!$AL$4:$AR$60,MATCH('5'!$B20,'Unique Asset List'!$A$4:$A$60,0),MATCH('5'!$C$1,'Unique Asset List'!$AL$3:$AR$3,0))</f>
        <v>1.2944496352201866</v>
      </c>
      <c r="AK20" s="15">
        <f>INDEX('Unique Asset List'!$AS$4:$AY$60,MATCH('5'!$B20,'Unique Asset List'!$A$4:$A$60,0),MATCH('5'!$C$1,'Unique Asset List'!$AS$3:$AY$3,0))</f>
        <v>-1.4425350046709582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10"/>
      <c r="AU20" s="4">
        <f>IF($C$5="ON",BU20,MyRating(_E1,$B20,Efficacy!$F$1))</f>
        <v>4</v>
      </c>
      <c r="AV20" s="3">
        <f>IF($C$5="ON",BV20,MyRating(_E2,$B20,Efficacy!$F$1))</f>
        <v>3</v>
      </c>
      <c r="AW20" s="3">
        <f>IF($C$5="ON",BW20,MyRating(_E3,$B20,Efficacy!$F$1))</f>
        <v>3</v>
      </c>
      <c r="AX20" s="3">
        <f>IF($C$5="ON",BX20,MyRating(_E4,$B20,Efficacy!$F$1))</f>
        <v>4</v>
      </c>
      <c r="AY20" s="3">
        <f>IF($C$5="ON",BY20,MyRating(_E5,$B20,Efficacy!$F$1))</f>
        <v>3</v>
      </c>
      <c r="AZ20" s="3">
        <f>IF($C$5="ON",BZ20,MyRating(_E6,$B20,Efficacy!$F$1))</f>
        <v>2</v>
      </c>
      <c r="BA20" s="3">
        <f>IF($C$5="ON",CA20,MyRating(_E7,$B20,Efficacy!$F$1))</f>
        <v>3</v>
      </c>
      <c r="BB20" s="3">
        <f>IF($C$5="ON",CB20,MyRating(_E8,$B20,Efficacy!$F$1))</f>
        <v>3</v>
      </c>
      <c r="BC20" s="3">
        <f>IF($C$5="ON",CC20,MyRating(_S1,$B20,Efficacy!$F$1))</f>
        <v>4</v>
      </c>
      <c r="BD20" s="3">
        <f>IF($C$5="ON",CD20,MyRating(_S2,$B20,Efficacy!$F$1))</f>
        <v>4</v>
      </c>
      <c r="BE20" s="3">
        <f>IF($C$5="ON",CE20,MyRating(_S3,$B20,Efficacy!$F$1))</f>
        <v>3</v>
      </c>
      <c r="BF20" s="3">
        <f>IF($C$5="ON",CF20,MyRating(_S4,$B20,Efficacy!$F$1))</f>
        <v>4</v>
      </c>
      <c r="BG20" s="3">
        <f>IF($C$5="ON",CG20,MyRating(_S5,$B20,Efficacy!$F$1))</f>
        <v>5</v>
      </c>
      <c r="BH20" s="3">
        <f>IF($C$5="ON",CH20,MyRating(_S6,$B20,Efficacy!$F$1))</f>
        <v>2</v>
      </c>
      <c r="BI20" s="3">
        <f>IF($C$5="ON",CI20,MyRating(_S7,$B20,Efficacy!$F$1))</f>
        <v>3</v>
      </c>
      <c r="BJ20" s="3">
        <f>IF($C$5="ON",CJ20,MyRating(_D1,$B20,Efficacy!$F$1))</f>
        <v>3</v>
      </c>
      <c r="BK20" s="3">
        <f>IF($C$5="ON",CK20,MyRating(_D2,$B20,Efficacy!$F$1))</f>
        <v>2</v>
      </c>
      <c r="BL20" s="3">
        <f>IF($C$5="ON",CL20,MyRating(_D3,$B20,Efficacy!$F$1))</f>
        <v>3</v>
      </c>
      <c r="BM20" s="3">
        <f>IF($C$5="ON",CM20,MyRating(_D4,$B20,Efficacy!$F$1))</f>
        <v>3</v>
      </c>
      <c r="BN20" s="3">
        <f>IF($C$5="ON",CN20,MyRating(_B1G5,$B20,Barrier!$L$2))</f>
        <v>2</v>
      </c>
      <c r="BO20" s="3">
        <f>IF($C$5="ON",CO20,MyRating(_B2,$B20,Barrier!$F$2))</f>
        <v>3</v>
      </c>
      <c r="BP20" s="6">
        <f>IF($C$5="ON",CP20,MyRating(_B3,$B20,Barrier!$F$2))</f>
        <v>3</v>
      </c>
      <c r="BQ20" s="5">
        <f t="shared" si="6"/>
        <v>3.6275844714639842E-2</v>
      </c>
      <c r="BR20" s="8">
        <f t="shared" si="7"/>
        <v>2.9499999999999997</v>
      </c>
      <c r="BS20" s="5">
        <f t="shared" si="8"/>
        <v>3.60415394013439E-2</v>
      </c>
      <c r="BT20" s="7">
        <f t="shared" si="9"/>
        <v>1.8542316878791175E-2</v>
      </c>
      <c r="BU20" s="4">
        <v>4</v>
      </c>
      <c r="BV20" s="3">
        <v>3</v>
      </c>
      <c r="BW20" s="3">
        <v>3</v>
      </c>
      <c r="BX20" s="3">
        <v>4</v>
      </c>
      <c r="BY20" s="3">
        <v>3</v>
      </c>
      <c r="BZ20" s="3">
        <v>2</v>
      </c>
      <c r="CA20" s="3">
        <v>3</v>
      </c>
      <c r="CB20" s="3">
        <v>3</v>
      </c>
      <c r="CC20" s="3">
        <v>4</v>
      </c>
      <c r="CD20" s="3">
        <v>4</v>
      </c>
      <c r="CE20" s="3">
        <v>3</v>
      </c>
      <c r="CF20" s="3">
        <v>4</v>
      </c>
      <c r="CG20" s="3">
        <v>5</v>
      </c>
      <c r="CH20" s="3">
        <v>2</v>
      </c>
      <c r="CI20" s="3">
        <v>3</v>
      </c>
      <c r="CJ20" s="3">
        <v>3</v>
      </c>
      <c r="CK20" s="3">
        <v>2</v>
      </c>
      <c r="CL20" s="3">
        <v>3</v>
      </c>
      <c r="CM20" s="3">
        <v>3</v>
      </c>
      <c r="CN20" s="3">
        <v>2</v>
      </c>
      <c r="CO20" s="3">
        <v>3</v>
      </c>
      <c r="CP20" s="6">
        <v>3</v>
      </c>
      <c r="CQ20" s="5">
        <v>3.6275844714639842E-2</v>
      </c>
    </row>
    <row r="21" spans="1:95" x14ac:dyDescent="0.35">
      <c r="A21" s="9" t="str">
        <f t="shared" si="0"/>
        <v>ES</v>
      </c>
      <c r="B21" s="9" t="s">
        <v>76</v>
      </c>
      <c r="C21" s="20"/>
      <c r="D21" s="9" t="s">
        <v>75</v>
      </c>
      <c r="E21" s="9" t="s">
        <v>193</v>
      </c>
      <c r="F21" s="9" t="s">
        <v>51</v>
      </c>
      <c r="G21" s="19">
        <v>0</v>
      </c>
      <c r="H21" s="9">
        <v>2014</v>
      </c>
      <c r="I21" s="9">
        <v>6</v>
      </c>
      <c r="J21" s="18">
        <f>INDEX(PTRS!$D$6:$D$12,MATCH('5'!$F21,PTRS!$B$6:$B$12,0))</f>
        <v>0.1638</v>
      </c>
      <c r="K21" s="17">
        <v>0</v>
      </c>
      <c r="L21" s="17">
        <v>0.1638</v>
      </c>
      <c r="M21" s="17">
        <v>0.1638</v>
      </c>
      <c r="N21" s="17">
        <v>0.1638</v>
      </c>
      <c r="O21" s="17">
        <v>0.1638</v>
      </c>
      <c r="P21" s="17">
        <v>0.1638</v>
      </c>
      <c r="Q21" s="17">
        <v>0.16</v>
      </c>
      <c r="R21" s="17">
        <v>0.16</v>
      </c>
      <c r="S21" s="17">
        <v>1</v>
      </c>
      <c r="T21" s="17"/>
      <c r="U21" s="17">
        <f t="shared" si="1"/>
        <v>0.72649652910676854</v>
      </c>
      <c r="V21" s="17">
        <v>1</v>
      </c>
      <c r="W21" s="9" t="s">
        <v>27</v>
      </c>
      <c r="X21" s="9">
        <f>INDEX('Unique Asset List'!$C$4:$I$60,MATCH('5'!$B21,'Unique Asset List'!$A$4:$A$60,0),MATCH('5'!$C$1,'Unique Asset List'!$C$3:$I$3,0))</f>
        <v>2025</v>
      </c>
      <c r="Y21" s="9">
        <f>INDEX('Unique Asset List'!$J$4:$P$60,MATCH('5'!$B21,'Unique Asset List'!$A$4:$A$60,0),MATCH('5'!$C$1,'Unique Asset List'!$J$3:$P$3,0))</f>
        <v>6.9999999999990905</v>
      </c>
      <c r="Z21" s="9">
        <f>INDEX('Unique Asset List'!$X$4:$AD$60,MATCH('5'!$B21,'Unique Asset List'!$A$4:$A$60,0),MATCH('5'!$C$1,'Unique Asset List'!$X$3:$AD$3,0))</f>
        <v>2034</v>
      </c>
      <c r="AA21" s="9">
        <f>INDEX('Unique Asset List'!$AE$4:$AK$60,MATCH('5'!$B21,'Unique Asset List'!$A$4:$A$60,0),MATCH('5'!$C$1,'Unique Asset List'!$AE$3:$AK$3,0))</f>
        <v>6</v>
      </c>
      <c r="AB21" s="16">
        <f t="shared" si="2"/>
        <v>2.0119600000000002</v>
      </c>
      <c r="AC21" s="16">
        <f t="shared" si="3"/>
        <v>0.76203600000000005</v>
      </c>
      <c r="AD21" s="16">
        <f t="shared" si="4"/>
        <v>0.56099999999999994</v>
      </c>
      <c r="AE21" s="15">
        <f>INDEX('Unique Asset List'!$BN$4:$BT$60,MATCH('5'!$B21,'Unique Asset List'!$A$4:$A$60,0),MATCH('5'!$C$1,'Unique Asset List'!$BN$3:$BT$3,0))</f>
        <v>0.08</v>
      </c>
      <c r="AF21" s="15">
        <f>INDEX('Unique Asset List'!$BU$4:$CA$60,MATCH('5'!$B21,'Unique Asset List'!$A$4:$A$60,0),MATCH('5'!$C$1,'Unique Asset List'!$BU$3:$CA$3,0))</f>
        <v>0.42</v>
      </c>
      <c r="AG21" s="15">
        <f>INDEX('Unique Asset List'!$AZ$4:$BF$60,MATCH('5'!$B21,'Unique Asset List'!$A$4:$A$60,0),MATCH('5'!$C$1,'Unique Asset List'!$AZ$3:$BF$3,0))</f>
        <v>0.08</v>
      </c>
      <c r="AH21" s="15">
        <f>INDEX('Unique Asset List'!$BG$4:$BM$60,MATCH('5'!$B21,'Unique Asset List'!$A$4:$A$60,0),MATCH('5'!$C$1,'Unique Asset List'!$BG$3:$BM$3,0))</f>
        <v>0.42</v>
      </c>
      <c r="AI21" s="11">
        <v>0.96187963349867744</v>
      </c>
      <c r="AJ21" s="15">
        <f>INDEX('Unique Asset List'!$AL$4:$AR$60,MATCH('5'!$B21,'Unique Asset List'!$A$4:$A$60,0),MATCH('5'!$C$1,'Unique Asset List'!$AL$3:$AR$3,0))</f>
        <v>1.2944496352201866</v>
      </c>
      <c r="AK21" s="15">
        <f>INDEX('Unique Asset List'!$AS$4:$AY$60,MATCH('5'!$B21,'Unique Asset List'!$A$4:$A$60,0),MATCH('5'!$C$1,'Unique Asset List'!$AS$3:$AY$3,0))</f>
        <v>-1.4425350046709582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10"/>
      <c r="AU21" s="4">
        <f>IF($C$5="ON",BU21,MyRating(_E1,$B21,Efficacy!$F$1))</f>
        <v>4</v>
      </c>
      <c r="AV21" s="3">
        <f>IF($C$5="ON",BV21,MyRating(_E2,$B21,Efficacy!$F$1))</f>
        <v>4</v>
      </c>
      <c r="AW21" s="3">
        <f>IF($C$5="ON",BW21,MyRating(_E3,$B21,Efficacy!$F$1))</f>
        <v>4</v>
      </c>
      <c r="AX21" s="3">
        <f>IF($C$5="ON",BX21,MyRating(_E4,$B21,Efficacy!$F$1))</f>
        <v>3</v>
      </c>
      <c r="AY21" s="3">
        <f>IF($C$5="ON",BY21,MyRating(_E5,$B21,Efficacy!$F$1))</f>
        <v>3</v>
      </c>
      <c r="AZ21" s="3">
        <f>IF($C$5="ON",BZ21,MyRating(_E6,$B21,Efficacy!$F$1))</f>
        <v>2</v>
      </c>
      <c r="BA21" s="3">
        <f>IF($C$5="ON",CA21,MyRating(_E7,$B21,Efficacy!$F$1))</f>
        <v>3</v>
      </c>
      <c r="BB21" s="3">
        <f>IF($C$5="ON",CB21,MyRating(_E8,$B21,Efficacy!$F$1))</f>
        <v>5</v>
      </c>
      <c r="BC21" s="3">
        <f>IF($C$5="ON",CC21,MyRating(_S1,$B21,Efficacy!$F$1))</f>
        <v>2</v>
      </c>
      <c r="BD21" s="3">
        <f>IF($C$5="ON",CD21,MyRating(_S2,$B21,Efficacy!$F$1))</f>
        <v>3</v>
      </c>
      <c r="BE21" s="3">
        <f>IF($C$5="ON",CE21,MyRating(_S3,$B21,Efficacy!$F$1))</f>
        <v>3</v>
      </c>
      <c r="BF21" s="3">
        <f>IF($C$5="ON",CF21,MyRating(_S4,$B21,Efficacy!$F$1))</f>
        <v>3</v>
      </c>
      <c r="BG21" s="3">
        <f>IF($C$5="ON",CG21,MyRating(_S5,$B21,Efficacy!$F$1))</f>
        <v>5</v>
      </c>
      <c r="BH21" s="3">
        <f>IF($C$5="ON",CH21,MyRating(_S6,$B21,Efficacy!$F$1))</f>
        <v>2</v>
      </c>
      <c r="BI21" s="3">
        <f>IF($C$5="ON",CI21,MyRating(_S7,$B21,Efficacy!$F$1))</f>
        <v>3</v>
      </c>
      <c r="BJ21" s="3">
        <f>IF($C$5="ON",CJ21,MyRating(_D1,$B21,Efficacy!$F$1))</f>
        <v>3</v>
      </c>
      <c r="BK21" s="3">
        <f>IF($C$5="ON",CK21,MyRating(_D2,$B21,Efficacy!$F$1))</f>
        <v>3</v>
      </c>
      <c r="BL21" s="3">
        <f>IF($C$5="ON",CL21,MyRating(_D3,$B21,Efficacy!$F$1))</f>
        <v>3</v>
      </c>
      <c r="BM21" s="3">
        <f>IF($C$5="ON",CM21,MyRating(_D4,$B21,Efficacy!$F$1))</f>
        <v>3</v>
      </c>
      <c r="BN21" s="3">
        <f>IF($C$5="ON",CN21,MyRating(_B1G5,$B21,Barrier!$L$2))</f>
        <v>2</v>
      </c>
      <c r="BO21" s="3">
        <f>IF($C$5="ON",CO21,MyRating(_B2,$B21,Barrier!$F$2))</f>
        <v>3</v>
      </c>
      <c r="BP21" s="6">
        <f>IF($C$5="ON",CP21,MyRating(_B3,$B21,Barrier!$F$2))</f>
        <v>3</v>
      </c>
      <c r="BQ21" s="5">
        <f t="shared" si="6"/>
        <v>3.6275844714639842E-2</v>
      </c>
      <c r="BR21" s="8">
        <f t="shared" si="7"/>
        <v>2.9499999999999997</v>
      </c>
      <c r="BS21" s="5">
        <f t="shared" si="8"/>
        <v>3.60415394013439E-2</v>
      </c>
      <c r="BT21" s="7">
        <f t="shared" si="9"/>
        <v>1.8542316878791175E-2</v>
      </c>
      <c r="BU21" s="4">
        <v>4</v>
      </c>
      <c r="BV21" s="3">
        <v>4</v>
      </c>
      <c r="BW21" s="3">
        <v>4</v>
      </c>
      <c r="BX21" s="3">
        <v>3</v>
      </c>
      <c r="BY21" s="3">
        <v>3</v>
      </c>
      <c r="BZ21" s="3">
        <v>2</v>
      </c>
      <c r="CA21" s="3">
        <v>3</v>
      </c>
      <c r="CB21" s="3">
        <v>5</v>
      </c>
      <c r="CC21" s="3">
        <v>2</v>
      </c>
      <c r="CD21" s="3">
        <v>3</v>
      </c>
      <c r="CE21" s="3">
        <v>3</v>
      </c>
      <c r="CF21" s="3">
        <v>3</v>
      </c>
      <c r="CG21" s="3">
        <v>5</v>
      </c>
      <c r="CH21" s="3">
        <v>2</v>
      </c>
      <c r="CI21" s="3">
        <v>3</v>
      </c>
      <c r="CJ21" s="3">
        <v>3</v>
      </c>
      <c r="CK21" s="3">
        <v>3</v>
      </c>
      <c r="CL21" s="3">
        <v>3</v>
      </c>
      <c r="CM21" s="3">
        <v>3</v>
      </c>
      <c r="CN21" s="3">
        <v>2</v>
      </c>
      <c r="CO21" s="3">
        <v>3</v>
      </c>
      <c r="CP21" s="6">
        <v>3</v>
      </c>
      <c r="CQ21" s="5">
        <v>3.6275844714639842E-2</v>
      </c>
    </row>
    <row r="22" spans="1:95" x14ac:dyDescent="0.35">
      <c r="A22" s="9" t="str">
        <f t="shared" si="0"/>
        <v>ES</v>
      </c>
      <c r="B22" s="9" t="s">
        <v>69</v>
      </c>
      <c r="C22" s="20" t="s">
        <v>3</v>
      </c>
      <c r="D22" s="9" t="s">
        <v>2</v>
      </c>
      <c r="E22" s="9" t="s">
        <v>193</v>
      </c>
      <c r="F22" s="9" t="s">
        <v>51</v>
      </c>
      <c r="G22" s="19">
        <v>0</v>
      </c>
      <c r="H22" s="9">
        <v>2014</v>
      </c>
      <c r="I22" s="9">
        <v>6</v>
      </c>
      <c r="J22" s="18">
        <f>INDEX(PTRS!$D$6:$D$12,MATCH('5'!$F22,PTRS!$B$6:$B$12,0))</f>
        <v>0.1638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0.1638</v>
      </c>
      <c r="Q22" s="17">
        <v>0</v>
      </c>
      <c r="R22" s="17">
        <v>0</v>
      </c>
      <c r="S22" s="17">
        <v>1</v>
      </c>
      <c r="T22" s="17"/>
      <c r="U22" s="17">
        <f t="shared" si="1"/>
        <v>0.19835681424527862</v>
      </c>
      <c r="V22" s="17">
        <v>1</v>
      </c>
      <c r="W22" s="9" t="s">
        <v>62</v>
      </c>
      <c r="X22" s="9">
        <f>INDEX('Unique Asset List'!$C$4:$I$60,MATCH('5'!$B22,'Unique Asset List'!$A$4:$A$60,0),MATCH('5'!$C$1,'Unique Asset List'!$C$3:$I$3,0))</f>
        <v>2025</v>
      </c>
      <c r="Y22" s="9">
        <f>INDEX('Unique Asset List'!$J$4:$P$60,MATCH('5'!$B22,'Unique Asset List'!$A$4:$A$60,0),MATCH('5'!$C$1,'Unique Asset List'!$J$3:$P$3,0))</f>
        <v>9.9999999999990905</v>
      </c>
      <c r="Z22" s="9">
        <f>INDEX('Unique Asset List'!$X$4:$AD$60,MATCH('5'!$B22,'Unique Asset List'!$A$4:$A$60,0),MATCH('5'!$C$1,'Unique Asset List'!$X$3:$AD$3,0))</f>
        <v>2026</v>
      </c>
      <c r="AA22" s="9">
        <f>INDEX('Unique Asset List'!$AE$4:$AK$60,MATCH('5'!$B22,'Unique Asset List'!$A$4:$A$60,0),MATCH('5'!$C$1,'Unique Asset List'!$AE$3:$AK$3,0))</f>
        <v>9</v>
      </c>
      <c r="AB22" s="16">
        <f t="shared" si="2"/>
        <v>2.3511832000000004</v>
      </c>
      <c r="AC22" s="16">
        <f t="shared" si="3"/>
        <v>0.94644569999999995</v>
      </c>
      <c r="AD22" s="16">
        <f t="shared" si="4"/>
        <v>0.39141474525999997</v>
      </c>
      <c r="AE22" s="15">
        <f>INDEX('Unique Asset List'!$BN$4:$BT$60,MATCH('5'!$B22,'Unique Asset List'!$A$4:$A$60,0),MATCH('5'!$C$1,'Unique Asset List'!$BN$3:$BT$3,0))</f>
        <v>0.14000000000000001</v>
      </c>
      <c r="AF22" s="15">
        <f>INDEX('Unique Asset List'!$BU$4:$CA$60,MATCH('5'!$B22,'Unique Asset List'!$A$4:$A$60,0),MATCH('5'!$C$1,'Unique Asset List'!$BU$3:$CA$3,0))</f>
        <v>0.36</v>
      </c>
      <c r="AG22" s="15">
        <f>INDEX('Unique Asset List'!$AZ$4:$BF$60,MATCH('5'!$B22,'Unique Asset List'!$A$4:$A$60,0),MATCH('5'!$C$1,'Unique Asset List'!$AZ$3:$BF$3,0))</f>
        <v>0.14000000000000001</v>
      </c>
      <c r="AH22" s="15">
        <f>INDEX('Unique Asset List'!$BG$4:$BM$60,MATCH('5'!$B22,'Unique Asset List'!$A$4:$A$60,0),MATCH('5'!$C$1,'Unique Asset List'!$BG$3:$BM$3,0))</f>
        <v>0.36</v>
      </c>
      <c r="AI22" s="11">
        <v>0.96187963349867744</v>
      </c>
      <c r="AJ22" s="15">
        <f>INDEX('Unique Asset List'!$AL$4:$AR$60,MATCH('5'!$B22,'Unique Asset List'!$A$4:$A$60,0),MATCH('5'!$C$1,'Unique Asset List'!$AL$3:$AR$3,0))</f>
        <v>1.2944496352201866</v>
      </c>
      <c r="AK22" s="15">
        <f>INDEX('Unique Asset List'!$AS$4:$AY$60,MATCH('5'!$B22,'Unique Asset List'!$A$4:$A$60,0),MATCH('5'!$C$1,'Unique Asset List'!$AS$3:$AY$3,0))</f>
        <v>-1.4425350046709582</v>
      </c>
      <c r="AL22" s="9">
        <v>177.56756756756758</v>
      </c>
      <c r="AM22" s="14">
        <v>28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f>2.8*37/365</f>
        <v>0.28383561643835614</v>
      </c>
      <c r="AT22" s="10"/>
      <c r="AU22" s="4">
        <f>IF($C$5="ON",BU22,MyRating(_E1,$B22,Efficacy!$F$1))</f>
        <v>5</v>
      </c>
      <c r="AV22" s="3">
        <f>IF($C$5="ON",BV22,MyRating(_E2,$B22,Efficacy!$F$1))</f>
        <v>5</v>
      </c>
      <c r="AW22" s="3">
        <f>IF($C$5="ON",BW22,MyRating(_E3,$B22,Efficacy!$F$1))</f>
        <v>5</v>
      </c>
      <c r="AX22" s="3">
        <f>IF($C$5="ON",BX22,MyRating(_E4,$B22,Efficacy!$F$1))</f>
        <v>4</v>
      </c>
      <c r="AY22" s="3">
        <f>IF($C$5="ON",BY22,MyRating(_E5,$B22,Efficacy!$F$1))</f>
        <v>3</v>
      </c>
      <c r="AZ22" s="3">
        <f>IF($C$5="ON",BZ22,MyRating(_E6,$B22,Efficacy!$F$1))</f>
        <v>3</v>
      </c>
      <c r="BA22" s="3">
        <f>IF($C$5="ON",CA22,MyRating(_E7,$B22,Efficacy!$F$1))</f>
        <v>3</v>
      </c>
      <c r="BB22" s="3">
        <f>IF($C$5="ON",CB22,MyRating(_E8,$B22,Efficacy!$F$1))</f>
        <v>4</v>
      </c>
      <c r="BC22" s="3">
        <f>IF($C$5="ON",CC22,MyRating(_S1,$B22,Efficacy!$F$1))</f>
        <v>5</v>
      </c>
      <c r="BD22" s="3">
        <f>IF($C$5="ON",CD22,MyRating(_S2,$B22,Efficacy!$F$1))</f>
        <v>3</v>
      </c>
      <c r="BE22" s="3">
        <f>IF($C$5="ON",CE22,MyRating(_S3,$B22,Efficacy!$F$1))</f>
        <v>3</v>
      </c>
      <c r="BF22" s="3">
        <f>IF($C$5="ON",CF22,MyRating(_S4,$B22,Efficacy!$F$1))</f>
        <v>3</v>
      </c>
      <c r="BG22" s="3">
        <f>IF($C$5="ON",CG22,MyRating(_S5,$B22,Efficacy!$F$1))</f>
        <v>5</v>
      </c>
      <c r="BH22" s="3">
        <f>IF($C$5="ON",CH22,MyRating(_S6,$B22,Efficacy!$F$1))</f>
        <v>2</v>
      </c>
      <c r="BI22" s="3">
        <f>IF($C$5="ON",CI22,MyRating(_S7,$B22,Efficacy!$F$1))</f>
        <v>3</v>
      </c>
      <c r="BJ22" s="3">
        <f>IF($C$5="ON",CJ22,MyRating(_D1,$B22,Efficacy!$F$1))</f>
        <v>2</v>
      </c>
      <c r="BK22" s="3">
        <f>IF($C$5="ON",CK22,MyRating(_D2,$B22,Efficacy!$F$1))</f>
        <v>3</v>
      </c>
      <c r="BL22" s="3">
        <f>IF($C$5="ON",CL22,MyRating(_D3,$B22,Efficacy!$F$1))</f>
        <v>3</v>
      </c>
      <c r="BM22" s="3">
        <f>IF($C$5="ON",CM22,MyRating(_D4,$B22,Efficacy!$F$1))</f>
        <v>1</v>
      </c>
      <c r="BN22" s="3">
        <f>IF($C$5="ON",CN22,MyRating(_B1G5,$B22,Barrier!$L$2))</f>
        <v>1</v>
      </c>
      <c r="BO22" s="3">
        <f>IF($C$5="ON",CO22,MyRating(_B2,$B22,Barrier!$F$2))</f>
        <v>1</v>
      </c>
      <c r="BP22" s="6">
        <f>IF($C$5="ON",CP22,MyRating(_B3,$B22,Barrier!$F$2))</f>
        <v>1</v>
      </c>
      <c r="BQ22" s="5">
        <f t="shared" si="6"/>
        <v>9.9044671286996639E-3</v>
      </c>
      <c r="BR22" s="8">
        <f t="shared" si="7"/>
        <v>1</v>
      </c>
      <c r="BS22" s="5">
        <f t="shared" si="8"/>
        <v>1.2217470983506409E-2</v>
      </c>
      <c r="BT22" s="7">
        <f t="shared" si="9"/>
        <v>5.0626462170790974E-3</v>
      </c>
      <c r="BU22" s="4">
        <v>5</v>
      </c>
      <c r="BV22" s="3">
        <v>5</v>
      </c>
      <c r="BW22" s="3">
        <v>5</v>
      </c>
      <c r="BX22" s="3">
        <v>4</v>
      </c>
      <c r="BY22" s="3">
        <v>3</v>
      </c>
      <c r="BZ22" s="3">
        <v>3</v>
      </c>
      <c r="CA22" s="3">
        <v>3</v>
      </c>
      <c r="CB22" s="3">
        <v>4</v>
      </c>
      <c r="CC22" s="3">
        <v>5</v>
      </c>
      <c r="CD22" s="3">
        <v>3</v>
      </c>
      <c r="CE22" s="3">
        <v>3</v>
      </c>
      <c r="CF22" s="3">
        <v>3</v>
      </c>
      <c r="CG22" s="3">
        <v>5</v>
      </c>
      <c r="CH22" s="3">
        <v>2</v>
      </c>
      <c r="CI22" s="3">
        <v>3</v>
      </c>
      <c r="CJ22" s="3">
        <v>2</v>
      </c>
      <c r="CK22" s="3">
        <v>3</v>
      </c>
      <c r="CL22" s="3">
        <v>3</v>
      </c>
      <c r="CM22" s="3">
        <v>1</v>
      </c>
      <c r="CN22" s="3">
        <v>1</v>
      </c>
      <c r="CO22" s="3">
        <v>1</v>
      </c>
      <c r="CP22" s="6">
        <v>1</v>
      </c>
      <c r="CQ22" s="5">
        <v>9.9044671286996639E-3</v>
      </c>
    </row>
    <row r="23" spans="1:95" x14ac:dyDescent="0.35">
      <c r="A23" s="9" t="str">
        <f t="shared" si="0"/>
        <v>ES</v>
      </c>
      <c r="B23" s="9" t="s">
        <v>74</v>
      </c>
      <c r="C23" s="20" t="s">
        <v>3</v>
      </c>
      <c r="D23" s="9" t="s">
        <v>73</v>
      </c>
      <c r="E23" s="9" t="s">
        <v>193</v>
      </c>
      <c r="F23" s="9" t="s">
        <v>58</v>
      </c>
      <c r="G23" s="19">
        <v>0</v>
      </c>
      <c r="H23" s="9">
        <v>2014</v>
      </c>
      <c r="I23" s="9">
        <v>6</v>
      </c>
      <c r="J23" s="18">
        <f>INDEX(PTRS!$D$6:$D$12,MATCH('5'!$F23,PTRS!$B$6:$B$12,0))</f>
        <v>0.13923000000000002</v>
      </c>
      <c r="K23" s="17">
        <v>0</v>
      </c>
      <c r="L23" s="17">
        <v>0.13923000000000002</v>
      </c>
      <c r="M23" s="17">
        <v>4.6410000000000007E-2</v>
      </c>
      <c r="N23" s="17">
        <v>0.13923000000000002</v>
      </c>
      <c r="O23" s="17">
        <v>0.13923000000000002</v>
      </c>
      <c r="P23" s="17">
        <v>0.13923000000000002</v>
      </c>
      <c r="Q23" s="17">
        <v>0.14000000000000001</v>
      </c>
      <c r="R23" s="17">
        <v>0.14000000000000001</v>
      </c>
      <c r="S23" s="17">
        <v>1</v>
      </c>
      <c r="T23" s="17"/>
      <c r="U23" s="17">
        <f t="shared" si="1"/>
        <v>0.72649652910676854</v>
      </c>
      <c r="V23" s="17">
        <v>1</v>
      </c>
      <c r="W23" s="9" t="s">
        <v>27</v>
      </c>
      <c r="X23" s="9">
        <f>INDEX('Unique Asset List'!$C$4:$I$60,MATCH('5'!$B23,'Unique Asset List'!$A$4:$A$60,0),MATCH('5'!$C$1,'Unique Asset List'!$C$3:$I$3,0))</f>
        <v>2027</v>
      </c>
      <c r="Y23" s="9">
        <f>INDEX('Unique Asset List'!$J$4:$P$60,MATCH('5'!$B23,'Unique Asset List'!$A$4:$A$60,0),MATCH('5'!$C$1,'Unique Asset List'!$J$3:$P$3,0))</f>
        <v>3.9999999999990905</v>
      </c>
      <c r="Z23" s="9">
        <f>INDEX('Unique Asset List'!$X$4:$AD$60,MATCH('5'!$B23,'Unique Asset List'!$A$4:$A$60,0),MATCH('5'!$C$1,'Unique Asset List'!$X$3:$AD$3,0))</f>
        <v>2036</v>
      </c>
      <c r="AA23" s="9">
        <f>INDEX('Unique Asset List'!$AE$4:$AK$60,MATCH('5'!$B23,'Unique Asset List'!$A$4:$A$60,0),MATCH('5'!$C$1,'Unique Asset List'!$AE$3:$AK$3,0))</f>
        <v>3</v>
      </c>
      <c r="AB23" s="16">
        <f t="shared" si="2"/>
        <v>2.0119600000000002</v>
      </c>
      <c r="AC23" s="16">
        <f t="shared" si="3"/>
        <v>0.76203600000000005</v>
      </c>
      <c r="AD23" s="16">
        <f t="shared" si="4"/>
        <v>0.56099999999999994</v>
      </c>
      <c r="AE23" s="15">
        <f>INDEX('Unique Asset List'!$BN$4:$BT$60,MATCH('5'!$B23,'Unique Asset List'!$A$4:$A$60,0),MATCH('5'!$C$1,'Unique Asset List'!$BN$3:$BT$3,0))</f>
        <v>0.08</v>
      </c>
      <c r="AF23" s="15">
        <f>INDEX('Unique Asset List'!$BU$4:$CA$60,MATCH('5'!$B23,'Unique Asset List'!$A$4:$A$60,0),MATCH('5'!$C$1,'Unique Asset List'!$BU$3:$CA$3,0))</f>
        <v>0.42</v>
      </c>
      <c r="AG23" s="15">
        <f>INDEX('Unique Asset List'!$AZ$4:$BF$60,MATCH('5'!$B23,'Unique Asset List'!$A$4:$A$60,0),MATCH('5'!$C$1,'Unique Asset List'!$AZ$3:$BF$3,0))</f>
        <v>0.08</v>
      </c>
      <c r="AH23" s="15">
        <f>INDEX('Unique Asset List'!$BG$4:$BM$60,MATCH('5'!$B23,'Unique Asset List'!$A$4:$A$60,0),MATCH('5'!$C$1,'Unique Asset List'!$BG$3:$BM$3,0))</f>
        <v>0.42</v>
      </c>
      <c r="AI23" s="11">
        <v>0.96187963349867744</v>
      </c>
      <c r="AJ23" s="15">
        <f>INDEX('Unique Asset List'!$AL$4:$AR$60,MATCH('5'!$B23,'Unique Asset List'!$A$4:$A$60,0),MATCH('5'!$C$1,'Unique Asset List'!$AL$3:$AR$3,0))</f>
        <v>1.2944496352201866</v>
      </c>
      <c r="AK23" s="15">
        <f>INDEX('Unique Asset List'!$AS$4:$AY$60,MATCH('5'!$B23,'Unique Asset List'!$A$4:$A$60,0),MATCH('5'!$C$1,'Unique Asset List'!$AS$3:$AY$3,0))</f>
        <v>-1.4425350046709582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10"/>
      <c r="AU23" s="4">
        <f>IF($C$5="ON",BU23,MyRating(_E1,$B23,Efficacy!$F$1))</f>
        <v>4</v>
      </c>
      <c r="AV23" s="3">
        <f>IF($C$5="ON",BV23,MyRating(_E2,$B23,Efficacy!$F$1))</f>
        <v>4</v>
      </c>
      <c r="AW23" s="3">
        <f>IF($C$5="ON",BW23,MyRating(_E3,$B23,Efficacy!$F$1))</f>
        <v>4</v>
      </c>
      <c r="AX23" s="3">
        <f>IF($C$5="ON",BX23,MyRating(_E4,$B23,Efficacy!$F$1))</f>
        <v>3</v>
      </c>
      <c r="AY23" s="3">
        <f>IF($C$5="ON",BY23,MyRating(_E5,$B23,Efficacy!$F$1))</f>
        <v>3</v>
      </c>
      <c r="AZ23" s="3">
        <f>IF($C$5="ON",BZ23,MyRating(_E6,$B23,Efficacy!$F$1))</f>
        <v>2</v>
      </c>
      <c r="BA23" s="3">
        <f>IF($C$5="ON",CA23,MyRating(_E7,$B23,Efficacy!$F$1))</f>
        <v>3</v>
      </c>
      <c r="BB23" s="3">
        <f>IF($C$5="ON",CB23,MyRating(_E8,$B23,Efficacy!$F$1))</f>
        <v>5</v>
      </c>
      <c r="BC23" s="3">
        <f>IF($C$5="ON",CC23,MyRating(_S1,$B23,Efficacy!$F$1))</f>
        <v>2</v>
      </c>
      <c r="BD23" s="3">
        <f>IF($C$5="ON",CD23,MyRating(_S2,$B23,Efficacy!$F$1))</f>
        <v>3</v>
      </c>
      <c r="BE23" s="3">
        <f>IF($C$5="ON",CE23,MyRating(_S3,$B23,Efficacy!$F$1))</f>
        <v>3</v>
      </c>
      <c r="BF23" s="3">
        <f>IF($C$5="ON",CF23,MyRating(_S4,$B23,Efficacy!$F$1))</f>
        <v>3</v>
      </c>
      <c r="BG23" s="3">
        <f>IF($C$5="ON",CG23,MyRating(_S5,$B23,Efficacy!$F$1))</f>
        <v>5</v>
      </c>
      <c r="BH23" s="3">
        <f>IF($C$5="ON",CH23,MyRating(_S6,$B23,Efficacy!$F$1))</f>
        <v>2</v>
      </c>
      <c r="BI23" s="3">
        <f>IF($C$5="ON",CI23,MyRating(_S7,$B23,Efficacy!$F$1))</f>
        <v>3</v>
      </c>
      <c r="BJ23" s="3">
        <f>IF($C$5="ON",CJ23,MyRating(_D1,$B23,Efficacy!$F$1))</f>
        <v>3</v>
      </c>
      <c r="BK23" s="3">
        <f>IF($C$5="ON",CK23,MyRating(_D2,$B23,Efficacy!$F$1))</f>
        <v>3</v>
      </c>
      <c r="BL23" s="3">
        <f>IF($C$5="ON",CL23,MyRating(_D3,$B23,Efficacy!$F$1))</f>
        <v>3</v>
      </c>
      <c r="BM23" s="3">
        <f>IF($C$5="ON",CM23,MyRating(_D4,$B23,Efficacy!$F$1))</f>
        <v>3</v>
      </c>
      <c r="BN23" s="3">
        <f>IF($C$5="ON",CN23,MyRating(_B1G5,$B23,Barrier!$L$2))</f>
        <v>2</v>
      </c>
      <c r="BO23" s="3">
        <f>IF($C$5="ON",CO23,MyRating(_B2,$B23,Barrier!$F$2))</f>
        <v>3</v>
      </c>
      <c r="BP23" s="6">
        <f>IF($C$5="ON",CP23,MyRating(_B3,$B23,Barrier!$F$2))</f>
        <v>3</v>
      </c>
      <c r="BQ23" s="5">
        <f t="shared" si="6"/>
        <v>3.6275844714639842E-2</v>
      </c>
      <c r="BR23" s="8">
        <f t="shared" si="7"/>
        <v>2.9499999999999997</v>
      </c>
      <c r="BS23" s="5">
        <f t="shared" si="8"/>
        <v>3.60415394013439E-2</v>
      </c>
      <c r="BT23" s="7">
        <f t="shared" si="9"/>
        <v>1.8542316878791175E-2</v>
      </c>
      <c r="BU23" s="4">
        <v>4</v>
      </c>
      <c r="BV23" s="3">
        <v>4</v>
      </c>
      <c r="BW23" s="3">
        <v>4</v>
      </c>
      <c r="BX23" s="3">
        <v>3</v>
      </c>
      <c r="BY23" s="3">
        <v>3</v>
      </c>
      <c r="BZ23" s="3">
        <v>2</v>
      </c>
      <c r="CA23" s="3">
        <v>3</v>
      </c>
      <c r="CB23" s="3">
        <v>5</v>
      </c>
      <c r="CC23" s="3">
        <v>2</v>
      </c>
      <c r="CD23" s="3">
        <v>3</v>
      </c>
      <c r="CE23" s="3">
        <v>3</v>
      </c>
      <c r="CF23" s="3">
        <v>3</v>
      </c>
      <c r="CG23" s="3">
        <v>5</v>
      </c>
      <c r="CH23" s="3">
        <v>2</v>
      </c>
      <c r="CI23" s="3">
        <v>3</v>
      </c>
      <c r="CJ23" s="3">
        <v>3</v>
      </c>
      <c r="CK23" s="3">
        <v>3</v>
      </c>
      <c r="CL23" s="3">
        <v>3</v>
      </c>
      <c r="CM23" s="3">
        <v>3</v>
      </c>
      <c r="CN23" s="3">
        <v>2</v>
      </c>
      <c r="CO23" s="3">
        <v>3</v>
      </c>
      <c r="CP23" s="6">
        <v>3</v>
      </c>
      <c r="CQ23" s="5">
        <v>3.6275844714639842E-2</v>
      </c>
    </row>
    <row r="24" spans="1:95" x14ac:dyDescent="0.35">
      <c r="A24" s="9" t="str">
        <f t="shared" si="0"/>
        <v>ES</v>
      </c>
      <c r="B24" s="9" t="s">
        <v>17</v>
      </c>
      <c r="C24" s="20"/>
      <c r="D24" s="9" t="s">
        <v>2</v>
      </c>
      <c r="E24" s="9" t="s">
        <v>193</v>
      </c>
      <c r="F24" s="9" t="s">
        <v>51</v>
      </c>
      <c r="G24" s="19">
        <v>0</v>
      </c>
      <c r="H24" s="9">
        <v>2014</v>
      </c>
      <c r="I24" s="9">
        <v>6</v>
      </c>
      <c r="J24" s="18">
        <f>INDEX(PTRS!$D$6:$D$12,MATCH('5'!$F24,PTRS!$B$6:$B$12,0))</f>
        <v>0.1638</v>
      </c>
      <c r="K24" s="17">
        <v>0</v>
      </c>
      <c r="L24" s="17">
        <v>0.1638</v>
      </c>
      <c r="M24" s="17">
        <v>0.25</v>
      </c>
      <c r="N24" s="17">
        <v>0.25</v>
      </c>
      <c r="O24" s="17">
        <v>0.25</v>
      </c>
      <c r="P24" s="17">
        <v>0.1638</v>
      </c>
      <c r="Q24" s="17">
        <v>0.1638</v>
      </c>
      <c r="R24" s="17">
        <v>0.1638</v>
      </c>
      <c r="S24" s="17">
        <v>1</v>
      </c>
      <c r="T24" s="17"/>
      <c r="U24" s="17">
        <f t="shared" si="1"/>
        <v>0.72649652910676854</v>
      </c>
      <c r="V24" s="17">
        <v>1</v>
      </c>
      <c r="W24" s="9" t="s">
        <v>16</v>
      </c>
      <c r="X24" s="9">
        <f>INDEX('Unique Asset List'!$C$4:$I$60,MATCH('5'!$B24,'Unique Asset List'!$A$4:$A$60,0),MATCH('5'!$C$1,'Unique Asset List'!$C$3:$I$3,0))</f>
        <v>2028</v>
      </c>
      <c r="Y24" s="9">
        <f>INDEX('Unique Asset List'!$J$4:$P$60,MATCH('5'!$B24,'Unique Asset List'!$A$4:$A$60,0),MATCH('5'!$C$1,'Unique Asset List'!$J$3:$P$3,0))</f>
        <v>1.999999999998181</v>
      </c>
      <c r="Z24" s="9">
        <f>INDEX('Unique Asset List'!$X$4:$AD$60,MATCH('5'!$B24,'Unique Asset List'!$A$4:$A$60,0),MATCH('5'!$C$1,'Unique Asset List'!$X$3:$AD$3,0))</f>
        <v>2035</v>
      </c>
      <c r="AA24" s="9">
        <f>INDEX('Unique Asset List'!$AE$4:$AK$60,MATCH('5'!$B24,'Unique Asset List'!$A$4:$A$60,0),MATCH('5'!$C$1,'Unique Asset List'!$AE$3:$AK$3,0))</f>
        <v>8</v>
      </c>
      <c r="AB24" s="16">
        <f t="shared" si="2"/>
        <v>1.7951404000000002</v>
      </c>
      <c r="AC24" s="16">
        <f t="shared" si="3"/>
        <v>0.88497580000000009</v>
      </c>
      <c r="AD24" s="16">
        <f t="shared" si="4"/>
        <v>0.56099999999999994</v>
      </c>
      <c r="AE24" s="15">
        <f>INDEX('Unique Asset List'!$BN$4:$BT$60,MATCH('5'!$B24,'Unique Asset List'!$A$4:$A$60,0),MATCH('5'!$C$1,'Unique Asset List'!$BN$3:$BT$3,0))</f>
        <v>0.08</v>
      </c>
      <c r="AF24" s="15">
        <f>INDEX('Unique Asset List'!$BU$4:$CA$60,MATCH('5'!$B24,'Unique Asset List'!$A$4:$A$60,0),MATCH('5'!$C$1,'Unique Asset List'!$BU$3:$CA$3,0))</f>
        <v>0.42</v>
      </c>
      <c r="AG24" s="15">
        <f>INDEX('Unique Asset List'!$AZ$4:$BF$60,MATCH('5'!$B24,'Unique Asset List'!$A$4:$A$60,0),MATCH('5'!$C$1,'Unique Asset List'!$AZ$3:$BF$3,0))</f>
        <v>0.08</v>
      </c>
      <c r="AH24" s="15">
        <f>INDEX('Unique Asset List'!$BG$4:$BM$60,MATCH('5'!$B24,'Unique Asset List'!$A$4:$A$60,0),MATCH('5'!$C$1,'Unique Asset List'!$BG$3:$BM$3,0))</f>
        <v>0.42</v>
      </c>
      <c r="AI24" s="11">
        <v>0.96187963349867744</v>
      </c>
      <c r="AJ24" s="15">
        <f>INDEX('Unique Asset List'!$AL$4:$AR$60,MATCH('5'!$B24,'Unique Asset List'!$A$4:$A$60,0),MATCH('5'!$C$1,'Unique Asset List'!$AL$3:$AR$3,0))</f>
        <v>1.2944496352201866</v>
      </c>
      <c r="AK24" s="15">
        <f>INDEX('Unique Asset List'!$AS$4:$AY$60,MATCH('5'!$B24,'Unique Asset List'!$A$4:$A$60,0),MATCH('5'!$C$1,'Unique Asset List'!$AS$3:$AY$3,0))</f>
        <v>-1.4425350046709582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10"/>
      <c r="AU24" s="4">
        <f>IF($C$5="ON",BU24,MyRating(_E1,$B24,Efficacy!$F$1))</f>
        <v>4</v>
      </c>
      <c r="AV24" s="3">
        <f>IF($C$5="ON",BV24,MyRating(_E2,$B24,Efficacy!$F$1))</f>
        <v>3</v>
      </c>
      <c r="AW24" s="3">
        <f>IF($C$5="ON",BW24,MyRating(_E3,$B24,Efficacy!$F$1))</f>
        <v>3</v>
      </c>
      <c r="AX24" s="3">
        <f>IF($C$5="ON",BX24,MyRating(_E4,$B24,Efficacy!$F$1))</f>
        <v>4</v>
      </c>
      <c r="AY24" s="3">
        <f>IF($C$5="ON",BY24,MyRating(_E5,$B24,Efficacy!$F$1))</f>
        <v>3</v>
      </c>
      <c r="AZ24" s="3">
        <f>IF($C$5="ON",BZ24,MyRating(_E6,$B24,Efficacy!$F$1))</f>
        <v>2</v>
      </c>
      <c r="BA24" s="3">
        <f>IF($C$5="ON",CA24,MyRating(_E7,$B24,Efficacy!$F$1))</f>
        <v>3</v>
      </c>
      <c r="BB24" s="3">
        <f>IF($C$5="ON",CB24,MyRating(_E8,$B24,Efficacy!$F$1))</f>
        <v>3</v>
      </c>
      <c r="BC24" s="3">
        <f>IF($C$5="ON",CC24,MyRating(_S1,$B24,Efficacy!$F$1))</f>
        <v>4</v>
      </c>
      <c r="BD24" s="3">
        <f>IF($C$5="ON",CD24,MyRating(_S2,$B24,Efficacy!$F$1))</f>
        <v>3</v>
      </c>
      <c r="BE24" s="3">
        <f>IF($C$5="ON",CE24,MyRating(_S3,$B24,Efficacy!$F$1))</f>
        <v>3</v>
      </c>
      <c r="BF24" s="3">
        <f>IF($C$5="ON",CF24,MyRating(_S4,$B24,Efficacy!$F$1))</f>
        <v>3</v>
      </c>
      <c r="BG24" s="3">
        <f>IF($C$5="ON",CG24,MyRating(_S5,$B24,Efficacy!$F$1))</f>
        <v>5</v>
      </c>
      <c r="BH24" s="3">
        <f>IF($C$5="ON",CH24,MyRating(_S6,$B24,Efficacy!$F$1))</f>
        <v>2</v>
      </c>
      <c r="BI24" s="3">
        <f>IF($C$5="ON",CI24,MyRating(_S7,$B24,Efficacy!$F$1))</f>
        <v>3</v>
      </c>
      <c r="BJ24" s="3">
        <f>IF($C$5="ON",CJ24,MyRating(_D1,$B24,Efficacy!$F$1))</f>
        <v>3</v>
      </c>
      <c r="BK24" s="3">
        <f>IF($C$5="ON",CK24,MyRating(_D2,$B24,Efficacy!$F$1))</f>
        <v>3</v>
      </c>
      <c r="BL24" s="3">
        <f>IF($C$5="ON",CL24,MyRating(_D3,$B24,Efficacy!$F$1))</f>
        <v>3</v>
      </c>
      <c r="BM24" s="3">
        <f>IF($C$5="ON",CM24,MyRating(_D4,$B24,Efficacy!$F$1))</f>
        <v>3</v>
      </c>
      <c r="BN24" s="3">
        <f>IF($C$5="ON",CN24,MyRating(_B1G5,$B24,Barrier!$L$2))</f>
        <v>2</v>
      </c>
      <c r="BO24" s="3">
        <f>IF($C$5="ON",CO24,MyRating(_B2,$B24,Barrier!$F$2))</f>
        <v>3</v>
      </c>
      <c r="BP24" s="6">
        <f>IF($C$5="ON",CP24,MyRating(_B3,$B24,Barrier!$F$2))</f>
        <v>3</v>
      </c>
      <c r="BQ24" s="5">
        <f t="shared" si="6"/>
        <v>3.6275844714639842E-2</v>
      </c>
      <c r="BR24" s="8">
        <f t="shared" si="7"/>
        <v>2.9499999999999997</v>
      </c>
      <c r="BS24" s="5">
        <f t="shared" si="8"/>
        <v>3.60415394013439E-2</v>
      </c>
      <c r="BT24" s="7">
        <f t="shared" si="9"/>
        <v>1.8542316878791175E-2</v>
      </c>
      <c r="BU24" s="4">
        <v>4</v>
      </c>
      <c r="BV24" s="3">
        <v>3</v>
      </c>
      <c r="BW24" s="3">
        <v>3</v>
      </c>
      <c r="BX24" s="3">
        <v>4</v>
      </c>
      <c r="BY24" s="3">
        <v>3</v>
      </c>
      <c r="BZ24" s="3">
        <v>2</v>
      </c>
      <c r="CA24" s="3">
        <v>3</v>
      </c>
      <c r="CB24" s="3">
        <v>3</v>
      </c>
      <c r="CC24" s="3">
        <v>4</v>
      </c>
      <c r="CD24" s="3">
        <v>3</v>
      </c>
      <c r="CE24" s="3">
        <v>3</v>
      </c>
      <c r="CF24" s="3">
        <v>3</v>
      </c>
      <c r="CG24" s="3">
        <v>5</v>
      </c>
      <c r="CH24" s="3">
        <v>2</v>
      </c>
      <c r="CI24" s="3">
        <v>3</v>
      </c>
      <c r="CJ24" s="3">
        <v>3</v>
      </c>
      <c r="CK24" s="3">
        <v>3</v>
      </c>
      <c r="CL24" s="3">
        <v>3</v>
      </c>
      <c r="CM24" s="3">
        <v>3</v>
      </c>
      <c r="CN24" s="3">
        <v>2</v>
      </c>
      <c r="CO24" s="3">
        <v>3</v>
      </c>
      <c r="CP24" s="6">
        <v>3</v>
      </c>
      <c r="CQ24" s="5">
        <v>3.6275844714639842E-2</v>
      </c>
    </row>
    <row r="25" spans="1:95" x14ac:dyDescent="0.35">
      <c r="A25" s="9" t="str">
        <f t="shared" si="0"/>
        <v>ES</v>
      </c>
      <c r="B25" s="9" t="s">
        <v>21</v>
      </c>
      <c r="C25" s="20"/>
      <c r="D25" s="9" t="s">
        <v>2</v>
      </c>
      <c r="E25" s="9" t="s">
        <v>193</v>
      </c>
      <c r="F25" s="9" t="s">
        <v>51</v>
      </c>
      <c r="G25" s="19">
        <v>0</v>
      </c>
      <c r="H25" s="9">
        <v>2014</v>
      </c>
      <c r="I25" s="9">
        <v>6</v>
      </c>
      <c r="J25" s="18">
        <f>INDEX(PTRS!$D$6:$D$12,MATCH('5'!$F25,PTRS!$B$6:$B$12,0))</f>
        <v>0.1638</v>
      </c>
      <c r="K25" s="17">
        <v>0</v>
      </c>
      <c r="L25" s="17">
        <v>0.1638</v>
      </c>
      <c r="M25" s="17">
        <v>0.1638</v>
      </c>
      <c r="N25" s="17">
        <v>0.12</v>
      </c>
      <c r="O25" s="17">
        <v>0.12</v>
      </c>
      <c r="P25" s="17">
        <v>0.1638</v>
      </c>
      <c r="Q25" s="17">
        <v>1</v>
      </c>
      <c r="R25" s="17">
        <v>1</v>
      </c>
      <c r="S25" s="17">
        <v>1</v>
      </c>
      <c r="T25" s="17"/>
      <c r="U25" s="17">
        <f t="shared" si="1"/>
        <v>0.72649652910676854</v>
      </c>
      <c r="V25" s="17">
        <v>1</v>
      </c>
      <c r="W25" s="9" t="s">
        <v>20</v>
      </c>
      <c r="X25" s="9">
        <f>INDEX('Unique Asset List'!$C$4:$I$60,MATCH('5'!$B25,'Unique Asset List'!$A$4:$A$60,0),MATCH('5'!$C$1,'Unique Asset List'!$C$3:$I$3,0))</f>
        <v>2027</v>
      </c>
      <c r="Y25" s="9">
        <f>INDEX('Unique Asset List'!$J$4:$P$60,MATCH('5'!$B25,'Unique Asset List'!$A$4:$A$60,0),MATCH('5'!$C$1,'Unique Asset List'!$J$3:$P$3,0))</f>
        <v>3.9999999999990905</v>
      </c>
      <c r="Z25" s="9">
        <f>INDEX('Unique Asset List'!$X$4:$AD$60,MATCH('5'!$B25,'Unique Asset List'!$A$4:$A$60,0),MATCH('5'!$C$1,'Unique Asset List'!$X$3:$AD$3,0))</f>
        <v>2036</v>
      </c>
      <c r="AA25" s="9">
        <f>INDEX('Unique Asset List'!$AE$4:$AK$60,MATCH('5'!$B25,'Unique Asset List'!$A$4:$A$60,0),MATCH('5'!$C$1,'Unique Asset List'!$AE$3:$AK$3,0))</f>
        <v>3</v>
      </c>
      <c r="AB25" s="16">
        <f t="shared" si="2"/>
        <v>1.6822346000000001</v>
      </c>
      <c r="AC25" s="16">
        <f t="shared" si="3"/>
        <v>0.86278740000000009</v>
      </c>
      <c r="AD25" s="16">
        <f t="shared" si="4"/>
        <v>0.56099999999999994</v>
      </c>
      <c r="AE25" s="15">
        <f>INDEX('Unique Asset List'!$BN$4:$BT$60,MATCH('5'!$B25,'Unique Asset List'!$A$4:$A$60,0),MATCH('5'!$C$1,'Unique Asset List'!$BN$3:$BT$3,0))</f>
        <v>0.08</v>
      </c>
      <c r="AF25" s="15">
        <f>INDEX('Unique Asset List'!$BU$4:$CA$60,MATCH('5'!$B25,'Unique Asset List'!$A$4:$A$60,0),MATCH('5'!$C$1,'Unique Asset List'!$BU$3:$CA$3,0))</f>
        <v>0.42</v>
      </c>
      <c r="AG25" s="15">
        <f>INDEX('Unique Asset List'!$AZ$4:$BF$60,MATCH('5'!$B25,'Unique Asset List'!$A$4:$A$60,0),MATCH('5'!$C$1,'Unique Asset List'!$AZ$3:$BF$3,0))</f>
        <v>0.08</v>
      </c>
      <c r="AH25" s="15">
        <f>INDEX('Unique Asset List'!$BG$4:$BM$60,MATCH('5'!$B25,'Unique Asset List'!$A$4:$A$60,0),MATCH('5'!$C$1,'Unique Asset List'!$BG$3:$BM$3,0))</f>
        <v>0.42</v>
      </c>
      <c r="AI25" s="11">
        <v>0.96187963349867744</v>
      </c>
      <c r="AJ25" s="15">
        <f>INDEX('Unique Asset List'!$AL$4:$AR$60,MATCH('5'!$B25,'Unique Asset List'!$A$4:$A$60,0),MATCH('5'!$C$1,'Unique Asset List'!$AL$3:$AR$3,0))</f>
        <v>1.2944496352201866</v>
      </c>
      <c r="AK25" s="15">
        <f>INDEX('Unique Asset List'!$AS$4:$AY$60,MATCH('5'!$B25,'Unique Asset List'!$A$4:$A$60,0),MATCH('5'!$C$1,'Unique Asset List'!$AS$3:$AY$3,0))</f>
        <v>-1.4425350046709582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10"/>
      <c r="AU25" s="4">
        <f>IF($C$5="ON",BU25,MyRating(_E1,$B25,Efficacy!$F$1))</f>
        <v>3</v>
      </c>
      <c r="AV25" s="3">
        <f>IF($C$5="ON",BV25,MyRating(_E2,$B25,Efficacy!$F$1))</f>
        <v>3</v>
      </c>
      <c r="AW25" s="3">
        <f>IF($C$5="ON",BW25,MyRating(_E3,$B25,Efficacy!$F$1))</f>
        <v>3</v>
      </c>
      <c r="AX25" s="3">
        <f>IF($C$5="ON",BX25,MyRating(_E4,$B25,Efficacy!$F$1))</f>
        <v>3</v>
      </c>
      <c r="AY25" s="3">
        <f>IF($C$5="ON",BY25,MyRating(_E5,$B25,Efficacy!$F$1))</f>
        <v>3</v>
      </c>
      <c r="AZ25" s="3">
        <f>IF($C$5="ON",BZ25,MyRating(_E6,$B25,Efficacy!$F$1))</f>
        <v>4</v>
      </c>
      <c r="BA25" s="3">
        <f>IF($C$5="ON",CA25,MyRating(_E7,$B25,Efficacy!$F$1))</f>
        <v>3</v>
      </c>
      <c r="BB25" s="3">
        <f>IF($C$5="ON",CB25,MyRating(_E8,$B25,Efficacy!$F$1))</f>
        <v>2</v>
      </c>
      <c r="BC25" s="3">
        <f>IF($C$5="ON",CC25,MyRating(_S1,$B25,Efficacy!$F$1))</f>
        <v>3</v>
      </c>
      <c r="BD25" s="3">
        <f>IF($C$5="ON",CD25,MyRating(_S2,$B25,Efficacy!$F$1))</f>
        <v>4</v>
      </c>
      <c r="BE25" s="3">
        <f>IF($C$5="ON",CE25,MyRating(_S3,$B25,Efficacy!$F$1))</f>
        <v>2</v>
      </c>
      <c r="BF25" s="3">
        <f>IF($C$5="ON",CF25,MyRating(_S4,$B25,Efficacy!$F$1))</f>
        <v>5</v>
      </c>
      <c r="BG25" s="3">
        <f>IF($C$5="ON",CG25,MyRating(_S5,$B25,Efficacy!$F$1))</f>
        <v>4</v>
      </c>
      <c r="BH25" s="3">
        <f>IF($C$5="ON",CH25,MyRating(_S6,$B25,Efficacy!$F$1))</f>
        <v>3</v>
      </c>
      <c r="BI25" s="3">
        <f>IF($C$5="ON",CI25,MyRating(_S7,$B25,Efficacy!$F$1))</f>
        <v>3</v>
      </c>
      <c r="BJ25" s="3">
        <f>IF($C$5="ON",CJ25,MyRating(_D1,$B25,Efficacy!$F$1))</f>
        <v>3</v>
      </c>
      <c r="BK25" s="3">
        <f>IF($C$5="ON",CK25,MyRating(_D2,$B25,Efficacy!$F$1))</f>
        <v>3</v>
      </c>
      <c r="BL25" s="3">
        <f>IF($C$5="ON",CL25,MyRating(_D3,$B25,Efficacy!$F$1))</f>
        <v>3</v>
      </c>
      <c r="BM25" s="3">
        <f>IF($C$5="ON",CM25,MyRating(_D4,$B25,Efficacy!$F$1))</f>
        <v>3</v>
      </c>
      <c r="BN25" s="3">
        <f>IF($C$5="ON",CN25,MyRating(_B1G5,$B25,Barrier!$L$2))</f>
        <v>2</v>
      </c>
      <c r="BO25" s="3">
        <f>IF($C$5="ON",CO25,MyRating(_B2,$B25,Barrier!$F$2))</f>
        <v>3</v>
      </c>
      <c r="BP25" s="6">
        <f>IF($C$5="ON",CP25,MyRating(_B3,$B25,Barrier!$F$2))</f>
        <v>3</v>
      </c>
      <c r="BQ25" s="5">
        <f t="shared" si="6"/>
        <v>3.6275844714639842E-2</v>
      </c>
      <c r="BR25" s="8">
        <f t="shared" si="7"/>
        <v>2.9499999999999997</v>
      </c>
      <c r="BS25" s="5">
        <f t="shared" si="8"/>
        <v>3.60415394013439E-2</v>
      </c>
      <c r="BT25" s="7">
        <f t="shared" si="9"/>
        <v>1.8542316878791175E-2</v>
      </c>
      <c r="BU25" s="4">
        <v>3</v>
      </c>
      <c r="BV25" s="3">
        <v>3</v>
      </c>
      <c r="BW25" s="3">
        <v>3</v>
      </c>
      <c r="BX25" s="3">
        <v>3</v>
      </c>
      <c r="BY25" s="3">
        <v>3</v>
      </c>
      <c r="BZ25" s="3">
        <v>4</v>
      </c>
      <c r="CA25" s="3">
        <v>3</v>
      </c>
      <c r="CB25" s="3">
        <v>2</v>
      </c>
      <c r="CC25" s="3">
        <v>3</v>
      </c>
      <c r="CD25" s="3">
        <v>4</v>
      </c>
      <c r="CE25" s="3">
        <v>2</v>
      </c>
      <c r="CF25" s="3">
        <v>5</v>
      </c>
      <c r="CG25" s="3">
        <v>4</v>
      </c>
      <c r="CH25" s="3">
        <v>3</v>
      </c>
      <c r="CI25" s="3">
        <v>3</v>
      </c>
      <c r="CJ25" s="3">
        <v>3</v>
      </c>
      <c r="CK25" s="3">
        <v>3</v>
      </c>
      <c r="CL25" s="3">
        <v>3</v>
      </c>
      <c r="CM25" s="3">
        <v>3</v>
      </c>
      <c r="CN25" s="3">
        <v>2</v>
      </c>
      <c r="CO25" s="3">
        <v>3</v>
      </c>
      <c r="CP25" s="6">
        <v>3</v>
      </c>
      <c r="CQ25" s="5">
        <v>3.6275844714639842E-2</v>
      </c>
    </row>
    <row r="26" spans="1:95" x14ac:dyDescent="0.35">
      <c r="A26" s="9" t="str">
        <f t="shared" si="0"/>
        <v>ES</v>
      </c>
      <c r="B26" s="9" t="s">
        <v>72</v>
      </c>
      <c r="C26" s="20"/>
      <c r="D26" s="9" t="s">
        <v>2</v>
      </c>
      <c r="E26" s="9" t="s">
        <v>193</v>
      </c>
      <c r="F26" s="9" t="s">
        <v>51</v>
      </c>
      <c r="G26" s="19">
        <v>0</v>
      </c>
      <c r="H26" s="9">
        <v>2014</v>
      </c>
      <c r="I26" s="9">
        <v>6</v>
      </c>
      <c r="J26" s="18">
        <f>INDEX(PTRS!$D$6:$D$12,MATCH('5'!$F26,PTRS!$B$6:$B$12,0))</f>
        <v>0.1638</v>
      </c>
      <c r="K26" s="17">
        <v>0</v>
      </c>
      <c r="L26" s="17">
        <v>0.1638</v>
      </c>
      <c r="M26" s="17">
        <v>0.1638</v>
      </c>
      <c r="N26" s="17">
        <v>0.1638</v>
      </c>
      <c r="O26" s="17">
        <v>0.1638</v>
      </c>
      <c r="P26" s="17">
        <v>0.1638</v>
      </c>
      <c r="Q26" s="17">
        <v>1</v>
      </c>
      <c r="R26" s="17">
        <v>1</v>
      </c>
      <c r="S26" s="17">
        <v>1</v>
      </c>
      <c r="T26" s="17"/>
      <c r="U26" s="17">
        <f t="shared" si="1"/>
        <v>1</v>
      </c>
      <c r="V26" s="17">
        <v>1</v>
      </c>
      <c r="W26" s="9" t="s">
        <v>71</v>
      </c>
      <c r="X26" s="9">
        <f>INDEX('Unique Asset List'!$C$4:$I$60,MATCH('5'!$B26,'Unique Asset List'!$A$4:$A$60,0),MATCH('5'!$C$1,'Unique Asset List'!$C$3:$I$3,0))</f>
        <v>2027</v>
      </c>
      <c r="Y26" s="9">
        <f>INDEX('Unique Asset List'!$J$4:$P$60,MATCH('5'!$B26,'Unique Asset List'!$A$4:$A$60,0),MATCH('5'!$C$1,'Unique Asset List'!$J$3:$P$3,0))</f>
        <v>9</v>
      </c>
      <c r="Z26" s="9">
        <f>INDEX('Unique Asset List'!$X$4:$AD$60,MATCH('5'!$B26,'Unique Asset List'!$A$4:$A$60,0),MATCH('5'!$C$1,'Unique Asset List'!$X$3:$AD$3,0))</f>
        <v>2037</v>
      </c>
      <c r="AA26" s="9">
        <f>INDEX('Unique Asset List'!$AE$4:$AK$60,MATCH('5'!$B26,'Unique Asset List'!$A$4:$A$60,0),MATCH('5'!$C$1,'Unique Asset List'!$AE$3:$AK$3,0))</f>
        <v>6</v>
      </c>
      <c r="AB26" s="16">
        <f t="shared" si="2"/>
        <v>1.849261</v>
      </c>
      <c r="AC26" s="16">
        <f t="shared" si="3"/>
        <v>0.94988439999999996</v>
      </c>
      <c r="AD26" s="16">
        <f t="shared" si="4"/>
        <v>0.41402720413999994</v>
      </c>
      <c r="AE26" s="15">
        <f>INDEX('Unique Asset List'!$BN$4:$BT$60,MATCH('5'!$B26,'Unique Asset List'!$A$4:$A$60,0),MATCH('5'!$C$1,'Unique Asset List'!$BN$3:$BT$3,0))</f>
        <v>0.14000000000000001</v>
      </c>
      <c r="AF26" s="15">
        <f>INDEX('Unique Asset List'!$BU$4:$CA$60,MATCH('5'!$B26,'Unique Asset List'!$A$4:$A$60,0),MATCH('5'!$C$1,'Unique Asset List'!$BU$3:$CA$3,0))</f>
        <v>0.36</v>
      </c>
      <c r="AG26" s="15">
        <f>INDEX('Unique Asset List'!$AZ$4:$BF$60,MATCH('5'!$B26,'Unique Asset List'!$A$4:$A$60,0),MATCH('5'!$C$1,'Unique Asset List'!$AZ$3:$BF$3,0))</f>
        <v>0.14000000000000001</v>
      </c>
      <c r="AH26" s="15">
        <f>INDEX('Unique Asset List'!$BG$4:$BM$60,MATCH('5'!$B26,'Unique Asset List'!$A$4:$A$60,0),MATCH('5'!$C$1,'Unique Asset List'!$BG$3:$BM$3,0))</f>
        <v>0.36</v>
      </c>
      <c r="AI26" s="11">
        <v>0.96187963349867744</v>
      </c>
      <c r="AJ26" s="15">
        <f>INDEX('Unique Asset List'!$AL$4:$AR$60,MATCH('5'!$B26,'Unique Asset List'!$A$4:$A$60,0),MATCH('5'!$C$1,'Unique Asset List'!$AL$3:$AR$3,0))</f>
        <v>1.2944496352201866</v>
      </c>
      <c r="AK26" s="15">
        <f>INDEX('Unique Asset List'!$AS$4:$AY$60,MATCH('5'!$B26,'Unique Asset List'!$A$4:$A$60,0),MATCH('5'!$C$1,'Unique Asset List'!$AS$3:$AY$3,0))</f>
        <v>-1.4425350046709582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10"/>
      <c r="AU26" s="4">
        <f>IF($C$5="ON",BU26,MyRating(_E1,$B26,Efficacy!$F$1))</f>
        <v>5</v>
      </c>
      <c r="AV26" s="3">
        <f>IF($C$5="ON",BV26,MyRating(_E2,$B26,Efficacy!$F$1))</f>
        <v>4</v>
      </c>
      <c r="AW26" s="3">
        <f>IF($C$5="ON",BW26,MyRating(_E3,$B26,Efficacy!$F$1))</f>
        <v>4</v>
      </c>
      <c r="AX26" s="3">
        <f>IF($C$5="ON",BX26,MyRating(_E4,$B26,Efficacy!$F$1))</f>
        <v>3</v>
      </c>
      <c r="AY26" s="3">
        <f>IF($C$5="ON",BY26,MyRating(_E5,$B26,Efficacy!$F$1))</f>
        <v>3</v>
      </c>
      <c r="AZ26" s="3">
        <f>IF($C$5="ON",BZ26,MyRating(_E6,$B26,Efficacy!$F$1))</f>
        <v>2</v>
      </c>
      <c r="BA26" s="3">
        <f>IF($C$5="ON",CA26,MyRating(_E7,$B26,Efficacy!$F$1))</f>
        <v>3</v>
      </c>
      <c r="BB26" s="3">
        <f>IF($C$5="ON",CB26,MyRating(_E8,$B26,Efficacy!$F$1))</f>
        <v>1</v>
      </c>
      <c r="BC26" s="3">
        <f>IF($C$5="ON",CC26,MyRating(_S1,$B26,Efficacy!$F$1))</f>
        <v>3</v>
      </c>
      <c r="BD26" s="3">
        <f>IF($C$5="ON",CD26,MyRating(_S2,$B26,Efficacy!$F$1))</f>
        <v>4</v>
      </c>
      <c r="BE26" s="3">
        <f>IF($C$5="ON",CE26,MyRating(_S3,$B26,Efficacy!$F$1))</f>
        <v>3</v>
      </c>
      <c r="BF26" s="3">
        <f>IF($C$5="ON",CF26,MyRating(_S4,$B26,Efficacy!$F$1))</f>
        <v>5</v>
      </c>
      <c r="BG26" s="3">
        <f>IF($C$5="ON",CG26,MyRating(_S5,$B26,Efficacy!$F$1))</f>
        <v>5</v>
      </c>
      <c r="BH26" s="3">
        <f>IF($C$5="ON",CH26,MyRating(_S6,$B26,Efficacy!$F$1))</f>
        <v>2</v>
      </c>
      <c r="BI26" s="3">
        <f>IF($C$5="ON",CI26,MyRating(_S7,$B26,Efficacy!$F$1))</f>
        <v>4</v>
      </c>
      <c r="BJ26" s="3">
        <f>IF($C$5="ON",CJ26,MyRating(_D1,$B26,Efficacy!$F$1))</f>
        <v>2</v>
      </c>
      <c r="BK26" s="3">
        <f>IF($C$5="ON",CK26,MyRating(_D2,$B26,Efficacy!$F$1))</f>
        <v>3</v>
      </c>
      <c r="BL26" s="3">
        <f>IF($C$5="ON",CL26,MyRating(_D3,$B26,Efficacy!$F$1))</f>
        <v>2</v>
      </c>
      <c r="BM26" s="3">
        <f>IF($C$5="ON",CM26,MyRating(_D4,$B26,Efficacy!$F$1))</f>
        <v>2</v>
      </c>
      <c r="BN26" s="3">
        <f>IF($C$5="ON",CN26,MyRating(_B1G5,$B26,Barrier!$L$2))</f>
        <v>1</v>
      </c>
      <c r="BO26" s="3">
        <f>IF($C$5="ON",CO26,MyRating(_B2,$B26,Barrier!$F$2))</f>
        <v>3</v>
      </c>
      <c r="BP26" s="6">
        <f>IF($C$5="ON",CP26,MyRating(_B3,$B26,Barrier!$F$2))</f>
        <v>5</v>
      </c>
      <c r="BQ26" s="5">
        <f t="shared" si="6"/>
        <v>4.9932578149053504E-2</v>
      </c>
      <c r="BR26" s="8">
        <f t="shared" si="7"/>
        <v>3.8499999999999996</v>
      </c>
      <c r="BS26" s="5">
        <f t="shared" si="8"/>
        <v>4.7037263286499667E-2</v>
      </c>
      <c r="BT26" s="7">
        <f t="shared" si="9"/>
        <v>2.5522925624419785E-2</v>
      </c>
      <c r="BU26" s="4">
        <v>5</v>
      </c>
      <c r="BV26" s="3">
        <v>4</v>
      </c>
      <c r="BW26" s="3">
        <v>4</v>
      </c>
      <c r="BX26" s="3">
        <v>3</v>
      </c>
      <c r="BY26" s="3">
        <v>3</v>
      </c>
      <c r="BZ26" s="3">
        <v>2</v>
      </c>
      <c r="CA26" s="3">
        <v>3</v>
      </c>
      <c r="CB26" s="3">
        <v>1</v>
      </c>
      <c r="CC26" s="3">
        <v>3</v>
      </c>
      <c r="CD26" s="3">
        <v>4</v>
      </c>
      <c r="CE26" s="3">
        <v>3</v>
      </c>
      <c r="CF26" s="3">
        <v>5</v>
      </c>
      <c r="CG26" s="3">
        <v>5</v>
      </c>
      <c r="CH26" s="3">
        <v>2</v>
      </c>
      <c r="CI26" s="3">
        <v>4</v>
      </c>
      <c r="CJ26" s="3">
        <v>2</v>
      </c>
      <c r="CK26" s="3">
        <v>3</v>
      </c>
      <c r="CL26" s="3">
        <v>2</v>
      </c>
      <c r="CM26" s="3">
        <v>2</v>
      </c>
      <c r="CN26" s="3">
        <v>1</v>
      </c>
      <c r="CO26" s="3">
        <v>3</v>
      </c>
      <c r="CP26" s="6">
        <v>5</v>
      </c>
      <c r="CQ26" s="5">
        <v>4.9932578149053504E-2</v>
      </c>
    </row>
    <row r="27" spans="1:95" x14ac:dyDescent="0.35">
      <c r="A27" s="9" t="str">
        <f t="shared" si="0"/>
        <v>ES</v>
      </c>
      <c r="B27" s="9" t="s">
        <v>31</v>
      </c>
      <c r="C27" s="20"/>
      <c r="D27" s="9" t="s">
        <v>2</v>
      </c>
      <c r="E27" s="9" t="s">
        <v>193</v>
      </c>
      <c r="F27" s="9" t="s">
        <v>58</v>
      </c>
      <c r="G27" s="19">
        <v>0</v>
      </c>
      <c r="H27" s="9">
        <v>2014</v>
      </c>
      <c r="I27" s="9">
        <v>6</v>
      </c>
      <c r="J27" s="18">
        <f>INDEX(PTRS!$D$6:$D$12,MATCH('5'!$F27,PTRS!$B$6:$B$12,0))</f>
        <v>0.13923000000000002</v>
      </c>
      <c r="K27" s="17">
        <v>0</v>
      </c>
      <c r="L27" s="17">
        <v>0.1044225</v>
      </c>
      <c r="M27" s="17">
        <v>0.13923000000000002</v>
      </c>
      <c r="N27" s="17">
        <v>0.14000000000000001</v>
      </c>
      <c r="O27" s="17">
        <v>0.14000000000000001</v>
      </c>
      <c r="P27" s="17">
        <v>0.1044225</v>
      </c>
      <c r="Q27" s="17">
        <v>0.1044225</v>
      </c>
      <c r="R27" s="17">
        <v>0.1044225</v>
      </c>
      <c r="S27" s="17">
        <v>1</v>
      </c>
      <c r="T27" s="17"/>
      <c r="U27" s="17">
        <f t="shared" si="1"/>
        <v>0.72649652910676854</v>
      </c>
      <c r="V27" s="17">
        <v>1</v>
      </c>
      <c r="W27" s="9" t="s">
        <v>31</v>
      </c>
      <c r="X27" s="9">
        <f>INDEX('Unique Asset List'!$C$4:$I$60,MATCH('5'!$B27,'Unique Asset List'!$A$4:$A$60,0),MATCH('5'!$C$1,'Unique Asset List'!$C$3:$I$3,0))</f>
        <v>2029</v>
      </c>
      <c r="Y27" s="9">
        <f>INDEX('Unique Asset List'!$J$4:$P$60,MATCH('5'!$B27,'Unique Asset List'!$A$4:$A$60,0),MATCH('5'!$C$1,'Unique Asset List'!$J$3:$P$3,0))</f>
        <v>3</v>
      </c>
      <c r="Z27" s="9">
        <f>INDEX('Unique Asset List'!$X$4:$AD$60,MATCH('5'!$B27,'Unique Asset List'!$A$4:$A$60,0),MATCH('5'!$C$1,'Unique Asset List'!$X$3:$AD$3,0))</f>
        <v>2037</v>
      </c>
      <c r="AA27" s="9">
        <f>INDEX('Unique Asset List'!$AE$4:$AK$60,MATCH('5'!$B27,'Unique Asset List'!$A$4:$A$60,0),MATCH('5'!$C$1,'Unique Asset List'!$AE$3:$AK$3,0))</f>
        <v>2</v>
      </c>
      <c r="AB27" s="16">
        <f t="shared" si="2"/>
        <v>2.1250906000000005</v>
      </c>
      <c r="AC27" s="16">
        <f t="shared" si="3"/>
        <v>0.97325250000000008</v>
      </c>
      <c r="AD27" s="16">
        <f t="shared" si="4"/>
        <v>0.56099999999999994</v>
      </c>
      <c r="AE27" s="15">
        <f>INDEX('Unique Asset List'!$BN$4:$BT$60,MATCH('5'!$B27,'Unique Asset List'!$A$4:$A$60,0),MATCH('5'!$C$1,'Unique Asset List'!$BN$3:$BT$3,0))</f>
        <v>0.08</v>
      </c>
      <c r="AF27" s="15">
        <f>INDEX('Unique Asset List'!$BU$4:$CA$60,MATCH('5'!$B27,'Unique Asset List'!$A$4:$A$60,0),MATCH('5'!$C$1,'Unique Asset List'!$BU$3:$CA$3,0))</f>
        <v>0.42</v>
      </c>
      <c r="AG27" s="15">
        <f>INDEX('Unique Asset List'!$AZ$4:$BF$60,MATCH('5'!$B27,'Unique Asset List'!$A$4:$A$60,0),MATCH('5'!$C$1,'Unique Asset List'!$AZ$3:$BF$3,0))</f>
        <v>0.08</v>
      </c>
      <c r="AH27" s="15">
        <f>INDEX('Unique Asset List'!$BG$4:$BM$60,MATCH('5'!$B27,'Unique Asset List'!$A$4:$A$60,0),MATCH('5'!$C$1,'Unique Asset List'!$BG$3:$BM$3,0))</f>
        <v>0.42</v>
      </c>
      <c r="AI27" s="11">
        <v>0.96187963349867744</v>
      </c>
      <c r="AJ27" s="15">
        <f>INDEX('Unique Asset List'!$AL$4:$AR$60,MATCH('5'!$B27,'Unique Asset List'!$A$4:$A$60,0),MATCH('5'!$C$1,'Unique Asset List'!$AL$3:$AR$3,0))</f>
        <v>1.2944496352201866</v>
      </c>
      <c r="AK27" s="15">
        <f>INDEX('Unique Asset List'!$AS$4:$AY$60,MATCH('5'!$B27,'Unique Asset List'!$A$4:$A$60,0),MATCH('5'!$C$1,'Unique Asset List'!$AS$3:$AY$3,0))</f>
        <v>-1.4425350046709582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10"/>
      <c r="AU27" s="4">
        <f>IF($C$5="ON",BU27,MyRating(_E1,$B27,Efficacy!$F$1))</f>
        <v>4</v>
      </c>
      <c r="AV27" s="3">
        <f>IF($C$5="ON",BV27,MyRating(_E2,$B27,Efficacy!$F$1))</f>
        <v>4</v>
      </c>
      <c r="AW27" s="3">
        <f>IF($C$5="ON",BW27,MyRating(_E3,$B27,Efficacy!$F$1))</f>
        <v>4</v>
      </c>
      <c r="AX27" s="3">
        <f>IF($C$5="ON",BX27,MyRating(_E4,$B27,Efficacy!$F$1))</f>
        <v>4</v>
      </c>
      <c r="AY27" s="3">
        <f>IF($C$5="ON",BY27,MyRating(_E5,$B27,Efficacy!$F$1))</f>
        <v>3</v>
      </c>
      <c r="AZ27" s="3">
        <f>IF($C$5="ON",BZ27,MyRating(_E6,$B27,Efficacy!$F$1))</f>
        <v>4</v>
      </c>
      <c r="BA27" s="3">
        <f>IF($C$5="ON",CA27,MyRating(_E7,$B27,Efficacy!$F$1))</f>
        <v>4</v>
      </c>
      <c r="BB27" s="3">
        <f>IF($C$5="ON",CB27,MyRating(_E8,$B27,Efficacy!$F$1))</f>
        <v>3</v>
      </c>
      <c r="BC27" s="3">
        <f>IF($C$5="ON",CC27,MyRating(_S1,$B27,Efficacy!$F$1))</f>
        <v>4</v>
      </c>
      <c r="BD27" s="3">
        <f>IF($C$5="ON",CD27,MyRating(_S2,$B27,Efficacy!$F$1))</f>
        <v>3</v>
      </c>
      <c r="BE27" s="3">
        <f>IF($C$5="ON",CE27,MyRating(_S3,$B27,Efficacy!$F$1))</f>
        <v>3</v>
      </c>
      <c r="BF27" s="3">
        <f>IF($C$5="ON",CF27,MyRating(_S4,$B27,Efficacy!$F$1))</f>
        <v>4</v>
      </c>
      <c r="BG27" s="3">
        <f>IF($C$5="ON",CG27,MyRating(_S5,$B27,Efficacy!$F$1))</f>
        <v>5</v>
      </c>
      <c r="BH27" s="3">
        <f>IF($C$5="ON",CH27,MyRating(_S6,$B27,Efficacy!$F$1))</f>
        <v>3</v>
      </c>
      <c r="BI27" s="3">
        <f>IF($C$5="ON",CI27,MyRating(_S7,$B27,Efficacy!$F$1))</f>
        <v>4</v>
      </c>
      <c r="BJ27" s="3">
        <f>IF($C$5="ON",CJ27,MyRating(_D1,$B27,Efficacy!$F$1))</f>
        <v>3</v>
      </c>
      <c r="BK27" s="3">
        <f>IF($C$5="ON",CK27,MyRating(_D2,$B27,Efficacy!$F$1))</f>
        <v>3</v>
      </c>
      <c r="BL27" s="3">
        <f>IF($C$5="ON",CL27,MyRating(_D3,$B27,Efficacy!$F$1))</f>
        <v>3</v>
      </c>
      <c r="BM27" s="3">
        <f>IF($C$5="ON",CM27,MyRating(_D4,$B27,Efficacy!$F$1))</f>
        <v>3</v>
      </c>
      <c r="BN27" s="3">
        <f>IF($C$5="ON",CN27,MyRating(_B1G5,$B27,Barrier!$L$2))</f>
        <v>2</v>
      </c>
      <c r="BO27" s="3">
        <f>IF($C$5="ON",CO27,MyRating(_B2,$B27,Barrier!$F$2))</f>
        <v>3</v>
      </c>
      <c r="BP27" s="6">
        <f>IF($C$5="ON",CP27,MyRating(_B3,$B27,Barrier!$F$2))</f>
        <v>3</v>
      </c>
      <c r="BQ27" s="5">
        <f t="shared" si="6"/>
        <v>3.6275844714639842E-2</v>
      </c>
      <c r="BR27" s="8">
        <f t="shared" si="7"/>
        <v>2.9499999999999997</v>
      </c>
      <c r="BS27" s="5">
        <f t="shared" si="8"/>
        <v>3.60415394013439E-2</v>
      </c>
      <c r="BT27" s="7">
        <f t="shared" si="9"/>
        <v>1.8542316878791175E-2</v>
      </c>
      <c r="BU27" s="4">
        <v>4</v>
      </c>
      <c r="BV27" s="3">
        <v>4</v>
      </c>
      <c r="BW27" s="3">
        <v>4</v>
      </c>
      <c r="BX27" s="3">
        <v>4</v>
      </c>
      <c r="BY27" s="3">
        <v>3</v>
      </c>
      <c r="BZ27" s="3">
        <v>4</v>
      </c>
      <c r="CA27" s="3">
        <v>4</v>
      </c>
      <c r="CB27" s="3">
        <v>3</v>
      </c>
      <c r="CC27" s="3">
        <v>4</v>
      </c>
      <c r="CD27" s="3">
        <v>3</v>
      </c>
      <c r="CE27" s="3">
        <v>3</v>
      </c>
      <c r="CF27" s="3">
        <v>4</v>
      </c>
      <c r="CG27" s="3">
        <v>5</v>
      </c>
      <c r="CH27" s="3">
        <v>3</v>
      </c>
      <c r="CI27" s="3">
        <v>4</v>
      </c>
      <c r="CJ27" s="3">
        <v>3</v>
      </c>
      <c r="CK27" s="3">
        <v>3</v>
      </c>
      <c r="CL27" s="3">
        <v>3</v>
      </c>
      <c r="CM27" s="3">
        <v>3</v>
      </c>
      <c r="CN27" s="3">
        <v>2</v>
      </c>
      <c r="CO27" s="3">
        <v>3</v>
      </c>
      <c r="CP27" s="6">
        <v>3</v>
      </c>
      <c r="CQ27" s="5">
        <v>3.6275844714639842E-2</v>
      </c>
    </row>
    <row r="28" spans="1:95" x14ac:dyDescent="0.35">
      <c r="A28" s="9" t="str">
        <f t="shared" si="0"/>
        <v>ES</v>
      </c>
      <c r="B28" s="9" t="s">
        <v>35</v>
      </c>
      <c r="C28" s="20"/>
      <c r="D28" s="9" t="s">
        <v>2</v>
      </c>
      <c r="E28" s="9" t="s">
        <v>193</v>
      </c>
      <c r="F28" s="9" t="s">
        <v>58</v>
      </c>
      <c r="G28" s="19">
        <v>0</v>
      </c>
      <c r="H28" s="9">
        <v>2014</v>
      </c>
      <c r="I28" s="9">
        <v>6</v>
      </c>
      <c r="J28" s="18">
        <f>INDEX(PTRS!$D$6:$D$12,MATCH('5'!$F28,PTRS!$B$6:$B$12,0))</f>
        <v>0.13923000000000002</v>
      </c>
      <c r="K28" s="17">
        <v>0</v>
      </c>
      <c r="L28" s="17">
        <v>0.1044225</v>
      </c>
      <c r="M28" s="17">
        <v>0.13923000000000002</v>
      </c>
      <c r="N28" s="17">
        <v>0.14000000000000001</v>
      </c>
      <c r="O28" s="17">
        <v>0.14000000000000001</v>
      </c>
      <c r="P28" s="17">
        <v>0.1044225</v>
      </c>
      <c r="Q28" s="17">
        <v>0.1044225</v>
      </c>
      <c r="R28" s="17">
        <v>0.1044225</v>
      </c>
      <c r="S28" s="17">
        <v>1</v>
      </c>
      <c r="T28" s="17"/>
      <c r="U28" s="17">
        <f t="shared" si="1"/>
        <v>0.72649652910676854</v>
      </c>
      <c r="V28" s="17">
        <v>1</v>
      </c>
      <c r="W28" s="9" t="s">
        <v>35</v>
      </c>
      <c r="X28" s="9">
        <f>INDEX('Unique Asset List'!$C$4:$I$60,MATCH('5'!$B28,'Unique Asset List'!$A$4:$A$60,0),MATCH('5'!$C$1,'Unique Asset List'!$C$3:$I$3,0))</f>
        <v>2029</v>
      </c>
      <c r="Y28" s="9">
        <f>INDEX('Unique Asset List'!$J$4:$P$60,MATCH('5'!$B28,'Unique Asset List'!$A$4:$A$60,0),MATCH('5'!$C$1,'Unique Asset List'!$J$3:$P$3,0))</f>
        <v>4.999999999998181</v>
      </c>
      <c r="Z28" s="9">
        <f>INDEX('Unique Asset List'!$X$4:$AD$60,MATCH('5'!$B28,'Unique Asset List'!$A$4:$A$60,0),MATCH('5'!$C$1,'Unique Asset List'!$X$3:$AD$3,0))</f>
        <v>2038</v>
      </c>
      <c r="AA28" s="9">
        <f>INDEX('Unique Asset List'!$AE$4:$AK$60,MATCH('5'!$B28,'Unique Asset List'!$A$4:$A$60,0),MATCH('5'!$C$1,'Unique Asset List'!$AE$3:$AK$3,0))</f>
        <v>2</v>
      </c>
      <c r="AB28" s="16">
        <f t="shared" si="2"/>
        <v>2.0908086000000004</v>
      </c>
      <c r="AC28" s="16">
        <f t="shared" si="3"/>
        <v>0.97325250000000008</v>
      </c>
      <c r="AD28" s="16">
        <f t="shared" si="4"/>
        <v>0.56099999999999994</v>
      </c>
      <c r="AE28" s="15">
        <f>INDEX('Unique Asset List'!$BN$4:$BT$60,MATCH('5'!$B28,'Unique Asset List'!$A$4:$A$60,0),MATCH('5'!$C$1,'Unique Asset List'!$BN$3:$BT$3,0))</f>
        <v>0.08</v>
      </c>
      <c r="AF28" s="15">
        <f>INDEX('Unique Asset List'!$BU$4:$CA$60,MATCH('5'!$B28,'Unique Asset List'!$A$4:$A$60,0),MATCH('5'!$C$1,'Unique Asset List'!$BU$3:$CA$3,0))</f>
        <v>0.42</v>
      </c>
      <c r="AG28" s="15">
        <f>INDEX('Unique Asset List'!$AZ$4:$BF$60,MATCH('5'!$B28,'Unique Asset List'!$A$4:$A$60,0),MATCH('5'!$C$1,'Unique Asset List'!$AZ$3:$BF$3,0))</f>
        <v>0.08</v>
      </c>
      <c r="AH28" s="15">
        <f>INDEX('Unique Asset List'!$BG$4:$BM$60,MATCH('5'!$B28,'Unique Asset List'!$A$4:$A$60,0),MATCH('5'!$C$1,'Unique Asset List'!$BG$3:$BM$3,0))</f>
        <v>0.42</v>
      </c>
      <c r="AI28" s="11">
        <v>0.96187963349867744</v>
      </c>
      <c r="AJ28" s="15">
        <f>INDEX('Unique Asset List'!$AL$4:$AR$60,MATCH('5'!$B28,'Unique Asset List'!$A$4:$A$60,0),MATCH('5'!$C$1,'Unique Asset List'!$AL$3:$AR$3,0))</f>
        <v>1.2944496352201866</v>
      </c>
      <c r="AK28" s="15">
        <f>INDEX('Unique Asset List'!$AS$4:$AY$60,MATCH('5'!$B28,'Unique Asset List'!$A$4:$A$60,0),MATCH('5'!$C$1,'Unique Asset List'!$AS$3:$AY$3,0))</f>
        <v>-1.4425350046709582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10"/>
      <c r="AU28" s="4">
        <f>IF($C$5="ON",BU28,MyRating(_E1,$B28,Efficacy!$F$1))</f>
        <v>4</v>
      </c>
      <c r="AV28" s="3">
        <f>IF($C$5="ON",BV28,MyRating(_E2,$B28,Efficacy!$F$1))</f>
        <v>4</v>
      </c>
      <c r="AW28" s="3">
        <f>IF($C$5="ON",BW28,MyRating(_E3,$B28,Efficacy!$F$1))</f>
        <v>4</v>
      </c>
      <c r="AX28" s="3">
        <f>IF($C$5="ON",BX28,MyRating(_E4,$B28,Efficacy!$F$1))</f>
        <v>4</v>
      </c>
      <c r="AY28" s="3">
        <f>IF($C$5="ON",BY28,MyRating(_E5,$B28,Efficacy!$F$1))</f>
        <v>3</v>
      </c>
      <c r="AZ28" s="3">
        <f>IF($C$5="ON",BZ28,MyRating(_E6,$B28,Efficacy!$F$1))</f>
        <v>3</v>
      </c>
      <c r="BA28" s="3">
        <f>IF($C$5="ON",CA28,MyRating(_E7,$B28,Efficacy!$F$1))</f>
        <v>3</v>
      </c>
      <c r="BB28" s="3">
        <f>IF($C$5="ON",CB28,MyRating(_E8,$B28,Efficacy!$F$1))</f>
        <v>4</v>
      </c>
      <c r="BC28" s="3">
        <f>IF($C$5="ON",CC28,MyRating(_S1,$B28,Efficacy!$F$1))</f>
        <v>4</v>
      </c>
      <c r="BD28" s="3">
        <f>IF($C$5="ON",CD28,MyRating(_S2,$B28,Efficacy!$F$1))</f>
        <v>3</v>
      </c>
      <c r="BE28" s="3">
        <f>IF($C$5="ON",CE28,MyRating(_S3,$B28,Efficacy!$F$1))</f>
        <v>3</v>
      </c>
      <c r="BF28" s="3">
        <f>IF($C$5="ON",CF28,MyRating(_S4,$B28,Efficacy!$F$1))</f>
        <v>4</v>
      </c>
      <c r="BG28" s="3">
        <f>IF($C$5="ON",CG28,MyRating(_S5,$B28,Efficacy!$F$1))</f>
        <v>5</v>
      </c>
      <c r="BH28" s="3">
        <f>IF($C$5="ON",CH28,MyRating(_S6,$B28,Efficacy!$F$1))</f>
        <v>3</v>
      </c>
      <c r="BI28" s="3">
        <f>IF($C$5="ON",CI28,MyRating(_S7,$B28,Efficacy!$F$1))</f>
        <v>4</v>
      </c>
      <c r="BJ28" s="3">
        <f>IF($C$5="ON",CJ28,MyRating(_D1,$B28,Efficacy!$F$1))</f>
        <v>3</v>
      </c>
      <c r="BK28" s="3">
        <f>IF($C$5="ON",CK28,MyRating(_D2,$B28,Efficacy!$F$1))</f>
        <v>3</v>
      </c>
      <c r="BL28" s="3">
        <f>IF($C$5="ON",CL28,MyRating(_D3,$B28,Efficacy!$F$1))</f>
        <v>3</v>
      </c>
      <c r="BM28" s="3">
        <f>IF($C$5="ON",CM28,MyRating(_D4,$B28,Efficacy!$F$1))</f>
        <v>3</v>
      </c>
      <c r="BN28" s="3">
        <f>IF($C$5="ON",CN28,MyRating(_B1G5,$B28,Barrier!$L$2))</f>
        <v>2</v>
      </c>
      <c r="BO28" s="3">
        <f>IF($C$5="ON",CO28,MyRating(_B2,$B28,Barrier!$F$2))</f>
        <v>3</v>
      </c>
      <c r="BP28" s="6">
        <f>IF($C$5="ON",CP28,MyRating(_B3,$B28,Barrier!$F$2))</f>
        <v>3</v>
      </c>
      <c r="BQ28" s="5">
        <f t="shared" si="6"/>
        <v>3.6275844714639842E-2</v>
      </c>
      <c r="BR28" s="8">
        <f t="shared" si="7"/>
        <v>2.9499999999999997</v>
      </c>
      <c r="BS28" s="5">
        <f t="shared" si="8"/>
        <v>3.60415394013439E-2</v>
      </c>
      <c r="BT28" s="7">
        <f t="shared" si="9"/>
        <v>1.8542316878791175E-2</v>
      </c>
      <c r="BU28" s="4">
        <v>4</v>
      </c>
      <c r="BV28" s="3">
        <v>4</v>
      </c>
      <c r="BW28" s="3">
        <v>4</v>
      </c>
      <c r="BX28" s="3">
        <v>4</v>
      </c>
      <c r="BY28" s="3">
        <v>3</v>
      </c>
      <c r="BZ28" s="3">
        <v>3</v>
      </c>
      <c r="CA28" s="3">
        <v>3</v>
      </c>
      <c r="CB28" s="3">
        <v>4</v>
      </c>
      <c r="CC28" s="3">
        <v>4</v>
      </c>
      <c r="CD28" s="3">
        <v>3</v>
      </c>
      <c r="CE28" s="3">
        <v>3</v>
      </c>
      <c r="CF28" s="3">
        <v>4</v>
      </c>
      <c r="CG28" s="3">
        <v>5</v>
      </c>
      <c r="CH28" s="3">
        <v>3</v>
      </c>
      <c r="CI28" s="3">
        <v>4</v>
      </c>
      <c r="CJ28" s="3">
        <v>3</v>
      </c>
      <c r="CK28" s="3">
        <v>3</v>
      </c>
      <c r="CL28" s="3">
        <v>3</v>
      </c>
      <c r="CM28" s="3">
        <v>3</v>
      </c>
      <c r="CN28" s="3">
        <v>2</v>
      </c>
      <c r="CO28" s="3">
        <v>3</v>
      </c>
      <c r="CP28" s="6">
        <v>3</v>
      </c>
      <c r="CQ28" s="5">
        <v>3.6275844714639842E-2</v>
      </c>
    </row>
    <row r="29" spans="1:95" x14ac:dyDescent="0.35">
      <c r="A29" s="9" t="str">
        <f t="shared" si="0"/>
        <v>ES</v>
      </c>
      <c r="B29" s="9" t="s">
        <v>70</v>
      </c>
      <c r="C29" s="20"/>
      <c r="D29" s="9" t="s">
        <v>64</v>
      </c>
      <c r="E29" s="9" t="s">
        <v>193</v>
      </c>
      <c r="F29" s="9" t="s">
        <v>58</v>
      </c>
      <c r="G29" s="19">
        <v>0</v>
      </c>
      <c r="H29" s="9">
        <v>2014</v>
      </c>
      <c r="I29" s="9">
        <v>6</v>
      </c>
      <c r="J29" s="18">
        <f>INDEX(PTRS!$D$6:$D$12,MATCH('5'!$F29,PTRS!$B$6:$B$12,0))</f>
        <v>0.13923000000000002</v>
      </c>
      <c r="K29" s="17">
        <v>0</v>
      </c>
      <c r="L29" s="17">
        <v>0.13923000000000002</v>
      </c>
      <c r="M29" s="17">
        <v>0.13923000000000002</v>
      </c>
      <c r="N29" s="17">
        <v>0.13923000000000002</v>
      </c>
      <c r="O29" s="17">
        <v>0.13923000000000002</v>
      </c>
      <c r="P29" s="17">
        <v>0.13923000000000002</v>
      </c>
      <c r="Q29" s="17">
        <v>0.14000000000000001</v>
      </c>
      <c r="R29" s="17">
        <v>0.14000000000000001</v>
      </c>
      <c r="S29" s="17">
        <v>1</v>
      </c>
      <c r="T29" s="17"/>
      <c r="U29" s="17">
        <f t="shared" si="1"/>
        <v>0.72649652910676854</v>
      </c>
      <c r="V29" s="17">
        <v>1</v>
      </c>
      <c r="W29" s="9" t="s">
        <v>62</v>
      </c>
      <c r="X29" s="9">
        <f>INDEX('Unique Asset List'!$C$4:$I$60,MATCH('5'!$B29,'Unique Asset List'!$A$4:$A$60,0),MATCH('5'!$C$1,'Unique Asset List'!$C$3:$I$3,0))</f>
        <v>2027</v>
      </c>
      <c r="Y29" s="9">
        <f>INDEX('Unique Asset List'!$J$4:$P$60,MATCH('5'!$B29,'Unique Asset List'!$A$4:$A$60,0),MATCH('5'!$C$1,'Unique Asset List'!$J$3:$P$3,0))</f>
        <v>3.9999999999990905</v>
      </c>
      <c r="Z29" s="9">
        <f>INDEX('Unique Asset List'!$X$4:$AD$60,MATCH('5'!$B29,'Unique Asset List'!$A$4:$A$60,0),MATCH('5'!$C$1,'Unique Asset List'!$X$3:$AD$3,0))</f>
        <v>2037</v>
      </c>
      <c r="AA29" s="9">
        <f>INDEX('Unique Asset List'!$AE$4:$AK$60,MATCH('5'!$B29,'Unique Asset List'!$A$4:$A$60,0),MATCH('5'!$C$1,'Unique Asset List'!$AE$3:$AK$3,0))</f>
        <v>3</v>
      </c>
      <c r="AB29" s="16">
        <f t="shared" si="2"/>
        <v>1.6860000000000002</v>
      </c>
      <c r="AC29" s="16">
        <f t="shared" si="3"/>
        <v>0.98141</v>
      </c>
      <c r="AD29" s="16">
        <f t="shared" si="4"/>
        <v>0.50129594525999999</v>
      </c>
      <c r="AE29" s="15">
        <f>INDEX('Unique Asset List'!$BN$4:$BT$60,MATCH('5'!$B29,'Unique Asset List'!$A$4:$A$60,0),MATCH('5'!$C$1,'Unique Asset List'!$BN$3:$BT$3,0))</f>
        <v>0.14000000000000001</v>
      </c>
      <c r="AF29" s="15">
        <f>INDEX('Unique Asset List'!$BU$4:$CA$60,MATCH('5'!$B29,'Unique Asset List'!$A$4:$A$60,0),MATCH('5'!$C$1,'Unique Asset List'!$BU$3:$CA$3,0))</f>
        <v>0.36</v>
      </c>
      <c r="AG29" s="15">
        <f>INDEX('Unique Asset List'!$AZ$4:$BF$60,MATCH('5'!$B29,'Unique Asset List'!$A$4:$A$60,0),MATCH('5'!$C$1,'Unique Asset List'!$AZ$3:$BF$3,0))</f>
        <v>0.14000000000000001</v>
      </c>
      <c r="AH29" s="15">
        <f>INDEX('Unique Asset List'!$BG$4:$BM$60,MATCH('5'!$B29,'Unique Asset List'!$A$4:$A$60,0),MATCH('5'!$C$1,'Unique Asset List'!$BG$3:$BM$3,0))</f>
        <v>0.36</v>
      </c>
      <c r="AI29" s="11">
        <v>0.96187963349867744</v>
      </c>
      <c r="AJ29" s="15">
        <f>INDEX('Unique Asset List'!$AL$4:$AR$60,MATCH('5'!$B29,'Unique Asset List'!$A$4:$A$60,0),MATCH('5'!$C$1,'Unique Asset List'!$AL$3:$AR$3,0))</f>
        <v>1.2944496352201866</v>
      </c>
      <c r="AK29" s="15">
        <f>INDEX('Unique Asset List'!$AS$4:$AY$60,MATCH('5'!$B29,'Unique Asset List'!$A$4:$A$60,0),MATCH('5'!$C$1,'Unique Asset List'!$AS$3:$AY$3,0))</f>
        <v>-1.4425350046709582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10"/>
      <c r="AU29" s="4">
        <f>IF($C$5="ON",BU29,MyRating(_E1,$B29,Efficacy!$F$1))</f>
        <v>3</v>
      </c>
      <c r="AV29" s="3">
        <f>IF($C$5="ON",BV29,MyRating(_E2,$B29,Efficacy!$F$1))</f>
        <v>3</v>
      </c>
      <c r="AW29" s="3">
        <f>IF($C$5="ON",BW29,MyRating(_E3,$B29,Efficacy!$F$1))</f>
        <v>3</v>
      </c>
      <c r="AX29" s="3">
        <f>IF($C$5="ON",BX29,MyRating(_E4,$B29,Efficacy!$F$1))</f>
        <v>3</v>
      </c>
      <c r="AY29" s="3">
        <f>IF($C$5="ON",BY29,MyRating(_E5,$B29,Efficacy!$F$1))</f>
        <v>3</v>
      </c>
      <c r="AZ29" s="3">
        <f>IF($C$5="ON",BZ29,MyRating(_E6,$B29,Efficacy!$F$1))</f>
        <v>3</v>
      </c>
      <c r="BA29" s="3">
        <f>IF($C$5="ON",CA29,MyRating(_E7,$B29,Efficacy!$F$1))</f>
        <v>3</v>
      </c>
      <c r="BB29" s="3">
        <f>IF($C$5="ON",CB29,MyRating(_E8,$B29,Efficacy!$F$1))</f>
        <v>3</v>
      </c>
      <c r="BC29" s="3">
        <f>IF($C$5="ON",CC29,MyRating(_S1,$B29,Efficacy!$F$1))</f>
        <v>5</v>
      </c>
      <c r="BD29" s="3">
        <f>IF($C$5="ON",CD29,MyRating(_S2,$B29,Efficacy!$F$1))</f>
        <v>3</v>
      </c>
      <c r="BE29" s="3">
        <f>IF($C$5="ON",CE29,MyRating(_S3,$B29,Efficacy!$F$1))</f>
        <v>3</v>
      </c>
      <c r="BF29" s="3">
        <f>IF($C$5="ON",CF29,MyRating(_S4,$B29,Efficacy!$F$1))</f>
        <v>4</v>
      </c>
      <c r="BG29" s="3">
        <f>IF($C$5="ON",CG29,MyRating(_S5,$B29,Efficacy!$F$1))</f>
        <v>5</v>
      </c>
      <c r="BH29" s="3">
        <f>IF($C$5="ON",CH29,MyRating(_S6,$B29,Efficacy!$F$1))</f>
        <v>2</v>
      </c>
      <c r="BI29" s="3">
        <f>IF($C$5="ON",CI29,MyRating(_S7,$B29,Efficacy!$F$1))</f>
        <v>3</v>
      </c>
      <c r="BJ29" s="3">
        <f>IF($C$5="ON",CJ29,MyRating(_D1,$B29,Efficacy!$F$1))</f>
        <v>2</v>
      </c>
      <c r="BK29" s="3">
        <f>IF($C$5="ON",CK29,MyRating(_D2,$B29,Efficacy!$F$1))</f>
        <v>3</v>
      </c>
      <c r="BL29" s="3">
        <f>IF($C$5="ON",CL29,MyRating(_D3,$B29,Efficacy!$F$1))</f>
        <v>3</v>
      </c>
      <c r="BM29" s="3">
        <f>IF($C$5="ON",CM29,MyRating(_D4,$B29,Efficacy!$F$1))</f>
        <v>3</v>
      </c>
      <c r="BN29" s="3">
        <f>IF($C$5="ON",CN29,MyRating(_B1G5,$B29,Barrier!$L$2))</f>
        <v>2</v>
      </c>
      <c r="BO29" s="3">
        <f>IF($C$5="ON",CO29,MyRating(_B2,$B29,Barrier!$F$2))</f>
        <v>3</v>
      </c>
      <c r="BP29" s="6">
        <f>IF($C$5="ON",CP29,MyRating(_B3,$B29,Barrier!$F$2))</f>
        <v>3</v>
      </c>
      <c r="BQ29" s="5">
        <f t="shared" si="6"/>
        <v>3.6275844714639842E-2</v>
      </c>
      <c r="BR29" s="8">
        <f t="shared" si="7"/>
        <v>2.9499999999999997</v>
      </c>
      <c r="BS29" s="5">
        <f t="shared" si="8"/>
        <v>3.60415394013439E-2</v>
      </c>
      <c r="BT29" s="7">
        <f t="shared" si="9"/>
        <v>1.8542316878791175E-2</v>
      </c>
      <c r="BU29" s="4">
        <v>3</v>
      </c>
      <c r="BV29" s="3">
        <v>3</v>
      </c>
      <c r="BW29" s="3">
        <v>3</v>
      </c>
      <c r="BX29" s="3">
        <v>3</v>
      </c>
      <c r="BY29" s="3">
        <v>3</v>
      </c>
      <c r="BZ29" s="3">
        <v>3</v>
      </c>
      <c r="CA29" s="3">
        <v>3</v>
      </c>
      <c r="CB29" s="3">
        <v>3</v>
      </c>
      <c r="CC29" s="3">
        <v>5</v>
      </c>
      <c r="CD29" s="3">
        <v>3</v>
      </c>
      <c r="CE29" s="3">
        <v>3</v>
      </c>
      <c r="CF29" s="3">
        <v>4</v>
      </c>
      <c r="CG29" s="3">
        <v>5</v>
      </c>
      <c r="CH29" s="3">
        <v>2</v>
      </c>
      <c r="CI29" s="3">
        <v>3</v>
      </c>
      <c r="CJ29" s="3">
        <v>2</v>
      </c>
      <c r="CK29" s="3">
        <v>3</v>
      </c>
      <c r="CL29" s="3">
        <v>3</v>
      </c>
      <c r="CM29" s="3">
        <v>3</v>
      </c>
      <c r="CN29" s="3">
        <v>2</v>
      </c>
      <c r="CO29" s="3">
        <v>3</v>
      </c>
      <c r="CP29" s="6">
        <v>3</v>
      </c>
      <c r="CQ29" s="5">
        <v>3.6275844714639842E-2</v>
      </c>
    </row>
    <row r="30" spans="1:95" x14ac:dyDescent="0.35">
      <c r="A30" s="9" t="str">
        <f t="shared" si="0"/>
        <v>ES</v>
      </c>
      <c r="B30" s="9" t="s">
        <v>24</v>
      </c>
      <c r="C30" s="20"/>
      <c r="D30" s="9" t="s">
        <v>2</v>
      </c>
      <c r="E30" s="9" t="s">
        <v>193</v>
      </c>
      <c r="F30" s="9" t="s">
        <v>58</v>
      </c>
      <c r="G30" s="19">
        <v>0</v>
      </c>
      <c r="H30" s="9">
        <v>2014</v>
      </c>
      <c r="I30" s="9">
        <v>6</v>
      </c>
      <c r="J30" s="18">
        <f>INDEX(PTRS!$D$6:$D$12,MATCH('5'!$F30,PTRS!$B$6:$B$12,0))</f>
        <v>0.13923000000000002</v>
      </c>
      <c r="K30" s="17">
        <v>0</v>
      </c>
      <c r="L30" s="17">
        <v>0.1044225</v>
      </c>
      <c r="M30" s="17">
        <v>0.13923000000000002</v>
      </c>
      <c r="N30" s="17">
        <v>0.1</v>
      </c>
      <c r="O30" s="17">
        <v>0.1</v>
      </c>
      <c r="P30" s="17">
        <v>0.1044225</v>
      </c>
      <c r="Q30" s="17">
        <v>1</v>
      </c>
      <c r="R30" s="17">
        <v>1</v>
      </c>
      <c r="S30" s="17">
        <v>1</v>
      </c>
      <c r="T30" s="17"/>
      <c r="U30" s="17">
        <f t="shared" si="1"/>
        <v>0.72649652910676854</v>
      </c>
      <c r="V30" s="17">
        <v>1</v>
      </c>
      <c r="W30" s="9" t="s">
        <v>24</v>
      </c>
      <c r="X30" s="9">
        <f>INDEX('Unique Asset List'!$C$4:$I$60,MATCH('5'!$B30,'Unique Asset List'!$A$4:$A$60,0),MATCH('5'!$C$1,'Unique Asset List'!$C$3:$I$3,0))</f>
        <v>2027</v>
      </c>
      <c r="Y30" s="9">
        <f>INDEX('Unique Asset List'!$J$4:$P$60,MATCH('5'!$B30,'Unique Asset List'!$A$4:$A$60,0),MATCH('5'!$C$1,'Unique Asset List'!$J$3:$P$3,0))</f>
        <v>6.9999999999990905</v>
      </c>
      <c r="Z30" s="9">
        <f>INDEX('Unique Asset List'!$X$4:$AD$60,MATCH('5'!$B30,'Unique Asset List'!$A$4:$A$60,0),MATCH('5'!$C$1,'Unique Asset List'!$X$3:$AD$3,0))</f>
        <v>2037</v>
      </c>
      <c r="AA30" s="9">
        <f>INDEX('Unique Asset List'!$AE$4:$AK$60,MATCH('5'!$B30,'Unique Asset List'!$A$4:$A$60,0),MATCH('5'!$C$1,'Unique Asset List'!$AE$3:$AK$3,0))</f>
        <v>2</v>
      </c>
      <c r="AB30" s="16">
        <f t="shared" si="2"/>
        <v>2.3276916000000001</v>
      </c>
      <c r="AC30" s="16">
        <f t="shared" si="3"/>
        <v>1.0028454</v>
      </c>
      <c r="AD30" s="16">
        <f t="shared" si="4"/>
        <v>0.56099999999999994</v>
      </c>
      <c r="AE30" s="15">
        <f>INDEX('Unique Asset List'!$BN$4:$BT$60,MATCH('5'!$B30,'Unique Asset List'!$A$4:$A$60,0),MATCH('5'!$C$1,'Unique Asset List'!$BN$3:$BT$3,0))</f>
        <v>0.08</v>
      </c>
      <c r="AF30" s="15">
        <f>INDEX('Unique Asset List'!$BU$4:$CA$60,MATCH('5'!$B30,'Unique Asset List'!$A$4:$A$60,0),MATCH('5'!$C$1,'Unique Asset List'!$BU$3:$CA$3,0))</f>
        <v>0.42</v>
      </c>
      <c r="AG30" s="15">
        <f>INDEX('Unique Asset List'!$AZ$4:$BF$60,MATCH('5'!$B30,'Unique Asset List'!$A$4:$A$60,0),MATCH('5'!$C$1,'Unique Asset List'!$AZ$3:$BF$3,0))</f>
        <v>0.08</v>
      </c>
      <c r="AH30" s="15">
        <f>INDEX('Unique Asset List'!$BG$4:$BM$60,MATCH('5'!$B30,'Unique Asset List'!$A$4:$A$60,0),MATCH('5'!$C$1,'Unique Asset List'!$BG$3:$BM$3,0))</f>
        <v>0.42</v>
      </c>
      <c r="AI30" s="11">
        <v>0.96187963349867744</v>
      </c>
      <c r="AJ30" s="15">
        <f>INDEX('Unique Asset List'!$AL$4:$AR$60,MATCH('5'!$B30,'Unique Asset List'!$A$4:$A$60,0),MATCH('5'!$C$1,'Unique Asset List'!$AL$3:$AR$3,0))</f>
        <v>1.2944496352201866</v>
      </c>
      <c r="AK30" s="15">
        <f>INDEX('Unique Asset List'!$AS$4:$AY$60,MATCH('5'!$B30,'Unique Asset List'!$A$4:$A$60,0),MATCH('5'!$C$1,'Unique Asset List'!$AS$3:$AY$3,0))</f>
        <v>-1.4425350046709582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10"/>
      <c r="AU30" s="4">
        <f>IF($C$5="ON",BU30,MyRating(_E1,$B30,Efficacy!$F$1))</f>
        <v>4</v>
      </c>
      <c r="AV30" s="3">
        <f>IF($C$5="ON",BV30,MyRating(_E2,$B30,Efficacy!$F$1))</f>
        <v>5</v>
      </c>
      <c r="AW30" s="3">
        <f>IF($C$5="ON",BW30,MyRating(_E3,$B30,Efficacy!$F$1))</f>
        <v>5</v>
      </c>
      <c r="AX30" s="3">
        <f>IF($C$5="ON",BX30,MyRating(_E4,$B30,Efficacy!$F$1))</f>
        <v>4</v>
      </c>
      <c r="AY30" s="3">
        <f>IF($C$5="ON",BY30,MyRating(_E5,$B30,Efficacy!$F$1))</f>
        <v>4</v>
      </c>
      <c r="AZ30" s="3">
        <f>IF($C$5="ON",BZ30,MyRating(_E6,$B30,Efficacy!$F$1))</f>
        <v>3</v>
      </c>
      <c r="BA30" s="3">
        <f>IF($C$5="ON",CA30,MyRating(_E7,$B30,Efficacy!$F$1))</f>
        <v>3</v>
      </c>
      <c r="BB30" s="3">
        <f>IF($C$5="ON",CB30,MyRating(_E8,$B30,Efficacy!$F$1))</f>
        <v>4</v>
      </c>
      <c r="BC30" s="3">
        <f>IF($C$5="ON",CC30,MyRating(_S1,$B30,Efficacy!$F$1))</f>
        <v>5</v>
      </c>
      <c r="BD30" s="3">
        <f>IF($C$5="ON",CD30,MyRating(_S2,$B30,Efficacy!$F$1))</f>
        <v>3</v>
      </c>
      <c r="BE30" s="3">
        <f>IF($C$5="ON",CE30,MyRating(_S3,$B30,Efficacy!$F$1))</f>
        <v>3</v>
      </c>
      <c r="BF30" s="3">
        <f>IF($C$5="ON",CF30,MyRating(_S4,$B30,Efficacy!$F$1))</f>
        <v>4</v>
      </c>
      <c r="BG30" s="3">
        <f>IF($C$5="ON",CG30,MyRating(_S5,$B30,Efficacy!$F$1))</f>
        <v>5</v>
      </c>
      <c r="BH30" s="3">
        <f>IF($C$5="ON",CH30,MyRating(_S6,$B30,Efficacy!$F$1))</f>
        <v>3</v>
      </c>
      <c r="BI30" s="3">
        <f>IF($C$5="ON",CI30,MyRating(_S7,$B30,Efficacy!$F$1))</f>
        <v>3</v>
      </c>
      <c r="BJ30" s="3">
        <f>IF($C$5="ON",CJ30,MyRating(_D1,$B30,Efficacy!$F$1))</f>
        <v>3</v>
      </c>
      <c r="BK30" s="3">
        <f>IF($C$5="ON",CK30,MyRating(_D2,$B30,Efficacy!$F$1))</f>
        <v>3</v>
      </c>
      <c r="BL30" s="3">
        <f>IF($C$5="ON",CL30,MyRating(_D3,$B30,Efficacy!$F$1))</f>
        <v>3</v>
      </c>
      <c r="BM30" s="3">
        <f>IF($C$5="ON",CM30,MyRating(_D4,$B30,Efficacy!$F$1))</f>
        <v>3</v>
      </c>
      <c r="BN30" s="3">
        <f>IF($C$5="ON",CN30,MyRating(_B1G5,$B30,Barrier!$L$2))</f>
        <v>2</v>
      </c>
      <c r="BO30" s="3">
        <f>IF($C$5="ON",CO30,MyRating(_B2,$B30,Barrier!$F$2))</f>
        <v>3</v>
      </c>
      <c r="BP30" s="6">
        <f>IF($C$5="ON",CP30,MyRating(_B3,$B30,Barrier!$F$2))</f>
        <v>3</v>
      </c>
      <c r="BQ30" s="5">
        <f t="shared" si="6"/>
        <v>3.6275844714639842E-2</v>
      </c>
      <c r="BR30" s="8">
        <f t="shared" si="7"/>
        <v>2.9499999999999997</v>
      </c>
      <c r="BS30" s="5">
        <f t="shared" si="8"/>
        <v>3.60415394013439E-2</v>
      </c>
      <c r="BT30" s="7">
        <f t="shared" si="9"/>
        <v>1.8542316878791175E-2</v>
      </c>
      <c r="BU30" s="4">
        <v>4</v>
      </c>
      <c r="BV30" s="3">
        <v>5</v>
      </c>
      <c r="BW30" s="3">
        <v>5</v>
      </c>
      <c r="BX30" s="3">
        <v>4</v>
      </c>
      <c r="BY30" s="3">
        <v>4</v>
      </c>
      <c r="BZ30" s="3">
        <v>3</v>
      </c>
      <c r="CA30" s="3">
        <v>3</v>
      </c>
      <c r="CB30" s="3">
        <v>4</v>
      </c>
      <c r="CC30" s="3">
        <v>5</v>
      </c>
      <c r="CD30" s="3">
        <v>3</v>
      </c>
      <c r="CE30" s="3">
        <v>3</v>
      </c>
      <c r="CF30" s="3">
        <v>4</v>
      </c>
      <c r="CG30" s="3">
        <v>5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3</v>
      </c>
      <c r="CN30" s="3">
        <v>2</v>
      </c>
      <c r="CO30" s="3">
        <v>3</v>
      </c>
      <c r="CP30" s="6">
        <v>3</v>
      </c>
      <c r="CQ30" s="5">
        <v>3.6275844714639842E-2</v>
      </c>
    </row>
    <row r="31" spans="1:95" x14ac:dyDescent="0.35">
      <c r="A31" s="9" t="str">
        <f t="shared" si="0"/>
        <v>ES</v>
      </c>
      <c r="B31" s="9" t="s">
        <v>66</v>
      </c>
      <c r="C31" s="20" t="s">
        <v>3</v>
      </c>
      <c r="D31" s="9" t="s">
        <v>2</v>
      </c>
      <c r="E31" s="9" t="s">
        <v>193</v>
      </c>
      <c r="F31" s="9" t="s">
        <v>1</v>
      </c>
      <c r="G31" s="19">
        <v>0</v>
      </c>
      <c r="H31" s="9">
        <v>2014</v>
      </c>
      <c r="I31" s="9">
        <v>6</v>
      </c>
      <c r="J31" s="18">
        <f>INDEX(PTRS!$D$6:$D$12,MATCH('5'!$F31,PTRS!$B$6:$B$12,0))</f>
        <v>0.1044225</v>
      </c>
      <c r="K31" s="17">
        <v>0</v>
      </c>
      <c r="L31" s="17">
        <v>0.1044225</v>
      </c>
      <c r="M31" s="17">
        <v>0.1044225</v>
      </c>
      <c r="N31" s="17">
        <v>0.1044225</v>
      </c>
      <c r="O31" s="17">
        <v>0.1044225</v>
      </c>
      <c r="P31" s="17">
        <v>0.1044225</v>
      </c>
      <c r="Q31" s="17">
        <v>1</v>
      </c>
      <c r="R31" s="17">
        <v>1</v>
      </c>
      <c r="S31" s="17">
        <v>1</v>
      </c>
      <c r="T31" s="17"/>
      <c r="U31" s="17">
        <f t="shared" si="1"/>
        <v>0.72649652910676854</v>
      </c>
      <c r="V31" s="17">
        <v>1</v>
      </c>
      <c r="W31" s="9" t="s">
        <v>62</v>
      </c>
      <c r="X31" s="9">
        <f>INDEX('Unique Asset List'!$C$4:$I$60,MATCH('5'!$B31,'Unique Asset List'!$A$4:$A$60,0),MATCH('5'!$C$1,'Unique Asset List'!$C$3:$I$3,0))</f>
        <v>2030</v>
      </c>
      <c r="Y31" s="9">
        <f>INDEX('Unique Asset List'!$J$4:$P$60,MATCH('5'!$B31,'Unique Asset List'!$A$4:$A$60,0),MATCH('5'!$C$1,'Unique Asset List'!$J$3:$P$3,0))</f>
        <v>3.9999999999990905</v>
      </c>
      <c r="Z31" s="9">
        <f>INDEX('Unique Asset List'!$X$4:$AD$60,MATCH('5'!$B31,'Unique Asset List'!$A$4:$A$60,0),MATCH('5'!$C$1,'Unique Asset List'!$X$3:$AD$3,0))</f>
        <v>2038</v>
      </c>
      <c r="AA31" s="9">
        <f>INDEX('Unique Asset List'!$AE$4:$AK$60,MATCH('5'!$B31,'Unique Asset List'!$A$4:$A$60,0),MATCH('5'!$C$1,'Unique Asset List'!$AE$3:$AK$3,0))</f>
        <v>3</v>
      </c>
      <c r="AB31" s="16">
        <f t="shared" si="2"/>
        <v>2.3276916000000001</v>
      </c>
      <c r="AC31" s="16">
        <f t="shared" si="3"/>
        <v>1.0028454</v>
      </c>
      <c r="AD31" s="16">
        <f t="shared" si="4"/>
        <v>0.56099999999999994</v>
      </c>
      <c r="AE31" s="15">
        <f>INDEX('Unique Asset List'!$BN$4:$BT$60,MATCH('5'!$B31,'Unique Asset List'!$A$4:$A$60,0),MATCH('5'!$C$1,'Unique Asset List'!$BN$3:$BT$3,0))</f>
        <v>0.14000000000000001</v>
      </c>
      <c r="AF31" s="15">
        <f>INDEX('Unique Asset List'!$BU$4:$CA$60,MATCH('5'!$B31,'Unique Asset List'!$A$4:$A$60,0),MATCH('5'!$C$1,'Unique Asset List'!$BU$3:$CA$3,0))</f>
        <v>0.36</v>
      </c>
      <c r="AG31" s="15">
        <f>INDEX('Unique Asset List'!$AZ$4:$BF$60,MATCH('5'!$B31,'Unique Asset List'!$A$4:$A$60,0),MATCH('5'!$C$1,'Unique Asset List'!$AZ$3:$BF$3,0))</f>
        <v>0.14000000000000001</v>
      </c>
      <c r="AH31" s="15">
        <f>INDEX('Unique Asset List'!$BG$4:$BM$60,MATCH('5'!$B31,'Unique Asset List'!$A$4:$A$60,0),MATCH('5'!$C$1,'Unique Asset List'!$BG$3:$BM$3,0))</f>
        <v>0.36</v>
      </c>
      <c r="AI31" s="11">
        <v>0.96187963349867744</v>
      </c>
      <c r="AJ31" s="15">
        <f>INDEX('Unique Asset List'!$AL$4:$AR$60,MATCH('5'!$B31,'Unique Asset List'!$A$4:$A$60,0),MATCH('5'!$C$1,'Unique Asset List'!$AL$3:$AR$3,0))</f>
        <v>1.2944496352201866</v>
      </c>
      <c r="AK31" s="15">
        <f>INDEX('Unique Asset List'!$AS$4:$AY$60,MATCH('5'!$B31,'Unique Asset List'!$A$4:$A$60,0),MATCH('5'!$C$1,'Unique Asset List'!$AS$3:$AY$3,0))</f>
        <v>-1.4425350046709582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10"/>
      <c r="AU31" s="4">
        <f>IF($C$5="ON",BU31,MyRating(_E1,$B31,Efficacy!$F$1))</f>
        <v>4</v>
      </c>
      <c r="AV31" s="3">
        <f>IF($C$5="ON",BV31,MyRating(_E2,$B31,Efficacy!$F$1))</f>
        <v>5</v>
      </c>
      <c r="AW31" s="3">
        <f>IF($C$5="ON",BW31,MyRating(_E3,$B31,Efficacy!$F$1))</f>
        <v>5</v>
      </c>
      <c r="AX31" s="3">
        <f>IF($C$5="ON",BX31,MyRating(_E4,$B31,Efficacy!$F$1))</f>
        <v>4</v>
      </c>
      <c r="AY31" s="3">
        <f>IF($C$5="ON",BY31,MyRating(_E5,$B31,Efficacy!$F$1))</f>
        <v>4</v>
      </c>
      <c r="AZ31" s="3">
        <f>IF($C$5="ON",BZ31,MyRating(_E6,$B31,Efficacy!$F$1))</f>
        <v>3</v>
      </c>
      <c r="BA31" s="3">
        <f>IF($C$5="ON",CA31,MyRating(_E7,$B31,Efficacy!$F$1))</f>
        <v>3</v>
      </c>
      <c r="BB31" s="3">
        <f>IF($C$5="ON",CB31,MyRating(_E8,$B31,Efficacy!$F$1))</f>
        <v>4</v>
      </c>
      <c r="BC31" s="3">
        <f>IF($C$5="ON",CC31,MyRating(_S1,$B31,Efficacy!$F$1))</f>
        <v>5</v>
      </c>
      <c r="BD31" s="3">
        <f>IF($C$5="ON",CD31,MyRating(_S2,$B31,Efficacy!$F$1))</f>
        <v>3</v>
      </c>
      <c r="BE31" s="3">
        <f>IF($C$5="ON",CE31,MyRating(_S3,$B31,Efficacy!$F$1))</f>
        <v>3</v>
      </c>
      <c r="BF31" s="3">
        <f>IF($C$5="ON",CF31,MyRating(_S4,$B31,Efficacy!$F$1))</f>
        <v>4</v>
      </c>
      <c r="BG31" s="3">
        <f>IF($C$5="ON",CG31,MyRating(_S5,$B31,Efficacy!$F$1))</f>
        <v>5</v>
      </c>
      <c r="BH31" s="3">
        <f>IF($C$5="ON",CH31,MyRating(_S6,$B31,Efficacy!$F$1))</f>
        <v>3</v>
      </c>
      <c r="BI31" s="3">
        <f>IF($C$5="ON",CI31,MyRating(_S7,$B31,Efficacy!$F$1))</f>
        <v>3</v>
      </c>
      <c r="BJ31" s="3">
        <f>IF($C$5="ON",CJ31,MyRating(_D1,$B31,Efficacy!$F$1))</f>
        <v>3</v>
      </c>
      <c r="BK31" s="3">
        <f>IF($C$5="ON",CK31,MyRating(_D2,$B31,Efficacy!$F$1))</f>
        <v>3</v>
      </c>
      <c r="BL31" s="3">
        <f>IF($C$5="ON",CL31,MyRating(_D3,$B31,Efficacy!$F$1))</f>
        <v>3</v>
      </c>
      <c r="BM31" s="3">
        <f>IF($C$5="ON",CM31,MyRating(_D4,$B31,Efficacy!$F$1))</f>
        <v>3</v>
      </c>
      <c r="BN31" s="3">
        <f>IF($C$5="ON",CN31,MyRating(_B1G5,$B31,Barrier!$L$2))</f>
        <v>2</v>
      </c>
      <c r="BO31" s="3">
        <f>IF($C$5="ON",CO31,MyRating(_B2,$B31,Barrier!$F$2))</f>
        <v>3</v>
      </c>
      <c r="BP31" s="6">
        <f>IF($C$5="ON",CP31,MyRating(_B3,$B31,Barrier!$F$2))</f>
        <v>3</v>
      </c>
      <c r="BQ31" s="5">
        <f t="shared" si="6"/>
        <v>3.6275844714639842E-2</v>
      </c>
      <c r="BR31" s="8">
        <f t="shared" si="7"/>
        <v>2.9499999999999997</v>
      </c>
      <c r="BS31" s="5">
        <f t="shared" si="8"/>
        <v>3.60415394013439E-2</v>
      </c>
      <c r="BT31" s="7">
        <f t="shared" si="9"/>
        <v>1.8542316878791175E-2</v>
      </c>
      <c r="BU31" s="4">
        <v>4</v>
      </c>
      <c r="BV31" s="3">
        <v>5</v>
      </c>
      <c r="BW31" s="3">
        <v>5</v>
      </c>
      <c r="BX31" s="3">
        <v>4</v>
      </c>
      <c r="BY31" s="3">
        <v>4</v>
      </c>
      <c r="BZ31" s="3">
        <v>3</v>
      </c>
      <c r="CA31" s="3">
        <v>3</v>
      </c>
      <c r="CB31" s="3">
        <v>4</v>
      </c>
      <c r="CC31" s="3">
        <v>5</v>
      </c>
      <c r="CD31" s="3">
        <v>3</v>
      </c>
      <c r="CE31" s="3">
        <v>3</v>
      </c>
      <c r="CF31" s="3">
        <v>4</v>
      </c>
      <c r="CG31" s="3">
        <v>5</v>
      </c>
      <c r="CH31" s="3">
        <v>3</v>
      </c>
      <c r="CI31" s="3">
        <v>3</v>
      </c>
      <c r="CJ31" s="3">
        <v>3</v>
      </c>
      <c r="CK31" s="3">
        <v>3</v>
      </c>
      <c r="CL31" s="3">
        <v>3</v>
      </c>
      <c r="CM31" s="3">
        <v>3</v>
      </c>
      <c r="CN31" s="3">
        <v>2</v>
      </c>
      <c r="CO31" s="3">
        <v>3</v>
      </c>
      <c r="CP31" s="6">
        <v>3</v>
      </c>
      <c r="CQ31" s="5">
        <v>3.6275844714639842E-2</v>
      </c>
    </row>
    <row r="32" spans="1:95" x14ac:dyDescent="0.35">
      <c r="A32" s="9" t="str">
        <f t="shared" si="0"/>
        <v>ES</v>
      </c>
      <c r="B32" s="9" t="s">
        <v>57</v>
      </c>
      <c r="C32" s="20" t="s">
        <v>3</v>
      </c>
      <c r="D32" s="9" t="s">
        <v>2</v>
      </c>
      <c r="E32" s="9" t="s">
        <v>193</v>
      </c>
      <c r="F32" s="9" t="s">
        <v>1</v>
      </c>
      <c r="G32" s="19">
        <v>0</v>
      </c>
      <c r="H32" s="9">
        <v>2014</v>
      </c>
      <c r="I32" s="9">
        <v>6</v>
      </c>
      <c r="J32" s="18">
        <f>INDEX(PTRS!$D$6:$D$12,MATCH('5'!$F32,PTRS!$B$6:$B$12,0))</f>
        <v>0.1044225</v>
      </c>
      <c r="K32" s="17">
        <v>0</v>
      </c>
      <c r="L32" s="17">
        <v>0.1044225</v>
      </c>
      <c r="M32" s="17">
        <v>0.1044225</v>
      </c>
      <c r="N32" s="17">
        <v>0.1044225</v>
      </c>
      <c r="O32" s="17">
        <v>0.1044225</v>
      </c>
      <c r="P32" s="17">
        <v>0.1044225</v>
      </c>
      <c r="Q32" s="17">
        <v>1</v>
      </c>
      <c r="R32" s="17">
        <v>1</v>
      </c>
      <c r="S32" s="17">
        <v>1</v>
      </c>
      <c r="T32" s="17"/>
      <c r="U32" s="17">
        <f t="shared" si="1"/>
        <v>0.72649652910676854</v>
      </c>
      <c r="V32" s="17">
        <v>1</v>
      </c>
      <c r="W32" s="9" t="s">
        <v>57</v>
      </c>
      <c r="X32" s="9">
        <f>INDEX('Unique Asset List'!$C$4:$I$60,MATCH('5'!$B32,'Unique Asset List'!$A$4:$A$60,0),MATCH('5'!$C$1,'Unique Asset List'!$C$3:$I$3,0))</f>
        <v>2030</v>
      </c>
      <c r="Y32" s="9">
        <f>INDEX('Unique Asset List'!$J$4:$P$60,MATCH('5'!$B32,'Unique Asset List'!$A$4:$A$60,0),MATCH('5'!$C$1,'Unique Asset List'!$J$3:$P$3,0))</f>
        <v>9.9999999999990905</v>
      </c>
      <c r="Z32" s="9">
        <f>INDEX('Unique Asset List'!$X$4:$AD$60,MATCH('5'!$B32,'Unique Asset List'!$A$4:$A$60,0),MATCH('5'!$C$1,'Unique Asset List'!$X$3:$AD$3,0))</f>
        <v>2038</v>
      </c>
      <c r="AA32" s="9">
        <f>INDEX('Unique Asset List'!$AE$4:$AK$60,MATCH('5'!$B32,'Unique Asset List'!$A$4:$A$60,0),MATCH('5'!$C$1,'Unique Asset List'!$AE$3:$AK$3,0))</f>
        <v>9</v>
      </c>
      <c r="AB32" s="16">
        <f t="shared" si="2"/>
        <v>2.3276916000000001</v>
      </c>
      <c r="AC32" s="16">
        <f t="shared" si="3"/>
        <v>1.0028454</v>
      </c>
      <c r="AD32" s="16">
        <f t="shared" si="4"/>
        <v>0.56099999999999994</v>
      </c>
      <c r="AE32" s="15">
        <f>INDEX('Unique Asset List'!$BN$4:$BT$60,MATCH('5'!$B32,'Unique Asset List'!$A$4:$A$60,0),MATCH('5'!$C$1,'Unique Asset List'!$BN$3:$BT$3,0))</f>
        <v>0.14000000000000001</v>
      </c>
      <c r="AF32" s="15">
        <f>INDEX('Unique Asset List'!$BU$4:$CA$60,MATCH('5'!$B32,'Unique Asset List'!$A$4:$A$60,0),MATCH('5'!$C$1,'Unique Asset List'!$BU$3:$CA$3,0))</f>
        <v>0.36</v>
      </c>
      <c r="AG32" s="15">
        <f>INDEX('Unique Asset List'!$AZ$4:$BF$60,MATCH('5'!$B32,'Unique Asset List'!$A$4:$A$60,0),MATCH('5'!$C$1,'Unique Asset List'!$AZ$3:$BF$3,0))</f>
        <v>0.14000000000000001</v>
      </c>
      <c r="AH32" s="15">
        <f>INDEX('Unique Asset List'!$BG$4:$BM$60,MATCH('5'!$B32,'Unique Asset List'!$A$4:$A$60,0),MATCH('5'!$C$1,'Unique Asset List'!$BG$3:$BM$3,0))</f>
        <v>0.36</v>
      </c>
      <c r="AI32" s="11">
        <v>0.96187963349867744</v>
      </c>
      <c r="AJ32" s="15">
        <f>INDEX('Unique Asset List'!$AL$4:$AR$60,MATCH('5'!$B32,'Unique Asset List'!$A$4:$A$60,0),MATCH('5'!$C$1,'Unique Asset List'!$AL$3:$AR$3,0))</f>
        <v>1.2944496352201866</v>
      </c>
      <c r="AK32" s="15">
        <f>INDEX('Unique Asset List'!$AS$4:$AY$60,MATCH('5'!$B32,'Unique Asset List'!$A$4:$A$60,0),MATCH('5'!$C$1,'Unique Asset List'!$AS$3:$AY$3,0))</f>
        <v>-1.4425350046709582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10"/>
      <c r="AU32" s="4">
        <f>IF($C$5="ON",BU32,MyRating(_E1,$B32,Efficacy!$F$1))</f>
        <v>4</v>
      </c>
      <c r="AV32" s="3">
        <f>IF($C$5="ON",BV32,MyRating(_E2,$B32,Efficacy!$F$1))</f>
        <v>5</v>
      </c>
      <c r="AW32" s="3">
        <f>IF($C$5="ON",BW32,MyRating(_E3,$B32,Efficacy!$F$1))</f>
        <v>5</v>
      </c>
      <c r="AX32" s="3">
        <f>IF($C$5="ON",BX32,MyRating(_E4,$B32,Efficacy!$F$1))</f>
        <v>4</v>
      </c>
      <c r="AY32" s="3">
        <f>IF($C$5="ON",BY32,MyRating(_E5,$B32,Efficacy!$F$1))</f>
        <v>4</v>
      </c>
      <c r="AZ32" s="3">
        <f>IF($C$5="ON",BZ32,MyRating(_E6,$B32,Efficacy!$F$1))</f>
        <v>3</v>
      </c>
      <c r="BA32" s="3">
        <f>IF($C$5="ON",CA32,MyRating(_E7,$B32,Efficacy!$F$1))</f>
        <v>3</v>
      </c>
      <c r="BB32" s="3">
        <f>IF($C$5="ON",CB32,MyRating(_E8,$B32,Efficacy!$F$1))</f>
        <v>4</v>
      </c>
      <c r="BC32" s="3">
        <f>IF($C$5="ON",CC32,MyRating(_S1,$B32,Efficacy!$F$1))</f>
        <v>5</v>
      </c>
      <c r="BD32" s="3">
        <f>IF($C$5="ON",CD32,MyRating(_S2,$B32,Efficacy!$F$1))</f>
        <v>3</v>
      </c>
      <c r="BE32" s="3">
        <f>IF($C$5="ON",CE32,MyRating(_S3,$B32,Efficacy!$F$1))</f>
        <v>3</v>
      </c>
      <c r="BF32" s="3">
        <f>IF($C$5="ON",CF32,MyRating(_S4,$B32,Efficacy!$F$1))</f>
        <v>4</v>
      </c>
      <c r="BG32" s="3">
        <f>IF($C$5="ON",CG32,MyRating(_S5,$B32,Efficacy!$F$1))</f>
        <v>5</v>
      </c>
      <c r="BH32" s="3">
        <f>IF($C$5="ON",CH32,MyRating(_S6,$B32,Efficacy!$F$1))</f>
        <v>3</v>
      </c>
      <c r="BI32" s="3">
        <f>IF($C$5="ON",CI32,MyRating(_S7,$B32,Efficacy!$F$1))</f>
        <v>3</v>
      </c>
      <c r="BJ32" s="3">
        <f>IF($C$5="ON",CJ32,MyRating(_D1,$B32,Efficacy!$F$1))</f>
        <v>3</v>
      </c>
      <c r="BK32" s="3">
        <f>IF($C$5="ON",CK32,MyRating(_D2,$B32,Efficacy!$F$1))</f>
        <v>3</v>
      </c>
      <c r="BL32" s="3">
        <f>IF($C$5="ON",CL32,MyRating(_D3,$B32,Efficacy!$F$1))</f>
        <v>3</v>
      </c>
      <c r="BM32" s="3">
        <f>IF($C$5="ON",CM32,MyRating(_D4,$B32,Efficacy!$F$1))</f>
        <v>3</v>
      </c>
      <c r="BN32" s="3">
        <f>IF($C$5="ON",CN32,MyRating(_B1G5,$B32,Barrier!$L$2))</f>
        <v>2</v>
      </c>
      <c r="BO32" s="3">
        <f>IF($C$5="ON",CO32,MyRating(_B2,$B32,Barrier!$F$2))</f>
        <v>3</v>
      </c>
      <c r="BP32" s="6">
        <f>IF($C$5="ON",CP32,MyRating(_B3,$B32,Barrier!$F$2))</f>
        <v>3</v>
      </c>
      <c r="BQ32" s="5">
        <f t="shared" si="6"/>
        <v>3.6275844714639842E-2</v>
      </c>
      <c r="BR32" s="8">
        <f t="shared" si="7"/>
        <v>2.9499999999999997</v>
      </c>
      <c r="BS32" s="5">
        <f t="shared" si="8"/>
        <v>3.60415394013439E-2</v>
      </c>
      <c r="BT32" s="7">
        <f t="shared" si="9"/>
        <v>1.8542316878791175E-2</v>
      </c>
      <c r="BU32" s="4">
        <v>4</v>
      </c>
      <c r="BV32" s="3">
        <v>5</v>
      </c>
      <c r="BW32" s="3">
        <v>5</v>
      </c>
      <c r="BX32" s="3">
        <v>4</v>
      </c>
      <c r="BY32" s="3">
        <v>4</v>
      </c>
      <c r="BZ32" s="3">
        <v>3</v>
      </c>
      <c r="CA32" s="3">
        <v>3</v>
      </c>
      <c r="CB32" s="3">
        <v>4</v>
      </c>
      <c r="CC32" s="3">
        <v>5</v>
      </c>
      <c r="CD32" s="3">
        <v>3</v>
      </c>
      <c r="CE32" s="3">
        <v>3</v>
      </c>
      <c r="CF32" s="3">
        <v>4</v>
      </c>
      <c r="CG32" s="3">
        <v>5</v>
      </c>
      <c r="CH32" s="3">
        <v>3</v>
      </c>
      <c r="CI32" s="3">
        <v>3</v>
      </c>
      <c r="CJ32" s="3">
        <v>3</v>
      </c>
      <c r="CK32" s="3">
        <v>3</v>
      </c>
      <c r="CL32" s="3">
        <v>3</v>
      </c>
      <c r="CM32" s="3">
        <v>3</v>
      </c>
      <c r="CN32" s="3">
        <v>2</v>
      </c>
      <c r="CO32" s="3">
        <v>3</v>
      </c>
      <c r="CP32" s="6">
        <v>3</v>
      </c>
      <c r="CQ32" s="5">
        <v>3.6275844714639842E-2</v>
      </c>
    </row>
    <row r="33" spans="1:95" x14ac:dyDescent="0.35">
      <c r="A33" s="9" t="str">
        <f t="shared" si="0"/>
        <v>ES</v>
      </c>
      <c r="B33" s="9" t="s">
        <v>28</v>
      </c>
      <c r="C33" s="20"/>
      <c r="D33" s="9" t="s">
        <v>2</v>
      </c>
      <c r="E33" s="9" t="s">
        <v>193</v>
      </c>
      <c r="F33" s="9" t="s">
        <v>58</v>
      </c>
      <c r="G33" s="19">
        <v>0</v>
      </c>
      <c r="H33" s="9">
        <v>2014</v>
      </c>
      <c r="I33" s="9">
        <v>6</v>
      </c>
      <c r="J33" s="18">
        <f>INDEX(PTRS!$D$6:$D$12,MATCH('5'!$F33,PTRS!$B$6:$B$12,0))</f>
        <v>0.13923000000000002</v>
      </c>
      <c r="K33" s="17">
        <v>0</v>
      </c>
      <c r="L33" s="17">
        <v>0.1044225</v>
      </c>
      <c r="M33" s="17">
        <v>0.13923000000000002</v>
      </c>
      <c r="N33" s="17">
        <v>0.1</v>
      </c>
      <c r="O33" s="17">
        <v>0.1</v>
      </c>
      <c r="P33" s="17">
        <v>0.1044225</v>
      </c>
      <c r="Q33" s="17">
        <v>0.1044225</v>
      </c>
      <c r="R33" s="17">
        <v>0.1044225</v>
      </c>
      <c r="S33" s="17">
        <v>1</v>
      </c>
      <c r="T33" s="17"/>
      <c r="U33" s="17">
        <f t="shared" si="1"/>
        <v>0.72649652910676854</v>
      </c>
      <c r="V33" s="17">
        <v>1</v>
      </c>
      <c r="W33" s="9" t="s">
        <v>27</v>
      </c>
      <c r="X33" s="9">
        <f>INDEX('Unique Asset List'!$C$4:$I$60,MATCH('5'!$B33,'Unique Asset List'!$A$4:$A$60,0),MATCH('5'!$C$1,'Unique Asset List'!$C$3:$I$3,0))</f>
        <v>2032</v>
      </c>
      <c r="Y33" s="9">
        <f>INDEX('Unique Asset List'!$J$4:$P$60,MATCH('5'!$B33,'Unique Asset List'!$A$4:$A$60,0),MATCH('5'!$C$1,'Unique Asset List'!$J$3:$P$3,0))</f>
        <v>6.9999999999990905</v>
      </c>
      <c r="Z33" s="9">
        <f>INDEX('Unique Asset List'!$X$4:$AD$60,MATCH('5'!$B33,'Unique Asset List'!$A$4:$A$60,0),MATCH('5'!$C$1,'Unique Asset List'!$X$3:$AD$3,0))</f>
        <v>2038</v>
      </c>
      <c r="AA33" s="9">
        <f>INDEX('Unique Asset List'!$AE$4:$AK$60,MATCH('5'!$B33,'Unique Asset List'!$A$4:$A$60,0),MATCH('5'!$C$1,'Unique Asset List'!$AE$3:$AK$3,0))</f>
        <v>9</v>
      </c>
      <c r="AB33" s="16">
        <f t="shared" si="2"/>
        <v>2.0289886000000004</v>
      </c>
      <c r="AC33" s="16">
        <f t="shared" si="3"/>
        <v>0.85031269999999992</v>
      </c>
      <c r="AD33" s="16">
        <f t="shared" si="4"/>
        <v>0.56099999999999994</v>
      </c>
      <c r="AE33" s="15">
        <f>INDEX('Unique Asset List'!$BN$4:$BT$60,MATCH('5'!$B33,'Unique Asset List'!$A$4:$A$60,0),MATCH('5'!$C$1,'Unique Asset List'!$BN$3:$BT$3,0))</f>
        <v>0.08</v>
      </c>
      <c r="AF33" s="15">
        <f>INDEX('Unique Asset List'!$BU$4:$CA$60,MATCH('5'!$B33,'Unique Asset List'!$A$4:$A$60,0),MATCH('5'!$C$1,'Unique Asset List'!$BU$3:$CA$3,0))</f>
        <v>0.42</v>
      </c>
      <c r="AG33" s="15">
        <f>INDEX('Unique Asset List'!$AZ$4:$BF$60,MATCH('5'!$B33,'Unique Asset List'!$A$4:$A$60,0),MATCH('5'!$C$1,'Unique Asset List'!$AZ$3:$BF$3,0))</f>
        <v>0.08</v>
      </c>
      <c r="AH33" s="15">
        <f>INDEX('Unique Asset List'!$BG$4:$BM$60,MATCH('5'!$B33,'Unique Asset List'!$A$4:$A$60,0),MATCH('5'!$C$1,'Unique Asset List'!$BG$3:$BM$3,0))</f>
        <v>0.42</v>
      </c>
      <c r="AI33" s="11">
        <v>0.96187963349867744</v>
      </c>
      <c r="AJ33" s="15">
        <f>INDEX('Unique Asset List'!$AL$4:$AR$60,MATCH('5'!$B33,'Unique Asset List'!$A$4:$A$60,0),MATCH('5'!$C$1,'Unique Asset List'!$AL$3:$AR$3,0))</f>
        <v>1.2944496352201866</v>
      </c>
      <c r="AK33" s="15">
        <f>INDEX('Unique Asset List'!$AS$4:$AY$60,MATCH('5'!$B33,'Unique Asset List'!$A$4:$A$60,0),MATCH('5'!$C$1,'Unique Asset List'!$AS$3:$AY$3,0))</f>
        <v>-1.4425350046709582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5"/>
        <v>0.82</v>
      </c>
      <c r="AS33" s="10">
        <v>1</v>
      </c>
      <c r="AT33" s="10"/>
      <c r="AU33" s="4">
        <f>IF($C$5="ON",BU33,MyRating(_E1,$B33,Efficacy!$F$1))</f>
        <v>4</v>
      </c>
      <c r="AV33" s="3">
        <f>IF($C$5="ON",BV33,MyRating(_E2,$B33,Efficacy!$F$1))</f>
        <v>4</v>
      </c>
      <c r="AW33" s="3">
        <f>IF($C$5="ON",BW33,MyRating(_E3,$B33,Efficacy!$F$1))</f>
        <v>4</v>
      </c>
      <c r="AX33" s="3">
        <f>IF($C$5="ON",BX33,MyRating(_E4,$B33,Efficacy!$F$1))</f>
        <v>4</v>
      </c>
      <c r="AY33" s="3">
        <f>IF($C$5="ON",BY33,MyRating(_E5,$B33,Efficacy!$F$1))</f>
        <v>3</v>
      </c>
      <c r="AZ33" s="3">
        <f>IF($C$5="ON",BZ33,MyRating(_E6,$B33,Efficacy!$F$1))</f>
        <v>3</v>
      </c>
      <c r="BA33" s="3">
        <f>IF($C$5="ON",CA33,MyRating(_E7,$B33,Efficacy!$F$1))</f>
        <v>3</v>
      </c>
      <c r="BB33" s="3">
        <f>IF($C$5="ON",CB33,MyRating(_E8,$B33,Efficacy!$F$1))</f>
        <v>3</v>
      </c>
      <c r="BC33" s="3">
        <f>IF($C$5="ON",CC33,MyRating(_S1,$B33,Efficacy!$F$1))</f>
        <v>2</v>
      </c>
      <c r="BD33" s="3">
        <f>IF($C$5="ON",CD33,MyRating(_S2,$B33,Efficacy!$F$1))</f>
        <v>3</v>
      </c>
      <c r="BE33" s="3">
        <f>IF($C$5="ON",CE33,MyRating(_S3,$B33,Efficacy!$F$1))</f>
        <v>3</v>
      </c>
      <c r="BF33" s="3">
        <f>IF($C$5="ON",CF33,MyRating(_S4,$B33,Efficacy!$F$1))</f>
        <v>4</v>
      </c>
      <c r="BG33" s="3">
        <f>IF($C$5="ON",CG33,MyRating(_S5,$B33,Efficacy!$F$1))</f>
        <v>5</v>
      </c>
      <c r="BH33" s="3">
        <f>IF($C$5="ON",CH33,MyRating(_S6,$B33,Efficacy!$F$1))</f>
        <v>3</v>
      </c>
      <c r="BI33" s="3">
        <f>IF($C$5="ON",CI33,MyRating(_S7,$B33,Efficacy!$F$1))</f>
        <v>4</v>
      </c>
      <c r="BJ33" s="3">
        <f>IF($C$5="ON",CJ33,MyRating(_D1,$B33,Efficacy!$F$1))</f>
        <v>3</v>
      </c>
      <c r="BK33" s="3">
        <f>IF($C$5="ON",CK33,MyRating(_D2,$B33,Efficacy!$F$1))</f>
        <v>3</v>
      </c>
      <c r="BL33" s="3">
        <f>IF($C$5="ON",CL33,MyRating(_D3,$B33,Efficacy!$F$1))</f>
        <v>3</v>
      </c>
      <c r="BM33" s="3">
        <f>IF($C$5="ON",CM33,MyRating(_D4,$B33,Efficacy!$F$1))</f>
        <v>3</v>
      </c>
      <c r="BN33" s="3">
        <f>IF($C$5="ON",CN33,MyRating(_B1G5,$B33,Barrier!$L$2))</f>
        <v>2</v>
      </c>
      <c r="BO33" s="3">
        <f>IF($C$5="ON",CO33,MyRating(_B2,$B33,Barrier!$F$2))</f>
        <v>3</v>
      </c>
      <c r="BP33" s="6">
        <f>IF($C$5="ON",CP33,MyRating(_B3,$B33,Barrier!$F$2))</f>
        <v>3</v>
      </c>
      <c r="BQ33" s="5">
        <f t="shared" si="6"/>
        <v>3.6275844714639842E-2</v>
      </c>
      <c r="BR33" s="8">
        <f t="shared" si="7"/>
        <v>2.9499999999999997</v>
      </c>
      <c r="BS33" s="5">
        <f t="shared" si="8"/>
        <v>3.60415394013439E-2</v>
      </c>
      <c r="BT33" s="7">
        <f t="shared" si="9"/>
        <v>1.8542316878791175E-2</v>
      </c>
      <c r="BU33" s="4">
        <v>4</v>
      </c>
      <c r="BV33" s="3">
        <v>4</v>
      </c>
      <c r="BW33" s="3">
        <v>4</v>
      </c>
      <c r="BX33" s="3">
        <v>4</v>
      </c>
      <c r="BY33" s="3">
        <v>3</v>
      </c>
      <c r="BZ33" s="3">
        <v>3</v>
      </c>
      <c r="CA33" s="3">
        <v>3</v>
      </c>
      <c r="CB33" s="3">
        <v>3</v>
      </c>
      <c r="CC33" s="3">
        <v>2</v>
      </c>
      <c r="CD33" s="3">
        <v>3</v>
      </c>
      <c r="CE33" s="3">
        <v>3</v>
      </c>
      <c r="CF33" s="3">
        <v>4</v>
      </c>
      <c r="CG33" s="3">
        <v>5</v>
      </c>
      <c r="CH33" s="3">
        <v>3</v>
      </c>
      <c r="CI33" s="3">
        <v>4</v>
      </c>
      <c r="CJ33" s="3">
        <v>3</v>
      </c>
      <c r="CK33" s="3">
        <v>3</v>
      </c>
      <c r="CL33" s="3">
        <v>3</v>
      </c>
      <c r="CM33" s="3">
        <v>3</v>
      </c>
      <c r="CN33" s="3">
        <v>2</v>
      </c>
      <c r="CO33" s="3">
        <v>3</v>
      </c>
      <c r="CP33" s="6">
        <v>3</v>
      </c>
      <c r="CQ33" s="5">
        <v>3.6275844714639842E-2</v>
      </c>
    </row>
    <row r="34" spans="1:95" x14ac:dyDescent="0.35">
      <c r="A34" s="9" t="str">
        <f t="shared" si="0"/>
        <v>ES</v>
      </c>
      <c r="B34" s="9" t="s">
        <v>61</v>
      </c>
      <c r="C34" s="20"/>
      <c r="D34" s="9" t="s">
        <v>60</v>
      </c>
      <c r="E34" s="9" t="s">
        <v>59</v>
      </c>
      <c r="F34" s="9" t="s">
        <v>58</v>
      </c>
      <c r="G34" s="19">
        <v>0</v>
      </c>
      <c r="H34" s="9">
        <v>2014</v>
      </c>
      <c r="I34" s="9">
        <v>6</v>
      </c>
      <c r="J34" s="18">
        <f>INDEX(PTRS!$D$6:$D$12,MATCH('5'!$F34,PTRS!$B$6:$B$12,0))</f>
        <v>0.13923000000000002</v>
      </c>
      <c r="K34" s="17">
        <v>0</v>
      </c>
      <c r="L34" s="17">
        <v>0.1044225</v>
      </c>
      <c r="M34" s="17">
        <v>0.13923000000000002</v>
      </c>
      <c r="N34" s="17">
        <v>0.1044225</v>
      </c>
      <c r="O34" s="17">
        <v>0.1044225</v>
      </c>
      <c r="P34" s="17">
        <v>0.13923000000000002</v>
      </c>
      <c r="Q34" s="17">
        <v>0.1044225</v>
      </c>
      <c r="R34" s="17">
        <v>0.1044225</v>
      </c>
      <c r="S34" s="17">
        <v>1</v>
      </c>
      <c r="T34" s="17"/>
      <c r="U34" s="17">
        <f t="shared" si="1"/>
        <v>0.72649652910676854</v>
      </c>
      <c r="V34" s="17">
        <v>1</v>
      </c>
      <c r="W34" s="9" t="s">
        <v>57</v>
      </c>
      <c r="X34" s="9">
        <f>INDEX('Unique Asset List'!$C$4:$I$60,MATCH('5'!$B34,'Unique Asset List'!$A$4:$A$60,0),MATCH('5'!$C$1,'Unique Asset List'!$C$3:$I$3,0))</f>
        <v>2029</v>
      </c>
      <c r="Y34" s="9">
        <f>INDEX('Unique Asset List'!$J$4:$P$60,MATCH('5'!$B34,'Unique Asset List'!$A$4:$A$60,0),MATCH('5'!$C$1,'Unique Asset List'!$J$3:$P$3,0))</f>
        <v>9.9999999999990905</v>
      </c>
      <c r="Z34" s="9">
        <f>INDEX('Unique Asset List'!$X$4:$AD$60,MATCH('5'!$B34,'Unique Asset List'!$A$4:$A$60,0),MATCH('5'!$C$1,'Unique Asset List'!$X$3:$AD$3,0))</f>
        <v>2036</v>
      </c>
      <c r="AA34" s="9">
        <f>INDEX('Unique Asset List'!$AE$4:$AK$60,MATCH('5'!$B34,'Unique Asset List'!$A$4:$A$60,0),MATCH('5'!$C$1,'Unique Asset List'!$AE$3:$AK$3,0))</f>
        <v>9</v>
      </c>
      <c r="AB34" s="16">
        <f t="shared" si="2"/>
        <v>2.3276916000000001</v>
      </c>
      <c r="AC34" s="16">
        <f t="shared" si="3"/>
        <v>1.0028454</v>
      </c>
      <c r="AD34" s="16">
        <f t="shared" si="4"/>
        <v>0.56099999999999994</v>
      </c>
      <c r="AE34" s="15">
        <f>INDEX('Unique Asset List'!$BN$4:$BT$60,MATCH('5'!$B34,'Unique Asset List'!$A$4:$A$60,0),MATCH('5'!$C$1,'Unique Asset List'!$BN$3:$BT$3,0))</f>
        <v>0.14000000000000001</v>
      </c>
      <c r="AF34" s="15">
        <f>INDEX('Unique Asset List'!$BU$4:$CA$60,MATCH('5'!$B34,'Unique Asset List'!$A$4:$A$60,0),MATCH('5'!$C$1,'Unique Asset List'!$BU$3:$CA$3,0))</f>
        <v>0.36</v>
      </c>
      <c r="AG34" s="15">
        <f>INDEX('Unique Asset List'!$AZ$4:$BF$60,MATCH('5'!$B34,'Unique Asset List'!$A$4:$A$60,0),MATCH('5'!$C$1,'Unique Asset List'!$AZ$3:$BF$3,0))</f>
        <v>0.14000000000000001</v>
      </c>
      <c r="AH34" s="15">
        <f>INDEX('Unique Asset List'!$BG$4:$BM$60,MATCH('5'!$B34,'Unique Asset List'!$A$4:$A$60,0),MATCH('5'!$C$1,'Unique Asset List'!$BG$3:$BM$3,0))</f>
        <v>0.36</v>
      </c>
      <c r="AI34" s="11">
        <v>0.96187963349867744</v>
      </c>
      <c r="AJ34" s="15">
        <f>INDEX('Unique Asset List'!$AL$4:$AR$60,MATCH('5'!$B34,'Unique Asset List'!$A$4:$A$60,0),MATCH('5'!$C$1,'Unique Asset List'!$AL$3:$AR$3,0))</f>
        <v>1.2944496352201866</v>
      </c>
      <c r="AK34" s="15">
        <f>INDEX('Unique Asset List'!$AS$4:$AY$60,MATCH('5'!$B34,'Unique Asset List'!$A$4:$A$60,0),MATCH('5'!$C$1,'Unique Asset List'!$AS$3:$AY$3,0))</f>
        <v>-1.4425350046709582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5"/>
        <v>0.82</v>
      </c>
      <c r="AS34" s="10">
        <v>1</v>
      </c>
      <c r="AT34" s="10"/>
      <c r="AU34" s="4">
        <f>IF($C$5="ON",BU34,MyRating(_E1,$B34,Efficacy!$F$1))</f>
        <v>4</v>
      </c>
      <c r="AV34" s="3">
        <f>IF($C$5="ON",BV34,MyRating(_E2,$B34,Efficacy!$F$1))</f>
        <v>5</v>
      </c>
      <c r="AW34" s="3">
        <f>IF($C$5="ON",BW34,MyRating(_E3,$B34,Efficacy!$F$1))</f>
        <v>5</v>
      </c>
      <c r="AX34" s="3">
        <f>IF($C$5="ON",BX34,MyRating(_E4,$B34,Efficacy!$F$1))</f>
        <v>4</v>
      </c>
      <c r="AY34" s="3">
        <f>IF($C$5="ON",BY34,MyRating(_E5,$B34,Efficacy!$F$1))</f>
        <v>4</v>
      </c>
      <c r="AZ34" s="3">
        <f>IF($C$5="ON",BZ34,MyRating(_E6,$B34,Efficacy!$F$1))</f>
        <v>3</v>
      </c>
      <c r="BA34" s="3">
        <f>IF($C$5="ON",CA34,MyRating(_E7,$B34,Efficacy!$F$1))</f>
        <v>3</v>
      </c>
      <c r="BB34" s="3">
        <f>IF($C$5="ON",CB34,MyRating(_E8,$B34,Efficacy!$F$1))</f>
        <v>4</v>
      </c>
      <c r="BC34" s="3">
        <f>IF($C$5="ON",CC34,MyRating(_S1,$B34,Efficacy!$F$1))</f>
        <v>5</v>
      </c>
      <c r="BD34" s="3">
        <f>IF($C$5="ON",CD34,MyRating(_S2,$B34,Efficacy!$F$1))</f>
        <v>3</v>
      </c>
      <c r="BE34" s="3">
        <f>IF($C$5="ON",CE34,MyRating(_S3,$B34,Efficacy!$F$1))</f>
        <v>3</v>
      </c>
      <c r="BF34" s="3">
        <f>IF($C$5="ON",CF34,MyRating(_S4,$B34,Efficacy!$F$1))</f>
        <v>4</v>
      </c>
      <c r="BG34" s="3">
        <f>IF($C$5="ON",CG34,MyRating(_S5,$B34,Efficacy!$F$1))</f>
        <v>5</v>
      </c>
      <c r="BH34" s="3">
        <f>IF($C$5="ON",CH34,MyRating(_S6,$B34,Efficacy!$F$1))</f>
        <v>3</v>
      </c>
      <c r="BI34" s="3">
        <f>IF($C$5="ON",CI34,MyRating(_S7,$B34,Efficacy!$F$1))</f>
        <v>3</v>
      </c>
      <c r="BJ34" s="3">
        <f>IF($C$5="ON",CJ34,MyRating(_D1,$B34,Efficacy!$F$1))</f>
        <v>3</v>
      </c>
      <c r="BK34" s="3">
        <f>IF($C$5="ON",CK34,MyRating(_D2,$B34,Efficacy!$F$1))</f>
        <v>3</v>
      </c>
      <c r="BL34" s="3">
        <f>IF($C$5="ON",CL34,MyRating(_D3,$B34,Efficacy!$F$1))</f>
        <v>3</v>
      </c>
      <c r="BM34" s="3">
        <f>IF($C$5="ON",CM34,MyRating(_D4,$B34,Efficacy!$F$1))</f>
        <v>3</v>
      </c>
      <c r="BN34" s="3">
        <f>IF($C$5="ON",CN34,MyRating(_B1G5,$B34,Barrier!$L$2))</f>
        <v>2</v>
      </c>
      <c r="BO34" s="3">
        <f>IF($C$5="ON",CO34,MyRating(_B2,$B34,Barrier!$F$2))</f>
        <v>3</v>
      </c>
      <c r="BP34" s="6">
        <f>IF($C$5="ON",CP34,MyRating(_B3,$B34,Barrier!$F$2))</f>
        <v>3</v>
      </c>
      <c r="BQ34" s="5">
        <f t="shared" si="6"/>
        <v>3.6275844714639842E-2</v>
      </c>
      <c r="BR34" s="8">
        <f t="shared" si="7"/>
        <v>2.9499999999999997</v>
      </c>
      <c r="BS34" s="5">
        <f t="shared" si="8"/>
        <v>3.60415394013439E-2</v>
      </c>
      <c r="BT34" s="7">
        <f t="shared" si="9"/>
        <v>1.8542316878791175E-2</v>
      </c>
      <c r="BU34" s="4">
        <v>4</v>
      </c>
      <c r="BV34" s="3">
        <v>5</v>
      </c>
      <c r="BW34" s="3">
        <v>5</v>
      </c>
      <c r="BX34" s="3">
        <v>4</v>
      </c>
      <c r="BY34" s="3">
        <v>4</v>
      </c>
      <c r="BZ34" s="3">
        <v>3</v>
      </c>
      <c r="CA34" s="3">
        <v>3</v>
      </c>
      <c r="CB34" s="3">
        <v>4</v>
      </c>
      <c r="CC34" s="3">
        <v>5</v>
      </c>
      <c r="CD34" s="3">
        <v>3</v>
      </c>
      <c r="CE34" s="3">
        <v>3</v>
      </c>
      <c r="CF34" s="3">
        <v>4</v>
      </c>
      <c r="CG34" s="3">
        <v>5</v>
      </c>
      <c r="CH34" s="3">
        <v>3</v>
      </c>
      <c r="CI34" s="3">
        <v>3</v>
      </c>
      <c r="CJ34" s="3">
        <v>3</v>
      </c>
      <c r="CK34" s="3">
        <v>3</v>
      </c>
      <c r="CL34" s="3">
        <v>3</v>
      </c>
      <c r="CM34" s="3">
        <v>3</v>
      </c>
      <c r="CN34" s="3">
        <v>2</v>
      </c>
      <c r="CO34" s="3">
        <v>3</v>
      </c>
      <c r="CP34" s="6">
        <v>3</v>
      </c>
      <c r="CQ34" s="5">
        <v>3.6275844714639842E-2</v>
      </c>
    </row>
    <row r="35" spans="1:95" x14ac:dyDescent="0.35">
      <c r="A35" s="9" t="str">
        <f t="shared" si="0"/>
        <v>ES</v>
      </c>
      <c r="B35" s="9" t="s">
        <v>56</v>
      </c>
      <c r="C35" s="20"/>
      <c r="D35" s="9" t="s">
        <v>55</v>
      </c>
      <c r="E35" s="9" t="s">
        <v>193</v>
      </c>
      <c r="F35" s="9" t="s">
        <v>51</v>
      </c>
      <c r="G35" s="19">
        <v>0</v>
      </c>
      <c r="H35" s="9">
        <v>2014</v>
      </c>
      <c r="I35" s="9">
        <v>6</v>
      </c>
      <c r="J35" s="18">
        <f>INDEX(PTRS!$D$6:$D$12,MATCH('5'!$F35,PTRS!$B$6:$B$12,0))</f>
        <v>0.1638</v>
      </c>
      <c r="K35" s="17">
        <v>0</v>
      </c>
      <c r="L35" s="17">
        <v>0.1044225</v>
      </c>
      <c r="M35" s="17">
        <v>5.4600000000000003E-2</v>
      </c>
      <c r="N35" s="17">
        <v>0.1044225</v>
      </c>
      <c r="O35" s="17">
        <v>0.1044225</v>
      </c>
      <c r="P35" s="17">
        <v>0.1638</v>
      </c>
      <c r="Q35" s="17">
        <v>0.1044225</v>
      </c>
      <c r="R35" s="17">
        <v>0.1044225</v>
      </c>
      <c r="S35" s="17">
        <v>1</v>
      </c>
      <c r="T35" s="17"/>
      <c r="U35" s="17">
        <f t="shared" si="1"/>
        <v>0.72649652910676854</v>
      </c>
      <c r="V35" s="17">
        <v>1</v>
      </c>
      <c r="W35" s="9" t="s">
        <v>54</v>
      </c>
      <c r="X35" s="9">
        <f>INDEX('Unique Asset List'!$C$4:$I$60,MATCH('5'!$B35,'Unique Asset List'!$A$4:$A$60,0),MATCH('5'!$C$1,'Unique Asset List'!$C$3:$I$3,0))</f>
        <v>2024</v>
      </c>
      <c r="Y35" s="9">
        <f>INDEX('Unique Asset List'!$J$4:$P$60,MATCH('5'!$B35,'Unique Asset List'!$A$4:$A$60,0),MATCH('5'!$C$1,'Unique Asset List'!$J$3:$P$3,0))</f>
        <v>9.9999999999990905</v>
      </c>
      <c r="Z35" s="9">
        <f>INDEX('Unique Asset List'!$X$4:$AD$60,MATCH('5'!$B35,'Unique Asset List'!$A$4:$A$60,0),MATCH('5'!$C$1,'Unique Asset List'!$X$3:$AD$3,0))</f>
        <v>2036</v>
      </c>
      <c r="AA35" s="9">
        <f>INDEX('Unique Asset List'!$AE$4:$AK$60,MATCH('5'!$B35,'Unique Asset List'!$A$4:$A$60,0),MATCH('5'!$C$1,'Unique Asset List'!$AE$3:$AK$3,0))</f>
        <v>9</v>
      </c>
      <c r="AB35" s="16">
        <f t="shared" si="2"/>
        <v>1.6014190000000001</v>
      </c>
      <c r="AC35" s="16">
        <f t="shared" si="3"/>
        <v>0.78788900000000006</v>
      </c>
      <c r="AD35" s="16">
        <f t="shared" si="4"/>
        <v>0.56099999999999994</v>
      </c>
      <c r="AE35" s="15">
        <f>INDEX('Unique Asset List'!$BN$4:$BT$60,MATCH('5'!$B35,'Unique Asset List'!$A$4:$A$60,0),MATCH('5'!$C$1,'Unique Asset List'!$BN$3:$BT$3,0))</f>
        <v>0.08</v>
      </c>
      <c r="AF35" s="15">
        <f>INDEX('Unique Asset List'!$BU$4:$CA$60,MATCH('5'!$B35,'Unique Asset List'!$A$4:$A$60,0),MATCH('5'!$C$1,'Unique Asset List'!$BU$3:$CA$3,0))</f>
        <v>0.42</v>
      </c>
      <c r="AG35" s="15">
        <f>INDEX('Unique Asset List'!$AZ$4:$BF$60,MATCH('5'!$B35,'Unique Asset List'!$A$4:$A$60,0),MATCH('5'!$C$1,'Unique Asset List'!$AZ$3:$BF$3,0))</f>
        <v>0.08</v>
      </c>
      <c r="AH35" s="15">
        <f>INDEX('Unique Asset List'!$BG$4:$BM$60,MATCH('5'!$B35,'Unique Asset List'!$A$4:$A$60,0),MATCH('5'!$C$1,'Unique Asset List'!$BG$3:$BM$3,0))</f>
        <v>0.42</v>
      </c>
      <c r="AI35" s="11">
        <v>0.96187963349867744</v>
      </c>
      <c r="AJ35" s="15">
        <f>INDEX('Unique Asset List'!$AL$4:$AR$60,MATCH('5'!$B35,'Unique Asset List'!$A$4:$A$60,0),MATCH('5'!$C$1,'Unique Asset List'!$AL$3:$AR$3,0))</f>
        <v>1.2944496352201866</v>
      </c>
      <c r="AK35" s="15">
        <f>INDEX('Unique Asset List'!$AS$4:$AY$60,MATCH('5'!$B35,'Unique Asset List'!$A$4:$A$60,0),MATCH('5'!$C$1,'Unique Asset List'!$AS$3:$AY$3,0))</f>
        <v>-1.4425350046709582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5"/>
        <v>0.82</v>
      </c>
      <c r="AS35" s="10">
        <v>1</v>
      </c>
      <c r="AT35" s="10"/>
      <c r="AU35" s="4">
        <f>IF($C$5="ON",BU35,MyRating(_E1,$B35,Efficacy!$F$1))</f>
        <v>2</v>
      </c>
      <c r="AV35" s="3">
        <f>IF($C$5="ON",BV35,MyRating(_E2,$B35,Efficacy!$F$1))</f>
        <v>3</v>
      </c>
      <c r="AW35" s="3">
        <f>IF($C$5="ON",BW35,MyRating(_E3,$B35,Efficacy!$F$1))</f>
        <v>3</v>
      </c>
      <c r="AX35" s="3">
        <f>IF($C$5="ON",BX35,MyRating(_E4,$B35,Efficacy!$F$1))</f>
        <v>3</v>
      </c>
      <c r="AY35" s="3">
        <f>IF($C$5="ON",BY35,MyRating(_E5,$B35,Efficacy!$F$1))</f>
        <v>3</v>
      </c>
      <c r="AZ35" s="3">
        <f>IF($C$5="ON",BZ35,MyRating(_E6,$B35,Efficacy!$F$1))</f>
        <v>3</v>
      </c>
      <c r="BA35" s="3">
        <f>IF($C$5="ON",CA35,MyRating(_E7,$B35,Efficacy!$F$1))</f>
        <v>3</v>
      </c>
      <c r="BB35" s="3">
        <f>IF($C$5="ON",CB35,MyRating(_E8,$B35,Efficacy!$F$1))</f>
        <v>3</v>
      </c>
      <c r="BC35" s="3">
        <f>IF($C$5="ON",CC35,MyRating(_S1,$B35,Efficacy!$F$1))</f>
        <v>3</v>
      </c>
      <c r="BD35" s="3">
        <f>IF($C$5="ON",CD35,MyRating(_S2,$B35,Efficacy!$F$1))</f>
        <v>3</v>
      </c>
      <c r="BE35" s="3">
        <f>IF($C$5="ON",CE35,MyRating(_S3,$B35,Efficacy!$F$1))</f>
        <v>3</v>
      </c>
      <c r="BF35" s="3">
        <f>IF($C$5="ON",CF35,MyRating(_S4,$B35,Efficacy!$F$1))</f>
        <v>4</v>
      </c>
      <c r="BG35" s="3">
        <f>IF($C$5="ON",CG35,MyRating(_S5,$B35,Efficacy!$F$1))</f>
        <v>3</v>
      </c>
      <c r="BH35" s="3">
        <f>IF($C$5="ON",CH35,MyRating(_S6,$B35,Efficacy!$F$1))</f>
        <v>3</v>
      </c>
      <c r="BI35" s="3">
        <f>IF($C$5="ON",CI35,MyRating(_S7,$B35,Efficacy!$F$1))</f>
        <v>3</v>
      </c>
      <c r="BJ35" s="3">
        <f>IF($C$5="ON",CJ35,MyRating(_D1,$B35,Efficacy!$F$1))</f>
        <v>3</v>
      </c>
      <c r="BK35" s="3">
        <f>IF($C$5="ON",CK35,MyRating(_D2,$B35,Efficacy!$F$1))</f>
        <v>3</v>
      </c>
      <c r="BL35" s="3">
        <f>IF($C$5="ON",CL35,MyRating(_D3,$B35,Efficacy!$F$1))</f>
        <v>3</v>
      </c>
      <c r="BM35" s="3">
        <f>IF($C$5="ON",CM35,MyRating(_D4,$B35,Efficacy!$F$1))</f>
        <v>3</v>
      </c>
      <c r="BN35" s="3">
        <f>IF($C$5="ON",CN35,MyRating(_B1G5,$B35,Barrier!$L$2))</f>
        <v>2</v>
      </c>
      <c r="BO35" s="3">
        <f>IF($C$5="ON",CO35,MyRating(_B2,$B35,Barrier!$F$2))</f>
        <v>3</v>
      </c>
      <c r="BP35" s="6">
        <f>IF($C$5="ON",CP35,MyRating(_B3,$B35,Barrier!$F$2))</f>
        <v>3</v>
      </c>
      <c r="BQ35" s="5">
        <f t="shared" si="6"/>
        <v>3.6275844714639842E-2</v>
      </c>
      <c r="BR35" s="8">
        <f t="shared" si="7"/>
        <v>2.9499999999999997</v>
      </c>
      <c r="BS35" s="5">
        <f t="shared" si="8"/>
        <v>3.60415394013439E-2</v>
      </c>
      <c r="BT35" s="7">
        <f t="shared" si="9"/>
        <v>1.8542316878791175E-2</v>
      </c>
      <c r="BU35" s="4">
        <v>2</v>
      </c>
      <c r="BV35" s="3">
        <v>3</v>
      </c>
      <c r="BW35" s="3">
        <v>3</v>
      </c>
      <c r="BX35" s="3">
        <v>3</v>
      </c>
      <c r="BY35" s="3">
        <v>3</v>
      </c>
      <c r="BZ35" s="3">
        <v>3</v>
      </c>
      <c r="CA35" s="3">
        <v>3</v>
      </c>
      <c r="CB35" s="3">
        <v>3</v>
      </c>
      <c r="CC35" s="3">
        <v>3</v>
      </c>
      <c r="CD35" s="3">
        <v>3</v>
      </c>
      <c r="CE35" s="3">
        <v>3</v>
      </c>
      <c r="CF35" s="3">
        <v>4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3</v>
      </c>
      <c r="CN35" s="3">
        <v>2</v>
      </c>
      <c r="CO35" s="3">
        <v>3</v>
      </c>
      <c r="CP35" s="6">
        <v>3</v>
      </c>
      <c r="CQ35" s="5">
        <v>3.6275844714639842E-2</v>
      </c>
    </row>
    <row r="36" spans="1:95" x14ac:dyDescent="0.35">
      <c r="A36" s="9" t="str">
        <f t="shared" si="0"/>
        <v>ES</v>
      </c>
      <c r="B36" s="9" t="s">
        <v>53</v>
      </c>
      <c r="C36" s="20"/>
      <c r="D36" s="9" t="s">
        <v>52</v>
      </c>
      <c r="E36" s="9" t="s">
        <v>193</v>
      </c>
      <c r="F36" s="9" t="s">
        <v>51</v>
      </c>
      <c r="G36" s="19">
        <v>0</v>
      </c>
      <c r="H36" s="9">
        <v>2014</v>
      </c>
      <c r="I36" s="9">
        <v>6</v>
      </c>
      <c r="J36" s="18">
        <f>INDEX(PTRS!$D$6:$D$12,MATCH('5'!$F36,PTRS!$B$6:$B$12,0))</f>
        <v>0.1638</v>
      </c>
      <c r="K36" s="17">
        <v>0</v>
      </c>
      <c r="L36" s="17">
        <v>0.1044225</v>
      </c>
      <c r="M36" s="17">
        <v>0.1638</v>
      </c>
      <c r="N36" s="17">
        <v>0.1044225</v>
      </c>
      <c r="O36" s="17">
        <v>0.1044225</v>
      </c>
      <c r="P36" s="17">
        <v>0.1638</v>
      </c>
      <c r="Q36" s="17">
        <v>0.1044225</v>
      </c>
      <c r="R36" s="17">
        <v>0.1044225</v>
      </c>
      <c r="S36" s="17">
        <v>1</v>
      </c>
      <c r="T36" s="17"/>
      <c r="U36" s="17">
        <f t="shared" si="1"/>
        <v>0.72649652910676854</v>
      </c>
      <c r="V36" s="17">
        <v>1</v>
      </c>
      <c r="W36" s="9" t="s">
        <v>50</v>
      </c>
      <c r="X36" s="9">
        <f>INDEX('Unique Asset List'!$C$4:$I$60,MATCH('5'!$B36,'Unique Asset List'!$A$4:$A$60,0),MATCH('5'!$C$1,'Unique Asset List'!$C$3:$I$3,0))</f>
        <v>2025</v>
      </c>
      <c r="Y36" s="9">
        <f>INDEX('Unique Asset List'!$J$4:$P$60,MATCH('5'!$B36,'Unique Asset List'!$A$4:$A$60,0),MATCH('5'!$C$1,'Unique Asset List'!$J$3:$P$3,0))</f>
        <v>9.9999999999990905</v>
      </c>
      <c r="Z36" s="9">
        <f>INDEX('Unique Asset List'!$X$4:$AD$60,MATCH('5'!$B36,'Unique Asset List'!$A$4:$A$60,0),MATCH('5'!$C$1,'Unique Asset List'!$X$3:$AD$3,0))</f>
        <v>2036</v>
      </c>
      <c r="AA36" s="9">
        <f>INDEX('Unique Asset List'!$AE$4:$AK$60,MATCH('5'!$B36,'Unique Asset List'!$A$4:$A$60,0),MATCH('5'!$C$1,'Unique Asset List'!$AE$3:$AK$3,0))</f>
        <v>9</v>
      </c>
      <c r="AB36" s="16">
        <f t="shared" si="2"/>
        <v>1.6860000000000002</v>
      </c>
      <c r="AC36" s="16">
        <f t="shared" si="3"/>
        <v>0.7529247</v>
      </c>
      <c r="AD36" s="16">
        <f t="shared" si="4"/>
        <v>0.56099999999999994</v>
      </c>
      <c r="AE36" s="15">
        <f>INDEX('Unique Asset List'!$BN$4:$BT$60,MATCH('5'!$B36,'Unique Asset List'!$A$4:$A$60,0),MATCH('5'!$C$1,'Unique Asset List'!$BN$3:$BT$3,0))</f>
        <v>0.08</v>
      </c>
      <c r="AF36" s="15">
        <f>INDEX('Unique Asset List'!$BU$4:$CA$60,MATCH('5'!$B36,'Unique Asset List'!$A$4:$A$60,0),MATCH('5'!$C$1,'Unique Asset List'!$BU$3:$CA$3,0))</f>
        <v>0.42</v>
      </c>
      <c r="AG36" s="15">
        <f>INDEX('Unique Asset List'!$AZ$4:$BF$60,MATCH('5'!$B36,'Unique Asset List'!$A$4:$A$60,0),MATCH('5'!$C$1,'Unique Asset List'!$AZ$3:$BF$3,0))</f>
        <v>0.08</v>
      </c>
      <c r="AH36" s="15">
        <f>INDEX('Unique Asset List'!$BG$4:$BM$60,MATCH('5'!$B36,'Unique Asset List'!$A$4:$A$60,0),MATCH('5'!$C$1,'Unique Asset List'!$BG$3:$BM$3,0))</f>
        <v>0.42</v>
      </c>
      <c r="AI36" s="11">
        <v>0.96187963349867744</v>
      </c>
      <c r="AJ36" s="15">
        <f>INDEX('Unique Asset List'!$AL$4:$AR$60,MATCH('5'!$B36,'Unique Asset List'!$A$4:$A$60,0),MATCH('5'!$C$1,'Unique Asset List'!$AL$3:$AR$3,0))</f>
        <v>1.2944496352201866</v>
      </c>
      <c r="AK36" s="15">
        <f>INDEX('Unique Asset List'!$AS$4:$AY$60,MATCH('5'!$B36,'Unique Asset List'!$A$4:$A$60,0),MATCH('5'!$C$1,'Unique Asset List'!$AS$3:$AY$3,0))</f>
        <v>-1.4425350046709582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5"/>
        <v>0.82</v>
      </c>
      <c r="AS36" s="10">
        <v>1</v>
      </c>
      <c r="AT36" s="10"/>
      <c r="AU36" s="4">
        <f>IF($C$5="ON",BU36,MyRating(_E1,$B36,Efficacy!$F$1))</f>
        <v>3</v>
      </c>
      <c r="AV36" s="3">
        <f>IF($C$5="ON",BV36,MyRating(_E2,$B36,Efficacy!$F$1))</f>
        <v>3</v>
      </c>
      <c r="AW36" s="3">
        <f>IF($C$5="ON",BW36,MyRating(_E3,$B36,Efficacy!$F$1))</f>
        <v>3</v>
      </c>
      <c r="AX36" s="3">
        <f>IF($C$5="ON",BX36,MyRating(_E4,$B36,Efficacy!$F$1))</f>
        <v>3</v>
      </c>
      <c r="AY36" s="3">
        <f>IF($C$5="ON",BY36,MyRating(_E5,$B36,Efficacy!$F$1))</f>
        <v>3</v>
      </c>
      <c r="AZ36" s="3">
        <f>IF($C$5="ON",BZ36,MyRating(_E6,$B36,Efficacy!$F$1))</f>
        <v>3</v>
      </c>
      <c r="BA36" s="3">
        <f>IF($C$5="ON",CA36,MyRating(_E7,$B36,Efficacy!$F$1))</f>
        <v>3</v>
      </c>
      <c r="BB36" s="3">
        <f>IF($C$5="ON",CB36,MyRating(_E8,$B36,Efficacy!$F$1))</f>
        <v>3</v>
      </c>
      <c r="BC36" s="3">
        <f>IF($C$5="ON",CC36,MyRating(_S1,$B36,Efficacy!$F$1))</f>
        <v>3</v>
      </c>
      <c r="BD36" s="3">
        <f>IF($C$5="ON",CD36,MyRating(_S2,$B36,Efficacy!$F$1))</f>
        <v>3</v>
      </c>
      <c r="BE36" s="3">
        <f>IF($C$5="ON",CE36,MyRating(_S3,$B36,Efficacy!$F$1))</f>
        <v>3</v>
      </c>
      <c r="BF36" s="3">
        <f>IF($C$5="ON",CF36,MyRating(_S4,$B36,Efficacy!$F$1))</f>
        <v>3</v>
      </c>
      <c r="BG36" s="3">
        <f>IF($C$5="ON",CG36,MyRating(_S5,$B36,Efficacy!$F$1))</f>
        <v>3</v>
      </c>
      <c r="BH36" s="3">
        <f>IF($C$5="ON",CH36,MyRating(_S6,$B36,Efficacy!$F$1))</f>
        <v>3</v>
      </c>
      <c r="BI36" s="3">
        <f>IF($C$5="ON",CI36,MyRating(_S7,$B36,Efficacy!$F$1))</f>
        <v>3</v>
      </c>
      <c r="BJ36" s="3">
        <f>IF($C$5="ON",CJ36,MyRating(_D1,$B36,Efficacy!$F$1))</f>
        <v>3</v>
      </c>
      <c r="BK36" s="3">
        <f>IF($C$5="ON",CK36,MyRating(_D2,$B36,Efficacy!$F$1))</f>
        <v>3</v>
      </c>
      <c r="BL36" s="3">
        <f>IF($C$5="ON",CL36,MyRating(_D3,$B36,Efficacy!$F$1))</f>
        <v>3</v>
      </c>
      <c r="BM36" s="3">
        <f>IF($C$5="ON",CM36,MyRating(_D4,$B36,Efficacy!$F$1))</f>
        <v>3</v>
      </c>
      <c r="BN36" s="3">
        <f>IF($C$5="ON",CN36,MyRating(_B1G5,$B36,Barrier!$L$2))</f>
        <v>2</v>
      </c>
      <c r="BO36" s="3">
        <f>IF($C$5="ON",CO36,MyRating(_B2,$B36,Barrier!$F$2))</f>
        <v>3</v>
      </c>
      <c r="BP36" s="6">
        <f>IF($C$5="ON",CP36,MyRating(_B3,$B36,Barrier!$F$2))</f>
        <v>3</v>
      </c>
      <c r="BQ36" s="5">
        <f t="shared" si="6"/>
        <v>3.6275844714639842E-2</v>
      </c>
      <c r="BR36" s="8">
        <f t="shared" si="7"/>
        <v>2.9499999999999997</v>
      </c>
      <c r="BS36" s="5">
        <f t="shared" si="8"/>
        <v>3.60415394013439E-2</v>
      </c>
      <c r="BT36" s="7">
        <f t="shared" si="9"/>
        <v>1.8542316878791175E-2</v>
      </c>
      <c r="BU36" s="4">
        <v>3</v>
      </c>
      <c r="BV36" s="3">
        <v>3</v>
      </c>
      <c r="BW36" s="3">
        <v>3</v>
      </c>
      <c r="BX36" s="3">
        <v>3</v>
      </c>
      <c r="BY36" s="3">
        <v>3</v>
      </c>
      <c r="BZ36" s="3">
        <v>3</v>
      </c>
      <c r="CA36" s="3">
        <v>3</v>
      </c>
      <c r="CB36" s="3">
        <v>3</v>
      </c>
      <c r="CC36" s="3">
        <v>3</v>
      </c>
      <c r="CD36" s="3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2</v>
      </c>
      <c r="CO36" s="3">
        <v>3</v>
      </c>
      <c r="CP36" s="6">
        <v>3</v>
      </c>
      <c r="CQ36" s="5">
        <v>3.6275844714639842E-2</v>
      </c>
    </row>
    <row r="37" spans="1:95" x14ac:dyDescent="0.35">
      <c r="A37" s="9" t="str">
        <f t="shared" si="0"/>
        <v>ES</v>
      </c>
      <c r="B37" s="9" t="s">
        <v>45</v>
      </c>
      <c r="C37" s="20"/>
      <c r="D37" s="9" t="s">
        <v>44</v>
      </c>
      <c r="E37" s="9" t="s">
        <v>193</v>
      </c>
      <c r="F37" s="9" t="s">
        <v>43</v>
      </c>
      <c r="G37" s="19">
        <v>0</v>
      </c>
      <c r="H37" s="9">
        <v>2014</v>
      </c>
      <c r="I37" s="9">
        <v>6</v>
      </c>
      <c r="J37" s="18">
        <f>INDEX(PTRS!$D$6:$D$12,MATCH('5'!$F37,PTRS!$B$6:$B$12,0))</f>
        <v>0.40949999999999998</v>
      </c>
      <c r="K37" s="17">
        <v>0</v>
      </c>
      <c r="L37" s="17">
        <v>0.1044225</v>
      </c>
      <c r="M37" s="17">
        <v>0.40949999999999998</v>
      </c>
      <c r="N37" s="17">
        <v>0.41</v>
      </c>
      <c r="O37" s="17">
        <v>0.41</v>
      </c>
      <c r="P37" s="17">
        <v>0.1044225</v>
      </c>
      <c r="Q37" s="17">
        <v>0.1044225</v>
      </c>
      <c r="R37" s="17">
        <v>0.1044225</v>
      </c>
      <c r="S37" s="17">
        <v>1</v>
      </c>
      <c r="T37" s="17"/>
      <c r="U37" s="22">
        <v>0.73</v>
      </c>
      <c r="V37" s="17">
        <v>1</v>
      </c>
      <c r="W37" s="9" t="s">
        <v>42</v>
      </c>
      <c r="X37" s="9">
        <f>INDEX('Unique Asset List'!$C$4:$I$60,MATCH('5'!$B37,'Unique Asset List'!$A$4:$A$60,0),MATCH('5'!$C$1,'Unique Asset List'!$C$3:$I$3,0))</f>
        <v>2023</v>
      </c>
      <c r="Y37" s="9">
        <f>INDEX('Unique Asset List'!$J$4:$P$60,MATCH('5'!$B37,'Unique Asset List'!$A$4:$A$60,0),MATCH('5'!$C$1,'Unique Asset List'!$J$3:$P$3,0))</f>
        <v>1.999999999998181</v>
      </c>
      <c r="Z37" s="9">
        <f>INDEX('Unique Asset List'!$X$4:$AD$60,MATCH('5'!$B37,'Unique Asset List'!$A$4:$A$60,0),MATCH('5'!$C$1,'Unique Asset List'!$X$3:$AD$3,0))</f>
        <v>2035</v>
      </c>
      <c r="AA37" s="9">
        <f>INDEX('Unique Asset List'!$AE$4:$AK$60,MATCH('5'!$B37,'Unique Asset List'!$A$4:$A$60,0),MATCH('5'!$C$1,'Unique Asset List'!$AE$3:$AK$3,0))</f>
        <v>1</v>
      </c>
      <c r="AB37" s="23">
        <v>1.57</v>
      </c>
      <c r="AC37" s="23">
        <v>0.65</v>
      </c>
      <c r="AD37" s="23">
        <v>0.5</v>
      </c>
      <c r="AE37" s="15">
        <f>INDEX('Unique Asset List'!$BN$4:$BT$60,MATCH('5'!$B37,'Unique Asset List'!$A$4:$A$60,0),MATCH('5'!$C$1,'Unique Asset List'!$BN$3:$BT$3,0))</f>
        <v>0.08</v>
      </c>
      <c r="AF37" s="15">
        <f>INDEX('Unique Asset List'!$BU$4:$CA$60,MATCH('5'!$B37,'Unique Asset List'!$A$4:$A$60,0),MATCH('5'!$C$1,'Unique Asset List'!$BU$3:$CA$3,0))</f>
        <v>0.42</v>
      </c>
      <c r="AG37" s="15">
        <f>INDEX('Unique Asset List'!$AZ$4:$BF$60,MATCH('5'!$B37,'Unique Asset List'!$A$4:$A$60,0),MATCH('5'!$C$1,'Unique Asset List'!$AZ$3:$BF$3,0))</f>
        <v>0.08</v>
      </c>
      <c r="AH37" s="15">
        <f>INDEX('Unique Asset List'!$BG$4:$BM$60,MATCH('5'!$B37,'Unique Asset List'!$A$4:$A$60,0),MATCH('5'!$C$1,'Unique Asset List'!$BG$3:$BM$3,0))</f>
        <v>0.42</v>
      </c>
      <c r="AI37" s="11">
        <v>0.96187963349867744</v>
      </c>
      <c r="AJ37" s="15">
        <f>INDEX('Unique Asset List'!$AL$4:$AR$60,MATCH('5'!$B37,'Unique Asset List'!$A$4:$A$60,0),MATCH('5'!$C$1,'Unique Asset List'!$AL$3:$AR$3,0))</f>
        <v>1.2944496352201866</v>
      </c>
      <c r="AK37" s="15">
        <f>INDEX('Unique Asset List'!$AS$4:$AY$60,MATCH('5'!$B37,'Unique Asset List'!$A$4:$A$60,0),MATCH('5'!$C$1,'Unique Asset List'!$AS$3:$AY$3,0))</f>
        <v>-1.4425350046709582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5"/>
        <v>0.82</v>
      </c>
      <c r="AS37" s="10">
        <v>1</v>
      </c>
      <c r="AT37" s="10"/>
      <c r="AU37" s="4">
        <f>IF($C$5="ON",BU37,MyRating(_E1,$B37,Efficacy!$F$1))</f>
        <v>0</v>
      </c>
      <c r="AV37" s="3">
        <f>IF($C$5="ON",BV37,MyRating(_E2,$B37,Efficacy!$F$1))</f>
        <v>0</v>
      </c>
      <c r="AW37" s="3">
        <f>IF($C$5="ON",BW37,MyRating(_E3,$B37,Efficacy!$F$1))</f>
        <v>0</v>
      </c>
      <c r="AX37" s="3">
        <f>IF($C$5="ON",BX37,MyRating(_E4,$B37,Efficacy!$F$1))</f>
        <v>0</v>
      </c>
      <c r="AY37" s="3">
        <f>IF($C$5="ON",BY37,MyRating(_E5,$B37,Efficacy!$F$1))</f>
        <v>0</v>
      </c>
      <c r="AZ37" s="3">
        <f>IF($C$5="ON",BZ37,MyRating(_E6,$B37,Efficacy!$F$1))</f>
        <v>0</v>
      </c>
      <c r="BA37" s="3">
        <f>IF($C$5="ON",CA37,MyRating(_E7,$B37,Efficacy!$F$1))</f>
        <v>0</v>
      </c>
      <c r="BB37" s="3">
        <f>IF($C$5="ON",CB37,MyRating(_E8,$B37,Efficacy!$F$1))</f>
        <v>0</v>
      </c>
      <c r="BC37" s="3">
        <f>IF($C$5="ON",CC37,MyRating(_S1,$B37,Efficacy!$F$1))</f>
        <v>0</v>
      </c>
      <c r="BD37" s="3">
        <f>IF($C$5="ON",CD37,MyRating(_S2,$B37,Efficacy!$F$1))</f>
        <v>0</v>
      </c>
      <c r="BE37" s="3">
        <f>IF($C$5="ON",CE37,MyRating(_S3,$B37,Efficacy!$F$1))</f>
        <v>0</v>
      </c>
      <c r="BF37" s="3">
        <f>IF($C$5="ON",CF37,MyRating(_S4,$B37,Efficacy!$F$1))</f>
        <v>0</v>
      </c>
      <c r="BG37" s="3">
        <f>IF($C$5="ON",CG37,MyRating(_S5,$B37,Efficacy!$F$1))</f>
        <v>0</v>
      </c>
      <c r="BH37" s="3">
        <f>IF($C$5="ON",CH37,MyRating(_S6,$B37,Efficacy!$F$1))</f>
        <v>0</v>
      </c>
      <c r="BI37" s="3">
        <f>IF($C$5="ON",CI37,MyRating(_S7,$B37,Efficacy!$F$1))</f>
        <v>0</v>
      </c>
      <c r="BJ37" s="3">
        <f>IF($C$5="ON",CJ37,MyRating(_D1,$B37,Efficacy!$F$1))</f>
        <v>0</v>
      </c>
      <c r="BK37" s="3">
        <f>IF($C$5="ON",CK37,MyRating(_D2,$B37,Efficacy!$F$1))</f>
        <v>0</v>
      </c>
      <c r="BL37" s="3">
        <f>IF($C$5="ON",CL37,MyRating(_D3,$B37,Efficacy!$F$1))</f>
        <v>0</v>
      </c>
      <c r="BM37" s="3">
        <f>IF($C$5="ON",CM37,MyRating(_D4,$B37,Efficacy!$F$1))</f>
        <v>0</v>
      </c>
      <c r="BN37" s="3">
        <f>IF($C$5="ON",CN37,MyRating(_B1G5,$B37,Barrier!$L$2))</f>
        <v>0</v>
      </c>
      <c r="BO37" s="3">
        <f>IF($C$5="ON",CO37,MyRating(_B2,$B37,Barrier!$F$2))</f>
        <v>0</v>
      </c>
      <c r="BP37" s="6">
        <f>IF($C$5="ON",CP37,MyRating(_B3,$B37,Barrier!$F$2))</f>
        <v>0</v>
      </c>
      <c r="BQ37" s="5">
        <f t="shared" si="6"/>
        <v>0</v>
      </c>
      <c r="BR37" s="8">
        <f t="shared" si="7"/>
        <v>0</v>
      </c>
      <c r="BS37" s="5">
        <f t="shared" si="8"/>
        <v>0</v>
      </c>
      <c r="BT37" s="7">
        <f t="shared" si="9"/>
        <v>0</v>
      </c>
      <c r="BU37" s="4">
        <v>0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6">
        <v>0</v>
      </c>
      <c r="CQ37" s="5">
        <v>0</v>
      </c>
    </row>
    <row r="38" spans="1:95" x14ac:dyDescent="0.35">
      <c r="A38" s="9" t="str">
        <f t="shared" si="0"/>
        <v>ES</v>
      </c>
      <c r="B38" s="9" t="s">
        <v>41</v>
      </c>
      <c r="C38" s="20"/>
      <c r="D38" s="9" t="s">
        <v>194</v>
      </c>
      <c r="E38" s="9" t="s">
        <v>193</v>
      </c>
      <c r="F38" s="9" t="s">
        <v>1</v>
      </c>
      <c r="G38" s="19">
        <v>0</v>
      </c>
      <c r="H38" s="9">
        <v>2014</v>
      </c>
      <c r="I38" s="9">
        <v>6</v>
      </c>
      <c r="J38" s="18">
        <f>INDEX(PTRS!$D$6:$D$12,MATCH('5'!$F38,PTRS!$B$6:$B$12,0))</f>
        <v>0.1044225</v>
      </c>
      <c r="K38" s="17">
        <v>0</v>
      </c>
      <c r="L38" s="17">
        <v>0.1044225</v>
      </c>
      <c r="M38" s="17">
        <v>0.1044225</v>
      </c>
      <c r="N38" s="17">
        <v>0.1044225</v>
      </c>
      <c r="O38" s="17">
        <v>0.1044225</v>
      </c>
      <c r="P38" s="17">
        <v>0.1044225</v>
      </c>
      <c r="Q38" s="17">
        <v>0.1044225</v>
      </c>
      <c r="R38" s="17">
        <v>0.1044225</v>
      </c>
      <c r="S38" s="17">
        <v>1</v>
      </c>
      <c r="T38" s="17" t="s">
        <v>39</v>
      </c>
      <c r="U38" s="22">
        <v>0.72649652910676854</v>
      </c>
      <c r="V38" s="17">
        <v>1</v>
      </c>
      <c r="W38" s="59" t="s">
        <v>38</v>
      </c>
      <c r="X38" s="9">
        <f>INDEX('Unique Asset List'!$C$4:$I$60,MATCH('5'!$B38,'Unique Asset List'!$A$4:$A$60,0),MATCH('5'!$C$1,'Unique Asset List'!$C$3:$I$3,0))</f>
        <v>2029</v>
      </c>
      <c r="Y38" s="9">
        <f>INDEX('Unique Asset List'!$J$4:$P$60,MATCH('5'!$B38,'Unique Asset List'!$A$4:$A$60,0),MATCH('5'!$C$1,'Unique Asset List'!$J$3:$P$3,0))</f>
        <v>3.9999999999990905</v>
      </c>
      <c r="Z38" s="9">
        <f>INDEX('Unique Asset List'!$X$4:$AD$60,MATCH('5'!$B38,'Unique Asset List'!$A$4:$A$60,0),MATCH('5'!$C$1,'Unique Asset List'!$X$3:$AD$3,0))</f>
        <v>2038</v>
      </c>
      <c r="AA38" s="9">
        <f>INDEX('Unique Asset List'!$AE$4:$AK$60,MATCH('5'!$B38,'Unique Asset List'!$A$4:$A$60,0),MATCH('5'!$C$1,'Unique Asset List'!$AE$3:$AK$3,0))</f>
        <v>3</v>
      </c>
      <c r="AB38" s="16">
        <f>AB20</f>
        <v>1.7951404000000002</v>
      </c>
      <c r="AC38" s="16">
        <f>AC20</f>
        <v>0.94451300000000005</v>
      </c>
      <c r="AD38" s="16">
        <f>AD20</f>
        <v>0.52097279586</v>
      </c>
      <c r="AE38" s="15">
        <f>INDEX('Unique Asset List'!$BN$4:$BT$60,MATCH('5'!$B38,'Unique Asset List'!$A$4:$A$60,0),MATCH('5'!$C$1,'Unique Asset List'!$BN$3:$BT$3,0))</f>
        <v>0.08</v>
      </c>
      <c r="AF38" s="15">
        <f>INDEX('Unique Asset List'!$BU$4:$CA$60,MATCH('5'!$B38,'Unique Asset List'!$A$4:$A$60,0),MATCH('5'!$C$1,'Unique Asset List'!$BU$3:$CA$3,0))</f>
        <v>0.42</v>
      </c>
      <c r="AG38" s="15">
        <f>INDEX('Unique Asset List'!$AZ$4:$BF$60,MATCH('5'!$B38,'Unique Asset List'!$A$4:$A$60,0),MATCH('5'!$C$1,'Unique Asset List'!$AZ$3:$BF$3,0))</f>
        <v>0.08</v>
      </c>
      <c r="AH38" s="15">
        <f>INDEX('Unique Asset List'!$BG$4:$BM$60,MATCH('5'!$B38,'Unique Asset List'!$A$4:$A$60,0),MATCH('5'!$C$1,'Unique Asset List'!$BG$3:$BM$3,0))</f>
        <v>0.42</v>
      </c>
      <c r="AI38" s="11">
        <v>0.96187963349867744</v>
      </c>
      <c r="AJ38" s="15">
        <f>INDEX('Unique Asset List'!$AL$4:$AR$60,MATCH('5'!$B38,'Unique Asset List'!$A$4:$A$60,0),MATCH('5'!$C$1,'Unique Asset List'!$AL$3:$AR$3,0))</f>
        <v>1.2944496352201866</v>
      </c>
      <c r="AK38" s="15">
        <f>INDEX('Unique Asset List'!$AS$4:$AY$60,MATCH('5'!$B38,'Unique Asset List'!$A$4:$A$60,0),MATCH('5'!$C$1,'Unique Asset List'!$AS$3:$AY$3,0))</f>
        <v>-1.4425350046709582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5"/>
        <v>0.82</v>
      </c>
      <c r="AS38" s="10">
        <v>1</v>
      </c>
      <c r="AT38" s="10"/>
      <c r="AU38" s="4">
        <f>IF($C$5="ON",BU38,MyRating(_E1,$B38,Efficacy!$F$1))</f>
        <v>0</v>
      </c>
      <c r="AV38" s="3">
        <f>IF($C$5="ON",BV38,MyRating(_E2,$B38,Efficacy!$F$1))</f>
        <v>0</v>
      </c>
      <c r="AW38" s="3">
        <f>IF($C$5="ON",BW38,MyRating(_E3,$B38,Efficacy!$F$1))</f>
        <v>0</v>
      </c>
      <c r="AX38" s="3">
        <f>IF($C$5="ON",BX38,MyRating(_E4,$B38,Efficacy!$F$1))</f>
        <v>0</v>
      </c>
      <c r="AY38" s="3">
        <f>IF($C$5="ON",BY38,MyRating(_E5,$B38,Efficacy!$F$1))</f>
        <v>0</v>
      </c>
      <c r="AZ38" s="3">
        <f>IF($C$5="ON",BZ38,MyRating(_E6,$B38,Efficacy!$F$1))</f>
        <v>0</v>
      </c>
      <c r="BA38" s="3">
        <f>IF($C$5="ON",CA38,MyRating(_E7,$B38,Efficacy!$F$1))</f>
        <v>0</v>
      </c>
      <c r="BB38" s="3">
        <f>IF($C$5="ON",CB38,MyRating(_E8,$B38,Efficacy!$F$1))</f>
        <v>0</v>
      </c>
      <c r="BC38" s="3">
        <f>IF($C$5="ON",CC38,MyRating(_S1,$B38,Efficacy!$F$1))</f>
        <v>0</v>
      </c>
      <c r="BD38" s="3">
        <f>IF($C$5="ON",CD38,MyRating(_S2,$B38,Efficacy!$F$1))</f>
        <v>0</v>
      </c>
      <c r="BE38" s="3">
        <f>IF($C$5="ON",CE38,MyRating(_S3,$B38,Efficacy!$F$1))</f>
        <v>0</v>
      </c>
      <c r="BF38" s="3">
        <f>IF($C$5="ON",CF38,MyRating(_S4,$B38,Efficacy!$F$1))</f>
        <v>0</v>
      </c>
      <c r="BG38" s="3">
        <f>IF($C$5="ON",CG38,MyRating(_S5,$B38,Efficacy!$F$1))</f>
        <v>0</v>
      </c>
      <c r="BH38" s="3">
        <f>IF($C$5="ON",CH38,MyRating(_S6,$B38,Efficacy!$F$1))</f>
        <v>0</v>
      </c>
      <c r="BI38" s="3">
        <f>IF($C$5="ON",CI38,MyRating(_S7,$B38,Efficacy!$F$1))</f>
        <v>0</v>
      </c>
      <c r="BJ38" s="3">
        <f>IF($C$5="ON",CJ38,MyRating(_D1,$B38,Efficacy!$F$1))</f>
        <v>0</v>
      </c>
      <c r="BK38" s="3">
        <f>IF($C$5="ON",CK38,MyRating(_D2,$B38,Efficacy!$F$1))</f>
        <v>0</v>
      </c>
      <c r="BL38" s="3">
        <f>IF($C$5="ON",CL38,MyRating(_D3,$B38,Efficacy!$F$1))</f>
        <v>0</v>
      </c>
      <c r="BM38" s="3">
        <f>IF($C$5="ON",CM38,MyRating(_D4,$B38,Efficacy!$F$1))</f>
        <v>0</v>
      </c>
      <c r="BN38" s="3">
        <f>IF($C$5="ON",CN38,MyRating(_B1G5,$B38,Barrier!$L$2))</f>
        <v>0</v>
      </c>
      <c r="BO38" s="3">
        <f>IF($C$5="ON",CO38,MyRating(_B2,$B38,Barrier!$F$2))</f>
        <v>0</v>
      </c>
      <c r="BP38" s="6">
        <f>IF($C$5="ON",CP38,MyRating(_B3,$B38,Barrier!$F$2))</f>
        <v>0</v>
      </c>
      <c r="BQ38" s="5">
        <f t="shared" si="6"/>
        <v>0</v>
      </c>
      <c r="BR38" s="8">
        <f t="shared" si="7"/>
        <v>0</v>
      </c>
      <c r="BS38" s="5">
        <f t="shared" si="8"/>
        <v>0</v>
      </c>
      <c r="BT38" s="7">
        <f t="shared" si="9"/>
        <v>0</v>
      </c>
      <c r="BU38" s="4">
        <v>0</v>
      </c>
      <c r="BV38" s="3">
        <v>0</v>
      </c>
      <c r="BW38" s="3">
        <v>0</v>
      </c>
      <c r="BX38" s="3">
        <v>0</v>
      </c>
      <c r="BY38" s="3">
        <v>0</v>
      </c>
      <c r="BZ38" s="3">
        <v>0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6">
        <v>0</v>
      </c>
      <c r="CQ38" s="5">
        <v>0</v>
      </c>
    </row>
    <row r="39" spans="1:95" x14ac:dyDescent="0.35">
      <c r="A39" s="9" t="str">
        <f t="shared" si="0"/>
        <v>ES</v>
      </c>
      <c r="B39" s="9" t="s">
        <v>37</v>
      </c>
      <c r="C39" s="20"/>
      <c r="D39" s="9" t="s">
        <v>36</v>
      </c>
      <c r="E39" s="9" t="s">
        <v>193</v>
      </c>
      <c r="F39" s="9" t="s">
        <v>1</v>
      </c>
      <c r="G39" s="19">
        <v>0</v>
      </c>
      <c r="H39" s="9">
        <v>2014</v>
      </c>
      <c r="I39" s="9">
        <v>6</v>
      </c>
      <c r="J39" s="18">
        <f>INDEX(PTRS!$D$6:$D$12,MATCH('5'!$F39,PTRS!$B$6:$B$12,0))</f>
        <v>0.1044225</v>
      </c>
      <c r="K39" s="17">
        <v>0</v>
      </c>
      <c r="L39" s="17">
        <v>0.1044225</v>
      </c>
      <c r="M39" s="17">
        <v>0.1044225</v>
      </c>
      <c r="N39" s="17">
        <v>0.1044225</v>
      </c>
      <c r="O39" s="17">
        <v>0.1044225</v>
      </c>
      <c r="P39" s="17">
        <v>0.1044225</v>
      </c>
      <c r="Q39" s="17">
        <v>0.1044225</v>
      </c>
      <c r="R39" s="17">
        <v>0.1044225</v>
      </c>
      <c r="S39" s="17">
        <v>1</v>
      </c>
      <c r="T39" s="17" t="s">
        <v>35</v>
      </c>
      <c r="U39" s="22">
        <v>0.72649652910676854</v>
      </c>
      <c r="V39" s="17">
        <v>1</v>
      </c>
      <c r="W39" s="9" t="s">
        <v>34</v>
      </c>
      <c r="X39" s="9">
        <f>INDEX('Unique Asset List'!$C$4:$I$60,MATCH('5'!$B39,'Unique Asset List'!$A$4:$A$60,0),MATCH('5'!$C$1,'Unique Asset List'!$C$3:$I$3,0))</f>
        <v>2034</v>
      </c>
      <c r="Y39" s="9">
        <f>INDEX('Unique Asset List'!$J$4:$P$60,MATCH('5'!$B39,'Unique Asset List'!$A$4:$A$60,0),MATCH('5'!$C$1,'Unique Asset List'!$J$3:$P$3,0))</f>
        <v>3</v>
      </c>
      <c r="Z39" s="9">
        <f>INDEX('Unique Asset List'!$X$4:$AD$60,MATCH('5'!$B39,'Unique Asset List'!$A$4:$A$60,0),MATCH('5'!$C$1,'Unique Asset List'!$X$3:$AD$3,0))</f>
        <v>2043</v>
      </c>
      <c r="AA39" s="9">
        <f>INDEX('Unique Asset List'!$AE$4:$AK$60,MATCH('5'!$B39,'Unique Asset List'!$A$4:$A$60,0),MATCH('5'!$C$1,'Unique Asset List'!$AE$3:$AK$3,0))</f>
        <v>2</v>
      </c>
      <c r="AB39" s="16">
        <f>AB28</f>
        <v>2.0908086000000004</v>
      </c>
      <c r="AC39" s="16">
        <f>AC28</f>
        <v>0.97325250000000008</v>
      </c>
      <c r="AD39" s="16">
        <f>AD28</f>
        <v>0.56099999999999994</v>
      </c>
      <c r="AE39" s="15">
        <f>INDEX('Unique Asset List'!$BN$4:$BT$60,MATCH('5'!$B39,'Unique Asset List'!$A$4:$A$60,0),MATCH('5'!$C$1,'Unique Asset List'!$BN$3:$BT$3,0))</f>
        <v>0.08</v>
      </c>
      <c r="AF39" s="15">
        <f>INDEX('Unique Asset List'!$BU$4:$CA$60,MATCH('5'!$B39,'Unique Asset List'!$A$4:$A$60,0),MATCH('5'!$C$1,'Unique Asset List'!$BU$3:$CA$3,0))</f>
        <v>0.42</v>
      </c>
      <c r="AG39" s="15">
        <f>INDEX('Unique Asset List'!$AZ$4:$BF$60,MATCH('5'!$B39,'Unique Asset List'!$A$4:$A$60,0),MATCH('5'!$C$1,'Unique Asset List'!$AZ$3:$BF$3,0))</f>
        <v>0.08</v>
      </c>
      <c r="AH39" s="15">
        <f>INDEX('Unique Asset List'!$BG$4:$BM$60,MATCH('5'!$B39,'Unique Asset List'!$A$4:$A$60,0),MATCH('5'!$C$1,'Unique Asset List'!$BG$3:$BM$3,0))</f>
        <v>0.42</v>
      </c>
      <c r="AI39" s="11">
        <v>0.96187963349867744</v>
      </c>
      <c r="AJ39" s="15">
        <f>INDEX('Unique Asset List'!$AL$4:$AR$60,MATCH('5'!$B39,'Unique Asset List'!$A$4:$A$60,0),MATCH('5'!$C$1,'Unique Asset List'!$AL$3:$AR$3,0))</f>
        <v>1.2944496352201866</v>
      </c>
      <c r="AK39" s="15">
        <f>INDEX('Unique Asset List'!$AS$4:$AY$60,MATCH('5'!$B39,'Unique Asset List'!$A$4:$A$60,0),MATCH('5'!$C$1,'Unique Asset List'!$AS$3:$AY$3,0))</f>
        <v>-1.4425350046709582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5"/>
        <v>0.82</v>
      </c>
      <c r="AS39" s="10">
        <v>1</v>
      </c>
      <c r="AT39" s="10"/>
      <c r="AU39" s="4">
        <f>IF($C$5="ON",BU39,MyRating(_E1,$B39,Efficacy!$F$1))</f>
        <v>0</v>
      </c>
      <c r="AV39" s="3">
        <f>IF($C$5="ON",BV39,MyRating(_E2,$B39,Efficacy!$F$1))</f>
        <v>0</v>
      </c>
      <c r="AW39" s="3">
        <f>IF($C$5="ON",BW39,MyRating(_E3,$B39,Efficacy!$F$1))</f>
        <v>0</v>
      </c>
      <c r="AX39" s="3">
        <f>IF($C$5="ON",BX39,MyRating(_E4,$B39,Efficacy!$F$1))</f>
        <v>0</v>
      </c>
      <c r="AY39" s="3">
        <f>IF($C$5="ON",BY39,MyRating(_E5,$B39,Efficacy!$F$1))</f>
        <v>0</v>
      </c>
      <c r="AZ39" s="3">
        <f>IF($C$5="ON",BZ39,MyRating(_E6,$B39,Efficacy!$F$1))</f>
        <v>0</v>
      </c>
      <c r="BA39" s="3">
        <f>IF($C$5="ON",CA39,MyRating(_E7,$B39,Efficacy!$F$1))</f>
        <v>0</v>
      </c>
      <c r="BB39" s="3">
        <f>IF($C$5="ON",CB39,MyRating(_E8,$B39,Efficacy!$F$1))</f>
        <v>0</v>
      </c>
      <c r="BC39" s="3">
        <f>IF($C$5="ON",CC39,MyRating(_S1,$B39,Efficacy!$F$1))</f>
        <v>0</v>
      </c>
      <c r="BD39" s="3">
        <f>IF($C$5="ON",CD39,MyRating(_S2,$B39,Efficacy!$F$1))</f>
        <v>0</v>
      </c>
      <c r="BE39" s="3">
        <f>IF($C$5="ON",CE39,MyRating(_S3,$B39,Efficacy!$F$1))</f>
        <v>0</v>
      </c>
      <c r="BF39" s="3">
        <f>IF($C$5="ON",CF39,MyRating(_S4,$B39,Efficacy!$F$1))</f>
        <v>0</v>
      </c>
      <c r="BG39" s="3">
        <f>IF($C$5="ON",CG39,MyRating(_S5,$B39,Efficacy!$F$1))</f>
        <v>0</v>
      </c>
      <c r="BH39" s="3">
        <f>IF($C$5="ON",CH39,MyRating(_S6,$B39,Efficacy!$F$1))</f>
        <v>0</v>
      </c>
      <c r="BI39" s="3">
        <f>IF($C$5="ON",CI39,MyRating(_S7,$B39,Efficacy!$F$1))</f>
        <v>0</v>
      </c>
      <c r="BJ39" s="3">
        <f>IF($C$5="ON",CJ39,MyRating(_D1,$B39,Efficacy!$F$1))</f>
        <v>0</v>
      </c>
      <c r="BK39" s="3">
        <f>IF($C$5="ON",CK39,MyRating(_D2,$B39,Efficacy!$F$1))</f>
        <v>0</v>
      </c>
      <c r="BL39" s="3">
        <f>IF($C$5="ON",CL39,MyRating(_D3,$B39,Efficacy!$F$1))</f>
        <v>0</v>
      </c>
      <c r="BM39" s="3">
        <f>IF($C$5="ON",CM39,MyRating(_D4,$B39,Efficacy!$F$1))</f>
        <v>0</v>
      </c>
      <c r="BN39" s="3">
        <f>IF($C$5="ON",CN39,MyRating(_B1G5,$B39,Barrier!$L$2))</f>
        <v>0</v>
      </c>
      <c r="BO39" s="3">
        <f>IF($C$5="ON",CO39,MyRating(_B2,$B39,Barrier!$F$2))</f>
        <v>0</v>
      </c>
      <c r="BP39" s="6">
        <f>IF($C$5="ON",CP39,MyRating(_B3,$B39,Barrier!$F$2))</f>
        <v>0</v>
      </c>
      <c r="BQ39" s="5">
        <f t="shared" si="6"/>
        <v>0</v>
      </c>
      <c r="BR39" s="8">
        <f t="shared" si="7"/>
        <v>0</v>
      </c>
      <c r="BS39" s="5">
        <f t="shared" si="8"/>
        <v>0</v>
      </c>
      <c r="BT39" s="7">
        <f t="shared" si="9"/>
        <v>0</v>
      </c>
      <c r="BU39" s="4">
        <v>0</v>
      </c>
      <c r="BV39" s="3">
        <v>0</v>
      </c>
      <c r="BW39" s="3">
        <v>0</v>
      </c>
      <c r="BX39" s="3">
        <v>0</v>
      </c>
      <c r="BY39" s="3">
        <v>0</v>
      </c>
      <c r="BZ39" s="3">
        <v>0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6">
        <v>0</v>
      </c>
      <c r="CQ39" s="5">
        <v>0</v>
      </c>
    </row>
    <row r="40" spans="1:95" x14ac:dyDescent="0.35">
      <c r="A40" s="9" t="str">
        <f t="shared" si="0"/>
        <v>ES</v>
      </c>
      <c r="B40" s="9" t="s">
        <v>33</v>
      </c>
      <c r="C40" s="20"/>
      <c r="D40" s="9" t="s">
        <v>32</v>
      </c>
      <c r="E40" s="9" t="s">
        <v>193</v>
      </c>
      <c r="F40" s="9" t="s">
        <v>1</v>
      </c>
      <c r="G40" s="19">
        <v>0</v>
      </c>
      <c r="H40" s="9">
        <v>2014</v>
      </c>
      <c r="I40" s="9">
        <v>6</v>
      </c>
      <c r="J40" s="18">
        <f>INDEX(PTRS!$D$6:$D$12,MATCH('5'!$F40,PTRS!$B$6:$B$12,0))</f>
        <v>0.1044225</v>
      </c>
      <c r="K40" s="17">
        <v>0</v>
      </c>
      <c r="L40" s="17">
        <v>0.1044225</v>
      </c>
      <c r="M40" s="17">
        <v>0.1044225</v>
      </c>
      <c r="N40" s="17">
        <v>0.1044225</v>
      </c>
      <c r="O40" s="17">
        <v>0.1044225</v>
      </c>
      <c r="P40" s="17">
        <v>0.1044225</v>
      </c>
      <c r="Q40" s="17">
        <v>0.1044225</v>
      </c>
      <c r="R40" s="17">
        <v>0.1044225</v>
      </c>
      <c r="S40" s="17">
        <v>1</v>
      </c>
      <c r="T40" s="17" t="s">
        <v>31</v>
      </c>
      <c r="U40" s="22">
        <v>0.72649652910676854</v>
      </c>
      <c r="V40" s="17">
        <v>1</v>
      </c>
      <c r="W40" s="9" t="s">
        <v>31</v>
      </c>
      <c r="X40" s="9">
        <f>INDEX('Unique Asset List'!$C$4:$I$60,MATCH('5'!$B40,'Unique Asset List'!$A$4:$A$60,0),MATCH('5'!$C$1,'Unique Asset List'!$C$3:$I$3,0))</f>
        <v>2033</v>
      </c>
      <c r="Y40" s="9">
        <f>INDEX('Unique Asset List'!$J$4:$P$60,MATCH('5'!$B40,'Unique Asset List'!$A$4:$A$60,0),MATCH('5'!$C$1,'Unique Asset List'!$J$3:$P$3,0))</f>
        <v>3</v>
      </c>
      <c r="Z40" s="9">
        <f>INDEX('Unique Asset List'!$X$4:$AD$60,MATCH('5'!$B40,'Unique Asset List'!$A$4:$A$60,0),MATCH('5'!$C$1,'Unique Asset List'!$X$3:$AD$3,0))</f>
        <v>2042</v>
      </c>
      <c r="AA40" s="9">
        <f>INDEX('Unique Asset List'!$AE$4:$AK$60,MATCH('5'!$B40,'Unique Asset List'!$A$4:$A$60,0),MATCH('5'!$C$1,'Unique Asset List'!$AE$3:$AK$3,0))</f>
        <v>2</v>
      </c>
      <c r="AB40" s="16">
        <f>AB27</f>
        <v>2.1250906000000005</v>
      </c>
      <c r="AC40" s="16">
        <f>AC27</f>
        <v>0.97325250000000008</v>
      </c>
      <c r="AD40" s="16">
        <f>AD27</f>
        <v>0.56099999999999994</v>
      </c>
      <c r="AE40" s="15">
        <f>INDEX('Unique Asset List'!$BN$4:$BT$60,MATCH('5'!$B40,'Unique Asset List'!$A$4:$A$60,0),MATCH('5'!$C$1,'Unique Asset List'!$BN$3:$BT$3,0))</f>
        <v>0.08</v>
      </c>
      <c r="AF40" s="15">
        <f>INDEX('Unique Asset List'!$BU$4:$CA$60,MATCH('5'!$B40,'Unique Asset List'!$A$4:$A$60,0),MATCH('5'!$C$1,'Unique Asset List'!$BU$3:$CA$3,0))</f>
        <v>0.42</v>
      </c>
      <c r="AG40" s="15">
        <f>INDEX('Unique Asset List'!$AZ$4:$BF$60,MATCH('5'!$B40,'Unique Asset List'!$A$4:$A$60,0),MATCH('5'!$C$1,'Unique Asset List'!$AZ$3:$BF$3,0))</f>
        <v>0.08</v>
      </c>
      <c r="AH40" s="15">
        <f>INDEX('Unique Asset List'!$BG$4:$BM$60,MATCH('5'!$B40,'Unique Asset List'!$A$4:$A$60,0),MATCH('5'!$C$1,'Unique Asset List'!$BG$3:$BM$3,0))</f>
        <v>0.42</v>
      </c>
      <c r="AI40" s="11">
        <v>0.96187963349867744</v>
      </c>
      <c r="AJ40" s="15">
        <f>INDEX('Unique Asset List'!$AL$4:$AR$60,MATCH('5'!$B40,'Unique Asset List'!$A$4:$A$60,0),MATCH('5'!$C$1,'Unique Asset List'!$AL$3:$AR$3,0))</f>
        <v>1.2944496352201866</v>
      </c>
      <c r="AK40" s="15">
        <f>INDEX('Unique Asset List'!$AS$4:$AY$60,MATCH('5'!$B40,'Unique Asset List'!$A$4:$A$60,0),MATCH('5'!$C$1,'Unique Asset List'!$AS$3:$AY$3,0))</f>
        <v>-1.4425350046709582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5"/>
        <v>0.82</v>
      </c>
      <c r="AS40" s="10">
        <v>1</v>
      </c>
      <c r="AT40" s="10"/>
      <c r="AU40" s="4">
        <f>IF($C$5="ON",BU40,MyRating(_E1,$B40,Efficacy!$F$1))</f>
        <v>0</v>
      </c>
      <c r="AV40" s="3">
        <f>IF($C$5="ON",BV40,MyRating(_E2,$B40,Efficacy!$F$1))</f>
        <v>0</v>
      </c>
      <c r="AW40" s="3">
        <f>IF($C$5="ON",BW40,MyRating(_E3,$B40,Efficacy!$F$1))</f>
        <v>0</v>
      </c>
      <c r="AX40" s="3">
        <f>IF($C$5="ON",BX40,MyRating(_E4,$B40,Efficacy!$F$1))</f>
        <v>0</v>
      </c>
      <c r="AY40" s="3">
        <f>IF($C$5="ON",BY40,MyRating(_E5,$B40,Efficacy!$F$1))</f>
        <v>0</v>
      </c>
      <c r="AZ40" s="3">
        <f>IF($C$5="ON",BZ40,MyRating(_E6,$B40,Efficacy!$F$1))</f>
        <v>0</v>
      </c>
      <c r="BA40" s="3">
        <f>IF($C$5="ON",CA40,MyRating(_E7,$B40,Efficacy!$F$1))</f>
        <v>0</v>
      </c>
      <c r="BB40" s="3">
        <f>IF($C$5="ON",CB40,MyRating(_E8,$B40,Efficacy!$F$1))</f>
        <v>0</v>
      </c>
      <c r="BC40" s="3">
        <f>IF($C$5="ON",CC40,MyRating(_S1,$B40,Efficacy!$F$1))</f>
        <v>0</v>
      </c>
      <c r="BD40" s="3">
        <f>IF($C$5="ON",CD40,MyRating(_S2,$B40,Efficacy!$F$1))</f>
        <v>0</v>
      </c>
      <c r="BE40" s="3">
        <f>IF($C$5="ON",CE40,MyRating(_S3,$B40,Efficacy!$F$1))</f>
        <v>0</v>
      </c>
      <c r="BF40" s="3">
        <f>IF($C$5="ON",CF40,MyRating(_S4,$B40,Efficacy!$F$1))</f>
        <v>0</v>
      </c>
      <c r="BG40" s="3">
        <f>IF($C$5="ON",CG40,MyRating(_S5,$B40,Efficacy!$F$1))</f>
        <v>0</v>
      </c>
      <c r="BH40" s="3">
        <f>IF($C$5="ON",CH40,MyRating(_S6,$B40,Efficacy!$F$1))</f>
        <v>0</v>
      </c>
      <c r="BI40" s="3">
        <f>IF($C$5="ON",CI40,MyRating(_S7,$B40,Efficacy!$F$1))</f>
        <v>0</v>
      </c>
      <c r="BJ40" s="3">
        <f>IF($C$5="ON",CJ40,MyRating(_D1,$B40,Efficacy!$F$1))</f>
        <v>0</v>
      </c>
      <c r="BK40" s="3">
        <f>IF($C$5="ON",CK40,MyRating(_D2,$B40,Efficacy!$F$1))</f>
        <v>0</v>
      </c>
      <c r="BL40" s="3">
        <f>IF($C$5="ON",CL40,MyRating(_D3,$B40,Efficacy!$F$1))</f>
        <v>0</v>
      </c>
      <c r="BM40" s="3">
        <f>IF($C$5="ON",CM40,MyRating(_D4,$B40,Efficacy!$F$1))</f>
        <v>0</v>
      </c>
      <c r="BN40" s="3">
        <f>IF($C$5="ON",CN40,MyRating(_B1G5,$B40,Barrier!$L$2))</f>
        <v>0</v>
      </c>
      <c r="BO40" s="3">
        <f>IF($C$5="ON",CO40,MyRating(_B2,$B40,Barrier!$F$2))</f>
        <v>0</v>
      </c>
      <c r="BP40" s="6">
        <f>IF($C$5="ON",CP40,MyRating(_B3,$B40,Barrier!$F$2))</f>
        <v>0</v>
      </c>
      <c r="BQ40" s="5">
        <f t="shared" si="6"/>
        <v>0</v>
      </c>
      <c r="BR40" s="8">
        <f t="shared" si="7"/>
        <v>0</v>
      </c>
      <c r="BS40" s="5">
        <f t="shared" si="8"/>
        <v>0</v>
      </c>
      <c r="BT40" s="7">
        <f t="shared" si="9"/>
        <v>0</v>
      </c>
      <c r="BU40" s="4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6">
        <v>0</v>
      </c>
      <c r="CQ40" s="5">
        <v>0</v>
      </c>
    </row>
    <row r="41" spans="1:95" x14ac:dyDescent="0.35">
      <c r="A41" s="9" t="str">
        <f t="shared" ref="A41:A58" si="10">$C$1</f>
        <v>ES</v>
      </c>
      <c r="B41" s="9" t="s">
        <v>30</v>
      </c>
      <c r="C41" s="20"/>
      <c r="D41" s="9" t="s">
        <v>29</v>
      </c>
      <c r="E41" s="9" t="s">
        <v>193</v>
      </c>
      <c r="F41" s="9" t="s">
        <v>1</v>
      </c>
      <c r="G41" s="19">
        <v>0</v>
      </c>
      <c r="H41" s="9">
        <v>2014</v>
      </c>
      <c r="I41" s="9">
        <v>6</v>
      </c>
      <c r="J41" s="18">
        <f>INDEX(PTRS!$D$6:$D$12,MATCH('5'!$F41,PTRS!$B$6:$B$12,0))</f>
        <v>0.1044225</v>
      </c>
      <c r="K41" s="17">
        <v>0</v>
      </c>
      <c r="L41" s="17">
        <v>0.1044225</v>
      </c>
      <c r="M41" s="17">
        <v>0.1044225</v>
      </c>
      <c r="N41" s="17">
        <v>0.1044225</v>
      </c>
      <c r="O41" s="17">
        <v>0.1044225</v>
      </c>
      <c r="P41" s="17">
        <v>0.1044225</v>
      </c>
      <c r="Q41" s="17">
        <v>0.1044225</v>
      </c>
      <c r="R41" s="17">
        <v>0.1044225</v>
      </c>
      <c r="S41" s="17">
        <v>1</v>
      </c>
      <c r="T41" s="17" t="s">
        <v>28</v>
      </c>
      <c r="U41" s="22">
        <v>0.72649652910676854</v>
      </c>
      <c r="V41" s="17">
        <v>1</v>
      </c>
      <c r="W41" s="9" t="s">
        <v>27</v>
      </c>
      <c r="X41" s="9">
        <f>INDEX('Unique Asset List'!$C$4:$I$60,MATCH('5'!$B41,'Unique Asset List'!$A$4:$A$60,0),MATCH('5'!$C$1,'Unique Asset List'!$C$3:$I$3,0))</f>
        <v>2035</v>
      </c>
      <c r="Y41" s="9">
        <f>INDEX('Unique Asset List'!$J$4:$P$60,MATCH('5'!$B41,'Unique Asset List'!$A$4:$A$60,0),MATCH('5'!$C$1,'Unique Asset List'!$J$3:$P$3,0))</f>
        <v>6.9999999999990905</v>
      </c>
      <c r="Z41" s="9">
        <f>INDEX('Unique Asset List'!$X$4:$AD$60,MATCH('5'!$B41,'Unique Asset List'!$A$4:$A$60,0),MATCH('5'!$C$1,'Unique Asset List'!$X$3:$AD$3,0))</f>
        <v>2044</v>
      </c>
      <c r="AA41" s="9">
        <f>INDEX('Unique Asset List'!$AE$4:$AK$60,MATCH('5'!$B41,'Unique Asset List'!$A$4:$A$60,0),MATCH('5'!$C$1,'Unique Asset List'!$AE$3:$AK$3,0))</f>
        <v>6</v>
      </c>
      <c r="AB41" s="16">
        <f>AB33</f>
        <v>2.0289886000000004</v>
      </c>
      <c r="AC41" s="16">
        <f>AC33</f>
        <v>0.85031269999999992</v>
      </c>
      <c r="AD41" s="16">
        <f>AD33</f>
        <v>0.56099999999999994</v>
      </c>
      <c r="AE41" s="15">
        <f>INDEX('Unique Asset List'!$BN$4:$BT$60,MATCH('5'!$B41,'Unique Asset List'!$A$4:$A$60,0),MATCH('5'!$C$1,'Unique Asset List'!$BN$3:$BT$3,0))</f>
        <v>0.08</v>
      </c>
      <c r="AF41" s="15">
        <f>INDEX('Unique Asset List'!$BU$4:$CA$60,MATCH('5'!$B41,'Unique Asset List'!$A$4:$A$60,0),MATCH('5'!$C$1,'Unique Asset List'!$BU$3:$CA$3,0))</f>
        <v>0.42</v>
      </c>
      <c r="AG41" s="15">
        <f>INDEX('Unique Asset List'!$AZ$4:$BF$60,MATCH('5'!$B41,'Unique Asset List'!$A$4:$A$60,0),MATCH('5'!$C$1,'Unique Asset List'!$AZ$3:$BF$3,0))</f>
        <v>0.08</v>
      </c>
      <c r="AH41" s="15">
        <f>INDEX('Unique Asset List'!$BG$4:$BM$60,MATCH('5'!$B41,'Unique Asset List'!$A$4:$A$60,0),MATCH('5'!$C$1,'Unique Asset List'!$BG$3:$BM$3,0))</f>
        <v>0.42</v>
      </c>
      <c r="AI41" s="11">
        <v>0.96187963349867744</v>
      </c>
      <c r="AJ41" s="15">
        <f>INDEX('Unique Asset List'!$AL$4:$AR$60,MATCH('5'!$B41,'Unique Asset List'!$A$4:$A$60,0),MATCH('5'!$C$1,'Unique Asset List'!$AL$3:$AR$3,0))</f>
        <v>1.2944496352201866</v>
      </c>
      <c r="AK41" s="15">
        <f>INDEX('Unique Asset List'!$AS$4:$AY$60,MATCH('5'!$B41,'Unique Asset List'!$A$4:$A$60,0),MATCH('5'!$C$1,'Unique Asset List'!$AS$3:$AY$3,0))</f>
        <v>-1.4425350046709582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ref="AR41:AR58" si="11">AP41</f>
        <v>0.82</v>
      </c>
      <c r="AS41" s="10">
        <v>1</v>
      </c>
      <c r="AT41" s="10"/>
      <c r="AU41" s="4">
        <f>IF($C$5="ON",BU41,MyRating(_E1,$B41,Efficacy!$F$1))</f>
        <v>0</v>
      </c>
      <c r="AV41" s="3">
        <f>IF($C$5="ON",BV41,MyRating(_E2,$B41,Efficacy!$F$1))</f>
        <v>0</v>
      </c>
      <c r="AW41" s="3">
        <f>IF($C$5="ON",BW41,MyRating(_E3,$B41,Efficacy!$F$1))</f>
        <v>0</v>
      </c>
      <c r="AX41" s="3">
        <f>IF($C$5="ON",BX41,MyRating(_E4,$B41,Efficacy!$F$1))</f>
        <v>0</v>
      </c>
      <c r="AY41" s="3">
        <f>IF($C$5="ON",BY41,MyRating(_E5,$B41,Efficacy!$F$1))</f>
        <v>0</v>
      </c>
      <c r="AZ41" s="3">
        <f>IF($C$5="ON",BZ41,MyRating(_E6,$B41,Efficacy!$F$1))</f>
        <v>0</v>
      </c>
      <c r="BA41" s="3">
        <f>IF($C$5="ON",CA41,MyRating(_E7,$B41,Efficacy!$F$1))</f>
        <v>0</v>
      </c>
      <c r="BB41" s="3">
        <f>IF($C$5="ON",CB41,MyRating(_E8,$B41,Efficacy!$F$1))</f>
        <v>0</v>
      </c>
      <c r="BC41" s="3">
        <f>IF($C$5="ON",CC41,MyRating(_S1,$B41,Efficacy!$F$1))</f>
        <v>0</v>
      </c>
      <c r="BD41" s="3">
        <f>IF($C$5="ON",CD41,MyRating(_S2,$B41,Efficacy!$F$1))</f>
        <v>0</v>
      </c>
      <c r="BE41" s="3">
        <f>IF($C$5="ON",CE41,MyRating(_S3,$B41,Efficacy!$F$1))</f>
        <v>0</v>
      </c>
      <c r="BF41" s="3">
        <f>IF($C$5="ON",CF41,MyRating(_S4,$B41,Efficacy!$F$1))</f>
        <v>0</v>
      </c>
      <c r="BG41" s="3">
        <f>IF($C$5="ON",CG41,MyRating(_S5,$B41,Efficacy!$F$1))</f>
        <v>0</v>
      </c>
      <c r="BH41" s="3">
        <f>IF($C$5="ON",CH41,MyRating(_S6,$B41,Efficacy!$F$1))</f>
        <v>0</v>
      </c>
      <c r="BI41" s="3">
        <f>IF($C$5="ON",CI41,MyRating(_S7,$B41,Efficacy!$F$1))</f>
        <v>0</v>
      </c>
      <c r="BJ41" s="3">
        <f>IF($C$5="ON",CJ41,MyRating(_D1,$B41,Efficacy!$F$1))</f>
        <v>0</v>
      </c>
      <c r="BK41" s="3">
        <f>IF($C$5="ON",CK41,MyRating(_D2,$B41,Efficacy!$F$1))</f>
        <v>0</v>
      </c>
      <c r="BL41" s="3">
        <f>IF($C$5="ON",CL41,MyRating(_D3,$B41,Efficacy!$F$1))</f>
        <v>0</v>
      </c>
      <c r="BM41" s="3">
        <f>IF($C$5="ON",CM41,MyRating(_D4,$B41,Efficacy!$F$1))</f>
        <v>0</v>
      </c>
      <c r="BN41" s="3">
        <f>IF($C$5="ON",CN41,MyRating(_B1G5,$B41,Barrier!$L$2))</f>
        <v>0</v>
      </c>
      <c r="BO41" s="3">
        <f>IF($C$5="ON",CO41,MyRating(_B2,$B41,Barrier!$F$2))</f>
        <v>0</v>
      </c>
      <c r="BP41" s="6">
        <f>IF($C$5="ON",CP41,MyRating(_B3,$B41,Barrier!$F$2))</f>
        <v>0</v>
      </c>
      <c r="BQ41" s="5">
        <f t="shared" ref="BQ41:BQ58" si="12">BT41/$BT$7</f>
        <v>0</v>
      </c>
      <c r="BR41" s="8">
        <f t="shared" ref="BR41:BR58" si="13">SUMPRODUCT($BN41:$BP41,$BN$7:$BP$7)</f>
        <v>0</v>
      </c>
      <c r="BS41" s="5">
        <f t="shared" ref="BS41:BS58" si="14">BR41/$BR$7</f>
        <v>0</v>
      </c>
      <c r="BT41" s="7">
        <f t="shared" ref="BT41:BT58" si="15">BS41^$X$4</f>
        <v>0</v>
      </c>
      <c r="BU41" s="4">
        <v>0</v>
      </c>
      <c r="BV41" s="3">
        <v>0</v>
      </c>
      <c r="BW41" s="3">
        <v>0</v>
      </c>
      <c r="BX41" s="3">
        <v>0</v>
      </c>
      <c r="BY41" s="3">
        <v>0</v>
      </c>
      <c r="BZ41" s="3">
        <v>0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6">
        <v>0</v>
      </c>
      <c r="CQ41" s="5">
        <v>0</v>
      </c>
    </row>
    <row r="42" spans="1:95" x14ac:dyDescent="0.35">
      <c r="A42" s="9" t="str">
        <f t="shared" si="10"/>
        <v>ES</v>
      </c>
      <c r="B42" s="9" t="s">
        <v>26</v>
      </c>
      <c r="C42" s="20"/>
      <c r="D42" s="9" t="s">
        <v>25</v>
      </c>
      <c r="E42" s="9" t="s">
        <v>193</v>
      </c>
      <c r="F42" s="9" t="s">
        <v>1</v>
      </c>
      <c r="G42" s="19">
        <v>0</v>
      </c>
      <c r="H42" s="9">
        <v>2014</v>
      </c>
      <c r="I42" s="9">
        <v>6</v>
      </c>
      <c r="J42" s="18">
        <f>INDEX(PTRS!$D$6:$D$12,MATCH('5'!$F42,PTRS!$B$6:$B$12,0))</f>
        <v>0.1044225</v>
      </c>
      <c r="K42" s="17">
        <v>0</v>
      </c>
      <c r="L42" s="17">
        <v>0.1044225</v>
      </c>
      <c r="M42" s="17">
        <v>0.1044225</v>
      </c>
      <c r="N42" s="17">
        <v>0.1044225</v>
      </c>
      <c r="O42" s="17">
        <v>0.1044225</v>
      </c>
      <c r="P42" s="17">
        <v>0.1044225</v>
      </c>
      <c r="Q42" s="17">
        <v>0.1044225</v>
      </c>
      <c r="R42" s="17">
        <v>0.1044225</v>
      </c>
      <c r="S42" s="17">
        <v>1</v>
      </c>
      <c r="T42" s="17" t="s">
        <v>24</v>
      </c>
      <c r="U42" s="22">
        <v>0.72649652910676854</v>
      </c>
      <c r="V42" s="17">
        <v>1</v>
      </c>
      <c r="W42" s="9" t="s">
        <v>24</v>
      </c>
      <c r="X42" s="9">
        <f>INDEX('Unique Asset List'!$C$4:$I$60,MATCH('5'!$B42,'Unique Asset List'!$A$4:$A$60,0),MATCH('5'!$C$1,'Unique Asset List'!$C$3:$I$3,0))</f>
        <v>2033</v>
      </c>
      <c r="Y42" s="9">
        <f>INDEX('Unique Asset List'!$J$4:$P$60,MATCH('5'!$B42,'Unique Asset List'!$A$4:$A$60,0),MATCH('5'!$C$1,'Unique Asset List'!$J$3:$P$3,0))</f>
        <v>3</v>
      </c>
      <c r="Z42" s="9">
        <f>INDEX('Unique Asset List'!$X$4:$AD$60,MATCH('5'!$B42,'Unique Asset List'!$A$4:$A$60,0),MATCH('5'!$C$1,'Unique Asset List'!$X$3:$AD$3,0))</f>
        <v>2042</v>
      </c>
      <c r="AA42" s="9">
        <f>INDEX('Unique Asset List'!$AE$4:$AK$60,MATCH('5'!$B42,'Unique Asset List'!$A$4:$A$60,0),MATCH('5'!$C$1,'Unique Asset List'!$AE$3:$AK$3,0))</f>
        <v>2</v>
      </c>
      <c r="AB42" s="16">
        <f>AB30</f>
        <v>2.3276916000000001</v>
      </c>
      <c r="AC42" s="16">
        <f>AC30</f>
        <v>1.0028454</v>
      </c>
      <c r="AD42" s="16">
        <f>AD30</f>
        <v>0.56099999999999994</v>
      </c>
      <c r="AE42" s="15">
        <f>INDEX('Unique Asset List'!$BN$4:$BT$60,MATCH('5'!$B42,'Unique Asset List'!$A$4:$A$60,0),MATCH('5'!$C$1,'Unique Asset List'!$BN$3:$BT$3,0))</f>
        <v>0.08</v>
      </c>
      <c r="AF42" s="15">
        <f>INDEX('Unique Asset List'!$BU$4:$CA$60,MATCH('5'!$B42,'Unique Asset List'!$A$4:$A$60,0),MATCH('5'!$C$1,'Unique Asset List'!$BU$3:$CA$3,0))</f>
        <v>0.42</v>
      </c>
      <c r="AG42" s="15">
        <f>INDEX('Unique Asset List'!$AZ$4:$BF$60,MATCH('5'!$B42,'Unique Asset List'!$A$4:$A$60,0),MATCH('5'!$C$1,'Unique Asset List'!$AZ$3:$BF$3,0))</f>
        <v>0.08</v>
      </c>
      <c r="AH42" s="15">
        <f>INDEX('Unique Asset List'!$BG$4:$BM$60,MATCH('5'!$B42,'Unique Asset List'!$A$4:$A$60,0),MATCH('5'!$C$1,'Unique Asset List'!$BG$3:$BM$3,0))</f>
        <v>0.42</v>
      </c>
      <c r="AI42" s="11">
        <v>0.96187963349867744</v>
      </c>
      <c r="AJ42" s="15">
        <f>INDEX('Unique Asset List'!$AL$4:$AR$60,MATCH('5'!$B42,'Unique Asset List'!$A$4:$A$60,0),MATCH('5'!$C$1,'Unique Asset List'!$AL$3:$AR$3,0))</f>
        <v>1.2944496352201866</v>
      </c>
      <c r="AK42" s="15">
        <f>INDEX('Unique Asset List'!$AS$4:$AY$60,MATCH('5'!$B42,'Unique Asset List'!$A$4:$A$60,0),MATCH('5'!$C$1,'Unique Asset List'!$AS$3:$AY$3,0))</f>
        <v>-1.4425350046709582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1"/>
        <v>0.82</v>
      </c>
      <c r="AS42" s="10">
        <v>1</v>
      </c>
      <c r="AT42" s="10"/>
      <c r="AU42" s="4">
        <f>IF($C$5="ON",BU42,MyRating(_E1,$B42,Efficacy!$F$1))</f>
        <v>0</v>
      </c>
      <c r="AV42" s="3">
        <f>IF($C$5="ON",BV42,MyRating(_E2,$B42,Efficacy!$F$1))</f>
        <v>0</v>
      </c>
      <c r="AW42" s="3">
        <f>IF($C$5="ON",BW42,MyRating(_E3,$B42,Efficacy!$F$1))</f>
        <v>0</v>
      </c>
      <c r="AX42" s="3">
        <f>IF($C$5="ON",BX42,MyRating(_E4,$B42,Efficacy!$F$1))</f>
        <v>0</v>
      </c>
      <c r="AY42" s="3">
        <f>IF($C$5="ON",BY42,MyRating(_E5,$B42,Efficacy!$F$1))</f>
        <v>0</v>
      </c>
      <c r="AZ42" s="3">
        <f>IF($C$5="ON",BZ42,MyRating(_E6,$B42,Efficacy!$F$1))</f>
        <v>0</v>
      </c>
      <c r="BA42" s="3">
        <f>IF($C$5="ON",CA42,MyRating(_E7,$B42,Efficacy!$F$1))</f>
        <v>0</v>
      </c>
      <c r="BB42" s="3">
        <f>IF($C$5="ON",CB42,MyRating(_E8,$B42,Efficacy!$F$1))</f>
        <v>0</v>
      </c>
      <c r="BC42" s="3">
        <f>IF($C$5="ON",CC42,MyRating(_S1,$B42,Efficacy!$F$1))</f>
        <v>0</v>
      </c>
      <c r="BD42" s="3">
        <f>IF($C$5="ON",CD42,MyRating(_S2,$B42,Efficacy!$F$1))</f>
        <v>0</v>
      </c>
      <c r="BE42" s="3">
        <f>IF($C$5="ON",CE42,MyRating(_S3,$B42,Efficacy!$F$1))</f>
        <v>0</v>
      </c>
      <c r="BF42" s="3">
        <f>IF($C$5="ON",CF42,MyRating(_S4,$B42,Efficacy!$F$1))</f>
        <v>0</v>
      </c>
      <c r="BG42" s="3">
        <f>IF($C$5="ON",CG42,MyRating(_S5,$B42,Efficacy!$F$1))</f>
        <v>0</v>
      </c>
      <c r="BH42" s="3">
        <f>IF($C$5="ON",CH42,MyRating(_S6,$B42,Efficacy!$F$1))</f>
        <v>0</v>
      </c>
      <c r="BI42" s="3">
        <f>IF($C$5="ON",CI42,MyRating(_S7,$B42,Efficacy!$F$1))</f>
        <v>0</v>
      </c>
      <c r="BJ42" s="3">
        <f>IF($C$5="ON",CJ42,MyRating(_D1,$B42,Efficacy!$F$1))</f>
        <v>0</v>
      </c>
      <c r="BK42" s="3">
        <f>IF($C$5="ON",CK42,MyRating(_D2,$B42,Efficacy!$F$1))</f>
        <v>0</v>
      </c>
      <c r="BL42" s="3">
        <f>IF($C$5="ON",CL42,MyRating(_D3,$B42,Efficacy!$F$1))</f>
        <v>0</v>
      </c>
      <c r="BM42" s="3">
        <f>IF($C$5="ON",CM42,MyRating(_D4,$B42,Efficacy!$F$1))</f>
        <v>0</v>
      </c>
      <c r="BN42" s="3">
        <f>IF($C$5="ON",CN42,MyRating(_B1G5,$B42,Barrier!$L$2))</f>
        <v>0</v>
      </c>
      <c r="BO42" s="3">
        <f>IF($C$5="ON",CO42,MyRating(_B2,$B42,Barrier!$F$2))</f>
        <v>0</v>
      </c>
      <c r="BP42" s="6">
        <f>IF($C$5="ON",CP42,MyRating(_B3,$B42,Barrier!$F$2))</f>
        <v>0</v>
      </c>
      <c r="BQ42" s="5">
        <f t="shared" si="12"/>
        <v>0</v>
      </c>
      <c r="BR42" s="8">
        <f t="shared" si="13"/>
        <v>0</v>
      </c>
      <c r="BS42" s="5">
        <f t="shared" si="14"/>
        <v>0</v>
      </c>
      <c r="BT42" s="7">
        <f t="shared" si="15"/>
        <v>0</v>
      </c>
      <c r="BU42" s="4">
        <v>0</v>
      </c>
      <c r="BV42" s="3">
        <v>0</v>
      </c>
      <c r="BW42" s="3">
        <v>0</v>
      </c>
      <c r="BX42" s="3">
        <v>0</v>
      </c>
      <c r="BY42" s="3">
        <v>0</v>
      </c>
      <c r="BZ42" s="3">
        <v>0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6">
        <v>0</v>
      </c>
      <c r="CQ42" s="5">
        <v>0</v>
      </c>
    </row>
    <row r="43" spans="1:95" x14ac:dyDescent="0.35">
      <c r="A43" s="9" t="str">
        <f t="shared" si="10"/>
        <v>ES</v>
      </c>
      <c r="B43" s="9" t="s">
        <v>23</v>
      </c>
      <c r="C43" s="20"/>
      <c r="D43" s="9" t="s">
        <v>22</v>
      </c>
      <c r="E43" s="9" t="s">
        <v>193</v>
      </c>
      <c r="F43" s="9" t="s">
        <v>1</v>
      </c>
      <c r="G43" s="19">
        <v>0</v>
      </c>
      <c r="H43" s="9">
        <v>2014</v>
      </c>
      <c r="I43" s="9">
        <v>6</v>
      </c>
      <c r="J43" s="18">
        <f>INDEX(PTRS!$D$6:$D$12,MATCH('5'!$F43,PTRS!$B$6:$B$12,0))</f>
        <v>0.1044225</v>
      </c>
      <c r="K43" s="17">
        <v>0</v>
      </c>
      <c r="L43" s="17">
        <v>0.1044225</v>
      </c>
      <c r="M43" s="17">
        <v>0.1044225</v>
      </c>
      <c r="N43" s="17">
        <v>0.1044225</v>
      </c>
      <c r="O43" s="17">
        <v>0.1044225</v>
      </c>
      <c r="P43" s="17">
        <v>0.1044225</v>
      </c>
      <c r="Q43" s="17">
        <v>0.1044225</v>
      </c>
      <c r="R43" s="17">
        <v>0.1044225</v>
      </c>
      <c r="S43" s="17">
        <v>1</v>
      </c>
      <c r="T43" s="9" t="s">
        <v>21</v>
      </c>
      <c r="U43" s="22">
        <v>0.72649652910676854</v>
      </c>
      <c r="V43" s="17">
        <v>1</v>
      </c>
      <c r="W43" s="9" t="s">
        <v>20</v>
      </c>
      <c r="X43" s="9">
        <f>INDEX('Unique Asset List'!$C$4:$I$60,MATCH('5'!$B43,'Unique Asset List'!$A$4:$A$60,0),MATCH('5'!$C$1,'Unique Asset List'!$C$3:$I$3,0))</f>
        <v>2032</v>
      </c>
      <c r="Y43" s="9">
        <f>INDEX('Unique Asset List'!$J$4:$P$60,MATCH('5'!$B43,'Unique Asset List'!$A$4:$A$60,0),MATCH('5'!$C$1,'Unique Asset List'!$J$3:$P$3,0))</f>
        <v>3.9999999999990905</v>
      </c>
      <c r="Z43" s="9">
        <f>INDEX('Unique Asset List'!$X$4:$AD$60,MATCH('5'!$B43,'Unique Asset List'!$A$4:$A$60,0),MATCH('5'!$C$1,'Unique Asset List'!$X$3:$AD$3,0))</f>
        <v>2041</v>
      </c>
      <c r="AA43" s="9">
        <f>INDEX('Unique Asset List'!$AE$4:$AK$60,MATCH('5'!$B43,'Unique Asset List'!$A$4:$A$60,0),MATCH('5'!$C$1,'Unique Asset List'!$AE$3:$AK$3,0))</f>
        <v>3</v>
      </c>
      <c r="AB43" s="16">
        <f>AB25</f>
        <v>1.6822346000000001</v>
      </c>
      <c r="AC43" s="16">
        <f>AC25</f>
        <v>0.86278740000000009</v>
      </c>
      <c r="AD43" s="16">
        <f>AD25</f>
        <v>0.56099999999999994</v>
      </c>
      <c r="AE43" s="15">
        <f>INDEX('Unique Asset List'!$BN$4:$BT$60,MATCH('5'!$B43,'Unique Asset List'!$A$4:$A$60,0),MATCH('5'!$C$1,'Unique Asset List'!$BN$3:$BT$3,0))</f>
        <v>0.08</v>
      </c>
      <c r="AF43" s="15">
        <f>INDEX('Unique Asset List'!$BU$4:$CA$60,MATCH('5'!$B43,'Unique Asset List'!$A$4:$A$60,0),MATCH('5'!$C$1,'Unique Asset List'!$BU$3:$CA$3,0))</f>
        <v>0.42</v>
      </c>
      <c r="AG43" s="15">
        <f>INDEX('Unique Asset List'!$AZ$4:$BF$60,MATCH('5'!$B43,'Unique Asset List'!$A$4:$A$60,0),MATCH('5'!$C$1,'Unique Asset List'!$AZ$3:$BF$3,0))</f>
        <v>0.08</v>
      </c>
      <c r="AH43" s="15">
        <f>INDEX('Unique Asset List'!$BG$4:$BM$60,MATCH('5'!$B43,'Unique Asset List'!$A$4:$A$60,0),MATCH('5'!$C$1,'Unique Asset List'!$BG$3:$BM$3,0))</f>
        <v>0.42</v>
      </c>
      <c r="AI43" s="11">
        <v>0.96187963349867744</v>
      </c>
      <c r="AJ43" s="15">
        <f>INDEX('Unique Asset List'!$AL$4:$AR$60,MATCH('5'!$B43,'Unique Asset List'!$A$4:$A$60,0),MATCH('5'!$C$1,'Unique Asset List'!$AL$3:$AR$3,0))</f>
        <v>1.2944496352201866</v>
      </c>
      <c r="AK43" s="15">
        <f>INDEX('Unique Asset List'!$AS$4:$AY$60,MATCH('5'!$B43,'Unique Asset List'!$A$4:$A$60,0),MATCH('5'!$C$1,'Unique Asset List'!$AS$3:$AY$3,0))</f>
        <v>-1.4425350046709582</v>
      </c>
      <c r="AL43" s="9">
        <v>169</v>
      </c>
      <c r="AM43" s="14">
        <f>INDEX(Simulation!$B$6:$H$6,MATCH($A43,Simulation!$B$1:$H$1,0))*(1+AN43)^((DATE(X43,Y43,15)-DATE(2017,1,15))/365.5)</f>
        <v>3.5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11"/>
        <v>0.82</v>
      </c>
      <c r="AS43" s="10">
        <v>1</v>
      </c>
      <c r="AT43" s="10"/>
      <c r="AU43" s="4">
        <f>IF($C$5="ON",BU43,MyRating(_E1,$B43,Efficacy!$F$1))</f>
        <v>0</v>
      </c>
      <c r="AV43" s="3">
        <f>IF($C$5="ON",BV43,MyRating(_E2,$B43,Efficacy!$F$1))</f>
        <v>0</v>
      </c>
      <c r="AW43" s="3">
        <f>IF($C$5="ON",BW43,MyRating(_E3,$B43,Efficacy!$F$1))</f>
        <v>0</v>
      </c>
      <c r="AX43" s="3">
        <f>IF($C$5="ON",BX43,MyRating(_E4,$B43,Efficacy!$F$1))</f>
        <v>0</v>
      </c>
      <c r="AY43" s="3">
        <f>IF($C$5="ON",BY43,MyRating(_E5,$B43,Efficacy!$F$1))</f>
        <v>0</v>
      </c>
      <c r="AZ43" s="3">
        <f>IF($C$5="ON",BZ43,MyRating(_E6,$B43,Efficacy!$F$1))</f>
        <v>0</v>
      </c>
      <c r="BA43" s="3">
        <f>IF($C$5="ON",CA43,MyRating(_E7,$B43,Efficacy!$F$1))</f>
        <v>0</v>
      </c>
      <c r="BB43" s="3">
        <f>IF($C$5="ON",CB43,MyRating(_E8,$B43,Efficacy!$F$1))</f>
        <v>0</v>
      </c>
      <c r="BC43" s="3">
        <f>IF($C$5="ON",CC43,MyRating(_S1,$B43,Efficacy!$F$1))</f>
        <v>0</v>
      </c>
      <c r="BD43" s="3">
        <f>IF($C$5="ON",CD43,MyRating(_S2,$B43,Efficacy!$F$1))</f>
        <v>0</v>
      </c>
      <c r="BE43" s="3">
        <f>IF($C$5="ON",CE43,MyRating(_S3,$B43,Efficacy!$F$1))</f>
        <v>0</v>
      </c>
      <c r="BF43" s="3">
        <f>IF($C$5="ON",CF43,MyRating(_S4,$B43,Efficacy!$F$1))</f>
        <v>0</v>
      </c>
      <c r="BG43" s="3">
        <f>IF($C$5="ON",CG43,MyRating(_S5,$B43,Efficacy!$F$1))</f>
        <v>0</v>
      </c>
      <c r="BH43" s="3">
        <f>IF($C$5="ON",CH43,MyRating(_S6,$B43,Efficacy!$F$1))</f>
        <v>0</v>
      </c>
      <c r="BI43" s="3">
        <f>IF($C$5="ON",CI43,MyRating(_S7,$B43,Efficacy!$F$1))</f>
        <v>0</v>
      </c>
      <c r="BJ43" s="3">
        <f>IF($C$5="ON",CJ43,MyRating(_D1,$B43,Efficacy!$F$1))</f>
        <v>0</v>
      </c>
      <c r="BK43" s="3">
        <f>IF($C$5="ON",CK43,MyRating(_D2,$B43,Efficacy!$F$1))</f>
        <v>0</v>
      </c>
      <c r="BL43" s="3">
        <f>IF($C$5="ON",CL43,MyRating(_D3,$B43,Efficacy!$F$1))</f>
        <v>0</v>
      </c>
      <c r="BM43" s="3">
        <f>IF($C$5="ON",CM43,MyRating(_D4,$B43,Efficacy!$F$1))</f>
        <v>0</v>
      </c>
      <c r="BN43" s="3">
        <f>IF($C$5="ON",CN43,MyRating(_B1G5,$B43,Barrier!$L$2))</f>
        <v>0</v>
      </c>
      <c r="BO43" s="3">
        <f>IF($C$5="ON",CO43,MyRating(_B2,$B43,Barrier!$F$2))</f>
        <v>0</v>
      </c>
      <c r="BP43" s="6">
        <f>IF($C$5="ON",CP43,MyRating(_B3,$B43,Barrier!$F$2))</f>
        <v>0</v>
      </c>
      <c r="BQ43" s="5">
        <f t="shared" si="12"/>
        <v>0</v>
      </c>
      <c r="BR43" s="8">
        <f t="shared" si="13"/>
        <v>0</v>
      </c>
      <c r="BS43" s="5">
        <f t="shared" si="14"/>
        <v>0</v>
      </c>
      <c r="BT43" s="7">
        <f t="shared" si="15"/>
        <v>0</v>
      </c>
      <c r="BU43" s="4">
        <v>0</v>
      </c>
      <c r="BV43" s="3">
        <v>0</v>
      </c>
      <c r="BW43" s="3">
        <v>0</v>
      </c>
      <c r="BX43" s="3">
        <v>0</v>
      </c>
      <c r="BY43" s="3">
        <v>0</v>
      </c>
      <c r="BZ43" s="3">
        <v>0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6">
        <v>0</v>
      </c>
      <c r="CQ43" s="5">
        <v>0</v>
      </c>
    </row>
    <row r="44" spans="1:95" x14ac:dyDescent="0.35">
      <c r="A44" s="9" t="str">
        <f t="shared" si="10"/>
        <v>ES</v>
      </c>
      <c r="B44" s="9" t="s">
        <v>19</v>
      </c>
      <c r="C44" s="20"/>
      <c r="D44" s="9" t="s">
        <v>18</v>
      </c>
      <c r="E44" s="9" t="s">
        <v>193</v>
      </c>
      <c r="F44" s="9" t="s">
        <v>1</v>
      </c>
      <c r="G44" s="19">
        <v>0</v>
      </c>
      <c r="H44" s="9">
        <v>2014</v>
      </c>
      <c r="I44" s="9">
        <v>6</v>
      </c>
      <c r="J44" s="18">
        <f>INDEX(PTRS!$D$6:$D$12,MATCH('5'!$F44,PTRS!$B$6:$B$12,0))</f>
        <v>0.1044225</v>
      </c>
      <c r="K44" s="17">
        <v>0</v>
      </c>
      <c r="L44" s="17">
        <v>0.1044225</v>
      </c>
      <c r="M44" s="17">
        <v>0.1044225</v>
      </c>
      <c r="N44" s="17">
        <v>0.1044225</v>
      </c>
      <c r="O44" s="17">
        <v>0.1044225</v>
      </c>
      <c r="P44" s="17">
        <v>0.1044225</v>
      </c>
      <c r="Q44" s="17">
        <v>0.1044225</v>
      </c>
      <c r="R44" s="17">
        <v>0.1044225</v>
      </c>
      <c r="S44" s="17">
        <v>1</v>
      </c>
      <c r="T44" s="9" t="s">
        <v>17</v>
      </c>
      <c r="U44" s="22">
        <v>0.72649652910676854</v>
      </c>
      <c r="V44" s="17">
        <v>1</v>
      </c>
      <c r="W44" s="9" t="s">
        <v>16</v>
      </c>
      <c r="X44" s="9">
        <f>INDEX('Unique Asset List'!$C$4:$I$60,MATCH('5'!$B44,'Unique Asset List'!$A$4:$A$60,0),MATCH('5'!$C$1,'Unique Asset List'!$C$3:$I$3,0))</f>
        <v>2031</v>
      </c>
      <c r="Y44" s="9">
        <f>INDEX('Unique Asset List'!$J$4:$P$60,MATCH('5'!$B44,'Unique Asset List'!$A$4:$A$60,0),MATCH('5'!$C$1,'Unique Asset List'!$J$3:$P$3,0))</f>
        <v>9</v>
      </c>
      <c r="Z44" s="9">
        <f>INDEX('Unique Asset List'!$X$4:$AD$60,MATCH('5'!$B44,'Unique Asset List'!$A$4:$A$60,0),MATCH('5'!$C$1,'Unique Asset List'!$X$3:$AD$3,0))</f>
        <v>2040</v>
      </c>
      <c r="AA44" s="9">
        <f>INDEX('Unique Asset List'!$AE$4:$AK$60,MATCH('5'!$B44,'Unique Asset List'!$A$4:$A$60,0),MATCH('5'!$C$1,'Unique Asset List'!$AE$3:$AK$3,0))</f>
        <v>8</v>
      </c>
      <c r="AB44" s="16">
        <f>AB24</f>
        <v>1.7951404000000002</v>
      </c>
      <c r="AC44" s="16">
        <f>AC24</f>
        <v>0.88497580000000009</v>
      </c>
      <c r="AD44" s="16">
        <f>AD24</f>
        <v>0.56099999999999994</v>
      </c>
      <c r="AE44" s="15">
        <f>INDEX('Unique Asset List'!$BN$4:$BT$60,MATCH('5'!$B44,'Unique Asset List'!$A$4:$A$60,0),MATCH('5'!$C$1,'Unique Asset List'!$BN$3:$BT$3,0))</f>
        <v>0.08</v>
      </c>
      <c r="AF44" s="15">
        <f>INDEX('Unique Asset List'!$BU$4:$CA$60,MATCH('5'!$B44,'Unique Asset List'!$A$4:$A$60,0),MATCH('5'!$C$1,'Unique Asset List'!$BU$3:$CA$3,0))</f>
        <v>0.42</v>
      </c>
      <c r="AG44" s="15">
        <f>INDEX('Unique Asset List'!$AZ$4:$BF$60,MATCH('5'!$B44,'Unique Asset List'!$A$4:$A$60,0),MATCH('5'!$C$1,'Unique Asset List'!$AZ$3:$BF$3,0))</f>
        <v>0.08</v>
      </c>
      <c r="AH44" s="15">
        <f>INDEX('Unique Asset List'!$BG$4:$BM$60,MATCH('5'!$B44,'Unique Asset List'!$A$4:$A$60,0),MATCH('5'!$C$1,'Unique Asset List'!$BG$3:$BM$3,0))</f>
        <v>0.42</v>
      </c>
      <c r="AI44" s="11">
        <v>0.96187963349867744</v>
      </c>
      <c r="AJ44" s="15">
        <f>INDEX('Unique Asset List'!$AL$4:$AR$60,MATCH('5'!$B44,'Unique Asset List'!$A$4:$A$60,0),MATCH('5'!$C$1,'Unique Asset List'!$AL$3:$AR$3,0))</f>
        <v>1.2944496352201866</v>
      </c>
      <c r="AK44" s="15">
        <f>INDEX('Unique Asset List'!$AS$4:$AY$60,MATCH('5'!$B44,'Unique Asset List'!$A$4:$A$60,0),MATCH('5'!$C$1,'Unique Asset List'!$AS$3:$AY$3,0))</f>
        <v>-1.4425350046709582</v>
      </c>
      <c r="AL44" s="9">
        <v>169</v>
      </c>
      <c r="AM44" s="14">
        <f>INDEX(Simulation!$B$6:$H$6,MATCH($A44,Simulation!$B$1:$H$1,0))*(1+AN44)^((DATE(X44,Y44,15)-DATE(2017,1,15))/365.5)</f>
        <v>3.5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11"/>
        <v>0.82</v>
      </c>
      <c r="AS44" s="10">
        <v>1</v>
      </c>
      <c r="AT44" s="10"/>
      <c r="AU44" s="4">
        <f>IF($C$5="ON",BU44,MyRating(_E1,$B44,Efficacy!$F$1))</f>
        <v>0</v>
      </c>
      <c r="AV44" s="3">
        <f>IF($C$5="ON",BV44,MyRating(_E2,$B44,Efficacy!$F$1))</f>
        <v>0</v>
      </c>
      <c r="AW44" s="3">
        <f>IF($C$5="ON",BW44,MyRating(_E3,$B44,Efficacy!$F$1))</f>
        <v>0</v>
      </c>
      <c r="AX44" s="3">
        <f>IF($C$5="ON",BX44,MyRating(_E4,$B44,Efficacy!$F$1))</f>
        <v>0</v>
      </c>
      <c r="AY44" s="3">
        <f>IF($C$5="ON",BY44,MyRating(_E5,$B44,Efficacy!$F$1))</f>
        <v>0</v>
      </c>
      <c r="AZ44" s="3">
        <f>IF($C$5="ON",BZ44,MyRating(_E6,$B44,Efficacy!$F$1))</f>
        <v>0</v>
      </c>
      <c r="BA44" s="3">
        <f>IF($C$5="ON",CA44,MyRating(_E7,$B44,Efficacy!$F$1))</f>
        <v>0</v>
      </c>
      <c r="BB44" s="3">
        <f>IF($C$5="ON",CB44,MyRating(_E8,$B44,Efficacy!$F$1))</f>
        <v>0</v>
      </c>
      <c r="BC44" s="3">
        <f>IF($C$5="ON",CC44,MyRating(_S1,$B44,Efficacy!$F$1))</f>
        <v>0</v>
      </c>
      <c r="BD44" s="3">
        <f>IF($C$5="ON",CD44,MyRating(_S2,$B44,Efficacy!$F$1))</f>
        <v>0</v>
      </c>
      <c r="BE44" s="3">
        <f>IF($C$5="ON",CE44,MyRating(_S3,$B44,Efficacy!$F$1))</f>
        <v>0</v>
      </c>
      <c r="BF44" s="3">
        <f>IF($C$5="ON",CF44,MyRating(_S4,$B44,Efficacy!$F$1))</f>
        <v>0</v>
      </c>
      <c r="BG44" s="3">
        <f>IF($C$5="ON",CG44,MyRating(_S5,$B44,Efficacy!$F$1))</f>
        <v>0</v>
      </c>
      <c r="BH44" s="3">
        <f>IF($C$5="ON",CH44,MyRating(_S6,$B44,Efficacy!$F$1))</f>
        <v>0</v>
      </c>
      <c r="BI44" s="3">
        <f>IF($C$5="ON",CI44,MyRating(_S7,$B44,Efficacy!$F$1))</f>
        <v>0</v>
      </c>
      <c r="BJ44" s="3">
        <f>IF($C$5="ON",CJ44,MyRating(_D1,$B44,Efficacy!$F$1))</f>
        <v>0</v>
      </c>
      <c r="BK44" s="3">
        <f>IF($C$5="ON",CK44,MyRating(_D2,$B44,Efficacy!$F$1))</f>
        <v>0</v>
      </c>
      <c r="BL44" s="3">
        <f>IF($C$5="ON",CL44,MyRating(_D3,$B44,Efficacy!$F$1))</f>
        <v>0</v>
      </c>
      <c r="BM44" s="3">
        <f>IF($C$5="ON",CM44,MyRating(_D4,$B44,Efficacy!$F$1))</f>
        <v>0</v>
      </c>
      <c r="BN44" s="3">
        <f>IF($C$5="ON",CN44,MyRating(_B1G5,$B44,Barrier!$L$2))</f>
        <v>0</v>
      </c>
      <c r="BO44" s="3">
        <f>IF($C$5="ON",CO44,MyRating(_B2,$B44,Barrier!$F$2))</f>
        <v>0</v>
      </c>
      <c r="BP44" s="6">
        <f>IF($C$5="ON",CP44,MyRating(_B3,$B44,Barrier!$F$2))</f>
        <v>0</v>
      </c>
      <c r="BQ44" s="5">
        <f t="shared" si="12"/>
        <v>0</v>
      </c>
      <c r="BR44" s="8">
        <f t="shared" si="13"/>
        <v>0</v>
      </c>
      <c r="BS44" s="5">
        <f t="shared" si="14"/>
        <v>0</v>
      </c>
      <c r="BT44" s="7">
        <f t="shared" si="15"/>
        <v>0</v>
      </c>
      <c r="BU44" s="4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6">
        <v>0</v>
      </c>
      <c r="CQ44" s="5">
        <v>0</v>
      </c>
    </row>
    <row r="45" spans="1:95" x14ac:dyDescent="0.35">
      <c r="A45" s="9" t="str">
        <f t="shared" si="10"/>
        <v>ES</v>
      </c>
      <c r="B45" s="9" t="s">
        <v>13</v>
      </c>
      <c r="C45" s="20"/>
      <c r="D45" s="9" t="s">
        <v>2</v>
      </c>
      <c r="E45" s="9" t="s">
        <v>193</v>
      </c>
      <c r="F45" s="9" t="s">
        <v>1</v>
      </c>
      <c r="G45" s="19">
        <v>0</v>
      </c>
      <c r="H45" s="9">
        <v>2014</v>
      </c>
      <c r="I45" s="9">
        <v>6</v>
      </c>
      <c r="J45" s="18">
        <f>INDEX(PTRS!$D$6:$D$12,MATCH('5'!$F45,PTRS!$B$6:$B$12,0))</f>
        <v>0.1044225</v>
      </c>
      <c r="K45" s="17">
        <v>0</v>
      </c>
      <c r="L45" s="17">
        <v>0.1044225</v>
      </c>
      <c r="M45" s="17">
        <v>0.1044225</v>
      </c>
      <c r="N45" s="17">
        <v>0</v>
      </c>
      <c r="O45" s="17">
        <v>1</v>
      </c>
      <c r="P45" s="17">
        <v>0.1044225</v>
      </c>
      <c r="Q45" s="17">
        <v>0.1044225</v>
      </c>
      <c r="R45" s="17">
        <v>0.1044225</v>
      </c>
      <c r="S45" s="17">
        <v>1</v>
      </c>
      <c r="T45" s="17"/>
      <c r="U45" s="22">
        <v>0.72649652910676854</v>
      </c>
      <c r="V45" s="17">
        <v>1</v>
      </c>
      <c r="W45" s="9" t="s">
        <v>13</v>
      </c>
      <c r="X45" s="9">
        <f>INDEX('Unique Asset List'!$C$4:$I$60,MATCH('5'!$B45,'Unique Asset List'!$A$4:$A$60,0),MATCH('5'!$C$1,'Unique Asset List'!$C$3:$I$3,0))</f>
        <v>2031</v>
      </c>
      <c r="Y45" s="9">
        <f>INDEX('Unique Asset List'!$J$4:$P$60,MATCH('5'!$B45,'Unique Asset List'!$A$4:$A$60,0),MATCH('5'!$C$1,'Unique Asset List'!$J$3:$P$3,0))</f>
        <v>6.9999999999990905</v>
      </c>
      <c r="Z45" s="9">
        <f>INDEX('Unique Asset List'!$X$4:$AD$60,MATCH('5'!$B45,'Unique Asset List'!$A$4:$A$60,0),MATCH('5'!$C$1,'Unique Asset List'!$X$3:$AD$3,0))</f>
        <v>2042</v>
      </c>
      <c r="AA45" s="9">
        <f>INDEX('Unique Asset List'!$AE$4:$AK$60,MATCH('5'!$B45,'Unique Asset List'!$A$4:$A$60,0),MATCH('5'!$C$1,'Unique Asset List'!$AE$3:$AK$3,0))</f>
        <v>6</v>
      </c>
      <c r="AB45" s="21">
        <v>2.3276916000000001</v>
      </c>
      <c r="AC45" s="21">
        <v>1.0028454</v>
      </c>
      <c r="AD45" s="21">
        <v>0.56099999999999994</v>
      </c>
      <c r="AE45" s="15">
        <f>INDEX('Unique Asset List'!$BN$4:$BT$60,MATCH('5'!$B45,'Unique Asset List'!$A$4:$A$60,0),MATCH('5'!$C$1,'Unique Asset List'!$BN$3:$BT$3,0))</f>
        <v>0.08</v>
      </c>
      <c r="AF45" s="15">
        <f>INDEX('Unique Asset List'!$BU$4:$CA$60,MATCH('5'!$B45,'Unique Asset List'!$A$4:$A$60,0),MATCH('5'!$C$1,'Unique Asset List'!$BU$3:$CA$3,0))</f>
        <v>0.42</v>
      </c>
      <c r="AG45" s="15">
        <f>INDEX('Unique Asset List'!$AZ$4:$BF$60,MATCH('5'!$B45,'Unique Asset List'!$A$4:$A$60,0),MATCH('5'!$C$1,'Unique Asset List'!$AZ$3:$BF$3,0))</f>
        <v>0.08</v>
      </c>
      <c r="AH45" s="15">
        <f>INDEX('Unique Asset List'!$BG$4:$BM$60,MATCH('5'!$B45,'Unique Asset List'!$A$4:$A$60,0),MATCH('5'!$C$1,'Unique Asset List'!$BG$3:$BM$3,0))</f>
        <v>0.42</v>
      </c>
      <c r="AI45" s="11">
        <v>0.96187963349867744</v>
      </c>
      <c r="AJ45" s="15">
        <f>INDEX('Unique Asset List'!$AL$4:$AR$60,MATCH('5'!$B45,'Unique Asset List'!$A$4:$A$60,0),MATCH('5'!$C$1,'Unique Asset List'!$AL$3:$AR$3,0))</f>
        <v>1.2944496352201866</v>
      </c>
      <c r="AK45" s="15">
        <f>INDEX('Unique Asset List'!$AS$4:$AY$60,MATCH('5'!$B45,'Unique Asset List'!$A$4:$A$60,0),MATCH('5'!$C$1,'Unique Asset List'!$AS$3:$AY$3,0))</f>
        <v>-1.4425350046709582</v>
      </c>
      <c r="AL45" s="9">
        <v>169</v>
      </c>
      <c r="AM45" s="14">
        <f>INDEX(Simulation!$B$6:$H$6,MATCH($A45,Simulation!$B$1:$H$1,0))*(1+AN45)^((DATE(X45,Y45,15)-DATE(2017,1,15))/365.5)</f>
        <v>3.5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11"/>
        <v>0.82</v>
      </c>
      <c r="AS45" s="10">
        <v>1</v>
      </c>
      <c r="AT45" s="10"/>
      <c r="AU45" s="4">
        <f>IF($C$5="ON",BU45,MyRating(_E1,$B45,Efficacy!$F$1))</f>
        <v>0</v>
      </c>
      <c r="AV45" s="3">
        <f>IF($C$5="ON",BV45,MyRating(_E2,$B45,Efficacy!$F$1))</f>
        <v>0</v>
      </c>
      <c r="AW45" s="3">
        <f>IF($C$5="ON",BW45,MyRating(_E3,$B45,Efficacy!$F$1))</f>
        <v>0</v>
      </c>
      <c r="AX45" s="3">
        <f>IF($C$5="ON",BX45,MyRating(_E4,$B45,Efficacy!$F$1))</f>
        <v>0</v>
      </c>
      <c r="AY45" s="3">
        <f>IF($C$5="ON",BY45,MyRating(_E5,$B45,Efficacy!$F$1))</f>
        <v>0</v>
      </c>
      <c r="AZ45" s="3">
        <f>IF($C$5="ON",BZ45,MyRating(_E6,$B45,Efficacy!$F$1))</f>
        <v>0</v>
      </c>
      <c r="BA45" s="3">
        <f>IF($C$5="ON",CA45,MyRating(_E7,$B45,Efficacy!$F$1))</f>
        <v>0</v>
      </c>
      <c r="BB45" s="3">
        <f>IF($C$5="ON",CB45,MyRating(_E8,$B45,Efficacy!$F$1))</f>
        <v>0</v>
      </c>
      <c r="BC45" s="3">
        <f>IF($C$5="ON",CC45,MyRating(_S1,$B45,Efficacy!$F$1))</f>
        <v>0</v>
      </c>
      <c r="BD45" s="3">
        <f>IF($C$5="ON",CD45,MyRating(_S2,$B45,Efficacy!$F$1))</f>
        <v>0</v>
      </c>
      <c r="BE45" s="3">
        <f>IF($C$5="ON",CE45,MyRating(_S3,$B45,Efficacy!$F$1))</f>
        <v>0</v>
      </c>
      <c r="BF45" s="3">
        <f>IF($C$5="ON",CF45,MyRating(_S4,$B45,Efficacy!$F$1))</f>
        <v>0</v>
      </c>
      <c r="BG45" s="3">
        <f>IF($C$5="ON",CG45,MyRating(_S5,$B45,Efficacy!$F$1))</f>
        <v>0</v>
      </c>
      <c r="BH45" s="3">
        <f>IF($C$5="ON",CH45,MyRating(_S6,$B45,Efficacy!$F$1))</f>
        <v>0</v>
      </c>
      <c r="BI45" s="3">
        <f>IF($C$5="ON",CI45,MyRating(_S7,$B45,Efficacy!$F$1))</f>
        <v>0</v>
      </c>
      <c r="BJ45" s="3">
        <f>IF($C$5="ON",CJ45,MyRating(_D1,$B45,Efficacy!$F$1))</f>
        <v>0</v>
      </c>
      <c r="BK45" s="3">
        <f>IF($C$5="ON",CK45,MyRating(_D2,$B45,Efficacy!$F$1))</f>
        <v>0</v>
      </c>
      <c r="BL45" s="3">
        <f>IF($C$5="ON",CL45,MyRating(_D3,$B45,Efficacy!$F$1))</f>
        <v>0</v>
      </c>
      <c r="BM45" s="3">
        <f>IF($C$5="ON",CM45,MyRating(_D4,$B45,Efficacy!$F$1))</f>
        <v>0</v>
      </c>
      <c r="BN45" s="3">
        <f>IF($C$5="ON",CN45,MyRating(_B1G5,$B45,Barrier!$L$2))</f>
        <v>0</v>
      </c>
      <c r="BO45" s="3">
        <f>IF($C$5="ON",CO45,MyRating(_B2,$B45,Barrier!$F$2))</f>
        <v>0</v>
      </c>
      <c r="BP45" s="6">
        <f>IF($C$5="ON",CP45,MyRating(_B3,$B45,Barrier!$F$2))</f>
        <v>0</v>
      </c>
      <c r="BQ45" s="5">
        <f t="shared" si="12"/>
        <v>0</v>
      </c>
      <c r="BR45" s="8">
        <f t="shared" si="13"/>
        <v>0</v>
      </c>
      <c r="BS45" s="5">
        <f t="shared" si="14"/>
        <v>0</v>
      </c>
      <c r="BT45" s="7">
        <f t="shared" si="15"/>
        <v>0</v>
      </c>
      <c r="BU45" s="4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6">
        <v>0</v>
      </c>
      <c r="CQ45" s="5">
        <v>0</v>
      </c>
    </row>
    <row r="46" spans="1:95" x14ac:dyDescent="0.35">
      <c r="A46" s="9" t="str">
        <f t="shared" si="10"/>
        <v>ES</v>
      </c>
      <c r="B46" s="9" t="s">
        <v>10</v>
      </c>
      <c r="C46" s="20"/>
      <c r="D46" s="9" t="s">
        <v>2</v>
      </c>
      <c r="E46" s="9" t="s">
        <v>193</v>
      </c>
      <c r="F46" s="9" t="s">
        <v>1</v>
      </c>
      <c r="G46" s="19">
        <v>0</v>
      </c>
      <c r="H46" s="9">
        <v>2014</v>
      </c>
      <c r="I46" s="9">
        <v>6</v>
      </c>
      <c r="J46" s="18">
        <f>INDEX(PTRS!$D$6:$D$12,MATCH('5'!$F46,PTRS!$B$6:$B$12,0))</f>
        <v>0.1044225</v>
      </c>
      <c r="K46" s="17">
        <v>0</v>
      </c>
      <c r="L46" s="17">
        <v>0.1044225</v>
      </c>
      <c r="M46" s="17">
        <v>0.1044225</v>
      </c>
      <c r="N46" s="17">
        <v>0</v>
      </c>
      <c r="O46" s="17">
        <v>1</v>
      </c>
      <c r="P46" s="17">
        <v>0.1044225</v>
      </c>
      <c r="Q46" s="17">
        <v>0.1044225</v>
      </c>
      <c r="R46" s="17">
        <v>0.1044225</v>
      </c>
      <c r="S46" s="17">
        <v>1</v>
      </c>
      <c r="T46" s="17"/>
      <c r="U46" s="22">
        <v>0.72649652910676854</v>
      </c>
      <c r="V46" s="17">
        <v>1</v>
      </c>
      <c r="W46" s="9" t="s">
        <v>10</v>
      </c>
      <c r="X46" s="9">
        <f>INDEX('Unique Asset List'!$C$4:$I$60,MATCH('5'!$B46,'Unique Asset List'!$A$4:$A$60,0),MATCH('5'!$C$1,'Unique Asset List'!$C$3:$I$3,0))</f>
        <v>2035</v>
      </c>
      <c r="Y46" s="9">
        <f>INDEX('Unique Asset List'!$J$4:$P$60,MATCH('5'!$B46,'Unique Asset List'!$A$4:$A$60,0),MATCH('5'!$C$1,'Unique Asset List'!$J$3:$P$3,0))</f>
        <v>6.9999999999990905</v>
      </c>
      <c r="Z46" s="9">
        <f>INDEX('Unique Asset List'!$X$4:$AD$60,MATCH('5'!$B46,'Unique Asset List'!$A$4:$A$60,0),MATCH('5'!$C$1,'Unique Asset List'!$X$3:$AD$3,0))</f>
        <v>2046</v>
      </c>
      <c r="AA46" s="9">
        <f>INDEX('Unique Asset List'!$AE$4:$AK$60,MATCH('5'!$B46,'Unique Asset List'!$A$4:$A$60,0),MATCH('5'!$C$1,'Unique Asset List'!$AE$3:$AK$3,0))</f>
        <v>6</v>
      </c>
      <c r="AB46" s="21">
        <v>2.3276916000000001</v>
      </c>
      <c r="AC46" s="21">
        <v>1.0028454</v>
      </c>
      <c r="AD46" s="21">
        <v>0.56099999999999994</v>
      </c>
      <c r="AE46" s="15">
        <f>INDEX('Unique Asset List'!$BN$4:$BT$60,MATCH('5'!$B46,'Unique Asset List'!$A$4:$A$60,0),MATCH('5'!$C$1,'Unique Asset List'!$BN$3:$BT$3,0))</f>
        <v>0.08</v>
      </c>
      <c r="AF46" s="15">
        <f>INDEX('Unique Asset List'!$BU$4:$CA$60,MATCH('5'!$B46,'Unique Asset List'!$A$4:$A$60,0),MATCH('5'!$C$1,'Unique Asset List'!$BU$3:$CA$3,0))</f>
        <v>0.42</v>
      </c>
      <c r="AG46" s="15">
        <f>INDEX('Unique Asset List'!$AZ$4:$BF$60,MATCH('5'!$B46,'Unique Asset List'!$A$4:$A$60,0),MATCH('5'!$C$1,'Unique Asset List'!$AZ$3:$BF$3,0))</f>
        <v>0.08</v>
      </c>
      <c r="AH46" s="15">
        <f>INDEX('Unique Asset List'!$BG$4:$BM$60,MATCH('5'!$B46,'Unique Asset List'!$A$4:$A$60,0),MATCH('5'!$C$1,'Unique Asset List'!$BG$3:$BM$3,0))</f>
        <v>0.42</v>
      </c>
      <c r="AI46" s="11">
        <v>0.96187963349867744</v>
      </c>
      <c r="AJ46" s="15">
        <f>INDEX('Unique Asset List'!$AL$4:$AR$60,MATCH('5'!$B46,'Unique Asset List'!$A$4:$A$60,0),MATCH('5'!$C$1,'Unique Asset List'!$AL$3:$AR$3,0))</f>
        <v>1.2944496352201866</v>
      </c>
      <c r="AK46" s="15">
        <f>INDEX('Unique Asset List'!$AS$4:$AY$60,MATCH('5'!$B46,'Unique Asset List'!$A$4:$A$60,0),MATCH('5'!$C$1,'Unique Asset List'!$AS$3:$AY$3,0))</f>
        <v>-1.4425350046709582</v>
      </c>
      <c r="AL46" s="9">
        <v>169</v>
      </c>
      <c r="AM46" s="14">
        <f>INDEX(Simulation!$B$6:$H$6,MATCH($A46,Simulation!$B$1:$H$1,0))*(1+AN46)^((DATE(X46,Y46,15)-DATE(2017,1,15))/365.5)</f>
        <v>3.5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11"/>
        <v>0.82</v>
      </c>
      <c r="AS46" s="10">
        <v>1</v>
      </c>
      <c r="AT46" s="10"/>
      <c r="AU46" s="4">
        <f>IF($C$5="ON",BU46,MyRating(_E1,$B46,Efficacy!$F$1))</f>
        <v>0</v>
      </c>
      <c r="AV46" s="3">
        <f>IF($C$5="ON",BV46,MyRating(_E2,$B46,Efficacy!$F$1))</f>
        <v>0</v>
      </c>
      <c r="AW46" s="3">
        <f>IF($C$5="ON",BW46,MyRating(_E3,$B46,Efficacy!$F$1))</f>
        <v>0</v>
      </c>
      <c r="AX46" s="3">
        <f>IF($C$5="ON",BX46,MyRating(_E4,$B46,Efficacy!$F$1))</f>
        <v>0</v>
      </c>
      <c r="AY46" s="3">
        <f>IF($C$5="ON",BY46,MyRating(_E5,$B46,Efficacy!$F$1))</f>
        <v>0</v>
      </c>
      <c r="AZ46" s="3">
        <f>IF($C$5="ON",BZ46,MyRating(_E6,$B46,Efficacy!$F$1))</f>
        <v>0</v>
      </c>
      <c r="BA46" s="3">
        <f>IF($C$5="ON",CA46,MyRating(_E7,$B46,Efficacy!$F$1))</f>
        <v>0</v>
      </c>
      <c r="BB46" s="3">
        <f>IF($C$5="ON",CB46,MyRating(_E8,$B46,Efficacy!$F$1))</f>
        <v>0</v>
      </c>
      <c r="BC46" s="3">
        <f>IF($C$5="ON",CC46,MyRating(_S1,$B46,Efficacy!$F$1))</f>
        <v>0</v>
      </c>
      <c r="BD46" s="3">
        <f>IF($C$5="ON",CD46,MyRating(_S2,$B46,Efficacy!$F$1))</f>
        <v>0</v>
      </c>
      <c r="BE46" s="3">
        <f>IF($C$5="ON",CE46,MyRating(_S3,$B46,Efficacy!$F$1))</f>
        <v>0</v>
      </c>
      <c r="BF46" s="3">
        <f>IF($C$5="ON",CF46,MyRating(_S4,$B46,Efficacy!$F$1))</f>
        <v>0</v>
      </c>
      <c r="BG46" s="3">
        <f>IF($C$5="ON",CG46,MyRating(_S5,$B46,Efficacy!$F$1))</f>
        <v>0</v>
      </c>
      <c r="BH46" s="3">
        <f>IF($C$5="ON",CH46,MyRating(_S6,$B46,Efficacy!$F$1))</f>
        <v>0</v>
      </c>
      <c r="BI46" s="3">
        <f>IF($C$5="ON",CI46,MyRating(_S7,$B46,Efficacy!$F$1))</f>
        <v>0</v>
      </c>
      <c r="BJ46" s="3">
        <f>IF($C$5="ON",CJ46,MyRating(_D1,$B46,Efficacy!$F$1))</f>
        <v>0</v>
      </c>
      <c r="BK46" s="3">
        <f>IF($C$5="ON",CK46,MyRating(_D2,$B46,Efficacy!$F$1))</f>
        <v>0</v>
      </c>
      <c r="BL46" s="3">
        <f>IF($C$5="ON",CL46,MyRating(_D3,$B46,Efficacy!$F$1))</f>
        <v>0</v>
      </c>
      <c r="BM46" s="3">
        <f>IF($C$5="ON",CM46,MyRating(_D4,$B46,Efficacy!$F$1))</f>
        <v>0</v>
      </c>
      <c r="BN46" s="3">
        <f>IF($C$5="ON",CN46,MyRating(_B1G5,$B46,Barrier!$L$2))</f>
        <v>0</v>
      </c>
      <c r="BO46" s="3">
        <f>IF($C$5="ON",CO46,MyRating(_B2,$B46,Barrier!$F$2))</f>
        <v>0</v>
      </c>
      <c r="BP46" s="6">
        <f>IF($C$5="ON",CP46,MyRating(_B3,$B46,Barrier!$F$2))</f>
        <v>0</v>
      </c>
      <c r="BQ46" s="5">
        <f t="shared" si="12"/>
        <v>0</v>
      </c>
      <c r="BR46" s="8">
        <f t="shared" si="13"/>
        <v>0</v>
      </c>
      <c r="BS46" s="5">
        <f t="shared" si="14"/>
        <v>0</v>
      </c>
      <c r="BT46" s="7">
        <f t="shared" si="15"/>
        <v>0</v>
      </c>
      <c r="BU46" s="4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6">
        <v>0</v>
      </c>
      <c r="CQ46" s="5">
        <v>0</v>
      </c>
    </row>
    <row r="47" spans="1:95" x14ac:dyDescent="0.35">
      <c r="A47" s="9" t="str">
        <f t="shared" si="10"/>
        <v>ES</v>
      </c>
      <c r="B47" s="9" t="s">
        <v>7</v>
      </c>
      <c r="C47" s="20"/>
      <c r="D47" s="9" t="s">
        <v>2</v>
      </c>
      <c r="E47" s="9" t="s">
        <v>193</v>
      </c>
      <c r="F47" s="9" t="s">
        <v>1</v>
      </c>
      <c r="G47" s="19">
        <v>0</v>
      </c>
      <c r="H47" s="9">
        <v>2014</v>
      </c>
      <c r="I47" s="9">
        <v>6</v>
      </c>
      <c r="J47" s="18">
        <f>INDEX(PTRS!$D$6:$D$12,MATCH('5'!$F47,PTRS!$B$6:$B$12,0))</f>
        <v>0.1044225</v>
      </c>
      <c r="K47" s="17">
        <v>0</v>
      </c>
      <c r="L47" s="17">
        <v>0.1044225</v>
      </c>
      <c r="M47" s="17">
        <v>0.1044225</v>
      </c>
      <c r="N47" s="17">
        <v>0</v>
      </c>
      <c r="O47" s="17">
        <v>1</v>
      </c>
      <c r="P47" s="17">
        <v>0.1044225</v>
      </c>
      <c r="Q47" s="17">
        <v>0.1044225</v>
      </c>
      <c r="R47" s="17">
        <v>0.1044225</v>
      </c>
      <c r="S47" s="17">
        <v>1</v>
      </c>
      <c r="T47" s="17"/>
      <c r="U47" s="22">
        <v>0.72649652910676854</v>
      </c>
      <c r="V47" s="17">
        <v>1</v>
      </c>
      <c r="W47" s="9" t="s">
        <v>7</v>
      </c>
      <c r="X47" s="9">
        <f>INDEX('Unique Asset List'!$C$4:$I$60,MATCH('5'!$B47,'Unique Asset List'!$A$4:$A$60,0),MATCH('5'!$C$1,'Unique Asset List'!$C$3:$I$3,0))</f>
        <v>2039</v>
      </c>
      <c r="Y47" s="9">
        <f>INDEX('Unique Asset List'!$J$4:$P$60,MATCH('5'!$B47,'Unique Asset List'!$A$4:$A$60,0),MATCH('5'!$C$1,'Unique Asset List'!$J$3:$P$3,0))</f>
        <v>6.9999999999990905</v>
      </c>
      <c r="Z47" s="9">
        <f>INDEX('Unique Asset List'!$X$4:$AD$60,MATCH('5'!$B47,'Unique Asset List'!$A$4:$A$60,0),MATCH('5'!$C$1,'Unique Asset List'!$X$3:$AD$3,0))</f>
        <v>2050</v>
      </c>
      <c r="AA47" s="9">
        <f>INDEX('Unique Asset List'!$AE$4:$AK$60,MATCH('5'!$B47,'Unique Asset List'!$A$4:$A$60,0),MATCH('5'!$C$1,'Unique Asset List'!$AE$3:$AK$3,0))</f>
        <v>6</v>
      </c>
      <c r="AB47" s="21">
        <v>2.3276916000000001</v>
      </c>
      <c r="AC47" s="21">
        <v>1.0028454</v>
      </c>
      <c r="AD47" s="21">
        <v>0.56099999999999994</v>
      </c>
      <c r="AE47" s="15">
        <f>INDEX('Unique Asset List'!$BN$4:$BT$60,MATCH('5'!$B47,'Unique Asset List'!$A$4:$A$60,0),MATCH('5'!$C$1,'Unique Asset List'!$BN$3:$BT$3,0))</f>
        <v>0.08</v>
      </c>
      <c r="AF47" s="15">
        <f>INDEX('Unique Asset List'!$BU$4:$CA$60,MATCH('5'!$B47,'Unique Asset List'!$A$4:$A$60,0),MATCH('5'!$C$1,'Unique Asset List'!$BU$3:$CA$3,0))</f>
        <v>0.42</v>
      </c>
      <c r="AG47" s="15">
        <f>INDEX('Unique Asset List'!$AZ$4:$BF$60,MATCH('5'!$B47,'Unique Asset List'!$A$4:$A$60,0),MATCH('5'!$C$1,'Unique Asset List'!$AZ$3:$BF$3,0))</f>
        <v>0.08</v>
      </c>
      <c r="AH47" s="15">
        <f>INDEX('Unique Asset List'!$BG$4:$BM$60,MATCH('5'!$B47,'Unique Asset List'!$A$4:$A$60,0),MATCH('5'!$C$1,'Unique Asset List'!$BG$3:$BM$3,0))</f>
        <v>0.42</v>
      </c>
      <c r="AI47" s="11">
        <v>0.96187963349867744</v>
      </c>
      <c r="AJ47" s="15">
        <f>INDEX('Unique Asset List'!$AL$4:$AR$60,MATCH('5'!$B47,'Unique Asset List'!$A$4:$A$60,0),MATCH('5'!$C$1,'Unique Asset List'!$AL$3:$AR$3,0))</f>
        <v>1.2944496352201866</v>
      </c>
      <c r="AK47" s="15">
        <f>INDEX('Unique Asset List'!$AS$4:$AY$60,MATCH('5'!$B47,'Unique Asset List'!$A$4:$A$60,0),MATCH('5'!$C$1,'Unique Asset List'!$AS$3:$AY$3,0))</f>
        <v>-1.4425350046709582</v>
      </c>
      <c r="AL47" s="9">
        <v>169</v>
      </c>
      <c r="AM47" s="14">
        <f>INDEX(Simulation!$B$6:$H$6,MATCH($A47,Simulation!$B$1:$H$1,0))*(1+AN47)^((DATE(X47,Y47,15)-DATE(2017,1,15))/365.5)</f>
        <v>3.5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11"/>
        <v>0.82</v>
      </c>
      <c r="AS47" s="10">
        <v>1</v>
      </c>
      <c r="AT47" s="10"/>
      <c r="AU47" s="4">
        <f>IF($C$5="ON",BU47,MyRating(_E1,$B47,Efficacy!$F$1))</f>
        <v>0</v>
      </c>
      <c r="AV47" s="3">
        <f>IF($C$5="ON",BV47,MyRating(_E2,$B47,Efficacy!$F$1))</f>
        <v>0</v>
      </c>
      <c r="AW47" s="3">
        <f>IF($C$5="ON",BW47,MyRating(_E3,$B47,Efficacy!$F$1))</f>
        <v>0</v>
      </c>
      <c r="AX47" s="3">
        <f>IF($C$5="ON",BX47,MyRating(_E4,$B47,Efficacy!$F$1))</f>
        <v>0</v>
      </c>
      <c r="AY47" s="3">
        <f>IF($C$5="ON",BY47,MyRating(_E5,$B47,Efficacy!$F$1))</f>
        <v>0</v>
      </c>
      <c r="AZ47" s="3">
        <f>IF($C$5="ON",BZ47,MyRating(_E6,$B47,Efficacy!$F$1))</f>
        <v>0</v>
      </c>
      <c r="BA47" s="3">
        <f>IF($C$5="ON",CA47,MyRating(_E7,$B47,Efficacy!$F$1))</f>
        <v>0</v>
      </c>
      <c r="BB47" s="3">
        <f>IF($C$5="ON",CB47,MyRating(_E8,$B47,Efficacy!$F$1))</f>
        <v>0</v>
      </c>
      <c r="BC47" s="3">
        <f>IF($C$5="ON",CC47,MyRating(_S1,$B47,Efficacy!$F$1))</f>
        <v>0</v>
      </c>
      <c r="BD47" s="3">
        <f>IF($C$5="ON",CD47,MyRating(_S2,$B47,Efficacy!$F$1))</f>
        <v>0</v>
      </c>
      <c r="BE47" s="3">
        <f>IF($C$5="ON",CE47,MyRating(_S3,$B47,Efficacy!$F$1))</f>
        <v>0</v>
      </c>
      <c r="BF47" s="3">
        <f>IF($C$5="ON",CF47,MyRating(_S4,$B47,Efficacy!$F$1))</f>
        <v>0</v>
      </c>
      <c r="BG47" s="3">
        <f>IF($C$5="ON",CG47,MyRating(_S5,$B47,Efficacy!$F$1))</f>
        <v>0</v>
      </c>
      <c r="BH47" s="3">
        <f>IF($C$5="ON",CH47,MyRating(_S6,$B47,Efficacy!$F$1))</f>
        <v>0</v>
      </c>
      <c r="BI47" s="3">
        <f>IF($C$5="ON",CI47,MyRating(_S7,$B47,Efficacy!$F$1))</f>
        <v>0</v>
      </c>
      <c r="BJ47" s="3">
        <f>IF($C$5="ON",CJ47,MyRating(_D1,$B47,Efficacy!$F$1))</f>
        <v>0</v>
      </c>
      <c r="BK47" s="3">
        <f>IF($C$5="ON",CK47,MyRating(_D2,$B47,Efficacy!$F$1))</f>
        <v>0</v>
      </c>
      <c r="BL47" s="3">
        <f>IF($C$5="ON",CL47,MyRating(_D3,$B47,Efficacy!$F$1))</f>
        <v>0</v>
      </c>
      <c r="BM47" s="3">
        <f>IF($C$5="ON",CM47,MyRating(_D4,$B47,Efficacy!$F$1))</f>
        <v>0</v>
      </c>
      <c r="BN47" s="3">
        <f>IF($C$5="ON",CN47,MyRating(_B1G5,$B47,Barrier!$L$2))</f>
        <v>0</v>
      </c>
      <c r="BO47" s="3">
        <f>IF($C$5="ON",CO47,MyRating(_B2,$B47,Barrier!$F$2))</f>
        <v>0</v>
      </c>
      <c r="BP47" s="6">
        <f>IF($C$5="ON",CP47,MyRating(_B3,$B47,Barrier!$F$2))</f>
        <v>0</v>
      </c>
      <c r="BQ47" s="5">
        <f t="shared" si="12"/>
        <v>0</v>
      </c>
      <c r="BR47" s="8">
        <f t="shared" si="13"/>
        <v>0</v>
      </c>
      <c r="BS47" s="5">
        <f t="shared" si="14"/>
        <v>0</v>
      </c>
      <c r="BT47" s="7">
        <f t="shared" si="15"/>
        <v>0</v>
      </c>
      <c r="BU47" s="4">
        <v>0</v>
      </c>
      <c r="BV47" s="3">
        <v>0</v>
      </c>
      <c r="BW47" s="3">
        <v>0</v>
      </c>
      <c r="BX47" s="3">
        <v>0</v>
      </c>
      <c r="BY47" s="3">
        <v>0</v>
      </c>
      <c r="BZ47" s="3">
        <v>0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6">
        <v>0</v>
      </c>
      <c r="CQ47" s="5">
        <v>0</v>
      </c>
    </row>
    <row r="48" spans="1:95" x14ac:dyDescent="0.35">
      <c r="A48" s="9" t="str">
        <f t="shared" si="10"/>
        <v>ES</v>
      </c>
      <c r="B48" s="9" t="s">
        <v>15</v>
      </c>
      <c r="C48" s="20"/>
      <c r="D48" s="9" t="s">
        <v>14</v>
      </c>
      <c r="E48" s="9" t="s">
        <v>193</v>
      </c>
      <c r="F48" s="9" t="s">
        <v>1</v>
      </c>
      <c r="G48" s="19">
        <v>0</v>
      </c>
      <c r="H48" s="9">
        <v>2014</v>
      </c>
      <c r="I48" s="9">
        <v>6</v>
      </c>
      <c r="J48" s="18">
        <f>INDEX(PTRS!$D$6:$D$12,MATCH('5'!$F48,PTRS!$B$6:$B$12,0))</f>
        <v>0.1044225</v>
      </c>
      <c r="K48" s="17">
        <v>0</v>
      </c>
      <c r="L48" s="17">
        <v>0.1044225</v>
      </c>
      <c r="M48" s="17">
        <v>0.1044225</v>
      </c>
      <c r="N48" s="17">
        <v>0</v>
      </c>
      <c r="O48" s="17">
        <v>1</v>
      </c>
      <c r="P48" s="17">
        <v>0.1044225</v>
      </c>
      <c r="Q48" s="17">
        <v>0.1044225</v>
      </c>
      <c r="R48" s="17">
        <v>0.1044225</v>
      </c>
      <c r="S48" s="17">
        <v>1</v>
      </c>
      <c r="T48" s="17" t="s">
        <v>13</v>
      </c>
      <c r="U48" s="22">
        <v>0.72649652910676854</v>
      </c>
      <c r="V48" s="17">
        <v>1</v>
      </c>
      <c r="W48" s="9" t="s">
        <v>13</v>
      </c>
      <c r="X48" s="9">
        <f>INDEX('Unique Asset List'!$C$4:$I$60,MATCH('5'!$B48,'Unique Asset List'!$A$4:$A$60,0),MATCH('5'!$C$1,'Unique Asset List'!$C$3:$I$3,0))</f>
        <v>2033</v>
      </c>
      <c r="Y48" s="9">
        <f>INDEX('Unique Asset List'!$J$4:$P$60,MATCH('5'!$B48,'Unique Asset List'!$A$4:$A$60,0),MATCH('5'!$C$1,'Unique Asset List'!$J$3:$P$3,0))</f>
        <v>6.9999999999990905</v>
      </c>
      <c r="Z48" s="9">
        <f>INDEX('Unique Asset List'!$X$4:$AD$60,MATCH('5'!$B48,'Unique Asset List'!$A$4:$A$60,0),MATCH('5'!$C$1,'Unique Asset List'!$X$3:$AD$3,0))</f>
        <v>2044</v>
      </c>
      <c r="AA48" s="9">
        <f>INDEX('Unique Asset List'!$AE$4:$AK$60,MATCH('5'!$B48,'Unique Asset List'!$A$4:$A$60,0),MATCH('5'!$C$1,'Unique Asset List'!$AE$3:$AK$3,0))</f>
        <v>6</v>
      </c>
      <c r="AB48" s="21">
        <v>2.3276916000000001</v>
      </c>
      <c r="AC48" s="21">
        <v>1.0028454</v>
      </c>
      <c r="AD48" s="21">
        <v>0.56099999999999994</v>
      </c>
      <c r="AE48" s="15">
        <f>INDEX('Unique Asset List'!$BN$4:$BT$60,MATCH('5'!$B48,'Unique Asset List'!$A$4:$A$60,0),MATCH('5'!$C$1,'Unique Asset List'!$BN$3:$BT$3,0))</f>
        <v>0.08</v>
      </c>
      <c r="AF48" s="15">
        <f>INDEX('Unique Asset List'!$BU$4:$CA$60,MATCH('5'!$B48,'Unique Asset List'!$A$4:$A$60,0),MATCH('5'!$C$1,'Unique Asset List'!$BU$3:$CA$3,0))</f>
        <v>0.42</v>
      </c>
      <c r="AG48" s="15">
        <f>INDEX('Unique Asset List'!$AZ$4:$BF$60,MATCH('5'!$B48,'Unique Asset List'!$A$4:$A$60,0),MATCH('5'!$C$1,'Unique Asset List'!$AZ$3:$BF$3,0))</f>
        <v>0.08</v>
      </c>
      <c r="AH48" s="15">
        <f>INDEX('Unique Asset List'!$BG$4:$BM$60,MATCH('5'!$B48,'Unique Asset List'!$A$4:$A$60,0),MATCH('5'!$C$1,'Unique Asset List'!$BG$3:$BM$3,0))</f>
        <v>0.42</v>
      </c>
      <c r="AI48" s="11">
        <v>0.96187963349867744</v>
      </c>
      <c r="AJ48" s="15">
        <f>INDEX('Unique Asset List'!$AL$4:$AR$60,MATCH('5'!$B48,'Unique Asset List'!$A$4:$A$60,0),MATCH('5'!$C$1,'Unique Asset List'!$AL$3:$AR$3,0))</f>
        <v>1.2944496352201866</v>
      </c>
      <c r="AK48" s="15">
        <f>INDEX('Unique Asset List'!$AS$4:$AY$60,MATCH('5'!$B48,'Unique Asset List'!$A$4:$A$60,0),MATCH('5'!$C$1,'Unique Asset List'!$AS$3:$AY$3,0))</f>
        <v>-1.4425350046709582</v>
      </c>
      <c r="AL48" s="9">
        <v>169</v>
      </c>
      <c r="AM48" s="14">
        <f>INDEX(Simulation!$B$6:$H$6,MATCH($A48,Simulation!$B$1:$H$1,0))*(1+AN48)^((DATE(X48,Y48,15)-DATE(2017,1,15))/365.5)</f>
        <v>3.5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11"/>
        <v>0.82</v>
      </c>
      <c r="AS48" s="10">
        <v>1</v>
      </c>
      <c r="AT48" s="10"/>
      <c r="AU48" s="4">
        <f>IF($C$5="ON",BU48,MyRating(_E1,$B48,Efficacy!$F$1))</f>
        <v>0</v>
      </c>
      <c r="AV48" s="3">
        <f>IF($C$5="ON",BV48,MyRating(_E2,$B48,Efficacy!$F$1))</f>
        <v>0</v>
      </c>
      <c r="AW48" s="3">
        <f>IF($C$5="ON",BW48,MyRating(_E3,$B48,Efficacy!$F$1))</f>
        <v>0</v>
      </c>
      <c r="AX48" s="3">
        <f>IF($C$5="ON",BX48,MyRating(_E4,$B48,Efficacy!$F$1))</f>
        <v>0</v>
      </c>
      <c r="AY48" s="3">
        <f>IF($C$5="ON",BY48,MyRating(_E5,$B48,Efficacy!$F$1))</f>
        <v>0</v>
      </c>
      <c r="AZ48" s="3">
        <f>IF($C$5="ON",BZ48,MyRating(_E6,$B48,Efficacy!$F$1))</f>
        <v>0</v>
      </c>
      <c r="BA48" s="3">
        <f>IF($C$5="ON",CA48,MyRating(_E7,$B48,Efficacy!$F$1))</f>
        <v>0</v>
      </c>
      <c r="BB48" s="3">
        <f>IF($C$5="ON",CB48,MyRating(_E8,$B48,Efficacy!$F$1))</f>
        <v>0</v>
      </c>
      <c r="BC48" s="3">
        <f>IF($C$5="ON",CC48,MyRating(_S1,$B48,Efficacy!$F$1))</f>
        <v>0</v>
      </c>
      <c r="BD48" s="3">
        <f>IF($C$5="ON",CD48,MyRating(_S2,$B48,Efficacy!$F$1))</f>
        <v>0</v>
      </c>
      <c r="BE48" s="3">
        <f>IF($C$5="ON",CE48,MyRating(_S3,$B48,Efficacy!$F$1))</f>
        <v>0</v>
      </c>
      <c r="BF48" s="3">
        <f>IF($C$5="ON",CF48,MyRating(_S4,$B48,Efficacy!$F$1))</f>
        <v>0</v>
      </c>
      <c r="BG48" s="3">
        <f>IF($C$5="ON",CG48,MyRating(_S5,$B48,Efficacy!$F$1))</f>
        <v>0</v>
      </c>
      <c r="BH48" s="3">
        <f>IF($C$5="ON",CH48,MyRating(_S6,$B48,Efficacy!$F$1))</f>
        <v>0</v>
      </c>
      <c r="BI48" s="3">
        <f>IF($C$5="ON",CI48,MyRating(_S7,$B48,Efficacy!$F$1))</f>
        <v>0</v>
      </c>
      <c r="BJ48" s="3">
        <f>IF($C$5="ON",CJ48,MyRating(_D1,$B48,Efficacy!$F$1))</f>
        <v>0</v>
      </c>
      <c r="BK48" s="3">
        <f>IF($C$5="ON",CK48,MyRating(_D2,$B48,Efficacy!$F$1))</f>
        <v>0</v>
      </c>
      <c r="BL48" s="3">
        <f>IF($C$5="ON",CL48,MyRating(_D3,$B48,Efficacy!$F$1))</f>
        <v>0</v>
      </c>
      <c r="BM48" s="3">
        <f>IF($C$5="ON",CM48,MyRating(_D4,$B48,Efficacy!$F$1))</f>
        <v>0</v>
      </c>
      <c r="BN48" s="3">
        <f>IF($C$5="ON",CN48,MyRating(_B1G5,$B48,Barrier!$L$2))</f>
        <v>0</v>
      </c>
      <c r="BO48" s="3">
        <f>IF($C$5="ON",CO48,MyRating(_B2,$B48,Barrier!$F$2))</f>
        <v>0</v>
      </c>
      <c r="BP48" s="6">
        <f>IF($C$5="ON",CP48,MyRating(_B3,$B48,Barrier!$F$2))</f>
        <v>0</v>
      </c>
      <c r="BQ48" s="5">
        <f t="shared" si="12"/>
        <v>0</v>
      </c>
      <c r="BR48" s="8">
        <f t="shared" si="13"/>
        <v>0</v>
      </c>
      <c r="BS48" s="5">
        <f t="shared" si="14"/>
        <v>0</v>
      </c>
      <c r="BT48" s="7">
        <f t="shared" si="15"/>
        <v>0</v>
      </c>
      <c r="BU48" s="4">
        <v>0</v>
      </c>
      <c r="BV48" s="3">
        <v>0</v>
      </c>
      <c r="BW48" s="3">
        <v>0</v>
      </c>
      <c r="BX48" s="3">
        <v>0</v>
      </c>
      <c r="BY48" s="3">
        <v>0</v>
      </c>
      <c r="BZ48" s="3">
        <v>0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6">
        <v>0</v>
      </c>
      <c r="CQ48" s="5">
        <v>0</v>
      </c>
    </row>
    <row r="49" spans="1:95" x14ac:dyDescent="0.35">
      <c r="A49" s="9" t="str">
        <f t="shared" si="10"/>
        <v>ES</v>
      </c>
      <c r="B49" s="9" t="s">
        <v>12</v>
      </c>
      <c r="C49" s="20"/>
      <c r="D49" s="9" t="s">
        <v>11</v>
      </c>
      <c r="E49" s="9" t="s">
        <v>193</v>
      </c>
      <c r="F49" s="9" t="s">
        <v>1</v>
      </c>
      <c r="G49" s="19">
        <v>0</v>
      </c>
      <c r="H49" s="9">
        <v>2014</v>
      </c>
      <c r="I49" s="9">
        <v>6</v>
      </c>
      <c r="J49" s="18">
        <f>INDEX(PTRS!$D$6:$D$12,MATCH('5'!$F49,PTRS!$B$6:$B$12,0))</f>
        <v>0.1044225</v>
      </c>
      <c r="K49" s="17">
        <v>0</v>
      </c>
      <c r="L49" s="17">
        <v>0.1044225</v>
      </c>
      <c r="M49" s="17">
        <v>0.1044225</v>
      </c>
      <c r="N49" s="17">
        <v>0</v>
      </c>
      <c r="O49" s="17">
        <v>1</v>
      </c>
      <c r="P49" s="17">
        <v>0.1044225</v>
      </c>
      <c r="Q49" s="17">
        <v>0.1044225</v>
      </c>
      <c r="R49" s="17">
        <v>0.1044225</v>
      </c>
      <c r="S49" s="17">
        <v>1</v>
      </c>
      <c r="T49" s="17" t="s">
        <v>10</v>
      </c>
      <c r="U49" s="22">
        <v>0.72649652910676854</v>
      </c>
      <c r="V49" s="17">
        <v>1</v>
      </c>
      <c r="W49" s="9" t="s">
        <v>10</v>
      </c>
      <c r="X49" s="9">
        <f>INDEX('Unique Asset List'!$C$4:$I$60,MATCH('5'!$B49,'Unique Asset List'!$A$4:$A$60,0),MATCH('5'!$C$1,'Unique Asset List'!$C$3:$I$3,0))</f>
        <v>2037</v>
      </c>
      <c r="Y49" s="9">
        <f>INDEX('Unique Asset List'!$J$4:$P$60,MATCH('5'!$B49,'Unique Asset List'!$A$4:$A$60,0),MATCH('5'!$C$1,'Unique Asset List'!$J$3:$P$3,0))</f>
        <v>6.9999999999990905</v>
      </c>
      <c r="Z49" s="9">
        <f>INDEX('Unique Asset List'!$X$4:$AD$60,MATCH('5'!$B49,'Unique Asset List'!$A$4:$A$60,0),MATCH('5'!$C$1,'Unique Asset List'!$X$3:$AD$3,0))</f>
        <v>2048</v>
      </c>
      <c r="AA49" s="9">
        <f>INDEX('Unique Asset List'!$AE$4:$AK$60,MATCH('5'!$B49,'Unique Asset List'!$A$4:$A$60,0),MATCH('5'!$C$1,'Unique Asset List'!$AE$3:$AK$3,0))</f>
        <v>6</v>
      </c>
      <c r="AB49" s="21">
        <v>2.3276916000000001</v>
      </c>
      <c r="AC49" s="21">
        <v>1.0028454</v>
      </c>
      <c r="AD49" s="21">
        <v>0.56099999999999994</v>
      </c>
      <c r="AE49" s="15">
        <f>INDEX('Unique Asset List'!$BN$4:$BT$60,MATCH('5'!$B49,'Unique Asset List'!$A$4:$A$60,0),MATCH('5'!$C$1,'Unique Asset List'!$BN$3:$BT$3,0))</f>
        <v>0.08</v>
      </c>
      <c r="AF49" s="15">
        <f>INDEX('Unique Asset List'!$BU$4:$CA$60,MATCH('5'!$B49,'Unique Asset List'!$A$4:$A$60,0),MATCH('5'!$C$1,'Unique Asset List'!$BU$3:$CA$3,0))</f>
        <v>0.42</v>
      </c>
      <c r="AG49" s="15">
        <f>INDEX('Unique Asset List'!$AZ$4:$BF$60,MATCH('5'!$B49,'Unique Asset List'!$A$4:$A$60,0),MATCH('5'!$C$1,'Unique Asset List'!$AZ$3:$BF$3,0))</f>
        <v>0.08</v>
      </c>
      <c r="AH49" s="15">
        <f>INDEX('Unique Asset List'!$BG$4:$BM$60,MATCH('5'!$B49,'Unique Asset List'!$A$4:$A$60,0),MATCH('5'!$C$1,'Unique Asset List'!$BG$3:$BM$3,0))</f>
        <v>0.42</v>
      </c>
      <c r="AI49" s="11">
        <v>0.96187963349867744</v>
      </c>
      <c r="AJ49" s="15">
        <f>INDEX('Unique Asset List'!$AL$4:$AR$60,MATCH('5'!$B49,'Unique Asset List'!$A$4:$A$60,0),MATCH('5'!$C$1,'Unique Asset List'!$AL$3:$AR$3,0))</f>
        <v>1.2944496352201866</v>
      </c>
      <c r="AK49" s="15">
        <f>INDEX('Unique Asset List'!$AS$4:$AY$60,MATCH('5'!$B49,'Unique Asset List'!$A$4:$A$60,0),MATCH('5'!$C$1,'Unique Asset List'!$AS$3:$AY$3,0))</f>
        <v>-1.4425350046709582</v>
      </c>
      <c r="AL49" s="9">
        <v>169</v>
      </c>
      <c r="AM49" s="14">
        <f>INDEX(Simulation!$B$6:$H$6,MATCH($A49,Simulation!$B$1:$H$1,0))*(1+AN49)^((DATE(X49,Y49,15)-DATE(2017,1,15))/365.5)</f>
        <v>3.5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11"/>
        <v>0.82</v>
      </c>
      <c r="AS49" s="10">
        <v>1</v>
      </c>
      <c r="AT49" s="10"/>
      <c r="AU49" s="4">
        <f>IF($C$5="ON",BU49,MyRating(_E1,$B49,Efficacy!$F$1))</f>
        <v>0</v>
      </c>
      <c r="AV49" s="3">
        <f>IF($C$5="ON",BV49,MyRating(_E2,$B49,Efficacy!$F$1))</f>
        <v>0</v>
      </c>
      <c r="AW49" s="3">
        <f>IF($C$5="ON",BW49,MyRating(_E3,$B49,Efficacy!$F$1))</f>
        <v>0</v>
      </c>
      <c r="AX49" s="3">
        <f>IF($C$5="ON",BX49,MyRating(_E4,$B49,Efficacy!$F$1))</f>
        <v>0</v>
      </c>
      <c r="AY49" s="3">
        <f>IF($C$5="ON",BY49,MyRating(_E5,$B49,Efficacy!$F$1))</f>
        <v>0</v>
      </c>
      <c r="AZ49" s="3">
        <f>IF($C$5="ON",BZ49,MyRating(_E6,$B49,Efficacy!$F$1))</f>
        <v>0</v>
      </c>
      <c r="BA49" s="3">
        <f>IF($C$5="ON",CA49,MyRating(_E7,$B49,Efficacy!$F$1))</f>
        <v>0</v>
      </c>
      <c r="BB49" s="3">
        <f>IF($C$5="ON",CB49,MyRating(_E8,$B49,Efficacy!$F$1))</f>
        <v>0</v>
      </c>
      <c r="BC49" s="3">
        <f>IF($C$5="ON",CC49,MyRating(_S1,$B49,Efficacy!$F$1))</f>
        <v>0</v>
      </c>
      <c r="BD49" s="3">
        <f>IF($C$5="ON",CD49,MyRating(_S2,$B49,Efficacy!$F$1))</f>
        <v>0</v>
      </c>
      <c r="BE49" s="3">
        <f>IF($C$5="ON",CE49,MyRating(_S3,$B49,Efficacy!$F$1))</f>
        <v>0</v>
      </c>
      <c r="BF49" s="3">
        <f>IF($C$5="ON",CF49,MyRating(_S4,$B49,Efficacy!$F$1))</f>
        <v>0</v>
      </c>
      <c r="BG49" s="3">
        <f>IF($C$5="ON",CG49,MyRating(_S5,$B49,Efficacy!$F$1))</f>
        <v>0</v>
      </c>
      <c r="BH49" s="3">
        <f>IF($C$5="ON",CH49,MyRating(_S6,$B49,Efficacy!$F$1))</f>
        <v>0</v>
      </c>
      <c r="BI49" s="3">
        <f>IF($C$5="ON",CI49,MyRating(_S7,$B49,Efficacy!$F$1))</f>
        <v>0</v>
      </c>
      <c r="BJ49" s="3">
        <f>IF($C$5="ON",CJ49,MyRating(_D1,$B49,Efficacy!$F$1))</f>
        <v>0</v>
      </c>
      <c r="BK49" s="3">
        <f>IF($C$5="ON",CK49,MyRating(_D2,$B49,Efficacy!$F$1))</f>
        <v>0</v>
      </c>
      <c r="BL49" s="3">
        <f>IF($C$5="ON",CL49,MyRating(_D3,$B49,Efficacy!$F$1))</f>
        <v>0</v>
      </c>
      <c r="BM49" s="3">
        <f>IF($C$5="ON",CM49,MyRating(_D4,$B49,Efficacy!$F$1))</f>
        <v>0</v>
      </c>
      <c r="BN49" s="3">
        <f>IF($C$5="ON",CN49,MyRating(_B1G5,$B49,Barrier!$L$2))</f>
        <v>0</v>
      </c>
      <c r="BO49" s="3">
        <f>IF($C$5="ON",CO49,MyRating(_B2,$B49,Barrier!$F$2))</f>
        <v>0</v>
      </c>
      <c r="BP49" s="6">
        <f>IF($C$5="ON",CP49,MyRating(_B3,$B49,Barrier!$F$2))</f>
        <v>0</v>
      </c>
      <c r="BQ49" s="5">
        <f t="shared" si="12"/>
        <v>0</v>
      </c>
      <c r="BR49" s="8">
        <f t="shared" si="13"/>
        <v>0</v>
      </c>
      <c r="BS49" s="5">
        <f t="shared" si="14"/>
        <v>0</v>
      </c>
      <c r="BT49" s="7">
        <f t="shared" si="15"/>
        <v>0</v>
      </c>
      <c r="BU49" s="4">
        <v>0</v>
      </c>
      <c r="BV49" s="3">
        <v>0</v>
      </c>
      <c r="BW49" s="3">
        <v>0</v>
      </c>
      <c r="BX49" s="3">
        <v>0</v>
      </c>
      <c r="BY49" s="3">
        <v>0</v>
      </c>
      <c r="BZ49" s="3">
        <v>0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6">
        <v>0</v>
      </c>
      <c r="CQ49" s="5">
        <v>0</v>
      </c>
    </row>
    <row r="50" spans="1:95" x14ac:dyDescent="0.35">
      <c r="A50" s="9" t="str">
        <f t="shared" si="10"/>
        <v>ES</v>
      </c>
      <c r="B50" s="9" t="s">
        <v>9</v>
      </c>
      <c r="C50" s="20"/>
      <c r="D50" s="9" t="s">
        <v>8</v>
      </c>
      <c r="E50" s="9" t="s">
        <v>193</v>
      </c>
      <c r="F50" s="9" t="s">
        <v>1</v>
      </c>
      <c r="G50" s="19">
        <v>0</v>
      </c>
      <c r="H50" s="9">
        <v>2014</v>
      </c>
      <c r="I50" s="9">
        <v>6</v>
      </c>
      <c r="J50" s="18">
        <f>INDEX(PTRS!$D$6:$D$12,MATCH('5'!$F50,PTRS!$B$6:$B$12,0))</f>
        <v>0.1044225</v>
      </c>
      <c r="K50" s="17">
        <v>0</v>
      </c>
      <c r="L50" s="17">
        <v>0.1044225</v>
      </c>
      <c r="M50" s="17">
        <v>0.1044225</v>
      </c>
      <c r="N50" s="17">
        <v>0</v>
      </c>
      <c r="O50" s="17">
        <v>1</v>
      </c>
      <c r="P50" s="17">
        <v>0.1044225</v>
      </c>
      <c r="Q50" s="17">
        <v>0.1044225</v>
      </c>
      <c r="R50" s="17">
        <v>0.1044225</v>
      </c>
      <c r="S50" s="17">
        <v>1</v>
      </c>
      <c r="T50" s="17" t="s">
        <v>7</v>
      </c>
      <c r="U50" s="22">
        <v>0.72649652910676854</v>
      </c>
      <c r="V50" s="17">
        <v>1</v>
      </c>
      <c r="W50" s="9" t="s">
        <v>7</v>
      </c>
      <c r="X50" s="9">
        <f>INDEX('Unique Asset List'!$C$4:$I$60,MATCH('5'!$B50,'Unique Asset List'!$A$4:$A$60,0),MATCH('5'!$C$1,'Unique Asset List'!$C$3:$I$3,0))</f>
        <v>2042</v>
      </c>
      <c r="Y50" s="9">
        <f>INDEX('Unique Asset List'!$J$4:$P$60,MATCH('5'!$B50,'Unique Asset List'!$A$4:$A$60,0),MATCH('5'!$C$1,'Unique Asset List'!$J$3:$P$3,0))</f>
        <v>6.9999999999990905</v>
      </c>
      <c r="Z50" s="9">
        <f>INDEX('Unique Asset List'!$X$4:$AD$60,MATCH('5'!$B50,'Unique Asset List'!$A$4:$A$60,0),MATCH('5'!$C$1,'Unique Asset List'!$X$3:$AD$3,0))</f>
        <v>2053</v>
      </c>
      <c r="AA50" s="9">
        <f>INDEX('Unique Asset List'!$AE$4:$AK$60,MATCH('5'!$B50,'Unique Asset List'!$A$4:$A$60,0),MATCH('5'!$C$1,'Unique Asset List'!$AE$3:$AK$3,0))</f>
        <v>6</v>
      </c>
      <c r="AB50" s="21">
        <v>2.3276916000000001</v>
      </c>
      <c r="AC50" s="21">
        <v>1.0028454</v>
      </c>
      <c r="AD50" s="21">
        <v>0.56099999999999994</v>
      </c>
      <c r="AE50" s="15">
        <f>INDEX('Unique Asset List'!$BN$4:$BT$60,MATCH('5'!$B50,'Unique Asset List'!$A$4:$A$60,0),MATCH('5'!$C$1,'Unique Asset List'!$BN$3:$BT$3,0))</f>
        <v>0.08</v>
      </c>
      <c r="AF50" s="15">
        <f>INDEX('Unique Asset List'!$BU$4:$CA$60,MATCH('5'!$B50,'Unique Asset List'!$A$4:$A$60,0),MATCH('5'!$C$1,'Unique Asset List'!$BU$3:$CA$3,0))</f>
        <v>0.42</v>
      </c>
      <c r="AG50" s="15">
        <f>INDEX('Unique Asset List'!$AZ$4:$BF$60,MATCH('5'!$B50,'Unique Asset List'!$A$4:$A$60,0),MATCH('5'!$C$1,'Unique Asset List'!$AZ$3:$BF$3,0))</f>
        <v>0.08</v>
      </c>
      <c r="AH50" s="15">
        <f>INDEX('Unique Asset List'!$BG$4:$BM$60,MATCH('5'!$B50,'Unique Asset List'!$A$4:$A$60,0),MATCH('5'!$C$1,'Unique Asset List'!$BG$3:$BM$3,0))</f>
        <v>0.42</v>
      </c>
      <c r="AI50" s="11">
        <v>0.96187963349867744</v>
      </c>
      <c r="AJ50" s="15">
        <f>INDEX('Unique Asset List'!$AL$4:$AR$60,MATCH('5'!$B50,'Unique Asset List'!$A$4:$A$60,0),MATCH('5'!$C$1,'Unique Asset List'!$AL$3:$AR$3,0))</f>
        <v>1.2944496352201866</v>
      </c>
      <c r="AK50" s="15">
        <f>INDEX('Unique Asset List'!$AS$4:$AY$60,MATCH('5'!$B50,'Unique Asset List'!$A$4:$A$60,0),MATCH('5'!$C$1,'Unique Asset List'!$AS$3:$AY$3,0))</f>
        <v>-1.4425350046709582</v>
      </c>
      <c r="AL50" s="9">
        <v>169</v>
      </c>
      <c r="AM50" s="14">
        <f>INDEX(Simulation!$B$6:$H$6,MATCH($A50,Simulation!$B$1:$H$1,0))*(1+AN50)^((DATE(X50,Y50,15)-DATE(2017,1,15))/365.5)</f>
        <v>3.5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11"/>
        <v>0.82</v>
      </c>
      <c r="AS50" s="10">
        <v>1</v>
      </c>
      <c r="AT50" s="10"/>
      <c r="AU50" s="4">
        <f>IF($C$5="ON",BU50,MyRating(_E1,$B50,Efficacy!$F$1))</f>
        <v>0</v>
      </c>
      <c r="AV50" s="3">
        <f>IF($C$5="ON",BV50,MyRating(_E2,$B50,Efficacy!$F$1))</f>
        <v>0</v>
      </c>
      <c r="AW50" s="3">
        <f>IF($C$5="ON",BW50,MyRating(_E3,$B50,Efficacy!$F$1))</f>
        <v>0</v>
      </c>
      <c r="AX50" s="3">
        <f>IF($C$5="ON",BX50,MyRating(_E4,$B50,Efficacy!$F$1))</f>
        <v>0</v>
      </c>
      <c r="AY50" s="3">
        <f>IF($C$5="ON",BY50,MyRating(_E5,$B50,Efficacy!$F$1))</f>
        <v>0</v>
      </c>
      <c r="AZ50" s="3">
        <f>IF($C$5="ON",BZ50,MyRating(_E6,$B50,Efficacy!$F$1))</f>
        <v>0</v>
      </c>
      <c r="BA50" s="3">
        <f>IF($C$5="ON",CA50,MyRating(_E7,$B50,Efficacy!$F$1))</f>
        <v>0</v>
      </c>
      <c r="BB50" s="3">
        <f>IF($C$5="ON",CB50,MyRating(_E8,$B50,Efficacy!$F$1))</f>
        <v>0</v>
      </c>
      <c r="BC50" s="3">
        <f>IF($C$5="ON",CC50,MyRating(_S1,$B50,Efficacy!$F$1))</f>
        <v>0</v>
      </c>
      <c r="BD50" s="3">
        <f>IF($C$5="ON",CD50,MyRating(_S2,$B50,Efficacy!$F$1))</f>
        <v>0</v>
      </c>
      <c r="BE50" s="3">
        <f>IF($C$5="ON",CE50,MyRating(_S3,$B50,Efficacy!$F$1))</f>
        <v>0</v>
      </c>
      <c r="BF50" s="3">
        <f>IF($C$5="ON",CF50,MyRating(_S4,$B50,Efficacy!$F$1))</f>
        <v>0</v>
      </c>
      <c r="BG50" s="3">
        <f>IF($C$5="ON",CG50,MyRating(_S5,$B50,Efficacy!$F$1))</f>
        <v>0</v>
      </c>
      <c r="BH50" s="3">
        <f>IF($C$5="ON",CH50,MyRating(_S6,$B50,Efficacy!$F$1))</f>
        <v>0</v>
      </c>
      <c r="BI50" s="3">
        <f>IF($C$5="ON",CI50,MyRating(_S7,$B50,Efficacy!$F$1))</f>
        <v>0</v>
      </c>
      <c r="BJ50" s="3">
        <f>IF($C$5="ON",CJ50,MyRating(_D1,$B50,Efficacy!$F$1))</f>
        <v>0</v>
      </c>
      <c r="BK50" s="3">
        <f>IF($C$5="ON",CK50,MyRating(_D2,$B50,Efficacy!$F$1))</f>
        <v>0</v>
      </c>
      <c r="BL50" s="3">
        <f>IF($C$5="ON",CL50,MyRating(_D3,$B50,Efficacy!$F$1))</f>
        <v>0</v>
      </c>
      <c r="BM50" s="3">
        <f>IF($C$5="ON",CM50,MyRating(_D4,$B50,Efficacy!$F$1))</f>
        <v>0</v>
      </c>
      <c r="BN50" s="3">
        <f>IF($C$5="ON",CN50,MyRating(_B1G5,$B50,Barrier!$L$2))</f>
        <v>0</v>
      </c>
      <c r="BO50" s="3">
        <f>IF($C$5="ON",CO50,MyRating(_B2,$B50,Barrier!$F$2))</f>
        <v>0</v>
      </c>
      <c r="BP50" s="6">
        <f>IF($C$5="ON",CP50,MyRating(_B3,$B50,Barrier!$F$2))</f>
        <v>0</v>
      </c>
      <c r="BQ50" s="5">
        <f t="shared" si="12"/>
        <v>0</v>
      </c>
      <c r="BR50" s="8">
        <f t="shared" si="13"/>
        <v>0</v>
      </c>
      <c r="BS50" s="5">
        <f t="shared" si="14"/>
        <v>0</v>
      </c>
      <c r="BT50" s="7">
        <f t="shared" si="15"/>
        <v>0</v>
      </c>
      <c r="BU50" s="4">
        <v>0</v>
      </c>
      <c r="BV50" s="3">
        <v>0</v>
      </c>
      <c r="BW50" s="3">
        <v>0</v>
      </c>
      <c r="BX50" s="3">
        <v>0</v>
      </c>
      <c r="BY50" s="3">
        <v>0</v>
      </c>
      <c r="BZ50" s="3">
        <v>0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6">
        <v>0</v>
      </c>
      <c r="CQ50" s="5">
        <v>0</v>
      </c>
    </row>
    <row r="51" spans="1:95" x14ac:dyDescent="0.35">
      <c r="A51" s="9" t="str">
        <f t="shared" si="10"/>
        <v>ES</v>
      </c>
      <c r="B51" s="9" t="s">
        <v>4</v>
      </c>
      <c r="C51" s="20" t="s">
        <v>3</v>
      </c>
      <c r="D51" s="9" t="s">
        <v>2</v>
      </c>
      <c r="E51" s="9" t="s">
        <v>193</v>
      </c>
      <c r="F51" s="9" t="s">
        <v>1</v>
      </c>
      <c r="G51" s="19">
        <v>0</v>
      </c>
      <c r="H51" s="9">
        <v>2014</v>
      </c>
      <c r="I51" s="9">
        <v>6</v>
      </c>
      <c r="J51" s="18">
        <f>INDEX(PTRS!$D$6:$D$12,MATCH('5'!$F51,PTRS!$B$6:$B$12,0))</f>
        <v>0.1044225</v>
      </c>
      <c r="K51" s="17">
        <v>0</v>
      </c>
      <c r="L51" s="17">
        <v>0.1044225</v>
      </c>
      <c r="M51" s="17">
        <v>0.1044225</v>
      </c>
      <c r="N51" s="17">
        <v>0.1044225</v>
      </c>
      <c r="O51" s="17">
        <v>0.1044225</v>
      </c>
      <c r="P51" s="17">
        <v>0.1044225</v>
      </c>
      <c r="Q51" s="17">
        <v>0.1044225</v>
      </c>
      <c r="R51" s="17">
        <v>0.1044225</v>
      </c>
      <c r="S51" s="17">
        <v>1</v>
      </c>
      <c r="T51" s="17"/>
      <c r="U51" s="17">
        <f t="shared" ref="U51:U58" si="16">BQ51/$BQ$7</f>
        <v>0</v>
      </c>
      <c r="V51" s="17">
        <v>1</v>
      </c>
      <c r="W51" s="9" t="s">
        <v>0</v>
      </c>
      <c r="X51" s="9">
        <f>INDEX('Unique Asset List'!$C$4:$I$60,MATCH('5'!$B51,'Unique Asset List'!$A$4:$A$60,0),MATCH('5'!$C$1,'Unique Asset List'!$C$3:$I$3,0))</f>
        <v>2052</v>
      </c>
      <c r="Y51" s="9">
        <f>INDEX('Unique Asset List'!$J$4:$P$60,MATCH('5'!$B51,'Unique Asset List'!$A$4:$A$60,0),MATCH('5'!$C$1,'Unique Asset List'!$J$3:$P$3,0))</f>
        <v>7.000000000001819</v>
      </c>
      <c r="Z51" s="9">
        <f>INDEX('Unique Asset List'!$X$4:$AD$60,MATCH('5'!$B51,'Unique Asset List'!$A$4:$A$60,0),MATCH('5'!$C$1,'Unique Asset List'!$X$3:$AD$3,0))</f>
        <v>2060</v>
      </c>
      <c r="AA51" s="9">
        <f>INDEX('Unique Asset List'!$AE$4:$AK$60,MATCH('5'!$B51,'Unique Asset List'!$A$4:$A$60,0),MATCH('5'!$C$1,'Unique Asset List'!$AE$3:$AK$3,0))</f>
        <v>6</v>
      </c>
      <c r="AB51" s="21">
        <v>2.3276916000000001</v>
      </c>
      <c r="AC51" s="21">
        <v>1.0028454</v>
      </c>
      <c r="AD51" s="21">
        <v>0.56099999999999994</v>
      </c>
      <c r="AE51" s="15">
        <f>INDEX('Unique Asset List'!$BN$4:$BT$60,MATCH('5'!$B51,'Unique Asset List'!$A$4:$A$60,0),MATCH('5'!$C$1,'Unique Asset List'!$BN$3:$BT$3,0))</f>
        <v>0.08</v>
      </c>
      <c r="AF51" s="15">
        <f>INDEX('Unique Asset List'!$BU$4:$CA$60,MATCH('5'!$B51,'Unique Asset List'!$A$4:$A$60,0),MATCH('5'!$C$1,'Unique Asset List'!$BU$3:$CA$3,0))</f>
        <v>0.42</v>
      </c>
      <c r="AG51" s="15">
        <f>INDEX('Unique Asset List'!$AZ$4:$BF$60,MATCH('5'!$B51,'Unique Asset List'!$A$4:$A$60,0),MATCH('5'!$C$1,'Unique Asset List'!$AZ$3:$BF$3,0))</f>
        <v>0.08</v>
      </c>
      <c r="AH51" s="15">
        <f>INDEX('Unique Asset List'!$BG$4:$BM$60,MATCH('5'!$B51,'Unique Asset List'!$A$4:$A$60,0),MATCH('5'!$C$1,'Unique Asset List'!$BG$3:$BM$3,0))</f>
        <v>0.42</v>
      </c>
      <c r="AI51" s="11">
        <v>0.96187963349867744</v>
      </c>
      <c r="AJ51" s="15">
        <f>INDEX('Unique Asset List'!$AL$4:$AR$60,MATCH('5'!$B51,'Unique Asset List'!$A$4:$A$60,0),MATCH('5'!$C$1,'Unique Asset List'!$AL$3:$AR$3,0))</f>
        <v>1.2944496352201866</v>
      </c>
      <c r="AK51" s="15">
        <f>INDEX('Unique Asset List'!$AS$4:$AY$60,MATCH('5'!$B51,'Unique Asset List'!$A$4:$A$60,0),MATCH('5'!$C$1,'Unique Asset List'!$AS$3:$AY$3,0))</f>
        <v>-1.4425350046709582</v>
      </c>
      <c r="AL51" s="9">
        <v>169</v>
      </c>
      <c r="AM51" s="14">
        <f>INDEX(Simulation!$B$6:$H$6,MATCH($A51,Simulation!$B$1:$H$1,0))*(1+AN51)^((DATE(X51,Y51,15)-DATE(2017,1,15))/365.5)</f>
        <v>3.5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11"/>
        <v>0.82</v>
      </c>
      <c r="AS51" s="10">
        <v>1</v>
      </c>
      <c r="AT51" s="10"/>
      <c r="AU51" s="4">
        <f>IF($C$5="ON",BU51,MyRating(_E1,$B51,Efficacy!$F$1))</f>
        <v>0</v>
      </c>
      <c r="AV51" s="3">
        <f>IF($C$5="ON",BV51,MyRating(_E2,$B51,Efficacy!$F$1))</f>
        <v>0</v>
      </c>
      <c r="AW51" s="3">
        <f>IF($C$5="ON",BW51,MyRating(_E3,$B51,Efficacy!$F$1))</f>
        <v>0</v>
      </c>
      <c r="AX51" s="3">
        <f>IF($C$5="ON",BX51,MyRating(_E4,$B51,Efficacy!$F$1))</f>
        <v>0</v>
      </c>
      <c r="AY51" s="3">
        <f>IF($C$5="ON",BY51,MyRating(_E5,$B51,Efficacy!$F$1))</f>
        <v>0</v>
      </c>
      <c r="AZ51" s="3">
        <f>IF($C$5="ON",BZ51,MyRating(_E6,$B51,Efficacy!$F$1))</f>
        <v>0</v>
      </c>
      <c r="BA51" s="3">
        <f>IF($C$5="ON",CA51,MyRating(_E7,$B51,Efficacy!$F$1))</f>
        <v>0</v>
      </c>
      <c r="BB51" s="3">
        <f>IF($C$5="ON",CB51,MyRating(_E8,$B51,Efficacy!$F$1))</f>
        <v>0</v>
      </c>
      <c r="BC51" s="3">
        <f>IF($C$5="ON",CC51,MyRating(_S1,$B51,Efficacy!$F$1))</f>
        <v>0</v>
      </c>
      <c r="BD51" s="3">
        <f>IF($C$5="ON",CD51,MyRating(_S2,$B51,Efficacy!$F$1))</f>
        <v>0</v>
      </c>
      <c r="BE51" s="3">
        <f>IF($C$5="ON",CE51,MyRating(_S3,$B51,Efficacy!$F$1))</f>
        <v>0</v>
      </c>
      <c r="BF51" s="3">
        <f>IF($C$5="ON",CF51,MyRating(_S4,$B51,Efficacy!$F$1))</f>
        <v>0</v>
      </c>
      <c r="BG51" s="3">
        <f>IF($C$5="ON",CG51,MyRating(_S5,$B51,Efficacy!$F$1))</f>
        <v>0</v>
      </c>
      <c r="BH51" s="3">
        <f>IF($C$5="ON",CH51,MyRating(_S6,$B51,Efficacy!$F$1))</f>
        <v>0</v>
      </c>
      <c r="BI51" s="3">
        <f>IF($C$5="ON",CI51,MyRating(_S7,$B51,Efficacy!$F$1))</f>
        <v>0</v>
      </c>
      <c r="BJ51" s="3">
        <f>IF($C$5="ON",CJ51,MyRating(_D1,$B51,Efficacy!$F$1))</f>
        <v>0</v>
      </c>
      <c r="BK51" s="3">
        <f>IF($C$5="ON",CK51,MyRating(_D2,$B51,Efficacy!$F$1))</f>
        <v>0</v>
      </c>
      <c r="BL51" s="3">
        <f>IF($C$5="ON",CL51,MyRating(_D3,$B51,Efficacy!$F$1))</f>
        <v>0</v>
      </c>
      <c r="BM51" s="3">
        <f>IF($C$5="ON",CM51,MyRating(_D4,$B51,Efficacy!$F$1))</f>
        <v>0</v>
      </c>
      <c r="BN51" s="3">
        <f>IF($C$5="ON",CN51,MyRating(_B1G5,$B51,Barrier!$L$2))</f>
        <v>0</v>
      </c>
      <c r="BO51" s="3">
        <f>IF($C$5="ON",CO51,MyRating(_B2,$B51,Barrier!$F$2))</f>
        <v>0</v>
      </c>
      <c r="BP51" s="6">
        <f>IF($C$5="ON",CP51,MyRating(_B3,$B51,Barrier!$F$2))</f>
        <v>0</v>
      </c>
      <c r="BQ51" s="5">
        <f t="shared" si="12"/>
        <v>0</v>
      </c>
      <c r="BR51" s="8">
        <f t="shared" si="13"/>
        <v>0</v>
      </c>
      <c r="BS51" s="5">
        <f t="shared" si="14"/>
        <v>0</v>
      </c>
      <c r="BT51" s="7">
        <f t="shared" si="15"/>
        <v>0</v>
      </c>
      <c r="BU51" s="4">
        <v>0</v>
      </c>
      <c r="BV51" s="3">
        <v>0</v>
      </c>
      <c r="BW51" s="3">
        <v>0</v>
      </c>
      <c r="BX51" s="3">
        <v>0</v>
      </c>
      <c r="BY51" s="3">
        <v>0</v>
      </c>
      <c r="BZ51" s="3">
        <v>0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6">
        <v>0</v>
      </c>
      <c r="CQ51" s="5">
        <v>0</v>
      </c>
    </row>
    <row r="52" spans="1:95" x14ac:dyDescent="0.35">
      <c r="A52" s="9" t="str">
        <f t="shared" si="10"/>
        <v>ES</v>
      </c>
      <c r="B52" s="9" t="s">
        <v>68</v>
      </c>
      <c r="C52" s="20" t="s">
        <v>3</v>
      </c>
      <c r="D52" s="9" t="s">
        <v>2</v>
      </c>
      <c r="E52" s="9" t="s">
        <v>193</v>
      </c>
      <c r="F52" s="9" t="s">
        <v>1</v>
      </c>
      <c r="G52" s="19">
        <v>0</v>
      </c>
      <c r="H52" s="9">
        <v>2014</v>
      </c>
      <c r="I52" s="9">
        <v>6</v>
      </c>
      <c r="J52" s="18">
        <f>INDEX(PTRS!$D$6:$D$12,MATCH('5'!$F52,PTRS!$B$6:$B$12,0))</f>
        <v>0.1044225</v>
      </c>
      <c r="K52" s="17">
        <v>0</v>
      </c>
      <c r="L52" s="17">
        <v>1</v>
      </c>
      <c r="M52" s="17">
        <v>0.1044225</v>
      </c>
      <c r="N52" s="17">
        <v>0.1044225</v>
      </c>
      <c r="O52" s="17">
        <v>0.1044225</v>
      </c>
      <c r="P52" s="17">
        <v>0.1044225</v>
      </c>
      <c r="Q52" s="17">
        <v>1</v>
      </c>
      <c r="R52" s="17">
        <v>1</v>
      </c>
      <c r="S52" s="17">
        <v>1</v>
      </c>
      <c r="T52" s="17"/>
      <c r="U52" s="17">
        <f t="shared" si="16"/>
        <v>0.72649652910676854</v>
      </c>
      <c r="V52" s="17">
        <v>1</v>
      </c>
      <c r="W52" s="9" t="s">
        <v>68</v>
      </c>
      <c r="X52" s="9">
        <f>INDEX('Unique Asset List'!$C$4:$I$60,MATCH('5'!$B52,'Unique Asset List'!$A$4:$A$60,0),MATCH('5'!$C$1,'Unique Asset List'!$C$3:$I$3,0))</f>
        <v>2033</v>
      </c>
      <c r="Y52" s="9">
        <f>INDEX('Unique Asset List'!$J$4:$P$60,MATCH('5'!$B52,'Unique Asset List'!$A$4:$A$60,0),MATCH('5'!$C$1,'Unique Asset List'!$J$3:$P$3,0))</f>
        <v>3.9999999999990905</v>
      </c>
      <c r="Z52" s="9">
        <f>INDEX('Unique Asset List'!$X$4:$AD$60,MATCH('5'!$B52,'Unique Asset List'!$A$4:$A$60,0),MATCH('5'!$C$1,'Unique Asset List'!$X$3:$AD$3,0))</f>
        <v>2041</v>
      </c>
      <c r="AA52" s="9">
        <f>INDEX('Unique Asset List'!$AE$4:$AK$60,MATCH('5'!$B52,'Unique Asset List'!$A$4:$A$60,0),MATCH('5'!$C$1,'Unique Asset List'!$AE$3:$AK$3,0))</f>
        <v>3</v>
      </c>
      <c r="AB52" s="16">
        <f t="shared" ref="AB52:AB58" si="17">SUMPRODUCT($AU52:$BB52,$AU$7:$BB$7)</f>
        <v>2.3276916000000001</v>
      </c>
      <c r="AC52" s="16">
        <f t="shared" ref="AC52:AC58" si="18">SUMPRODUCT($BC52:$BI52,$BC$7:$BI$7)</f>
        <v>1.0028454</v>
      </c>
      <c r="AD52" s="16">
        <f t="shared" ref="AD52:AD58" si="19">SUMPRODUCT($BJ52:$BM52,$BJ$7:$BM$7)</f>
        <v>0.56099999999999994</v>
      </c>
      <c r="AE52" s="15">
        <f>INDEX('Unique Asset List'!$BN$4:$BT$60,MATCH('5'!$B52,'Unique Asset List'!$A$4:$A$60,0),MATCH('5'!$C$1,'Unique Asset List'!$BN$3:$BT$3,0))</f>
        <v>0.08</v>
      </c>
      <c r="AF52" s="15">
        <f>INDEX('Unique Asset List'!$BU$4:$CA$60,MATCH('5'!$B52,'Unique Asset List'!$A$4:$A$60,0),MATCH('5'!$C$1,'Unique Asset List'!$BU$3:$CA$3,0))</f>
        <v>0.42</v>
      </c>
      <c r="AG52" s="15">
        <f>INDEX('Unique Asset List'!$AZ$4:$BF$60,MATCH('5'!$B52,'Unique Asset List'!$A$4:$A$60,0),MATCH('5'!$C$1,'Unique Asset List'!$AZ$3:$BF$3,0))</f>
        <v>0.08</v>
      </c>
      <c r="AH52" s="15">
        <f>INDEX('Unique Asset List'!$BG$4:$BM$60,MATCH('5'!$B52,'Unique Asset List'!$A$4:$A$60,0),MATCH('5'!$C$1,'Unique Asset List'!$BG$3:$BM$3,0))</f>
        <v>0.42</v>
      </c>
      <c r="AI52" s="11">
        <v>0.96187963349867744</v>
      </c>
      <c r="AJ52" s="15">
        <f>INDEX('Unique Asset List'!$AL$4:$AR$60,MATCH('5'!$B52,'Unique Asset List'!$A$4:$A$60,0),MATCH('5'!$C$1,'Unique Asset List'!$AL$3:$AR$3,0))</f>
        <v>1.2944496352201866</v>
      </c>
      <c r="AK52" s="15">
        <f>INDEX('Unique Asset List'!$AS$4:$AY$60,MATCH('5'!$B52,'Unique Asset List'!$A$4:$A$60,0),MATCH('5'!$C$1,'Unique Asset List'!$AS$3:$AY$3,0))</f>
        <v>-1.4425350046709582</v>
      </c>
      <c r="AL52" s="9">
        <v>169</v>
      </c>
      <c r="AM52" s="14">
        <f>INDEX(Simulation!$B$6:$H$6,MATCH($A52,Simulation!$B$1:$H$1,0))*(1+AN52)^((DATE(X52,Y52,15)-DATE(2017,1,15))/365.5)</f>
        <v>3.5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11"/>
        <v>0.82</v>
      </c>
      <c r="AS52" s="10">
        <v>1</v>
      </c>
      <c r="AT52" s="10"/>
      <c r="AU52" s="4">
        <f>IF($C$5="ON",BU52,MyRating(_E1,$B52,Efficacy!$F$1))</f>
        <v>4</v>
      </c>
      <c r="AV52" s="3">
        <f>IF($C$5="ON",BV52,MyRating(_E2,$B52,Efficacy!$F$1))</f>
        <v>5</v>
      </c>
      <c r="AW52" s="3">
        <f>IF($C$5="ON",BW52,MyRating(_E3,$B52,Efficacy!$F$1))</f>
        <v>5</v>
      </c>
      <c r="AX52" s="3">
        <f>IF($C$5="ON",BX52,MyRating(_E4,$B52,Efficacy!$F$1))</f>
        <v>4</v>
      </c>
      <c r="AY52" s="3">
        <f>IF($C$5="ON",BY52,MyRating(_E5,$B52,Efficacy!$F$1))</f>
        <v>4</v>
      </c>
      <c r="AZ52" s="3">
        <f>IF($C$5="ON",BZ52,MyRating(_E6,$B52,Efficacy!$F$1))</f>
        <v>3</v>
      </c>
      <c r="BA52" s="3">
        <f>IF($C$5="ON",CA52,MyRating(_E7,$B52,Efficacy!$F$1))</f>
        <v>3</v>
      </c>
      <c r="BB52" s="3">
        <f>IF($C$5="ON",CB52,MyRating(_E8,$B52,Efficacy!$F$1))</f>
        <v>4</v>
      </c>
      <c r="BC52" s="3">
        <f>IF($C$5="ON",CC52,MyRating(_S1,$B52,Efficacy!$F$1))</f>
        <v>5</v>
      </c>
      <c r="BD52" s="3">
        <f>IF($C$5="ON",CD52,MyRating(_S2,$B52,Efficacy!$F$1))</f>
        <v>3</v>
      </c>
      <c r="BE52" s="3">
        <f>IF($C$5="ON",CE52,MyRating(_S3,$B52,Efficacy!$F$1))</f>
        <v>3</v>
      </c>
      <c r="BF52" s="3">
        <f>IF($C$5="ON",CF52,MyRating(_S4,$B52,Efficacy!$F$1))</f>
        <v>4</v>
      </c>
      <c r="BG52" s="3">
        <f>IF($C$5="ON",CG52,MyRating(_S5,$B52,Efficacy!$F$1))</f>
        <v>5</v>
      </c>
      <c r="BH52" s="3">
        <f>IF($C$5="ON",CH52,MyRating(_S6,$B52,Efficacy!$F$1))</f>
        <v>3</v>
      </c>
      <c r="BI52" s="3">
        <f>IF($C$5="ON",CI52,MyRating(_S7,$B52,Efficacy!$F$1))</f>
        <v>3</v>
      </c>
      <c r="BJ52" s="3">
        <f>IF($C$5="ON",CJ52,MyRating(_D1,$B52,Efficacy!$F$1))</f>
        <v>3</v>
      </c>
      <c r="BK52" s="3">
        <f>IF($C$5="ON",CK52,MyRating(_D2,$B52,Efficacy!$F$1))</f>
        <v>3</v>
      </c>
      <c r="BL52" s="3">
        <f>IF($C$5="ON",CL52,MyRating(_D3,$B52,Efficacy!$F$1))</f>
        <v>3</v>
      </c>
      <c r="BM52" s="3">
        <f>IF($C$5="ON",CM52,MyRating(_D4,$B52,Efficacy!$F$1))</f>
        <v>3</v>
      </c>
      <c r="BN52" s="3">
        <f>IF($C$5="ON",CN52,MyRating(_B1G5,$B52,Barrier!$L$2))</f>
        <v>2</v>
      </c>
      <c r="BO52" s="3">
        <f>IF($C$5="ON",CO52,MyRating(_B2,$B52,Barrier!$F$2))</f>
        <v>3</v>
      </c>
      <c r="BP52" s="6">
        <f>IF($C$5="ON",CP52,MyRating(_B3,$B52,Barrier!$F$2))</f>
        <v>3</v>
      </c>
      <c r="BQ52" s="5">
        <f t="shared" si="12"/>
        <v>3.6275844714639842E-2</v>
      </c>
      <c r="BR52" s="8">
        <f t="shared" si="13"/>
        <v>2.9499999999999997</v>
      </c>
      <c r="BS52" s="5">
        <f t="shared" si="14"/>
        <v>3.60415394013439E-2</v>
      </c>
      <c r="BT52" s="7">
        <f t="shared" si="15"/>
        <v>1.8542316878791175E-2</v>
      </c>
      <c r="BU52" s="4">
        <v>4</v>
      </c>
      <c r="BV52" s="3">
        <v>5</v>
      </c>
      <c r="BW52" s="3">
        <v>5</v>
      </c>
      <c r="BX52" s="3">
        <v>4</v>
      </c>
      <c r="BY52" s="3">
        <v>4</v>
      </c>
      <c r="BZ52" s="3">
        <v>3</v>
      </c>
      <c r="CA52" s="3">
        <v>3</v>
      </c>
      <c r="CB52" s="3">
        <v>4</v>
      </c>
      <c r="CC52" s="3">
        <v>5</v>
      </c>
      <c r="CD52" s="3">
        <v>3</v>
      </c>
      <c r="CE52" s="3">
        <v>3</v>
      </c>
      <c r="CF52" s="3">
        <v>4</v>
      </c>
      <c r="CG52" s="3">
        <v>5</v>
      </c>
      <c r="CH52" s="3">
        <v>3</v>
      </c>
      <c r="CI52" s="3">
        <v>3</v>
      </c>
      <c r="CJ52" s="3">
        <v>3</v>
      </c>
      <c r="CK52" s="3">
        <v>3</v>
      </c>
      <c r="CL52" s="3">
        <v>3</v>
      </c>
      <c r="CM52" s="3">
        <v>3</v>
      </c>
      <c r="CN52" s="3">
        <v>2</v>
      </c>
      <c r="CO52" s="3">
        <v>3</v>
      </c>
      <c r="CP52" s="6">
        <v>3</v>
      </c>
      <c r="CQ52" s="5">
        <v>3.6275844714639842E-2</v>
      </c>
    </row>
    <row r="53" spans="1:95" x14ac:dyDescent="0.35">
      <c r="A53" s="9" t="str">
        <f t="shared" si="10"/>
        <v>ES</v>
      </c>
      <c r="B53" s="9" t="s">
        <v>67</v>
      </c>
      <c r="C53" s="20" t="s">
        <v>3</v>
      </c>
      <c r="D53" s="9" t="s">
        <v>2</v>
      </c>
      <c r="E53" s="9" t="s">
        <v>193</v>
      </c>
      <c r="F53" s="9" t="s">
        <v>1</v>
      </c>
      <c r="G53" s="19">
        <v>0</v>
      </c>
      <c r="H53" s="9">
        <v>2014</v>
      </c>
      <c r="I53" s="9">
        <v>6</v>
      </c>
      <c r="J53" s="18">
        <f>INDEX(PTRS!$D$6:$D$12,MATCH('5'!$F53,PTRS!$B$6:$B$12,0))</f>
        <v>0.1044225</v>
      </c>
      <c r="K53" s="17">
        <v>0</v>
      </c>
      <c r="L53" s="17">
        <v>0.1044225</v>
      </c>
      <c r="M53" s="17">
        <v>0.1044225</v>
      </c>
      <c r="N53" s="17">
        <v>0.1044225</v>
      </c>
      <c r="O53" s="17">
        <v>0.1044225</v>
      </c>
      <c r="P53" s="17">
        <v>0.1044225</v>
      </c>
      <c r="Q53" s="17">
        <v>1</v>
      </c>
      <c r="R53" s="17">
        <v>1</v>
      </c>
      <c r="S53" s="17">
        <v>1</v>
      </c>
      <c r="T53" s="17"/>
      <c r="U53" s="17">
        <f t="shared" si="16"/>
        <v>0.72649652910676854</v>
      </c>
      <c r="V53" s="17">
        <v>1</v>
      </c>
      <c r="W53" s="9" t="s">
        <v>67</v>
      </c>
      <c r="X53" s="9">
        <f>INDEX('Unique Asset List'!$C$4:$I$60,MATCH('5'!$B53,'Unique Asset List'!$A$4:$A$60,0),MATCH('5'!$C$1,'Unique Asset List'!$C$3:$I$3,0))</f>
        <v>2033</v>
      </c>
      <c r="Y53" s="9">
        <f>INDEX('Unique Asset List'!$J$4:$P$60,MATCH('5'!$B53,'Unique Asset List'!$A$4:$A$60,0),MATCH('5'!$C$1,'Unique Asset List'!$J$3:$P$3,0))</f>
        <v>3.9999999999990905</v>
      </c>
      <c r="Z53" s="9">
        <f>INDEX('Unique Asset List'!$X$4:$AD$60,MATCH('5'!$B53,'Unique Asset List'!$A$4:$A$60,0),MATCH('5'!$C$1,'Unique Asset List'!$X$3:$AD$3,0))</f>
        <v>2041</v>
      </c>
      <c r="AA53" s="9">
        <f>INDEX('Unique Asset List'!$AE$4:$AK$60,MATCH('5'!$B53,'Unique Asset List'!$A$4:$A$60,0),MATCH('5'!$C$1,'Unique Asset List'!$AE$3:$AK$3,0))</f>
        <v>3</v>
      </c>
      <c r="AB53" s="16">
        <f t="shared" si="17"/>
        <v>2.3276916000000001</v>
      </c>
      <c r="AC53" s="16">
        <f t="shared" si="18"/>
        <v>1.0028454</v>
      </c>
      <c r="AD53" s="16">
        <f t="shared" si="19"/>
        <v>0.56099999999999994</v>
      </c>
      <c r="AE53" s="15">
        <f>INDEX('Unique Asset List'!$BN$4:$BT$60,MATCH('5'!$B53,'Unique Asset List'!$A$4:$A$60,0),MATCH('5'!$C$1,'Unique Asset List'!$BN$3:$BT$3,0))</f>
        <v>0.08</v>
      </c>
      <c r="AF53" s="15">
        <f>INDEX('Unique Asset List'!$BU$4:$CA$60,MATCH('5'!$B53,'Unique Asset List'!$A$4:$A$60,0),MATCH('5'!$C$1,'Unique Asset List'!$BU$3:$CA$3,0))</f>
        <v>0.42</v>
      </c>
      <c r="AG53" s="15">
        <f>INDEX('Unique Asset List'!$AZ$4:$BF$60,MATCH('5'!$B53,'Unique Asset List'!$A$4:$A$60,0),MATCH('5'!$C$1,'Unique Asset List'!$AZ$3:$BF$3,0))</f>
        <v>0.08</v>
      </c>
      <c r="AH53" s="15">
        <f>INDEX('Unique Asset List'!$BG$4:$BM$60,MATCH('5'!$B53,'Unique Asset List'!$A$4:$A$60,0),MATCH('5'!$C$1,'Unique Asset List'!$BG$3:$BM$3,0))</f>
        <v>0.42</v>
      </c>
      <c r="AI53" s="11">
        <v>0.96187963349867744</v>
      </c>
      <c r="AJ53" s="15">
        <f>INDEX('Unique Asset List'!$AL$4:$AR$60,MATCH('5'!$B53,'Unique Asset List'!$A$4:$A$60,0),MATCH('5'!$C$1,'Unique Asset List'!$AL$3:$AR$3,0))</f>
        <v>1.2944496352201866</v>
      </c>
      <c r="AK53" s="15">
        <f>INDEX('Unique Asset List'!$AS$4:$AY$60,MATCH('5'!$B53,'Unique Asset List'!$A$4:$A$60,0),MATCH('5'!$C$1,'Unique Asset List'!$AS$3:$AY$3,0))</f>
        <v>-1.4425350046709582</v>
      </c>
      <c r="AL53" s="9">
        <v>169</v>
      </c>
      <c r="AM53" s="14">
        <f>INDEX(Simulation!$B$6:$H$6,MATCH($A53,Simulation!$B$1:$H$1,0))*(1+AN53)^((DATE(X53,Y53,15)-DATE(2017,1,15))/365.5)</f>
        <v>3.5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11"/>
        <v>0.82</v>
      </c>
      <c r="AS53" s="10">
        <v>1</v>
      </c>
      <c r="AT53" s="10"/>
      <c r="AU53" s="4">
        <f>IF($C$5="ON",BU53,MyRating(_E1,$B53,Efficacy!$F$1))</f>
        <v>4</v>
      </c>
      <c r="AV53" s="3">
        <f>IF($C$5="ON",BV53,MyRating(_E2,$B53,Efficacy!$F$1))</f>
        <v>5</v>
      </c>
      <c r="AW53" s="3">
        <f>IF($C$5="ON",BW53,MyRating(_E3,$B53,Efficacy!$F$1))</f>
        <v>5</v>
      </c>
      <c r="AX53" s="3">
        <f>IF($C$5="ON",BX53,MyRating(_E4,$B53,Efficacy!$F$1))</f>
        <v>4</v>
      </c>
      <c r="AY53" s="3">
        <f>IF($C$5="ON",BY53,MyRating(_E5,$B53,Efficacy!$F$1))</f>
        <v>4</v>
      </c>
      <c r="AZ53" s="3">
        <f>IF($C$5="ON",BZ53,MyRating(_E6,$B53,Efficacy!$F$1))</f>
        <v>3</v>
      </c>
      <c r="BA53" s="3">
        <f>IF($C$5="ON",CA53,MyRating(_E7,$B53,Efficacy!$F$1))</f>
        <v>3</v>
      </c>
      <c r="BB53" s="3">
        <f>IF($C$5="ON",CB53,MyRating(_E8,$B53,Efficacy!$F$1))</f>
        <v>4</v>
      </c>
      <c r="BC53" s="3">
        <f>IF($C$5="ON",CC53,MyRating(_S1,$B53,Efficacy!$F$1))</f>
        <v>5</v>
      </c>
      <c r="BD53" s="3">
        <f>IF($C$5="ON",CD53,MyRating(_S2,$B53,Efficacy!$F$1))</f>
        <v>3</v>
      </c>
      <c r="BE53" s="3">
        <f>IF($C$5="ON",CE53,MyRating(_S3,$B53,Efficacy!$F$1))</f>
        <v>3</v>
      </c>
      <c r="BF53" s="3">
        <f>IF($C$5="ON",CF53,MyRating(_S4,$B53,Efficacy!$F$1))</f>
        <v>4</v>
      </c>
      <c r="BG53" s="3">
        <f>IF($C$5="ON",CG53,MyRating(_S5,$B53,Efficacy!$F$1))</f>
        <v>5</v>
      </c>
      <c r="BH53" s="3">
        <f>IF($C$5="ON",CH53,MyRating(_S6,$B53,Efficacy!$F$1))</f>
        <v>3</v>
      </c>
      <c r="BI53" s="3">
        <f>IF($C$5="ON",CI53,MyRating(_S7,$B53,Efficacy!$F$1))</f>
        <v>3</v>
      </c>
      <c r="BJ53" s="3">
        <f>IF($C$5="ON",CJ53,MyRating(_D1,$B53,Efficacy!$F$1))</f>
        <v>3</v>
      </c>
      <c r="BK53" s="3">
        <f>IF($C$5="ON",CK53,MyRating(_D2,$B53,Efficacy!$F$1))</f>
        <v>3</v>
      </c>
      <c r="BL53" s="3">
        <f>IF($C$5="ON",CL53,MyRating(_D3,$B53,Efficacy!$F$1))</f>
        <v>3</v>
      </c>
      <c r="BM53" s="3">
        <f>IF($C$5="ON",CM53,MyRating(_D4,$B53,Efficacy!$F$1))</f>
        <v>3</v>
      </c>
      <c r="BN53" s="3">
        <f>IF($C$5="ON",CN53,MyRating(_B1G5,$B53,Barrier!$L$2))</f>
        <v>2</v>
      </c>
      <c r="BO53" s="3">
        <f>IF($C$5="ON",CO53,MyRating(_B2,$B53,Barrier!$F$2))</f>
        <v>3</v>
      </c>
      <c r="BP53" s="6">
        <f>IF($C$5="ON",CP53,MyRating(_B3,$B53,Barrier!$F$2))</f>
        <v>3</v>
      </c>
      <c r="BQ53" s="5">
        <f t="shared" si="12"/>
        <v>3.6275844714639842E-2</v>
      </c>
      <c r="BR53" s="8">
        <f t="shared" si="13"/>
        <v>2.9499999999999997</v>
      </c>
      <c r="BS53" s="5">
        <f t="shared" si="14"/>
        <v>3.60415394013439E-2</v>
      </c>
      <c r="BT53" s="7">
        <f t="shared" si="15"/>
        <v>1.8542316878791175E-2</v>
      </c>
      <c r="BU53" s="4">
        <v>4</v>
      </c>
      <c r="BV53" s="3">
        <v>5</v>
      </c>
      <c r="BW53" s="3">
        <v>5</v>
      </c>
      <c r="BX53" s="3">
        <v>4</v>
      </c>
      <c r="BY53" s="3">
        <v>4</v>
      </c>
      <c r="BZ53" s="3">
        <v>3</v>
      </c>
      <c r="CA53" s="3">
        <v>3</v>
      </c>
      <c r="CB53" s="3">
        <v>4</v>
      </c>
      <c r="CC53" s="3">
        <v>5</v>
      </c>
      <c r="CD53" s="3">
        <v>3</v>
      </c>
      <c r="CE53" s="3">
        <v>3</v>
      </c>
      <c r="CF53" s="3">
        <v>4</v>
      </c>
      <c r="CG53" s="3">
        <v>5</v>
      </c>
      <c r="CH53" s="3">
        <v>3</v>
      </c>
      <c r="CI53" s="3">
        <v>3</v>
      </c>
      <c r="CJ53" s="3">
        <v>3</v>
      </c>
      <c r="CK53" s="3">
        <v>3</v>
      </c>
      <c r="CL53" s="3">
        <v>3</v>
      </c>
      <c r="CM53" s="3">
        <v>3</v>
      </c>
      <c r="CN53" s="3">
        <v>2</v>
      </c>
      <c r="CO53" s="3">
        <v>3</v>
      </c>
      <c r="CP53" s="6">
        <v>3</v>
      </c>
      <c r="CQ53" s="5">
        <v>3.6275844714639842E-2</v>
      </c>
    </row>
    <row r="54" spans="1:95" x14ac:dyDescent="0.35">
      <c r="A54" s="9" t="str">
        <f t="shared" si="10"/>
        <v>ES</v>
      </c>
      <c r="B54" s="9" t="s">
        <v>192</v>
      </c>
      <c r="C54" s="20" t="s">
        <v>3</v>
      </c>
      <c r="D54" s="9" t="s">
        <v>2</v>
      </c>
      <c r="E54" s="9"/>
      <c r="F54" s="9" t="s">
        <v>1</v>
      </c>
      <c r="G54" s="19">
        <v>0</v>
      </c>
      <c r="H54" s="9">
        <v>2014</v>
      </c>
      <c r="I54" s="9">
        <v>6</v>
      </c>
      <c r="J54" s="18">
        <f>INDEX(PTRS!$D$6:$D$12,MATCH('5'!$F54,PTRS!$B$6:$B$12,0))</f>
        <v>0.1044225</v>
      </c>
      <c r="K54" s="17">
        <v>0</v>
      </c>
      <c r="L54" s="17">
        <v>0.1044225</v>
      </c>
      <c r="M54" s="17">
        <v>0.1044225</v>
      </c>
      <c r="N54" s="17">
        <v>0.1044225</v>
      </c>
      <c r="O54" s="17">
        <v>0.1044225</v>
      </c>
      <c r="P54" s="17">
        <v>0.1044225</v>
      </c>
      <c r="Q54" s="17">
        <v>0.1044225</v>
      </c>
      <c r="R54" s="17">
        <v>0.1044225</v>
      </c>
      <c r="S54" s="17">
        <v>1</v>
      </c>
      <c r="T54" s="17"/>
      <c r="U54" s="17">
        <f t="shared" si="16"/>
        <v>0</v>
      </c>
      <c r="V54" s="17">
        <v>1</v>
      </c>
      <c r="W54" s="9" t="s">
        <v>0</v>
      </c>
      <c r="X54" s="9">
        <f>INDEX('Unique Asset List'!$C$4:$I$60,MATCH('5'!$B54,'Unique Asset List'!$A$4:$A$60,0),MATCH('5'!$C$1,'Unique Asset List'!$C$3:$I$3,0))</f>
        <v>2052</v>
      </c>
      <c r="Y54" s="9">
        <f>INDEX('Unique Asset List'!$J$4:$P$60,MATCH('5'!$B54,'Unique Asset List'!$A$4:$A$60,0),MATCH('5'!$C$1,'Unique Asset List'!$J$3:$P$3,0))</f>
        <v>7.000000000001819</v>
      </c>
      <c r="Z54" s="9">
        <f>INDEX('Unique Asset List'!$X$4:$AD$60,MATCH('5'!$B54,'Unique Asset List'!$A$4:$A$60,0),MATCH('5'!$C$1,'Unique Asset List'!$X$3:$AD$3,0))</f>
        <v>2060</v>
      </c>
      <c r="AA54" s="9">
        <f>INDEX('Unique Asset List'!$AE$4:$AK$60,MATCH('5'!$B54,'Unique Asset List'!$A$4:$A$60,0),MATCH('5'!$C$1,'Unique Asset List'!$AE$3:$AK$3,0))</f>
        <v>6</v>
      </c>
      <c r="AB54" s="16">
        <f t="shared" si="17"/>
        <v>0</v>
      </c>
      <c r="AC54" s="16">
        <f t="shared" si="18"/>
        <v>0</v>
      </c>
      <c r="AD54" s="16">
        <f t="shared" si="19"/>
        <v>0</v>
      </c>
      <c r="AE54" s="15">
        <f>INDEX('Unique Asset List'!$BN$4:$BT$60,MATCH('5'!$B54,'Unique Asset List'!$A$4:$A$60,0),MATCH('5'!$C$1,'Unique Asset List'!$BN$3:$BT$3,0))</f>
        <v>0.08</v>
      </c>
      <c r="AF54" s="15">
        <f>INDEX('Unique Asset List'!$BU$4:$CA$60,MATCH('5'!$B54,'Unique Asset List'!$A$4:$A$60,0),MATCH('5'!$C$1,'Unique Asset List'!$BU$3:$CA$3,0))</f>
        <v>0.42</v>
      </c>
      <c r="AG54" s="15">
        <f>INDEX('Unique Asset List'!$AZ$4:$BF$60,MATCH('5'!$B54,'Unique Asset List'!$A$4:$A$60,0),MATCH('5'!$C$1,'Unique Asset List'!$AZ$3:$BF$3,0))</f>
        <v>0.08</v>
      </c>
      <c r="AH54" s="15">
        <f>INDEX('Unique Asset List'!$BG$4:$BM$60,MATCH('5'!$B54,'Unique Asset List'!$A$4:$A$60,0),MATCH('5'!$C$1,'Unique Asset List'!$BG$3:$BM$3,0))</f>
        <v>0.42</v>
      </c>
      <c r="AI54" s="11">
        <v>0.96187963349867744</v>
      </c>
      <c r="AJ54" s="15">
        <f>INDEX('Unique Asset List'!$AL$4:$AR$60,MATCH('5'!$B54,'Unique Asset List'!$A$4:$A$60,0),MATCH('5'!$C$1,'Unique Asset List'!$AL$3:$AR$3,0))</f>
        <v>1.2944496352201866</v>
      </c>
      <c r="AK54" s="15">
        <f>INDEX('Unique Asset List'!$AS$4:$AY$60,MATCH('5'!$B54,'Unique Asset List'!$A$4:$A$60,0),MATCH('5'!$C$1,'Unique Asset List'!$AS$3:$AY$3,0))</f>
        <v>-1.4425350046709582</v>
      </c>
      <c r="AL54" s="9">
        <v>169</v>
      </c>
      <c r="AM54" s="14">
        <f>INDEX(Simulation!$B$6:$H$6,MATCH($A54,Simulation!$B$1:$H$1,0))*(1+AN54)^((DATE(X54,Y54,15)-DATE(2017,1,15))/365.5)</f>
        <v>3.5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11"/>
        <v>0.82</v>
      </c>
      <c r="AS54" s="10">
        <v>1</v>
      </c>
      <c r="AT54" s="10"/>
      <c r="AU54" s="4">
        <f>IF($C$5="ON",BU54,MyRating(_E1,$B54,Efficacy!$F$1))</f>
        <v>0</v>
      </c>
      <c r="AV54" s="3">
        <f>IF($C$5="ON",BV54,MyRating(_E2,$B54,Efficacy!$F$1))</f>
        <v>0</v>
      </c>
      <c r="AW54" s="3">
        <f>IF($C$5="ON",BW54,MyRating(_E3,$B54,Efficacy!$F$1))</f>
        <v>0</v>
      </c>
      <c r="AX54" s="3">
        <f>IF($C$5="ON",BX54,MyRating(_E4,$B54,Efficacy!$F$1))</f>
        <v>0</v>
      </c>
      <c r="AY54" s="3">
        <f>IF($C$5="ON",BY54,MyRating(_E5,$B54,Efficacy!$F$1))</f>
        <v>0</v>
      </c>
      <c r="AZ54" s="3">
        <f>IF($C$5="ON",BZ54,MyRating(_E6,$B54,Efficacy!$F$1))</f>
        <v>0</v>
      </c>
      <c r="BA54" s="3">
        <f>IF($C$5="ON",CA54,MyRating(_E7,$B54,Efficacy!$F$1))</f>
        <v>0</v>
      </c>
      <c r="BB54" s="3">
        <f>IF($C$5="ON",CB54,MyRating(_E8,$B54,Efficacy!$F$1))</f>
        <v>0</v>
      </c>
      <c r="BC54" s="3">
        <f>IF($C$5="ON",CC54,MyRating(_S1,$B54,Efficacy!$F$1))</f>
        <v>0</v>
      </c>
      <c r="BD54" s="3">
        <f>IF($C$5="ON",CD54,MyRating(_S2,$B54,Efficacy!$F$1))</f>
        <v>0</v>
      </c>
      <c r="BE54" s="3">
        <f>IF($C$5="ON",CE54,MyRating(_S3,$B54,Efficacy!$F$1))</f>
        <v>0</v>
      </c>
      <c r="BF54" s="3">
        <f>IF($C$5="ON",CF54,MyRating(_S4,$B54,Efficacy!$F$1))</f>
        <v>0</v>
      </c>
      <c r="BG54" s="3">
        <f>IF($C$5="ON",CG54,MyRating(_S5,$B54,Efficacy!$F$1))</f>
        <v>0</v>
      </c>
      <c r="BH54" s="3">
        <f>IF($C$5="ON",CH54,MyRating(_S6,$B54,Efficacy!$F$1))</f>
        <v>0</v>
      </c>
      <c r="BI54" s="3">
        <f>IF($C$5="ON",CI54,MyRating(_S7,$B54,Efficacy!$F$1))</f>
        <v>0</v>
      </c>
      <c r="BJ54" s="3">
        <f>IF($C$5="ON",CJ54,MyRating(_D1,$B54,Efficacy!$F$1))</f>
        <v>0</v>
      </c>
      <c r="BK54" s="3">
        <f>IF($C$5="ON",CK54,MyRating(_D2,$B54,Efficacy!$F$1))</f>
        <v>0</v>
      </c>
      <c r="BL54" s="3">
        <f>IF($C$5="ON",CL54,MyRating(_D3,$B54,Efficacy!$F$1))</f>
        <v>0</v>
      </c>
      <c r="BM54" s="3">
        <f>IF($C$5="ON",CM54,MyRating(_D4,$B54,Efficacy!$F$1))</f>
        <v>0</v>
      </c>
      <c r="BN54" s="3">
        <f>IF($C$5="ON",CN54,MyRating(_B1G5,$B54,Barrier!$L$2))</f>
        <v>0</v>
      </c>
      <c r="BO54" s="3">
        <f>IF($C$5="ON",CO54,MyRating(_B2,$B54,Barrier!$F$2))</f>
        <v>0</v>
      </c>
      <c r="BP54" s="6">
        <f>IF($C$5="ON",CP54,MyRating(_B3,$B54,Barrier!$F$2))</f>
        <v>0</v>
      </c>
      <c r="BQ54" s="5">
        <f t="shared" si="12"/>
        <v>0</v>
      </c>
      <c r="BR54" s="8">
        <f t="shared" si="13"/>
        <v>0</v>
      </c>
      <c r="BS54" s="5">
        <f t="shared" si="14"/>
        <v>0</v>
      </c>
      <c r="BT54" s="7">
        <f t="shared" si="15"/>
        <v>0</v>
      </c>
      <c r="BU54" s="4">
        <v>0</v>
      </c>
      <c r="BV54" s="3">
        <v>0</v>
      </c>
      <c r="BW54" s="3">
        <v>0</v>
      </c>
      <c r="BX54" s="3">
        <v>0</v>
      </c>
      <c r="BY54" s="3">
        <v>0</v>
      </c>
      <c r="BZ54" s="3">
        <v>0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6">
        <v>0</v>
      </c>
      <c r="CQ54" s="5">
        <v>0</v>
      </c>
    </row>
    <row r="55" spans="1:95" x14ac:dyDescent="0.35">
      <c r="A55" s="9" t="str">
        <f t="shared" si="10"/>
        <v>ES</v>
      </c>
      <c r="B55" s="9" t="s">
        <v>191</v>
      </c>
      <c r="C55" s="20" t="s">
        <v>3</v>
      </c>
      <c r="D55" s="9" t="s">
        <v>2</v>
      </c>
      <c r="E55" s="9"/>
      <c r="F55" s="9" t="s">
        <v>1</v>
      </c>
      <c r="G55" s="19">
        <v>0</v>
      </c>
      <c r="H55" s="9">
        <v>2014</v>
      </c>
      <c r="I55" s="9">
        <v>6</v>
      </c>
      <c r="J55" s="18">
        <f>INDEX(PTRS!$D$6:$D$12,MATCH('5'!$F55,PTRS!$B$6:$B$12,0))</f>
        <v>0.1044225</v>
      </c>
      <c r="K55" s="17">
        <v>0</v>
      </c>
      <c r="L55" s="17">
        <v>0.1044225</v>
      </c>
      <c r="M55" s="17">
        <v>0.1044225</v>
      </c>
      <c r="N55" s="17">
        <v>0.1044225</v>
      </c>
      <c r="O55" s="17">
        <v>0.1044225</v>
      </c>
      <c r="P55" s="17">
        <v>0.1044225</v>
      </c>
      <c r="Q55" s="17">
        <v>0.1044225</v>
      </c>
      <c r="R55" s="17">
        <v>0.1044225</v>
      </c>
      <c r="S55" s="17">
        <v>1</v>
      </c>
      <c r="T55" s="17"/>
      <c r="U55" s="17">
        <f t="shared" si="16"/>
        <v>0</v>
      </c>
      <c r="V55" s="17">
        <v>1</v>
      </c>
      <c r="W55" s="9" t="s">
        <v>0</v>
      </c>
      <c r="X55" s="9">
        <f>INDEX('Unique Asset List'!$C$4:$I$60,MATCH('5'!$B55,'Unique Asset List'!$A$4:$A$60,0),MATCH('5'!$C$1,'Unique Asset List'!$C$3:$I$3,0))</f>
        <v>2052</v>
      </c>
      <c r="Y55" s="9">
        <f>INDEX('Unique Asset List'!$J$4:$P$60,MATCH('5'!$B55,'Unique Asset List'!$A$4:$A$60,0),MATCH('5'!$C$1,'Unique Asset List'!$J$3:$P$3,0))</f>
        <v>7.000000000001819</v>
      </c>
      <c r="Z55" s="9">
        <f>INDEX('Unique Asset List'!$X$4:$AD$60,MATCH('5'!$B55,'Unique Asset List'!$A$4:$A$60,0),MATCH('5'!$C$1,'Unique Asset List'!$X$3:$AD$3,0))</f>
        <v>2060</v>
      </c>
      <c r="AA55" s="9">
        <f>INDEX('Unique Asset List'!$AE$4:$AK$60,MATCH('5'!$B55,'Unique Asset List'!$A$4:$A$60,0),MATCH('5'!$C$1,'Unique Asset List'!$AE$3:$AK$3,0))</f>
        <v>6</v>
      </c>
      <c r="AB55" s="16">
        <f t="shared" si="17"/>
        <v>0</v>
      </c>
      <c r="AC55" s="16">
        <f t="shared" si="18"/>
        <v>0</v>
      </c>
      <c r="AD55" s="16">
        <f t="shared" si="19"/>
        <v>0</v>
      </c>
      <c r="AE55" s="15">
        <f>INDEX('Unique Asset List'!$BN$4:$BT$60,MATCH('5'!$B55,'Unique Asset List'!$A$4:$A$60,0),MATCH('5'!$C$1,'Unique Asset List'!$BN$3:$BT$3,0))</f>
        <v>0.08</v>
      </c>
      <c r="AF55" s="15">
        <f>INDEX('Unique Asset List'!$BU$4:$CA$60,MATCH('5'!$B55,'Unique Asset List'!$A$4:$A$60,0),MATCH('5'!$C$1,'Unique Asset List'!$BU$3:$CA$3,0))</f>
        <v>0.42</v>
      </c>
      <c r="AG55" s="15">
        <f>INDEX('Unique Asset List'!$AZ$4:$BF$60,MATCH('5'!$B55,'Unique Asset List'!$A$4:$A$60,0),MATCH('5'!$C$1,'Unique Asset List'!$AZ$3:$BF$3,0))</f>
        <v>0.08</v>
      </c>
      <c r="AH55" s="15">
        <f>INDEX('Unique Asset List'!$BG$4:$BM$60,MATCH('5'!$B55,'Unique Asset List'!$A$4:$A$60,0),MATCH('5'!$C$1,'Unique Asset List'!$BG$3:$BM$3,0))</f>
        <v>0.42</v>
      </c>
      <c r="AI55" s="11">
        <v>0.96187963349867744</v>
      </c>
      <c r="AJ55" s="15">
        <f>INDEX('Unique Asset List'!$AL$4:$AR$60,MATCH('5'!$B55,'Unique Asset List'!$A$4:$A$60,0),MATCH('5'!$C$1,'Unique Asset List'!$AL$3:$AR$3,0))</f>
        <v>1.2944496352201866</v>
      </c>
      <c r="AK55" s="15">
        <f>INDEX('Unique Asset List'!$AS$4:$AY$60,MATCH('5'!$B55,'Unique Asset List'!$A$4:$A$60,0),MATCH('5'!$C$1,'Unique Asset List'!$AS$3:$AY$3,0))</f>
        <v>-1.4425350046709582</v>
      </c>
      <c r="AL55" s="9">
        <v>169</v>
      </c>
      <c r="AM55" s="14">
        <f>INDEX(Simulation!$B$6:$H$6,MATCH($A55,Simulation!$B$1:$H$1,0))*(1+AN55)^((DATE(X55,Y55,15)-DATE(2017,1,15))/365.5)</f>
        <v>3.5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11"/>
        <v>0.82</v>
      </c>
      <c r="AS55" s="10">
        <v>1</v>
      </c>
      <c r="AT55" s="10"/>
      <c r="AU55" s="4">
        <f>IF($C$5="ON",BU55,MyRating(_E1,$B55,Efficacy!$F$1))</f>
        <v>0</v>
      </c>
      <c r="AV55" s="3">
        <f>IF($C$5="ON",BV55,MyRating(_E2,$B55,Efficacy!$F$1))</f>
        <v>0</v>
      </c>
      <c r="AW55" s="3">
        <f>IF($C$5="ON",BW55,MyRating(_E3,$B55,Efficacy!$F$1))</f>
        <v>0</v>
      </c>
      <c r="AX55" s="3">
        <f>IF($C$5="ON",BX55,MyRating(_E4,$B55,Efficacy!$F$1))</f>
        <v>0</v>
      </c>
      <c r="AY55" s="3">
        <f>IF($C$5="ON",BY55,MyRating(_E5,$B55,Efficacy!$F$1))</f>
        <v>0</v>
      </c>
      <c r="AZ55" s="3">
        <f>IF($C$5="ON",BZ55,MyRating(_E6,$B55,Efficacy!$F$1))</f>
        <v>0</v>
      </c>
      <c r="BA55" s="3">
        <f>IF($C$5="ON",CA55,MyRating(_E7,$B55,Efficacy!$F$1))</f>
        <v>0</v>
      </c>
      <c r="BB55" s="3">
        <f>IF($C$5="ON",CB55,MyRating(_E8,$B55,Efficacy!$F$1))</f>
        <v>0</v>
      </c>
      <c r="BC55" s="3">
        <f>IF($C$5="ON",CC55,MyRating(_S1,$B55,Efficacy!$F$1))</f>
        <v>0</v>
      </c>
      <c r="BD55" s="3">
        <f>IF($C$5="ON",CD55,MyRating(_S2,$B55,Efficacy!$F$1))</f>
        <v>0</v>
      </c>
      <c r="BE55" s="3">
        <f>IF($C$5="ON",CE55,MyRating(_S3,$B55,Efficacy!$F$1))</f>
        <v>0</v>
      </c>
      <c r="BF55" s="3">
        <f>IF($C$5="ON",CF55,MyRating(_S4,$B55,Efficacy!$F$1))</f>
        <v>0</v>
      </c>
      <c r="BG55" s="3">
        <f>IF($C$5="ON",CG55,MyRating(_S5,$B55,Efficacy!$F$1))</f>
        <v>0</v>
      </c>
      <c r="BH55" s="3">
        <f>IF($C$5="ON",CH55,MyRating(_S6,$B55,Efficacy!$F$1))</f>
        <v>0</v>
      </c>
      <c r="BI55" s="3">
        <f>IF($C$5="ON",CI55,MyRating(_S7,$B55,Efficacy!$F$1))</f>
        <v>0</v>
      </c>
      <c r="BJ55" s="3">
        <f>IF($C$5="ON",CJ55,MyRating(_D1,$B55,Efficacy!$F$1))</f>
        <v>0</v>
      </c>
      <c r="BK55" s="3">
        <f>IF($C$5="ON",CK55,MyRating(_D2,$B55,Efficacy!$F$1))</f>
        <v>0</v>
      </c>
      <c r="BL55" s="3">
        <f>IF($C$5="ON",CL55,MyRating(_D3,$B55,Efficacy!$F$1))</f>
        <v>0</v>
      </c>
      <c r="BM55" s="3">
        <f>IF($C$5="ON",CM55,MyRating(_D4,$B55,Efficacy!$F$1))</f>
        <v>0</v>
      </c>
      <c r="BN55" s="3">
        <f>IF($C$5="ON",CN55,MyRating(_B1G5,$B55,Barrier!$L$2))</f>
        <v>0</v>
      </c>
      <c r="BO55" s="3">
        <f>IF($C$5="ON",CO55,MyRating(_B2,$B55,Barrier!$F$2))</f>
        <v>0</v>
      </c>
      <c r="BP55" s="6">
        <f>IF($C$5="ON",CP55,MyRating(_B3,$B55,Barrier!$F$2))</f>
        <v>0</v>
      </c>
      <c r="BQ55" s="5">
        <f t="shared" si="12"/>
        <v>0</v>
      </c>
      <c r="BR55" s="8">
        <f t="shared" si="13"/>
        <v>0</v>
      </c>
      <c r="BS55" s="5">
        <f t="shared" si="14"/>
        <v>0</v>
      </c>
      <c r="BT55" s="7">
        <f t="shared" si="15"/>
        <v>0</v>
      </c>
      <c r="BU55" s="4">
        <v>0</v>
      </c>
      <c r="BV55" s="3">
        <v>0</v>
      </c>
      <c r="BW55" s="3">
        <v>0</v>
      </c>
      <c r="BX55" s="3">
        <v>0</v>
      </c>
      <c r="BY55" s="3">
        <v>0</v>
      </c>
      <c r="BZ55" s="3">
        <v>0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6">
        <v>0</v>
      </c>
      <c r="CQ55" s="5">
        <v>0</v>
      </c>
    </row>
    <row r="56" spans="1:95" x14ac:dyDescent="0.35">
      <c r="A56" s="9" t="str">
        <f t="shared" si="10"/>
        <v>ES</v>
      </c>
      <c r="B56" s="9" t="s">
        <v>190</v>
      </c>
      <c r="C56" s="20" t="s">
        <v>3</v>
      </c>
      <c r="D56" s="9" t="s">
        <v>2</v>
      </c>
      <c r="E56" s="9"/>
      <c r="F56" s="9" t="s">
        <v>1</v>
      </c>
      <c r="G56" s="19">
        <v>0</v>
      </c>
      <c r="H56" s="9">
        <v>2014</v>
      </c>
      <c r="I56" s="9">
        <v>6</v>
      </c>
      <c r="J56" s="18">
        <f>INDEX(PTRS!$D$6:$D$12,MATCH('5'!$F56,PTRS!$B$6:$B$12,0))</f>
        <v>0.1044225</v>
      </c>
      <c r="K56" s="17">
        <v>0</v>
      </c>
      <c r="L56" s="17">
        <v>0.1044225</v>
      </c>
      <c r="M56" s="17">
        <v>0.1044225</v>
      </c>
      <c r="N56" s="17">
        <v>0.1044225</v>
      </c>
      <c r="O56" s="17">
        <v>0.1044225</v>
      </c>
      <c r="P56" s="17">
        <v>0.1044225</v>
      </c>
      <c r="Q56" s="17">
        <v>0.1044225</v>
      </c>
      <c r="R56" s="17">
        <v>0.1044225</v>
      </c>
      <c r="S56" s="17">
        <v>1</v>
      </c>
      <c r="T56" s="17"/>
      <c r="U56" s="17">
        <f t="shared" si="16"/>
        <v>0</v>
      </c>
      <c r="V56" s="17">
        <v>1</v>
      </c>
      <c r="W56" s="9" t="s">
        <v>0</v>
      </c>
      <c r="X56" s="9">
        <f>INDEX('Unique Asset List'!$C$4:$I$60,MATCH('5'!$B56,'Unique Asset List'!$A$4:$A$60,0),MATCH('5'!$C$1,'Unique Asset List'!$C$3:$I$3,0))</f>
        <v>2052</v>
      </c>
      <c r="Y56" s="9">
        <f>INDEX('Unique Asset List'!$J$4:$P$60,MATCH('5'!$B56,'Unique Asset List'!$A$4:$A$60,0),MATCH('5'!$C$1,'Unique Asset List'!$J$3:$P$3,0))</f>
        <v>7.000000000001819</v>
      </c>
      <c r="Z56" s="9">
        <f>INDEX('Unique Asset List'!$X$4:$AD$60,MATCH('5'!$B56,'Unique Asset List'!$A$4:$A$60,0),MATCH('5'!$C$1,'Unique Asset List'!$X$3:$AD$3,0))</f>
        <v>2060</v>
      </c>
      <c r="AA56" s="9">
        <f>INDEX('Unique Asset List'!$AE$4:$AK$60,MATCH('5'!$B56,'Unique Asset List'!$A$4:$A$60,0),MATCH('5'!$C$1,'Unique Asset List'!$AE$3:$AK$3,0))</f>
        <v>6</v>
      </c>
      <c r="AB56" s="16">
        <f t="shared" si="17"/>
        <v>0</v>
      </c>
      <c r="AC56" s="16">
        <f t="shared" si="18"/>
        <v>0</v>
      </c>
      <c r="AD56" s="16">
        <f t="shared" si="19"/>
        <v>0</v>
      </c>
      <c r="AE56" s="15">
        <f>INDEX('Unique Asset List'!$BN$4:$BT$60,MATCH('5'!$B56,'Unique Asset List'!$A$4:$A$60,0),MATCH('5'!$C$1,'Unique Asset List'!$BN$3:$BT$3,0))</f>
        <v>0.08</v>
      </c>
      <c r="AF56" s="15">
        <f>INDEX('Unique Asset List'!$BU$4:$CA$60,MATCH('5'!$B56,'Unique Asset List'!$A$4:$A$60,0),MATCH('5'!$C$1,'Unique Asset List'!$BU$3:$CA$3,0))</f>
        <v>0.42</v>
      </c>
      <c r="AG56" s="15">
        <f>INDEX('Unique Asset List'!$AZ$4:$BF$60,MATCH('5'!$B56,'Unique Asset List'!$A$4:$A$60,0),MATCH('5'!$C$1,'Unique Asset List'!$AZ$3:$BF$3,0))</f>
        <v>0.08</v>
      </c>
      <c r="AH56" s="15">
        <f>INDEX('Unique Asset List'!$BG$4:$BM$60,MATCH('5'!$B56,'Unique Asset List'!$A$4:$A$60,0),MATCH('5'!$C$1,'Unique Asset List'!$BG$3:$BM$3,0))</f>
        <v>0.42</v>
      </c>
      <c r="AI56" s="11">
        <v>0.96187963349867744</v>
      </c>
      <c r="AJ56" s="15">
        <f>INDEX('Unique Asset List'!$AL$4:$AR$60,MATCH('5'!$B56,'Unique Asset List'!$A$4:$A$60,0),MATCH('5'!$C$1,'Unique Asset List'!$AL$3:$AR$3,0))</f>
        <v>1.2944496352201866</v>
      </c>
      <c r="AK56" s="15">
        <f>INDEX('Unique Asset List'!$AS$4:$AY$60,MATCH('5'!$B56,'Unique Asset List'!$A$4:$A$60,0),MATCH('5'!$C$1,'Unique Asset List'!$AS$3:$AY$3,0))</f>
        <v>-1.4425350046709582</v>
      </c>
      <c r="AL56" s="9">
        <v>169</v>
      </c>
      <c r="AM56" s="14">
        <f>INDEX(Simulation!$B$6:$H$6,MATCH($A56,Simulation!$B$1:$H$1,0))*(1+AN56)^((DATE(X56,Y56,15)-DATE(2017,1,15))/365.5)</f>
        <v>3.5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11"/>
        <v>0.82</v>
      </c>
      <c r="AS56" s="10">
        <v>1</v>
      </c>
      <c r="AT56" s="10"/>
      <c r="AU56" s="4">
        <f>IF($C$5="ON",BU56,MyRating(_E1,$B56,Efficacy!$F$1))</f>
        <v>0</v>
      </c>
      <c r="AV56" s="3">
        <f>IF($C$5="ON",BV56,MyRating(_E2,$B56,Efficacy!$F$1))</f>
        <v>0</v>
      </c>
      <c r="AW56" s="3">
        <f>IF($C$5="ON",BW56,MyRating(_E3,$B56,Efficacy!$F$1))</f>
        <v>0</v>
      </c>
      <c r="AX56" s="3">
        <f>IF($C$5="ON",BX56,MyRating(_E4,$B56,Efficacy!$F$1))</f>
        <v>0</v>
      </c>
      <c r="AY56" s="3">
        <f>IF($C$5="ON",BY56,MyRating(_E5,$B56,Efficacy!$F$1))</f>
        <v>0</v>
      </c>
      <c r="AZ56" s="3">
        <f>IF($C$5="ON",BZ56,MyRating(_E6,$B56,Efficacy!$F$1))</f>
        <v>0</v>
      </c>
      <c r="BA56" s="3">
        <f>IF($C$5="ON",CA56,MyRating(_E7,$B56,Efficacy!$F$1))</f>
        <v>0</v>
      </c>
      <c r="BB56" s="3">
        <f>IF($C$5="ON",CB56,MyRating(_E8,$B56,Efficacy!$F$1))</f>
        <v>0</v>
      </c>
      <c r="BC56" s="3">
        <f>IF($C$5="ON",CC56,MyRating(_S1,$B56,Efficacy!$F$1))</f>
        <v>0</v>
      </c>
      <c r="BD56" s="3">
        <f>IF($C$5="ON",CD56,MyRating(_S2,$B56,Efficacy!$F$1))</f>
        <v>0</v>
      </c>
      <c r="BE56" s="3">
        <f>IF($C$5="ON",CE56,MyRating(_S3,$B56,Efficacy!$F$1))</f>
        <v>0</v>
      </c>
      <c r="BF56" s="3">
        <f>IF($C$5="ON",CF56,MyRating(_S4,$B56,Efficacy!$F$1))</f>
        <v>0</v>
      </c>
      <c r="BG56" s="3">
        <f>IF($C$5="ON",CG56,MyRating(_S5,$B56,Efficacy!$F$1))</f>
        <v>0</v>
      </c>
      <c r="BH56" s="3">
        <f>IF($C$5="ON",CH56,MyRating(_S6,$B56,Efficacy!$F$1))</f>
        <v>0</v>
      </c>
      <c r="BI56" s="3">
        <f>IF($C$5="ON",CI56,MyRating(_S7,$B56,Efficacy!$F$1))</f>
        <v>0</v>
      </c>
      <c r="BJ56" s="3">
        <f>IF($C$5="ON",CJ56,MyRating(_D1,$B56,Efficacy!$F$1))</f>
        <v>0</v>
      </c>
      <c r="BK56" s="3">
        <f>IF($C$5="ON",CK56,MyRating(_D2,$B56,Efficacy!$F$1))</f>
        <v>0</v>
      </c>
      <c r="BL56" s="3">
        <f>IF($C$5="ON",CL56,MyRating(_D3,$B56,Efficacy!$F$1))</f>
        <v>0</v>
      </c>
      <c r="BM56" s="3">
        <f>IF($C$5="ON",CM56,MyRating(_D4,$B56,Efficacy!$F$1))</f>
        <v>0</v>
      </c>
      <c r="BN56" s="3">
        <f>IF($C$5="ON",CN56,MyRating(_B1G5,$B56,Barrier!$L$2))</f>
        <v>0</v>
      </c>
      <c r="BO56" s="3">
        <f>IF($C$5="ON",CO56,MyRating(_B2,$B56,Barrier!$F$2))</f>
        <v>0</v>
      </c>
      <c r="BP56" s="6">
        <f>IF($C$5="ON",CP56,MyRating(_B3,$B56,Barrier!$F$2))</f>
        <v>0</v>
      </c>
      <c r="BQ56" s="5">
        <f t="shared" si="12"/>
        <v>0</v>
      </c>
      <c r="BR56" s="8">
        <f t="shared" si="13"/>
        <v>0</v>
      </c>
      <c r="BS56" s="5">
        <f t="shared" si="14"/>
        <v>0</v>
      </c>
      <c r="BT56" s="7">
        <f t="shared" si="15"/>
        <v>0</v>
      </c>
      <c r="BU56" s="4">
        <v>0</v>
      </c>
      <c r="BV56" s="3">
        <v>0</v>
      </c>
      <c r="BW56" s="3">
        <v>0</v>
      </c>
      <c r="BX56" s="3">
        <v>0</v>
      </c>
      <c r="BY56" s="3">
        <v>0</v>
      </c>
      <c r="BZ56" s="3">
        <v>0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6">
        <v>0</v>
      </c>
      <c r="CQ56" s="5">
        <v>0</v>
      </c>
    </row>
    <row r="57" spans="1:95" x14ac:dyDescent="0.35">
      <c r="A57" s="9" t="str">
        <f t="shared" si="10"/>
        <v>ES</v>
      </c>
      <c r="B57" s="9" t="s">
        <v>189</v>
      </c>
      <c r="C57" s="20" t="s">
        <v>3</v>
      </c>
      <c r="D57" s="9" t="s">
        <v>2</v>
      </c>
      <c r="E57" s="9"/>
      <c r="F57" s="9" t="s">
        <v>1</v>
      </c>
      <c r="G57" s="19">
        <v>0</v>
      </c>
      <c r="H57" s="9">
        <v>2014</v>
      </c>
      <c r="I57" s="9">
        <v>6</v>
      </c>
      <c r="J57" s="18">
        <f>INDEX(PTRS!$D$6:$D$12,MATCH('5'!$F57,PTRS!$B$6:$B$12,0))</f>
        <v>0.1044225</v>
      </c>
      <c r="K57" s="17">
        <v>0</v>
      </c>
      <c r="L57" s="17">
        <v>0.1044225</v>
      </c>
      <c r="M57" s="17">
        <v>0.1044225</v>
      </c>
      <c r="N57" s="17">
        <v>0.1044225</v>
      </c>
      <c r="O57" s="17">
        <v>0.1044225</v>
      </c>
      <c r="P57" s="17">
        <v>0.1044225</v>
      </c>
      <c r="Q57" s="17">
        <v>0.1044225</v>
      </c>
      <c r="R57" s="17">
        <v>0.1044225</v>
      </c>
      <c r="S57" s="17">
        <v>1</v>
      </c>
      <c r="T57" s="17"/>
      <c r="U57" s="17">
        <f t="shared" si="16"/>
        <v>0</v>
      </c>
      <c r="V57" s="17">
        <v>1</v>
      </c>
      <c r="W57" s="9" t="s">
        <v>0</v>
      </c>
      <c r="X57" s="9">
        <f>INDEX('Unique Asset List'!$C$4:$I$60,MATCH('5'!$B57,'Unique Asset List'!$A$4:$A$60,0),MATCH('5'!$C$1,'Unique Asset List'!$C$3:$I$3,0))</f>
        <v>2052</v>
      </c>
      <c r="Y57" s="9">
        <f>INDEX('Unique Asset List'!$J$4:$P$60,MATCH('5'!$B57,'Unique Asset List'!$A$4:$A$60,0),MATCH('5'!$C$1,'Unique Asset List'!$J$3:$P$3,0))</f>
        <v>7.000000000001819</v>
      </c>
      <c r="Z57" s="9">
        <f>INDEX('Unique Asset List'!$X$4:$AD$60,MATCH('5'!$B57,'Unique Asset List'!$A$4:$A$60,0),MATCH('5'!$C$1,'Unique Asset List'!$X$3:$AD$3,0))</f>
        <v>2060</v>
      </c>
      <c r="AA57" s="9">
        <f>INDEX('Unique Asset List'!$AE$4:$AK$60,MATCH('5'!$B57,'Unique Asset List'!$A$4:$A$60,0),MATCH('5'!$C$1,'Unique Asset List'!$AE$3:$AK$3,0))</f>
        <v>6</v>
      </c>
      <c r="AB57" s="16">
        <f t="shared" si="17"/>
        <v>0</v>
      </c>
      <c r="AC57" s="16">
        <f t="shared" si="18"/>
        <v>0</v>
      </c>
      <c r="AD57" s="16">
        <f t="shared" si="19"/>
        <v>0</v>
      </c>
      <c r="AE57" s="15">
        <f>INDEX('Unique Asset List'!$BN$4:$BT$60,MATCH('5'!$B57,'Unique Asset List'!$A$4:$A$60,0),MATCH('5'!$C$1,'Unique Asset List'!$BN$3:$BT$3,0))</f>
        <v>0.08</v>
      </c>
      <c r="AF57" s="15">
        <f>INDEX('Unique Asset List'!$BU$4:$CA$60,MATCH('5'!$B57,'Unique Asset List'!$A$4:$A$60,0),MATCH('5'!$C$1,'Unique Asset List'!$BU$3:$CA$3,0))</f>
        <v>0.42</v>
      </c>
      <c r="AG57" s="15">
        <f>INDEX('Unique Asset List'!$AZ$4:$BF$60,MATCH('5'!$B57,'Unique Asset List'!$A$4:$A$60,0),MATCH('5'!$C$1,'Unique Asset List'!$AZ$3:$BF$3,0))</f>
        <v>0.08</v>
      </c>
      <c r="AH57" s="15">
        <f>INDEX('Unique Asset List'!$BG$4:$BM$60,MATCH('5'!$B57,'Unique Asset List'!$A$4:$A$60,0),MATCH('5'!$C$1,'Unique Asset List'!$BG$3:$BM$3,0))</f>
        <v>0.42</v>
      </c>
      <c r="AI57" s="11">
        <v>0.96187963349867744</v>
      </c>
      <c r="AJ57" s="15">
        <f>INDEX('Unique Asset List'!$AL$4:$AR$60,MATCH('5'!$B57,'Unique Asset List'!$A$4:$A$60,0),MATCH('5'!$C$1,'Unique Asset List'!$AL$3:$AR$3,0))</f>
        <v>1.2944496352201866</v>
      </c>
      <c r="AK57" s="15">
        <f>INDEX('Unique Asset List'!$AS$4:$AY$60,MATCH('5'!$B57,'Unique Asset List'!$A$4:$A$60,0),MATCH('5'!$C$1,'Unique Asset List'!$AS$3:$AY$3,0))</f>
        <v>-1.4425350046709582</v>
      </c>
      <c r="AL57" s="9">
        <v>169</v>
      </c>
      <c r="AM57" s="14">
        <f>INDEX(Simulation!$B$6:$H$6,MATCH($A57,Simulation!$B$1:$H$1,0))*(1+AN57)^((DATE(X57,Y57,15)-DATE(2017,1,15))/365.5)</f>
        <v>3.5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11"/>
        <v>0.82</v>
      </c>
      <c r="AS57" s="10">
        <v>1</v>
      </c>
      <c r="AT57" s="10"/>
      <c r="AU57" s="4">
        <f>IF($C$5="ON",BU57,MyRating(_E1,$B57,Efficacy!$F$1))</f>
        <v>0</v>
      </c>
      <c r="AV57" s="3">
        <f>IF($C$5="ON",BV57,MyRating(_E2,$B57,Efficacy!$F$1))</f>
        <v>0</v>
      </c>
      <c r="AW57" s="3">
        <f>IF($C$5="ON",BW57,MyRating(_E3,$B57,Efficacy!$F$1))</f>
        <v>0</v>
      </c>
      <c r="AX57" s="3">
        <f>IF($C$5="ON",BX57,MyRating(_E4,$B57,Efficacy!$F$1))</f>
        <v>0</v>
      </c>
      <c r="AY57" s="3">
        <f>IF($C$5="ON",BY57,MyRating(_E5,$B57,Efficacy!$F$1))</f>
        <v>0</v>
      </c>
      <c r="AZ57" s="3">
        <f>IF($C$5="ON",BZ57,MyRating(_E6,$B57,Efficacy!$F$1))</f>
        <v>0</v>
      </c>
      <c r="BA57" s="3">
        <f>IF($C$5="ON",CA57,MyRating(_E7,$B57,Efficacy!$F$1))</f>
        <v>0</v>
      </c>
      <c r="BB57" s="3">
        <f>IF($C$5="ON",CB57,MyRating(_E8,$B57,Efficacy!$F$1))</f>
        <v>0</v>
      </c>
      <c r="BC57" s="3">
        <f>IF($C$5="ON",CC57,MyRating(_S1,$B57,Efficacy!$F$1))</f>
        <v>0</v>
      </c>
      <c r="BD57" s="3">
        <f>IF($C$5="ON",CD57,MyRating(_S2,$B57,Efficacy!$F$1))</f>
        <v>0</v>
      </c>
      <c r="BE57" s="3">
        <f>IF($C$5="ON",CE57,MyRating(_S3,$B57,Efficacy!$F$1))</f>
        <v>0</v>
      </c>
      <c r="BF57" s="3">
        <f>IF($C$5="ON",CF57,MyRating(_S4,$B57,Efficacy!$F$1))</f>
        <v>0</v>
      </c>
      <c r="BG57" s="3">
        <f>IF($C$5="ON",CG57,MyRating(_S5,$B57,Efficacy!$F$1))</f>
        <v>0</v>
      </c>
      <c r="BH57" s="3">
        <f>IF($C$5="ON",CH57,MyRating(_S6,$B57,Efficacy!$F$1))</f>
        <v>0</v>
      </c>
      <c r="BI57" s="3">
        <f>IF($C$5="ON",CI57,MyRating(_S7,$B57,Efficacy!$F$1))</f>
        <v>0</v>
      </c>
      <c r="BJ57" s="3">
        <f>IF($C$5="ON",CJ57,MyRating(_D1,$B57,Efficacy!$F$1))</f>
        <v>0</v>
      </c>
      <c r="BK57" s="3">
        <f>IF($C$5="ON",CK57,MyRating(_D2,$B57,Efficacy!$F$1))</f>
        <v>0</v>
      </c>
      <c r="BL57" s="3">
        <f>IF($C$5="ON",CL57,MyRating(_D3,$B57,Efficacy!$F$1))</f>
        <v>0</v>
      </c>
      <c r="BM57" s="3">
        <f>IF($C$5="ON",CM57,MyRating(_D4,$B57,Efficacy!$F$1))</f>
        <v>0</v>
      </c>
      <c r="BN57" s="3">
        <f>IF($C$5="ON",CN57,MyRating(_B1G5,$B57,Barrier!$L$2))</f>
        <v>0</v>
      </c>
      <c r="BO57" s="3">
        <f>IF($C$5="ON",CO57,MyRating(_B2,$B57,Barrier!$F$2))</f>
        <v>0</v>
      </c>
      <c r="BP57" s="6">
        <f>IF($C$5="ON",CP57,MyRating(_B3,$B57,Barrier!$F$2))</f>
        <v>0</v>
      </c>
      <c r="BQ57" s="5">
        <f t="shared" si="12"/>
        <v>0</v>
      </c>
      <c r="BR57" s="8">
        <f t="shared" si="13"/>
        <v>0</v>
      </c>
      <c r="BS57" s="5">
        <f t="shared" si="14"/>
        <v>0</v>
      </c>
      <c r="BT57" s="7">
        <f t="shared" si="15"/>
        <v>0</v>
      </c>
      <c r="BU57" s="4">
        <v>0</v>
      </c>
      <c r="BV57" s="3">
        <v>0</v>
      </c>
      <c r="BW57" s="3">
        <v>0</v>
      </c>
      <c r="BX57" s="3">
        <v>0</v>
      </c>
      <c r="BY57" s="3">
        <v>0</v>
      </c>
      <c r="BZ57" s="3">
        <v>0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6">
        <v>0</v>
      </c>
      <c r="CQ57" s="5">
        <v>0</v>
      </c>
    </row>
    <row r="58" spans="1:95" x14ac:dyDescent="0.35">
      <c r="A58" s="9" t="str">
        <f t="shared" si="10"/>
        <v>ES</v>
      </c>
      <c r="B58" s="9" t="s">
        <v>188</v>
      </c>
      <c r="C58" s="20" t="s">
        <v>3</v>
      </c>
      <c r="D58" s="9" t="s">
        <v>2</v>
      </c>
      <c r="E58" s="9"/>
      <c r="F58" s="9" t="s">
        <v>1</v>
      </c>
      <c r="G58" s="19">
        <v>0</v>
      </c>
      <c r="H58" s="9">
        <v>2014</v>
      </c>
      <c r="I58" s="9">
        <v>6</v>
      </c>
      <c r="J58" s="18">
        <f>INDEX(PTRS!$D$6:$D$12,MATCH('5'!$F58,PTRS!$B$6:$B$12,0))</f>
        <v>0.1044225</v>
      </c>
      <c r="K58" s="17">
        <v>0</v>
      </c>
      <c r="L58" s="17">
        <v>0.1044225</v>
      </c>
      <c r="M58" s="17">
        <v>0.1044225</v>
      </c>
      <c r="N58" s="17">
        <v>0.1044225</v>
      </c>
      <c r="O58" s="17">
        <v>0.1044225</v>
      </c>
      <c r="P58" s="17">
        <v>0.1044225</v>
      </c>
      <c r="Q58" s="17">
        <v>0.1044225</v>
      </c>
      <c r="R58" s="17">
        <v>0.1044225</v>
      </c>
      <c r="S58" s="17">
        <v>1</v>
      </c>
      <c r="T58" s="17"/>
      <c r="U58" s="17">
        <f t="shared" si="16"/>
        <v>0</v>
      </c>
      <c r="V58" s="17">
        <v>1</v>
      </c>
      <c r="W58" s="9" t="s">
        <v>0</v>
      </c>
      <c r="X58" s="9">
        <f>INDEX('Unique Asset List'!$C$4:$I$60,MATCH('5'!$B58,'Unique Asset List'!$A$4:$A$60,0),MATCH('5'!$C$1,'Unique Asset List'!$C$3:$I$3,0))</f>
        <v>2052</v>
      </c>
      <c r="Y58" s="9">
        <f>INDEX('Unique Asset List'!$J$4:$P$60,MATCH('5'!$B58,'Unique Asset List'!$A$4:$A$60,0),MATCH('5'!$C$1,'Unique Asset List'!$J$3:$P$3,0))</f>
        <v>7.000000000001819</v>
      </c>
      <c r="Z58" s="9">
        <f>INDEX('Unique Asset List'!$X$4:$AD$60,MATCH('5'!$B58,'Unique Asset List'!$A$4:$A$60,0),MATCH('5'!$C$1,'Unique Asset List'!$X$3:$AD$3,0))</f>
        <v>2060</v>
      </c>
      <c r="AA58" s="9">
        <f>INDEX('Unique Asset List'!$AE$4:$AK$60,MATCH('5'!$B58,'Unique Asset List'!$A$4:$A$60,0),MATCH('5'!$C$1,'Unique Asset List'!$AE$3:$AK$3,0))</f>
        <v>6</v>
      </c>
      <c r="AB58" s="16">
        <f t="shared" si="17"/>
        <v>0</v>
      </c>
      <c r="AC58" s="16">
        <f t="shared" si="18"/>
        <v>0</v>
      </c>
      <c r="AD58" s="16">
        <f t="shared" si="19"/>
        <v>0</v>
      </c>
      <c r="AE58" s="15">
        <f>INDEX('Unique Asset List'!$BN$4:$BT$60,MATCH('5'!$B58,'Unique Asset List'!$A$4:$A$60,0),MATCH('5'!$C$1,'Unique Asset List'!$BN$3:$BT$3,0))</f>
        <v>0.08</v>
      </c>
      <c r="AF58" s="15">
        <f>INDEX('Unique Asset List'!$BU$4:$CA$60,MATCH('5'!$B58,'Unique Asset List'!$A$4:$A$60,0),MATCH('5'!$C$1,'Unique Asset List'!$BU$3:$CA$3,0))</f>
        <v>0.42</v>
      </c>
      <c r="AG58" s="15">
        <f>INDEX('Unique Asset List'!$AZ$4:$BF$60,MATCH('5'!$B58,'Unique Asset List'!$A$4:$A$60,0),MATCH('5'!$C$1,'Unique Asset List'!$AZ$3:$BF$3,0))</f>
        <v>0.08</v>
      </c>
      <c r="AH58" s="15">
        <f>INDEX('Unique Asset List'!$BG$4:$BM$60,MATCH('5'!$B58,'Unique Asset List'!$A$4:$A$60,0),MATCH('5'!$C$1,'Unique Asset List'!$BG$3:$BM$3,0))</f>
        <v>0.42</v>
      </c>
      <c r="AI58" s="11">
        <v>0.96187963349867744</v>
      </c>
      <c r="AJ58" s="15">
        <f>INDEX('Unique Asset List'!$AL$4:$AR$60,MATCH('5'!$B58,'Unique Asset List'!$A$4:$A$60,0),MATCH('5'!$C$1,'Unique Asset List'!$AL$3:$AR$3,0))</f>
        <v>1.2944496352201866</v>
      </c>
      <c r="AK58" s="15">
        <f>INDEX('Unique Asset List'!$AS$4:$AY$60,MATCH('5'!$B58,'Unique Asset List'!$A$4:$A$60,0),MATCH('5'!$C$1,'Unique Asset List'!$AS$3:$AY$3,0))</f>
        <v>-1.4425350046709582</v>
      </c>
      <c r="AL58" s="9">
        <v>169</v>
      </c>
      <c r="AM58" s="14">
        <f>INDEX(Simulation!$B$6:$H$6,MATCH($A58,Simulation!$B$1:$H$1,0))*(1+AN58)^((DATE(X58,Y58,15)-DATE(2017,1,15))/365.5)</f>
        <v>3.5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11"/>
        <v>0.82</v>
      </c>
      <c r="AS58" s="10">
        <v>1</v>
      </c>
      <c r="AT58" s="10"/>
      <c r="AU58" s="4">
        <f>IF($C$5="ON",BU58,MyRating(_E1,$B58,Efficacy!$F$1))</f>
        <v>0</v>
      </c>
      <c r="AV58" s="3">
        <f>IF($C$5="ON",BV58,MyRating(_E2,$B58,Efficacy!$F$1))</f>
        <v>0</v>
      </c>
      <c r="AW58" s="3">
        <f>IF($C$5="ON",BW58,MyRating(_E3,$B58,Efficacy!$F$1))</f>
        <v>0</v>
      </c>
      <c r="AX58" s="3">
        <f>IF($C$5="ON",BX58,MyRating(_E4,$B58,Efficacy!$F$1))</f>
        <v>0</v>
      </c>
      <c r="AY58" s="3">
        <f>IF($C$5="ON",BY58,MyRating(_E5,$B58,Efficacy!$F$1))</f>
        <v>0</v>
      </c>
      <c r="AZ58" s="3">
        <f>IF($C$5="ON",BZ58,MyRating(_E6,$B58,Efficacy!$F$1))</f>
        <v>0</v>
      </c>
      <c r="BA58" s="3">
        <f>IF($C$5="ON",CA58,MyRating(_E7,$B58,Efficacy!$F$1))</f>
        <v>0</v>
      </c>
      <c r="BB58" s="3">
        <f>IF($C$5="ON",CB58,MyRating(_E8,$B58,Efficacy!$F$1))</f>
        <v>0</v>
      </c>
      <c r="BC58" s="3">
        <f>IF($C$5="ON",CC58,MyRating(_S1,$B58,Efficacy!$F$1))</f>
        <v>0</v>
      </c>
      <c r="BD58" s="3">
        <f>IF($C$5="ON",CD58,MyRating(_S2,$B58,Efficacy!$F$1))</f>
        <v>0</v>
      </c>
      <c r="BE58" s="3">
        <f>IF($C$5="ON",CE58,MyRating(_S3,$B58,Efficacy!$F$1))</f>
        <v>0</v>
      </c>
      <c r="BF58" s="3">
        <f>IF($C$5="ON",CF58,MyRating(_S4,$B58,Efficacy!$F$1))</f>
        <v>0</v>
      </c>
      <c r="BG58" s="3">
        <f>IF($C$5="ON",CG58,MyRating(_S5,$B58,Efficacy!$F$1))</f>
        <v>0</v>
      </c>
      <c r="BH58" s="3">
        <f>IF($C$5="ON",CH58,MyRating(_S6,$B58,Efficacy!$F$1))</f>
        <v>0</v>
      </c>
      <c r="BI58" s="3">
        <f>IF($C$5="ON",CI58,MyRating(_S7,$B58,Efficacy!$F$1))</f>
        <v>0</v>
      </c>
      <c r="BJ58" s="3">
        <f>IF($C$5="ON",CJ58,MyRating(_D1,$B58,Efficacy!$F$1))</f>
        <v>0</v>
      </c>
      <c r="BK58" s="3">
        <f>IF($C$5="ON",CK58,MyRating(_D2,$B58,Efficacy!$F$1))</f>
        <v>0</v>
      </c>
      <c r="BL58" s="3">
        <f>IF($C$5="ON",CL58,MyRating(_D3,$B58,Efficacy!$F$1))</f>
        <v>0</v>
      </c>
      <c r="BM58" s="3">
        <f>IF($C$5="ON",CM58,MyRating(_D4,$B58,Efficacy!$F$1))</f>
        <v>0</v>
      </c>
      <c r="BN58" s="3">
        <f>IF($C$5="ON",CN58,MyRating(_B1G5,$B58,Barrier!$L$2))</f>
        <v>0</v>
      </c>
      <c r="BO58" s="3">
        <f>IF($C$5="ON",CO58,MyRating(_B2,$B58,Barrier!$F$2))</f>
        <v>0</v>
      </c>
      <c r="BP58" s="6">
        <f>IF($C$5="ON",CP58,MyRating(_B3,$B58,Barrier!$F$2))</f>
        <v>0</v>
      </c>
      <c r="BQ58" s="5">
        <f t="shared" si="12"/>
        <v>0</v>
      </c>
      <c r="BR58" s="8">
        <f t="shared" si="13"/>
        <v>0</v>
      </c>
      <c r="BS58" s="5">
        <f t="shared" si="14"/>
        <v>0</v>
      </c>
      <c r="BT58" s="7">
        <f t="shared" si="15"/>
        <v>0</v>
      </c>
      <c r="BU58" s="4">
        <v>0</v>
      </c>
      <c r="BV58" s="3">
        <v>0</v>
      </c>
      <c r="BW58" s="3">
        <v>0</v>
      </c>
      <c r="BX58" s="3">
        <v>0</v>
      </c>
      <c r="BY58" s="3">
        <v>0</v>
      </c>
      <c r="BZ58" s="3">
        <v>0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6">
        <v>0</v>
      </c>
      <c r="CQ58" s="5">
        <v>0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3">
    <dataValidation type="list" allowBlank="1" showInputMessage="1" showErrorMessage="1" sqref="C5" xr:uid="{00000000-0002-0000-0100-000002000000}">
      <formula1>"ON,OFF"</formula1>
    </dataValidation>
    <dataValidation type="list" allowBlank="1" showInputMessage="1" showErrorMessage="1" sqref="C1" xr:uid="{00000000-0002-0000-0100-000001000000}">
      <formula1>"US,FR,DE,ES,IT,UK,JP"</formula1>
    </dataValidation>
    <dataValidation type="list" allowBlank="1" showInputMessage="1" showErrorMessage="1" sqref="J1:S1" xr:uid="{00000000-0002-0000-0100-000000000000}">
      <formula1>$J$8:$S$8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5F23A-7100-409F-8B8B-D3538099EBB2}">
  <sheetPr codeName="Sheet5">
    <outlinePr summaryBelow="0" summaryRight="0"/>
  </sheetPr>
  <dimension ref="A1:CP58"/>
  <sheetViews>
    <sheetView zoomScale="67" zoomScaleNormal="67" workbookViewId="0">
      <selection activeCell="O59" sqref="O59"/>
    </sheetView>
  </sheetViews>
  <sheetFormatPr defaultRowHeight="14.5" x14ac:dyDescent="0.35"/>
  <cols>
    <col min="1" max="1" width="6.81640625" customWidth="1"/>
    <col min="2" max="2" width="24.26953125" bestFit="1" customWidth="1"/>
    <col min="3" max="3" width="4.453125" bestFit="1" customWidth="1"/>
    <col min="4" max="4" width="11.453125" bestFit="1" customWidth="1"/>
    <col min="5" max="5" width="8.26953125" bestFit="1" customWidth="1"/>
    <col min="6" max="6" width="8.453125" bestFit="1" customWidth="1"/>
    <col min="7" max="7" width="5.1796875" customWidth="1"/>
    <col min="8" max="8" width="4.453125" bestFit="1" customWidth="1"/>
    <col min="9" max="9" width="4" bestFit="1" customWidth="1"/>
    <col min="10" max="10" width="4.81640625" bestFit="1" customWidth="1"/>
    <col min="11" max="19" width="5.1796875" customWidth="1"/>
    <col min="20" max="20" width="21.7265625" bestFit="1" customWidth="1"/>
    <col min="21" max="21" width="7.1796875" bestFit="1" customWidth="1"/>
    <col min="22" max="22" width="4.81640625" bestFit="1" customWidth="1"/>
    <col min="23" max="23" width="8.7265625" bestFit="1" customWidth="1"/>
    <col min="24" max="24" width="4.81640625" bestFit="1" customWidth="1"/>
    <col min="25" max="25" width="3.1796875" bestFit="1" customWidth="1"/>
    <col min="26" max="30" width="5" bestFit="1" customWidth="1"/>
    <col min="31" max="35" width="4" bestFit="1" customWidth="1"/>
    <col min="36" max="36" width="4" customWidth="1"/>
    <col min="37" max="37" width="4.81640625" bestFit="1" customWidth="1"/>
    <col min="38" max="38" width="4" style="2" bestFit="1" customWidth="1"/>
    <col min="39" max="39" width="5.7265625" style="2" bestFit="1" customWidth="1"/>
    <col min="40" max="40" width="4.81640625" style="2" bestFit="1" customWidth="1"/>
    <col min="41" max="41" width="4" style="2" customWidth="1"/>
    <col min="42" max="42" width="5.26953125" bestFit="1" customWidth="1"/>
    <col min="43" max="43" width="4.81640625" style="2" bestFit="1" customWidth="1"/>
    <col min="44" max="44" width="5.26953125" bestFit="1" customWidth="1"/>
    <col min="45" max="45" width="4.54296875" customWidth="1"/>
    <col min="46" max="46" width="3.26953125" bestFit="1" customWidth="1"/>
    <col min="47" max="47" width="3.54296875" bestFit="1" customWidth="1"/>
    <col min="48" max="48" width="4.54296875" bestFit="1" customWidth="1"/>
    <col min="49" max="64" width="3.54296875" bestFit="1" customWidth="1"/>
    <col min="65" max="67" width="4.26953125" customWidth="1"/>
    <col min="68" max="71" width="7.7265625" style="1" bestFit="1" customWidth="1"/>
    <col min="72" max="73" width="3.54296875" bestFit="1" customWidth="1"/>
    <col min="74" max="74" width="4.54296875" bestFit="1" customWidth="1"/>
    <col min="75" max="91" width="3.54296875" bestFit="1" customWidth="1"/>
    <col min="92" max="93" width="4.54296875" bestFit="1" customWidth="1"/>
    <col min="94" max="94" width="5.1796875" style="1" bestFit="1" customWidth="1"/>
  </cols>
  <sheetData>
    <row r="1" spans="1:94" x14ac:dyDescent="0.35">
      <c r="A1" s="177" t="s">
        <v>187</v>
      </c>
      <c r="B1" s="179"/>
      <c r="C1" s="58" t="s">
        <v>180</v>
      </c>
      <c r="D1" s="57"/>
      <c r="E1" s="57"/>
      <c r="F1" s="177" t="s">
        <v>186</v>
      </c>
      <c r="G1" s="178"/>
      <c r="H1" s="178"/>
      <c r="I1" s="178"/>
      <c r="J1" s="180" t="s">
        <v>202</v>
      </c>
      <c r="K1" s="181"/>
      <c r="L1" s="181"/>
      <c r="M1" s="181"/>
      <c r="N1" s="181"/>
      <c r="O1" s="181"/>
      <c r="P1" s="181"/>
      <c r="Q1" s="181"/>
      <c r="R1" s="181"/>
      <c r="S1" s="182"/>
      <c r="T1" s="177" t="s">
        <v>185</v>
      </c>
      <c r="U1" s="178"/>
      <c r="V1" s="178"/>
      <c r="W1" s="179"/>
      <c r="X1" s="49">
        <v>3</v>
      </c>
      <c r="AL1"/>
      <c r="AM1"/>
      <c r="AN1"/>
      <c r="AO1"/>
      <c r="AQ1"/>
      <c r="BQ1" s="37"/>
    </row>
    <row r="2" spans="1:94" x14ac:dyDescent="0.35">
      <c r="B2" t="s">
        <v>178</v>
      </c>
      <c r="C2" s="50">
        <v>3</v>
      </c>
      <c r="T2" s="177" t="s">
        <v>174</v>
      </c>
      <c r="U2" s="178"/>
      <c r="V2" s="178"/>
      <c r="W2" s="179"/>
      <c r="X2" s="49">
        <v>0.2</v>
      </c>
      <c r="AL2"/>
      <c r="AM2"/>
      <c r="AN2"/>
      <c r="AO2"/>
      <c r="AQ2"/>
      <c r="BQ2" s="37"/>
    </row>
    <row r="3" spans="1:94" x14ac:dyDescent="0.35">
      <c r="B3" t="s">
        <v>172</v>
      </c>
      <c r="C3" s="50">
        <v>2</v>
      </c>
      <c r="T3" s="177" t="s">
        <v>171</v>
      </c>
      <c r="U3" s="178"/>
      <c r="V3" s="178"/>
      <c r="W3" s="179"/>
      <c r="X3" s="49">
        <v>-0.5</v>
      </c>
      <c r="AL3"/>
      <c r="AM3"/>
      <c r="AN3"/>
      <c r="AO3"/>
      <c r="AQ3"/>
      <c r="BQ3" s="37"/>
    </row>
    <row r="4" spans="1:94" x14ac:dyDescent="0.35">
      <c r="B4" t="s">
        <v>169</v>
      </c>
      <c r="C4" s="47">
        <v>0.01</v>
      </c>
      <c r="T4" s="177" t="s">
        <v>168</v>
      </c>
      <c r="U4" s="178"/>
      <c r="V4" s="178"/>
      <c r="W4" s="179"/>
      <c r="X4" s="49">
        <v>1.2</v>
      </c>
      <c r="AL4"/>
      <c r="AM4"/>
      <c r="AN4"/>
      <c r="AO4"/>
      <c r="AQ4"/>
      <c r="BQ4" s="37"/>
    </row>
    <row r="5" spans="1:94" x14ac:dyDescent="0.35">
      <c r="B5" t="s">
        <v>207</v>
      </c>
      <c r="C5" s="47" t="s">
        <v>165</v>
      </c>
      <c r="D5" s="46"/>
      <c r="U5" s="45"/>
      <c r="V5" s="44"/>
      <c r="AL5"/>
      <c r="AM5"/>
      <c r="AN5"/>
      <c r="AO5"/>
      <c r="AQ5"/>
      <c r="BQ5" s="37"/>
    </row>
    <row r="6" spans="1:94" x14ac:dyDescent="0.35">
      <c r="AL6"/>
      <c r="AM6"/>
      <c r="AN6"/>
      <c r="AO6"/>
      <c r="AQ6"/>
      <c r="BQ6" s="37"/>
    </row>
    <row r="7" spans="1:94" x14ac:dyDescent="0.35">
      <c r="AL7"/>
      <c r="AM7"/>
      <c r="AN7"/>
      <c r="AO7"/>
      <c r="AQ7"/>
      <c r="AT7" s="29">
        <f>IF($C$5="ON",BT7,INDEX(Conjoint!$F$9:$F$33,MATCH(AT8,Conjoint!$B$9:$B$33,0)))</f>
        <v>8.4581000000000003E-2</v>
      </c>
      <c r="AU7" s="29">
        <f>IF($C$5="ON",BU7,INDEX(Conjoint!$F$9:$F$33,MATCH(AU8,Conjoint!$B$9:$B$33,0)))</f>
        <v>8.0703200000000017E-2</v>
      </c>
      <c r="AV7" s="29">
        <f>IF($C$5="ON",BV7,INDEX(Conjoint!$F$9:$F$33,MATCH(AV8,Conjoint!$B$9:$B$33,0)))</f>
        <v>9.5090400000000005E-2</v>
      </c>
      <c r="AW7" s="29">
        <f>IF($C$5="ON",BW7,INDEX(Conjoint!$F$9:$F$33,MATCH(AW8,Conjoint!$B$9:$B$33,0)))</f>
        <v>8.2614000000000007E-2</v>
      </c>
      <c r="AX7" s="29">
        <f>IF($C$5="ON",BX7,INDEX(Conjoint!$F$9:$F$33,MATCH(AX8,Conjoint!$B$9:$B$33,0)))</f>
        <v>6.1089400000000009E-2</v>
      </c>
      <c r="AY7" s="29">
        <f>IF($C$5="ON",BY7,INDEX(Conjoint!$F$9:$F$33,MATCH(AY8,Conjoint!$B$9:$B$33,0)))</f>
        <v>5.8054600000000005E-2</v>
      </c>
      <c r="AZ7" s="29">
        <f>IF($C$5="ON",BZ7,INDEX(Conjoint!$F$9:$F$33,MATCH(AZ8,Conjoint!$B$9:$B$33,0)))</f>
        <v>3.8047400000000002E-2</v>
      </c>
      <c r="BA7" s="29">
        <f>IF($C$5="ON",CA7,INDEX(Conjoint!$F$9:$F$33,MATCH(BA8,Conjoint!$B$9:$B$33,0)))</f>
        <v>6.1820000000000007E-2</v>
      </c>
      <c r="BB7" s="29">
        <f>IF($C$5="ON",CB7,INDEX(Conjoint!$F$9:$F$33,MATCH(BB8,Conjoint!$B$9:$B$33,0)))</f>
        <v>6.1469900000000001E-2</v>
      </c>
      <c r="BC7" s="29">
        <f>IF($C$5="ON",CC7,INDEX(Conjoint!$F$9:$F$33,MATCH(BC8,Conjoint!$B$9:$B$33,0)))</f>
        <v>2.4572900000000002E-2</v>
      </c>
      <c r="BD7" s="29">
        <f>IF($C$5="ON",CD7,INDEX(Conjoint!$F$9:$F$33,MATCH(BD8,Conjoint!$B$9:$B$33,0)))</f>
        <v>3.06471E-2</v>
      </c>
      <c r="BE7" s="29">
        <f>IF($C$5="ON",CE7,INDEX(Conjoint!$F$9:$F$33,MATCH(BE8,Conjoint!$B$9:$B$33,0)))</f>
        <v>3.4964300000000004E-2</v>
      </c>
      <c r="BF7" s="29">
        <f>IF($C$5="ON",CF7,INDEX(Conjoint!$F$9:$F$33,MATCH(BF8,Conjoint!$B$9:$B$33,0)))</f>
        <v>4.6008299999999995E-2</v>
      </c>
      <c r="BG7" s="29">
        <f>IF($C$5="ON",CG7,INDEX(Conjoint!$F$9:$F$33,MATCH(BG8,Conjoint!$B$9:$B$33,0)))</f>
        <v>2.14354E-2</v>
      </c>
      <c r="BH7" s="29">
        <f>IF($C$5="ON",CH7,INDEX(Conjoint!$F$9:$F$33,MATCH(BH8,Conjoint!$B$9:$B$33,0)))</f>
        <v>3.1877000000000003E-2</v>
      </c>
      <c r="BI7" s="29">
        <f>IF($C$5="ON",CI7,INDEX(Conjoint!$F$9:$F$33,MATCH(BI8,Conjoint!$B$9:$B$33,0)))</f>
        <v>5.9704054739999991E-2</v>
      </c>
      <c r="BJ7" s="29">
        <f>IF($C$5="ON",CJ7,INDEX(Conjoint!$F$9:$F$33,MATCH(BJ8,Conjoint!$B$9:$B$33,0)))</f>
        <v>4.0027204139999994E-2</v>
      </c>
      <c r="BK7" s="29">
        <f>IF($C$5="ON",CK7,INDEX(Conjoint!$F$9:$F$33,MATCH(BK8,Conjoint!$B$9:$B$33,0)))</f>
        <v>3.2328141120000001E-2</v>
      </c>
      <c r="BL7" s="29">
        <f>IF($C$5="ON",CL7,INDEX(Conjoint!$F$9:$F$33,MATCH(BL8,Conjoint!$B$9:$B$33,0)))</f>
        <v>5.4940599999999999E-2</v>
      </c>
      <c r="BM7" s="29">
        <f>IF($C$5="ON",CM7,INDEX(Conjoint!$F$9:$F$37,MATCH(BM8,Conjoint!$B$9:$B$37,0)))</f>
        <v>0.05</v>
      </c>
      <c r="BN7" s="29">
        <f>IF($C$5="ON",CN7,INDEX(Conjoint!$F$9:$F$37,MATCH(BN8,Conjoint!$B$9:$B$37,0)))</f>
        <v>0.47499999999999998</v>
      </c>
      <c r="BO7" s="29">
        <f>IF($C$5="ON",CO7,INDEX(Conjoint!$F$9:$F$37,MATCH(BO8,Conjoint!$B$9:$B$37,0)))</f>
        <v>0.47499999999999998</v>
      </c>
      <c r="BP7" s="33">
        <f>MAX(BP9:BP58)</f>
        <v>4.9932578149053504E-2</v>
      </c>
      <c r="BQ7" s="36">
        <f>SUM(BQ9:BQ58)</f>
        <v>81.850000000000037</v>
      </c>
      <c r="BR7" s="35"/>
      <c r="BS7" s="34">
        <f>SUM(BS9:BS58)</f>
        <v>0.51114776305424126</v>
      </c>
      <c r="BT7" s="29">
        <v>8.4581000000000003E-2</v>
      </c>
      <c r="BU7" s="29">
        <v>8.0703200000000017E-2</v>
      </c>
      <c r="BV7" s="29">
        <v>9.5090400000000005E-2</v>
      </c>
      <c r="BW7" s="29">
        <v>8.2614000000000007E-2</v>
      </c>
      <c r="BX7" s="29">
        <v>6.1089400000000009E-2</v>
      </c>
      <c r="BY7" s="29">
        <v>5.8054600000000005E-2</v>
      </c>
      <c r="BZ7" s="29">
        <v>3.8047400000000002E-2</v>
      </c>
      <c r="CA7" s="29">
        <v>6.1820000000000007E-2</v>
      </c>
      <c r="CB7" s="29">
        <v>6.1469900000000001E-2</v>
      </c>
      <c r="CC7" s="29">
        <v>2.4572900000000002E-2</v>
      </c>
      <c r="CD7" s="29">
        <v>3.06471E-2</v>
      </c>
      <c r="CE7" s="29">
        <v>3.4964300000000004E-2</v>
      </c>
      <c r="CF7" s="29">
        <v>4.6008299999999995E-2</v>
      </c>
      <c r="CG7" s="29">
        <v>2.14354E-2</v>
      </c>
      <c r="CH7" s="29">
        <v>3.1877000000000003E-2</v>
      </c>
      <c r="CI7" s="29">
        <v>5.9704054739999991E-2</v>
      </c>
      <c r="CJ7" s="29">
        <v>4.0027204139999994E-2</v>
      </c>
      <c r="CK7" s="29">
        <v>3.2328141120000001E-2</v>
      </c>
      <c r="CL7" s="29">
        <v>5.4940599999999999E-2</v>
      </c>
      <c r="CM7" s="29">
        <v>0.05</v>
      </c>
      <c r="CN7" s="29">
        <v>0.47499999999999998</v>
      </c>
      <c r="CO7" s="28">
        <v>0.47499999999999998</v>
      </c>
      <c r="CP7" s="33">
        <v>5.3883834849545127E-2</v>
      </c>
    </row>
    <row r="8" spans="1:94" ht="104.25" customHeight="1" x14ac:dyDescent="0.35">
      <c r="A8" s="30" t="s">
        <v>162</v>
      </c>
      <c r="B8" s="30" t="s">
        <v>161</v>
      </c>
      <c r="C8" s="31" t="s">
        <v>160</v>
      </c>
      <c r="D8" s="31" t="s">
        <v>159</v>
      </c>
      <c r="E8" s="31" t="s">
        <v>158</v>
      </c>
      <c r="F8" s="31" t="s">
        <v>157</v>
      </c>
      <c r="G8" s="31" t="s">
        <v>156</v>
      </c>
      <c r="H8" s="31" t="s">
        <v>155</v>
      </c>
      <c r="I8" s="31" t="s">
        <v>154</v>
      </c>
      <c r="J8" s="32" t="s">
        <v>206</v>
      </c>
      <c r="K8" s="32" t="s">
        <v>205</v>
      </c>
      <c r="L8" s="32" t="s">
        <v>153</v>
      </c>
      <c r="M8" s="32" t="s">
        <v>204</v>
      </c>
      <c r="N8" s="32" t="s">
        <v>203</v>
      </c>
      <c r="O8" s="32" t="s">
        <v>202</v>
      </c>
      <c r="P8" s="32" t="s">
        <v>201</v>
      </c>
      <c r="Q8" s="32" t="s">
        <v>200</v>
      </c>
      <c r="R8" s="32" t="s">
        <v>152</v>
      </c>
      <c r="S8" s="32" t="s">
        <v>151</v>
      </c>
      <c r="T8" s="31" t="s">
        <v>150</v>
      </c>
      <c r="U8" s="31" t="s">
        <v>199</v>
      </c>
      <c r="V8" s="31" t="s">
        <v>198</v>
      </c>
      <c r="W8" s="31" t="s">
        <v>149</v>
      </c>
      <c r="X8" s="31" t="s">
        <v>148</v>
      </c>
      <c r="Y8" s="31" t="s">
        <v>147</v>
      </c>
      <c r="Z8" s="31" t="s">
        <v>146</v>
      </c>
      <c r="AA8" s="31" t="s">
        <v>145</v>
      </c>
      <c r="AB8" s="31" t="s">
        <v>144</v>
      </c>
      <c r="AC8" s="31" t="s">
        <v>143</v>
      </c>
      <c r="AD8" s="31" t="s">
        <v>142</v>
      </c>
      <c r="AE8" s="31" t="s">
        <v>141</v>
      </c>
      <c r="AF8" s="31" t="s">
        <v>140</v>
      </c>
      <c r="AG8" s="31" t="s">
        <v>139</v>
      </c>
      <c r="AH8" s="31" t="s">
        <v>138</v>
      </c>
      <c r="AI8" s="31" t="s">
        <v>137</v>
      </c>
      <c r="AJ8" s="31" t="s">
        <v>136</v>
      </c>
      <c r="AK8" s="31" t="s">
        <v>135</v>
      </c>
      <c r="AL8" s="31" t="s">
        <v>134</v>
      </c>
      <c r="AM8" s="31" t="s">
        <v>133</v>
      </c>
      <c r="AN8" s="31" t="s">
        <v>132</v>
      </c>
      <c r="AO8" s="31" t="s">
        <v>131</v>
      </c>
      <c r="AP8" s="31" t="s">
        <v>130</v>
      </c>
      <c r="AQ8" s="31" t="s">
        <v>129</v>
      </c>
      <c r="AR8" s="31" t="s">
        <v>128</v>
      </c>
      <c r="AS8" s="31" t="s">
        <v>127</v>
      </c>
      <c r="AT8" s="26" t="s">
        <v>119</v>
      </c>
      <c r="AU8" s="25" t="s">
        <v>118</v>
      </c>
      <c r="AV8" s="25" t="s">
        <v>117</v>
      </c>
      <c r="AW8" s="25" t="s">
        <v>116</v>
      </c>
      <c r="AX8" s="25" t="s">
        <v>115</v>
      </c>
      <c r="AY8" s="25" t="s">
        <v>114</v>
      </c>
      <c r="AZ8" s="25" t="s">
        <v>113</v>
      </c>
      <c r="BA8" s="25" t="s">
        <v>112</v>
      </c>
      <c r="BB8" s="25" t="s">
        <v>111</v>
      </c>
      <c r="BC8" s="25" t="s">
        <v>110</v>
      </c>
      <c r="BD8" s="25" t="s">
        <v>109</v>
      </c>
      <c r="BE8" s="25" t="s">
        <v>108</v>
      </c>
      <c r="BF8" s="25" t="s">
        <v>107</v>
      </c>
      <c r="BG8" s="25" t="s">
        <v>106</v>
      </c>
      <c r="BH8" s="25" t="s">
        <v>105</v>
      </c>
      <c r="BI8" s="25" t="s">
        <v>104</v>
      </c>
      <c r="BJ8" s="25" t="s">
        <v>103</v>
      </c>
      <c r="BK8" s="25" t="s">
        <v>102</v>
      </c>
      <c r="BL8" s="25" t="s">
        <v>101</v>
      </c>
      <c r="BM8" s="29" t="s">
        <v>123</v>
      </c>
      <c r="BN8" s="29" t="s">
        <v>122</v>
      </c>
      <c r="BO8" s="28" t="s">
        <v>121</v>
      </c>
      <c r="BP8" s="27" t="s">
        <v>120</v>
      </c>
      <c r="BQ8" s="27" t="s">
        <v>126</v>
      </c>
      <c r="BR8" s="27" t="s">
        <v>125</v>
      </c>
      <c r="BS8" s="27" t="s">
        <v>124</v>
      </c>
      <c r="BT8" s="26" t="s">
        <v>119</v>
      </c>
      <c r="BU8" s="25" t="s">
        <v>118</v>
      </c>
      <c r="BV8" s="25" t="s">
        <v>117</v>
      </c>
      <c r="BW8" s="25" t="s">
        <v>116</v>
      </c>
      <c r="BX8" s="25" t="s">
        <v>115</v>
      </c>
      <c r="BY8" s="25" t="s">
        <v>114</v>
      </c>
      <c r="BZ8" s="25" t="s">
        <v>113</v>
      </c>
      <c r="CA8" s="25" t="s">
        <v>112</v>
      </c>
      <c r="CB8" s="25" t="s">
        <v>111</v>
      </c>
      <c r="CC8" s="25" t="s">
        <v>110</v>
      </c>
      <c r="CD8" s="25" t="s">
        <v>109</v>
      </c>
      <c r="CE8" s="25" t="s">
        <v>108</v>
      </c>
      <c r="CF8" s="25" t="s">
        <v>107</v>
      </c>
      <c r="CG8" s="25" t="s">
        <v>106</v>
      </c>
      <c r="CH8" s="25" t="s">
        <v>105</v>
      </c>
      <c r="CI8" s="25" t="s">
        <v>104</v>
      </c>
      <c r="CJ8" s="25" t="s">
        <v>103</v>
      </c>
      <c r="CK8" s="25" t="s">
        <v>102</v>
      </c>
      <c r="CL8" s="25" t="s">
        <v>101</v>
      </c>
      <c r="CM8" s="29" t="s">
        <v>123</v>
      </c>
      <c r="CN8" s="29" t="s">
        <v>122</v>
      </c>
      <c r="CO8" s="28" t="s">
        <v>121</v>
      </c>
      <c r="CP8" s="27" t="s">
        <v>120</v>
      </c>
    </row>
    <row r="9" spans="1:94" x14ac:dyDescent="0.35">
      <c r="A9" s="9" t="str">
        <f t="shared" ref="A9:A40" si="0">$C$1</f>
        <v>UK</v>
      </c>
      <c r="B9" s="9" t="s">
        <v>49</v>
      </c>
      <c r="C9" s="20"/>
      <c r="D9" s="9" t="s">
        <v>48</v>
      </c>
      <c r="E9" s="9" t="s">
        <v>193</v>
      </c>
      <c r="F9" s="9" t="s">
        <v>47</v>
      </c>
      <c r="G9" s="59">
        <v>0.22</v>
      </c>
      <c r="H9" s="9">
        <v>2014</v>
      </c>
      <c r="I9" s="9">
        <v>6</v>
      </c>
      <c r="J9" s="18">
        <f>INDEX(PTRS!$D$6:$D$12,MATCH('4'!$F9,PTRS!$B$6:$B$12,0))</f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36" si="1">BP9/$BP$7</f>
        <v>0.74129766176673451</v>
      </c>
      <c r="V9" s="17">
        <v>1</v>
      </c>
      <c r="W9" s="9" t="s">
        <v>46</v>
      </c>
      <c r="X9" s="9">
        <f>INDEX('Unique Asset List'!$C$4:$I$60,MATCH('4'!$B9,'Unique Asset List'!$A$4:$A$60,0),MATCH('4'!$C$1,'Unique Asset List'!$C$3:$I$3,0))</f>
        <v>1986</v>
      </c>
      <c r="Y9" s="9">
        <f>INDEX('Unique Asset List'!$J$4:$P$60,MATCH('4'!$B9,'Unique Asset List'!$A$4:$A$60,0),MATCH('4'!$C$1,'Unique Asset List'!$J$3:$P$3,0))</f>
        <v>7</v>
      </c>
      <c r="Z9" s="9">
        <f>INDEX('Unique Asset List'!$X$4:$AD$60,MATCH('4'!$B9,'Unique Asset List'!$A$4:$A$60,0),MATCH('4'!$C$1,'Unique Asset List'!$X$3:$AD$3,0))</f>
        <v>1994</v>
      </c>
      <c r="AA9" s="9">
        <f>INDEX('Unique Asset List'!$AE$4:$AK$60,MATCH('4'!$B9,'Unique Asset List'!$A$4:$A$60,0),MATCH('4'!$C$1,'Unique Asset List'!$AE$3:$AK$3,0))</f>
        <v>7</v>
      </c>
      <c r="AB9" s="16">
        <f t="shared" ref="AB9:AB36" si="2">SUMPRODUCT($AT9:$BA9,$AT$7:$BA$7)</f>
        <v>1.4218038</v>
      </c>
      <c r="AC9" s="16">
        <f t="shared" ref="AC9:AC36" si="3">SUMPRODUCT($BB9:$BH9,$BB$7:$BH$7)</f>
        <v>0.72835179999999999</v>
      </c>
      <c r="AD9" s="16">
        <f t="shared" ref="AD9:AD36" si="4">SUMPRODUCT($BI9:$BL9,$BI$7:$BL$7)</f>
        <v>0.56099999999999994</v>
      </c>
      <c r="AE9" s="15">
        <f>INDEX('Unique Asset List'!$BN$4:$BT$60,MATCH('4'!$B9,'Unique Asset List'!$A$4:$A$60,0),MATCH('4'!$C$1,'Unique Asset List'!$BN$3:$BT$3,0))</f>
        <v>0.05</v>
      </c>
      <c r="AF9" s="15">
        <f>INDEX('Unique Asset List'!$BU$4:$CA$60,MATCH('4'!$B9,'Unique Asset List'!$A$4:$A$60,0),MATCH('4'!$C$1,'Unique Asset List'!$BU$3:$CA$3,0))</f>
        <v>0.45</v>
      </c>
      <c r="AG9" s="15">
        <f>INDEX('Unique Asset List'!$AZ$4:$BF$60,MATCH('4'!$B9,'Unique Asset List'!$A$4:$A$60,0),MATCH('4'!$C$1,'Unique Asset List'!$AZ$3:$BF$3,0))</f>
        <v>0.05</v>
      </c>
      <c r="AH9" s="15">
        <f>INDEX('Unique Asset List'!$BG$4:$BM$60,MATCH('4'!$B9,'Unique Asset List'!$A$4:$A$60,0),MATCH('4'!$C$1,'Unique Asset List'!$BG$3:$BM$3,0))</f>
        <v>0.45</v>
      </c>
      <c r="AI9" s="11">
        <v>0.96187963349867744</v>
      </c>
      <c r="AJ9" s="15">
        <f>INDEX('Unique Asset List'!$AL$4:$AR$60,MATCH('4'!$B9,'Unique Asset List'!$A$4:$A$60,0),MATCH('4'!$C$1,'Unique Asset List'!$AL$3:$AR$3,0))</f>
        <v>1.4542000570988298</v>
      </c>
      <c r="AK9" s="15">
        <f>INDEX('Unique Asset List'!$AS$4:$AY$60,MATCH('4'!$B9,'Unique Asset List'!$A$4:$A$60,0),MATCH('4'!$C$1,'Unique Asset List'!$AS$3:$AY$3,0))</f>
        <v>-0.4950056673809119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40" si="5">AP9</f>
        <v>0.82</v>
      </c>
      <c r="AS9" s="10">
        <v>1</v>
      </c>
      <c r="AT9" s="4">
        <f>IF($C$5="ON",BT9,MyRating(_E1,$B9,Efficacy!$F$1))</f>
        <v>2</v>
      </c>
      <c r="AU9" s="3">
        <f>IF($C$5="ON",BU9,MyRating(_E2,$B9,Efficacy!$F$1))</f>
        <v>2</v>
      </c>
      <c r="AV9" s="3">
        <f>IF($C$5="ON",BV9,MyRating(_E3,$B9,Efficacy!$F$1))</f>
        <v>2</v>
      </c>
      <c r="AW9" s="3">
        <f>IF($C$5="ON",BW9,MyRating(_E4,$B9,Efficacy!$F$1))</f>
        <v>2</v>
      </c>
      <c r="AX9" s="3">
        <f>IF($C$5="ON",BX9,MyRating(_E5,$B9,Efficacy!$F$1))</f>
        <v>2</v>
      </c>
      <c r="AY9" s="3">
        <f>IF($C$5="ON",BY9,MyRating(_E6,$B9,Efficacy!$F$1))</f>
        <v>5</v>
      </c>
      <c r="AZ9" s="3">
        <f>IF($C$5="ON",BZ9,MyRating(_E7,$B9,Efficacy!$F$1))</f>
        <v>2</v>
      </c>
      <c r="BA9" s="3">
        <f>IF($C$5="ON",CA9,MyRating(_E8,$B9,Efficacy!$F$1))</f>
        <v>4</v>
      </c>
      <c r="BB9" s="3">
        <f>IF($C$5="ON",CB9,MyRating(_S1,$B9,Efficacy!$F$1))</f>
        <v>3</v>
      </c>
      <c r="BC9" s="3">
        <f>IF($C$5="ON",CC9,MyRating(_S2,$B9,Efficacy!$F$1))</f>
        <v>2</v>
      </c>
      <c r="BD9" s="3">
        <f>IF($C$5="ON",CD9,MyRating(_S3,$B9,Efficacy!$F$1))</f>
        <v>3</v>
      </c>
      <c r="BE9" s="3">
        <f>IF($C$5="ON",CE9,MyRating(_S4,$B9,Efficacy!$F$1))</f>
        <v>3</v>
      </c>
      <c r="BF9" s="3">
        <f>IF($C$5="ON",CF9,MyRating(_S5,$B9,Efficacy!$F$1))</f>
        <v>3</v>
      </c>
      <c r="BG9" s="3">
        <f>IF($C$5="ON",CG9,MyRating(_S6,$B9,Efficacy!$F$1))</f>
        <v>3</v>
      </c>
      <c r="BH9" s="3">
        <f>IF($C$5="ON",CH9,MyRating(_S7,$B9,Efficacy!$F$1))</f>
        <v>3</v>
      </c>
      <c r="BI9" s="3">
        <f>IF($C$5="ON",CI9,MyRating(_D1,$B9,Efficacy!$F$1))</f>
        <v>3</v>
      </c>
      <c r="BJ9" s="3">
        <f>IF($C$5="ON",CJ9,MyRating(_D2,$B9,Efficacy!$F$1))</f>
        <v>3</v>
      </c>
      <c r="BK9" s="3">
        <f>IF($C$5="ON",CK9,MyRating(_D3,$B9,Efficacy!$F$1))</f>
        <v>3</v>
      </c>
      <c r="BL9" s="3">
        <f>IF($C$5="ON",CL9,MyRating(_D4,$B9,Efficacy!$F$1))</f>
        <v>3</v>
      </c>
      <c r="BM9" s="3">
        <f>IF($C$5="ON",CM9,MyRating(_B1G5,$B9,Barrier!$L$2))</f>
        <v>3</v>
      </c>
      <c r="BN9" s="3">
        <f>IF($C$5="ON",CN9,MyRating(_B2,$B9,Barrier!$F$2))</f>
        <v>3</v>
      </c>
      <c r="BO9" s="6">
        <f>IF($C$5="ON",CO9,MyRating(_B3,$B9,Barrier!$F$2))</f>
        <v>3</v>
      </c>
      <c r="BP9" s="5">
        <f t="shared" ref="BP9:BP40" si="6">BS9/$BS$7</f>
        <v>3.7014903427878103E-2</v>
      </c>
      <c r="BQ9" s="8">
        <f t="shared" ref="BQ9:BQ40" si="7">SUMPRODUCT($BM9:$BO9,$BM$7:$BO$7)</f>
        <v>2.9999999999999996</v>
      </c>
      <c r="BR9" s="5">
        <f t="shared" ref="BR9:BR40" si="8">BQ9/$BQ$7</f>
        <v>3.6652412950519221E-2</v>
      </c>
      <c r="BS9" s="7">
        <f t="shared" ref="BS9:BS40" si="9">BR9^$X$4</f>
        <v>1.8920085086828659E-2</v>
      </c>
      <c r="BT9" s="4">
        <v>2</v>
      </c>
      <c r="BU9" s="3">
        <v>2</v>
      </c>
      <c r="BV9" s="3">
        <v>2</v>
      </c>
      <c r="BW9" s="3">
        <v>2</v>
      </c>
      <c r="BX9" s="3">
        <v>2</v>
      </c>
      <c r="BY9" s="3">
        <v>5</v>
      </c>
      <c r="BZ9" s="3">
        <v>2</v>
      </c>
      <c r="CA9" s="3">
        <v>4</v>
      </c>
      <c r="CB9" s="3">
        <v>3</v>
      </c>
      <c r="CC9" s="3">
        <v>2</v>
      </c>
      <c r="CD9" s="3">
        <v>3</v>
      </c>
      <c r="CE9" s="3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6">
        <v>3</v>
      </c>
      <c r="CP9" s="5">
        <v>3.7014903427878103E-2</v>
      </c>
    </row>
    <row r="10" spans="1:94" x14ac:dyDescent="0.35">
      <c r="A10" s="9" t="str">
        <f t="shared" si="0"/>
        <v>UK</v>
      </c>
      <c r="B10" s="9" t="s">
        <v>197</v>
      </c>
      <c r="C10" s="20"/>
      <c r="D10" s="9" t="s">
        <v>48</v>
      </c>
      <c r="E10" s="9" t="s">
        <v>193</v>
      </c>
      <c r="F10" s="9" t="s">
        <v>47</v>
      </c>
      <c r="G10" s="59">
        <v>0.46</v>
      </c>
      <c r="H10" s="9">
        <v>2014</v>
      </c>
      <c r="I10" s="9">
        <v>6</v>
      </c>
      <c r="J10" s="18">
        <f>INDEX(PTRS!$D$6:$D$12,MATCH('4'!$F10,PTRS!$B$6:$B$12,0))</f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0.74129766176673451</v>
      </c>
      <c r="V10" s="17">
        <v>1</v>
      </c>
      <c r="W10" s="9" t="s">
        <v>195</v>
      </c>
      <c r="X10" s="9">
        <f>INDEX('Unique Asset List'!$C$4:$I$60,MATCH('4'!$B10,'Unique Asset List'!$A$4:$A$60,0),MATCH('4'!$C$1,'Unique Asset List'!$C$3:$I$3,0))</f>
        <v>1991</v>
      </c>
      <c r="Y10" s="9">
        <f>INDEX('Unique Asset List'!$J$4:$P$60,MATCH('4'!$B10,'Unique Asset List'!$A$4:$A$60,0),MATCH('4'!$C$1,'Unique Asset List'!$J$3:$P$3,0))</f>
        <v>7</v>
      </c>
      <c r="Z10" s="9">
        <f>INDEX('Unique Asset List'!$X$4:$AD$60,MATCH('4'!$B10,'Unique Asset List'!$A$4:$A$60,0),MATCH('4'!$C$1,'Unique Asset List'!$X$3:$AD$3,0))</f>
        <v>2001</v>
      </c>
      <c r="AA10" s="9">
        <f>INDEX('Unique Asset List'!$AE$4:$AK$60,MATCH('4'!$B10,'Unique Asset List'!$A$4:$A$60,0),MATCH('4'!$C$1,'Unique Asset List'!$AE$3:$AK$3,0))</f>
        <v>7</v>
      </c>
      <c r="AB10" s="16">
        <f t="shared" si="2"/>
        <v>1.5698908</v>
      </c>
      <c r="AC10" s="16">
        <f t="shared" si="3"/>
        <v>0.99973299999999998</v>
      </c>
      <c r="AD10" s="16">
        <f t="shared" si="4"/>
        <v>0.46126874111999994</v>
      </c>
      <c r="AE10" s="15">
        <f>INDEX('Unique Asset List'!$BN$4:$BT$60,MATCH('4'!$B10,'Unique Asset List'!$A$4:$A$60,0),MATCH('4'!$C$1,'Unique Asset List'!$BN$3:$BT$3,0))</f>
        <v>0.05</v>
      </c>
      <c r="AF10" s="15">
        <f>INDEX('Unique Asset List'!$BU$4:$CA$60,MATCH('4'!$B10,'Unique Asset List'!$A$4:$A$60,0),MATCH('4'!$C$1,'Unique Asset List'!$BU$3:$CA$3,0))</f>
        <v>0.45</v>
      </c>
      <c r="AG10" s="15">
        <f>INDEX('Unique Asset List'!$AZ$4:$BF$60,MATCH('4'!$B10,'Unique Asset List'!$A$4:$A$60,0),MATCH('4'!$C$1,'Unique Asset List'!$AZ$3:$BF$3,0))</f>
        <v>0.05</v>
      </c>
      <c r="AH10" s="15">
        <f>INDEX('Unique Asset List'!$BG$4:$BM$60,MATCH('4'!$B10,'Unique Asset List'!$A$4:$A$60,0),MATCH('4'!$C$1,'Unique Asset List'!$BG$3:$BM$3,0))</f>
        <v>0.45</v>
      </c>
      <c r="AI10" s="11">
        <v>0.96187963349867744</v>
      </c>
      <c r="AJ10" s="15">
        <f>INDEX('Unique Asset List'!$AL$4:$AR$60,MATCH('4'!$B10,'Unique Asset List'!$A$4:$A$60,0),MATCH('4'!$C$1,'Unique Asset List'!$AL$3:$AR$3,0))</f>
        <v>1.4542000570988298</v>
      </c>
      <c r="AK10" s="15">
        <f>INDEX('Unique Asset List'!$AS$4:$AY$60,MATCH('4'!$B10,'Unique Asset List'!$A$4:$A$60,0),MATCH('4'!$C$1,'Unique Asset List'!$AS$3:$AY$3,0))</f>
        <v>-0.4950056673809119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5"/>
        <v>0.82</v>
      </c>
      <c r="AS10" s="10">
        <v>1</v>
      </c>
      <c r="AT10" s="4">
        <f>IF($C$5="ON",BT10,MyRating(_E1,$B10,Efficacy!$F$1))</f>
        <v>3</v>
      </c>
      <c r="AU10" s="3">
        <f>IF($C$5="ON",BU10,MyRating(_E2,$B10,Efficacy!$F$1))</f>
        <v>3</v>
      </c>
      <c r="AV10" s="3">
        <f>IF($C$5="ON",BV10,MyRating(_E3,$B10,Efficacy!$F$1))</f>
        <v>3</v>
      </c>
      <c r="AW10" s="3">
        <f>IF($C$5="ON",BW10,MyRating(_E4,$B10,Efficacy!$F$1))</f>
        <v>3</v>
      </c>
      <c r="AX10" s="3">
        <f>IF($C$5="ON",BX10,MyRating(_E5,$B10,Efficacy!$F$1))</f>
        <v>3</v>
      </c>
      <c r="AY10" s="3">
        <f>IF($C$5="ON",BY10,MyRating(_E6,$B10,Efficacy!$F$1))</f>
        <v>1</v>
      </c>
      <c r="AZ10" s="3">
        <f>IF($C$5="ON",BZ10,MyRating(_E7,$B10,Efficacy!$F$1))</f>
        <v>3</v>
      </c>
      <c r="BA10" s="3">
        <f>IF($C$5="ON",CA10,MyRating(_E8,$B10,Efficacy!$F$1))</f>
        <v>3</v>
      </c>
      <c r="BB10" s="3">
        <f>IF($C$5="ON",CB10,MyRating(_S1,$B10,Efficacy!$F$1))</f>
        <v>4</v>
      </c>
      <c r="BC10" s="3">
        <f>IF($C$5="ON",CC10,MyRating(_S2,$B10,Efficacy!$F$1))</f>
        <v>5</v>
      </c>
      <c r="BD10" s="3">
        <f>IF($C$5="ON",CD10,MyRating(_S3,$B10,Efficacy!$F$1))</f>
        <v>4</v>
      </c>
      <c r="BE10" s="3">
        <f>IF($C$5="ON",CE10,MyRating(_S4,$B10,Efficacy!$F$1))</f>
        <v>4</v>
      </c>
      <c r="BF10" s="3">
        <f>IF($C$5="ON",CF10,MyRating(_S5,$B10,Efficacy!$F$1))</f>
        <v>5</v>
      </c>
      <c r="BG10" s="3">
        <f>IF($C$5="ON",CG10,MyRating(_S6,$B10,Efficacy!$F$1))</f>
        <v>2</v>
      </c>
      <c r="BH10" s="3">
        <f>IF($C$5="ON",CH10,MyRating(_S7,$B10,Efficacy!$F$1))</f>
        <v>3</v>
      </c>
      <c r="BI10" s="3">
        <f>IF($C$5="ON",CI10,MyRating(_D1,$B10,Efficacy!$F$1))</f>
        <v>2</v>
      </c>
      <c r="BJ10" s="3">
        <f>IF($C$5="ON",CJ10,MyRating(_D2,$B10,Efficacy!$F$1))</f>
        <v>2</v>
      </c>
      <c r="BK10" s="3">
        <f>IF($C$5="ON",CK10,MyRating(_D3,$B10,Efficacy!$F$1))</f>
        <v>3</v>
      </c>
      <c r="BL10" s="3">
        <f>IF($C$5="ON",CL10,MyRating(_D4,$B10,Efficacy!$F$1))</f>
        <v>3</v>
      </c>
      <c r="BM10" s="3">
        <f>IF($C$5="ON",CM10,MyRating(_B1G5,$B10,Barrier!$L$2))</f>
        <v>3</v>
      </c>
      <c r="BN10" s="3">
        <f>IF($C$5="ON",CN10,MyRating(_B2,$B10,Barrier!$F$2))</f>
        <v>3</v>
      </c>
      <c r="BO10" s="6">
        <f>IF($C$5="ON",CO10,MyRating(_B3,$B10,Barrier!$F$2))</f>
        <v>3</v>
      </c>
      <c r="BP10" s="5">
        <f t="shared" si="6"/>
        <v>3.7014903427878103E-2</v>
      </c>
      <c r="BQ10" s="8">
        <f t="shared" si="7"/>
        <v>2.9999999999999996</v>
      </c>
      <c r="BR10" s="5">
        <f t="shared" si="8"/>
        <v>3.6652412950519221E-2</v>
      </c>
      <c r="BS10" s="7">
        <f t="shared" si="9"/>
        <v>1.8920085086828659E-2</v>
      </c>
      <c r="BT10" s="4">
        <v>3</v>
      </c>
      <c r="BU10" s="3">
        <v>3</v>
      </c>
      <c r="BV10" s="3">
        <v>3</v>
      </c>
      <c r="BW10" s="3">
        <v>3</v>
      </c>
      <c r="BX10" s="3">
        <v>3</v>
      </c>
      <c r="BY10" s="3">
        <v>1</v>
      </c>
      <c r="BZ10" s="3">
        <v>3</v>
      </c>
      <c r="CA10" s="3">
        <v>3</v>
      </c>
      <c r="CB10" s="3">
        <v>4</v>
      </c>
      <c r="CC10" s="3">
        <v>5</v>
      </c>
      <c r="CD10" s="3">
        <v>4</v>
      </c>
      <c r="CE10" s="3">
        <v>4</v>
      </c>
      <c r="CF10" s="3">
        <v>5</v>
      </c>
      <c r="CG10" s="3">
        <v>2</v>
      </c>
      <c r="CH10" s="3">
        <v>3</v>
      </c>
      <c r="CI10" s="3">
        <v>2</v>
      </c>
      <c r="CJ10" s="3">
        <v>2</v>
      </c>
      <c r="CK10" s="3">
        <v>3</v>
      </c>
      <c r="CL10" s="3">
        <v>3</v>
      </c>
      <c r="CM10" s="3">
        <v>3</v>
      </c>
      <c r="CN10" s="3">
        <v>3</v>
      </c>
      <c r="CO10" s="6">
        <v>3</v>
      </c>
      <c r="CP10" s="5">
        <v>3.7014903427878103E-2</v>
      </c>
    </row>
    <row r="11" spans="1:94" x14ac:dyDescent="0.35">
      <c r="A11" s="9" t="str">
        <f t="shared" si="0"/>
        <v>UK</v>
      </c>
      <c r="B11" s="9" t="s">
        <v>196</v>
      </c>
      <c r="C11" s="20"/>
      <c r="D11" s="9" t="s">
        <v>90</v>
      </c>
      <c r="E11" s="9" t="s">
        <v>193</v>
      </c>
      <c r="F11" s="9" t="s">
        <v>47</v>
      </c>
      <c r="G11" s="59">
        <v>0.32</v>
      </c>
      <c r="H11" s="9">
        <v>2014</v>
      </c>
      <c r="I11" s="9">
        <v>6</v>
      </c>
      <c r="J11" s="18">
        <f>INDEX(PTRS!$D$6:$D$12,MATCH('4'!$F11,PTRS!$B$6:$B$12,0))</f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0.74129766176673451</v>
      </c>
      <c r="V11" s="17">
        <v>1</v>
      </c>
      <c r="W11" s="9" t="s">
        <v>54</v>
      </c>
      <c r="X11" s="9">
        <f>INDEX('Unique Asset List'!$C$4:$I$60,MATCH('4'!$B11,'Unique Asset List'!$A$4:$A$60,0),MATCH('4'!$C$1,'Unique Asset List'!$C$3:$I$3,0))</f>
        <v>2012</v>
      </c>
      <c r="Y11" s="9">
        <f>INDEX('Unique Asset List'!$J$4:$P$60,MATCH('4'!$B11,'Unique Asset List'!$A$4:$A$60,0),MATCH('4'!$C$1,'Unique Asset List'!$J$3:$P$3,0))</f>
        <v>9</v>
      </c>
      <c r="Z11" s="9">
        <f>INDEX('Unique Asset List'!$X$4:$AD$60,MATCH('4'!$B11,'Unique Asset List'!$A$4:$A$60,0),MATCH('4'!$C$1,'Unique Asset List'!$X$3:$AD$3,0))</f>
        <v>2017</v>
      </c>
      <c r="AA11" s="9">
        <f>INDEX('Unique Asset List'!$AE$4:$AK$60,MATCH('4'!$B11,'Unique Asset List'!$A$4:$A$60,0),MATCH('4'!$C$1,'Unique Asset List'!$AE$3:$AK$3,0))</f>
        <v>3</v>
      </c>
      <c r="AB11" s="16">
        <f t="shared" si="2"/>
        <v>1.6603166</v>
      </c>
      <c r="AC11" s="16">
        <f t="shared" si="3"/>
        <v>0.65777060000000009</v>
      </c>
      <c r="AD11" s="16">
        <f t="shared" si="4"/>
        <v>0.52097279586</v>
      </c>
      <c r="AE11" s="15">
        <f>INDEX('Unique Asset List'!$BN$4:$BT$60,MATCH('4'!$B11,'Unique Asset List'!$A$4:$A$60,0),MATCH('4'!$C$1,'Unique Asset List'!$BN$3:$BT$3,0))</f>
        <v>0.05</v>
      </c>
      <c r="AF11" s="15">
        <f>INDEX('Unique Asset List'!$BU$4:$CA$60,MATCH('4'!$B11,'Unique Asset List'!$A$4:$A$60,0),MATCH('4'!$C$1,'Unique Asset List'!$BU$3:$CA$3,0))</f>
        <v>0.45</v>
      </c>
      <c r="AG11" s="15">
        <f>INDEX('Unique Asset List'!$AZ$4:$BF$60,MATCH('4'!$B11,'Unique Asset List'!$A$4:$A$60,0),MATCH('4'!$C$1,'Unique Asset List'!$AZ$3:$BF$3,0))</f>
        <v>0.05</v>
      </c>
      <c r="AH11" s="15">
        <f>INDEX('Unique Asset List'!$BG$4:$BM$60,MATCH('4'!$B11,'Unique Asset List'!$A$4:$A$60,0),MATCH('4'!$C$1,'Unique Asset List'!$BG$3:$BM$3,0))</f>
        <v>0.45</v>
      </c>
      <c r="AI11" s="11">
        <v>0.96187963349867744</v>
      </c>
      <c r="AJ11" s="15">
        <f>INDEX('Unique Asset List'!$AL$4:$AR$60,MATCH('4'!$B11,'Unique Asset List'!$A$4:$A$60,0),MATCH('4'!$C$1,'Unique Asset List'!$AL$3:$AR$3,0))</f>
        <v>1.4542000570988298</v>
      </c>
      <c r="AK11" s="15">
        <f>INDEX('Unique Asset List'!$AS$4:$AY$60,MATCH('4'!$B11,'Unique Asset List'!$A$4:$A$60,0),MATCH('4'!$C$1,'Unique Asset List'!$AS$3:$AY$3,0))</f>
        <v>-0.4950056673809119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5"/>
        <v>0.82</v>
      </c>
      <c r="AS11" s="10">
        <v>1</v>
      </c>
      <c r="AT11" s="4">
        <f>IF($C$5="ON",BT11,MyRating(_E1,$B11,Efficacy!$F$1))</f>
        <v>3</v>
      </c>
      <c r="AU11" s="3">
        <f>IF($C$5="ON",BU11,MyRating(_E2,$B11,Efficacy!$F$1))</f>
        <v>2</v>
      </c>
      <c r="AV11" s="3">
        <f>IF($C$5="ON",BV11,MyRating(_E3,$B11,Efficacy!$F$1))</f>
        <v>3</v>
      </c>
      <c r="AW11" s="3">
        <f>IF($C$5="ON",BW11,MyRating(_E4,$B11,Efficacy!$F$1))</f>
        <v>3</v>
      </c>
      <c r="AX11" s="3">
        <f>IF($C$5="ON",BX11,MyRating(_E5,$B11,Efficacy!$F$1))</f>
        <v>2</v>
      </c>
      <c r="AY11" s="3">
        <f>IF($C$5="ON",BY11,MyRating(_E6,$B11,Efficacy!$F$1))</f>
        <v>5</v>
      </c>
      <c r="AZ11" s="3">
        <f>IF($C$5="ON",BZ11,MyRating(_E7,$B11,Efficacy!$F$1))</f>
        <v>3</v>
      </c>
      <c r="BA11" s="3">
        <f>IF($C$5="ON",CA11,MyRating(_E8,$B11,Efficacy!$F$1))</f>
        <v>3</v>
      </c>
      <c r="BB11" s="3">
        <f>IF($C$5="ON",CB11,MyRating(_S1,$B11,Efficacy!$F$1))</f>
        <v>3</v>
      </c>
      <c r="BC11" s="3">
        <f>IF($C$5="ON",CC11,MyRating(_S2,$B11,Efficacy!$F$1))</f>
        <v>1</v>
      </c>
      <c r="BD11" s="3">
        <f>IF($C$5="ON",CD11,MyRating(_S3,$B11,Efficacy!$F$1))</f>
        <v>3</v>
      </c>
      <c r="BE11" s="3">
        <f>IF($C$5="ON",CE11,MyRating(_S4,$B11,Efficacy!$F$1))</f>
        <v>3</v>
      </c>
      <c r="BF11" s="3">
        <f>IF($C$5="ON",CF11,MyRating(_S5,$B11,Efficacy!$F$1))</f>
        <v>2</v>
      </c>
      <c r="BG11" s="3">
        <f>IF($C$5="ON",CG11,MyRating(_S6,$B11,Efficacy!$F$1))</f>
        <v>3</v>
      </c>
      <c r="BH11" s="3">
        <f>IF($C$5="ON",CH11,MyRating(_S7,$B11,Efficacy!$F$1))</f>
        <v>3</v>
      </c>
      <c r="BI11" s="3">
        <f>IF($C$5="ON",CI11,MyRating(_D1,$B11,Efficacy!$F$1))</f>
        <v>3</v>
      </c>
      <c r="BJ11" s="3">
        <f>IF($C$5="ON",CJ11,MyRating(_D2,$B11,Efficacy!$F$1))</f>
        <v>2</v>
      </c>
      <c r="BK11" s="3">
        <f>IF($C$5="ON",CK11,MyRating(_D3,$B11,Efficacy!$F$1))</f>
        <v>3</v>
      </c>
      <c r="BL11" s="3">
        <f>IF($C$5="ON",CL11,MyRating(_D4,$B11,Efficacy!$F$1))</f>
        <v>3</v>
      </c>
      <c r="BM11" s="3">
        <f>IF($C$5="ON",CM11,MyRating(_B1G5,$B11,Barrier!$L$2))</f>
        <v>3</v>
      </c>
      <c r="BN11" s="3">
        <f>IF($C$5="ON",CN11,MyRating(_B2,$B11,Barrier!$F$2))</f>
        <v>3</v>
      </c>
      <c r="BO11" s="6">
        <f>IF($C$5="ON",CO11,MyRating(_B3,$B11,Barrier!$F$2))</f>
        <v>3</v>
      </c>
      <c r="BP11" s="5">
        <f t="shared" si="6"/>
        <v>3.7014903427878103E-2</v>
      </c>
      <c r="BQ11" s="8">
        <f t="shared" si="7"/>
        <v>2.9999999999999996</v>
      </c>
      <c r="BR11" s="5">
        <f t="shared" si="8"/>
        <v>3.6652412950519221E-2</v>
      </c>
      <c r="BS11" s="7">
        <f t="shared" si="9"/>
        <v>1.8920085086828659E-2</v>
      </c>
      <c r="BT11" s="4">
        <v>3</v>
      </c>
      <c r="BU11" s="3">
        <v>2</v>
      </c>
      <c r="BV11" s="3">
        <v>3</v>
      </c>
      <c r="BW11" s="3">
        <v>3</v>
      </c>
      <c r="BX11" s="3">
        <v>2</v>
      </c>
      <c r="BY11" s="3">
        <v>5</v>
      </c>
      <c r="BZ11" s="3">
        <v>3</v>
      </c>
      <c r="CA11" s="3">
        <v>3</v>
      </c>
      <c r="CB11" s="3">
        <v>3</v>
      </c>
      <c r="CC11" s="3">
        <v>1</v>
      </c>
      <c r="CD11" s="3">
        <v>3</v>
      </c>
      <c r="CE11" s="3">
        <v>3</v>
      </c>
      <c r="CF11" s="3">
        <v>2</v>
      </c>
      <c r="CG11" s="3">
        <v>3</v>
      </c>
      <c r="CH11" s="3">
        <v>3</v>
      </c>
      <c r="CI11" s="3">
        <v>3</v>
      </c>
      <c r="CJ11" s="3">
        <v>2</v>
      </c>
      <c r="CK11" s="3">
        <v>3</v>
      </c>
      <c r="CL11" s="3">
        <v>3</v>
      </c>
      <c r="CM11" s="3">
        <v>3</v>
      </c>
      <c r="CN11" s="3">
        <v>3</v>
      </c>
      <c r="CO11" s="6">
        <v>3</v>
      </c>
      <c r="CP11" s="5">
        <v>3.7014903427878103E-2</v>
      </c>
    </row>
    <row r="12" spans="1:94" x14ac:dyDescent="0.35">
      <c r="A12" s="9" t="str">
        <f t="shared" si="0"/>
        <v>UK</v>
      </c>
      <c r="B12" s="9" t="s">
        <v>88</v>
      </c>
      <c r="C12" s="20"/>
      <c r="D12" s="9" t="s">
        <v>87</v>
      </c>
      <c r="E12" s="9" t="s">
        <v>193</v>
      </c>
      <c r="F12" s="9" t="s">
        <v>86</v>
      </c>
      <c r="G12" s="19">
        <v>0</v>
      </c>
      <c r="H12" s="9">
        <v>2014</v>
      </c>
      <c r="I12" s="9">
        <v>6</v>
      </c>
      <c r="J12" s="18">
        <f>INDEX(PTRS!$D$6:$D$12,MATCH('4'!$F12,PTRS!$B$6:$B$12,0))</f>
        <v>0.9</v>
      </c>
      <c r="K12" s="17">
        <v>1</v>
      </c>
      <c r="L12" s="17">
        <v>0.9</v>
      </c>
      <c r="M12" s="17">
        <v>0.5</v>
      </c>
      <c r="N12" s="17">
        <v>0.5</v>
      </c>
      <c r="O12" s="17">
        <v>0.5</v>
      </c>
      <c r="P12" s="17">
        <v>0.9</v>
      </c>
      <c r="Q12" s="17">
        <v>1</v>
      </c>
      <c r="R12" s="17">
        <v>1</v>
      </c>
      <c r="S12" s="17">
        <v>1</v>
      </c>
      <c r="T12" s="17"/>
      <c r="U12" s="17">
        <f t="shared" si="1"/>
        <v>0.21031695408457127</v>
      </c>
      <c r="V12" s="17">
        <v>1</v>
      </c>
      <c r="W12" s="9" t="s">
        <v>16</v>
      </c>
      <c r="X12" s="9">
        <f>INDEX('Unique Asset List'!$C$4:$I$60,MATCH('4'!$B12,'Unique Asset List'!$A$4:$A$60,0),MATCH('4'!$C$1,'Unique Asset List'!$C$3:$I$3,0))</f>
        <v>2019</v>
      </c>
      <c r="Y12" s="9">
        <f>INDEX('Unique Asset List'!$J$4:$P$60,MATCH('4'!$B12,'Unique Asset List'!$A$4:$A$60,0),MATCH('4'!$C$1,'Unique Asset List'!$J$3:$P$3,0))</f>
        <v>6.9999999999990905</v>
      </c>
      <c r="Z12" s="9">
        <f>INDEX('Unique Asset List'!$X$4:$AD$60,MATCH('4'!$B12,'Unique Asset List'!$A$4:$A$60,0),MATCH('4'!$C$1,'Unique Asset List'!$X$3:$AD$3,0))</f>
        <v>2029</v>
      </c>
      <c r="AA12" s="9">
        <f>INDEX('Unique Asset List'!$AE$4:$AK$60,MATCH('4'!$B12,'Unique Asset List'!$A$4:$A$60,0),MATCH('4'!$C$1,'Unique Asset List'!$AE$3:$AK$3,0))</f>
        <v>7</v>
      </c>
      <c r="AB12" s="16">
        <f t="shared" si="2"/>
        <v>2.1202012000000003</v>
      </c>
      <c r="AC12" s="16">
        <f t="shared" si="3"/>
        <v>0.98141</v>
      </c>
      <c r="AD12" s="16">
        <f t="shared" si="4"/>
        <v>0.31905939999999999</v>
      </c>
      <c r="AE12" s="15">
        <f>INDEX('Unique Asset List'!$BN$4:$BT$60,MATCH('4'!$B12,'Unique Asset List'!$A$4:$A$60,0),MATCH('4'!$C$1,'Unique Asset List'!$BN$3:$BT$3,0))</f>
        <v>0.05</v>
      </c>
      <c r="AF12" s="15">
        <f>INDEX('Unique Asset List'!$BU$4:$CA$60,MATCH('4'!$B12,'Unique Asset List'!$A$4:$A$60,0),MATCH('4'!$C$1,'Unique Asset List'!$BU$3:$CA$3,0))</f>
        <v>0.45</v>
      </c>
      <c r="AG12" s="15">
        <f>INDEX('Unique Asset List'!$AZ$4:$BF$60,MATCH('4'!$B12,'Unique Asset List'!$A$4:$A$60,0),MATCH('4'!$C$1,'Unique Asset List'!$AZ$3:$BF$3,0))</f>
        <v>0.05</v>
      </c>
      <c r="AH12" s="15">
        <f>INDEX('Unique Asset List'!$BG$4:$BM$60,MATCH('4'!$B12,'Unique Asset List'!$A$4:$A$60,0),MATCH('4'!$C$1,'Unique Asset List'!$BG$3:$BM$3,0))</f>
        <v>0.45</v>
      </c>
      <c r="AI12" s="11">
        <v>0.96187963349867744</v>
      </c>
      <c r="AJ12" s="15">
        <f>INDEX('Unique Asset List'!$AL$4:$AR$60,MATCH('4'!$B12,'Unique Asset List'!$A$4:$A$60,0),MATCH('4'!$C$1,'Unique Asset List'!$AL$3:$AR$3,0))</f>
        <v>1.4542000570988298</v>
      </c>
      <c r="AK12" s="15">
        <f>INDEX('Unique Asset List'!$AS$4:$AY$60,MATCH('4'!$B12,'Unique Asset List'!$A$4:$A$60,0),MATCH('4'!$C$1,'Unique Asset List'!$AS$3:$AY$3,0))</f>
        <v>-0.4950056673809119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4">
        <f>IF($C$5="ON",BT12,MyRating(_E1,$B12,Efficacy!$F$1))</f>
        <v>3</v>
      </c>
      <c r="AU12" s="3">
        <f>IF($C$5="ON",BU12,MyRating(_E2,$B12,Efficacy!$F$1))</f>
        <v>5</v>
      </c>
      <c r="AV12" s="3">
        <f>IF($C$5="ON",BV12,MyRating(_E3,$B12,Efficacy!$F$1))</f>
        <v>5</v>
      </c>
      <c r="AW12" s="3">
        <f>IF($C$5="ON",BW12,MyRating(_E4,$B12,Efficacy!$F$1))</f>
        <v>4</v>
      </c>
      <c r="AX12" s="3">
        <f>IF($C$5="ON",BX12,MyRating(_E5,$B12,Efficacy!$F$1))</f>
        <v>3</v>
      </c>
      <c r="AY12" s="3">
        <f>IF($C$5="ON",BY12,MyRating(_E6,$B12,Efficacy!$F$1))</f>
        <v>3</v>
      </c>
      <c r="AZ12" s="3">
        <f>IF($C$5="ON",BZ12,MyRating(_E7,$B12,Efficacy!$F$1))</f>
        <v>3</v>
      </c>
      <c r="BA12" s="3">
        <f>IF($C$5="ON",CA12,MyRating(_E8,$B12,Efficacy!$F$1))</f>
        <v>3</v>
      </c>
      <c r="BB12" s="3">
        <f>IF($C$5="ON",CB12,MyRating(_S1,$B12,Efficacy!$F$1))</f>
        <v>5</v>
      </c>
      <c r="BC12" s="3">
        <f>IF($C$5="ON",CC12,MyRating(_S2,$B12,Efficacy!$F$1))</f>
        <v>3</v>
      </c>
      <c r="BD12" s="3">
        <f>IF($C$5="ON",CD12,MyRating(_S3,$B12,Efficacy!$F$1))</f>
        <v>3</v>
      </c>
      <c r="BE12" s="3">
        <f>IF($C$5="ON",CE12,MyRating(_S4,$B12,Efficacy!$F$1))</f>
        <v>4</v>
      </c>
      <c r="BF12" s="3">
        <f>IF($C$5="ON",CF12,MyRating(_S5,$B12,Efficacy!$F$1))</f>
        <v>5</v>
      </c>
      <c r="BG12" s="3">
        <f>IF($C$5="ON",CG12,MyRating(_S6,$B12,Efficacy!$F$1))</f>
        <v>2</v>
      </c>
      <c r="BH12" s="3">
        <f>IF($C$5="ON",CH12,MyRating(_S7,$B12,Efficacy!$F$1))</f>
        <v>3</v>
      </c>
      <c r="BI12" s="3">
        <f>IF($C$5="ON",CI12,MyRating(_D1,$B12,Efficacy!$F$1))</f>
        <v>2</v>
      </c>
      <c r="BJ12" s="3">
        <f>IF($C$5="ON",CJ12,MyRating(_D2,$B12,Efficacy!$F$1))</f>
        <v>2</v>
      </c>
      <c r="BK12" s="3">
        <f>IF($C$5="ON",CK12,MyRating(_D3,$B12,Efficacy!$F$1))</f>
        <v>2</v>
      </c>
      <c r="BL12" s="3">
        <f>IF($C$5="ON",CL12,MyRating(_D4,$B12,Efficacy!$F$1))</f>
        <v>1</v>
      </c>
      <c r="BM12" s="3">
        <f>IF($C$5="ON",CM12,MyRating(_B1G5,$B12,Barrier!$L$2))</f>
        <v>2</v>
      </c>
      <c r="BN12" s="3">
        <f>IF($C$5="ON",CN12,MyRating(_B2,$B12,Barrier!$F$2))</f>
        <v>1</v>
      </c>
      <c r="BO12" s="6">
        <f>IF($C$5="ON",CO12,MyRating(_B3,$B12,Barrier!$F$2))</f>
        <v>1</v>
      </c>
      <c r="BP12" s="5">
        <f t="shared" si="6"/>
        <v>1.0501667745898752E-2</v>
      </c>
      <c r="BQ12" s="8">
        <f t="shared" si="7"/>
        <v>1.0499999999999998</v>
      </c>
      <c r="BR12" s="5">
        <f t="shared" si="8"/>
        <v>1.2828344532681727E-2</v>
      </c>
      <c r="BS12" s="7">
        <f t="shared" si="9"/>
        <v>5.3679039766550227E-3</v>
      </c>
      <c r="BT12" s="4">
        <v>3</v>
      </c>
      <c r="BU12" s="3">
        <v>5</v>
      </c>
      <c r="BV12" s="3">
        <v>5</v>
      </c>
      <c r="BW12" s="3">
        <v>4</v>
      </c>
      <c r="BX12" s="3">
        <v>3</v>
      </c>
      <c r="BY12" s="3">
        <v>3</v>
      </c>
      <c r="BZ12" s="3">
        <v>3</v>
      </c>
      <c r="CA12" s="3">
        <v>3</v>
      </c>
      <c r="CB12" s="3">
        <v>5</v>
      </c>
      <c r="CC12" s="3">
        <v>3</v>
      </c>
      <c r="CD12" s="3">
        <v>3</v>
      </c>
      <c r="CE12" s="3">
        <v>4</v>
      </c>
      <c r="CF12" s="3">
        <v>5</v>
      </c>
      <c r="CG12" s="3">
        <v>2</v>
      </c>
      <c r="CH12" s="3">
        <v>3</v>
      </c>
      <c r="CI12" s="3">
        <v>2</v>
      </c>
      <c r="CJ12" s="3">
        <v>2</v>
      </c>
      <c r="CK12" s="3">
        <v>2</v>
      </c>
      <c r="CL12" s="3">
        <v>1</v>
      </c>
      <c r="CM12" s="3">
        <v>2</v>
      </c>
      <c r="CN12" s="3">
        <v>1</v>
      </c>
      <c r="CO12" s="6">
        <v>1</v>
      </c>
      <c r="CP12" s="5">
        <v>1.0501667745898752E-2</v>
      </c>
    </row>
    <row r="13" spans="1:94" x14ac:dyDescent="0.35">
      <c r="A13" s="9" t="str">
        <f t="shared" si="0"/>
        <v>UK</v>
      </c>
      <c r="B13" s="9" t="s">
        <v>85</v>
      </c>
      <c r="C13" s="20"/>
      <c r="D13" s="9" t="s">
        <v>2</v>
      </c>
      <c r="E13" s="9" t="s">
        <v>193</v>
      </c>
      <c r="F13" s="9" t="s">
        <v>63</v>
      </c>
      <c r="G13" s="19">
        <v>0</v>
      </c>
      <c r="H13" s="9">
        <v>2014</v>
      </c>
      <c r="I13" s="9">
        <v>6</v>
      </c>
      <c r="J13" s="18">
        <f>INDEX(PTRS!$D$6:$D$12,MATCH('4'!$F13,PTRS!$B$6:$B$12,0))</f>
        <v>0.58500000000000008</v>
      </c>
      <c r="K13" s="17">
        <v>1</v>
      </c>
      <c r="L13" s="17">
        <v>1</v>
      </c>
      <c r="M13" s="17">
        <v>0.58500000000000008</v>
      </c>
      <c r="N13" s="17">
        <v>0.62</v>
      </c>
      <c r="O13" s="17">
        <v>0.62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0.19835681424527862</v>
      </c>
      <c r="V13" s="17">
        <v>1</v>
      </c>
      <c r="W13" s="9" t="s">
        <v>62</v>
      </c>
      <c r="X13" s="9">
        <f>INDEX('Unique Asset List'!$C$4:$I$60,MATCH('4'!$B13,'Unique Asset List'!$A$4:$A$60,0),MATCH('4'!$C$1,'Unique Asset List'!$C$3:$I$3,0))</f>
        <v>2020</v>
      </c>
      <c r="Y13" s="9">
        <f>INDEX('Unique Asset List'!$J$4:$P$60,MATCH('4'!$B13,'Unique Asset List'!$A$4:$A$60,0),MATCH('4'!$C$1,'Unique Asset List'!$J$3:$P$3,0))</f>
        <v>3</v>
      </c>
      <c r="Z13" s="9">
        <f>INDEX('Unique Asset List'!$X$4:$AD$60,MATCH('4'!$B13,'Unique Asset List'!$A$4:$A$60,0),MATCH('4'!$C$1,'Unique Asset List'!$X$3:$AD$3,0))</f>
        <v>2031</v>
      </c>
      <c r="AA13" s="9">
        <f>INDEX('Unique Asset List'!$AE$4:$AK$60,MATCH('4'!$B13,'Unique Asset List'!$A$4:$A$60,0),MATCH('4'!$C$1,'Unique Asset List'!$AE$3:$AK$3,0))</f>
        <v>1</v>
      </c>
      <c r="AB13" s="16">
        <f t="shared" si="2"/>
        <v>2.3511832000000004</v>
      </c>
      <c r="AC13" s="16">
        <f t="shared" si="3"/>
        <v>0.88497580000000009</v>
      </c>
      <c r="AD13" s="16">
        <f t="shared" si="4"/>
        <v>0.39141474525999997</v>
      </c>
      <c r="AE13" s="15">
        <f>INDEX('Unique Asset List'!$BN$4:$BT$60,MATCH('4'!$B13,'Unique Asset List'!$A$4:$A$60,0),MATCH('4'!$C$1,'Unique Asset List'!$BN$3:$BT$3,0))</f>
        <v>0.06</v>
      </c>
      <c r="AF13" s="15">
        <f>INDEX('Unique Asset List'!$BU$4:$CA$60,MATCH('4'!$B13,'Unique Asset List'!$A$4:$A$60,0),MATCH('4'!$C$1,'Unique Asset List'!$BU$3:$CA$3,0))</f>
        <v>0.45</v>
      </c>
      <c r="AG13" s="15">
        <f>INDEX('Unique Asset List'!$AZ$4:$BF$60,MATCH('4'!$B13,'Unique Asset List'!$A$4:$A$60,0),MATCH('4'!$C$1,'Unique Asset List'!$AZ$3:$BF$3,0))</f>
        <v>0.06</v>
      </c>
      <c r="AH13" s="15">
        <f>INDEX('Unique Asset List'!$BG$4:$BM$60,MATCH('4'!$B13,'Unique Asset List'!$A$4:$A$60,0),MATCH('4'!$C$1,'Unique Asset List'!$BG$3:$BM$3,0))</f>
        <v>0.45</v>
      </c>
      <c r="AI13" s="11">
        <v>0.96187963349867744</v>
      </c>
      <c r="AJ13" s="15">
        <f>INDEX('Unique Asset List'!$AL$4:$AR$60,MATCH('4'!$B13,'Unique Asset List'!$A$4:$A$60,0),MATCH('4'!$C$1,'Unique Asset List'!$AL$3:$AR$3,0))</f>
        <v>1.4542000570988298</v>
      </c>
      <c r="AK13" s="15">
        <f>INDEX('Unique Asset List'!$AS$4:$AY$60,MATCH('4'!$B13,'Unique Asset List'!$A$4:$A$60,0),MATCH('4'!$C$1,'Unique Asset List'!$AS$3:$AY$3,0))</f>
        <v>-0.4950056673809119</v>
      </c>
      <c r="AL13" s="9">
        <v>177.56756756756758</v>
      </c>
      <c r="AM13" s="14">
        <v>28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f>2.8*37/365</f>
        <v>0.28383561643835614</v>
      </c>
      <c r="AT13" s="4">
        <f>IF($C$5="ON",BT13,MyRating(_E1,$B13,Efficacy!$F$1))</f>
        <v>5</v>
      </c>
      <c r="AU13" s="3">
        <f>IF($C$5="ON",BU13,MyRating(_E2,$B13,Efficacy!$F$1))</f>
        <v>5</v>
      </c>
      <c r="AV13" s="3">
        <f>IF($C$5="ON",BV13,MyRating(_E3,$B13,Efficacy!$F$1))</f>
        <v>5</v>
      </c>
      <c r="AW13" s="3">
        <f>IF($C$5="ON",BW13,MyRating(_E4,$B13,Efficacy!$F$1))</f>
        <v>4</v>
      </c>
      <c r="AX13" s="3">
        <f>IF($C$5="ON",BX13,MyRating(_E5,$B13,Efficacy!$F$1))</f>
        <v>3</v>
      </c>
      <c r="AY13" s="3">
        <f>IF($C$5="ON",BY13,MyRating(_E6,$B13,Efficacy!$F$1))</f>
        <v>3</v>
      </c>
      <c r="AZ13" s="3">
        <f>IF($C$5="ON",BZ13,MyRating(_E7,$B13,Efficacy!$F$1))</f>
        <v>3</v>
      </c>
      <c r="BA13" s="3">
        <f>IF($C$5="ON",CA13,MyRating(_E8,$B13,Efficacy!$F$1))</f>
        <v>4</v>
      </c>
      <c r="BB13" s="3">
        <f>IF($C$5="ON",CB13,MyRating(_S1,$B13,Efficacy!$F$1))</f>
        <v>4</v>
      </c>
      <c r="BC13" s="3">
        <f>IF($C$5="ON",CC13,MyRating(_S2,$B13,Efficacy!$F$1))</f>
        <v>3</v>
      </c>
      <c r="BD13" s="3">
        <f>IF($C$5="ON",CD13,MyRating(_S3,$B13,Efficacy!$F$1))</f>
        <v>3</v>
      </c>
      <c r="BE13" s="3">
        <f>IF($C$5="ON",CE13,MyRating(_S4,$B13,Efficacy!$F$1))</f>
        <v>3</v>
      </c>
      <c r="BF13" s="3">
        <f>IF($C$5="ON",CF13,MyRating(_S5,$B13,Efficacy!$F$1))</f>
        <v>5</v>
      </c>
      <c r="BG13" s="3">
        <f>IF($C$5="ON",CG13,MyRating(_S6,$B13,Efficacy!$F$1))</f>
        <v>2</v>
      </c>
      <c r="BH13" s="3">
        <f>IF($C$5="ON",CH13,MyRating(_S7,$B13,Efficacy!$F$1))</f>
        <v>3</v>
      </c>
      <c r="BI13" s="3">
        <f>IF($C$5="ON",CI13,MyRating(_D1,$B13,Efficacy!$F$1))</f>
        <v>2</v>
      </c>
      <c r="BJ13" s="3">
        <f>IF($C$5="ON",CJ13,MyRating(_D2,$B13,Efficacy!$F$1))</f>
        <v>3</v>
      </c>
      <c r="BK13" s="3">
        <f>IF($C$5="ON",CK13,MyRating(_D3,$B13,Efficacy!$F$1))</f>
        <v>3</v>
      </c>
      <c r="BL13" s="3">
        <f>IF($C$5="ON",CL13,MyRating(_D4,$B13,Efficacy!$F$1))</f>
        <v>1</v>
      </c>
      <c r="BM13" s="3">
        <f>IF($C$5="ON",CM13,MyRating(_B1G5,$B13,Barrier!$L$2))</f>
        <v>1</v>
      </c>
      <c r="BN13" s="3">
        <f>IF($C$5="ON",CN13,MyRating(_B2,$B13,Barrier!$F$2))</f>
        <v>1</v>
      </c>
      <c r="BO13" s="6">
        <f>IF($C$5="ON",CO13,MyRating(_B3,$B13,Barrier!$F$2))</f>
        <v>1</v>
      </c>
      <c r="BP13" s="5">
        <f t="shared" si="6"/>
        <v>9.9044671286996639E-3</v>
      </c>
      <c r="BQ13" s="8">
        <f t="shared" si="7"/>
        <v>1</v>
      </c>
      <c r="BR13" s="5">
        <f t="shared" si="8"/>
        <v>1.2217470983506409E-2</v>
      </c>
      <c r="BS13" s="7">
        <f t="shared" si="9"/>
        <v>5.0626462170790974E-3</v>
      </c>
      <c r="BT13" s="4">
        <v>5</v>
      </c>
      <c r="BU13" s="3">
        <v>5</v>
      </c>
      <c r="BV13" s="3">
        <v>5</v>
      </c>
      <c r="BW13" s="3">
        <v>4</v>
      </c>
      <c r="BX13" s="3">
        <v>3</v>
      </c>
      <c r="BY13" s="3">
        <v>3</v>
      </c>
      <c r="BZ13" s="3">
        <v>3</v>
      </c>
      <c r="CA13" s="3">
        <v>4</v>
      </c>
      <c r="CB13" s="3">
        <v>4</v>
      </c>
      <c r="CC13" s="3">
        <v>3</v>
      </c>
      <c r="CD13" s="3">
        <v>3</v>
      </c>
      <c r="CE13" s="3">
        <v>3</v>
      </c>
      <c r="CF13" s="3">
        <v>5</v>
      </c>
      <c r="CG13" s="3">
        <v>2</v>
      </c>
      <c r="CH13" s="3">
        <v>3</v>
      </c>
      <c r="CI13" s="3">
        <v>2</v>
      </c>
      <c r="CJ13" s="3">
        <v>3</v>
      </c>
      <c r="CK13" s="3">
        <v>3</v>
      </c>
      <c r="CL13" s="3">
        <v>1</v>
      </c>
      <c r="CM13" s="3">
        <v>1</v>
      </c>
      <c r="CN13" s="3">
        <v>1</v>
      </c>
      <c r="CO13" s="6">
        <v>1</v>
      </c>
      <c r="CP13" s="5">
        <v>9.9044671286996639E-3</v>
      </c>
    </row>
    <row r="14" spans="1:94" x14ac:dyDescent="0.35">
      <c r="A14" s="9" t="str">
        <f t="shared" si="0"/>
        <v>UK</v>
      </c>
      <c r="B14" s="9" t="s">
        <v>94</v>
      </c>
      <c r="C14" s="20"/>
      <c r="D14" s="9" t="s">
        <v>93</v>
      </c>
      <c r="E14" s="9" t="s">
        <v>92</v>
      </c>
      <c r="F14" s="9" t="s">
        <v>47</v>
      </c>
      <c r="G14" s="19">
        <v>0</v>
      </c>
      <c r="H14" s="9">
        <v>2014</v>
      </c>
      <c r="I14" s="9">
        <v>6</v>
      </c>
      <c r="J14" s="18">
        <f>INDEX(PTRS!$D$6:$D$12,MATCH('4'!$F14,PTRS!$B$6:$B$12,0))</f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0.74129766176673451</v>
      </c>
      <c r="V14" s="17">
        <v>1</v>
      </c>
      <c r="W14" s="9" t="s">
        <v>54</v>
      </c>
      <c r="X14" s="9">
        <f>INDEX('Unique Asset List'!$C$4:$I$60,MATCH('4'!$B14,'Unique Asset List'!$A$4:$A$60,0),MATCH('4'!$C$1,'Unique Asset List'!$C$3:$I$3,0))</f>
        <v>2016</v>
      </c>
      <c r="Y14" s="9">
        <f>INDEX('Unique Asset List'!$J$4:$P$60,MATCH('4'!$B14,'Unique Asset List'!$A$4:$A$60,0),MATCH('4'!$C$1,'Unique Asset List'!$J$3:$P$3,0))</f>
        <v>6.9999999999990905</v>
      </c>
      <c r="Z14" s="9">
        <f>INDEX('Unique Asset List'!$X$4:$AD$60,MATCH('4'!$B14,'Unique Asset List'!$A$4:$A$60,0),MATCH('4'!$C$1,'Unique Asset List'!$X$3:$AD$3,0))</f>
        <v>2027</v>
      </c>
      <c r="AA14" s="9">
        <f>INDEX('Unique Asset List'!$AE$4:$AK$60,MATCH('4'!$B14,'Unique Asset List'!$A$4:$A$60,0),MATCH('4'!$C$1,'Unique Asset List'!$AE$3:$AK$3,0))</f>
        <v>2</v>
      </c>
      <c r="AB14" s="16">
        <f t="shared" si="2"/>
        <v>1.6860000000000002</v>
      </c>
      <c r="AC14" s="16">
        <f t="shared" si="3"/>
        <v>0.78788900000000006</v>
      </c>
      <c r="AD14" s="16">
        <f t="shared" si="4"/>
        <v>0.56099999999999994</v>
      </c>
      <c r="AE14" s="15">
        <f>INDEX('Unique Asset List'!$BN$4:$BT$60,MATCH('4'!$B14,'Unique Asset List'!$A$4:$A$60,0),MATCH('4'!$C$1,'Unique Asset List'!$BN$3:$BT$3,0))</f>
        <v>0.05</v>
      </c>
      <c r="AF14" s="15">
        <f>INDEX('Unique Asset List'!$BU$4:$CA$60,MATCH('4'!$B14,'Unique Asset List'!$A$4:$A$60,0),MATCH('4'!$C$1,'Unique Asset List'!$BU$3:$CA$3,0))</f>
        <v>0.45</v>
      </c>
      <c r="AG14" s="15">
        <f>INDEX('Unique Asset List'!$AZ$4:$BF$60,MATCH('4'!$B14,'Unique Asset List'!$A$4:$A$60,0),MATCH('4'!$C$1,'Unique Asset List'!$AZ$3:$BF$3,0))</f>
        <v>0.05</v>
      </c>
      <c r="AH14" s="15">
        <f>INDEX('Unique Asset List'!$BG$4:$BM$60,MATCH('4'!$B14,'Unique Asset List'!$A$4:$A$60,0),MATCH('4'!$C$1,'Unique Asset List'!$BG$3:$BM$3,0))</f>
        <v>0.45</v>
      </c>
      <c r="AI14" s="11">
        <v>0.96187963349867744</v>
      </c>
      <c r="AJ14" s="15">
        <f>INDEX('Unique Asset List'!$AL$4:$AR$60,MATCH('4'!$B14,'Unique Asset List'!$A$4:$A$60,0),MATCH('4'!$C$1,'Unique Asset List'!$AL$3:$AR$3,0))</f>
        <v>1.4542000570988298</v>
      </c>
      <c r="AK14" s="15">
        <f>INDEX('Unique Asset List'!$AS$4:$AY$60,MATCH('4'!$B14,'Unique Asset List'!$A$4:$A$60,0),MATCH('4'!$C$1,'Unique Asset List'!$AS$3:$AY$3,0))</f>
        <v>-0.4950056673809119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5"/>
        <v>0.82</v>
      </c>
      <c r="AS14" s="10">
        <v>1</v>
      </c>
      <c r="AT14" s="4">
        <f>IF($C$5="ON",BT14,MyRating(_E1,$B14,Efficacy!$F$1))</f>
        <v>3</v>
      </c>
      <c r="AU14" s="3">
        <f>IF($C$5="ON",BU14,MyRating(_E2,$B14,Efficacy!$F$1))</f>
        <v>3</v>
      </c>
      <c r="AV14" s="3">
        <f>IF($C$5="ON",BV14,MyRating(_E3,$B14,Efficacy!$F$1))</f>
        <v>3</v>
      </c>
      <c r="AW14" s="3">
        <f>IF($C$5="ON",BW14,MyRating(_E4,$B14,Efficacy!$F$1))</f>
        <v>3</v>
      </c>
      <c r="AX14" s="3">
        <f>IF($C$5="ON",BX14,MyRating(_E5,$B14,Efficacy!$F$1))</f>
        <v>3</v>
      </c>
      <c r="AY14" s="3">
        <f>IF($C$5="ON",BY14,MyRating(_E6,$B14,Efficacy!$F$1))</f>
        <v>3</v>
      </c>
      <c r="AZ14" s="3">
        <f>IF($C$5="ON",BZ14,MyRating(_E7,$B14,Efficacy!$F$1))</f>
        <v>3</v>
      </c>
      <c r="BA14" s="3">
        <f>IF($C$5="ON",CA14,MyRating(_E8,$B14,Efficacy!$F$1))</f>
        <v>3</v>
      </c>
      <c r="BB14" s="3">
        <f>IF($C$5="ON",CB14,MyRating(_S1,$B14,Efficacy!$F$1))</f>
        <v>3</v>
      </c>
      <c r="BC14" s="3">
        <f>IF($C$5="ON",CC14,MyRating(_S2,$B14,Efficacy!$F$1))</f>
        <v>3</v>
      </c>
      <c r="BD14" s="3">
        <f>IF($C$5="ON",CD14,MyRating(_S3,$B14,Efficacy!$F$1))</f>
        <v>3</v>
      </c>
      <c r="BE14" s="3">
        <f>IF($C$5="ON",CE14,MyRating(_S4,$B14,Efficacy!$F$1))</f>
        <v>4</v>
      </c>
      <c r="BF14" s="3">
        <f>IF($C$5="ON",CF14,MyRating(_S5,$B14,Efficacy!$F$1))</f>
        <v>3</v>
      </c>
      <c r="BG14" s="3">
        <f>IF($C$5="ON",CG14,MyRating(_S6,$B14,Efficacy!$F$1))</f>
        <v>3</v>
      </c>
      <c r="BH14" s="3">
        <f>IF($C$5="ON",CH14,MyRating(_S7,$B14,Efficacy!$F$1))</f>
        <v>3</v>
      </c>
      <c r="BI14" s="3">
        <f>IF($C$5="ON",CI14,MyRating(_D1,$B14,Efficacy!$F$1))</f>
        <v>3</v>
      </c>
      <c r="BJ14" s="3">
        <f>IF($C$5="ON",CJ14,MyRating(_D2,$B14,Efficacy!$F$1))</f>
        <v>3</v>
      </c>
      <c r="BK14" s="3">
        <f>IF($C$5="ON",CK14,MyRating(_D3,$B14,Efficacy!$F$1))</f>
        <v>3</v>
      </c>
      <c r="BL14" s="3">
        <f>IF($C$5="ON",CL14,MyRating(_D4,$B14,Efficacy!$F$1))</f>
        <v>3</v>
      </c>
      <c r="BM14" s="3">
        <f>IF($C$5="ON",CM14,MyRating(_B1G5,$B14,Barrier!$L$2))</f>
        <v>3</v>
      </c>
      <c r="BN14" s="3">
        <f>IF($C$5="ON",CN14,MyRating(_B2,$B14,Barrier!$F$2))</f>
        <v>3</v>
      </c>
      <c r="BO14" s="6">
        <f>IF($C$5="ON",CO14,MyRating(_B3,$B14,Barrier!$F$2))</f>
        <v>3</v>
      </c>
      <c r="BP14" s="5">
        <f t="shared" si="6"/>
        <v>3.7014903427878103E-2</v>
      </c>
      <c r="BQ14" s="8">
        <f t="shared" si="7"/>
        <v>2.9999999999999996</v>
      </c>
      <c r="BR14" s="5">
        <f t="shared" si="8"/>
        <v>3.6652412950519221E-2</v>
      </c>
      <c r="BS14" s="7">
        <f t="shared" si="9"/>
        <v>1.8920085086828659E-2</v>
      </c>
      <c r="BT14" s="4">
        <v>3</v>
      </c>
      <c r="BU14" s="3">
        <v>3</v>
      </c>
      <c r="BV14" s="3">
        <v>3</v>
      </c>
      <c r="BW14" s="3">
        <v>3</v>
      </c>
      <c r="BX14" s="3">
        <v>3</v>
      </c>
      <c r="BY14" s="3">
        <v>3</v>
      </c>
      <c r="BZ14" s="3">
        <v>3</v>
      </c>
      <c r="CA14" s="3">
        <v>3</v>
      </c>
      <c r="CB14" s="3">
        <v>3</v>
      </c>
      <c r="CC14" s="3">
        <v>3</v>
      </c>
      <c r="CD14" s="3">
        <v>3</v>
      </c>
      <c r="CE14" s="3">
        <v>4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6">
        <v>3</v>
      </c>
      <c r="CP14" s="5">
        <v>3.7014903427878103E-2</v>
      </c>
    </row>
    <row r="15" spans="1:94" x14ac:dyDescent="0.35">
      <c r="A15" s="9" t="str">
        <f t="shared" si="0"/>
        <v>UK</v>
      </c>
      <c r="B15" s="9" t="s">
        <v>83</v>
      </c>
      <c r="C15" s="20"/>
      <c r="D15" s="9" t="s">
        <v>82</v>
      </c>
      <c r="E15" s="9" t="s">
        <v>193</v>
      </c>
      <c r="F15" s="9" t="s">
        <v>63</v>
      </c>
      <c r="G15" s="19">
        <v>0</v>
      </c>
      <c r="H15" s="9">
        <v>2014</v>
      </c>
      <c r="I15" s="9">
        <v>6</v>
      </c>
      <c r="J15" s="18">
        <f>INDEX(PTRS!$D$6:$D$12,MATCH('4'!$F15,PTRS!$B$6:$B$12,0))</f>
        <v>0.58500000000000008</v>
      </c>
      <c r="K15" s="17">
        <v>1</v>
      </c>
      <c r="L15" s="17">
        <v>0.58500000000000008</v>
      </c>
      <c r="M15" s="17">
        <v>0.19500000000000003</v>
      </c>
      <c r="N15" s="17">
        <v>0.58500000000000008</v>
      </c>
      <c r="O15" s="17">
        <v>0.58500000000000008</v>
      </c>
      <c r="P15" s="17">
        <v>0.58500000000000008</v>
      </c>
      <c r="Q15" s="17">
        <v>0.58500000000000008</v>
      </c>
      <c r="R15" s="17">
        <v>0.58500000000000008</v>
      </c>
      <c r="S15" s="17">
        <v>1</v>
      </c>
      <c r="T15" s="17"/>
      <c r="U15" s="17">
        <f t="shared" si="1"/>
        <v>0.72649652910676854</v>
      </c>
      <c r="V15" s="17">
        <v>1</v>
      </c>
      <c r="W15" s="9" t="s">
        <v>195</v>
      </c>
      <c r="X15" s="9">
        <f>INDEX('Unique Asset List'!$C$4:$I$60,MATCH('4'!$B15,'Unique Asset List'!$A$4:$A$60,0),MATCH('4'!$C$1,'Unique Asset List'!$C$3:$I$3,0))</f>
        <v>2022</v>
      </c>
      <c r="Y15" s="9">
        <f>INDEX('Unique Asset List'!$J$4:$P$60,MATCH('4'!$B15,'Unique Asset List'!$A$4:$A$60,0),MATCH('4'!$C$1,'Unique Asset List'!$J$3:$P$3,0))</f>
        <v>0.99999999999909051</v>
      </c>
      <c r="Z15" s="9">
        <f>INDEX('Unique Asset List'!$X$4:$AD$60,MATCH('4'!$B15,'Unique Asset List'!$A$4:$A$60,0),MATCH('4'!$C$1,'Unique Asset List'!$X$3:$AD$3,0))</f>
        <v>2032</v>
      </c>
      <c r="AA15" s="9">
        <f>INDEX('Unique Asset List'!$AE$4:$AK$60,MATCH('4'!$B15,'Unique Asset List'!$A$4:$A$60,0),MATCH('4'!$C$1,'Unique Asset List'!$AE$3:$AK$3,0))</f>
        <v>1</v>
      </c>
      <c r="AB15" s="16">
        <f t="shared" si="2"/>
        <v>1.6860000000000002</v>
      </c>
      <c r="AC15" s="16">
        <f t="shared" si="3"/>
        <v>1.0347223999999999</v>
      </c>
      <c r="AD15" s="16">
        <f t="shared" si="4"/>
        <v>0.38169906301999995</v>
      </c>
      <c r="AE15" s="15">
        <f>INDEX('Unique Asset List'!$BN$4:$BT$60,MATCH('4'!$B15,'Unique Asset List'!$A$4:$A$60,0),MATCH('4'!$C$1,'Unique Asset List'!$BN$3:$BT$3,0))</f>
        <v>0.05</v>
      </c>
      <c r="AF15" s="15">
        <f>INDEX('Unique Asset List'!$BU$4:$CA$60,MATCH('4'!$B15,'Unique Asset List'!$A$4:$A$60,0),MATCH('4'!$C$1,'Unique Asset List'!$BU$3:$CA$3,0))</f>
        <v>0.45</v>
      </c>
      <c r="AG15" s="15">
        <f>INDEX('Unique Asset List'!$AZ$4:$BF$60,MATCH('4'!$B15,'Unique Asset List'!$A$4:$A$60,0),MATCH('4'!$C$1,'Unique Asset List'!$AZ$3:$BF$3,0))</f>
        <v>0.05</v>
      </c>
      <c r="AH15" s="15">
        <f>INDEX('Unique Asset List'!$BG$4:$BM$60,MATCH('4'!$B15,'Unique Asset List'!$A$4:$A$60,0),MATCH('4'!$C$1,'Unique Asset List'!$BG$3:$BM$3,0))</f>
        <v>0.45</v>
      </c>
      <c r="AI15" s="11">
        <v>0.96187963349867744</v>
      </c>
      <c r="AJ15" s="15">
        <f>INDEX('Unique Asset List'!$AL$4:$AR$60,MATCH('4'!$B15,'Unique Asset List'!$A$4:$A$60,0),MATCH('4'!$C$1,'Unique Asset List'!$AL$3:$AR$3,0))</f>
        <v>1.4542000570988298</v>
      </c>
      <c r="AK15" s="15">
        <f>INDEX('Unique Asset List'!$AS$4:$AY$60,MATCH('4'!$B15,'Unique Asset List'!$A$4:$A$60,0),MATCH('4'!$C$1,'Unique Asset List'!$AS$3:$AY$3,0))</f>
        <v>-0.4950056673809119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4">
        <f>IF($C$5="ON",BT15,MyRating(_E1,$B15,Efficacy!$F$1))</f>
        <v>3</v>
      </c>
      <c r="AU15" s="3">
        <f>IF($C$5="ON",BU15,MyRating(_E2,$B15,Efficacy!$F$1))</f>
        <v>3</v>
      </c>
      <c r="AV15" s="3">
        <f>IF($C$5="ON",BV15,MyRating(_E3,$B15,Efficacy!$F$1))</f>
        <v>3</v>
      </c>
      <c r="AW15" s="3">
        <f>IF($C$5="ON",BW15,MyRating(_E4,$B15,Efficacy!$F$1))</f>
        <v>3</v>
      </c>
      <c r="AX15" s="3">
        <f>IF($C$5="ON",BX15,MyRating(_E5,$B15,Efficacy!$F$1))</f>
        <v>3</v>
      </c>
      <c r="AY15" s="3">
        <f>IF($C$5="ON",BY15,MyRating(_E6,$B15,Efficacy!$F$1))</f>
        <v>3</v>
      </c>
      <c r="AZ15" s="3">
        <f>IF($C$5="ON",BZ15,MyRating(_E7,$B15,Efficacy!$F$1))</f>
        <v>3</v>
      </c>
      <c r="BA15" s="3">
        <f>IF($C$5="ON",CA15,MyRating(_E8,$B15,Efficacy!$F$1))</f>
        <v>3</v>
      </c>
      <c r="BB15" s="3">
        <f>IF($C$5="ON",CB15,MyRating(_S1,$B15,Efficacy!$F$1))</f>
        <v>5</v>
      </c>
      <c r="BC15" s="3">
        <f>IF($C$5="ON",CC15,MyRating(_S2,$B15,Efficacy!$F$1))</f>
        <v>3</v>
      </c>
      <c r="BD15" s="3">
        <f>IF($C$5="ON",CD15,MyRating(_S3,$B15,Efficacy!$F$1))</f>
        <v>3</v>
      </c>
      <c r="BE15" s="3">
        <f>IF($C$5="ON",CE15,MyRating(_S4,$B15,Efficacy!$F$1))</f>
        <v>4</v>
      </c>
      <c r="BF15" s="3">
        <f>IF($C$5="ON",CF15,MyRating(_S5,$B15,Efficacy!$F$1))</f>
        <v>5</v>
      </c>
      <c r="BG15" s="3">
        <f>IF($C$5="ON",CG15,MyRating(_S6,$B15,Efficacy!$F$1))</f>
        <v>3</v>
      </c>
      <c r="BH15" s="3">
        <f>IF($C$5="ON",CH15,MyRating(_S7,$B15,Efficacy!$F$1))</f>
        <v>4</v>
      </c>
      <c r="BI15" s="3">
        <f>IF($C$5="ON",CI15,MyRating(_D1,$B15,Efficacy!$F$1))</f>
        <v>2</v>
      </c>
      <c r="BJ15" s="3">
        <f>IF($C$5="ON",CJ15,MyRating(_D2,$B15,Efficacy!$F$1))</f>
        <v>3</v>
      </c>
      <c r="BK15" s="3">
        <f>IF($C$5="ON",CK15,MyRating(_D3,$B15,Efficacy!$F$1))</f>
        <v>1</v>
      </c>
      <c r="BL15" s="3">
        <f>IF($C$5="ON",CL15,MyRating(_D4,$B15,Efficacy!$F$1))</f>
        <v>2</v>
      </c>
      <c r="BM15" s="3">
        <f>IF($C$5="ON",CM15,MyRating(_B1G5,$B15,Barrier!$L$2))</f>
        <v>2</v>
      </c>
      <c r="BN15" s="3">
        <f>IF($C$5="ON",CN15,MyRating(_B2,$B15,Barrier!$F$2))</f>
        <v>3</v>
      </c>
      <c r="BO15" s="6">
        <f>IF($C$5="ON",CO15,MyRating(_B3,$B15,Barrier!$F$2))</f>
        <v>3</v>
      </c>
      <c r="BP15" s="5">
        <f t="shared" si="6"/>
        <v>3.6275844714639842E-2</v>
      </c>
      <c r="BQ15" s="8">
        <f t="shared" si="7"/>
        <v>2.9499999999999997</v>
      </c>
      <c r="BR15" s="5">
        <f t="shared" si="8"/>
        <v>3.60415394013439E-2</v>
      </c>
      <c r="BS15" s="7">
        <f t="shared" si="9"/>
        <v>1.8542316878791175E-2</v>
      </c>
      <c r="BT15" s="4">
        <v>3</v>
      </c>
      <c r="BU15" s="3">
        <v>3</v>
      </c>
      <c r="BV15" s="3">
        <v>3</v>
      </c>
      <c r="BW15" s="3">
        <v>3</v>
      </c>
      <c r="BX15" s="3">
        <v>3</v>
      </c>
      <c r="BY15" s="3">
        <v>3</v>
      </c>
      <c r="BZ15" s="3">
        <v>3</v>
      </c>
      <c r="CA15" s="3">
        <v>3</v>
      </c>
      <c r="CB15" s="3">
        <v>5</v>
      </c>
      <c r="CC15" s="3">
        <v>3</v>
      </c>
      <c r="CD15" s="3">
        <v>3</v>
      </c>
      <c r="CE15" s="3">
        <v>4</v>
      </c>
      <c r="CF15" s="3">
        <v>5</v>
      </c>
      <c r="CG15" s="3">
        <v>3</v>
      </c>
      <c r="CH15" s="3">
        <v>4</v>
      </c>
      <c r="CI15" s="3">
        <v>2</v>
      </c>
      <c r="CJ15" s="3">
        <v>3</v>
      </c>
      <c r="CK15" s="3">
        <v>1</v>
      </c>
      <c r="CL15" s="3">
        <v>2</v>
      </c>
      <c r="CM15" s="3">
        <v>2</v>
      </c>
      <c r="CN15" s="3">
        <v>3</v>
      </c>
      <c r="CO15" s="6">
        <v>3</v>
      </c>
      <c r="CP15" s="5">
        <v>3.6275844714639842E-2</v>
      </c>
    </row>
    <row r="16" spans="1:94" x14ac:dyDescent="0.35">
      <c r="A16" s="9" t="str">
        <f t="shared" si="0"/>
        <v>UK</v>
      </c>
      <c r="B16" s="9" t="s">
        <v>84</v>
      </c>
      <c r="C16" s="20"/>
      <c r="D16" s="9" t="s">
        <v>64</v>
      </c>
      <c r="E16" s="9" t="s">
        <v>193</v>
      </c>
      <c r="F16" s="9" t="s">
        <v>63</v>
      </c>
      <c r="G16" s="19">
        <v>0</v>
      </c>
      <c r="H16" s="9">
        <v>2014</v>
      </c>
      <c r="I16" s="9">
        <v>6</v>
      </c>
      <c r="J16" s="18">
        <f>INDEX(PTRS!$D$6:$D$12,MATCH('4'!$F16,PTRS!$B$6:$B$12,0))</f>
        <v>0.58500000000000008</v>
      </c>
      <c r="K16" s="17">
        <v>0</v>
      </c>
      <c r="L16" s="17">
        <v>0.29250000000000004</v>
      </c>
      <c r="M16" s="17">
        <v>0.19500000000000003</v>
      </c>
      <c r="N16" s="17">
        <v>0.58500000000000008</v>
      </c>
      <c r="O16" s="17">
        <v>0.2</v>
      </c>
      <c r="P16" s="17">
        <f>J16/2</f>
        <v>0.29250000000000004</v>
      </c>
      <c r="Q16" s="17">
        <v>0.29250000000000004</v>
      </c>
      <c r="R16" s="17">
        <v>0.29250000000000004</v>
      </c>
      <c r="S16" s="17">
        <v>1</v>
      </c>
      <c r="T16" s="17"/>
      <c r="U16" s="17">
        <f t="shared" si="1"/>
        <v>0.19835681424527862</v>
      </c>
      <c r="V16" s="17">
        <v>1</v>
      </c>
      <c r="W16" s="9" t="s">
        <v>62</v>
      </c>
      <c r="X16" s="9">
        <f>INDEX('Unique Asset List'!$C$4:$I$60,MATCH('4'!$B16,'Unique Asset List'!$A$4:$A$60,0),MATCH('4'!$C$1,'Unique Asset List'!$C$3:$I$3,0))</f>
        <v>2022</v>
      </c>
      <c r="Y16" s="9">
        <f>INDEX('Unique Asset List'!$J$4:$P$60,MATCH('4'!$B16,'Unique Asset List'!$A$4:$A$60,0),MATCH('4'!$C$1,'Unique Asset List'!$J$3:$P$3,0))</f>
        <v>6.9999999999990905</v>
      </c>
      <c r="Z16" s="9">
        <f>INDEX('Unique Asset List'!$X$4:$AD$60,MATCH('4'!$B16,'Unique Asset List'!$A$4:$A$60,0),MATCH('4'!$C$1,'Unique Asset List'!$X$3:$AD$3,0))</f>
        <v>2031</v>
      </c>
      <c r="AA16" s="9">
        <f>INDEX('Unique Asset List'!$AE$4:$AK$60,MATCH('4'!$B16,'Unique Asset List'!$A$4:$A$60,0),MATCH('4'!$C$1,'Unique Asset List'!$AE$3:$AK$3,0))</f>
        <v>7</v>
      </c>
      <c r="AB16" s="16">
        <f t="shared" si="2"/>
        <v>1.6860000000000002</v>
      </c>
      <c r="AC16" s="16">
        <f t="shared" si="3"/>
        <v>0.73148930000000001</v>
      </c>
      <c r="AD16" s="16">
        <f t="shared" si="4"/>
        <v>0.56099999999999994</v>
      </c>
      <c r="AE16" s="15">
        <f>INDEX('Unique Asset List'!$BN$4:$BT$60,MATCH('4'!$B16,'Unique Asset List'!$A$4:$A$60,0),MATCH('4'!$C$1,'Unique Asset List'!$BN$3:$BT$3,0))</f>
        <v>0.06</v>
      </c>
      <c r="AF16" s="15">
        <f>INDEX('Unique Asset List'!$BU$4:$CA$60,MATCH('4'!$B16,'Unique Asset List'!$A$4:$A$60,0),MATCH('4'!$C$1,'Unique Asset List'!$BU$3:$CA$3,0))</f>
        <v>0.45</v>
      </c>
      <c r="AG16" s="15">
        <f>INDEX('Unique Asset List'!$AZ$4:$BF$60,MATCH('4'!$B16,'Unique Asset List'!$A$4:$A$60,0),MATCH('4'!$C$1,'Unique Asset List'!$AZ$3:$BF$3,0))</f>
        <v>0.06</v>
      </c>
      <c r="AH16" s="15">
        <f>INDEX('Unique Asset List'!$BG$4:$BM$60,MATCH('4'!$B16,'Unique Asset List'!$A$4:$A$60,0),MATCH('4'!$C$1,'Unique Asset List'!$BG$3:$BM$3,0))</f>
        <v>0.45</v>
      </c>
      <c r="AI16" s="11">
        <v>0.96187963349867744</v>
      </c>
      <c r="AJ16" s="15">
        <f>INDEX('Unique Asset List'!$AL$4:$AR$60,MATCH('4'!$B16,'Unique Asset List'!$A$4:$A$60,0),MATCH('4'!$C$1,'Unique Asset List'!$AL$3:$AR$3,0))</f>
        <v>1.4542000570988298</v>
      </c>
      <c r="AK16" s="15">
        <f>INDEX('Unique Asset List'!$AS$4:$AY$60,MATCH('4'!$B16,'Unique Asset List'!$A$4:$A$60,0),MATCH('4'!$C$1,'Unique Asset List'!$AS$3:$AY$3,0))</f>
        <v>-0.4950056673809119</v>
      </c>
      <c r="AL16" s="9">
        <v>169</v>
      </c>
      <c r="AM16" s="14">
        <v>28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4">
        <f>IF($C$5="ON",BT16,MyRating(_E1,$B16,Efficacy!$F$1))</f>
        <v>3</v>
      </c>
      <c r="AU16" s="3">
        <f>IF($C$5="ON",BU16,MyRating(_E2,$B16,Efficacy!$F$1))</f>
        <v>3</v>
      </c>
      <c r="AV16" s="3">
        <f>IF($C$5="ON",BV16,MyRating(_E3,$B16,Efficacy!$F$1))</f>
        <v>3</v>
      </c>
      <c r="AW16" s="3">
        <f>IF($C$5="ON",BW16,MyRating(_E4,$B16,Efficacy!$F$1))</f>
        <v>3</v>
      </c>
      <c r="AX16" s="3">
        <f>IF($C$5="ON",BX16,MyRating(_E5,$B16,Efficacy!$F$1))</f>
        <v>3</v>
      </c>
      <c r="AY16" s="3">
        <f>IF($C$5="ON",BY16,MyRating(_E6,$B16,Efficacy!$F$1))</f>
        <v>3</v>
      </c>
      <c r="AZ16" s="3">
        <f>IF($C$5="ON",BZ16,MyRating(_E7,$B16,Efficacy!$F$1))</f>
        <v>3</v>
      </c>
      <c r="BA16" s="3">
        <f>IF($C$5="ON",CA16,MyRating(_E8,$B16,Efficacy!$F$1))</f>
        <v>3</v>
      </c>
      <c r="BB16" s="3">
        <f>IF($C$5="ON",CB16,MyRating(_S1,$B16,Efficacy!$F$1))</f>
        <v>3</v>
      </c>
      <c r="BC16" s="3">
        <f>IF($C$5="ON",CC16,MyRating(_S2,$B16,Efficacy!$F$1))</f>
        <v>3</v>
      </c>
      <c r="BD16" s="3">
        <f>IF($C$5="ON",CD16,MyRating(_S3,$B16,Efficacy!$F$1))</f>
        <v>3</v>
      </c>
      <c r="BE16" s="3">
        <f>IF($C$5="ON",CE16,MyRating(_S4,$B16,Efficacy!$F$1))</f>
        <v>3</v>
      </c>
      <c r="BF16" s="3">
        <f>IF($C$5="ON",CF16,MyRating(_S5,$B16,Efficacy!$F$1))</f>
        <v>3</v>
      </c>
      <c r="BG16" s="3">
        <f>IF($C$5="ON",CG16,MyRating(_S6,$B16,Efficacy!$F$1))</f>
        <v>2</v>
      </c>
      <c r="BH16" s="3">
        <f>IF($C$5="ON",CH16,MyRating(_S7,$B16,Efficacy!$F$1))</f>
        <v>3</v>
      </c>
      <c r="BI16" s="3">
        <f>IF($C$5="ON",CI16,MyRating(_D1,$B16,Efficacy!$F$1))</f>
        <v>3</v>
      </c>
      <c r="BJ16" s="3">
        <f>IF($C$5="ON",CJ16,MyRating(_D2,$B16,Efficacy!$F$1))</f>
        <v>3</v>
      </c>
      <c r="BK16" s="3">
        <f>IF($C$5="ON",CK16,MyRating(_D3,$B16,Efficacy!$F$1))</f>
        <v>3</v>
      </c>
      <c r="BL16" s="3">
        <f>IF($C$5="ON",CL16,MyRating(_D4,$B16,Efficacy!$F$1))</f>
        <v>3</v>
      </c>
      <c r="BM16" s="3">
        <f>IF($C$5="ON",CM16,MyRating(_B1G5,$B16,Barrier!$L$2))</f>
        <v>1</v>
      </c>
      <c r="BN16" s="3">
        <f>IF($C$5="ON",CN16,MyRating(_B2,$B16,Barrier!$F$2))</f>
        <v>1</v>
      </c>
      <c r="BO16" s="6">
        <f>IF($C$5="ON",CO16,MyRating(_B3,$B16,Barrier!$F$2))</f>
        <v>1</v>
      </c>
      <c r="BP16" s="5">
        <f t="shared" si="6"/>
        <v>9.9044671286996639E-3</v>
      </c>
      <c r="BQ16" s="8">
        <f t="shared" si="7"/>
        <v>1</v>
      </c>
      <c r="BR16" s="5">
        <f t="shared" si="8"/>
        <v>1.2217470983506409E-2</v>
      </c>
      <c r="BS16" s="7">
        <f t="shared" si="9"/>
        <v>5.0626462170790974E-3</v>
      </c>
      <c r="BT16" s="4">
        <v>3</v>
      </c>
      <c r="BU16" s="3">
        <v>3</v>
      </c>
      <c r="BV16" s="3">
        <v>3</v>
      </c>
      <c r="BW16" s="3">
        <v>3</v>
      </c>
      <c r="BX16" s="3">
        <v>3</v>
      </c>
      <c r="BY16" s="3">
        <v>3</v>
      </c>
      <c r="BZ16" s="3">
        <v>3</v>
      </c>
      <c r="CA16" s="3">
        <v>3</v>
      </c>
      <c r="CB16" s="3">
        <v>3</v>
      </c>
      <c r="CC16" s="3">
        <v>3</v>
      </c>
      <c r="CD16" s="3">
        <v>3</v>
      </c>
      <c r="CE16" s="3">
        <v>3</v>
      </c>
      <c r="CF16" s="3">
        <v>3</v>
      </c>
      <c r="CG16" s="3">
        <v>2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1</v>
      </c>
      <c r="CN16" s="3">
        <v>1</v>
      </c>
      <c r="CO16" s="6">
        <v>1</v>
      </c>
      <c r="CP16" s="5">
        <v>9.9044671286996639E-3</v>
      </c>
    </row>
    <row r="17" spans="1:94" x14ac:dyDescent="0.35">
      <c r="A17" s="9" t="str">
        <f t="shared" si="0"/>
        <v>UK</v>
      </c>
      <c r="B17" s="9" t="s">
        <v>80</v>
      </c>
      <c r="C17" s="20"/>
      <c r="D17" s="9" t="s">
        <v>79</v>
      </c>
      <c r="E17" s="9" t="s">
        <v>193</v>
      </c>
      <c r="F17" s="9" t="s">
        <v>43</v>
      </c>
      <c r="G17" s="19">
        <v>0</v>
      </c>
      <c r="H17" s="9">
        <v>2014</v>
      </c>
      <c r="I17" s="9">
        <v>6</v>
      </c>
      <c r="J17" s="18">
        <f>INDEX(PTRS!$D$6:$D$12,MATCH('4'!$F17,PTRS!$B$6:$B$12,0))</f>
        <v>0.40949999999999998</v>
      </c>
      <c r="K17" s="17">
        <v>0</v>
      </c>
      <c r="L17" s="17">
        <v>0.40949999999999998</v>
      </c>
      <c r="M17" s="17">
        <v>0.13649999999999998</v>
      </c>
      <c r="N17" s="17">
        <v>0.40949999999999998</v>
      </c>
      <c r="O17" s="17">
        <v>0.40949999999999998</v>
      </c>
      <c r="P17" s="17">
        <v>0.40949999999999998</v>
      </c>
      <c r="Q17" s="17">
        <v>0.41</v>
      </c>
      <c r="R17" s="17">
        <v>0.41</v>
      </c>
      <c r="S17" s="17">
        <v>1</v>
      </c>
      <c r="T17" s="17"/>
      <c r="U17" s="17">
        <f t="shared" si="1"/>
        <v>0.72649652910676854</v>
      </c>
      <c r="V17" s="17">
        <v>1</v>
      </c>
      <c r="W17" s="9" t="s">
        <v>62</v>
      </c>
      <c r="X17" s="9">
        <f>INDEX('Unique Asset List'!$C$4:$I$60,MATCH('4'!$B17,'Unique Asset List'!$A$4:$A$60,0),MATCH('4'!$C$1,'Unique Asset List'!$C$3:$I$3,0))</f>
        <v>2023</v>
      </c>
      <c r="Y17" s="9">
        <f>INDEX('Unique Asset List'!$J$4:$P$60,MATCH('4'!$B17,'Unique Asset List'!$A$4:$A$60,0),MATCH('4'!$C$1,'Unique Asset List'!$J$3:$P$3,0))</f>
        <v>3</v>
      </c>
      <c r="Z17" s="9">
        <f>INDEX('Unique Asset List'!$X$4:$AD$60,MATCH('4'!$B17,'Unique Asset List'!$A$4:$A$60,0),MATCH('4'!$C$1,'Unique Asset List'!$X$3:$AD$3,0))</f>
        <v>2033</v>
      </c>
      <c r="AA17" s="9">
        <f>INDEX('Unique Asset List'!$AE$4:$AK$60,MATCH('4'!$B17,'Unique Asset List'!$A$4:$A$60,0),MATCH('4'!$C$1,'Unique Asset List'!$AE$3:$AK$3,0))</f>
        <v>3</v>
      </c>
      <c r="AB17" s="16">
        <f t="shared" si="2"/>
        <v>2.1526286000000003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List'!$BN$4:$BT$60,MATCH('4'!$B17,'Unique Asset List'!$A$4:$A$60,0),MATCH('4'!$C$1,'Unique Asset List'!$BN$3:$BT$3,0))</f>
        <v>0.06</v>
      </c>
      <c r="AF17" s="15">
        <f>INDEX('Unique Asset List'!$BU$4:$CA$60,MATCH('4'!$B17,'Unique Asset List'!$A$4:$A$60,0),MATCH('4'!$C$1,'Unique Asset List'!$BU$3:$CA$3,0))</f>
        <v>0.45</v>
      </c>
      <c r="AG17" s="15">
        <f>INDEX('Unique Asset List'!$AZ$4:$BF$60,MATCH('4'!$B17,'Unique Asset List'!$A$4:$A$60,0),MATCH('4'!$C$1,'Unique Asset List'!$AZ$3:$BF$3,0))</f>
        <v>0.06</v>
      </c>
      <c r="AH17" s="15">
        <f>INDEX('Unique Asset List'!$BG$4:$BM$60,MATCH('4'!$B17,'Unique Asset List'!$A$4:$A$60,0),MATCH('4'!$C$1,'Unique Asset List'!$BG$3:$BM$3,0))</f>
        <v>0.45</v>
      </c>
      <c r="AI17" s="11">
        <v>0.96187963349867744</v>
      </c>
      <c r="AJ17" s="15">
        <f>INDEX('Unique Asset List'!$AL$4:$AR$60,MATCH('4'!$B17,'Unique Asset List'!$A$4:$A$60,0),MATCH('4'!$C$1,'Unique Asset List'!$AL$3:$AR$3,0))</f>
        <v>1.4542000570988298</v>
      </c>
      <c r="AK17" s="15">
        <f>INDEX('Unique Asset List'!$AS$4:$AY$60,MATCH('4'!$B17,'Unique Asset List'!$A$4:$A$60,0),MATCH('4'!$C$1,'Unique Asset List'!$AS$3:$AY$3,0))</f>
        <v>-0.4950056673809119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v>1</v>
      </c>
      <c r="AT17" s="4">
        <f>IF($C$5="ON",BT17,MyRating(_E1,$B17,Efficacy!$F$1))</f>
        <v>4</v>
      </c>
      <c r="AU17" s="3">
        <f>IF($C$5="ON",BU17,MyRating(_E2,$B17,Efficacy!$F$1))</f>
        <v>4</v>
      </c>
      <c r="AV17" s="3">
        <f>IF($C$5="ON",BV17,MyRating(_E3,$B17,Efficacy!$F$1))</f>
        <v>4</v>
      </c>
      <c r="AW17" s="3">
        <f>IF($C$5="ON",BW17,MyRating(_E4,$B17,Efficacy!$F$1))</f>
        <v>4</v>
      </c>
      <c r="AX17" s="3">
        <f>IF($C$5="ON",BX17,MyRating(_E5,$B17,Efficacy!$F$1))</f>
        <v>3</v>
      </c>
      <c r="AY17" s="3">
        <f>IF($C$5="ON",BY17,MyRating(_E6,$B17,Efficacy!$F$1))</f>
        <v>3</v>
      </c>
      <c r="AZ17" s="3">
        <f>IF($C$5="ON",BZ17,MyRating(_E7,$B17,Efficacy!$F$1))</f>
        <v>3</v>
      </c>
      <c r="BA17" s="3">
        <f>IF($C$5="ON",CA17,MyRating(_E8,$B17,Efficacy!$F$1))</f>
        <v>5</v>
      </c>
      <c r="BB17" s="3">
        <f>IF($C$5="ON",CB17,MyRating(_S1,$B17,Efficacy!$F$1))</f>
        <v>4</v>
      </c>
      <c r="BC17" s="3">
        <f>IF($C$5="ON",CC17,MyRating(_S2,$B17,Efficacy!$F$1))</f>
        <v>3</v>
      </c>
      <c r="BD17" s="3">
        <f>IF($C$5="ON",CD17,MyRating(_S3,$B17,Efficacy!$F$1))</f>
        <v>3</v>
      </c>
      <c r="BE17" s="3">
        <f>IF($C$5="ON",CE17,MyRating(_S4,$B17,Efficacy!$F$1))</f>
        <v>3</v>
      </c>
      <c r="BF17" s="3">
        <f>IF($C$5="ON",CF17,MyRating(_S5,$B17,Efficacy!$F$1))</f>
        <v>5</v>
      </c>
      <c r="BG17" s="3">
        <f>IF($C$5="ON",CG17,MyRating(_S6,$B17,Efficacy!$F$1))</f>
        <v>2</v>
      </c>
      <c r="BH17" s="3">
        <f>IF($C$5="ON",CH17,MyRating(_S7,$B17,Efficacy!$F$1))</f>
        <v>3</v>
      </c>
      <c r="BI17" s="3">
        <f>IF($C$5="ON",CI17,MyRating(_D1,$B17,Efficacy!$F$1))</f>
        <v>3</v>
      </c>
      <c r="BJ17" s="3">
        <f>IF($C$5="ON",CJ17,MyRating(_D2,$B17,Efficacy!$F$1))</f>
        <v>3</v>
      </c>
      <c r="BK17" s="3">
        <f>IF($C$5="ON",CK17,MyRating(_D3,$B17,Efficacy!$F$1))</f>
        <v>3</v>
      </c>
      <c r="BL17" s="3">
        <f>IF($C$5="ON",CL17,MyRating(_D4,$B17,Efficacy!$F$1))</f>
        <v>3</v>
      </c>
      <c r="BM17" s="3">
        <f>IF($C$5="ON",CM17,MyRating(_B1G5,$B17,Barrier!$L$2))</f>
        <v>2</v>
      </c>
      <c r="BN17" s="3">
        <f>IF($C$5="ON",CN17,MyRating(_B2,$B17,Barrier!$F$2))</f>
        <v>3</v>
      </c>
      <c r="BO17" s="6">
        <f>IF($C$5="ON",CO17,MyRating(_B3,$B17,Barrier!$F$2))</f>
        <v>3</v>
      </c>
      <c r="BP17" s="5">
        <f t="shared" si="6"/>
        <v>3.6275844714639842E-2</v>
      </c>
      <c r="BQ17" s="8">
        <f t="shared" si="7"/>
        <v>2.9499999999999997</v>
      </c>
      <c r="BR17" s="5">
        <f t="shared" si="8"/>
        <v>3.60415394013439E-2</v>
      </c>
      <c r="BS17" s="7">
        <f t="shared" si="9"/>
        <v>1.8542316878791175E-2</v>
      </c>
      <c r="BT17" s="4">
        <v>4</v>
      </c>
      <c r="BU17" s="3">
        <v>4</v>
      </c>
      <c r="BV17" s="3">
        <v>4</v>
      </c>
      <c r="BW17" s="3">
        <v>4</v>
      </c>
      <c r="BX17" s="3">
        <v>3</v>
      </c>
      <c r="BY17" s="3">
        <v>3</v>
      </c>
      <c r="BZ17" s="3">
        <v>3</v>
      </c>
      <c r="CA17" s="3">
        <v>5</v>
      </c>
      <c r="CB17" s="3">
        <v>4</v>
      </c>
      <c r="CC17" s="3">
        <v>3</v>
      </c>
      <c r="CD17" s="3">
        <v>3</v>
      </c>
      <c r="CE17" s="3">
        <v>3</v>
      </c>
      <c r="CF17" s="3">
        <v>5</v>
      </c>
      <c r="CG17" s="3">
        <v>2</v>
      </c>
      <c r="CH17" s="3">
        <v>3</v>
      </c>
      <c r="CI17" s="3">
        <v>3</v>
      </c>
      <c r="CJ17" s="3">
        <v>3</v>
      </c>
      <c r="CK17" s="3">
        <v>3</v>
      </c>
      <c r="CL17" s="3">
        <v>3</v>
      </c>
      <c r="CM17" s="3">
        <v>2</v>
      </c>
      <c r="CN17" s="3">
        <v>3</v>
      </c>
      <c r="CO17" s="6">
        <v>3</v>
      </c>
      <c r="CP17" s="5">
        <v>3.6275844714639842E-2</v>
      </c>
    </row>
    <row r="18" spans="1:94" x14ac:dyDescent="0.35">
      <c r="A18" s="9" t="str">
        <f t="shared" si="0"/>
        <v>UK</v>
      </c>
      <c r="B18" s="9" t="s">
        <v>89</v>
      </c>
      <c r="C18" s="20"/>
      <c r="D18" s="9" t="s">
        <v>64</v>
      </c>
      <c r="E18" s="9" t="s">
        <v>193</v>
      </c>
      <c r="F18" s="9" t="s">
        <v>63</v>
      </c>
      <c r="G18" s="19">
        <v>0</v>
      </c>
      <c r="H18" s="9">
        <v>2014</v>
      </c>
      <c r="I18" s="9">
        <v>6</v>
      </c>
      <c r="J18" s="18">
        <f>INDEX(PTRS!$D$6:$D$12,MATCH('4'!$F18,PTRS!$B$6:$B$12,0))</f>
        <v>0.58500000000000008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0.58500000000000008</v>
      </c>
      <c r="Q18" s="17">
        <v>1</v>
      </c>
      <c r="R18" s="17">
        <v>1</v>
      </c>
      <c r="S18" s="17">
        <v>1</v>
      </c>
      <c r="T18" s="17"/>
      <c r="U18" s="17">
        <f t="shared" si="1"/>
        <v>0.72649652910676854</v>
      </c>
      <c r="V18" s="17">
        <v>0.25</v>
      </c>
      <c r="W18" s="9" t="s">
        <v>54</v>
      </c>
      <c r="X18" s="9">
        <f>INDEX('Unique Asset List'!$C$4:$I$60,MATCH('4'!$B18,'Unique Asset List'!$A$4:$A$60,0),MATCH('4'!$C$1,'Unique Asset List'!$C$3:$I$3,0))</f>
        <v>2017</v>
      </c>
      <c r="Y18" s="9">
        <f>INDEX('Unique Asset List'!$J$4:$P$60,MATCH('4'!$B18,'Unique Asset List'!$A$4:$A$60,0),MATCH('4'!$C$1,'Unique Asset List'!$J$3:$P$3,0))</f>
        <v>3</v>
      </c>
      <c r="Z18" s="9">
        <f>INDEX('Unique Asset List'!$X$4:$AD$60,MATCH('4'!$B18,'Unique Asset List'!$A$4:$A$60,0),MATCH('4'!$C$1,'Unique Asset List'!$X$3:$AD$3,0))</f>
        <v>2033</v>
      </c>
      <c r="AA18" s="9">
        <f>INDEX('Unique Asset List'!$AE$4:$AK$60,MATCH('4'!$B18,'Unique Asset List'!$A$4:$A$60,0),MATCH('4'!$C$1,'Unique Asset List'!$AE$3:$AK$3,0))</f>
        <v>11</v>
      </c>
      <c r="AB18" s="16">
        <f t="shared" si="2"/>
        <v>1.8285232000000005</v>
      </c>
      <c r="AC18" s="16">
        <f t="shared" si="3"/>
        <v>0.82350590000000001</v>
      </c>
      <c r="AD18" s="16">
        <f t="shared" si="4"/>
        <v>0.52097279586</v>
      </c>
      <c r="AE18" s="15">
        <f>INDEX('Unique Asset List'!$BN$4:$BT$60,MATCH('4'!$B18,'Unique Asset List'!$A$4:$A$60,0),MATCH('4'!$C$1,'Unique Asset List'!$BN$3:$BT$3,0))</f>
        <v>0.05</v>
      </c>
      <c r="AF18" s="15">
        <f>INDEX('Unique Asset List'!$BU$4:$CA$60,MATCH('4'!$B18,'Unique Asset List'!$A$4:$A$60,0),MATCH('4'!$C$1,'Unique Asset List'!$BU$3:$CA$3,0))</f>
        <v>0.45</v>
      </c>
      <c r="AG18" s="15">
        <f>INDEX('Unique Asset List'!$AZ$4:$BF$60,MATCH('4'!$B18,'Unique Asset List'!$A$4:$A$60,0),MATCH('4'!$C$1,'Unique Asset List'!$AZ$3:$BF$3,0))</f>
        <v>0.05</v>
      </c>
      <c r="AH18" s="15">
        <f>INDEX('Unique Asset List'!$BG$4:$BM$60,MATCH('4'!$B18,'Unique Asset List'!$A$4:$A$60,0),MATCH('4'!$C$1,'Unique Asset List'!$BG$3:$BM$3,0))</f>
        <v>0.45</v>
      </c>
      <c r="AI18" s="11">
        <v>0.96187963349867744</v>
      </c>
      <c r="AJ18" s="15">
        <f>INDEX('Unique Asset List'!$AL$4:$AR$60,MATCH('4'!$B18,'Unique Asset List'!$A$4:$A$60,0),MATCH('4'!$C$1,'Unique Asset List'!$AL$3:$AR$3,0))</f>
        <v>1.4542000570988298</v>
      </c>
      <c r="AK18" s="15">
        <f>INDEX('Unique Asset List'!$AS$4:$AY$60,MATCH('4'!$B18,'Unique Asset List'!$A$4:$A$60,0),MATCH('4'!$C$1,'Unique Asset List'!$AS$3:$AY$3,0))</f>
        <v>-0.4950056673809119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5"/>
        <v>0.82</v>
      </c>
      <c r="AS18" s="10">
        <v>1</v>
      </c>
      <c r="AT18" s="4">
        <f>IF($C$5="ON",BT18,MyRating(_E1,$B18,Efficacy!$F$1))</f>
        <v>3</v>
      </c>
      <c r="AU18" s="3">
        <f>IF($C$5="ON",BU18,MyRating(_E2,$B18,Efficacy!$F$1))</f>
        <v>4</v>
      </c>
      <c r="AV18" s="3">
        <f>IF($C$5="ON",BV18,MyRating(_E3,$B18,Efficacy!$F$1))</f>
        <v>3</v>
      </c>
      <c r="AW18" s="3">
        <f>IF($C$5="ON",BW18,MyRating(_E4,$B18,Efficacy!$F$1))</f>
        <v>3</v>
      </c>
      <c r="AX18" s="3">
        <f>IF($C$5="ON",BX18,MyRating(_E5,$B18,Efficacy!$F$1))</f>
        <v>3</v>
      </c>
      <c r="AY18" s="3">
        <f>IF($C$5="ON",BY18,MyRating(_E6,$B18,Efficacy!$F$1))</f>
        <v>3</v>
      </c>
      <c r="AZ18" s="3">
        <f>IF($C$5="ON",BZ18,MyRating(_E7,$B18,Efficacy!$F$1))</f>
        <v>3</v>
      </c>
      <c r="BA18" s="3">
        <f>IF($C$5="ON",CA18,MyRating(_E8,$B18,Efficacy!$F$1))</f>
        <v>4</v>
      </c>
      <c r="BB18" s="3">
        <f>IF($C$5="ON",CB18,MyRating(_S1,$B18,Efficacy!$F$1))</f>
        <v>3</v>
      </c>
      <c r="BC18" s="3">
        <f>IF($C$5="ON",CC18,MyRating(_S2,$B18,Efficacy!$F$1))</f>
        <v>3</v>
      </c>
      <c r="BD18" s="3">
        <f>IF($C$5="ON",CD18,MyRating(_S3,$B18,Efficacy!$F$1))</f>
        <v>3</v>
      </c>
      <c r="BE18" s="3">
        <f>IF($C$5="ON",CE18,MyRating(_S4,$B18,Efficacy!$F$1))</f>
        <v>3</v>
      </c>
      <c r="BF18" s="3">
        <f>IF($C$5="ON",CF18,MyRating(_S5,$B18,Efficacy!$F$1))</f>
        <v>5</v>
      </c>
      <c r="BG18" s="3">
        <f>IF($C$5="ON",CG18,MyRating(_S6,$B18,Efficacy!$F$1))</f>
        <v>2</v>
      </c>
      <c r="BH18" s="3">
        <f>IF($C$5="ON",CH18,MyRating(_S7,$B18,Efficacy!$F$1))</f>
        <v>3</v>
      </c>
      <c r="BI18" s="3">
        <f>IF($C$5="ON",CI18,MyRating(_D1,$B18,Efficacy!$F$1))</f>
        <v>3</v>
      </c>
      <c r="BJ18" s="3">
        <f>IF($C$5="ON",CJ18,MyRating(_D2,$B18,Efficacy!$F$1))</f>
        <v>2</v>
      </c>
      <c r="BK18" s="3">
        <f>IF($C$5="ON",CK18,MyRating(_D3,$B18,Efficacy!$F$1))</f>
        <v>3</v>
      </c>
      <c r="BL18" s="3">
        <f>IF($C$5="ON",CL18,MyRating(_D4,$B18,Efficacy!$F$1))</f>
        <v>3</v>
      </c>
      <c r="BM18" s="3">
        <f>IF($C$5="ON",CM18,MyRating(_B1G5,$B18,Barrier!$L$2))</f>
        <v>2</v>
      </c>
      <c r="BN18" s="3">
        <f>IF($C$5="ON",CN18,MyRating(_B2,$B18,Barrier!$F$2))</f>
        <v>3</v>
      </c>
      <c r="BO18" s="6">
        <f>IF($C$5="ON",CO18,MyRating(_B3,$B18,Barrier!$F$2))</f>
        <v>3</v>
      </c>
      <c r="BP18" s="5">
        <f t="shared" si="6"/>
        <v>3.6275844714639842E-2</v>
      </c>
      <c r="BQ18" s="8">
        <f t="shared" si="7"/>
        <v>2.9499999999999997</v>
      </c>
      <c r="BR18" s="5">
        <f t="shared" si="8"/>
        <v>3.60415394013439E-2</v>
      </c>
      <c r="BS18" s="7">
        <f t="shared" si="9"/>
        <v>1.8542316878791175E-2</v>
      </c>
      <c r="BT18" s="4">
        <v>3</v>
      </c>
      <c r="BU18" s="3">
        <v>4</v>
      </c>
      <c r="BV18" s="3">
        <v>3</v>
      </c>
      <c r="BW18" s="3">
        <v>3</v>
      </c>
      <c r="BX18" s="3">
        <v>3</v>
      </c>
      <c r="BY18" s="3">
        <v>3</v>
      </c>
      <c r="BZ18" s="3">
        <v>3</v>
      </c>
      <c r="CA18" s="3">
        <v>4</v>
      </c>
      <c r="CB18" s="3">
        <v>3</v>
      </c>
      <c r="CC18" s="3">
        <v>3</v>
      </c>
      <c r="CD18" s="3">
        <v>3</v>
      </c>
      <c r="CE18" s="3">
        <v>3</v>
      </c>
      <c r="CF18" s="3">
        <v>5</v>
      </c>
      <c r="CG18" s="3">
        <v>2</v>
      </c>
      <c r="CH18" s="3">
        <v>3</v>
      </c>
      <c r="CI18" s="3">
        <v>3</v>
      </c>
      <c r="CJ18" s="3">
        <v>2</v>
      </c>
      <c r="CK18" s="3">
        <v>3</v>
      </c>
      <c r="CL18" s="3">
        <v>3</v>
      </c>
      <c r="CM18" s="3">
        <v>2</v>
      </c>
      <c r="CN18" s="3">
        <v>3</v>
      </c>
      <c r="CO18" s="6">
        <v>3</v>
      </c>
      <c r="CP18" s="5">
        <v>3.6275844714639842E-2</v>
      </c>
    </row>
    <row r="19" spans="1:94" x14ac:dyDescent="0.35">
      <c r="A19" s="9" t="str">
        <f t="shared" si="0"/>
        <v>UK</v>
      </c>
      <c r="B19" s="9" t="s">
        <v>78</v>
      </c>
      <c r="C19" s="20"/>
      <c r="D19" s="9" t="s">
        <v>77</v>
      </c>
      <c r="E19" s="9" t="s">
        <v>193</v>
      </c>
      <c r="F19" s="9" t="s">
        <v>51</v>
      </c>
      <c r="G19" s="19">
        <v>0</v>
      </c>
      <c r="H19" s="9">
        <v>2014</v>
      </c>
      <c r="I19" s="9">
        <v>6</v>
      </c>
      <c r="J19" s="18">
        <f>INDEX(PTRS!$D$6:$D$12,MATCH('4'!$F19,PTRS!$B$6:$B$12,0))</f>
        <v>0.1638</v>
      </c>
      <c r="K19" s="17">
        <v>0</v>
      </c>
      <c r="L19" s="17">
        <v>0.1638</v>
      </c>
      <c r="M19" s="17">
        <v>5.4600000000000003E-2</v>
      </c>
      <c r="N19" s="17">
        <v>0.1638</v>
      </c>
      <c r="O19" s="17">
        <v>0.1638</v>
      </c>
      <c r="P19" s="17">
        <v>0.1638</v>
      </c>
      <c r="Q19" s="17">
        <v>0.16</v>
      </c>
      <c r="R19" s="17">
        <v>0.16</v>
      </c>
      <c r="S19" s="17">
        <v>1</v>
      </c>
      <c r="T19" s="17"/>
      <c r="U19" s="17">
        <f t="shared" si="1"/>
        <v>0.72649652910676854</v>
      </c>
      <c r="V19" s="17">
        <v>1</v>
      </c>
      <c r="W19" s="9" t="s">
        <v>62</v>
      </c>
      <c r="X19" s="9">
        <f>INDEX('Unique Asset List'!$C$4:$I$60,MATCH('4'!$B19,'Unique Asset List'!$A$4:$A$60,0),MATCH('4'!$C$1,'Unique Asset List'!$C$3:$I$3,0))</f>
        <v>2024</v>
      </c>
      <c r="Y19" s="9">
        <f>INDEX('Unique Asset List'!$J$4:$P$60,MATCH('4'!$B19,'Unique Asset List'!$A$4:$A$60,0),MATCH('4'!$C$1,'Unique Asset List'!$J$3:$P$3,0))</f>
        <v>6.9999999999990905</v>
      </c>
      <c r="Z19" s="9">
        <f>INDEX('Unique Asset List'!$X$4:$AD$60,MATCH('4'!$B19,'Unique Asset List'!$A$4:$A$60,0),MATCH('4'!$C$1,'Unique Asset List'!$X$3:$AD$3,0))</f>
        <v>2034</v>
      </c>
      <c r="AA19" s="9">
        <f>INDEX('Unique Asset List'!$AE$4:$AK$60,MATCH('4'!$B19,'Unique Asset List'!$A$4:$A$60,0),MATCH('4'!$C$1,'Unique Asset List'!$AE$3:$AK$3,0))</f>
        <v>7</v>
      </c>
      <c r="AB19" s="16">
        <f t="shared" si="2"/>
        <v>1.8922540000000003</v>
      </c>
      <c r="AC19" s="16">
        <f t="shared" si="3"/>
        <v>0.88497580000000009</v>
      </c>
      <c r="AD19" s="16">
        <f t="shared" si="4"/>
        <v>0.56099999999999994</v>
      </c>
      <c r="AE19" s="15">
        <f>INDEX('Unique Asset List'!$BN$4:$BT$60,MATCH('4'!$B19,'Unique Asset List'!$A$4:$A$60,0),MATCH('4'!$C$1,'Unique Asset List'!$BN$3:$BT$3,0))</f>
        <v>0.06</v>
      </c>
      <c r="AF19" s="15">
        <f>INDEX('Unique Asset List'!$BU$4:$CA$60,MATCH('4'!$B19,'Unique Asset List'!$A$4:$A$60,0),MATCH('4'!$C$1,'Unique Asset List'!$BU$3:$CA$3,0))</f>
        <v>0.45</v>
      </c>
      <c r="AG19" s="15">
        <f>INDEX('Unique Asset List'!$AZ$4:$BF$60,MATCH('4'!$B19,'Unique Asset List'!$A$4:$A$60,0),MATCH('4'!$C$1,'Unique Asset List'!$AZ$3:$BF$3,0))</f>
        <v>0.06</v>
      </c>
      <c r="AH19" s="15">
        <f>INDEX('Unique Asset List'!$BG$4:$BM$60,MATCH('4'!$B19,'Unique Asset List'!$A$4:$A$60,0),MATCH('4'!$C$1,'Unique Asset List'!$BG$3:$BM$3,0))</f>
        <v>0.45</v>
      </c>
      <c r="AI19" s="11">
        <v>0.96187963349867744</v>
      </c>
      <c r="AJ19" s="15">
        <f>INDEX('Unique Asset List'!$AL$4:$AR$60,MATCH('4'!$B19,'Unique Asset List'!$A$4:$A$60,0),MATCH('4'!$C$1,'Unique Asset List'!$AL$3:$AR$3,0))</f>
        <v>1.4542000570988298</v>
      </c>
      <c r="AK19" s="15">
        <f>INDEX('Unique Asset List'!$AS$4:$AY$60,MATCH('4'!$B19,'Unique Asset List'!$A$4:$A$60,0),MATCH('4'!$C$1,'Unique Asset List'!$AS$3:$AY$3,0))</f>
        <v>-0.4950056673809119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4">
        <f>IF($C$5="ON",BT19,MyRating(_E1,$B19,Efficacy!$F$1))</f>
        <v>3</v>
      </c>
      <c r="AU19" s="3">
        <f>IF($C$5="ON",BU19,MyRating(_E2,$B19,Efficacy!$F$1))</f>
        <v>3</v>
      </c>
      <c r="AV19" s="3">
        <f>IF($C$5="ON",BV19,MyRating(_E3,$B19,Efficacy!$F$1))</f>
        <v>3</v>
      </c>
      <c r="AW19" s="3">
        <f>IF($C$5="ON",BW19,MyRating(_E4,$B19,Efficacy!$F$1))</f>
        <v>4</v>
      </c>
      <c r="AX19" s="3">
        <f>IF($C$5="ON",BX19,MyRating(_E5,$B19,Efficacy!$F$1))</f>
        <v>3</v>
      </c>
      <c r="AY19" s="3">
        <f>IF($C$5="ON",BY19,MyRating(_E6,$B19,Efficacy!$F$1))</f>
        <v>3</v>
      </c>
      <c r="AZ19" s="3">
        <f>IF($C$5="ON",BZ19,MyRating(_E7,$B19,Efficacy!$F$1))</f>
        <v>3</v>
      </c>
      <c r="BA19" s="3">
        <f>IF($C$5="ON",CA19,MyRating(_E8,$B19,Efficacy!$F$1))</f>
        <v>5</v>
      </c>
      <c r="BB19" s="3">
        <f>IF($C$5="ON",CB19,MyRating(_S1,$B19,Efficacy!$F$1))</f>
        <v>4</v>
      </c>
      <c r="BC19" s="3">
        <f>IF($C$5="ON",CC19,MyRating(_S2,$B19,Efficacy!$F$1))</f>
        <v>3</v>
      </c>
      <c r="BD19" s="3">
        <f>IF($C$5="ON",CD19,MyRating(_S3,$B19,Efficacy!$F$1))</f>
        <v>3</v>
      </c>
      <c r="BE19" s="3">
        <f>IF($C$5="ON",CE19,MyRating(_S4,$B19,Efficacy!$F$1))</f>
        <v>3</v>
      </c>
      <c r="BF19" s="3">
        <f>IF($C$5="ON",CF19,MyRating(_S5,$B19,Efficacy!$F$1))</f>
        <v>5</v>
      </c>
      <c r="BG19" s="3">
        <f>IF($C$5="ON",CG19,MyRating(_S6,$B19,Efficacy!$F$1))</f>
        <v>2</v>
      </c>
      <c r="BH19" s="3">
        <f>IF($C$5="ON",CH19,MyRating(_S7,$B19,Efficacy!$F$1))</f>
        <v>3</v>
      </c>
      <c r="BI19" s="3">
        <f>IF($C$5="ON",CI19,MyRating(_D1,$B19,Efficacy!$F$1))</f>
        <v>3</v>
      </c>
      <c r="BJ19" s="3">
        <f>IF($C$5="ON",CJ19,MyRating(_D2,$B19,Efficacy!$F$1))</f>
        <v>3</v>
      </c>
      <c r="BK19" s="3">
        <f>IF($C$5="ON",CK19,MyRating(_D3,$B19,Efficacy!$F$1))</f>
        <v>3</v>
      </c>
      <c r="BL19" s="3">
        <f>IF($C$5="ON",CL19,MyRating(_D4,$B19,Efficacy!$F$1))</f>
        <v>3</v>
      </c>
      <c r="BM19" s="3">
        <f>IF($C$5="ON",CM19,MyRating(_B1G5,$B19,Barrier!$L$2))</f>
        <v>2</v>
      </c>
      <c r="BN19" s="3">
        <f>IF($C$5="ON",CN19,MyRating(_B2,$B19,Barrier!$F$2))</f>
        <v>3</v>
      </c>
      <c r="BO19" s="6">
        <f>IF($C$5="ON",CO19,MyRating(_B3,$B19,Barrier!$F$2))</f>
        <v>3</v>
      </c>
      <c r="BP19" s="5">
        <f t="shared" si="6"/>
        <v>3.6275844714639842E-2</v>
      </c>
      <c r="BQ19" s="8">
        <f t="shared" si="7"/>
        <v>2.9499999999999997</v>
      </c>
      <c r="BR19" s="5">
        <f t="shared" si="8"/>
        <v>3.60415394013439E-2</v>
      </c>
      <c r="BS19" s="7">
        <f t="shared" si="9"/>
        <v>1.8542316878791175E-2</v>
      </c>
      <c r="BT19" s="4">
        <v>3</v>
      </c>
      <c r="BU19" s="3">
        <v>3</v>
      </c>
      <c r="BV19" s="3">
        <v>3</v>
      </c>
      <c r="BW19" s="3">
        <v>4</v>
      </c>
      <c r="BX19" s="3">
        <v>3</v>
      </c>
      <c r="BY19" s="3">
        <v>3</v>
      </c>
      <c r="BZ19" s="3">
        <v>3</v>
      </c>
      <c r="CA19" s="3">
        <v>5</v>
      </c>
      <c r="CB19" s="3">
        <v>4</v>
      </c>
      <c r="CC19" s="3">
        <v>3</v>
      </c>
      <c r="CD19" s="3">
        <v>3</v>
      </c>
      <c r="CE19" s="3">
        <v>3</v>
      </c>
      <c r="CF19" s="3">
        <v>5</v>
      </c>
      <c r="CG19" s="3">
        <v>2</v>
      </c>
      <c r="CH19" s="3">
        <v>3</v>
      </c>
      <c r="CI19" s="3">
        <v>3</v>
      </c>
      <c r="CJ19" s="3">
        <v>3</v>
      </c>
      <c r="CK19" s="3">
        <v>3</v>
      </c>
      <c r="CL19" s="3">
        <v>3</v>
      </c>
      <c r="CM19" s="3">
        <v>2</v>
      </c>
      <c r="CN19" s="3">
        <v>3</v>
      </c>
      <c r="CO19" s="6">
        <v>3</v>
      </c>
      <c r="CP19" s="5">
        <v>3.6275844714639842E-2</v>
      </c>
    </row>
    <row r="20" spans="1:94" x14ac:dyDescent="0.35">
      <c r="A20" s="9" t="str">
        <f t="shared" si="0"/>
        <v>UK</v>
      </c>
      <c r="B20" s="9" t="s">
        <v>39</v>
      </c>
      <c r="C20" s="20"/>
      <c r="D20" s="9" t="s">
        <v>2</v>
      </c>
      <c r="E20" s="9" t="s">
        <v>193</v>
      </c>
      <c r="F20" s="9" t="s">
        <v>43</v>
      </c>
      <c r="G20" s="19">
        <v>0</v>
      </c>
      <c r="H20" s="9">
        <v>2014</v>
      </c>
      <c r="I20" s="9">
        <v>6</v>
      </c>
      <c r="J20" s="18">
        <f>INDEX(PTRS!$D$6:$D$12,MATCH('4'!$F20,PTRS!$B$6:$B$12,0))</f>
        <v>0.40949999999999998</v>
      </c>
      <c r="K20" s="17">
        <v>0</v>
      </c>
      <c r="L20" s="17">
        <v>0.40949999999999998</v>
      </c>
      <c r="M20" s="17">
        <v>0.40949999999999998</v>
      </c>
      <c r="N20" s="17">
        <v>0.4</v>
      </c>
      <c r="O20" s="17">
        <v>0.4</v>
      </c>
      <c r="P20" s="17">
        <v>0.40949999999999998</v>
      </c>
      <c r="Q20" s="17">
        <v>1</v>
      </c>
      <c r="R20" s="17">
        <v>1</v>
      </c>
      <c r="S20" s="17">
        <v>1</v>
      </c>
      <c r="T20" s="17"/>
      <c r="U20" s="17">
        <f t="shared" si="1"/>
        <v>0.72649652910676854</v>
      </c>
      <c r="V20" s="17">
        <v>1</v>
      </c>
      <c r="W20" s="9" t="s">
        <v>38</v>
      </c>
      <c r="X20" s="9">
        <f>INDEX('Unique Asset List'!$C$4:$I$60,MATCH('4'!$B20,'Unique Asset List'!$A$4:$A$60,0),MATCH('4'!$C$1,'Unique Asset List'!$C$3:$I$3,0))</f>
        <v>2023</v>
      </c>
      <c r="Y20" s="9">
        <f>INDEX('Unique Asset List'!$J$4:$P$60,MATCH('4'!$B20,'Unique Asset List'!$A$4:$A$60,0),MATCH('4'!$C$1,'Unique Asset List'!$J$3:$P$3,0))</f>
        <v>8.0000000000009095</v>
      </c>
      <c r="Z20" s="9">
        <f>INDEX('Unique Asset List'!$X$4:$AD$60,MATCH('4'!$B20,'Unique Asset List'!$A$4:$A$60,0),MATCH('4'!$C$1,'Unique Asset List'!$X$3:$AD$3,0))</f>
        <v>2034</v>
      </c>
      <c r="AA20" s="9">
        <f>INDEX('Unique Asset List'!$AE$4:$AK$60,MATCH('4'!$B20,'Unique Asset List'!$A$4:$A$60,0),MATCH('4'!$C$1,'Unique Asset List'!$AE$3:$AK$3,0))</f>
        <v>3</v>
      </c>
      <c r="AB20" s="16">
        <f t="shared" si="2"/>
        <v>1.7951404000000002</v>
      </c>
      <c r="AC20" s="16">
        <f t="shared" si="3"/>
        <v>0.94451300000000005</v>
      </c>
      <c r="AD20" s="16">
        <f t="shared" si="4"/>
        <v>0.52097279586</v>
      </c>
      <c r="AE20" s="15">
        <f>INDEX('Unique Asset List'!$BN$4:$BT$60,MATCH('4'!$B20,'Unique Asset List'!$A$4:$A$60,0),MATCH('4'!$C$1,'Unique Asset List'!$BN$3:$BT$3,0))</f>
        <v>0.05</v>
      </c>
      <c r="AF20" s="15">
        <f>INDEX('Unique Asset List'!$BU$4:$CA$60,MATCH('4'!$B20,'Unique Asset List'!$A$4:$A$60,0),MATCH('4'!$C$1,'Unique Asset List'!$BU$3:$CA$3,0))</f>
        <v>0.45</v>
      </c>
      <c r="AG20" s="15">
        <f>INDEX('Unique Asset List'!$AZ$4:$BF$60,MATCH('4'!$B20,'Unique Asset List'!$A$4:$A$60,0),MATCH('4'!$C$1,'Unique Asset List'!$AZ$3:$BF$3,0))</f>
        <v>0.05</v>
      </c>
      <c r="AH20" s="15">
        <f>INDEX('Unique Asset List'!$BG$4:$BM$60,MATCH('4'!$B20,'Unique Asset List'!$A$4:$A$60,0),MATCH('4'!$C$1,'Unique Asset List'!$BG$3:$BM$3,0))</f>
        <v>0.45</v>
      </c>
      <c r="AI20" s="11">
        <v>0.96187963349867744</v>
      </c>
      <c r="AJ20" s="15">
        <f>INDEX('Unique Asset List'!$AL$4:$AR$60,MATCH('4'!$B20,'Unique Asset List'!$A$4:$A$60,0),MATCH('4'!$C$1,'Unique Asset List'!$AL$3:$AR$3,0))</f>
        <v>1.4542000570988298</v>
      </c>
      <c r="AK20" s="15">
        <f>INDEX('Unique Asset List'!$AS$4:$AY$60,MATCH('4'!$B20,'Unique Asset List'!$A$4:$A$60,0),MATCH('4'!$C$1,'Unique Asset List'!$AS$3:$AY$3,0))</f>
        <v>-0.4950056673809119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4">
        <f>IF($C$5="ON",BT20,MyRating(_E1,$B20,Efficacy!$F$1))</f>
        <v>4</v>
      </c>
      <c r="AU20" s="3">
        <f>IF($C$5="ON",BU20,MyRating(_E2,$B20,Efficacy!$F$1))</f>
        <v>3</v>
      </c>
      <c r="AV20" s="3">
        <f>IF($C$5="ON",BV20,MyRating(_E3,$B20,Efficacy!$F$1))</f>
        <v>3</v>
      </c>
      <c r="AW20" s="3">
        <f>IF($C$5="ON",BW20,MyRating(_E4,$B20,Efficacy!$F$1))</f>
        <v>4</v>
      </c>
      <c r="AX20" s="3">
        <f>IF($C$5="ON",BX20,MyRating(_E5,$B20,Efficacy!$F$1))</f>
        <v>3</v>
      </c>
      <c r="AY20" s="3">
        <f>IF($C$5="ON",BY20,MyRating(_E6,$B20,Efficacy!$F$1))</f>
        <v>2</v>
      </c>
      <c r="AZ20" s="3">
        <f>IF($C$5="ON",BZ20,MyRating(_E7,$B20,Efficacy!$F$1))</f>
        <v>3</v>
      </c>
      <c r="BA20" s="3">
        <f>IF($C$5="ON",CA20,MyRating(_E8,$B20,Efficacy!$F$1))</f>
        <v>3</v>
      </c>
      <c r="BB20" s="3">
        <f>IF($C$5="ON",CB20,MyRating(_S1,$B20,Efficacy!$F$1))</f>
        <v>4</v>
      </c>
      <c r="BC20" s="3">
        <f>IF($C$5="ON",CC20,MyRating(_S2,$B20,Efficacy!$F$1))</f>
        <v>4</v>
      </c>
      <c r="BD20" s="3">
        <f>IF($C$5="ON",CD20,MyRating(_S3,$B20,Efficacy!$F$1))</f>
        <v>3</v>
      </c>
      <c r="BE20" s="3">
        <f>IF($C$5="ON",CE20,MyRating(_S4,$B20,Efficacy!$F$1))</f>
        <v>4</v>
      </c>
      <c r="BF20" s="3">
        <f>IF($C$5="ON",CF20,MyRating(_S5,$B20,Efficacy!$F$1))</f>
        <v>5</v>
      </c>
      <c r="BG20" s="3">
        <f>IF($C$5="ON",CG20,MyRating(_S6,$B20,Efficacy!$F$1))</f>
        <v>2</v>
      </c>
      <c r="BH20" s="3">
        <f>IF($C$5="ON",CH20,MyRating(_S7,$B20,Efficacy!$F$1))</f>
        <v>3</v>
      </c>
      <c r="BI20" s="3">
        <f>IF($C$5="ON",CI20,MyRating(_D1,$B20,Efficacy!$F$1))</f>
        <v>3</v>
      </c>
      <c r="BJ20" s="3">
        <f>IF($C$5="ON",CJ20,MyRating(_D2,$B20,Efficacy!$F$1))</f>
        <v>2</v>
      </c>
      <c r="BK20" s="3">
        <f>IF($C$5="ON",CK20,MyRating(_D3,$B20,Efficacy!$F$1))</f>
        <v>3</v>
      </c>
      <c r="BL20" s="3">
        <f>IF($C$5="ON",CL20,MyRating(_D4,$B20,Efficacy!$F$1))</f>
        <v>3</v>
      </c>
      <c r="BM20" s="3">
        <f>IF($C$5="ON",CM20,MyRating(_B1G5,$B20,Barrier!$L$2))</f>
        <v>2</v>
      </c>
      <c r="BN20" s="3">
        <f>IF($C$5="ON",CN20,MyRating(_B2,$B20,Barrier!$F$2))</f>
        <v>3</v>
      </c>
      <c r="BO20" s="6">
        <f>IF($C$5="ON",CO20,MyRating(_B3,$B20,Barrier!$F$2))</f>
        <v>3</v>
      </c>
      <c r="BP20" s="5">
        <f t="shared" si="6"/>
        <v>3.6275844714639842E-2</v>
      </c>
      <c r="BQ20" s="8">
        <f t="shared" si="7"/>
        <v>2.9499999999999997</v>
      </c>
      <c r="BR20" s="5">
        <f t="shared" si="8"/>
        <v>3.60415394013439E-2</v>
      </c>
      <c r="BS20" s="7">
        <f t="shared" si="9"/>
        <v>1.8542316878791175E-2</v>
      </c>
      <c r="BT20" s="4">
        <v>4</v>
      </c>
      <c r="BU20" s="3">
        <v>3</v>
      </c>
      <c r="BV20" s="3">
        <v>3</v>
      </c>
      <c r="BW20" s="3">
        <v>4</v>
      </c>
      <c r="BX20" s="3">
        <v>3</v>
      </c>
      <c r="BY20" s="3">
        <v>2</v>
      </c>
      <c r="BZ20" s="3">
        <v>3</v>
      </c>
      <c r="CA20" s="3">
        <v>3</v>
      </c>
      <c r="CB20" s="3">
        <v>4</v>
      </c>
      <c r="CC20" s="3">
        <v>4</v>
      </c>
      <c r="CD20" s="3">
        <v>3</v>
      </c>
      <c r="CE20" s="3">
        <v>4</v>
      </c>
      <c r="CF20" s="3">
        <v>5</v>
      </c>
      <c r="CG20" s="3">
        <v>2</v>
      </c>
      <c r="CH20" s="3">
        <v>3</v>
      </c>
      <c r="CI20" s="3">
        <v>3</v>
      </c>
      <c r="CJ20" s="3">
        <v>2</v>
      </c>
      <c r="CK20" s="3">
        <v>3</v>
      </c>
      <c r="CL20" s="3">
        <v>3</v>
      </c>
      <c r="CM20" s="3">
        <v>2</v>
      </c>
      <c r="CN20" s="3">
        <v>3</v>
      </c>
      <c r="CO20" s="6">
        <v>3</v>
      </c>
      <c r="CP20" s="5">
        <v>3.6275844714639842E-2</v>
      </c>
    </row>
    <row r="21" spans="1:94" x14ac:dyDescent="0.35">
      <c r="A21" s="9" t="str">
        <f t="shared" si="0"/>
        <v>UK</v>
      </c>
      <c r="B21" s="9" t="s">
        <v>76</v>
      </c>
      <c r="C21" s="20"/>
      <c r="D21" s="9" t="s">
        <v>75</v>
      </c>
      <c r="E21" s="9" t="s">
        <v>193</v>
      </c>
      <c r="F21" s="9" t="s">
        <v>51</v>
      </c>
      <c r="G21" s="19">
        <v>0</v>
      </c>
      <c r="H21" s="9">
        <v>2014</v>
      </c>
      <c r="I21" s="9">
        <v>6</v>
      </c>
      <c r="J21" s="18">
        <f>INDEX(PTRS!$D$6:$D$12,MATCH('4'!$F21,PTRS!$B$6:$B$12,0))</f>
        <v>0.1638</v>
      </c>
      <c r="K21" s="17">
        <v>0</v>
      </c>
      <c r="L21" s="17">
        <v>0.1638</v>
      </c>
      <c r="M21" s="17">
        <v>0.1638</v>
      </c>
      <c r="N21" s="17">
        <v>0.1638</v>
      </c>
      <c r="O21" s="17">
        <v>0.1638</v>
      </c>
      <c r="P21" s="17">
        <v>0.1638</v>
      </c>
      <c r="Q21" s="17">
        <v>0.16</v>
      </c>
      <c r="R21" s="17">
        <v>0.16</v>
      </c>
      <c r="S21" s="17">
        <v>1</v>
      </c>
      <c r="T21" s="17"/>
      <c r="U21" s="17">
        <f t="shared" si="1"/>
        <v>0.72649652910676854</v>
      </c>
      <c r="V21" s="17">
        <v>1</v>
      </c>
      <c r="W21" s="9" t="s">
        <v>27</v>
      </c>
      <c r="X21" s="9">
        <f>INDEX('Unique Asset List'!$C$4:$I$60,MATCH('4'!$B21,'Unique Asset List'!$A$4:$A$60,0),MATCH('4'!$C$1,'Unique Asset List'!$C$3:$I$3,0))</f>
        <v>2024</v>
      </c>
      <c r="Y21" s="9">
        <f>INDEX('Unique Asset List'!$J$4:$P$60,MATCH('4'!$B21,'Unique Asset List'!$A$4:$A$60,0),MATCH('4'!$C$1,'Unique Asset List'!$J$3:$P$3,0))</f>
        <v>6</v>
      </c>
      <c r="Z21" s="9">
        <f>INDEX('Unique Asset List'!$X$4:$AD$60,MATCH('4'!$B21,'Unique Asset List'!$A$4:$A$60,0),MATCH('4'!$C$1,'Unique Asset List'!$X$3:$AD$3,0))</f>
        <v>2034</v>
      </c>
      <c r="AA21" s="9">
        <f>INDEX('Unique Asset List'!$AE$4:$AK$60,MATCH('4'!$B21,'Unique Asset List'!$A$4:$A$60,0),MATCH('4'!$C$1,'Unique Asset List'!$AE$3:$AK$3,0))</f>
        <v>6</v>
      </c>
      <c r="AB21" s="16">
        <f t="shared" si="2"/>
        <v>2.0119600000000002</v>
      </c>
      <c r="AC21" s="16">
        <f t="shared" si="3"/>
        <v>0.76203600000000005</v>
      </c>
      <c r="AD21" s="16">
        <f t="shared" si="4"/>
        <v>0.56099999999999994</v>
      </c>
      <c r="AE21" s="15">
        <f>INDEX('Unique Asset List'!$BN$4:$BT$60,MATCH('4'!$B21,'Unique Asset List'!$A$4:$A$60,0),MATCH('4'!$C$1,'Unique Asset List'!$BN$3:$BT$3,0))</f>
        <v>0.05</v>
      </c>
      <c r="AF21" s="15">
        <f>INDEX('Unique Asset List'!$BU$4:$CA$60,MATCH('4'!$B21,'Unique Asset List'!$A$4:$A$60,0),MATCH('4'!$C$1,'Unique Asset List'!$BU$3:$CA$3,0))</f>
        <v>0.45</v>
      </c>
      <c r="AG21" s="15">
        <f>INDEX('Unique Asset List'!$AZ$4:$BF$60,MATCH('4'!$B21,'Unique Asset List'!$A$4:$A$60,0),MATCH('4'!$C$1,'Unique Asset List'!$AZ$3:$BF$3,0))</f>
        <v>0.05</v>
      </c>
      <c r="AH21" s="15">
        <f>INDEX('Unique Asset List'!$BG$4:$BM$60,MATCH('4'!$B21,'Unique Asset List'!$A$4:$A$60,0),MATCH('4'!$C$1,'Unique Asset List'!$BG$3:$BM$3,0))</f>
        <v>0.45</v>
      </c>
      <c r="AI21" s="11">
        <v>0.96187963349867744</v>
      </c>
      <c r="AJ21" s="15">
        <f>INDEX('Unique Asset List'!$AL$4:$AR$60,MATCH('4'!$B21,'Unique Asset List'!$A$4:$A$60,0),MATCH('4'!$C$1,'Unique Asset List'!$AL$3:$AR$3,0))</f>
        <v>1.4542000570988298</v>
      </c>
      <c r="AK21" s="15">
        <f>INDEX('Unique Asset List'!$AS$4:$AY$60,MATCH('4'!$B21,'Unique Asset List'!$A$4:$A$60,0),MATCH('4'!$C$1,'Unique Asset List'!$AS$3:$AY$3,0))</f>
        <v>-0.4950056673809119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4">
        <f>IF($C$5="ON",BT21,MyRating(_E1,$B21,Efficacy!$F$1))</f>
        <v>4</v>
      </c>
      <c r="AU21" s="3">
        <f>IF($C$5="ON",BU21,MyRating(_E2,$B21,Efficacy!$F$1))</f>
        <v>4</v>
      </c>
      <c r="AV21" s="3">
        <f>IF($C$5="ON",BV21,MyRating(_E3,$B21,Efficacy!$F$1))</f>
        <v>4</v>
      </c>
      <c r="AW21" s="3">
        <f>IF($C$5="ON",BW21,MyRating(_E4,$B21,Efficacy!$F$1))</f>
        <v>3</v>
      </c>
      <c r="AX21" s="3">
        <f>IF($C$5="ON",BX21,MyRating(_E5,$B21,Efficacy!$F$1))</f>
        <v>3</v>
      </c>
      <c r="AY21" s="3">
        <f>IF($C$5="ON",BY21,MyRating(_E6,$B21,Efficacy!$F$1))</f>
        <v>2</v>
      </c>
      <c r="AZ21" s="3">
        <f>IF($C$5="ON",BZ21,MyRating(_E7,$B21,Efficacy!$F$1))</f>
        <v>3</v>
      </c>
      <c r="BA21" s="3">
        <f>IF($C$5="ON",CA21,MyRating(_E8,$B21,Efficacy!$F$1))</f>
        <v>5</v>
      </c>
      <c r="BB21" s="3">
        <f>IF($C$5="ON",CB21,MyRating(_S1,$B21,Efficacy!$F$1))</f>
        <v>2</v>
      </c>
      <c r="BC21" s="3">
        <f>IF($C$5="ON",CC21,MyRating(_S2,$B21,Efficacy!$F$1))</f>
        <v>3</v>
      </c>
      <c r="BD21" s="3">
        <f>IF($C$5="ON",CD21,MyRating(_S3,$B21,Efficacy!$F$1))</f>
        <v>3</v>
      </c>
      <c r="BE21" s="3">
        <f>IF($C$5="ON",CE21,MyRating(_S4,$B21,Efficacy!$F$1))</f>
        <v>3</v>
      </c>
      <c r="BF21" s="3">
        <f>IF($C$5="ON",CF21,MyRating(_S5,$B21,Efficacy!$F$1))</f>
        <v>5</v>
      </c>
      <c r="BG21" s="3">
        <f>IF($C$5="ON",CG21,MyRating(_S6,$B21,Efficacy!$F$1))</f>
        <v>2</v>
      </c>
      <c r="BH21" s="3">
        <f>IF($C$5="ON",CH21,MyRating(_S7,$B21,Efficacy!$F$1))</f>
        <v>3</v>
      </c>
      <c r="BI21" s="3">
        <f>IF($C$5="ON",CI21,MyRating(_D1,$B21,Efficacy!$F$1))</f>
        <v>3</v>
      </c>
      <c r="BJ21" s="3">
        <f>IF($C$5="ON",CJ21,MyRating(_D2,$B21,Efficacy!$F$1))</f>
        <v>3</v>
      </c>
      <c r="BK21" s="3">
        <f>IF($C$5="ON",CK21,MyRating(_D3,$B21,Efficacy!$F$1))</f>
        <v>3</v>
      </c>
      <c r="BL21" s="3">
        <f>IF($C$5="ON",CL21,MyRating(_D4,$B21,Efficacy!$F$1))</f>
        <v>3</v>
      </c>
      <c r="BM21" s="3">
        <f>IF($C$5="ON",CM21,MyRating(_B1G5,$B21,Barrier!$L$2))</f>
        <v>2</v>
      </c>
      <c r="BN21" s="3">
        <f>IF($C$5="ON",CN21,MyRating(_B2,$B21,Barrier!$F$2))</f>
        <v>3</v>
      </c>
      <c r="BO21" s="6">
        <f>IF($C$5="ON",CO21,MyRating(_B3,$B21,Barrier!$F$2))</f>
        <v>3</v>
      </c>
      <c r="BP21" s="5">
        <f t="shared" si="6"/>
        <v>3.6275844714639842E-2</v>
      </c>
      <c r="BQ21" s="8">
        <f t="shared" si="7"/>
        <v>2.9499999999999997</v>
      </c>
      <c r="BR21" s="5">
        <f t="shared" si="8"/>
        <v>3.60415394013439E-2</v>
      </c>
      <c r="BS21" s="7">
        <f t="shared" si="9"/>
        <v>1.8542316878791175E-2</v>
      </c>
      <c r="BT21" s="4">
        <v>4</v>
      </c>
      <c r="BU21" s="3">
        <v>4</v>
      </c>
      <c r="BV21" s="3">
        <v>4</v>
      </c>
      <c r="BW21" s="3">
        <v>3</v>
      </c>
      <c r="BX21" s="3">
        <v>3</v>
      </c>
      <c r="BY21" s="3">
        <v>2</v>
      </c>
      <c r="BZ21" s="3">
        <v>3</v>
      </c>
      <c r="CA21" s="3">
        <v>5</v>
      </c>
      <c r="CB21" s="3">
        <v>2</v>
      </c>
      <c r="CC21" s="3">
        <v>3</v>
      </c>
      <c r="CD21" s="3">
        <v>3</v>
      </c>
      <c r="CE21" s="3">
        <v>3</v>
      </c>
      <c r="CF21" s="3">
        <v>5</v>
      </c>
      <c r="CG21" s="3">
        <v>2</v>
      </c>
      <c r="CH21" s="3">
        <v>3</v>
      </c>
      <c r="CI21" s="3">
        <v>3</v>
      </c>
      <c r="CJ21" s="3">
        <v>3</v>
      </c>
      <c r="CK21" s="3">
        <v>3</v>
      </c>
      <c r="CL21" s="3">
        <v>3</v>
      </c>
      <c r="CM21" s="3">
        <v>2</v>
      </c>
      <c r="CN21" s="3">
        <v>3</v>
      </c>
      <c r="CO21" s="6">
        <v>3</v>
      </c>
      <c r="CP21" s="5">
        <v>3.6275844714639842E-2</v>
      </c>
    </row>
    <row r="22" spans="1:94" x14ac:dyDescent="0.35">
      <c r="A22" s="9" t="str">
        <f t="shared" si="0"/>
        <v>UK</v>
      </c>
      <c r="B22" s="9" t="s">
        <v>69</v>
      </c>
      <c r="C22" s="20" t="s">
        <v>3</v>
      </c>
      <c r="D22" s="9" t="s">
        <v>2</v>
      </c>
      <c r="E22" s="9" t="s">
        <v>193</v>
      </c>
      <c r="F22" s="9" t="s">
        <v>51</v>
      </c>
      <c r="G22" s="19">
        <v>0</v>
      </c>
      <c r="H22" s="9">
        <v>2014</v>
      </c>
      <c r="I22" s="9">
        <v>6</v>
      </c>
      <c r="J22" s="18">
        <f>INDEX(PTRS!$D$6:$D$12,MATCH('4'!$F22,PTRS!$B$6:$B$12,0))</f>
        <v>0.1638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0.1638</v>
      </c>
      <c r="Q22" s="17">
        <v>0</v>
      </c>
      <c r="R22" s="17">
        <v>0</v>
      </c>
      <c r="S22" s="17">
        <v>1</v>
      </c>
      <c r="T22" s="17"/>
      <c r="U22" s="17">
        <f t="shared" si="1"/>
        <v>0.19835681424527862</v>
      </c>
      <c r="V22" s="17">
        <v>1</v>
      </c>
      <c r="W22" s="9" t="s">
        <v>62</v>
      </c>
      <c r="X22" s="9">
        <f>INDEX('Unique Asset List'!$C$4:$I$60,MATCH('4'!$B22,'Unique Asset List'!$A$4:$A$60,0),MATCH('4'!$C$1,'Unique Asset List'!$C$3:$I$3,0))</f>
        <v>2024</v>
      </c>
      <c r="Y22" s="9">
        <f>INDEX('Unique Asset List'!$J$4:$P$60,MATCH('4'!$B22,'Unique Asset List'!$A$4:$A$60,0),MATCH('4'!$C$1,'Unique Asset List'!$J$3:$P$3,0))</f>
        <v>9</v>
      </c>
      <c r="Z22" s="9">
        <f>INDEX('Unique Asset List'!$X$4:$AD$60,MATCH('4'!$B22,'Unique Asset List'!$A$4:$A$60,0),MATCH('4'!$C$1,'Unique Asset List'!$X$3:$AD$3,0))</f>
        <v>2026</v>
      </c>
      <c r="AA22" s="9">
        <f>INDEX('Unique Asset List'!$AE$4:$AK$60,MATCH('4'!$B22,'Unique Asset List'!$A$4:$A$60,0),MATCH('4'!$C$1,'Unique Asset List'!$AE$3:$AK$3,0))</f>
        <v>9</v>
      </c>
      <c r="AB22" s="16">
        <f t="shared" si="2"/>
        <v>2.3511832000000004</v>
      </c>
      <c r="AC22" s="16">
        <f t="shared" si="3"/>
        <v>0.94644569999999995</v>
      </c>
      <c r="AD22" s="16">
        <f t="shared" si="4"/>
        <v>0.39141474525999997</v>
      </c>
      <c r="AE22" s="15">
        <f>INDEX('Unique Asset List'!$BN$4:$BT$60,MATCH('4'!$B22,'Unique Asset List'!$A$4:$A$60,0),MATCH('4'!$C$1,'Unique Asset List'!$BN$3:$BT$3,0))</f>
        <v>0.06</v>
      </c>
      <c r="AF22" s="15">
        <f>INDEX('Unique Asset List'!$BU$4:$CA$60,MATCH('4'!$B22,'Unique Asset List'!$A$4:$A$60,0),MATCH('4'!$C$1,'Unique Asset List'!$BU$3:$CA$3,0))</f>
        <v>0.45</v>
      </c>
      <c r="AG22" s="15">
        <f>INDEX('Unique Asset List'!$AZ$4:$BF$60,MATCH('4'!$B22,'Unique Asset List'!$A$4:$A$60,0),MATCH('4'!$C$1,'Unique Asset List'!$AZ$3:$BF$3,0))</f>
        <v>0.06</v>
      </c>
      <c r="AH22" s="15">
        <f>INDEX('Unique Asset List'!$BG$4:$BM$60,MATCH('4'!$B22,'Unique Asset List'!$A$4:$A$60,0),MATCH('4'!$C$1,'Unique Asset List'!$BG$3:$BM$3,0))</f>
        <v>0.45</v>
      </c>
      <c r="AI22" s="11">
        <v>0.96187963349867744</v>
      </c>
      <c r="AJ22" s="15">
        <f>INDEX('Unique Asset List'!$AL$4:$AR$60,MATCH('4'!$B22,'Unique Asset List'!$A$4:$A$60,0),MATCH('4'!$C$1,'Unique Asset List'!$AL$3:$AR$3,0))</f>
        <v>1.4542000570988298</v>
      </c>
      <c r="AK22" s="15">
        <f>INDEX('Unique Asset List'!$AS$4:$AY$60,MATCH('4'!$B22,'Unique Asset List'!$A$4:$A$60,0),MATCH('4'!$C$1,'Unique Asset List'!$AS$3:$AY$3,0))</f>
        <v>-0.4950056673809119</v>
      </c>
      <c r="AL22" s="9">
        <v>177.56756756756758</v>
      </c>
      <c r="AM22" s="14">
        <v>28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f>2.8*37/365</f>
        <v>0.28383561643835614</v>
      </c>
      <c r="AT22" s="4">
        <f>IF($C$5="ON",BT22,MyRating(_E1,$B22,Efficacy!$F$1))</f>
        <v>5</v>
      </c>
      <c r="AU22" s="3">
        <f>IF($C$5="ON",BU22,MyRating(_E2,$B22,Efficacy!$F$1))</f>
        <v>5</v>
      </c>
      <c r="AV22" s="3">
        <f>IF($C$5="ON",BV22,MyRating(_E3,$B22,Efficacy!$F$1))</f>
        <v>5</v>
      </c>
      <c r="AW22" s="3">
        <f>IF($C$5="ON",BW22,MyRating(_E4,$B22,Efficacy!$F$1))</f>
        <v>4</v>
      </c>
      <c r="AX22" s="3">
        <f>IF($C$5="ON",BX22,MyRating(_E5,$B22,Efficacy!$F$1))</f>
        <v>3</v>
      </c>
      <c r="AY22" s="3">
        <f>IF($C$5="ON",BY22,MyRating(_E6,$B22,Efficacy!$F$1))</f>
        <v>3</v>
      </c>
      <c r="AZ22" s="3">
        <f>IF($C$5="ON",BZ22,MyRating(_E7,$B22,Efficacy!$F$1))</f>
        <v>3</v>
      </c>
      <c r="BA22" s="3">
        <f>IF($C$5="ON",CA22,MyRating(_E8,$B22,Efficacy!$F$1))</f>
        <v>4</v>
      </c>
      <c r="BB22" s="3">
        <f>IF($C$5="ON",CB22,MyRating(_S1,$B22,Efficacy!$F$1))</f>
        <v>5</v>
      </c>
      <c r="BC22" s="3">
        <f>IF($C$5="ON",CC22,MyRating(_S2,$B22,Efficacy!$F$1))</f>
        <v>3</v>
      </c>
      <c r="BD22" s="3">
        <f>IF($C$5="ON",CD22,MyRating(_S3,$B22,Efficacy!$F$1))</f>
        <v>3</v>
      </c>
      <c r="BE22" s="3">
        <f>IF($C$5="ON",CE22,MyRating(_S4,$B22,Efficacy!$F$1))</f>
        <v>3</v>
      </c>
      <c r="BF22" s="3">
        <f>IF($C$5="ON",CF22,MyRating(_S5,$B22,Efficacy!$F$1))</f>
        <v>5</v>
      </c>
      <c r="BG22" s="3">
        <f>IF($C$5="ON",CG22,MyRating(_S6,$B22,Efficacy!$F$1))</f>
        <v>2</v>
      </c>
      <c r="BH22" s="3">
        <f>IF($C$5="ON",CH22,MyRating(_S7,$B22,Efficacy!$F$1))</f>
        <v>3</v>
      </c>
      <c r="BI22" s="3">
        <f>IF($C$5="ON",CI22,MyRating(_D1,$B22,Efficacy!$F$1))</f>
        <v>2</v>
      </c>
      <c r="BJ22" s="3">
        <f>IF($C$5="ON",CJ22,MyRating(_D2,$B22,Efficacy!$F$1))</f>
        <v>3</v>
      </c>
      <c r="BK22" s="3">
        <f>IF($C$5="ON",CK22,MyRating(_D3,$B22,Efficacy!$F$1))</f>
        <v>3</v>
      </c>
      <c r="BL22" s="3">
        <f>IF($C$5="ON",CL22,MyRating(_D4,$B22,Efficacy!$F$1))</f>
        <v>1</v>
      </c>
      <c r="BM22" s="3">
        <f>IF($C$5="ON",CM22,MyRating(_B1G5,$B22,Barrier!$L$2))</f>
        <v>1</v>
      </c>
      <c r="BN22" s="3">
        <f>IF($C$5="ON",CN22,MyRating(_B2,$B22,Barrier!$F$2))</f>
        <v>1</v>
      </c>
      <c r="BO22" s="6">
        <f>IF($C$5="ON",CO22,MyRating(_B3,$B22,Barrier!$F$2))</f>
        <v>1</v>
      </c>
      <c r="BP22" s="5">
        <f t="shared" si="6"/>
        <v>9.9044671286996639E-3</v>
      </c>
      <c r="BQ22" s="8">
        <f t="shared" si="7"/>
        <v>1</v>
      </c>
      <c r="BR22" s="5">
        <f t="shared" si="8"/>
        <v>1.2217470983506409E-2</v>
      </c>
      <c r="BS22" s="7">
        <f t="shared" si="9"/>
        <v>5.0626462170790974E-3</v>
      </c>
      <c r="BT22" s="4">
        <v>5</v>
      </c>
      <c r="BU22" s="3">
        <v>5</v>
      </c>
      <c r="BV22" s="3">
        <v>5</v>
      </c>
      <c r="BW22" s="3">
        <v>4</v>
      </c>
      <c r="BX22" s="3">
        <v>3</v>
      </c>
      <c r="BY22" s="3">
        <v>3</v>
      </c>
      <c r="BZ22" s="3">
        <v>3</v>
      </c>
      <c r="CA22" s="3">
        <v>4</v>
      </c>
      <c r="CB22" s="3">
        <v>5</v>
      </c>
      <c r="CC22" s="3">
        <v>3</v>
      </c>
      <c r="CD22" s="3">
        <v>3</v>
      </c>
      <c r="CE22" s="3">
        <v>3</v>
      </c>
      <c r="CF22" s="3">
        <v>5</v>
      </c>
      <c r="CG22" s="3">
        <v>2</v>
      </c>
      <c r="CH22" s="3">
        <v>3</v>
      </c>
      <c r="CI22" s="3">
        <v>2</v>
      </c>
      <c r="CJ22" s="3">
        <v>3</v>
      </c>
      <c r="CK22" s="3">
        <v>3</v>
      </c>
      <c r="CL22" s="3">
        <v>1</v>
      </c>
      <c r="CM22" s="3">
        <v>1</v>
      </c>
      <c r="CN22" s="3">
        <v>1</v>
      </c>
      <c r="CO22" s="6">
        <v>1</v>
      </c>
      <c r="CP22" s="5">
        <v>9.9044671286996639E-3</v>
      </c>
    </row>
    <row r="23" spans="1:94" x14ac:dyDescent="0.35">
      <c r="A23" s="9" t="str">
        <f t="shared" si="0"/>
        <v>UK</v>
      </c>
      <c r="B23" s="9" t="s">
        <v>74</v>
      </c>
      <c r="C23" s="20" t="s">
        <v>3</v>
      </c>
      <c r="D23" s="9" t="s">
        <v>73</v>
      </c>
      <c r="E23" s="9" t="s">
        <v>193</v>
      </c>
      <c r="F23" s="9" t="s">
        <v>58</v>
      </c>
      <c r="G23" s="19">
        <v>0</v>
      </c>
      <c r="H23" s="9">
        <v>2014</v>
      </c>
      <c r="I23" s="9">
        <v>6</v>
      </c>
      <c r="J23" s="18">
        <f>INDEX(PTRS!$D$6:$D$12,MATCH('4'!$F23,PTRS!$B$6:$B$12,0))</f>
        <v>0.13923000000000002</v>
      </c>
      <c r="K23" s="17">
        <v>0</v>
      </c>
      <c r="L23" s="17">
        <v>0.13923000000000002</v>
      </c>
      <c r="M23" s="17">
        <v>4.6410000000000007E-2</v>
      </c>
      <c r="N23" s="17">
        <v>0.13923000000000002</v>
      </c>
      <c r="O23" s="17">
        <v>0.13923000000000002</v>
      </c>
      <c r="P23" s="17">
        <v>0.13923000000000002</v>
      </c>
      <c r="Q23" s="17">
        <v>0.14000000000000001</v>
      </c>
      <c r="R23" s="17">
        <v>0.14000000000000001</v>
      </c>
      <c r="S23" s="17">
        <v>1</v>
      </c>
      <c r="T23" s="17"/>
      <c r="U23" s="17">
        <f t="shared" si="1"/>
        <v>0.72649652910676854</v>
      </c>
      <c r="V23" s="17">
        <v>1</v>
      </c>
      <c r="W23" s="9" t="s">
        <v>27</v>
      </c>
      <c r="X23" s="9">
        <f>INDEX('Unique Asset List'!$C$4:$I$60,MATCH('4'!$B23,'Unique Asset List'!$A$4:$A$60,0),MATCH('4'!$C$1,'Unique Asset List'!$C$3:$I$3,0))</f>
        <v>2026</v>
      </c>
      <c r="Y23" s="9">
        <f>INDEX('Unique Asset List'!$J$4:$P$60,MATCH('4'!$B23,'Unique Asset List'!$A$4:$A$60,0),MATCH('4'!$C$1,'Unique Asset List'!$J$3:$P$3,0))</f>
        <v>3</v>
      </c>
      <c r="Z23" s="9">
        <f>INDEX('Unique Asset List'!$X$4:$AD$60,MATCH('4'!$B23,'Unique Asset List'!$A$4:$A$60,0),MATCH('4'!$C$1,'Unique Asset List'!$X$3:$AD$3,0))</f>
        <v>2036</v>
      </c>
      <c r="AA23" s="9">
        <f>INDEX('Unique Asset List'!$AE$4:$AK$60,MATCH('4'!$B23,'Unique Asset List'!$A$4:$A$60,0),MATCH('4'!$C$1,'Unique Asset List'!$AE$3:$AK$3,0))</f>
        <v>3</v>
      </c>
      <c r="AB23" s="16">
        <f t="shared" si="2"/>
        <v>2.0119600000000002</v>
      </c>
      <c r="AC23" s="16">
        <f t="shared" si="3"/>
        <v>0.76203600000000005</v>
      </c>
      <c r="AD23" s="16">
        <f t="shared" si="4"/>
        <v>0.56099999999999994</v>
      </c>
      <c r="AE23" s="15">
        <f>INDEX('Unique Asset List'!$BN$4:$BT$60,MATCH('4'!$B23,'Unique Asset List'!$A$4:$A$60,0),MATCH('4'!$C$1,'Unique Asset List'!$BN$3:$BT$3,0))</f>
        <v>0.05</v>
      </c>
      <c r="AF23" s="15">
        <f>INDEX('Unique Asset List'!$BU$4:$CA$60,MATCH('4'!$B23,'Unique Asset List'!$A$4:$A$60,0),MATCH('4'!$C$1,'Unique Asset List'!$BU$3:$CA$3,0))</f>
        <v>0.45</v>
      </c>
      <c r="AG23" s="15">
        <f>INDEX('Unique Asset List'!$AZ$4:$BF$60,MATCH('4'!$B23,'Unique Asset List'!$A$4:$A$60,0),MATCH('4'!$C$1,'Unique Asset List'!$AZ$3:$BF$3,0))</f>
        <v>0.05</v>
      </c>
      <c r="AH23" s="15">
        <f>INDEX('Unique Asset List'!$BG$4:$BM$60,MATCH('4'!$B23,'Unique Asset List'!$A$4:$A$60,0),MATCH('4'!$C$1,'Unique Asset List'!$BG$3:$BM$3,0))</f>
        <v>0.45</v>
      </c>
      <c r="AI23" s="11">
        <v>0.96187963349867744</v>
      </c>
      <c r="AJ23" s="15">
        <f>INDEX('Unique Asset List'!$AL$4:$AR$60,MATCH('4'!$B23,'Unique Asset List'!$A$4:$A$60,0),MATCH('4'!$C$1,'Unique Asset List'!$AL$3:$AR$3,0))</f>
        <v>1.4542000570988298</v>
      </c>
      <c r="AK23" s="15">
        <f>INDEX('Unique Asset List'!$AS$4:$AY$60,MATCH('4'!$B23,'Unique Asset List'!$A$4:$A$60,0),MATCH('4'!$C$1,'Unique Asset List'!$AS$3:$AY$3,0))</f>
        <v>-0.4950056673809119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4">
        <f>IF($C$5="ON",BT23,MyRating(_E1,$B23,Efficacy!$F$1))</f>
        <v>4</v>
      </c>
      <c r="AU23" s="3">
        <f>IF($C$5="ON",BU23,MyRating(_E2,$B23,Efficacy!$F$1))</f>
        <v>4</v>
      </c>
      <c r="AV23" s="3">
        <f>IF($C$5="ON",BV23,MyRating(_E3,$B23,Efficacy!$F$1))</f>
        <v>4</v>
      </c>
      <c r="AW23" s="3">
        <f>IF($C$5="ON",BW23,MyRating(_E4,$B23,Efficacy!$F$1))</f>
        <v>3</v>
      </c>
      <c r="AX23" s="3">
        <f>IF($C$5="ON",BX23,MyRating(_E5,$B23,Efficacy!$F$1))</f>
        <v>3</v>
      </c>
      <c r="AY23" s="3">
        <f>IF($C$5="ON",BY23,MyRating(_E6,$B23,Efficacy!$F$1))</f>
        <v>2</v>
      </c>
      <c r="AZ23" s="3">
        <f>IF($C$5="ON",BZ23,MyRating(_E7,$B23,Efficacy!$F$1))</f>
        <v>3</v>
      </c>
      <c r="BA23" s="3">
        <f>IF($C$5="ON",CA23,MyRating(_E8,$B23,Efficacy!$F$1))</f>
        <v>5</v>
      </c>
      <c r="BB23" s="3">
        <f>IF($C$5="ON",CB23,MyRating(_S1,$B23,Efficacy!$F$1))</f>
        <v>2</v>
      </c>
      <c r="BC23" s="3">
        <f>IF($C$5="ON",CC23,MyRating(_S2,$B23,Efficacy!$F$1))</f>
        <v>3</v>
      </c>
      <c r="BD23" s="3">
        <f>IF($C$5="ON",CD23,MyRating(_S3,$B23,Efficacy!$F$1))</f>
        <v>3</v>
      </c>
      <c r="BE23" s="3">
        <f>IF($C$5="ON",CE23,MyRating(_S4,$B23,Efficacy!$F$1))</f>
        <v>3</v>
      </c>
      <c r="BF23" s="3">
        <f>IF($C$5="ON",CF23,MyRating(_S5,$B23,Efficacy!$F$1))</f>
        <v>5</v>
      </c>
      <c r="BG23" s="3">
        <f>IF($C$5="ON",CG23,MyRating(_S6,$B23,Efficacy!$F$1))</f>
        <v>2</v>
      </c>
      <c r="BH23" s="3">
        <f>IF($C$5="ON",CH23,MyRating(_S7,$B23,Efficacy!$F$1))</f>
        <v>3</v>
      </c>
      <c r="BI23" s="3">
        <f>IF($C$5="ON",CI23,MyRating(_D1,$B23,Efficacy!$F$1))</f>
        <v>3</v>
      </c>
      <c r="BJ23" s="3">
        <f>IF($C$5="ON",CJ23,MyRating(_D2,$B23,Efficacy!$F$1))</f>
        <v>3</v>
      </c>
      <c r="BK23" s="3">
        <f>IF($C$5="ON",CK23,MyRating(_D3,$B23,Efficacy!$F$1))</f>
        <v>3</v>
      </c>
      <c r="BL23" s="3">
        <f>IF($C$5="ON",CL23,MyRating(_D4,$B23,Efficacy!$F$1))</f>
        <v>3</v>
      </c>
      <c r="BM23" s="3">
        <f>IF($C$5="ON",CM23,MyRating(_B1G5,$B23,Barrier!$L$2))</f>
        <v>2</v>
      </c>
      <c r="BN23" s="3">
        <f>IF($C$5="ON",CN23,MyRating(_B2,$B23,Barrier!$F$2))</f>
        <v>3</v>
      </c>
      <c r="BO23" s="6">
        <f>IF($C$5="ON",CO23,MyRating(_B3,$B23,Barrier!$F$2))</f>
        <v>3</v>
      </c>
      <c r="BP23" s="5">
        <f t="shared" si="6"/>
        <v>3.6275844714639842E-2</v>
      </c>
      <c r="BQ23" s="8">
        <f t="shared" si="7"/>
        <v>2.9499999999999997</v>
      </c>
      <c r="BR23" s="5">
        <f t="shared" si="8"/>
        <v>3.60415394013439E-2</v>
      </c>
      <c r="BS23" s="7">
        <f t="shared" si="9"/>
        <v>1.8542316878791175E-2</v>
      </c>
      <c r="BT23" s="4">
        <v>4</v>
      </c>
      <c r="BU23" s="3">
        <v>4</v>
      </c>
      <c r="BV23" s="3">
        <v>4</v>
      </c>
      <c r="BW23" s="3">
        <v>3</v>
      </c>
      <c r="BX23" s="3">
        <v>3</v>
      </c>
      <c r="BY23" s="3">
        <v>2</v>
      </c>
      <c r="BZ23" s="3">
        <v>3</v>
      </c>
      <c r="CA23" s="3">
        <v>5</v>
      </c>
      <c r="CB23" s="3">
        <v>2</v>
      </c>
      <c r="CC23" s="3">
        <v>3</v>
      </c>
      <c r="CD23" s="3">
        <v>3</v>
      </c>
      <c r="CE23" s="3">
        <v>3</v>
      </c>
      <c r="CF23" s="3">
        <v>5</v>
      </c>
      <c r="CG23" s="3">
        <v>2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2</v>
      </c>
      <c r="CN23" s="3">
        <v>3</v>
      </c>
      <c r="CO23" s="6">
        <v>3</v>
      </c>
      <c r="CP23" s="5">
        <v>3.6275844714639842E-2</v>
      </c>
    </row>
    <row r="24" spans="1:94" x14ac:dyDescent="0.35">
      <c r="A24" s="9" t="str">
        <f t="shared" si="0"/>
        <v>UK</v>
      </c>
      <c r="B24" s="9" t="s">
        <v>17</v>
      </c>
      <c r="C24" s="20"/>
      <c r="D24" s="9" t="s">
        <v>2</v>
      </c>
      <c r="E24" s="9" t="s">
        <v>193</v>
      </c>
      <c r="F24" s="9" t="s">
        <v>51</v>
      </c>
      <c r="G24" s="19">
        <v>0</v>
      </c>
      <c r="H24" s="9">
        <v>2014</v>
      </c>
      <c r="I24" s="9">
        <v>6</v>
      </c>
      <c r="J24" s="18">
        <f>INDEX(PTRS!$D$6:$D$12,MATCH('4'!$F24,PTRS!$B$6:$B$12,0))</f>
        <v>0.1638</v>
      </c>
      <c r="K24" s="17">
        <v>0</v>
      </c>
      <c r="L24" s="17">
        <v>0.1638</v>
      </c>
      <c r="M24" s="17">
        <v>0.25</v>
      </c>
      <c r="N24" s="17">
        <v>0.25</v>
      </c>
      <c r="O24" s="17">
        <v>0.25</v>
      </c>
      <c r="P24" s="17">
        <v>0.1638</v>
      </c>
      <c r="Q24" s="17">
        <v>0.1638</v>
      </c>
      <c r="R24" s="17">
        <v>0.1638</v>
      </c>
      <c r="S24" s="17">
        <v>1</v>
      </c>
      <c r="T24" s="17"/>
      <c r="U24" s="17">
        <f t="shared" si="1"/>
        <v>0.72649652910676854</v>
      </c>
      <c r="V24" s="17">
        <v>1</v>
      </c>
      <c r="W24" s="9" t="s">
        <v>16</v>
      </c>
      <c r="X24" s="9">
        <f>INDEX('Unique Asset List'!$C$4:$I$60,MATCH('4'!$B24,'Unique Asset List'!$A$4:$A$60,0),MATCH('4'!$C$1,'Unique Asset List'!$C$3:$I$3,0))</f>
        <v>2027</v>
      </c>
      <c r="Y24" s="9">
        <f>INDEX('Unique Asset List'!$J$4:$P$60,MATCH('4'!$B24,'Unique Asset List'!$A$4:$A$60,0),MATCH('4'!$C$1,'Unique Asset List'!$J$3:$P$3,0))</f>
        <v>0.99999999999909051</v>
      </c>
      <c r="Z24" s="9">
        <f>INDEX('Unique Asset List'!$X$4:$AD$60,MATCH('4'!$B24,'Unique Asset List'!$A$4:$A$60,0),MATCH('4'!$C$1,'Unique Asset List'!$X$3:$AD$3,0))</f>
        <v>2035</v>
      </c>
      <c r="AA24" s="9">
        <f>INDEX('Unique Asset List'!$AE$4:$AK$60,MATCH('4'!$B24,'Unique Asset List'!$A$4:$A$60,0),MATCH('4'!$C$1,'Unique Asset List'!$AE$3:$AK$3,0))</f>
        <v>8</v>
      </c>
      <c r="AB24" s="16">
        <f t="shared" si="2"/>
        <v>1.7951404000000002</v>
      </c>
      <c r="AC24" s="16">
        <f t="shared" si="3"/>
        <v>0.88497580000000009</v>
      </c>
      <c r="AD24" s="16">
        <f t="shared" si="4"/>
        <v>0.56099999999999994</v>
      </c>
      <c r="AE24" s="15">
        <f>INDEX('Unique Asset List'!$BN$4:$BT$60,MATCH('4'!$B24,'Unique Asset List'!$A$4:$A$60,0),MATCH('4'!$C$1,'Unique Asset List'!$BN$3:$BT$3,0))</f>
        <v>0.05</v>
      </c>
      <c r="AF24" s="15">
        <f>INDEX('Unique Asset List'!$BU$4:$CA$60,MATCH('4'!$B24,'Unique Asset List'!$A$4:$A$60,0),MATCH('4'!$C$1,'Unique Asset List'!$BU$3:$CA$3,0))</f>
        <v>0.45</v>
      </c>
      <c r="AG24" s="15">
        <f>INDEX('Unique Asset List'!$AZ$4:$BF$60,MATCH('4'!$B24,'Unique Asset List'!$A$4:$A$60,0),MATCH('4'!$C$1,'Unique Asset List'!$AZ$3:$BF$3,0))</f>
        <v>0.05</v>
      </c>
      <c r="AH24" s="15">
        <f>INDEX('Unique Asset List'!$BG$4:$BM$60,MATCH('4'!$B24,'Unique Asset List'!$A$4:$A$60,0),MATCH('4'!$C$1,'Unique Asset List'!$BG$3:$BM$3,0))</f>
        <v>0.45</v>
      </c>
      <c r="AI24" s="11">
        <v>0.96187963349867744</v>
      </c>
      <c r="AJ24" s="15">
        <f>INDEX('Unique Asset List'!$AL$4:$AR$60,MATCH('4'!$B24,'Unique Asset List'!$A$4:$A$60,0),MATCH('4'!$C$1,'Unique Asset List'!$AL$3:$AR$3,0))</f>
        <v>1.4542000570988298</v>
      </c>
      <c r="AK24" s="15">
        <f>INDEX('Unique Asset List'!$AS$4:$AY$60,MATCH('4'!$B24,'Unique Asset List'!$A$4:$A$60,0),MATCH('4'!$C$1,'Unique Asset List'!$AS$3:$AY$3,0))</f>
        <v>-0.4950056673809119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4">
        <f>IF($C$5="ON",BT24,MyRating(_E1,$B24,Efficacy!$F$1))</f>
        <v>4</v>
      </c>
      <c r="AU24" s="3">
        <f>IF($C$5="ON",BU24,MyRating(_E2,$B24,Efficacy!$F$1))</f>
        <v>3</v>
      </c>
      <c r="AV24" s="3">
        <f>IF($C$5="ON",BV24,MyRating(_E3,$B24,Efficacy!$F$1))</f>
        <v>3</v>
      </c>
      <c r="AW24" s="3">
        <f>IF($C$5="ON",BW24,MyRating(_E4,$B24,Efficacy!$F$1))</f>
        <v>4</v>
      </c>
      <c r="AX24" s="3">
        <f>IF($C$5="ON",BX24,MyRating(_E5,$B24,Efficacy!$F$1))</f>
        <v>3</v>
      </c>
      <c r="AY24" s="3">
        <f>IF($C$5="ON",BY24,MyRating(_E6,$B24,Efficacy!$F$1))</f>
        <v>2</v>
      </c>
      <c r="AZ24" s="3">
        <f>IF($C$5="ON",BZ24,MyRating(_E7,$B24,Efficacy!$F$1))</f>
        <v>3</v>
      </c>
      <c r="BA24" s="3">
        <f>IF($C$5="ON",CA24,MyRating(_E8,$B24,Efficacy!$F$1))</f>
        <v>3</v>
      </c>
      <c r="BB24" s="3">
        <f>IF($C$5="ON",CB24,MyRating(_S1,$B24,Efficacy!$F$1))</f>
        <v>4</v>
      </c>
      <c r="BC24" s="3">
        <f>IF($C$5="ON",CC24,MyRating(_S2,$B24,Efficacy!$F$1))</f>
        <v>3</v>
      </c>
      <c r="BD24" s="3">
        <f>IF($C$5="ON",CD24,MyRating(_S3,$B24,Efficacy!$F$1))</f>
        <v>3</v>
      </c>
      <c r="BE24" s="3">
        <f>IF($C$5="ON",CE24,MyRating(_S4,$B24,Efficacy!$F$1))</f>
        <v>3</v>
      </c>
      <c r="BF24" s="3">
        <f>IF($C$5="ON",CF24,MyRating(_S5,$B24,Efficacy!$F$1))</f>
        <v>5</v>
      </c>
      <c r="BG24" s="3">
        <f>IF($C$5="ON",CG24,MyRating(_S6,$B24,Efficacy!$F$1))</f>
        <v>2</v>
      </c>
      <c r="BH24" s="3">
        <f>IF($C$5="ON",CH24,MyRating(_S7,$B24,Efficacy!$F$1))</f>
        <v>3</v>
      </c>
      <c r="BI24" s="3">
        <f>IF($C$5="ON",CI24,MyRating(_D1,$B24,Efficacy!$F$1))</f>
        <v>3</v>
      </c>
      <c r="BJ24" s="3">
        <f>IF($C$5="ON",CJ24,MyRating(_D2,$B24,Efficacy!$F$1))</f>
        <v>3</v>
      </c>
      <c r="BK24" s="3">
        <f>IF($C$5="ON",CK24,MyRating(_D3,$B24,Efficacy!$F$1))</f>
        <v>3</v>
      </c>
      <c r="BL24" s="3">
        <f>IF($C$5="ON",CL24,MyRating(_D4,$B24,Efficacy!$F$1))</f>
        <v>3</v>
      </c>
      <c r="BM24" s="3">
        <f>IF($C$5="ON",CM24,MyRating(_B1G5,$B24,Barrier!$L$2))</f>
        <v>2</v>
      </c>
      <c r="BN24" s="3">
        <f>IF($C$5="ON",CN24,MyRating(_B2,$B24,Barrier!$F$2))</f>
        <v>3</v>
      </c>
      <c r="BO24" s="6">
        <f>IF($C$5="ON",CO24,MyRating(_B3,$B24,Barrier!$F$2))</f>
        <v>3</v>
      </c>
      <c r="BP24" s="5">
        <f t="shared" si="6"/>
        <v>3.6275844714639842E-2</v>
      </c>
      <c r="BQ24" s="8">
        <f t="shared" si="7"/>
        <v>2.9499999999999997</v>
      </c>
      <c r="BR24" s="5">
        <f t="shared" si="8"/>
        <v>3.60415394013439E-2</v>
      </c>
      <c r="BS24" s="7">
        <f t="shared" si="9"/>
        <v>1.8542316878791175E-2</v>
      </c>
      <c r="BT24" s="4">
        <v>4</v>
      </c>
      <c r="BU24" s="3">
        <v>3</v>
      </c>
      <c r="BV24" s="3">
        <v>3</v>
      </c>
      <c r="BW24" s="3">
        <v>4</v>
      </c>
      <c r="BX24" s="3">
        <v>3</v>
      </c>
      <c r="BY24" s="3">
        <v>2</v>
      </c>
      <c r="BZ24" s="3">
        <v>3</v>
      </c>
      <c r="CA24" s="3">
        <v>3</v>
      </c>
      <c r="CB24" s="3">
        <v>4</v>
      </c>
      <c r="CC24" s="3">
        <v>3</v>
      </c>
      <c r="CD24" s="3">
        <v>3</v>
      </c>
      <c r="CE24" s="3">
        <v>3</v>
      </c>
      <c r="CF24" s="3">
        <v>5</v>
      </c>
      <c r="CG24" s="3">
        <v>2</v>
      </c>
      <c r="CH24" s="3">
        <v>3</v>
      </c>
      <c r="CI24" s="3">
        <v>3</v>
      </c>
      <c r="CJ24" s="3">
        <v>3</v>
      </c>
      <c r="CK24" s="3">
        <v>3</v>
      </c>
      <c r="CL24" s="3">
        <v>3</v>
      </c>
      <c r="CM24" s="3">
        <v>2</v>
      </c>
      <c r="CN24" s="3">
        <v>3</v>
      </c>
      <c r="CO24" s="6">
        <v>3</v>
      </c>
      <c r="CP24" s="5">
        <v>3.6275844714639842E-2</v>
      </c>
    </row>
    <row r="25" spans="1:94" x14ac:dyDescent="0.35">
      <c r="A25" s="9" t="str">
        <f t="shared" si="0"/>
        <v>UK</v>
      </c>
      <c r="B25" s="9" t="s">
        <v>21</v>
      </c>
      <c r="C25" s="20"/>
      <c r="D25" s="9" t="s">
        <v>2</v>
      </c>
      <c r="E25" s="9" t="s">
        <v>193</v>
      </c>
      <c r="F25" s="9" t="s">
        <v>51</v>
      </c>
      <c r="G25" s="19">
        <v>0</v>
      </c>
      <c r="H25" s="9">
        <v>2014</v>
      </c>
      <c r="I25" s="9">
        <v>6</v>
      </c>
      <c r="J25" s="18">
        <f>INDEX(PTRS!$D$6:$D$12,MATCH('4'!$F25,PTRS!$B$6:$B$12,0))</f>
        <v>0.1638</v>
      </c>
      <c r="K25" s="17">
        <v>0</v>
      </c>
      <c r="L25" s="17">
        <v>0.1638</v>
      </c>
      <c r="M25" s="17">
        <v>0.1638</v>
      </c>
      <c r="N25" s="17">
        <v>0.12</v>
      </c>
      <c r="O25" s="17">
        <v>0.12</v>
      </c>
      <c r="P25" s="17">
        <v>0.1638</v>
      </c>
      <c r="Q25" s="17">
        <v>1</v>
      </c>
      <c r="R25" s="17">
        <v>1</v>
      </c>
      <c r="S25" s="17">
        <v>1</v>
      </c>
      <c r="T25" s="17"/>
      <c r="U25" s="17">
        <f t="shared" si="1"/>
        <v>0.72649652910676854</v>
      </c>
      <c r="V25" s="17">
        <v>1</v>
      </c>
      <c r="W25" s="9" t="s">
        <v>20</v>
      </c>
      <c r="X25" s="9">
        <f>INDEX('Unique Asset List'!$C$4:$I$60,MATCH('4'!$B25,'Unique Asset List'!$A$4:$A$60,0),MATCH('4'!$C$1,'Unique Asset List'!$C$3:$I$3,0))</f>
        <v>2026</v>
      </c>
      <c r="Y25" s="9">
        <f>INDEX('Unique Asset List'!$J$4:$P$60,MATCH('4'!$B25,'Unique Asset List'!$A$4:$A$60,0),MATCH('4'!$C$1,'Unique Asset List'!$J$3:$P$3,0))</f>
        <v>3</v>
      </c>
      <c r="Z25" s="9">
        <f>INDEX('Unique Asset List'!$X$4:$AD$60,MATCH('4'!$B25,'Unique Asset List'!$A$4:$A$60,0),MATCH('4'!$C$1,'Unique Asset List'!$X$3:$AD$3,0))</f>
        <v>2036</v>
      </c>
      <c r="AA25" s="9">
        <f>INDEX('Unique Asset List'!$AE$4:$AK$60,MATCH('4'!$B25,'Unique Asset List'!$A$4:$A$60,0),MATCH('4'!$C$1,'Unique Asset List'!$AE$3:$AK$3,0))</f>
        <v>3</v>
      </c>
      <c r="AB25" s="16">
        <f t="shared" si="2"/>
        <v>1.6822346000000001</v>
      </c>
      <c r="AC25" s="16">
        <f t="shared" si="3"/>
        <v>0.86278740000000009</v>
      </c>
      <c r="AD25" s="16">
        <f t="shared" si="4"/>
        <v>0.56099999999999994</v>
      </c>
      <c r="AE25" s="15">
        <f>INDEX('Unique Asset List'!$BN$4:$BT$60,MATCH('4'!$B25,'Unique Asset List'!$A$4:$A$60,0),MATCH('4'!$C$1,'Unique Asset List'!$BN$3:$BT$3,0))</f>
        <v>0.05</v>
      </c>
      <c r="AF25" s="15">
        <f>INDEX('Unique Asset List'!$BU$4:$CA$60,MATCH('4'!$B25,'Unique Asset List'!$A$4:$A$60,0),MATCH('4'!$C$1,'Unique Asset List'!$BU$3:$CA$3,0))</f>
        <v>0.45</v>
      </c>
      <c r="AG25" s="15">
        <f>INDEX('Unique Asset List'!$AZ$4:$BF$60,MATCH('4'!$B25,'Unique Asset List'!$A$4:$A$60,0),MATCH('4'!$C$1,'Unique Asset List'!$AZ$3:$BF$3,0))</f>
        <v>0.05</v>
      </c>
      <c r="AH25" s="15">
        <f>INDEX('Unique Asset List'!$BG$4:$BM$60,MATCH('4'!$B25,'Unique Asset List'!$A$4:$A$60,0),MATCH('4'!$C$1,'Unique Asset List'!$BG$3:$BM$3,0))</f>
        <v>0.45</v>
      </c>
      <c r="AI25" s="11">
        <v>0.96187963349867744</v>
      </c>
      <c r="AJ25" s="15">
        <f>INDEX('Unique Asset List'!$AL$4:$AR$60,MATCH('4'!$B25,'Unique Asset List'!$A$4:$A$60,0),MATCH('4'!$C$1,'Unique Asset List'!$AL$3:$AR$3,0))</f>
        <v>1.4542000570988298</v>
      </c>
      <c r="AK25" s="15">
        <f>INDEX('Unique Asset List'!$AS$4:$AY$60,MATCH('4'!$B25,'Unique Asset List'!$A$4:$A$60,0),MATCH('4'!$C$1,'Unique Asset List'!$AS$3:$AY$3,0))</f>
        <v>-0.4950056673809119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4">
        <f>IF($C$5="ON",BT25,MyRating(_E1,$B25,Efficacy!$F$1))</f>
        <v>3</v>
      </c>
      <c r="AU25" s="3">
        <f>IF($C$5="ON",BU25,MyRating(_E2,$B25,Efficacy!$F$1))</f>
        <v>3</v>
      </c>
      <c r="AV25" s="3">
        <f>IF($C$5="ON",BV25,MyRating(_E3,$B25,Efficacy!$F$1))</f>
        <v>3</v>
      </c>
      <c r="AW25" s="3">
        <f>IF($C$5="ON",BW25,MyRating(_E4,$B25,Efficacy!$F$1))</f>
        <v>3</v>
      </c>
      <c r="AX25" s="3">
        <f>IF($C$5="ON",BX25,MyRating(_E5,$B25,Efficacy!$F$1))</f>
        <v>3</v>
      </c>
      <c r="AY25" s="3">
        <f>IF($C$5="ON",BY25,MyRating(_E6,$B25,Efficacy!$F$1))</f>
        <v>4</v>
      </c>
      <c r="AZ25" s="3">
        <f>IF($C$5="ON",BZ25,MyRating(_E7,$B25,Efficacy!$F$1))</f>
        <v>3</v>
      </c>
      <c r="BA25" s="3">
        <f>IF($C$5="ON",CA25,MyRating(_E8,$B25,Efficacy!$F$1))</f>
        <v>2</v>
      </c>
      <c r="BB25" s="3">
        <f>IF($C$5="ON",CB25,MyRating(_S1,$B25,Efficacy!$F$1))</f>
        <v>3</v>
      </c>
      <c r="BC25" s="3">
        <f>IF($C$5="ON",CC25,MyRating(_S2,$B25,Efficacy!$F$1))</f>
        <v>4</v>
      </c>
      <c r="BD25" s="3">
        <f>IF($C$5="ON",CD25,MyRating(_S3,$B25,Efficacy!$F$1))</f>
        <v>2</v>
      </c>
      <c r="BE25" s="3">
        <f>IF($C$5="ON",CE25,MyRating(_S4,$B25,Efficacy!$F$1))</f>
        <v>5</v>
      </c>
      <c r="BF25" s="3">
        <f>IF($C$5="ON",CF25,MyRating(_S5,$B25,Efficacy!$F$1))</f>
        <v>4</v>
      </c>
      <c r="BG25" s="3">
        <f>IF($C$5="ON",CG25,MyRating(_S6,$B25,Efficacy!$F$1))</f>
        <v>3</v>
      </c>
      <c r="BH25" s="3">
        <f>IF($C$5="ON",CH25,MyRating(_S7,$B25,Efficacy!$F$1))</f>
        <v>3</v>
      </c>
      <c r="BI25" s="3">
        <f>IF($C$5="ON",CI25,MyRating(_D1,$B25,Efficacy!$F$1))</f>
        <v>3</v>
      </c>
      <c r="BJ25" s="3">
        <f>IF($C$5="ON",CJ25,MyRating(_D2,$B25,Efficacy!$F$1))</f>
        <v>3</v>
      </c>
      <c r="BK25" s="3">
        <f>IF($C$5="ON",CK25,MyRating(_D3,$B25,Efficacy!$F$1))</f>
        <v>3</v>
      </c>
      <c r="BL25" s="3">
        <f>IF($C$5="ON",CL25,MyRating(_D4,$B25,Efficacy!$F$1))</f>
        <v>3</v>
      </c>
      <c r="BM25" s="3">
        <f>IF($C$5="ON",CM25,MyRating(_B1G5,$B25,Barrier!$L$2))</f>
        <v>2</v>
      </c>
      <c r="BN25" s="3">
        <f>IF($C$5="ON",CN25,MyRating(_B2,$B25,Barrier!$F$2))</f>
        <v>3</v>
      </c>
      <c r="BO25" s="6">
        <f>IF($C$5="ON",CO25,MyRating(_B3,$B25,Barrier!$F$2))</f>
        <v>3</v>
      </c>
      <c r="BP25" s="5">
        <f t="shared" si="6"/>
        <v>3.6275844714639842E-2</v>
      </c>
      <c r="BQ25" s="8">
        <f t="shared" si="7"/>
        <v>2.9499999999999997</v>
      </c>
      <c r="BR25" s="5">
        <f t="shared" si="8"/>
        <v>3.60415394013439E-2</v>
      </c>
      <c r="BS25" s="7">
        <f t="shared" si="9"/>
        <v>1.8542316878791175E-2</v>
      </c>
      <c r="BT25" s="4">
        <v>3</v>
      </c>
      <c r="BU25" s="3">
        <v>3</v>
      </c>
      <c r="BV25" s="3">
        <v>3</v>
      </c>
      <c r="BW25" s="3">
        <v>3</v>
      </c>
      <c r="BX25" s="3">
        <v>3</v>
      </c>
      <c r="BY25" s="3">
        <v>4</v>
      </c>
      <c r="BZ25" s="3">
        <v>3</v>
      </c>
      <c r="CA25" s="3">
        <v>2</v>
      </c>
      <c r="CB25" s="3">
        <v>3</v>
      </c>
      <c r="CC25" s="3">
        <v>4</v>
      </c>
      <c r="CD25" s="3">
        <v>2</v>
      </c>
      <c r="CE25" s="3">
        <v>5</v>
      </c>
      <c r="CF25" s="3">
        <v>4</v>
      </c>
      <c r="CG25" s="3">
        <v>3</v>
      </c>
      <c r="CH25" s="3">
        <v>3</v>
      </c>
      <c r="CI25" s="3">
        <v>3</v>
      </c>
      <c r="CJ25" s="3">
        <v>3</v>
      </c>
      <c r="CK25" s="3">
        <v>3</v>
      </c>
      <c r="CL25" s="3">
        <v>3</v>
      </c>
      <c r="CM25" s="3">
        <v>2</v>
      </c>
      <c r="CN25" s="3">
        <v>3</v>
      </c>
      <c r="CO25" s="6">
        <v>3</v>
      </c>
      <c r="CP25" s="5">
        <v>3.6275844714639842E-2</v>
      </c>
    </row>
    <row r="26" spans="1:94" x14ac:dyDescent="0.35">
      <c r="A26" s="9" t="str">
        <f t="shared" si="0"/>
        <v>UK</v>
      </c>
      <c r="B26" s="9" t="s">
        <v>72</v>
      </c>
      <c r="C26" s="20"/>
      <c r="D26" s="9" t="s">
        <v>2</v>
      </c>
      <c r="E26" s="9" t="s">
        <v>193</v>
      </c>
      <c r="F26" s="9" t="s">
        <v>51</v>
      </c>
      <c r="G26" s="19">
        <v>0</v>
      </c>
      <c r="H26" s="9">
        <v>2014</v>
      </c>
      <c r="I26" s="9">
        <v>6</v>
      </c>
      <c r="J26" s="18">
        <f>INDEX(PTRS!$D$6:$D$12,MATCH('4'!$F26,PTRS!$B$6:$B$12,0))</f>
        <v>0.1638</v>
      </c>
      <c r="K26" s="17">
        <v>0</v>
      </c>
      <c r="L26" s="17">
        <v>0.1638</v>
      </c>
      <c r="M26" s="17">
        <v>0.1638</v>
      </c>
      <c r="N26" s="17">
        <v>0.1638</v>
      </c>
      <c r="O26" s="17">
        <v>0.1638</v>
      </c>
      <c r="P26" s="17">
        <v>0.1638</v>
      </c>
      <c r="Q26" s="17">
        <v>1</v>
      </c>
      <c r="R26" s="17">
        <v>1</v>
      </c>
      <c r="S26" s="17">
        <v>1</v>
      </c>
      <c r="T26" s="17"/>
      <c r="U26" s="17">
        <f t="shared" si="1"/>
        <v>1</v>
      </c>
      <c r="V26" s="17">
        <v>1</v>
      </c>
      <c r="W26" s="9" t="s">
        <v>71</v>
      </c>
      <c r="X26" s="9">
        <f>INDEX('Unique Asset List'!$C$4:$I$60,MATCH('4'!$B26,'Unique Asset List'!$A$4:$A$60,0),MATCH('4'!$C$1,'Unique Asset List'!$C$3:$I$3,0))</f>
        <v>2026</v>
      </c>
      <c r="Y26" s="9">
        <f>INDEX('Unique Asset List'!$J$4:$P$60,MATCH('4'!$B26,'Unique Asset List'!$A$4:$A$60,0),MATCH('4'!$C$1,'Unique Asset List'!$J$3:$P$3,0))</f>
        <v>8.0000000000009095</v>
      </c>
      <c r="Z26" s="9">
        <f>INDEX('Unique Asset List'!$X$4:$AD$60,MATCH('4'!$B26,'Unique Asset List'!$A$4:$A$60,0),MATCH('4'!$C$1,'Unique Asset List'!$X$3:$AD$3,0))</f>
        <v>2037</v>
      </c>
      <c r="AA26" s="9">
        <f>INDEX('Unique Asset List'!$AE$4:$AK$60,MATCH('4'!$B26,'Unique Asset List'!$A$4:$A$60,0),MATCH('4'!$C$1,'Unique Asset List'!$AE$3:$AK$3,0))</f>
        <v>6</v>
      </c>
      <c r="AB26" s="16">
        <f t="shared" si="2"/>
        <v>1.849261</v>
      </c>
      <c r="AC26" s="16">
        <f t="shared" si="3"/>
        <v>0.94988439999999996</v>
      </c>
      <c r="AD26" s="16">
        <f t="shared" si="4"/>
        <v>0.41402720413999994</v>
      </c>
      <c r="AE26" s="15">
        <f>INDEX('Unique Asset List'!$BN$4:$BT$60,MATCH('4'!$B26,'Unique Asset List'!$A$4:$A$60,0),MATCH('4'!$C$1,'Unique Asset List'!$BN$3:$BT$3,0))</f>
        <v>0.06</v>
      </c>
      <c r="AF26" s="15">
        <f>INDEX('Unique Asset List'!$BU$4:$CA$60,MATCH('4'!$B26,'Unique Asset List'!$A$4:$A$60,0),MATCH('4'!$C$1,'Unique Asset List'!$BU$3:$CA$3,0))</f>
        <v>0.45</v>
      </c>
      <c r="AG26" s="15">
        <f>INDEX('Unique Asset List'!$AZ$4:$BF$60,MATCH('4'!$B26,'Unique Asset List'!$A$4:$A$60,0),MATCH('4'!$C$1,'Unique Asset List'!$AZ$3:$BF$3,0))</f>
        <v>0.06</v>
      </c>
      <c r="AH26" s="15">
        <f>INDEX('Unique Asset List'!$BG$4:$BM$60,MATCH('4'!$B26,'Unique Asset List'!$A$4:$A$60,0),MATCH('4'!$C$1,'Unique Asset List'!$BG$3:$BM$3,0))</f>
        <v>0.45</v>
      </c>
      <c r="AI26" s="11">
        <v>0.96187963349867744</v>
      </c>
      <c r="AJ26" s="15">
        <f>INDEX('Unique Asset List'!$AL$4:$AR$60,MATCH('4'!$B26,'Unique Asset List'!$A$4:$A$60,0),MATCH('4'!$C$1,'Unique Asset List'!$AL$3:$AR$3,0))</f>
        <v>1.4542000570988298</v>
      </c>
      <c r="AK26" s="15">
        <f>INDEX('Unique Asset List'!$AS$4:$AY$60,MATCH('4'!$B26,'Unique Asset List'!$A$4:$A$60,0),MATCH('4'!$C$1,'Unique Asset List'!$AS$3:$AY$3,0))</f>
        <v>-0.4950056673809119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4">
        <f>IF($C$5="ON",BT26,MyRating(_E1,$B26,Efficacy!$F$1))</f>
        <v>5</v>
      </c>
      <c r="AU26" s="3">
        <f>IF($C$5="ON",BU26,MyRating(_E2,$B26,Efficacy!$F$1))</f>
        <v>4</v>
      </c>
      <c r="AV26" s="3">
        <f>IF($C$5="ON",BV26,MyRating(_E3,$B26,Efficacy!$F$1))</f>
        <v>4</v>
      </c>
      <c r="AW26" s="3">
        <f>IF($C$5="ON",BW26,MyRating(_E4,$B26,Efficacy!$F$1))</f>
        <v>3</v>
      </c>
      <c r="AX26" s="3">
        <f>IF($C$5="ON",BX26,MyRating(_E5,$B26,Efficacy!$F$1))</f>
        <v>3</v>
      </c>
      <c r="AY26" s="3">
        <f>IF($C$5="ON",BY26,MyRating(_E6,$B26,Efficacy!$F$1))</f>
        <v>2</v>
      </c>
      <c r="AZ26" s="3">
        <f>IF($C$5="ON",BZ26,MyRating(_E7,$B26,Efficacy!$F$1))</f>
        <v>3</v>
      </c>
      <c r="BA26" s="3">
        <f>IF($C$5="ON",CA26,MyRating(_E8,$B26,Efficacy!$F$1))</f>
        <v>1</v>
      </c>
      <c r="BB26" s="3">
        <f>IF($C$5="ON",CB26,MyRating(_S1,$B26,Efficacy!$F$1))</f>
        <v>3</v>
      </c>
      <c r="BC26" s="3">
        <f>IF($C$5="ON",CC26,MyRating(_S2,$B26,Efficacy!$F$1))</f>
        <v>4</v>
      </c>
      <c r="BD26" s="3">
        <f>IF($C$5="ON",CD26,MyRating(_S3,$B26,Efficacy!$F$1))</f>
        <v>3</v>
      </c>
      <c r="BE26" s="3">
        <f>IF($C$5="ON",CE26,MyRating(_S4,$B26,Efficacy!$F$1))</f>
        <v>5</v>
      </c>
      <c r="BF26" s="3">
        <f>IF($C$5="ON",CF26,MyRating(_S5,$B26,Efficacy!$F$1))</f>
        <v>5</v>
      </c>
      <c r="BG26" s="3">
        <f>IF($C$5="ON",CG26,MyRating(_S6,$B26,Efficacy!$F$1))</f>
        <v>2</v>
      </c>
      <c r="BH26" s="3">
        <f>IF($C$5="ON",CH26,MyRating(_S7,$B26,Efficacy!$F$1))</f>
        <v>4</v>
      </c>
      <c r="BI26" s="3">
        <f>IF($C$5="ON",CI26,MyRating(_D1,$B26,Efficacy!$F$1))</f>
        <v>2</v>
      </c>
      <c r="BJ26" s="3">
        <f>IF($C$5="ON",CJ26,MyRating(_D2,$B26,Efficacy!$F$1))</f>
        <v>3</v>
      </c>
      <c r="BK26" s="3">
        <f>IF($C$5="ON",CK26,MyRating(_D3,$B26,Efficacy!$F$1))</f>
        <v>2</v>
      </c>
      <c r="BL26" s="3">
        <f>IF($C$5="ON",CL26,MyRating(_D4,$B26,Efficacy!$F$1))</f>
        <v>2</v>
      </c>
      <c r="BM26" s="3">
        <f>IF($C$5="ON",CM26,MyRating(_B1G5,$B26,Barrier!$L$2))</f>
        <v>1</v>
      </c>
      <c r="BN26" s="3">
        <f>IF($C$5="ON",CN26,MyRating(_B2,$B26,Barrier!$F$2))</f>
        <v>3</v>
      </c>
      <c r="BO26" s="6">
        <f>IF($C$5="ON",CO26,MyRating(_B3,$B26,Barrier!$F$2))</f>
        <v>5</v>
      </c>
      <c r="BP26" s="5">
        <f t="shared" si="6"/>
        <v>4.9932578149053504E-2</v>
      </c>
      <c r="BQ26" s="8">
        <f t="shared" si="7"/>
        <v>3.8499999999999996</v>
      </c>
      <c r="BR26" s="5">
        <f t="shared" si="8"/>
        <v>4.7037263286499667E-2</v>
      </c>
      <c r="BS26" s="7">
        <f t="shared" si="9"/>
        <v>2.5522925624419785E-2</v>
      </c>
      <c r="BT26" s="4">
        <v>5</v>
      </c>
      <c r="BU26" s="3">
        <v>4</v>
      </c>
      <c r="BV26" s="3">
        <v>4</v>
      </c>
      <c r="BW26" s="3">
        <v>3</v>
      </c>
      <c r="BX26" s="3">
        <v>3</v>
      </c>
      <c r="BY26" s="3">
        <v>2</v>
      </c>
      <c r="BZ26" s="3">
        <v>3</v>
      </c>
      <c r="CA26" s="3">
        <v>1</v>
      </c>
      <c r="CB26" s="3">
        <v>3</v>
      </c>
      <c r="CC26" s="3">
        <v>4</v>
      </c>
      <c r="CD26" s="3">
        <v>3</v>
      </c>
      <c r="CE26" s="3">
        <v>5</v>
      </c>
      <c r="CF26" s="3">
        <v>5</v>
      </c>
      <c r="CG26" s="3">
        <v>2</v>
      </c>
      <c r="CH26" s="3">
        <v>4</v>
      </c>
      <c r="CI26" s="3">
        <v>2</v>
      </c>
      <c r="CJ26" s="3">
        <v>3</v>
      </c>
      <c r="CK26" s="3">
        <v>2</v>
      </c>
      <c r="CL26" s="3">
        <v>2</v>
      </c>
      <c r="CM26" s="3">
        <v>1</v>
      </c>
      <c r="CN26" s="3">
        <v>3</v>
      </c>
      <c r="CO26" s="6">
        <v>5</v>
      </c>
      <c r="CP26" s="5">
        <v>4.9932578149053504E-2</v>
      </c>
    </row>
    <row r="27" spans="1:94" x14ac:dyDescent="0.35">
      <c r="A27" s="9" t="str">
        <f t="shared" si="0"/>
        <v>UK</v>
      </c>
      <c r="B27" s="9" t="s">
        <v>31</v>
      </c>
      <c r="C27" s="20"/>
      <c r="D27" s="9" t="s">
        <v>2</v>
      </c>
      <c r="E27" s="9" t="s">
        <v>193</v>
      </c>
      <c r="F27" s="9" t="s">
        <v>58</v>
      </c>
      <c r="G27" s="19">
        <v>0</v>
      </c>
      <c r="H27" s="9">
        <v>2014</v>
      </c>
      <c r="I27" s="9">
        <v>6</v>
      </c>
      <c r="J27" s="18">
        <f>INDEX(PTRS!$D$6:$D$12,MATCH('4'!$F27,PTRS!$B$6:$B$12,0))</f>
        <v>0.13923000000000002</v>
      </c>
      <c r="K27" s="17">
        <v>0</v>
      </c>
      <c r="L27" s="17">
        <v>0.1044225</v>
      </c>
      <c r="M27" s="17">
        <v>0.13923000000000002</v>
      </c>
      <c r="N27" s="17">
        <v>0.14000000000000001</v>
      </c>
      <c r="O27" s="17">
        <v>0.14000000000000001</v>
      </c>
      <c r="P27" s="17">
        <v>0.1044225</v>
      </c>
      <c r="Q27" s="17">
        <v>0.1044225</v>
      </c>
      <c r="R27" s="17">
        <v>0.1044225</v>
      </c>
      <c r="S27" s="17">
        <v>1</v>
      </c>
      <c r="T27" s="17"/>
      <c r="U27" s="17">
        <f t="shared" si="1"/>
        <v>0.72649652910676854</v>
      </c>
      <c r="V27" s="17">
        <v>1</v>
      </c>
      <c r="W27" s="9" t="s">
        <v>31</v>
      </c>
      <c r="X27" s="9">
        <f>INDEX('Unique Asset List'!$C$4:$I$60,MATCH('4'!$B27,'Unique Asset List'!$A$4:$A$60,0),MATCH('4'!$C$1,'Unique Asset List'!$C$3:$I$3,0))</f>
        <v>2028</v>
      </c>
      <c r="Y27" s="9">
        <f>INDEX('Unique Asset List'!$J$4:$P$60,MATCH('4'!$B27,'Unique Asset List'!$A$4:$A$60,0),MATCH('4'!$C$1,'Unique Asset List'!$J$3:$P$3,0))</f>
        <v>2.0000000000009095</v>
      </c>
      <c r="Z27" s="9">
        <f>INDEX('Unique Asset List'!$X$4:$AD$60,MATCH('4'!$B27,'Unique Asset List'!$A$4:$A$60,0),MATCH('4'!$C$1,'Unique Asset List'!$X$3:$AD$3,0))</f>
        <v>2037</v>
      </c>
      <c r="AA27" s="9">
        <f>INDEX('Unique Asset List'!$AE$4:$AK$60,MATCH('4'!$B27,'Unique Asset List'!$A$4:$A$60,0),MATCH('4'!$C$1,'Unique Asset List'!$AE$3:$AK$3,0))</f>
        <v>2</v>
      </c>
      <c r="AB27" s="16">
        <f t="shared" si="2"/>
        <v>2.1250906000000005</v>
      </c>
      <c r="AC27" s="16">
        <f t="shared" si="3"/>
        <v>0.97325250000000008</v>
      </c>
      <c r="AD27" s="16">
        <f t="shared" si="4"/>
        <v>0.56099999999999994</v>
      </c>
      <c r="AE27" s="15">
        <f>INDEX('Unique Asset List'!$BN$4:$BT$60,MATCH('4'!$B27,'Unique Asset List'!$A$4:$A$60,0),MATCH('4'!$C$1,'Unique Asset List'!$BN$3:$BT$3,0))</f>
        <v>0.05</v>
      </c>
      <c r="AF27" s="15">
        <f>INDEX('Unique Asset List'!$BU$4:$CA$60,MATCH('4'!$B27,'Unique Asset List'!$A$4:$A$60,0),MATCH('4'!$C$1,'Unique Asset List'!$BU$3:$CA$3,0))</f>
        <v>0.45</v>
      </c>
      <c r="AG27" s="15">
        <f>INDEX('Unique Asset List'!$AZ$4:$BF$60,MATCH('4'!$B27,'Unique Asset List'!$A$4:$A$60,0),MATCH('4'!$C$1,'Unique Asset List'!$AZ$3:$BF$3,0))</f>
        <v>0.05</v>
      </c>
      <c r="AH27" s="15">
        <f>INDEX('Unique Asset List'!$BG$4:$BM$60,MATCH('4'!$B27,'Unique Asset List'!$A$4:$A$60,0),MATCH('4'!$C$1,'Unique Asset List'!$BG$3:$BM$3,0))</f>
        <v>0.45</v>
      </c>
      <c r="AI27" s="11">
        <v>0.96187963349867744</v>
      </c>
      <c r="AJ27" s="15">
        <f>INDEX('Unique Asset List'!$AL$4:$AR$60,MATCH('4'!$B27,'Unique Asset List'!$A$4:$A$60,0),MATCH('4'!$C$1,'Unique Asset List'!$AL$3:$AR$3,0))</f>
        <v>1.4542000570988298</v>
      </c>
      <c r="AK27" s="15">
        <f>INDEX('Unique Asset List'!$AS$4:$AY$60,MATCH('4'!$B27,'Unique Asset List'!$A$4:$A$60,0),MATCH('4'!$C$1,'Unique Asset List'!$AS$3:$AY$3,0))</f>
        <v>-0.4950056673809119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4">
        <f>IF($C$5="ON",BT27,MyRating(_E1,$B27,Efficacy!$F$1))</f>
        <v>4</v>
      </c>
      <c r="AU27" s="3">
        <f>IF($C$5="ON",BU27,MyRating(_E2,$B27,Efficacy!$F$1))</f>
        <v>4</v>
      </c>
      <c r="AV27" s="3">
        <f>IF($C$5="ON",BV27,MyRating(_E3,$B27,Efficacy!$F$1))</f>
        <v>4</v>
      </c>
      <c r="AW27" s="3">
        <f>IF($C$5="ON",BW27,MyRating(_E4,$B27,Efficacy!$F$1))</f>
        <v>4</v>
      </c>
      <c r="AX27" s="3">
        <f>IF($C$5="ON",BX27,MyRating(_E5,$B27,Efficacy!$F$1))</f>
        <v>3</v>
      </c>
      <c r="AY27" s="3">
        <f>IF($C$5="ON",BY27,MyRating(_E6,$B27,Efficacy!$F$1))</f>
        <v>4</v>
      </c>
      <c r="AZ27" s="3">
        <f>IF($C$5="ON",BZ27,MyRating(_E7,$B27,Efficacy!$F$1))</f>
        <v>4</v>
      </c>
      <c r="BA27" s="3">
        <f>IF($C$5="ON",CA27,MyRating(_E8,$B27,Efficacy!$F$1))</f>
        <v>3</v>
      </c>
      <c r="BB27" s="3">
        <f>IF($C$5="ON",CB27,MyRating(_S1,$B27,Efficacy!$F$1))</f>
        <v>4</v>
      </c>
      <c r="BC27" s="3">
        <f>IF($C$5="ON",CC27,MyRating(_S2,$B27,Efficacy!$F$1))</f>
        <v>3</v>
      </c>
      <c r="BD27" s="3">
        <f>IF($C$5="ON",CD27,MyRating(_S3,$B27,Efficacy!$F$1))</f>
        <v>3</v>
      </c>
      <c r="BE27" s="3">
        <f>IF($C$5="ON",CE27,MyRating(_S4,$B27,Efficacy!$F$1))</f>
        <v>4</v>
      </c>
      <c r="BF27" s="3">
        <f>IF($C$5="ON",CF27,MyRating(_S5,$B27,Efficacy!$F$1))</f>
        <v>5</v>
      </c>
      <c r="BG27" s="3">
        <f>IF($C$5="ON",CG27,MyRating(_S6,$B27,Efficacy!$F$1))</f>
        <v>3</v>
      </c>
      <c r="BH27" s="3">
        <f>IF($C$5="ON",CH27,MyRating(_S7,$B27,Efficacy!$F$1))</f>
        <v>4</v>
      </c>
      <c r="BI27" s="3">
        <f>IF($C$5="ON",CI27,MyRating(_D1,$B27,Efficacy!$F$1))</f>
        <v>3</v>
      </c>
      <c r="BJ27" s="3">
        <f>IF($C$5="ON",CJ27,MyRating(_D2,$B27,Efficacy!$F$1))</f>
        <v>3</v>
      </c>
      <c r="BK27" s="3">
        <f>IF($C$5="ON",CK27,MyRating(_D3,$B27,Efficacy!$F$1))</f>
        <v>3</v>
      </c>
      <c r="BL27" s="3">
        <f>IF($C$5="ON",CL27,MyRating(_D4,$B27,Efficacy!$F$1))</f>
        <v>3</v>
      </c>
      <c r="BM27" s="3">
        <f>IF($C$5="ON",CM27,MyRating(_B1G5,$B27,Barrier!$L$2))</f>
        <v>2</v>
      </c>
      <c r="BN27" s="3">
        <f>IF($C$5="ON",CN27,MyRating(_B2,$B27,Barrier!$F$2))</f>
        <v>3</v>
      </c>
      <c r="BO27" s="6">
        <f>IF($C$5="ON",CO27,MyRating(_B3,$B27,Barrier!$F$2))</f>
        <v>3</v>
      </c>
      <c r="BP27" s="5">
        <f t="shared" si="6"/>
        <v>3.6275844714639842E-2</v>
      </c>
      <c r="BQ27" s="8">
        <f t="shared" si="7"/>
        <v>2.9499999999999997</v>
      </c>
      <c r="BR27" s="5">
        <f t="shared" si="8"/>
        <v>3.60415394013439E-2</v>
      </c>
      <c r="BS27" s="7">
        <f t="shared" si="9"/>
        <v>1.8542316878791175E-2</v>
      </c>
      <c r="BT27" s="4">
        <v>4</v>
      </c>
      <c r="BU27" s="3">
        <v>4</v>
      </c>
      <c r="BV27" s="3">
        <v>4</v>
      </c>
      <c r="BW27" s="3">
        <v>4</v>
      </c>
      <c r="BX27" s="3">
        <v>3</v>
      </c>
      <c r="BY27" s="3">
        <v>4</v>
      </c>
      <c r="BZ27" s="3">
        <v>4</v>
      </c>
      <c r="CA27" s="3">
        <v>3</v>
      </c>
      <c r="CB27" s="3">
        <v>4</v>
      </c>
      <c r="CC27" s="3">
        <v>3</v>
      </c>
      <c r="CD27" s="3">
        <v>3</v>
      </c>
      <c r="CE27" s="3">
        <v>4</v>
      </c>
      <c r="CF27" s="3">
        <v>5</v>
      </c>
      <c r="CG27" s="3">
        <v>3</v>
      </c>
      <c r="CH27" s="3">
        <v>4</v>
      </c>
      <c r="CI27" s="3">
        <v>3</v>
      </c>
      <c r="CJ27" s="3">
        <v>3</v>
      </c>
      <c r="CK27" s="3">
        <v>3</v>
      </c>
      <c r="CL27" s="3">
        <v>3</v>
      </c>
      <c r="CM27" s="3">
        <v>2</v>
      </c>
      <c r="CN27" s="3">
        <v>3</v>
      </c>
      <c r="CO27" s="6">
        <v>3</v>
      </c>
      <c r="CP27" s="5">
        <v>3.6275844714639842E-2</v>
      </c>
    </row>
    <row r="28" spans="1:94" x14ac:dyDescent="0.35">
      <c r="A28" s="9" t="str">
        <f t="shared" si="0"/>
        <v>UK</v>
      </c>
      <c r="B28" s="9" t="s">
        <v>35</v>
      </c>
      <c r="C28" s="20"/>
      <c r="D28" s="9" t="s">
        <v>2</v>
      </c>
      <c r="E28" s="9" t="s">
        <v>193</v>
      </c>
      <c r="F28" s="9" t="s">
        <v>58</v>
      </c>
      <c r="G28" s="19">
        <v>0</v>
      </c>
      <c r="H28" s="9">
        <v>2014</v>
      </c>
      <c r="I28" s="9">
        <v>6</v>
      </c>
      <c r="J28" s="18">
        <f>INDEX(PTRS!$D$6:$D$12,MATCH('4'!$F28,PTRS!$B$6:$B$12,0))</f>
        <v>0.13923000000000002</v>
      </c>
      <c r="K28" s="17">
        <v>0</v>
      </c>
      <c r="L28" s="17">
        <v>0.1044225</v>
      </c>
      <c r="M28" s="17">
        <v>0.13923000000000002</v>
      </c>
      <c r="N28" s="17">
        <v>0.14000000000000001</v>
      </c>
      <c r="O28" s="17">
        <v>0.14000000000000001</v>
      </c>
      <c r="P28" s="17">
        <v>0.1044225</v>
      </c>
      <c r="Q28" s="17">
        <v>0.1044225</v>
      </c>
      <c r="R28" s="17">
        <v>0.1044225</v>
      </c>
      <c r="S28" s="17">
        <v>1</v>
      </c>
      <c r="T28" s="17"/>
      <c r="U28" s="17">
        <f t="shared" si="1"/>
        <v>0.72649652910676854</v>
      </c>
      <c r="V28" s="17">
        <v>1</v>
      </c>
      <c r="W28" s="9" t="s">
        <v>35</v>
      </c>
      <c r="X28" s="9">
        <f>INDEX('Unique Asset List'!$C$4:$I$60,MATCH('4'!$B28,'Unique Asset List'!$A$4:$A$60,0),MATCH('4'!$C$1,'Unique Asset List'!$C$3:$I$3,0))</f>
        <v>2028</v>
      </c>
      <c r="Y28" s="9">
        <f>INDEX('Unique Asset List'!$J$4:$P$60,MATCH('4'!$B28,'Unique Asset List'!$A$4:$A$60,0),MATCH('4'!$C$1,'Unique Asset List'!$J$3:$P$3,0))</f>
        <v>3.9999999999990905</v>
      </c>
      <c r="Z28" s="9">
        <f>INDEX('Unique Asset List'!$X$4:$AD$60,MATCH('4'!$B28,'Unique Asset List'!$A$4:$A$60,0),MATCH('4'!$C$1,'Unique Asset List'!$X$3:$AD$3,0))</f>
        <v>2038</v>
      </c>
      <c r="AA28" s="9">
        <f>INDEX('Unique Asset List'!$AE$4:$AK$60,MATCH('4'!$B28,'Unique Asset List'!$A$4:$A$60,0),MATCH('4'!$C$1,'Unique Asset List'!$AE$3:$AK$3,0))</f>
        <v>2</v>
      </c>
      <c r="AB28" s="16">
        <f t="shared" si="2"/>
        <v>2.0908086000000004</v>
      </c>
      <c r="AC28" s="16">
        <f t="shared" si="3"/>
        <v>0.97325250000000008</v>
      </c>
      <c r="AD28" s="16">
        <f t="shared" si="4"/>
        <v>0.56099999999999994</v>
      </c>
      <c r="AE28" s="15">
        <f>INDEX('Unique Asset List'!$BN$4:$BT$60,MATCH('4'!$B28,'Unique Asset List'!$A$4:$A$60,0),MATCH('4'!$C$1,'Unique Asset List'!$BN$3:$BT$3,0))</f>
        <v>0.05</v>
      </c>
      <c r="AF28" s="15">
        <f>INDEX('Unique Asset List'!$BU$4:$CA$60,MATCH('4'!$B28,'Unique Asset List'!$A$4:$A$60,0),MATCH('4'!$C$1,'Unique Asset List'!$BU$3:$CA$3,0))</f>
        <v>0.45</v>
      </c>
      <c r="AG28" s="15">
        <f>INDEX('Unique Asset List'!$AZ$4:$BF$60,MATCH('4'!$B28,'Unique Asset List'!$A$4:$A$60,0),MATCH('4'!$C$1,'Unique Asset List'!$AZ$3:$BF$3,0))</f>
        <v>0.05</v>
      </c>
      <c r="AH28" s="15">
        <f>INDEX('Unique Asset List'!$BG$4:$BM$60,MATCH('4'!$B28,'Unique Asset List'!$A$4:$A$60,0),MATCH('4'!$C$1,'Unique Asset List'!$BG$3:$BM$3,0))</f>
        <v>0.45</v>
      </c>
      <c r="AI28" s="11">
        <v>0.96187963349867744</v>
      </c>
      <c r="AJ28" s="15">
        <f>INDEX('Unique Asset List'!$AL$4:$AR$60,MATCH('4'!$B28,'Unique Asset List'!$A$4:$A$60,0),MATCH('4'!$C$1,'Unique Asset List'!$AL$3:$AR$3,0))</f>
        <v>1.4542000570988298</v>
      </c>
      <c r="AK28" s="15">
        <f>INDEX('Unique Asset List'!$AS$4:$AY$60,MATCH('4'!$B28,'Unique Asset List'!$A$4:$A$60,0),MATCH('4'!$C$1,'Unique Asset List'!$AS$3:$AY$3,0))</f>
        <v>-0.4950056673809119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4">
        <f>IF($C$5="ON",BT28,MyRating(_E1,$B28,Efficacy!$F$1))</f>
        <v>4</v>
      </c>
      <c r="AU28" s="3">
        <f>IF($C$5="ON",BU28,MyRating(_E2,$B28,Efficacy!$F$1))</f>
        <v>4</v>
      </c>
      <c r="AV28" s="3">
        <f>IF($C$5="ON",BV28,MyRating(_E3,$B28,Efficacy!$F$1))</f>
        <v>4</v>
      </c>
      <c r="AW28" s="3">
        <f>IF($C$5="ON",BW28,MyRating(_E4,$B28,Efficacy!$F$1))</f>
        <v>4</v>
      </c>
      <c r="AX28" s="3">
        <f>IF($C$5="ON",BX28,MyRating(_E5,$B28,Efficacy!$F$1))</f>
        <v>3</v>
      </c>
      <c r="AY28" s="3">
        <f>IF($C$5="ON",BY28,MyRating(_E6,$B28,Efficacy!$F$1))</f>
        <v>3</v>
      </c>
      <c r="AZ28" s="3">
        <f>IF($C$5="ON",BZ28,MyRating(_E7,$B28,Efficacy!$F$1))</f>
        <v>3</v>
      </c>
      <c r="BA28" s="3">
        <f>IF($C$5="ON",CA28,MyRating(_E8,$B28,Efficacy!$F$1))</f>
        <v>4</v>
      </c>
      <c r="BB28" s="3">
        <f>IF($C$5="ON",CB28,MyRating(_S1,$B28,Efficacy!$F$1))</f>
        <v>4</v>
      </c>
      <c r="BC28" s="3">
        <f>IF($C$5="ON",CC28,MyRating(_S2,$B28,Efficacy!$F$1))</f>
        <v>3</v>
      </c>
      <c r="BD28" s="3">
        <f>IF($C$5="ON",CD28,MyRating(_S3,$B28,Efficacy!$F$1))</f>
        <v>3</v>
      </c>
      <c r="BE28" s="3">
        <f>IF($C$5="ON",CE28,MyRating(_S4,$B28,Efficacy!$F$1))</f>
        <v>4</v>
      </c>
      <c r="BF28" s="3">
        <f>IF($C$5="ON",CF28,MyRating(_S5,$B28,Efficacy!$F$1))</f>
        <v>5</v>
      </c>
      <c r="BG28" s="3">
        <f>IF($C$5="ON",CG28,MyRating(_S6,$B28,Efficacy!$F$1))</f>
        <v>3</v>
      </c>
      <c r="BH28" s="3">
        <f>IF($C$5="ON",CH28,MyRating(_S7,$B28,Efficacy!$F$1))</f>
        <v>4</v>
      </c>
      <c r="BI28" s="3">
        <f>IF($C$5="ON",CI28,MyRating(_D1,$B28,Efficacy!$F$1))</f>
        <v>3</v>
      </c>
      <c r="BJ28" s="3">
        <f>IF($C$5="ON",CJ28,MyRating(_D2,$B28,Efficacy!$F$1))</f>
        <v>3</v>
      </c>
      <c r="BK28" s="3">
        <f>IF($C$5="ON",CK28,MyRating(_D3,$B28,Efficacy!$F$1))</f>
        <v>3</v>
      </c>
      <c r="BL28" s="3">
        <f>IF($C$5="ON",CL28,MyRating(_D4,$B28,Efficacy!$F$1))</f>
        <v>3</v>
      </c>
      <c r="BM28" s="3">
        <f>IF($C$5="ON",CM28,MyRating(_B1G5,$B28,Barrier!$L$2))</f>
        <v>2</v>
      </c>
      <c r="BN28" s="3">
        <f>IF($C$5="ON",CN28,MyRating(_B2,$B28,Barrier!$F$2))</f>
        <v>3</v>
      </c>
      <c r="BO28" s="6">
        <f>IF($C$5="ON",CO28,MyRating(_B3,$B28,Barrier!$F$2))</f>
        <v>3</v>
      </c>
      <c r="BP28" s="5">
        <f t="shared" si="6"/>
        <v>3.6275844714639842E-2</v>
      </c>
      <c r="BQ28" s="8">
        <f t="shared" si="7"/>
        <v>2.9499999999999997</v>
      </c>
      <c r="BR28" s="5">
        <f t="shared" si="8"/>
        <v>3.60415394013439E-2</v>
      </c>
      <c r="BS28" s="7">
        <f t="shared" si="9"/>
        <v>1.8542316878791175E-2</v>
      </c>
      <c r="BT28" s="4">
        <v>4</v>
      </c>
      <c r="BU28" s="3">
        <v>4</v>
      </c>
      <c r="BV28" s="3">
        <v>4</v>
      </c>
      <c r="BW28" s="3">
        <v>4</v>
      </c>
      <c r="BX28" s="3">
        <v>3</v>
      </c>
      <c r="BY28" s="3">
        <v>3</v>
      </c>
      <c r="BZ28" s="3">
        <v>3</v>
      </c>
      <c r="CA28" s="3">
        <v>4</v>
      </c>
      <c r="CB28" s="3">
        <v>4</v>
      </c>
      <c r="CC28" s="3">
        <v>3</v>
      </c>
      <c r="CD28" s="3">
        <v>3</v>
      </c>
      <c r="CE28" s="3">
        <v>4</v>
      </c>
      <c r="CF28" s="3">
        <v>5</v>
      </c>
      <c r="CG28" s="3">
        <v>3</v>
      </c>
      <c r="CH28" s="3">
        <v>4</v>
      </c>
      <c r="CI28" s="3">
        <v>3</v>
      </c>
      <c r="CJ28" s="3">
        <v>3</v>
      </c>
      <c r="CK28" s="3">
        <v>3</v>
      </c>
      <c r="CL28" s="3">
        <v>3</v>
      </c>
      <c r="CM28" s="3">
        <v>2</v>
      </c>
      <c r="CN28" s="3">
        <v>3</v>
      </c>
      <c r="CO28" s="6">
        <v>3</v>
      </c>
      <c r="CP28" s="5">
        <v>3.6275844714639842E-2</v>
      </c>
    </row>
    <row r="29" spans="1:94" x14ac:dyDescent="0.35">
      <c r="A29" s="9" t="str">
        <f t="shared" si="0"/>
        <v>UK</v>
      </c>
      <c r="B29" s="9" t="s">
        <v>70</v>
      </c>
      <c r="C29" s="20"/>
      <c r="D29" s="9" t="s">
        <v>64</v>
      </c>
      <c r="E29" s="9" t="s">
        <v>193</v>
      </c>
      <c r="F29" s="9" t="s">
        <v>58</v>
      </c>
      <c r="G29" s="19">
        <v>0</v>
      </c>
      <c r="H29" s="9">
        <v>2014</v>
      </c>
      <c r="I29" s="9">
        <v>6</v>
      </c>
      <c r="J29" s="18">
        <f>INDEX(PTRS!$D$6:$D$12,MATCH('4'!$F29,PTRS!$B$6:$B$12,0))</f>
        <v>0.13923000000000002</v>
      </c>
      <c r="K29" s="17">
        <v>0</v>
      </c>
      <c r="L29" s="17">
        <v>0.13923000000000002</v>
      </c>
      <c r="M29" s="17">
        <v>0.13923000000000002</v>
      </c>
      <c r="N29" s="17">
        <v>0.13923000000000002</v>
      </c>
      <c r="O29" s="17">
        <v>0.13923000000000002</v>
      </c>
      <c r="P29" s="17">
        <v>0.13923000000000002</v>
      </c>
      <c r="Q29" s="17">
        <v>0.14000000000000001</v>
      </c>
      <c r="R29" s="17">
        <v>0.14000000000000001</v>
      </c>
      <c r="S29" s="17">
        <v>1</v>
      </c>
      <c r="T29" s="17"/>
      <c r="U29" s="17">
        <f t="shared" si="1"/>
        <v>0.72649652910676854</v>
      </c>
      <c r="V29" s="17">
        <v>1</v>
      </c>
      <c r="W29" s="9" t="s">
        <v>62</v>
      </c>
      <c r="X29" s="9">
        <f>INDEX('Unique Asset List'!$C$4:$I$60,MATCH('4'!$B29,'Unique Asset List'!$A$4:$A$60,0),MATCH('4'!$C$1,'Unique Asset List'!$C$3:$I$3,0))</f>
        <v>2026</v>
      </c>
      <c r="Y29" s="9">
        <f>INDEX('Unique Asset List'!$J$4:$P$60,MATCH('4'!$B29,'Unique Asset List'!$A$4:$A$60,0),MATCH('4'!$C$1,'Unique Asset List'!$J$3:$P$3,0))</f>
        <v>3</v>
      </c>
      <c r="Z29" s="9">
        <f>INDEX('Unique Asset List'!$X$4:$AD$60,MATCH('4'!$B29,'Unique Asset List'!$A$4:$A$60,0),MATCH('4'!$C$1,'Unique Asset List'!$X$3:$AD$3,0))</f>
        <v>2037</v>
      </c>
      <c r="AA29" s="9">
        <f>INDEX('Unique Asset List'!$AE$4:$AK$60,MATCH('4'!$B29,'Unique Asset List'!$A$4:$A$60,0),MATCH('4'!$C$1,'Unique Asset List'!$AE$3:$AK$3,0))</f>
        <v>3</v>
      </c>
      <c r="AB29" s="16">
        <f t="shared" si="2"/>
        <v>1.6860000000000002</v>
      </c>
      <c r="AC29" s="16">
        <f t="shared" si="3"/>
        <v>0.98141</v>
      </c>
      <c r="AD29" s="16">
        <f t="shared" si="4"/>
        <v>0.50129594525999999</v>
      </c>
      <c r="AE29" s="15">
        <f>INDEX('Unique Asset List'!$BN$4:$BT$60,MATCH('4'!$B29,'Unique Asset List'!$A$4:$A$60,0),MATCH('4'!$C$1,'Unique Asset List'!$BN$3:$BT$3,0))</f>
        <v>0.06</v>
      </c>
      <c r="AF29" s="15">
        <f>INDEX('Unique Asset List'!$BU$4:$CA$60,MATCH('4'!$B29,'Unique Asset List'!$A$4:$A$60,0),MATCH('4'!$C$1,'Unique Asset List'!$BU$3:$CA$3,0))</f>
        <v>0.45</v>
      </c>
      <c r="AG29" s="15">
        <f>INDEX('Unique Asset List'!$AZ$4:$BF$60,MATCH('4'!$B29,'Unique Asset List'!$A$4:$A$60,0),MATCH('4'!$C$1,'Unique Asset List'!$AZ$3:$BF$3,0))</f>
        <v>0.06</v>
      </c>
      <c r="AH29" s="15">
        <f>INDEX('Unique Asset List'!$BG$4:$BM$60,MATCH('4'!$B29,'Unique Asset List'!$A$4:$A$60,0),MATCH('4'!$C$1,'Unique Asset List'!$BG$3:$BM$3,0))</f>
        <v>0.45</v>
      </c>
      <c r="AI29" s="11">
        <v>0.96187963349867744</v>
      </c>
      <c r="AJ29" s="15">
        <f>INDEX('Unique Asset List'!$AL$4:$AR$60,MATCH('4'!$B29,'Unique Asset List'!$A$4:$A$60,0),MATCH('4'!$C$1,'Unique Asset List'!$AL$3:$AR$3,0))</f>
        <v>1.4542000570988298</v>
      </c>
      <c r="AK29" s="15">
        <f>INDEX('Unique Asset List'!$AS$4:$AY$60,MATCH('4'!$B29,'Unique Asset List'!$A$4:$A$60,0),MATCH('4'!$C$1,'Unique Asset List'!$AS$3:$AY$3,0))</f>
        <v>-0.4950056673809119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4">
        <f>IF($C$5="ON",BT29,MyRating(_E1,$B29,Efficacy!$F$1))</f>
        <v>3</v>
      </c>
      <c r="AU29" s="3">
        <f>IF($C$5="ON",BU29,MyRating(_E2,$B29,Efficacy!$F$1))</f>
        <v>3</v>
      </c>
      <c r="AV29" s="3">
        <f>IF($C$5="ON",BV29,MyRating(_E3,$B29,Efficacy!$F$1))</f>
        <v>3</v>
      </c>
      <c r="AW29" s="3">
        <f>IF($C$5="ON",BW29,MyRating(_E4,$B29,Efficacy!$F$1))</f>
        <v>3</v>
      </c>
      <c r="AX29" s="3">
        <f>IF($C$5="ON",BX29,MyRating(_E5,$B29,Efficacy!$F$1))</f>
        <v>3</v>
      </c>
      <c r="AY29" s="3">
        <f>IF($C$5="ON",BY29,MyRating(_E6,$B29,Efficacy!$F$1))</f>
        <v>3</v>
      </c>
      <c r="AZ29" s="3">
        <f>IF($C$5="ON",BZ29,MyRating(_E7,$B29,Efficacy!$F$1))</f>
        <v>3</v>
      </c>
      <c r="BA29" s="3">
        <f>IF($C$5="ON",CA29,MyRating(_E8,$B29,Efficacy!$F$1))</f>
        <v>3</v>
      </c>
      <c r="BB29" s="3">
        <f>IF($C$5="ON",CB29,MyRating(_S1,$B29,Efficacy!$F$1))</f>
        <v>5</v>
      </c>
      <c r="BC29" s="3">
        <f>IF($C$5="ON",CC29,MyRating(_S2,$B29,Efficacy!$F$1))</f>
        <v>3</v>
      </c>
      <c r="BD29" s="3">
        <f>IF($C$5="ON",CD29,MyRating(_S3,$B29,Efficacy!$F$1))</f>
        <v>3</v>
      </c>
      <c r="BE29" s="3">
        <f>IF($C$5="ON",CE29,MyRating(_S4,$B29,Efficacy!$F$1))</f>
        <v>4</v>
      </c>
      <c r="BF29" s="3">
        <f>IF($C$5="ON",CF29,MyRating(_S5,$B29,Efficacy!$F$1))</f>
        <v>5</v>
      </c>
      <c r="BG29" s="3">
        <f>IF($C$5="ON",CG29,MyRating(_S6,$B29,Efficacy!$F$1))</f>
        <v>2</v>
      </c>
      <c r="BH29" s="3">
        <f>IF($C$5="ON",CH29,MyRating(_S7,$B29,Efficacy!$F$1))</f>
        <v>3</v>
      </c>
      <c r="BI29" s="3">
        <f>IF($C$5="ON",CI29,MyRating(_D1,$B29,Efficacy!$F$1))</f>
        <v>2</v>
      </c>
      <c r="BJ29" s="3">
        <f>IF($C$5="ON",CJ29,MyRating(_D2,$B29,Efficacy!$F$1))</f>
        <v>3</v>
      </c>
      <c r="BK29" s="3">
        <f>IF($C$5="ON",CK29,MyRating(_D3,$B29,Efficacy!$F$1))</f>
        <v>3</v>
      </c>
      <c r="BL29" s="3">
        <f>IF($C$5="ON",CL29,MyRating(_D4,$B29,Efficacy!$F$1))</f>
        <v>3</v>
      </c>
      <c r="BM29" s="3">
        <f>IF($C$5="ON",CM29,MyRating(_B1G5,$B29,Barrier!$L$2))</f>
        <v>2</v>
      </c>
      <c r="BN29" s="3">
        <f>IF($C$5="ON",CN29,MyRating(_B2,$B29,Barrier!$F$2))</f>
        <v>3</v>
      </c>
      <c r="BO29" s="6">
        <f>IF($C$5="ON",CO29,MyRating(_B3,$B29,Barrier!$F$2))</f>
        <v>3</v>
      </c>
      <c r="BP29" s="5">
        <f t="shared" si="6"/>
        <v>3.6275844714639842E-2</v>
      </c>
      <c r="BQ29" s="8">
        <f t="shared" si="7"/>
        <v>2.9499999999999997</v>
      </c>
      <c r="BR29" s="5">
        <f t="shared" si="8"/>
        <v>3.60415394013439E-2</v>
      </c>
      <c r="BS29" s="7">
        <f t="shared" si="9"/>
        <v>1.8542316878791175E-2</v>
      </c>
      <c r="BT29" s="4">
        <v>3</v>
      </c>
      <c r="BU29" s="3">
        <v>3</v>
      </c>
      <c r="BV29" s="3">
        <v>3</v>
      </c>
      <c r="BW29" s="3">
        <v>3</v>
      </c>
      <c r="BX29" s="3">
        <v>3</v>
      </c>
      <c r="BY29" s="3">
        <v>3</v>
      </c>
      <c r="BZ29" s="3">
        <v>3</v>
      </c>
      <c r="CA29" s="3">
        <v>3</v>
      </c>
      <c r="CB29" s="3">
        <v>5</v>
      </c>
      <c r="CC29" s="3">
        <v>3</v>
      </c>
      <c r="CD29" s="3">
        <v>3</v>
      </c>
      <c r="CE29" s="3">
        <v>4</v>
      </c>
      <c r="CF29" s="3">
        <v>5</v>
      </c>
      <c r="CG29" s="3">
        <v>2</v>
      </c>
      <c r="CH29" s="3">
        <v>3</v>
      </c>
      <c r="CI29" s="3">
        <v>2</v>
      </c>
      <c r="CJ29" s="3">
        <v>3</v>
      </c>
      <c r="CK29" s="3">
        <v>3</v>
      </c>
      <c r="CL29" s="3">
        <v>3</v>
      </c>
      <c r="CM29" s="3">
        <v>2</v>
      </c>
      <c r="CN29" s="3">
        <v>3</v>
      </c>
      <c r="CO29" s="6">
        <v>3</v>
      </c>
      <c r="CP29" s="5">
        <v>3.6275844714639842E-2</v>
      </c>
    </row>
    <row r="30" spans="1:94" x14ac:dyDescent="0.35">
      <c r="A30" s="9" t="str">
        <f t="shared" si="0"/>
        <v>UK</v>
      </c>
      <c r="B30" s="9" t="s">
        <v>24</v>
      </c>
      <c r="C30" s="20"/>
      <c r="D30" s="9" t="s">
        <v>2</v>
      </c>
      <c r="E30" s="9" t="s">
        <v>193</v>
      </c>
      <c r="F30" s="9" t="s">
        <v>58</v>
      </c>
      <c r="G30" s="19">
        <v>0</v>
      </c>
      <c r="H30" s="9">
        <v>2014</v>
      </c>
      <c r="I30" s="9">
        <v>6</v>
      </c>
      <c r="J30" s="18">
        <f>INDEX(PTRS!$D$6:$D$12,MATCH('4'!$F30,PTRS!$B$6:$B$12,0))</f>
        <v>0.13923000000000002</v>
      </c>
      <c r="K30" s="17">
        <v>0</v>
      </c>
      <c r="L30" s="17">
        <v>0.1044225</v>
      </c>
      <c r="M30" s="17">
        <v>0.13923000000000002</v>
      </c>
      <c r="N30" s="17">
        <v>0.1</v>
      </c>
      <c r="O30" s="17">
        <v>0.1</v>
      </c>
      <c r="P30" s="17">
        <v>0.1044225</v>
      </c>
      <c r="Q30" s="17">
        <v>1</v>
      </c>
      <c r="R30" s="17">
        <v>1</v>
      </c>
      <c r="S30" s="17">
        <v>1</v>
      </c>
      <c r="T30" s="17"/>
      <c r="U30" s="17">
        <f t="shared" si="1"/>
        <v>0.72649652910676854</v>
      </c>
      <c r="V30" s="17">
        <v>1</v>
      </c>
      <c r="W30" s="9" t="s">
        <v>24</v>
      </c>
      <c r="X30" s="9">
        <f>INDEX('Unique Asset List'!$C$4:$I$60,MATCH('4'!$B30,'Unique Asset List'!$A$4:$A$60,0),MATCH('4'!$C$1,'Unique Asset List'!$C$3:$I$3,0))</f>
        <v>2026</v>
      </c>
      <c r="Y30" s="9">
        <f>INDEX('Unique Asset List'!$J$4:$P$60,MATCH('4'!$B30,'Unique Asset List'!$A$4:$A$60,0),MATCH('4'!$C$1,'Unique Asset List'!$J$3:$P$3,0))</f>
        <v>6</v>
      </c>
      <c r="Z30" s="9">
        <f>INDEX('Unique Asset List'!$X$4:$AD$60,MATCH('4'!$B30,'Unique Asset List'!$A$4:$A$60,0),MATCH('4'!$C$1,'Unique Asset List'!$X$3:$AD$3,0))</f>
        <v>2037</v>
      </c>
      <c r="AA30" s="9">
        <f>INDEX('Unique Asset List'!$AE$4:$AK$60,MATCH('4'!$B30,'Unique Asset List'!$A$4:$A$60,0),MATCH('4'!$C$1,'Unique Asset List'!$AE$3:$AK$3,0))</f>
        <v>2</v>
      </c>
      <c r="AB30" s="16">
        <f t="shared" si="2"/>
        <v>2.3276916000000001</v>
      </c>
      <c r="AC30" s="16">
        <f t="shared" si="3"/>
        <v>1.0028454</v>
      </c>
      <c r="AD30" s="16">
        <f t="shared" si="4"/>
        <v>0.56099999999999994</v>
      </c>
      <c r="AE30" s="15">
        <f>INDEX('Unique Asset List'!$BN$4:$BT$60,MATCH('4'!$B30,'Unique Asset List'!$A$4:$A$60,0),MATCH('4'!$C$1,'Unique Asset List'!$BN$3:$BT$3,0))</f>
        <v>0.05</v>
      </c>
      <c r="AF30" s="15">
        <f>INDEX('Unique Asset List'!$BU$4:$CA$60,MATCH('4'!$B30,'Unique Asset List'!$A$4:$A$60,0),MATCH('4'!$C$1,'Unique Asset List'!$BU$3:$CA$3,0))</f>
        <v>0.45</v>
      </c>
      <c r="AG30" s="15">
        <f>INDEX('Unique Asset List'!$AZ$4:$BF$60,MATCH('4'!$B30,'Unique Asset List'!$A$4:$A$60,0),MATCH('4'!$C$1,'Unique Asset List'!$AZ$3:$BF$3,0))</f>
        <v>0.05</v>
      </c>
      <c r="AH30" s="15">
        <f>INDEX('Unique Asset List'!$BG$4:$BM$60,MATCH('4'!$B30,'Unique Asset List'!$A$4:$A$60,0),MATCH('4'!$C$1,'Unique Asset List'!$BG$3:$BM$3,0))</f>
        <v>0.45</v>
      </c>
      <c r="AI30" s="11">
        <v>0.96187963349867744</v>
      </c>
      <c r="AJ30" s="15">
        <f>INDEX('Unique Asset List'!$AL$4:$AR$60,MATCH('4'!$B30,'Unique Asset List'!$A$4:$A$60,0),MATCH('4'!$C$1,'Unique Asset List'!$AL$3:$AR$3,0))</f>
        <v>1.4542000570988298</v>
      </c>
      <c r="AK30" s="15">
        <f>INDEX('Unique Asset List'!$AS$4:$AY$60,MATCH('4'!$B30,'Unique Asset List'!$A$4:$A$60,0),MATCH('4'!$C$1,'Unique Asset List'!$AS$3:$AY$3,0))</f>
        <v>-0.4950056673809119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4">
        <f>IF($C$5="ON",BT30,MyRating(_E1,$B30,Efficacy!$F$1))</f>
        <v>4</v>
      </c>
      <c r="AU30" s="3">
        <f>IF($C$5="ON",BU30,MyRating(_E2,$B30,Efficacy!$F$1))</f>
        <v>5</v>
      </c>
      <c r="AV30" s="3">
        <f>IF($C$5="ON",BV30,MyRating(_E3,$B30,Efficacy!$F$1))</f>
        <v>5</v>
      </c>
      <c r="AW30" s="3">
        <f>IF($C$5="ON",BW30,MyRating(_E4,$B30,Efficacy!$F$1))</f>
        <v>4</v>
      </c>
      <c r="AX30" s="3">
        <f>IF($C$5="ON",BX30,MyRating(_E5,$B30,Efficacy!$F$1))</f>
        <v>4</v>
      </c>
      <c r="AY30" s="3">
        <f>IF($C$5="ON",BY30,MyRating(_E6,$B30,Efficacy!$F$1))</f>
        <v>3</v>
      </c>
      <c r="AZ30" s="3">
        <f>IF($C$5="ON",BZ30,MyRating(_E7,$B30,Efficacy!$F$1))</f>
        <v>3</v>
      </c>
      <c r="BA30" s="3">
        <f>IF($C$5="ON",CA30,MyRating(_E8,$B30,Efficacy!$F$1))</f>
        <v>4</v>
      </c>
      <c r="BB30" s="3">
        <f>IF($C$5="ON",CB30,MyRating(_S1,$B30,Efficacy!$F$1))</f>
        <v>5</v>
      </c>
      <c r="BC30" s="3">
        <f>IF($C$5="ON",CC30,MyRating(_S2,$B30,Efficacy!$F$1))</f>
        <v>3</v>
      </c>
      <c r="BD30" s="3">
        <f>IF($C$5="ON",CD30,MyRating(_S3,$B30,Efficacy!$F$1))</f>
        <v>3</v>
      </c>
      <c r="BE30" s="3">
        <f>IF($C$5="ON",CE30,MyRating(_S4,$B30,Efficacy!$F$1))</f>
        <v>4</v>
      </c>
      <c r="BF30" s="3">
        <f>IF($C$5="ON",CF30,MyRating(_S5,$B30,Efficacy!$F$1))</f>
        <v>5</v>
      </c>
      <c r="BG30" s="3">
        <f>IF($C$5="ON",CG30,MyRating(_S6,$B30,Efficacy!$F$1))</f>
        <v>3</v>
      </c>
      <c r="BH30" s="3">
        <f>IF($C$5="ON",CH30,MyRating(_S7,$B30,Efficacy!$F$1))</f>
        <v>3</v>
      </c>
      <c r="BI30" s="3">
        <f>IF($C$5="ON",CI30,MyRating(_D1,$B30,Efficacy!$F$1))</f>
        <v>3</v>
      </c>
      <c r="BJ30" s="3">
        <f>IF($C$5="ON",CJ30,MyRating(_D2,$B30,Efficacy!$F$1))</f>
        <v>3</v>
      </c>
      <c r="BK30" s="3">
        <f>IF($C$5="ON",CK30,MyRating(_D3,$B30,Efficacy!$F$1))</f>
        <v>3</v>
      </c>
      <c r="BL30" s="3">
        <f>IF($C$5="ON",CL30,MyRating(_D4,$B30,Efficacy!$F$1))</f>
        <v>3</v>
      </c>
      <c r="BM30" s="3">
        <f>IF($C$5="ON",CM30,MyRating(_B1G5,$B30,Barrier!$L$2))</f>
        <v>2</v>
      </c>
      <c r="BN30" s="3">
        <f>IF($C$5="ON",CN30,MyRating(_B2,$B30,Barrier!$F$2))</f>
        <v>3</v>
      </c>
      <c r="BO30" s="6">
        <f>IF($C$5="ON",CO30,MyRating(_B3,$B30,Barrier!$F$2))</f>
        <v>3</v>
      </c>
      <c r="BP30" s="5">
        <f t="shared" si="6"/>
        <v>3.6275844714639842E-2</v>
      </c>
      <c r="BQ30" s="8">
        <f t="shared" si="7"/>
        <v>2.9499999999999997</v>
      </c>
      <c r="BR30" s="5">
        <f t="shared" si="8"/>
        <v>3.60415394013439E-2</v>
      </c>
      <c r="BS30" s="7">
        <f t="shared" si="9"/>
        <v>1.8542316878791175E-2</v>
      </c>
      <c r="BT30" s="4">
        <v>4</v>
      </c>
      <c r="BU30" s="3">
        <v>5</v>
      </c>
      <c r="BV30" s="3">
        <v>5</v>
      </c>
      <c r="BW30" s="3">
        <v>4</v>
      </c>
      <c r="BX30" s="3">
        <v>4</v>
      </c>
      <c r="BY30" s="3">
        <v>3</v>
      </c>
      <c r="BZ30" s="3">
        <v>3</v>
      </c>
      <c r="CA30" s="3">
        <v>4</v>
      </c>
      <c r="CB30" s="3">
        <v>5</v>
      </c>
      <c r="CC30" s="3">
        <v>3</v>
      </c>
      <c r="CD30" s="3">
        <v>3</v>
      </c>
      <c r="CE30" s="3">
        <v>4</v>
      </c>
      <c r="CF30" s="3">
        <v>5</v>
      </c>
      <c r="CG30" s="3">
        <v>3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2</v>
      </c>
      <c r="CN30" s="3">
        <v>3</v>
      </c>
      <c r="CO30" s="6">
        <v>3</v>
      </c>
      <c r="CP30" s="5">
        <v>3.6275844714639842E-2</v>
      </c>
    </row>
    <row r="31" spans="1:94" x14ac:dyDescent="0.35">
      <c r="A31" s="9" t="str">
        <f t="shared" si="0"/>
        <v>UK</v>
      </c>
      <c r="B31" s="9" t="s">
        <v>66</v>
      </c>
      <c r="C31" s="20" t="s">
        <v>3</v>
      </c>
      <c r="D31" s="9" t="s">
        <v>2</v>
      </c>
      <c r="E31" s="9" t="s">
        <v>193</v>
      </c>
      <c r="F31" s="9" t="s">
        <v>1</v>
      </c>
      <c r="G31" s="19">
        <v>0</v>
      </c>
      <c r="H31" s="9">
        <v>2014</v>
      </c>
      <c r="I31" s="9">
        <v>6</v>
      </c>
      <c r="J31" s="18">
        <f>INDEX(PTRS!$D$6:$D$12,MATCH('4'!$F31,PTRS!$B$6:$B$12,0))</f>
        <v>0.1044225</v>
      </c>
      <c r="K31" s="17">
        <v>0</v>
      </c>
      <c r="L31" s="17">
        <v>0.1044225</v>
      </c>
      <c r="M31" s="17">
        <v>0.1044225</v>
      </c>
      <c r="N31" s="17">
        <v>0.1044225</v>
      </c>
      <c r="O31" s="17">
        <v>0.1044225</v>
      </c>
      <c r="P31" s="17">
        <v>0.1044225</v>
      </c>
      <c r="Q31" s="17">
        <v>1</v>
      </c>
      <c r="R31" s="17">
        <v>1</v>
      </c>
      <c r="S31" s="17">
        <v>1</v>
      </c>
      <c r="T31" s="17"/>
      <c r="U31" s="17">
        <f t="shared" si="1"/>
        <v>0.72649652910676854</v>
      </c>
      <c r="V31" s="17">
        <v>1</v>
      </c>
      <c r="W31" s="9" t="s">
        <v>62</v>
      </c>
      <c r="X31" s="9">
        <f>INDEX('Unique Asset List'!$C$4:$I$60,MATCH('4'!$B31,'Unique Asset List'!$A$4:$A$60,0),MATCH('4'!$C$1,'Unique Asset List'!$C$3:$I$3,0))</f>
        <v>2029</v>
      </c>
      <c r="Y31" s="9">
        <f>INDEX('Unique Asset List'!$J$4:$P$60,MATCH('4'!$B31,'Unique Asset List'!$A$4:$A$60,0),MATCH('4'!$C$1,'Unique Asset List'!$J$3:$P$3,0))</f>
        <v>3</v>
      </c>
      <c r="Z31" s="9">
        <f>INDEX('Unique Asset List'!$X$4:$AD$60,MATCH('4'!$B31,'Unique Asset List'!$A$4:$A$60,0),MATCH('4'!$C$1,'Unique Asset List'!$X$3:$AD$3,0))</f>
        <v>2038</v>
      </c>
      <c r="AA31" s="9">
        <f>INDEX('Unique Asset List'!$AE$4:$AK$60,MATCH('4'!$B31,'Unique Asset List'!$A$4:$A$60,0),MATCH('4'!$C$1,'Unique Asset List'!$AE$3:$AK$3,0))</f>
        <v>3</v>
      </c>
      <c r="AB31" s="16">
        <f t="shared" si="2"/>
        <v>2.3276916000000001</v>
      </c>
      <c r="AC31" s="16">
        <f t="shared" si="3"/>
        <v>1.0028454</v>
      </c>
      <c r="AD31" s="16">
        <f t="shared" si="4"/>
        <v>0.56099999999999994</v>
      </c>
      <c r="AE31" s="15">
        <f>INDEX('Unique Asset List'!$BN$4:$BT$60,MATCH('4'!$B31,'Unique Asset List'!$A$4:$A$60,0),MATCH('4'!$C$1,'Unique Asset List'!$BN$3:$BT$3,0))</f>
        <v>0.06</v>
      </c>
      <c r="AF31" s="15">
        <f>INDEX('Unique Asset List'!$BU$4:$CA$60,MATCH('4'!$B31,'Unique Asset List'!$A$4:$A$60,0),MATCH('4'!$C$1,'Unique Asset List'!$BU$3:$CA$3,0))</f>
        <v>0.45</v>
      </c>
      <c r="AG31" s="15">
        <f>INDEX('Unique Asset List'!$AZ$4:$BF$60,MATCH('4'!$B31,'Unique Asset List'!$A$4:$A$60,0),MATCH('4'!$C$1,'Unique Asset List'!$AZ$3:$BF$3,0))</f>
        <v>0.06</v>
      </c>
      <c r="AH31" s="15">
        <f>INDEX('Unique Asset List'!$BG$4:$BM$60,MATCH('4'!$B31,'Unique Asset List'!$A$4:$A$60,0),MATCH('4'!$C$1,'Unique Asset List'!$BG$3:$BM$3,0))</f>
        <v>0.45</v>
      </c>
      <c r="AI31" s="11">
        <v>0.96187963349867744</v>
      </c>
      <c r="AJ31" s="15">
        <f>INDEX('Unique Asset List'!$AL$4:$AR$60,MATCH('4'!$B31,'Unique Asset List'!$A$4:$A$60,0),MATCH('4'!$C$1,'Unique Asset List'!$AL$3:$AR$3,0))</f>
        <v>1.4542000570988298</v>
      </c>
      <c r="AK31" s="15">
        <f>INDEX('Unique Asset List'!$AS$4:$AY$60,MATCH('4'!$B31,'Unique Asset List'!$A$4:$A$60,0),MATCH('4'!$C$1,'Unique Asset List'!$AS$3:$AY$3,0))</f>
        <v>-0.4950056673809119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4">
        <f>IF($C$5="ON",BT31,MyRating(_E1,$B31,Efficacy!$F$1))</f>
        <v>4</v>
      </c>
      <c r="AU31" s="3">
        <f>IF($C$5="ON",BU31,MyRating(_E2,$B31,Efficacy!$F$1))</f>
        <v>5</v>
      </c>
      <c r="AV31" s="3">
        <f>IF($C$5="ON",BV31,MyRating(_E3,$B31,Efficacy!$F$1))</f>
        <v>5</v>
      </c>
      <c r="AW31" s="3">
        <f>IF($C$5="ON",BW31,MyRating(_E4,$B31,Efficacy!$F$1))</f>
        <v>4</v>
      </c>
      <c r="AX31" s="3">
        <f>IF($C$5="ON",BX31,MyRating(_E5,$B31,Efficacy!$F$1))</f>
        <v>4</v>
      </c>
      <c r="AY31" s="3">
        <f>IF($C$5="ON",BY31,MyRating(_E6,$B31,Efficacy!$F$1))</f>
        <v>3</v>
      </c>
      <c r="AZ31" s="3">
        <f>IF($C$5="ON",BZ31,MyRating(_E7,$B31,Efficacy!$F$1))</f>
        <v>3</v>
      </c>
      <c r="BA31" s="3">
        <f>IF($C$5="ON",CA31,MyRating(_E8,$B31,Efficacy!$F$1))</f>
        <v>4</v>
      </c>
      <c r="BB31" s="3">
        <f>IF($C$5="ON",CB31,MyRating(_S1,$B31,Efficacy!$F$1))</f>
        <v>5</v>
      </c>
      <c r="BC31" s="3">
        <f>IF($C$5="ON",CC31,MyRating(_S2,$B31,Efficacy!$F$1))</f>
        <v>3</v>
      </c>
      <c r="BD31" s="3">
        <f>IF($C$5="ON",CD31,MyRating(_S3,$B31,Efficacy!$F$1))</f>
        <v>3</v>
      </c>
      <c r="BE31" s="3">
        <f>IF($C$5="ON",CE31,MyRating(_S4,$B31,Efficacy!$F$1))</f>
        <v>4</v>
      </c>
      <c r="BF31" s="3">
        <f>IF($C$5="ON",CF31,MyRating(_S5,$B31,Efficacy!$F$1))</f>
        <v>5</v>
      </c>
      <c r="BG31" s="3">
        <f>IF($C$5="ON",CG31,MyRating(_S6,$B31,Efficacy!$F$1))</f>
        <v>3</v>
      </c>
      <c r="BH31" s="3">
        <f>IF($C$5="ON",CH31,MyRating(_S7,$B31,Efficacy!$F$1))</f>
        <v>3</v>
      </c>
      <c r="BI31" s="3">
        <f>IF($C$5="ON",CI31,MyRating(_D1,$B31,Efficacy!$F$1))</f>
        <v>3</v>
      </c>
      <c r="BJ31" s="3">
        <f>IF($C$5="ON",CJ31,MyRating(_D2,$B31,Efficacy!$F$1))</f>
        <v>3</v>
      </c>
      <c r="BK31" s="3">
        <f>IF($C$5="ON",CK31,MyRating(_D3,$B31,Efficacy!$F$1))</f>
        <v>3</v>
      </c>
      <c r="BL31" s="3">
        <f>IF($C$5="ON",CL31,MyRating(_D4,$B31,Efficacy!$F$1))</f>
        <v>3</v>
      </c>
      <c r="BM31" s="3">
        <f>IF($C$5="ON",CM31,MyRating(_B1G5,$B31,Barrier!$L$2))</f>
        <v>2</v>
      </c>
      <c r="BN31" s="3">
        <f>IF($C$5="ON",CN31,MyRating(_B2,$B31,Barrier!$F$2))</f>
        <v>3</v>
      </c>
      <c r="BO31" s="6">
        <f>IF($C$5="ON",CO31,MyRating(_B3,$B31,Barrier!$F$2))</f>
        <v>3</v>
      </c>
      <c r="BP31" s="5">
        <f t="shared" si="6"/>
        <v>3.6275844714639842E-2</v>
      </c>
      <c r="BQ31" s="8">
        <f t="shared" si="7"/>
        <v>2.9499999999999997</v>
      </c>
      <c r="BR31" s="5">
        <f t="shared" si="8"/>
        <v>3.60415394013439E-2</v>
      </c>
      <c r="BS31" s="7">
        <f t="shared" si="9"/>
        <v>1.8542316878791175E-2</v>
      </c>
      <c r="BT31" s="4">
        <v>4</v>
      </c>
      <c r="BU31" s="3">
        <v>5</v>
      </c>
      <c r="BV31" s="3">
        <v>5</v>
      </c>
      <c r="BW31" s="3">
        <v>4</v>
      </c>
      <c r="BX31" s="3">
        <v>4</v>
      </c>
      <c r="BY31" s="3">
        <v>3</v>
      </c>
      <c r="BZ31" s="3">
        <v>3</v>
      </c>
      <c r="CA31" s="3">
        <v>4</v>
      </c>
      <c r="CB31" s="3">
        <v>5</v>
      </c>
      <c r="CC31" s="3">
        <v>3</v>
      </c>
      <c r="CD31" s="3">
        <v>3</v>
      </c>
      <c r="CE31" s="3">
        <v>4</v>
      </c>
      <c r="CF31" s="3">
        <v>5</v>
      </c>
      <c r="CG31" s="3">
        <v>3</v>
      </c>
      <c r="CH31" s="3">
        <v>3</v>
      </c>
      <c r="CI31" s="3">
        <v>3</v>
      </c>
      <c r="CJ31" s="3">
        <v>3</v>
      </c>
      <c r="CK31" s="3">
        <v>3</v>
      </c>
      <c r="CL31" s="3">
        <v>3</v>
      </c>
      <c r="CM31" s="3">
        <v>2</v>
      </c>
      <c r="CN31" s="3">
        <v>3</v>
      </c>
      <c r="CO31" s="6">
        <v>3</v>
      </c>
      <c r="CP31" s="5">
        <v>3.6275844714639842E-2</v>
      </c>
    </row>
    <row r="32" spans="1:94" x14ac:dyDescent="0.35">
      <c r="A32" s="9" t="str">
        <f t="shared" si="0"/>
        <v>UK</v>
      </c>
      <c r="B32" s="9" t="s">
        <v>57</v>
      </c>
      <c r="C32" s="20" t="s">
        <v>3</v>
      </c>
      <c r="D32" s="9" t="s">
        <v>2</v>
      </c>
      <c r="E32" s="9" t="s">
        <v>193</v>
      </c>
      <c r="F32" s="9" t="s">
        <v>1</v>
      </c>
      <c r="G32" s="19">
        <v>0</v>
      </c>
      <c r="H32" s="9">
        <v>2014</v>
      </c>
      <c r="I32" s="9">
        <v>6</v>
      </c>
      <c r="J32" s="18">
        <f>INDEX(PTRS!$D$6:$D$12,MATCH('4'!$F32,PTRS!$B$6:$B$12,0))</f>
        <v>0.1044225</v>
      </c>
      <c r="K32" s="17">
        <v>0</v>
      </c>
      <c r="L32" s="17">
        <v>0.1044225</v>
      </c>
      <c r="M32" s="17">
        <v>0.1044225</v>
      </c>
      <c r="N32" s="17">
        <v>0.1044225</v>
      </c>
      <c r="O32" s="17">
        <v>0.1044225</v>
      </c>
      <c r="P32" s="17">
        <v>0.1044225</v>
      </c>
      <c r="Q32" s="17">
        <v>1</v>
      </c>
      <c r="R32" s="17">
        <v>1</v>
      </c>
      <c r="S32" s="17">
        <v>1</v>
      </c>
      <c r="T32" s="17"/>
      <c r="U32" s="17">
        <f t="shared" si="1"/>
        <v>0.72649652910676854</v>
      </c>
      <c r="V32" s="17">
        <v>1</v>
      </c>
      <c r="W32" s="9" t="s">
        <v>57</v>
      </c>
      <c r="X32" s="9">
        <f>INDEX('Unique Asset List'!$C$4:$I$60,MATCH('4'!$B32,'Unique Asset List'!$A$4:$A$60,0),MATCH('4'!$C$1,'Unique Asset List'!$C$3:$I$3,0))</f>
        <v>2029</v>
      </c>
      <c r="Y32" s="9">
        <f>INDEX('Unique Asset List'!$J$4:$P$60,MATCH('4'!$B32,'Unique Asset List'!$A$4:$A$60,0),MATCH('4'!$C$1,'Unique Asset List'!$J$3:$P$3,0))</f>
        <v>9</v>
      </c>
      <c r="Z32" s="9">
        <f>INDEX('Unique Asset List'!$X$4:$AD$60,MATCH('4'!$B32,'Unique Asset List'!$A$4:$A$60,0),MATCH('4'!$C$1,'Unique Asset List'!$X$3:$AD$3,0))</f>
        <v>2038</v>
      </c>
      <c r="AA32" s="9">
        <f>INDEX('Unique Asset List'!$AE$4:$AK$60,MATCH('4'!$B32,'Unique Asset List'!$A$4:$A$60,0),MATCH('4'!$C$1,'Unique Asset List'!$AE$3:$AK$3,0))</f>
        <v>9</v>
      </c>
      <c r="AB32" s="16">
        <f t="shared" si="2"/>
        <v>2.3276916000000001</v>
      </c>
      <c r="AC32" s="16">
        <f t="shared" si="3"/>
        <v>1.0028454</v>
      </c>
      <c r="AD32" s="16">
        <f t="shared" si="4"/>
        <v>0.56099999999999994</v>
      </c>
      <c r="AE32" s="15">
        <f>INDEX('Unique Asset List'!$BN$4:$BT$60,MATCH('4'!$B32,'Unique Asset List'!$A$4:$A$60,0),MATCH('4'!$C$1,'Unique Asset List'!$BN$3:$BT$3,0))</f>
        <v>0.06</v>
      </c>
      <c r="AF32" s="15">
        <f>INDEX('Unique Asset List'!$BU$4:$CA$60,MATCH('4'!$B32,'Unique Asset List'!$A$4:$A$60,0),MATCH('4'!$C$1,'Unique Asset List'!$BU$3:$CA$3,0))</f>
        <v>0.45</v>
      </c>
      <c r="AG32" s="15">
        <f>INDEX('Unique Asset List'!$AZ$4:$BF$60,MATCH('4'!$B32,'Unique Asset List'!$A$4:$A$60,0),MATCH('4'!$C$1,'Unique Asset List'!$AZ$3:$BF$3,0))</f>
        <v>0.06</v>
      </c>
      <c r="AH32" s="15">
        <f>INDEX('Unique Asset List'!$BG$4:$BM$60,MATCH('4'!$B32,'Unique Asset List'!$A$4:$A$60,0),MATCH('4'!$C$1,'Unique Asset List'!$BG$3:$BM$3,0))</f>
        <v>0.45</v>
      </c>
      <c r="AI32" s="11">
        <v>0.96187963349867744</v>
      </c>
      <c r="AJ32" s="15">
        <f>INDEX('Unique Asset List'!$AL$4:$AR$60,MATCH('4'!$B32,'Unique Asset List'!$A$4:$A$60,0),MATCH('4'!$C$1,'Unique Asset List'!$AL$3:$AR$3,0))</f>
        <v>1.4542000570988298</v>
      </c>
      <c r="AK32" s="15">
        <f>INDEX('Unique Asset List'!$AS$4:$AY$60,MATCH('4'!$B32,'Unique Asset List'!$A$4:$A$60,0),MATCH('4'!$C$1,'Unique Asset List'!$AS$3:$AY$3,0))</f>
        <v>-0.4950056673809119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4">
        <f>IF($C$5="ON",BT32,MyRating(_E1,$B32,Efficacy!$F$1))</f>
        <v>4</v>
      </c>
      <c r="AU32" s="3">
        <f>IF($C$5="ON",BU32,MyRating(_E2,$B32,Efficacy!$F$1))</f>
        <v>5</v>
      </c>
      <c r="AV32" s="3">
        <f>IF($C$5="ON",BV32,MyRating(_E3,$B32,Efficacy!$F$1))</f>
        <v>5</v>
      </c>
      <c r="AW32" s="3">
        <f>IF($C$5="ON",BW32,MyRating(_E4,$B32,Efficacy!$F$1))</f>
        <v>4</v>
      </c>
      <c r="AX32" s="3">
        <f>IF($C$5="ON",BX32,MyRating(_E5,$B32,Efficacy!$F$1))</f>
        <v>4</v>
      </c>
      <c r="AY32" s="3">
        <f>IF($C$5="ON",BY32,MyRating(_E6,$B32,Efficacy!$F$1))</f>
        <v>3</v>
      </c>
      <c r="AZ32" s="3">
        <f>IF($C$5="ON",BZ32,MyRating(_E7,$B32,Efficacy!$F$1))</f>
        <v>3</v>
      </c>
      <c r="BA32" s="3">
        <f>IF($C$5="ON",CA32,MyRating(_E8,$B32,Efficacy!$F$1))</f>
        <v>4</v>
      </c>
      <c r="BB32" s="3">
        <f>IF($C$5="ON",CB32,MyRating(_S1,$B32,Efficacy!$F$1))</f>
        <v>5</v>
      </c>
      <c r="BC32" s="3">
        <f>IF($C$5="ON",CC32,MyRating(_S2,$B32,Efficacy!$F$1))</f>
        <v>3</v>
      </c>
      <c r="BD32" s="3">
        <f>IF($C$5="ON",CD32,MyRating(_S3,$B32,Efficacy!$F$1))</f>
        <v>3</v>
      </c>
      <c r="BE32" s="3">
        <f>IF($C$5="ON",CE32,MyRating(_S4,$B32,Efficacy!$F$1))</f>
        <v>4</v>
      </c>
      <c r="BF32" s="3">
        <f>IF($C$5="ON",CF32,MyRating(_S5,$B32,Efficacy!$F$1))</f>
        <v>5</v>
      </c>
      <c r="BG32" s="3">
        <f>IF($C$5="ON",CG32,MyRating(_S6,$B32,Efficacy!$F$1))</f>
        <v>3</v>
      </c>
      <c r="BH32" s="3">
        <f>IF($C$5="ON",CH32,MyRating(_S7,$B32,Efficacy!$F$1))</f>
        <v>3</v>
      </c>
      <c r="BI32" s="3">
        <f>IF($C$5="ON",CI32,MyRating(_D1,$B32,Efficacy!$F$1))</f>
        <v>3</v>
      </c>
      <c r="BJ32" s="3">
        <f>IF($C$5="ON",CJ32,MyRating(_D2,$B32,Efficacy!$F$1))</f>
        <v>3</v>
      </c>
      <c r="BK32" s="3">
        <f>IF($C$5="ON",CK32,MyRating(_D3,$B32,Efficacy!$F$1))</f>
        <v>3</v>
      </c>
      <c r="BL32" s="3">
        <f>IF($C$5="ON",CL32,MyRating(_D4,$B32,Efficacy!$F$1))</f>
        <v>3</v>
      </c>
      <c r="BM32" s="3">
        <f>IF($C$5="ON",CM32,MyRating(_B1G5,$B32,Barrier!$L$2))</f>
        <v>2</v>
      </c>
      <c r="BN32" s="3">
        <f>IF($C$5="ON",CN32,MyRating(_B2,$B32,Barrier!$F$2))</f>
        <v>3</v>
      </c>
      <c r="BO32" s="6">
        <f>IF($C$5="ON",CO32,MyRating(_B3,$B32,Barrier!$F$2))</f>
        <v>3</v>
      </c>
      <c r="BP32" s="5">
        <f t="shared" si="6"/>
        <v>3.6275844714639842E-2</v>
      </c>
      <c r="BQ32" s="8">
        <f t="shared" si="7"/>
        <v>2.9499999999999997</v>
      </c>
      <c r="BR32" s="5">
        <f t="shared" si="8"/>
        <v>3.60415394013439E-2</v>
      </c>
      <c r="BS32" s="7">
        <f t="shared" si="9"/>
        <v>1.8542316878791175E-2</v>
      </c>
      <c r="BT32" s="4">
        <v>4</v>
      </c>
      <c r="BU32" s="3">
        <v>5</v>
      </c>
      <c r="BV32" s="3">
        <v>5</v>
      </c>
      <c r="BW32" s="3">
        <v>4</v>
      </c>
      <c r="BX32" s="3">
        <v>4</v>
      </c>
      <c r="BY32" s="3">
        <v>3</v>
      </c>
      <c r="BZ32" s="3">
        <v>3</v>
      </c>
      <c r="CA32" s="3">
        <v>4</v>
      </c>
      <c r="CB32" s="3">
        <v>5</v>
      </c>
      <c r="CC32" s="3">
        <v>3</v>
      </c>
      <c r="CD32" s="3">
        <v>3</v>
      </c>
      <c r="CE32" s="3">
        <v>4</v>
      </c>
      <c r="CF32" s="3">
        <v>5</v>
      </c>
      <c r="CG32" s="3">
        <v>3</v>
      </c>
      <c r="CH32" s="3">
        <v>3</v>
      </c>
      <c r="CI32" s="3">
        <v>3</v>
      </c>
      <c r="CJ32" s="3">
        <v>3</v>
      </c>
      <c r="CK32" s="3">
        <v>3</v>
      </c>
      <c r="CL32" s="3">
        <v>3</v>
      </c>
      <c r="CM32" s="3">
        <v>2</v>
      </c>
      <c r="CN32" s="3">
        <v>3</v>
      </c>
      <c r="CO32" s="6">
        <v>3</v>
      </c>
      <c r="CP32" s="5">
        <v>3.6275844714639842E-2</v>
      </c>
    </row>
    <row r="33" spans="1:94" x14ac:dyDescent="0.35">
      <c r="A33" s="9" t="str">
        <f t="shared" si="0"/>
        <v>UK</v>
      </c>
      <c r="B33" s="9" t="s">
        <v>28</v>
      </c>
      <c r="C33" s="20"/>
      <c r="D33" s="9" t="s">
        <v>2</v>
      </c>
      <c r="E33" s="9" t="s">
        <v>193</v>
      </c>
      <c r="F33" s="9" t="s">
        <v>58</v>
      </c>
      <c r="G33" s="19">
        <v>0</v>
      </c>
      <c r="H33" s="9">
        <v>2014</v>
      </c>
      <c r="I33" s="9">
        <v>6</v>
      </c>
      <c r="J33" s="18">
        <f>INDEX(PTRS!$D$6:$D$12,MATCH('4'!$F33,PTRS!$B$6:$B$12,0))</f>
        <v>0.13923000000000002</v>
      </c>
      <c r="K33" s="17">
        <v>0</v>
      </c>
      <c r="L33" s="17">
        <v>0.1044225</v>
      </c>
      <c r="M33" s="17">
        <v>0.13923000000000002</v>
      </c>
      <c r="N33" s="17">
        <v>0.1</v>
      </c>
      <c r="O33" s="17">
        <v>0.1</v>
      </c>
      <c r="P33" s="17">
        <v>0.1044225</v>
      </c>
      <c r="Q33" s="17">
        <v>0.1044225</v>
      </c>
      <c r="R33" s="17">
        <v>0.1044225</v>
      </c>
      <c r="S33" s="17">
        <v>1</v>
      </c>
      <c r="T33" s="17"/>
      <c r="U33" s="17">
        <f t="shared" si="1"/>
        <v>0.72649652910676854</v>
      </c>
      <c r="V33" s="17">
        <v>1</v>
      </c>
      <c r="W33" s="9" t="s">
        <v>27</v>
      </c>
      <c r="X33" s="9">
        <f>INDEX('Unique Asset List'!$C$4:$I$60,MATCH('4'!$B33,'Unique Asset List'!$A$4:$A$60,0),MATCH('4'!$C$1,'Unique Asset List'!$C$3:$I$3,0))</f>
        <v>2031</v>
      </c>
      <c r="Y33" s="9">
        <f>INDEX('Unique Asset List'!$J$4:$P$60,MATCH('4'!$B33,'Unique Asset List'!$A$4:$A$60,0),MATCH('4'!$C$1,'Unique Asset List'!$J$3:$P$3,0))</f>
        <v>6</v>
      </c>
      <c r="Z33" s="9">
        <f>INDEX('Unique Asset List'!$X$4:$AD$60,MATCH('4'!$B33,'Unique Asset List'!$A$4:$A$60,0),MATCH('4'!$C$1,'Unique Asset List'!$X$3:$AD$3,0))</f>
        <v>2038</v>
      </c>
      <c r="AA33" s="9">
        <f>INDEX('Unique Asset List'!$AE$4:$AK$60,MATCH('4'!$B33,'Unique Asset List'!$A$4:$A$60,0),MATCH('4'!$C$1,'Unique Asset List'!$AE$3:$AK$3,0))</f>
        <v>9</v>
      </c>
      <c r="AB33" s="16">
        <f t="shared" si="2"/>
        <v>2.0289886000000004</v>
      </c>
      <c r="AC33" s="16">
        <f t="shared" si="3"/>
        <v>0.85031269999999992</v>
      </c>
      <c r="AD33" s="16">
        <f t="shared" si="4"/>
        <v>0.56099999999999994</v>
      </c>
      <c r="AE33" s="15">
        <f>INDEX('Unique Asset List'!$BN$4:$BT$60,MATCH('4'!$B33,'Unique Asset List'!$A$4:$A$60,0),MATCH('4'!$C$1,'Unique Asset List'!$BN$3:$BT$3,0))</f>
        <v>0.05</v>
      </c>
      <c r="AF33" s="15">
        <f>INDEX('Unique Asset List'!$BU$4:$CA$60,MATCH('4'!$B33,'Unique Asset List'!$A$4:$A$60,0),MATCH('4'!$C$1,'Unique Asset List'!$BU$3:$CA$3,0))</f>
        <v>0.45</v>
      </c>
      <c r="AG33" s="15">
        <f>INDEX('Unique Asset List'!$AZ$4:$BF$60,MATCH('4'!$B33,'Unique Asset List'!$A$4:$A$60,0),MATCH('4'!$C$1,'Unique Asset List'!$AZ$3:$BF$3,0))</f>
        <v>0.05</v>
      </c>
      <c r="AH33" s="15">
        <f>INDEX('Unique Asset List'!$BG$4:$BM$60,MATCH('4'!$B33,'Unique Asset List'!$A$4:$A$60,0),MATCH('4'!$C$1,'Unique Asset List'!$BG$3:$BM$3,0))</f>
        <v>0.45</v>
      </c>
      <c r="AI33" s="11">
        <v>0.96187963349867744</v>
      </c>
      <c r="AJ33" s="15">
        <f>INDEX('Unique Asset List'!$AL$4:$AR$60,MATCH('4'!$B33,'Unique Asset List'!$A$4:$A$60,0),MATCH('4'!$C$1,'Unique Asset List'!$AL$3:$AR$3,0))</f>
        <v>1.4542000570988298</v>
      </c>
      <c r="AK33" s="15">
        <f>INDEX('Unique Asset List'!$AS$4:$AY$60,MATCH('4'!$B33,'Unique Asset List'!$A$4:$A$60,0),MATCH('4'!$C$1,'Unique Asset List'!$AS$3:$AY$3,0))</f>
        <v>-0.4950056673809119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5"/>
        <v>0.82</v>
      </c>
      <c r="AS33" s="10">
        <v>1</v>
      </c>
      <c r="AT33" s="4">
        <f>IF($C$5="ON",BT33,MyRating(_E1,$B33,Efficacy!$F$1))</f>
        <v>4</v>
      </c>
      <c r="AU33" s="3">
        <f>IF($C$5="ON",BU33,MyRating(_E2,$B33,Efficacy!$F$1))</f>
        <v>4</v>
      </c>
      <c r="AV33" s="3">
        <f>IF($C$5="ON",BV33,MyRating(_E3,$B33,Efficacy!$F$1))</f>
        <v>4</v>
      </c>
      <c r="AW33" s="3">
        <f>IF($C$5="ON",BW33,MyRating(_E4,$B33,Efficacy!$F$1))</f>
        <v>4</v>
      </c>
      <c r="AX33" s="3">
        <f>IF($C$5="ON",BX33,MyRating(_E5,$B33,Efficacy!$F$1))</f>
        <v>3</v>
      </c>
      <c r="AY33" s="3">
        <f>IF($C$5="ON",BY33,MyRating(_E6,$B33,Efficacy!$F$1))</f>
        <v>3</v>
      </c>
      <c r="AZ33" s="3">
        <f>IF($C$5="ON",BZ33,MyRating(_E7,$B33,Efficacy!$F$1))</f>
        <v>3</v>
      </c>
      <c r="BA33" s="3">
        <f>IF($C$5="ON",CA33,MyRating(_E8,$B33,Efficacy!$F$1))</f>
        <v>3</v>
      </c>
      <c r="BB33" s="3">
        <f>IF($C$5="ON",CB33,MyRating(_S1,$B33,Efficacy!$F$1))</f>
        <v>2</v>
      </c>
      <c r="BC33" s="3">
        <f>IF($C$5="ON",CC33,MyRating(_S2,$B33,Efficacy!$F$1))</f>
        <v>3</v>
      </c>
      <c r="BD33" s="3">
        <f>IF($C$5="ON",CD33,MyRating(_S3,$B33,Efficacy!$F$1))</f>
        <v>3</v>
      </c>
      <c r="BE33" s="3">
        <f>IF($C$5="ON",CE33,MyRating(_S4,$B33,Efficacy!$F$1))</f>
        <v>4</v>
      </c>
      <c r="BF33" s="3">
        <f>IF($C$5="ON",CF33,MyRating(_S5,$B33,Efficacy!$F$1))</f>
        <v>5</v>
      </c>
      <c r="BG33" s="3">
        <f>IF($C$5="ON",CG33,MyRating(_S6,$B33,Efficacy!$F$1))</f>
        <v>3</v>
      </c>
      <c r="BH33" s="3">
        <f>IF($C$5="ON",CH33,MyRating(_S7,$B33,Efficacy!$F$1))</f>
        <v>4</v>
      </c>
      <c r="BI33" s="3">
        <f>IF($C$5="ON",CI33,MyRating(_D1,$B33,Efficacy!$F$1))</f>
        <v>3</v>
      </c>
      <c r="BJ33" s="3">
        <f>IF($C$5="ON",CJ33,MyRating(_D2,$B33,Efficacy!$F$1))</f>
        <v>3</v>
      </c>
      <c r="BK33" s="3">
        <f>IF($C$5="ON",CK33,MyRating(_D3,$B33,Efficacy!$F$1))</f>
        <v>3</v>
      </c>
      <c r="BL33" s="3">
        <f>IF($C$5="ON",CL33,MyRating(_D4,$B33,Efficacy!$F$1))</f>
        <v>3</v>
      </c>
      <c r="BM33" s="3">
        <f>IF($C$5="ON",CM33,MyRating(_B1G5,$B33,Barrier!$L$2))</f>
        <v>2</v>
      </c>
      <c r="BN33" s="3">
        <f>IF($C$5="ON",CN33,MyRating(_B2,$B33,Barrier!$F$2))</f>
        <v>3</v>
      </c>
      <c r="BO33" s="6">
        <f>IF($C$5="ON",CO33,MyRating(_B3,$B33,Barrier!$F$2))</f>
        <v>3</v>
      </c>
      <c r="BP33" s="5">
        <f t="shared" si="6"/>
        <v>3.6275844714639842E-2</v>
      </c>
      <c r="BQ33" s="8">
        <f t="shared" si="7"/>
        <v>2.9499999999999997</v>
      </c>
      <c r="BR33" s="5">
        <f t="shared" si="8"/>
        <v>3.60415394013439E-2</v>
      </c>
      <c r="BS33" s="7">
        <f t="shared" si="9"/>
        <v>1.8542316878791175E-2</v>
      </c>
      <c r="BT33" s="4">
        <v>4</v>
      </c>
      <c r="BU33" s="3">
        <v>4</v>
      </c>
      <c r="BV33" s="3">
        <v>4</v>
      </c>
      <c r="BW33" s="3">
        <v>4</v>
      </c>
      <c r="BX33" s="3">
        <v>3</v>
      </c>
      <c r="BY33" s="3">
        <v>3</v>
      </c>
      <c r="BZ33" s="3">
        <v>3</v>
      </c>
      <c r="CA33" s="3">
        <v>3</v>
      </c>
      <c r="CB33" s="3">
        <v>2</v>
      </c>
      <c r="CC33" s="3">
        <v>3</v>
      </c>
      <c r="CD33" s="3">
        <v>3</v>
      </c>
      <c r="CE33" s="3">
        <v>4</v>
      </c>
      <c r="CF33" s="3">
        <v>5</v>
      </c>
      <c r="CG33" s="3">
        <v>3</v>
      </c>
      <c r="CH33" s="3">
        <v>4</v>
      </c>
      <c r="CI33" s="3">
        <v>3</v>
      </c>
      <c r="CJ33" s="3">
        <v>3</v>
      </c>
      <c r="CK33" s="3">
        <v>3</v>
      </c>
      <c r="CL33" s="3">
        <v>3</v>
      </c>
      <c r="CM33" s="3">
        <v>2</v>
      </c>
      <c r="CN33" s="3">
        <v>3</v>
      </c>
      <c r="CO33" s="6">
        <v>3</v>
      </c>
      <c r="CP33" s="5">
        <v>3.6275844714639842E-2</v>
      </c>
    </row>
    <row r="34" spans="1:94" x14ac:dyDescent="0.35">
      <c r="A34" s="9" t="str">
        <f t="shared" si="0"/>
        <v>UK</v>
      </c>
      <c r="B34" s="9" t="s">
        <v>61</v>
      </c>
      <c r="C34" s="20"/>
      <c r="D34" s="9" t="s">
        <v>60</v>
      </c>
      <c r="E34" s="9" t="s">
        <v>59</v>
      </c>
      <c r="F34" s="9" t="s">
        <v>58</v>
      </c>
      <c r="G34" s="19">
        <v>0</v>
      </c>
      <c r="H34" s="9">
        <v>2014</v>
      </c>
      <c r="I34" s="9">
        <v>6</v>
      </c>
      <c r="J34" s="18">
        <f>INDEX(PTRS!$D$6:$D$12,MATCH('4'!$F34,PTRS!$B$6:$B$12,0))</f>
        <v>0.13923000000000002</v>
      </c>
      <c r="K34" s="17">
        <v>0</v>
      </c>
      <c r="L34" s="17">
        <v>0.1044225</v>
      </c>
      <c r="M34" s="17">
        <v>0.13923000000000002</v>
      </c>
      <c r="N34" s="17">
        <v>0.1044225</v>
      </c>
      <c r="O34" s="17">
        <v>0.1044225</v>
      </c>
      <c r="P34" s="17">
        <v>0.13923000000000002</v>
      </c>
      <c r="Q34" s="17">
        <v>0.1044225</v>
      </c>
      <c r="R34" s="17">
        <v>0.1044225</v>
      </c>
      <c r="S34" s="17">
        <v>1</v>
      </c>
      <c r="T34" s="17"/>
      <c r="U34" s="17">
        <f t="shared" si="1"/>
        <v>0.72649652910676854</v>
      </c>
      <c r="V34" s="17">
        <v>1</v>
      </c>
      <c r="W34" s="9" t="s">
        <v>57</v>
      </c>
      <c r="X34" s="9">
        <f>INDEX('Unique Asset List'!$C$4:$I$60,MATCH('4'!$B34,'Unique Asset List'!$A$4:$A$60,0),MATCH('4'!$C$1,'Unique Asset List'!$C$3:$I$3,0))</f>
        <v>2028</v>
      </c>
      <c r="Y34" s="9">
        <f>INDEX('Unique Asset List'!$J$4:$P$60,MATCH('4'!$B34,'Unique Asset List'!$A$4:$A$60,0),MATCH('4'!$C$1,'Unique Asset List'!$J$3:$P$3,0))</f>
        <v>9</v>
      </c>
      <c r="Z34" s="9">
        <f>INDEX('Unique Asset List'!$X$4:$AD$60,MATCH('4'!$B34,'Unique Asset List'!$A$4:$A$60,0),MATCH('4'!$C$1,'Unique Asset List'!$X$3:$AD$3,0))</f>
        <v>2036</v>
      </c>
      <c r="AA34" s="9">
        <f>INDEX('Unique Asset List'!$AE$4:$AK$60,MATCH('4'!$B34,'Unique Asset List'!$A$4:$A$60,0),MATCH('4'!$C$1,'Unique Asset List'!$AE$3:$AK$3,0))</f>
        <v>9</v>
      </c>
      <c r="AB34" s="16">
        <f t="shared" si="2"/>
        <v>2.3276916000000001</v>
      </c>
      <c r="AC34" s="16">
        <f t="shared" si="3"/>
        <v>1.0028454</v>
      </c>
      <c r="AD34" s="16">
        <f t="shared" si="4"/>
        <v>0.56099999999999994</v>
      </c>
      <c r="AE34" s="15">
        <f>INDEX('Unique Asset List'!$BN$4:$BT$60,MATCH('4'!$B34,'Unique Asset List'!$A$4:$A$60,0),MATCH('4'!$C$1,'Unique Asset List'!$BN$3:$BT$3,0))</f>
        <v>0.06</v>
      </c>
      <c r="AF34" s="15">
        <f>INDEX('Unique Asset List'!$BU$4:$CA$60,MATCH('4'!$B34,'Unique Asset List'!$A$4:$A$60,0),MATCH('4'!$C$1,'Unique Asset List'!$BU$3:$CA$3,0))</f>
        <v>0.45</v>
      </c>
      <c r="AG34" s="15">
        <f>INDEX('Unique Asset List'!$AZ$4:$BF$60,MATCH('4'!$B34,'Unique Asset List'!$A$4:$A$60,0),MATCH('4'!$C$1,'Unique Asset List'!$AZ$3:$BF$3,0))</f>
        <v>0.06</v>
      </c>
      <c r="AH34" s="15">
        <f>INDEX('Unique Asset List'!$BG$4:$BM$60,MATCH('4'!$B34,'Unique Asset List'!$A$4:$A$60,0),MATCH('4'!$C$1,'Unique Asset List'!$BG$3:$BM$3,0))</f>
        <v>0.45</v>
      </c>
      <c r="AI34" s="11">
        <v>0.96187963349867744</v>
      </c>
      <c r="AJ34" s="15">
        <f>INDEX('Unique Asset List'!$AL$4:$AR$60,MATCH('4'!$B34,'Unique Asset List'!$A$4:$A$60,0),MATCH('4'!$C$1,'Unique Asset List'!$AL$3:$AR$3,0))</f>
        <v>1.4542000570988298</v>
      </c>
      <c r="AK34" s="15">
        <f>INDEX('Unique Asset List'!$AS$4:$AY$60,MATCH('4'!$B34,'Unique Asset List'!$A$4:$A$60,0),MATCH('4'!$C$1,'Unique Asset List'!$AS$3:$AY$3,0))</f>
        <v>-0.4950056673809119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5"/>
        <v>0.82</v>
      </c>
      <c r="AS34" s="10">
        <v>1</v>
      </c>
      <c r="AT34" s="4">
        <f>IF($C$5="ON",BT34,MyRating(_E1,$B34,Efficacy!$F$1))</f>
        <v>4</v>
      </c>
      <c r="AU34" s="3">
        <f>IF($C$5="ON",BU34,MyRating(_E2,$B34,Efficacy!$F$1))</f>
        <v>5</v>
      </c>
      <c r="AV34" s="3">
        <f>IF($C$5="ON",BV34,MyRating(_E3,$B34,Efficacy!$F$1))</f>
        <v>5</v>
      </c>
      <c r="AW34" s="3">
        <f>IF($C$5="ON",BW34,MyRating(_E4,$B34,Efficacy!$F$1))</f>
        <v>4</v>
      </c>
      <c r="AX34" s="3">
        <f>IF($C$5="ON",BX34,MyRating(_E5,$B34,Efficacy!$F$1))</f>
        <v>4</v>
      </c>
      <c r="AY34" s="3">
        <f>IF($C$5="ON",BY34,MyRating(_E6,$B34,Efficacy!$F$1))</f>
        <v>3</v>
      </c>
      <c r="AZ34" s="3">
        <f>IF($C$5="ON",BZ34,MyRating(_E7,$B34,Efficacy!$F$1))</f>
        <v>3</v>
      </c>
      <c r="BA34" s="3">
        <f>IF($C$5="ON",CA34,MyRating(_E8,$B34,Efficacy!$F$1))</f>
        <v>4</v>
      </c>
      <c r="BB34" s="3">
        <f>IF($C$5="ON",CB34,MyRating(_S1,$B34,Efficacy!$F$1))</f>
        <v>5</v>
      </c>
      <c r="BC34" s="3">
        <f>IF($C$5="ON",CC34,MyRating(_S2,$B34,Efficacy!$F$1))</f>
        <v>3</v>
      </c>
      <c r="BD34" s="3">
        <f>IF($C$5="ON",CD34,MyRating(_S3,$B34,Efficacy!$F$1))</f>
        <v>3</v>
      </c>
      <c r="BE34" s="3">
        <f>IF($C$5="ON",CE34,MyRating(_S4,$B34,Efficacy!$F$1))</f>
        <v>4</v>
      </c>
      <c r="BF34" s="3">
        <f>IF($C$5="ON",CF34,MyRating(_S5,$B34,Efficacy!$F$1))</f>
        <v>5</v>
      </c>
      <c r="BG34" s="3">
        <f>IF($C$5="ON",CG34,MyRating(_S6,$B34,Efficacy!$F$1))</f>
        <v>3</v>
      </c>
      <c r="BH34" s="3">
        <f>IF($C$5="ON",CH34,MyRating(_S7,$B34,Efficacy!$F$1))</f>
        <v>3</v>
      </c>
      <c r="BI34" s="3">
        <f>IF($C$5="ON",CI34,MyRating(_D1,$B34,Efficacy!$F$1))</f>
        <v>3</v>
      </c>
      <c r="BJ34" s="3">
        <f>IF($C$5="ON",CJ34,MyRating(_D2,$B34,Efficacy!$F$1))</f>
        <v>3</v>
      </c>
      <c r="BK34" s="3">
        <f>IF($C$5="ON",CK34,MyRating(_D3,$B34,Efficacy!$F$1))</f>
        <v>3</v>
      </c>
      <c r="BL34" s="3">
        <f>IF($C$5="ON",CL34,MyRating(_D4,$B34,Efficacy!$F$1))</f>
        <v>3</v>
      </c>
      <c r="BM34" s="3">
        <f>IF($C$5="ON",CM34,MyRating(_B1G5,$B34,Barrier!$L$2))</f>
        <v>2</v>
      </c>
      <c r="BN34" s="3">
        <f>IF($C$5="ON",CN34,MyRating(_B2,$B34,Barrier!$F$2))</f>
        <v>3</v>
      </c>
      <c r="BO34" s="6">
        <f>IF($C$5="ON",CO34,MyRating(_B3,$B34,Barrier!$F$2))</f>
        <v>3</v>
      </c>
      <c r="BP34" s="5">
        <f t="shared" si="6"/>
        <v>3.6275844714639842E-2</v>
      </c>
      <c r="BQ34" s="8">
        <f t="shared" si="7"/>
        <v>2.9499999999999997</v>
      </c>
      <c r="BR34" s="5">
        <f t="shared" si="8"/>
        <v>3.60415394013439E-2</v>
      </c>
      <c r="BS34" s="7">
        <f t="shared" si="9"/>
        <v>1.8542316878791175E-2</v>
      </c>
      <c r="BT34" s="4">
        <v>4</v>
      </c>
      <c r="BU34" s="3">
        <v>5</v>
      </c>
      <c r="BV34" s="3">
        <v>5</v>
      </c>
      <c r="BW34" s="3">
        <v>4</v>
      </c>
      <c r="BX34" s="3">
        <v>4</v>
      </c>
      <c r="BY34" s="3">
        <v>3</v>
      </c>
      <c r="BZ34" s="3">
        <v>3</v>
      </c>
      <c r="CA34" s="3">
        <v>4</v>
      </c>
      <c r="CB34" s="3">
        <v>5</v>
      </c>
      <c r="CC34" s="3">
        <v>3</v>
      </c>
      <c r="CD34" s="3">
        <v>3</v>
      </c>
      <c r="CE34" s="3">
        <v>4</v>
      </c>
      <c r="CF34" s="3">
        <v>5</v>
      </c>
      <c r="CG34" s="3">
        <v>3</v>
      </c>
      <c r="CH34" s="3">
        <v>3</v>
      </c>
      <c r="CI34" s="3">
        <v>3</v>
      </c>
      <c r="CJ34" s="3">
        <v>3</v>
      </c>
      <c r="CK34" s="3">
        <v>3</v>
      </c>
      <c r="CL34" s="3">
        <v>3</v>
      </c>
      <c r="CM34" s="3">
        <v>2</v>
      </c>
      <c r="CN34" s="3">
        <v>3</v>
      </c>
      <c r="CO34" s="6">
        <v>3</v>
      </c>
      <c r="CP34" s="5">
        <v>3.6275844714639842E-2</v>
      </c>
    </row>
    <row r="35" spans="1:94" x14ac:dyDescent="0.35">
      <c r="A35" s="9" t="str">
        <f t="shared" si="0"/>
        <v>UK</v>
      </c>
      <c r="B35" s="9" t="s">
        <v>56</v>
      </c>
      <c r="C35" s="20"/>
      <c r="D35" s="9" t="s">
        <v>55</v>
      </c>
      <c r="E35" s="9" t="s">
        <v>193</v>
      </c>
      <c r="F35" s="9" t="s">
        <v>51</v>
      </c>
      <c r="G35" s="19">
        <v>0</v>
      </c>
      <c r="H35" s="9">
        <v>2014</v>
      </c>
      <c r="I35" s="9">
        <v>6</v>
      </c>
      <c r="J35" s="18">
        <f>INDEX(PTRS!$D$6:$D$12,MATCH('4'!$F35,PTRS!$B$6:$B$12,0))</f>
        <v>0.1638</v>
      </c>
      <c r="K35" s="17">
        <v>0</v>
      </c>
      <c r="L35" s="17">
        <v>0.1044225</v>
      </c>
      <c r="M35" s="17">
        <v>5.4600000000000003E-2</v>
      </c>
      <c r="N35" s="17">
        <v>0.1044225</v>
      </c>
      <c r="O35" s="17">
        <v>0.1044225</v>
      </c>
      <c r="P35" s="17">
        <v>0.1638</v>
      </c>
      <c r="Q35" s="17">
        <v>0.1044225</v>
      </c>
      <c r="R35" s="17">
        <v>0.1044225</v>
      </c>
      <c r="S35" s="17">
        <v>1</v>
      </c>
      <c r="T35" s="17"/>
      <c r="U35" s="17">
        <f t="shared" si="1"/>
        <v>0.72649652910676854</v>
      </c>
      <c r="V35" s="17">
        <v>1</v>
      </c>
      <c r="W35" s="9" t="s">
        <v>54</v>
      </c>
      <c r="X35" s="9">
        <f>INDEX('Unique Asset List'!$C$4:$I$60,MATCH('4'!$B35,'Unique Asset List'!$A$4:$A$60,0),MATCH('4'!$C$1,'Unique Asset List'!$C$3:$I$3,0))</f>
        <v>2023</v>
      </c>
      <c r="Y35" s="9">
        <f>INDEX('Unique Asset List'!$J$4:$P$60,MATCH('4'!$B35,'Unique Asset List'!$A$4:$A$60,0),MATCH('4'!$C$1,'Unique Asset List'!$J$3:$P$3,0))</f>
        <v>9</v>
      </c>
      <c r="Z35" s="9">
        <f>INDEX('Unique Asset List'!$X$4:$AD$60,MATCH('4'!$B35,'Unique Asset List'!$A$4:$A$60,0),MATCH('4'!$C$1,'Unique Asset List'!$X$3:$AD$3,0))</f>
        <v>2036</v>
      </c>
      <c r="AA35" s="9">
        <f>INDEX('Unique Asset List'!$AE$4:$AK$60,MATCH('4'!$B35,'Unique Asset List'!$A$4:$A$60,0),MATCH('4'!$C$1,'Unique Asset List'!$AE$3:$AK$3,0))</f>
        <v>9</v>
      </c>
      <c r="AB35" s="16">
        <f t="shared" si="2"/>
        <v>1.6014190000000001</v>
      </c>
      <c r="AC35" s="16">
        <f t="shared" si="3"/>
        <v>0.78788900000000006</v>
      </c>
      <c r="AD35" s="16">
        <f t="shared" si="4"/>
        <v>0.56099999999999994</v>
      </c>
      <c r="AE35" s="15">
        <f>INDEX('Unique Asset List'!$BN$4:$BT$60,MATCH('4'!$B35,'Unique Asset List'!$A$4:$A$60,0),MATCH('4'!$C$1,'Unique Asset List'!$BN$3:$BT$3,0))</f>
        <v>0.05</v>
      </c>
      <c r="AF35" s="15">
        <f>INDEX('Unique Asset List'!$BU$4:$CA$60,MATCH('4'!$B35,'Unique Asset List'!$A$4:$A$60,0),MATCH('4'!$C$1,'Unique Asset List'!$BU$3:$CA$3,0))</f>
        <v>0.45</v>
      </c>
      <c r="AG35" s="15">
        <f>INDEX('Unique Asset List'!$AZ$4:$BF$60,MATCH('4'!$B35,'Unique Asset List'!$A$4:$A$60,0),MATCH('4'!$C$1,'Unique Asset List'!$AZ$3:$BF$3,0))</f>
        <v>0.05</v>
      </c>
      <c r="AH35" s="15">
        <f>INDEX('Unique Asset List'!$BG$4:$BM$60,MATCH('4'!$B35,'Unique Asset List'!$A$4:$A$60,0),MATCH('4'!$C$1,'Unique Asset List'!$BG$3:$BM$3,0))</f>
        <v>0.45</v>
      </c>
      <c r="AI35" s="11">
        <v>0.96187963349867744</v>
      </c>
      <c r="AJ35" s="15">
        <f>INDEX('Unique Asset List'!$AL$4:$AR$60,MATCH('4'!$B35,'Unique Asset List'!$A$4:$A$60,0),MATCH('4'!$C$1,'Unique Asset List'!$AL$3:$AR$3,0))</f>
        <v>1.4542000570988298</v>
      </c>
      <c r="AK35" s="15">
        <f>INDEX('Unique Asset List'!$AS$4:$AY$60,MATCH('4'!$B35,'Unique Asset List'!$A$4:$A$60,0),MATCH('4'!$C$1,'Unique Asset List'!$AS$3:$AY$3,0))</f>
        <v>-0.4950056673809119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5"/>
        <v>0.82</v>
      </c>
      <c r="AS35" s="10">
        <v>1</v>
      </c>
      <c r="AT35" s="4">
        <f>IF($C$5="ON",BT35,MyRating(_E1,$B35,Efficacy!$F$1))</f>
        <v>2</v>
      </c>
      <c r="AU35" s="3">
        <f>IF($C$5="ON",BU35,MyRating(_E2,$B35,Efficacy!$F$1))</f>
        <v>3</v>
      </c>
      <c r="AV35" s="3">
        <f>IF($C$5="ON",BV35,MyRating(_E3,$B35,Efficacy!$F$1))</f>
        <v>3</v>
      </c>
      <c r="AW35" s="3">
        <f>IF($C$5="ON",BW35,MyRating(_E4,$B35,Efficacy!$F$1))</f>
        <v>3</v>
      </c>
      <c r="AX35" s="3">
        <f>IF($C$5="ON",BX35,MyRating(_E5,$B35,Efficacy!$F$1))</f>
        <v>3</v>
      </c>
      <c r="AY35" s="3">
        <f>IF($C$5="ON",BY35,MyRating(_E6,$B35,Efficacy!$F$1))</f>
        <v>3</v>
      </c>
      <c r="AZ35" s="3">
        <f>IF($C$5="ON",BZ35,MyRating(_E7,$B35,Efficacy!$F$1))</f>
        <v>3</v>
      </c>
      <c r="BA35" s="3">
        <f>IF($C$5="ON",CA35,MyRating(_E8,$B35,Efficacy!$F$1))</f>
        <v>3</v>
      </c>
      <c r="BB35" s="3">
        <f>IF($C$5="ON",CB35,MyRating(_S1,$B35,Efficacy!$F$1))</f>
        <v>3</v>
      </c>
      <c r="BC35" s="3">
        <f>IF($C$5="ON",CC35,MyRating(_S2,$B35,Efficacy!$F$1))</f>
        <v>3</v>
      </c>
      <c r="BD35" s="3">
        <f>IF($C$5="ON",CD35,MyRating(_S3,$B35,Efficacy!$F$1))</f>
        <v>3</v>
      </c>
      <c r="BE35" s="3">
        <f>IF($C$5="ON",CE35,MyRating(_S4,$B35,Efficacy!$F$1))</f>
        <v>4</v>
      </c>
      <c r="BF35" s="3">
        <f>IF($C$5="ON",CF35,MyRating(_S5,$B35,Efficacy!$F$1))</f>
        <v>3</v>
      </c>
      <c r="BG35" s="3">
        <f>IF($C$5="ON",CG35,MyRating(_S6,$B35,Efficacy!$F$1))</f>
        <v>3</v>
      </c>
      <c r="BH35" s="3">
        <f>IF($C$5="ON",CH35,MyRating(_S7,$B35,Efficacy!$F$1))</f>
        <v>3</v>
      </c>
      <c r="BI35" s="3">
        <f>IF($C$5="ON",CI35,MyRating(_D1,$B35,Efficacy!$F$1))</f>
        <v>3</v>
      </c>
      <c r="BJ35" s="3">
        <f>IF($C$5="ON",CJ35,MyRating(_D2,$B35,Efficacy!$F$1))</f>
        <v>3</v>
      </c>
      <c r="BK35" s="3">
        <f>IF($C$5="ON",CK35,MyRating(_D3,$B35,Efficacy!$F$1))</f>
        <v>3</v>
      </c>
      <c r="BL35" s="3">
        <f>IF($C$5="ON",CL35,MyRating(_D4,$B35,Efficacy!$F$1))</f>
        <v>3</v>
      </c>
      <c r="BM35" s="3">
        <f>IF($C$5="ON",CM35,MyRating(_B1G5,$B35,Barrier!$L$2))</f>
        <v>2</v>
      </c>
      <c r="BN35" s="3">
        <f>IF($C$5="ON",CN35,MyRating(_B2,$B35,Barrier!$F$2))</f>
        <v>3</v>
      </c>
      <c r="BO35" s="6">
        <f>IF($C$5="ON",CO35,MyRating(_B3,$B35,Barrier!$F$2))</f>
        <v>3</v>
      </c>
      <c r="BP35" s="5">
        <f t="shared" si="6"/>
        <v>3.6275844714639842E-2</v>
      </c>
      <c r="BQ35" s="8">
        <f t="shared" si="7"/>
        <v>2.9499999999999997</v>
      </c>
      <c r="BR35" s="5">
        <f t="shared" si="8"/>
        <v>3.60415394013439E-2</v>
      </c>
      <c r="BS35" s="7">
        <f t="shared" si="9"/>
        <v>1.8542316878791175E-2</v>
      </c>
      <c r="BT35" s="4">
        <v>2</v>
      </c>
      <c r="BU35" s="3">
        <v>3</v>
      </c>
      <c r="BV35" s="3">
        <v>3</v>
      </c>
      <c r="BW35" s="3">
        <v>3</v>
      </c>
      <c r="BX35" s="3">
        <v>3</v>
      </c>
      <c r="BY35" s="3">
        <v>3</v>
      </c>
      <c r="BZ35" s="3">
        <v>3</v>
      </c>
      <c r="CA35" s="3">
        <v>3</v>
      </c>
      <c r="CB35" s="3">
        <v>3</v>
      </c>
      <c r="CC35" s="3">
        <v>3</v>
      </c>
      <c r="CD35" s="3">
        <v>3</v>
      </c>
      <c r="CE35" s="3">
        <v>4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2</v>
      </c>
      <c r="CN35" s="3">
        <v>3</v>
      </c>
      <c r="CO35" s="6">
        <v>3</v>
      </c>
      <c r="CP35" s="5">
        <v>3.6275844714639842E-2</v>
      </c>
    </row>
    <row r="36" spans="1:94" x14ac:dyDescent="0.35">
      <c r="A36" s="9" t="str">
        <f t="shared" si="0"/>
        <v>UK</v>
      </c>
      <c r="B36" s="9" t="s">
        <v>53</v>
      </c>
      <c r="C36" s="20"/>
      <c r="D36" s="9" t="s">
        <v>52</v>
      </c>
      <c r="E36" s="9" t="s">
        <v>193</v>
      </c>
      <c r="F36" s="9" t="s">
        <v>51</v>
      </c>
      <c r="G36" s="19">
        <v>0</v>
      </c>
      <c r="H36" s="9">
        <v>2014</v>
      </c>
      <c r="I36" s="9">
        <v>6</v>
      </c>
      <c r="J36" s="18">
        <f>INDEX(PTRS!$D$6:$D$12,MATCH('4'!$F36,PTRS!$B$6:$B$12,0))</f>
        <v>0.1638</v>
      </c>
      <c r="K36" s="17">
        <v>0</v>
      </c>
      <c r="L36" s="17">
        <v>0.1044225</v>
      </c>
      <c r="M36" s="17">
        <v>0.1638</v>
      </c>
      <c r="N36" s="17">
        <v>0.1044225</v>
      </c>
      <c r="O36" s="17">
        <v>0.1044225</v>
      </c>
      <c r="P36" s="17">
        <v>0.1638</v>
      </c>
      <c r="Q36" s="17">
        <v>0.1044225</v>
      </c>
      <c r="R36" s="17">
        <v>0.1044225</v>
      </c>
      <c r="S36" s="17">
        <v>1</v>
      </c>
      <c r="T36" s="17"/>
      <c r="U36" s="17">
        <f t="shared" si="1"/>
        <v>0.72649652910676854</v>
      </c>
      <c r="V36" s="17">
        <v>1</v>
      </c>
      <c r="W36" s="9" t="s">
        <v>50</v>
      </c>
      <c r="X36" s="9">
        <f>INDEX('Unique Asset List'!$C$4:$I$60,MATCH('4'!$B36,'Unique Asset List'!$A$4:$A$60,0),MATCH('4'!$C$1,'Unique Asset List'!$C$3:$I$3,0))</f>
        <v>2024</v>
      </c>
      <c r="Y36" s="9">
        <f>INDEX('Unique Asset List'!$J$4:$P$60,MATCH('4'!$B36,'Unique Asset List'!$A$4:$A$60,0),MATCH('4'!$C$1,'Unique Asset List'!$J$3:$P$3,0))</f>
        <v>9</v>
      </c>
      <c r="Z36" s="9">
        <f>INDEX('Unique Asset List'!$X$4:$AD$60,MATCH('4'!$B36,'Unique Asset List'!$A$4:$A$60,0),MATCH('4'!$C$1,'Unique Asset List'!$X$3:$AD$3,0))</f>
        <v>2036</v>
      </c>
      <c r="AA36" s="9">
        <f>INDEX('Unique Asset List'!$AE$4:$AK$60,MATCH('4'!$B36,'Unique Asset List'!$A$4:$A$60,0),MATCH('4'!$C$1,'Unique Asset List'!$AE$3:$AK$3,0))</f>
        <v>9</v>
      </c>
      <c r="AB36" s="16">
        <f t="shared" si="2"/>
        <v>1.6860000000000002</v>
      </c>
      <c r="AC36" s="16">
        <f t="shared" si="3"/>
        <v>0.7529247</v>
      </c>
      <c r="AD36" s="16">
        <f t="shared" si="4"/>
        <v>0.56099999999999994</v>
      </c>
      <c r="AE36" s="15">
        <f>INDEX('Unique Asset List'!$BN$4:$BT$60,MATCH('4'!$B36,'Unique Asset List'!$A$4:$A$60,0),MATCH('4'!$C$1,'Unique Asset List'!$BN$3:$BT$3,0))</f>
        <v>0.05</v>
      </c>
      <c r="AF36" s="15">
        <f>INDEX('Unique Asset List'!$BU$4:$CA$60,MATCH('4'!$B36,'Unique Asset List'!$A$4:$A$60,0),MATCH('4'!$C$1,'Unique Asset List'!$BU$3:$CA$3,0))</f>
        <v>0.45</v>
      </c>
      <c r="AG36" s="15">
        <f>INDEX('Unique Asset List'!$AZ$4:$BF$60,MATCH('4'!$B36,'Unique Asset List'!$A$4:$A$60,0),MATCH('4'!$C$1,'Unique Asset List'!$AZ$3:$BF$3,0))</f>
        <v>0.05</v>
      </c>
      <c r="AH36" s="15">
        <f>INDEX('Unique Asset List'!$BG$4:$BM$60,MATCH('4'!$B36,'Unique Asset List'!$A$4:$A$60,0),MATCH('4'!$C$1,'Unique Asset List'!$BG$3:$BM$3,0))</f>
        <v>0.45</v>
      </c>
      <c r="AI36" s="11">
        <v>0.96187963349867744</v>
      </c>
      <c r="AJ36" s="15">
        <f>INDEX('Unique Asset List'!$AL$4:$AR$60,MATCH('4'!$B36,'Unique Asset List'!$A$4:$A$60,0),MATCH('4'!$C$1,'Unique Asset List'!$AL$3:$AR$3,0))</f>
        <v>1.4542000570988298</v>
      </c>
      <c r="AK36" s="15">
        <f>INDEX('Unique Asset List'!$AS$4:$AY$60,MATCH('4'!$B36,'Unique Asset List'!$A$4:$A$60,0),MATCH('4'!$C$1,'Unique Asset List'!$AS$3:$AY$3,0))</f>
        <v>-0.4950056673809119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5"/>
        <v>0.82</v>
      </c>
      <c r="AS36" s="10">
        <v>1</v>
      </c>
      <c r="AT36" s="4">
        <f>IF($C$5="ON",BT36,MyRating(_E1,$B36,Efficacy!$F$1))</f>
        <v>3</v>
      </c>
      <c r="AU36" s="3">
        <f>IF($C$5="ON",BU36,MyRating(_E2,$B36,Efficacy!$F$1))</f>
        <v>3</v>
      </c>
      <c r="AV36" s="3">
        <f>IF($C$5="ON",BV36,MyRating(_E3,$B36,Efficacy!$F$1))</f>
        <v>3</v>
      </c>
      <c r="AW36" s="3">
        <f>IF($C$5="ON",BW36,MyRating(_E4,$B36,Efficacy!$F$1))</f>
        <v>3</v>
      </c>
      <c r="AX36" s="3">
        <f>IF($C$5="ON",BX36,MyRating(_E5,$B36,Efficacy!$F$1))</f>
        <v>3</v>
      </c>
      <c r="AY36" s="3">
        <f>IF($C$5="ON",BY36,MyRating(_E6,$B36,Efficacy!$F$1))</f>
        <v>3</v>
      </c>
      <c r="AZ36" s="3">
        <f>IF($C$5="ON",BZ36,MyRating(_E7,$B36,Efficacy!$F$1))</f>
        <v>3</v>
      </c>
      <c r="BA36" s="3">
        <f>IF($C$5="ON",CA36,MyRating(_E8,$B36,Efficacy!$F$1))</f>
        <v>3</v>
      </c>
      <c r="BB36" s="3">
        <f>IF($C$5="ON",CB36,MyRating(_S1,$B36,Efficacy!$F$1))</f>
        <v>3</v>
      </c>
      <c r="BC36" s="3">
        <f>IF($C$5="ON",CC36,MyRating(_S2,$B36,Efficacy!$F$1))</f>
        <v>3</v>
      </c>
      <c r="BD36" s="3">
        <f>IF($C$5="ON",CD36,MyRating(_S3,$B36,Efficacy!$F$1))</f>
        <v>3</v>
      </c>
      <c r="BE36" s="3">
        <f>IF($C$5="ON",CE36,MyRating(_S4,$B36,Efficacy!$F$1))</f>
        <v>3</v>
      </c>
      <c r="BF36" s="3">
        <f>IF($C$5="ON",CF36,MyRating(_S5,$B36,Efficacy!$F$1))</f>
        <v>3</v>
      </c>
      <c r="BG36" s="3">
        <f>IF($C$5="ON",CG36,MyRating(_S6,$B36,Efficacy!$F$1))</f>
        <v>3</v>
      </c>
      <c r="BH36" s="3">
        <f>IF($C$5="ON",CH36,MyRating(_S7,$B36,Efficacy!$F$1))</f>
        <v>3</v>
      </c>
      <c r="BI36" s="3">
        <f>IF($C$5="ON",CI36,MyRating(_D1,$B36,Efficacy!$F$1))</f>
        <v>3</v>
      </c>
      <c r="BJ36" s="3">
        <f>IF($C$5="ON",CJ36,MyRating(_D2,$B36,Efficacy!$F$1))</f>
        <v>3</v>
      </c>
      <c r="BK36" s="3">
        <f>IF($C$5="ON",CK36,MyRating(_D3,$B36,Efficacy!$F$1))</f>
        <v>3</v>
      </c>
      <c r="BL36" s="3">
        <f>IF($C$5="ON",CL36,MyRating(_D4,$B36,Efficacy!$F$1))</f>
        <v>3</v>
      </c>
      <c r="BM36" s="3">
        <f>IF($C$5="ON",CM36,MyRating(_B1G5,$B36,Barrier!$L$2))</f>
        <v>2</v>
      </c>
      <c r="BN36" s="3">
        <f>IF($C$5="ON",CN36,MyRating(_B2,$B36,Barrier!$F$2))</f>
        <v>3</v>
      </c>
      <c r="BO36" s="6">
        <f>IF($C$5="ON",CO36,MyRating(_B3,$B36,Barrier!$F$2))</f>
        <v>3</v>
      </c>
      <c r="BP36" s="5">
        <f t="shared" si="6"/>
        <v>3.6275844714639842E-2</v>
      </c>
      <c r="BQ36" s="8">
        <f t="shared" si="7"/>
        <v>2.9499999999999997</v>
      </c>
      <c r="BR36" s="5">
        <f t="shared" si="8"/>
        <v>3.60415394013439E-2</v>
      </c>
      <c r="BS36" s="7">
        <f t="shared" si="9"/>
        <v>1.8542316878791175E-2</v>
      </c>
      <c r="BT36" s="4">
        <v>3</v>
      </c>
      <c r="BU36" s="3">
        <v>3</v>
      </c>
      <c r="BV36" s="3">
        <v>3</v>
      </c>
      <c r="BW36" s="3">
        <v>3</v>
      </c>
      <c r="BX36" s="3">
        <v>3</v>
      </c>
      <c r="BY36" s="3">
        <v>3</v>
      </c>
      <c r="BZ36" s="3">
        <v>3</v>
      </c>
      <c r="CA36" s="3">
        <v>3</v>
      </c>
      <c r="CB36" s="3">
        <v>3</v>
      </c>
      <c r="CC36" s="3">
        <v>3</v>
      </c>
      <c r="CD36" s="3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2</v>
      </c>
      <c r="CN36" s="3">
        <v>3</v>
      </c>
      <c r="CO36" s="6">
        <v>3</v>
      </c>
      <c r="CP36" s="5">
        <v>3.6275844714639842E-2</v>
      </c>
    </row>
    <row r="37" spans="1:94" x14ac:dyDescent="0.35">
      <c r="A37" s="9" t="str">
        <f t="shared" si="0"/>
        <v>UK</v>
      </c>
      <c r="B37" s="9" t="s">
        <v>45</v>
      </c>
      <c r="C37" s="20"/>
      <c r="D37" s="9" t="s">
        <v>44</v>
      </c>
      <c r="E37" s="9" t="s">
        <v>193</v>
      </c>
      <c r="F37" s="9" t="s">
        <v>43</v>
      </c>
      <c r="G37" s="19">
        <v>0</v>
      </c>
      <c r="H37" s="9">
        <v>2014</v>
      </c>
      <c r="I37" s="9">
        <v>6</v>
      </c>
      <c r="J37" s="18">
        <f>INDEX(PTRS!$D$6:$D$12,MATCH('4'!$F37,PTRS!$B$6:$B$12,0))</f>
        <v>0.40949999999999998</v>
      </c>
      <c r="K37" s="17">
        <v>0</v>
      </c>
      <c r="L37" s="17">
        <v>0.1044225</v>
      </c>
      <c r="M37" s="17">
        <v>0.40949999999999998</v>
      </c>
      <c r="N37" s="17">
        <v>0.41</v>
      </c>
      <c r="O37" s="17">
        <v>0.41</v>
      </c>
      <c r="P37" s="17">
        <v>0.1044225</v>
      </c>
      <c r="Q37" s="17">
        <v>0.1044225</v>
      </c>
      <c r="R37" s="17">
        <v>0.1044225</v>
      </c>
      <c r="S37" s="17">
        <v>1</v>
      </c>
      <c r="T37" s="17"/>
      <c r="U37" s="22">
        <v>0.73</v>
      </c>
      <c r="V37" s="17">
        <v>1</v>
      </c>
      <c r="W37" s="9" t="s">
        <v>42</v>
      </c>
      <c r="X37" s="9">
        <f>INDEX('Unique Asset List'!$C$4:$I$60,MATCH('4'!$B37,'Unique Asset List'!$A$4:$A$60,0),MATCH('4'!$C$1,'Unique Asset List'!$C$3:$I$3,0))</f>
        <v>2022</v>
      </c>
      <c r="Y37" s="9">
        <f>INDEX('Unique Asset List'!$J$4:$P$60,MATCH('4'!$B37,'Unique Asset List'!$A$4:$A$60,0),MATCH('4'!$C$1,'Unique Asset List'!$J$3:$P$3,0))</f>
        <v>0.99999999999909051</v>
      </c>
      <c r="Z37" s="9">
        <f>INDEX('Unique Asset List'!$X$4:$AD$60,MATCH('4'!$B37,'Unique Asset List'!$A$4:$A$60,0),MATCH('4'!$C$1,'Unique Asset List'!$X$3:$AD$3,0))</f>
        <v>2035</v>
      </c>
      <c r="AA37" s="9">
        <f>INDEX('Unique Asset List'!$AE$4:$AK$60,MATCH('4'!$B37,'Unique Asset List'!$A$4:$A$60,0),MATCH('4'!$C$1,'Unique Asset List'!$AE$3:$AK$3,0))</f>
        <v>1</v>
      </c>
      <c r="AB37" s="23">
        <v>1.57</v>
      </c>
      <c r="AC37" s="23">
        <v>0.65</v>
      </c>
      <c r="AD37" s="23">
        <v>0.5</v>
      </c>
      <c r="AE37" s="15">
        <f>INDEX('Unique Asset List'!$BN$4:$BT$60,MATCH('4'!$B37,'Unique Asset List'!$A$4:$A$60,0),MATCH('4'!$C$1,'Unique Asset List'!$BN$3:$BT$3,0))</f>
        <v>0.05</v>
      </c>
      <c r="AF37" s="15">
        <f>INDEX('Unique Asset List'!$BU$4:$CA$60,MATCH('4'!$B37,'Unique Asset List'!$A$4:$A$60,0),MATCH('4'!$C$1,'Unique Asset List'!$BU$3:$CA$3,0))</f>
        <v>0.45</v>
      </c>
      <c r="AG37" s="15">
        <f>INDEX('Unique Asset List'!$AZ$4:$BF$60,MATCH('4'!$B37,'Unique Asset List'!$A$4:$A$60,0),MATCH('4'!$C$1,'Unique Asset List'!$AZ$3:$BF$3,0))</f>
        <v>0.05</v>
      </c>
      <c r="AH37" s="15">
        <f>INDEX('Unique Asset List'!$BG$4:$BM$60,MATCH('4'!$B37,'Unique Asset List'!$A$4:$A$60,0),MATCH('4'!$C$1,'Unique Asset List'!$BG$3:$BM$3,0))</f>
        <v>0.45</v>
      </c>
      <c r="AI37" s="11">
        <v>0.96187963349867744</v>
      </c>
      <c r="AJ37" s="15">
        <f>INDEX('Unique Asset List'!$AL$4:$AR$60,MATCH('4'!$B37,'Unique Asset List'!$A$4:$A$60,0),MATCH('4'!$C$1,'Unique Asset List'!$AL$3:$AR$3,0))</f>
        <v>1.4542000570988298</v>
      </c>
      <c r="AK37" s="15">
        <f>INDEX('Unique Asset List'!$AS$4:$AY$60,MATCH('4'!$B37,'Unique Asset List'!$A$4:$A$60,0),MATCH('4'!$C$1,'Unique Asset List'!$AS$3:$AY$3,0))</f>
        <v>-0.4950056673809119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5"/>
        <v>0.82</v>
      </c>
      <c r="AS37" s="10">
        <v>1</v>
      </c>
      <c r="AT37" s="4">
        <f>IF($C$5="ON",BT37,MyRating(_E1,$B37,Efficacy!$F$1))</f>
        <v>0</v>
      </c>
      <c r="AU37" s="3">
        <f>IF($C$5="ON",BU37,MyRating(_E2,$B37,Efficacy!$F$1))</f>
        <v>0</v>
      </c>
      <c r="AV37" s="3">
        <f>IF($C$5="ON",BV37,MyRating(_E3,$B37,Efficacy!$F$1))</f>
        <v>0</v>
      </c>
      <c r="AW37" s="3">
        <f>IF($C$5="ON",BW37,MyRating(_E4,$B37,Efficacy!$F$1))</f>
        <v>0</v>
      </c>
      <c r="AX37" s="3">
        <f>IF($C$5="ON",BX37,MyRating(_E5,$B37,Efficacy!$F$1))</f>
        <v>0</v>
      </c>
      <c r="AY37" s="3">
        <f>IF($C$5="ON",BY37,MyRating(_E6,$B37,Efficacy!$F$1))</f>
        <v>0</v>
      </c>
      <c r="AZ37" s="3">
        <f>IF($C$5="ON",BZ37,MyRating(_E7,$B37,Efficacy!$F$1))</f>
        <v>0</v>
      </c>
      <c r="BA37" s="3">
        <f>IF($C$5="ON",CA37,MyRating(_E8,$B37,Efficacy!$F$1))</f>
        <v>0</v>
      </c>
      <c r="BB37" s="3">
        <f>IF($C$5="ON",CB37,MyRating(_S1,$B37,Efficacy!$F$1))</f>
        <v>0</v>
      </c>
      <c r="BC37" s="3">
        <f>IF($C$5="ON",CC37,MyRating(_S2,$B37,Efficacy!$F$1))</f>
        <v>0</v>
      </c>
      <c r="BD37" s="3">
        <f>IF($C$5="ON",CD37,MyRating(_S3,$B37,Efficacy!$F$1))</f>
        <v>0</v>
      </c>
      <c r="BE37" s="3">
        <f>IF($C$5="ON",CE37,MyRating(_S4,$B37,Efficacy!$F$1))</f>
        <v>0</v>
      </c>
      <c r="BF37" s="3">
        <f>IF($C$5="ON",CF37,MyRating(_S5,$B37,Efficacy!$F$1))</f>
        <v>0</v>
      </c>
      <c r="BG37" s="3">
        <f>IF($C$5="ON",CG37,MyRating(_S6,$B37,Efficacy!$F$1))</f>
        <v>0</v>
      </c>
      <c r="BH37" s="3">
        <f>IF($C$5="ON",CH37,MyRating(_S7,$B37,Efficacy!$F$1))</f>
        <v>0</v>
      </c>
      <c r="BI37" s="3">
        <f>IF($C$5="ON",CI37,MyRating(_D1,$B37,Efficacy!$F$1))</f>
        <v>0</v>
      </c>
      <c r="BJ37" s="3">
        <f>IF($C$5="ON",CJ37,MyRating(_D2,$B37,Efficacy!$F$1))</f>
        <v>0</v>
      </c>
      <c r="BK37" s="3">
        <f>IF($C$5="ON",CK37,MyRating(_D3,$B37,Efficacy!$F$1))</f>
        <v>0</v>
      </c>
      <c r="BL37" s="3">
        <f>IF($C$5="ON",CL37,MyRating(_D4,$B37,Efficacy!$F$1))</f>
        <v>0</v>
      </c>
      <c r="BM37" s="3">
        <f>IF($C$5="ON",CM37,MyRating(_B1G5,$B37,Barrier!$L$2))</f>
        <v>0</v>
      </c>
      <c r="BN37" s="3">
        <f>IF($C$5="ON",CN37,MyRating(_B2,$B37,Barrier!$F$2))</f>
        <v>0</v>
      </c>
      <c r="BO37" s="6">
        <f>IF($C$5="ON",CO37,MyRating(_B3,$B37,Barrier!$F$2))</f>
        <v>0</v>
      </c>
      <c r="BP37" s="5">
        <f t="shared" si="6"/>
        <v>0</v>
      </c>
      <c r="BQ37" s="8">
        <f t="shared" si="7"/>
        <v>0</v>
      </c>
      <c r="BR37" s="5">
        <f t="shared" si="8"/>
        <v>0</v>
      </c>
      <c r="BS37" s="7">
        <f t="shared" si="9"/>
        <v>0</v>
      </c>
      <c r="BT37" s="4">
        <v>0</v>
      </c>
      <c r="BU37" s="3">
        <v>0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6">
        <v>0</v>
      </c>
      <c r="CP37" s="5">
        <v>0</v>
      </c>
    </row>
    <row r="38" spans="1:94" x14ac:dyDescent="0.35">
      <c r="A38" s="9" t="str">
        <f t="shared" si="0"/>
        <v>UK</v>
      </c>
      <c r="B38" s="9" t="s">
        <v>41</v>
      </c>
      <c r="C38" s="20"/>
      <c r="D38" s="9" t="s">
        <v>194</v>
      </c>
      <c r="E38" s="9" t="s">
        <v>193</v>
      </c>
      <c r="F38" s="9" t="s">
        <v>1</v>
      </c>
      <c r="G38" s="19">
        <v>0</v>
      </c>
      <c r="H38" s="9">
        <v>2014</v>
      </c>
      <c r="I38" s="9">
        <v>6</v>
      </c>
      <c r="J38" s="18">
        <f>INDEX(PTRS!$D$6:$D$12,MATCH('4'!$F38,PTRS!$B$6:$B$12,0))</f>
        <v>0.1044225</v>
      </c>
      <c r="K38" s="17">
        <v>0</v>
      </c>
      <c r="L38" s="17">
        <v>0.1044225</v>
      </c>
      <c r="M38" s="17">
        <v>0.1044225</v>
      </c>
      <c r="N38" s="17">
        <v>0.1044225</v>
      </c>
      <c r="O38" s="17">
        <v>0.1044225</v>
      </c>
      <c r="P38" s="17">
        <v>0.1044225</v>
      </c>
      <c r="Q38" s="17">
        <v>0.1044225</v>
      </c>
      <c r="R38" s="17">
        <v>0.1044225</v>
      </c>
      <c r="S38" s="17">
        <v>1</v>
      </c>
      <c r="T38" s="17" t="s">
        <v>39</v>
      </c>
      <c r="U38" s="22">
        <v>0.72649652910676854</v>
      </c>
      <c r="V38" s="17">
        <v>1</v>
      </c>
      <c r="W38" s="59" t="s">
        <v>38</v>
      </c>
      <c r="X38" s="9">
        <f>INDEX('Unique Asset List'!$C$4:$I$60,MATCH('4'!$B38,'Unique Asset List'!$A$4:$A$60,0),MATCH('4'!$C$1,'Unique Asset List'!$C$3:$I$3,0))</f>
        <v>2028</v>
      </c>
      <c r="Y38" s="9">
        <f>INDEX('Unique Asset List'!$J$4:$P$60,MATCH('4'!$B38,'Unique Asset List'!$A$4:$A$60,0),MATCH('4'!$C$1,'Unique Asset List'!$J$3:$P$3,0))</f>
        <v>3</v>
      </c>
      <c r="Z38" s="9">
        <f>INDEX('Unique Asset List'!$X$4:$AD$60,MATCH('4'!$B38,'Unique Asset List'!$A$4:$A$60,0),MATCH('4'!$C$1,'Unique Asset List'!$X$3:$AD$3,0))</f>
        <v>2038</v>
      </c>
      <c r="AA38" s="9">
        <f>INDEX('Unique Asset List'!$AE$4:$AK$60,MATCH('4'!$B38,'Unique Asset List'!$A$4:$A$60,0),MATCH('4'!$C$1,'Unique Asset List'!$AE$3:$AK$3,0))</f>
        <v>3</v>
      </c>
      <c r="AB38" s="16">
        <f>AB20</f>
        <v>1.7951404000000002</v>
      </c>
      <c r="AC38" s="16">
        <f>AC20</f>
        <v>0.94451300000000005</v>
      </c>
      <c r="AD38" s="16">
        <f>AD20</f>
        <v>0.52097279586</v>
      </c>
      <c r="AE38" s="15">
        <f>INDEX('Unique Asset List'!$BN$4:$BT$60,MATCH('4'!$B38,'Unique Asset List'!$A$4:$A$60,0),MATCH('4'!$C$1,'Unique Asset List'!$BN$3:$BT$3,0))</f>
        <v>0.05</v>
      </c>
      <c r="AF38" s="15">
        <f>INDEX('Unique Asset List'!$BU$4:$CA$60,MATCH('4'!$B38,'Unique Asset List'!$A$4:$A$60,0),MATCH('4'!$C$1,'Unique Asset List'!$BU$3:$CA$3,0))</f>
        <v>0.45</v>
      </c>
      <c r="AG38" s="15">
        <f>INDEX('Unique Asset List'!$AZ$4:$BF$60,MATCH('4'!$B38,'Unique Asset List'!$A$4:$A$60,0),MATCH('4'!$C$1,'Unique Asset List'!$AZ$3:$BF$3,0))</f>
        <v>0.05</v>
      </c>
      <c r="AH38" s="15">
        <f>INDEX('Unique Asset List'!$BG$4:$BM$60,MATCH('4'!$B38,'Unique Asset List'!$A$4:$A$60,0),MATCH('4'!$C$1,'Unique Asset List'!$BG$3:$BM$3,0))</f>
        <v>0.45</v>
      </c>
      <c r="AI38" s="11">
        <v>0.96187963349867744</v>
      </c>
      <c r="AJ38" s="15">
        <f>INDEX('Unique Asset List'!$AL$4:$AR$60,MATCH('4'!$B38,'Unique Asset List'!$A$4:$A$60,0),MATCH('4'!$C$1,'Unique Asset List'!$AL$3:$AR$3,0))</f>
        <v>1.4542000570988298</v>
      </c>
      <c r="AK38" s="15">
        <f>INDEX('Unique Asset List'!$AS$4:$AY$60,MATCH('4'!$B38,'Unique Asset List'!$A$4:$A$60,0),MATCH('4'!$C$1,'Unique Asset List'!$AS$3:$AY$3,0))</f>
        <v>-0.4950056673809119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5"/>
        <v>0.82</v>
      </c>
      <c r="AS38" s="10">
        <v>1</v>
      </c>
      <c r="AT38" s="4">
        <f>IF($C$5="ON",BT38,MyRating(_E1,$B38,Efficacy!$F$1))</f>
        <v>0</v>
      </c>
      <c r="AU38" s="3">
        <f>IF($C$5="ON",BU38,MyRating(_E2,$B38,Efficacy!$F$1))</f>
        <v>0</v>
      </c>
      <c r="AV38" s="3">
        <f>IF($C$5="ON",BV38,MyRating(_E3,$B38,Efficacy!$F$1))</f>
        <v>0</v>
      </c>
      <c r="AW38" s="3">
        <f>IF($C$5="ON",BW38,MyRating(_E4,$B38,Efficacy!$F$1))</f>
        <v>0</v>
      </c>
      <c r="AX38" s="3">
        <f>IF($C$5="ON",BX38,MyRating(_E5,$B38,Efficacy!$F$1))</f>
        <v>0</v>
      </c>
      <c r="AY38" s="3">
        <f>IF($C$5="ON",BY38,MyRating(_E6,$B38,Efficacy!$F$1))</f>
        <v>0</v>
      </c>
      <c r="AZ38" s="3">
        <f>IF($C$5="ON",BZ38,MyRating(_E7,$B38,Efficacy!$F$1))</f>
        <v>0</v>
      </c>
      <c r="BA38" s="3">
        <f>IF($C$5="ON",CA38,MyRating(_E8,$B38,Efficacy!$F$1))</f>
        <v>0</v>
      </c>
      <c r="BB38" s="3">
        <f>IF($C$5="ON",CB38,MyRating(_S1,$B38,Efficacy!$F$1))</f>
        <v>0</v>
      </c>
      <c r="BC38" s="3">
        <f>IF($C$5="ON",CC38,MyRating(_S2,$B38,Efficacy!$F$1))</f>
        <v>0</v>
      </c>
      <c r="BD38" s="3">
        <f>IF($C$5="ON",CD38,MyRating(_S3,$B38,Efficacy!$F$1))</f>
        <v>0</v>
      </c>
      <c r="BE38" s="3">
        <f>IF($C$5="ON",CE38,MyRating(_S4,$B38,Efficacy!$F$1))</f>
        <v>0</v>
      </c>
      <c r="BF38" s="3">
        <f>IF($C$5="ON",CF38,MyRating(_S5,$B38,Efficacy!$F$1))</f>
        <v>0</v>
      </c>
      <c r="BG38" s="3">
        <f>IF($C$5="ON",CG38,MyRating(_S6,$B38,Efficacy!$F$1))</f>
        <v>0</v>
      </c>
      <c r="BH38" s="3">
        <f>IF($C$5="ON",CH38,MyRating(_S7,$B38,Efficacy!$F$1))</f>
        <v>0</v>
      </c>
      <c r="BI38" s="3">
        <f>IF($C$5="ON",CI38,MyRating(_D1,$B38,Efficacy!$F$1))</f>
        <v>0</v>
      </c>
      <c r="BJ38" s="3">
        <f>IF($C$5="ON",CJ38,MyRating(_D2,$B38,Efficacy!$F$1))</f>
        <v>0</v>
      </c>
      <c r="BK38" s="3">
        <f>IF($C$5="ON",CK38,MyRating(_D3,$B38,Efficacy!$F$1))</f>
        <v>0</v>
      </c>
      <c r="BL38" s="3">
        <f>IF($C$5="ON",CL38,MyRating(_D4,$B38,Efficacy!$F$1))</f>
        <v>0</v>
      </c>
      <c r="BM38" s="3">
        <f>IF($C$5="ON",CM38,MyRating(_B1G5,$B38,Barrier!$L$2))</f>
        <v>0</v>
      </c>
      <c r="BN38" s="3">
        <f>IF($C$5="ON",CN38,MyRating(_B2,$B38,Barrier!$F$2))</f>
        <v>0</v>
      </c>
      <c r="BO38" s="6">
        <f>IF($C$5="ON",CO38,MyRating(_B3,$B38,Barrier!$F$2))</f>
        <v>0</v>
      </c>
      <c r="BP38" s="5">
        <f t="shared" si="6"/>
        <v>0</v>
      </c>
      <c r="BQ38" s="8">
        <f t="shared" si="7"/>
        <v>0</v>
      </c>
      <c r="BR38" s="5">
        <f t="shared" si="8"/>
        <v>0</v>
      </c>
      <c r="BS38" s="7">
        <f t="shared" si="9"/>
        <v>0</v>
      </c>
      <c r="BT38" s="4">
        <v>0</v>
      </c>
      <c r="BU38" s="3">
        <v>0</v>
      </c>
      <c r="BV38" s="3">
        <v>0</v>
      </c>
      <c r="BW38" s="3">
        <v>0</v>
      </c>
      <c r="BX38" s="3">
        <v>0</v>
      </c>
      <c r="BY38" s="3">
        <v>0</v>
      </c>
      <c r="BZ38" s="3">
        <v>0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6">
        <v>0</v>
      </c>
      <c r="CP38" s="5">
        <v>0</v>
      </c>
    </row>
    <row r="39" spans="1:94" x14ac:dyDescent="0.35">
      <c r="A39" s="9" t="str">
        <f t="shared" si="0"/>
        <v>UK</v>
      </c>
      <c r="B39" s="9" t="s">
        <v>37</v>
      </c>
      <c r="C39" s="20"/>
      <c r="D39" s="9" t="s">
        <v>36</v>
      </c>
      <c r="E39" s="9" t="s">
        <v>193</v>
      </c>
      <c r="F39" s="9" t="s">
        <v>1</v>
      </c>
      <c r="G39" s="19">
        <v>0</v>
      </c>
      <c r="H39" s="9">
        <v>2014</v>
      </c>
      <c r="I39" s="9">
        <v>6</v>
      </c>
      <c r="J39" s="18">
        <f>INDEX(PTRS!$D$6:$D$12,MATCH('4'!$F39,PTRS!$B$6:$B$12,0))</f>
        <v>0.1044225</v>
      </c>
      <c r="K39" s="17">
        <v>0</v>
      </c>
      <c r="L39" s="17">
        <v>0.1044225</v>
      </c>
      <c r="M39" s="17">
        <v>0.1044225</v>
      </c>
      <c r="N39" s="17">
        <v>0.1044225</v>
      </c>
      <c r="O39" s="17">
        <v>0.1044225</v>
      </c>
      <c r="P39" s="17">
        <v>0.1044225</v>
      </c>
      <c r="Q39" s="17">
        <v>0.1044225</v>
      </c>
      <c r="R39" s="17">
        <v>0.1044225</v>
      </c>
      <c r="S39" s="17">
        <v>1</v>
      </c>
      <c r="T39" s="17" t="s">
        <v>35</v>
      </c>
      <c r="U39" s="22">
        <v>0.72649652910676854</v>
      </c>
      <c r="V39" s="17">
        <v>1</v>
      </c>
      <c r="W39" s="9" t="s">
        <v>34</v>
      </c>
      <c r="X39" s="9">
        <f>INDEX('Unique Asset List'!$C$4:$I$60,MATCH('4'!$B39,'Unique Asset List'!$A$4:$A$60,0),MATCH('4'!$C$1,'Unique Asset List'!$C$3:$I$3,0))</f>
        <v>2033</v>
      </c>
      <c r="Y39" s="9">
        <f>INDEX('Unique Asset List'!$J$4:$P$60,MATCH('4'!$B39,'Unique Asset List'!$A$4:$A$60,0),MATCH('4'!$C$1,'Unique Asset List'!$J$3:$P$3,0))</f>
        <v>2.0000000000009095</v>
      </c>
      <c r="Z39" s="9">
        <f>INDEX('Unique Asset List'!$X$4:$AD$60,MATCH('4'!$B39,'Unique Asset List'!$A$4:$A$60,0),MATCH('4'!$C$1,'Unique Asset List'!$X$3:$AD$3,0))</f>
        <v>2043</v>
      </c>
      <c r="AA39" s="9">
        <f>INDEX('Unique Asset List'!$AE$4:$AK$60,MATCH('4'!$B39,'Unique Asset List'!$A$4:$A$60,0),MATCH('4'!$C$1,'Unique Asset List'!$AE$3:$AK$3,0))</f>
        <v>2</v>
      </c>
      <c r="AB39" s="16">
        <f>AB28</f>
        <v>2.0908086000000004</v>
      </c>
      <c r="AC39" s="16">
        <f>AC28</f>
        <v>0.97325250000000008</v>
      </c>
      <c r="AD39" s="16">
        <f>AD28</f>
        <v>0.56099999999999994</v>
      </c>
      <c r="AE39" s="15">
        <f>INDEX('Unique Asset List'!$BN$4:$BT$60,MATCH('4'!$B39,'Unique Asset List'!$A$4:$A$60,0),MATCH('4'!$C$1,'Unique Asset List'!$BN$3:$BT$3,0))</f>
        <v>0.05</v>
      </c>
      <c r="AF39" s="15">
        <f>INDEX('Unique Asset List'!$BU$4:$CA$60,MATCH('4'!$B39,'Unique Asset List'!$A$4:$A$60,0),MATCH('4'!$C$1,'Unique Asset List'!$BU$3:$CA$3,0))</f>
        <v>0.45</v>
      </c>
      <c r="AG39" s="15">
        <f>INDEX('Unique Asset List'!$AZ$4:$BF$60,MATCH('4'!$B39,'Unique Asset List'!$A$4:$A$60,0),MATCH('4'!$C$1,'Unique Asset List'!$AZ$3:$BF$3,0))</f>
        <v>0.05</v>
      </c>
      <c r="AH39" s="15">
        <f>INDEX('Unique Asset List'!$BG$4:$BM$60,MATCH('4'!$B39,'Unique Asset List'!$A$4:$A$60,0),MATCH('4'!$C$1,'Unique Asset List'!$BG$3:$BM$3,0))</f>
        <v>0.45</v>
      </c>
      <c r="AI39" s="11">
        <v>0.96187963349867744</v>
      </c>
      <c r="AJ39" s="15">
        <f>INDEX('Unique Asset List'!$AL$4:$AR$60,MATCH('4'!$B39,'Unique Asset List'!$A$4:$A$60,0),MATCH('4'!$C$1,'Unique Asset List'!$AL$3:$AR$3,0))</f>
        <v>1.4542000570988298</v>
      </c>
      <c r="AK39" s="15">
        <f>INDEX('Unique Asset List'!$AS$4:$AY$60,MATCH('4'!$B39,'Unique Asset List'!$A$4:$A$60,0),MATCH('4'!$C$1,'Unique Asset List'!$AS$3:$AY$3,0))</f>
        <v>-0.4950056673809119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5"/>
        <v>0.82</v>
      </c>
      <c r="AS39" s="10">
        <v>1</v>
      </c>
      <c r="AT39" s="4">
        <f>IF($C$5="ON",BT39,MyRating(_E1,$B39,Efficacy!$F$1))</f>
        <v>0</v>
      </c>
      <c r="AU39" s="3">
        <f>IF($C$5="ON",BU39,MyRating(_E2,$B39,Efficacy!$F$1))</f>
        <v>0</v>
      </c>
      <c r="AV39" s="3">
        <f>IF($C$5="ON",BV39,MyRating(_E3,$B39,Efficacy!$F$1))</f>
        <v>0</v>
      </c>
      <c r="AW39" s="3">
        <f>IF($C$5="ON",BW39,MyRating(_E4,$B39,Efficacy!$F$1))</f>
        <v>0</v>
      </c>
      <c r="AX39" s="3">
        <f>IF($C$5="ON",BX39,MyRating(_E5,$B39,Efficacy!$F$1))</f>
        <v>0</v>
      </c>
      <c r="AY39" s="3">
        <f>IF($C$5="ON",BY39,MyRating(_E6,$B39,Efficacy!$F$1))</f>
        <v>0</v>
      </c>
      <c r="AZ39" s="3">
        <f>IF($C$5="ON",BZ39,MyRating(_E7,$B39,Efficacy!$F$1))</f>
        <v>0</v>
      </c>
      <c r="BA39" s="3">
        <f>IF($C$5="ON",CA39,MyRating(_E8,$B39,Efficacy!$F$1))</f>
        <v>0</v>
      </c>
      <c r="BB39" s="3">
        <f>IF($C$5="ON",CB39,MyRating(_S1,$B39,Efficacy!$F$1))</f>
        <v>0</v>
      </c>
      <c r="BC39" s="3">
        <f>IF($C$5="ON",CC39,MyRating(_S2,$B39,Efficacy!$F$1))</f>
        <v>0</v>
      </c>
      <c r="BD39" s="3">
        <f>IF($C$5="ON",CD39,MyRating(_S3,$B39,Efficacy!$F$1))</f>
        <v>0</v>
      </c>
      <c r="BE39" s="3">
        <f>IF($C$5="ON",CE39,MyRating(_S4,$B39,Efficacy!$F$1))</f>
        <v>0</v>
      </c>
      <c r="BF39" s="3">
        <f>IF($C$5="ON",CF39,MyRating(_S5,$B39,Efficacy!$F$1))</f>
        <v>0</v>
      </c>
      <c r="BG39" s="3">
        <f>IF($C$5="ON",CG39,MyRating(_S6,$B39,Efficacy!$F$1))</f>
        <v>0</v>
      </c>
      <c r="BH39" s="3">
        <f>IF($C$5="ON",CH39,MyRating(_S7,$B39,Efficacy!$F$1))</f>
        <v>0</v>
      </c>
      <c r="BI39" s="3">
        <f>IF($C$5="ON",CI39,MyRating(_D1,$B39,Efficacy!$F$1))</f>
        <v>0</v>
      </c>
      <c r="BJ39" s="3">
        <f>IF($C$5="ON",CJ39,MyRating(_D2,$B39,Efficacy!$F$1))</f>
        <v>0</v>
      </c>
      <c r="BK39" s="3">
        <f>IF($C$5="ON",CK39,MyRating(_D3,$B39,Efficacy!$F$1))</f>
        <v>0</v>
      </c>
      <c r="BL39" s="3">
        <f>IF($C$5="ON",CL39,MyRating(_D4,$B39,Efficacy!$F$1))</f>
        <v>0</v>
      </c>
      <c r="BM39" s="3">
        <f>IF($C$5="ON",CM39,MyRating(_B1G5,$B39,Barrier!$L$2))</f>
        <v>0</v>
      </c>
      <c r="BN39" s="3">
        <f>IF($C$5="ON",CN39,MyRating(_B2,$B39,Barrier!$F$2))</f>
        <v>0</v>
      </c>
      <c r="BO39" s="6">
        <f>IF($C$5="ON",CO39,MyRating(_B3,$B39,Barrier!$F$2))</f>
        <v>0</v>
      </c>
      <c r="BP39" s="5">
        <f t="shared" si="6"/>
        <v>0</v>
      </c>
      <c r="BQ39" s="8">
        <f t="shared" si="7"/>
        <v>0</v>
      </c>
      <c r="BR39" s="5">
        <f t="shared" si="8"/>
        <v>0</v>
      </c>
      <c r="BS39" s="7">
        <f t="shared" si="9"/>
        <v>0</v>
      </c>
      <c r="BT39" s="4">
        <v>0</v>
      </c>
      <c r="BU39" s="3">
        <v>0</v>
      </c>
      <c r="BV39" s="3">
        <v>0</v>
      </c>
      <c r="BW39" s="3">
        <v>0</v>
      </c>
      <c r="BX39" s="3">
        <v>0</v>
      </c>
      <c r="BY39" s="3">
        <v>0</v>
      </c>
      <c r="BZ39" s="3">
        <v>0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6">
        <v>0</v>
      </c>
      <c r="CP39" s="5">
        <v>0</v>
      </c>
    </row>
    <row r="40" spans="1:94" x14ac:dyDescent="0.35">
      <c r="A40" s="9" t="str">
        <f t="shared" si="0"/>
        <v>UK</v>
      </c>
      <c r="B40" s="9" t="s">
        <v>33</v>
      </c>
      <c r="C40" s="20"/>
      <c r="D40" s="9" t="s">
        <v>32</v>
      </c>
      <c r="E40" s="9" t="s">
        <v>193</v>
      </c>
      <c r="F40" s="9" t="s">
        <v>1</v>
      </c>
      <c r="G40" s="19">
        <v>0</v>
      </c>
      <c r="H40" s="9">
        <v>2014</v>
      </c>
      <c r="I40" s="9">
        <v>6</v>
      </c>
      <c r="J40" s="18">
        <f>INDEX(PTRS!$D$6:$D$12,MATCH('4'!$F40,PTRS!$B$6:$B$12,0))</f>
        <v>0.1044225</v>
      </c>
      <c r="K40" s="17">
        <v>0</v>
      </c>
      <c r="L40" s="17">
        <v>0.1044225</v>
      </c>
      <c r="M40" s="17">
        <v>0.1044225</v>
      </c>
      <c r="N40" s="17">
        <v>0.1044225</v>
      </c>
      <c r="O40" s="17">
        <v>0.1044225</v>
      </c>
      <c r="P40" s="17">
        <v>0.1044225</v>
      </c>
      <c r="Q40" s="17">
        <v>0.1044225</v>
      </c>
      <c r="R40" s="17">
        <v>0.1044225</v>
      </c>
      <c r="S40" s="17">
        <v>1</v>
      </c>
      <c r="T40" s="17" t="s">
        <v>31</v>
      </c>
      <c r="U40" s="22">
        <v>0.72649652910676854</v>
      </c>
      <c r="V40" s="17">
        <v>1</v>
      </c>
      <c r="W40" s="9" t="s">
        <v>31</v>
      </c>
      <c r="X40" s="9">
        <f>INDEX('Unique Asset List'!$C$4:$I$60,MATCH('4'!$B40,'Unique Asset List'!$A$4:$A$60,0),MATCH('4'!$C$1,'Unique Asset List'!$C$3:$I$3,0))</f>
        <v>2032</v>
      </c>
      <c r="Y40" s="9">
        <f>INDEX('Unique Asset List'!$J$4:$P$60,MATCH('4'!$B40,'Unique Asset List'!$A$4:$A$60,0),MATCH('4'!$C$1,'Unique Asset List'!$J$3:$P$3,0))</f>
        <v>2.0000000000009095</v>
      </c>
      <c r="Z40" s="9">
        <f>INDEX('Unique Asset List'!$X$4:$AD$60,MATCH('4'!$B40,'Unique Asset List'!$A$4:$A$60,0),MATCH('4'!$C$1,'Unique Asset List'!$X$3:$AD$3,0))</f>
        <v>2042</v>
      </c>
      <c r="AA40" s="9">
        <f>INDEX('Unique Asset List'!$AE$4:$AK$60,MATCH('4'!$B40,'Unique Asset List'!$A$4:$A$60,0),MATCH('4'!$C$1,'Unique Asset List'!$AE$3:$AK$3,0))</f>
        <v>2</v>
      </c>
      <c r="AB40" s="16">
        <f>AB27</f>
        <v>2.1250906000000005</v>
      </c>
      <c r="AC40" s="16">
        <f>AC27</f>
        <v>0.97325250000000008</v>
      </c>
      <c r="AD40" s="16">
        <f>AD27</f>
        <v>0.56099999999999994</v>
      </c>
      <c r="AE40" s="15">
        <f>INDEX('Unique Asset List'!$BN$4:$BT$60,MATCH('4'!$B40,'Unique Asset List'!$A$4:$A$60,0),MATCH('4'!$C$1,'Unique Asset List'!$BN$3:$BT$3,0))</f>
        <v>0.05</v>
      </c>
      <c r="AF40" s="15">
        <f>INDEX('Unique Asset List'!$BU$4:$CA$60,MATCH('4'!$B40,'Unique Asset List'!$A$4:$A$60,0),MATCH('4'!$C$1,'Unique Asset List'!$BU$3:$CA$3,0))</f>
        <v>0.45</v>
      </c>
      <c r="AG40" s="15">
        <f>INDEX('Unique Asset List'!$AZ$4:$BF$60,MATCH('4'!$B40,'Unique Asset List'!$A$4:$A$60,0),MATCH('4'!$C$1,'Unique Asset List'!$AZ$3:$BF$3,0))</f>
        <v>0.05</v>
      </c>
      <c r="AH40" s="15">
        <f>INDEX('Unique Asset List'!$BG$4:$BM$60,MATCH('4'!$B40,'Unique Asset List'!$A$4:$A$60,0),MATCH('4'!$C$1,'Unique Asset List'!$BG$3:$BM$3,0))</f>
        <v>0.45</v>
      </c>
      <c r="AI40" s="11">
        <v>0.96187963349867744</v>
      </c>
      <c r="AJ40" s="15">
        <f>INDEX('Unique Asset List'!$AL$4:$AR$60,MATCH('4'!$B40,'Unique Asset List'!$A$4:$A$60,0),MATCH('4'!$C$1,'Unique Asset List'!$AL$3:$AR$3,0))</f>
        <v>1.4542000570988298</v>
      </c>
      <c r="AK40" s="15">
        <f>INDEX('Unique Asset List'!$AS$4:$AY$60,MATCH('4'!$B40,'Unique Asset List'!$A$4:$A$60,0),MATCH('4'!$C$1,'Unique Asset List'!$AS$3:$AY$3,0))</f>
        <v>-0.4950056673809119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5"/>
        <v>0.82</v>
      </c>
      <c r="AS40" s="10">
        <v>1</v>
      </c>
      <c r="AT40" s="4">
        <f>IF($C$5="ON",BT40,MyRating(_E1,$B40,Efficacy!$F$1))</f>
        <v>0</v>
      </c>
      <c r="AU40" s="3">
        <f>IF($C$5="ON",BU40,MyRating(_E2,$B40,Efficacy!$F$1))</f>
        <v>0</v>
      </c>
      <c r="AV40" s="3">
        <f>IF($C$5="ON",BV40,MyRating(_E3,$B40,Efficacy!$F$1))</f>
        <v>0</v>
      </c>
      <c r="AW40" s="3">
        <f>IF($C$5="ON",BW40,MyRating(_E4,$B40,Efficacy!$F$1))</f>
        <v>0</v>
      </c>
      <c r="AX40" s="3">
        <f>IF($C$5="ON",BX40,MyRating(_E5,$B40,Efficacy!$F$1))</f>
        <v>0</v>
      </c>
      <c r="AY40" s="3">
        <f>IF($C$5="ON",BY40,MyRating(_E6,$B40,Efficacy!$F$1))</f>
        <v>0</v>
      </c>
      <c r="AZ40" s="3">
        <f>IF($C$5="ON",BZ40,MyRating(_E7,$B40,Efficacy!$F$1))</f>
        <v>0</v>
      </c>
      <c r="BA40" s="3">
        <f>IF($C$5="ON",CA40,MyRating(_E8,$B40,Efficacy!$F$1))</f>
        <v>0</v>
      </c>
      <c r="BB40" s="3">
        <f>IF($C$5="ON",CB40,MyRating(_S1,$B40,Efficacy!$F$1))</f>
        <v>0</v>
      </c>
      <c r="BC40" s="3">
        <f>IF($C$5="ON",CC40,MyRating(_S2,$B40,Efficacy!$F$1))</f>
        <v>0</v>
      </c>
      <c r="BD40" s="3">
        <f>IF($C$5="ON",CD40,MyRating(_S3,$B40,Efficacy!$F$1))</f>
        <v>0</v>
      </c>
      <c r="BE40" s="3">
        <f>IF($C$5="ON",CE40,MyRating(_S4,$B40,Efficacy!$F$1))</f>
        <v>0</v>
      </c>
      <c r="BF40" s="3">
        <f>IF($C$5="ON",CF40,MyRating(_S5,$B40,Efficacy!$F$1))</f>
        <v>0</v>
      </c>
      <c r="BG40" s="3">
        <f>IF($C$5="ON",CG40,MyRating(_S6,$B40,Efficacy!$F$1))</f>
        <v>0</v>
      </c>
      <c r="BH40" s="3">
        <f>IF($C$5="ON",CH40,MyRating(_S7,$B40,Efficacy!$F$1))</f>
        <v>0</v>
      </c>
      <c r="BI40" s="3">
        <f>IF($C$5="ON",CI40,MyRating(_D1,$B40,Efficacy!$F$1))</f>
        <v>0</v>
      </c>
      <c r="BJ40" s="3">
        <f>IF($C$5="ON",CJ40,MyRating(_D2,$B40,Efficacy!$F$1))</f>
        <v>0</v>
      </c>
      <c r="BK40" s="3">
        <f>IF($C$5="ON",CK40,MyRating(_D3,$B40,Efficacy!$F$1))</f>
        <v>0</v>
      </c>
      <c r="BL40" s="3">
        <f>IF($C$5="ON",CL40,MyRating(_D4,$B40,Efficacy!$F$1))</f>
        <v>0</v>
      </c>
      <c r="BM40" s="3">
        <f>IF($C$5="ON",CM40,MyRating(_B1G5,$B40,Barrier!$L$2))</f>
        <v>0</v>
      </c>
      <c r="BN40" s="3">
        <f>IF($C$5="ON",CN40,MyRating(_B2,$B40,Barrier!$F$2))</f>
        <v>0</v>
      </c>
      <c r="BO40" s="6">
        <f>IF($C$5="ON",CO40,MyRating(_B3,$B40,Barrier!$F$2))</f>
        <v>0</v>
      </c>
      <c r="BP40" s="5">
        <f t="shared" si="6"/>
        <v>0</v>
      </c>
      <c r="BQ40" s="8">
        <f t="shared" si="7"/>
        <v>0</v>
      </c>
      <c r="BR40" s="5">
        <f t="shared" si="8"/>
        <v>0</v>
      </c>
      <c r="BS40" s="7">
        <f t="shared" si="9"/>
        <v>0</v>
      </c>
      <c r="BT40" s="4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6">
        <v>0</v>
      </c>
      <c r="CP40" s="5">
        <v>0</v>
      </c>
    </row>
    <row r="41" spans="1:94" x14ac:dyDescent="0.35">
      <c r="A41" s="9" t="str">
        <f t="shared" ref="A41:A58" si="10">$C$1</f>
        <v>UK</v>
      </c>
      <c r="B41" s="9" t="s">
        <v>30</v>
      </c>
      <c r="C41" s="20"/>
      <c r="D41" s="9" t="s">
        <v>29</v>
      </c>
      <c r="E41" s="9" t="s">
        <v>193</v>
      </c>
      <c r="F41" s="9" t="s">
        <v>1</v>
      </c>
      <c r="G41" s="19">
        <v>0</v>
      </c>
      <c r="H41" s="9">
        <v>2014</v>
      </c>
      <c r="I41" s="9">
        <v>6</v>
      </c>
      <c r="J41" s="18">
        <f>INDEX(PTRS!$D$6:$D$12,MATCH('4'!$F41,PTRS!$B$6:$B$12,0))</f>
        <v>0.1044225</v>
      </c>
      <c r="K41" s="17">
        <v>0</v>
      </c>
      <c r="L41" s="17">
        <v>0.1044225</v>
      </c>
      <c r="M41" s="17">
        <v>0.1044225</v>
      </c>
      <c r="N41" s="17">
        <v>0.1044225</v>
      </c>
      <c r="O41" s="17">
        <v>0.1044225</v>
      </c>
      <c r="P41" s="17">
        <v>0.1044225</v>
      </c>
      <c r="Q41" s="17">
        <v>0.1044225</v>
      </c>
      <c r="R41" s="17">
        <v>0.1044225</v>
      </c>
      <c r="S41" s="17">
        <v>1</v>
      </c>
      <c r="T41" s="17" t="s">
        <v>28</v>
      </c>
      <c r="U41" s="22">
        <v>0.72649652910676854</v>
      </c>
      <c r="V41" s="17">
        <v>1</v>
      </c>
      <c r="W41" s="9" t="s">
        <v>27</v>
      </c>
      <c r="X41" s="9">
        <f>INDEX('Unique Asset List'!$C$4:$I$60,MATCH('4'!$B41,'Unique Asset List'!$A$4:$A$60,0),MATCH('4'!$C$1,'Unique Asset List'!$C$3:$I$3,0))</f>
        <v>2034</v>
      </c>
      <c r="Y41" s="9">
        <f>INDEX('Unique Asset List'!$J$4:$P$60,MATCH('4'!$B41,'Unique Asset List'!$A$4:$A$60,0),MATCH('4'!$C$1,'Unique Asset List'!$J$3:$P$3,0))</f>
        <v>6</v>
      </c>
      <c r="Z41" s="9">
        <f>INDEX('Unique Asset List'!$X$4:$AD$60,MATCH('4'!$B41,'Unique Asset List'!$A$4:$A$60,0),MATCH('4'!$C$1,'Unique Asset List'!$X$3:$AD$3,0))</f>
        <v>2044</v>
      </c>
      <c r="AA41" s="9">
        <f>INDEX('Unique Asset List'!$AE$4:$AK$60,MATCH('4'!$B41,'Unique Asset List'!$A$4:$A$60,0),MATCH('4'!$C$1,'Unique Asset List'!$AE$3:$AK$3,0))</f>
        <v>6</v>
      </c>
      <c r="AB41" s="16">
        <f>AB33</f>
        <v>2.0289886000000004</v>
      </c>
      <c r="AC41" s="16">
        <f>AC33</f>
        <v>0.85031269999999992</v>
      </c>
      <c r="AD41" s="16">
        <f>AD33</f>
        <v>0.56099999999999994</v>
      </c>
      <c r="AE41" s="15">
        <f>INDEX('Unique Asset List'!$BN$4:$BT$60,MATCH('4'!$B41,'Unique Asset List'!$A$4:$A$60,0),MATCH('4'!$C$1,'Unique Asset List'!$BN$3:$BT$3,0))</f>
        <v>0.05</v>
      </c>
      <c r="AF41" s="15">
        <f>INDEX('Unique Asset List'!$BU$4:$CA$60,MATCH('4'!$B41,'Unique Asset List'!$A$4:$A$60,0),MATCH('4'!$C$1,'Unique Asset List'!$BU$3:$CA$3,0))</f>
        <v>0.45</v>
      </c>
      <c r="AG41" s="15">
        <f>INDEX('Unique Asset List'!$AZ$4:$BF$60,MATCH('4'!$B41,'Unique Asset List'!$A$4:$A$60,0),MATCH('4'!$C$1,'Unique Asset List'!$AZ$3:$BF$3,0))</f>
        <v>0.05</v>
      </c>
      <c r="AH41" s="15">
        <f>INDEX('Unique Asset List'!$BG$4:$BM$60,MATCH('4'!$B41,'Unique Asset List'!$A$4:$A$60,0),MATCH('4'!$C$1,'Unique Asset List'!$BG$3:$BM$3,0))</f>
        <v>0.45</v>
      </c>
      <c r="AI41" s="11">
        <v>0.96187963349867744</v>
      </c>
      <c r="AJ41" s="15">
        <f>INDEX('Unique Asset List'!$AL$4:$AR$60,MATCH('4'!$B41,'Unique Asset List'!$A$4:$A$60,0),MATCH('4'!$C$1,'Unique Asset List'!$AL$3:$AR$3,0))</f>
        <v>1.4542000570988298</v>
      </c>
      <c r="AK41" s="15">
        <f>INDEX('Unique Asset List'!$AS$4:$AY$60,MATCH('4'!$B41,'Unique Asset List'!$A$4:$A$60,0),MATCH('4'!$C$1,'Unique Asset List'!$AS$3:$AY$3,0))</f>
        <v>-0.4950056673809119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ref="AR41:AR58" si="11">AP41</f>
        <v>0.82</v>
      </c>
      <c r="AS41" s="10">
        <v>1</v>
      </c>
      <c r="AT41" s="4">
        <f>IF($C$5="ON",BT41,MyRating(_E1,$B41,Efficacy!$F$1))</f>
        <v>0</v>
      </c>
      <c r="AU41" s="3">
        <f>IF($C$5="ON",BU41,MyRating(_E2,$B41,Efficacy!$F$1))</f>
        <v>0</v>
      </c>
      <c r="AV41" s="3">
        <f>IF($C$5="ON",BV41,MyRating(_E3,$B41,Efficacy!$F$1))</f>
        <v>0</v>
      </c>
      <c r="AW41" s="3">
        <f>IF($C$5="ON",BW41,MyRating(_E4,$B41,Efficacy!$F$1))</f>
        <v>0</v>
      </c>
      <c r="AX41" s="3">
        <f>IF($C$5="ON",BX41,MyRating(_E5,$B41,Efficacy!$F$1))</f>
        <v>0</v>
      </c>
      <c r="AY41" s="3">
        <f>IF($C$5="ON",BY41,MyRating(_E6,$B41,Efficacy!$F$1))</f>
        <v>0</v>
      </c>
      <c r="AZ41" s="3">
        <f>IF($C$5="ON",BZ41,MyRating(_E7,$B41,Efficacy!$F$1))</f>
        <v>0</v>
      </c>
      <c r="BA41" s="3">
        <f>IF($C$5="ON",CA41,MyRating(_E8,$B41,Efficacy!$F$1))</f>
        <v>0</v>
      </c>
      <c r="BB41" s="3">
        <f>IF($C$5="ON",CB41,MyRating(_S1,$B41,Efficacy!$F$1))</f>
        <v>0</v>
      </c>
      <c r="BC41" s="3">
        <f>IF($C$5="ON",CC41,MyRating(_S2,$B41,Efficacy!$F$1))</f>
        <v>0</v>
      </c>
      <c r="BD41" s="3">
        <f>IF($C$5="ON",CD41,MyRating(_S3,$B41,Efficacy!$F$1))</f>
        <v>0</v>
      </c>
      <c r="BE41" s="3">
        <f>IF($C$5="ON",CE41,MyRating(_S4,$B41,Efficacy!$F$1))</f>
        <v>0</v>
      </c>
      <c r="BF41" s="3">
        <f>IF($C$5="ON",CF41,MyRating(_S5,$B41,Efficacy!$F$1))</f>
        <v>0</v>
      </c>
      <c r="BG41" s="3">
        <f>IF($C$5="ON",CG41,MyRating(_S6,$B41,Efficacy!$F$1))</f>
        <v>0</v>
      </c>
      <c r="BH41" s="3">
        <f>IF($C$5="ON",CH41,MyRating(_S7,$B41,Efficacy!$F$1))</f>
        <v>0</v>
      </c>
      <c r="BI41" s="3">
        <f>IF($C$5="ON",CI41,MyRating(_D1,$B41,Efficacy!$F$1))</f>
        <v>0</v>
      </c>
      <c r="BJ41" s="3">
        <f>IF($C$5="ON",CJ41,MyRating(_D2,$B41,Efficacy!$F$1))</f>
        <v>0</v>
      </c>
      <c r="BK41" s="3">
        <f>IF($C$5="ON",CK41,MyRating(_D3,$B41,Efficacy!$F$1))</f>
        <v>0</v>
      </c>
      <c r="BL41" s="3">
        <f>IF($C$5="ON",CL41,MyRating(_D4,$B41,Efficacy!$F$1))</f>
        <v>0</v>
      </c>
      <c r="BM41" s="3">
        <f>IF($C$5="ON",CM41,MyRating(_B1G5,$B41,Barrier!$L$2))</f>
        <v>0</v>
      </c>
      <c r="BN41" s="3">
        <f>IF($C$5="ON",CN41,MyRating(_B2,$B41,Barrier!$F$2))</f>
        <v>0</v>
      </c>
      <c r="BO41" s="6">
        <f>IF($C$5="ON",CO41,MyRating(_B3,$B41,Barrier!$F$2))</f>
        <v>0</v>
      </c>
      <c r="BP41" s="5">
        <f t="shared" ref="BP41:BP58" si="12">BS41/$BS$7</f>
        <v>0</v>
      </c>
      <c r="BQ41" s="8">
        <f t="shared" ref="BQ41:BQ58" si="13">SUMPRODUCT($BM41:$BO41,$BM$7:$BO$7)</f>
        <v>0</v>
      </c>
      <c r="BR41" s="5">
        <f t="shared" ref="BR41:BR58" si="14">BQ41/$BQ$7</f>
        <v>0</v>
      </c>
      <c r="BS41" s="7">
        <f t="shared" ref="BS41:BS58" si="15">BR41^$X$4</f>
        <v>0</v>
      </c>
      <c r="BT41" s="4">
        <v>0</v>
      </c>
      <c r="BU41" s="3">
        <v>0</v>
      </c>
      <c r="BV41" s="3">
        <v>0</v>
      </c>
      <c r="BW41" s="3">
        <v>0</v>
      </c>
      <c r="BX41" s="3">
        <v>0</v>
      </c>
      <c r="BY41" s="3">
        <v>0</v>
      </c>
      <c r="BZ41" s="3">
        <v>0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6">
        <v>0</v>
      </c>
      <c r="CP41" s="5">
        <v>0</v>
      </c>
    </row>
    <row r="42" spans="1:94" x14ac:dyDescent="0.35">
      <c r="A42" s="9" t="str">
        <f t="shared" si="10"/>
        <v>UK</v>
      </c>
      <c r="B42" s="9" t="s">
        <v>26</v>
      </c>
      <c r="C42" s="20"/>
      <c r="D42" s="9" t="s">
        <v>25</v>
      </c>
      <c r="E42" s="9" t="s">
        <v>193</v>
      </c>
      <c r="F42" s="9" t="s">
        <v>1</v>
      </c>
      <c r="G42" s="19">
        <v>0</v>
      </c>
      <c r="H42" s="9">
        <v>2014</v>
      </c>
      <c r="I42" s="9">
        <v>6</v>
      </c>
      <c r="J42" s="18">
        <f>INDEX(PTRS!$D$6:$D$12,MATCH('4'!$F42,PTRS!$B$6:$B$12,0))</f>
        <v>0.1044225</v>
      </c>
      <c r="K42" s="17">
        <v>0</v>
      </c>
      <c r="L42" s="17">
        <v>0.1044225</v>
      </c>
      <c r="M42" s="17">
        <v>0.1044225</v>
      </c>
      <c r="N42" s="17">
        <v>0.1044225</v>
      </c>
      <c r="O42" s="17">
        <v>0.1044225</v>
      </c>
      <c r="P42" s="17">
        <v>0.1044225</v>
      </c>
      <c r="Q42" s="17">
        <v>0.1044225</v>
      </c>
      <c r="R42" s="17">
        <v>0.1044225</v>
      </c>
      <c r="S42" s="17">
        <v>1</v>
      </c>
      <c r="T42" s="17" t="s">
        <v>24</v>
      </c>
      <c r="U42" s="22">
        <v>0.72649652910676854</v>
      </c>
      <c r="V42" s="17">
        <v>1</v>
      </c>
      <c r="W42" s="9" t="s">
        <v>24</v>
      </c>
      <c r="X42" s="9">
        <f>INDEX('Unique Asset List'!$C$4:$I$60,MATCH('4'!$B42,'Unique Asset List'!$A$4:$A$60,0),MATCH('4'!$C$1,'Unique Asset List'!$C$3:$I$3,0))</f>
        <v>2032</v>
      </c>
      <c r="Y42" s="9">
        <f>INDEX('Unique Asset List'!$J$4:$P$60,MATCH('4'!$B42,'Unique Asset List'!$A$4:$A$60,0),MATCH('4'!$C$1,'Unique Asset List'!$J$3:$P$3,0))</f>
        <v>2.0000000000009095</v>
      </c>
      <c r="Z42" s="9">
        <f>INDEX('Unique Asset List'!$X$4:$AD$60,MATCH('4'!$B42,'Unique Asset List'!$A$4:$A$60,0),MATCH('4'!$C$1,'Unique Asset List'!$X$3:$AD$3,0))</f>
        <v>2042</v>
      </c>
      <c r="AA42" s="9">
        <f>INDEX('Unique Asset List'!$AE$4:$AK$60,MATCH('4'!$B42,'Unique Asset List'!$A$4:$A$60,0),MATCH('4'!$C$1,'Unique Asset List'!$AE$3:$AK$3,0))</f>
        <v>2</v>
      </c>
      <c r="AB42" s="16">
        <f>AB30</f>
        <v>2.3276916000000001</v>
      </c>
      <c r="AC42" s="16">
        <f>AC30</f>
        <v>1.0028454</v>
      </c>
      <c r="AD42" s="16">
        <f>AD30</f>
        <v>0.56099999999999994</v>
      </c>
      <c r="AE42" s="15">
        <f>INDEX('Unique Asset List'!$BN$4:$BT$60,MATCH('4'!$B42,'Unique Asset List'!$A$4:$A$60,0),MATCH('4'!$C$1,'Unique Asset List'!$BN$3:$BT$3,0))</f>
        <v>0.05</v>
      </c>
      <c r="AF42" s="15">
        <f>INDEX('Unique Asset List'!$BU$4:$CA$60,MATCH('4'!$B42,'Unique Asset List'!$A$4:$A$60,0),MATCH('4'!$C$1,'Unique Asset List'!$BU$3:$CA$3,0))</f>
        <v>0.45</v>
      </c>
      <c r="AG42" s="15">
        <f>INDEX('Unique Asset List'!$AZ$4:$BF$60,MATCH('4'!$B42,'Unique Asset List'!$A$4:$A$60,0),MATCH('4'!$C$1,'Unique Asset List'!$AZ$3:$BF$3,0))</f>
        <v>0.05</v>
      </c>
      <c r="AH42" s="15">
        <f>INDEX('Unique Asset List'!$BG$4:$BM$60,MATCH('4'!$B42,'Unique Asset List'!$A$4:$A$60,0),MATCH('4'!$C$1,'Unique Asset List'!$BG$3:$BM$3,0))</f>
        <v>0.45</v>
      </c>
      <c r="AI42" s="11">
        <v>0.96187963349867744</v>
      </c>
      <c r="AJ42" s="15">
        <f>INDEX('Unique Asset List'!$AL$4:$AR$60,MATCH('4'!$B42,'Unique Asset List'!$A$4:$A$60,0),MATCH('4'!$C$1,'Unique Asset List'!$AL$3:$AR$3,0))</f>
        <v>1.4542000570988298</v>
      </c>
      <c r="AK42" s="15">
        <f>INDEX('Unique Asset List'!$AS$4:$AY$60,MATCH('4'!$B42,'Unique Asset List'!$A$4:$A$60,0),MATCH('4'!$C$1,'Unique Asset List'!$AS$3:$AY$3,0))</f>
        <v>-0.4950056673809119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1"/>
        <v>0.82</v>
      </c>
      <c r="AS42" s="10">
        <v>1</v>
      </c>
      <c r="AT42" s="4">
        <f>IF($C$5="ON",BT42,MyRating(_E1,$B42,Efficacy!$F$1))</f>
        <v>0</v>
      </c>
      <c r="AU42" s="3">
        <f>IF($C$5="ON",BU42,MyRating(_E2,$B42,Efficacy!$F$1))</f>
        <v>0</v>
      </c>
      <c r="AV42" s="3">
        <f>IF($C$5="ON",BV42,MyRating(_E3,$B42,Efficacy!$F$1))</f>
        <v>0</v>
      </c>
      <c r="AW42" s="3">
        <f>IF($C$5="ON",BW42,MyRating(_E4,$B42,Efficacy!$F$1))</f>
        <v>0</v>
      </c>
      <c r="AX42" s="3">
        <f>IF($C$5="ON",BX42,MyRating(_E5,$B42,Efficacy!$F$1))</f>
        <v>0</v>
      </c>
      <c r="AY42" s="3">
        <f>IF($C$5="ON",BY42,MyRating(_E6,$B42,Efficacy!$F$1))</f>
        <v>0</v>
      </c>
      <c r="AZ42" s="3">
        <f>IF($C$5="ON",BZ42,MyRating(_E7,$B42,Efficacy!$F$1))</f>
        <v>0</v>
      </c>
      <c r="BA42" s="3">
        <f>IF($C$5="ON",CA42,MyRating(_E8,$B42,Efficacy!$F$1))</f>
        <v>0</v>
      </c>
      <c r="BB42" s="3">
        <f>IF($C$5="ON",CB42,MyRating(_S1,$B42,Efficacy!$F$1))</f>
        <v>0</v>
      </c>
      <c r="BC42" s="3">
        <f>IF($C$5="ON",CC42,MyRating(_S2,$B42,Efficacy!$F$1))</f>
        <v>0</v>
      </c>
      <c r="BD42" s="3">
        <f>IF($C$5="ON",CD42,MyRating(_S3,$B42,Efficacy!$F$1))</f>
        <v>0</v>
      </c>
      <c r="BE42" s="3">
        <f>IF($C$5="ON",CE42,MyRating(_S4,$B42,Efficacy!$F$1))</f>
        <v>0</v>
      </c>
      <c r="BF42" s="3">
        <f>IF($C$5="ON",CF42,MyRating(_S5,$B42,Efficacy!$F$1))</f>
        <v>0</v>
      </c>
      <c r="BG42" s="3">
        <f>IF($C$5="ON",CG42,MyRating(_S6,$B42,Efficacy!$F$1))</f>
        <v>0</v>
      </c>
      <c r="BH42" s="3">
        <f>IF($C$5="ON",CH42,MyRating(_S7,$B42,Efficacy!$F$1))</f>
        <v>0</v>
      </c>
      <c r="BI42" s="3">
        <f>IF($C$5="ON",CI42,MyRating(_D1,$B42,Efficacy!$F$1))</f>
        <v>0</v>
      </c>
      <c r="BJ42" s="3">
        <f>IF($C$5="ON",CJ42,MyRating(_D2,$B42,Efficacy!$F$1))</f>
        <v>0</v>
      </c>
      <c r="BK42" s="3">
        <f>IF($C$5="ON",CK42,MyRating(_D3,$B42,Efficacy!$F$1))</f>
        <v>0</v>
      </c>
      <c r="BL42" s="3">
        <f>IF($C$5="ON",CL42,MyRating(_D4,$B42,Efficacy!$F$1))</f>
        <v>0</v>
      </c>
      <c r="BM42" s="3">
        <f>IF($C$5="ON",CM42,MyRating(_B1G5,$B42,Barrier!$L$2))</f>
        <v>0</v>
      </c>
      <c r="BN42" s="3">
        <f>IF($C$5="ON",CN42,MyRating(_B2,$B42,Barrier!$F$2))</f>
        <v>0</v>
      </c>
      <c r="BO42" s="6">
        <f>IF($C$5="ON",CO42,MyRating(_B3,$B42,Barrier!$F$2))</f>
        <v>0</v>
      </c>
      <c r="BP42" s="5">
        <f t="shared" si="12"/>
        <v>0</v>
      </c>
      <c r="BQ42" s="8">
        <f t="shared" si="13"/>
        <v>0</v>
      </c>
      <c r="BR42" s="5">
        <f t="shared" si="14"/>
        <v>0</v>
      </c>
      <c r="BS42" s="7">
        <f t="shared" si="15"/>
        <v>0</v>
      </c>
      <c r="BT42" s="4">
        <v>0</v>
      </c>
      <c r="BU42" s="3">
        <v>0</v>
      </c>
      <c r="BV42" s="3">
        <v>0</v>
      </c>
      <c r="BW42" s="3">
        <v>0</v>
      </c>
      <c r="BX42" s="3">
        <v>0</v>
      </c>
      <c r="BY42" s="3">
        <v>0</v>
      </c>
      <c r="BZ42" s="3">
        <v>0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6">
        <v>0</v>
      </c>
      <c r="CP42" s="5">
        <v>0</v>
      </c>
    </row>
    <row r="43" spans="1:94" x14ac:dyDescent="0.35">
      <c r="A43" s="9" t="str">
        <f t="shared" si="10"/>
        <v>UK</v>
      </c>
      <c r="B43" s="9" t="s">
        <v>23</v>
      </c>
      <c r="C43" s="20"/>
      <c r="D43" s="9" t="s">
        <v>22</v>
      </c>
      <c r="E43" s="9" t="s">
        <v>193</v>
      </c>
      <c r="F43" s="9" t="s">
        <v>1</v>
      </c>
      <c r="G43" s="19">
        <v>0</v>
      </c>
      <c r="H43" s="9">
        <v>2014</v>
      </c>
      <c r="I43" s="9">
        <v>6</v>
      </c>
      <c r="J43" s="18">
        <f>INDEX(PTRS!$D$6:$D$12,MATCH('4'!$F43,PTRS!$B$6:$B$12,0))</f>
        <v>0.1044225</v>
      </c>
      <c r="K43" s="17">
        <v>0</v>
      </c>
      <c r="L43" s="17">
        <v>0.1044225</v>
      </c>
      <c r="M43" s="17">
        <v>0.1044225</v>
      </c>
      <c r="N43" s="17">
        <v>0.1044225</v>
      </c>
      <c r="O43" s="17">
        <v>0.1044225</v>
      </c>
      <c r="P43" s="17">
        <v>0.1044225</v>
      </c>
      <c r="Q43" s="17">
        <v>0.1044225</v>
      </c>
      <c r="R43" s="17">
        <v>0.1044225</v>
      </c>
      <c r="S43" s="17">
        <v>1</v>
      </c>
      <c r="T43" s="9" t="s">
        <v>21</v>
      </c>
      <c r="U43" s="22">
        <v>0.72649652910676854</v>
      </c>
      <c r="V43" s="17">
        <v>1</v>
      </c>
      <c r="W43" s="9" t="s">
        <v>20</v>
      </c>
      <c r="X43" s="9">
        <f>INDEX('Unique Asset List'!$C$4:$I$60,MATCH('4'!$B43,'Unique Asset List'!$A$4:$A$60,0),MATCH('4'!$C$1,'Unique Asset List'!$C$3:$I$3,0))</f>
        <v>2031</v>
      </c>
      <c r="Y43" s="9">
        <f>INDEX('Unique Asset List'!$J$4:$P$60,MATCH('4'!$B43,'Unique Asset List'!$A$4:$A$60,0),MATCH('4'!$C$1,'Unique Asset List'!$J$3:$P$3,0))</f>
        <v>3</v>
      </c>
      <c r="Z43" s="9">
        <f>INDEX('Unique Asset List'!$X$4:$AD$60,MATCH('4'!$B43,'Unique Asset List'!$A$4:$A$60,0),MATCH('4'!$C$1,'Unique Asset List'!$X$3:$AD$3,0))</f>
        <v>2041</v>
      </c>
      <c r="AA43" s="9">
        <f>INDEX('Unique Asset List'!$AE$4:$AK$60,MATCH('4'!$B43,'Unique Asset List'!$A$4:$A$60,0),MATCH('4'!$C$1,'Unique Asset List'!$AE$3:$AK$3,0))</f>
        <v>3</v>
      </c>
      <c r="AB43" s="16">
        <f>AB25</f>
        <v>1.6822346000000001</v>
      </c>
      <c r="AC43" s="16">
        <f>AC25</f>
        <v>0.86278740000000009</v>
      </c>
      <c r="AD43" s="16">
        <f>AD25</f>
        <v>0.56099999999999994</v>
      </c>
      <c r="AE43" s="15">
        <f>INDEX('Unique Asset List'!$BN$4:$BT$60,MATCH('4'!$B43,'Unique Asset List'!$A$4:$A$60,0),MATCH('4'!$C$1,'Unique Asset List'!$BN$3:$BT$3,0))</f>
        <v>0.05</v>
      </c>
      <c r="AF43" s="15">
        <f>INDEX('Unique Asset List'!$BU$4:$CA$60,MATCH('4'!$B43,'Unique Asset List'!$A$4:$A$60,0),MATCH('4'!$C$1,'Unique Asset List'!$BU$3:$CA$3,0))</f>
        <v>0.45</v>
      </c>
      <c r="AG43" s="15">
        <f>INDEX('Unique Asset List'!$AZ$4:$BF$60,MATCH('4'!$B43,'Unique Asset List'!$A$4:$A$60,0),MATCH('4'!$C$1,'Unique Asset List'!$AZ$3:$BF$3,0))</f>
        <v>0.05</v>
      </c>
      <c r="AH43" s="15">
        <f>INDEX('Unique Asset List'!$BG$4:$BM$60,MATCH('4'!$B43,'Unique Asset List'!$A$4:$A$60,0),MATCH('4'!$C$1,'Unique Asset List'!$BG$3:$BM$3,0))</f>
        <v>0.45</v>
      </c>
      <c r="AI43" s="11">
        <v>0.96187963349867744</v>
      </c>
      <c r="AJ43" s="15">
        <f>INDEX('Unique Asset List'!$AL$4:$AR$60,MATCH('4'!$B43,'Unique Asset List'!$A$4:$A$60,0),MATCH('4'!$C$1,'Unique Asset List'!$AL$3:$AR$3,0))</f>
        <v>1.4542000570988298</v>
      </c>
      <c r="AK43" s="15">
        <f>INDEX('Unique Asset List'!$AS$4:$AY$60,MATCH('4'!$B43,'Unique Asset List'!$A$4:$A$60,0),MATCH('4'!$C$1,'Unique Asset List'!$AS$3:$AY$3,0))</f>
        <v>-0.4950056673809119</v>
      </c>
      <c r="AL43" s="9">
        <v>169</v>
      </c>
      <c r="AM43" s="14">
        <f>INDEX(Simulation!$B$6:$H$6,MATCH($A43,Simulation!$B$1:$H$1,0))*(1+AN43)^((DATE(X43,Y43,15)-DATE(2017,1,15))/365.5)</f>
        <v>3.5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11"/>
        <v>0.82</v>
      </c>
      <c r="AS43" s="10">
        <v>1</v>
      </c>
      <c r="AT43" s="4">
        <f>IF($C$5="ON",BT43,MyRating(_E1,$B43,Efficacy!$F$1))</f>
        <v>0</v>
      </c>
      <c r="AU43" s="3">
        <f>IF($C$5="ON",BU43,MyRating(_E2,$B43,Efficacy!$F$1))</f>
        <v>0</v>
      </c>
      <c r="AV43" s="3">
        <f>IF($C$5="ON",BV43,MyRating(_E3,$B43,Efficacy!$F$1))</f>
        <v>0</v>
      </c>
      <c r="AW43" s="3">
        <f>IF($C$5="ON",BW43,MyRating(_E4,$B43,Efficacy!$F$1))</f>
        <v>0</v>
      </c>
      <c r="AX43" s="3">
        <f>IF($C$5="ON",BX43,MyRating(_E5,$B43,Efficacy!$F$1))</f>
        <v>0</v>
      </c>
      <c r="AY43" s="3">
        <f>IF($C$5="ON",BY43,MyRating(_E6,$B43,Efficacy!$F$1))</f>
        <v>0</v>
      </c>
      <c r="AZ43" s="3">
        <f>IF($C$5="ON",BZ43,MyRating(_E7,$B43,Efficacy!$F$1))</f>
        <v>0</v>
      </c>
      <c r="BA43" s="3">
        <f>IF($C$5="ON",CA43,MyRating(_E8,$B43,Efficacy!$F$1))</f>
        <v>0</v>
      </c>
      <c r="BB43" s="3">
        <f>IF($C$5="ON",CB43,MyRating(_S1,$B43,Efficacy!$F$1))</f>
        <v>0</v>
      </c>
      <c r="BC43" s="3">
        <f>IF($C$5="ON",CC43,MyRating(_S2,$B43,Efficacy!$F$1))</f>
        <v>0</v>
      </c>
      <c r="BD43" s="3">
        <f>IF($C$5="ON",CD43,MyRating(_S3,$B43,Efficacy!$F$1))</f>
        <v>0</v>
      </c>
      <c r="BE43" s="3">
        <f>IF($C$5="ON",CE43,MyRating(_S4,$B43,Efficacy!$F$1))</f>
        <v>0</v>
      </c>
      <c r="BF43" s="3">
        <f>IF($C$5="ON",CF43,MyRating(_S5,$B43,Efficacy!$F$1))</f>
        <v>0</v>
      </c>
      <c r="BG43" s="3">
        <f>IF($C$5="ON",CG43,MyRating(_S6,$B43,Efficacy!$F$1))</f>
        <v>0</v>
      </c>
      <c r="BH43" s="3">
        <f>IF($C$5="ON",CH43,MyRating(_S7,$B43,Efficacy!$F$1))</f>
        <v>0</v>
      </c>
      <c r="BI43" s="3">
        <f>IF($C$5="ON",CI43,MyRating(_D1,$B43,Efficacy!$F$1))</f>
        <v>0</v>
      </c>
      <c r="BJ43" s="3">
        <f>IF($C$5="ON",CJ43,MyRating(_D2,$B43,Efficacy!$F$1))</f>
        <v>0</v>
      </c>
      <c r="BK43" s="3">
        <f>IF($C$5="ON",CK43,MyRating(_D3,$B43,Efficacy!$F$1))</f>
        <v>0</v>
      </c>
      <c r="BL43" s="3">
        <f>IF($C$5="ON",CL43,MyRating(_D4,$B43,Efficacy!$F$1))</f>
        <v>0</v>
      </c>
      <c r="BM43" s="3">
        <f>IF($C$5="ON",CM43,MyRating(_B1G5,$B43,Barrier!$L$2))</f>
        <v>0</v>
      </c>
      <c r="BN43" s="3">
        <f>IF($C$5="ON",CN43,MyRating(_B2,$B43,Barrier!$F$2))</f>
        <v>0</v>
      </c>
      <c r="BO43" s="6">
        <f>IF($C$5="ON",CO43,MyRating(_B3,$B43,Barrier!$F$2))</f>
        <v>0</v>
      </c>
      <c r="BP43" s="5">
        <f t="shared" si="12"/>
        <v>0</v>
      </c>
      <c r="BQ43" s="8">
        <f t="shared" si="13"/>
        <v>0</v>
      </c>
      <c r="BR43" s="5">
        <f t="shared" si="14"/>
        <v>0</v>
      </c>
      <c r="BS43" s="7">
        <f t="shared" si="15"/>
        <v>0</v>
      </c>
      <c r="BT43" s="4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3">
        <v>0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6">
        <v>0</v>
      </c>
      <c r="CP43" s="5">
        <v>0</v>
      </c>
    </row>
    <row r="44" spans="1:94" x14ac:dyDescent="0.35">
      <c r="A44" s="9" t="str">
        <f t="shared" si="10"/>
        <v>UK</v>
      </c>
      <c r="B44" s="9" t="s">
        <v>19</v>
      </c>
      <c r="C44" s="20"/>
      <c r="D44" s="9" t="s">
        <v>18</v>
      </c>
      <c r="E44" s="9" t="s">
        <v>193</v>
      </c>
      <c r="F44" s="9" t="s">
        <v>1</v>
      </c>
      <c r="G44" s="19">
        <v>0</v>
      </c>
      <c r="H44" s="9">
        <v>2014</v>
      </c>
      <c r="I44" s="9">
        <v>6</v>
      </c>
      <c r="J44" s="18">
        <f>INDEX(PTRS!$D$6:$D$12,MATCH('4'!$F44,PTRS!$B$6:$B$12,0))</f>
        <v>0.1044225</v>
      </c>
      <c r="K44" s="17">
        <v>0</v>
      </c>
      <c r="L44" s="17">
        <v>0.1044225</v>
      </c>
      <c r="M44" s="17">
        <v>0.1044225</v>
      </c>
      <c r="N44" s="17">
        <v>0.1044225</v>
      </c>
      <c r="O44" s="17">
        <v>0.1044225</v>
      </c>
      <c r="P44" s="17">
        <v>0.1044225</v>
      </c>
      <c r="Q44" s="17">
        <v>0.1044225</v>
      </c>
      <c r="R44" s="17">
        <v>0.1044225</v>
      </c>
      <c r="S44" s="17">
        <v>1</v>
      </c>
      <c r="T44" s="9" t="s">
        <v>17</v>
      </c>
      <c r="U44" s="22">
        <v>0.72649652910676854</v>
      </c>
      <c r="V44" s="17">
        <v>1</v>
      </c>
      <c r="W44" s="9" t="s">
        <v>16</v>
      </c>
      <c r="X44" s="9">
        <f>INDEX('Unique Asset List'!$C$4:$I$60,MATCH('4'!$B44,'Unique Asset List'!$A$4:$A$60,0),MATCH('4'!$C$1,'Unique Asset List'!$C$3:$I$3,0))</f>
        <v>2030</v>
      </c>
      <c r="Y44" s="9">
        <f>INDEX('Unique Asset List'!$J$4:$P$60,MATCH('4'!$B44,'Unique Asset List'!$A$4:$A$60,0),MATCH('4'!$C$1,'Unique Asset List'!$J$3:$P$3,0))</f>
        <v>8.0000000000009095</v>
      </c>
      <c r="Z44" s="9">
        <f>INDEX('Unique Asset List'!$X$4:$AD$60,MATCH('4'!$B44,'Unique Asset List'!$A$4:$A$60,0),MATCH('4'!$C$1,'Unique Asset List'!$X$3:$AD$3,0))</f>
        <v>2040</v>
      </c>
      <c r="AA44" s="9">
        <f>INDEX('Unique Asset List'!$AE$4:$AK$60,MATCH('4'!$B44,'Unique Asset List'!$A$4:$A$60,0),MATCH('4'!$C$1,'Unique Asset List'!$AE$3:$AK$3,0))</f>
        <v>8</v>
      </c>
      <c r="AB44" s="16">
        <f>AB24</f>
        <v>1.7951404000000002</v>
      </c>
      <c r="AC44" s="16">
        <f>AC24</f>
        <v>0.88497580000000009</v>
      </c>
      <c r="AD44" s="16">
        <f>AD24</f>
        <v>0.56099999999999994</v>
      </c>
      <c r="AE44" s="15">
        <f>INDEX('Unique Asset List'!$BN$4:$BT$60,MATCH('4'!$B44,'Unique Asset List'!$A$4:$A$60,0),MATCH('4'!$C$1,'Unique Asset List'!$BN$3:$BT$3,0))</f>
        <v>0.05</v>
      </c>
      <c r="AF44" s="15">
        <f>INDEX('Unique Asset List'!$BU$4:$CA$60,MATCH('4'!$B44,'Unique Asset List'!$A$4:$A$60,0),MATCH('4'!$C$1,'Unique Asset List'!$BU$3:$CA$3,0))</f>
        <v>0.45</v>
      </c>
      <c r="AG44" s="15">
        <f>INDEX('Unique Asset List'!$AZ$4:$BF$60,MATCH('4'!$B44,'Unique Asset List'!$A$4:$A$60,0),MATCH('4'!$C$1,'Unique Asset List'!$AZ$3:$BF$3,0))</f>
        <v>0.05</v>
      </c>
      <c r="AH44" s="15">
        <f>INDEX('Unique Asset List'!$BG$4:$BM$60,MATCH('4'!$B44,'Unique Asset List'!$A$4:$A$60,0),MATCH('4'!$C$1,'Unique Asset List'!$BG$3:$BM$3,0))</f>
        <v>0.45</v>
      </c>
      <c r="AI44" s="11">
        <v>0.96187963349867744</v>
      </c>
      <c r="AJ44" s="15">
        <f>INDEX('Unique Asset List'!$AL$4:$AR$60,MATCH('4'!$B44,'Unique Asset List'!$A$4:$A$60,0),MATCH('4'!$C$1,'Unique Asset List'!$AL$3:$AR$3,0))</f>
        <v>1.4542000570988298</v>
      </c>
      <c r="AK44" s="15">
        <f>INDEX('Unique Asset List'!$AS$4:$AY$60,MATCH('4'!$B44,'Unique Asset List'!$A$4:$A$60,0),MATCH('4'!$C$1,'Unique Asset List'!$AS$3:$AY$3,0))</f>
        <v>-0.4950056673809119</v>
      </c>
      <c r="AL44" s="9">
        <v>169</v>
      </c>
      <c r="AM44" s="14">
        <f>INDEX(Simulation!$B$6:$H$6,MATCH($A44,Simulation!$B$1:$H$1,0))*(1+AN44)^((DATE(X44,Y44,15)-DATE(2017,1,15))/365.5)</f>
        <v>3.5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11"/>
        <v>0.82</v>
      </c>
      <c r="AS44" s="10">
        <v>1</v>
      </c>
      <c r="AT44" s="4">
        <f>IF($C$5="ON",BT44,MyRating(_E1,$B44,Efficacy!$F$1))</f>
        <v>0</v>
      </c>
      <c r="AU44" s="3">
        <f>IF($C$5="ON",BU44,MyRating(_E2,$B44,Efficacy!$F$1))</f>
        <v>0</v>
      </c>
      <c r="AV44" s="3">
        <f>IF($C$5="ON",BV44,MyRating(_E3,$B44,Efficacy!$F$1))</f>
        <v>0</v>
      </c>
      <c r="AW44" s="3">
        <f>IF($C$5="ON",BW44,MyRating(_E4,$B44,Efficacy!$F$1))</f>
        <v>0</v>
      </c>
      <c r="AX44" s="3">
        <f>IF($C$5="ON",BX44,MyRating(_E5,$B44,Efficacy!$F$1))</f>
        <v>0</v>
      </c>
      <c r="AY44" s="3">
        <f>IF($C$5="ON",BY44,MyRating(_E6,$B44,Efficacy!$F$1))</f>
        <v>0</v>
      </c>
      <c r="AZ44" s="3">
        <f>IF($C$5="ON",BZ44,MyRating(_E7,$B44,Efficacy!$F$1))</f>
        <v>0</v>
      </c>
      <c r="BA44" s="3">
        <f>IF($C$5="ON",CA44,MyRating(_E8,$B44,Efficacy!$F$1))</f>
        <v>0</v>
      </c>
      <c r="BB44" s="3">
        <f>IF($C$5="ON",CB44,MyRating(_S1,$B44,Efficacy!$F$1))</f>
        <v>0</v>
      </c>
      <c r="BC44" s="3">
        <f>IF($C$5="ON",CC44,MyRating(_S2,$B44,Efficacy!$F$1))</f>
        <v>0</v>
      </c>
      <c r="BD44" s="3">
        <f>IF($C$5="ON",CD44,MyRating(_S3,$B44,Efficacy!$F$1))</f>
        <v>0</v>
      </c>
      <c r="BE44" s="3">
        <f>IF($C$5="ON",CE44,MyRating(_S4,$B44,Efficacy!$F$1))</f>
        <v>0</v>
      </c>
      <c r="BF44" s="3">
        <f>IF($C$5="ON",CF44,MyRating(_S5,$B44,Efficacy!$F$1))</f>
        <v>0</v>
      </c>
      <c r="BG44" s="3">
        <f>IF($C$5="ON",CG44,MyRating(_S6,$B44,Efficacy!$F$1))</f>
        <v>0</v>
      </c>
      <c r="BH44" s="3">
        <f>IF($C$5="ON",CH44,MyRating(_S7,$B44,Efficacy!$F$1))</f>
        <v>0</v>
      </c>
      <c r="BI44" s="3">
        <f>IF($C$5="ON",CI44,MyRating(_D1,$B44,Efficacy!$F$1))</f>
        <v>0</v>
      </c>
      <c r="BJ44" s="3">
        <f>IF($C$5="ON",CJ44,MyRating(_D2,$B44,Efficacy!$F$1))</f>
        <v>0</v>
      </c>
      <c r="BK44" s="3">
        <f>IF($C$5="ON",CK44,MyRating(_D3,$B44,Efficacy!$F$1))</f>
        <v>0</v>
      </c>
      <c r="BL44" s="3">
        <f>IF($C$5="ON",CL44,MyRating(_D4,$B44,Efficacy!$F$1))</f>
        <v>0</v>
      </c>
      <c r="BM44" s="3">
        <f>IF($C$5="ON",CM44,MyRating(_B1G5,$B44,Barrier!$L$2))</f>
        <v>0</v>
      </c>
      <c r="BN44" s="3">
        <f>IF($C$5="ON",CN44,MyRating(_B2,$B44,Barrier!$F$2))</f>
        <v>0</v>
      </c>
      <c r="BO44" s="6">
        <f>IF($C$5="ON",CO44,MyRating(_B3,$B44,Barrier!$F$2))</f>
        <v>0</v>
      </c>
      <c r="BP44" s="5">
        <f t="shared" si="12"/>
        <v>0</v>
      </c>
      <c r="BQ44" s="8">
        <f t="shared" si="13"/>
        <v>0</v>
      </c>
      <c r="BR44" s="5">
        <f t="shared" si="14"/>
        <v>0</v>
      </c>
      <c r="BS44" s="7">
        <f t="shared" si="15"/>
        <v>0</v>
      </c>
      <c r="BT44" s="4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6">
        <v>0</v>
      </c>
      <c r="CP44" s="5">
        <v>0</v>
      </c>
    </row>
    <row r="45" spans="1:94" x14ac:dyDescent="0.35">
      <c r="A45" s="9" t="str">
        <f t="shared" si="10"/>
        <v>UK</v>
      </c>
      <c r="B45" s="9" t="s">
        <v>13</v>
      </c>
      <c r="C45" s="20"/>
      <c r="D45" s="9" t="s">
        <v>2</v>
      </c>
      <c r="E45" s="9" t="s">
        <v>193</v>
      </c>
      <c r="F45" s="9" t="s">
        <v>1</v>
      </c>
      <c r="G45" s="19">
        <v>0</v>
      </c>
      <c r="H45" s="9">
        <v>2014</v>
      </c>
      <c r="I45" s="9">
        <v>6</v>
      </c>
      <c r="J45" s="18">
        <f>INDEX(PTRS!$D$6:$D$12,MATCH('4'!$F45,PTRS!$B$6:$B$12,0))</f>
        <v>0.1044225</v>
      </c>
      <c r="K45" s="17">
        <v>0</v>
      </c>
      <c r="L45" s="17">
        <v>0.1044225</v>
      </c>
      <c r="M45" s="17">
        <v>0.1044225</v>
      </c>
      <c r="N45" s="17">
        <v>0</v>
      </c>
      <c r="O45" s="17">
        <v>1</v>
      </c>
      <c r="P45" s="17">
        <v>0.1044225</v>
      </c>
      <c r="Q45" s="17">
        <v>0.1044225</v>
      </c>
      <c r="R45" s="17">
        <v>0.1044225</v>
      </c>
      <c r="S45" s="17">
        <v>1</v>
      </c>
      <c r="T45" s="17"/>
      <c r="U45" s="22">
        <v>0.72649652910676854</v>
      </c>
      <c r="V45" s="17">
        <v>1</v>
      </c>
      <c r="W45" s="9" t="s">
        <v>13</v>
      </c>
      <c r="X45" s="9">
        <f>INDEX('Unique Asset List'!$C$4:$I$60,MATCH('4'!$B45,'Unique Asset List'!$A$4:$A$60,0),MATCH('4'!$C$1,'Unique Asset List'!$C$3:$I$3,0))</f>
        <v>2030</v>
      </c>
      <c r="Y45" s="9">
        <f>INDEX('Unique Asset List'!$J$4:$P$60,MATCH('4'!$B45,'Unique Asset List'!$A$4:$A$60,0),MATCH('4'!$C$1,'Unique Asset List'!$J$3:$P$3,0))</f>
        <v>6</v>
      </c>
      <c r="Z45" s="9">
        <f>INDEX('Unique Asset List'!$X$4:$AD$60,MATCH('4'!$B45,'Unique Asset List'!$A$4:$A$60,0),MATCH('4'!$C$1,'Unique Asset List'!$X$3:$AD$3,0))</f>
        <v>2042</v>
      </c>
      <c r="AA45" s="9">
        <f>INDEX('Unique Asset List'!$AE$4:$AK$60,MATCH('4'!$B45,'Unique Asset List'!$A$4:$A$60,0),MATCH('4'!$C$1,'Unique Asset List'!$AE$3:$AK$3,0))</f>
        <v>6</v>
      </c>
      <c r="AB45" s="21">
        <v>2.3276916000000001</v>
      </c>
      <c r="AC45" s="21">
        <v>1.0028454</v>
      </c>
      <c r="AD45" s="21">
        <v>0.56099999999999994</v>
      </c>
      <c r="AE45" s="15">
        <f>INDEX('Unique Asset List'!$BN$4:$BT$60,MATCH('4'!$B45,'Unique Asset List'!$A$4:$A$60,0),MATCH('4'!$C$1,'Unique Asset List'!$BN$3:$BT$3,0))</f>
        <v>0.05</v>
      </c>
      <c r="AF45" s="15">
        <f>INDEX('Unique Asset List'!$BU$4:$CA$60,MATCH('4'!$B45,'Unique Asset List'!$A$4:$A$60,0),MATCH('4'!$C$1,'Unique Asset List'!$BU$3:$CA$3,0))</f>
        <v>0.45</v>
      </c>
      <c r="AG45" s="15">
        <f>INDEX('Unique Asset List'!$AZ$4:$BF$60,MATCH('4'!$B45,'Unique Asset List'!$A$4:$A$60,0),MATCH('4'!$C$1,'Unique Asset List'!$AZ$3:$BF$3,0))</f>
        <v>0.05</v>
      </c>
      <c r="AH45" s="15">
        <f>INDEX('Unique Asset List'!$BG$4:$BM$60,MATCH('4'!$B45,'Unique Asset List'!$A$4:$A$60,0),MATCH('4'!$C$1,'Unique Asset List'!$BG$3:$BM$3,0))</f>
        <v>0.45</v>
      </c>
      <c r="AI45" s="11">
        <v>0.96187963349867744</v>
      </c>
      <c r="AJ45" s="15">
        <f>INDEX('Unique Asset List'!$AL$4:$AR$60,MATCH('4'!$B45,'Unique Asset List'!$A$4:$A$60,0),MATCH('4'!$C$1,'Unique Asset List'!$AL$3:$AR$3,0))</f>
        <v>1.4542000570988298</v>
      </c>
      <c r="AK45" s="15">
        <f>INDEX('Unique Asset List'!$AS$4:$AY$60,MATCH('4'!$B45,'Unique Asset List'!$A$4:$A$60,0),MATCH('4'!$C$1,'Unique Asset List'!$AS$3:$AY$3,0))</f>
        <v>-0.4950056673809119</v>
      </c>
      <c r="AL45" s="9">
        <v>169</v>
      </c>
      <c r="AM45" s="14">
        <f>INDEX(Simulation!$B$6:$H$6,MATCH($A45,Simulation!$B$1:$H$1,0))*(1+AN45)^((DATE(X45,Y45,15)-DATE(2017,1,15))/365.5)</f>
        <v>3.5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11"/>
        <v>0.82</v>
      </c>
      <c r="AS45" s="10">
        <v>1</v>
      </c>
      <c r="AT45" s="4">
        <f>IF($C$5="ON",BT45,MyRating(_E1,$B45,Efficacy!$F$1))</f>
        <v>0</v>
      </c>
      <c r="AU45" s="3">
        <f>IF($C$5="ON",BU45,MyRating(_E2,$B45,Efficacy!$F$1))</f>
        <v>0</v>
      </c>
      <c r="AV45" s="3">
        <f>IF($C$5="ON",BV45,MyRating(_E3,$B45,Efficacy!$F$1))</f>
        <v>0</v>
      </c>
      <c r="AW45" s="3">
        <f>IF($C$5="ON",BW45,MyRating(_E4,$B45,Efficacy!$F$1))</f>
        <v>0</v>
      </c>
      <c r="AX45" s="3">
        <f>IF($C$5="ON",BX45,MyRating(_E5,$B45,Efficacy!$F$1))</f>
        <v>0</v>
      </c>
      <c r="AY45" s="3">
        <f>IF($C$5="ON",BY45,MyRating(_E6,$B45,Efficacy!$F$1))</f>
        <v>0</v>
      </c>
      <c r="AZ45" s="3">
        <f>IF($C$5="ON",BZ45,MyRating(_E7,$B45,Efficacy!$F$1))</f>
        <v>0</v>
      </c>
      <c r="BA45" s="3">
        <f>IF($C$5="ON",CA45,MyRating(_E8,$B45,Efficacy!$F$1))</f>
        <v>0</v>
      </c>
      <c r="BB45" s="3">
        <f>IF($C$5="ON",CB45,MyRating(_S1,$B45,Efficacy!$F$1))</f>
        <v>0</v>
      </c>
      <c r="BC45" s="3">
        <f>IF($C$5="ON",CC45,MyRating(_S2,$B45,Efficacy!$F$1))</f>
        <v>0</v>
      </c>
      <c r="BD45" s="3">
        <f>IF($C$5="ON",CD45,MyRating(_S3,$B45,Efficacy!$F$1))</f>
        <v>0</v>
      </c>
      <c r="BE45" s="3">
        <f>IF($C$5="ON",CE45,MyRating(_S4,$B45,Efficacy!$F$1))</f>
        <v>0</v>
      </c>
      <c r="BF45" s="3">
        <f>IF($C$5="ON",CF45,MyRating(_S5,$B45,Efficacy!$F$1))</f>
        <v>0</v>
      </c>
      <c r="BG45" s="3">
        <f>IF($C$5="ON",CG45,MyRating(_S6,$B45,Efficacy!$F$1))</f>
        <v>0</v>
      </c>
      <c r="BH45" s="3">
        <f>IF($C$5="ON",CH45,MyRating(_S7,$B45,Efficacy!$F$1))</f>
        <v>0</v>
      </c>
      <c r="BI45" s="3">
        <f>IF($C$5="ON",CI45,MyRating(_D1,$B45,Efficacy!$F$1))</f>
        <v>0</v>
      </c>
      <c r="BJ45" s="3">
        <f>IF($C$5="ON",CJ45,MyRating(_D2,$B45,Efficacy!$F$1))</f>
        <v>0</v>
      </c>
      <c r="BK45" s="3">
        <f>IF($C$5="ON",CK45,MyRating(_D3,$B45,Efficacy!$F$1))</f>
        <v>0</v>
      </c>
      <c r="BL45" s="3">
        <f>IF($C$5="ON",CL45,MyRating(_D4,$B45,Efficacy!$F$1))</f>
        <v>0</v>
      </c>
      <c r="BM45" s="3">
        <f>IF($C$5="ON",CM45,MyRating(_B1G5,$B45,Barrier!$L$2))</f>
        <v>0</v>
      </c>
      <c r="BN45" s="3">
        <f>IF($C$5="ON",CN45,MyRating(_B2,$B45,Barrier!$F$2))</f>
        <v>0</v>
      </c>
      <c r="BO45" s="6">
        <f>IF($C$5="ON",CO45,MyRating(_B3,$B45,Barrier!$F$2))</f>
        <v>0</v>
      </c>
      <c r="BP45" s="5">
        <f t="shared" si="12"/>
        <v>0</v>
      </c>
      <c r="BQ45" s="8">
        <f t="shared" si="13"/>
        <v>0</v>
      </c>
      <c r="BR45" s="5">
        <f t="shared" si="14"/>
        <v>0</v>
      </c>
      <c r="BS45" s="7">
        <f t="shared" si="15"/>
        <v>0</v>
      </c>
      <c r="BT45" s="4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6">
        <v>0</v>
      </c>
      <c r="CP45" s="5">
        <v>0</v>
      </c>
    </row>
    <row r="46" spans="1:94" x14ac:dyDescent="0.35">
      <c r="A46" s="9" t="str">
        <f t="shared" si="10"/>
        <v>UK</v>
      </c>
      <c r="B46" s="9" t="s">
        <v>10</v>
      </c>
      <c r="C46" s="20"/>
      <c r="D46" s="9" t="s">
        <v>2</v>
      </c>
      <c r="E46" s="9" t="s">
        <v>193</v>
      </c>
      <c r="F46" s="9" t="s">
        <v>1</v>
      </c>
      <c r="G46" s="19">
        <v>0</v>
      </c>
      <c r="H46" s="9">
        <v>2014</v>
      </c>
      <c r="I46" s="9">
        <v>6</v>
      </c>
      <c r="J46" s="18">
        <f>INDEX(PTRS!$D$6:$D$12,MATCH('4'!$F46,PTRS!$B$6:$B$12,0))</f>
        <v>0.1044225</v>
      </c>
      <c r="K46" s="17">
        <v>0</v>
      </c>
      <c r="L46" s="17">
        <v>0.1044225</v>
      </c>
      <c r="M46" s="17">
        <v>0.1044225</v>
      </c>
      <c r="N46" s="17">
        <v>0</v>
      </c>
      <c r="O46" s="17">
        <v>1</v>
      </c>
      <c r="P46" s="17">
        <v>0.1044225</v>
      </c>
      <c r="Q46" s="17">
        <v>0.1044225</v>
      </c>
      <c r="R46" s="17">
        <v>0.1044225</v>
      </c>
      <c r="S46" s="17">
        <v>1</v>
      </c>
      <c r="T46" s="17"/>
      <c r="U46" s="22">
        <v>0.72649652910676854</v>
      </c>
      <c r="V46" s="17">
        <v>1</v>
      </c>
      <c r="W46" s="9" t="s">
        <v>10</v>
      </c>
      <c r="X46" s="9">
        <f>INDEX('Unique Asset List'!$C$4:$I$60,MATCH('4'!$B46,'Unique Asset List'!$A$4:$A$60,0),MATCH('4'!$C$1,'Unique Asset List'!$C$3:$I$3,0))</f>
        <v>2034</v>
      </c>
      <c r="Y46" s="9">
        <f>INDEX('Unique Asset List'!$J$4:$P$60,MATCH('4'!$B46,'Unique Asset List'!$A$4:$A$60,0),MATCH('4'!$C$1,'Unique Asset List'!$J$3:$P$3,0))</f>
        <v>6</v>
      </c>
      <c r="Z46" s="9">
        <f>INDEX('Unique Asset List'!$X$4:$AD$60,MATCH('4'!$B46,'Unique Asset List'!$A$4:$A$60,0),MATCH('4'!$C$1,'Unique Asset List'!$X$3:$AD$3,0))</f>
        <v>2046</v>
      </c>
      <c r="AA46" s="9">
        <f>INDEX('Unique Asset List'!$AE$4:$AK$60,MATCH('4'!$B46,'Unique Asset List'!$A$4:$A$60,0),MATCH('4'!$C$1,'Unique Asset List'!$AE$3:$AK$3,0))</f>
        <v>6</v>
      </c>
      <c r="AB46" s="21">
        <v>2.3276916000000001</v>
      </c>
      <c r="AC46" s="21">
        <v>1.0028454</v>
      </c>
      <c r="AD46" s="21">
        <v>0.56099999999999994</v>
      </c>
      <c r="AE46" s="15">
        <f>INDEX('Unique Asset List'!$BN$4:$BT$60,MATCH('4'!$B46,'Unique Asset List'!$A$4:$A$60,0),MATCH('4'!$C$1,'Unique Asset List'!$BN$3:$BT$3,0))</f>
        <v>0.05</v>
      </c>
      <c r="AF46" s="15">
        <f>INDEX('Unique Asset List'!$BU$4:$CA$60,MATCH('4'!$B46,'Unique Asset List'!$A$4:$A$60,0),MATCH('4'!$C$1,'Unique Asset List'!$BU$3:$CA$3,0))</f>
        <v>0.45</v>
      </c>
      <c r="AG46" s="15">
        <f>INDEX('Unique Asset List'!$AZ$4:$BF$60,MATCH('4'!$B46,'Unique Asset List'!$A$4:$A$60,0),MATCH('4'!$C$1,'Unique Asset List'!$AZ$3:$BF$3,0))</f>
        <v>0.05</v>
      </c>
      <c r="AH46" s="15">
        <f>INDEX('Unique Asset List'!$BG$4:$BM$60,MATCH('4'!$B46,'Unique Asset List'!$A$4:$A$60,0),MATCH('4'!$C$1,'Unique Asset List'!$BG$3:$BM$3,0))</f>
        <v>0.45</v>
      </c>
      <c r="AI46" s="11">
        <v>0.96187963349867744</v>
      </c>
      <c r="AJ46" s="15">
        <f>INDEX('Unique Asset List'!$AL$4:$AR$60,MATCH('4'!$B46,'Unique Asset List'!$A$4:$A$60,0),MATCH('4'!$C$1,'Unique Asset List'!$AL$3:$AR$3,0))</f>
        <v>1.4542000570988298</v>
      </c>
      <c r="AK46" s="15">
        <f>INDEX('Unique Asset List'!$AS$4:$AY$60,MATCH('4'!$B46,'Unique Asset List'!$A$4:$A$60,0),MATCH('4'!$C$1,'Unique Asset List'!$AS$3:$AY$3,0))</f>
        <v>-0.4950056673809119</v>
      </c>
      <c r="AL46" s="9">
        <v>169</v>
      </c>
      <c r="AM46" s="14">
        <f>INDEX(Simulation!$B$6:$H$6,MATCH($A46,Simulation!$B$1:$H$1,0))*(1+AN46)^((DATE(X46,Y46,15)-DATE(2017,1,15))/365.5)</f>
        <v>3.5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11"/>
        <v>0.82</v>
      </c>
      <c r="AS46" s="10">
        <v>1</v>
      </c>
      <c r="AT46" s="4">
        <f>IF($C$5="ON",BT46,MyRating(_E1,$B46,Efficacy!$F$1))</f>
        <v>0</v>
      </c>
      <c r="AU46" s="3">
        <f>IF($C$5="ON",BU46,MyRating(_E2,$B46,Efficacy!$F$1))</f>
        <v>0</v>
      </c>
      <c r="AV46" s="3">
        <f>IF($C$5="ON",BV46,MyRating(_E3,$B46,Efficacy!$F$1))</f>
        <v>0</v>
      </c>
      <c r="AW46" s="3">
        <f>IF($C$5="ON",BW46,MyRating(_E4,$B46,Efficacy!$F$1))</f>
        <v>0</v>
      </c>
      <c r="AX46" s="3">
        <f>IF($C$5="ON",BX46,MyRating(_E5,$B46,Efficacy!$F$1))</f>
        <v>0</v>
      </c>
      <c r="AY46" s="3">
        <f>IF($C$5="ON",BY46,MyRating(_E6,$B46,Efficacy!$F$1))</f>
        <v>0</v>
      </c>
      <c r="AZ46" s="3">
        <f>IF($C$5="ON",BZ46,MyRating(_E7,$B46,Efficacy!$F$1))</f>
        <v>0</v>
      </c>
      <c r="BA46" s="3">
        <f>IF($C$5="ON",CA46,MyRating(_E8,$B46,Efficacy!$F$1))</f>
        <v>0</v>
      </c>
      <c r="BB46" s="3">
        <f>IF($C$5="ON",CB46,MyRating(_S1,$B46,Efficacy!$F$1))</f>
        <v>0</v>
      </c>
      <c r="BC46" s="3">
        <f>IF($C$5="ON",CC46,MyRating(_S2,$B46,Efficacy!$F$1))</f>
        <v>0</v>
      </c>
      <c r="BD46" s="3">
        <f>IF($C$5="ON",CD46,MyRating(_S3,$B46,Efficacy!$F$1))</f>
        <v>0</v>
      </c>
      <c r="BE46" s="3">
        <f>IF($C$5="ON",CE46,MyRating(_S4,$B46,Efficacy!$F$1))</f>
        <v>0</v>
      </c>
      <c r="BF46" s="3">
        <f>IF($C$5="ON",CF46,MyRating(_S5,$B46,Efficacy!$F$1))</f>
        <v>0</v>
      </c>
      <c r="BG46" s="3">
        <f>IF($C$5="ON",CG46,MyRating(_S6,$B46,Efficacy!$F$1))</f>
        <v>0</v>
      </c>
      <c r="BH46" s="3">
        <f>IF($C$5="ON",CH46,MyRating(_S7,$B46,Efficacy!$F$1))</f>
        <v>0</v>
      </c>
      <c r="BI46" s="3">
        <f>IF($C$5="ON",CI46,MyRating(_D1,$B46,Efficacy!$F$1))</f>
        <v>0</v>
      </c>
      <c r="BJ46" s="3">
        <f>IF($C$5="ON",CJ46,MyRating(_D2,$B46,Efficacy!$F$1))</f>
        <v>0</v>
      </c>
      <c r="BK46" s="3">
        <f>IF($C$5="ON",CK46,MyRating(_D3,$B46,Efficacy!$F$1))</f>
        <v>0</v>
      </c>
      <c r="BL46" s="3">
        <f>IF($C$5="ON",CL46,MyRating(_D4,$B46,Efficacy!$F$1))</f>
        <v>0</v>
      </c>
      <c r="BM46" s="3">
        <f>IF($C$5="ON",CM46,MyRating(_B1G5,$B46,Barrier!$L$2))</f>
        <v>0</v>
      </c>
      <c r="BN46" s="3">
        <f>IF($C$5="ON",CN46,MyRating(_B2,$B46,Barrier!$F$2))</f>
        <v>0</v>
      </c>
      <c r="BO46" s="6">
        <f>IF($C$5="ON",CO46,MyRating(_B3,$B46,Barrier!$F$2))</f>
        <v>0</v>
      </c>
      <c r="BP46" s="5">
        <f t="shared" si="12"/>
        <v>0</v>
      </c>
      <c r="BQ46" s="8">
        <f t="shared" si="13"/>
        <v>0</v>
      </c>
      <c r="BR46" s="5">
        <f t="shared" si="14"/>
        <v>0</v>
      </c>
      <c r="BS46" s="7">
        <f t="shared" si="15"/>
        <v>0</v>
      </c>
      <c r="BT46" s="4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6">
        <v>0</v>
      </c>
      <c r="CP46" s="5">
        <v>0</v>
      </c>
    </row>
    <row r="47" spans="1:94" x14ac:dyDescent="0.35">
      <c r="A47" s="9" t="str">
        <f t="shared" si="10"/>
        <v>UK</v>
      </c>
      <c r="B47" s="9" t="s">
        <v>7</v>
      </c>
      <c r="C47" s="20"/>
      <c r="D47" s="9" t="s">
        <v>2</v>
      </c>
      <c r="E47" s="9" t="s">
        <v>193</v>
      </c>
      <c r="F47" s="9" t="s">
        <v>1</v>
      </c>
      <c r="G47" s="19">
        <v>0</v>
      </c>
      <c r="H47" s="9">
        <v>2014</v>
      </c>
      <c r="I47" s="9">
        <v>6</v>
      </c>
      <c r="J47" s="18">
        <f>INDEX(PTRS!$D$6:$D$12,MATCH('4'!$F47,PTRS!$B$6:$B$12,0))</f>
        <v>0.1044225</v>
      </c>
      <c r="K47" s="17">
        <v>0</v>
      </c>
      <c r="L47" s="17">
        <v>0.1044225</v>
      </c>
      <c r="M47" s="17">
        <v>0.1044225</v>
      </c>
      <c r="N47" s="17">
        <v>0</v>
      </c>
      <c r="O47" s="17">
        <v>1</v>
      </c>
      <c r="P47" s="17">
        <v>0.1044225</v>
      </c>
      <c r="Q47" s="17">
        <v>0.1044225</v>
      </c>
      <c r="R47" s="17">
        <v>0.1044225</v>
      </c>
      <c r="S47" s="17">
        <v>1</v>
      </c>
      <c r="T47" s="17"/>
      <c r="U47" s="22">
        <v>0.72649652910676854</v>
      </c>
      <c r="V47" s="17">
        <v>1</v>
      </c>
      <c r="W47" s="9" t="s">
        <v>7</v>
      </c>
      <c r="X47" s="9">
        <f>INDEX('Unique Asset List'!$C$4:$I$60,MATCH('4'!$B47,'Unique Asset List'!$A$4:$A$60,0),MATCH('4'!$C$1,'Unique Asset List'!$C$3:$I$3,0))</f>
        <v>2038</v>
      </c>
      <c r="Y47" s="9">
        <f>INDEX('Unique Asset List'!$J$4:$P$60,MATCH('4'!$B47,'Unique Asset List'!$A$4:$A$60,0),MATCH('4'!$C$1,'Unique Asset List'!$J$3:$P$3,0))</f>
        <v>6</v>
      </c>
      <c r="Z47" s="9">
        <f>INDEX('Unique Asset List'!$X$4:$AD$60,MATCH('4'!$B47,'Unique Asset List'!$A$4:$A$60,0),MATCH('4'!$C$1,'Unique Asset List'!$X$3:$AD$3,0))</f>
        <v>2050</v>
      </c>
      <c r="AA47" s="9">
        <f>INDEX('Unique Asset List'!$AE$4:$AK$60,MATCH('4'!$B47,'Unique Asset List'!$A$4:$A$60,0),MATCH('4'!$C$1,'Unique Asset List'!$AE$3:$AK$3,0))</f>
        <v>6</v>
      </c>
      <c r="AB47" s="21">
        <v>2.3276916000000001</v>
      </c>
      <c r="AC47" s="21">
        <v>1.0028454</v>
      </c>
      <c r="AD47" s="21">
        <v>0.56099999999999994</v>
      </c>
      <c r="AE47" s="15">
        <f>INDEX('Unique Asset List'!$BN$4:$BT$60,MATCH('4'!$B47,'Unique Asset List'!$A$4:$A$60,0),MATCH('4'!$C$1,'Unique Asset List'!$BN$3:$BT$3,0))</f>
        <v>0.05</v>
      </c>
      <c r="AF47" s="15">
        <f>INDEX('Unique Asset List'!$BU$4:$CA$60,MATCH('4'!$B47,'Unique Asset List'!$A$4:$A$60,0),MATCH('4'!$C$1,'Unique Asset List'!$BU$3:$CA$3,0))</f>
        <v>0.45</v>
      </c>
      <c r="AG47" s="15">
        <f>INDEX('Unique Asset List'!$AZ$4:$BF$60,MATCH('4'!$B47,'Unique Asset List'!$A$4:$A$60,0),MATCH('4'!$C$1,'Unique Asset List'!$AZ$3:$BF$3,0))</f>
        <v>0.05</v>
      </c>
      <c r="AH47" s="15">
        <f>INDEX('Unique Asset List'!$BG$4:$BM$60,MATCH('4'!$B47,'Unique Asset List'!$A$4:$A$60,0),MATCH('4'!$C$1,'Unique Asset List'!$BG$3:$BM$3,0))</f>
        <v>0.45</v>
      </c>
      <c r="AI47" s="11">
        <v>0.96187963349867744</v>
      </c>
      <c r="AJ47" s="15">
        <f>INDEX('Unique Asset List'!$AL$4:$AR$60,MATCH('4'!$B47,'Unique Asset List'!$A$4:$A$60,0),MATCH('4'!$C$1,'Unique Asset List'!$AL$3:$AR$3,0))</f>
        <v>1.4542000570988298</v>
      </c>
      <c r="AK47" s="15">
        <f>INDEX('Unique Asset List'!$AS$4:$AY$60,MATCH('4'!$B47,'Unique Asset List'!$A$4:$A$60,0),MATCH('4'!$C$1,'Unique Asset List'!$AS$3:$AY$3,0))</f>
        <v>-0.4950056673809119</v>
      </c>
      <c r="AL47" s="9">
        <v>169</v>
      </c>
      <c r="AM47" s="14">
        <f>INDEX(Simulation!$B$6:$H$6,MATCH($A47,Simulation!$B$1:$H$1,0))*(1+AN47)^((DATE(X47,Y47,15)-DATE(2017,1,15))/365.5)</f>
        <v>3.5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11"/>
        <v>0.82</v>
      </c>
      <c r="AS47" s="10">
        <v>1</v>
      </c>
      <c r="AT47" s="4">
        <f>IF($C$5="ON",BT47,MyRating(_E1,$B47,Efficacy!$F$1))</f>
        <v>0</v>
      </c>
      <c r="AU47" s="3">
        <f>IF($C$5="ON",BU47,MyRating(_E2,$B47,Efficacy!$F$1))</f>
        <v>0</v>
      </c>
      <c r="AV47" s="3">
        <f>IF($C$5="ON",BV47,MyRating(_E3,$B47,Efficacy!$F$1))</f>
        <v>0</v>
      </c>
      <c r="AW47" s="3">
        <f>IF($C$5="ON",BW47,MyRating(_E4,$B47,Efficacy!$F$1))</f>
        <v>0</v>
      </c>
      <c r="AX47" s="3">
        <f>IF($C$5="ON",BX47,MyRating(_E5,$B47,Efficacy!$F$1))</f>
        <v>0</v>
      </c>
      <c r="AY47" s="3">
        <f>IF($C$5="ON",BY47,MyRating(_E6,$B47,Efficacy!$F$1))</f>
        <v>0</v>
      </c>
      <c r="AZ47" s="3">
        <f>IF($C$5="ON",BZ47,MyRating(_E7,$B47,Efficacy!$F$1))</f>
        <v>0</v>
      </c>
      <c r="BA47" s="3">
        <f>IF($C$5="ON",CA47,MyRating(_E8,$B47,Efficacy!$F$1))</f>
        <v>0</v>
      </c>
      <c r="BB47" s="3">
        <f>IF($C$5="ON",CB47,MyRating(_S1,$B47,Efficacy!$F$1))</f>
        <v>0</v>
      </c>
      <c r="BC47" s="3">
        <f>IF($C$5="ON",CC47,MyRating(_S2,$B47,Efficacy!$F$1))</f>
        <v>0</v>
      </c>
      <c r="BD47" s="3">
        <f>IF($C$5="ON",CD47,MyRating(_S3,$B47,Efficacy!$F$1))</f>
        <v>0</v>
      </c>
      <c r="BE47" s="3">
        <f>IF($C$5="ON",CE47,MyRating(_S4,$B47,Efficacy!$F$1))</f>
        <v>0</v>
      </c>
      <c r="BF47" s="3">
        <f>IF($C$5="ON",CF47,MyRating(_S5,$B47,Efficacy!$F$1))</f>
        <v>0</v>
      </c>
      <c r="BG47" s="3">
        <f>IF($C$5="ON",CG47,MyRating(_S6,$B47,Efficacy!$F$1))</f>
        <v>0</v>
      </c>
      <c r="BH47" s="3">
        <f>IF($C$5="ON",CH47,MyRating(_S7,$B47,Efficacy!$F$1))</f>
        <v>0</v>
      </c>
      <c r="BI47" s="3">
        <f>IF($C$5="ON",CI47,MyRating(_D1,$B47,Efficacy!$F$1))</f>
        <v>0</v>
      </c>
      <c r="BJ47" s="3">
        <f>IF($C$5="ON",CJ47,MyRating(_D2,$B47,Efficacy!$F$1))</f>
        <v>0</v>
      </c>
      <c r="BK47" s="3">
        <f>IF($C$5="ON",CK47,MyRating(_D3,$B47,Efficacy!$F$1))</f>
        <v>0</v>
      </c>
      <c r="BL47" s="3">
        <f>IF($C$5="ON",CL47,MyRating(_D4,$B47,Efficacy!$F$1))</f>
        <v>0</v>
      </c>
      <c r="BM47" s="3">
        <f>IF($C$5="ON",CM47,MyRating(_B1G5,$B47,Barrier!$L$2))</f>
        <v>0</v>
      </c>
      <c r="BN47" s="3">
        <f>IF($C$5="ON",CN47,MyRating(_B2,$B47,Barrier!$F$2))</f>
        <v>0</v>
      </c>
      <c r="BO47" s="6">
        <f>IF($C$5="ON",CO47,MyRating(_B3,$B47,Barrier!$F$2))</f>
        <v>0</v>
      </c>
      <c r="BP47" s="5">
        <f t="shared" si="12"/>
        <v>0</v>
      </c>
      <c r="BQ47" s="8">
        <f t="shared" si="13"/>
        <v>0</v>
      </c>
      <c r="BR47" s="5">
        <f t="shared" si="14"/>
        <v>0</v>
      </c>
      <c r="BS47" s="7">
        <f t="shared" si="15"/>
        <v>0</v>
      </c>
      <c r="BT47" s="4">
        <v>0</v>
      </c>
      <c r="BU47" s="3">
        <v>0</v>
      </c>
      <c r="BV47" s="3">
        <v>0</v>
      </c>
      <c r="BW47" s="3">
        <v>0</v>
      </c>
      <c r="BX47" s="3">
        <v>0</v>
      </c>
      <c r="BY47" s="3">
        <v>0</v>
      </c>
      <c r="BZ47" s="3">
        <v>0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6">
        <v>0</v>
      </c>
      <c r="CP47" s="5">
        <v>0</v>
      </c>
    </row>
    <row r="48" spans="1:94" x14ac:dyDescent="0.35">
      <c r="A48" s="9" t="str">
        <f t="shared" si="10"/>
        <v>UK</v>
      </c>
      <c r="B48" s="9" t="s">
        <v>15</v>
      </c>
      <c r="C48" s="20"/>
      <c r="D48" s="9" t="s">
        <v>14</v>
      </c>
      <c r="E48" s="9" t="s">
        <v>193</v>
      </c>
      <c r="F48" s="9" t="s">
        <v>1</v>
      </c>
      <c r="G48" s="19">
        <v>0</v>
      </c>
      <c r="H48" s="9">
        <v>2014</v>
      </c>
      <c r="I48" s="9">
        <v>6</v>
      </c>
      <c r="J48" s="18">
        <f>INDEX(PTRS!$D$6:$D$12,MATCH('4'!$F48,PTRS!$B$6:$B$12,0))</f>
        <v>0.1044225</v>
      </c>
      <c r="K48" s="17">
        <v>0</v>
      </c>
      <c r="L48" s="17">
        <v>0.1044225</v>
      </c>
      <c r="M48" s="17">
        <v>0.1044225</v>
      </c>
      <c r="N48" s="17">
        <v>0</v>
      </c>
      <c r="O48" s="17">
        <v>1</v>
      </c>
      <c r="P48" s="17">
        <v>0.1044225</v>
      </c>
      <c r="Q48" s="17">
        <v>0.1044225</v>
      </c>
      <c r="R48" s="17">
        <v>0.1044225</v>
      </c>
      <c r="S48" s="17">
        <v>1</v>
      </c>
      <c r="T48" s="17" t="s">
        <v>13</v>
      </c>
      <c r="U48" s="22">
        <v>0.72649652910676854</v>
      </c>
      <c r="V48" s="17">
        <v>1</v>
      </c>
      <c r="W48" s="9" t="s">
        <v>13</v>
      </c>
      <c r="X48" s="9">
        <f>INDEX('Unique Asset List'!$C$4:$I$60,MATCH('4'!$B48,'Unique Asset List'!$A$4:$A$60,0),MATCH('4'!$C$1,'Unique Asset List'!$C$3:$I$3,0))</f>
        <v>2032</v>
      </c>
      <c r="Y48" s="9">
        <f>INDEX('Unique Asset List'!$J$4:$P$60,MATCH('4'!$B48,'Unique Asset List'!$A$4:$A$60,0),MATCH('4'!$C$1,'Unique Asset List'!$J$3:$P$3,0))</f>
        <v>6</v>
      </c>
      <c r="Z48" s="9">
        <f>INDEX('Unique Asset List'!$X$4:$AD$60,MATCH('4'!$B48,'Unique Asset List'!$A$4:$A$60,0),MATCH('4'!$C$1,'Unique Asset List'!$X$3:$AD$3,0))</f>
        <v>2044</v>
      </c>
      <c r="AA48" s="9">
        <f>INDEX('Unique Asset List'!$AE$4:$AK$60,MATCH('4'!$B48,'Unique Asset List'!$A$4:$A$60,0),MATCH('4'!$C$1,'Unique Asset List'!$AE$3:$AK$3,0))</f>
        <v>6</v>
      </c>
      <c r="AB48" s="21">
        <v>2.3276916000000001</v>
      </c>
      <c r="AC48" s="21">
        <v>1.0028454</v>
      </c>
      <c r="AD48" s="21">
        <v>0.56099999999999994</v>
      </c>
      <c r="AE48" s="15">
        <f>INDEX('Unique Asset List'!$BN$4:$BT$60,MATCH('4'!$B48,'Unique Asset List'!$A$4:$A$60,0),MATCH('4'!$C$1,'Unique Asset List'!$BN$3:$BT$3,0))</f>
        <v>0.05</v>
      </c>
      <c r="AF48" s="15">
        <f>INDEX('Unique Asset List'!$BU$4:$CA$60,MATCH('4'!$B48,'Unique Asset List'!$A$4:$A$60,0),MATCH('4'!$C$1,'Unique Asset List'!$BU$3:$CA$3,0))</f>
        <v>0.45</v>
      </c>
      <c r="AG48" s="15">
        <f>INDEX('Unique Asset List'!$AZ$4:$BF$60,MATCH('4'!$B48,'Unique Asset List'!$A$4:$A$60,0),MATCH('4'!$C$1,'Unique Asset List'!$AZ$3:$BF$3,0))</f>
        <v>0.05</v>
      </c>
      <c r="AH48" s="15">
        <f>INDEX('Unique Asset List'!$BG$4:$BM$60,MATCH('4'!$B48,'Unique Asset List'!$A$4:$A$60,0),MATCH('4'!$C$1,'Unique Asset List'!$BG$3:$BM$3,0))</f>
        <v>0.45</v>
      </c>
      <c r="AI48" s="11">
        <v>0.96187963349867744</v>
      </c>
      <c r="AJ48" s="15">
        <f>INDEX('Unique Asset List'!$AL$4:$AR$60,MATCH('4'!$B48,'Unique Asset List'!$A$4:$A$60,0),MATCH('4'!$C$1,'Unique Asset List'!$AL$3:$AR$3,0))</f>
        <v>1.4542000570988298</v>
      </c>
      <c r="AK48" s="15">
        <f>INDEX('Unique Asset List'!$AS$4:$AY$60,MATCH('4'!$B48,'Unique Asset List'!$A$4:$A$60,0),MATCH('4'!$C$1,'Unique Asset List'!$AS$3:$AY$3,0))</f>
        <v>-0.4950056673809119</v>
      </c>
      <c r="AL48" s="9">
        <v>169</v>
      </c>
      <c r="AM48" s="14">
        <f>INDEX(Simulation!$B$6:$H$6,MATCH($A48,Simulation!$B$1:$H$1,0))*(1+AN48)^((DATE(X48,Y48,15)-DATE(2017,1,15))/365.5)</f>
        <v>3.5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11"/>
        <v>0.82</v>
      </c>
      <c r="AS48" s="10">
        <v>1</v>
      </c>
      <c r="AT48" s="4">
        <f>IF($C$5="ON",BT48,MyRating(_E1,$B48,Efficacy!$F$1))</f>
        <v>0</v>
      </c>
      <c r="AU48" s="3">
        <f>IF($C$5="ON",BU48,MyRating(_E2,$B48,Efficacy!$F$1))</f>
        <v>0</v>
      </c>
      <c r="AV48" s="3">
        <f>IF($C$5="ON",BV48,MyRating(_E3,$B48,Efficacy!$F$1))</f>
        <v>0</v>
      </c>
      <c r="AW48" s="3">
        <f>IF($C$5="ON",BW48,MyRating(_E4,$B48,Efficacy!$F$1))</f>
        <v>0</v>
      </c>
      <c r="AX48" s="3">
        <f>IF($C$5="ON",BX48,MyRating(_E5,$B48,Efficacy!$F$1))</f>
        <v>0</v>
      </c>
      <c r="AY48" s="3">
        <f>IF($C$5="ON",BY48,MyRating(_E6,$B48,Efficacy!$F$1))</f>
        <v>0</v>
      </c>
      <c r="AZ48" s="3">
        <f>IF($C$5="ON",BZ48,MyRating(_E7,$B48,Efficacy!$F$1))</f>
        <v>0</v>
      </c>
      <c r="BA48" s="3">
        <f>IF($C$5="ON",CA48,MyRating(_E8,$B48,Efficacy!$F$1))</f>
        <v>0</v>
      </c>
      <c r="BB48" s="3">
        <f>IF($C$5="ON",CB48,MyRating(_S1,$B48,Efficacy!$F$1))</f>
        <v>0</v>
      </c>
      <c r="BC48" s="3">
        <f>IF($C$5="ON",CC48,MyRating(_S2,$B48,Efficacy!$F$1))</f>
        <v>0</v>
      </c>
      <c r="BD48" s="3">
        <f>IF($C$5="ON",CD48,MyRating(_S3,$B48,Efficacy!$F$1))</f>
        <v>0</v>
      </c>
      <c r="BE48" s="3">
        <f>IF($C$5="ON",CE48,MyRating(_S4,$B48,Efficacy!$F$1))</f>
        <v>0</v>
      </c>
      <c r="BF48" s="3">
        <f>IF($C$5="ON",CF48,MyRating(_S5,$B48,Efficacy!$F$1))</f>
        <v>0</v>
      </c>
      <c r="BG48" s="3">
        <f>IF($C$5="ON",CG48,MyRating(_S6,$B48,Efficacy!$F$1))</f>
        <v>0</v>
      </c>
      <c r="BH48" s="3">
        <f>IF($C$5="ON",CH48,MyRating(_S7,$B48,Efficacy!$F$1))</f>
        <v>0</v>
      </c>
      <c r="BI48" s="3">
        <f>IF($C$5="ON",CI48,MyRating(_D1,$B48,Efficacy!$F$1))</f>
        <v>0</v>
      </c>
      <c r="BJ48" s="3">
        <f>IF($C$5="ON",CJ48,MyRating(_D2,$B48,Efficacy!$F$1))</f>
        <v>0</v>
      </c>
      <c r="BK48" s="3">
        <f>IF($C$5="ON",CK48,MyRating(_D3,$B48,Efficacy!$F$1))</f>
        <v>0</v>
      </c>
      <c r="BL48" s="3">
        <f>IF($C$5="ON",CL48,MyRating(_D4,$B48,Efficacy!$F$1))</f>
        <v>0</v>
      </c>
      <c r="BM48" s="3">
        <f>IF($C$5="ON",CM48,MyRating(_B1G5,$B48,Barrier!$L$2))</f>
        <v>0</v>
      </c>
      <c r="BN48" s="3">
        <f>IF($C$5="ON",CN48,MyRating(_B2,$B48,Barrier!$F$2))</f>
        <v>0</v>
      </c>
      <c r="BO48" s="6">
        <f>IF($C$5="ON",CO48,MyRating(_B3,$B48,Barrier!$F$2))</f>
        <v>0</v>
      </c>
      <c r="BP48" s="5">
        <f t="shared" si="12"/>
        <v>0</v>
      </c>
      <c r="BQ48" s="8">
        <f t="shared" si="13"/>
        <v>0</v>
      </c>
      <c r="BR48" s="5">
        <f t="shared" si="14"/>
        <v>0</v>
      </c>
      <c r="BS48" s="7">
        <f t="shared" si="15"/>
        <v>0</v>
      </c>
      <c r="BT48" s="4">
        <v>0</v>
      </c>
      <c r="BU48" s="3">
        <v>0</v>
      </c>
      <c r="BV48" s="3">
        <v>0</v>
      </c>
      <c r="BW48" s="3">
        <v>0</v>
      </c>
      <c r="BX48" s="3">
        <v>0</v>
      </c>
      <c r="BY48" s="3">
        <v>0</v>
      </c>
      <c r="BZ48" s="3">
        <v>0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6">
        <v>0</v>
      </c>
      <c r="CP48" s="5">
        <v>0</v>
      </c>
    </row>
    <row r="49" spans="1:94" x14ac:dyDescent="0.35">
      <c r="A49" s="9" t="str">
        <f t="shared" si="10"/>
        <v>UK</v>
      </c>
      <c r="B49" s="9" t="s">
        <v>12</v>
      </c>
      <c r="C49" s="20"/>
      <c r="D49" s="9" t="s">
        <v>11</v>
      </c>
      <c r="E49" s="9" t="s">
        <v>193</v>
      </c>
      <c r="F49" s="9" t="s">
        <v>1</v>
      </c>
      <c r="G49" s="19">
        <v>0</v>
      </c>
      <c r="H49" s="9">
        <v>2014</v>
      </c>
      <c r="I49" s="9">
        <v>6</v>
      </c>
      <c r="J49" s="18">
        <f>INDEX(PTRS!$D$6:$D$12,MATCH('4'!$F49,PTRS!$B$6:$B$12,0))</f>
        <v>0.1044225</v>
      </c>
      <c r="K49" s="17">
        <v>0</v>
      </c>
      <c r="L49" s="17">
        <v>0.1044225</v>
      </c>
      <c r="M49" s="17">
        <v>0.1044225</v>
      </c>
      <c r="N49" s="17">
        <v>0</v>
      </c>
      <c r="O49" s="17">
        <v>1</v>
      </c>
      <c r="P49" s="17">
        <v>0.1044225</v>
      </c>
      <c r="Q49" s="17">
        <v>0.1044225</v>
      </c>
      <c r="R49" s="17">
        <v>0.1044225</v>
      </c>
      <c r="S49" s="17">
        <v>1</v>
      </c>
      <c r="T49" s="17" t="s">
        <v>10</v>
      </c>
      <c r="U49" s="22">
        <v>0.72649652910676854</v>
      </c>
      <c r="V49" s="17">
        <v>1</v>
      </c>
      <c r="W49" s="9" t="s">
        <v>10</v>
      </c>
      <c r="X49" s="9">
        <f>INDEX('Unique Asset List'!$C$4:$I$60,MATCH('4'!$B49,'Unique Asset List'!$A$4:$A$60,0),MATCH('4'!$C$1,'Unique Asset List'!$C$3:$I$3,0))</f>
        <v>2036</v>
      </c>
      <c r="Y49" s="9">
        <f>INDEX('Unique Asset List'!$J$4:$P$60,MATCH('4'!$B49,'Unique Asset List'!$A$4:$A$60,0),MATCH('4'!$C$1,'Unique Asset List'!$J$3:$P$3,0))</f>
        <v>6</v>
      </c>
      <c r="Z49" s="9">
        <f>INDEX('Unique Asset List'!$X$4:$AD$60,MATCH('4'!$B49,'Unique Asset List'!$A$4:$A$60,0),MATCH('4'!$C$1,'Unique Asset List'!$X$3:$AD$3,0))</f>
        <v>2048</v>
      </c>
      <c r="AA49" s="9">
        <f>INDEX('Unique Asset List'!$AE$4:$AK$60,MATCH('4'!$B49,'Unique Asset List'!$A$4:$A$60,0),MATCH('4'!$C$1,'Unique Asset List'!$AE$3:$AK$3,0))</f>
        <v>6</v>
      </c>
      <c r="AB49" s="21">
        <v>2.3276916000000001</v>
      </c>
      <c r="AC49" s="21">
        <v>1.0028454</v>
      </c>
      <c r="AD49" s="21">
        <v>0.56099999999999994</v>
      </c>
      <c r="AE49" s="15">
        <f>INDEX('Unique Asset List'!$BN$4:$BT$60,MATCH('4'!$B49,'Unique Asset List'!$A$4:$A$60,0),MATCH('4'!$C$1,'Unique Asset List'!$BN$3:$BT$3,0))</f>
        <v>0.05</v>
      </c>
      <c r="AF49" s="15">
        <f>INDEX('Unique Asset List'!$BU$4:$CA$60,MATCH('4'!$B49,'Unique Asset List'!$A$4:$A$60,0),MATCH('4'!$C$1,'Unique Asset List'!$BU$3:$CA$3,0))</f>
        <v>0.45</v>
      </c>
      <c r="AG49" s="15">
        <f>INDEX('Unique Asset List'!$AZ$4:$BF$60,MATCH('4'!$B49,'Unique Asset List'!$A$4:$A$60,0),MATCH('4'!$C$1,'Unique Asset List'!$AZ$3:$BF$3,0))</f>
        <v>0.05</v>
      </c>
      <c r="AH49" s="15">
        <f>INDEX('Unique Asset List'!$BG$4:$BM$60,MATCH('4'!$B49,'Unique Asset List'!$A$4:$A$60,0),MATCH('4'!$C$1,'Unique Asset List'!$BG$3:$BM$3,0))</f>
        <v>0.45</v>
      </c>
      <c r="AI49" s="11">
        <v>0.96187963349867744</v>
      </c>
      <c r="AJ49" s="15">
        <f>INDEX('Unique Asset List'!$AL$4:$AR$60,MATCH('4'!$B49,'Unique Asset List'!$A$4:$A$60,0),MATCH('4'!$C$1,'Unique Asset List'!$AL$3:$AR$3,0))</f>
        <v>1.4542000570988298</v>
      </c>
      <c r="AK49" s="15">
        <f>INDEX('Unique Asset List'!$AS$4:$AY$60,MATCH('4'!$B49,'Unique Asset List'!$A$4:$A$60,0),MATCH('4'!$C$1,'Unique Asset List'!$AS$3:$AY$3,0))</f>
        <v>-0.4950056673809119</v>
      </c>
      <c r="AL49" s="9">
        <v>169</v>
      </c>
      <c r="AM49" s="14">
        <f>INDEX(Simulation!$B$6:$H$6,MATCH($A49,Simulation!$B$1:$H$1,0))*(1+AN49)^((DATE(X49,Y49,15)-DATE(2017,1,15))/365.5)</f>
        <v>3.5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11"/>
        <v>0.82</v>
      </c>
      <c r="AS49" s="10">
        <v>1</v>
      </c>
      <c r="AT49" s="4">
        <f>IF($C$5="ON",BT49,MyRating(_E1,$B49,Efficacy!$F$1))</f>
        <v>0</v>
      </c>
      <c r="AU49" s="3">
        <f>IF($C$5="ON",BU49,MyRating(_E2,$B49,Efficacy!$F$1))</f>
        <v>0</v>
      </c>
      <c r="AV49" s="3">
        <f>IF($C$5="ON",BV49,MyRating(_E3,$B49,Efficacy!$F$1))</f>
        <v>0</v>
      </c>
      <c r="AW49" s="3">
        <f>IF($C$5="ON",BW49,MyRating(_E4,$B49,Efficacy!$F$1))</f>
        <v>0</v>
      </c>
      <c r="AX49" s="3">
        <f>IF($C$5="ON",BX49,MyRating(_E5,$B49,Efficacy!$F$1))</f>
        <v>0</v>
      </c>
      <c r="AY49" s="3">
        <f>IF($C$5="ON",BY49,MyRating(_E6,$B49,Efficacy!$F$1))</f>
        <v>0</v>
      </c>
      <c r="AZ49" s="3">
        <f>IF($C$5="ON",BZ49,MyRating(_E7,$B49,Efficacy!$F$1))</f>
        <v>0</v>
      </c>
      <c r="BA49" s="3">
        <f>IF($C$5="ON",CA49,MyRating(_E8,$B49,Efficacy!$F$1))</f>
        <v>0</v>
      </c>
      <c r="BB49" s="3">
        <f>IF($C$5="ON",CB49,MyRating(_S1,$B49,Efficacy!$F$1))</f>
        <v>0</v>
      </c>
      <c r="BC49" s="3">
        <f>IF($C$5="ON",CC49,MyRating(_S2,$B49,Efficacy!$F$1))</f>
        <v>0</v>
      </c>
      <c r="BD49" s="3">
        <f>IF($C$5="ON",CD49,MyRating(_S3,$B49,Efficacy!$F$1))</f>
        <v>0</v>
      </c>
      <c r="BE49" s="3">
        <f>IF($C$5="ON",CE49,MyRating(_S4,$B49,Efficacy!$F$1))</f>
        <v>0</v>
      </c>
      <c r="BF49" s="3">
        <f>IF($C$5="ON",CF49,MyRating(_S5,$B49,Efficacy!$F$1))</f>
        <v>0</v>
      </c>
      <c r="BG49" s="3">
        <f>IF($C$5="ON",CG49,MyRating(_S6,$B49,Efficacy!$F$1))</f>
        <v>0</v>
      </c>
      <c r="BH49" s="3">
        <f>IF($C$5="ON",CH49,MyRating(_S7,$B49,Efficacy!$F$1))</f>
        <v>0</v>
      </c>
      <c r="BI49" s="3">
        <f>IF($C$5="ON",CI49,MyRating(_D1,$B49,Efficacy!$F$1))</f>
        <v>0</v>
      </c>
      <c r="BJ49" s="3">
        <f>IF($C$5="ON",CJ49,MyRating(_D2,$B49,Efficacy!$F$1))</f>
        <v>0</v>
      </c>
      <c r="BK49" s="3">
        <f>IF($C$5="ON",CK49,MyRating(_D3,$B49,Efficacy!$F$1))</f>
        <v>0</v>
      </c>
      <c r="BL49" s="3">
        <f>IF($C$5="ON",CL49,MyRating(_D4,$B49,Efficacy!$F$1))</f>
        <v>0</v>
      </c>
      <c r="BM49" s="3">
        <f>IF($C$5="ON",CM49,MyRating(_B1G5,$B49,Barrier!$L$2))</f>
        <v>0</v>
      </c>
      <c r="BN49" s="3">
        <f>IF($C$5="ON",CN49,MyRating(_B2,$B49,Barrier!$F$2))</f>
        <v>0</v>
      </c>
      <c r="BO49" s="6">
        <f>IF($C$5="ON",CO49,MyRating(_B3,$B49,Barrier!$F$2))</f>
        <v>0</v>
      </c>
      <c r="BP49" s="5">
        <f t="shared" si="12"/>
        <v>0</v>
      </c>
      <c r="BQ49" s="8">
        <f t="shared" si="13"/>
        <v>0</v>
      </c>
      <c r="BR49" s="5">
        <f t="shared" si="14"/>
        <v>0</v>
      </c>
      <c r="BS49" s="7">
        <f t="shared" si="15"/>
        <v>0</v>
      </c>
      <c r="BT49" s="4">
        <v>0</v>
      </c>
      <c r="BU49" s="3">
        <v>0</v>
      </c>
      <c r="BV49" s="3">
        <v>0</v>
      </c>
      <c r="BW49" s="3">
        <v>0</v>
      </c>
      <c r="BX49" s="3">
        <v>0</v>
      </c>
      <c r="BY49" s="3">
        <v>0</v>
      </c>
      <c r="BZ49" s="3">
        <v>0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6">
        <v>0</v>
      </c>
      <c r="CP49" s="5">
        <v>0</v>
      </c>
    </row>
    <row r="50" spans="1:94" x14ac:dyDescent="0.35">
      <c r="A50" s="9" t="str">
        <f t="shared" si="10"/>
        <v>UK</v>
      </c>
      <c r="B50" s="9" t="s">
        <v>9</v>
      </c>
      <c r="C50" s="20"/>
      <c r="D50" s="9" t="s">
        <v>8</v>
      </c>
      <c r="E50" s="9" t="s">
        <v>193</v>
      </c>
      <c r="F50" s="9" t="s">
        <v>1</v>
      </c>
      <c r="G50" s="19">
        <v>0</v>
      </c>
      <c r="H50" s="9">
        <v>2014</v>
      </c>
      <c r="I50" s="9">
        <v>6</v>
      </c>
      <c r="J50" s="18">
        <f>INDEX(PTRS!$D$6:$D$12,MATCH('4'!$F50,PTRS!$B$6:$B$12,0))</f>
        <v>0.1044225</v>
      </c>
      <c r="K50" s="17">
        <v>0</v>
      </c>
      <c r="L50" s="17">
        <v>0.1044225</v>
      </c>
      <c r="M50" s="17">
        <v>0.1044225</v>
      </c>
      <c r="N50" s="17">
        <v>0</v>
      </c>
      <c r="O50" s="17">
        <v>1</v>
      </c>
      <c r="P50" s="17">
        <v>0.1044225</v>
      </c>
      <c r="Q50" s="17">
        <v>0.1044225</v>
      </c>
      <c r="R50" s="17">
        <v>0.1044225</v>
      </c>
      <c r="S50" s="17">
        <v>1</v>
      </c>
      <c r="T50" s="17" t="s">
        <v>7</v>
      </c>
      <c r="U50" s="22">
        <v>0.72649652910676854</v>
      </c>
      <c r="V50" s="17">
        <v>1</v>
      </c>
      <c r="W50" s="9" t="s">
        <v>7</v>
      </c>
      <c r="X50" s="9">
        <f>INDEX('Unique Asset List'!$C$4:$I$60,MATCH('4'!$B50,'Unique Asset List'!$A$4:$A$60,0),MATCH('4'!$C$1,'Unique Asset List'!$C$3:$I$3,0))</f>
        <v>2041</v>
      </c>
      <c r="Y50" s="9">
        <f>INDEX('Unique Asset List'!$J$4:$P$60,MATCH('4'!$B50,'Unique Asset List'!$A$4:$A$60,0),MATCH('4'!$C$1,'Unique Asset List'!$J$3:$P$3,0))</f>
        <v>6</v>
      </c>
      <c r="Z50" s="9">
        <f>INDEX('Unique Asset List'!$X$4:$AD$60,MATCH('4'!$B50,'Unique Asset List'!$A$4:$A$60,0),MATCH('4'!$C$1,'Unique Asset List'!$X$3:$AD$3,0))</f>
        <v>2053</v>
      </c>
      <c r="AA50" s="9">
        <f>INDEX('Unique Asset List'!$AE$4:$AK$60,MATCH('4'!$B50,'Unique Asset List'!$A$4:$A$60,0),MATCH('4'!$C$1,'Unique Asset List'!$AE$3:$AK$3,0))</f>
        <v>6</v>
      </c>
      <c r="AB50" s="21">
        <v>2.3276916000000001</v>
      </c>
      <c r="AC50" s="21">
        <v>1.0028454</v>
      </c>
      <c r="AD50" s="21">
        <v>0.56099999999999994</v>
      </c>
      <c r="AE50" s="15">
        <f>INDEX('Unique Asset List'!$BN$4:$BT$60,MATCH('4'!$B50,'Unique Asset List'!$A$4:$A$60,0),MATCH('4'!$C$1,'Unique Asset List'!$BN$3:$BT$3,0))</f>
        <v>0.05</v>
      </c>
      <c r="AF50" s="15">
        <f>INDEX('Unique Asset List'!$BU$4:$CA$60,MATCH('4'!$B50,'Unique Asset List'!$A$4:$A$60,0),MATCH('4'!$C$1,'Unique Asset List'!$BU$3:$CA$3,0))</f>
        <v>0.45</v>
      </c>
      <c r="AG50" s="15">
        <f>INDEX('Unique Asset List'!$AZ$4:$BF$60,MATCH('4'!$B50,'Unique Asset List'!$A$4:$A$60,0),MATCH('4'!$C$1,'Unique Asset List'!$AZ$3:$BF$3,0))</f>
        <v>0.05</v>
      </c>
      <c r="AH50" s="15">
        <f>INDEX('Unique Asset List'!$BG$4:$BM$60,MATCH('4'!$B50,'Unique Asset List'!$A$4:$A$60,0),MATCH('4'!$C$1,'Unique Asset List'!$BG$3:$BM$3,0))</f>
        <v>0.45</v>
      </c>
      <c r="AI50" s="11">
        <v>0.96187963349867744</v>
      </c>
      <c r="AJ50" s="15">
        <f>INDEX('Unique Asset List'!$AL$4:$AR$60,MATCH('4'!$B50,'Unique Asset List'!$A$4:$A$60,0),MATCH('4'!$C$1,'Unique Asset List'!$AL$3:$AR$3,0))</f>
        <v>1.4542000570988298</v>
      </c>
      <c r="AK50" s="15">
        <f>INDEX('Unique Asset List'!$AS$4:$AY$60,MATCH('4'!$B50,'Unique Asset List'!$A$4:$A$60,0),MATCH('4'!$C$1,'Unique Asset List'!$AS$3:$AY$3,0))</f>
        <v>-0.4950056673809119</v>
      </c>
      <c r="AL50" s="9">
        <v>169</v>
      </c>
      <c r="AM50" s="14">
        <f>INDEX(Simulation!$B$6:$H$6,MATCH($A50,Simulation!$B$1:$H$1,0))*(1+AN50)^((DATE(X50,Y50,15)-DATE(2017,1,15))/365.5)</f>
        <v>3.5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11"/>
        <v>0.82</v>
      </c>
      <c r="AS50" s="10">
        <v>1</v>
      </c>
      <c r="AT50" s="4">
        <f>IF($C$5="ON",BT50,MyRating(_E1,$B50,Efficacy!$F$1))</f>
        <v>0</v>
      </c>
      <c r="AU50" s="3">
        <f>IF($C$5="ON",BU50,MyRating(_E2,$B50,Efficacy!$F$1))</f>
        <v>0</v>
      </c>
      <c r="AV50" s="3">
        <f>IF($C$5="ON",BV50,MyRating(_E3,$B50,Efficacy!$F$1))</f>
        <v>0</v>
      </c>
      <c r="AW50" s="3">
        <f>IF($C$5="ON",BW50,MyRating(_E4,$B50,Efficacy!$F$1))</f>
        <v>0</v>
      </c>
      <c r="AX50" s="3">
        <f>IF($C$5="ON",BX50,MyRating(_E5,$B50,Efficacy!$F$1))</f>
        <v>0</v>
      </c>
      <c r="AY50" s="3">
        <f>IF($C$5="ON",BY50,MyRating(_E6,$B50,Efficacy!$F$1))</f>
        <v>0</v>
      </c>
      <c r="AZ50" s="3">
        <f>IF($C$5="ON",BZ50,MyRating(_E7,$B50,Efficacy!$F$1))</f>
        <v>0</v>
      </c>
      <c r="BA50" s="3">
        <f>IF($C$5="ON",CA50,MyRating(_E8,$B50,Efficacy!$F$1))</f>
        <v>0</v>
      </c>
      <c r="BB50" s="3">
        <f>IF($C$5="ON",CB50,MyRating(_S1,$B50,Efficacy!$F$1))</f>
        <v>0</v>
      </c>
      <c r="BC50" s="3">
        <f>IF($C$5="ON",CC50,MyRating(_S2,$B50,Efficacy!$F$1))</f>
        <v>0</v>
      </c>
      <c r="BD50" s="3">
        <f>IF($C$5="ON",CD50,MyRating(_S3,$B50,Efficacy!$F$1))</f>
        <v>0</v>
      </c>
      <c r="BE50" s="3">
        <f>IF($C$5="ON",CE50,MyRating(_S4,$B50,Efficacy!$F$1))</f>
        <v>0</v>
      </c>
      <c r="BF50" s="3">
        <f>IF($C$5="ON",CF50,MyRating(_S5,$B50,Efficacy!$F$1))</f>
        <v>0</v>
      </c>
      <c r="BG50" s="3">
        <f>IF($C$5="ON",CG50,MyRating(_S6,$B50,Efficacy!$F$1))</f>
        <v>0</v>
      </c>
      <c r="BH50" s="3">
        <f>IF($C$5="ON",CH50,MyRating(_S7,$B50,Efficacy!$F$1))</f>
        <v>0</v>
      </c>
      <c r="BI50" s="3">
        <f>IF($C$5="ON",CI50,MyRating(_D1,$B50,Efficacy!$F$1))</f>
        <v>0</v>
      </c>
      <c r="BJ50" s="3">
        <f>IF($C$5="ON",CJ50,MyRating(_D2,$B50,Efficacy!$F$1))</f>
        <v>0</v>
      </c>
      <c r="BK50" s="3">
        <f>IF($C$5="ON",CK50,MyRating(_D3,$B50,Efficacy!$F$1))</f>
        <v>0</v>
      </c>
      <c r="BL50" s="3">
        <f>IF($C$5="ON",CL50,MyRating(_D4,$B50,Efficacy!$F$1))</f>
        <v>0</v>
      </c>
      <c r="BM50" s="3">
        <f>IF($C$5="ON",CM50,MyRating(_B1G5,$B50,Barrier!$L$2))</f>
        <v>0</v>
      </c>
      <c r="BN50" s="3">
        <f>IF($C$5="ON",CN50,MyRating(_B2,$B50,Barrier!$F$2))</f>
        <v>0</v>
      </c>
      <c r="BO50" s="6">
        <f>IF($C$5="ON",CO50,MyRating(_B3,$B50,Barrier!$F$2))</f>
        <v>0</v>
      </c>
      <c r="BP50" s="5">
        <f t="shared" si="12"/>
        <v>0</v>
      </c>
      <c r="BQ50" s="8">
        <f t="shared" si="13"/>
        <v>0</v>
      </c>
      <c r="BR50" s="5">
        <f t="shared" si="14"/>
        <v>0</v>
      </c>
      <c r="BS50" s="7">
        <f t="shared" si="15"/>
        <v>0</v>
      </c>
      <c r="BT50" s="4">
        <v>0</v>
      </c>
      <c r="BU50" s="3">
        <v>0</v>
      </c>
      <c r="BV50" s="3">
        <v>0</v>
      </c>
      <c r="BW50" s="3">
        <v>0</v>
      </c>
      <c r="BX50" s="3">
        <v>0</v>
      </c>
      <c r="BY50" s="3">
        <v>0</v>
      </c>
      <c r="BZ50" s="3">
        <v>0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6">
        <v>0</v>
      </c>
      <c r="CP50" s="5">
        <v>0</v>
      </c>
    </row>
    <row r="51" spans="1:94" x14ac:dyDescent="0.35">
      <c r="A51" s="9" t="str">
        <f t="shared" si="10"/>
        <v>UK</v>
      </c>
      <c r="B51" s="9" t="s">
        <v>4</v>
      </c>
      <c r="C51" s="20" t="s">
        <v>3</v>
      </c>
      <c r="D51" s="9" t="s">
        <v>2</v>
      </c>
      <c r="E51" s="9" t="s">
        <v>193</v>
      </c>
      <c r="F51" s="9" t="s">
        <v>1</v>
      </c>
      <c r="G51" s="19">
        <v>0</v>
      </c>
      <c r="H51" s="9">
        <v>2014</v>
      </c>
      <c r="I51" s="9">
        <v>6</v>
      </c>
      <c r="J51" s="18">
        <f>INDEX(PTRS!$D$6:$D$12,MATCH('4'!$F51,PTRS!$B$6:$B$12,0))</f>
        <v>0.1044225</v>
      </c>
      <c r="K51" s="17">
        <v>0</v>
      </c>
      <c r="L51" s="17">
        <v>0.1044225</v>
      </c>
      <c r="M51" s="17">
        <v>0.1044225</v>
      </c>
      <c r="N51" s="17">
        <v>0.1044225</v>
      </c>
      <c r="O51" s="17">
        <v>0.1044225</v>
      </c>
      <c r="P51" s="17">
        <v>0.1044225</v>
      </c>
      <c r="Q51" s="17">
        <v>0.1044225</v>
      </c>
      <c r="R51" s="17">
        <v>0.1044225</v>
      </c>
      <c r="S51" s="17">
        <v>1</v>
      </c>
      <c r="T51" s="17"/>
      <c r="U51" s="17">
        <f t="shared" ref="U51:U58" si="16">BP51/$BP$7</f>
        <v>0</v>
      </c>
      <c r="V51" s="17">
        <v>1</v>
      </c>
      <c r="W51" s="9" t="s">
        <v>0</v>
      </c>
      <c r="X51" s="9">
        <f>INDEX('Unique Asset List'!$C$4:$I$60,MATCH('4'!$B51,'Unique Asset List'!$A$4:$A$60,0),MATCH('4'!$C$1,'Unique Asset List'!$C$3:$I$3,0))</f>
        <v>2051</v>
      </c>
      <c r="Y51" s="9">
        <f>INDEX('Unique Asset List'!$J$4:$P$60,MATCH('4'!$B51,'Unique Asset List'!$A$4:$A$60,0),MATCH('4'!$C$1,'Unique Asset List'!$J$3:$P$3,0))</f>
        <v>6</v>
      </c>
      <c r="Z51" s="9">
        <f>INDEX('Unique Asset List'!$X$4:$AD$60,MATCH('4'!$B51,'Unique Asset List'!$A$4:$A$60,0),MATCH('4'!$C$1,'Unique Asset List'!$X$3:$AD$3,0))</f>
        <v>2060</v>
      </c>
      <c r="AA51" s="9">
        <f>INDEX('Unique Asset List'!$AE$4:$AK$60,MATCH('4'!$B51,'Unique Asset List'!$A$4:$A$60,0),MATCH('4'!$C$1,'Unique Asset List'!$AE$3:$AK$3,0))</f>
        <v>6</v>
      </c>
      <c r="AB51" s="16">
        <f t="shared" ref="AB51:AB58" si="17">SUMPRODUCT($AT51:$BA51,$AT$7:$BA$7)</f>
        <v>0</v>
      </c>
      <c r="AC51" s="16">
        <f t="shared" ref="AC51:AC58" si="18">SUMPRODUCT($BB51:$BH51,$BB$7:$BH$7)</f>
        <v>0</v>
      </c>
      <c r="AD51" s="16">
        <f t="shared" ref="AD51:AD58" si="19">SUMPRODUCT($BI51:$BL51,$BI$7:$BL$7)</f>
        <v>0</v>
      </c>
      <c r="AE51" s="15">
        <f>INDEX('Unique Asset List'!$BN$4:$BT$60,MATCH('4'!$B51,'Unique Asset List'!$A$4:$A$60,0),MATCH('4'!$C$1,'Unique Asset List'!$BN$3:$BT$3,0))</f>
        <v>0.05</v>
      </c>
      <c r="AF51" s="15">
        <f>INDEX('Unique Asset List'!$BU$4:$CA$60,MATCH('4'!$B51,'Unique Asset List'!$A$4:$A$60,0),MATCH('4'!$C$1,'Unique Asset List'!$BU$3:$CA$3,0))</f>
        <v>0.45</v>
      </c>
      <c r="AG51" s="15">
        <f>INDEX('Unique Asset List'!$AZ$4:$BF$60,MATCH('4'!$B51,'Unique Asset List'!$A$4:$A$60,0),MATCH('4'!$C$1,'Unique Asset List'!$AZ$3:$BF$3,0))</f>
        <v>0.05</v>
      </c>
      <c r="AH51" s="15">
        <f>INDEX('Unique Asset List'!$BG$4:$BM$60,MATCH('4'!$B51,'Unique Asset List'!$A$4:$A$60,0),MATCH('4'!$C$1,'Unique Asset List'!$BG$3:$BM$3,0))</f>
        <v>0.45</v>
      </c>
      <c r="AI51" s="11">
        <v>0.96187963349867744</v>
      </c>
      <c r="AJ51" s="15">
        <f>INDEX('Unique Asset List'!$AL$4:$AR$60,MATCH('4'!$B51,'Unique Asset List'!$A$4:$A$60,0),MATCH('4'!$C$1,'Unique Asset List'!$AL$3:$AR$3,0))</f>
        <v>1.4542000570988298</v>
      </c>
      <c r="AK51" s="15">
        <f>INDEX('Unique Asset List'!$AS$4:$AY$60,MATCH('4'!$B51,'Unique Asset List'!$A$4:$A$60,0),MATCH('4'!$C$1,'Unique Asset List'!$AS$3:$AY$3,0))</f>
        <v>-0.4950056673809119</v>
      </c>
      <c r="AL51" s="9">
        <v>169</v>
      </c>
      <c r="AM51" s="14">
        <f>INDEX(Simulation!$B$6:$H$6,MATCH($A51,Simulation!$B$1:$H$1,0))*(1+AN51)^((DATE(X51,Y51,15)-DATE(2017,1,15))/365.5)</f>
        <v>3.5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11"/>
        <v>0.82</v>
      </c>
      <c r="AS51" s="10">
        <v>1</v>
      </c>
      <c r="AT51" s="4">
        <f>IF($C$5="ON",BT51,MyRating(_E1,$B51,Efficacy!$F$1))</f>
        <v>0</v>
      </c>
      <c r="AU51" s="3">
        <f>IF($C$5="ON",BU51,MyRating(_E2,$B51,Efficacy!$F$1))</f>
        <v>0</v>
      </c>
      <c r="AV51" s="3">
        <f>IF($C$5="ON",BV51,MyRating(_E3,$B51,Efficacy!$F$1))</f>
        <v>0</v>
      </c>
      <c r="AW51" s="3">
        <f>IF($C$5="ON",BW51,MyRating(_E4,$B51,Efficacy!$F$1))</f>
        <v>0</v>
      </c>
      <c r="AX51" s="3">
        <f>IF($C$5="ON",BX51,MyRating(_E5,$B51,Efficacy!$F$1))</f>
        <v>0</v>
      </c>
      <c r="AY51" s="3">
        <f>IF($C$5="ON",BY51,MyRating(_E6,$B51,Efficacy!$F$1))</f>
        <v>0</v>
      </c>
      <c r="AZ51" s="3">
        <f>IF($C$5="ON",BZ51,MyRating(_E7,$B51,Efficacy!$F$1))</f>
        <v>0</v>
      </c>
      <c r="BA51" s="3">
        <f>IF($C$5="ON",CA51,MyRating(_E8,$B51,Efficacy!$F$1))</f>
        <v>0</v>
      </c>
      <c r="BB51" s="3">
        <f>IF($C$5="ON",CB51,MyRating(_S1,$B51,Efficacy!$F$1))</f>
        <v>0</v>
      </c>
      <c r="BC51" s="3">
        <f>IF($C$5="ON",CC51,MyRating(_S2,$B51,Efficacy!$F$1))</f>
        <v>0</v>
      </c>
      <c r="BD51" s="3">
        <f>IF($C$5="ON",CD51,MyRating(_S3,$B51,Efficacy!$F$1))</f>
        <v>0</v>
      </c>
      <c r="BE51" s="3">
        <f>IF($C$5="ON",CE51,MyRating(_S4,$B51,Efficacy!$F$1))</f>
        <v>0</v>
      </c>
      <c r="BF51" s="3">
        <f>IF($C$5="ON",CF51,MyRating(_S5,$B51,Efficacy!$F$1))</f>
        <v>0</v>
      </c>
      <c r="BG51" s="3">
        <f>IF($C$5="ON",CG51,MyRating(_S6,$B51,Efficacy!$F$1))</f>
        <v>0</v>
      </c>
      <c r="BH51" s="3">
        <f>IF($C$5="ON",CH51,MyRating(_S7,$B51,Efficacy!$F$1))</f>
        <v>0</v>
      </c>
      <c r="BI51" s="3">
        <f>IF($C$5="ON",CI51,MyRating(_D1,$B51,Efficacy!$F$1))</f>
        <v>0</v>
      </c>
      <c r="BJ51" s="3">
        <f>IF($C$5="ON",CJ51,MyRating(_D2,$B51,Efficacy!$F$1))</f>
        <v>0</v>
      </c>
      <c r="BK51" s="3">
        <f>IF($C$5="ON",CK51,MyRating(_D3,$B51,Efficacy!$F$1))</f>
        <v>0</v>
      </c>
      <c r="BL51" s="3">
        <f>IF($C$5="ON",CL51,MyRating(_D4,$B51,Efficacy!$F$1))</f>
        <v>0</v>
      </c>
      <c r="BM51" s="3">
        <f>IF($C$5="ON",CM51,MyRating(_B1G5,$B51,Barrier!$L$2))</f>
        <v>0</v>
      </c>
      <c r="BN51" s="3">
        <f>IF($C$5="ON",CN51,MyRating(_B2,$B51,Barrier!$F$2))</f>
        <v>0</v>
      </c>
      <c r="BO51" s="6">
        <f>IF($C$5="ON",CO51,MyRating(_B3,$B51,Barrier!$F$2))</f>
        <v>0</v>
      </c>
      <c r="BP51" s="5">
        <f t="shared" si="12"/>
        <v>0</v>
      </c>
      <c r="BQ51" s="8">
        <f t="shared" si="13"/>
        <v>0</v>
      </c>
      <c r="BR51" s="5">
        <f t="shared" si="14"/>
        <v>0</v>
      </c>
      <c r="BS51" s="7">
        <f t="shared" si="15"/>
        <v>0</v>
      </c>
      <c r="BT51" s="4">
        <v>0</v>
      </c>
      <c r="BU51" s="3">
        <v>0</v>
      </c>
      <c r="BV51" s="3">
        <v>0</v>
      </c>
      <c r="BW51" s="3">
        <v>0</v>
      </c>
      <c r="BX51" s="3">
        <v>0</v>
      </c>
      <c r="BY51" s="3">
        <v>0</v>
      </c>
      <c r="BZ51" s="3">
        <v>0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6">
        <v>0</v>
      </c>
      <c r="CP51" s="5">
        <v>0</v>
      </c>
    </row>
    <row r="52" spans="1:94" x14ac:dyDescent="0.35">
      <c r="A52" s="9" t="str">
        <f t="shared" si="10"/>
        <v>UK</v>
      </c>
      <c r="B52" s="9" t="s">
        <v>68</v>
      </c>
      <c r="C52" s="20" t="s">
        <v>3</v>
      </c>
      <c r="D52" s="9" t="s">
        <v>2</v>
      </c>
      <c r="E52" s="9" t="s">
        <v>193</v>
      </c>
      <c r="F52" s="9" t="s">
        <v>1</v>
      </c>
      <c r="G52" s="19">
        <v>0</v>
      </c>
      <c r="H52" s="9">
        <v>2014</v>
      </c>
      <c r="I52" s="9">
        <v>6</v>
      </c>
      <c r="J52" s="18">
        <f>INDEX(PTRS!$D$6:$D$12,MATCH('4'!$F52,PTRS!$B$6:$B$12,0))</f>
        <v>0.1044225</v>
      </c>
      <c r="K52" s="17">
        <v>0</v>
      </c>
      <c r="L52" s="17">
        <v>1</v>
      </c>
      <c r="M52" s="17">
        <v>0.1044225</v>
      </c>
      <c r="N52" s="17">
        <v>0.1044225</v>
      </c>
      <c r="O52" s="17">
        <v>0.1044225</v>
      </c>
      <c r="P52" s="17">
        <v>0.1044225</v>
      </c>
      <c r="Q52" s="17">
        <v>1</v>
      </c>
      <c r="R52" s="17">
        <v>1</v>
      </c>
      <c r="S52" s="17">
        <v>1</v>
      </c>
      <c r="T52" s="17"/>
      <c r="U52" s="17">
        <f t="shared" si="16"/>
        <v>0.72649652910676854</v>
      </c>
      <c r="V52" s="17">
        <v>1</v>
      </c>
      <c r="W52" s="9" t="s">
        <v>68</v>
      </c>
      <c r="X52" s="9">
        <f>INDEX('Unique Asset List'!$C$4:$I$60,MATCH('4'!$B52,'Unique Asset List'!$A$4:$A$60,0),MATCH('4'!$C$1,'Unique Asset List'!$C$3:$I$3,0))</f>
        <v>2032</v>
      </c>
      <c r="Y52" s="9">
        <f>INDEX('Unique Asset List'!$J$4:$P$60,MATCH('4'!$B52,'Unique Asset List'!$A$4:$A$60,0),MATCH('4'!$C$1,'Unique Asset List'!$J$3:$P$3,0))</f>
        <v>3</v>
      </c>
      <c r="Z52" s="9">
        <f>INDEX('Unique Asset List'!$X$4:$AD$60,MATCH('4'!$B52,'Unique Asset List'!$A$4:$A$60,0),MATCH('4'!$C$1,'Unique Asset List'!$X$3:$AD$3,0))</f>
        <v>2041</v>
      </c>
      <c r="AA52" s="9">
        <f>INDEX('Unique Asset List'!$AE$4:$AK$60,MATCH('4'!$B52,'Unique Asset List'!$A$4:$A$60,0),MATCH('4'!$C$1,'Unique Asset List'!$AE$3:$AK$3,0))</f>
        <v>3</v>
      </c>
      <c r="AB52" s="16">
        <f t="shared" si="17"/>
        <v>2.3276916000000001</v>
      </c>
      <c r="AC52" s="16">
        <f t="shared" si="18"/>
        <v>1.0028454</v>
      </c>
      <c r="AD52" s="16">
        <f t="shared" si="19"/>
        <v>0.56099999999999994</v>
      </c>
      <c r="AE52" s="15">
        <f>INDEX('Unique Asset List'!$BN$4:$BT$60,MATCH('4'!$B52,'Unique Asset List'!$A$4:$A$60,0),MATCH('4'!$C$1,'Unique Asset List'!$BN$3:$BT$3,0))</f>
        <v>0.05</v>
      </c>
      <c r="AF52" s="15">
        <f>INDEX('Unique Asset List'!$BU$4:$CA$60,MATCH('4'!$B52,'Unique Asset List'!$A$4:$A$60,0),MATCH('4'!$C$1,'Unique Asset List'!$BU$3:$CA$3,0))</f>
        <v>0.45</v>
      </c>
      <c r="AG52" s="15">
        <f>INDEX('Unique Asset List'!$AZ$4:$BF$60,MATCH('4'!$B52,'Unique Asset List'!$A$4:$A$60,0),MATCH('4'!$C$1,'Unique Asset List'!$AZ$3:$BF$3,0))</f>
        <v>0.05</v>
      </c>
      <c r="AH52" s="15">
        <f>INDEX('Unique Asset List'!$BG$4:$BM$60,MATCH('4'!$B52,'Unique Asset List'!$A$4:$A$60,0),MATCH('4'!$C$1,'Unique Asset List'!$BG$3:$BM$3,0))</f>
        <v>0.45</v>
      </c>
      <c r="AI52" s="11">
        <v>0.96187963349867744</v>
      </c>
      <c r="AJ52" s="15">
        <f>INDEX('Unique Asset List'!$AL$4:$AR$60,MATCH('4'!$B52,'Unique Asset List'!$A$4:$A$60,0),MATCH('4'!$C$1,'Unique Asset List'!$AL$3:$AR$3,0))</f>
        <v>1.4542000570988298</v>
      </c>
      <c r="AK52" s="15">
        <f>INDEX('Unique Asset List'!$AS$4:$AY$60,MATCH('4'!$B52,'Unique Asset List'!$A$4:$A$60,0),MATCH('4'!$C$1,'Unique Asset List'!$AS$3:$AY$3,0))</f>
        <v>-0.4950056673809119</v>
      </c>
      <c r="AL52" s="9">
        <v>169</v>
      </c>
      <c r="AM52" s="14">
        <f>INDEX(Simulation!$B$6:$H$6,MATCH($A52,Simulation!$B$1:$H$1,0))*(1+AN52)^((DATE(X52,Y52,15)-DATE(2017,1,15))/365.5)</f>
        <v>3.5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11"/>
        <v>0.82</v>
      </c>
      <c r="AS52" s="10">
        <v>1</v>
      </c>
      <c r="AT52" s="4">
        <f>IF($C$5="ON",BT52,MyRating(_E1,$B52,Efficacy!$F$1))</f>
        <v>4</v>
      </c>
      <c r="AU52" s="3">
        <f>IF($C$5="ON",BU52,MyRating(_E2,$B52,Efficacy!$F$1))</f>
        <v>5</v>
      </c>
      <c r="AV52" s="3">
        <f>IF($C$5="ON",BV52,MyRating(_E3,$B52,Efficacy!$F$1))</f>
        <v>5</v>
      </c>
      <c r="AW52" s="3">
        <f>IF($C$5="ON",BW52,MyRating(_E4,$B52,Efficacy!$F$1))</f>
        <v>4</v>
      </c>
      <c r="AX52" s="3">
        <f>IF($C$5="ON",BX52,MyRating(_E5,$B52,Efficacy!$F$1))</f>
        <v>4</v>
      </c>
      <c r="AY52" s="3">
        <f>IF($C$5="ON",BY52,MyRating(_E6,$B52,Efficacy!$F$1))</f>
        <v>3</v>
      </c>
      <c r="AZ52" s="3">
        <f>IF($C$5="ON",BZ52,MyRating(_E7,$B52,Efficacy!$F$1))</f>
        <v>3</v>
      </c>
      <c r="BA52" s="3">
        <f>IF($C$5="ON",CA52,MyRating(_E8,$B52,Efficacy!$F$1))</f>
        <v>4</v>
      </c>
      <c r="BB52" s="3">
        <f>IF($C$5="ON",CB52,MyRating(_S1,$B52,Efficacy!$F$1))</f>
        <v>5</v>
      </c>
      <c r="BC52" s="3">
        <f>IF($C$5="ON",CC52,MyRating(_S2,$B52,Efficacy!$F$1))</f>
        <v>3</v>
      </c>
      <c r="BD52" s="3">
        <f>IF($C$5="ON",CD52,MyRating(_S3,$B52,Efficacy!$F$1))</f>
        <v>3</v>
      </c>
      <c r="BE52" s="3">
        <f>IF($C$5="ON",CE52,MyRating(_S4,$B52,Efficacy!$F$1))</f>
        <v>4</v>
      </c>
      <c r="BF52" s="3">
        <f>IF($C$5="ON",CF52,MyRating(_S5,$B52,Efficacy!$F$1))</f>
        <v>5</v>
      </c>
      <c r="BG52" s="3">
        <f>IF($C$5="ON",CG52,MyRating(_S6,$B52,Efficacy!$F$1))</f>
        <v>3</v>
      </c>
      <c r="BH52" s="3">
        <f>IF($C$5="ON",CH52,MyRating(_S7,$B52,Efficacy!$F$1))</f>
        <v>3</v>
      </c>
      <c r="BI52" s="3">
        <f>IF($C$5="ON",CI52,MyRating(_D1,$B52,Efficacy!$F$1))</f>
        <v>3</v>
      </c>
      <c r="BJ52" s="3">
        <f>IF($C$5="ON",CJ52,MyRating(_D2,$B52,Efficacy!$F$1))</f>
        <v>3</v>
      </c>
      <c r="BK52" s="3">
        <f>IF($C$5="ON",CK52,MyRating(_D3,$B52,Efficacy!$F$1))</f>
        <v>3</v>
      </c>
      <c r="BL52" s="3">
        <f>IF($C$5="ON",CL52,MyRating(_D4,$B52,Efficacy!$F$1))</f>
        <v>3</v>
      </c>
      <c r="BM52" s="3">
        <f>IF($C$5="ON",CM52,MyRating(_B1G5,$B52,Barrier!$L$2))</f>
        <v>2</v>
      </c>
      <c r="BN52" s="3">
        <f>IF($C$5="ON",CN52,MyRating(_B2,$B52,Barrier!$F$2))</f>
        <v>3</v>
      </c>
      <c r="BO52" s="6">
        <f>IF($C$5="ON",CO52,MyRating(_B3,$B52,Barrier!$F$2))</f>
        <v>3</v>
      </c>
      <c r="BP52" s="5">
        <f t="shared" si="12"/>
        <v>3.6275844714639842E-2</v>
      </c>
      <c r="BQ52" s="8">
        <f t="shared" si="13"/>
        <v>2.9499999999999997</v>
      </c>
      <c r="BR52" s="5">
        <f t="shared" si="14"/>
        <v>3.60415394013439E-2</v>
      </c>
      <c r="BS52" s="7">
        <f t="shared" si="15"/>
        <v>1.8542316878791175E-2</v>
      </c>
      <c r="BT52" s="4">
        <v>4</v>
      </c>
      <c r="BU52" s="3">
        <v>5</v>
      </c>
      <c r="BV52" s="3">
        <v>5</v>
      </c>
      <c r="BW52" s="3">
        <v>4</v>
      </c>
      <c r="BX52" s="3">
        <v>4</v>
      </c>
      <c r="BY52" s="3">
        <v>3</v>
      </c>
      <c r="BZ52" s="3">
        <v>3</v>
      </c>
      <c r="CA52" s="3">
        <v>4</v>
      </c>
      <c r="CB52" s="3">
        <v>5</v>
      </c>
      <c r="CC52" s="3">
        <v>3</v>
      </c>
      <c r="CD52" s="3">
        <v>3</v>
      </c>
      <c r="CE52" s="3">
        <v>4</v>
      </c>
      <c r="CF52" s="3">
        <v>5</v>
      </c>
      <c r="CG52" s="3">
        <v>3</v>
      </c>
      <c r="CH52" s="3">
        <v>3</v>
      </c>
      <c r="CI52" s="3">
        <v>3</v>
      </c>
      <c r="CJ52" s="3">
        <v>3</v>
      </c>
      <c r="CK52" s="3">
        <v>3</v>
      </c>
      <c r="CL52" s="3">
        <v>3</v>
      </c>
      <c r="CM52" s="3">
        <v>2</v>
      </c>
      <c r="CN52" s="3">
        <v>3</v>
      </c>
      <c r="CO52" s="6">
        <v>3</v>
      </c>
      <c r="CP52" s="5">
        <v>3.6275844714639842E-2</v>
      </c>
    </row>
    <row r="53" spans="1:94" x14ac:dyDescent="0.35">
      <c r="A53" s="9" t="str">
        <f t="shared" si="10"/>
        <v>UK</v>
      </c>
      <c r="B53" s="9" t="s">
        <v>67</v>
      </c>
      <c r="C53" s="20" t="s">
        <v>3</v>
      </c>
      <c r="D53" s="9" t="s">
        <v>2</v>
      </c>
      <c r="E53" s="9" t="s">
        <v>193</v>
      </c>
      <c r="F53" s="9" t="s">
        <v>1</v>
      </c>
      <c r="G53" s="19">
        <v>0</v>
      </c>
      <c r="H53" s="9">
        <v>2014</v>
      </c>
      <c r="I53" s="9">
        <v>6</v>
      </c>
      <c r="J53" s="18">
        <f>INDEX(PTRS!$D$6:$D$12,MATCH('4'!$F53,PTRS!$B$6:$B$12,0))</f>
        <v>0.1044225</v>
      </c>
      <c r="K53" s="17">
        <v>0</v>
      </c>
      <c r="L53" s="17">
        <v>0.1044225</v>
      </c>
      <c r="M53" s="17">
        <v>0.1044225</v>
      </c>
      <c r="N53" s="17">
        <v>0.1044225</v>
      </c>
      <c r="O53" s="17">
        <v>0.1044225</v>
      </c>
      <c r="P53" s="17">
        <v>0.1044225</v>
      </c>
      <c r="Q53" s="17">
        <v>1</v>
      </c>
      <c r="R53" s="17">
        <v>1</v>
      </c>
      <c r="S53" s="17">
        <v>1</v>
      </c>
      <c r="T53" s="17"/>
      <c r="U53" s="17">
        <f t="shared" si="16"/>
        <v>0.72649652910676854</v>
      </c>
      <c r="V53" s="17">
        <v>1</v>
      </c>
      <c r="W53" s="9" t="s">
        <v>67</v>
      </c>
      <c r="X53" s="9">
        <f>INDEX('Unique Asset List'!$C$4:$I$60,MATCH('4'!$B53,'Unique Asset List'!$A$4:$A$60,0),MATCH('4'!$C$1,'Unique Asset List'!$C$3:$I$3,0))</f>
        <v>2032</v>
      </c>
      <c r="Y53" s="9">
        <f>INDEX('Unique Asset List'!$J$4:$P$60,MATCH('4'!$B53,'Unique Asset List'!$A$4:$A$60,0),MATCH('4'!$C$1,'Unique Asset List'!$J$3:$P$3,0))</f>
        <v>3</v>
      </c>
      <c r="Z53" s="9">
        <f>INDEX('Unique Asset List'!$X$4:$AD$60,MATCH('4'!$B53,'Unique Asset List'!$A$4:$A$60,0),MATCH('4'!$C$1,'Unique Asset List'!$X$3:$AD$3,0))</f>
        <v>2041</v>
      </c>
      <c r="AA53" s="9">
        <f>INDEX('Unique Asset List'!$AE$4:$AK$60,MATCH('4'!$B53,'Unique Asset List'!$A$4:$A$60,0),MATCH('4'!$C$1,'Unique Asset List'!$AE$3:$AK$3,0))</f>
        <v>3</v>
      </c>
      <c r="AB53" s="16">
        <f t="shared" si="17"/>
        <v>2.3276916000000001</v>
      </c>
      <c r="AC53" s="16">
        <f t="shared" si="18"/>
        <v>1.0028454</v>
      </c>
      <c r="AD53" s="16">
        <f t="shared" si="19"/>
        <v>0.56099999999999994</v>
      </c>
      <c r="AE53" s="15">
        <f>INDEX('Unique Asset List'!$BN$4:$BT$60,MATCH('4'!$B53,'Unique Asset List'!$A$4:$A$60,0),MATCH('4'!$C$1,'Unique Asset List'!$BN$3:$BT$3,0))</f>
        <v>0.05</v>
      </c>
      <c r="AF53" s="15">
        <f>INDEX('Unique Asset List'!$BU$4:$CA$60,MATCH('4'!$B53,'Unique Asset List'!$A$4:$A$60,0),MATCH('4'!$C$1,'Unique Asset List'!$BU$3:$CA$3,0))</f>
        <v>0.45</v>
      </c>
      <c r="AG53" s="15">
        <f>INDEX('Unique Asset List'!$AZ$4:$BF$60,MATCH('4'!$B53,'Unique Asset List'!$A$4:$A$60,0),MATCH('4'!$C$1,'Unique Asset List'!$AZ$3:$BF$3,0))</f>
        <v>0.05</v>
      </c>
      <c r="AH53" s="15">
        <f>INDEX('Unique Asset List'!$BG$4:$BM$60,MATCH('4'!$B53,'Unique Asset List'!$A$4:$A$60,0),MATCH('4'!$C$1,'Unique Asset List'!$BG$3:$BM$3,0))</f>
        <v>0.45</v>
      </c>
      <c r="AI53" s="11">
        <v>0.96187963349867744</v>
      </c>
      <c r="AJ53" s="15">
        <f>INDEX('Unique Asset List'!$AL$4:$AR$60,MATCH('4'!$B53,'Unique Asset List'!$A$4:$A$60,0),MATCH('4'!$C$1,'Unique Asset List'!$AL$3:$AR$3,0))</f>
        <v>1.4542000570988298</v>
      </c>
      <c r="AK53" s="15">
        <f>INDEX('Unique Asset List'!$AS$4:$AY$60,MATCH('4'!$B53,'Unique Asset List'!$A$4:$A$60,0),MATCH('4'!$C$1,'Unique Asset List'!$AS$3:$AY$3,0))</f>
        <v>-0.4950056673809119</v>
      </c>
      <c r="AL53" s="9">
        <v>169</v>
      </c>
      <c r="AM53" s="14">
        <f>INDEX(Simulation!$B$6:$H$6,MATCH($A53,Simulation!$B$1:$H$1,0))*(1+AN53)^((DATE(X53,Y53,15)-DATE(2017,1,15))/365.5)</f>
        <v>3.5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11"/>
        <v>0.82</v>
      </c>
      <c r="AS53" s="10">
        <v>1</v>
      </c>
      <c r="AT53" s="4">
        <f>IF($C$5="ON",BT53,MyRating(_E1,$B53,Efficacy!$F$1))</f>
        <v>4</v>
      </c>
      <c r="AU53" s="3">
        <f>IF($C$5="ON",BU53,MyRating(_E2,$B53,Efficacy!$F$1))</f>
        <v>5</v>
      </c>
      <c r="AV53" s="3">
        <f>IF($C$5="ON",BV53,MyRating(_E3,$B53,Efficacy!$F$1))</f>
        <v>5</v>
      </c>
      <c r="AW53" s="3">
        <f>IF($C$5="ON",BW53,MyRating(_E4,$B53,Efficacy!$F$1))</f>
        <v>4</v>
      </c>
      <c r="AX53" s="3">
        <f>IF($C$5="ON",BX53,MyRating(_E5,$B53,Efficacy!$F$1))</f>
        <v>4</v>
      </c>
      <c r="AY53" s="3">
        <f>IF($C$5="ON",BY53,MyRating(_E6,$B53,Efficacy!$F$1))</f>
        <v>3</v>
      </c>
      <c r="AZ53" s="3">
        <f>IF($C$5="ON",BZ53,MyRating(_E7,$B53,Efficacy!$F$1))</f>
        <v>3</v>
      </c>
      <c r="BA53" s="3">
        <f>IF($C$5="ON",CA53,MyRating(_E8,$B53,Efficacy!$F$1))</f>
        <v>4</v>
      </c>
      <c r="BB53" s="3">
        <f>IF($C$5="ON",CB53,MyRating(_S1,$B53,Efficacy!$F$1))</f>
        <v>5</v>
      </c>
      <c r="BC53" s="3">
        <f>IF($C$5="ON",CC53,MyRating(_S2,$B53,Efficacy!$F$1))</f>
        <v>3</v>
      </c>
      <c r="BD53" s="3">
        <f>IF($C$5="ON",CD53,MyRating(_S3,$B53,Efficacy!$F$1))</f>
        <v>3</v>
      </c>
      <c r="BE53" s="3">
        <f>IF($C$5="ON",CE53,MyRating(_S4,$B53,Efficacy!$F$1))</f>
        <v>4</v>
      </c>
      <c r="BF53" s="3">
        <f>IF($C$5="ON",CF53,MyRating(_S5,$B53,Efficacy!$F$1))</f>
        <v>5</v>
      </c>
      <c r="BG53" s="3">
        <f>IF($C$5="ON",CG53,MyRating(_S6,$B53,Efficacy!$F$1))</f>
        <v>3</v>
      </c>
      <c r="BH53" s="3">
        <f>IF($C$5="ON",CH53,MyRating(_S7,$B53,Efficacy!$F$1))</f>
        <v>3</v>
      </c>
      <c r="BI53" s="3">
        <f>IF($C$5="ON",CI53,MyRating(_D1,$B53,Efficacy!$F$1))</f>
        <v>3</v>
      </c>
      <c r="BJ53" s="3">
        <f>IF($C$5="ON",CJ53,MyRating(_D2,$B53,Efficacy!$F$1))</f>
        <v>3</v>
      </c>
      <c r="BK53" s="3">
        <f>IF($C$5="ON",CK53,MyRating(_D3,$B53,Efficacy!$F$1))</f>
        <v>3</v>
      </c>
      <c r="BL53" s="3">
        <f>IF($C$5="ON",CL53,MyRating(_D4,$B53,Efficacy!$F$1))</f>
        <v>3</v>
      </c>
      <c r="BM53" s="3">
        <f>IF($C$5="ON",CM53,MyRating(_B1G5,$B53,Barrier!$L$2))</f>
        <v>2</v>
      </c>
      <c r="BN53" s="3">
        <f>IF($C$5="ON",CN53,MyRating(_B2,$B53,Barrier!$F$2))</f>
        <v>3</v>
      </c>
      <c r="BO53" s="6">
        <f>IF($C$5="ON",CO53,MyRating(_B3,$B53,Barrier!$F$2))</f>
        <v>3</v>
      </c>
      <c r="BP53" s="5">
        <f t="shared" si="12"/>
        <v>3.6275844714639842E-2</v>
      </c>
      <c r="BQ53" s="8">
        <f t="shared" si="13"/>
        <v>2.9499999999999997</v>
      </c>
      <c r="BR53" s="5">
        <f t="shared" si="14"/>
        <v>3.60415394013439E-2</v>
      </c>
      <c r="BS53" s="7">
        <f t="shared" si="15"/>
        <v>1.8542316878791175E-2</v>
      </c>
      <c r="BT53" s="4">
        <v>4</v>
      </c>
      <c r="BU53" s="3">
        <v>5</v>
      </c>
      <c r="BV53" s="3">
        <v>5</v>
      </c>
      <c r="BW53" s="3">
        <v>4</v>
      </c>
      <c r="BX53" s="3">
        <v>4</v>
      </c>
      <c r="BY53" s="3">
        <v>3</v>
      </c>
      <c r="BZ53" s="3">
        <v>3</v>
      </c>
      <c r="CA53" s="3">
        <v>4</v>
      </c>
      <c r="CB53" s="3">
        <v>5</v>
      </c>
      <c r="CC53" s="3">
        <v>3</v>
      </c>
      <c r="CD53" s="3">
        <v>3</v>
      </c>
      <c r="CE53" s="3">
        <v>4</v>
      </c>
      <c r="CF53" s="3">
        <v>5</v>
      </c>
      <c r="CG53" s="3">
        <v>3</v>
      </c>
      <c r="CH53" s="3">
        <v>3</v>
      </c>
      <c r="CI53" s="3">
        <v>3</v>
      </c>
      <c r="CJ53" s="3">
        <v>3</v>
      </c>
      <c r="CK53" s="3">
        <v>3</v>
      </c>
      <c r="CL53" s="3">
        <v>3</v>
      </c>
      <c r="CM53" s="3">
        <v>2</v>
      </c>
      <c r="CN53" s="3">
        <v>3</v>
      </c>
      <c r="CO53" s="6">
        <v>3</v>
      </c>
      <c r="CP53" s="5">
        <v>3.6275844714639842E-2</v>
      </c>
    </row>
    <row r="54" spans="1:94" x14ac:dyDescent="0.35">
      <c r="A54" s="9" t="str">
        <f t="shared" si="10"/>
        <v>UK</v>
      </c>
      <c r="B54" s="9" t="s">
        <v>192</v>
      </c>
      <c r="C54" s="20" t="s">
        <v>3</v>
      </c>
      <c r="D54" s="9" t="s">
        <v>2</v>
      </c>
      <c r="E54" s="9"/>
      <c r="F54" s="9" t="s">
        <v>1</v>
      </c>
      <c r="G54" s="19">
        <v>0</v>
      </c>
      <c r="H54" s="9">
        <v>2014</v>
      </c>
      <c r="I54" s="9">
        <v>6</v>
      </c>
      <c r="J54" s="18">
        <f>INDEX(PTRS!$D$6:$D$12,MATCH('4'!$F54,PTRS!$B$6:$B$12,0))</f>
        <v>0.1044225</v>
      </c>
      <c r="K54" s="17">
        <v>0</v>
      </c>
      <c r="L54" s="17">
        <v>0.1044225</v>
      </c>
      <c r="M54" s="17">
        <v>0.1044225</v>
      </c>
      <c r="N54" s="17">
        <v>0.1044225</v>
      </c>
      <c r="O54" s="17">
        <v>0.1044225</v>
      </c>
      <c r="P54" s="17">
        <v>0.1044225</v>
      </c>
      <c r="Q54" s="17">
        <v>0.1044225</v>
      </c>
      <c r="R54" s="17">
        <v>0.1044225</v>
      </c>
      <c r="S54" s="17">
        <v>1</v>
      </c>
      <c r="T54" s="17"/>
      <c r="U54" s="17">
        <f t="shared" si="16"/>
        <v>0</v>
      </c>
      <c r="V54" s="17">
        <v>1</v>
      </c>
      <c r="W54" s="9" t="s">
        <v>0</v>
      </c>
      <c r="X54" s="9">
        <f>INDEX('Unique Asset List'!$C$4:$I$60,MATCH('4'!$B54,'Unique Asset List'!$A$4:$A$60,0),MATCH('4'!$C$1,'Unique Asset List'!$C$3:$I$3,0))</f>
        <v>2051</v>
      </c>
      <c r="Y54" s="9">
        <f>INDEX('Unique Asset List'!$J$4:$P$60,MATCH('4'!$B54,'Unique Asset List'!$A$4:$A$60,0),MATCH('4'!$C$1,'Unique Asset List'!$J$3:$P$3,0))</f>
        <v>6</v>
      </c>
      <c r="Z54" s="9">
        <f>INDEX('Unique Asset List'!$X$4:$AD$60,MATCH('4'!$B54,'Unique Asset List'!$A$4:$A$60,0),MATCH('4'!$C$1,'Unique Asset List'!$X$3:$AD$3,0))</f>
        <v>2060</v>
      </c>
      <c r="AA54" s="9">
        <f>INDEX('Unique Asset List'!$AE$4:$AK$60,MATCH('4'!$B54,'Unique Asset List'!$A$4:$A$60,0),MATCH('4'!$C$1,'Unique Asset List'!$AE$3:$AK$3,0))</f>
        <v>6</v>
      </c>
      <c r="AB54" s="16">
        <f t="shared" si="17"/>
        <v>0</v>
      </c>
      <c r="AC54" s="16">
        <f t="shared" si="18"/>
        <v>0</v>
      </c>
      <c r="AD54" s="16">
        <f t="shared" si="19"/>
        <v>0</v>
      </c>
      <c r="AE54" s="15">
        <f>INDEX('Unique Asset List'!$BN$4:$BT$60,MATCH('4'!$B54,'Unique Asset List'!$A$4:$A$60,0),MATCH('4'!$C$1,'Unique Asset List'!$BN$3:$BT$3,0))</f>
        <v>0.05</v>
      </c>
      <c r="AF54" s="15">
        <f>INDEX('Unique Asset List'!$BU$4:$CA$60,MATCH('4'!$B54,'Unique Asset List'!$A$4:$A$60,0),MATCH('4'!$C$1,'Unique Asset List'!$BU$3:$CA$3,0))</f>
        <v>0.45</v>
      </c>
      <c r="AG54" s="15">
        <f>INDEX('Unique Asset List'!$AZ$4:$BF$60,MATCH('4'!$B54,'Unique Asset List'!$A$4:$A$60,0),MATCH('4'!$C$1,'Unique Asset List'!$AZ$3:$BF$3,0))</f>
        <v>0.05</v>
      </c>
      <c r="AH54" s="15">
        <f>INDEX('Unique Asset List'!$BG$4:$BM$60,MATCH('4'!$B54,'Unique Asset List'!$A$4:$A$60,0),MATCH('4'!$C$1,'Unique Asset List'!$BG$3:$BM$3,0))</f>
        <v>0.45</v>
      </c>
      <c r="AI54" s="11">
        <v>0.96187963349867744</v>
      </c>
      <c r="AJ54" s="15">
        <f>INDEX('Unique Asset List'!$AL$4:$AR$60,MATCH('4'!$B54,'Unique Asset List'!$A$4:$A$60,0),MATCH('4'!$C$1,'Unique Asset List'!$AL$3:$AR$3,0))</f>
        <v>1.4542000570988298</v>
      </c>
      <c r="AK54" s="15">
        <f>INDEX('Unique Asset List'!$AS$4:$AY$60,MATCH('4'!$B54,'Unique Asset List'!$A$4:$A$60,0),MATCH('4'!$C$1,'Unique Asset List'!$AS$3:$AY$3,0))</f>
        <v>-0.4950056673809119</v>
      </c>
      <c r="AL54" s="9">
        <v>169</v>
      </c>
      <c r="AM54" s="14">
        <f>INDEX(Simulation!$B$6:$H$6,MATCH($A54,Simulation!$B$1:$H$1,0))*(1+AN54)^((DATE(X54,Y54,15)-DATE(2017,1,15))/365.5)</f>
        <v>3.5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11"/>
        <v>0.82</v>
      </c>
      <c r="AS54" s="10">
        <v>1</v>
      </c>
      <c r="AT54" s="4">
        <f>IF($C$5="ON",BT54,MyRating(_E1,$B54,Efficacy!$F$1))</f>
        <v>0</v>
      </c>
      <c r="AU54" s="3">
        <f>IF($C$5="ON",BU54,MyRating(_E2,$B54,Efficacy!$F$1))</f>
        <v>0</v>
      </c>
      <c r="AV54" s="3">
        <f>IF($C$5="ON",BV54,MyRating(_E3,$B54,Efficacy!$F$1))</f>
        <v>0</v>
      </c>
      <c r="AW54" s="3">
        <f>IF($C$5="ON",BW54,MyRating(_E4,$B54,Efficacy!$F$1))</f>
        <v>0</v>
      </c>
      <c r="AX54" s="3">
        <f>IF($C$5="ON",BX54,MyRating(_E5,$B54,Efficacy!$F$1))</f>
        <v>0</v>
      </c>
      <c r="AY54" s="3">
        <f>IF($C$5="ON",BY54,MyRating(_E6,$B54,Efficacy!$F$1))</f>
        <v>0</v>
      </c>
      <c r="AZ54" s="3">
        <f>IF($C$5="ON",BZ54,MyRating(_E7,$B54,Efficacy!$F$1))</f>
        <v>0</v>
      </c>
      <c r="BA54" s="3">
        <f>IF($C$5="ON",CA54,MyRating(_E8,$B54,Efficacy!$F$1))</f>
        <v>0</v>
      </c>
      <c r="BB54" s="3">
        <f>IF($C$5="ON",CB54,MyRating(_S1,$B54,Efficacy!$F$1))</f>
        <v>0</v>
      </c>
      <c r="BC54" s="3">
        <f>IF($C$5="ON",CC54,MyRating(_S2,$B54,Efficacy!$F$1))</f>
        <v>0</v>
      </c>
      <c r="BD54" s="3">
        <f>IF($C$5="ON",CD54,MyRating(_S3,$B54,Efficacy!$F$1))</f>
        <v>0</v>
      </c>
      <c r="BE54" s="3">
        <f>IF($C$5="ON",CE54,MyRating(_S4,$B54,Efficacy!$F$1))</f>
        <v>0</v>
      </c>
      <c r="BF54" s="3">
        <f>IF($C$5="ON",CF54,MyRating(_S5,$B54,Efficacy!$F$1))</f>
        <v>0</v>
      </c>
      <c r="BG54" s="3">
        <f>IF($C$5="ON",CG54,MyRating(_S6,$B54,Efficacy!$F$1))</f>
        <v>0</v>
      </c>
      <c r="BH54" s="3">
        <f>IF($C$5="ON",CH54,MyRating(_S7,$B54,Efficacy!$F$1))</f>
        <v>0</v>
      </c>
      <c r="BI54" s="3">
        <f>IF($C$5="ON",CI54,MyRating(_D1,$B54,Efficacy!$F$1))</f>
        <v>0</v>
      </c>
      <c r="BJ54" s="3">
        <f>IF($C$5="ON",CJ54,MyRating(_D2,$B54,Efficacy!$F$1))</f>
        <v>0</v>
      </c>
      <c r="BK54" s="3">
        <f>IF($C$5="ON",CK54,MyRating(_D3,$B54,Efficacy!$F$1))</f>
        <v>0</v>
      </c>
      <c r="BL54" s="3">
        <f>IF($C$5="ON",CL54,MyRating(_D4,$B54,Efficacy!$F$1))</f>
        <v>0</v>
      </c>
      <c r="BM54" s="3">
        <f>IF($C$5="ON",CM54,MyRating(_B1G5,$B54,Barrier!$L$2))</f>
        <v>0</v>
      </c>
      <c r="BN54" s="3">
        <f>IF($C$5="ON",CN54,MyRating(_B2,$B54,Barrier!$F$2))</f>
        <v>0</v>
      </c>
      <c r="BO54" s="6">
        <f>IF($C$5="ON",CO54,MyRating(_B3,$B54,Barrier!$F$2))</f>
        <v>0</v>
      </c>
      <c r="BP54" s="5">
        <f t="shared" si="12"/>
        <v>0</v>
      </c>
      <c r="BQ54" s="8">
        <f t="shared" si="13"/>
        <v>0</v>
      </c>
      <c r="BR54" s="5">
        <f t="shared" si="14"/>
        <v>0</v>
      </c>
      <c r="BS54" s="7">
        <f t="shared" si="15"/>
        <v>0</v>
      </c>
      <c r="BT54" s="4">
        <v>0</v>
      </c>
      <c r="BU54" s="3">
        <v>0</v>
      </c>
      <c r="BV54" s="3">
        <v>0</v>
      </c>
      <c r="BW54" s="3">
        <v>0</v>
      </c>
      <c r="BX54" s="3">
        <v>0</v>
      </c>
      <c r="BY54" s="3">
        <v>0</v>
      </c>
      <c r="BZ54" s="3">
        <v>0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6">
        <v>0</v>
      </c>
      <c r="CP54" s="5">
        <v>0</v>
      </c>
    </row>
    <row r="55" spans="1:94" x14ac:dyDescent="0.35">
      <c r="A55" s="9" t="str">
        <f t="shared" si="10"/>
        <v>UK</v>
      </c>
      <c r="B55" s="9" t="s">
        <v>191</v>
      </c>
      <c r="C55" s="20" t="s">
        <v>3</v>
      </c>
      <c r="D55" s="9" t="s">
        <v>2</v>
      </c>
      <c r="E55" s="9"/>
      <c r="F55" s="9" t="s">
        <v>1</v>
      </c>
      <c r="G55" s="19">
        <v>0</v>
      </c>
      <c r="H55" s="9">
        <v>2014</v>
      </c>
      <c r="I55" s="9">
        <v>6</v>
      </c>
      <c r="J55" s="18">
        <f>INDEX(PTRS!$D$6:$D$12,MATCH('4'!$F55,PTRS!$B$6:$B$12,0))</f>
        <v>0.1044225</v>
      </c>
      <c r="K55" s="17">
        <v>0</v>
      </c>
      <c r="L55" s="17">
        <v>0.1044225</v>
      </c>
      <c r="M55" s="17">
        <v>0.1044225</v>
      </c>
      <c r="N55" s="17">
        <v>0.1044225</v>
      </c>
      <c r="O55" s="17">
        <v>0.1044225</v>
      </c>
      <c r="P55" s="17">
        <v>0.1044225</v>
      </c>
      <c r="Q55" s="17">
        <v>0.1044225</v>
      </c>
      <c r="R55" s="17">
        <v>0.1044225</v>
      </c>
      <c r="S55" s="17">
        <v>1</v>
      </c>
      <c r="T55" s="17"/>
      <c r="U55" s="17">
        <f t="shared" si="16"/>
        <v>0</v>
      </c>
      <c r="V55" s="17">
        <v>1</v>
      </c>
      <c r="W55" s="9" t="s">
        <v>0</v>
      </c>
      <c r="X55" s="9">
        <f>INDEX('Unique Asset List'!$C$4:$I$60,MATCH('4'!$B55,'Unique Asset List'!$A$4:$A$60,0),MATCH('4'!$C$1,'Unique Asset List'!$C$3:$I$3,0))</f>
        <v>2051</v>
      </c>
      <c r="Y55" s="9">
        <f>INDEX('Unique Asset List'!$J$4:$P$60,MATCH('4'!$B55,'Unique Asset List'!$A$4:$A$60,0),MATCH('4'!$C$1,'Unique Asset List'!$J$3:$P$3,0))</f>
        <v>6</v>
      </c>
      <c r="Z55" s="9">
        <f>INDEX('Unique Asset List'!$X$4:$AD$60,MATCH('4'!$B55,'Unique Asset List'!$A$4:$A$60,0),MATCH('4'!$C$1,'Unique Asset List'!$X$3:$AD$3,0))</f>
        <v>2060</v>
      </c>
      <c r="AA55" s="9">
        <f>INDEX('Unique Asset List'!$AE$4:$AK$60,MATCH('4'!$B55,'Unique Asset List'!$A$4:$A$60,0),MATCH('4'!$C$1,'Unique Asset List'!$AE$3:$AK$3,0))</f>
        <v>6</v>
      </c>
      <c r="AB55" s="16">
        <f t="shared" si="17"/>
        <v>0</v>
      </c>
      <c r="AC55" s="16">
        <f t="shared" si="18"/>
        <v>0</v>
      </c>
      <c r="AD55" s="16">
        <f t="shared" si="19"/>
        <v>0</v>
      </c>
      <c r="AE55" s="15">
        <f>INDEX('Unique Asset List'!$BN$4:$BT$60,MATCH('4'!$B55,'Unique Asset List'!$A$4:$A$60,0),MATCH('4'!$C$1,'Unique Asset List'!$BN$3:$BT$3,0))</f>
        <v>0.05</v>
      </c>
      <c r="AF55" s="15">
        <f>INDEX('Unique Asset List'!$BU$4:$CA$60,MATCH('4'!$B55,'Unique Asset List'!$A$4:$A$60,0),MATCH('4'!$C$1,'Unique Asset List'!$BU$3:$CA$3,0))</f>
        <v>0.45</v>
      </c>
      <c r="AG55" s="15">
        <f>INDEX('Unique Asset List'!$AZ$4:$BF$60,MATCH('4'!$B55,'Unique Asset List'!$A$4:$A$60,0),MATCH('4'!$C$1,'Unique Asset List'!$AZ$3:$BF$3,0))</f>
        <v>0.05</v>
      </c>
      <c r="AH55" s="15">
        <f>INDEX('Unique Asset List'!$BG$4:$BM$60,MATCH('4'!$B55,'Unique Asset List'!$A$4:$A$60,0),MATCH('4'!$C$1,'Unique Asset List'!$BG$3:$BM$3,0))</f>
        <v>0.45</v>
      </c>
      <c r="AI55" s="11">
        <v>0.96187963349867744</v>
      </c>
      <c r="AJ55" s="15">
        <f>INDEX('Unique Asset List'!$AL$4:$AR$60,MATCH('4'!$B55,'Unique Asset List'!$A$4:$A$60,0),MATCH('4'!$C$1,'Unique Asset List'!$AL$3:$AR$3,0))</f>
        <v>1.4542000570988298</v>
      </c>
      <c r="AK55" s="15">
        <f>INDEX('Unique Asset List'!$AS$4:$AY$60,MATCH('4'!$B55,'Unique Asset List'!$A$4:$A$60,0),MATCH('4'!$C$1,'Unique Asset List'!$AS$3:$AY$3,0))</f>
        <v>-0.4950056673809119</v>
      </c>
      <c r="AL55" s="9">
        <v>169</v>
      </c>
      <c r="AM55" s="14">
        <f>INDEX(Simulation!$B$6:$H$6,MATCH($A55,Simulation!$B$1:$H$1,0))*(1+AN55)^((DATE(X55,Y55,15)-DATE(2017,1,15))/365.5)</f>
        <v>3.5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11"/>
        <v>0.82</v>
      </c>
      <c r="AS55" s="10">
        <v>1</v>
      </c>
      <c r="AT55" s="4">
        <f>IF($C$5="ON",BT55,MyRating(_E1,$B55,Efficacy!$F$1))</f>
        <v>0</v>
      </c>
      <c r="AU55" s="3">
        <f>IF($C$5="ON",BU55,MyRating(_E2,$B55,Efficacy!$F$1))</f>
        <v>0</v>
      </c>
      <c r="AV55" s="3">
        <f>IF($C$5="ON",BV55,MyRating(_E3,$B55,Efficacy!$F$1))</f>
        <v>0</v>
      </c>
      <c r="AW55" s="3">
        <f>IF($C$5="ON",BW55,MyRating(_E4,$B55,Efficacy!$F$1))</f>
        <v>0</v>
      </c>
      <c r="AX55" s="3">
        <f>IF($C$5="ON",BX55,MyRating(_E5,$B55,Efficacy!$F$1))</f>
        <v>0</v>
      </c>
      <c r="AY55" s="3">
        <f>IF($C$5="ON",BY55,MyRating(_E6,$B55,Efficacy!$F$1))</f>
        <v>0</v>
      </c>
      <c r="AZ55" s="3">
        <f>IF($C$5="ON",BZ55,MyRating(_E7,$B55,Efficacy!$F$1))</f>
        <v>0</v>
      </c>
      <c r="BA55" s="3">
        <f>IF($C$5="ON",CA55,MyRating(_E8,$B55,Efficacy!$F$1))</f>
        <v>0</v>
      </c>
      <c r="BB55" s="3">
        <f>IF($C$5="ON",CB55,MyRating(_S1,$B55,Efficacy!$F$1))</f>
        <v>0</v>
      </c>
      <c r="BC55" s="3">
        <f>IF($C$5="ON",CC55,MyRating(_S2,$B55,Efficacy!$F$1))</f>
        <v>0</v>
      </c>
      <c r="BD55" s="3">
        <f>IF($C$5="ON",CD55,MyRating(_S3,$B55,Efficacy!$F$1))</f>
        <v>0</v>
      </c>
      <c r="BE55" s="3">
        <f>IF($C$5="ON",CE55,MyRating(_S4,$B55,Efficacy!$F$1))</f>
        <v>0</v>
      </c>
      <c r="BF55" s="3">
        <f>IF($C$5="ON",CF55,MyRating(_S5,$B55,Efficacy!$F$1))</f>
        <v>0</v>
      </c>
      <c r="BG55" s="3">
        <f>IF($C$5="ON",CG55,MyRating(_S6,$B55,Efficacy!$F$1))</f>
        <v>0</v>
      </c>
      <c r="BH55" s="3">
        <f>IF($C$5="ON",CH55,MyRating(_S7,$B55,Efficacy!$F$1))</f>
        <v>0</v>
      </c>
      <c r="BI55" s="3">
        <f>IF($C$5="ON",CI55,MyRating(_D1,$B55,Efficacy!$F$1))</f>
        <v>0</v>
      </c>
      <c r="BJ55" s="3">
        <f>IF($C$5="ON",CJ55,MyRating(_D2,$B55,Efficacy!$F$1))</f>
        <v>0</v>
      </c>
      <c r="BK55" s="3">
        <f>IF($C$5="ON",CK55,MyRating(_D3,$B55,Efficacy!$F$1))</f>
        <v>0</v>
      </c>
      <c r="BL55" s="3">
        <f>IF($C$5="ON",CL55,MyRating(_D4,$B55,Efficacy!$F$1))</f>
        <v>0</v>
      </c>
      <c r="BM55" s="3">
        <f>IF($C$5="ON",CM55,MyRating(_B1G5,$B55,Barrier!$L$2))</f>
        <v>0</v>
      </c>
      <c r="BN55" s="3">
        <f>IF($C$5="ON",CN55,MyRating(_B2,$B55,Barrier!$F$2))</f>
        <v>0</v>
      </c>
      <c r="BO55" s="6">
        <f>IF($C$5="ON",CO55,MyRating(_B3,$B55,Barrier!$F$2))</f>
        <v>0</v>
      </c>
      <c r="BP55" s="5">
        <f t="shared" si="12"/>
        <v>0</v>
      </c>
      <c r="BQ55" s="8">
        <f t="shared" si="13"/>
        <v>0</v>
      </c>
      <c r="BR55" s="5">
        <f t="shared" si="14"/>
        <v>0</v>
      </c>
      <c r="BS55" s="7">
        <f t="shared" si="15"/>
        <v>0</v>
      </c>
      <c r="BT55" s="4">
        <v>0</v>
      </c>
      <c r="BU55" s="3">
        <v>0</v>
      </c>
      <c r="BV55" s="3">
        <v>0</v>
      </c>
      <c r="BW55" s="3">
        <v>0</v>
      </c>
      <c r="BX55" s="3">
        <v>0</v>
      </c>
      <c r="BY55" s="3">
        <v>0</v>
      </c>
      <c r="BZ55" s="3">
        <v>0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6">
        <v>0</v>
      </c>
      <c r="CP55" s="5">
        <v>0</v>
      </c>
    </row>
    <row r="56" spans="1:94" x14ac:dyDescent="0.35">
      <c r="A56" s="9" t="str">
        <f t="shared" si="10"/>
        <v>UK</v>
      </c>
      <c r="B56" s="9" t="s">
        <v>190</v>
      </c>
      <c r="C56" s="20" t="s">
        <v>3</v>
      </c>
      <c r="D56" s="9" t="s">
        <v>2</v>
      </c>
      <c r="E56" s="9"/>
      <c r="F56" s="9" t="s">
        <v>1</v>
      </c>
      <c r="G56" s="19">
        <v>0</v>
      </c>
      <c r="H56" s="9">
        <v>2014</v>
      </c>
      <c r="I56" s="9">
        <v>6</v>
      </c>
      <c r="J56" s="18">
        <f>INDEX(PTRS!$D$6:$D$12,MATCH('4'!$F56,PTRS!$B$6:$B$12,0))</f>
        <v>0.1044225</v>
      </c>
      <c r="K56" s="17">
        <v>0</v>
      </c>
      <c r="L56" s="17">
        <v>0.1044225</v>
      </c>
      <c r="M56" s="17">
        <v>0.1044225</v>
      </c>
      <c r="N56" s="17">
        <v>0.1044225</v>
      </c>
      <c r="O56" s="17">
        <v>0.1044225</v>
      </c>
      <c r="P56" s="17">
        <v>0.1044225</v>
      </c>
      <c r="Q56" s="17">
        <v>0.1044225</v>
      </c>
      <c r="R56" s="17">
        <v>0.1044225</v>
      </c>
      <c r="S56" s="17">
        <v>1</v>
      </c>
      <c r="T56" s="17"/>
      <c r="U56" s="17">
        <f t="shared" si="16"/>
        <v>0</v>
      </c>
      <c r="V56" s="17">
        <v>1</v>
      </c>
      <c r="W56" s="9" t="s">
        <v>0</v>
      </c>
      <c r="X56" s="9">
        <f>INDEX('Unique Asset List'!$C$4:$I$60,MATCH('4'!$B56,'Unique Asset List'!$A$4:$A$60,0),MATCH('4'!$C$1,'Unique Asset List'!$C$3:$I$3,0))</f>
        <v>2051</v>
      </c>
      <c r="Y56" s="9">
        <f>INDEX('Unique Asset List'!$J$4:$P$60,MATCH('4'!$B56,'Unique Asset List'!$A$4:$A$60,0),MATCH('4'!$C$1,'Unique Asset List'!$J$3:$P$3,0))</f>
        <v>6</v>
      </c>
      <c r="Z56" s="9">
        <f>INDEX('Unique Asset List'!$X$4:$AD$60,MATCH('4'!$B56,'Unique Asset List'!$A$4:$A$60,0),MATCH('4'!$C$1,'Unique Asset List'!$X$3:$AD$3,0))</f>
        <v>2060</v>
      </c>
      <c r="AA56" s="9">
        <f>INDEX('Unique Asset List'!$AE$4:$AK$60,MATCH('4'!$B56,'Unique Asset List'!$A$4:$A$60,0),MATCH('4'!$C$1,'Unique Asset List'!$AE$3:$AK$3,0))</f>
        <v>6</v>
      </c>
      <c r="AB56" s="16">
        <f t="shared" si="17"/>
        <v>0</v>
      </c>
      <c r="AC56" s="16">
        <f t="shared" si="18"/>
        <v>0</v>
      </c>
      <c r="AD56" s="16">
        <f t="shared" si="19"/>
        <v>0</v>
      </c>
      <c r="AE56" s="15">
        <f>INDEX('Unique Asset List'!$BN$4:$BT$60,MATCH('4'!$B56,'Unique Asset List'!$A$4:$A$60,0),MATCH('4'!$C$1,'Unique Asset List'!$BN$3:$BT$3,0))</f>
        <v>0.05</v>
      </c>
      <c r="AF56" s="15">
        <f>INDEX('Unique Asset List'!$BU$4:$CA$60,MATCH('4'!$B56,'Unique Asset List'!$A$4:$A$60,0),MATCH('4'!$C$1,'Unique Asset List'!$BU$3:$CA$3,0))</f>
        <v>0.45</v>
      </c>
      <c r="AG56" s="15">
        <f>INDEX('Unique Asset List'!$AZ$4:$BF$60,MATCH('4'!$B56,'Unique Asset List'!$A$4:$A$60,0),MATCH('4'!$C$1,'Unique Asset List'!$AZ$3:$BF$3,0))</f>
        <v>0.05</v>
      </c>
      <c r="AH56" s="15">
        <f>INDEX('Unique Asset List'!$BG$4:$BM$60,MATCH('4'!$B56,'Unique Asset List'!$A$4:$A$60,0),MATCH('4'!$C$1,'Unique Asset List'!$BG$3:$BM$3,0))</f>
        <v>0.45</v>
      </c>
      <c r="AI56" s="11">
        <v>0.96187963349867744</v>
      </c>
      <c r="AJ56" s="15">
        <f>INDEX('Unique Asset List'!$AL$4:$AR$60,MATCH('4'!$B56,'Unique Asset List'!$A$4:$A$60,0),MATCH('4'!$C$1,'Unique Asset List'!$AL$3:$AR$3,0))</f>
        <v>1.4542000570988298</v>
      </c>
      <c r="AK56" s="15">
        <f>INDEX('Unique Asset List'!$AS$4:$AY$60,MATCH('4'!$B56,'Unique Asset List'!$A$4:$A$60,0),MATCH('4'!$C$1,'Unique Asset List'!$AS$3:$AY$3,0))</f>
        <v>-0.4950056673809119</v>
      </c>
      <c r="AL56" s="9">
        <v>169</v>
      </c>
      <c r="AM56" s="14">
        <f>INDEX(Simulation!$B$6:$H$6,MATCH($A56,Simulation!$B$1:$H$1,0))*(1+AN56)^((DATE(X56,Y56,15)-DATE(2017,1,15))/365.5)</f>
        <v>3.5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11"/>
        <v>0.82</v>
      </c>
      <c r="AS56" s="10">
        <v>1</v>
      </c>
      <c r="AT56" s="4">
        <f>IF($C$5="ON",BT56,MyRating(_E1,$B56,Efficacy!$F$1))</f>
        <v>0</v>
      </c>
      <c r="AU56" s="3">
        <f>IF($C$5="ON",BU56,MyRating(_E2,$B56,Efficacy!$F$1))</f>
        <v>0</v>
      </c>
      <c r="AV56" s="3">
        <f>IF($C$5="ON",BV56,MyRating(_E3,$B56,Efficacy!$F$1))</f>
        <v>0</v>
      </c>
      <c r="AW56" s="3">
        <f>IF($C$5="ON",BW56,MyRating(_E4,$B56,Efficacy!$F$1))</f>
        <v>0</v>
      </c>
      <c r="AX56" s="3">
        <f>IF($C$5="ON",BX56,MyRating(_E5,$B56,Efficacy!$F$1))</f>
        <v>0</v>
      </c>
      <c r="AY56" s="3">
        <f>IF($C$5="ON",BY56,MyRating(_E6,$B56,Efficacy!$F$1))</f>
        <v>0</v>
      </c>
      <c r="AZ56" s="3">
        <f>IF($C$5="ON",BZ56,MyRating(_E7,$B56,Efficacy!$F$1))</f>
        <v>0</v>
      </c>
      <c r="BA56" s="3">
        <f>IF($C$5="ON",CA56,MyRating(_E8,$B56,Efficacy!$F$1))</f>
        <v>0</v>
      </c>
      <c r="BB56" s="3">
        <f>IF($C$5="ON",CB56,MyRating(_S1,$B56,Efficacy!$F$1))</f>
        <v>0</v>
      </c>
      <c r="BC56" s="3">
        <f>IF($C$5="ON",CC56,MyRating(_S2,$B56,Efficacy!$F$1))</f>
        <v>0</v>
      </c>
      <c r="BD56" s="3">
        <f>IF($C$5="ON",CD56,MyRating(_S3,$B56,Efficacy!$F$1))</f>
        <v>0</v>
      </c>
      <c r="BE56" s="3">
        <f>IF($C$5="ON",CE56,MyRating(_S4,$B56,Efficacy!$F$1))</f>
        <v>0</v>
      </c>
      <c r="BF56" s="3">
        <f>IF($C$5="ON",CF56,MyRating(_S5,$B56,Efficacy!$F$1))</f>
        <v>0</v>
      </c>
      <c r="BG56" s="3">
        <f>IF($C$5="ON",CG56,MyRating(_S6,$B56,Efficacy!$F$1))</f>
        <v>0</v>
      </c>
      <c r="BH56" s="3">
        <f>IF($C$5="ON",CH56,MyRating(_S7,$B56,Efficacy!$F$1))</f>
        <v>0</v>
      </c>
      <c r="BI56" s="3">
        <f>IF($C$5="ON",CI56,MyRating(_D1,$B56,Efficacy!$F$1))</f>
        <v>0</v>
      </c>
      <c r="BJ56" s="3">
        <f>IF($C$5="ON",CJ56,MyRating(_D2,$B56,Efficacy!$F$1))</f>
        <v>0</v>
      </c>
      <c r="BK56" s="3">
        <f>IF($C$5="ON",CK56,MyRating(_D3,$B56,Efficacy!$F$1))</f>
        <v>0</v>
      </c>
      <c r="BL56" s="3">
        <f>IF($C$5="ON",CL56,MyRating(_D4,$B56,Efficacy!$F$1))</f>
        <v>0</v>
      </c>
      <c r="BM56" s="3">
        <f>IF($C$5="ON",CM56,MyRating(_B1G5,$B56,Barrier!$L$2))</f>
        <v>0</v>
      </c>
      <c r="BN56" s="3">
        <f>IF($C$5="ON",CN56,MyRating(_B2,$B56,Barrier!$F$2))</f>
        <v>0</v>
      </c>
      <c r="BO56" s="6">
        <f>IF($C$5="ON",CO56,MyRating(_B3,$B56,Barrier!$F$2))</f>
        <v>0</v>
      </c>
      <c r="BP56" s="5">
        <f t="shared" si="12"/>
        <v>0</v>
      </c>
      <c r="BQ56" s="8">
        <f t="shared" si="13"/>
        <v>0</v>
      </c>
      <c r="BR56" s="5">
        <f t="shared" si="14"/>
        <v>0</v>
      </c>
      <c r="BS56" s="7">
        <f t="shared" si="15"/>
        <v>0</v>
      </c>
      <c r="BT56" s="4">
        <v>0</v>
      </c>
      <c r="BU56" s="3">
        <v>0</v>
      </c>
      <c r="BV56" s="3">
        <v>0</v>
      </c>
      <c r="BW56" s="3">
        <v>0</v>
      </c>
      <c r="BX56" s="3">
        <v>0</v>
      </c>
      <c r="BY56" s="3">
        <v>0</v>
      </c>
      <c r="BZ56" s="3">
        <v>0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6">
        <v>0</v>
      </c>
      <c r="CP56" s="5">
        <v>0</v>
      </c>
    </row>
    <row r="57" spans="1:94" x14ac:dyDescent="0.35">
      <c r="A57" s="9" t="str">
        <f t="shared" si="10"/>
        <v>UK</v>
      </c>
      <c r="B57" s="9" t="s">
        <v>189</v>
      </c>
      <c r="C57" s="20" t="s">
        <v>3</v>
      </c>
      <c r="D57" s="9" t="s">
        <v>2</v>
      </c>
      <c r="E57" s="9"/>
      <c r="F57" s="9" t="s">
        <v>1</v>
      </c>
      <c r="G57" s="19">
        <v>0</v>
      </c>
      <c r="H57" s="9">
        <v>2014</v>
      </c>
      <c r="I57" s="9">
        <v>6</v>
      </c>
      <c r="J57" s="18">
        <f>INDEX(PTRS!$D$6:$D$12,MATCH('4'!$F57,PTRS!$B$6:$B$12,0))</f>
        <v>0.1044225</v>
      </c>
      <c r="K57" s="17">
        <v>0</v>
      </c>
      <c r="L57" s="17">
        <v>0.1044225</v>
      </c>
      <c r="M57" s="17">
        <v>0.1044225</v>
      </c>
      <c r="N57" s="17">
        <v>0.1044225</v>
      </c>
      <c r="O57" s="17">
        <v>0.1044225</v>
      </c>
      <c r="P57" s="17">
        <v>0.1044225</v>
      </c>
      <c r="Q57" s="17">
        <v>0.1044225</v>
      </c>
      <c r="R57" s="17">
        <v>0.1044225</v>
      </c>
      <c r="S57" s="17">
        <v>1</v>
      </c>
      <c r="T57" s="17"/>
      <c r="U57" s="17">
        <f t="shared" si="16"/>
        <v>0</v>
      </c>
      <c r="V57" s="17">
        <v>1</v>
      </c>
      <c r="W57" s="9" t="s">
        <v>0</v>
      </c>
      <c r="X57" s="9">
        <f>INDEX('Unique Asset List'!$C$4:$I$60,MATCH('4'!$B57,'Unique Asset List'!$A$4:$A$60,0),MATCH('4'!$C$1,'Unique Asset List'!$C$3:$I$3,0))</f>
        <v>2051</v>
      </c>
      <c r="Y57" s="9">
        <f>INDEX('Unique Asset List'!$J$4:$P$60,MATCH('4'!$B57,'Unique Asset List'!$A$4:$A$60,0),MATCH('4'!$C$1,'Unique Asset List'!$J$3:$P$3,0))</f>
        <v>6</v>
      </c>
      <c r="Z57" s="9">
        <f>INDEX('Unique Asset List'!$X$4:$AD$60,MATCH('4'!$B57,'Unique Asset List'!$A$4:$A$60,0),MATCH('4'!$C$1,'Unique Asset List'!$X$3:$AD$3,0))</f>
        <v>2060</v>
      </c>
      <c r="AA57" s="9">
        <f>INDEX('Unique Asset List'!$AE$4:$AK$60,MATCH('4'!$B57,'Unique Asset List'!$A$4:$A$60,0),MATCH('4'!$C$1,'Unique Asset List'!$AE$3:$AK$3,0))</f>
        <v>6</v>
      </c>
      <c r="AB57" s="16">
        <f t="shared" si="17"/>
        <v>0</v>
      </c>
      <c r="AC57" s="16">
        <f t="shared" si="18"/>
        <v>0</v>
      </c>
      <c r="AD57" s="16">
        <f t="shared" si="19"/>
        <v>0</v>
      </c>
      <c r="AE57" s="15">
        <f>INDEX('Unique Asset List'!$BN$4:$BT$60,MATCH('4'!$B57,'Unique Asset List'!$A$4:$A$60,0),MATCH('4'!$C$1,'Unique Asset List'!$BN$3:$BT$3,0))</f>
        <v>0.05</v>
      </c>
      <c r="AF57" s="15">
        <f>INDEX('Unique Asset List'!$BU$4:$CA$60,MATCH('4'!$B57,'Unique Asset List'!$A$4:$A$60,0),MATCH('4'!$C$1,'Unique Asset List'!$BU$3:$CA$3,0))</f>
        <v>0.45</v>
      </c>
      <c r="AG57" s="15">
        <f>INDEX('Unique Asset List'!$AZ$4:$BF$60,MATCH('4'!$B57,'Unique Asset List'!$A$4:$A$60,0),MATCH('4'!$C$1,'Unique Asset List'!$AZ$3:$BF$3,0))</f>
        <v>0.05</v>
      </c>
      <c r="AH57" s="15">
        <f>INDEX('Unique Asset List'!$BG$4:$BM$60,MATCH('4'!$B57,'Unique Asset List'!$A$4:$A$60,0),MATCH('4'!$C$1,'Unique Asset List'!$BG$3:$BM$3,0))</f>
        <v>0.45</v>
      </c>
      <c r="AI57" s="11">
        <v>0.96187963349867744</v>
      </c>
      <c r="AJ57" s="15">
        <f>INDEX('Unique Asset List'!$AL$4:$AR$60,MATCH('4'!$B57,'Unique Asset List'!$A$4:$A$60,0),MATCH('4'!$C$1,'Unique Asset List'!$AL$3:$AR$3,0))</f>
        <v>1.4542000570988298</v>
      </c>
      <c r="AK57" s="15">
        <f>INDEX('Unique Asset List'!$AS$4:$AY$60,MATCH('4'!$B57,'Unique Asset List'!$A$4:$A$60,0),MATCH('4'!$C$1,'Unique Asset List'!$AS$3:$AY$3,0))</f>
        <v>-0.4950056673809119</v>
      </c>
      <c r="AL57" s="9">
        <v>169</v>
      </c>
      <c r="AM57" s="14">
        <f>INDEX(Simulation!$B$6:$H$6,MATCH($A57,Simulation!$B$1:$H$1,0))*(1+AN57)^((DATE(X57,Y57,15)-DATE(2017,1,15))/365.5)</f>
        <v>3.5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11"/>
        <v>0.82</v>
      </c>
      <c r="AS57" s="10">
        <v>1</v>
      </c>
      <c r="AT57" s="4">
        <f>IF($C$5="ON",BT57,MyRating(_E1,$B57,Efficacy!$F$1))</f>
        <v>0</v>
      </c>
      <c r="AU57" s="3">
        <f>IF($C$5="ON",BU57,MyRating(_E2,$B57,Efficacy!$F$1))</f>
        <v>0</v>
      </c>
      <c r="AV57" s="3">
        <f>IF($C$5="ON",BV57,MyRating(_E3,$B57,Efficacy!$F$1))</f>
        <v>0</v>
      </c>
      <c r="AW57" s="3">
        <f>IF($C$5="ON",BW57,MyRating(_E4,$B57,Efficacy!$F$1))</f>
        <v>0</v>
      </c>
      <c r="AX57" s="3">
        <f>IF($C$5="ON",BX57,MyRating(_E5,$B57,Efficacy!$F$1))</f>
        <v>0</v>
      </c>
      <c r="AY57" s="3">
        <f>IF($C$5="ON",BY57,MyRating(_E6,$B57,Efficacy!$F$1))</f>
        <v>0</v>
      </c>
      <c r="AZ57" s="3">
        <f>IF($C$5="ON",BZ57,MyRating(_E7,$B57,Efficacy!$F$1))</f>
        <v>0</v>
      </c>
      <c r="BA57" s="3">
        <f>IF($C$5="ON",CA57,MyRating(_E8,$B57,Efficacy!$F$1))</f>
        <v>0</v>
      </c>
      <c r="BB57" s="3">
        <f>IF($C$5="ON",CB57,MyRating(_S1,$B57,Efficacy!$F$1))</f>
        <v>0</v>
      </c>
      <c r="BC57" s="3">
        <f>IF($C$5="ON",CC57,MyRating(_S2,$B57,Efficacy!$F$1))</f>
        <v>0</v>
      </c>
      <c r="BD57" s="3">
        <f>IF($C$5="ON",CD57,MyRating(_S3,$B57,Efficacy!$F$1))</f>
        <v>0</v>
      </c>
      <c r="BE57" s="3">
        <f>IF($C$5="ON",CE57,MyRating(_S4,$B57,Efficacy!$F$1))</f>
        <v>0</v>
      </c>
      <c r="BF57" s="3">
        <f>IF($C$5="ON",CF57,MyRating(_S5,$B57,Efficacy!$F$1))</f>
        <v>0</v>
      </c>
      <c r="BG57" s="3">
        <f>IF($C$5="ON",CG57,MyRating(_S6,$B57,Efficacy!$F$1))</f>
        <v>0</v>
      </c>
      <c r="BH57" s="3">
        <f>IF($C$5="ON",CH57,MyRating(_S7,$B57,Efficacy!$F$1))</f>
        <v>0</v>
      </c>
      <c r="BI57" s="3">
        <f>IF($C$5="ON",CI57,MyRating(_D1,$B57,Efficacy!$F$1))</f>
        <v>0</v>
      </c>
      <c r="BJ57" s="3">
        <f>IF($C$5="ON",CJ57,MyRating(_D2,$B57,Efficacy!$F$1))</f>
        <v>0</v>
      </c>
      <c r="BK57" s="3">
        <f>IF($C$5="ON",CK57,MyRating(_D3,$B57,Efficacy!$F$1))</f>
        <v>0</v>
      </c>
      <c r="BL57" s="3">
        <f>IF($C$5="ON",CL57,MyRating(_D4,$B57,Efficacy!$F$1))</f>
        <v>0</v>
      </c>
      <c r="BM57" s="3">
        <f>IF($C$5="ON",CM57,MyRating(_B1G5,$B57,Barrier!$L$2))</f>
        <v>0</v>
      </c>
      <c r="BN57" s="3">
        <f>IF($C$5="ON",CN57,MyRating(_B2,$B57,Barrier!$F$2))</f>
        <v>0</v>
      </c>
      <c r="BO57" s="6">
        <f>IF($C$5="ON",CO57,MyRating(_B3,$B57,Barrier!$F$2))</f>
        <v>0</v>
      </c>
      <c r="BP57" s="5">
        <f t="shared" si="12"/>
        <v>0</v>
      </c>
      <c r="BQ57" s="8">
        <f t="shared" si="13"/>
        <v>0</v>
      </c>
      <c r="BR57" s="5">
        <f t="shared" si="14"/>
        <v>0</v>
      </c>
      <c r="BS57" s="7">
        <f t="shared" si="15"/>
        <v>0</v>
      </c>
      <c r="BT57" s="4">
        <v>0</v>
      </c>
      <c r="BU57" s="3">
        <v>0</v>
      </c>
      <c r="BV57" s="3">
        <v>0</v>
      </c>
      <c r="BW57" s="3">
        <v>0</v>
      </c>
      <c r="BX57" s="3">
        <v>0</v>
      </c>
      <c r="BY57" s="3">
        <v>0</v>
      </c>
      <c r="BZ57" s="3">
        <v>0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6">
        <v>0</v>
      </c>
      <c r="CP57" s="5">
        <v>0</v>
      </c>
    </row>
    <row r="58" spans="1:94" x14ac:dyDescent="0.35">
      <c r="A58" s="9" t="str">
        <f t="shared" si="10"/>
        <v>UK</v>
      </c>
      <c r="B58" s="9" t="s">
        <v>188</v>
      </c>
      <c r="C58" s="20" t="s">
        <v>3</v>
      </c>
      <c r="D58" s="9" t="s">
        <v>2</v>
      </c>
      <c r="E58" s="9"/>
      <c r="F58" s="9" t="s">
        <v>1</v>
      </c>
      <c r="G58" s="19">
        <v>0</v>
      </c>
      <c r="H58" s="9">
        <v>2014</v>
      </c>
      <c r="I58" s="9">
        <v>6</v>
      </c>
      <c r="J58" s="18">
        <f>INDEX(PTRS!$D$6:$D$12,MATCH('4'!$F58,PTRS!$B$6:$B$12,0))</f>
        <v>0.1044225</v>
      </c>
      <c r="K58" s="17">
        <v>0</v>
      </c>
      <c r="L58" s="17">
        <v>0.1044225</v>
      </c>
      <c r="M58" s="17">
        <v>0.1044225</v>
      </c>
      <c r="N58" s="17">
        <v>0.1044225</v>
      </c>
      <c r="O58" s="17">
        <v>0.1044225</v>
      </c>
      <c r="P58" s="17">
        <v>0.1044225</v>
      </c>
      <c r="Q58" s="17">
        <v>0.1044225</v>
      </c>
      <c r="R58" s="17">
        <v>0.1044225</v>
      </c>
      <c r="S58" s="17">
        <v>1</v>
      </c>
      <c r="T58" s="17"/>
      <c r="U58" s="17">
        <f t="shared" si="16"/>
        <v>0</v>
      </c>
      <c r="V58" s="17">
        <v>1</v>
      </c>
      <c r="W58" s="9" t="s">
        <v>0</v>
      </c>
      <c r="X58" s="9">
        <f>INDEX('Unique Asset List'!$C$4:$I$60,MATCH('4'!$B58,'Unique Asset List'!$A$4:$A$60,0),MATCH('4'!$C$1,'Unique Asset List'!$C$3:$I$3,0))</f>
        <v>2051</v>
      </c>
      <c r="Y58" s="9">
        <f>INDEX('Unique Asset List'!$J$4:$P$60,MATCH('4'!$B58,'Unique Asset List'!$A$4:$A$60,0),MATCH('4'!$C$1,'Unique Asset List'!$J$3:$P$3,0))</f>
        <v>6</v>
      </c>
      <c r="Z58" s="9">
        <f>INDEX('Unique Asset List'!$X$4:$AD$60,MATCH('4'!$B58,'Unique Asset List'!$A$4:$A$60,0),MATCH('4'!$C$1,'Unique Asset List'!$X$3:$AD$3,0))</f>
        <v>2060</v>
      </c>
      <c r="AA58" s="9">
        <f>INDEX('Unique Asset List'!$AE$4:$AK$60,MATCH('4'!$B58,'Unique Asset List'!$A$4:$A$60,0),MATCH('4'!$C$1,'Unique Asset List'!$AE$3:$AK$3,0))</f>
        <v>6</v>
      </c>
      <c r="AB58" s="16">
        <f t="shared" si="17"/>
        <v>0</v>
      </c>
      <c r="AC58" s="16">
        <f t="shared" si="18"/>
        <v>0</v>
      </c>
      <c r="AD58" s="16">
        <f t="shared" si="19"/>
        <v>0</v>
      </c>
      <c r="AE58" s="15">
        <f>INDEX('Unique Asset List'!$BN$4:$BT$60,MATCH('4'!$B58,'Unique Asset List'!$A$4:$A$60,0),MATCH('4'!$C$1,'Unique Asset List'!$BN$3:$BT$3,0))</f>
        <v>0.05</v>
      </c>
      <c r="AF58" s="15">
        <f>INDEX('Unique Asset List'!$BU$4:$CA$60,MATCH('4'!$B58,'Unique Asset List'!$A$4:$A$60,0),MATCH('4'!$C$1,'Unique Asset List'!$BU$3:$CA$3,0))</f>
        <v>0.45</v>
      </c>
      <c r="AG58" s="15">
        <f>INDEX('Unique Asset List'!$AZ$4:$BF$60,MATCH('4'!$B58,'Unique Asset List'!$A$4:$A$60,0),MATCH('4'!$C$1,'Unique Asset List'!$AZ$3:$BF$3,0))</f>
        <v>0.05</v>
      </c>
      <c r="AH58" s="15">
        <f>INDEX('Unique Asset List'!$BG$4:$BM$60,MATCH('4'!$B58,'Unique Asset List'!$A$4:$A$60,0),MATCH('4'!$C$1,'Unique Asset List'!$BG$3:$BM$3,0))</f>
        <v>0.45</v>
      </c>
      <c r="AI58" s="11">
        <v>0.96187963349867744</v>
      </c>
      <c r="AJ58" s="15">
        <f>INDEX('Unique Asset List'!$AL$4:$AR$60,MATCH('4'!$B58,'Unique Asset List'!$A$4:$A$60,0),MATCH('4'!$C$1,'Unique Asset List'!$AL$3:$AR$3,0))</f>
        <v>1.4542000570988298</v>
      </c>
      <c r="AK58" s="15">
        <f>INDEX('Unique Asset List'!$AS$4:$AY$60,MATCH('4'!$B58,'Unique Asset List'!$A$4:$A$60,0),MATCH('4'!$C$1,'Unique Asset List'!$AS$3:$AY$3,0))</f>
        <v>-0.4950056673809119</v>
      </c>
      <c r="AL58" s="9">
        <v>169</v>
      </c>
      <c r="AM58" s="14">
        <f>INDEX(Simulation!$B$6:$H$6,MATCH($A58,Simulation!$B$1:$H$1,0))*(1+AN58)^((DATE(X58,Y58,15)-DATE(2017,1,15))/365.5)</f>
        <v>3.5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11"/>
        <v>0.82</v>
      </c>
      <c r="AS58" s="10">
        <v>1</v>
      </c>
      <c r="AT58" s="4">
        <f>IF($C$5="ON",BT58,MyRating(_E1,$B58,Efficacy!$F$1))</f>
        <v>0</v>
      </c>
      <c r="AU58" s="3">
        <f>IF($C$5="ON",BU58,MyRating(_E2,$B58,Efficacy!$F$1))</f>
        <v>0</v>
      </c>
      <c r="AV58" s="3">
        <f>IF($C$5="ON",BV58,MyRating(_E3,$B58,Efficacy!$F$1))</f>
        <v>0</v>
      </c>
      <c r="AW58" s="3">
        <f>IF($C$5="ON",BW58,MyRating(_E4,$B58,Efficacy!$F$1))</f>
        <v>0</v>
      </c>
      <c r="AX58" s="3">
        <f>IF($C$5="ON",BX58,MyRating(_E5,$B58,Efficacy!$F$1))</f>
        <v>0</v>
      </c>
      <c r="AY58" s="3">
        <f>IF($C$5="ON",BY58,MyRating(_E6,$B58,Efficacy!$F$1))</f>
        <v>0</v>
      </c>
      <c r="AZ58" s="3">
        <f>IF($C$5="ON",BZ58,MyRating(_E7,$B58,Efficacy!$F$1))</f>
        <v>0</v>
      </c>
      <c r="BA58" s="3">
        <f>IF($C$5="ON",CA58,MyRating(_E8,$B58,Efficacy!$F$1))</f>
        <v>0</v>
      </c>
      <c r="BB58" s="3">
        <f>IF($C$5="ON",CB58,MyRating(_S1,$B58,Efficacy!$F$1))</f>
        <v>0</v>
      </c>
      <c r="BC58" s="3">
        <f>IF($C$5="ON",CC58,MyRating(_S2,$B58,Efficacy!$F$1))</f>
        <v>0</v>
      </c>
      <c r="BD58" s="3">
        <f>IF($C$5="ON",CD58,MyRating(_S3,$B58,Efficacy!$F$1))</f>
        <v>0</v>
      </c>
      <c r="BE58" s="3">
        <f>IF($C$5="ON",CE58,MyRating(_S4,$B58,Efficacy!$F$1))</f>
        <v>0</v>
      </c>
      <c r="BF58" s="3">
        <f>IF($C$5="ON",CF58,MyRating(_S5,$B58,Efficacy!$F$1))</f>
        <v>0</v>
      </c>
      <c r="BG58" s="3">
        <f>IF($C$5="ON",CG58,MyRating(_S6,$B58,Efficacy!$F$1))</f>
        <v>0</v>
      </c>
      <c r="BH58" s="3">
        <f>IF($C$5="ON",CH58,MyRating(_S7,$B58,Efficacy!$F$1))</f>
        <v>0</v>
      </c>
      <c r="BI58" s="3">
        <f>IF($C$5="ON",CI58,MyRating(_D1,$B58,Efficacy!$F$1))</f>
        <v>0</v>
      </c>
      <c r="BJ58" s="3">
        <f>IF($C$5="ON",CJ58,MyRating(_D2,$B58,Efficacy!$F$1))</f>
        <v>0</v>
      </c>
      <c r="BK58" s="3">
        <f>IF($C$5="ON",CK58,MyRating(_D3,$B58,Efficacy!$F$1))</f>
        <v>0</v>
      </c>
      <c r="BL58" s="3">
        <f>IF($C$5="ON",CL58,MyRating(_D4,$B58,Efficacy!$F$1))</f>
        <v>0</v>
      </c>
      <c r="BM58" s="3">
        <f>IF($C$5="ON",CM58,MyRating(_B1G5,$B58,Barrier!$L$2))</f>
        <v>0</v>
      </c>
      <c r="BN58" s="3">
        <f>IF($C$5="ON",CN58,MyRating(_B2,$B58,Barrier!$F$2))</f>
        <v>0</v>
      </c>
      <c r="BO58" s="6">
        <f>IF($C$5="ON",CO58,MyRating(_B3,$B58,Barrier!$F$2))</f>
        <v>0</v>
      </c>
      <c r="BP58" s="5">
        <f t="shared" si="12"/>
        <v>0</v>
      </c>
      <c r="BQ58" s="8">
        <f t="shared" si="13"/>
        <v>0</v>
      </c>
      <c r="BR58" s="5">
        <f t="shared" si="14"/>
        <v>0</v>
      </c>
      <c r="BS58" s="7">
        <f t="shared" si="15"/>
        <v>0</v>
      </c>
      <c r="BT58" s="4">
        <v>0</v>
      </c>
      <c r="BU58" s="3">
        <v>0</v>
      </c>
      <c r="BV58" s="3">
        <v>0</v>
      </c>
      <c r="BW58" s="3">
        <v>0</v>
      </c>
      <c r="BX58" s="3">
        <v>0</v>
      </c>
      <c r="BY58" s="3">
        <v>0</v>
      </c>
      <c r="BZ58" s="3">
        <v>0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6">
        <v>0</v>
      </c>
      <c r="CP58" s="5">
        <v>0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3">
    <dataValidation type="list" allowBlank="1" showInputMessage="1" showErrorMessage="1" sqref="C5" xr:uid="{00000000-0002-0000-0100-000002000000}">
      <formula1>"ON,OFF"</formula1>
    </dataValidation>
    <dataValidation type="list" allowBlank="1" showInputMessage="1" showErrorMessage="1" sqref="C1" xr:uid="{00000000-0002-0000-0100-000001000000}">
      <formula1>"US,FR,DE,ES,IT,UK,JP"</formula1>
    </dataValidation>
    <dataValidation type="list" allowBlank="1" showInputMessage="1" showErrorMessage="1" sqref="J1:S1" xr:uid="{C1A9CA30-297A-47A1-9A18-5ED63909968B}">
      <formula1>$J$8:$S$8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E5784-8B45-4E1D-BEDC-53437125223C}">
  <sheetPr codeName="Sheet6">
    <outlinePr summaryBelow="0" summaryRight="0"/>
  </sheetPr>
  <dimension ref="A1:CR58"/>
  <sheetViews>
    <sheetView zoomScale="67" zoomScaleNormal="67" workbookViewId="0">
      <selection activeCell="AS58" sqref="A1:AS58"/>
    </sheetView>
  </sheetViews>
  <sheetFormatPr defaultRowHeight="14.5" x14ac:dyDescent="0.35"/>
  <cols>
    <col min="1" max="1" width="6.81640625" customWidth="1"/>
    <col min="2" max="2" width="24.26953125" bestFit="1" customWidth="1"/>
    <col min="3" max="3" width="4.453125" bestFit="1" customWidth="1"/>
    <col min="4" max="4" width="11.453125" bestFit="1" customWidth="1"/>
    <col min="5" max="5" width="8.26953125" bestFit="1" customWidth="1"/>
    <col min="6" max="6" width="8.453125" bestFit="1" customWidth="1"/>
    <col min="7" max="7" width="5.1796875" customWidth="1"/>
    <col min="8" max="8" width="4.453125" bestFit="1" customWidth="1"/>
    <col min="9" max="9" width="4" bestFit="1" customWidth="1"/>
    <col min="10" max="10" width="4.81640625" bestFit="1" customWidth="1"/>
    <col min="11" max="19" width="5.1796875" customWidth="1"/>
    <col min="20" max="20" width="17.1796875" bestFit="1" customWidth="1"/>
    <col min="21" max="21" width="7.1796875" bestFit="1" customWidth="1"/>
    <col min="22" max="22" width="4.81640625" bestFit="1" customWidth="1"/>
    <col min="23" max="23" width="8.7265625" bestFit="1" customWidth="1"/>
    <col min="24" max="24" width="4.81640625" bestFit="1" customWidth="1"/>
    <col min="25" max="25" width="3.1796875" bestFit="1" customWidth="1"/>
    <col min="26" max="30" width="5" bestFit="1" customWidth="1"/>
    <col min="31" max="35" width="4" bestFit="1" customWidth="1"/>
    <col min="36" max="36" width="4" customWidth="1"/>
    <col min="37" max="37" width="4.81640625" bestFit="1" customWidth="1"/>
    <col min="38" max="38" width="4" style="2" bestFit="1" customWidth="1"/>
    <col min="39" max="39" width="5.7265625" style="2" bestFit="1" customWidth="1"/>
    <col min="40" max="40" width="4.81640625" style="2" bestFit="1" customWidth="1"/>
    <col min="41" max="41" width="4" style="2" customWidth="1"/>
    <col min="42" max="42" width="5.26953125" bestFit="1" customWidth="1"/>
    <col min="43" max="43" width="4.81640625" style="2" bestFit="1" customWidth="1"/>
    <col min="44" max="44" width="5.26953125" bestFit="1" customWidth="1"/>
    <col min="45" max="45" width="4.54296875" customWidth="1"/>
    <col min="46" max="46" width="3.26953125" bestFit="1" customWidth="1"/>
    <col min="47" max="47" width="3.54296875" bestFit="1" customWidth="1"/>
    <col min="48" max="48" width="4.54296875" bestFit="1" customWidth="1"/>
    <col min="49" max="64" width="3.54296875" bestFit="1" customWidth="1"/>
    <col min="65" max="67" width="4.26953125" customWidth="1"/>
    <col min="68" max="71" width="7.7265625" style="1" bestFit="1" customWidth="1"/>
    <col min="72" max="73" width="3.54296875" bestFit="1" customWidth="1"/>
    <col min="74" max="74" width="4.54296875" bestFit="1" customWidth="1"/>
    <col min="75" max="91" width="3.54296875" bestFit="1" customWidth="1"/>
    <col min="92" max="93" width="4.54296875" bestFit="1" customWidth="1"/>
    <col min="94" max="94" width="5.1796875" style="1" bestFit="1" customWidth="1"/>
  </cols>
  <sheetData>
    <row r="1" spans="1:96" x14ac:dyDescent="0.35">
      <c r="A1" s="177" t="s">
        <v>187</v>
      </c>
      <c r="B1" s="179"/>
      <c r="C1" s="58" t="s">
        <v>183</v>
      </c>
      <c r="D1" s="57"/>
      <c r="E1" s="57"/>
      <c r="F1" s="177" t="s">
        <v>186</v>
      </c>
      <c r="G1" s="178"/>
      <c r="H1" s="178"/>
      <c r="I1" s="178"/>
      <c r="J1" s="180" t="s">
        <v>202</v>
      </c>
      <c r="K1" s="181"/>
      <c r="L1" s="181"/>
      <c r="M1" s="181"/>
      <c r="N1" s="181"/>
      <c r="O1" s="181"/>
      <c r="P1" s="181"/>
      <c r="Q1" s="181"/>
      <c r="R1" s="181"/>
      <c r="S1" s="182"/>
      <c r="T1" s="177" t="s">
        <v>185</v>
      </c>
      <c r="U1" s="178"/>
      <c r="V1" s="178"/>
      <c r="W1" s="179"/>
      <c r="X1" s="49">
        <v>3</v>
      </c>
      <c r="AL1"/>
      <c r="AM1"/>
      <c r="AN1"/>
      <c r="AO1"/>
      <c r="AQ1"/>
      <c r="BQ1" s="37"/>
    </row>
    <row r="2" spans="1:96" x14ac:dyDescent="0.35">
      <c r="B2" t="s">
        <v>178</v>
      </c>
      <c r="C2" s="50">
        <v>3</v>
      </c>
      <c r="T2" s="177" t="s">
        <v>174</v>
      </c>
      <c r="U2" s="178"/>
      <c r="V2" s="178"/>
      <c r="W2" s="179"/>
      <c r="X2" s="49">
        <v>0.2</v>
      </c>
      <c r="AL2"/>
      <c r="AM2"/>
      <c r="AN2"/>
      <c r="AO2"/>
      <c r="AQ2"/>
      <c r="BQ2" s="37"/>
    </row>
    <row r="3" spans="1:96" x14ac:dyDescent="0.35">
      <c r="B3" t="s">
        <v>172</v>
      </c>
      <c r="C3" s="50">
        <v>2</v>
      </c>
      <c r="T3" s="177" t="s">
        <v>171</v>
      </c>
      <c r="U3" s="178"/>
      <c r="V3" s="178"/>
      <c r="W3" s="179"/>
      <c r="X3" s="49">
        <v>-0.5</v>
      </c>
      <c r="AL3"/>
      <c r="AM3"/>
      <c r="AN3"/>
      <c r="AO3"/>
      <c r="AQ3"/>
      <c r="BQ3" s="37"/>
    </row>
    <row r="4" spans="1:96" x14ac:dyDescent="0.35">
      <c r="B4" t="s">
        <v>169</v>
      </c>
      <c r="C4" s="47">
        <v>0.01</v>
      </c>
      <c r="T4" s="177" t="s">
        <v>168</v>
      </c>
      <c r="U4" s="178"/>
      <c r="V4" s="178"/>
      <c r="W4" s="179"/>
      <c r="X4" s="49">
        <v>1.2</v>
      </c>
      <c r="AL4"/>
      <c r="AM4"/>
      <c r="AN4"/>
      <c r="AO4"/>
      <c r="AQ4"/>
      <c r="BQ4" s="37"/>
    </row>
    <row r="5" spans="1:96" x14ac:dyDescent="0.35">
      <c r="B5" t="s">
        <v>207</v>
      </c>
      <c r="C5" s="47" t="s">
        <v>165</v>
      </c>
      <c r="D5" s="46"/>
      <c r="U5" s="45"/>
      <c r="V5" s="44"/>
      <c r="AL5"/>
      <c r="AM5"/>
      <c r="AN5"/>
      <c r="AO5"/>
      <c r="AQ5"/>
      <c r="BQ5" s="37"/>
    </row>
    <row r="6" spans="1:96" x14ac:dyDescent="0.35">
      <c r="AL6"/>
      <c r="AM6"/>
      <c r="AN6"/>
      <c r="AO6"/>
      <c r="AQ6"/>
      <c r="BQ6" s="37"/>
    </row>
    <row r="7" spans="1:96" x14ac:dyDescent="0.35">
      <c r="AL7"/>
      <c r="AM7"/>
      <c r="AN7"/>
      <c r="AO7"/>
      <c r="AQ7"/>
      <c r="AT7" s="29">
        <f>IF($C$5="ON",BT7,INDEX(Conjoint!$F$9:$F$33,MATCH(AT8,Conjoint!$B$9:$B$33,0)))</f>
        <v>8.4581000000000003E-2</v>
      </c>
      <c r="AU7" s="29">
        <f>IF($C$5="ON",BU7,INDEX(Conjoint!$F$9:$F$33,MATCH(AU8,Conjoint!$B$9:$B$33,0)))</f>
        <v>8.0703200000000017E-2</v>
      </c>
      <c r="AV7" s="29">
        <f>IF($C$5="ON",BV7,INDEX(Conjoint!$F$9:$F$33,MATCH(AV8,Conjoint!$B$9:$B$33,0)))</f>
        <v>9.5090400000000005E-2</v>
      </c>
      <c r="AW7" s="29">
        <f>IF($C$5="ON",BW7,INDEX(Conjoint!$F$9:$F$33,MATCH(AW8,Conjoint!$B$9:$B$33,0)))</f>
        <v>8.2614000000000007E-2</v>
      </c>
      <c r="AX7" s="29">
        <f>IF($C$5="ON",BX7,INDEX(Conjoint!$F$9:$F$33,MATCH(AX8,Conjoint!$B$9:$B$33,0)))</f>
        <v>6.1089400000000009E-2</v>
      </c>
      <c r="AY7" s="29">
        <f>IF($C$5="ON",BY7,INDEX(Conjoint!$F$9:$F$33,MATCH(AY8,Conjoint!$B$9:$B$33,0)))</f>
        <v>5.8054600000000005E-2</v>
      </c>
      <c r="AZ7" s="29">
        <f>IF($C$5="ON",BZ7,INDEX(Conjoint!$F$9:$F$33,MATCH(AZ8,Conjoint!$B$9:$B$33,0)))</f>
        <v>3.8047400000000002E-2</v>
      </c>
      <c r="BA7" s="29">
        <f>IF($C$5="ON",CA7,INDEX(Conjoint!$F$9:$F$33,MATCH(BA8,Conjoint!$B$9:$B$33,0)))</f>
        <v>6.1820000000000007E-2</v>
      </c>
      <c r="BB7" s="29">
        <f>IF($C$5="ON",CB7,INDEX(Conjoint!$F$9:$F$33,MATCH(BB8,Conjoint!$B$9:$B$33,0)))</f>
        <v>6.1469900000000001E-2</v>
      </c>
      <c r="BC7" s="29">
        <f>IF($C$5="ON",CC7,INDEX(Conjoint!$F$9:$F$33,MATCH(BC8,Conjoint!$B$9:$B$33,0)))</f>
        <v>2.4572900000000002E-2</v>
      </c>
      <c r="BD7" s="29">
        <f>IF($C$5="ON",CD7,INDEX(Conjoint!$F$9:$F$33,MATCH(BD8,Conjoint!$B$9:$B$33,0)))</f>
        <v>3.06471E-2</v>
      </c>
      <c r="BE7" s="29">
        <f>IF($C$5="ON",CE7,INDEX(Conjoint!$F$9:$F$33,MATCH(BE8,Conjoint!$B$9:$B$33,0)))</f>
        <v>3.4964300000000004E-2</v>
      </c>
      <c r="BF7" s="29">
        <f>IF($C$5="ON",CF7,INDEX(Conjoint!$F$9:$F$33,MATCH(BF8,Conjoint!$B$9:$B$33,0)))</f>
        <v>4.6008299999999995E-2</v>
      </c>
      <c r="BG7" s="29">
        <f>IF($C$5="ON",CG7,INDEX(Conjoint!$F$9:$F$33,MATCH(BG8,Conjoint!$B$9:$B$33,0)))</f>
        <v>2.14354E-2</v>
      </c>
      <c r="BH7" s="29">
        <f>IF($C$5="ON",CH7,INDEX(Conjoint!$F$9:$F$33,MATCH(BH8,Conjoint!$B$9:$B$33,0)))</f>
        <v>3.1877000000000003E-2</v>
      </c>
      <c r="BI7" s="29">
        <f>IF($C$5="ON",CI7,INDEX(Conjoint!$F$9:$F$33,MATCH(BI8,Conjoint!$B$9:$B$33,0)))</f>
        <v>5.9704054739999991E-2</v>
      </c>
      <c r="BJ7" s="29">
        <f>IF($C$5="ON",CJ7,INDEX(Conjoint!$F$9:$F$33,MATCH(BJ8,Conjoint!$B$9:$B$33,0)))</f>
        <v>4.0027204139999994E-2</v>
      </c>
      <c r="BK7" s="29">
        <f>IF($C$5="ON",CK7,INDEX(Conjoint!$F$9:$F$33,MATCH(BK8,Conjoint!$B$9:$B$33,0)))</f>
        <v>3.2328141120000001E-2</v>
      </c>
      <c r="BL7" s="29">
        <f>IF($C$5="ON",CL7,INDEX(Conjoint!$F$9:$F$33,MATCH(BL8,Conjoint!$B$9:$B$33,0)))</f>
        <v>5.4940599999999999E-2</v>
      </c>
      <c r="BM7" s="29">
        <f>IF($C$5="ON",CM7,INDEX(Conjoint!$F$9:$F$37,MATCH(BM8,Conjoint!$B$9:$B$37,0)))</f>
        <v>0.05</v>
      </c>
      <c r="BN7" s="29">
        <f>IF($C$5="ON",CN7,INDEX(Conjoint!$F$9:$F$37,MATCH(BN8,Conjoint!$B$9:$B$37,0)))</f>
        <v>0.47499999999999998</v>
      </c>
      <c r="BO7" s="29">
        <f>IF($C$5="ON",CO7,INDEX(Conjoint!$F$9:$F$37,MATCH(BO8,Conjoint!$B$9:$B$37,0)))</f>
        <v>0.47499999999999998</v>
      </c>
      <c r="BP7" s="33">
        <f>MAX(BP9:BP58)</f>
        <v>4.9932578149053504E-2</v>
      </c>
      <c r="BQ7" s="36">
        <f>SUM(BQ9:BQ58)</f>
        <v>81.850000000000037</v>
      </c>
      <c r="BR7" s="35"/>
      <c r="BS7" s="34">
        <f>SUM(BS9:BS58)</f>
        <v>0.51114776305424126</v>
      </c>
      <c r="BT7" s="29">
        <v>8.4581000000000003E-2</v>
      </c>
      <c r="BU7" s="29">
        <v>8.0703200000000017E-2</v>
      </c>
      <c r="BV7" s="29">
        <v>9.5090400000000005E-2</v>
      </c>
      <c r="BW7" s="29">
        <v>8.2614000000000007E-2</v>
      </c>
      <c r="BX7" s="29">
        <v>6.1089400000000009E-2</v>
      </c>
      <c r="BY7" s="29">
        <v>5.8054600000000005E-2</v>
      </c>
      <c r="BZ7" s="29">
        <v>3.8047400000000002E-2</v>
      </c>
      <c r="CA7" s="29">
        <v>6.1820000000000007E-2</v>
      </c>
      <c r="CB7" s="29">
        <v>6.1469900000000001E-2</v>
      </c>
      <c r="CC7" s="29">
        <v>2.4572900000000002E-2</v>
      </c>
      <c r="CD7" s="29">
        <v>3.06471E-2</v>
      </c>
      <c r="CE7" s="29">
        <v>3.4964300000000004E-2</v>
      </c>
      <c r="CF7" s="29">
        <v>4.6008299999999995E-2</v>
      </c>
      <c r="CG7" s="29">
        <v>2.14354E-2</v>
      </c>
      <c r="CH7" s="29">
        <v>3.1877000000000003E-2</v>
      </c>
      <c r="CI7" s="29">
        <v>5.9704054739999991E-2</v>
      </c>
      <c r="CJ7" s="29">
        <v>4.0027204139999994E-2</v>
      </c>
      <c r="CK7" s="29">
        <v>3.2328141120000001E-2</v>
      </c>
      <c r="CL7" s="29">
        <v>5.4940599999999999E-2</v>
      </c>
      <c r="CM7" s="29">
        <v>0.05</v>
      </c>
      <c r="CN7" s="29">
        <v>0.47499999999999998</v>
      </c>
      <c r="CO7" s="28">
        <v>0.47499999999999998</v>
      </c>
      <c r="CP7" s="33">
        <v>5.3883834849545127E-2</v>
      </c>
    </row>
    <row r="8" spans="1:96" ht="104.25" customHeight="1" x14ac:dyDescent="0.35">
      <c r="A8" s="30" t="s">
        <v>162</v>
      </c>
      <c r="B8" s="30" t="s">
        <v>161</v>
      </c>
      <c r="C8" s="31" t="s">
        <v>160</v>
      </c>
      <c r="D8" s="31" t="s">
        <v>159</v>
      </c>
      <c r="E8" s="31" t="s">
        <v>158</v>
      </c>
      <c r="F8" s="31" t="s">
        <v>157</v>
      </c>
      <c r="G8" s="31" t="s">
        <v>156</v>
      </c>
      <c r="H8" s="31" t="s">
        <v>155</v>
      </c>
      <c r="I8" s="31" t="s">
        <v>154</v>
      </c>
      <c r="J8" s="32" t="s">
        <v>206</v>
      </c>
      <c r="K8" s="32" t="s">
        <v>205</v>
      </c>
      <c r="L8" s="32" t="s">
        <v>153</v>
      </c>
      <c r="M8" s="32" t="s">
        <v>204</v>
      </c>
      <c r="N8" s="32" t="s">
        <v>203</v>
      </c>
      <c r="O8" s="32" t="s">
        <v>202</v>
      </c>
      <c r="P8" s="32" t="s">
        <v>201</v>
      </c>
      <c r="Q8" s="32" t="s">
        <v>200</v>
      </c>
      <c r="R8" s="32" t="s">
        <v>152</v>
      </c>
      <c r="S8" s="32" t="s">
        <v>151</v>
      </c>
      <c r="T8" s="31" t="s">
        <v>150</v>
      </c>
      <c r="U8" s="31" t="s">
        <v>199</v>
      </c>
      <c r="V8" s="31" t="s">
        <v>198</v>
      </c>
      <c r="W8" s="31" t="s">
        <v>149</v>
      </c>
      <c r="X8" s="31" t="s">
        <v>148</v>
      </c>
      <c r="Y8" s="31" t="s">
        <v>147</v>
      </c>
      <c r="Z8" s="31" t="s">
        <v>146</v>
      </c>
      <c r="AA8" s="31" t="s">
        <v>145</v>
      </c>
      <c r="AB8" s="31" t="s">
        <v>144</v>
      </c>
      <c r="AC8" s="31" t="s">
        <v>143</v>
      </c>
      <c r="AD8" s="31" t="s">
        <v>142</v>
      </c>
      <c r="AE8" s="31" t="s">
        <v>141</v>
      </c>
      <c r="AF8" s="31" t="s">
        <v>140</v>
      </c>
      <c r="AG8" s="31" t="s">
        <v>139</v>
      </c>
      <c r="AH8" s="31" t="s">
        <v>138</v>
      </c>
      <c r="AI8" s="31" t="s">
        <v>137</v>
      </c>
      <c r="AJ8" s="31" t="s">
        <v>136</v>
      </c>
      <c r="AK8" s="31" t="s">
        <v>135</v>
      </c>
      <c r="AL8" s="31" t="s">
        <v>134</v>
      </c>
      <c r="AM8" s="31" t="s">
        <v>133</v>
      </c>
      <c r="AN8" s="31" t="s">
        <v>132</v>
      </c>
      <c r="AO8" s="31" t="s">
        <v>131</v>
      </c>
      <c r="AP8" s="31" t="s">
        <v>130</v>
      </c>
      <c r="AQ8" s="31" t="s">
        <v>129</v>
      </c>
      <c r="AR8" s="31" t="s">
        <v>128</v>
      </c>
      <c r="AS8" s="31" t="s">
        <v>127</v>
      </c>
      <c r="AT8" s="26" t="s">
        <v>119</v>
      </c>
      <c r="AU8" s="25" t="s">
        <v>118</v>
      </c>
      <c r="AV8" s="25" t="s">
        <v>117</v>
      </c>
      <c r="AW8" s="25" t="s">
        <v>116</v>
      </c>
      <c r="AX8" s="25" t="s">
        <v>115</v>
      </c>
      <c r="AY8" s="25" t="s">
        <v>114</v>
      </c>
      <c r="AZ8" s="25" t="s">
        <v>113</v>
      </c>
      <c r="BA8" s="25" t="s">
        <v>112</v>
      </c>
      <c r="BB8" s="25" t="s">
        <v>111</v>
      </c>
      <c r="BC8" s="25" t="s">
        <v>110</v>
      </c>
      <c r="BD8" s="25" t="s">
        <v>109</v>
      </c>
      <c r="BE8" s="25" t="s">
        <v>108</v>
      </c>
      <c r="BF8" s="25" t="s">
        <v>107</v>
      </c>
      <c r="BG8" s="25" t="s">
        <v>106</v>
      </c>
      <c r="BH8" s="25" t="s">
        <v>105</v>
      </c>
      <c r="BI8" s="25" t="s">
        <v>104</v>
      </c>
      <c r="BJ8" s="25" t="s">
        <v>103</v>
      </c>
      <c r="BK8" s="25" t="s">
        <v>102</v>
      </c>
      <c r="BL8" s="25" t="s">
        <v>101</v>
      </c>
      <c r="BM8" s="29" t="s">
        <v>123</v>
      </c>
      <c r="BN8" s="29" t="s">
        <v>122</v>
      </c>
      <c r="BO8" s="28" t="s">
        <v>121</v>
      </c>
      <c r="BP8" s="27" t="s">
        <v>120</v>
      </c>
      <c r="BQ8" s="27" t="s">
        <v>126</v>
      </c>
      <c r="BR8" s="27" t="s">
        <v>125</v>
      </c>
      <c r="BS8" s="27" t="s">
        <v>124</v>
      </c>
      <c r="BT8" s="26" t="s">
        <v>119</v>
      </c>
      <c r="BU8" s="25" t="s">
        <v>118</v>
      </c>
      <c r="BV8" s="25" t="s">
        <v>117</v>
      </c>
      <c r="BW8" s="25" t="s">
        <v>116</v>
      </c>
      <c r="BX8" s="25" t="s">
        <v>115</v>
      </c>
      <c r="BY8" s="25" t="s">
        <v>114</v>
      </c>
      <c r="BZ8" s="25" t="s">
        <v>113</v>
      </c>
      <c r="CA8" s="25" t="s">
        <v>112</v>
      </c>
      <c r="CB8" s="25" t="s">
        <v>111</v>
      </c>
      <c r="CC8" s="25" t="s">
        <v>110</v>
      </c>
      <c r="CD8" s="25" t="s">
        <v>109</v>
      </c>
      <c r="CE8" s="25" t="s">
        <v>108</v>
      </c>
      <c r="CF8" s="25" t="s">
        <v>107</v>
      </c>
      <c r="CG8" s="25" t="s">
        <v>106</v>
      </c>
      <c r="CH8" s="25" t="s">
        <v>105</v>
      </c>
      <c r="CI8" s="25" t="s">
        <v>104</v>
      </c>
      <c r="CJ8" s="25" t="s">
        <v>103</v>
      </c>
      <c r="CK8" s="25" t="s">
        <v>102</v>
      </c>
      <c r="CL8" s="25" t="s">
        <v>101</v>
      </c>
      <c r="CM8" s="29" t="s">
        <v>123</v>
      </c>
      <c r="CN8" s="29" t="s">
        <v>122</v>
      </c>
      <c r="CO8" s="28" t="s">
        <v>121</v>
      </c>
      <c r="CP8" s="27" t="s">
        <v>120</v>
      </c>
    </row>
    <row r="9" spans="1:96" x14ac:dyDescent="0.35">
      <c r="A9" s="9" t="str">
        <f t="shared" ref="A9:A40" si="0">$C$1</f>
        <v>FR</v>
      </c>
      <c r="B9" s="9" t="s">
        <v>49</v>
      </c>
      <c r="C9" s="20"/>
      <c r="D9" s="9" t="s">
        <v>48</v>
      </c>
      <c r="E9" s="9" t="s">
        <v>193</v>
      </c>
      <c r="F9" s="9" t="s">
        <v>47</v>
      </c>
      <c r="G9" s="19">
        <v>0.71</v>
      </c>
      <c r="H9" s="9">
        <v>2014</v>
      </c>
      <c r="I9" s="9">
        <v>6</v>
      </c>
      <c r="J9" s="18">
        <f>INDEX(PTRS!$D$6:$D$12,MATCH('3'!$F9,PTRS!$B$6:$B$12,0))</f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36" si="1">BP9/$BP$7</f>
        <v>0.74129766176673451</v>
      </c>
      <c r="V9" s="17">
        <v>1</v>
      </c>
      <c r="W9" s="9" t="s">
        <v>46</v>
      </c>
      <c r="X9" s="9">
        <f>INDEX('Unique Asset List'!$C$4:$I$60,MATCH('3'!$B9,'Unique Asset List'!$A$4:$A$60,0),MATCH('3'!$C$1,'Unique Asset List'!$C$3:$I$3,0))</f>
        <v>1984</v>
      </c>
      <c r="Y9" s="9">
        <f>INDEX('Unique Asset List'!$J$4:$P$60,MATCH('3'!$B9,'Unique Asset List'!$A$4:$A$60,0),MATCH('3'!$C$1,'Unique Asset List'!$J$3:$P$3,0))</f>
        <v>7</v>
      </c>
      <c r="Z9" s="9">
        <f>INDEX('Unique Asset List'!$X$4:$AD$60,MATCH('3'!$B9,'Unique Asset List'!$A$4:$A$60,0),MATCH('3'!$C$1,'Unique Asset List'!$X$3:$AD$3,0))</f>
        <v>1994</v>
      </c>
      <c r="AA9" s="9">
        <f>INDEX('Unique Asset List'!$AE$4:$AK$60,MATCH('3'!$B9,'Unique Asset List'!$A$4:$A$60,0),MATCH('3'!$C$1,'Unique Asset List'!$AE$3:$AK$3,0))</f>
        <v>7</v>
      </c>
      <c r="AB9" s="16">
        <f t="shared" ref="AB9:AB36" si="2">SUMPRODUCT($AT9:$BA9,$AT$7:$BA$7)</f>
        <v>1.4218038</v>
      </c>
      <c r="AC9" s="16">
        <f t="shared" ref="AC9:AC36" si="3">SUMPRODUCT($BB9:$BH9,$BB$7:$BH$7)</f>
        <v>0.72835179999999999</v>
      </c>
      <c r="AD9" s="16">
        <f t="shared" ref="AD9:AD36" si="4">SUMPRODUCT($BI9:$BL9,$BI$7:$BL$7)</f>
        <v>0.56099999999999994</v>
      </c>
      <c r="AE9" s="15">
        <f>INDEX('Unique Asset List'!$BN$4:$BT$60,MATCH('3'!$B9,'Unique Asset List'!$A$4:$A$60,0),MATCH('3'!$C$1,'Unique Asset List'!$BN$3:$BT$3,0))</f>
        <v>0.12</v>
      </c>
      <c r="AF9" s="15">
        <f>INDEX('Unique Asset List'!$BU$4:$CA$60,MATCH('3'!$B9,'Unique Asset List'!$A$4:$A$60,0),MATCH('3'!$C$1,'Unique Asset List'!$BU$3:$CA$3,0))</f>
        <v>0.38</v>
      </c>
      <c r="AG9" s="15">
        <f>INDEX('Unique Asset List'!$AZ$4:$BF$60,MATCH('3'!$B9,'Unique Asset List'!$A$4:$A$60,0),MATCH('3'!$C$1,'Unique Asset List'!$AZ$3:$BF$3,0))</f>
        <v>0.12</v>
      </c>
      <c r="AH9" s="15">
        <f>INDEX('Unique Asset List'!$BG$4:$BM$60,MATCH('3'!$B9,'Unique Asset List'!$A$4:$A$60,0),MATCH('3'!$C$1,'Unique Asset List'!$BG$3:$BM$3,0))</f>
        <v>0.38</v>
      </c>
      <c r="AI9" s="11">
        <v>0.96187963349867744</v>
      </c>
      <c r="AJ9" s="15">
        <f>INDEX('Unique Asset List'!$AL$4:$AR$60,MATCH('3'!$B9,'Unique Asset List'!$A$4:$A$60,0),MATCH('3'!$C$1,'Unique Asset List'!$AL$3:$AR$3,0))</f>
        <v>2.1252009430760062</v>
      </c>
      <c r="AK9" s="15">
        <f>INDEX('Unique Asset List'!$AS$4:$AY$60,MATCH('3'!$B9,'Unique Asset List'!$A$4:$A$60,0),MATCH('3'!$C$1,'Unique Asset List'!$AS$3:$AY$3,0))</f>
        <v>-1.7169645793441486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40" si="5">AP9</f>
        <v>0.82</v>
      </c>
      <c r="AS9" s="10">
        <v>1</v>
      </c>
      <c r="AT9" s="4">
        <f>IF($C$5="ON",BT9,MyRating(_E1,$B9,Efficacy!$F$1))</f>
        <v>2</v>
      </c>
      <c r="AU9" s="3">
        <f>IF($C$5="ON",BU9,MyRating(_E2,$B9,Efficacy!$F$1))</f>
        <v>2</v>
      </c>
      <c r="AV9" s="3">
        <f>IF($C$5="ON",BV9,MyRating(_E3,$B9,Efficacy!$F$1))</f>
        <v>2</v>
      </c>
      <c r="AW9" s="3">
        <f>IF($C$5="ON",BW9,MyRating(_E4,$B9,Efficacy!$F$1))</f>
        <v>2</v>
      </c>
      <c r="AX9" s="3">
        <f>IF($C$5="ON",BX9,MyRating(_E5,$B9,Efficacy!$F$1))</f>
        <v>2</v>
      </c>
      <c r="AY9" s="3">
        <f>IF($C$5="ON",BY9,MyRating(_E6,$B9,Efficacy!$F$1))</f>
        <v>5</v>
      </c>
      <c r="AZ9" s="3">
        <f>IF($C$5="ON",BZ9,MyRating(_E7,$B9,Efficacy!$F$1))</f>
        <v>2</v>
      </c>
      <c r="BA9" s="3">
        <f>IF($C$5="ON",CA9,MyRating(_E8,$B9,Efficacy!$F$1))</f>
        <v>4</v>
      </c>
      <c r="BB9" s="3">
        <f>IF($C$5="ON",CB9,MyRating(_S1,$B9,Efficacy!$F$1))</f>
        <v>3</v>
      </c>
      <c r="BC9" s="3">
        <f>IF($C$5="ON",CC9,MyRating(_S2,$B9,Efficacy!$F$1))</f>
        <v>2</v>
      </c>
      <c r="BD9" s="3">
        <f>IF($C$5="ON",CD9,MyRating(_S3,$B9,Efficacy!$F$1))</f>
        <v>3</v>
      </c>
      <c r="BE9" s="3">
        <f>IF($C$5="ON",CE9,MyRating(_S4,$B9,Efficacy!$F$1))</f>
        <v>3</v>
      </c>
      <c r="BF9" s="3">
        <f>IF($C$5="ON",CF9,MyRating(_S5,$B9,Efficacy!$F$1))</f>
        <v>3</v>
      </c>
      <c r="BG9" s="3">
        <f>IF($C$5="ON",CG9,MyRating(_S6,$B9,Efficacy!$F$1))</f>
        <v>3</v>
      </c>
      <c r="BH9" s="3">
        <f>IF($C$5="ON",CH9,MyRating(_S7,$B9,Efficacy!$F$1))</f>
        <v>3</v>
      </c>
      <c r="BI9" s="3">
        <f>IF($C$5="ON",CI9,MyRating(_D1,$B9,Efficacy!$F$1))</f>
        <v>3</v>
      </c>
      <c r="BJ9" s="3">
        <f>IF($C$5="ON",CJ9,MyRating(_D2,$B9,Efficacy!$F$1))</f>
        <v>3</v>
      </c>
      <c r="BK9" s="3">
        <f>IF($C$5="ON",CK9,MyRating(_D3,$B9,Efficacy!$F$1))</f>
        <v>3</v>
      </c>
      <c r="BL9" s="3">
        <f>IF($C$5="ON",CL9,MyRating(_D4,$B9,Efficacy!$F$1))</f>
        <v>3</v>
      </c>
      <c r="BM9" s="3">
        <f>IF($C$5="ON",CM9,MyRating(_B1G5,$B9,Barrier!$L$2))</f>
        <v>3</v>
      </c>
      <c r="BN9" s="3">
        <f>IF($C$5="ON",CN9,MyRating(_B2,$B9,Barrier!$F$2))</f>
        <v>3</v>
      </c>
      <c r="BO9" s="6">
        <f>IF($C$5="ON",CO9,MyRating(_B3,$B9,Barrier!$F$2))</f>
        <v>3</v>
      </c>
      <c r="BP9" s="5">
        <f t="shared" ref="BP9:BP40" si="6">BS9/$BS$7</f>
        <v>3.7014903427878103E-2</v>
      </c>
      <c r="BQ9" s="8">
        <f t="shared" ref="BQ9:BQ40" si="7">SUMPRODUCT($BM9:$BO9,$BM$7:$BO$7)</f>
        <v>2.9999999999999996</v>
      </c>
      <c r="BR9" s="5">
        <f t="shared" ref="BR9:BR40" si="8">BQ9/$BQ$7</f>
        <v>3.6652412950519221E-2</v>
      </c>
      <c r="BS9" s="7">
        <f t="shared" ref="BS9:BS40" si="9">BR9^$X$4</f>
        <v>1.8920085086828659E-2</v>
      </c>
      <c r="BT9" s="4">
        <v>2</v>
      </c>
      <c r="BU9" s="3">
        <v>2</v>
      </c>
      <c r="BV9" s="3">
        <v>2</v>
      </c>
      <c r="BW9" s="3">
        <v>2</v>
      </c>
      <c r="BX9" s="3">
        <v>2</v>
      </c>
      <c r="BY9" s="3">
        <v>5</v>
      </c>
      <c r="BZ9" s="3">
        <v>2</v>
      </c>
      <c r="CA9" s="3">
        <v>4</v>
      </c>
      <c r="CB9" s="3">
        <v>3</v>
      </c>
      <c r="CC9" s="3">
        <v>2</v>
      </c>
      <c r="CD9" s="3">
        <v>3</v>
      </c>
      <c r="CE9" s="3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6">
        <v>3</v>
      </c>
      <c r="CP9" s="5">
        <v>3.7014903427878103E-2</v>
      </c>
      <c r="CQ9" s="61">
        <f t="shared" ref="CQ9:CQ40" si="10">X9+1</f>
        <v>1985</v>
      </c>
      <c r="CR9">
        <f t="shared" ref="CR9:CR40" si="11">MOD(Y9+15,12)</f>
        <v>10</v>
      </c>
    </row>
    <row r="10" spans="1:96" x14ac:dyDescent="0.35">
      <c r="A10" s="9" t="str">
        <f t="shared" si="0"/>
        <v>FR</v>
      </c>
      <c r="B10" s="9" t="s">
        <v>197</v>
      </c>
      <c r="C10" s="20"/>
      <c r="D10" s="9" t="s">
        <v>48</v>
      </c>
      <c r="E10" s="9" t="s">
        <v>193</v>
      </c>
      <c r="F10" s="9" t="s">
        <v>47</v>
      </c>
      <c r="G10" s="19">
        <v>0.22</v>
      </c>
      <c r="H10" s="9">
        <v>2014</v>
      </c>
      <c r="I10" s="9">
        <v>6</v>
      </c>
      <c r="J10" s="18">
        <f>INDEX(PTRS!$D$6:$D$12,MATCH('3'!$F10,PTRS!$B$6:$B$12,0))</f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1"/>
        <v>0.74129766176673451</v>
      </c>
      <c r="V10" s="17">
        <v>1</v>
      </c>
      <c r="W10" s="9" t="s">
        <v>195</v>
      </c>
      <c r="X10" s="9">
        <f>INDEX('Unique Asset List'!$C$4:$I$60,MATCH('3'!$B10,'Unique Asset List'!$A$4:$A$60,0),MATCH('3'!$C$1,'Unique Asset List'!$C$3:$I$3,0))</f>
        <v>1980</v>
      </c>
      <c r="Y10" s="9">
        <f>INDEX('Unique Asset List'!$J$4:$P$60,MATCH('3'!$B10,'Unique Asset List'!$A$4:$A$60,0),MATCH('3'!$C$1,'Unique Asset List'!$J$3:$P$3,0))</f>
        <v>7</v>
      </c>
      <c r="Z10" s="9">
        <f>INDEX('Unique Asset List'!$X$4:$AD$60,MATCH('3'!$B10,'Unique Asset List'!$A$4:$A$60,0),MATCH('3'!$C$1,'Unique Asset List'!$X$3:$AD$3,0))</f>
        <v>2001</v>
      </c>
      <c r="AA10" s="9">
        <f>INDEX('Unique Asset List'!$AE$4:$AK$60,MATCH('3'!$B10,'Unique Asset List'!$A$4:$A$60,0),MATCH('3'!$C$1,'Unique Asset List'!$AE$3:$AK$3,0))</f>
        <v>7</v>
      </c>
      <c r="AB10" s="16">
        <f t="shared" si="2"/>
        <v>1.5698908</v>
      </c>
      <c r="AC10" s="16">
        <f t="shared" si="3"/>
        <v>0.99973299999999998</v>
      </c>
      <c r="AD10" s="16">
        <f t="shared" si="4"/>
        <v>0.46126874111999994</v>
      </c>
      <c r="AE10" s="15">
        <f>INDEX('Unique Asset List'!$BN$4:$BT$60,MATCH('3'!$B10,'Unique Asset List'!$A$4:$A$60,0),MATCH('3'!$C$1,'Unique Asset List'!$BN$3:$BT$3,0))</f>
        <v>0.12</v>
      </c>
      <c r="AF10" s="15">
        <f>INDEX('Unique Asset List'!$BU$4:$CA$60,MATCH('3'!$B10,'Unique Asset List'!$A$4:$A$60,0),MATCH('3'!$C$1,'Unique Asset List'!$BU$3:$CA$3,0))</f>
        <v>0.38</v>
      </c>
      <c r="AG10" s="15">
        <f>INDEX('Unique Asset List'!$AZ$4:$BF$60,MATCH('3'!$B10,'Unique Asset List'!$A$4:$A$60,0),MATCH('3'!$C$1,'Unique Asset List'!$AZ$3:$BF$3,0))</f>
        <v>0.12</v>
      </c>
      <c r="AH10" s="15">
        <f>INDEX('Unique Asset List'!$BG$4:$BM$60,MATCH('3'!$B10,'Unique Asset List'!$A$4:$A$60,0),MATCH('3'!$C$1,'Unique Asset List'!$BG$3:$BM$3,0))</f>
        <v>0.38</v>
      </c>
      <c r="AI10" s="11">
        <v>0.96187963349867744</v>
      </c>
      <c r="AJ10" s="15">
        <f>INDEX('Unique Asset List'!$AL$4:$AR$60,MATCH('3'!$B10,'Unique Asset List'!$A$4:$A$60,0),MATCH('3'!$C$1,'Unique Asset List'!$AL$3:$AR$3,0))</f>
        <v>2.1252009430760062</v>
      </c>
      <c r="AK10" s="15">
        <f>INDEX('Unique Asset List'!$AS$4:$AY$60,MATCH('3'!$B10,'Unique Asset List'!$A$4:$A$60,0),MATCH('3'!$C$1,'Unique Asset List'!$AS$3:$AY$3,0))</f>
        <v>-1.7169645793441486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5"/>
        <v>0.82</v>
      </c>
      <c r="AS10" s="10">
        <v>1</v>
      </c>
      <c r="AT10" s="4">
        <f>IF($C$5="ON",BT10,MyRating(_E1,$B10,Efficacy!$F$1))</f>
        <v>3</v>
      </c>
      <c r="AU10" s="3">
        <f>IF($C$5="ON",BU10,MyRating(_E2,$B10,Efficacy!$F$1))</f>
        <v>3</v>
      </c>
      <c r="AV10" s="3">
        <f>IF($C$5="ON",BV10,MyRating(_E3,$B10,Efficacy!$F$1))</f>
        <v>3</v>
      </c>
      <c r="AW10" s="3">
        <f>IF($C$5="ON",BW10,MyRating(_E4,$B10,Efficacy!$F$1))</f>
        <v>3</v>
      </c>
      <c r="AX10" s="3">
        <f>IF($C$5="ON",BX10,MyRating(_E5,$B10,Efficacy!$F$1))</f>
        <v>3</v>
      </c>
      <c r="AY10" s="3">
        <f>IF($C$5="ON",BY10,MyRating(_E6,$B10,Efficacy!$F$1))</f>
        <v>1</v>
      </c>
      <c r="AZ10" s="3">
        <f>IF($C$5="ON",BZ10,MyRating(_E7,$B10,Efficacy!$F$1))</f>
        <v>3</v>
      </c>
      <c r="BA10" s="3">
        <f>IF($C$5="ON",CA10,MyRating(_E8,$B10,Efficacy!$F$1))</f>
        <v>3</v>
      </c>
      <c r="BB10" s="3">
        <f>IF($C$5="ON",CB10,MyRating(_S1,$B10,Efficacy!$F$1))</f>
        <v>4</v>
      </c>
      <c r="BC10" s="3">
        <f>IF($C$5="ON",CC10,MyRating(_S2,$B10,Efficacy!$F$1))</f>
        <v>5</v>
      </c>
      <c r="BD10" s="3">
        <f>IF($C$5="ON",CD10,MyRating(_S3,$B10,Efficacy!$F$1))</f>
        <v>4</v>
      </c>
      <c r="BE10" s="3">
        <f>IF($C$5="ON",CE10,MyRating(_S4,$B10,Efficacy!$F$1))</f>
        <v>4</v>
      </c>
      <c r="BF10" s="3">
        <f>IF($C$5="ON",CF10,MyRating(_S5,$B10,Efficacy!$F$1))</f>
        <v>5</v>
      </c>
      <c r="BG10" s="3">
        <f>IF($C$5="ON",CG10,MyRating(_S6,$B10,Efficacy!$F$1))</f>
        <v>2</v>
      </c>
      <c r="BH10" s="3">
        <f>IF($C$5="ON",CH10,MyRating(_S7,$B10,Efficacy!$F$1))</f>
        <v>3</v>
      </c>
      <c r="BI10" s="3">
        <f>IF($C$5="ON",CI10,MyRating(_D1,$B10,Efficacy!$F$1))</f>
        <v>2</v>
      </c>
      <c r="BJ10" s="3">
        <f>IF($C$5="ON",CJ10,MyRating(_D2,$B10,Efficacy!$F$1))</f>
        <v>2</v>
      </c>
      <c r="BK10" s="3">
        <f>IF($C$5="ON",CK10,MyRating(_D3,$B10,Efficacy!$F$1))</f>
        <v>3</v>
      </c>
      <c r="BL10" s="3">
        <f>IF($C$5="ON",CL10,MyRating(_D4,$B10,Efficacy!$F$1))</f>
        <v>3</v>
      </c>
      <c r="BM10" s="3">
        <f>IF($C$5="ON",CM10,MyRating(_B1G5,$B10,Barrier!$L$2))</f>
        <v>3</v>
      </c>
      <c r="BN10" s="3">
        <f>IF($C$5="ON",CN10,MyRating(_B2,$B10,Barrier!$F$2))</f>
        <v>3</v>
      </c>
      <c r="BO10" s="6">
        <f>IF($C$5="ON",CO10,MyRating(_B3,$B10,Barrier!$F$2))</f>
        <v>3</v>
      </c>
      <c r="BP10" s="5">
        <f t="shared" si="6"/>
        <v>3.7014903427878103E-2</v>
      </c>
      <c r="BQ10" s="8">
        <f t="shared" si="7"/>
        <v>2.9999999999999996</v>
      </c>
      <c r="BR10" s="5">
        <f t="shared" si="8"/>
        <v>3.6652412950519221E-2</v>
      </c>
      <c r="BS10" s="7">
        <f t="shared" si="9"/>
        <v>1.8920085086828659E-2</v>
      </c>
      <c r="BT10" s="4">
        <v>3</v>
      </c>
      <c r="BU10" s="3">
        <v>3</v>
      </c>
      <c r="BV10" s="3">
        <v>3</v>
      </c>
      <c r="BW10" s="3">
        <v>3</v>
      </c>
      <c r="BX10" s="3">
        <v>3</v>
      </c>
      <c r="BY10" s="3">
        <v>1</v>
      </c>
      <c r="BZ10" s="3">
        <v>3</v>
      </c>
      <c r="CA10" s="3">
        <v>3</v>
      </c>
      <c r="CB10" s="3">
        <v>4</v>
      </c>
      <c r="CC10" s="3">
        <v>5</v>
      </c>
      <c r="CD10" s="3">
        <v>4</v>
      </c>
      <c r="CE10" s="3">
        <v>4</v>
      </c>
      <c r="CF10" s="3">
        <v>5</v>
      </c>
      <c r="CG10" s="3">
        <v>2</v>
      </c>
      <c r="CH10" s="3">
        <v>3</v>
      </c>
      <c r="CI10" s="3">
        <v>2</v>
      </c>
      <c r="CJ10" s="3">
        <v>2</v>
      </c>
      <c r="CK10" s="3">
        <v>3</v>
      </c>
      <c r="CL10" s="3">
        <v>3</v>
      </c>
      <c r="CM10" s="3">
        <v>3</v>
      </c>
      <c r="CN10" s="3">
        <v>3</v>
      </c>
      <c r="CO10" s="6">
        <v>3</v>
      </c>
      <c r="CP10" s="5">
        <v>3.7014903427878103E-2</v>
      </c>
      <c r="CQ10" s="61">
        <f t="shared" si="10"/>
        <v>1981</v>
      </c>
      <c r="CR10">
        <f t="shared" si="11"/>
        <v>10</v>
      </c>
    </row>
    <row r="11" spans="1:96" x14ac:dyDescent="0.35">
      <c r="A11" s="9" t="str">
        <f t="shared" si="0"/>
        <v>FR</v>
      </c>
      <c r="B11" s="9" t="s">
        <v>196</v>
      </c>
      <c r="C11" s="20"/>
      <c r="D11" s="9" t="s">
        <v>90</v>
      </c>
      <c r="E11" s="9" t="s">
        <v>193</v>
      </c>
      <c r="F11" s="9" t="s">
        <v>47</v>
      </c>
      <c r="G11" s="19">
        <v>7.0000000000000007E-2</v>
      </c>
      <c r="H11" s="9">
        <v>2014</v>
      </c>
      <c r="I11" s="9">
        <v>6</v>
      </c>
      <c r="J11" s="18">
        <f>INDEX(PTRS!$D$6:$D$12,MATCH('3'!$F11,PTRS!$B$6:$B$12,0))</f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1"/>
        <v>0.74129766176673451</v>
      </c>
      <c r="V11" s="17">
        <v>1</v>
      </c>
      <c r="W11" s="9" t="s">
        <v>54</v>
      </c>
      <c r="X11" s="9">
        <f>INDEX('Unique Asset List'!$C$4:$I$60,MATCH('3'!$B11,'Unique Asset List'!$A$4:$A$60,0),MATCH('3'!$C$1,'Unique Asset List'!$C$3:$I$3,0))</f>
        <v>2010</v>
      </c>
      <c r="Y11" s="9">
        <f>INDEX('Unique Asset List'!$J$4:$P$60,MATCH('3'!$B11,'Unique Asset List'!$A$4:$A$60,0),MATCH('3'!$C$1,'Unique Asset List'!$J$3:$P$3,0))</f>
        <v>9</v>
      </c>
      <c r="Z11" s="9">
        <f>INDEX('Unique Asset List'!$X$4:$AD$60,MATCH('3'!$B11,'Unique Asset List'!$A$4:$A$60,0),MATCH('3'!$C$1,'Unique Asset List'!$X$3:$AD$3,0))</f>
        <v>2017</v>
      </c>
      <c r="AA11" s="9">
        <f>INDEX('Unique Asset List'!$AE$4:$AK$60,MATCH('3'!$B11,'Unique Asset List'!$A$4:$A$60,0),MATCH('3'!$C$1,'Unique Asset List'!$AE$3:$AK$3,0))</f>
        <v>3</v>
      </c>
      <c r="AB11" s="16">
        <f t="shared" si="2"/>
        <v>1.6603166</v>
      </c>
      <c r="AC11" s="16">
        <f t="shared" si="3"/>
        <v>0.65777060000000009</v>
      </c>
      <c r="AD11" s="16">
        <f t="shared" si="4"/>
        <v>0.52097279586</v>
      </c>
      <c r="AE11" s="15">
        <f>INDEX('Unique Asset List'!$BN$4:$BT$60,MATCH('3'!$B11,'Unique Asset List'!$A$4:$A$60,0),MATCH('3'!$C$1,'Unique Asset List'!$BN$3:$BT$3,0))</f>
        <v>0.12</v>
      </c>
      <c r="AF11" s="15">
        <f>INDEX('Unique Asset List'!$BU$4:$CA$60,MATCH('3'!$B11,'Unique Asset List'!$A$4:$A$60,0),MATCH('3'!$C$1,'Unique Asset List'!$BU$3:$CA$3,0))</f>
        <v>0.38</v>
      </c>
      <c r="AG11" s="15">
        <f>INDEX('Unique Asset List'!$AZ$4:$BF$60,MATCH('3'!$B11,'Unique Asset List'!$A$4:$A$60,0),MATCH('3'!$C$1,'Unique Asset List'!$AZ$3:$BF$3,0))</f>
        <v>0.12</v>
      </c>
      <c r="AH11" s="15">
        <f>INDEX('Unique Asset List'!$BG$4:$BM$60,MATCH('3'!$B11,'Unique Asset List'!$A$4:$A$60,0),MATCH('3'!$C$1,'Unique Asset List'!$BG$3:$BM$3,0))</f>
        <v>0.38</v>
      </c>
      <c r="AI11" s="11">
        <v>0.96187963349867744</v>
      </c>
      <c r="AJ11" s="15">
        <f>INDEX('Unique Asset List'!$AL$4:$AR$60,MATCH('3'!$B11,'Unique Asset List'!$A$4:$A$60,0),MATCH('3'!$C$1,'Unique Asset List'!$AL$3:$AR$3,0))</f>
        <v>2.1252009430760062</v>
      </c>
      <c r="AK11" s="15">
        <f>INDEX('Unique Asset List'!$AS$4:$AY$60,MATCH('3'!$B11,'Unique Asset List'!$A$4:$A$60,0),MATCH('3'!$C$1,'Unique Asset List'!$AS$3:$AY$3,0))</f>
        <v>-1.7169645793441486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5"/>
        <v>0.82</v>
      </c>
      <c r="AS11" s="10">
        <v>1</v>
      </c>
      <c r="AT11" s="4">
        <f>IF($C$5="ON",BT11,MyRating(_E1,$B11,Efficacy!$F$1))</f>
        <v>3</v>
      </c>
      <c r="AU11" s="3">
        <f>IF($C$5="ON",BU11,MyRating(_E2,$B11,Efficacy!$F$1))</f>
        <v>2</v>
      </c>
      <c r="AV11" s="3">
        <f>IF($C$5="ON",BV11,MyRating(_E3,$B11,Efficacy!$F$1))</f>
        <v>3</v>
      </c>
      <c r="AW11" s="3">
        <f>IF($C$5="ON",BW11,MyRating(_E4,$B11,Efficacy!$F$1))</f>
        <v>3</v>
      </c>
      <c r="AX11" s="3">
        <f>IF($C$5="ON",BX11,MyRating(_E5,$B11,Efficacy!$F$1))</f>
        <v>2</v>
      </c>
      <c r="AY11" s="3">
        <f>IF($C$5="ON",BY11,MyRating(_E6,$B11,Efficacy!$F$1))</f>
        <v>5</v>
      </c>
      <c r="AZ11" s="3">
        <f>IF($C$5="ON",BZ11,MyRating(_E7,$B11,Efficacy!$F$1))</f>
        <v>3</v>
      </c>
      <c r="BA11" s="3">
        <f>IF($C$5="ON",CA11,MyRating(_E8,$B11,Efficacy!$F$1))</f>
        <v>3</v>
      </c>
      <c r="BB11" s="3">
        <f>IF($C$5="ON",CB11,MyRating(_S1,$B11,Efficacy!$F$1))</f>
        <v>3</v>
      </c>
      <c r="BC11" s="3">
        <f>IF($C$5="ON",CC11,MyRating(_S2,$B11,Efficacy!$F$1))</f>
        <v>1</v>
      </c>
      <c r="BD11" s="3">
        <f>IF($C$5="ON",CD11,MyRating(_S3,$B11,Efficacy!$F$1))</f>
        <v>3</v>
      </c>
      <c r="BE11" s="3">
        <f>IF($C$5="ON",CE11,MyRating(_S4,$B11,Efficacy!$F$1))</f>
        <v>3</v>
      </c>
      <c r="BF11" s="3">
        <f>IF($C$5="ON",CF11,MyRating(_S5,$B11,Efficacy!$F$1))</f>
        <v>2</v>
      </c>
      <c r="BG11" s="3">
        <f>IF($C$5="ON",CG11,MyRating(_S6,$B11,Efficacy!$F$1))</f>
        <v>3</v>
      </c>
      <c r="BH11" s="3">
        <f>IF($C$5="ON",CH11,MyRating(_S7,$B11,Efficacy!$F$1))</f>
        <v>3</v>
      </c>
      <c r="BI11" s="3">
        <f>IF($C$5="ON",CI11,MyRating(_D1,$B11,Efficacy!$F$1))</f>
        <v>3</v>
      </c>
      <c r="BJ11" s="3">
        <f>IF($C$5="ON",CJ11,MyRating(_D2,$B11,Efficacy!$F$1))</f>
        <v>2</v>
      </c>
      <c r="BK11" s="3">
        <f>IF($C$5="ON",CK11,MyRating(_D3,$B11,Efficacy!$F$1))</f>
        <v>3</v>
      </c>
      <c r="BL11" s="3">
        <f>IF($C$5="ON",CL11,MyRating(_D4,$B11,Efficacy!$F$1))</f>
        <v>3</v>
      </c>
      <c r="BM11" s="3">
        <f>IF($C$5="ON",CM11,MyRating(_B1G5,$B11,Barrier!$L$2))</f>
        <v>3</v>
      </c>
      <c r="BN11" s="3">
        <f>IF($C$5="ON",CN11,MyRating(_B2,$B11,Barrier!$F$2))</f>
        <v>3</v>
      </c>
      <c r="BO11" s="6">
        <f>IF($C$5="ON",CO11,MyRating(_B3,$B11,Barrier!$F$2))</f>
        <v>3</v>
      </c>
      <c r="BP11" s="5">
        <f t="shared" si="6"/>
        <v>3.7014903427878103E-2</v>
      </c>
      <c r="BQ11" s="8">
        <f t="shared" si="7"/>
        <v>2.9999999999999996</v>
      </c>
      <c r="BR11" s="5">
        <f t="shared" si="8"/>
        <v>3.6652412950519221E-2</v>
      </c>
      <c r="BS11" s="7">
        <f t="shared" si="9"/>
        <v>1.8920085086828659E-2</v>
      </c>
      <c r="BT11" s="4">
        <v>3</v>
      </c>
      <c r="BU11" s="3">
        <v>2</v>
      </c>
      <c r="BV11" s="3">
        <v>3</v>
      </c>
      <c r="BW11" s="3">
        <v>3</v>
      </c>
      <c r="BX11" s="3">
        <v>2</v>
      </c>
      <c r="BY11" s="3">
        <v>5</v>
      </c>
      <c r="BZ11" s="3">
        <v>3</v>
      </c>
      <c r="CA11" s="3">
        <v>3</v>
      </c>
      <c r="CB11" s="3">
        <v>3</v>
      </c>
      <c r="CC11" s="3">
        <v>1</v>
      </c>
      <c r="CD11" s="3">
        <v>3</v>
      </c>
      <c r="CE11" s="3">
        <v>3</v>
      </c>
      <c r="CF11" s="3">
        <v>2</v>
      </c>
      <c r="CG11" s="3">
        <v>3</v>
      </c>
      <c r="CH11" s="3">
        <v>3</v>
      </c>
      <c r="CI11" s="3">
        <v>3</v>
      </c>
      <c r="CJ11" s="3">
        <v>2</v>
      </c>
      <c r="CK11" s="3">
        <v>3</v>
      </c>
      <c r="CL11" s="3">
        <v>3</v>
      </c>
      <c r="CM11" s="3">
        <v>3</v>
      </c>
      <c r="CN11" s="3">
        <v>3</v>
      </c>
      <c r="CO11" s="6">
        <v>3</v>
      </c>
      <c r="CP11" s="5">
        <v>3.7014903427878103E-2</v>
      </c>
      <c r="CQ11" s="61">
        <f t="shared" si="10"/>
        <v>2011</v>
      </c>
      <c r="CR11">
        <f t="shared" si="11"/>
        <v>0</v>
      </c>
    </row>
    <row r="12" spans="1:96" x14ac:dyDescent="0.35">
      <c r="A12" s="9" t="str">
        <f t="shared" si="0"/>
        <v>FR</v>
      </c>
      <c r="B12" s="9" t="s">
        <v>88</v>
      </c>
      <c r="C12" s="20"/>
      <c r="D12" s="9" t="s">
        <v>87</v>
      </c>
      <c r="E12" s="9" t="s">
        <v>193</v>
      </c>
      <c r="F12" s="9" t="s">
        <v>86</v>
      </c>
      <c r="G12" s="19">
        <v>0</v>
      </c>
      <c r="H12" s="9">
        <v>2014</v>
      </c>
      <c r="I12" s="9">
        <v>6</v>
      </c>
      <c r="J12" s="18">
        <f>INDEX(PTRS!$D$6:$D$12,MATCH('3'!$F12,PTRS!$B$6:$B$12,0))</f>
        <v>0.9</v>
      </c>
      <c r="K12" s="17">
        <v>1</v>
      </c>
      <c r="L12" s="17">
        <v>0.9</v>
      </c>
      <c r="M12" s="17">
        <v>0.5</v>
      </c>
      <c r="N12" s="17">
        <v>0.5</v>
      </c>
      <c r="O12" s="17">
        <v>0.5</v>
      </c>
      <c r="P12" s="17">
        <v>0.9</v>
      </c>
      <c r="Q12" s="17">
        <v>1</v>
      </c>
      <c r="R12" s="17">
        <v>1</v>
      </c>
      <c r="S12" s="17">
        <v>1</v>
      </c>
      <c r="T12" s="17"/>
      <c r="U12" s="17">
        <f t="shared" si="1"/>
        <v>0.21031695408457127</v>
      </c>
      <c r="V12" s="17">
        <v>1</v>
      </c>
      <c r="W12" s="9" t="s">
        <v>16</v>
      </c>
      <c r="X12" s="9">
        <f>INDEX('Unique Asset List'!$C$4:$I$60,MATCH('3'!$B12,'Unique Asset List'!$A$4:$A$60,0),MATCH('3'!$C$1,'Unique Asset List'!$C$3:$I$3,0))</f>
        <v>2020</v>
      </c>
      <c r="Y12" s="9">
        <f>INDEX('Unique Asset List'!$J$4:$P$60,MATCH('3'!$B12,'Unique Asset List'!$A$4:$A$60,0),MATCH('3'!$C$1,'Unique Asset List'!$J$3:$P$3,0))</f>
        <v>6.9999999999990905</v>
      </c>
      <c r="Z12" s="9">
        <f>INDEX('Unique Asset List'!$X$4:$AD$60,MATCH('3'!$B12,'Unique Asset List'!$A$4:$A$60,0),MATCH('3'!$C$1,'Unique Asset List'!$X$3:$AD$3,0))</f>
        <v>2029</v>
      </c>
      <c r="AA12" s="9">
        <f>INDEX('Unique Asset List'!$AE$4:$AK$60,MATCH('3'!$B12,'Unique Asset List'!$A$4:$A$60,0),MATCH('3'!$C$1,'Unique Asset List'!$AE$3:$AK$3,0))</f>
        <v>7</v>
      </c>
      <c r="AB12" s="16">
        <f t="shared" si="2"/>
        <v>2.1202012000000003</v>
      </c>
      <c r="AC12" s="16">
        <f t="shared" si="3"/>
        <v>0.98141</v>
      </c>
      <c r="AD12" s="16">
        <f t="shared" si="4"/>
        <v>0.31905939999999999</v>
      </c>
      <c r="AE12" s="15">
        <f>INDEX('Unique Asset List'!$BN$4:$BT$60,MATCH('3'!$B12,'Unique Asset List'!$A$4:$A$60,0),MATCH('3'!$C$1,'Unique Asset List'!$BN$3:$BT$3,0))</f>
        <v>0.12</v>
      </c>
      <c r="AF12" s="15">
        <f>INDEX('Unique Asset List'!$BU$4:$CA$60,MATCH('3'!$B12,'Unique Asset List'!$A$4:$A$60,0),MATCH('3'!$C$1,'Unique Asset List'!$BU$3:$CA$3,0))</f>
        <v>0.38</v>
      </c>
      <c r="AG12" s="15">
        <f>INDEX('Unique Asset List'!$AZ$4:$BF$60,MATCH('3'!$B12,'Unique Asset List'!$A$4:$A$60,0),MATCH('3'!$C$1,'Unique Asset List'!$AZ$3:$BF$3,0))</f>
        <v>0.12</v>
      </c>
      <c r="AH12" s="15">
        <f>INDEX('Unique Asset List'!$BG$4:$BM$60,MATCH('3'!$B12,'Unique Asset List'!$A$4:$A$60,0),MATCH('3'!$C$1,'Unique Asset List'!$BG$3:$BM$3,0))</f>
        <v>0.38</v>
      </c>
      <c r="AI12" s="11">
        <v>0.96187963349867744</v>
      </c>
      <c r="AJ12" s="15">
        <f>INDEX('Unique Asset List'!$AL$4:$AR$60,MATCH('3'!$B12,'Unique Asset List'!$A$4:$A$60,0),MATCH('3'!$C$1,'Unique Asset List'!$AL$3:$AR$3,0))</f>
        <v>2.1252009430760062</v>
      </c>
      <c r="AK12" s="15">
        <f>INDEX('Unique Asset List'!$AS$4:$AY$60,MATCH('3'!$B12,'Unique Asset List'!$A$4:$A$60,0),MATCH('3'!$C$1,'Unique Asset List'!$AS$3:$AY$3,0))</f>
        <v>-1.7169645793441486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5"/>
        <v>0.82</v>
      </c>
      <c r="AS12" s="10">
        <v>1</v>
      </c>
      <c r="AT12" s="4">
        <f>IF($C$5="ON",BT12,MyRating(_E1,$B12,Efficacy!$F$1))</f>
        <v>3</v>
      </c>
      <c r="AU12" s="3">
        <f>IF($C$5="ON",BU12,MyRating(_E2,$B12,Efficacy!$F$1))</f>
        <v>5</v>
      </c>
      <c r="AV12" s="3">
        <f>IF($C$5="ON",BV12,MyRating(_E3,$B12,Efficacy!$F$1))</f>
        <v>5</v>
      </c>
      <c r="AW12" s="3">
        <f>IF($C$5="ON",BW12,MyRating(_E4,$B12,Efficacy!$F$1))</f>
        <v>4</v>
      </c>
      <c r="AX12" s="3">
        <f>IF($C$5="ON",BX12,MyRating(_E5,$B12,Efficacy!$F$1))</f>
        <v>3</v>
      </c>
      <c r="AY12" s="3">
        <f>IF($C$5="ON",BY12,MyRating(_E6,$B12,Efficacy!$F$1))</f>
        <v>3</v>
      </c>
      <c r="AZ12" s="3">
        <f>IF($C$5="ON",BZ12,MyRating(_E7,$B12,Efficacy!$F$1))</f>
        <v>3</v>
      </c>
      <c r="BA12" s="3">
        <f>IF($C$5="ON",CA12,MyRating(_E8,$B12,Efficacy!$F$1))</f>
        <v>3</v>
      </c>
      <c r="BB12" s="3">
        <f>IF($C$5="ON",CB12,MyRating(_S1,$B12,Efficacy!$F$1))</f>
        <v>5</v>
      </c>
      <c r="BC12" s="3">
        <f>IF($C$5="ON",CC12,MyRating(_S2,$B12,Efficacy!$F$1))</f>
        <v>3</v>
      </c>
      <c r="BD12" s="3">
        <f>IF($C$5="ON",CD12,MyRating(_S3,$B12,Efficacy!$F$1))</f>
        <v>3</v>
      </c>
      <c r="BE12" s="3">
        <f>IF($C$5="ON",CE12,MyRating(_S4,$B12,Efficacy!$F$1))</f>
        <v>4</v>
      </c>
      <c r="BF12" s="3">
        <f>IF($C$5="ON",CF12,MyRating(_S5,$B12,Efficacy!$F$1))</f>
        <v>5</v>
      </c>
      <c r="BG12" s="3">
        <f>IF($C$5="ON",CG12,MyRating(_S6,$B12,Efficacy!$F$1))</f>
        <v>2</v>
      </c>
      <c r="BH12" s="3">
        <f>IF($C$5="ON",CH12,MyRating(_S7,$B12,Efficacy!$F$1))</f>
        <v>3</v>
      </c>
      <c r="BI12" s="3">
        <f>IF($C$5="ON",CI12,MyRating(_D1,$B12,Efficacy!$F$1))</f>
        <v>2</v>
      </c>
      <c r="BJ12" s="3">
        <f>IF($C$5="ON",CJ12,MyRating(_D2,$B12,Efficacy!$F$1))</f>
        <v>2</v>
      </c>
      <c r="BK12" s="3">
        <f>IF($C$5="ON",CK12,MyRating(_D3,$B12,Efficacy!$F$1))</f>
        <v>2</v>
      </c>
      <c r="BL12" s="3">
        <f>IF($C$5="ON",CL12,MyRating(_D4,$B12,Efficacy!$F$1))</f>
        <v>1</v>
      </c>
      <c r="BM12" s="3">
        <f>IF($C$5="ON",CM12,MyRating(_B1G5,$B12,Barrier!$L$2))</f>
        <v>2</v>
      </c>
      <c r="BN12" s="3">
        <f>IF($C$5="ON",CN12,MyRating(_B2,$B12,Barrier!$F$2))</f>
        <v>1</v>
      </c>
      <c r="BO12" s="6">
        <f>IF($C$5="ON",CO12,MyRating(_B3,$B12,Barrier!$F$2))</f>
        <v>1</v>
      </c>
      <c r="BP12" s="5">
        <f t="shared" si="6"/>
        <v>1.0501667745898752E-2</v>
      </c>
      <c r="BQ12" s="8">
        <f t="shared" si="7"/>
        <v>1.0499999999999998</v>
      </c>
      <c r="BR12" s="5">
        <f t="shared" si="8"/>
        <v>1.2828344532681727E-2</v>
      </c>
      <c r="BS12" s="7">
        <f t="shared" si="9"/>
        <v>5.3679039766550227E-3</v>
      </c>
      <c r="BT12" s="4">
        <v>3</v>
      </c>
      <c r="BU12" s="3">
        <v>5</v>
      </c>
      <c r="BV12" s="3">
        <v>5</v>
      </c>
      <c r="BW12" s="3">
        <v>4</v>
      </c>
      <c r="BX12" s="3">
        <v>3</v>
      </c>
      <c r="BY12" s="3">
        <v>3</v>
      </c>
      <c r="BZ12" s="3">
        <v>3</v>
      </c>
      <c r="CA12" s="3">
        <v>3</v>
      </c>
      <c r="CB12" s="3">
        <v>5</v>
      </c>
      <c r="CC12" s="3">
        <v>3</v>
      </c>
      <c r="CD12" s="3">
        <v>3</v>
      </c>
      <c r="CE12" s="3">
        <v>4</v>
      </c>
      <c r="CF12" s="3">
        <v>5</v>
      </c>
      <c r="CG12" s="3">
        <v>2</v>
      </c>
      <c r="CH12" s="3">
        <v>3</v>
      </c>
      <c r="CI12" s="3">
        <v>2</v>
      </c>
      <c r="CJ12" s="3">
        <v>2</v>
      </c>
      <c r="CK12" s="3">
        <v>2</v>
      </c>
      <c r="CL12" s="3">
        <v>1</v>
      </c>
      <c r="CM12" s="3">
        <v>2</v>
      </c>
      <c r="CN12" s="3">
        <v>1</v>
      </c>
      <c r="CO12" s="6">
        <v>1</v>
      </c>
      <c r="CP12" s="5">
        <v>1.0501667745898752E-2</v>
      </c>
      <c r="CQ12" s="61">
        <f t="shared" si="10"/>
        <v>2021</v>
      </c>
      <c r="CR12">
        <f t="shared" si="11"/>
        <v>9.9999999999990905</v>
      </c>
    </row>
    <row r="13" spans="1:96" x14ac:dyDescent="0.35">
      <c r="A13" s="9" t="str">
        <f t="shared" si="0"/>
        <v>FR</v>
      </c>
      <c r="B13" s="9" t="s">
        <v>85</v>
      </c>
      <c r="C13" s="20"/>
      <c r="D13" s="9" t="s">
        <v>2</v>
      </c>
      <c r="E13" s="9" t="s">
        <v>193</v>
      </c>
      <c r="F13" s="9" t="s">
        <v>63</v>
      </c>
      <c r="G13" s="19">
        <v>0</v>
      </c>
      <c r="H13" s="9">
        <v>2014</v>
      </c>
      <c r="I13" s="9">
        <v>6</v>
      </c>
      <c r="J13" s="18">
        <f>INDEX(PTRS!$D$6:$D$12,MATCH('3'!$F13,PTRS!$B$6:$B$12,0))</f>
        <v>0.58500000000000008</v>
      </c>
      <c r="K13" s="17">
        <v>1</v>
      </c>
      <c r="L13" s="17">
        <v>1</v>
      </c>
      <c r="M13" s="17">
        <v>0.58500000000000008</v>
      </c>
      <c r="N13" s="17">
        <v>0.62</v>
      </c>
      <c r="O13" s="17">
        <v>0.62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1"/>
        <v>0.19835681424527862</v>
      </c>
      <c r="V13" s="17">
        <v>1</v>
      </c>
      <c r="W13" s="9" t="s">
        <v>62</v>
      </c>
      <c r="X13" s="9">
        <f>INDEX('Unique Asset List'!$C$4:$I$60,MATCH('3'!$B13,'Unique Asset List'!$A$4:$A$60,0),MATCH('3'!$C$1,'Unique Asset List'!$C$3:$I$3,0))</f>
        <v>2021</v>
      </c>
      <c r="Y13" s="9">
        <f>INDEX('Unique Asset List'!$J$4:$P$60,MATCH('3'!$B13,'Unique Asset List'!$A$4:$A$60,0),MATCH('3'!$C$1,'Unique Asset List'!$J$3:$P$3,0))</f>
        <v>3</v>
      </c>
      <c r="Z13" s="9">
        <f>INDEX('Unique Asset List'!$X$4:$AD$60,MATCH('3'!$B13,'Unique Asset List'!$A$4:$A$60,0),MATCH('3'!$C$1,'Unique Asset List'!$X$3:$AD$3,0))</f>
        <v>2031</v>
      </c>
      <c r="AA13" s="9">
        <f>INDEX('Unique Asset List'!$AE$4:$AK$60,MATCH('3'!$B13,'Unique Asset List'!$A$4:$A$60,0),MATCH('3'!$C$1,'Unique Asset List'!$AE$3:$AK$3,0))</f>
        <v>1</v>
      </c>
      <c r="AB13" s="16">
        <f t="shared" si="2"/>
        <v>2.3511832000000004</v>
      </c>
      <c r="AC13" s="16">
        <f t="shared" si="3"/>
        <v>0.88497580000000009</v>
      </c>
      <c r="AD13" s="16">
        <f t="shared" si="4"/>
        <v>0.39141474525999997</v>
      </c>
      <c r="AE13" s="15">
        <f>INDEX('Unique Asset List'!$BN$4:$BT$60,MATCH('3'!$B13,'Unique Asset List'!$A$4:$A$60,0),MATCH('3'!$C$1,'Unique Asset List'!$BN$3:$BT$3,0))</f>
        <v>0.17</v>
      </c>
      <c r="AF13" s="15">
        <f>INDEX('Unique Asset List'!$BU$4:$CA$60,MATCH('3'!$B13,'Unique Asset List'!$A$4:$A$60,0),MATCH('3'!$C$1,'Unique Asset List'!$BU$3:$CA$3,0))</f>
        <v>0.33</v>
      </c>
      <c r="AG13" s="15">
        <f>INDEX('Unique Asset List'!$AZ$4:$BF$60,MATCH('3'!$B13,'Unique Asset List'!$A$4:$A$60,0),MATCH('3'!$C$1,'Unique Asset List'!$AZ$3:$BF$3,0))</f>
        <v>0.17</v>
      </c>
      <c r="AH13" s="15">
        <f>INDEX('Unique Asset List'!$BG$4:$BM$60,MATCH('3'!$B13,'Unique Asset List'!$A$4:$A$60,0),MATCH('3'!$C$1,'Unique Asset List'!$BG$3:$BM$3,0))</f>
        <v>0.33</v>
      </c>
      <c r="AI13" s="11">
        <v>0.96187963349867744</v>
      </c>
      <c r="AJ13" s="15">
        <f>INDEX('Unique Asset List'!$AL$4:$AR$60,MATCH('3'!$B13,'Unique Asset List'!$A$4:$A$60,0),MATCH('3'!$C$1,'Unique Asset List'!$AL$3:$AR$3,0))</f>
        <v>2.1252009430760062</v>
      </c>
      <c r="AK13" s="15">
        <f>INDEX('Unique Asset List'!$AS$4:$AY$60,MATCH('3'!$B13,'Unique Asset List'!$A$4:$A$60,0),MATCH('3'!$C$1,'Unique Asset List'!$AS$3:$AY$3,0))</f>
        <v>-1.7169645793441486</v>
      </c>
      <c r="AL13" s="9">
        <v>177.56756756756758</v>
      </c>
      <c r="AM13" s="14">
        <v>28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5"/>
        <v>0.82</v>
      </c>
      <c r="AS13" s="10">
        <f>2.8*37/365</f>
        <v>0.28383561643835614</v>
      </c>
      <c r="AT13" s="4">
        <f>IF($C$5="ON",BT13,MyRating(_E1,$B13,Efficacy!$F$1))</f>
        <v>5</v>
      </c>
      <c r="AU13" s="3">
        <f>IF($C$5="ON",BU13,MyRating(_E2,$B13,Efficacy!$F$1))</f>
        <v>5</v>
      </c>
      <c r="AV13" s="3">
        <f>IF($C$5="ON",BV13,MyRating(_E3,$B13,Efficacy!$F$1))</f>
        <v>5</v>
      </c>
      <c r="AW13" s="3">
        <f>IF($C$5="ON",BW13,MyRating(_E4,$B13,Efficacy!$F$1))</f>
        <v>4</v>
      </c>
      <c r="AX13" s="3">
        <f>IF($C$5="ON",BX13,MyRating(_E5,$B13,Efficacy!$F$1))</f>
        <v>3</v>
      </c>
      <c r="AY13" s="3">
        <f>IF($C$5="ON",BY13,MyRating(_E6,$B13,Efficacy!$F$1))</f>
        <v>3</v>
      </c>
      <c r="AZ13" s="3">
        <f>IF($C$5="ON",BZ13,MyRating(_E7,$B13,Efficacy!$F$1))</f>
        <v>3</v>
      </c>
      <c r="BA13" s="3">
        <f>IF($C$5="ON",CA13,MyRating(_E8,$B13,Efficacy!$F$1))</f>
        <v>4</v>
      </c>
      <c r="BB13" s="3">
        <f>IF($C$5="ON",CB13,MyRating(_S1,$B13,Efficacy!$F$1))</f>
        <v>4</v>
      </c>
      <c r="BC13" s="3">
        <f>IF($C$5="ON",CC13,MyRating(_S2,$B13,Efficacy!$F$1))</f>
        <v>3</v>
      </c>
      <c r="BD13" s="3">
        <f>IF($C$5="ON",CD13,MyRating(_S3,$B13,Efficacy!$F$1))</f>
        <v>3</v>
      </c>
      <c r="BE13" s="3">
        <f>IF($C$5="ON",CE13,MyRating(_S4,$B13,Efficacy!$F$1))</f>
        <v>3</v>
      </c>
      <c r="BF13" s="3">
        <f>IF($C$5="ON",CF13,MyRating(_S5,$B13,Efficacy!$F$1))</f>
        <v>5</v>
      </c>
      <c r="BG13" s="3">
        <f>IF($C$5="ON",CG13,MyRating(_S6,$B13,Efficacy!$F$1))</f>
        <v>2</v>
      </c>
      <c r="BH13" s="3">
        <f>IF($C$5="ON",CH13,MyRating(_S7,$B13,Efficacy!$F$1))</f>
        <v>3</v>
      </c>
      <c r="BI13" s="3">
        <f>IF($C$5="ON",CI13,MyRating(_D1,$B13,Efficacy!$F$1))</f>
        <v>2</v>
      </c>
      <c r="BJ13" s="3">
        <f>IF($C$5="ON",CJ13,MyRating(_D2,$B13,Efficacy!$F$1))</f>
        <v>3</v>
      </c>
      <c r="BK13" s="3">
        <f>IF($C$5="ON",CK13,MyRating(_D3,$B13,Efficacy!$F$1))</f>
        <v>3</v>
      </c>
      <c r="BL13" s="3">
        <f>IF($C$5="ON",CL13,MyRating(_D4,$B13,Efficacy!$F$1))</f>
        <v>1</v>
      </c>
      <c r="BM13" s="3">
        <f>IF($C$5="ON",CM13,MyRating(_B1G5,$B13,Barrier!$L$2))</f>
        <v>1</v>
      </c>
      <c r="BN13" s="3">
        <f>IF($C$5="ON",CN13,MyRating(_B2,$B13,Barrier!$F$2))</f>
        <v>1</v>
      </c>
      <c r="BO13" s="6">
        <f>IF($C$5="ON",CO13,MyRating(_B3,$B13,Barrier!$F$2))</f>
        <v>1</v>
      </c>
      <c r="BP13" s="5">
        <f t="shared" si="6"/>
        <v>9.9044671286996639E-3</v>
      </c>
      <c r="BQ13" s="8">
        <f t="shared" si="7"/>
        <v>1</v>
      </c>
      <c r="BR13" s="5">
        <f t="shared" si="8"/>
        <v>1.2217470983506409E-2</v>
      </c>
      <c r="BS13" s="7">
        <f t="shared" si="9"/>
        <v>5.0626462170790974E-3</v>
      </c>
      <c r="BT13" s="4">
        <v>5</v>
      </c>
      <c r="BU13" s="3">
        <v>5</v>
      </c>
      <c r="BV13" s="3">
        <v>5</v>
      </c>
      <c r="BW13" s="3">
        <v>4</v>
      </c>
      <c r="BX13" s="3">
        <v>3</v>
      </c>
      <c r="BY13" s="3">
        <v>3</v>
      </c>
      <c r="BZ13" s="3">
        <v>3</v>
      </c>
      <c r="CA13" s="3">
        <v>4</v>
      </c>
      <c r="CB13" s="3">
        <v>4</v>
      </c>
      <c r="CC13" s="3">
        <v>3</v>
      </c>
      <c r="CD13" s="3">
        <v>3</v>
      </c>
      <c r="CE13" s="3">
        <v>3</v>
      </c>
      <c r="CF13" s="3">
        <v>5</v>
      </c>
      <c r="CG13" s="3">
        <v>2</v>
      </c>
      <c r="CH13" s="3">
        <v>3</v>
      </c>
      <c r="CI13" s="3">
        <v>2</v>
      </c>
      <c r="CJ13" s="3">
        <v>3</v>
      </c>
      <c r="CK13" s="3">
        <v>3</v>
      </c>
      <c r="CL13" s="3">
        <v>1</v>
      </c>
      <c r="CM13" s="3">
        <v>1</v>
      </c>
      <c r="CN13" s="3">
        <v>1</v>
      </c>
      <c r="CO13" s="6">
        <v>1</v>
      </c>
      <c r="CP13" s="5">
        <v>9.9044671286996639E-3</v>
      </c>
      <c r="CQ13" s="61">
        <f t="shared" si="10"/>
        <v>2022</v>
      </c>
      <c r="CR13">
        <f t="shared" si="11"/>
        <v>6</v>
      </c>
    </row>
    <row r="14" spans="1:96" x14ac:dyDescent="0.35">
      <c r="A14" s="9" t="str">
        <f t="shared" si="0"/>
        <v>FR</v>
      </c>
      <c r="B14" s="9" t="s">
        <v>94</v>
      </c>
      <c r="C14" s="20"/>
      <c r="D14" s="9" t="s">
        <v>93</v>
      </c>
      <c r="E14" s="9" t="s">
        <v>92</v>
      </c>
      <c r="F14" s="9" t="s">
        <v>47</v>
      </c>
      <c r="G14" s="19">
        <v>0</v>
      </c>
      <c r="H14" s="9">
        <v>2014</v>
      </c>
      <c r="I14" s="9">
        <v>6</v>
      </c>
      <c r="J14" s="18">
        <f>INDEX(PTRS!$D$6:$D$12,MATCH('3'!$F14,PTRS!$B$6:$B$12,0))</f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1"/>
        <v>0.74129766176673451</v>
      </c>
      <c r="V14" s="17">
        <v>1</v>
      </c>
      <c r="W14" s="9" t="s">
        <v>54</v>
      </c>
      <c r="X14" s="9">
        <f>INDEX('Unique Asset List'!$C$4:$I$60,MATCH('3'!$B14,'Unique Asset List'!$A$4:$A$60,0),MATCH('3'!$C$1,'Unique Asset List'!$C$3:$I$3,0))</f>
        <v>2017</v>
      </c>
      <c r="Y14" s="9">
        <f>INDEX('Unique Asset List'!$J$4:$P$60,MATCH('3'!$B14,'Unique Asset List'!$A$4:$A$60,0),MATCH('3'!$C$1,'Unique Asset List'!$J$3:$P$3,0))</f>
        <v>6.9999999999990905</v>
      </c>
      <c r="Z14" s="9">
        <f>INDEX('Unique Asset List'!$X$4:$AD$60,MATCH('3'!$B14,'Unique Asset List'!$A$4:$A$60,0),MATCH('3'!$C$1,'Unique Asset List'!$X$3:$AD$3,0))</f>
        <v>2027</v>
      </c>
      <c r="AA14" s="9">
        <f>INDEX('Unique Asset List'!$AE$4:$AK$60,MATCH('3'!$B14,'Unique Asset List'!$A$4:$A$60,0),MATCH('3'!$C$1,'Unique Asset List'!$AE$3:$AK$3,0))</f>
        <v>2</v>
      </c>
      <c r="AB14" s="16">
        <f t="shared" si="2"/>
        <v>1.6860000000000002</v>
      </c>
      <c r="AC14" s="16">
        <f t="shared" si="3"/>
        <v>0.78788900000000006</v>
      </c>
      <c r="AD14" s="16">
        <f t="shared" si="4"/>
        <v>0.56099999999999994</v>
      </c>
      <c r="AE14" s="15">
        <f>INDEX('Unique Asset List'!$BN$4:$BT$60,MATCH('3'!$B14,'Unique Asset List'!$A$4:$A$60,0),MATCH('3'!$C$1,'Unique Asset List'!$BN$3:$BT$3,0))</f>
        <v>0.12</v>
      </c>
      <c r="AF14" s="15">
        <f>INDEX('Unique Asset List'!$BU$4:$CA$60,MATCH('3'!$B14,'Unique Asset List'!$A$4:$A$60,0),MATCH('3'!$C$1,'Unique Asset List'!$BU$3:$CA$3,0))</f>
        <v>0.38</v>
      </c>
      <c r="AG14" s="15">
        <f>INDEX('Unique Asset List'!$AZ$4:$BF$60,MATCH('3'!$B14,'Unique Asset List'!$A$4:$A$60,0),MATCH('3'!$C$1,'Unique Asset List'!$AZ$3:$BF$3,0))</f>
        <v>0.12</v>
      </c>
      <c r="AH14" s="15">
        <f>INDEX('Unique Asset List'!$BG$4:$BM$60,MATCH('3'!$B14,'Unique Asset List'!$A$4:$A$60,0),MATCH('3'!$C$1,'Unique Asset List'!$BG$3:$BM$3,0))</f>
        <v>0.38</v>
      </c>
      <c r="AI14" s="11">
        <v>0.96187963349867744</v>
      </c>
      <c r="AJ14" s="15">
        <f>INDEX('Unique Asset List'!$AL$4:$AR$60,MATCH('3'!$B14,'Unique Asset List'!$A$4:$A$60,0),MATCH('3'!$C$1,'Unique Asset List'!$AL$3:$AR$3,0))</f>
        <v>2.1252009430760062</v>
      </c>
      <c r="AK14" s="15">
        <f>INDEX('Unique Asset List'!$AS$4:$AY$60,MATCH('3'!$B14,'Unique Asset List'!$A$4:$A$60,0),MATCH('3'!$C$1,'Unique Asset List'!$AS$3:$AY$3,0))</f>
        <v>-1.7169645793441486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5"/>
        <v>0.82</v>
      </c>
      <c r="AS14" s="10">
        <v>1</v>
      </c>
      <c r="AT14" s="4">
        <f>IF($C$5="ON",BT14,MyRating(_E1,$B14,Efficacy!$F$1))</f>
        <v>3</v>
      </c>
      <c r="AU14" s="3">
        <f>IF($C$5="ON",BU14,MyRating(_E2,$B14,Efficacy!$F$1))</f>
        <v>3</v>
      </c>
      <c r="AV14" s="3">
        <f>IF($C$5="ON",BV14,MyRating(_E3,$B14,Efficacy!$F$1))</f>
        <v>3</v>
      </c>
      <c r="AW14" s="3">
        <f>IF($C$5="ON",BW14,MyRating(_E4,$B14,Efficacy!$F$1))</f>
        <v>3</v>
      </c>
      <c r="AX14" s="3">
        <f>IF($C$5="ON",BX14,MyRating(_E5,$B14,Efficacy!$F$1))</f>
        <v>3</v>
      </c>
      <c r="AY14" s="3">
        <f>IF($C$5="ON",BY14,MyRating(_E6,$B14,Efficacy!$F$1))</f>
        <v>3</v>
      </c>
      <c r="AZ14" s="3">
        <f>IF($C$5="ON",BZ14,MyRating(_E7,$B14,Efficacy!$F$1))</f>
        <v>3</v>
      </c>
      <c r="BA14" s="3">
        <f>IF($C$5="ON",CA14,MyRating(_E8,$B14,Efficacy!$F$1))</f>
        <v>3</v>
      </c>
      <c r="BB14" s="3">
        <f>IF($C$5="ON",CB14,MyRating(_S1,$B14,Efficacy!$F$1))</f>
        <v>3</v>
      </c>
      <c r="BC14" s="3">
        <f>IF($C$5="ON",CC14,MyRating(_S2,$B14,Efficacy!$F$1))</f>
        <v>3</v>
      </c>
      <c r="BD14" s="3">
        <f>IF($C$5="ON",CD14,MyRating(_S3,$B14,Efficacy!$F$1))</f>
        <v>3</v>
      </c>
      <c r="BE14" s="3">
        <f>IF($C$5="ON",CE14,MyRating(_S4,$B14,Efficacy!$F$1))</f>
        <v>4</v>
      </c>
      <c r="BF14" s="3">
        <f>IF($C$5="ON",CF14,MyRating(_S5,$B14,Efficacy!$F$1))</f>
        <v>3</v>
      </c>
      <c r="BG14" s="3">
        <f>IF($C$5="ON",CG14,MyRating(_S6,$B14,Efficacy!$F$1))</f>
        <v>3</v>
      </c>
      <c r="BH14" s="3">
        <f>IF($C$5="ON",CH14,MyRating(_S7,$B14,Efficacy!$F$1))</f>
        <v>3</v>
      </c>
      <c r="BI14" s="3">
        <f>IF($C$5="ON",CI14,MyRating(_D1,$B14,Efficacy!$F$1))</f>
        <v>3</v>
      </c>
      <c r="BJ14" s="3">
        <f>IF($C$5="ON",CJ14,MyRating(_D2,$B14,Efficacy!$F$1))</f>
        <v>3</v>
      </c>
      <c r="BK14" s="3">
        <f>IF($C$5="ON",CK14,MyRating(_D3,$B14,Efficacy!$F$1))</f>
        <v>3</v>
      </c>
      <c r="BL14" s="3">
        <f>IF($C$5="ON",CL14,MyRating(_D4,$B14,Efficacy!$F$1))</f>
        <v>3</v>
      </c>
      <c r="BM14" s="3">
        <f>IF($C$5="ON",CM14,MyRating(_B1G5,$B14,Barrier!$L$2))</f>
        <v>3</v>
      </c>
      <c r="BN14" s="3">
        <f>IF($C$5="ON",CN14,MyRating(_B2,$B14,Barrier!$F$2))</f>
        <v>3</v>
      </c>
      <c r="BO14" s="6">
        <f>IF($C$5="ON",CO14,MyRating(_B3,$B14,Barrier!$F$2))</f>
        <v>3</v>
      </c>
      <c r="BP14" s="5">
        <f t="shared" si="6"/>
        <v>3.7014903427878103E-2</v>
      </c>
      <c r="BQ14" s="8">
        <f t="shared" si="7"/>
        <v>2.9999999999999996</v>
      </c>
      <c r="BR14" s="5">
        <f t="shared" si="8"/>
        <v>3.6652412950519221E-2</v>
      </c>
      <c r="BS14" s="7">
        <f t="shared" si="9"/>
        <v>1.8920085086828659E-2</v>
      </c>
      <c r="BT14" s="4">
        <v>3</v>
      </c>
      <c r="BU14" s="3">
        <v>3</v>
      </c>
      <c r="BV14" s="3">
        <v>3</v>
      </c>
      <c r="BW14" s="3">
        <v>3</v>
      </c>
      <c r="BX14" s="3">
        <v>3</v>
      </c>
      <c r="BY14" s="3">
        <v>3</v>
      </c>
      <c r="BZ14" s="3">
        <v>3</v>
      </c>
      <c r="CA14" s="3">
        <v>3</v>
      </c>
      <c r="CB14" s="3">
        <v>3</v>
      </c>
      <c r="CC14" s="3">
        <v>3</v>
      </c>
      <c r="CD14" s="3">
        <v>3</v>
      </c>
      <c r="CE14" s="3">
        <v>4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6">
        <v>3</v>
      </c>
      <c r="CP14" s="5">
        <v>3.7014903427878103E-2</v>
      </c>
      <c r="CQ14" s="61">
        <f t="shared" si="10"/>
        <v>2018</v>
      </c>
      <c r="CR14">
        <f t="shared" si="11"/>
        <v>9.9999999999990905</v>
      </c>
    </row>
    <row r="15" spans="1:96" x14ac:dyDescent="0.35">
      <c r="A15" s="9" t="str">
        <f t="shared" si="0"/>
        <v>FR</v>
      </c>
      <c r="B15" s="9" t="s">
        <v>83</v>
      </c>
      <c r="C15" s="20"/>
      <c r="D15" s="9" t="s">
        <v>82</v>
      </c>
      <c r="E15" s="9" t="s">
        <v>193</v>
      </c>
      <c r="F15" s="9" t="s">
        <v>63</v>
      </c>
      <c r="G15" s="19">
        <v>0</v>
      </c>
      <c r="H15" s="9">
        <v>2014</v>
      </c>
      <c r="I15" s="9">
        <v>6</v>
      </c>
      <c r="J15" s="18">
        <f>INDEX(PTRS!$D$6:$D$12,MATCH('3'!$F15,PTRS!$B$6:$B$12,0))</f>
        <v>0.58500000000000008</v>
      </c>
      <c r="K15" s="17">
        <v>1</v>
      </c>
      <c r="L15" s="17">
        <v>0.58500000000000008</v>
      </c>
      <c r="M15" s="17">
        <v>0.19500000000000003</v>
      </c>
      <c r="N15" s="17">
        <v>0.58500000000000008</v>
      </c>
      <c r="O15" s="17">
        <v>0.58500000000000008</v>
      </c>
      <c r="P15" s="17">
        <v>0.58500000000000008</v>
      </c>
      <c r="Q15" s="17">
        <v>0.58500000000000008</v>
      </c>
      <c r="R15" s="17">
        <v>0.58500000000000008</v>
      </c>
      <c r="S15" s="17">
        <v>1</v>
      </c>
      <c r="T15" s="17"/>
      <c r="U15" s="17">
        <f t="shared" si="1"/>
        <v>0.72649652910676854</v>
      </c>
      <c r="V15" s="17">
        <v>1</v>
      </c>
      <c r="W15" s="9" t="s">
        <v>195</v>
      </c>
      <c r="X15" s="9">
        <f>INDEX('Unique Asset List'!$C$4:$I$60,MATCH('3'!$B15,'Unique Asset List'!$A$4:$A$60,0),MATCH('3'!$C$1,'Unique Asset List'!$C$3:$I$3,0))</f>
        <v>2023</v>
      </c>
      <c r="Y15" s="9">
        <f>INDEX('Unique Asset List'!$J$4:$P$60,MATCH('3'!$B15,'Unique Asset List'!$A$4:$A$60,0),MATCH('3'!$C$1,'Unique Asset List'!$J$3:$P$3,0))</f>
        <v>0.99999999999909051</v>
      </c>
      <c r="Z15" s="9">
        <f>INDEX('Unique Asset List'!$X$4:$AD$60,MATCH('3'!$B15,'Unique Asset List'!$A$4:$A$60,0),MATCH('3'!$C$1,'Unique Asset List'!$X$3:$AD$3,0))</f>
        <v>2032</v>
      </c>
      <c r="AA15" s="9">
        <f>INDEX('Unique Asset List'!$AE$4:$AK$60,MATCH('3'!$B15,'Unique Asset List'!$A$4:$A$60,0),MATCH('3'!$C$1,'Unique Asset List'!$AE$3:$AK$3,0))</f>
        <v>1</v>
      </c>
      <c r="AB15" s="16">
        <f t="shared" si="2"/>
        <v>1.6860000000000002</v>
      </c>
      <c r="AC15" s="16">
        <f t="shared" si="3"/>
        <v>1.0347223999999999</v>
      </c>
      <c r="AD15" s="16">
        <f t="shared" si="4"/>
        <v>0.38169906301999995</v>
      </c>
      <c r="AE15" s="15">
        <f>INDEX('Unique Asset List'!$BN$4:$BT$60,MATCH('3'!$B15,'Unique Asset List'!$A$4:$A$60,0),MATCH('3'!$C$1,'Unique Asset List'!$BN$3:$BT$3,0))</f>
        <v>0.12</v>
      </c>
      <c r="AF15" s="15">
        <f>INDEX('Unique Asset List'!$BU$4:$CA$60,MATCH('3'!$B15,'Unique Asset List'!$A$4:$A$60,0),MATCH('3'!$C$1,'Unique Asset List'!$BU$3:$CA$3,0))</f>
        <v>0.38</v>
      </c>
      <c r="AG15" s="15">
        <f>INDEX('Unique Asset List'!$AZ$4:$BF$60,MATCH('3'!$B15,'Unique Asset List'!$A$4:$A$60,0),MATCH('3'!$C$1,'Unique Asset List'!$AZ$3:$BF$3,0))</f>
        <v>0.12</v>
      </c>
      <c r="AH15" s="15">
        <f>INDEX('Unique Asset List'!$BG$4:$BM$60,MATCH('3'!$B15,'Unique Asset List'!$A$4:$A$60,0),MATCH('3'!$C$1,'Unique Asset List'!$BG$3:$BM$3,0))</f>
        <v>0.38</v>
      </c>
      <c r="AI15" s="11">
        <v>0.96187963349867744</v>
      </c>
      <c r="AJ15" s="15">
        <f>INDEX('Unique Asset List'!$AL$4:$AR$60,MATCH('3'!$B15,'Unique Asset List'!$A$4:$A$60,0),MATCH('3'!$C$1,'Unique Asset List'!$AL$3:$AR$3,0))</f>
        <v>2.1252009430760062</v>
      </c>
      <c r="AK15" s="15">
        <f>INDEX('Unique Asset List'!$AS$4:$AY$60,MATCH('3'!$B15,'Unique Asset List'!$A$4:$A$60,0),MATCH('3'!$C$1,'Unique Asset List'!$AS$3:$AY$3,0))</f>
        <v>-1.7169645793441486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5"/>
        <v>0.82</v>
      </c>
      <c r="AS15" s="10">
        <v>1</v>
      </c>
      <c r="AT15" s="4">
        <f>IF($C$5="ON",BT15,MyRating(_E1,$B15,Efficacy!$F$1))</f>
        <v>3</v>
      </c>
      <c r="AU15" s="3">
        <f>IF($C$5="ON",BU15,MyRating(_E2,$B15,Efficacy!$F$1))</f>
        <v>3</v>
      </c>
      <c r="AV15" s="3">
        <f>IF($C$5="ON",BV15,MyRating(_E3,$B15,Efficacy!$F$1))</f>
        <v>3</v>
      </c>
      <c r="AW15" s="3">
        <f>IF($C$5="ON",BW15,MyRating(_E4,$B15,Efficacy!$F$1))</f>
        <v>3</v>
      </c>
      <c r="AX15" s="3">
        <f>IF($C$5="ON",BX15,MyRating(_E5,$B15,Efficacy!$F$1))</f>
        <v>3</v>
      </c>
      <c r="AY15" s="3">
        <f>IF($C$5="ON",BY15,MyRating(_E6,$B15,Efficacy!$F$1))</f>
        <v>3</v>
      </c>
      <c r="AZ15" s="3">
        <f>IF($C$5="ON",BZ15,MyRating(_E7,$B15,Efficacy!$F$1))</f>
        <v>3</v>
      </c>
      <c r="BA15" s="3">
        <f>IF($C$5="ON",CA15,MyRating(_E8,$B15,Efficacy!$F$1))</f>
        <v>3</v>
      </c>
      <c r="BB15" s="3">
        <f>IF($C$5="ON",CB15,MyRating(_S1,$B15,Efficacy!$F$1))</f>
        <v>5</v>
      </c>
      <c r="BC15" s="3">
        <f>IF($C$5="ON",CC15,MyRating(_S2,$B15,Efficacy!$F$1))</f>
        <v>3</v>
      </c>
      <c r="BD15" s="3">
        <f>IF($C$5="ON",CD15,MyRating(_S3,$B15,Efficacy!$F$1))</f>
        <v>3</v>
      </c>
      <c r="BE15" s="3">
        <f>IF($C$5="ON",CE15,MyRating(_S4,$B15,Efficacy!$F$1))</f>
        <v>4</v>
      </c>
      <c r="BF15" s="3">
        <f>IF($C$5="ON",CF15,MyRating(_S5,$B15,Efficacy!$F$1))</f>
        <v>5</v>
      </c>
      <c r="BG15" s="3">
        <f>IF($C$5="ON",CG15,MyRating(_S6,$B15,Efficacy!$F$1))</f>
        <v>3</v>
      </c>
      <c r="BH15" s="3">
        <f>IF($C$5="ON",CH15,MyRating(_S7,$B15,Efficacy!$F$1))</f>
        <v>4</v>
      </c>
      <c r="BI15" s="3">
        <f>IF($C$5="ON",CI15,MyRating(_D1,$B15,Efficacy!$F$1))</f>
        <v>2</v>
      </c>
      <c r="BJ15" s="3">
        <f>IF($C$5="ON",CJ15,MyRating(_D2,$B15,Efficacy!$F$1))</f>
        <v>3</v>
      </c>
      <c r="BK15" s="3">
        <f>IF($C$5="ON",CK15,MyRating(_D3,$B15,Efficacy!$F$1))</f>
        <v>1</v>
      </c>
      <c r="BL15" s="3">
        <f>IF($C$5="ON",CL15,MyRating(_D4,$B15,Efficacy!$F$1))</f>
        <v>2</v>
      </c>
      <c r="BM15" s="3">
        <f>IF($C$5="ON",CM15,MyRating(_B1G5,$B15,Barrier!$L$2))</f>
        <v>2</v>
      </c>
      <c r="BN15" s="3">
        <f>IF($C$5="ON",CN15,MyRating(_B2,$B15,Barrier!$F$2))</f>
        <v>3</v>
      </c>
      <c r="BO15" s="6">
        <f>IF($C$5="ON",CO15,MyRating(_B3,$B15,Barrier!$F$2))</f>
        <v>3</v>
      </c>
      <c r="BP15" s="5">
        <f t="shared" si="6"/>
        <v>3.6275844714639842E-2</v>
      </c>
      <c r="BQ15" s="8">
        <f t="shared" si="7"/>
        <v>2.9499999999999997</v>
      </c>
      <c r="BR15" s="5">
        <f t="shared" si="8"/>
        <v>3.60415394013439E-2</v>
      </c>
      <c r="BS15" s="7">
        <f t="shared" si="9"/>
        <v>1.8542316878791175E-2</v>
      </c>
      <c r="BT15" s="4">
        <v>3</v>
      </c>
      <c r="BU15" s="3">
        <v>3</v>
      </c>
      <c r="BV15" s="3">
        <v>3</v>
      </c>
      <c r="BW15" s="3">
        <v>3</v>
      </c>
      <c r="BX15" s="3">
        <v>3</v>
      </c>
      <c r="BY15" s="3">
        <v>3</v>
      </c>
      <c r="BZ15" s="3">
        <v>3</v>
      </c>
      <c r="CA15" s="3">
        <v>3</v>
      </c>
      <c r="CB15" s="3">
        <v>5</v>
      </c>
      <c r="CC15" s="3">
        <v>3</v>
      </c>
      <c r="CD15" s="3">
        <v>3</v>
      </c>
      <c r="CE15" s="3">
        <v>4</v>
      </c>
      <c r="CF15" s="3">
        <v>5</v>
      </c>
      <c r="CG15" s="3">
        <v>3</v>
      </c>
      <c r="CH15" s="3">
        <v>4</v>
      </c>
      <c r="CI15" s="3">
        <v>2</v>
      </c>
      <c r="CJ15" s="3">
        <v>3</v>
      </c>
      <c r="CK15" s="3">
        <v>1</v>
      </c>
      <c r="CL15" s="3">
        <v>2</v>
      </c>
      <c r="CM15" s="3">
        <v>2</v>
      </c>
      <c r="CN15" s="3">
        <v>3</v>
      </c>
      <c r="CO15" s="6">
        <v>3</v>
      </c>
      <c r="CP15" s="5">
        <v>3.6275844714639842E-2</v>
      </c>
      <c r="CQ15" s="61">
        <f t="shared" si="10"/>
        <v>2024</v>
      </c>
      <c r="CR15">
        <f t="shared" si="11"/>
        <v>3.9999999999990905</v>
      </c>
    </row>
    <row r="16" spans="1:96" x14ac:dyDescent="0.35">
      <c r="A16" s="9" t="str">
        <f t="shared" si="0"/>
        <v>FR</v>
      </c>
      <c r="B16" s="9" t="s">
        <v>84</v>
      </c>
      <c r="C16" s="20"/>
      <c r="D16" s="9" t="s">
        <v>64</v>
      </c>
      <c r="E16" s="9" t="s">
        <v>193</v>
      </c>
      <c r="F16" s="9" t="s">
        <v>63</v>
      </c>
      <c r="G16" s="19">
        <v>0</v>
      </c>
      <c r="H16" s="9">
        <v>2014</v>
      </c>
      <c r="I16" s="9">
        <v>6</v>
      </c>
      <c r="J16" s="18">
        <f>INDEX(PTRS!$D$6:$D$12,MATCH('3'!$F16,PTRS!$B$6:$B$12,0))</f>
        <v>0.58500000000000008</v>
      </c>
      <c r="K16" s="17">
        <v>0</v>
      </c>
      <c r="L16" s="17">
        <v>0.29250000000000004</v>
      </c>
      <c r="M16" s="17">
        <v>0.19500000000000003</v>
      </c>
      <c r="N16" s="17">
        <v>0.58500000000000008</v>
      </c>
      <c r="O16" s="17">
        <v>0.58500000000000008</v>
      </c>
      <c r="P16" s="17">
        <v>0.58500000000000008</v>
      </c>
      <c r="Q16" s="17">
        <v>0.29250000000000004</v>
      </c>
      <c r="R16" s="17">
        <v>0.29250000000000004</v>
      </c>
      <c r="S16" s="17">
        <v>1</v>
      </c>
      <c r="T16" s="17"/>
      <c r="U16" s="17">
        <f t="shared" si="1"/>
        <v>0.19835681424527862</v>
      </c>
      <c r="V16" s="17">
        <v>1</v>
      </c>
      <c r="W16" s="9" t="s">
        <v>62</v>
      </c>
      <c r="X16" s="9">
        <f>INDEX('Unique Asset List'!$C$4:$I$60,MATCH('3'!$B16,'Unique Asset List'!$A$4:$A$60,0),MATCH('3'!$C$1,'Unique Asset List'!$C$3:$I$3,0))</f>
        <v>2023</v>
      </c>
      <c r="Y16" s="9">
        <f>INDEX('Unique Asset List'!$J$4:$P$60,MATCH('3'!$B16,'Unique Asset List'!$A$4:$A$60,0),MATCH('3'!$C$1,'Unique Asset List'!$J$3:$P$3,0))</f>
        <v>6.9999999999990905</v>
      </c>
      <c r="Z16" s="9">
        <f>INDEX('Unique Asset List'!$X$4:$AD$60,MATCH('3'!$B16,'Unique Asset List'!$A$4:$A$60,0),MATCH('3'!$C$1,'Unique Asset List'!$X$3:$AD$3,0))</f>
        <v>2031</v>
      </c>
      <c r="AA16" s="9">
        <f>INDEX('Unique Asset List'!$AE$4:$AK$60,MATCH('3'!$B16,'Unique Asset List'!$A$4:$A$60,0),MATCH('3'!$C$1,'Unique Asset List'!$AE$3:$AK$3,0))</f>
        <v>7</v>
      </c>
      <c r="AB16" s="16">
        <f t="shared" si="2"/>
        <v>1.6860000000000002</v>
      </c>
      <c r="AC16" s="16">
        <f t="shared" si="3"/>
        <v>0.73148930000000001</v>
      </c>
      <c r="AD16" s="16">
        <f t="shared" si="4"/>
        <v>0.56099999999999994</v>
      </c>
      <c r="AE16" s="15">
        <f>INDEX('Unique Asset List'!$BN$4:$BT$60,MATCH('3'!$B16,'Unique Asset List'!$A$4:$A$60,0),MATCH('3'!$C$1,'Unique Asset List'!$BN$3:$BT$3,0))</f>
        <v>0.17</v>
      </c>
      <c r="AF16" s="15">
        <f>INDEX('Unique Asset List'!$BU$4:$CA$60,MATCH('3'!$B16,'Unique Asset List'!$A$4:$A$60,0),MATCH('3'!$C$1,'Unique Asset List'!$BU$3:$CA$3,0))</f>
        <v>0.33</v>
      </c>
      <c r="AG16" s="15">
        <f>INDEX('Unique Asset List'!$AZ$4:$BF$60,MATCH('3'!$B16,'Unique Asset List'!$A$4:$A$60,0),MATCH('3'!$C$1,'Unique Asset List'!$AZ$3:$BF$3,0))</f>
        <v>0.17</v>
      </c>
      <c r="AH16" s="15">
        <f>INDEX('Unique Asset List'!$BG$4:$BM$60,MATCH('3'!$B16,'Unique Asset List'!$A$4:$A$60,0),MATCH('3'!$C$1,'Unique Asset List'!$BG$3:$BM$3,0))</f>
        <v>0.33</v>
      </c>
      <c r="AI16" s="11">
        <v>0.96187963349867744</v>
      </c>
      <c r="AJ16" s="15">
        <f>INDEX('Unique Asset List'!$AL$4:$AR$60,MATCH('3'!$B16,'Unique Asset List'!$A$4:$A$60,0),MATCH('3'!$C$1,'Unique Asset List'!$AL$3:$AR$3,0))</f>
        <v>2.1252009430760062</v>
      </c>
      <c r="AK16" s="15">
        <f>INDEX('Unique Asset List'!$AS$4:$AY$60,MATCH('3'!$B16,'Unique Asset List'!$A$4:$A$60,0),MATCH('3'!$C$1,'Unique Asset List'!$AS$3:$AY$3,0))</f>
        <v>-1.7169645793441486</v>
      </c>
      <c r="AL16" s="9">
        <v>169</v>
      </c>
      <c r="AM16" s="14">
        <v>28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5"/>
        <v>0.82</v>
      </c>
      <c r="AS16" s="10">
        <v>1</v>
      </c>
      <c r="AT16" s="4">
        <f>IF($C$5="ON",BT16,MyRating(_E1,$B16,Efficacy!$F$1))</f>
        <v>3</v>
      </c>
      <c r="AU16" s="3">
        <f>IF($C$5="ON",BU16,MyRating(_E2,$B16,Efficacy!$F$1))</f>
        <v>3</v>
      </c>
      <c r="AV16" s="3">
        <f>IF($C$5="ON",BV16,MyRating(_E3,$B16,Efficacy!$F$1))</f>
        <v>3</v>
      </c>
      <c r="AW16" s="3">
        <f>IF($C$5="ON",BW16,MyRating(_E4,$B16,Efficacy!$F$1))</f>
        <v>3</v>
      </c>
      <c r="AX16" s="3">
        <f>IF($C$5="ON",BX16,MyRating(_E5,$B16,Efficacy!$F$1))</f>
        <v>3</v>
      </c>
      <c r="AY16" s="3">
        <f>IF($C$5="ON",BY16,MyRating(_E6,$B16,Efficacy!$F$1))</f>
        <v>3</v>
      </c>
      <c r="AZ16" s="3">
        <f>IF($C$5="ON",BZ16,MyRating(_E7,$B16,Efficacy!$F$1))</f>
        <v>3</v>
      </c>
      <c r="BA16" s="3">
        <f>IF($C$5="ON",CA16,MyRating(_E8,$B16,Efficacy!$F$1))</f>
        <v>3</v>
      </c>
      <c r="BB16" s="3">
        <f>IF($C$5="ON",CB16,MyRating(_S1,$B16,Efficacy!$F$1))</f>
        <v>3</v>
      </c>
      <c r="BC16" s="3">
        <f>IF($C$5="ON",CC16,MyRating(_S2,$B16,Efficacy!$F$1))</f>
        <v>3</v>
      </c>
      <c r="BD16" s="3">
        <f>IF($C$5="ON",CD16,MyRating(_S3,$B16,Efficacy!$F$1))</f>
        <v>3</v>
      </c>
      <c r="BE16" s="3">
        <f>IF($C$5="ON",CE16,MyRating(_S4,$B16,Efficacy!$F$1))</f>
        <v>3</v>
      </c>
      <c r="BF16" s="3">
        <f>IF($C$5="ON",CF16,MyRating(_S5,$B16,Efficacy!$F$1))</f>
        <v>3</v>
      </c>
      <c r="BG16" s="3">
        <f>IF($C$5="ON",CG16,MyRating(_S6,$B16,Efficacy!$F$1))</f>
        <v>2</v>
      </c>
      <c r="BH16" s="3">
        <f>IF($C$5="ON",CH16,MyRating(_S7,$B16,Efficacy!$F$1))</f>
        <v>3</v>
      </c>
      <c r="BI16" s="3">
        <f>IF($C$5="ON",CI16,MyRating(_D1,$B16,Efficacy!$F$1))</f>
        <v>3</v>
      </c>
      <c r="BJ16" s="3">
        <f>IF($C$5="ON",CJ16,MyRating(_D2,$B16,Efficacy!$F$1))</f>
        <v>3</v>
      </c>
      <c r="BK16" s="3">
        <f>IF($C$5="ON",CK16,MyRating(_D3,$B16,Efficacy!$F$1))</f>
        <v>3</v>
      </c>
      <c r="BL16" s="3">
        <f>IF($C$5="ON",CL16,MyRating(_D4,$B16,Efficacy!$F$1))</f>
        <v>3</v>
      </c>
      <c r="BM16" s="3">
        <f>IF($C$5="ON",CM16,MyRating(_B1G5,$B16,Barrier!$L$2))</f>
        <v>1</v>
      </c>
      <c r="BN16" s="3">
        <f>IF($C$5="ON",CN16,MyRating(_B2,$B16,Barrier!$F$2))</f>
        <v>1</v>
      </c>
      <c r="BO16" s="6">
        <f>IF($C$5="ON",CO16,MyRating(_B3,$B16,Barrier!$F$2))</f>
        <v>1</v>
      </c>
      <c r="BP16" s="5">
        <f t="shared" si="6"/>
        <v>9.9044671286996639E-3</v>
      </c>
      <c r="BQ16" s="8">
        <f t="shared" si="7"/>
        <v>1</v>
      </c>
      <c r="BR16" s="5">
        <f t="shared" si="8"/>
        <v>1.2217470983506409E-2</v>
      </c>
      <c r="BS16" s="7">
        <f t="shared" si="9"/>
        <v>5.0626462170790974E-3</v>
      </c>
      <c r="BT16" s="4">
        <v>3</v>
      </c>
      <c r="BU16" s="3">
        <v>3</v>
      </c>
      <c r="BV16" s="3">
        <v>3</v>
      </c>
      <c r="BW16" s="3">
        <v>3</v>
      </c>
      <c r="BX16" s="3">
        <v>3</v>
      </c>
      <c r="BY16" s="3">
        <v>3</v>
      </c>
      <c r="BZ16" s="3">
        <v>3</v>
      </c>
      <c r="CA16" s="3">
        <v>3</v>
      </c>
      <c r="CB16" s="3">
        <v>3</v>
      </c>
      <c r="CC16" s="3">
        <v>3</v>
      </c>
      <c r="CD16" s="3">
        <v>3</v>
      </c>
      <c r="CE16" s="3">
        <v>3</v>
      </c>
      <c r="CF16" s="3">
        <v>3</v>
      </c>
      <c r="CG16" s="3">
        <v>2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1</v>
      </c>
      <c r="CN16" s="3">
        <v>1</v>
      </c>
      <c r="CO16" s="6">
        <v>1</v>
      </c>
      <c r="CP16" s="5">
        <v>9.9044671286996639E-3</v>
      </c>
      <c r="CQ16" s="61">
        <f t="shared" si="10"/>
        <v>2024</v>
      </c>
      <c r="CR16">
        <f t="shared" si="11"/>
        <v>9.9999999999990905</v>
      </c>
    </row>
    <row r="17" spans="1:96" x14ac:dyDescent="0.35">
      <c r="A17" s="9" t="str">
        <f t="shared" si="0"/>
        <v>FR</v>
      </c>
      <c r="B17" s="9" t="s">
        <v>80</v>
      </c>
      <c r="C17" s="20"/>
      <c r="D17" s="9" t="s">
        <v>79</v>
      </c>
      <c r="E17" s="9" t="s">
        <v>193</v>
      </c>
      <c r="F17" s="9" t="s">
        <v>43</v>
      </c>
      <c r="G17" s="19">
        <v>0</v>
      </c>
      <c r="H17" s="9">
        <v>2014</v>
      </c>
      <c r="I17" s="9">
        <v>6</v>
      </c>
      <c r="J17" s="18">
        <f>INDEX(PTRS!$D$6:$D$12,MATCH('3'!$F17,PTRS!$B$6:$B$12,0))</f>
        <v>0.40949999999999998</v>
      </c>
      <c r="K17" s="17">
        <v>0</v>
      </c>
      <c r="L17" s="17">
        <v>0.40949999999999998</v>
      </c>
      <c r="M17" s="17">
        <v>0.13649999999999998</v>
      </c>
      <c r="N17" s="17">
        <v>0.40949999999999998</v>
      </c>
      <c r="O17" s="17">
        <v>0.40949999999999998</v>
      </c>
      <c r="P17" s="17">
        <v>0.40949999999999998</v>
      </c>
      <c r="Q17" s="17">
        <v>0.41</v>
      </c>
      <c r="R17" s="17">
        <v>0.41</v>
      </c>
      <c r="S17" s="17">
        <v>1</v>
      </c>
      <c r="T17" s="17"/>
      <c r="U17" s="17">
        <f t="shared" si="1"/>
        <v>0.72649652910676854</v>
      </c>
      <c r="V17" s="17">
        <v>1</v>
      </c>
      <c r="W17" s="9" t="s">
        <v>62</v>
      </c>
      <c r="X17" s="9">
        <f>INDEX('Unique Asset List'!$C$4:$I$60,MATCH('3'!$B17,'Unique Asset List'!$A$4:$A$60,0),MATCH('3'!$C$1,'Unique Asset List'!$C$3:$I$3,0))</f>
        <v>2024</v>
      </c>
      <c r="Y17" s="9">
        <f>INDEX('Unique Asset List'!$J$4:$P$60,MATCH('3'!$B17,'Unique Asset List'!$A$4:$A$60,0),MATCH('3'!$C$1,'Unique Asset List'!$J$3:$P$3,0))</f>
        <v>3</v>
      </c>
      <c r="Z17" s="9">
        <f>INDEX('Unique Asset List'!$X$4:$AD$60,MATCH('3'!$B17,'Unique Asset List'!$A$4:$A$60,0),MATCH('3'!$C$1,'Unique Asset List'!$X$3:$AD$3,0))</f>
        <v>2033</v>
      </c>
      <c r="AA17" s="9">
        <f>INDEX('Unique Asset List'!$AE$4:$AK$60,MATCH('3'!$B17,'Unique Asset List'!$A$4:$A$60,0),MATCH('3'!$C$1,'Unique Asset List'!$AE$3:$AK$3,0))</f>
        <v>3</v>
      </c>
      <c r="AB17" s="16">
        <f t="shared" si="2"/>
        <v>2.1526286000000003</v>
      </c>
      <c r="AC17" s="16">
        <f t="shared" si="3"/>
        <v>0.88497580000000009</v>
      </c>
      <c r="AD17" s="16">
        <f t="shared" si="4"/>
        <v>0.56099999999999994</v>
      </c>
      <c r="AE17" s="15">
        <f>INDEX('Unique Asset List'!$BN$4:$BT$60,MATCH('3'!$B17,'Unique Asset List'!$A$4:$A$60,0),MATCH('3'!$C$1,'Unique Asset List'!$BN$3:$BT$3,0))</f>
        <v>0.17</v>
      </c>
      <c r="AF17" s="15">
        <f>INDEX('Unique Asset List'!$BU$4:$CA$60,MATCH('3'!$B17,'Unique Asset List'!$A$4:$A$60,0),MATCH('3'!$C$1,'Unique Asset List'!$BU$3:$CA$3,0))</f>
        <v>0.33</v>
      </c>
      <c r="AG17" s="15">
        <f>INDEX('Unique Asset List'!$AZ$4:$BF$60,MATCH('3'!$B17,'Unique Asset List'!$A$4:$A$60,0),MATCH('3'!$C$1,'Unique Asset List'!$AZ$3:$BF$3,0))</f>
        <v>0.17</v>
      </c>
      <c r="AH17" s="15">
        <f>INDEX('Unique Asset List'!$BG$4:$BM$60,MATCH('3'!$B17,'Unique Asset List'!$A$4:$A$60,0),MATCH('3'!$C$1,'Unique Asset List'!$BG$3:$BM$3,0))</f>
        <v>0.33</v>
      </c>
      <c r="AI17" s="11">
        <v>0.96187963349867744</v>
      </c>
      <c r="AJ17" s="15">
        <f>INDEX('Unique Asset List'!$AL$4:$AR$60,MATCH('3'!$B17,'Unique Asset List'!$A$4:$A$60,0),MATCH('3'!$C$1,'Unique Asset List'!$AL$3:$AR$3,0))</f>
        <v>2.1252009430760062</v>
      </c>
      <c r="AK17" s="15">
        <f>INDEX('Unique Asset List'!$AS$4:$AY$60,MATCH('3'!$B17,'Unique Asset List'!$A$4:$A$60,0),MATCH('3'!$C$1,'Unique Asset List'!$AS$3:$AY$3,0))</f>
        <v>-1.7169645793441486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5"/>
        <v>0.82</v>
      </c>
      <c r="AS17" s="10">
        <v>1</v>
      </c>
      <c r="AT17" s="4">
        <f>IF($C$5="ON",BT17,MyRating(_E1,$B17,Efficacy!$F$1))</f>
        <v>4</v>
      </c>
      <c r="AU17" s="3">
        <f>IF($C$5="ON",BU17,MyRating(_E2,$B17,Efficacy!$F$1))</f>
        <v>4</v>
      </c>
      <c r="AV17" s="3">
        <f>IF($C$5="ON",BV17,MyRating(_E3,$B17,Efficacy!$F$1))</f>
        <v>4</v>
      </c>
      <c r="AW17" s="3">
        <f>IF($C$5="ON",BW17,MyRating(_E4,$B17,Efficacy!$F$1))</f>
        <v>4</v>
      </c>
      <c r="AX17" s="3">
        <f>IF($C$5="ON",BX17,MyRating(_E5,$B17,Efficacy!$F$1))</f>
        <v>3</v>
      </c>
      <c r="AY17" s="3">
        <f>IF($C$5="ON",BY17,MyRating(_E6,$B17,Efficacy!$F$1))</f>
        <v>3</v>
      </c>
      <c r="AZ17" s="3">
        <f>IF($C$5="ON",BZ17,MyRating(_E7,$B17,Efficacy!$F$1))</f>
        <v>3</v>
      </c>
      <c r="BA17" s="3">
        <f>IF($C$5="ON",CA17,MyRating(_E8,$B17,Efficacy!$F$1))</f>
        <v>5</v>
      </c>
      <c r="BB17" s="3">
        <f>IF($C$5="ON",CB17,MyRating(_S1,$B17,Efficacy!$F$1))</f>
        <v>4</v>
      </c>
      <c r="BC17" s="3">
        <f>IF($C$5="ON",CC17,MyRating(_S2,$B17,Efficacy!$F$1))</f>
        <v>3</v>
      </c>
      <c r="BD17" s="3">
        <f>IF($C$5="ON",CD17,MyRating(_S3,$B17,Efficacy!$F$1))</f>
        <v>3</v>
      </c>
      <c r="BE17" s="3">
        <f>IF($C$5="ON",CE17,MyRating(_S4,$B17,Efficacy!$F$1))</f>
        <v>3</v>
      </c>
      <c r="BF17" s="3">
        <f>IF($C$5="ON",CF17,MyRating(_S5,$B17,Efficacy!$F$1))</f>
        <v>5</v>
      </c>
      <c r="BG17" s="3">
        <f>IF($C$5="ON",CG17,MyRating(_S6,$B17,Efficacy!$F$1))</f>
        <v>2</v>
      </c>
      <c r="BH17" s="3">
        <f>IF($C$5="ON",CH17,MyRating(_S7,$B17,Efficacy!$F$1))</f>
        <v>3</v>
      </c>
      <c r="BI17" s="3">
        <f>IF($C$5="ON",CI17,MyRating(_D1,$B17,Efficacy!$F$1))</f>
        <v>3</v>
      </c>
      <c r="BJ17" s="3">
        <f>IF($C$5="ON",CJ17,MyRating(_D2,$B17,Efficacy!$F$1))</f>
        <v>3</v>
      </c>
      <c r="BK17" s="3">
        <f>IF($C$5="ON",CK17,MyRating(_D3,$B17,Efficacy!$F$1))</f>
        <v>3</v>
      </c>
      <c r="BL17" s="3">
        <f>IF($C$5="ON",CL17,MyRating(_D4,$B17,Efficacy!$F$1))</f>
        <v>3</v>
      </c>
      <c r="BM17" s="3">
        <f>IF($C$5="ON",CM17,MyRating(_B1G5,$B17,Barrier!$L$2))</f>
        <v>2</v>
      </c>
      <c r="BN17" s="3">
        <f>IF($C$5="ON",CN17,MyRating(_B2,$B17,Barrier!$F$2))</f>
        <v>3</v>
      </c>
      <c r="BO17" s="6">
        <f>IF($C$5="ON",CO17,MyRating(_B3,$B17,Barrier!$F$2))</f>
        <v>3</v>
      </c>
      <c r="BP17" s="5">
        <f t="shared" si="6"/>
        <v>3.6275844714639842E-2</v>
      </c>
      <c r="BQ17" s="8">
        <f t="shared" si="7"/>
        <v>2.9499999999999997</v>
      </c>
      <c r="BR17" s="5">
        <f t="shared" si="8"/>
        <v>3.60415394013439E-2</v>
      </c>
      <c r="BS17" s="7">
        <f t="shared" si="9"/>
        <v>1.8542316878791175E-2</v>
      </c>
      <c r="BT17" s="4">
        <v>4</v>
      </c>
      <c r="BU17" s="3">
        <v>4</v>
      </c>
      <c r="BV17" s="3">
        <v>4</v>
      </c>
      <c r="BW17" s="3">
        <v>4</v>
      </c>
      <c r="BX17" s="3">
        <v>3</v>
      </c>
      <c r="BY17" s="3">
        <v>3</v>
      </c>
      <c r="BZ17" s="3">
        <v>3</v>
      </c>
      <c r="CA17" s="3">
        <v>5</v>
      </c>
      <c r="CB17" s="3">
        <v>4</v>
      </c>
      <c r="CC17" s="3">
        <v>3</v>
      </c>
      <c r="CD17" s="3">
        <v>3</v>
      </c>
      <c r="CE17" s="3">
        <v>3</v>
      </c>
      <c r="CF17" s="3">
        <v>5</v>
      </c>
      <c r="CG17" s="3">
        <v>2</v>
      </c>
      <c r="CH17" s="3">
        <v>3</v>
      </c>
      <c r="CI17" s="3">
        <v>3</v>
      </c>
      <c r="CJ17" s="3">
        <v>3</v>
      </c>
      <c r="CK17" s="3">
        <v>3</v>
      </c>
      <c r="CL17" s="3">
        <v>3</v>
      </c>
      <c r="CM17" s="3">
        <v>2</v>
      </c>
      <c r="CN17" s="3">
        <v>3</v>
      </c>
      <c r="CO17" s="6">
        <v>3</v>
      </c>
      <c r="CP17" s="5">
        <v>3.6275844714639842E-2</v>
      </c>
      <c r="CQ17" s="61">
        <f t="shared" si="10"/>
        <v>2025</v>
      </c>
      <c r="CR17">
        <f t="shared" si="11"/>
        <v>6</v>
      </c>
    </row>
    <row r="18" spans="1:96" x14ac:dyDescent="0.35">
      <c r="A18" s="9" t="str">
        <f t="shared" si="0"/>
        <v>FR</v>
      </c>
      <c r="B18" s="9" t="s">
        <v>89</v>
      </c>
      <c r="C18" s="20"/>
      <c r="D18" s="9" t="s">
        <v>64</v>
      </c>
      <c r="E18" s="9" t="s">
        <v>193</v>
      </c>
      <c r="F18" s="9" t="s">
        <v>63</v>
      </c>
      <c r="G18" s="19">
        <v>0</v>
      </c>
      <c r="H18" s="9">
        <v>2014</v>
      </c>
      <c r="I18" s="9">
        <v>6</v>
      </c>
      <c r="J18" s="18">
        <f>INDEX(PTRS!$D$6:$D$12,MATCH('3'!$F18,PTRS!$B$6:$B$12,0))</f>
        <v>0.58500000000000008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0.58500000000000008</v>
      </c>
      <c r="Q18" s="17">
        <v>1</v>
      </c>
      <c r="R18" s="17">
        <v>1</v>
      </c>
      <c r="S18" s="17">
        <v>1</v>
      </c>
      <c r="T18" s="17"/>
      <c r="U18" s="17">
        <f t="shared" si="1"/>
        <v>0.72649652910676854</v>
      </c>
      <c r="V18" s="17">
        <v>0.25</v>
      </c>
      <c r="W18" s="9" t="s">
        <v>54</v>
      </c>
      <c r="X18" s="9">
        <f>INDEX('Unique Asset List'!$C$4:$I$60,MATCH('3'!$B18,'Unique Asset List'!$A$4:$A$60,0),MATCH('3'!$C$1,'Unique Asset List'!$C$3:$I$3,0))</f>
        <v>2018</v>
      </c>
      <c r="Y18" s="9">
        <f>INDEX('Unique Asset List'!$J$4:$P$60,MATCH('3'!$B18,'Unique Asset List'!$A$4:$A$60,0),MATCH('3'!$C$1,'Unique Asset List'!$J$3:$P$3,0))</f>
        <v>3</v>
      </c>
      <c r="Z18" s="9">
        <f>INDEX('Unique Asset List'!$X$4:$AD$60,MATCH('3'!$B18,'Unique Asset List'!$A$4:$A$60,0),MATCH('3'!$C$1,'Unique Asset List'!$X$3:$AD$3,0))</f>
        <v>2033</v>
      </c>
      <c r="AA18" s="9">
        <f>INDEX('Unique Asset List'!$AE$4:$AK$60,MATCH('3'!$B18,'Unique Asset List'!$A$4:$A$60,0),MATCH('3'!$C$1,'Unique Asset List'!$AE$3:$AK$3,0))</f>
        <v>11</v>
      </c>
      <c r="AB18" s="16">
        <f t="shared" si="2"/>
        <v>1.8285232000000005</v>
      </c>
      <c r="AC18" s="16">
        <f t="shared" si="3"/>
        <v>0.82350590000000001</v>
      </c>
      <c r="AD18" s="16">
        <f t="shared" si="4"/>
        <v>0.52097279586</v>
      </c>
      <c r="AE18" s="15">
        <f>INDEX('Unique Asset List'!$BN$4:$BT$60,MATCH('3'!$B18,'Unique Asset List'!$A$4:$A$60,0),MATCH('3'!$C$1,'Unique Asset List'!$BN$3:$BT$3,0))</f>
        <v>0.12</v>
      </c>
      <c r="AF18" s="15">
        <f>INDEX('Unique Asset List'!$BU$4:$CA$60,MATCH('3'!$B18,'Unique Asset List'!$A$4:$A$60,0),MATCH('3'!$C$1,'Unique Asset List'!$BU$3:$CA$3,0))</f>
        <v>0.38</v>
      </c>
      <c r="AG18" s="15">
        <f>INDEX('Unique Asset List'!$AZ$4:$BF$60,MATCH('3'!$B18,'Unique Asset List'!$A$4:$A$60,0),MATCH('3'!$C$1,'Unique Asset List'!$AZ$3:$BF$3,0))</f>
        <v>0.12</v>
      </c>
      <c r="AH18" s="15">
        <f>INDEX('Unique Asset List'!$BG$4:$BM$60,MATCH('3'!$B18,'Unique Asset List'!$A$4:$A$60,0),MATCH('3'!$C$1,'Unique Asset List'!$BG$3:$BM$3,0))</f>
        <v>0.38</v>
      </c>
      <c r="AI18" s="11">
        <v>0.96187963349867744</v>
      </c>
      <c r="AJ18" s="15">
        <f>INDEX('Unique Asset List'!$AL$4:$AR$60,MATCH('3'!$B18,'Unique Asset List'!$A$4:$A$60,0),MATCH('3'!$C$1,'Unique Asset List'!$AL$3:$AR$3,0))</f>
        <v>2.1252009430760062</v>
      </c>
      <c r="AK18" s="15">
        <f>INDEX('Unique Asset List'!$AS$4:$AY$60,MATCH('3'!$B18,'Unique Asset List'!$A$4:$A$60,0),MATCH('3'!$C$1,'Unique Asset List'!$AS$3:$AY$3,0))</f>
        <v>-1.7169645793441486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5"/>
        <v>0.82</v>
      </c>
      <c r="AS18" s="10">
        <v>1</v>
      </c>
      <c r="AT18" s="4">
        <f>IF($C$5="ON",BT18,MyRating(_E1,$B18,Efficacy!$F$1))</f>
        <v>3</v>
      </c>
      <c r="AU18" s="3">
        <f>IF($C$5="ON",BU18,MyRating(_E2,$B18,Efficacy!$F$1))</f>
        <v>4</v>
      </c>
      <c r="AV18" s="3">
        <f>IF($C$5="ON",BV18,MyRating(_E3,$B18,Efficacy!$F$1))</f>
        <v>3</v>
      </c>
      <c r="AW18" s="3">
        <f>IF($C$5="ON",BW18,MyRating(_E4,$B18,Efficacy!$F$1))</f>
        <v>3</v>
      </c>
      <c r="AX18" s="3">
        <f>IF($C$5="ON",BX18,MyRating(_E5,$B18,Efficacy!$F$1))</f>
        <v>3</v>
      </c>
      <c r="AY18" s="3">
        <f>IF($C$5="ON",BY18,MyRating(_E6,$B18,Efficacy!$F$1))</f>
        <v>3</v>
      </c>
      <c r="AZ18" s="3">
        <f>IF($C$5="ON",BZ18,MyRating(_E7,$B18,Efficacy!$F$1))</f>
        <v>3</v>
      </c>
      <c r="BA18" s="3">
        <f>IF($C$5="ON",CA18,MyRating(_E8,$B18,Efficacy!$F$1))</f>
        <v>4</v>
      </c>
      <c r="BB18" s="3">
        <f>IF($C$5="ON",CB18,MyRating(_S1,$B18,Efficacy!$F$1))</f>
        <v>3</v>
      </c>
      <c r="BC18" s="3">
        <f>IF($C$5="ON",CC18,MyRating(_S2,$B18,Efficacy!$F$1))</f>
        <v>3</v>
      </c>
      <c r="BD18" s="3">
        <f>IF($C$5="ON",CD18,MyRating(_S3,$B18,Efficacy!$F$1))</f>
        <v>3</v>
      </c>
      <c r="BE18" s="3">
        <f>IF($C$5="ON",CE18,MyRating(_S4,$B18,Efficacy!$F$1))</f>
        <v>3</v>
      </c>
      <c r="BF18" s="3">
        <f>IF($C$5="ON",CF18,MyRating(_S5,$B18,Efficacy!$F$1))</f>
        <v>5</v>
      </c>
      <c r="BG18" s="3">
        <f>IF($C$5="ON",CG18,MyRating(_S6,$B18,Efficacy!$F$1))</f>
        <v>2</v>
      </c>
      <c r="BH18" s="3">
        <f>IF($C$5="ON",CH18,MyRating(_S7,$B18,Efficacy!$F$1))</f>
        <v>3</v>
      </c>
      <c r="BI18" s="3">
        <f>IF($C$5="ON",CI18,MyRating(_D1,$B18,Efficacy!$F$1))</f>
        <v>3</v>
      </c>
      <c r="BJ18" s="3">
        <f>IF($C$5="ON",CJ18,MyRating(_D2,$B18,Efficacy!$F$1))</f>
        <v>2</v>
      </c>
      <c r="BK18" s="3">
        <f>IF($C$5="ON",CK18,MyRating(_D3,$B18,Efficacy!$F$1))</f>
        <v>3</v>
      </c>
      <c r="BL18" s="3">
        <f>IF($C$5="ON",CL18,MyRating(_D4,$B18,Efficacy!$F$1))</f>
        <v>3</v>
      </c>
      <c r="BM18" s="3">
        <f>IF($C$5="ON",CM18,MyRating(_B1G5,$B18,Barrier!$L$2))</f>
        <v>2</v>
      </c>
      <c r="BN18" s="3">
        <f>IF($C$5="ON",CN18,MyRating(_B2,$B18,Barrier!$F$2))</f>
        <v>3</v>
      </c>
      <c r="BO18" s="6">
        <f>IF($C$5="ON",CO18,MyRating(_B3,$B18,Barrier!$F$2))</f>
        <v>3</v>
      </c>
      <c r="BP18" s="5">
        <f t="shared" si="6"/>
        <v>3.6275844714639842E-2</v>
      </c>
      <c r="BQ18" s="8">
        <f t="shared" si="7"/>
        <v>2.9499999999999997</v>
      </c>
      <c r="BR18" s="5">
        <f t="shared" si="8"/>
        <v>3.60415394013439E-2</v>
      </c>
      <c r="BS18" s="7">
        <f t="shared" si="9"/>
        <v>1.8542316878791175E-2</v>
      </c>
      <c r="BT18" s="4">
        <v>3</v>
      </c>
      <c r="BU18" s="3">
        <v>4</v>
      </c>
      <c r="BV18" s="3">
        <v>3</v>
      </c>
      <c r="BW18" s="3">
        <v>3</v>
      </c>
      <c r="BX18" s="3">
        <v>3</v>
      </c>
      <c r="BY18" s="3">
        <v>3</v>
      </c>
      <c r="BZ18" s="3">
        <v>3</v>
      </c>
      <c r="CA18" s="3">
        <v>4</v>
      </c>
      <c r="CB18" s="3">
        <v>3</v>
      </c>
      <c r="CC18" s="3">
        <v>3</v>
      </c>
      <c r="CD18" s="3">
        <v>3</v>
      </c>
      <c r="CE18" s="3">
        <v>3</v>
      </c>
      <c r="CF18" s="3">
        <v>5</v>
      </c>
      <c r="CG18" s="3">
        <v>2</v>
      </c>
      <c r="CH18" s="3">
        <v>3</v>
      </c>
      <c r="CI18" s="3">
        <v>3</v>
      </c>
      <c r="CJ18" s="3">
        <v>2</v>
      </c>
      <c r="CK18" s="3">
        <v>3</v>
      </c>
      <c r="CL18" s="3">
        <v>3</v>
      </c>
      <c r="CM18" s="3">
        <v>2</v>
      </c>
      <c r="CN18" s="3">
        <v>3</v>
      </c>
      <c r="CO18" s="6">
        <v>3</v>
      </c>
      <c r="CP18" s="5">
        <v>3.6275844714639842E-2</v>
      </c>
      <c r="CQ18" s="61">
        <f t="shared" si="10"/>
        <v>2019</v>
      </c>
      <c r="CR18">
        <f t="shared" si="11"/>
        <v>6</v>
      </c>
    </row>
    <row r="19" spans="1:96" x14ac:dyDescent="0.35">
      <c r="A19" s="9" t="str">
        <f t="shared" si="0"/>
        <v>FR</v>
      </c>
      <c r="B19" s="9" t="s">
        <v>78</v>
      </c>
      <c r="C19" s="20"/>
      <c r="D19" s="9" t="s">
        <v>77</v>
      </c>
      <c r="E19" s="9" t="s">
        <v>193</v>
      </c>
      <c r="F19" s="9" t="s">
        <v>51</v>
      </c>
      <c r="G19" s="19">
        <v>0</v>
      </c>
      <c r="H19" s="9">
        <v>2014</v>
      </c>
      <c r="I19" s="9">
        <v>6</v>
      </c>
      <c r="J19" s="18">
        <f>INDEX(PTRS!$D$6:$D$12,MATCH('3'!$F19,PTRS!$B$6:$B$12,0))</f>
        <v>0.1638</v>
      </c>
      <c r="K19" s="17">
        <v>0</v>
      </c>
      <c r="L19" s="17">
        <v>0.1638</v>
      </c>
      <c r="M19" s="17">
        <v>5.4600000000000003E-2</v>
      </c>
      <c r="N19" s="17">
        <v>0.1638</v>
      </c>
      <c r="O19" s="17">
        <v>0.1638</v>
      </c>
      <c r="P19" s="17">
        <v>0.1638</v>
      </c>
      <c r="Q19" s="17">
        <v>0.16</v>
      </c>
      <c r="R19" s="17">
        <v>0.16</v>
      </c>
      <c r="S19" s="17">
        <v>1</v>
      </c>
      <c r="T19" s="17"/>
      <c r="U19" s="17">
        <f t="shared" si="1"/>
        <v>0.72649652910676854</v>
      </c>
      <c r="V19" s="17">
        <v>1</v>
      </c>
      <c r="W19" s="9" t="s">
        <v>62</v>
      </c>
      <c r="X19" s="9">
        <f>INDEX('Unique Asset List'!$C$4:$I$60,MATCH('3'!$B19,'Unique Asset List'!$A$4:$A$60,0),MATCH('3'!$C$1,'Unique Asset List'!$C$3:$I$3,0))</f>
        <v>2025</v>
      </c>
      <c r="Y19" s="9">
        <f>INDEX('Unique Asset List'!$J$4:$P$60,MATCH('3'!$B19,'Unique Asset List'!$A$4:$A$60,0),MATCH('3'!$C$1,'Unique Asset List'!$J$3:$P$3,0))</f>
        <v>6.9999999999990905</v>
      </c>
      <c r="Z19" s="9">
        <f>INDEX('Unique Asset List'!$X$4:$AD$60,MATCH('3'!$B19,'Unique Asset List'!$A$4:$A$60,0),MATCH('3'!$C$1,'Unique Asset List'!$X$3:$AD$3,0))</f>
        <v>2034</v>
      </c>
      <c r="AA19" s="9">
        <f>INDEX('Unique Asset List'!$AE$4:$AK$60,MATCH('3'!$B19,'Unique Asset List'!$A$4:$A$60,0),MATCH('3'!$C$1,'Unique Asset List'!$AE$3:$AK$3,0))</f>
        <v>7</v>
      </c>
      <c r="AB19" s="16">
        <f t="shared" si="2"/>
        <v>1.8922540000000003</v>
      </c>
      <c r="AC19" s="16">
        <f t="shared" si="3"/>
        <v>0.88497580000000009</v>
      </c>
      <c r="AD19" s="16">
        <f t="shared" si="4"/>
        <v>0.56099999999999994</v>
      </c>
      <c r="AE19" s="15">
        <f>INDEX('Unique Asset List'!$BN$4:$BT$60,MATCH('3'!$B19,'Unique Asset List'!$A$4:$A$60,0),MATCH('3'!$C$1,'Unique Asset List'!$BN$3:$BT$3,0))</f>
        <v>0.17</v>
      </c>
      <c r="AF19" s="15">
        <f>INDEX('Unique Asset List'!$BU$4:$CA$60,MATCH('3'!$B19,'Unique Asset List'!$A$4:$A$60,0),MATCH('3'!$C$1,'Unique Asset List'!$BU$3:$CA$3,0))</f>
        <v>0.33</v>
      </c>
      <c r="AG19" s="15">
        <f>INDEX('Unique Asset List'!$AZ$4:$BF$60,MATCH('3'!$B19,'Unique Asset List'!$A$4:$A$60,0),MATCH('3'!$C$1,'Unique Asset List'!$AZ$3:$BF$3,0))</f>
        <v>0.17</v>
      </c>
      <c r="AH19" s="15">
        <f>INDEX('Unique Asset List'!$BG$4:$BM$60,MATCH('3'!$B19,'Unique Asset List'!$A$4:$A$60,0),MATCH('3'!$C$1,'Unique Asset List'!$BG$3:$BM$3,0))</f>
        <v>0.33</v>
      </c>
      <c r="AI19" s="11">
        <v>0.96187963349867744</v>
      </c>
      <c r="AJ19" s="15">
        <f>INDEX('Unique Asset List'!$AL$4:$AR$60,MATCH('3'!$B19,'Unique Asset List'!$A$4:$A$60,0),MATCH('3'!$C$1,'Unique Asset List'!$AL$3:$AR$3,0))</f>
        <v>2.1252009430760062</v>
      </c>
      <c r="AK19" s="15">
        <f>INDEX('Unique Asset List'!$AS$4:$AY$60,MATCH('3'!$B19,'Unique Asset List'!$A$4:$A$60,0),MATCH('3'!$C$1,'Unique Asset List'!$AS$3:$AY$3,0))</f>
        <v>-1.7169645793441486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5"/>
        <v>0.82</v>
      </c>
      <c r="AS19" s="10">
        <v>1</v>
      </c>
      <c r="AT19" s="4">
        <f>IF($C$5="ON",BT19,MyRating(_E1,$B19,Efficacy!$F$1))</f>
        <v>3</v>
      </c>
      <c r="AU19" s="3">
        <f>IF($C$5="ON",BU19,MyRating(_E2,$B19,Efficacy!$F$1))</f>
        <v>3</v>
      </c>
      <c r="AV19" s="3">
        <f>IF($C$5="ON",BV19,MyRating(_E3,$B19,Efficacy!$F$1))</f>
        <v>3</v>
      </c>
      <c r="AW19" s="3">
        <f>IF($C$5="ON",BW19,MyRating(_E4,$B19,Efficacy!$F$1))</f>
        <v>4</v>
      </c>
      <c r="AX19" s="3">
        <f>IF($C$5="ON",BX19,MyRating(_E5,$B19,Efficacy!$F$1))</f>
        <v>3</v>
      </c>
      <c r="AY19" s="3">
        <f>IF($C$5="ON",BY19,MyRating(_E6,$B19,Efficacy!$F$1))</f>
        <v>3</v>
      </c>
      <c r="AZ19" s="3">
        <f>IF($C$5="ON",BZ19,MyRating(_E7,$B19,Efficacy!$F$1))</f>
        <v>3</v>
      </c>
      <c r="BA19" s="3">
        <f>IF($C$5="ON",CA19,MyRating(_E8,$B19,Efficacy!$F$1))</f>
        <v>5</v>
      </c>
      <c r="BB19" s="3">
        <f>IF($C$5="ON",CB19,MyRating(_S1,$B19,Efficacy!$F$1))</f>
        <v>4</v>
      </c>
      <c r="BC19" s="3">
        <f>IF($C$5="ON",CC19,MyRating(_S2,$B19,Efficacy!$F$1))</f>
        <v>3</v>
      </c>
      <c r="BD19" s="3">
        <f>IF($C$5="ON",CD19,MyRating(_S3,$B19,Efficacy!$F$1))</f>
        <v>3</v>
      </c>
      <c r="BE19" s="3">
        <f>IF($C$5="ON",CE19,MyRating(_S4,$B19,Efficacy!$F$1))</f>
        <v>3</v>
      </c>
      <c r="BF19" s="3">
        <f>IF($C$5="ON",CF19,MyRating(_S5,$B19,Efficacy!$F$1))</f>
        <v>5</v>
      </c>
      <c r="BG19" s="3">
        <f>IF($C$5="ON",CG19,MyRating(_S6,$B19,Efficacy!$F$1))</f>
        <v>2</v>
      </c>
      <c r="BH19" s="3">
        <f>IF($C$5="ON",CH19,MyRating(_S7,$B19,Efficacy!$F$1))</f>
        <v>3</v>
      </c>
      <c r="BI19" s="3">
        <f>IF($C$5="ON",CI19,MyRating(_D1,$B19,Efficacy!$F$1))</f>
        <v>3</v>
      </c>
      <c r="BJ19" s="3">
        <f>IF($C$5="ON",CJ19,MyRating(_D2,$B19,Efficacy!$F$1))</f>
        <v>3</v>
      </c>
      <c r="BK19" s="3">
        <f>IF($C$5="ON",CK19,MyRating(_D3,$B19,Efficacy!$F$1))</f>
        <v>3</v>
      </c>
      <c r="BL19" s="3">
        <f>IF($C$5="ON",CL19,MyRating(_D4,$B19,Efficacy!$F$1))</f>
        <v>3</v>
      </c>
      <c r="BM19" s="3">
        <f>IF($C$5="ON",CM19,MyRating(_B1G5,$B19,Barrier!$L$2))</f>
        <v>2</v>
      </c>
      <c r="BN19" s="3">
        <f>IF($C$5="ON",CN19,MyRating(_B2,$B19,Barrier!$F$2))</f>
        <v>3</v>
      </c>
      <c r="BO19" s="6">
        <f>IF($C$5="ON",CO19,MyRating(_B3,$B19,Barrier!$F$2))</f>
        <v>3</v>
      </c>
      <c r="BP19" s="5">
        <f t="shared" si="6"/>
        <v>3.6275844714639842E-2</v>
      </c>
      <c r="BQ19" s="8">
        <f t="shared" si="7"/>
        <v>2.9499999999999997</v>
      </c>
      <c r="BR19" s="5">
        <f t="shared" si="8"/>
        <v>3.60415394013439E-2</v>
      </c>
      <c r="BS19" s="7">
        <f t="shared" si="9"/>
        <v>1.8542316878791175E-2</v>
      </c>
      <c r="BT19" s="4">
        <v>3</v>
      </c>
      <c r="BU19" s="3">
        <v>3</v>
      </c>
      <c r="BV19" s="3">
        <v>3</v>
      </c>
      <c r="BW19" s="3">
        <v>4</v>
      </c>
      <c r="BX19" s="3">
        <v>3</v>
      </c>
      <c r="BY19" s="3">
        <v>3</v>
      </c>
      <c r="BZ19" s="3">
        <v>3</v>
      </c>
      <c r="CA19" s="3">
        <v>5</v>
      </c>
      <c r="CB19" s="3">
        <v>4</v>
      </c>
      <c r="CC19" s="3">
        <v>3</v>
      </c>
      <c r="CD19" s="3">
        <v>3</v>
      </c>
      <c r="CE19" s="3">
        <v>3</v>
      </c>
      <c r="CF19" s="3">
        <v>5</v>
      </c>
      <c r="CG19" s="3">
        <v>2</v>
      </c>
      <c r="CH19" s="3">
        <v>3</v>
      </c>
      <c r="CI19" s="3">
        <v>3</v>
      </c>
      <c r="CJ19" s="3">
        <v>3</v>
      </c>
      <c r="CK19" s="3">
        <v>3</v>
      </c>
      <c r="CL19" s="3">
        <v>3</v>
      </c>
      <c r="CM19" s="3">
        <v>2</v>
      </c>
      <c r="CN19" s="3">
        <v>3</v>
      </c>
      <c r="CO19" s="6">
        <v>3</v>
      </c>
      <c r="CP19" s="5">
        <v>3.6275844714639842E-2</v>
      </c>
      <c r="CQ19" s="61">
        <f t="shared" si="10"/>
        <v>2026</v>
      </c>
      <c r="CR19">
        <f t="shared" si="11"/>
        <v>9.9999999999990905</v>
      </c>
    </row>
    <row r="20" spans="1:96" x14ac:dyDescent="0.35">
      <c r="A20" s="9" t="str">
        <f t="shared" si="0"/>
        <v>FR</v>
      </c>
      <c r="B20" s="9" t="s">
        <v>39</v>
      </c>
      <c r="C20" s="20"/>
      <c r="D20" s="9" t="s">
        <v>2</v>
      </c>
      <c r="E20" s="9" t="s">
        <v>193</v>
      </c>
      <c r="F20" s="9" t="s">
        <v>43</v>
      </c>
      <c r="G20" s="19">
        <v>0</v>
      </c>
      <c r="H20" s="9">
        <v>2014</v>
      </c>
      <c r="I20" s="9">
        <v>6</v>
      </c>
      <c r="J20" s="18">
        <f>INDEX(PTRS!$D$6:$D$12,MATCH('3'!$F20,PTRS!$B$6:$B$12,0))</f>
        <v>0.40949999999999998</v>
      </c>
      <c r="K20" s="17">
        <v>0</v>
      </c>
      <c r="L20" s="17">
        <v>0.40949999999999998</v>
      </c>
      <c r="M20" s="17">
        <v>0.40949999999999998</v>
      </c>
      <c r="N20" s="17">
        <v>0.4</v>
      </c>
      <c r="O20" s="17">
        <v>0.4</v>
      </c>
      <c r="P20" s="17">
        <v>0.40949999999999998</v>
      </c>
      <c r="Q20" s="17">
        <v>1</v>
      </c>
      <c r="R20" s="17">
        <v>1</v>
      </c>
      <c r="S20" s="17">
        <v>1</v>
      </c>
      <c r="T20" s="17"/>
      <c r="U20" s="17">
        <f t="shared" si="1"/>
        <v>0.72649652910676854</v>
      </c>
      <c r="V20" s="17">
        <v>1</v>
      </c>
      <c r="W20" s="9" t="s">
        <v>38</v>
      </c>
      <c r="X20" s="9">
        <f>INDEX('Unique Asset List'!$C$4:$I$60,MATCH('3'!$B20,'Unique Asset List'!$A$4:$A$60,0),MATCH('3'!$C$1,'Unique Asset List'!$C$3:$I$3,0))</f>
        <v>2024</v>
      </c>
      <c r="Y20" s="9">
        <f>INDEX('Unique Asset List'!$J$4:$P$60,MATCH('3'!$B20,'Unique Asset List'!$A$4:$A$60,0),MATCH('3'!$C$1,'Unique Asset List'!$J$3:$P$3,0))</f>
        <v>8.0000000000009095</v>
      </c>
      <c r="Z20" s="9">
        <f>INDEX('Unique Asset List'!$X$4:$AD$60,MATCH('3'!$B20,'Unique Asset List'!$A$4:$A$60,0),MATCH('3'!$C$1,'Unique Asset List'!$X$3:$AD$3,0))</f>
        <v>2034</v>
      </c>
      <c r="AA20" s="9">
        <f>INDEX('Unique Asset List'!$AE$4:$AK$60,MATCH('3'!$B20,'Unique Asset List'!$A$4:$A$60,0),MATCH('3'!$C$1,'Unique Asset List'!$AE$3:$AK$3,0))</f>
        <v>3</v>
      </c>
      <c r="AB20" s="16">
        <f t="shared" si="2"/>
        <v>1.7951404000000002</v>
      </c>
      <c r="AC20" s="16">
        <f t="shared" si="3"/>
        <v>0.94451300000000005</v>
      </c>
      <c r="AD20" s="16">
        <f t="shared" si="4"/>
        <v>0.52097279586</v>
      </c>
      <c r="AE20" s="15">
        <f>INDEX('Unique Asset List'!$BN$4:$BT$60,MATCH('3'!$B20,'Unique Asset List'!$A$4:$A$60,0),MATCH('3'!$C$1,'Unique Asset List'!$BN$3:$BT$3,0))</f>
        <v>0.12</v>
      </c>
      <c r="AF20" s="15">
        <f>INDEX('Unique Asset List'!$BU$4:$CA$60,MATCH('3'!$B20,'Unique Asset List'!$A$4:$A$60,0),MATCH('3'!$C$1,'Unique Asset List'!$BU$3:$CA$3,0))</f>
        <v>0.38</v>
      </c>
      <c r="AG20" s="15">
        <f>INDEX('Unique Asset List'!$AZ$4:$BF$60,MATCH('3'!$B20,'Unique Asset List'!$A$4:$A$60,0),MATCH('3'!$C$1,'Unique Asset List'!$AZ$3:$BF$3,0))</f>
        <v>0.12</v>
      </c>
      <c r="AH20" s="15">
        <f>INDEX('Unique Asset List'!$BG$4:$BM$60,MATCH('3'!$B20,'Unique Asset List'!$A$4:$A$60,0),MATCH('3'!$C$1,'Unique Asset List'!$BG$3:$BM$3,0))</f>
        <v>0.38</v>
      </c>
      <c r="AI20" s="11">
        <v>0.96187963349867744</v>
      </c>
      <c r="AJ20" s="15">
        <f>INDEX('Unique Asset List'!$AL$4:$AR$60,MATCH('3'!$B20,'Unique Asset List'!$A$4:$A$60,0),MATCH('3'!$C$1,'Unique Asset List'!$AL$3:$AR$3,0))</f>
        <v>2.1252009430760062</v>
      </c>
      <c r="AK20" s="15">
        <f>INDEX('Unique Asset List'!$AS$4:$AY$60,MATCH('3'!$B20,'Unique Asset List'!$A$4:$A$60,0),MATCH('3'!$C$1,'Unique Asset List'!$AS$3:$AY$3,0))</f>
        <v>-1.7169645793441486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5"/>
        <v>0.82</v>
      </c>
      <c r="AS20" s="10">
        <v>1</v>
      </c>
      <c r="AT20" s="4">
        <f>IF($C$5="ON",BT20,MyRating(_E1,$B20,Efficacy!$F$1))</f>
        <v>4</v>
      </c>
      <c r="AU20" s="3">
        <f>IF($C$5="ON",BU20,MyRating(_E2,$B20,Efficacy!$F$1))</f>
        <v>3</v>
      </c>
      <c r="AV20" s="3">
        <f>IF($C$5="ON",BV20,MyRating(_E3,$B20,Efficacy!$F$1))</f>
        <v>3</v>
      </c>
      <c r="AW20" s="3">
        <f>IF($C$5="ON",BW20,MyRating(_E4,$B20,Efficacy!$F$1))</f>
        <v>4</v>
      </c>
      <c r="AX20" s="3">
        <f>IF($C$5="ON",BX20,MyRating(_E5,$B20,Efficacy!$F$1))</f>
        <v>3</v>
      </c>
      <c r="AY20" s="3">
        <f>IF($C$5="ON",BY20,MyRating(_E6,$B20,Efficacy!$F$1))</f>
        <v>2</v>
      </c>
      <c r="AZ20" s="3">
        <f>IF($C$5="ON",BZ20,MyRating(_E7,$B20,Efficacy!$F$1))</f>
        <v>3</v>
      </c>
      <c r="BA20" s="3">
        <f>IF($C$5="ON",CA20,MyRating(_E8,$B20,Efficacy!$F$1))</f>
        <v>3</v>
      </c>
      <c r="BB20" s="3">
        <f>IF($C$5="ON",CB20,MyRating(_S1,$B20,Efficacy!$F$1))</f>
        <v>4</v>
      </c>
      <c r="BC20" s="3">
        <f>IF($C$5="ON",CC20,MyRating(_S2,$B20,Efficacy!$F$1))</f>
        <v>4</v>
      </c>
      <c r="BD20" s="3">
        <f>IF($C$5="ON",CD20,MyRating(_S3,$B20,Efficacy!$F$1))</f>
        <v>3</v>
      </c>
      <c r="BE20" s="3">
        <f>IF($C$5="ON",CE20,MyRating(_S4,$B20,Efficacy!$F$1))</f>
        <v>4</v>
      </c>
      <c r="BF20" s="3">
        <f>IF($C$5="ON",CF20,MyRating(_S5,$B20,Efficacy!$F$1))</f>
        <v>5</v>
      </c>
      <c r="BG20" s="3">
        <f>IF($C$5="ON",CG20,MyRating(_S6,$B20,Efficacy!$F$1))</f>
        <v>2</v>
      </c>
      <c r="BH20" s="3">
        <f>IF($C$5="ON",CH20,MyRating(_S7,$B20,Efficacy!$F$1))</f>
        <v>3</v>
      </c>
      <c r="BI20" s="3">
        <f>IF($C$5="ON",CI20,MyRating(_D1,$B20,Efficacy!$F$1))</f>
        <v>3</v>
      </c>
      <c r="BJ20" s="3">
        <f>IF($C$5="ON",CJ20,MyRating(_D2,$B20,Efficacy!$F$1))</f>
        <v>2</v>
      </c>
      <c r="BK20" s="3">
        <f>IF($C$5="ON",CK20,MyRating(_D3,$B20,Efficacy!$F$1))</f>
        <v>3</v>
      </c>
      <c r="BL20" s="3">
        <f>IF($C$5="ON",CL20,MyRating(_D4,$B20,Efficacy!$F$1))</f>
        <v>3</v>
      </c>
      <c r="BM20" s="3">
        <f>IF($C$5="ON",CM20,MyRating(_B1G5,$B20,Barrier!$L$2))</f>
        <v>2</v>
      </c>
      <c r="BN20" s="3">
        <f>IF($C$5="ON",CN20,MyRating(_B2,$B20,Barrier!$F$2))</f>
        <v>3</v>
      </c>
      <c r="BO20" s="6">
        <f>IF($C$5="ON",CO20,MyRating(_B3,$B20,Barrier!$F$2))</f>
        <v>3</v>
      </c>
      <c r="BP20" s="5">
        <f t="shared" si="6"/>
        <v>3.6275844714639842E-2</v>
      </c>
      <c r="BQ20" s="8">
        <f t="shared" si="7"/>
        <v>2.9499999999999997</v>
      </c>
      <c r="BR20" s="5">
        <f t="shared" si="8"/>
        <v>3.60415394013439E-2</v>
      </c>
      <c r="BS20" s="7">
        <f t="shared" si="9"/>
        <v>1.8542316878791175E-2</v>
      </c>
      <c r="BT20" s="4">
        <v>4</v>
      </c>
      <c r="BU20" s="3">
        <v>3</v>
      </c>
      <c r="BV20" s="3">
        <v>3</v>
      </c>
      <c r="BW20" s="3">
        <v>4</v>
      </c>
      <c r="BX20" s="3">
        <v>3</v>
      </c>
      <c r="BY20" s="3">
        <v>2</v>
      </c>
      <c r="BZ20" s="3">
        <v>3</v>
      </c>
      <c r="CA20" s="3">
        <v>3</v>
      </c>
      <c r="CB20" s="3">
        <v>4</v>
      </c>
      <c r="CC20" s="3">
        <v>4</v>
      </c>
      <c r="CD20" s="3">
        <v>3</v>
      </c>
      <c r="CE20" s="3">
        <v>4</v>
      </c>
      <c r="CF20" s="3">
        <v>5</v>
      </c>
      <c r="CG20" s="3">
        <v>2</v>
      </c>
      <c r="CH20" s="3">
        <v>3</v>
      </c>
      <c r="CI20" s="3">
        <v>3</v>
      </c>
      <c r="CJ20" s="3">
        <v>2</v>
      </c>
      <c r="CK20" s="3">
        <v>3</v>
      </c>
      <c r="CL20" s="3">
        <v>3</v>
      </c>
      <c r="CM20" s="3">
        <v>2</v>
      </c>
      <c r="CN20" s="3">
        <v>3</v>
      </c>
      <c r="CO20" s="6">
        <v>3</v>
      </c>
      <c r="CP20" s="5">
        <v>3.6275844714639842E-2</v>
      </c>
      <c r="CQ20" s="61">
        <f t="shared" si="10"/>
        <v>2025</v>
      </c>
      <c r="CR20">
        <f t="shared" si="11"/>
        <v>11.000000000000909</v>
      </c>
    </row>
    <row r="21" spans="1:96" x14ac:dyDescent="0.35">
      <c r="A21" s="9" t="str">
        <f t="shared" si="0"/>
        <v>FR</v>
      </c>
      <c r="B21" s="9" t="s">
        <v>76</v>
      </c>
      <c r="C21" s="20"/>
      <c r="D21" s="9" t="s">
        <v>75</v>
      </c>
      <c r="E21" s="9" t="s">
        <v>193</v>
      </c>
      <c r="F21" s="9" t="s">
        <v>51</v>
      </c>
      <c r="G21" s="19">
        <v>0</v>
      </c>
      <c r="H21" s="9">
        <v>2014</v>
      </c>
      <c r="I21" s="9">
        <v>6</v>
      </c>
      <c r="J21" s="18">
        <f>INDEX(PTRS!$D$6:$D$12,MATCH('3'!$F21,PTRS!$B$6:$B$12,0))</f>
        <v>0.1638</v>
      </c>
      <c r="K21" s="17">
        <v>0</v>
      </c>
      <c r="L21" s="17">
        <v>0.1638</v>
      </c>
      <c r="M21" s="17">
        <v>0.1638</v>
      </c>
      <c r="N21" s="17">
        <v>0.1638</v>
      </c>
      <c r="O21" s="17">
        <v>0.1638</v>
      </c>
      <c r="P21" s="17">
        <v>0.1638</v>
      </c>
      <c r="Q21" s="17">
        <v>0.16</v>
      </c>
      <c r="R21" s="17">
        <v>0.16</v>
      </c>
      <c r="S21" s="17">
        <v>1</v>
      </c>
      <c r="T21" s="17"/>
      <c r="U21" s="17">
        <f t="shared" si="1"/>
        <v>0.72649652910676854</v>
      </c>
      <c r="V21" s="17">
        <v>1</v>
      </c>
      <c r="W21" s="9" t="s">
        <v>27</v>
      </c>
      <c r="X21" s="9">
        <f>INDEX('Unique Asset List'!$C$4:$I$60,MATCH('3'!$B21,'Unique Asset List'!$A$4:$A$60,0),MATCH('3'!$C$1,'Unique Asset List'!$C$3:$I$3,0))</f>
        <v>2025</v>
      </c>
      <c r="Y21" s="9">
        <f>INDEX('Unique Asset List'!$J$4:$P$60,MATCH('3'!$B21,'Unique Asset List'!$A$4:$A$60,0),MATCH('3'!$C$1,'Unique Asset List'!$J$3:$P$3,0))</f>
        <v>6</v>
      </c>
      <c r="Z21" s="9">
        <f>INDEX('Unique Asset List'!$X$4:$AD$60,MATCH('3'!$B21,'Unique Asset List'!$A$4:$A$60,0),MATCH('3'!$C$1,'Unique Asset List'!$X$3:$AD$3,0))</f>
        <v>2034</v>
      </c>
      <c r="AA21" s="9">
        <f>INDEX('Unique Asset List'!$AE$4:$AK$60,MATCH('3'!$B21,'Unique Asset List'!$A$4:$A$60,0),MATCH('3'!$C$1,'Unique Asset List'!$AE$3:$AK$3,0))</f>
        <v>6</v>
      </c>
      <c r="AB21" s="16">
        <f t="shared" si="2"/>
        <v>2.0119600000000002</v>
      </c>
      <c r="AC21" s="16">
        <f t="shared" si="3"/>
        <v>0.76203600000000005</v>
      </c>
      <c r="AD21" s="16">
        <f t="shared" si="4"/>
        <v>0.56099999999999994</v>
      </c>
      <c r="AE21" s="15">
        <f>INDEX('Unique Asset List'!$BN$4:$BT$60,MATCH('3'!$B21,'Unique Asset List'!$A$4:$A$60,0),MATCH('3'!$C$1,'Unique Asset List'!$BN$3:$BT$3,0))</f>
        <v>0.12</v>
      </c>
      <c r="AF21" s="15">
        <f>INDEX('Unique Asset List'!$BU$4:$CA$60,MATCH('3'!$B21,'Unique Asset List'!$A$4:$A$60,0),MATCH('3'!$C$1,'Unique Asset List'!$BU$3:$CA$3,0))</f>
        <v>0.38</v>
      </c>
      <c r="AG21" s="15">
        <f>INDEX('Unique Asset List'!$AZ$4:$BF$60,MATCH('3'!$B21,'Unique Asset List'!$A$4:$A$60,0),MATCH('3'!$C$1,'Unique Asset List'!$AZ$3:$BF$3,0))</f>
        <v>0.12</v>
      </c>
      <c r="AH21" s="15">
        <f>INDEX('Unique Asset List'!$BG$4:$BM$60,MATCH('3'!$B21,'Unique Asset List'!$A$4:$A$60,0),MATCH('3'!$C$1,'Unique Asset List'!$BG$3:$BM$3,0))</f>
        <v>0.38</v>
      </c>
      <c r="AI21" s="11">
        <v>0.96187963349867744</v>
      </c>
      <c r="AJ21" s="15">
        <f>INDEX('Unique Asset List'!$AL$4:$AR$60,MATCH('3'!$B21,'Unique Asset List'!$A$4:$A$60,0),MATCH('3'!$C$1,'Unique Asset List'!$AL$3:$AR$3,0))</f>
        <v>2.1252009430760062</v>
      </c>
      <c r="AK21" s="15">
        <f>INDEX('Unique Asset List'!$AS$4:$AY$60,MATCH('3'!$B21,'Unique Asset List'!$A$4:$A$60,0),MATCH('3'!$C$1,'Unique Asset List'!$AS$3:$AY$3,0))</f>
        <v>-1.7169645793441486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5"/>
        <v>0.82</v>
      </c>
      <c r="AS21" s="10">
        <v>1</v>
      </c>
      <c r="AT21" s="4">
        <f>IF($C$5="ON",BT21,MyRating(_E1,$B21,Efficacy!$F$1))</f>
        <v>4</v>
      </c>
      <c r="AU21" s="3">
        <f>IF($C$5="ON",BU21,MyRating(_E2,$B21,Efficacy!$F$1))</f>
        <v>4</v>
      </c>
      <c r="AV21" s="3">
        <f>IF($C$5="ON",BV21,MyRating(_E3,$B21,Efficacy!$F$1))</f>
        <v>4</v>
      </c>
      <c r="AW21" s="3">
        <f>IF($C$5="ON",BW21,MyRating(_E4,$B21,Efficacy!$F$1))</f>
        <v>3</v>
      </c>
      <c r="AX21" s="3">
        <f>IF($C$5="ON",BX21,MyRating(_E5,$B21,Efficacy!$F$1))</f>
        <v>3</v>
      </c>
      <c r="AY21" s="3">
        <f>IF($C$5="ON",BY21,MyRating(_E6,$B21,Efficacy!$F$1))</f>
        <v>2</v>
      </c>
      <c r="AZ21" s="3">
        <f>IF($C$5="ON",BZ21,MyRating(_E7,$B21,Efficacy!$F$1))</f>
        <v>3</v>
      </c>
      <c r="BA21" s="3">
        <f>IF($C$5="ON",CA21,MyRating(_E8,$B21,Efficacy!$F$1))</f>
        <v>5</v>
      </c>
      <c r="BB21" s="3">
        <f>IF($C$5="ON",CB21,MyRating(_S1,$B21,Efficacy!$F$1))</f>
        <v>2</v>
      </c>
      <c r="BC21" s="3">
        <f>IF($C$5="ON",CC21,MyRating(_S2,$B21,Efficacy!$F$1))</f>
        <v>3</v>
      </c>
      <c r="BD21" s="3">
        <f>IF($C$5="ON",CD21,MyRating(_S3,$B21,Efficacy!$F$1))</f>
        <v>3</v>
      </c>
      <c r="BE21" s="3">
        <f>IF($C$5="ON",CE21,MyRating(_S4,$B21,Efficacy!$F$1))</f>
        <v>3</v>
      </c>
      <c r="BF21" s="3">
        <f>IF($C$5="ON",CF21,MyRating(_S5,$B21,Efficacy!$F$1))</f>
        <v>5</v>
      </c>
      <c r="BG21" s="3">
        <f>IF($C$5="ON",CG21,MyRating(_S6,$B21,Efficacy!$F$1))</f>
        <v>2</v>
      </c>
      <c r="BH21" s="3">
        <f>IF($C$5="ON",CH21,MyRating(_S7,$B21,Efficacy!$F$1))</f>
        <v>3</v>
      </c>
      <c r="BI21" s="3">
        <f>IF($C$5="ON",CI21,MyRating(_D1,$B21,Efficacy!$F$1))</f>
        <v>3</v>
      </c>
      <c r="BJ21" s="3">
        <f>IF($C$5="ON",CJ21,MyRating(_D2,$B21,Efficacy!$F$1))</f>
        <v>3</v>
      </c>
      <c r="BK21" s="3">
        <f>IF($C$5="ON",CK21,MyRating(_D3,$B21,Efficacy!$F$1))</f>
        <v>3</v>
      </c>
      <c r="BL21" s="3">
        <f>IF($C$5="ON",CL21,MyRating(_D4,$B21,Efficacy!$F$1))</f>
        <v>3</v>
      </c>
      <c r="BM21" s="3">
        <f>IF($C$5="ON",CM21,MyRating(_B1G5,$B21,Barrier!$L$2))</f>
        <v>2</v>
      </c>
      <c r="BN21" s="3">
        <f>IF($C$5="ON",CN21,MyRating(_B2,$B21,Barrier!$F$2))</f>
        <v>3</v>
      </c>
      <c r="BO21" s="6">
        <f>IF($C$5="ON",CO21,MyRating(_B3,$B21,Barrier!$F$2))</f>
        <v>3</v>
      </c>
      <c r="BP21" s="5">
        <f t="shared" si="6"/>
        <v>3.6275844714639842E-2</v>
      </c>
      <c r="BQ21" s="8">
        <f t="shared" si="7"/>
        <v>2.9499999999999997</v>
      </c>
      <c r="BR21" s="5">
        <f t="shared" si="8"/>
        <v>3.60415394013439E-2</v>
      </c>
      <c r="BS21" s="7">
        <f t="shared" si="9"/>
        <v>1.8542316878791175E-2</v>
      </c>
      <c r="BT21" s="4">
        <v>4</v>
      </c>
      <c r="BU21" s="3">
        <v>4</v>
      </c>
      <c r="BV21" s="3">
        <v>4</v>
      </c>
      <c r="BW21" s="3">
        <v>3</v>
      </c>
      <c r="BX21" s="3">
        <v>3</v>
      </c>
      <c r="BY21" s="3">
        <v>2</v>
      </c>
      <c r="BZ21" s="3">
        <v>3</v>
      </c>
      <c r="CA21" s="3">
        <v>5</v>
      </c>
      <c r="CB21" s="3">
        <v>2</v>
      </c>
      <c r="CC21" s="3">
        <v>3</v>
      </c>
      <c r="CD21" s="3">
        <v>3</v>
      </c>
      <c r="CE21" s="3">
        <v>3</v>
      </c>
      <c r="CF21" s="3">
        <v>5</v>
      </c>
      <c r="CG21" s="3">
        <v>2</v>
      </c>
      <c r="CH21" s="3">
        <v>3</v>
      </c>
      <c r="CI21" s="3">
        <v>3</v>
      </c>
      <c r="CJ21" s="3">
        <v>3</v>
      </c>
      <c r="CK21" s="3">
        <v>3</v>
      </c>
      <c r="CL21" s="3">
        <v>3</v>
      </c>
      <c r="CM21" s="3">
        <v>2</v>
      </c>
      <c r="CN21" s="3">
        <v>3</v>
      </c>
      <c r="CO21" s="6">
        <v>3</v>
      </c>
      <c r="CP21" s="5">
        <v>3.6275844714639842E-2</v>
      </c>
      <c r="CQ21" s="61">
        <f t="shared" si="10"/>
        <v>2026</v>
      </c>
      <c r="CR21">
        <f t="shared" si="11"/>
        <v>9</v>
      </c>
    </row>
    <row r="22" spans="1:96" x14ac:dyDescent="0.35">
      <c r="A22" s="9" t="str">
        <f t="shared" si="0"/>
        <v>FR</v>
      </c>
      <c r="B22" s="9" t="s">
        <v>69</v>
      </c>
      <c r="C22" s="20" t="s">
        <v>3</v>
      </c>
      <c r="D22" s="9" t="s">
        <v>2</v>
      </c>
      <c r="E22" s="9" t="s">
        <v>193</v>
      </c>
      <c r="F22" s="9" t="s">
        <v>51</v>
      </c>
      <c r="G22" s="19">
        <v>0</v>
      </c>
      <c r="H22" s="9">
        <v>2014</v>
      </c>
      <c r="I22" s="9">
        <v>6</v>
      </c>
      <c r="J22" s="18">
        <f>INDEX(PTRS!$D$6:$D$12,MATCH('3'!$F22,PTRS!$B$6:$B$12,0))</f>
        <v>0.1638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0.1638</v>
      </c>
      <c r="Q22" s="17">
        <v>0</v>
      </c>
      <c r="R22" s="17">
        <v>0</v>
      </c>
      <c r="S22" s="17">
        <v>1</v>
      </c>
      <c r="T22" s="17"/>
      <c r="U22" s="17">
        <f t="shared" si="1"/>
        <v>0.19835681424527862</v>
      </c>
      <c r="V22" s="17">
        <v>1</v>
      </c>
      <c r="W22" s="9" t="s">
        <v>62</v>
      </c>
      <c r="X22" s="9">
        <f>INDEX('Unique Asset List'!$C$4:$I$60,MATCH('3'!$B22,'Unique Asset List'!$A$4:$A$60,0),MATCH('3'!$C$1,'Unique Asset List'!$C$3:$I$3,0))</f>
        <v>2025</v>
      </c>
      <c r="Y22" s="9">
        <f>INDEX('Unique Asset List'!$J$4:$P$60,MATCH('3'!$B22,'Unique Asset List'!$A$4:$A$60,0),MATCH('3'!$C$1,'Unique Asset List'!$J$3:$P$3,0))</f>
        <v>9</v>
      </c>
      <c r="Z22" s="9">
        <f>INDEX('Unique Asset List'!$X$4:$AD$60,MATCH('3'!$B22,'Unique Asset List'!$A$4:$A$60,0),MATCH('3'!$C$1,'Unique Asset List'!$X$3:$AD$3,0))</f>
        <v>2026</v>
      </c>
      <c r="AA22" s="9">
        <f>INDEX('Unique Asset List'!$AE$4:$AK$60,MATCH('3'!$B22,'Unique Asset List'!$A$4:$A$60,0),MATCH('3'!$C$1,'Unique Asset List'!$AE$3:$AK$3,0))</f>
        <v>9</v>
      </c>
      <c r="AB22" s="16">
        <f t="shared" si="2"/>
        <v>2.3511832000000004</v>
      </c>
      <c r="AC22" s="16">
        <f t="shared" si="3"/>
        <v>0.94644569999999995</v>
      </c>
      <c r="AD22" s="16">
        <f t="shared" si="4"/>
        <v>0.39141474525999997</v>
      </c>
      <c r="AE22" s="15">
        <f>INDEX('Unique Asset List'!$BN$4:$BT$60,MATCH('3'!$B22,'Unique Asset List'!$A$4:$A$60,0),MATCH('3'!$C$1,'Unique Asset List'!$BN$3:$BT$3,0))</f>
        <v>0.17</v>
      </c>
      <c r="AF22" s="15">
        <f>INDEX('Unique Asset List'!$BU$4:$CA$60,MATCH('3'!$B22,'Unique Asset List'!$A$4:$A$60,0),MATCH('3'!$C$1,'Unique Asset List'!$BU$3:$CA$3,0))</f>
        <v>0.33</v>
      </c>
      <c r="AG22" s="15">
        <f>INDEX('Unique Asset List'!$AZ$4:$BF$60,MATCH('3'!$B22,'Unique Asset List'!$A$4:$A$60,0),MATCH('3'!$C$1,'Unique Asset List'!$AZ$3:$BF$3,0))</f>
        <v>0.17</v>
      </c>
      <c r="AH22" s="15">
        <f>INDEX('Unique Asset List'!$BG$4:$BM$60,MATCH('3'!$B22,'Unique Asset List'!$A$4:$A$60,0),MATCH('3'!$C$1,'Unique Asset List'!$BG$3:$BM$3,0))</f>
        <v>0.33</v>
      </c>
      <c r="AI22" s="11">
        <v>0.96187963349867744</v>
      </c>
      <c r="AJ22" s="15">
        <f>INDEX('Unique Asset List'!$AL$4:$AR$60,MATCH('3'!$B22,'Unique Asset List'!$A$4:$A$60,0),MATCH('3'!$C$1,'Unique Asset List'!$AL$3:$AR$3,0))</f>
        <v>2.1252009430760062</v>
      </c>
      <c r="AK22" s="15">
        <f>INDEX('Unique Asset List'!$AS$4:$AY$60,MATCH('3'!$B22,'Unique Asset List'!$A$4:$A$60,0),MATCH('3'!$C$1,'Unique Asset List'!$AS$3:$AY$3,0))</f>
        <v>-1.7169645793441486</v>
      </c>
      <c r="AL22" s="9">
        <v>177.56756756756758</v>
      </c>
      <c r="AM22" s="14">
        <v>28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5"/>
        <v>0.82</v>
      </c>
      <c r="AS22" s="10">
        <f>2.8*37/365</f>
        <v>0.28383561643835614</v>
      </c>
      <c r="AT22" s="4">
        <f>IF($C$5="ON",BT22,MyRating(_E1,$B22,Efficacy!$F$1))</f>
        <v>5</v>
      </c>
      <c r="AU22" s="3">
        <f>IF($C$5="ON",BU22,MyRating(_E2,$B22,Efficacy!$F$1))</f>
        <v>5</v>
      </c>
      <c r="AV22" s="3">
        <f>IF($C$5="ON",BV22,MyRating(_E3,$B22,Efficacy!$F$1))</f>
        <v>5</v>
      </c>
      <c r="AW22" s="3">
        <f>IF($C$5="ON",BW22,MyRating(_E4,$B22,Efficacy!$F$1))</f>
        <v>4</v>
      </c>
      <c r="AX22" s="3">
        <f>IF($C$5="ON",BX22,MyRating(_E5,$B22,Efficacy!$F$1))</f>
        <v>3</v>
      </c>
      <c r="AY22" s="3">
        <f>IF($C$5="ON",BY22,MyRating(_E6,$B22,Efficacy!$F$1))</f>
        <v>3</v>
      </c>
      <c r="AZ22" s="3">
        <f>IF($C$5="ON",BZ22,MyRating(_E7,$B22,Efficacy!$F$1))</f>
        <v>3</v>
      </c>
      <c r="BA22" s="3">
        <f>IF($C$5="ON",CA22,MyRating(_E8,$B22,Efficacy!$F$1))</f>
        <v>4</v>
      </c>
      <c r="BB22" s="3">
        <f>IF($C$5="ON",CB22,MyRating(_S1,$B22,Efficacy!$F$1))</f>
        <v>5</v>
      </c>
      <c r="BC22" s="3">
        <f>IF($C$5="ON",CC22,MyRating(_S2,$B22,Efficacy!$F$1))</f>
        <v>3</v>
      </c>
      <c r="BD22" s="3">
        <f>IF($C$5="ON",CD22,MyRating(_S3,$B22,Efficacy!$F$1))</f>
        <v>3</v>
      </c>
      <c r="BE22" s="3">
        <f>IF($C$5="ON",CE22,MyRating(_S4,$B22,Efficacy!$F$1))</f>
        <v>3</v>
      </c>
      <c r="BF22" s="3">
        <f>IF($C$5="ON",CF22,MyRating(_S5,$B22,Efficacy!$F$1))</f>
        <v>5</v>
      </c>
      <c r="BG22" s="3">
        <f>IF($C$5="ON",CG22,MyRating(_S6,$B22,Efficacy!$F$1))</f>
        <v>2</v>
      </c>
      <c r="BH22" s="3">
        <f>IF($C$5="ON",CH22,MyRating(_S7,$B22,Efficacy!$F$1))</f>
        <v>3</v>
      </c>
      <c r="BI22" s="3">
        <f>IF($C$5="ON",CI22,MyRating(_D1,$B22,Efficacy!$F$1))</f>
        <v>2</v>
      </c>
      <c r="BJ22" s="3">
        <f>IF($C$5="ON",CJ22,MyRating(_D2,$B22,Efficacy!$F$1))</f>
        <v>3</v>
      </c>
      <c r="BK22" s="3">
        <f>IF($C$5="ON",CK22,MyRating(_D3,$B22,Efficacy!$F$1))</f>
        <v>3</v>
      </c>
      <c r="BL22" s="3">
        <f>IF($C$5="ON",CL22,MyRating(_D4,$B22,Efficacy!$F$1))</f>
        <v>1</v>
      </c>
      <c r="BM22" s="3">
        <f>IF($C$5="ON",CM22,MyRating(_B1G5,$B22,Barrier!$L$2))</f>
        <v>1</v>
      </c>
      <c r="BN22" s="3">
        <f>IF($C$5="ON",CN22,MyRating(_B2,$B22,Barrier!$F$2))</f>
        <v>1</v>
      </c>
      <c r="BO22" s="6">
        <f>IF($C$5="ON",CO22,MyRating(_B3,$B22,Barrier!$F$2))</f>
        <v>1</v>
      </c>
      <c r="BP22" s="5">
        <f t="shared" si="6"/>
        <v>9.9044671286996639E-3</v>
      </c>
      <c r="BQ22" s="8">
        <f t="shared" si="7"/>
        <v>1</v>
      </c>
      <c r="BR22" s="5">
        <f t="shared" si="8"/>
        <v>1.2217470983506409E-2</v>
      </c>
      <c r="BS22" s="7">
        <f t="shared" si="9"/>
        <v>5.0626462170790974E-3</v>
      </c>
      <c r="BT22" s="4">
        <v>5</v>
      </c>
      <c r="BU22" s="3">
        <v>5</v>
      </c>
      <c r="BV22" s="3">
        <v>5</v>
      </c>
      <c r="BW22" s="3">
        <v>4</v>
      </c>
      <c r="BX22" s="3">
        <v>3</v>
      </c>
      <c r="BY22" s="3">
        <v>3</v>
      </c>
      <c r="BZ22" s="3">
        <v>3</v>
      </c>
      <c r="CA22" s="3">
        <v>4</v>
      </c>
      <c r="CB22" s="3">
        <v>5</v>
      </c>
      <c r="CC22" s="3">
        <v>3</v>
      </c>
      <c r="CD22" s="3">
        <v>3</v>
      </c>
      <c r="CE22" s="3">
        <v>3</v>
      </c>
      <c r="CF22" s="3">
        <v>5</v>
      </c>
      <c r="CG22" s="3">
        <v>2</v>
      </c>
      <c r="CH22" s="3">
        <v>3</v>
      </c>
      <c r="CI22" s="3">
        <v>2</v>
      </c>
      <c r="CJ22" s="3">
        <v>3</v>
      </c>
      <c r="CK22" s="3">
        <v>3</v>
      </c>
      <c r="CL22" s="3">
        <v>1</v>
      </c>
      <c r="CM22" s="3">
        <v>1</v>
      </c>
      <c r="CN22" s="3">
        <v>1</v>
      </c>
      <c r="CO22" s="6">
        <v>1</v>
      </c>
      <c r="CP22" s="5">
        <v>9.9044671286996639E-3</v>
      </c>
      <c r="CQ22" s="61">
        <f t="shared" si="10"/>
        <v>2026</v>
      </c>
      <c r="CR22">
        <f t="shared" si="11"/>
        <v>0</v>
      </c>
    </row>
    <row r="23" spans="1:96" x14ac:dyDescent="0.35">
      <c r="A23" s="9" t="str">
        <f t="shared" si="0"/>
        <v>FR</v>
      </c>
      <c r="B23" s="9" t="s">
        <v>74</v>
      </c>
      <c r="C23" s="20" t="s">
        <v>3</v>
      </c>
      <c r="D23" s="9" t="s">
        <v>73</v>
      </c>
      <c r="E23" s="9" t="s">
        <v>193</v>
      </c>
      <c r="F23" s="9" t="s">
        <v>58</v>
      </c>
      <c r="G23" s="19">
        <v>0</v>
      </c>
      <c r="H23" s="9">
        <v>2014</v>
      </c>
      <c r="I23" s="9">
        <v>6</v>
      </c>
      <c r="J23" s="18">
        <f>INDEX(PTRS!$D$6:$D$12,MATCH('3'!$F23,PTRS!$B$6:$B$12,0))</f>
        <v>0.13923000000000002</v>
      </c>
      <c r="K23" s="17">
        <v>0</v>
      </c>
      <c r="L23" s="17">
        <v>0.13923000000000002</v>
      </c>
      <c r="M23" s="17">
        <v>4.6410000000000007E-2</v>
      </c>
      <c r="N23" s="17">
        <v>0.13923000000000002</v>
      </c>
      <c r="O23" s="17">
        <v>0.13923000000000002</v>
      </c>
      <c r="P23" s="17">
        <v>0.13923000000000002</v>
      </c>
      <c r="Q23" s="17">
        <v>0.14000000000000001</v>
      </c>
      <c r="R23" s="17">
        <v>0.14000000000000001</v>
      </c>
      <c r="S23" s="17">
        <v>1</v>
      </c>
      <c r="T23" s="17"/>
      <c r="U23" s="17">
        <f t="shared" si="1"/>
        <v>0.72649652910676854</v>
      </c>
      <c r="V23" s="17">
        <v>1</v>
      </c>
      <c r="W23" s="9" t="s">
        <v>27</v>
      </c>
      <c r="X23" s="9">
        <f>INDEX('Unique Asset List'!$C$4:$I$60,MATCH('3'!$B23,'Unique Asset List'!$A$4:$A$60,0),MATCH('3'!$C$1,'Unique Asset List'!$C$3:$I$3,0))</f>
        <v>2027</v>
      </c>
      <c r="Y23" s="9">
        <f>INDEX('Unique Asset List'!$J$4:$P$60,MATCH('3'!$B23,'Unique Asset List'!$A$4:$A$60,0),MATCH('3'!$C$1,'Unique Asset List'!$J$3:$P$3,0))</f>
        <v>3</v>
      </c>
      <c r="Z23" s="9">
        <f>INDEX('Unique Asset List'!$X$4:$AD$60,MATCH('3'!$B23,'Unique Asset List'!$A$4:$A$60,0),MATCH('3'!$C$1,'Unique Asset List'!$X$3:$AD$3,0))</f>
        <v>2036</v>
      </c>
      <c r="AA23" s="9">
        <f>INDEX('Unique Asset List'!$AE$4:$AK$60,MATCH('3'!$B23,'Unique Asset List'!$A$4:$A$60,0),MATCH('3'!$C$1,'Unique Asset List'!$AE$3:$AK$3,0))</f>
        <v>3</v>
      </c>
      <c r="AB23" s="16">
        <f t="shared" si="2"/>
        <v>2.0119600000000002</v>
      </c>
      <c r="AC23" s="16">
        <f t="shared" si="3"/>
        <v>0.76203600000000005</v>
      </c>
      <c r="AD23" s="16">
        <f t="shared" si="4"/>
        <v>0.56099999999999994</v>
      </c>
      <c r="AE23" s="15">
        <f>INDEX('Unique Asset List'!$BN$4:$BT$60,MATCH('3'!$B23,'Unique Asset List'!$A$4:$A$60,0),MATCH('3'!$C$1,'Unique Asset List'!$BN$3:$BT$3,0))</f>
        <v>0.12</v>
      </c>
      <c r="AF23" s="15">
        <f>INDEX('Unique Asset List'!$BU$4:$CA$60,MATCH('3'!$B23,'Unique Asset List'!$A$4:$A$60,0),MATCH('3'!$C$1,'Unique Asset List'!$BU$3:$CA$3,0))</f>
        <v>0.38</v>
      </c>
      <c r="AG23" s="15">
        <f>INDEX('Unique Asset List'!$AZ$4:$BF$60,MATCH('3'!$B23,'Unique Asset List'!$A$4:$A$60,0),MATCH('3'!$C$1,'Unique Asset List'!$AZ$3:$BF$3,0))</f>
        <v>0.12</v>
      </c>
      <c r="AH23" s="15">
        <f>INDEX('Unique Asset List'!$BG$4:$BM$60,MATCH('3'!$B23,'Unique Asset List'!$A$4:$A$60,0),MATCH('3'!$C$1,'Unique Asset List'!$BG$3:$BM$3,0))</f>
        <v>0.38</v>
      </c>
      <c r="AI23" s="11">
        <v>0.96187963349867744</v>
      </c>
      <c r="AJ23" s="15">
        <f>INDEX('Unique Asset List'!$AL$4:$AR$60,MATCH('3'!$B23,'Unique Asset List'!$A$4:$A$60,0),MATCH('3'!$C$1,'Unique Asset List'!$AL$3:$AR$3,0))</f>
        <v>2.1252009430760062</v>
      </c>
      <c r="AK23" s="15">
        <f>INDEX('Unique Asset List'!$AS$4:$AY$60,MATCH('3'!$B23,'Unique Asset List'!$A$4:$A$60,0),MATCH('3'!$C$1,'Unique Asset List'!$AS$3:$AY$3,0))</f>
        <v>-1.7169645793441486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5"/>
        <v>0.82</v>
      </c>
      <c r="AS23" s="10">
        <v>1</v>
      </c>
      <c r="AT23" s="4">
        <f>IF($C$5="ON",BT23,MyRating(_E1,$B23,Efficacy!$F$1))</f>
        <v>4</v>
      </c>
      <c r="AU23" s="3">
        <f>IF($C$5="ON",BU23,MyRating(_E2,$B23,Efficacy!$F$1))</f>
        <v>4</v>
      </c>
      <c r="AV23" s="3">
        <f>IF($C$5="ON",BV23,MyRating(_E3,$B23,Efficacy!$F$1))</f>
        <v>4</v>
      </c>
      <c r="AW23" s="3">
        <f>IF($C$5="ON",BW23,MyRating(_E4,$B23,Efficacy!$F$1))</f>
        <v>3</v>
      </c>
      <c r="AX23" s="3">
        <f>IF($C$5="ON",BX23,MyRating(_E5,$B23,Efficacy!$F$1))</f>
        <v>3</v>
      </c>
      <c r="AY23" s="3">
        <f>IF($C$5="ON",BY23,MyRating(_E6,$B23,Efficacy!$F$1))</f>
        <v>2</v>
      </c>
      <c r="AZ23" s="3">
        <f>IF($C$5="ON",BZ23,MyRating(_E7,$B23,Efficacy!$F$1))</f>
        <v>3</v>
      </c>
      <c r="BA23" s="3">
        <f>IF($C$5="ON",CA23,MyRating(_E8,$B23,Efficacy!$F$1))</f>
        <v>5</v>
      </c>
      <c r="BB23" s="3">
        <f>IF($C$5="ON",CB23,MyRating(_S1,$B23,Efficacy!$F$1))</f>
        <v>2</v>
      </c>
      <c r="BC23" s="3">
        <f>IF($C$5="ON",CC23,MyRating(_S2,$B23,Efficacy!$F$1))</f>
        <v>3</v>
      </c>
      <c r="BD23" s="3">
        <f>IF($C$5="ON",CD23,MyRating(_S3,$B23,Efficacy!$F$1))</f>
        <v>3</v>
      </c>
      <c r="BE23" s="3">
        <f>IF($C$5="ON",CE23,MyRating(_S4,$B23,Efficacy!$F$1))</f>
        <v>3</v>
      </c>
      <c r="BF23" s="3">
        <f>IF($C$5="ON",CF23,MyRating(_S5,$B23,Efficacy!$F$1))</f>
        <v>5</v>
      </c>
      <c r="BG23" s="3">
        <f>IF($C$5="ON",CG23,MyRating(_S6,$B23,Efficacy!$F$1))</f>
        <v>2</v>
      </c>
      <c r="BH23" s="3">
        <f>IF($C$5="ON",CH23,MyRating(_S7,$B23,Efficacy!$F$1))</f>
        <v>3</v>
      </c>
      <c r="BI23" s="3">
        <f>IF($C$5="ON",CI23,MyRating(_D1,$B23,Efficacy!$F$1))</f>
        <v>3</v>
      </c>
      <c r="BJ23" s="3">
        <f>IF($C$5="ON",CJ23,MyRating(_D2,$B23,Efficacy!$F$1))</f>
        <v>3</v>
      </c>
      <c r="BK23" s="3">
        <f>IF($C$5="ON",CK23,MyRating(_D3,$B23,Efficacy!$F$1))</f>
        <v>3</v>
      </c>
      <c r="BL23" s="3">
        <f>IF($C$5="ON",CL23,MyRating(_D4,$B23,Efficacy!$F$1))</f>
        <v>3</v>
      </c>
      <c r="BM23" s="3">
        <f>IF($C$5="ON",CM23,MyRating(_B1G5,$B23,Barrier!$L$2))</f>
        <v>2</v>
      </c>
      <c r="BN23" s="3">
        <f>IF($C$5="ON",CN23,MyRating(_B2,$B23,Barrier!$F$2))</f>
        <v>3</v>
      </c>
      <c r="BO23" s="6">
        <f>IF($C$5="ON",CO23,MyRating(_B3,$B23,Barrier!$F$2))</f>
        <v>3</v>
      </c>
      <c r="BP23" s="5">
        <f t="shared" si="6"/>
        <v>3.6275844714639842E-2</v>
      </c>
      <c r="BQ23" s="8">
        <f t="shared" si="7"/>
        <v>2.9499999999999997</v>
      </c>
      <c r="BR23" s="5">
        <f t="shared" si="8"/>
        <v>3.60415394013439E-2</v>
      </c>
      <c r="BS23" s="7">
        <f t="shared" si="9"/>
        <v>1.8542316878791175E-2</v>
      </c>
      <c r="BT23" s="4">
        <v>4</v>
      </c>
      <c r="BU23" s="3">
        <v>4</v>
      </c>
      <c r="BV23" s="3">
        <v>4</v>
      </c>
      <c r="BW23" s="3">
        <v>3</v>
      </c>
      <c r="BX23" s="3">
        <v>3</v>
      </c>
      <c r="BY23" s="3">
        <v>2</v>
      </c>
      <c r="BZ23" s="3">
        <v>3</v>
      </c>
      <c r="CA23" s="3">
        <v>5</v>
      </c>
      <c r="CB23" s="3">
        <v>2</v>
      </c>
      <c r="CC23" s="3">
        <v>3</v>
      </c>
      <c r="CD23" s="3">
        <v>3</v>
      </c>
      <c r="CE23" s="3">
        <v>3</v>
      </c>
      <c r="CF23" s="3">
        <v>5</v>
      </c>
      <c r="CG23" s="3">
        <v>2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2</v>
      </c>
      <c r="CN23" s="3">
        <v>3</v>
      </c>
      <c r="CO23" s="6">
        <v>3</v>
      </c>
      <c r="CP23" s="5">
        <v>3.6275844714639842E-2</v>
      </c>
      <c r="CQ23" s="61">
        <f t="shared" si="10"/>
        <v>2028</v>
      </c>
      <c r="CR23">
        <f t="shared" si="11"/>
        <v>6</v>
      </c>
    </row>
    <row r="24" spans="1:96" x14ac:dyDescent="0.35">
      <c r="A24" s="9" t="str">
        <f t="shared" si="0"/>
        <v>FR</v>
      </c>
      <c r="B24" s="9" t="s">
        <v>17</v>
      </c>
      <c r="C24" s="20"/>
      <c r="D24" s="9" t="s">
        <v>2</v>
      </c>
      <c r="E24" s="9" t="s">
        <v>193</v>
      </c>
      <c r="F24" s="9" t="s">
        <v>51</v>
      </c>
      <c r="G24" s="19">
        <v>0</v>
      </c>
      <c r="H24" s="9">
        <v>2014</v>
      </c>
      <c r="I24" s="9">
        <v>6</v>
      </c>
      <c r="J24" s="18">
        <f>INDEX(PTRS!$D$6:$D$12,MATCH('3'!$F24,PTRS!$B$6:$B$12,0))</f>
        <v>0.1638</v>
      </c>
      <c r="K24" s="17">
        <v>0</v>
      </c>
      <c r="L24" s="17">
        <v>0.1638</v>
      </c>
      <c r="M24" s="17">
        <v>0.25</v>
      </c>
      <c r="N24" s="17">
        <v>0.25</v>
      </c>
      <c r="O24" s="17">
        <v>0.25</v>
      </c>
      <c r="P24" s="17">
        <v>0.1638</v>
      </c>
      <c r="Q24" s="17">
        <v>0.1638</v>
      </c>
      <c r="R24" s="17">
        <v>0.1638</v>
      </c>
      <c r="S24" s="17">
        <v>1</v>
      </c>
      <c r="T24" s="17"/>
      <c r="U24" s="17">
        <f t="shared" si="1"/>
        <v>0.72649652910676854</v>
      </c>
      <c r="V24" s="17">
        <v>1</v>
      </c>
      <c r="W24" s="9" t="s">
        <v>16</v>
      </c>
      <c r="X24" s="9">
        <f>INDEX('Unique Asset List'!$C$4:$I$60,MATCH('3'!$B24,'Unique Asset List'!$A$4:$A$60,0),MATCH('3'!$C$1,'Unique Asset List'!$C$3:$I$3,0))</f>
        <v>2028</v>
      </c>
      <c r="Y24" s="9">
        <f>INDEX('Unique Asset List'!$J$4:$P$60,MATCH('3'!$B24,'Unique Asset List'!$A$4:$A$60,0),MATCH('3'!$C$1,'Unique Asset List'!$J$3:$P$3,0))</f>
        <v>0.99999999999909051</v>
      </c>
      <c r="Z24" s="9">
        <f>INDEX('Unique Asset List'!$X$4:$AD$60,MATCH('3'!$B24,'Unique Asset List'!$A$4:$A$60,0),MATCH('3'!$C$1,'Unique Asset List'!$X$3:$AD$3,0))</f>
        <v>2035</v>
      </c>
      <c r="AA24" s="9">
        <f>INDEX('Unique Asset List'!$AE$4:$AK$60,MATCH('3'!$B24,'Unique Asset List'!$A$4:$A$60,0),MATCH('3'!$C$1,'Unique Asset List'!$AE$3:$AK$3,0))</f>
        <v>8</v>
      </c>
      <c r="AB24" s="16">
        <f t="shared" si="2"/>
        <v>1.7951404000000002</v>
      </c>
      <c r="AC24" s="16">
        <f t="shared" si="3"/>
        <v>0.88497580000000009</v>
      </c>
      <c r="AD24" s="16">
        <f t="shared" si="4"/>
        <v>0.56099999999999994</v>
      </c>
      <c r="AE24" s="15">
        <f>INDEX('Unique Asset List'!$BN$4:$BT$60,MATCH('3'!$B24,'Unique Asset List'!$A$4:$A$60,0),MATCH('3'!$C$1,'Unique Asset List'!$BN$3:$BT$3,0))</f>
        <v>0.12</v>
      </c>
      <c r="AF24" s="15">
        <f>INDEX('Unique Asset List'!$BU$4:$CA$60,MATCH('3'!$B24,'Unique Asset List'!$A$4:$A$60,0),MATCH('3'!$C$1,'Unique Asset List'!$BU$3:$CA$3,0))</f>
        <v>0.38</v>
      </c>
      <c r="AG24" s="15">
        <f>INDEX('Unique Asset List'!$AZ$4:$BF$60,MATCH('3'!$B24,'Unique Asset List'!$A$4:$A$60,0),MATCH('3'!$C$1,'Unique Asset List'!$AZ$3:$BF$3,0))</f>
        <v>0.12</v>
      </c>
      <c r="AH24" s="15">
        <f>INDEX('Unique Asset List'!$BG$4:$BM$60,MATCH('3'!$B24,'Unique Asset List'!$A$4:$A$60,0),MATCH('3'!$C$1,'Unique Asset List'!$BG$3:$BM$3,0))</f>
        <v>0.38</v>
      </c>
      <c r="AI24" s="11">
        <v>0.96187963349867744</v>
      </c>
      <c r="AJ24" s="15">
        <f>INDEX('Unique Asset List'!$AL$4:$AR$60,MATCH('3'!$B24,'Unique Asset List'!$A$4:$A$60,0),MATCH('3'!$C$1,'Unique Asset List'!$AL$3:$AR$3,0))</f>
        <v>2.1252009430760062</v>
      </c>
      <c r="AK24" s="15">
        <f>INDEX('Unique Asset List'!$AS$4:$AY$60,MATCH('3'!$B24,'Unique Asset List'!$A$4:$A$60,0),MATCH('3'!$C$1,'Unique Asset List'!$AS$3:$AY$3,0))</f>
        <v>-1.7169645793441486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5"/>
        <v>0.82</v>
      </c>
      <c r="AS24" s="10">
        <v>1</v>
      </c>
      <c r="AT24" s="4">
        <f>IF($C$5="ON",BT24,MyRating(_E1,$B24,Efficacy!$F$1))</f>
        <v>4</v>
      </c>
      <c r="AU24" s="3">
        <f>IF($C$5="ON",BU24,MyRating(_E2,$B24,Efficacy!$F$1))</f>
        <v>3</v>
      </c>
      <c r="AV24" s="3">
        <f>IF($C$5="ON",BV24,MyRating(_E3,$B24,Efficacy!$F$1))</f>
        <v>3</v>
      </c>
      <c r="AW24" s="3">
        <f>IF($C$5="ON",BW24,MyRating(_E4,$B24,Efficacy!$F$1))</f>
        <v>4</v>
      </c>
      <c r="AX24" s="3">
        <f>IF($C$5="ON",BX24,MyRating(_E5,$B24,Efficacy!$F$1))</f>
        <v>3</v>
      </c>
      <c r="AY24" s="3">
        <f>IF($C$5="ON",BY24,MyRating(_E6,$B24,Efficacy!$F$1))</f>
        <v>2</v>
      </c>
      <c r="AZ24" s="3">
        <f>IF($C$5="ON",BZ24,MyRating(_E7,$B24,Efficacy!$F$1))</f>
        <v>3</v>
      </c>
      <c r="BA24" s="3">
        <f>IF($C$5="ON",CA24,MyRating(_E8,$B24,Efficacy!$F$1))</f>
        <v>3</v>
      </c>
      <c r="BB24" s="3">
        <f>IF($C$5="ON",CB24,MyRating(_S1,$B24,Efficacy!$F$1))</f>
        <v>4</v>
      </c>
      <c r="BC24" s="3">
        <f>IF($C$5="ON",CC24,MyRating(_S2,$B24,Efficacy!$F$1))</f>
        <v>3</v>
      </c>
      <c r="BD24" s="3">
        <f>IF($C$5="ON",CD24,MyRating(_S3,$B24,Efficacy!$F$1))</f>
        <v>3</v>
      </c>
      <c r="BE24" s="3">
        <f>IF($C$5="ON",CE24,MyRating(_S4,$B24,Efficacy!$F$1))</f>
        <v>3</v>
      </c>
      <c r="BF24" s="3">
        <f>IF($C$5="ON",CF24,MyRating(_S5,$B24,Efficacy!$F$1))</f>
        <v>5</v>
      </c>
      <c r="BG24" s="3">
        <f>IF($C$5="ON",CG24,MyRating(_S6,$B24,Efficacy!$F$1))</f>
        <v>2</v>
      </c>
      <c r="BH24" s="3">
        <f>IF($C$5="ON",CH24,MyRating(_S7,$B24,Efficacy!$F$1))</f>
        <v>3</v>
      </c>
      <c r="BI24" s="3">
        <f>IF($C$5="ON",CI24,MyRating(_D1,$B24,Efficacy!$F$1))</f>
        <v>3</v>
      </c>
      <c r="BJ24" s="3">
        <f>IF($C$5="ON",CJ24,MyRating(_D2,$B24,Efficacy!$F$1))</f>
        <v>3</v>
      </c>
      <c r="BK24" s="3">
        <f>IF($C$5="ON",CK24,MyRating(_D3,$B24,Efficacy!$F$1))</f>
        <v>3</v>
      </c>
      <c r="BL24" s="3">
        <f>IF($C$5="ON",CL24,MyRating(_D4,$B24,Efficacy!$F$1))</f>
        <v>3</v>
      </c>
      <c r="BM24" s="3">
        <f>IF($C$5="ON",CM24,MyRating(_B1G5,$B24,Barrier!$L$2))</f>
        <v>2</v>
      </c>
      <c r="BN24" s="3">
        <f>IF($C$5="ON",CN24,MyRating(_B2,$B24,Barrier!$F$2))</f>
        <v>3</v>
      </c>
      <c r="BO24" s="6">
        <f>IF($C$5="ON",CO24,MyRating(_B3,$B24,Barrier!$F$2))</f>
        <v>3</v>
      </c>
      <c r="BP24" s="5">
        <f t="shared" si="6"/>
        <v>3.6275844714639842E-2</v>
      </c>
      <c r="BQ24" s="8">
        <f t="shared" si="7"/>
        <v>2.9499999999999997</v>
      </c>
      <c r="BR24" s="5">
        <f t="shared" si="8"/>
        <v>3.60415394013439E-2</v>
      </c>
      <c r="BS24" s="7">
        <f t="shared" si="9"/>
        <v>1.8542316878791175E-2</v>
      </c>
      <c r="BT24" s="4">
        <v>4</v>
      </c>
      <c r="BU24" s="3">
        <v>3</v>
      </c>
      <c r="BV24" s="3">
        <v>3</v>
      </c>
      <c r="BW24" s="3">
        <v>4</v>
      </c>
      <c r="BX24" s="3">
        <v>3</v>
      </c>
      <c r="BY24" s="3">
        <v>2</v>
      </c>
      <c r="BZ24" s="3">
        <v>3</v>
      </c>
      <c r="CA24" s="3">
        <v>3</v>
      </c>
      <c r="CB24" s="3">
        <v>4</v>
      </c>
      <c r="CC24" s="3">
        <v>3</v>
      </c>
      <c r="CD24" s="3">
        <v>3</v>
      </c>
      <c r="CE24" s="3">
        <v>3</v>
      </c>
      <c r="CF24" s="3">
        <v>5</v>
      </c>
      <c r="CG24" s="3">
        <v>2</v>
      </c>
      <c r="CH24" s="3">
        <v>3</v>
      </c>
      <c r="CI24" s="3">
        <v>3</v>
      </c>
      <c r="CJ24" s="3">
        <v>3</v>
      </c>
      <c r="CK24" s="3">
        <v>3</v>
      </c>
      <c r="CL24" s="3">
        <v>3</v>
      </c>
      <c r="CM24" s="3">
        <v>2</v>
      </c>
      <c r="CN24" s="3">
        <v>3</v>
      </c>
      <c r="CO24" s="6">
        <v>3</v>
      </c>
      <c r="CP24" s="5">
        <v>3.6275844714639842E-2</v>
      </c>
      <c r="CQ24" s="61">
        <f t="shared" si="10"/>
        <v>2029</v>
      </c>
      <c r="CR24">
        <f t="shared" si="11"/>
        <v>3.9999999999990905</v>
      </c>
    </row>
    <row r="25" spans="1:96" x14ac:dyDescent="0.35">
      <c r="A25" s="9" t="str">
        <f t="shared" si="0"/>
        <v>FR</v>
      </c>
      <c r="B25" s="9" t="s">
        <v>21</v>
      </c>
      <c r="C25" s="20"/>
      <c r="D25" s="9" t="s">
        <v>2</v>
      </c>
      <c r="E25" s="9" t="s">
        <v>193</v>
      </c>
      <c r="F25" s="9" t="s">
        <v>51</v>
      </c>
      <c r="G25" s="19">
        <v>0</v>
      </c>
      <c r="H25" s="9">
        <v>2014</v>
      </c>
      <c r="I25" s="9">
        <v>6</v>
      </c>
      <c r="J25" s="18">
        <f>INDEX(PTRS!$D$6:$D$12,MATCH('3'!$F25,PTRS!$B$6:$B$12,0))</f>
        <v>0.1638</v>
      </c>
      <c r="K25" s="17">
        <v>0</v>
      </c>
      <c r="L25" s="17">
        <v>0.1638</v>
      </c>
      <c r="M25" s="17">
        <v>0.1638</v>
      </c>
      <c r="N25" s="17">
        <v>0.12</v>
      </c>
      <c r="O25" s="17">
        <v>0.12</v>
      </c>
      <c r="P25" s="17">
        <v>0.1638</v>
      </c>
      <c r="Q25" s="17">
        <v>1</v>
      </c>
      <c r="R25" s="17">
        <v>1</v>
      </c>
      <c r="S25" s="17">
        <v>1</v>
      </c>
      <c r="T25" s="17"/>
      <c r="U25" s="17">
        <f t="shared" si="1"/>
        <v>0.72649652910676854</v>
      </c>
      <c r="V25" s="17">
        <v>1</v>
      </c>
      <c r="W25" s="9" t="s">
        <v>20</v>
      </c>
      <c r="X25" s="9">
        <f>INDEX('Unique Asset List'!$C$4:$I$60,MATCH('3'!$B25,'Unique Asset List'!$A$4:$A$60,0),MATCH('3'!$C$1,'Unique Asset List'!$C$3:$I$3,0))</f>
        <v>2027</v>
      </c>
      <c r="Y25" s="9">
        <f>INDEX('Unique Asset List'!$J$4:$P$60,MATCH('3'!$B25,'Unique Asset List'!$A$4:$A$60,0),MATCH('3'!$C$1,'Unique Asset List'!$J$3:$P$3,0))</f>
        <v>3</v>
      </c>
      <c r="Z25" s="9">
        <f>INDEX('Unique Asset List'!$X$4:$AD$60,MATCH('3'!$B25,'Unique Asset List'!$A$4:$A$60,0),MATCH('3'!$C$1,'Unique Asset List'!$X$3:$AD$3,0))</f>
        <v>2036</v>
      </c>
      <c r="AA25" s="9">
        <f>INDEX('Unique Asset List'!$AE$4:$AK$60,MATCH('3'!$B25,'Unique Asset List'!$A$4:$A$60,0),MATCH('3'!$C$1,'Unique Asset List'!$AE$3:$AK$3,0))</f>
        <v>3</v>
      </c>
      <c r="AB25" s="16">
        <f t="shared" si="2"/>
        <v>1.6822346000000001</v>
      </c>
      <c r="AC25" s="16">
        <f t="shared" si="3"/>
        <v>0.86278740000000009</v>
      </c>
      <c r="AD25" s="16">
        <f t="shared" si="4"/>
        <v>0.56099999999999994</v>
      </c>
      <c r="AE25" s="15">
        <f>INDEX('Unique Asset List'!$BN$4:$BT$60,MATCH('3'!$B25,'Unique Asset List'!$A$4:$A$60,0),MATCH('3'!$C$1,'Unique Asset List'!$BN$3:$BT$3,0))</f>
        <v>0.12</v>
      </c>
      <c r="AF25" s="15">
        <f>INDEX('Unique Asset List'!$BU$4:$CA$60,MATCH('3'!$B25,'Unique Asset List'!$A$4:$A$60,0),MATCH('3'!$C$1,'Unique Asset List'!$BU$3:$CA$3,0))</f>
        <v>0.38</v>
      </c>
      <c r="AG25" s="15">
        <f>INDEX('Unique Asset List'!$AZ$4:$BF$60,MATCH('3'!$B25,'Unique Asset List'!$A$4:$A$60,0),MATCH('3'!$C$1,'Unique Asset List'!$AZ$3:$BF$3,0))</f>
        <v>0.12</v>
      </c>
      <c r="AH25" s="15">
        <f>INDEX('Unique Asset List'!$BG$4:$BM$60,MATCH('3'!$B25,'Unique Asset List'!$A$4:$A$60,0),MATCH('3'!$C$1,'Unique Asset List'!$BG$3:$BM$3,0))</f>
        <v>0.38</v>
      </c>
      <c r="AI25" s="11">
        <v>0.96187963349867744</v>
      </c>
      <c r="AJ25" s="15">
        <f>INDEX('Unique Asset List'!$AL$4:$AR$60,MATCH('3'!$B25,'Unique Asset List'!$A$4:$A$60,0),MATCH('3'!$C$1,'Unique Asset List'!$AL$3:$AR$3,0))</f>
        <v>2.1252009430760062</v>
      </c>
      <c r="AK25" s="15">
        <f>INDEX('Unique Asset List'!$AS$4:$AY$60,MATCH('3'!$B25,'Unique Asset List'!$A$4:$A$60,0),MATCH('3'!$C$1,'Unique Asset List'!$AS$3:$AY$3,0))</f>
        <v>-1.7169645793441486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5"/>
        <v>0.82</v>
      </c>
      <c r="AS25" s="10">
        <v>1</v>
      </c>
      <c r="AT25" s="4">
        <f>IF($C$5="ON",BT25,MyRating(_E1,$B25,Efficacy!$F$1))</f>
        <v>3</v>
      </c>
      <c r="AU25" s="3">
        <f>IF($C$5="ON",BU25,MyRating(_E2,$B25,Efficacy!$F$1))</f>
        <v>3</v>
      </c>
      <c r="AV25" s="3">
        <f>IF($C$5="ON",BV25,MyRating(_E3,$B25,Efficacy!$F$1))</f>
        <v>3</v>
      </c>
      <c r="AW25" s="3">
        <f>IF($C$5="ON",BW25,MyRating(_E4,$B25,Efficacy!$F$1))</f>
        <v>3</v>
      </c>
      <c r="AX25" s="3">
        <f>IF($C$5="ON",BX25,MyRating(_E5,$B25,Efficacy!$F$1))</f>
        <v>3</v>
      </c>
      <c r="AY25" s="3">
        <f>IF($C$5="ON",BY25,MyRating(_E6,$B25,Efficacy!$F$1))</f>
        <v>4</v>
      </c>
      <c r="AZ25" s="3">
        <f>IF($C$5="ON",BZ25,MyRating(_E7,$B25,Efficacy!$F$1))</f>
        <v>3</v>
      </c>
      <c r="BA25" s="3">
        <f>IF($C$5="ON",CA25,MyRating(_E8,$B25,Efficacy!$F$1))</f>
        <v>2</v>
      </c>
      <c r="BB25" s="3">
        <f>IF($C$5="ON",CB25,MyRating(_S1,$B25,Efficacy!$F$1))</f>
        <v>3</v>
      </c>
      <c r="BC25" s="3">
        <f>IF($C$5="ON",CC25,MyRating(_S2,$B25,Efficacy!$F$1))</f>
        <v>4</v>
      </c>
      <c r="BD25" s="3">
        <f>IF($C$5="ON",CD25,MyRating(_S3,$B25,Efficacy!$F$1))</f>
        <v>2</v>
      </c>
      <c r="BE25" s="3">
        <f>IF($C$5="ON",CE25,MyRating(_S4,$B25,Efficacy!$F$1))</f>
        <v>5</v>
      </c>
      <c r="BF25" s="3">
        <f>IF($C$5="ON",CF25,MyRating(_S5,$B25,Efficacy!$F$1))</f>
        <v>4</v>
      </c>
      <c r="BG25" s="3">
        <f>IF($C$5="ON",CG25,MyRating(_S6,$B25,Efficacy!$F$1))</f>
        <v>3</v>
      </c>
      <c r="BH25" s="3">
        <f>IF($C$5="ON",CH25,MyRating(_S7,$B25,Efficacy!$F$1))</f>
        <v>3</v>
      </c>
      <c r="BI25" s="3">
        <f>IF($C$5="ON",CI25,MyRating(_D1,$B25,Efficacy!$F$1))</f>
        <v>3</v>
      </c>
      <c r="BJ25" s="3">
        <f>IF($C$5="ON",CJ25,MyRating(_D2,$B25,Efficacy!$F$1))</f>
        <v>3</v>
      </c>
      <c r="BK25" s="3">
        <f>IF($C$5="ON",CK25,MyRating(_D3,$B25,Efficacy!$F$1))</f>
        <v>3</v>
      </c>
      <c r="BL25" s="3">
        <f>IF($C$5="ON",CL25,MyRating(_D4,$B25,Efficacy!$F$1))</f>
        <v>3</v>
      </c>
      <c r="BM25" s="3">
        <f>IF($C$5="ON",CM25,MyRating(_B1G5,$B25,Barrier!$L$2))</f>
        <v>2</v>
      </c>
      <c r="BN25" s="3">
        <f>IF($C$5="ON",CN25,MyRating(_B2,$B25,Barrier!$F$2))</f>
        <v>3</v>
      </c>
      <c r="BO25" s="6">
        <f>IF($C$5="ON",CO25,MyRating(_B3,$B25,Barrier!$F$2))</f>
        <v>3</v>
      </c>
      <c r="BP25" s="5">
        <f t="shared" si="6"/>
        <v>3.6275844714639842E-2</v>
      </c>
      <c r="BQ25" s="8">
        <f t="shared" si="7"/>
        <v>2.9499999999999997</v>
      </c>
      <c r="BR25" s="5">
        <f t="shared" si="8"/>
        <v>3.60415394013439E-2</v>
      </c>
      <c r="BS25" s="7">
        <f t="shared" si="9"/>
        <v>1.8542316878791175E-2</v>
      </c>
      <c r="BT25" s="4">
        <v>3</v>
      </c>
      <c r="BU25" s="3">
        <v>3</v>
      </c>
      <c r="BV25" s="3">
        <v>3</v>
      </c>
      <c r="BW25" s="3">
        <v>3</v>
      </c>
      <c r="BX25" s="3">
        <v>3</v>
      </c>
      <c r="BY25" s="3">
        <v>4</v>
      </c>
      <c r="BZ25" s="3">
        <v>3</v>
      </c>
      <c r="CA25" s="3">
        <v>2</v>
      </c>
      <c r="CB25" s="3">
        <v>3</v>
      </c>
      <c r="CC25" s="3">
        <v>4</v>
      </c>
      <c r="CD25" s="3">
        <v>2</v>
      </c>
      <c r="CE25" s="3">
        <v>5</v>
      </c>
      <c r="CF25" s="3">
        <v>4</v>
      </c>
      <c r="CG25" s="3">
        <v>3</v>
      </c>
      <c r="CH25" s="3">
        <v>3</v>
      </c>
      <c r="CI25" s="3">
        <v>3</v>
      </c>
      <c r="CJ25" s="3">
        <v>3</v>
      </c>
      <c r="CK25" s="3">
        <v>3</v>
      </c>
      <c r="CL25" s="3">
        <v>3</v>
      </c>
      <c r="CM25" s="3">
        <v>2</v>
      </c>
      <c r="CN25" s="3">
        <v>3</v>
      </c>
      <c r="CO25" s="6">
        <v>3</v>
      </c>
      <c r="CP25" s="5">
        <v>3.6275844714639842E-2</v>
      </c>
      <c r="CQ25" s="61">
        <f t="shared" si="10"/>
        <v>2028</v>
      </c>
      <c r="CR25">
        <f t="shared" si="11"/>
        <v>6</v>
      </c>
    </row>
    <row r="26" spans="1:96" x14ac:dyDescent="0.35">
      <c r="A26" s="9" t="str">
        <f t="shared" si="0"/>
        <v>FR</v>
      </c>
      <c r="B26" s="9" t="s">
        <v>72</v>
      </c>
      <c r="C26" s="20"/>
      <c r="D26" s="9" t="s">
        <v>2</v>
      </c>
      <c r="E26" s="9" t="s">
        <v>193</v>
      </c>
      <c r="F26" s="9" t="s">
        <v>51</v>
      </c>
      <c r="G26" s="19">
        <v>0</v>
      </c>
      <c r="H26" s="9">
        <v>2014</v>
      </c>
      <c r="I26" s="9">
        <v>6</v>
      </c>
      <c r="J26" s="18">
        <f>INDEX(PTRS!$D$6:$D$12,MATCH('3'!$F26,PTRS!$B$6:$B$12,0))</f>
        <v>0.1638</v>
      </c>
      <c r="K26" s="17">
        <v>0</v>
      </c>
      <c r="L26" s="17">
        <v>0.1638</v>
      </c>
      <c r="M26" s="17">
        <v>0.1638</v>
      </c>
      <c r="N26" s="17">
        <v>0.1638</v>
      </c>
      <c r="O26" s="17">
        <v>0.1638</v>
      </c>
      <c r="P26" s="17">
        <v>0.1638</v>
      </c>
      <c r="Q26" s="17">
        <v>1</v>
      </c>
      <c r="R26" s="17">
        <v>1</v>
      </c>
      <c r="S26" s="17">
        <v>1</v>
      </c>
      <c r="T26" s="17"/>
      <c r="U26" s="17">
        <f t="shared" si="1"/>
        <v>1</v>
      </c>
      <c r="V26" s="17">
        <v>1</v>
      </c>
      <c r="W26" s="9" t="s">
        <v>71</v>
      </c>
      <c r="X26" s="9">
        <f>INDEX('Unique Asset List'!$C$4:$I$60,MATCH('3'!$B26,'Unique Asset List'!$A$4:$A$60,0),MATCH('3'!$C$1,'Unique Asset List'!$C$3:$I$3,0))</f>
        <v>2027</v>
      </c>
      <c r="Y26" s="9">
        <f>INDEX('Unique Asset List'!$J$4:$P$60,MATCH('3'!$B26,'Unique Asset List'!$A$4:$A$60,0),MATCH('3'!$C$1,'Unique Asset List'!$J$3:$P$3,0))</f>
        <v>8.0000000000009095</v>
      </c>
      <c r="Z26" s="9">
        <f>INDEX('Unique Asset List'!$X$4:$AD$60,MATCH('3'!$B26,'Unique Asset List'!$A$4:$A$60,0),MATCH('3'!$C$1,'Unique Asset List'!$X$3:$AD$3,0))</f>
        <v>2037</v>
      </c>
      <c r="AA26" s="9">
        <f>INDEX('Unique Asset List'!$AE$4:$AK$60,MATCH('3'!$B26,'Unique Asset List'!$A$4:$A$60,0),MATCH('3'!$C$1,'Unique Asset List'!$AE$3:$AK$3,0))</f>
        <v>6</v>
      </c>
      <c r="AB26" s="16">
        <f t="shared" si="2"/>
        <v>1.849261</v>
      </c>
      <c r="AC26" s="16">
        <f t="shared" si="3"/>
        <v>0.94988439999999996</v>
      </c>
      <c r="AD26" s="16">
        <f t="shared" si="4"/>
        <v>0.41402720413999994</v>
      </c>
      <c r="AE26" s="15">
        <f>INDEX('Unique Asset List'!$BN$4:$BT$60,MATCH('3'!$B26,'Unique Asset List'!$A$4:$A$60,0),MATCH('3'!$C$1,'Unique Asset List'!$BN$3:$BT$3,0))</f>
        <v>0.17</v>
      </c>
      <c r="AF26" s="15">
        <f>INDEX('Unique Asset List'!$BU$4:$CA$60,MATCH('3'!$B26,'Unique Asset List'!$A$4:$A$60,0),MATCH('3'!$C$1,'Unique Asset List'!$BU$3:$CA$3,0))</f>
        <v>0.33</v>
      </c>
      <c r="AG26" s="15">
        <f>INDEX('Unique Asset List'!$AZ$4:$BF$60,MATCH('3'!$B26,'Unique Asset List'!$A$4:$A$60,0),MATCH('3'!$C$1,'Unique Asset List'!$AZ$3:$BF$3,0))</f>
        <v>0.17</v>
      </c>
      <c r="AH26" s="15">
        <f>INDEX('Unique Asset List'!$BG$4:$BM$60,MATCH('3'!$B26,'Unique Asset List'!$A$4:$A$60,0),MATCH('3'!$C$1,'Unique Asset List'!$BG$3:$BM$3,0))</f>
        <v>0.33</v>
      </c>
      <c r="AI26" s="11">
        <v>0.96187963349867744</v>
      </c>
      <c r="AJ26" s="15">
        <f>INDEX('Unique Asset List'!$AL$4:$AR$60,MATCH('3'!$B26,'Unique Asset List'!$A$4:$A$60,0),MATCH('3'!$C$1,'Unique Asset List'!$AL$3:$AR$3,0))</f>
        <v>2.1252009430760062</v>
      </c>
      <c r="AK26" s="15">
        <f>INDEX('Unique Asset List'!$AS$4:$AY$60,MATCH('3'!$B26,'Unique Asset List'!$A$4:$A$60,0),MATCH('3'!$C$1,'Unique Asset List'!$AS$3:$AY$3,0))</f>
        <v>-1.7169645793441486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5"/>
        <v>0.82</v>
      </c>
      <c r="AS26" s="10">
        <v>1</v>
      </c>
      <c r="AT26" s="4">
        <f>IF($C$5="ON",BT26,MyRating(_E1,$B26,Efficacy!$F$1))</f>
        <v>5</v>
      </c>
      <c r="AU26" s="3">
        <f>IF($C$5="ON",BU26,MyRating(_E2,$B26,Efficacy!$F$1))</f>
        <v>4</v>
      </c>
      <c r="AV26" s="3">
        <f>IF($C$5="ON",BV26,MyRating(_E3,$B26,Efficacy!$F$1))</f>
        <v>4</v>
      </c>
      <c r="AW26" s="3">
        <f>IF($C$5="ON",BW26,MyRating(_E4,$B26,Efficacy!$F$1))</f>
        <v>3</v>
      </c>
      <c r="AX26" s="3">
        <f>IF($C$5="ON",BX26,MyRating(_E5,$B26,Efficacy!$F$1))</f>
        <v>3</v>
      </c>
      <c r="AY26" s="3">
        <f>IF($C$5="ON",BY26,MyRating(_E6,$B26,Efficacy!$F$1))</f>
        <v>2</v>
      </c>
      <c r="AZ26" s="3">
        <f>IF($C$5="ON",BZ26,MyRating(_E7,$B26,Efficacy!$F$1))</f>
        <v>3</v>
      </c>
      <c r="BA26" s="3">
        <f>IF($C$5="ON",CA26,MyRating(_E8,$B26,Efficacy!$F$1))</f>
        <v>1</v>
      </c>
      <c r="BB26" s="3">
        <f>IF($C$5="ON",CB26,MyRating(_S1,$B26,Efficacy!$F$1))</f>
        <v>3</v>
      </c>
      <c r="BC26" s="3">
        <f>IF($C$5="ON",CC26,MyRating(_S2,$B26,Efficacy!$F$1))</f>
        <v>4</v>
      </c>
      <c r="BD26" s="3">
        <f>IF($C$5="ON",CD26,MyRating(_S3,$B26,Efficacy!$F$1))</f>
        <v>3</v>
      </c>
      <c r="BE26" s="3">
        <f>IF($C$5="ON",CE26,MyRating(_S4,$B26,Efficacy!$F$1))</f>
        <v>5</v>
      </c>
      <c r="BF26" s="3">
        <f>IF($C$5="ON",CF26,MyRating(_S5,$B26,Efficacy!$F$1))</f>
        <v>5</v>
      </c>
      <c r="BG26" s="3">
        <f>IF($C$5="ON",CG26,MyRating(_S6,$B26,Efficacy!$F$1))</f>
        <v>2</v>
      </c>
      <c r="BH26" s="3">
        <f>IF($C$5="ON",CH26,MyRating(_S7,$B26,Efficacy!$F$1))</f>
        <v>4</v>
      </c>
      <c r="BI26" s="3">
        <f>IF($C$5="ON",CI26,MyRating(_D1,$B26,Efficacy!$F$1))</f>
        <v>2</v>
      </c>
      <c r="BJ26" s="3">
        <f>IF($C$5="ON",CJ26,MyRating(_D2,$B26,Efficacy!$F$1))</f>
        <v>3</v>
      </c>
      <c r="BK26" s="3">
        <f>IF($C$5="ON",CK26,MyRating(_D3,$B26,Efficacy!$F$1))</f>
        <v>2</v>
      </c>
      <c r="BL26" s="3">
        <f>IF($C$5="ON",CL26,MyRating(_D4,$B26,Efficacy!$F$1))</f>
        <v>2</v>
      </c>
      <c r="BM26" s="3">
        <f>IF($C$5="ON",CM26,MyRating(_B1G5,$B26,Barrier!$L$2))</f>
        <v>1</v>
      </c>
      <c r="BN26" s="3">
        <f>IF($C$5="ON",CN26,MyRating(_B2,$B26,Barrier!$F$2))</f>
        <v>3</v>
      </c>
      <c r="BO26" s="6">
        <f>IF($C$5="ON",CO26,MyRating(_B3,$B26,Barrier!$F$2))</f>
        <v>5</v>
      </c>
      <c r="BP26" s="5">
        <f t="shared" si="6"/>
        <v>4.9932578149053504E-2</v>
      </c>
      <c r="BQ26" s="8">
        <f t="shared" si="7"/>
        <v>3.8499999999999996</v>
      </c>
      <c r="BR26" s="5">
        <f t="shared" si="8"/>
        <v>4.7037263286499667E-2</v>
      </c>
      <c r="BS26" s="7">
        <f t="shared" si="9"/>
        <v>2.5522925624419785E-2</v>
      </c>
      <c r="BT26" s="4">
        <v>5</v>
      </c>
      <c r="BU26" s="3">
        <v>4</v>
      </c>
      <c r="BV26" s="3">
        <v>4</v>
      </c>
      <c r="BW26" s="3">
        <v>3</v>
      </c>
      <c r="BX26" s="3">
        <v>3</v>
      </c>
      <c r="BY26" s="3">
        <v>2</v>
      </c>
      <c r="BZ26" s="3">
        <v>3</v>
      </c>
      <c r="CA26" s="3">
        <v>1</v>
      </c>
      <c r="CB26" s="3">
        <v>3</v>
      </c>
      <c r="CC26" s="3">
        <v>4</v>
      </c>
      <c r="CD26" s="3">
        <v>3</v>
      </c>
      <c r="CE26" s="3">
        <v>5</v>
      </c>
      <c r="CF26" s="3">
        <v>5</v>
      </c>
      <c r="CG26" s="3">
        <v>2</v>
      </c>
      <c r="CH26" s="3">
        <v>4</v>
      </c>
      <c r="CI26" s="3">
        <v>2</v>
      </c>
      <c r="CJ26" s="3">
        <v>3</v>
      </c>
      <c r="CK26" s="3">
        <v>2</v>
      </c>
      <c r="CL26" s="3">
        <v>2</v>
      </c>
      <c r="CM26" s="3">
        <v>1</v>
      </c>
      <c r="CN26" s="3">
        <v>3</v>
      </c>
      <c r="CO26" s="6">
        <v>5</v>
      </c>
      <c r="CP26" s="5">
        <v>4.9932578149053504E-2</v>
      </c>
      <c r="CQ26" s="61">
        <f t="shared" si="10"/>
        <v>2028</v>
      </c>
      <c r="CR26">
        <f t="shared" si="11"/>
        <v>11.000000000000909</v>
      </c>
    </row>
    <row r="27" spans="1:96" x14ac:dyDescent="0.35">
      <c r="A27" s="9" t="str">
        <f t="shared" si="0"/>
        <v>FR</v>
      </c>
      <c r="B27" s="9" t="s">
        <v>31</v>
      </c>
      <c r="C27" s="20"/>
      <c r="D27" s="9" t="s">
        <v>2</v>
      </c>
      <c r="E27" s="9" t="s">
        <v>193</v>
      </c>
      <c r="F27" s="9" t="s">
        <v>58</v>
      </c>
      <c r="G27" s="19">
        <v>0</v>
      </c>
      <c r="H27" s="9">
        <v>2014</v>
      </c>
      <c r="I27" s="9">
        <v>6</v>
      </c>
      <c r="J27" s="18">
        <f>INDEX(PTRS!$D$6:$D$12,MATCH('3'!$F27,PTRS!$B$6:$B$12,0))</f>
        <v>0.13923000000000002</v>
      </c>
      <c r="K27" s="17">
        <v>0</v>
      </c>
      <c r="L27" s="17">
        <v>0.1044225</v>
      </c>
      <c r="M27" s="17">
        <v>0.13923000000000002</v>
      </c>
      <c r="N27" s="17">
        <v>0.14000000000000001</v>
      </c>
      <c r="O27" s="17">
        <v>0.14000000000000001</v>
      </c>
      <c r="P27" s="17">
        <v>0.1044225</v>
      </c>
      <c r="Q27" s="17">
        <v>0.1044225</v>
      </c>
      <c r="R27" s="17">
        <v>0.1044225</v>
      </c>
      <c r="S27" s="17">
        <v>1</v>
      </c>
      <c r="T27" s="17"/>
      <c r="U27" s="17">
        <f t="shared" si="1"/>
        <v>0.72649652910676854</v>
      </c>
      <c r="V27" s="17">
        <v>1</v>
      </c>
      <c r="W27" s="9" t="s">
        <v>31</v>
      </c>
      <c r="X27" s="9">
        <f>INDEX('Unique Asset List'!$C$4:$I$60,MATCH('3'!$B27,'Unique Asset List'!$A$4:$A$60,0),MATCH('3'!$C$1,'Unique Asset List'!$C$3:$I$3,0))</f>
        <v>2029</v>
      </c>
      <c r="Y27" s="9">
        <f>INDEX('Unique Asset List'!$J$4:$P$60,MATCH('3'!$B27,'Unique Asset List'!$A$4:$A$60,0),MATCH('3'!$C$1,'Unique Asset List'!$J$3:$P$3,0))</f>
        <v>2.0000000000009095</v>
      </c>
      <c r="Z27" s="9">
        <f>INDEX('Unique Asset List'!$X$4:$AD$60,MATCH('3'!$B27,'Unique Asset List'!$A$4:$A$60,0),MATCH('3'!$C$1,'Unique Asset List'!$X$3:$AD$3,0))</f>
        <v>2037</v>
      </c>
      <c r="AA27" s="9">
        <f>INDEX('Unique Asset List'!$AE$4:$AK$60,MATCH('3'!$B27,'Unique Asset List'!$A$4:$A$60,0),MATCH('3'!$C$1,'Unique Asset List'!$AE$3:$AK$3,0))</f>
        <v>2</v>
      </c>
      <c r="AB27" s="16">
        <f t="shared" si="2"/>
        <v>2.1250906000000005</v>
      </c>
      <c r="AC27" s="16">
        <f t="shared" si="3"/>
        <v>0.97325250000000008</v>
      </c>
      <c r="AD27" s="16">
        <f t="shared" si="4"/>
        <v>0.56099999999999994</v>
      </c>
      <c r="AE27" s="15">
        <f>INDEX('Unique Asset List'!$BN$4:$BT$60,MATCH('3'!$B27,'Unique Asset List'!$A$4:$A$60,0),MATCH('3'!$C$1,'Unique Asset List'!$BN$3:$BT$3,0))</f>
        <v>0.12</v>
      </c>
      <c r="AF27" s="15">
        <f>INDEX('Unique Asset List'!$BU$4:$CA$60,MATCH('3'!$B27,'Unique Asset List'!$A$4:$A$60,0),MATCH('3'!$C$1,'Unique Asset List'!$BU$3:$CA$3,0))</f>
        <v>0.38</v>
      </c>
      <c r="AG27" s="15">
        <f>INDEX('Unique Asset List'!$AZ$4:$BF$60,MATCH('3'!$B27,'Unique Asset List'!$A$4:$A$60,0),MATCH('3'!$C$1,'Unique Asset List'!$AZ$3:$BF$3,0))</f>
        <v>0.12</v>
      </c>
      <c r="AH27" s="15">
        <f>INDEX('Unique Asset List'!$BG$4:$BM$60,MATCH('3'!$B27,'Unique Asset List'!$A$4:$A$60,0),MATCH('3'!$C$1,'Unique Asset List'!$BG$3:$BM$3,0))</f>
        <v>0.38</v>
      </c>
      <c r="AI27" s="11">
        <v>0.96187963349867744</v>
      </c>
      <c r="AJ27" s="15">
        <f>INDEX('Unique Asset List'!$AL$4:$AR$60,MATCH('3'!$B27,'Unique Asset List'!$A$4:$A$60,0),MATCH('3'!$C$1,'Unique Asset List'!$AL$3:$AR$3,0))</f>
        <v>2.1252009430760062</v>
      </c>
      <c r="AK27" s="15">
        <f>INDEX('Unique Asset List'!$AS$4:$AY$60,MATCH('3'!$B27,'Unique Asset List'!$A$4:$A$60,0),MATCH('3'!$C$1,'Unique Asset List'!$AS$3:$AY$3,0))</f>
        <v>-1.7169645793441486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5"/>
        <v>0.82</v>
      </c>
      <c r="AS27" s="10">
        <v>1</v>
      </c>
      <c r="AT27" s="4">
        <f>IF($C$5="ON",BT27,MyRating(_E1,$B27,Efficacy!$F$1))</f>
        <v>4</v>
      </c>
      <c r="AU27" s="3">
        <f>IF($C$5="ON",BU27,MyRating(_E2,$B27,Efficacy!$F$1))</f>
        <v>4</v>
      </c>
      <c r="AV27" s="3">
        <f>IF($C$5="ON",BV27,MyRating(_E3,$B27,Efficacy!$F$1))</f>
        <v>4</v>
      </c>
      <c r="AW27" s="3">
        <f>IF($C$5="ON",BW27,MyRating(_E4,$B27,Efficacy!$F$1))</f>
        <v>4</v>
      </c>
      <c r="AX27" s="3">
        <f>IF($C$5="ON",BX27,MyRating(_E5,$B27,Efficacy!$F$1))</f>
        <v>3</v>
      </c>
      <c r="AY27" s="3">
        <f>IF($C$5="ON",BY27,MyRating(_E6,$B27,Efficacy!$F$1))</f>
        <v>4</v>
      </c>
      <c r="AZ27" s="3">
        <f>IF($C$5="ON",BZ27,MyRating(_E7,$B27,Efficacy!$F$1))</f>
        <v>4</v>
      </c>
      <c r="BA27" s="3">
        <f>IF($C$5="ON",CA27,MyRating(_E8,$B27,Efficacy!$F$1))</f>
        <v>3</v>
      </c>
      <c r="BB27" s="3">
        <f>IF($C$5="ON",CB27,MyRating(_S1,$B27,Efficacy!$F$1))</f>
        <v>4</v>
      </c>
      <c r="BC27" s="3">
        <f>IF($C$5="ON",CC27,MyRating(_S2,$B27,Efficacy!$F$1))</f>
        <v>3</v>
      </c>
      <c r="BD27" s="3">
        <f>IF($C$5="ON",CD27,MyRating(_S3,$B27,Efficacy!$F$1))</f>
        <v>3</v>
      </c>
      <c r="BE27" s="3">
        <f>IF($C$5="ON",CE27,MyRating(_S4,$B27,Efficacy!$F$1))</f>
        <v>4</v>
      </c>
      <c r="BF27" s="3">
        <f>IF($C$5="ON",CF27,MyRating(_S5,$B27,Efficacy!$F$1))</f>
        <v>5</v>
      </c>
      <c r="BG27" s="3">
        <f>IF($C$5="ON",CG27,MyRating(_S6,$B27,Efficacy!$F$1))</f>
        <v>3</v>
      </c>
      <c r="BH27" s="3">
        <f>IF($C$5="ON",CH27,MyRating(_S7,$B27,Efficacy!$F$1))</f>
        <v>4</v>
      </c>
      <c r="BI27" s="3">
        <f>IF($C$5="ON",CI27,MyRating(_D1,$B27,Efficacy!$F$1))</f>
        <v>3</v>
      </c>
      <c r="BJ27" s="3">
        <f>IF($C$5="ON",CJ27,MyRating(_D2,$B27,Efficacy!$F$1))</f>
        <v>3</v>
      </c>
      <c r="BK27" s="3">
        <f>IF($C$5="ON",CK27,MyRating(_D3,$B27,Efficacy!$F$1))</f>
        <v>3</v>
      </c>
      <c r="BL27" s="3">
        <f>IF($C$5="ON",CL27,MyRating(_D4,$B27,Efficacy!$F$1))</f>
        <v>3</v>
      </c>
      <c r="BM27" s="3">
        <f>IF($C$5="ON",CM27,MyRating(_B1G5,$B27,Barrier!$L$2))</f>
        <v>2</v>
      </c>
      <c r="BN27" s="3">
        <f>IF($C$5="ON",CN27,MyRating(_B2,$B27,Barrier!$F$2))</f>
        <v>3</v>
      </c>
      <c r="BO27" s="6">
        <f>IF($C$5="ON",CO27,MyRating(_B3,$B27,Barrier!$F$2))</f>
        <v>3</v>
      </c>
      <c r="BP27" s="5">
        <f t="shared" si="6"/>
        <v>3.6275844714639842E-2</v>
      </c>
      <c r="BQ27" s="8">
        <f t="shared" si="7"/>
        <v>2.9499999999999997</v>
      </c>
      <c r="BR27" s="5">
        <f t="shared" si="8"/>
        <v>3.60415394013439E-2</v>
      </c>
      <c r="BS27" s="7">
        <f t="shared" si="9"/>
        <v>1.8542316878791175E-2</v>
      </c>
      <c r="BT27" s="4">
        <v>4</v>
      </c>
      <c r="BU27" s="3">
        <v>4</v>
      </c>
      <c r="BV27" s="3">
        <v>4</v>
      </c>
      <c r="BW27" s="3">
        <v>4</v>
      </c>
      <c r="BX27" s="3">
        <v>3</v>
      </c>
      <c r="BY27" s="3">
        <v>4</v>
      </c>
      <c r="BZ27" s="3">
        <v>4</v>
      </c>
      <c r="CA27" s="3">
        <v>3</v>
      </c>
      <c r="CB27" s="3">
        <v>4</v>
      </c>
      <c r="CC27" s="3">
        <v>3</v>
      </c>
      <c r="CD27" s="3">
        <v>3</v>
      </c>
      <c r="CE27" s="3">
        <v>4</v>
      </c>
      <c r="CF27" s="3">
        <v>5</v>
      </c>
      <c r="CG27" s="3">
        <v>3</v>
      </c>
      <c r="CH27" s="3">
        <v>4</v>
      </c>
      <c r="CI27" s="3">
        <v>3</v>
      </c>
      <c r="CJ27" s="3">
        <v>3</v>
      </c>
      <c r="CK27" s="3">
        <v>3</v>
      </c>
      <c r="CL27" s="3">
        <v>3</v>
      </c>
      <c r="CM27" s="3">
        <v>2</v>
      </c>
      <c r="CN27" s="3">
        <v>3</v>
      </c>
      <c r="CO27" s="6">
        <v>3</v>
      </c>
      <c r="CP27" s="5">
        <v>3.6275844714639842E-2</v>
      </c>
      <c r="CQ27" s="61">
        <f t="shared" si="10"/>
        <v>2030</v>
      </c>
      <c r="CR27">
        <f t="shared" si="11"/>
        <v>5.0000000000009095</v>
      </c>
    </row>
    <row r="28" spans="1:96" x14ac:dyDescent="0.35">
      <c r="A28" s="9" t="str">
        <f t="shared" si="0"/>
        <v>FR</v>
      </c>
      <c r="B28" s="9" t="s">
        <v>35</v>
      </c>
      <c r="C28" s="20"/>
      <c r="D28" s="9" t="s">
        <v>2</v>
      </c>
      <c r="E28" s="9" t="s">
        <v>193</v>
      </c>
      <c r="F28" s="9" t="s">
        <v>58</v>
      </c>
      <c r="G28" s="19">
        <v>0</v>
      </c>
      <c r="H28" s="9">
        <v>2014</v>
      </c>
      <c r="I28" s="9">
        <v>6</v>
      </c>
      <c r="J28" s="18">
        <f>INDEX(PTRS!$D$6:$D$12,MATCH('3'!$F28,PTRS!$B$6:$B$12,0))</f>
        <v>0.13923000000000002</v>
      </c>
      <c r="K28" s="17">
        <v>0</v>
      </c>
      <c r="L28" s="17">
        <v>0.1044225</v>
      </c>
      <c r="M28" s="17">
        <v>0.13923000000000002</v>
      </c>
      <c r="N28" s="17">
        <v>0.14000000000000001</v>
      </c>
      <c r="O28" s="17">
        <v>0.14000000000000001</v>
      </c>
      <c r="P28" s="17">
        <v>0.1044225</v>
      </c>
      <c r="Q28" s="17">
        <v>0.1044225</v>
      </c>
      <c r="R28" s="17">
        <v>0.1044225</v>
      </c>
      <c r="S28" s="17">
        <v>1</v>
      </c>
      <c r="T28" s="17"/>
      <c r="U28" s="17">
        <f t="shared" si="1"/>
        <v>0.72649652910676854</v>
      </c>
      <c r="V28" s="17">
        <v>1</v>
      </c>
      <c r="W28" s="9" t="s">
        <v>35</v>
      </c>
      <c r="X28" s="9">
        <f>INDEX('Unique Asset List'!$C$4:$I$60,MATCH('3'!$B28,'Unique Asset List'!$A$4:$A$60,0),MATCH('3'!$C$1,'Unique Asset List'!$C$3:$I$3,0))</f>
        <v>2029</v>
      </c>
      <c r="Y28" s="9">
        <f>INDEX('Unique Asset List'!$J$4:$P$60,MATCH('3'!$B28,'Unique Asset List'!$A$4:$A$60,0),MATCH('3'!$C$1,'Unique Asset List'!$J$3:$P$3,0))</f>
        <v>3.9999999999990905</v>
      </c>
      <c r="Z28" s="9">
        <f>INDEX('Unique Asset List'!$X$4:$AD$60,MATCH('3'!$B28,'Unique Asset List'!$A$4:$A$60,0),MATCH('3'!$C$1,'Unique Asset List'!$X$3:$AD$3,0))</f>
        <v>2038</v>
      </c>
      <c r="AA28" s="9">
        <f>INDEX('Unique Asset List'!$AE$4:$AK$60,MATCH('3'!$B28,'Unique Asset List'!$A$4:$A$60,0),MATCH('3'!$C$1,'Unique Asset List'!$AE$3:$AK$3,0))</f>
        <v>2</v>
      </c>
      <c r="AB28" s="16">
        <f t="shared" si="2"/>
        <v>2.0908086000000004</v>
      </c>
      <c r="AC28" s="16">
        <f t="shared" si="3"/>
        <v>0.97325250000000008</v>
      </c>
      <c r="AD28" s="16">
        <f t="shared" si="4"/>
        <v>0.56099999999999994</v>
      </c>
      <c r="AE28" s="15">
        <f>INDEX('Unique Asset List'!$BN$4:$BT$60,MATCH('3'!$B28,'Unique Asset List'!$A$4:$A$60,0),MATCH('3'!$C$1,'Unique Asset List'!$BN$3:$BT$3,0))</f>
        <v>0.12</v>
      </c>
      <c r="AF28" s="15">
        <f>INDEX('Unique Asset List'!$BU$4:$CA$60,MATCH('3'!$B28,'Unique Asset List'!$A$4:$A$60,0),MATCH('3'!$C$1,'Unique Asset List'!$BU$3:$CA$3,0))</f>
        <v>0.38</v>
      </c>
      <c r="AG28" s="15">
        <f>INDEX('Unique Asset List'!$AZ$4:$BF$60,MATCH('3'!$B28,'Unique Asset List'!$A$4:$A$60,0),MATCH('3'!$C$1,'Unique Asset List'!$AZ$3:$BF$3,0))</f>
        <v>0.12</v>
      </c>
      <c r="AH28" s="15">
        <f>INDEX('Unique Asset List'!$BG$4:$BM$60,MATCH('3'!$B28,'Unique Asset List'!$A$4:$A$60,0),MATCH('3'!$C$1,'Unique Asset List'!$BG$3:$BM$3,0))</f>
        <v>0.38</v>
      </c>
      <c r="AI28" s="11">
        <v>0.96187963349867744</v>
      </c>
      <c r="AJ28" s="15">
        <f>INDEX('Unique Asset List'!$AL$4:$AR$60,MATCH('3'!$B28,'Unique Asset List'!$A$4:$A$60,0),MATCH('3'!$C$1,'Unique Asset List'!$AL$3:$AR$3,0))</f>
        <v>2.1252009430760062</v>
      </c>
      <c r="AK28" s="15">
        <f>INDEX('Unique Asset List'!$AS$4:$AY$60,MATCH('3'!$B28,'Unique Asset List'!$A$4:$A$60,0),MATCH('3'!$C$1,'Unique Asset List'!$AS$3:$AY$3,0))</f>
        <v>-1.7169645793441486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5"/>
        <v>0.82</v>
      </c>
      <c r="AS28" s="10">
        <v>1</v>
      </c>
      <c r="AT28" s="4">
        <f>IF($C$5="ON",BT28,MyRating(_E1,$B28,Efficacy!$F$1))</f>
        <v>4</v>
      </c>
      <c r="AU28" s="3">
        <f>IF($C$5="ON",BU28,MyRating(_E2,$B28,Efficacy!$F$1))</f>
        <v>4</v>
      </c>
      <c r="AV28" s="3">
        <f>IF($C$5="ON",BV28,MyRating(_E3,$B28,Efficacy!$F$1))</f>
        <v>4</v>
      </c>
      <c r="AW28" s="3">
        <f>IF($C$5="ON",BW28,MyRating(_E4,$B28,Efficacy!$F$1))</f>
        <v>4</v>
      </c>
      <c r="AX28" s="3">
        <f>IF($C$5="ON",BX28,MyRating(_E5,$B28,Efficacy!$F$1))</f>
        <v>3</v>
      </c>
      <c r="AY28" s="3">
        <f>IF($C$5="ON",BY28,MyRating(_E6,$B28,Efficacy!$F$1))</f>
        <v>3</v>
      </c>
      <c r="AZ28" s="3">
        <f>IF($C$5="ON",BZ28,MyRating(_E7,$B28,Efficacy!$F$1))</f>
        <v>3</v>
      </c>
      <c r="BA28" s="3">
        <f>IF($C$5="ON",CA28,MyRating(_E8,$B28,Efficacy!$F$1))</f>
        <v>4</v>
      </c>
      <c r="BB28" s="3">
        <f>IF($C$5="ON",CB28,MyRating(_S1,$B28,Efficacy!$F$1))</f>
        <v>4</v>
      </c>
      <c r="BC28" s="3">
        <f>IF($C$5="ON",CC28,MyRating(_S2,$B28,Efficacy!$F$1))</f>
        <v>3</v>
      </c>
      <c r="BD28" s="3">
        <f>IF($C$5="ON",CD28,MyRating(_S3,$B28,Efficacy!$F$1))</f>
        <v>3</v>
      </c>
      <c r="BE28" s="3">
        <f>IF($C$5="ON",CE28,MyRating(_S4,$B28,Efficacy!$F$1))</f>
        <v>4</v>
      </c>
      <c r="BF28" s="3">
        <f>IF($C$5="ON",CF28,MyRating(_S5,$B28,Efficacy!$F$1))</f>
        <v>5</v>
      </c>
      <c r="BG28" s="3">
        <f>IF($C$5="ON",CG28,MyRating(_S6,$B28,Efficacy!$F$1))</f>
        <v>3</v>
      </c>
      <c r="BH28" s="3">
        <f>IF($C$5="ON",CH28,MyRating(_S7,$B28,Efficacy!$F$1))</f>
        <v>4</v>
      </c>
      <c r="BI28" s="3">
        <f>IF($C$5="ON",CI28,MyRating(_D1,$B28,Efficacy!$F$1))</f>
        <v>3</v>
      </c>
      <c r="BJ28" s="3">
        <f>IF($C$5="ON",CJ28,MyRating(_D2,$B28,Efficacy!$F$1))</f>
        <v>3</v>
      </c>
      <c r="BK28" s="3">
        <f>IF($C$5="ON",CK28,MyRating(_D3,$B28,Efficacy!$F$1))</f>
        <v>3</v>
      </c>
      <c r="BL28" s="3">
        <f>IF($C$5="ON",CL28,MyRating(_D4,$B28,Efficacy!$F$1))</f>
        <v>3</v>
      </c>
      <c r="BM28" s="3">
        <f>IF($C$5="ON",CM28,MyRating(_B1G5,$B28,Barrier!$L$2))</f>
        <v>2</v>
      </c>
      <c r="BN28" s="3">
        <f>IF($C$5="ON",CN28,MyRating(_B2,$B28,Barrier!$F$2))</f>
        <v>3</v>
      </c>
      <c r="BO28" s="6">
        <f>IF($C$5="ON",CO28,MyRating(_B3,$B28,Barrier!$F$2))</f>
        <v>3</v>
      </c>
      <c r="BP28" s="5">
        <f t="shared" si="6"/>
        <v>3.6275844714639842E-2</v>
      </c>
      <c r="BQ28" s="8">
        <f t="shared" si="7"/>
        <v>2.9499999999999997</v>
      </c>
      <c r="BR28" s="5">
        <f t="shared" si="8"/>
        <v>3.60415394013439E-2</v>
      </c>
      <c r="BS28" s="7">
        <f t="shared" si="9"/>
        <v>1.8542316878791175E-2</v>
      </c>
      <c r="BT28" s="4">
        <v>4</v>
      </c>
      <c r="BU28" s="3">
        <v>4</v>
      </c>
      <c r="BV28" s="3">
        <v>4</v>
      </c>
      <c r="BW28" s="3">
        <v>4</v>
      </c>
      <c r="BX28" s="3">
        <v>3</v>
      </c>
      <c r="BY28" s="3">
        <v>3</v>
      </c>
      <c r="BZ28" s="3">
        <v>3</v>
      </c>
      <c r="CA28" s="3">
        <v>4</v>
      </c>
      <c r="CB28" s="3">
        <v>4</v>
      </c>
      <c r="CC28" s="3">
        <v>3</v>
      </c>
      <c r="CD28" s="3">
        <v>3</v>
      </c>
      <c r="CE28" s="3">
        <v>4</v>
      </c>
      <c r="CF28" s="3">
        <v>5</v>
      </c>
      <c r="CG28" s="3">
        <v>3</v>
      </c>
      <c r="CH28" s="3">
        <v>4</v>
      </c>
      <c r="CI28" s="3">
        <v>3</v>
      </c>
      <c r="CJ28" s="3">
        <v>3</v>
      </c>
      <c r="CK28" s="3">
        <v>3</v>
      </c>
      <c r="CL28" s="3">
        <v>3</v>
      </c>
      <c r="CM28" s="3">
        <v>2</v>
      </c>
      <c r="CN28" s="3">
        <v>3</v>
      </c>
      <c r="CO28" s="6">
        <v>3</v>
      </c>
      <c r="CP28" s="5">
        <v>3.6275844714639842E-2</v>
      </c>
      <c r="CQ28" s="61">
        <f t="shared" si="10"/>
        <v>2030</v>
      </c>
      <c r="CR28">
        <f t="shared" si="11"/>
        <v>6.9999999999990905</v>
      </c>
    </row>
    <row r="29" spans="1:96" x14ac:dyDescent="0.35">
      <c r="A29" s="9" t="str">
        <f t="shared" si="0"/>
        <v>FR</v>
      </c>
      <c r="B29" s="9" t="s">
        <v>70</v>
      </c>
      <c r="C29" s="20"/>
      <c r="D29" s="9" t="s">
        <v>64</v>
      </c>
      <c r="E29" s="9" t="s">
        <v>193</v>
      </c>
      <c r="F29" s="9" t="s">
        <v>58</v>
      </c>
      <c r="G29" s="19">
        <v>0</v>
      </c>
      <c r="H29" s="9">
        <v>2014</v>
      </c>
      <c r="I29" s="9">
        <v>6</v>
      </c>
      <c r="J29" s="18">
        <f>INDEX(PTRS!$D$6:$D$12,MATCH('3'!$F29,PTRS!$B$6:$B$12,0))</f>
        <v>0.13923000000000002</v>
      </c>
      <c r="K29" s="17">
        <v>0</v>
      </c>
      <c r="L29" s="17">
        <v>0.13923000000000002</v>
      </c>
      <c r="M29" s="17">
        <v>0.13923000000000002</v>
      </c>
      <c r="N29" s="17">
        <v>0.13923000000000002</v>
      </c>
      <c r="O29" s="17">
        <v>0.13923000000000002</v>
      </c>
      <c r="P29" s="17">
        <v>0.13923000000000002</v>
      </c>
      <c r="Q29" s="17">
        <v>0.14000000000000001</v>
      </c>
      <c r="R29" s="17">
        <v>0.14000000000000001</v>
      </c>
      <c r="S29" s="17">
        <v>1</v>
      </c>
      <c r="T29" s="17"/>
      <c r="U29" s="17">
        <f t="shared" si="1"/>
        <v>0.72649652910676854</v>
      </c>
      <c r="V29" s="17">
        <v>1</v>
      </c>
      <c r="W29" s="9" t="s">
        <v>62</v>
      </c>
      <c r="X29" s="9">
        <f>INDEX('Unique Asset List'!$C$4:$I$60,MATCH('3'!$B29,'Unique Asset List'!$A$4:$A$60,0),MATCH('3'!$C$1,'Unique Asset List'!$C$3:$I$3,0))</f>
        <v>2027</v>
      </c>
      <c r="Y29" s="9">
        <f>INDEX('Unique Asset List'!$J$4:$P$60,MATCH('3'!$B29,'Unique Asset List'!$A$4:$A$60,0),MATCH('3'!$C$1,'Unique Asset List'!$J$3:$P$3,0))</f>
        <v>3</v>
      </c>
      <c r="Z29" s="9">
        <f>INDEX('Unique Asset List'!$X$4:$AD$60,MATCH('3'!$B29,'Unique Asset List'!$A$4:$A$60,0),MATCH('3'!$C$1,'Unique Asset List'!$X$3:$AD$3,0))</f>
        <v>2037</v>
      </c>
      <c r="AA29" s="9">
        <f>INDEX('Unique Asset List'!$AE$4:$AK$60,MATCH('3'!$B29,'Unique Asset List'!$A$4:$A$60,0),MATCH('3'!$C$1,'Unique Asset List'!$AE$3:$AK$3,0))</f>
        <v>3</v>
      </c>
      <c r="AB29" s="16">
        <f t="shared" si="2"/>
        <v>1.6860000000000002</v>
      </c>
      <c r="AC29" s="16">
        <f t="shared" si="3"/>
        <v>0.98141</v>
      </c>
      <c r="AD29" s="16">
        <f t="shared" si="4"/>
        <v>0.50129594525999999</v>
      </c>
      <c r="AE29" s="15">
        <f>INDEX('Unique Asset List'!$BN$4:$BT$60,MATCH('3'!$B29,'Unique Asset List'!$A$4:$A$60,0),MATCH('3'!$C$1,'Unique Asset List'!$BN$3:$BT$3,0))</f>
        <v>0.17</v>
      </c>
      <c r="AF29" s="15">
        <f>INDEX('Unique Asset List'!$BU$4:$CA$60,MATCH('3'!$B29,'Unique Asset List'!$A$4:$A$60,0),MATCH('3'!$C$1,'Unique Asset List'!$BU$3:$CA$3,0))</f>
        <v>0.33</v>
      </c>
      <c r="AG29" s="15">
        <f>INDEX('Unique Asset List'!$AZ$4:$BF$60,MATCH('3'!$B29,'Unique Asset List'!$A$4:$A$60,0),MATCH('3'!$C$1,'Unique Asset List'!$AZ$3:$BF$3,0))</f>
        <v>0.17</v>
      </c>
      <c r="AH29" s="15">
        <f>INDEX('Unique Asset List'!$BG$4:$BM$60,MATCH('3'!$B29,'Unique Asset List'!$A$4:$A$60,0),MATCH('3'!$C$1,'Unique Asset List'!$BG$3:$BM$3,0))</f>
        <v>0.33</v>
      </c>
      <c r="AI29" s="11">
        <v>0.96187963349867744</v>
      </c>
      <c r="AJ29" s="15">
        <f>INDEX('Unique Asset List'!$AL$4:$AR$60,MATCH('3'!$B29,'Unique Asset List'!$A$4:$A$60,0),MATCH('3'!$C$1,'Unique Asset List'!$AL$3:$AR$3,0))</f>
        <v>2.1252009430760062</v>
      </c>
      <c r="AK29" s="15">
        <f>INDEX('Unique Asset List'!$AS$4:$AY$60,MATCH('3'!$B29,'Unique Asset List'!$A$4:$A$60,0),MATCH('3'!$C$1,'Unique Asset List'!$AS$3:$AY$3,0))</f>
        <v>-1.7169645793441486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5"/>
        <v>0.82</v>
      </c>
      <c r="AS29" s="10">
        <v>1</v>
      </c>
      <c r="AT29" s="4">
        <f>IF($C$5="ON",BT29,MyRating(_E1,$B29,Efficacy!$F$1))</f>
        <v>3</v>
      </c>
      <c r="AU29" s="3">
        <f>IF($C$5="ON",BU29,MyRating(_E2,$B29,Efficacy!$F$1))</f>
        <v>3</v>
      </c>
      <c r="AV29" s="3">
        <f>IF($C$5="ON",BV29,MyRating(_E3,$B29,Efficacy!$F$1))</f>
        <v>3</v>
      </c>
      <c r="AW29" s="3">
        <f>IF($C$5="ON",BW29,MyRating(_E4,$B29,Efficacy!$F$1))</f>
        <v>3</v>
      </c>
      <c r="AX29" s="3">
        <f>IF($C$5="ON",BX29,MyRating(_E5,$B29,Efficacy!$F$1))</f>
        <v>3</v>
      </c>
      <c r="AY29" s="3">
        <f>IF($C$5="ON",BY29,MyRating(_E6,$B29,Efficacy!$F$1))</f>
        <v>3</v>
      </c>
      <c r="AZ29" s="3">
        <f>IF($C$5="ON",BZ29,MyRating(_E7,$B29,Efficacy!$F$1))</f>
        <v>3</v>
      </c>
      <c r="BA29" s="3">
        <f>IF($C$5="ON",CA29,MyRating(_E8,$B29,Efficacy!$F$1))</f>
        <v>3</v>
      </c>
      <c r="BB29" s="3">
        <f>IF($C$5="ON",CB29,MyRating(_S1,$B29,Efficacy!$F$1))</f>
        <v>5</v>
      </c>
      <c r="BC29" s="3">
        <f>IF($C$5="ON",CC29,MyRating(_S2,$B29,Efficacy!$F$1))</f>
        <v>3</v>
      </c>
      <c r="BD29" s="3">
        <f>IF($C$5="ON",CD29,MyRating(_S3,$B29,Efficacy!$F$1))</f>
        <v>3</v>
      </c>
      <c r="BE29" s="3">
        <f>IF($C$5="ON",CE29,MyRating(_S4,$B29,Efficacy!$F$1))</f>
        <v>4</v>
      </c>
      <c r="BF29" s="3">
        <f>IF($C$5="ON",CF29,MyRating(_S5,$B29,Efficacy!$F$1))</f>
        <v>5</v>
      </c>
      <c r="BG29" s="3">
        <f>IF($C$5="ON",CG29,MyRating(_S6,$B29,Efficacy!$F$1))</f>
        <v>2</v>
      </c>
      <c r="BH29" s="3">
        <f>IF($C$5="ON",CH29,MyRating(_S7,$B29,Efficacy!$F$1))</f>
        <v>3</v>
      </c>
      <c r="BI29" s="3">
        <f>IF($C$5="ON",CI29,MyRating(_D1,$B29,Efficacy!$F$1))</f>
        <v>2</v>
      </c>
      <c r="BJ29" s="3">
        <f>IF($C$5="ON",CJ29,MyRating(_D2,$B29,Efficacy!$F$1))</f>
        <v>3</v>
      </c>
      <c r="BK29" s="3">
        <f>IF($C$5="ON",CK29,MyRating(_D3,$B29,Efficacy!$F$1))</f>
        <v>3</v>
      </c>
      <c r="BL29" s="3">
        <f>IF($C$5="ON",CL29,MyRating(_D4,$B29,Efficacy!$F$1))</f>
        <v>3</v>
      </c>
      <c r="BM29" s="3">
        <f>IF($C$5="ON",CM29,MyRating(_B1G5,$B29,Barrier!$L$2))</f>
        <v>2</v>
      </c>
      <c r="BN29" s="3">
        <f>IF($C$5="ON",CN29,MyRating(_B2,$B29,Barrier!$F$2))</f>
        <v>3</v>
      </c>
      <c r="BO29" s="6">
        <f>IF($C$5="ON",CO29,MyRating(_B3,$B29,Barrier!$F$2))</f>
        <v>3</v>
      </c>
      <c r="BP29" s="5">
        <f t="shared" si="6"/>
        <v>3.6275844714639842E-2</v>
      </c>
      <c r="BQ29" s="8">
        <f t="shared" si="7"/>
        <v>2.9499999999999997</v>
      </c>
      <c r="BR29" s="5">
        <f t="shared" si="8"/>
        <v>3.60415394013439E-2</v>
      </c>
      <c r="BS29" s="7">
        <f t="shared" si="9"/>
        <v>1.8542316878791175E-2</v>
      </c>
      <c r="BT29" s="4">
        <v>3</v>
      </c>
      <c r="BU29" s="3">
        <v>3</v>
      </c>
      <c r="BV29" s="3">
        <v>3</v>
      </c>
      <c r="BW29" s="3">
        <v>3</v>
      </c>
      <c r="BX29" s="3">
        <v>3</v>
      </c>
      <c r="BY29" s="3">
        <v>3</v>
      </c>
      <c r="BZ29" s="3">
        <v>3</v>
      </c>
      <c r="CA29" s="3">
        <v>3</v>
      </c>
      <c r="CB29" s="3">
        <v>5</v>
      </c>
      <c r="CC29" s="3">
        <v>3</v>
      </c>
      <c r="CD29" s="3">
        <v>3</v>
      </c>
      <c r="CE29" s="3">
        <v>4</v>
      </c>
      <c r="CF29" s="3">
        <v>5</v>
      </c>
      <c r="CG29" s="3">
        <v>2</v>
      </c>
      <c r="CH29" s="3">
        <v>3</v>
      </c>
      <c r="CI29" s="3">
        <v>2</v>
      </c>
      <c r="CJ29" s="3">
        <v>3</v>
      </c>
      <c r="CK29" s="3">
        <v>3</v>
      </c>
      <c r="CL29" s="3">
        <v>3</v>
      </c>
      <c r="CM29" s="3">
        <v>2</v>
      </c>
      <c r="CN29" s="3">
        <v>3</v>
      </c>
      <c r="CO29" s="6">
        <v>3</v>
      </c>
      <c r="CP29" s="5">
        <v>3.6275844714639842E-2</v>
      </c>
      <c r="CQ29" s="61">
        <f t="shared" si="10"/>
        <v>2028</v>
      </c>
      <c r="CR29">
        <f t="shared" si="11"/>
        <v>6</v>
      </c>
    </row>
    <row r="30" spans="1:96" x14ac:dyDescent="0.35">
      <c r="A30" s="9" t="str">
        <f t="shared" si="0"/>
        <v>FR</v>
      </c>
      <c r="B30" s="9" t="s">
        <v>24</v>
      </c>
      <c r="C30" s="20"/>
      <c r="D30" s="9" t="s">
        <v>2</v>
      </c>
      <c r="E30" s="9" t="s">
        <v>193</v>
      </c>
      <c r="F30" s="9" t="s">
        <v>58</v>
      </c>
      <c r="G30" s="19">
        <v>0</v>
      </c>
      <c r="H30" s="9">
        <v>2014</v>
      </c>
      <c r="I30" s="9">
        <v>6</v>
      </c>
      <c r="J30" s="18">
        <f>INDEX(PTRS!$D$6:$D$12,MATCH('3'!$F30,PTRS!$B$6:$B$12,0))</f>
        <v>0.13923000000000002</v>
      </c>
      <c r="K30" s="17">
        <v>0</v>
      </c>
      <c r="L30" s="17">
        <v>0.1044225</v>
      </c>
      <c r="M30" s="17">
        <v>0.13923000000000002</v>
      </c>
      <c r="N30" s="17">
        <v>0.1</v>
      </c>
      <c r="O30" s="17">
        <v>0.1</v>
      </c>
      <c r="P30" s="17">
        <v>0.1044225</v>
      </c>
      <c r="Q30" s="17">
        <v>1</v>
      </c>
      <c r="R30" s="17">
        <v>1</v>
      </c>
      <c r="S30" s="17">
        <v>1</v>
      </c>
      <c r="T30" s="17"/>
      <c r="U30" s="17">
        <f t="shared" si="1"/>
        <v>0.72649652910676854</v>
      </c>
      <c r="V30" s="17">
        <v>1</v>
      </c>
      <c r="W30" s="9" t="s">
        <v>24</v>
      </c>
      <c r="X30" s="9">
        <f>INDEX('Unique Asset List'!$C$4:$I$60,MATCH('3'!$B30,'Unique Asset List'!$A$4:$A$60,0),MATCH('3'!$C$1,'Unique Asset List'!$C$3:$I$3,0))</f>
        <v>2027</v>
      </c>
      <c r="Y30" s="9">
        <f>INDEX('Unique Asset List'!$J$4:$P$60,MATCH('3'!$B30,'Unique Asset List'!$A$4:$A$60,0),MATCH('3'!$C$1,'Unique Asset List'!$J$3:$P$3,0))</f>
        <v>6</v>
      </c>
      <c r="Z30" s="9">
        <f>INDEX('Unique Asset List'!$X$4:$AD$60,MATCH('3'!$B30,'Unique Asset List'!$A$4:$A$60,0),MATCH('3'!$C$1,'Unique Asset List'!$X$3:$AD$3,0))</f>
        <v>2037</v>
      </c>
      <c r="AA30" s="9">
        <f>INDEX('Unique Asset List'!$AE$4:$AK$60,MATCH('3'!$B30,'Unique Asset List'!$A$4:$A$60,0),MATCH('3'!$C$1,'Unique Asset List'!$AE$3:$AK$3,0))</f>
        <v>2</v>
      </c>
      <c r="AB30" s="16">
        <f t="shared" si="2"/>
        <v>2.3276916000000001</v>
      </c>
      <c r="AC30" s="16">
        <f t="shared" si="3"/>
        <v>1.0028454</v>
      </c>
      <c r="AD30" s="16">
        <f t="shared" si="4"/>
        <v>0.56099999999999994</v>
      </c>
      <c r="AE30" s="15">
        <f>INDEX('Unique Asset List'!$BN$4:$BT$60,MATCH('3'!$B30,'Unique Asset List'!$A$4:$A$60,0),MATCH('3'!$C$1,'Unique Asset List'!$BN$3:$BT$3,0))</f>
        <v>0.12</v>
      </c>
      <c r="AF30" s="15">
        <f>INDEX('Unique Asset List'!$BU$4:$CA$60,MATCH('3'!$B30,'Unique Asset List'!$A$4:$A$60,0),MATCH('3'!$C$1,'Unique Asset List'!$BU$3:$CA$3,0))</f>
        <v>0.38</v>
      </c>
      <c r="AG30" s="15">
        <f>INDEX('Unique Asset List'!$AZ$4:$BF$60,MATCH('3'!$B30,'Unique Asset List'!$A$4:$A$60,0),MATCH('3'!$C$1,'Unique Asset List'!$AZ$3:$BF$3,0))</f>
        <v>0.12</v>
      </c>
      <c r="AH30" s="15">
        <f>INDEX('Unique Asset List'!$BG$4:$BM$60,MATCH('3'!$B30,'Unique Asset List'!$A$4:$A$60,0),MATCH('3'!$C$1,'Unique Asset List'!$BG$3:$BM$3,0))</f>
        <v>0.38</v>
      </c>
      <c r="AI30" s="11">
        <v>0.96187963349867744</v>
      </c>
      <c r="AJ30" s="15">
        <f>INDEX('Unique Asset List'!$AL$4:$AR$60,MATCH('3'!$B30,'Unique Asset List'!$A$4:$A$60,0),MATCH('3'!$C$1,'Unique Asset List'!$AL$3:$AR$3,0))</f>
        <v>2.1252009430760062</v>
      </c>
      <c r="AK30" s="15">
        <f>INDEX('Unique Asset List'!$AS$4:$AY$60,MATCH('3'!$B30,'Unique Asset List'!$A$4:$A$60,0),MATCH('3'!$C$1,'Unique Asset List'!$AS$3:$AY$3,0))</f>
        <v>-1.7169645793441486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5"/>
        <v>0.82</v>
      </c>
      <c r="AS30" s="10">
        <v>1</v>
      </c>
      <c r="AT30" s="4">
        <f>IF($C$5="ON",BT30,MyRating(_E1,$B30,Efficacy!$F$1))</f>
        <v>4</v>
      </c>
      <c r="AU30" s="3">
        <f>IF($C$5="ON",BU30,MyRating(_E2,$B30,Efficacy!$F$1))</f>
        <v>5</v>
      </c>
      <c r="AV30" s="3">
        <f>IF($C$5="ON",BV30,MyRating(_E3,$B30,Efficacy!$F$1))</f>
        <v>5</v>
      </c>
      <c r="AW30" s="3">
        <f>IF($C$5="ON",BW30,MyRating(_E4,$B30,Efficacy!$F$1))</f>
        <v>4</v>
      </c>
      <c r="AX30" s="3">
        <f>IF($C$5="ON",BX30,MyRating(_E5,$B30,Efficacy!$F$1))</f>
        <v>4</v>
      </c>
      <c r="AY30" s="3">
        <f>IF($C$5="ON",BY30,MyRating(_E6,$B30,Efficacy!$F$1))</f>
        <v>3</v>
      </c>
      <c r="AZ30" s="3">
        <f>IF($C$5="ON",BZ30,MyRating(_E7,$B30,Efficacy!$F$1))</f>
        <v>3</v>
      </c>
      <c r="BA30" s="3">
        <f>IF($C$5="ON",CA30,MyRating(_E8,$B30,Efficacy!$F$1))</f>
        <v>4</v>
      </c>
      <c r="BB30" s="3">
        <f>IF($C$5="ON",CB30,MyRating(_S1,$B30,Efficacy!$F$1))</f>
        <v>5</v>
      </c>
      <c r="BC30" s="3">
        <f>IF($C$5="ON",CC30,MyRating(_S2,$B30,Efficacy!$F$1))</f>
        <v>3</v>
      </c>
      <c r="BD30" s="3">
        <f>IF($C$5="ON",CD30,MyRating(_S3,$B30,Efficacy!$F$1))</f>
        <v>3</v>
      </c>
      <c r="BE30" s="3">
        <f>IF($C$5="ON",CE30,MyRating(_S4,$B30,Efficacy!$F$1))</f>
        <v>4</v>
      </c>
      <c r="BF30" s="3">
        <f>IF($C$5="ON",CF30,MyRating(_S5,$B30,Efficacy!$F$1))</f>
        <v>5</v>
      </c>
      <c r="BG30" s="3">
        <f>IF($C$5="ON",CG30,MyRating(_S6,$B30,Efficacy!$F$1))</f>
        <v>3</v>
      </c>
      <c r="BH30" s="3">
        <f>IF($C$5="ON",CH30,MyRating(_S7,$B30,Efficacy!$F$1))</f>
        <v>3</v>
      </c>
      <c r="BI30" s="3">
        <f>IF($C$5="ON",CI30,MyRating(_D1,$B30,Efficacy!$F$1))</f>
        <v>3</v>
      </c>
      <c r="BJ30" s="3">
        <f>IF($C$5="ON",CJ30,MyRating(_D2,$B30,Efficacy!$F$1))</f>
        <v>3</v>
      </c>
      <c r="BK30" s="3">
        <f>IF($C$5="ON",CK30,MyRating(_D3,$B30,Efficacy!$F$1))</f>
        <v>3</v>
      </c>
      <c r="BL30" s="3">
        <f>IF($C$5="ON",CL30,MyRating(_D4,$B30,Efficacy!$F$1))</f>
        <v>3</v>
      </c>
      <c r="BM30" s="3">
        <f>IF($C$5="ON",CM30,MyRating(_B1G5,$B30,Barrier!$L$2))</f>
        <v>2</v>
      </c>
      <c r="BN30" s="3">
        <f>IF($C$5="ON",CN30,MyRating(_B2,$B30,Barrier!$F$2))</f>
        <v>3</v>
      </c>
      <c r="BO30" s="6">
        <f>IF($C$5="ON",CO30,MyRating(_B3,$B30,Barrier!$F$2))</f>
        <v>3</v>
      </c>
      <c r="BP30" s="5">
        <f t="shared" si="6"/>
        <v>3.6275844714639842E-2</v>
      </c>
      <c r="BQ30" s="8">
        <f t="shared" si="7"/>
        <v>2.9499999999999997</v>
      </c>
      <c r="BR30" s="5">
        <f t="shared" si="8"/>
        <v>3.60415394013439E-2</v>
      </c>
      <c r="BS30" s="7">
        <f t="shared" si="9"/>
        <v>1.8542316878791175E-2</v>
      </c>
      <c r="BT30" s="4">
        <v>4</v>
      </c>
      <c r="BU30" s="3">
        <v>5</v>
      </c>
      <c r="BV30" s="3">
        <v>5</v>
      </c>
      <c r="BW30" s="3">
        <v>4</v>
      </c>
      <c r="BX30" s="3">
        <v>4</v>
      </c>
      <c r="BY30" s="3">
        <v>3</v>
      </c>
      <c r="BZ30" s="3">
        <v>3</v>
      </c>
      <c r="CA30" s="3">
        <v>4</v>
      </c>
      <c r="CB30" s="3">
        <v>5</v>
      </c>
      <c r="CC30" s="3">
        <v>3</v>
      </c>
      <c r="CD30" s="3">
        <v>3</v>
      </c>
      <c r="CE30" s="3">
        <v>4</v>
      </c>
      <c r="CF30" s="3">
        <v>5</v>
      </c>
      <c r="CG30" s="3">
        <v>3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2</v>
      </c>
      <c r="CN30" s="3">
        <v>3</v>
      </c>
      <c r="CO30" s="6">
        <v>3</v>
      </c>
      <c r="CP30" s="5">
        <v>3.6275844714639842E-2</v>
      </c>
      <c r="CQ30" s="61">
        <f t="shared" si="10"/>
        <v>2028</v>
      </c>
      <c r="CR30">
        <f t="shared" si="11"/>
        <v>9</v>
      </c>
    </row>
    <row r="31" spans="1:96" x14ac:dyDescent="0.35">
      <c r="A31" s="9" t="str">
        <f t="shared" si="0"/>
        <v>FR</v>
      </c>
      <c r="B31" s="9" t="s">
        <v>66</v>
      </c>
      <c r="C31" s="20" t="s">
        <v>3</v>
      </c>
      <c r="D31" s="9" t="s">
        <v>2</v>
      </c>
      <c r="E31" s="9" t="s">
        <v>193</v>
      </c>
      <c r="F31" s="9" t="s">
        <v>1</v>
      </c>
      <c r="G31" s="19">
        <v>0</v>
      </c>
      <c r="H31" s="9">
        <v>2014</v>
      </c>
      <c r="I31" s="9">
        <v>6</v>
      </c>
      <c r="J31" s="18">
        <f>INDEX(PTRS!$D$6:$D$12,MATCH('3'!$F31,PTRS!$B$6:$B$12,0))</f>
        <v>0.1044225</v>
      </c>
      <c r="K31" s="17">
        <v>0</v>
      </c>
      <c r="L31" s="17">
        <v>0.1044225</v>
      </c>
      <c r="M31" s="17">
        <v>0.1044225</v>
      </c>
      <c r="N31" s="17">
        <v>0.1044225</v>
      </c>
      <c r="O31" s="17">
        <v>0.1044225</v>
      </c>
      <c r="P31" s="17">
        <v>0.1044225</v>
      </c>
      <c r="Q31" s="17">
        <v>1</v>
      </c>
      <c r="R31" s="17">
        <v>1</v>
      </c>
      <c r="S31" s="17">
        <v>1</v>
      </c>
      <c r="T31" s="17"/>
      <c r="U31" s="17">
        <f t="shared" si="1"/>
        <v>0.72649652910676854</v>
      </c>
      <c r="V31" s="17">
        <v>1</v>
      </c>
      <c r="W31" s="9" t="s">
        <v>62</v>
      </c>
      <c r="X31" s="9">
        <f>INDEX('Unique Asset List'!$C$4:$I$60,MATCH('3'!$B31,'Unique Asset List'!$A$4:$A$60,0),MATCH('3'!$C$1,'Unique Asset List'!$C$3:$I$3,0))</f>
        <v>2030</v>
      </c>
      <c r="Y31" s="9">
        <f>INDEX('Unique Asset List'!$J$4:$P$60,MATCH('3'!$B31,'Unique Asset List'!$A$4:$A$60,0),MATCH('3'!$C$1,'Unique Asset List'!$J$3:$P$3,0))</f>
        <v>3</v>
      </c>
      <c r="Z31" s="9">
        <f>INDEX('Unique Asset List'!$X$4:$AD$60,MATCH('3'!$B31,'Unique Asset List'!$A$4:$A$60,0),MATCH('3'!$C$1,'Unique Asset List'!$X$3:$AD$3,0))</f>
        <v>2038</v>
      </c>
      <c r="AA31" s="9">
        <f>INDEX('Unique Asset List'!$AE$4:$AK$60,MATCH('3'!$B31,'Unique Asset List'!$A$4:$A$60,0),MATCH('3'!$C$1,'Unique Asset List'!$AE$3:$AK$3,0))</f>
        <v>3</v>
      </c>
      <c r="AB31" s="16">
        <f t="shared" si="2"/>
        <v>2.3276916000000001</v>
      </c>
      <c r="AC31" s="16">
        <f t="shared" si="3"/>
        <v>1.0028454</v>
      </c>
      <c r="AD31" s="16">
        <f t="shared" si="4"/>
        <v>0.56099999999999994</v>
      </c>
      <c r="AE31" s="15">
        <f>INDEX('Unique Asset List'!$BN$4:$BT$60,MATCH('3'!$B31,'Unique Asset List'!$A$4:$A$60,0),MATCH('3'!$C$1,'Unique Asset List'!$BN$3:$BT$3,0))</f>
        <v>0.17</v>
      </c>
      <c r="AF31" s="15">
        <f>INDEX('Unique Asset List'!$BU$4:$CA$60,MATCH('3'!$B31,'Unique Asset List'!$A$4:$A$60,0),MATCH('3'!$C$1,'Unique Asset List'!$BU$3:$CA$3,0))</f>
        <v>0.33</v>
      </c>
      <c r="AG31" s="15">
        <f>INDEX('Unique Asset List'!$AZ$4:$BF$60,MATCH('3'!$B31,'Unique Asset List'!$A$4:$A$60,0),MATCH('3'!$C$1,'Unique Asset List'!$AZ$3:$BF$3,0))</f>
        <v>0.17</v>
      </c>
      <c r="AH31" s="15">
        <f>INDEX('Unique Asset List'!$BG$4:$BM$60,MATCH('3'!$B31,'Unique Asset List'!$A$4:$A$60,0),MATCH('3'!$C$1,'Unique Asset List'!$BG$3:$BM$3,0))</f>
        <v>0.33</v>
      </c>
      <c r="AI31" s="11">
        <v>0.96187963349867744</v>
      </c>
      <c r="AJ31" s="15">
        <f>INDEX('Unique Asset List'!$AL$4:$AR$60,MATCH('3'!$B31,'Unique Asset List'!$A$4:$A$60,0),MATCH('3'!$C$1,'Unique Asset List'!$AL$3:$AR$3,0))</f>
        <v>2.1252009430760062</v>
      </c>
      <c r="AK31" s="15">
        <f>INDEX('Unique Asset List'!$AS$4:$AY$60,MATCH('3'!$B31,'Unique Asset List'!$A$4:$A$60,0),MATCH('3'!$C$1,'Unique Asset List'!$AS$3:$AY$3,0))</f>
        <v>-1.7169645793441486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5"/>
        <v>0.82</v>
      </c>
      <c r="AS31" s="10">
        <v>1</v>
      </c>
      <c r="AT31" s="4">
        <f>IF($C$5="ON",BT31,MyRating(_E1,$B31,Efficacy!$F$1))</f>
        <v>4</v>
      </c>
      <c r="AU31" s="3">
        <f>IF($C$5="ON",BU31,MyRating(_E2,$B31,Efficacy!$F$1))</f>
        <v>5</v>
      </c>
      <c r="AV31" s="3">
        <f>IF($C$5="ON",BV31,MyRating(_E3,$B31,Efficacy!$F$1))</f>
        <v>5</v>
      </c>
      <c r="AW31" s="3">
        <f>IF($C$5="ON",BW31,MyRating(_E4,$B31,Efficacy!$F$1))</f>
        <v>4</v>
      </c>
      <c r="AX31" s="3">
        <f>IF($C$5="ON",BX31,MyRating(_E5,$B31,Efficacy!$F$1))</f>
        <v>4</v>
      </c>
      <c r="AY31" s="3">
        <f>IF($C$5="ON",BY31,MyRating(_E6,$B31,Efficacy!$F$1))</f>
        <v>3</v>
      </c>
      <c r="AZ31" s="3">
        <f>IF($C$5="ON",BZ31,MyRating(_E7,$B31,Efficacy!$F$1))</f>
        <v>3</v>
      </c>
      <c r="BA31" s="3">
        <f>IF($C$5="ON",CA31,MyRating(_E8,$B31,Efficacy!$F$1))</f>
        <v>4</v>
      </c>
      <c r="BB31" s="3">
        <f>IF($C$5="ON",CB31,MyRating(_S1,$B31,Efficacy!$F$1))</f>
        <v>5</v>
      </c>
      <c r="BC31" s="3">
        <f>IF($C$5="ON",CC31,MyRating(_S2,$B31,Efficacy!$F$1))</f>
        <v>3</v>
      </c>
      <c r="BD31" s="3">
        <f>IF($C$5="ON",CD31,MyRating(_S3,$B31,Efficacy!$F$1))</f>
        <v>3</v>
      </c>
      <c r="BE31" s="3">
        <f>IF($C$5="ON",CE31,MyRating(_S4,$B31,Efficacy!$F$1))</f>
        <v>4</v>
      </c>
      <c r="BF31" s="3">
        <f>IF($C$5="ON",CF31,MyRating(_S5,$B31,Efficacy!$F$1))</f>
        <v>5</v>
      </c>
      <c r="BG31" s="3">
        <f>IF($C$5="ON",CG31,MyRating(_S6,$B31,Efficacy!$F$1))</f>
        <v>3</v>
      </c>
      <c r="BH31" s="3">
        <f>IF($C$5="ON",CH31,MyRating(_S7,$B31,Efficacy!$F$1))</f>
        <v>3</v>
      </c>
      <c r="BI31" s="3">
        <f>IF($C$5="ON",CI31,MyRating(_D1,$B31,Efficacy!$F$1))</f>
        <v>3</v>
      </c>
      <c r="BJ31" s="3">
        <f>IF($C$5="ON",CJ31,MyRating(_D2,$B31,Efficacy!$F$1))</f>
        <v>3</v>
      </c>
      <c r="BK31" s="3">
        <f>IF($C$5="ON",CK31,MyRating(_D3,$B31,Efficacy!$F$1))</f>
        <v>3</v>
      </c>
      <c r="BL31" s="3">
        <f>IF($C$5="ON",CL31,MyRating(_D4,$B31,Efficacy!$F$1))</f>
        <v>3</v>
      </c>
      <c r="BM31" s="3">
        <f>IF($C$5="ON",CM31,MyRating(_B1G5,$B31,Barrier!$L$2))</f>
        <v>2</v>
      </c>
      <c r="BN31" s="3">
        <f>IF($C$5="ON",CN31,MyRating(_B2,$B31,Barrier!$F$2))</f>
        <v>3</v>
      </c>
      <c r="BO31" s="6">
        <f>IF($C$5="ON",CO31,MyRating(_B3,$B31,Barrier!$F$2))</f>
        <v>3</v>
      </c>
      <c r="BP31" s="5">
        <f t="shared" si="6"/>
        <v>3.6275844714639842E-2</v>
      </c>
      <c r="BQ31" s="8">
        <f t="shared" si="7"/>
        <v>2.9499999999999997</v>
      </c>
      <c r="BR31" s="5">
        <f t="shared" si="8"/>
        <v>3.60415394013439E-2</v>
      </c>
      <c r="BS31" s="7">
        <f t="shared" si="9"/>
        <v>1.8542316878791175E-2</v>
      </c>
      <c r="BT31" s="4">
        <v>4</v>
      </c>
      <c r="BU31" s="3">
        <v>5</v>
      </c>
      <c r="BV31" s="3">
        <v>5</v>
      </c>
      <c r="BW31" s="3">
        <v>4</v>
      </c>
      <c r="BX31" s="3">
        <v>4</v>
      </c>
      <c r="BY31" s="3">
        <v>3</v>
      </c>
      <c r="BZ31" s="3">
        <v>3</v>
      </c>
      <c r="CA31" s="3">
        <v>4</v>
      </c>
      <c r="CB31" s="3">
        <v>5</v>
      </c>
      <c r="CC31" s="3">
        <v>3</v>
      </c>
      <c r="CD31" s="3">
        <v>3</v>
      </c>
      <c r="CE31" s="3">
        <v>4</v>
      </c>
      <c r="CF31" s="3">
        <v>5</v>
      </c>
      <c r="CG31" s="3">
        <v>3</v>
      </c>
      <c r="CH31" s="3">
        <v>3</v>
      </c>
      <c r="CI31" s="3">
        <v>3</v>
      </c>
      <c r="CJ31" s="3">
        <v>3</v>
      </c>
      <c r="CK31" s="3">
        <v>3</v>
      </c>
      <c r="CL31" s="3">
        <v>3</v>
      </c>
      <c r="CM31" s="3">
        <v>2</v>
      </c>
      <c r="CN31" s="3">
        <v>3</v>
      </c>
      <c r="CO31" s="6">
        <v>3</v>
      </c>
      <c r="CP31" s="5">
        <v>3.6275844714639842E-2</v>
      </c>
      <c r="CQ31" s="61">
        <f t="shared" si="10"/>
        <v>2031</v>
      </c>
      <c r="CR31">
        <f t="shared" si="11"/>
        <v>6</v>
      </c>
    </row>
    <row r="32" spans="1:96" x14ac:dyDescent="0.35">
      <c r="A32" s="9" t="str">
        <f t="shared" si="0"/>
        <v>FR</v>
      </c>
      <c r="B32" s="9" t="s">
        <v>57</v>
      </c>
      <c r="C32" s="20" t="s">
        <v>3</v>
      </c>
      <c r="D32" s="9" t="s">
        <v>2</v>
      </c>
      <c r="E32" s="9" t="s">
        <v>193</v>
      </c>
      <c r="F32" s="9" t="s">
        <v>1</v>
      </c>
      <c r="G32" s="19">
        <v>0</v>
      </c>
      <c r="H32" s="9">
        <v>2014</v>
      </c>
      <c r="I32" s="9">
        <v>6</v>
      </c>
      <c r="J32" s="18">
        <f>INDEX(PTRS!$D$6:$D$12,MATCH('3'!$F32,PTRS!$B$6:$B$12,0))</f>
        <v>0.1044225</v>
      </c>
      <c r="K32" s="17">
        <v>0</v>
      </c>
      <c r="L32" s="17">
        <v>0.1044225</v>
      </c>
      <c r="M32" s="17">
        <v>0.1044225</v>
      </c>
      <c r="N32" s="17">
        <v>0.1044225</v>
      </c>
      <c r="O32" s="17">
        <v>0.1044225</v>
      </c>
      <c r="P32" s="17">
        <v>0.1044225</v>
      </c>
      <c r="Q32" s="17">
        <v>1</v>
      </c>
      <c r="R32" s="17">
        <v>1</v>
      </c>
      <c r="S32" s="17">
        <v>1</v>
      </c>
      <c r="T32" s="17"/>
      <c r="U32" s="17">
        <f t="shared" si="1"/>
        <v>0.72649652910676854</v>
      </c>
      <c r="V32" s="17">
        <v>1</v>
      </c>
      <c r="W32" s="9" t="s">
        <v>57</v>
      </c>
      <c r="X32" s="9">
        <f>INDEX('Unique Asset List'!$C$4:$I$60,MATCH('3'!$B32,'Unique Asset List'!$A$4:$A$60,0),MATCH('3'!$C$1,'Unique Asset List'!$C$3:$I$3,0))</f>
        <v>2030</v>
      </c>
      <c r="Y32" s="9">
        <f>INDEX('Unique Asset List'!$J$4:$P$60,MATCH('3'!$B32,'Unique Asset List'!$A$4:$A$60,0),MATCH('3'!$C$1,'Unique Asset List'!$J$3:$P$3,0))</f>
        <v>9</v>
      </c>
      <c r="Z32" s="9">
        <f>INDEX('Unique Asset List'!$X$4:$AD$60,MATCH('3'!$B32,'Unique Asset List'!$A$4:$A$60,0),MATCH('3'!$C$1,'Unique Asset List'!$X$3:$AD$3,0))</f>
        <v>2038</v>
      </c>
      <c r="AA32" s="9">
        <f>INDEX('Unique Asset List'!$AE$4:$AK$60,MATCH('3'!$B32,'Unique Asset List'!$A$4:$A$60,0),MATCH('3'!$C$1,'Unique Asset List'!$AE$3:$AK$3,0))</f>
        <v>9</v>
      </c>
      <c r="AB32" s="16">
        <f t="shared" si="2"/>
        <v>2.3276916000000001</v>
      </c>
      <c r="AC32" s="16">
        <f t="shared" si="3"/>
        <v>1.0028454</v>
      </c>
      <c r="AD32" s="16">
        <f t="shared" si="4"/>
        <v>0.56099999999999994</v>
      </c>
      <c r="AE32" s="15">
        <f>INDEX('Unique Asset List'!$BN$4:$BT$60,MATCH('3'!$B32,'Unique Asset List'!$A$4:$A$60,0),MATCH('3'!$C$1,'Unique Asset List'!$BN$3:$BT$3,0))</f>
        <v>0.17</v>
      </c>
      <c r="AF32" s="15">
        <f>INDEX('Unique Asset List'!$BU$4:$CA$60,MATCH('3'!$B32,'Unique Asset List'!$A$4:$A$60,0),MATCH('3'!$C$1,'Unique Asset List'!$BU$3:$CA$3,0))</f>
        <v>0.33</v>
      </c>
      <c r="AG32" s="15">
        <f>INDEX('Unique Asset List'!$AZ$4:$BF$60,MATCH('3'!$B32,'Unique Asset List'!$A$4:$A$60,0),MATCH('3'!$C$1,'Unique Asset List'!$AZ$3:$BF$3,0))</f>
        <v>0.17</v>
      </c>
      <c r="AH32" s="15">
        <f>INDEX('Unique Asset List'!$BG$4:$BM$60,MATCH('3'!$B32,'Unique Asset List'!$A$4:$A$60,0),MATCH('3'!$C$1,'Unique Asset List'!$BG$3:$BM$3,0))</f>
        <v>0.33</v>
      </c>
      <c r="AI32" s="11">
        <v>0.96187963349867744</v>
      </c>
      <c r="AJ32" s="15">
        <f>INDEX('Unique Asset List'!$AL$4:$AR$60,MATCH('3'!$B32,'Unique Asset List'!$A$4:$A$60,0),MATCH('3'!$C$1,'Unique Asset List'!$AL$3:$AR$3,0))</f>
        <v>2.1252009430760062</v>
      </c>
      <c r="AK32" s="15">
        <f>INDEX('Unique Asset List'!$AS$4:$AY$60,MATCH('3'!$B32,'Unique Asset List'!$A$4:$A$60,0),MATCH('3'!$C$1,'Unique Asset List'!$AS$3:$AY$3,0))</f>
        <v>-1.7169645793441486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5"/>
        <v>0.82</v>
      </c>
      <c r="AS32" s="10">
        <v>1</v>
      </c>
      <c r="AT32" s="4">
        <f>IF($C$5="ON",BT32,MyRating(_E1,$B32,Efficacy!$F$1))</f>
        <v>4</v>
      </c>
      <c r="AU32" s="3">
        <f>IF($C$5="ON",BU32,MyRating(_E2,$B32,Efficacy!$F$1))</f>
        <v>5</v>
      </c>
      <c r="AV32" s="3">
        <f>IF($C$5="ON",BV32,MyRating(_E3,$B32,Efficacy!$F$1))</f>
        <v>5</v>
      </c>
      <c r="AW32" s="3">
        <f>IF($C$5="ON",BW32,MyRating(_E4,$B32,Efficacy!$F$1))</f>
        <v>4</v>
      </c>
      <c r="AX32" s="3">
        <f>IF($C$5="ON",BX32,MyRating(_E5,$B32,Efficacy!$F$1))</f>
        <v>4</v>
      </c>
      <c r="AY32" s="3">
        <f>IF($C$5="ON",BY32,MyRating(_E6,$B32,Efficacy!$F$1))</f>
        <v>3</v>
      </c>
      <c r="AZ32" s="3">
        <f>IF($C$5="ON",BZ32,MyRating(_E7,$B32,Efficacy!$F$1))</f>
        <v>3</v>
      </c>
      <c r="BA32" s="3">
        <f>IF($C$5="ON",CA32,MyRating(_E8,$B32,Efficacy!$F$1))</f>
        <v>4</v>
      </c>
      <c r="BB32" s="3">
        <f>IF($C$5="ON",CB32,MyRating(_S1,$B32,Efficacy!$F$1))</f>
        <v>5</v>
      </c>
      <c r="BC32" s="3">
        <f>IF($C$5="ON",CC32,MyRating(_S2,$B32,Efficacy!$F$1))</f>
        <v>3</v>
      </c>
      <c r="BD32" s="3">
        <f>IF($C$5="ON",CD32,MyRating(_S3,$B32,Efficacy!$F$1))</f>
        <v>3</v>
      </c>
      <c r="BE32" s="3">
        <f>IF($C$5="ON",CE32,MyRating(_S4,$B32,Efficacy!$F$1))</f>
        <v>4</v>
      </c>
      <c r="BF32" s="3">
        <f>IF($C$5="ON",CF32,MyRating(_S5,$B32,Efficacy!$F$1))</f>
        <v>5</v>
      </c>
      <c r="BG32" s="3">
        <f>IF($C$5="ON",CG32,MyRating(_S6,$B32,Efficacy!$F$1))</f>
        <v>3</v>
      </c>
      <c r="BH32" s="3">
        <f>IF($C$5="ON",CH32,MyRating(_S7,$B32,Efficacy!$F$1))</f>
        <v>3</v>
      </c>
      <c r="BI32" s="3">
        <f>IF($C$5="ON",CI32,MyRating(_D1,$B32,Efficacy!$F$1))</f>
        <v>3</v>
      </c>
      <c r="BJ32" s="3">
        <f>IF($C$5="ON",CJ32,MyRating(_D2,$B32,Efficacy!$F$1))</f>
        <v>3</v>
      </c>
      <c r="BK32" s="3">
        <f>IF($C$5="ON",CK32,MyRating(_D3,$B32,Efficacy!$F$1))</f>
        <v>3</v>
      </c>
      <c r="BL32" s="3">
        <f>IF($C$5="ON",CL32,MyRating(_D4,$B32,Efficacy!$F$1))</f>
        <v>3</v>
      </c>
      <c r="BM32" s="3">
        <f>IF($C$5="ON",CM32,MyRating(_B1G5,$B32,Barrier!$L$2))</f>
        <v>2</v>
      </c>
      <c r="BN32" s="3">
        <f>IF($C$5="ON",CN32,MyRating(_B2,$B32,Barrier!$F$2))</f>
        <v>3</v>
      </c>
      <c r="BO32" s="6">
        <f>IF($C$5="ON",CO32,MyRating(_B3,$B32,Barrier!$F$2))</f>
        <v>3</v>
      </c>
      <c r="BP32" s="5">
        <f t="shared" si="6"/>
        <v>3.6275844714639842E-2</v>
      </c>
      <c r="BQ32" s="8">
        <f t="shared" si="7"/>
        <v>2.9499999999999997</v>
      </c>
      <c r="BR32" s="5">
        <f t="shared" si="8"/>
        <v>3.60415394013439E-2</v>
      </c>
      <c r="BS32" s="7">
        <f t="shared" si="9"/>
        <v>1.8542316878791175E-2</v>
      </c>
      <c r="BT32" s="4">
        <v>4</v>
      </c>
      <c r="BU32" s="3">
        <v>5</v>
      </c>
      <c r="BV32" s="3">
        <v>5</v>
      </c>
      <c r="BW32" s="3">
        <v>4</v>
      </c>
      <c r="BX32" s="3">
        <v>4</v>
      </c>
      <c r="BY32" s="3">
        <v>3</v>
      </c>
      <c r="BZ32" s="3">
        <v>3</v>
      </c>
      <c r="CA32" s="3">
        <v>4</v>
      </c>
      <c r="CB32" s="3">
        <v>5</v>
      </c>
      <c r="CC32" s="3">
        <v>3</v>
      </c>
      <c r="CD32" s="3">
        <v>3</v>
      </c>
      <c r="CE32" s="3">
        <v>4</v>
      </c>
      <c r="CF32" s="3">
        <v>5</v>
      </c>
      <c r="CG32" s="3">
        <v>3</v>
      </c>
      <c r="CH32" s="3">
        <v>3</v>
      </c>
      <c r="CI32" s="3">
        <v>3</v>
      </c>
      <c r="CJ32" s="3">
        <v>3</v>
      </c>
      <c r="CK32" s="3">
        <v>3</v>
      </c>
      <c r="CL32" s="3">
        <v>3</v>
      </c>
      <c r="CM32" s="3">
        <v>2</v>
      </c>
      <c r="CN32" s="3">
        <v>3</v>
      </c>
      <c r="CO32" s="6">
        <v>3</v>
      </c>
      <c r="CP32" s="5">
        <v>3.6275844714639842E-2</v>
      </c>
      <c r="CQ32" s="61">
        <f t="shared" si="10"/>
        <v>2031</v>
      </c>
      <c r="CR32">
        <f t="shared" si="11"/>
        <v>0</v>
      </c>
    </row>
    <row r="33" spans="1:96" x14ac:dyDescent="0.35">
      <c r="A33" s="9" t="str">
        <f t="shared" si="0"/>
        <v>FR</v>
      </c>
      <c r="B33" s="9" t="s">
        <v>28</v>
      </c>
      <c r="C33" s="20"/>
      <c r="D33" s="9" t="s">
        <v>2</v>
      </c>
      <c r="E33" s="9" t="s">
        <v>193</v>
      </c>
      <c r="F33" s="9" t="s">
        <v>58</v>
      </c>
      <c r="G33" s="19">
        <v>0</v>
      </c>
      <c r="H33" s="9">
        <v>2014</v>
      </c>
      <c r="I33" s="9">
        <v>6</v>
      </c>
      <c r="J33" s="18">
        <f>INDEX(PTRS!$D$6:$D$12,MATCH('3'!$F33,PTRS!$B$6:$B$12,0))</f>
        <v>0.13923000000000002</v>
      </c>
      <c r="K33" s="17">
        <v>0</v>
      </c>
      <c r="L33" s="17">
        <v>0.1044225</v>
      </c>
      <c r="M33" s="17">
        <v>0.13923000000000002</v>
      </c>
      <c r="N33" s="17">
        <v>0.1</v>
      </c>
      <c r="O33" s="17">
        <v>0.1</v>
      </c>
      <c r="P33" s="17">
        <v>0.1044225</v>
      </c>
      <c r="Q33" s="17">
        <v>0.1044225</v>
      </c>
      <c r="R33" s="17">
        <v>0.1044225</v>
      </c>
      <c r="S33" s="17">
        <v>1</v>
      </c>
      <c r="T33" s="17"/>
      <c r="U33" s="17">
        <f t="shared" si="1"/>
        <v>0.72649652910676854</v>
      </c>
      <c r="V33" s="17">
        <v>1</v>
      </c>
      <c r="W33" s="9" t="s">
        <v>27</v>
      </c>
      <c r="X33" s="9">
        <f>INDEX('Unique Asset List'!$C$4:$I$60,MATCH('3'!$B33,'Unique Asset List'!$A$4:$A$60,0),MATCH('3'!$C$1,'Unique Asset List'!$C$3:$I$3,0))</f>
        <v>2032</v>
      </c>
      <c r="Y33" s="9">
        <f>INDEX('Unique Asset List'!$J$4:$P$60,MATCH('3'!$B33,'Unique Asset List'!$A$4:$A$60,0),MATCH('3'!$C$1,'Unique Asset List'!$J$3:$P$3,0))</f>
        <v>6</v>
      </c>
      <c r="Z33" s="9">
        <f>INDEX('Unique Asset List'!$X$4:$AD$60,MATCH('3'!$B33,'Unique Asset List'!$A$4:$A$60,0),MATCH('3'!$C$1,'Unique Asset List'!$X$3:$AD$3,0))</f>
        <v>2038</v>
      </c>
      <c r="AA33" s="9">
        <f>INDEX('Unique Asset List'!$AE$4:$AK$60,MATCH('3'!$B33,'Unique Asset List'!$A$4:$A$60,0),MATCH('3'!$C$1,'Unique Asset List'!$AE$3:$AK$3,0))</f>
        <v>9</v>
      </c>
      <c r="AB33" s="16">
        <f t="shared" si="2"/>
        <v>2.0289886000000004</v>
      </c>
      <c r="AC33" s="16">
        <f t="shared" si="3"/>
        <v>0.85031269999999992</v>
      </c>
      <c r="AD33" s="16">
        <f t="shared" si="4"/>
        <v>0.56099999999999994</v>
      </c>
      <c r="AE33" s="15">
        <f>INDEX('Unique Asset List'!$BN$4:$BT$60,MATCH('3'!$B33,'Unique Asset List'!$A$4:$A$60,0),MATCH('3'!$C$1,'Unique Asset List'!$BN$3:$BT$3,0))</f>
        <v>0.12</v>
      </c>
      <c r="AF33" s="15">
        <f>INDEX('Unique Asset List'!$BU$4:$CA$60,MATCH('3'!$B33,'Unique Asset List'!$A$4:$A$60,0),MATCH('3'!$C$1,'Unique Asset List'!$BU$3:$CA$3,0))</f>
        <v>0.38</v>
      </c>
      <c r="AG33" s="15">
        <f>INDEX('Unique Asset List'!$AZ$4:$BF$60,MATCH('3'!$B33,'Unique Asset List'!$A$4:$A$60,0),MATCH('3'!$C$1,'Unique Asset List'!$AZ$3:$BF$3,0))</f>
        <v>0.12</v>
      </c>
      <c r="AH33" s="15">
        <f>INDEX('Unique Asset List'!$BG$4:$BM$60,MATCH('3'!$B33,'Unique Asset List'!$A$4:$A$60,0),MATCH('3'!$C$1,'Unique Asset List'!$BG$3:$BM$3,0))</f>
        <v>0.38</v>
      </c>
      <c r="AI33" s="11">
        <v>0.96187963349867744</v>
      </c>
      <c r="AJ33" s="15">
        <f>INDEX('Unique Asset List'!$AL$4:$AR$60,MATCH('3'!$B33,'Unique Asset List'!$A$4:$A$60,0),MATCH('3'!$C$1,'Unique Asset List'!$AL$3:$AR$3,0))</f>
        <v>2.1252009430760062</v>
      </c>
      <c r="AK33" s="15">
        <f>INDEX('Unique Asset List'!$AS$4:$AY$60,MATCH('3'!$B33,'Unique Asset List'!$A$4:$A$60,0),MATCH('3'!$C$1,'Unique Asset List'!$AS$3:$AY$3,0))</f>
        <v>-1.7169645793441486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5"/>
        <v>0.82</v>
      </c>
      <c r="AS33" s="10">
        <v>1</v>
      </c>
      <c r="AT33" s="4">
        <f>IF($C$5="ON",BT33,MyRating(_E1,$B33,Efficacy!$F$1))</f>
        <v>4</v>
      </c>
      <c r="AU33" s="3">
        <f>IF($C$5="ON",BU33,MyRating(_E2,$B33,Efficacy!$F$1))</f>
        <v>4</v>
      </c>
      <c r="AV33" s="3">
        <f>IF($C$5="ON",BV33,MyRating(_E3,$B33,Efficacy!$F$1))</f>
        <v>4</v>
      </c>
      <c r="AW33" s="3">
        <f>IF($C$5="ON",BW33,MyRating(_E4,$B33,Efficacy!$F$1))</f>
        <v>4</v>
      </c>
      <c r="AX33" s="3">
        <f>IF($C$5="ON",BX33,MyRating(_E5,$B33,Efficacy!$F$1))</f>
        <v>3</v>
      </c>
      <c r="AY33" s="3">
        <f>IF($C$5="ON",BY33,MyRating(_E6,$B33,Efficacy!$F$1))</f>
        <v>3</v>
      </c>
      <c r="AZ33" s="3">
        <f>IF($C$5="ON",BZ33,MyRating(_E7,$B33,Efficacy!$F$1))</f>
        <v>3</v>
      </c>
      <c r="BA33" s="3">
        <f>IF($C$5="ON",CA33,MyRating(_E8,$B33,Efficacy!$F$1))</f>
        <v>3</v>
      </c>
      <c r="BB33" s="3">
        <f>IF($C$5="ON",CB33,MyRating(_S1,$B33,Efficacy!$F$1))</f>
        <v>2</v>
      </c>
      <c r="BC33" s="3">
        <f>IF($C$5="ON",CC33,MyRating(_S2,$B33,Efficacy!$F$1))</f>
        <v>3</v>
      </c>
      <c r="BD33" s="3">
        <f>IF($C$5="ON",CD33,MyRating(_S3,$B33,Efficacy!$F$1))</f>
        <v>3</v>
      </c>
      <c r="BE33" s="3">
        <f>IF($C$5="ON",CE33,MyRating(_S4,$B33,Efficacy!$F$1))</f>
        <v>4</v>
      </c>
      <c r="BF33" s="3">
        <f>IF($C$5="ON",CF33,MyRating(_S5,$B33,Efficacy!$F$1))</f>
        <v>5</v>
      </c>
      <c r="BG33" s="3">
        <f>IF($C$5="ON",CG33,MyRating(_S6,$B33,Efficacy!$F$1))</f>
        <v>3</v>
      </c>
      <c r="BH33" s="3">
        <f>IF($C$5="ON",CH33,MyRating(_S7,$B33,Efficacy!$F$1))</f>
        <v>4</v>
      </c>
      <c r="BI33" s="3">
        <f>IF($C$5="ON",CI33,MyRating(_D1,$B33,Efficacy!$F$1))</f>
        <v>3</v>
      </c>
      <c r="BJ33" s="3">
        <f>IF($C$5="ON",CJ33,MyRating(_D2,$B33,Efficacy!$F$1))</f>
        <v>3</v>
      </c>
      <c r="BK33" s="3">
        <f>IF($C$5="ON",CK33,MyRating(_D3,$B33,Efficacy!$F$1))</f>
        <v>3</v>
      </c>
      <c r="BL33" s="3">
        <f>IF($C$5="ON",CL33,MyRating(_D4,$B33,Efficacy!$F$1))</f>
        <v>3</v>
      </c>
      <c r="BM33" s="3">
        <f>IF($C$5="ON",CM33,MyRating(_B1G5,$B33,Barrier!$L$2))</f>
        <v>2</v>
      </c>
      <c r="BN33" s="3">
        <f>IF($C$5="ON",CN33,MyRating(_B2,$B33,Barrier!$F$2))</f>
        <v>3</v>
      </c>
      <c r="BO33" s="6">
        <f>IF($C$5="ON",CO33,MyRating(_B3,$B33,Barrier!$F$2))</f>
        <v>3</v>
      </c>
      <c r="BP33" s="5">
        <f t="shared" si="6"/>
        <v>3.6275844714639842E-2</v>
      </c>
      <c r="BQ33" s="8">
        <f t="shared" si="7"/>
        <v>2.9499999999999997</v>
      </c>
      <c r="BR33" s="5">
        <f t="shared" si="8"/>
        <v>3.60415394013439E-2</v>
      </c>
      <c r="BS33" s="7">
        <f t="shared" si="9"/>
        <v>1.8542316878791175E-2</v>
      </c>
      <c r="BT33" s="4">
        <v>4</v>
      </c>
      <c r="BU33" s="3">
        <v>4</v>
      </c>
      <c r="BV33" s="3">
        <v>4</v>
      </c>
      <c r="BW33" s="3">
        <v>4</v>
      </c>
      <c r="BX33" s="3">
        <v>3</v>
      </c>
      <c r="BY33" s="3">
        <v>3</v>
      </c>
      <c r="BZ33" s="3">
        <v>3</v>
      </c>
      <c r="CA33" s="3">
        <v>3</v>
      </c>
      <c r="CB33" s="3">
        <v>2</v>
      </c>
      <c r="CC33" s="3">
        <v>3</v>
      </c>
      <c r="CD33" s="3">
        <v>3</v>
      </c>
      <c r="CE33" s="3">
        <v>4</v>
      </c>
      <c r="CF33" s="3">
        <v>5</v>
      </c>
      <c r="CG33" s="3">
        <v>3</v>
      </c>
      <c r="CH33" s="3">
        <v>4</v>
      </c>
      <c r="CI33" s="3">
        <v>3</v>
      </c>
      <c r="CJ33" s="3">
        <v>3</v>
      </c>
      <c r="CK33" s="3">
        <v>3</v>
      </c>
      <c r="CL33" s="3">
        <v>3</v>
      </c>
      <c r="CM33" s="3">
        <v>2</v>
      </c>
      <c r="CN33" s="3">
        <v>3</v>
      </c>
      <c r="CO33" s="6">
        <v>3</v>
      </c>
      <c r="CP33" s="5">
        <v>3.6275844714639842E-2</v>
      </c>
      <c r="CQ33" s="61">
        <f t="shared" si="10"/>
        <v>2033</v>
      </c>
      <c r="CR33">
        <f t="shared" si="11"/>
        <v>9</v>
      </c>
    </row>
    <row r="34" spans="1:96" x14ac:dyDescent="0.35">
      <c r="A34" s="9" t="str">
        <f t="shared" si="0"/>
        <v>FR</v>
      </c>
      <c r="B34" s="9" t="s">
        <v>61</v>
      </c>
      <c r="C34" s="20"/>
      <c r="D34" s="9" t="s">
        <v>60</v>
      </c>
      <c r="E34" s="9" t="s">
        <v>59</v>
      </c>
      <c r="F34" s="9" t="s">
        <v>58</v>
      </c>
      <c r="G34" s="19">
        <v>0</v>
      </c>
      <c r="H34" s="9">
        <v>2014</v>
      </c>
      <c r="I34" s="9">
        <v>6</v>
      </c>
      <c r="J34" s="18">
        <f>INDEX(PTRS!$D$6:$D$12,MATCH('3'!$F34,PTRS!$B$6:$B$12,0))</f>
        <v>0.13923000000000002</v>
      </c>
      <c r="K34" s="17">
        <v>0</v>
      </c>
      <c r="L34" s="17">
        <v>0.1044225</v>
      </c>
      <c r="M34" s="17">
        <v>0.13923000000000002</v>
      </c>
      <c r="N34" s="17">
        <v>0.1044225</v>
      </c>
      <c r="O34" s="17">
        <v>0.1044225</v>
      </c>
      <c r="P34" s="17">
        <v>0.13923000000000002</v>
      </c>
      <c r="Q34" s="17">
        <v>0.1044225</v>
      </c>
      <c r="R34" s="17">
        <v>0.1044225</v>
      </c>
      <c r="S34" s="17">
        <v>1</v>
      </c>
      <c r="T34" s="17"/>
      <c r="U34" s="17">
        <f t="shared" si="1"/>
        <v>0.72649652910676854</v>
      </c>
      <c r="V34" s="17">
        <v>1</v>
      </c>
      <c r="W34" s="9" t="s">
        <v>57</v>
      </c>
      <c r="X34" s="9">
        <f>INDEX('Unique Asset List'!$C$4:$I$60,MATCH('3'!$B34,'Unique Asset List'!$A$4:$A$60,0),MATCH('3'!$C$1,'Unique Asset List'!$C$3:$I$3,0))</f>
        <v>2029</v>
      </c>
      <c r="Y34" s="9">
        <f>INDEX('Unique Asset List'!$J$4:$P$60,MATCH('3'!$B34,'Unique Asset List'!$A$4:$A$60,0),MATCH('3'!$C$1,'Unique Asset List'!$J$3:$P$3,0))</f>
        <v>9</v>
      </c>
      <c r="Z34" s="9">
        <f>INDEX('Unique Asset List'!$X$4:$AD$60,MATCH('3'!$B34,'Unique Asset List'!$A$4:$A$60,0),MATCH('3'!$C$1,'Unique Asset List'!$X$3:$AD$3,0))</f>
        <v>2036</v>
      </c>
      <c r="AA34" s="9">
        <f>INDEX('Unique Asset List'!$AE$4:$AK$60,MATCH('3'!$B34,'Unique Asset List'!$A$4:$A$60,0),MATCH('3'!$C$1,'Unique Asset List'!$AE$3:$AK$3,0))</f>
        <v>9</v>
      </c>
      <c r="AB34" s="16">
        <f t="shared" si="2"/>
        <v>2.3276916000000001</v>
      </c>
      <c r="AC34" s="16">
        <f t="shared" si="3"/>
        <v>1.0028454</v>
      </c>
      <c r="AD34" s="16">
        <f t="shared" si="4"/>
        <v>0.56099999999999994</v>
      </c>
      <c r="AE34" s="15">
        <f>INDEX('Unique Asset List'!$BN$4:$BT$60,MATCH('3'!$B34,'Unique Asset List'!$A$4:$A$60,0),MATCH('3'!$C$1,'Unique Asset List'!$BN$3:$BT$3,0))</f>
        <v>0.17</v>
      </c>
      <c r="AF34" s="15">
        <f>INDEX('Unique Asset List'!$BU$4:$CA$60,MATCH('3'!$B34,'Unique Asset List'!$A$4:$A$60,0),MATCH('3'!$C$1,'Unique Asset List'!$BU$3:$CA$3,0))</f>
        <v>0.33</v>
      </c>
      <c r="AG34" s="15">
        <f>INDEX('Unique Asset List'!$AZ$4:$BF$60,MATCH('3'!$B34,'Unique Asset List'!$A$4:$A$60,0),MATCH('3'!$C$1,'Unique Asset List'!$AZ$3:$BF$3,0))</f>
        <v>0.17</v>
      </c>
      <c r="AH34" s="15">
        <f>INDEX('Unique Asset List'!$BG$4:$BM$60,MATCH('3'!$B34,'Unique Asset List'!$A$4:$A$60,0),MATCH('3'!$C$1,'Unique Asset List'!$BG$3:$BM$3,0))</f>
        <v>0.33</v>
      </c>
      <c r="AI34" s="11">
        <v>0.96187963349867744</v>
      </c>
      <c r="AJ34" s="15">
        <f>INDEX('Unique Asset List'!$AL$4:$AR$60,MATCH('3'!$B34,'Unique Asset List'!$A$4:$A$60,0),MATCH('3'!$C$1,'Unique Asset List'!$AL$3:$AR$3,0))</f>
        <v>2.1252009430760062</v>
      </c>
      <c r="AK34" s="15">
        <f>INDEX('Unique Asset List'!$AS$4:$AY$60,MATCH('3'!$B34,'Unique Asset List'!$A$4:$A$60,0),MATCH('3'!$C$1,'Unique Asset List'!$AS$3:$AY$3,0))</f>
        <v>-1.7169645793441486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5"/>
        <v>0.82</v>
      </c>
      <c r="AS34" s="10">
        <v>1</v>
      </c>
      <c r="AT34" s="4">
        <f>IF($C$5="ON",BT34,MyRating(_E1,$B34,Efficacy!$F$1))</f>
        <v>4</v>
      </c>
      <c r="AU34" s="3">
        <f>IF($C$5="ON",BU34,MyRating(_E2,$B34,Efficacy!$F$1))</f>
        <v>5</v>
      </c>
      <c r="AV34" s="3">
        <f>IF($C$5="ON",BV34,MyRating(_E3,$B34,Efficacy!$F$1))</f>
        <v>5</v>
      </c>
      <c r="AW34" s="3">
        <f>IF($C$5="ON",BW34,MyRating(_E4,$B34,Efficacy!$F$1))</f>
        <v>4</v>
      </c>
      <c r="AX34" s="3">
        <f>IF($C$5="ON",BX34,MyRating(_E5,$B34,Efficacy!$F$1))</f>
        <v>4</v>
      </c>
      <c r="AY34" s="3">
        <f>IF($C$5="ON",BY34,MyRating(_E6,$B34,Efficacy!$F$1))</f>
        <v>3</v>
      </c>
      <c r="AZ34" s="3">
        <f>IF($C$5="ON",BZ34,MyRating(_E7,$B34,Efficacy!$F$1))</f>
        <v>3</v>
      </c>
      <c r="BA34" s="3">
        <f>IF($C$5="ON",CA34,MyRating(_E8,$B34,Efficacy!$F$1))</f>
        <v>4</v>
      </c>
      <c r="BB34" s="3">
        <f>IF($C$5="ON",CB34,MyRating(_S1,$B34,Efficacy!$F$1))</f>
        <v>5</v>
      </c>
      <c r="BC34" s="3">
        <f>IF($C$5="ON",CC34,MyRating(_S2,$B34,Efficacy!$F$1))</f>
        <v>3</v>
      </c>
      <c r="BD34" s="3">
        <f>IF($C$5="ON",CD34,MyRating(_S3,$B34,Efficacy!$F$1))</f>
        <v>3</v>
      </c>
      <c r="BE34" s="3">
        <f>IF($C$5="ON",CE34,MyRating(_S4,$B34,Efficacy!$F$1))</f>
        <v>4</v>
      </c>
      <c r="BF34" s="3">
        <f>IF($C$5="ON",CF34,MyRating(_S5,$B34,Efficacy!$F$1))</f>
        <v>5</v>
      </c>
      <c r="BG34" s="3">
        <f>IF($C$5="ON",CG34,MyRating(_S6,$B34,Efficacy!$F$1))</f>
        <v>3</v>
      </c>
      <c r="BH34" s="3">
        <f>IF($C$5="ON",CH34,MyRating(_S7,$B34,Efficacy!$F$1))</f>
        <v>3</v>
      </c>
      <c r="BI34" s="3">
        <f>IF($C$5="ON",CI34,MyRating(_D1,$B34,Efficacy!$F$1))</f>
        <v>3</v>
      </c>
      <c r="BJ34" s="3">
        <f>IF($C$5="ON",CJ34,MyRating(_D2,$B34,Efficacy!$F$1))</f>
        <v>3</v>
      </c>
      <c r="BK34" s="3">
        <f>IF($C$5="ON",CK34,MyRating(_D3,$B34,Efficacy!$F$1))</f>
        <v>3</v>
      </c>
      <c r="BL34" s="3">
        <f>IF($C$5="ON",CL34,MyRating(_D4,$B34,Efficacy!$F$1))</f>
        <v>3</v>
      </c>
      <c r="BM34" s="3">
        <f>IF($C$5="ON",CM34,MyRating(_B1G5,$B34,Barrier!$L$2))</f>
        <v>2</v>
      </c>
      <c r="BN34" s="3">
        <f>IF($C$5="ON",CN34,MyRating(_B2,$B34,Barrier!$F$2))</f>
        <v>3</v>
      </c>
      <c r="BO34" s="6">
        <f>IF($C$5="ON",CO34,MyRating(_B3,$B34,Barrier!$F$2))</f>
        <v>3</v>
      </c>
      <c r="BP34" s="5">
        <f t="shared" si="6"/>
        <v>3.6275844714639842E-2</v>
      </c>
      <c r="BQ34" s="8">
        <f t="shared" si="7"/>
        <v>2.9499999999999997</v>
      </c>
      <c r="BR34" s="5">
        <f t="shared" si="8"/>
        <v>3.60415394013439E-2</v>
      </c>
      <c r="BS34" s="7">
        <f t="shared" si="9"/>
        <v>1.8542316878791175E-2</v>
      </c>
      <c r="BT34" s="4">
        <v>4</v>
      </c>
      <c r="BU34" s="3">
        <v>5</v>
      </c>
      <c r="BV34" s="3">
        <v>5</v>
      </c>
      <c r="BW34" s="3">
        <v>4</v>
      </c>
      <c r="BX34" s="3">
        <v>4</v>
      </c>
      <c r="BY34" s="3">
        <v>3</v>
      </c>
      <c r="BZ34" s="3">
        <v>3</v>
      </c>
      <c r="CA34" s="3">
        <v>4</v>
      </c>
      <c r="CB34" s="3">
        <v>5</v>
      </c>
      <c r="CC34" s="3">
        <v>3</v>
      </c>
      <c r="CD34" s="3">
        <v>3</v>
      </c>
      <c r="CE34" s="3">
        <v>4</v>
      </c>
      <c r="CF34" s="3">
        <v>5</v>
      </c>
      <c r="CG34" s="3">
        <v>3</v>
      </c>
      <c r="CH34" s="3">
        <v>3</v>
      </c>
      <c r="CI34" s="3">
        <v>3</v>
      </c>
      <c r="CJ34" s="3">
        <v>3</v>
      </c>
      <c r="CK34" s="3">
        <v>3</v>
      </c>
      <c r="CL34" s="3">
        <v>3</v>
      </c>
      <c r="CM34" s="3">
        <v>2</v>
      </c>
      <c r="CN34" s="3">
        <v>3</v>
      </c>
      <c r="CO34" s="6">
        <v>3</v>
      </c>
      <c r="CP34" s="5">
        <v>3.6275844714639842E-2</v>
      </c>
      <c r="CQ34" s="61">
        <f t="shared" si="10"/>
        <v>2030</v>
      </c>
      <c r="CR34">
        <f t="shared" si="11"/>
        <v>0</v>
      </c>
    </row>
    <row r="35" spans="1:96" x14ac:dyDescent="0.35">
      <c r="A35" s="9" t="str">
        <f t="shared" si="0"/>
        <v>FR</v>
      </c>
      <c r="B35" s="9" t="s">
        <v>56</v>
      </c>
      <c r="C35" s="20"/>
      <c r="D35" s="9" t="s">
        <v>55</v>
      </c>
      <c r="E35" s="9" t="s">
        <v>193</v>
      </c>
      <c r="F35" s="9" t="s">
        <v>51</v>
      </c>
      <c r="G35" s="19">
        <v>0</v>
      </c>
      <c r="H35" s="9">
        <v>2014</v>
      </c>
      <c r="I35" s="9">
        <v>6</v>
      </c>
      <c r="J35" s="18">
        <f>INDEX(PTRS!$D$6:$D$12,MATCH('3'!$F35,PTRS!$B$6:$B$12,0))</f>
        <v>0.1638</v>
      </c>
      <c r="K35" s="17">
        <v>0</v>
      </c>
      <c r="L35" s="17">
        <v>0.1044225</v>
      </c>
      <c r="M35" s="17">
        <v>5.4600000000000003E-2</v>
      </c>
      <c r="N35" s="17">
        <v>0.1044225</v>
      </c>
      <c r="O35" s="17">
        <v>0.1044225</v>
      </c>
      <c r="P35" s="17">
        <v>0.1638</v>
      </c>
      <c r="Q35" s="17">
        <v>0.1044225</v>
      </c>
      <c r="R35" s="17">
        <v>0.1044225</v>
      </c>
      <c r="S35" s="17">
        <v>1</v>
      </c>
      <c r="T35" s="17"/>
      <c r="U35" s="17">
        <f t="shared" si="1"/>
        <v>0.72649652910676854</v>
      </c>
      <c r="V35" s="17">
        <v>1</v>
      </c>
      <c r="W35" s="9" t="s">
        <v>54</v>
      </c>
      <c r="X35" s="9">
        <f>INDEX('Unique Asset List'!$C$4:$I$60,MATCH('3'!$B35,'Unique Asset List'!$A$4:$A$60,0),MATCH('3'!$C$1,'Unique Asset List'!$C$3:$I$3,0))</f>
        <v>2024</v>
      </c>
      <c r="Y35" s="9">
        <f>INDEX('Unique Asset List'!$J$4:$P$60,MATCH('3'!$B35,'Unique Asset List'!$A$4:$A$60,0),MATCH('3'!$C$1,'Unique Asset List'!$J$3:$P$3,0))</f>
        <v>9</v>
      </c>
      <c r="Z35" s="9">
        <f>INDEX('Unique Asset List'!$X$4:$AD$60,MATCH('3'!$B35,'Unique Asset List'!$A$4:$A$60,0),MATCH('3'!$C$1,'Unique Asset List'!$X$3:$AD$3,0))</f>
        <v>2036</v>
      </c>
      <c r="AA35" s="9">
        <f>INDEX('Unique Asset List'!$AE$4:$AK$60,MATCH('3'!$B35,'Unique Asset List'!$A$4:$A$60,0),MATCH('3'!$C$1,'Unique Asset List'!$AE$3:$AK$3,0))</f>
        <v>9</v>
      </c>
      <c r="AB35" s="16">
        <f t="shared" si="2"/>
        <v>1.6014190000000001</v>
      </c>
      <c r="AC35" s="16">
        <f t="shared" si="3"/>
        <v>0.78788900000000006</v>
      </c>
      <c r="AD35" s="16">
        <f t="shared" si="4"/>
        <v>0.56099999999999994</v>
      </c>
      <c r="AE35" s="15">
        <f>INDEX('Unique Asset List'!$BN$4:$BT$60,MATCH('3'!$B35,'Unique Asset List'!$A$4:$A$60,0),MATCH('3'!$C$1,'Unique Asset List'!$BN$3:$BT$3,0))</f>
        <v>0.12</v>
      </c>
      <c r="AF35" s="15">
        <f>INDEX('Unique Asset List'!$BU$4:$CA$60,MATCH('3'!$B35,'Unique Asset List'!$A$4:$A$60,0),MATCH('3'!$C$1,'Unique Asset List'!$BU$3:$CA$3,0))</f>
        <v>0.38</v>
      </c>
      <c r="AG35" s="15">
        <f>INDEX('Unique Asset List'!$AZ$4:$BF$60,MATCH('3'!$B35,'Unique Asset List'!$A$4:$A$60,0),MATCH('3'!$C$1,'Unique Asset List'!$AZ$3:$BF$3,0))</f>
        <v>0.12</v>
      </c>
      <c r="AH35" s="15">
        <f>INDEX('Unique Asset List'!$BG$4:$BM$60,MATCH('3'!$B35,'Unique Asset List'!$A$4:$A$60,0),MATCH('3'!$C$1,'Unique Asset List'!$BG$3:$BM$3,0))</f>
        <v>0.38</v>
      </c>
      <c r="AI35" s="11">
        <v>0.96187963349867744</v>
      </c>
      <c r="AJ35" s="15">
        <f>INDEX('Unique Asset List'!$AL$4:$AR$60,MATCH('3'!$B35,'Unique Asset List'!$A$4:$A$60,0),MATCH('3'!$C$1,'Unique Asset List'!$AL$3:$AR$3,0))</f>
        <v>2.1252009430760062</v>
      </c>
      <c r="AK35" s="15">
        <f>INDEX('Unique Asset List'!$AS$4:$AY$60,MATCH('3'!$B35,'Unique Asset List'!$A$4:$A$60,0),MATCH('3'!$C$1,'Unique Asset List'!$AS$3:$AY$3,0))</f>
        <v>-1.7169645793441486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5"/>
        <v>0.82</v>
      </c>
      <c r="AS35" s="10">
        <v>1</v>
      </c>
      <c r="AT35" s="4">
        <f>IF($C$5="ON",BT35,MyRating(_E1,$B35,Efficacy!$F$1))</f>
        <v>2</v>
      </c>
      <c r="AU35" s="3">
        <f>IF($C$5="ON",BU35,MyRating(_E2,$B35,Efficacy!$F$1))</f>
        <v>3</v>
      </c>
      <c r="AV35" s="3">
        <f>IF($C$5="ON",BV35,MyRating(_E3,$B35,Efficacy!$F$1))</f>
        <v>3</v>
      </c>
      <c r="AW35" s="3">
        <f>IF($C$5="ON",BW35,MyRating(_E4,$B35,Efficacy!$F$1))</f>
        <v>3</v>
      </c>
      <c r="AX35" s="3">
        <f>IF($C$5="ON",BX35,MyRating(_E5,$B35,Efficacy!$F$1))</f>
        <v>3</v>
      </c>
      <c r="AY35" s="3">
        <f>IF($C$5="ON",BY35,MyRating(_E6,$B35,Efficacy!$F$1))</f>
        <v>3</v>
      </c>
      <c r="AZ35" s="3">
        <f>IF($C$5="ON",BZ35,MyRating(_E7,$B35,Efficacy!$F$1))</f>
        <v>3</v>
      </c>
      <c r="BA35" s="3">
        <f>IF($C$5="ON",CA35,MyRating(_E8,$B35,Efficacy!$F$1))</f>
        <v>3</v>
      </c>
      <c r="BB35" s="3">
        <f>IF($C$5="ON",CB35,MyRating(_S1,$B35,Efficacy!$F$1))</f>
        <v>3</v>
      </c>
      <c r="BC35" s="3">
        <f>IF($C$5="ON",CC35,MyRating(_S2,$B35,Efficacy!$F$1))</f>
        <v>3</v>
      </c>
      <c r="BD35" s="3">
        <f>IF($C$5="ON",CD35,MyRating(_S3,$B35,Efficacy!$F$1))</f>
        <v>3</v>
      </c>
      <c r="BE35" s="3">
        <f>IF($C$5="ON",CE35,MyRating(_S4,$B35,Efficacy!$F$1))</f>
        <v>4</v>
      </c>
      <c r="BF35" s="3">
        <f>IF($C$5="ON",CF35,MyRating(_S5,$B35,Efficacy!$F$1))</f>
        <v>3</v>
      </c>
      <c r="BG35" s="3">
        <f>IF($C$5="ON",CG35,MyRating(_S6,$B35,Efficacy!$F$1))</f>
        <v>3</v>
      </c>
      <c r="BH35" s="3">
        <f>IF($C$5="ON",CH35,MyRating(_S7,$B35,Efficacy!$F$1))</f>
        <v>3</v>
      </c>
      <c r="BI35" s="3">
        <f>IF($C$5="ON",CI35,MyRating(_D1,$B35,Efficacy!$F$1))</f>
        <v>3</v>
      </c>
      <c r="BJ35" s="3">
        <f>IF($C$5="ON",CJ35,MyRating(_D2,$B35,Efficacy!$F$1))</f>
        <v>3</v>
      </c>
      <c r="BK35" s="3">
        <f>IF($C$5="ON",CK35,MyRating(_D3,$B35,Efficacy!$F$1))</f>
        <v>3</v>
      </c>
      <c r="BL35" s="3">
        <f>IF($C$5="ON",CL35,MyRating(_D4,$B35,Efficacy!$F$1))</f>
        <v>3</v>
      </c>
      <c r="BM35" s="3">
        <f>IF($C$5="ON",CM35,MyRating(_B1G5,$B35,Barrier!$L$2))</f>
        <v>2</v>
      </c>
      <c r="BN35" s="3">
        <f>IF($C$5="ON",CN35,MyRating(_B2,$B35,Barrier!$F$2))</f>
        <v>3</v>
      </c>
      <c r="BO35" s="6">
        <f>IF($C$5="ON",CO35,MyRating(_B3,$B35,Barrier!$F$2))</f>
        <v>3</v>
      </c>
      <c r="BP35" s="5">
        <f t="shared" si="6"/>
        <v>3.6275844714639842E-2</v>
      </c>
      <c r="BQ35" s="8">
        <f t="shared" si="7"/>
        <v>2.9499999999999997</v>
      </c>
      <c r="BR35" s="5">
        <f t="shared" si="8"/>
        <v>3.60415394013439E-2</v>
      </c>
      <c r="BS35" s="7">
        <f t="shared" si="9"/>
        <v>1.8542316878791175E-2</v>
      </c>
      <c r="BT35" s="4">
        <v>2</v>
      </c>
      <c r="BU35" s="3">
        <v>3</v>
      </c>
      <c r="BV35" s="3">
        <v>3</v>
      </c>
      <c r="BW35" s="3">
        <v>3</v>
      </c>
      <c r="BX35" s="3">
        <v>3</v>
      </c>
      <c r="BY35" s="3">
        <v>3</v>
      </c>
      <c r="BZ35" s="3">
        <v>3</v>
      </c>
      <c r="CA35" s="3">
        <v>3</v>
      </c>
      <c r="CB35" s="3">
        <v>3</v>
      </c>
      <c r="CC35" s="3">
        <v>3</v>
      </c>
      <c r="CD35" s="3">
        <v>3</v>
      </c>
      <c r="CE35" s="3">
        <v>4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2</v>
      </c>
      <c r="CN35" s="3">
        <v>3</v>
      </c>
      <c r="CO35" s="6">
        <v>3</v>
      </c>
      <c r="CP35" s="5">
        <v>3.6275844714639842E-2</v>
      </c>
      <c r="CQ35" s="61">
        <f t="shared" si="10"/>
        <v>2025</v>
      </c>
      <c r="CR35">
        <f t="shared" si="11"/>
        <v>0</v>
      </c>
    </row>
    <row r="36" spans="1:96" x14ac:dyDescent="0.35">
      <c r="A36" s="9" t="str">
        <f t="shared" si="0"/>
        <v>FR</v>
      </c>
      <c r="B36" s="9" t="s">
        <v>53</v>
      </c>
      <c r="C36" s="20"/>
      <c r="D36" s="9" t="s">
        <v>52</v>
      </c>
      <c r="E36" s="9" t="s">
        <v>193</v>
      </c>
      <c r="F36" s="9" t="s">
        <v>51</v>
      </c>
      <c r="G36" s="19">
        <v>0</v>
      </c>
      <c r="H36" s="9">
        <v>2014</v>
      </c>
      <c r="I36" s="9">
        <v>6</v>
      </c>
      <c r="J36" s="18">
        <f>INDEX(PTRS!$D$6:$D$12,MATCH('3'!$F36,PTRS!$B$6:$B$12,0))</f>
        <v>0.1638</v>
      </c>
      <c r="K36" s="17">
        <v>0</v>
      </c>
      <c r="L36" s="17">
        <v>0.1044225</v>
      </c>
      <c r="M36" s="17">
        <v>0.1638</v>
      </c>
      <c r="N36" s="17">
        <v>0.1044225</v>
      </c>
      <c r="O36" s="17">
        <v>0.1044225</v>
      </c>
      <c r="P36" s="17">
        <v>0.1638</v>
      </c>
      <c r="Q36" s="17">
        <v>0.1044225</v>
      </c>
      <c r="R36" s="17">
        <v>0.1044225</v>
      </c>
      <c r="S36" s="17">
        <v>1</v>
      </c>
      <c r="T36" s="17"/>
      <c r="U36" s="17">
        <f t="shared" si="1"/>
        <v>0.72649652910676854</v>
      </c>
      <c r="V36" s="17">
        <v>1</v>
      </c>
      <c r="W36" s="9" t="s">
        <v>50</v>
      </c>
      <c r="X36" s="9">
        <f>INDEX('Unique Asset List'!$C$4:$I$60,MATCH('3'!$B36,'Unique Asset List'!$A$4:$A$60,0),MATCH('3'!$C$1,'Unique Asset List'!$C$3:$I$3,0))</f>
        <v>2025</v>
      </c>
      <c r="Y36" s="9">
        <f>INDEX('Unique Asset List'!$J$4:$P$60,MATCH('3'!$B36,'Unique Asset List'!$A$4:$A$60,0),MATCH('3'!$C$1,'Unique Asset List'!$J$3:$P$3,0))</f>
        <v>9</v>
      </c>
      <c r="Z36" s="9">
        <f>INDEX('Unique Asset List'!$X$4:$AD$60,MATCH('3'!$B36,'Unique Asset List'!$A$4:$A$60,0),MATCH('3'!$C$1,'Unique Asset List'!$X$3:$AD$3,0))</f>
        <v>2036</v>
      </c>
      <c r="AA36" s="9">
        <f>INDEX('Unique Asset List'!$AE$4:$AK$60,MATCH('3'!$B36,'Unique Asset List'!$A$4:$A$60,0),MATCH('3'!$C$1,'Unique Asset List'!$AE$3:$AK$3,0))</f>
        <v>9</v>
      </c>
      <c r="AB36" s="16">
        <f t="shared" si="2"/>
        <v>1.6860000000000002</v>
      </c>
      <c r="AC36" s="16">
        <f t="shared" si="3"/>
        <v>0.7529247</v>
      </c>
      <c r="AD36" s="16">
        <f t="shared" si="4"/>
        <v>0.56099999999999994</v>
      </c>
      <c r="AE36" s="15">
        <f>INDEX('Unique Asset List'!$BN$4:$BT$60,MATCH('3'!$B36,'Unique Asset List'!$A$4:$A$60,0),MATCH('3'!$C$1,'Unique Asset List'!$BN$3:$BT$3,0))</f>
        <v>0.12</v>
      </c>
      <c r="AF36" s="15">
        <f>INDEX('Unique Asset List'!$BU$4:$CA$60,MATCH('3'!$B36,'Unique Asset List'!$A$4:$A$60,0),MATCH('3'!$C$1,'Unique Asset List'!$BU$3:$CA$3,0))</f>
        <v>0.38</v>
      </c>
      <c r="AG36" s="15">
        <f>INDEX('Unique Asset List'!$AZ$4:$BF$60,MATCH('3'!$B36,'Unique Asset List'!$A$4:$A$60,0),MATCH('3'!$C$1,'Unique Asset List'!$AZ$3:$BF$3,0))</f>
        <v>0.12</v>
      </c>
      <c r="AH36" s="15">
        <f>INDEX('Unique Asset List'!$BG$4:$BM$60,MATCH('3'!$B36,'Unique Asset List'!$A$4:$A$60,0),MATCH('3'!$C$1,'Unique Asset List'!$BG$3:$BM$3,0))</f>
        <v>0.38</v>
      </c>
      <c r="AI36" s="11">
        <v>0.96187963349867744</v>
      </c>
      <c r="AJ36" s="15">
        <f>INDEX('Unique Asset List'!$AL$4:$AR$60,MATCH('3'!$B36,'Unique Asset List'!$A$4:$A$60,0),MATCH('3'!$C$1,'Unique Asset List'!$AL$3:$AR$3,0))</f>
        <v>2.1252009430760062</v>
      </c>
      <c r="AK36" s="15">
        <f>INDEX('Unique Asset List'!$AS$4:$AY$60,MATCH('3'!$B36,'Unique Asset List'!$A$4:$A$60,0),MATCH('3'!$C$1,'Unique Asset List'!$AS$3:$AY$3,0))</f>
        <v>-1.7169645793441486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5"/>
        <v>0.82</v>
      </c>
      <c r="AS36" s="10">
        <v>1</v>
      </c>
      <c r="AT36" s="4">
        <f>IF($C$5="ON",BT36,MyRating(_E1,$B36,Efficacy!$F$1))</f>
        <v>3</v>
      </c>
      <c r="AU36" s="3">
        <f>IF($C$5="ON",BU36,MyRating(_E2,$B36,Efficacy!$F$1))</f>
        <v>3</v>
      </c>
      <c r="AV36" s="3">
        <f>IF($C$5="ON",BV36,MyRating(_E3,$B36,Efficacy!$F$1))</f>
        <v>3</v>
      </c>
      <c r="AW36" s="3">
        <f>IF($C$5="ON",BW36,MyRating(_E4,$B36,Efficacy!$F$1))</f>
        <v>3</v>
      </c>
      <c r="AX36" s="3">
        <f>IF($C$5="ON",BX36,MyRating(_E5,$B36,Efficacy!$F$1))</f>
        <v>3</v>
      </c>
      <c r="AY36" s="3">
        <f>IF($C$5="ON",BY36,MyRating(_E6,$B36,Efficacy!$F$1))</f>
        <v>3</v>
      </c>
      <c r="AZ36" s="3">
        <f>IF($C$5="ON",BZ36,MyRating(_E7,$B36,Efficacy!$F$1))</f>
        <v>3</v>
      </c>
      <c r="BA36" s="3">
        <f>IF($C$5="ON",CA36,MyRating(_E8,$B36,Efficacy!$F$1))</f>
        <v>3</v>
      </c>
      <c r="BB36" s="3">
        <f>IF($C$5="ON",CB36,MyRating(_S1,$B36,Efficacy!$F$1))</f>
        <v>3</v>
      </c>
      <c r="BC36" s="3">
        <f>IF($C$5="ON",CC36,MyRating(_S2,$B36,Efficacy!$F$1))</f>
        <v>3</v>
      </c>
      <c r="BD36" s="3">
        <f>IF($C$5="ON",CD36,MyRating(_S3,$B36,Efficacy!$F$1))</f>
        <v>3</v>
      </c>
      <c r="BE36" s="3">
        <f>IF($C$5="ON",CE36,MyRating(_S4,$B36,Efficacy!$F$1))</f>
        <v>3</v>
      </c>
      <c r="BF36" s="3">
        <f>IF($C$5="ON",CF36,MyRating(_S5,$B36,Efficacy!$F$1))</f>
        <v>3</v>
      </c>
      <c r="BG36" s="3">
        <f>IF($C$5="ON",CG36,MyRating(_S6,$B36,Efficacy!$F$1))</f>
        <v>3</v>
      </c>
      <c r="BH36" s="3">
        <f>IF($C$5="ON",CH36,MyRating(_S7,$B36,Efficacy!$F$1))</f>
        <v>3</v>
      </c>
      <c r="BI36" s="3">
        <f>IF($C$5="ON",CI36,MyRating(_D1,$B36,Efficacy!$F$1))</f>
        <v>3</v>
      </c>
      <c r="BJ36" s="3">
        <f>IF($C$5="ON",CJ36,MyRating(_D2,$B36,Efficacy!$F$1))</f>
        <v>3</v>
      </c>
      <c r="BK36" s="3">
        <f>IF($C$5="ON",CK36,MyRating(_D3,$B36,Efficacy!$F$1))</f>
        <v>3</v>
      </c>
      <c r="BL36" s="3">
        <f>IF($C$5="ON",CL36,MyRating(_D4,$B36,Efficacy!$F$1))</f>
        <v>3</v>
      </c>
      <c r="BM36" s="3">
        <f>IF($C$5="ON",CM36,MyRating(_B1G5,$B36,Barrier!$L$2))</f>
        <v>2</v>
      </c>
      <c r="BN36" s="3">
        <f>IF($C$5="ON",CN36,MyRating(_B2,$B36,Barrier!$F$2))</f>
        <v>3</v>
      </c>
      <c r="BO36" s="6">
        <f>IF($C$5="ON",CO36,MyRating(_B3,$B36,Barrier!$F$2))</f>
        <v>3</v>
      </c>
      <c r="BP36" s="5">
        <f t="shared" si="6"/>
        <v>3.6275844714639842E-2</v>
      </c>
      <c r="BQ36" s="8">
        <f t="shared" si="7"/>
        <v>2.9499999999999997</v>
      </c>
      <c r="BR36" s="5">
        <f t="shared" si="8"/>
        <v>3.60415394013439E-2</v>
      </c>
      <c r="BS36" s="7">
        <f t="shared" si="9"/>
        <v>1.8542316878791175E-2</v>
      </c>
      <c r="BT36" s="4">
        <v>3</v>
      </c>
      <c r="BU36" s="3">
        <v>3</v>
      </c>
      <c r="BV36" s="3">
        <v>3</v>
      </c>
      <c r="BW36" s="3">
        <v>3</v>
      </c>
      <c r="BX36" s="3">
        <v>3</v>
      </c>
      <c r="BY36" s="3">
        <v>3</v>
      </c>
      <c r="BZ36" s="3">
        <v>3</v>
      </c>
      <c r="CA36" s="3">
        <v>3</v>
      </c>
      <c r="CB36" s="3">
        <v>3</v>
      </c>
      <c r="CC36" s="3">
        <v>3</v>
      </c>
      <c r="CD36" s="3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2</v>
      </c>
      <c r="CN36" s="3">
        <v>3</v>
      </c>
      <c r="CO36" s="6">
        <v>3</v>
      </c>
      <c r="CP36" s="5">
        <v>3.6275844714639842E-2</v>
      </c>
      <c r="CQ36" s="61">
        <f t="shared" si="10"/>
        <v>2026</v>
      </c>
      <c r="CR36">
        <f t="shared" si="11"/>
        <v>0</v>
      </c>
    </row>
    <row r="37" spans="1:96" x14ac:dyDescent="0.35">
      <c r="A37" s="9" t="str">
        <f t="shared" si="0"/>
        <v>FR</v>
      </c>
      <c r="B37" s="9" t="s">
        <v>45</v>
      </c>
      <c r="C37" s="20"/>
      <c r="D37" s="9" t="s">
        <v>44</v>
      </c>
      <c r="E37" s="9" t="s">
        <v>193</v>
      </c>
      <c r="F37" s="9" t="s">
        <v>43</v>
      </c>
      <c r="G37" s="19">
        <v>0</v>
      </c>
      <c r="H37" s="9">
        <v>2014</v>
      </c>
      <c r="I37" s="9">
        <v>6</v>
      </c>
      <c r="J37" s="18">
        <f>INDEX(PTRS!$D$6:$D$12,MATCH('3'!$F37,PTRS!$B$6:$B$12,0))</f>
        <v>0.40949999999999998</v>
      </c>
      <c r="K37" s="17">
        <v>0</v>
      </c>
      <c r="L37" s="17">
        <v>0.1044225</v>
      </c>
      <c r="M37" s="17">
        <v>0.40949999999999998</v>
      </c>
      <c r="N37" s="17">
        <v>0.41</v>
      </c>
      <c r="O37" s="17">
        <v>0.41</v>
      </c>
      <c r="P37" s="17">
        <v>0.1044225</v>
      </c>
      <c r="Q37" s="17">
        <v>0.1044225</v>
      </c>
      <c r="R37" s="17">
        <v>0.1044225</v>
      </c>
      <c r="S37" s="17">
        <v>1</v>
      </c>
      <c r="T37" s="17"/>
      <c r="U37" s="22">
        <v>0.73</v>
      </c>
      <c r="V37" s="17">
        <v>1</v>
      </c>
      <c r="W37" s="9" t="s">
        <v>42</v>
      </c>
      <c r="X37" s="9">
        <f>INDEX('Unique Asset List'!$C$4:$I$60,MATCH('3'!$B37,'Unique Asset List'!$A$4:$A$60,0),MATCH('3'!$C$1,'Unique Asset List'!$C$3:$I$3,0))</f>
        <v>2023</v>
      </c>
      <c r="Y37" s="9">
        <f>INDEX('Unique Asset List'!$J$4:$P$60,MATCH('3'!$B37,'Unique Asset List'!$A$4:$A$60,0),MATCH('3'!$C$1,'Unique Asset List'!$J$3:$P$3,0))</f>
        <v>0.99999999999909051</v>
      </c>
      <c r="Z37" s="9">
        <f>INDEX('Unique Asset List'!$X$4:$AD$60,MATCH('3'!$B37,'Unique Asset List'!$A$4:$A$60,0),MATCH('3'!$C$1,'Unique Asset List'!$X$3:$AD$3,0))</f>
        <v>2035</v>
      </c>
      <c r="AA37" s="9">
        <f>INDEX('Unique Asset List'!$AE$4:$AK$60,MATCH('3'!$B37,'Unique Asset List'!$A$4:$A$60,0),MATCH('3'!$C$1,'Unique Asset List'!$AE$3:$AK$3,0))</f>
        <v>1</v>
      </c>
      <c r="AB37" s="23">
        <v>1.57</v>
      </c>
      <c r="AC37" s="23">
        <v>0.65</v>
      </c>
      <c r="AD37" s="23">
        <v>0.5</v>
      </c>
      <c r="AE37" s="15">
        <f>INDEX('Unique Asset List'!$BN$4:$BT$60,MATCH('3'!$B37,'Unique Asset List'!$A$4:$A$60,0),MATCH('3'!$C$1,'Unique Asset List'!$BN$3:$BT$3,0))</f>
        <v>0.12</v>
      </c>
      <c r="AF37" s="15">
        <f>INDEX('Unique Asset List'!$BU$4:$CA$60,MATCH('3'!$B37,'Unique Asset List'!$A$4:$A$60,0),MATCH('3'!$C$1,'Unique Asset List'!$BU$3:$CA$3,0))</f>
        <v>0.38</v>
      </c>
      <c r="AG37" s="15">
        <f>INDEX('Unique Asset List'!$AZ$4:$BF$60,MATCH('3'!$B37,'Unique Asset List'!$A$4:$A$60,0),MATCH('3'!$C$1,'Unique Asset List'!$AZ$3:$BF$3,0))</f>
        <v>0.12</v>
      </c>
      <c r="AH37" s="15">
        <f>INDEX('Unique Asset List'!$BG$4:$BM$60,MATCH('3'!$B37,'Unique Asset List'!$A$4:$A$60,0),MATCH('3'!$C$1,'Unique Asset List'!$BG$3:$BM$3,0))</f>
        <v>0.38</v>
      </c>
      <c r="AI37" s="11">
        <v>0.96187963349867744</v>
      </c>
      <c r="AJ37" s="15">
        <f>INDEX('Unique Asset List'!$AL$4:$AR$60,MATCH('3'!$B37,'Unique Asset List'!$A$4:$A$60,0),MATCH('3'!$C$1,'Unique Asset List'!$AL$3:$AR$3,0))</f>
        <v>2.1252009430760062</v>
      </c>
      <c r="AK37" s="15">
        <f>INDEX('Unique Asset List'!$AS$4:$AY$60,MATCH('3'!$B37,'Unique Asset List'!$A$4:$A$60,0),MATCH('3'!$C$1,'Unique Asset List'!$AS$3:$AY$3,0))</f>
        <v>-1.7169645793441486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5"/>
        <v>0.82</v>
      </c>
      <c r="AS37" s="10">
        <v>1</v>
      </c>
      <c r="AT37" s="4">
        <f>IF($C$5="ON",BT37,MyRating(_E1,$B37,Efficacy!$F$1))</f>
        <v>0</v>
      </c>
      <c r="AU37" s="3">
        <f>IF($C$5="ON",BU37,MyRating(_E2,$B37,Efficacy!$F$1))</f>
        <v>0</v>
      </c>
      <c r="AV37" s="3">
        <f>IF($C$5="ON",BV37,MyRating(_E3,$B37,Efficacy!$F$1))</f>
        <v>0</v>
      </c>
      <c r="AW37" s="3">
        <f>IF($C$5="ON",BW37,MyRating(_E4,$B37,Efficacy!$F$1))</f>
        <v>0</v>
      </c>
      <c r="AX37" s="3">
        <f>IF($C$5="ON",BX37,MyRating(_E5,$B37,Efficacy!$F$1))</f>
        <v>0</v>
      </c>
      <c r="AY37" s="3">
        <f>IF($C$5="ON",BY37,MyRating(_E6,$B37,Efficacy!$F$1))</f>
        <v>0</v>
      </c>
      <c r="AZ37" s="3">
        <f>IF($C$5="ON",BZ37,MyRating(_E7,$B37,Efficacy!$F$1))</f>
        <v>0</v>
      </c>
      <c r="BA37" s="3">
        <f>IF($C$5="ON",CA37,MyRating(_E8,$B37,Efficacy!$F$1))</f>
        <v>0</v>
      </c>
      <c r="BB37" s="3">
        <f>IF($C$5="ON",CB37,MyRating(_S1,$B37,Efficacy!$F$1))</f>
        <v>0</v>
      </c>
      <c r="BC37" s="3">
        <f>IF($C$5="ON",CC37,MyRating(_S2,$B37,Efficacy!$F$1))</f>
        <v>0</v>
      </c>
      <c r="BD37" s="3">
        <f>IF($C$5="ON",CD37,MyRating(_S3,$B37,Efficacy!$F$1))</f>
        <v>0</v>
      </c>
      <c r="BE37" s="3">
        <f>IF($C$5="ON",CE37,MyRating(_S4,$B37,Efficacy!$F$1))</f>
        <v>0</v>
      </c>
      <c r="BF37" s="3">
        <f>IF($C$5="ON",CF37,MyRating(_S5,$B37,Efficacy!$F$1))</f>
        <v>0</v>
      </c>
      <c r="BG37" s="3">
        <f>IF($C$5="ON",CG37,MyRating(_S6,$B37,Efficacy!$F$1))</f>
        <v>0</v>
      </c>
      <c r="BH37" s="3">
        <f>IF($C$5="ON",CH37,MyRating(_S7,$B37,Efficacy!$F$1))</f>
        <v>0</v>
      </c>
      <c r="BI37" s="3">
        <f>IF($C$5="ON",CI37,MyRating(_D1,$B37,Efficacy!$F$1))</f>
        <v>0</v>
      </c>
      <c r="BJ37" s="3">
        <f>IF($C$5="ON",CJ37,MyRating(_D2,$B37,Efficacy!$F$1))</f>
        <v>0</v>
      </c>
      <c r="BK37" s="3">
        <f>IF($C$5="ON",CK37,MyRating(_D3,$B37,Efficacy!$F$1))</f>
        <v>0</v>
      </c>
      <c r="BL37" s="3">
        <f>IF($C$5="ON",CL37,MyRating(_D4,$B37,Efficacy!$F$1))</f>
        <v>0</v>
      </c>
      <c r="BM37" s="3">
        <f>IF($C$5="ON",CM37,MyRating(_B1G5,$B37,Barrier!$L$2))</f>
        <v>0</v>
      </c>
      <c r="BN37" s="3">
        <f>IF($C$5="ON",CN37,MyRating(_B2,$B37,Barrier!$F$2))</f>
        <v>0</v>
      </c>
      <c r="BO37" s="6">
        <f>IF($C$5="ON",CO37,MyRating(_B3,$B37,Barrier!$F$2))</f>
        <v>0</v>
      </c>
      <c r="BP37" s="5">
        <f t="shared" si="6"/>
        <v>0</v>
      </c>
      <c r="BQ37" s="8">
        <f t="shared" si="7"/>
        <v>0</v>
      </c>
      <c r="BR37" s="5">
        <f t="shared" si="8"/>
        <v>0</v>
      </c>
      <c r="BS37" s="7">
        <f t="shared" si="9"/>
        <v>0</v>
      </c>
      <c r="BT37" s="4">
        <v>0</v>
      </c>
      <c r="BU37" s="3">
        <v>0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6">
        <v>0</v>
      </c>
      <c r="CP37" s="5">
        <v>0</v>
      </c>
      <c r="CQ37" s="61">
        <f t="shared" si="10"/>
        <v>2024</v>
      </c>
      <c r="CR37">
        <f t="shared" si="11"/>
        <v>3.9999999999990905</v>
      </c>
    </row>
    <row r="38" spans="1:96" x14ac:dyDescent="0.35">
      <c r="A38" s="9" t="str">
        <f t="shared" si="0"/>
        <v>FR</v>
      </c>
      <c r="B38" s="9" t="s">
        <v>41</v>
      </c>
      <c r="C38" s="20"/>
      <c r="D38" s="9" t="s">
        <v>194</v>
      </c>
      <c r="E38" s="9" t="s">
        <v>193</v>
      </c>
      <c r="F38" s="9" t="s">
        <v>1</v>
      </c>
      <c r="G38" s="19">
        <v>0</v>
      </c>
      <c r="H38" s="9">
        <v>2014</v>
      </c>
      <c r="I38" s="9">
        <v>6</v>
      </c>
      <c r="J38" s="18">
        <f>INDEX(PTRS!$D$6:$D$12,MATCH('3'!$F38,PTRS!$B$6:$B$12,0))</f>
        <v>0.1044225</v>
      </c>
      <c r="K38" s="17">
        <v>0</v>
      </c>
      <c r="L38" s="17">
        <v>0.1044225</v>
      </c>
      <c r="M38" s="17">
        <v>0.1044225</v>
      </c>
      <c r="N38" s="17">
        <v>0.1044225</v>
      </c>
      <c r="O38" s="17">
        <v>0.1044225</v>
      </c>
      <c r="P38" s="17">
        <v>0.1044225</v>
      </c>
      <c r="Q38" s="17">
        <v>0.1044225</v>
      </c>
      <c r="R38" s="17">
        <v>0.1044225</v>
      </c>
      <c r="S38" s="17">
        <v>1</v>
      </c>
      <c r="T38" s="17" t="s">
        <v>39</v>
      </c>
      <c r="U38" s="22">
        <v>0.72649652910676854</v>
      </c>
      <c r="V38" s="17">
        <v>1</v>
      </c>
      <c r="W38" s="59" t="s">
        <v>38</v>
      </c>
      <c r="X38" s="9">
        <f>INDEX('Unique Asset List'!$C$4:$I$60,MATCH('3'!$B38,'Unique Asset List'!$A$4:$A$60,0),MATCH('3'!$C$1,'Unique Asset List'!$C$3:$I$3,0))</f>
        <v>2029</v>
      </c>
      <c r="Y38" s="9">
        <f>INDEX('Unique Asset List'!$J$4:$P$60,MATCH('3'!$B38,'Unique Asset List'!$A$4:$A$60,0),MATCH('3'!$C$1,'Unique Asset List'!$J$3:$P$3,0))</f>
        <v>3</v>
      </c>
      <c r="Z38" s="9">
        <f>INDEX('Unique Asset List'!$X$4:$AD$60,MATCH('3'!$B38,'Unique Asset List'!$A$4:$A$60,0),MATCH('3'!$C$1,'Unique Asset List'!$X$3:$AD$3,0))</f>
        <v>2038</v>
      </c>
      <c r="AA38" s="9">
        <f>INDEX('Unique Asset List'!$AE$4:$AK$60,MATCH('3'!$B38,'Unique Asset List'!$A$4:$A$60,0),MATCH('3'!$C$1,'Unique Asset List'!$AE$3:$AK$3,0))</f>
        <v>3</v>
      </c>
      <c r="AB38" s="16">
        <f>AB20</f>
        <v>1.7951404000000002</v>
      </c>
      <c r="AC38" s="16">
        <f>AC20</f>
        <v>0.94451300000000005</v>
      </c>
      <c r="AD38" s="16">
        <f>AD20</f>
        <v>0.52097279586</v>
      </c>
      <c r="AE38" s="15">
        <f>INDEX('Unique Asset List'!$BN$4:$BT$60,MATCH('3'!$B38,'Unique Asset List'!$A$4:$A$60,0),MATCH('3'!$C$1,'Unique Asset List'!$BN$3:$BT$3,0))</f>
        <v>0.12</v>
      </c>
      <c r="AF38" s="15">
        <f>INDEX('Unique Asset List'!$BU$4:$CA$60,MATCH('3'!$B38,'Unique Asset List'!$A$4:$A$60,0),MATCH('3'!$C$1,'Unique Asset List'!$BU$3:$CA$3,0))</f>
        <v>0.38</v>
      </c>
      <c r="AG38" s="15">
        <f>INDEX('Unique Asset List'!$AZ$4:$BF$60,MATCH('3'!$B38,'Unique Asset List'!$A$4:$A$60,0),MATCH('3'!$C$1,'Unique Asset List'!$AZ$3:$BF$3,0))</f>
        <v>0.12</v>
      </c>
      <c r="AH38" s="15">
        <f>INDEX('Unique Asset List'!$BG$4:$BM$60,MATCH('3'!$B38,'Unique Asset List'!$A$4:$A$60,0),MATCH('3'!$C$1,'Unique Asset List'!$BG$3:$BM$3,0))</f>
        <v>0.38</v>
      </c>
      <c r="AI38" s="11">
        <v>0.96187963349867744</v>
      </c>
      <c r="AJ38" s="15">
        <f>INDEX('Unique Asset List'!$AL$4:$AR$60,MATCH('3'!$B38,'Unique Asset List'!$A$4:$A$60,0),MATCH('3'!$C$1,'Unique Asset List'!$AL$3:$AR$3,0))</f>
        <v>2.1252009430760062</v>
      </c>
      <c r="AK38" s="15">
        <f>INDEX('Unique Asset List'!$AS$4:$AY$60,MATCH('3'!$B38,'Unique Asset List'!$A$4:$A$60,0),MATCH('3'!$C$1,'Unique Asset List'!$AS$3:$AY$3,0))</f>
        <v>-1.7169645793441486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5"/>
        <v>0.82</v>
      </c>
      <c r="AS38" s="10">
        <v>1</v>
      </c>
      <c r="AT38" s="4">
        <f>IF($C$5="ON",BT38,MyRating(_E1,$B38,Efficacy!$F$1))</f>
        <v>0</v>
      </c>
      <c r="AU38" s="3">
        <f>IF($C$5="ON",BU38,MyRating(_E2,$B38,Efficacy!$F$1))</f>
        <v>0</v>
      </c>
      <c r="AV38" s="3">
        <f>IF($C$5="ON",BV38,MyRating(_E3,$B38,Efficacy!$F$1))</f>
        <v>0</v>
      </c>
      <c r="AW38" s="3">
        <f>IF($C$5="ON",BW38,MyRating(_E4,$B38,Efficacy!$F$1))</f>
        <v>0</v>
      </c>
      <c r="AX38" s="3">
        <f>IF($C$5="ON",BX38,MyRating(_E5,$B38,Efficacy!$F$1))</f>
        <v>0</v>
      </c>
      <c r="AY38" s="3">
        <f>IF($C$5="ON",BY38,MyRating(_E6,$B38,Efficacy!$F$1))</f>
        <v>0</v>
      </c>
      <c r="AZ38" s="3">
        <f>IF($C$5="ON",BZ38,MyRating(_E7,$B38,Efficacy!$F$1))</f>
        <v>0</v>
      </c>
      <c r="BA38" s="3">
        <f>IF($C$5="ON",CA38,MyRating(_E8,$B38,Efficacy!$F$1))</f>
        <v>0</v>
      </c>
      <c r="BB38" s="3">
        <f>IF($C$5="ON",CB38,MyRating(_S1,$B38,Efficacy!$F$1))</f>
        <v>0</v>
      </c>
      <c r="BC38" s="3">
        <f>IF($C$5="ON",CC38,MyRating(_S2,$B38,Efficacy!$F$1))</f>
        <v>0</v>
      </c>
      <c r="BD38" s="3">
        <f>IF($C$5="ON",CD38,MyRating(_S3,$B38,Efficacy!$F$1))</f>
        <v>0</v>
      </c>
      <c r="BE38" s="3">
        <f>IF($C$5="ON",CE38,MyRating(_S4,$B38,Efficacy!$F$1))</f>
        <v>0</v>
      </c>
      <c r="BF38" s="3">
        <f>IF($C$5="ON",CF38,MyRating(_S5,$B38,Efficacy!$F$1))</f>
        <v>0</v>
      </c>
      <c r="BG38" s="3">
        <f>IF($C$5="ON",CG38,MyRating(_S6,$B38,Efficacy!$F$1))</f>
        <v>0</v>
      </c>
      <c r="BH38" s="3">
        <f>IF($C$5="ON",CH38,MyRating(_S7,$B38,Efficacy!$F$1))</f>
        <v>0</v>
      </c>
      <c r="BI38" s="3">
        <f>IF($C$5="ON",CI38,MyRating(_D1,$B38,Efficacy!$F$1))</f>
        <v>0</v>
      </c>
      <c r="BJ38" s="3">
        <f>IF($C$5="ON",CJ38,MyRating(_D2,$B38,Efficacy!$F$1))</f>
        <v>0</v>
      </c>
      <c r="BK38" s="3">
        <f>IF($C$5="ON",CK38,MyRating(_D3,$B38,Efficacy!$F$1))</f>
        <v>0</v>
      </c>
      <c r="BL38" s="3">
        <f>IF($C$5="ON",CL38,MyRating(_D4,$B38,Efficacy!$F$1))</f>
        <v>0</v>
      </c>
      <c r="BM38" s="3">
        <f>IF($C$5="ON",CM38,MyRating(_B1G5,$B38,Barrier!$L$2))</f>
        <v>0</v>
      </c>
      <c r="BN38" s="3">
        <f>IF($C$5="ON",CN38,MyRating(_B2,$B38,Barrier!$F$2))</f>
        <v>0</v>
      </c>
      <c r="BO38" s="6">
        <f>IF($C$5="ON",CO38,MyRating(_B3,$B38,Barrier!$F$2))</f>
        <v>0</v>
      </c>
      <c r="BP38" s="5">
        <f t="shared" si="6"/>
        <v>0</v>
      </c>
      <c r="BQ38" s="8">
        <f t="shared" si="7"/>
        <v>0</v>
      </c>
      <c r="BR38" s="5">
        <f t="shared" si="8"/>
        <v>0</v>
      </c>
      <c r="BS38" s="7">
        <f t="shared" si="9"/>
        <v>0</v>
      </c>
      <c r="BT38" s="4">
        <v>0</v>
      </c>
      <c r="BU38" s="3">
        <v>0</v>
      </c>
      <c r="BV38" s="3">
        <v>0</v>
      </c>
      <c r="BW38" s="3">
        <v>0</v>
      </c>
      <c r="BX38" s="3">
        <v>0</v>
      </c>
      <c r="BY38" s="3">
        <v>0</v>
      </c>
      <c r="BZ38" s="3">
        <v>0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6">
        <v>0</v>
      </c>
      <c r="CP38" s="5">
        <v>0</v>
      </c>
      <c r="CQ38" s="61">
        <f t="shared" si="10"/>
        <v>2030</v>
      </c>
      <c r="CR38">
        <f t="shared" si="11"/>
        <v>6</v>
      </c>
    </row>
    <row r="39" spans="1:96" x14ac:dyDescent="0.35">
      <c r="A39" s="9" t="str">
        <f t="shared" si="0"/>
        <v>FR</v>
      </c>
      <c r="B39" s="9" t="s">
        <v>37</v>
      </c>
      <c r="C39" s="20"/>
      <c r="D39" s="9" t="s">
        <v>36</v>
      </c>
      <c r="E39" s="9" t="s">
        <v>193</v>
      </c>
      <c r="F39" s="9" t="s">
        <v>1</v>
      </c>
      <c r="G39" s="19">
        <v>0</v>
      </c>
      <c r="H39" s="9">
        <v>2014</v>
      </c>
      <c r="I39" s="9">
        <v>6</v>
      </c>
      <c r="J39" s="18">
        <f>INDEX(PTRS!$D$6:$D$12,MATCH('3'!$F39,PTRS!$B$6:$B$12,0))</f>
        <v>0.1044225</v>
      </c>
      <c r="K39" s="17">
        <v>0</v>
      </c>
      <c r="L39" s="17">
        <v>0.1044225</v>
      </c>
      <c r="M39" s="17">
        <v>0.1044225</v>
      </c>
      <c r="N39" s="17">
        <v>0.1044225</v>
      </c>
      <c r="O39" s="17">
        <v>0.1044225</v>
      </c>
      <c r="P39" s="17">
        <v>0.1044225</v>
      </c>
      <c r="Q39" s="17">
        <v>0.1044225</v>
      </c>
      <c r="R39" s="17">
        <v>0.1044225</v>
      </c>
      <c r="S39" s="17">
        <v>1</v>
      </c>
      <c r="T39" s="17" t="s">
        <v>35</v>
      </c>
      <c r="U39" s="22">
        <v>0.72649652910676854</v>
      </c>
      <c r="V39" s="17">
        <v>1</v>
      </c>
      <c r="W39" s="9" t="s">
        <v>34</v>
      </c>
      <c r="X39" s="9">
        <f>INDEX('Unique Asset List'!$C$4:$I$60,MATCH('3'!$B39,'Unique Asset List'!$A$4:$A$60,0),MATCH('3'!$C$1,'Unique Asset List'!$C$3:$I$3,0))</f>
        <v>2034</v>
      </c>
      <c r="Y39" s="9">
        <f>INDEX('Unique Asset List'!$J$4:$P$60,MATCH('3'!$B39,'Unique Asset List'!$A$4:$A$60,0),MATCH('3'!$C$1,'Unique Asset List'!$J$3:$P$3,0))</f>
        <v>2.0000000000009095</v>
      </c>
      <c r="Z39" s="9">
        <f>INDEX('Unique Asset List'!$X$4:$AD$60,MATCH('3'!$B39,'Unique Asset List'!$A$4:$A$60,0),MATCH('3'!$C$1,'Unique Asset List'!$X$3:$AD$3,0))</f>
        <v>2043</v>
      </c>
      <c r="AA39" s="9">
        <f>INDEX('Unique Asset List'!$AE$4:$AK$60,MATCH('3'!$B39,'Unique Asset List'!$A$4:$A$60,0),MATCH('3'!$C$1,'Unique Asset List'!$AE$3:$AK$3,0))</f>
        <v>2</v>
      </c>
      <c r="AB39" s="16">
        <f>AB28</f>
        <v>2.0908086000000004</v>
      </c>
      <c r="AC39" s="16">
        <f>AC28</f>
        <v>0.97325250000000008</v>
      </c>
      <c r="AD39" s="16">
        <f>AD28</f>
        <v>0.56099999999999994</v>
      </c>
      <c r="AE39" s="15">
        <f>INDEX('Unique Asset List'!$BN$4:$BT$60,MATCH('3'!$B39,'Unique Asset List'!$A$4:$A$60,0),MATCH('3'!$C$1,'Unique Asset List'!$BN$3:$BT$3,0))</f>
        <v>0.12</v>
      </c>
      <c r="AF39" s="15">
        <f>INDEX('Unique Asset List'!$BU$4:$CA$60,MATCH('3'!$B39,'Unique Asset List'!$A$4:$A$60,0),MATCH('3'!$C$1,'Unique Asset List'!$BU$3:$CA$3,0))</f>
        <v>0.38</v>
      </c>
      <c r="AG39" s="15">
        <f>INDEX('Unique Asset List'!$AZ$4:$BF$60,MATCH('3'!$B39,'Unique Asset List'!$A$4:$A$60,0),MATCH('3'!$C$1,'Unique Asset List'!$AZ$3:$BF$3,0))</f>
        <v>0.12</v>
      </c>
      <c r="AH39" s="15">
        <f>INDEX('Unique Asset List'!$BG$4:$BM$60,MATCH('3'!$B39,'Unique Asset List'!$A$4:$A$60,0),MATCH('3'!$C$1,'Unique Asset List'!$BG$3:$BM$3,0))</f>
        <v>0.38</v>
      </c>
      <c r="AI39" s="11">
        <v>0.96187963349867744</v>
      </c>
      <c r="AJ39" s="15">
        <f>INDEX('Unique Asset List'!$AL$4:$AR$60,MATCH('3'!$B39,'Unique Asset List'!$A$4:$A$60,0),MATCH('3'!$C$1,'Unique Asset List'!$AL$3:$AR$3,0))</f>
        <v>2.1252009430760062</v>
      </c>
      <c r="AK39" s="15">
        <f>INDEX('Unique Asset List'!$AS$4:$AY$60,MATCH('3'!$B39,'Unique Asset List'!$A$4:$A$60,0),MATCH('3'!$C$1,'Unique Asset List'!$AS$3:$AY$3,0))</f>
        <v>-1.7169645793441486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5"/>
        <v>0.82</v>
      </c>
      <c r="AS39" s="10">
        <v>1</v>
      </c>
      <c r="AT39" s="4">
        <f>IF($C$5="ON",BT39,MyRating(_E1,$B39,Efficacy!$F$1))</f>
        <v>0</v>
      </c>
      <c r="AU39" s="3">
        <f>IF($C$5="ON",BU39,MyRating(_E2,$B39,Efficacy!$F$1))</f>
        <v>0</v>
      </c>
      <c r="AV39" s="3">
        <f>IF($C$5="ON",BV39,MyRating(_E3,$B39,Efficacy!$F$1))</f>
        <v>0</v>
      </c>
      <c r="AW39" s="3">
        <f>IF($C$5="ON",BW39,MyRating(_E4,$B39,Efficacy!$F$1))</f>
        <v>0</v>
      </c>
      <c r="AX39" s="3">
        <f>IF($C$5="ON",BX39,MyRating(_E5,$B39,Efficacy!$F$1))</f>
        <v>0</v>
      </c>
      <c r="AY39" s="3">
        <f>IF($C$5="ON",BY39,MyRating(_E6,$B39,Efficacy!$F$1))</f>
        <v>0</v>
      </c>
      <c r="AZ39" s="3">
        <f>IF($C$5="ON",BZ39,MyRating(_E7,$B39,Efficacy!$F$1))</f>
        <v>0</v>
      </c>
      <c r="BA39" s="3">
        <f>IF($C$5="ON",CA39,MyRating(_E8,$B39,Efficacy!$F$1))</f>
        <v>0</v>
      </c>
      <c r="BB39" s="3">
        <f>IF($C$5="ON",CB39,MyRating(_S1,$B39,Efficacy!$F$1))</f>
        <v>0</v>
      </c>
      <c r="BC39" s="3">
        <f>IF($C$5="ON",CC39,MyRating(_S2,$B39,Efficacy!$F$1))</f>
        <v>0</v>
      </c>
      <c r="BD39" s="3">
        <f>IF($C$5="ON",CD39,MyRating(_S3,$B39,Efficacy!$F$1))</f>
        <v>0</v>
      </c>
      <c r="BE39" s="3">
        <f>IF($C$5="ON",CE39,MyRating(_S4,$B39,Efficacy!$F$1))</f>
        <v>0</v>
      </c>
      <c r="BF39" s="3">
        <f>IF($C$5="ON",CF39,MyRating(_S5,$B39,Efficacy!$F$1))</f>
        <v>0</v>
      </c>
      <c r="BG39" s="3">
        <f>IF($C$5="ON",CG39,MyRating(_S6,$B39,Efficacy!$F$1))</f>
        <v>0</v>
      </c>
      <c r="BH39" s="3">
        <f>IF($C$5="ON",CH39,MyRating(_S7,$B39,Efficacy!$F$1))</f>
        <v>0</v>
      </c>
      <c r="BI39" s="3">
        <f>IF($C$5="ON",CI39,MyRating(_D1,$B39,Efficacy!$F$1))</f>
        <v>0</v>
      </c>
      <c r="BJ39" s="3">
        <f>IF($C$5="ON",CJ39,MyRating(_D2,$B39,Efficacy!$F$1))</f>
        <v>0</v>
      </c>
      <c r="BK39" s="3">
        <f>IF($C$5="ON",CK39,MyRating(_D3,$B39,Efficacy!$F$1))</f>
        <v>0</v>
      </c>
      <c r="BL39" s="3">
        <f>IF($C$5="ON",CL39,MyRating(_D4,$B39,Efficacy!$F$1))</f>
        <v>0</v>
      </c>
      <c r="BM39" s="3">
        <f>IF($C$5="ON",CM39,MyRating(_B1G5,$B39,Barrier!$L$2))</f>
        <v>0</v>
      </c>
      <c r="BN39" s="3">
        <f>IF($C$5="ON",CN39,MyRating(_B2,$B39,Barrier!$F$2))</f>
        <v>0</v>
      </c>
      <c r="BO39" s="6">
        <f>IF($C$5="ON",CO39,MyRating(_B3,$B39,Barrier!$F$2))</f>
        <v>0</v>
      </c>
      <c r="BP39" s="5">
        <f t="shared" si="6"/>
        <v>0</v>
      </c>
      <c r="BQ39" s="8">
        <f t="shared" si="7"/>
        <v>0</v>
      </c>
      <c r="BR39" s="5">
        <f t="shared" si="8"/>
        <v>0</v>
      </c>
      <c r="BS39" s="7">
        <f t="shared" si="9"/>
        <v>0</v>
      </c>
      <c r="BT39" s="4">
        <v>0</v>
      </c>
      <c r="BU39" s="3">
        <v>0</v>
      </c>
      <c r="BV39" s="3">
        <v>0</v>
      </c>
      <c r="BW39" s="3">
        <v>0</v>
      </c>
      <c r="BX39" s="3">
        <v>0</v>
      </c>
      <c r="BY39" s="3">
        <v>0</v>
      </c>
      <c r="BZ39" s="3">
        <v>0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6">
        <v>0</v>
      </c>
      <c r="CP39" s="5">
        <v>0</v>
      </c>
      <c r="CQ39" s="61">
        <f t="shared" si="10"/>
        <v>2035</v>
      </c>
      <c r="CR39">
        <f t="shared" si="11"/>
        <v>5.0000000000009095</v>
      </c>
    </row>
    <row r="40" spans="1:96" x14ac:dyDescent="0.35">
      <c r="A40" s="9" t="str">
        <f t="shared" si="0"/>
        <v>FR</v>
      </c>
      <c r="B40" s="9" t="s">
        <v>33</v>
      </c>
      <c r="C40" s="20"/>
      <c r="D40" s="9" t="s">
        <v>32</v>
      </c>
      <c r="E40" s="9" t="s">
        <v>193</v>
      </c>
      <c r="F40" s="9" t="s">
        <v>1</v>
      </c>
      <c r="G40" s="19">
        <v>0</v>
      </c>
      <c r="H40" s="9">
        <v>2014</v>
      </c>
      <c r="I40" s="9">
        <v>6</v>
      </c>
      <c r="J40" s="18">
        <f>INDEX(PTRS!$D$6:$D$12,MATCH('3'!$F40,PTRS!$B$6:$B$12,0))</f>
        <v>0.1044225</v>
      </c>
      <c r="K40" s="17">
        <v>0</v>
      </c>
      <c r="L40" s="17">
        <v>0.1044225</v>
      </c>
      <c r="M40" s="17">
        <v>0.1044225</v>
      </c>
      <c r="N40" s="17">
        <v>0.1044225</v>
      </c>
      <c r="O40" s="17">
        <v>0.1044225</v>
      </c>
      <c r="P40" s="17">
        <v>0.1044225</v>
      </c>
      <c r="Q40" s="17">
        <v>0.1044225</v>
      </c>
      <c r="R40" s="17">
        <v>0.1044225</v>
      </c>
      <c r="S40" s="17">
        <v>1</v>
      </c>
      <c r="T40" s="17" t="s">
        <v>31</v>
      </c>
      <c r="U40" s="22">
        <v>0.72649652910676854</v>
      </c>
      <c r="V40" s="17">
        <v>1</v>
      </c>
      <c r="W40" s="9" t="s">
        <v>31</v>
      </c>
      <c r="X40" s="9">
        <f>INDEX('Unique Asset List'!$C$4:$I$60,MATCH('3'!$B40,'Unique Asset List'!$A$4:$A$60,0),MATCH('3'!$C$1,'Unique Asset List'!$C$3:$I$3,0))</f>
        <v>2033</v>
      </c>
      <c r="Y40" s="9">
        <f>INDEX('Unique Asset List'!$J$4:$P$60,MATCH('3'!$B40,'Unique Asset List'!$A$4:$A$60,0),MATCH('3'!$C$1,'Unique Asset List'!$J$3:$P$3,0))</f>
        <v>2.0000000000009095</v>
      </c>
      <c r="Z40" s="9">
        <f>INDEX('Unique Asset List'!$X$4:$AD$60,MATCH('3'!$B40,'Unique Asset List'!$A$4:$A$60,0),MATCH('3'!$C$1,'Unique Asset List'!$X$3:$AD$3,0))</f>
        <v>2042</v>
      </c>
      <c r="AA40" s="9">
        <f>INDEX('Unique Asset List'!$AE$4:$AK$60,MATCH('3'!$B40,'Unique Asset List'!$A$4:$A$60,0),MATCH('3'!$C$1,'Unique Asset List'!$AE$3:$AK$3,0))</f>
        <v>2</v>
      </c>
      <c r="AB40" s="16">
        <f>AB27</f>
        <v>2.1250906000000005</v>
      </c>
      <c r="AC40" s="16">
        <f>AC27</f>
        <v>0.97325250000000008</v>
      </c>
      <c r="AD40" s="16">
        <f>AD27</f>
        <v>0.56099999999999994</v>
      </c>
      <c r="AE40" s="15">
        <f>INDEX('Unique Asset List'!$BN$4:$BT$60,MATCH('3'!$B40,'Unique Asset List'!$A$4:$A$60,0),MATCH('3'!$C$1,'Unique Asset List'!$BN$3:$BT$3,0))</f>
        <v>0.12</v>
      </c>
      <c r="AF40" s="15">
        <f>INDEX('Unique Asset List'!$BU$4:$CA$60,MATCH('3'!$B40,'Unique Asset List'!$A$4:$A$60,0),MATCH('3'!$C$1,'Unique Asset List'!$BU$3:$CA$3,0))</f>
        <v>0.38</v>
      </c>
      <c r="AG40" s="15">
        <f>INDEX('Unique Asset List'!$AZ$4:$BF$60,MATCH('3'!$B40,'Unique Asset List'!$A$4:$A$60,0),MATCH('3'!$C$1,'Unique Asset List'!$AZ$3:$BF$3,0))</f>
        <v>0.12</v>
      </c>
      <c r="AH40" s="15">
        <f>INDEX('Unique Asset List'!$BG$4:$BM$60,MATCH('3'!$B40,'Unique Asset List'!$A$4:$A$60,0),MATCH('3'!$C$1,'Unique Asset List'!$BG$3:$BM$3,0))</f>
        <v>0.38</v>
      </c>
      <c r="AI40" s="11">
        <v>0.96187963349867744</v>
      </c>
      <c r="AJ40" s="15">
        <f>INDEX('Unique Asset List'!$AL$4:$AR$60,MATCH('3'!$B40,'Unique Asset List'!$A$4:$A$60,0),MATCH('3'!$C$1,'Unique Asset List'!$AL$3:$AR$3,0))</f>
        <v>2.1252009430760062</v>
      </c>
      <c r="AK40" s="15">
        <f>INDEX('Unique Asset List'!$AS$4:$AY$60,MATCH('3'!$B40,'Unique Asset List'!$A$4:$A$60,0),MATCH('3'!$C$1,'Unique Asset List'!$AS$3:$AY$3,0))</f>
        <v>-1.7169645793441486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5"/>
        <v>0.82</v>
      </c>
      <c r="AS40" s="10">
        <v>1</v>
      </c>
      <c r="AT40" s="4">
        <f>IF($C$5="ON",BT40,MyRating(_E1,$B40,Efficacy!$F$1))</f>
        <v>0</v>
      </c>
      <c r="AU40" s="3">
        <f>IF($C$5="ON",BU40,MyRating(_E2,$B40,Efficacy!$F$1))</f>
        <v>0</v>
      </c>
      <c r="AV40" s="3">
        <f>IF($C$5="ON",BV40,MyRating(_E3,$B40,Efficacy!$F$1))</f>
        <v>0</v>
      </c>
      <c r="AW40" s="3">
        <f>IF($C$5="ON",BW40,MyRating(_E4,$B40,Efficacy!$F$1))</f>
        <v>0</v>
      </c>
      <c r="AX40" s="3">
        <f>IF($C$5="ON",BX40,MyRating(_E5,$B40,Efficacy!$F$1))</f>
        <v>0</v>
      </c>
      <c r="AY40" s="3">
        <f>IF($C$5="ON",BY40,MyRating(_E6,$B40,Efficacy!$F$1))</f>
        <v>0</v>
      </c>
      <c r="AZ40" s="3">
        <f>IF($C$5="ON",BZ40,MyRating(_E7,$B40,Efficacy!$F$1))</f>
        <v>0</v>
      </c>
      <c r="BA40" s="3">
        <f>IF($C$5="ON",CA40,MyRating(_E8,$B40,Efficacy!$F$1))</f>
        <v>0</v>
      </c>
      <c r="BB40" s="3">
        <f>IF($C$5="ON",CB40,MyRating(_S1,$B40,Efficacy!$F$1))</f>
        <v>0</v>
      </c>
      <c r="BC40" s="3">
        <f>IF($C$5="ON",CC40,MyRating(_S2,$B40,Efficacy!$F$1))</f>
        <v>0</v>
      </c>
      <c r="BD40" s="3">
        <f>IF($C$5="ON",CD40,MyRating(_S3,$B40,Efficacy!$F$1))</f>
        <v>0</v>
      </c>
      <c r="BE40" s="3">
        <f>IF($C$5="ON",CE40,MyRating(_S4,$B40,Efficacy!$F$1))</f>
        <v>0</v>
      </c>
      <c r="BF40" s="3">
        <f>IF($C$5="ON",CF40,MyRating(_S5,$B40,Efficacy!$F$1))</f>
        <v>0</v>
      </c>
      <c r="BG40" s="3">
        <f>IF($C$5="ON",CG40,MyRating(_S6,$B40,Efficacy!$F$1))</f>
        <v>0</v>
      </c>
      <c r="BH40" s="3">
        <f>IF($C$5="ON",CH40,MyRating(_S7,$B40,Efficacy!$F$1))</f>
        <v>0</v>
      </c>
      <c r="BI40" s="3">
        <f>IF($C$5="ON",CI40,MyRating(_D1,$B40,Efficacy!$F$1))</f>
        <v>0</v>
      </c>
      <c r="BJ40" s="3">
        <f>IF($C$5="ON",CJ40,MyRating(_D2,$B40,Efficacy!$F$1))</f>
        <v>0</v>
      </c>
      <c r="BK40" s="3">
        <f>IF($C$5="ON",CK40,MyRating(_D3,$B40,Efficacy!$F$1))</f>
        <v>0</v>
      </c>
      <c r="BL40" s="3">
        <f>IF($C$5="ON",CL40,MyRating(_D4,$B40,Efficacy!$F$1))</f>
        <v>0</v>
      </c>
      <c r="BM40" s="3">
        <f>IF($C$5="ON",CM40,MyRating(_B1G5,$B40,Barrier!$L$2))</f>
        <v>0</v>
      </c>
      <c r="BN40" s="3">
        <f>IF($C$5="ON",CN40,MyRating(_B2,$B40,Barrier!$F$2))</f>
        <v>0</v>
      </c>
      <c r="BO40" s="6">
        <f>IF($C$5="ON",CO40,MyRating(_B3,$B40,Barrier!$F$2))</f>
        <v>0</v>
      </c>
      <c r="BP40" s="5">
        <f t="shared" si="6"/>
        <v>0</v>
      </c>
      <c r="BQ40" s="8">
        <f t="shared" si="7"/>
        <v>0</v>
      </c>
      <c r="BR40" s="5">
        <f t="shared" si="8"/>
        <v>0</v>
      </c>
      <c r="BS40" s="7">
        <f t="shared" si="9"/>
        <v>0</v>
      </c>
      <c r="BT40" s="4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6">
        <v>0</v>
      </c>
      <c r="CP40" s="5">
        <v>0</v>
      </c>
      <c r="CQ40" s="61">
        <f t="shared" si="10"/>
        <v>2034</v>
      </c>
      <c r="CR40">
        <f t="shared" si="11"/>
        <v>5.0000000000009095</v>
      </c>
    </row>
    <row r="41" spans="1:96" x14ac:dyDescent="0.35">
      <c r="A41" s="9" t="str">
        <f t="shared" ref="A41:A58" si="12">$C$1</f>
        <v>FR</v>
      </c>
      <c r="B41" s="9" t="s">
        <v>30</v>
      </c>
      <c r="C41" s="20"/>
      <c r="D41" s="9" t="s">
        <v>29</v>
      </c>
      <c r="E41" s="9" t="s">
        <v>193</v>
      </c>
      <c r="F41" s="9" t="s">
        <v>1</v>
      </c>
      <c r="G41" s="19">
        <v>0</v>
      </c>
      <c r="H41" s="9">
        <v>2014</v>
      </c>
      <c r="I41" s="9">
        <v>6</v>
      </c>
      <c r="J41" s="18">
        <f>INDEX(PTRS!$D$6:$D$12,MATCH('3'!$F41,PTRS!$B$6:$B$12,0))</f>
        <v>0.1044225</v>
      </c>
      <c r="K41" s="17">
        <v>0</v>
      </c>
      <c r="L41" s="17">
        <v>0.1044225</v>
      </c>
      <c r="M41" s="17">
        <v>0.1044225</v>
      </c>
      <c r="N41" s="17">
        <v>0.1044225</v>
      </c>
      <c r="O41" s="17">
        <v>0.1044225</v>
      </c>
      <c r="P41" s="17">
        <v>0.1044225</v>
      </c>
      <c r="Q41" s="17">
        <v>0.1044225</v>
      </c>
      <c r="R41" s="17">
        <v>0.1044225</v>
      </c>
      <c r="S41" s="17">
        <v>1</v>
      </c>
      <c r="T41" s="17" t="s">
        <v>28</v>
      </c>
      <c r="U41" s="22">
        <v>0.72649652910676854</v>
      </c>
      <c r="V41" s="17">
        <v>1</v>
      </c>
      <c r="W41" s="9" t="s">
        <v>27</v>
      </c>
      <c r="X41" s="9">
        <f>INDEX('Unique Asset List'!$C$4:$I$60,MATCH('3'!$B41,'Unique Asset List'!$A$4:$A$60,0),MATCH('3'!$C$1,'Unique Asset List'!$C$3:$I$3,0))</f>
        <v>2035</v>
      </c>
      <c r="Y41" s="9">
        <f>INDEX('Unique Asset List'!$J$4:$P$60,MATCH('3'!$B41,'Unique Asset List'!$A$4:$A$60,0),MATCH('3'!$C$1,'Unique Asset List'!$J$3:$P$3,0))</f>
        <v>6</v>
      </c>
      <c r="Z41" s="9">
        <f>INDEX('Unique Asset List'!$X$4:$AD$60,MATCH('3'!$B41,'Unique Asset List'!$A$4:$A$60,0),MATCH('3'!$C$1,'Unique Asset List'!$X$3:$AD$3,0))</f>
        <v>2044</v>
      </c>
      <c r="AA41" s="9">
        <f>INDEX('Unique Asset List'!$AE$4:$AK$60,MATCH('3'!$B41,'Unique Asset List'!$A$4:$A$60,0),MATCH('3'!$C$1,'Unique Asset List'!$AE$3:$AK$3,0))</f>
        <v>6</v>
      </c>
      <c r="AB41" s="16">
        <f>AB33</f>
        <v>2.0289886000000004</v>
      </c>
      <c r="AC41" s="16">
        <f>AC33</f>
        <v>0.85031269999999992</v>
      </c>
      <c r="AD41" s="16">
        <f>AD33</f>
        <v>0.56099999999999994</v>
      </c>
      <c r="AE41" s="15">
        <f>INDEX('Unique Asset List'!$BN$4:$BT$60,MATCH('3'!$B41,'Unique Asset List'!$A$4:$A$60,0),MATCH('3'!$C$1,'Unique Asset List'!$BN$3:$BT$3,0))</f>
        <v>0.12</v>
      </c>
      <c r="AF41" s="15">
        <f>INDEX('Unique Asset List'!$BU$4:$CA$60,MATCH('3'!$B41,'Unique Asset List'!$A$4:$A$60,0),MATCH('3'!$C$1,'Unique Asset List'!$BU$3:$CA$3,0))</f>
        <v>0.38</v>
      </c>
      <c r="AG41" s="15">
        <f>INDEX('Unique Asset List'!$AZ$4:$BF$60,MATCH('3'!$B41,'Unique Asset List'!$A$4:$A$60,0),MATCH('3'!$C$1,'Unique Asset List'!$AZ$3:$BF$3,0))</f>
        <v>0.12</v>
      </c>
      <c r="AH41" s="15">
        <f>INDEX('Unique Asset List'!$BG$4:$BM$60,MATCH('3'!$B41,'Unique Asset List'!$A$4:$A$60,0),MATCH('3'!$C$1,'Unique Asset List'!$BG$3:$BM$3,0))</f>
        <v>0.38</v>
      </c>
      <c r="AI41" s="11">
        <v>0.96187963349867744</v>
      </c>
      <c r="AJ41" s="15">
        <f>INDEX('Unique Asset List'!$AL$4:$AR$60,MATCH('3'!$B41,'Unique Asset List'!$A$4:$A$60,0),MATCH('3'!$C$1,'Unique Asset List'!$AL$3:$AR$3,0))</f>
        <v>2.1252009430760062</v>
      </c>
      <c r="AK41" s="15">
        <f>INDEX('Unique Asset List'!$AS$4:$AY$60,MATCH('3'!$B41,'Unique Asset List'!$A$4:$A$60,0),MATCH('3'!$C$1,'Unique Asset List'!$AS$3:$AY$3,0))</f>
        <v>-1.7169645793441486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ref="AR41:AR58" si="13">AP41</f>
        <v>0.82</v>
      </c>
      <c r="AS41" s="10">
        <v>1</v>
      </c>
      <c r="AT41" s="4">
        <f>IF($C$5="ON",BT41,MyRating(_E1,$B41,Efficacy!$F$1))</f>
        <v>0</v>
      </c>
      <c r="AU41" s="3">
        <f>IF($C$5="ON",BU41,MyRating(_E2,$B41,Efficacy!$F$1))</f>
        <v>0</v>
      </c>
      <c r="AV41" s="3">
        <f>IF($C$5="ON",BV41,MyRating(_E3,$B41,Efficacy!$F$1))</f>
        <v>0</v>
      </c>
      <c r="AW41" s="3">
        <f>IF($C$5="ON",BW41,MyRating(_E4,$B41,Efficacy!$F$1))</f>
        <v>0</v>
      </c>
      <c r="AX41" s="3">
        <f>IF($C$5="ON",BX41,MyRating(_E5,$B41,Efficacy!$F$1))</f>
        <v>0</v>
      </c>
      <c r="AY41" s="3">
        <f>IF($C$5="ON",BY41,MyRating(_E6,$B41,Efficacy!$F$1))</f>
        <v>0</v>
      </c>
      <c r="AZ41" s="3">
        <f>IF($C$5="ON",BZ41,MyRating(_E7,$B41,Efficacy!$F$1))</f>
        <v>0</v>
      </c>
      <c r="BA41" s="3">
        <f>IF($C$5="ON",CA41,MyRating(_E8,$B41,Efficacy!$F$1))</f>
        <v>0</v>
      </c>
      <c r="BB41" s="3">
        <f>IF($C$5="ON",CB41,MyRating(_S1,$B41,Efficacy!$F$1))</f>
        <v>0</v>
      </c>
      <c r="BC41" s="3">
        <f>IF($C$5="ON",CC41,MyRating(_S2,$B41,Efficacy!$F$1))</f>
        <v>0</v>
      </c>
      <c r="BD41" s="3">
        <f>IF($C$5="ON",CD41,MyRating(_S3,$B41,Efficacy!$F$1))</f>
        <v>0</v>
      </c>
      <c r="BE41" s="3">
        <f>IF($C$5="ON",CE41,MyRating(_S4,$B41,Efficacy!$F$1))</f>
        <v>0</v>
      </c>
      <c r="BF41" s="3">
        <f>IF($C$5="ON",CF41,MyRating(_S5,$B41,Efficacy!$F$1))</f>
        <v>0</v>
      </c>
      <c r="BG41" s="3">
        <f>IF($C$5="ON",CG41,MyRating(_S6,$B41,Efficacy!$F$1))</f>
        <v>0</v>
      </c>
      <c r="BH41" s="3">
        <f>IF($C$5="ON",CH41,MyRating(_S7,$B41,Efficacy!$F$1))</f>
        <v>0</v>
      </c>
      <c r="BI41" s="3">
        <f>IF($C$5="ON",CI41,MyRating(_D1,$B41,Efficacy!$F$1))</f>
        <v>0</v>
      </c>
      <c r="BJ41" s="3">
        <f>IF($C$5="ON",CJ41,MyRating(_D2,$B41,Efficacy!$F$1))</f>
        <v>0</v>
      </c>
      <c r="BK41" s="3">
        <f>IF($C$5="ON",CK41,MyRating(_D3,$B41,Efficacy!$F$1))</f>
        <v>0</v>
      </c>
      <c r="BL41" s="3">
        <f>IF($C$5="ON",CL41,MyRating(_D4,$B41,Efficacy!$F$1))</f>
        <v>0</v>
      </c>
      <c r="BM41" s="3">
        <f>IF($C$5="ON",CM41,MyRating(_B1G5,$B41,Barrier!$L$2))</f>
        <v>0</v>
      </c>
      <c r="BN41" s="3">
        <f>IF($C$5="ON",CN41,MyRating(_B2,$B41,Barrier!$F$2))</f>
        <v>0</v>
      </c>
      <c r="BO41" s="6">
        <f>IF($C$5="ON",CO41,MyRating(_B3,$B41,Barrier!$F$2))</f>
        <v>0</v>
      </c>
      <c r="BP41" s="5">
        <f t="shared" ref="BP41:BP58" si="14">BS41/$BS$7</f>
        <v>0</v>
      </c>
      <c r="BQ41" s="8">
        <f t="shared" ref="BQ41:BQ58" si="15">SUMPRODUCT($BM41:$BO41,$BM$7:$BO$7)</f>
        <v>0</v>
      </c>
      <c r="BR41" s="5">
        <f t="shared" ref="BR41:BR58" si="16">BQ41/$BQ$7</f>
        <v>0</v>
      </c>
      <c r="BS41" s="7">
        <f t="shared" ref="BS41:BS58" si="17">BR41^$X$4</f>
        <v>0</v>
      </c>
      <c r="BT41" s="4">
        <v>0</v>
      </c>
      <c r="BU41" s="3">
        <v>0</v>
      </c>
      <c r="BV41" s="3">
        <v>0</v>
      </c>
      <c r="BW41" s="3">
        <v>0</v>
      </c>
      <c r="BX41" s="3">
        <v>0</v>
      </c>
      <c r="BY41" s="3">
        <v>0</v>
      </c>
      <c r="BZ41" s="3">
        <v>0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6">
        <v>0</v>
      </c>
      <c r="CP41" s="5">
        <v>0</v>
      </c>
      <c r="CQ41" s="61">
        <f t="shared" ref="CQ41:CQ58" si="18">X41+1</f>
        <v>2036</v>
      </c>
      <c r="CR41">
        <f t="shared" ref="CR41:CR58" si="19">MOD(Y41+15,12)</f>
        <v>9</v>
      </c>
    </row>
    <row r="42" spans="1:96" x14ac:dyDescent="0.35">
      <c r="A42" s="9" t="str">
        <f t="shared" si="12"/>
        <v>FR</v>
      </c>
      <c r="B42" s="9" t="s">
        <v>26</v>
      </c>
      <c r="C42" s="20"/>
      <c r="D42" s="9" t="s">
        <v>25</v>
      </c>
      <c r="E42" s="9" t="s">
        <v>193</v>
      </c>
      <c r="F42" s="9" t="s">
        <v>1</v>
      </c>
      <c r="G42" s="19">
        <v>0</v>
      </c>
      <c r="H42" s="9">
        <v>2014</v>
      </c>
      <c r="I42" s="9">
        <v>6</v>
      </c>
      <c r="J42" s="18">
        <f>INDEX(PTRS!$D$6:$D$12,MATCH('3'!$F42,PTRS!$B$6:$B$12,0))</f>
        <v>0.1044225</v>
      </c>
      <c r="K42" s="17">
        <v>0</v>
      </c>
      <c r="L42" s="17">
        <v>0.1044225</v>
      </c>
      <c r="M42" s="17">
        <v>0.1044225</v>
      </c>
      <c r="N42" s="17">
        <v>0.1044225</v>
      </c>
      <c r="O42" s="17">
        <v>0.1044225</v>
      </c>
      <c r="P42" s="17">
        <v>0.1044225</v>
      </c>
      <c r="Q42" s="17">
        <v>0.1044225</v>
      </c>
      <c r="R42" s="17">
        <v>0.1044225</v>
      </c>
      <c r="S42" s="17">
        <v>1</v>
      </c>
      <c r="T42" s="17" t="s">
        <v>24</v>
      </c>
      <c r="U42" s="22">
        <v>0.72649652910676854</v>
      </c>
      <c r="V42" s="17">
        <v>1</v>
      </c>
      <c r="W42" s="9" t="s">
        <v>24</v>
      </c>
      <c r="X42" s="9">
        <f>INDEX('Unique Asset List'!$C$4:$I$60,MATCH('3'!$B42,'Unique Asset List'!$A$4:$A$60,0),MATCH('3'!$C$1,'Unique Asset List'!$C$3:$I$3,0))</f>
        <v>2033</v>
      </c>
      <c r="Y42" s="9">
        <f>INDEX('Unique Asset List'!$J$4:$P$60,MATCH('3'!$B42,'Unique Asset List'!$A$4:$A$60,0),MATCH('3'!$C$1,'Unique Asset List'!$J$3:$P$3,0))</f>
        <v>2.0000000000009095</v>
      </c>
      <c r="Z42" s="9">
        <f>INDEX('Unique Asset List'!$X$4:$AD$60,MATCH('3'!$B42,'Unique Asset List'!$A$4:$A$60,0),MATCH('3'!$C$1,'Unique Asset List'!$X$3:$AD$3,0))</f>
        <v>2042</v>
      </c>
      <c r="AA42" s="9">
        <f>INDEX('Unique Asset List'!$AE$4:$AK$60,MATCH('3'!$B42,'Unique Asset List'!$A$4:$A$60,0),MATCH('3'!$C$1,'Unique Asset List'!$AE$3:$AK$3,0))</f>
        <v>2</v>
      </c>
      <c r="AB42" s="16">
        <f>AB30</f>
        <v>2.3276916000000001</v>
      </c>
      <c r="AC42" s="16">
        <f>AC30</f>
        <v>1.0028454</v>
      </c>
      <c r="AD42" s="16">
        <f>AD30</f>
        <v>0.56099999999999994</v>
      </c>
      <c r="AE42" s="15">
        <f>INDEX('Unique Asset List'!$BN$4:$BT$60,MATCH('3'!$B42,'Unique Asset List'!$A$4:$A$60,0),MATCH('3'!$C$1,'Unique Asset List'!$BN$3:$BT$3,0))</f>
        <v>0.12</v>
      </c>
      <c r="AF42" s="15">
        <f>INDEX('Unique Asset List'!$BU$4:$CA$60,MATCH('3'!$B42,'Unique Asset List'!$A$4:$A$60,0),MATCH('3'!$C$1,'Unique Asset List'!$BU$3:$CA$3,0))</f>
        <v>0.38</v>
      </c>
      <c r="AG42" s="15">
        <f>INDEX('Unique Asset List'!$AZ$4:$BF$60,MATCH('3'!$B42,'Unique Asset List'!$A$4:$A$60,0),MATCH('3'!$C$1,'Unique Asset List'!$AZ$3:$BF$3,0))</f>
        <v>0.12</v>
      </c>
      <c r="AH42" s="15">
        <f>INDEX('Unique Asset List'!$BG$4:$BM$60,MATCH('3'!$B42,'Unique Asset List'!$A$4:$A$60,0),MATCH('3'!$C$1,'Unique Asset List'!$BG$3:$BM$3,0))</f>
        <v>0.38</v>
      </c>
      <c r="AI42" s="11">
        <v>0.96187963349867744</v>
      </c>
      <c r="AJ42" s="15">
        <f>INDEX('Unique Asset List'!$AL$4:$AR$60,MATCH('3'!$B42,'Unique Asset List'!$A$4:$A$60,0),MATCH('3'!$C$1,'Unique Asset List'!$AL$3:$AR$3,0))</f>
        <v>2.1252009430760062</v>
      </c>
      <c r="AK42" s="15">
        <f>INDEX('Unique Asset List'!$AS$4:$AY$60,MATCH('3'!$B42,'Unique Asset List'!$A$4:$A$60,0),MATCH('3'!$C$1,'Unique Asset List'!$AS$3:$AY$3,0))</f>
        <v>-1.7169645793441486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13"/>
        <v>0.82</v>
      </c>
      <c r="AS42" s="10">
        <v>1</v>
      </c>
      <c r="AT42" s="4">
        <f>IF($C$5="ON",BT42,MyRating(_E1,$B42,Efficacy!$F$1))</f>
        <v>0</v>
      </c>
      <c r="AU42" s="3">
        <f>IF($C$5="ON",BU42,MyRating(_E2,$B42,Efficacy!$F$1))</f>
        <v>0</v>
      </c>
      <c r="AV42" s="3">
        <f>IF($C$5="ON",BV42,MyRating(_E3,$B42,Efficacy!$F$1))</f>
        <v>0</v>
      </c>
      <c r="AW42" s="3">
        <f>IF($C$5="ON",BW42,MyRating(_E4,$B42,Efficacy!$F$1))</f>
        <v>0</v>
      </c>
      <c r="AX42" s="3">
        <f>IF($C$5="ON",BX42,MyRating(_E5,$B42,Efficacy!$F$1))</f>
        <v>0</v>
      </c>
      <c r="AY42" s="3">
        <f>IF($C$5="ON",BY42,MyRating(_E6,$B42,Efficacy!$F$1))</f>
        <v>0</v>
      </c>
      <c r="AZ42" s="3">
        <f>IF($C$5="ON",BZ42,MyRating(_E7,$B42,Efficacy!$F$1))</f>
        <v>0</v>
      </c>
      <c r="BA42" s="3">
        <f>IF($C$5="ON",CA42,MyRating(_E8,$B42,Efficacy!$F$1))</f>
        <v>0</v>
      </c>
      <c r="BB42" s="3">
        <f>IF($C$5="ON",CB42,MyRating(_S1,$B42,Efficacy!$F$1))</f>
        <v>0</v>
      </c>
      <c r="BC42" s="3">
        <f>IF($C$5="ON",CC42,MyRating(_S2,$B42,Efficacy!$F$1))</f>
        <v>0</v>
      </c>
      <c r="BD42" s="3">
        <f>IF($C$5="ON",CD42,MyRating(_S3,$B42,Efficacy!$F$1))</f>
        <v>0</v>
      </c>
      <c r="BE42" s="3">
        <f>IF($C$5="ON",CE42,MyRating(_S4,$B42,Efficacy!$F$1))</f>
        <v>0</v>
      </c>
      <c r="BF42" s="3">
        <f>IF($C$5="ON",CF42,MyRating(_S5,$B42,Efficacy!$F$1))</f>
        <v>0</v>
      </c>
      <c r="BG42" s="3">
        <f>IF($C$5="ON",CG42,MyRating(_S6,$B42,Efficacy!$F$1))</f>
        <v>0</v>
      </c>
      <c r="BH42" s="3">
        <f>IF($C$5="ON",CH42,MyRating(_S7,$B42,Efficacy!$F$1))</f>
        <v>0</v>
      </c>
      <c r="BI42" s="3">
        <f>IF($C$5="ON",CI42,MyRating(_D1,$B42,Efficacy!$F$1))</f>
        <v>0</v>
      </c>
      <c r="BJ42" s="3">
        <f>IF($C$5="ON",CJ42,MyRating(_D2,$B42,Efficacy!$F$1))</f>
        <v>0</v>
      </c>
      <c r="BK42" s="3">
        <f>IF($C$5="ON",CK42,MyRating(_D3,$B42,Efficacy!$F$1))</f>
        <v>0</v>
      </c>
      <c r="BL42" s="3">
        <f>IF($C$5="ON",CL42,MyRating(_D4,$B42,Efficacy!$F$1))</f>
        <v>0</v>
      </c>
      <c r="BM42" s="3">
        <f>IF($C$5="ON",CM42,MyRating(_B1G5,$B42,Barrier!$L$2))</f>
        <v>0</v>
      </c>
      <c r="BN42" s="3">
        <f>IF($C$5="ON",CN42,MyRating(_B2,$B42,Barrier!$F$2))</f>
        <v>0</v>
      </c>
      <c r="BO42" s="6">
        <f>IF($C$5="ON",CO42,MyRating(_B3,$B42,Barrier!$F$2))</f>
        <v>0</v>
      </c>
      <c r="BP42" s="5">
        <f t="shared" si="14"/>
        <v>0</v>
      </c>
      <c r="BQ42" s="8">
        <f t="shared" si="15"/>
        <v>0</v>
      </c>
      <c r="BR42" s="5">
        <f t="shared" si="16"/>
        <v>0</v>
      </c>
      <c r="BS42" s="7">
        <f t="shared" si="17"/>
        <v>0</v>
      </c>
      <c r="BT42" s="4">
        <v>0</v>
      </c>
      <c r="BU42" s="3">
        <v>0</v>
      </c>
      <c r="BV42" s="3">
        <v>0</v>
      </c>
      <c r="BW42" s="3">
        <v>0</v>
      </c>
      <c r="BX42" s="3">
        <v>0</v>
      </c>
      <c r="BY42" s="3">
        <v>0</v>
      </c>
      <c r="BZ42" s="3">
        <v>0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6">
        <v>0</v>
      </c>
      <c r="CP42" s="5">
        <v>0</v>
      </c>
      <c r="CQ42" s="61">
        <f t="shared" si="18"/>
        <v>2034</v>
      </c>
      <c r="CR42">
        <f t="shared" si="19"/>
        <v>5.0000000000009095</v>
      </c>
    </row>
    <row r="43" spans="1:96" x14ac:dyDescent="0.35">
      <c r="A43" s="9" t="str">
        <f t="shared" si="12"/>
        <v>FR</v>
      </c>
      <c r="B43" s="9" t="s">
        <v>23</v>
      </c>
      <c r="C43" s="20"/>
      <c r="D43" s="9" t="s">
        <v>22</v>
      </c>
      <c r="E43" s="9" t="s">
        <v>193</v>
      </c>
      <c r="F43" s="9" t="s">
        <v>1</v>
      </c>
      <c r="G43" s="19">
        <v>0</v>
      </c>
      <c r="H43" s="9">
        <v>2014</v>
      </c>
      <c r="I43" s="9">
        <v>6</v>
      </c>
      <c r="J43" s="18">
        <f>INDEX(PTRS!$D$6:$D$12,MATCH('3'!$F43,PTRS!$B$6:$B$12,0))</f>
        <v>0.1044225</v>
      </c>
      <c r="K43" s="17">
        <v>0</v>
      </c>
      <c r="L43" s="17">
        <v>0.1044225</v>
      </c>
      <c r="M43" s="17">
        <v>0.1044225</v>
      </c>
      <c r="N43" s="17">
        <v>0.1044225</v>
      </c>
      <c r="O43" s="17">
        <v>0.1044225</v>
      </c>
      <c r="P43" s="17">
        <v>0.1044225</v>
      </c>
      <c r="Q43" s="17">
        <v>0.1044225</v>
      </c>
      <c r="R43" s="17">
        <v>0.1044225</v>
      </c>
      <c r="S43" s="17">
        <v>1</v>
      </c>
      <c r="T43" s="9" t="s">
        <v>21</v>
      </c>
      <c r="U43" s="22">
        <v>0.72649652910676854</v>
      </c>
      <c r="V43" s="17">
        <v>1</v>
      </c>
      <c r="W43" s="9" t="s">
        <v>20</v>
      </c>
      <c r="X43" s="9">
        <f>INDEX('Unique Asset List'!$C$4:$I$60,MATCH('3'!$B43,'Unique Asset List'!$A$4:$A$60,0),MATCH('3'!$C$1,'Unique Asset List'!$C$3:$I$3,0))</f>
        <v>2032</v>
      </c>
      <c r="Y43" s="9">
        <f>INDEX('Unique Asset List'!$J$4:$P$60,MATCH('3'!$B43,'Unique Asset List'!$A$4:$A$60,0),MATCH('3'!$C$1,'Unique Asset List'!$J$3:$P$3,0))</f>
        <v>3</v>
      </c>
      <c r="Z43" s="9">
        <f>INDEX('Unique Asset List'!$X$4:$AD$60,MATCH('3'!$B43,'Unique Asset List'!$A$4:$A$60,0),MATCH('3'!$C$1,'Unique Asset List'!$X$3:$AD$3,0))</f>
        <v>2041</v>
      </c>
      <c r="AA43" s="9">
        <f>INDEX('Unique Asset List'!$AE$4:$AK$60,MATCH('3'!$B43,'Unique Asset List'!$A$4:$A$60,0),MATCH('3'!$C$1,'Unique Asset List'!$AE$3:$AK$3,0))</f>
        <v>3</v>
      </c>
      <c r="AB43" s="16">
        <f>AB25</f>
        <v>1.6822346000000001</v>
      </c>
      <c r="AC43" s="16">
        <f>AC25</f>
        <v>0.86278740000000009</v>
      </c>
      <c r="AD43" s="16">
        <f>AD25</f>
        <v>0.56099999999999994</v>
      </c>
      <c r="AE43" s="15">
        <f>INDEX('Unique Asset List'!$BN$4:$BT$60,MATCH('3'!$B43,'Unique Asset List'!$A$4:$A$60,0),MATCH('3'!$C$1,'Unique Asset List'!$BN$3:$BT$3,0))</f>
        <v>0.12</v>
      </c>
      <c r="AF43" s="15">
        <f>INDEX('Unique Asset List'!$BU$4:$CA$60,MATCH('3'!$B43,'Unique Asset List'!$A$4:$A$60,0),MATCH('3'!$C$1,'Unique Asset List'!$BU$3:$CA$3,0))</f>
        <v>0.38</v>
      </c>
      <c r="AG43" s="15">
        <f>INDEX('Unique Asset List'!$AZ$4:$BF$60,MATCH('3'!$B43,'Unique Asset List'!$A$4:$A$60,0),MATCH('3'!$C$1,'Unique Asset List'!$AZ$3:$BF$3,0))</f>
        <v>0.12</v>
      </c>
      <c r="AH43" s="15">
        <f>INDEX('Unique Asset List'!$BG$4:$BM$60,MATCH('3'!$B43,'Unique Asset List'!$A$4:$A$60,0),MATCH('3'!$C$1,'Unique Asset List'!$BG$3:$BM$3,0))</f>
        <v>0.38</v>
      </c>
      <c r="AI43" s="11">
        <v>0.96187963349867744</v>
      </c>
      <c r="AJ43" s="15">
        <f>INDEX('Unique Asset List'!$AL$4:$AR$60,MATCH('3'!$B43,'Unique Asset List'!$A$4:$A$60,0),MATCH('3'!$C$1,'Unique Asset List'!$AL$3:$AR$3,0))</f>
        <v>2.1252009430760062</v>
      </c>
      <c r="AK43" s="15">
        <f>INDEX('Unique Asset List'!$AS$4:$AY$60,MATCH('3'!$B43,'Unique Asset List'!$A$4:$A$60,0),MATCH('3'!$C$1,'Unique Asset List'!$AS$3:$AY$3,0))</f>
        <v>-1.7169645793441486</v>
      </c>
      <c r="AL43" s="9">
        <v>169</v>
      </c>
      <c r="AM43" s="14">
        <f>INDEX(Simulation!$B$6:$H$6,MATCH($A43,Simulation!$B$1:$H$1,0))*(1+AN43)^((DATE(X43,Y43,15)-DATE(2017,1,15))/365.5)</f>
        <v>3.5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13"/>
        <v>0.82</v>
      </c>
      <c r="AS43" s="10">
        <v>1</v>
      </c>
      <c r="AT43" s="4">
        <f>IF($C$5="ON",BT43,MyRating(_E1,$B43,Efficacy!$F$1))</f>
        <v>0</v>
      </c>
      <c r="AU43" s="3">
        <f>IF($C$5="ON",BU43,MyRating(_E2,$B43,Efficacy!$F$1))</f>
        <v>0</v>
      </c>
      <c r="AV43" s="3">
        <f>IF($C$5="ON",BV43,MyRating(_E3,$B43,Efficacy!$F$1))</f>
        <v>0</v>
      </c>
      <c r="AW43" s="3">
        <f>IF($C$5="ON",BW43,MyRating(_E4,$B43,Efficacy!$F$1))</f>
        <v>0</v>
      </c>
      <c r="AX43" s="3">
        <f>IF($C$5="ON",BX43,MyRating(_E5,$B43,Efficacy!$F$1))</f>
        <v>0</v>
      </c>
      <c r="AY43" s="3">
        <f>IF($C$5="ON",BY43,MyRating(_E6,$B43,Efficacy!$F$1))</f>
        <v>0</v>
      </c>
      <c r="AZ43" s="3">
        <f>IF($C$5="ON",BZ43,MyRating(_E7,$B43,Efficacy!$F$1))</f>
        <v>0</v>
      </c>
      <c r="BA43" s="3">
        <f>IF($C$5="ON",CA43,MyRating(_E8,$B43,Efficacy!$F$1))</f>
        <v>0</v>
      </c>
      <c r="BB43" s="3">
        <f>IF($C$5="ON",CB43,MyRating(_S1,$B43,Efficacy!$F$1))</f>
        <v>0</v>
      </c>
      <c r="BC43" s="3">
        <f>IF($C$5="ON",CC43,MyRating(_S2,$B43,Efficacy!$F$1))</f>
        <v>0</v>
      </c>
      <c r="BD43" s="3">
        <f>IF($C$5="ON",CD43,MyRating(_S3,$B43,Efficacy!$F$1))</f>
        <v>0</v>
      </c>
      <c r="BE43" s="3">
        <f>IF($C$5="ON",CE43,MyRating(_S4,$B43,Efficacy!$F$1))</f>
        <v>0</v>
      </c>
      <c r="BF43" s="3">
        <f>IF($C$5="ON",CF43,MyRating(_S5,$B43,Efficacy!$F$1))</f>
        <v>0</v>
      </c>
      <c r="BG43" s="3">
        <f>IF($C$5="ON",CG43,MyRating(_S6,$B43,Efficacy!$F$1))</f>
        <v>0</v>
      </c>
      <c r="BH43" s="3">
        <f>IF($C$5="ON",CH43,MyRating(_S7,$B43,Efficacy!$F$1))</f>
        <v>0</v>
      </c>
      <c r="BI43" s="3">
        <f>IF($C$5="ON",CI43,MyRating(_D1,$B43,Efficacy!$F$1))</f>
        <v>0</v>
      </c>
      <c r="BJ43" s="3">
        <f>IF($C$5="ON",CJ43,MyRating(_D2,$B43,Efficacy!$F$1))</f>
        <v>0</v>
      </c>
      <c r="BK43" s="3">
        <f>IF($C$5="ON",CK43,MyRating(_D3,$B43,Efficacy!$F$1))</f>
        <v>0</v>
      </c>
      <c r="BL43" s="3">
        <f>IF($C$5="ON",CL43,MyRating(_D4,$B43,Efficacy!$F$1))</f>
        <v>0</v>
      </c>
      <c r="BM43" s="3">
        <f>IF($C$5="ON",CM43,MyRating(_B1G5,$B43,Barrier!$L$2))</f>
        <v>0</v>
      </c>
      <c r="BN43" s="3">
        <f>IF($C$5="ON",CN43,MyRating(_B2,$B43,Barrier!$F$2))</f>
        <v>0</v>
      </c>
      <c r="BO43" s="6">
        <f>IF($C$5="ON",CO43,MyRating(_B3,$B43,Barrier!$F$2))</f>
        <v>0</v>
      </c>
      <c r="BP43" s="5">
        <f t="shared" si="14"/>
        <v>0</v>
      </c>
      <c r="BQ43" s="8">
        <f t="shared" si="15"/>
        <v>0</v>
      </c>
      <c r="BR43" s="5">
        <f t="shared" si="16"/>
        <v>0</v>
      </c>
      <c r="BS43" s="7">
        <f t="shared" si="17"/>
        <v>0</v>
      </c>
      <c r="BT43" s="4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3">
        <v>0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6">
        <v>0</v>
      </c>
      <c r="CP43" s="5">
        <v>0</v>
      </c>
      <c r="CQ43" s="61">
        <f t="shared" si="18"/>
        <v>2033</v>
      </c>
      <c r="CR43">
        <f t="shared" si="19"/>
        <v>6</v>
      </c>
    </row>
    <row r="44" spans="1:96" x14ac:dyDescent="0.35">
      <c r="A44" s="9" t="str">
        <f t="shared" si="12"/>
        <v>FR</v>
      </c>
      <c r="B44" s="9" t="s">
        <v>19</v>
      </c>
      <c r="C44" s="20"/>
      <c r="D44" s="9" t="s">
        <v>18</v>
      </c>
      <c r="E44" s="9" t="s">
        <v>193</v>
      </c>
      <c r="F44" s="9" t="s">
        <v>1</v>
      </c>
      <c r="G44" s="19">
        <v>0</v>
      </c>
      <c r="H44" s="9">
        <v>2014</v>
      </c>
      <c r="I44" s="9">
        <v>6</v>
      </c>
      <c r="J44" s="18">
        <f>INDEX(PTRS!$D$6:$D$12,MATCH('3'!$F44,PTRS!$B$6:$B$12,0))</f>
        <v>0.1044225</v>
      </c>
      <c r="K44" s="17">
        <v>0</v>
      </c>
      <c r="L44" s="17">
        <v>0.1044225</v>
      </c>
      <c r="M44" s="17">
        <v>0.1044225</v>
      </c>
      <c r="N44" s="17">
        <v>0.1044225</v>
      </c>
      <c r="O44" s="17">
        <v>0.1044225</v>
      </c>
      <c r="P44" s="17">
        <v>0.1044225</v>
      </c>
      <c r="Q44" s="17">
        <v>0.1044225</v>
      </c>
      <c r="R44" s="17">
        <v>0.1044225</v>
      </c>
      <c r="S44" s="17">
        <v>1</v>
      </c>
      <c r="T44" s="9" t="s">
        <v>17</v>
      </c>
      <c r="U44" s="22">
        <v>0.72649652910676854</v>
      </c>
      <c r="V44" s="17">
        <v>1</v>
      </c>
      <c r="W44" s="9" t="s">
        <v>16</v>
      </c>
      <c r="X44" s="9">
        <f>INDEX('Unique Asset List'!$C$4:$I$60,MATCH('3'!$B44,'Unique Asset List'!$A$4:$A$60,0),MATCH('3'!$C$1,'Unique Asset List'!$C$3:$I$3,0))</f>
        <v>2031</v>
      </c>
      <c r="Y44" s="9">
        <f>INDEX('Unique Asset List'!$J$4:$P$60,MATCH('3'!$B44,'Unique Asset List'!$A$4:$A$60,0),MATCH('3'!$C$1,'Unique Asset List'!$J$3:$P$3,0))</f>
        <v>8.0000000000009095</v>
      </c>
      <c r="Z44" s="9">
        <f>INDEX('Unique Asset List'!$X$4:$AD$60,MATCH('3'!$B44,'Unique Asset List'!$A$4:$A$60,0),MATCH('3'!$C$1,'Unique Asset List'!$X$3:$AD$3,0))</f>
        <v>2040</v>
      </c>
      <c r="AA44" s="9">
        <f>INDEX('Unique Asset List'!$AE$4:$AK$60,MATCH('3'!$B44,'Unique Asset List'!$A$4:$A$60,0),MATCH('3'!$C$1,'Unique Asset List'!$AE$3:$AK$3,0))</f>
        <v>8</v>
      </c>
      <c r="AB44" s="16">
        <f>AB24</f>
        <v>1.7951404000000002</v>
      </c>
      <c r="AC44" s="16">
        <f>AC24</f>
        <v>0.88497580000000009</v>
      </c>
      <c r="AD44" s="16">
        <f>AD24</f>
        <v>0.56099999999999994</v>
      </c>
      <c r="AE44" s="15">
        <f>INDEX('Unique Asset List'!$BN$4:$BT$60,MATCH('3'!$B44,'Unique Asset List'!$A$4:$A$60,0),MATCH('3'!$C$1,'Unique Asset List'!$BN$3:$BT$3,0))</f>
        <v>0.12</v>
      </c>
      <c r="AF44" s="15">
        <f>INDEX('Unique Asset List'!$BU$4:$CA$60,MATCH('3'!$B44,'Unique Asset List'!$A$4:$A$60,0),MATCH('3'!$C$1,'Unique Asset List'!$BU$3:$CA$3,0))</f>
        <v>0.38</v>
      </c>
      <c r="AG44" s="15">
        <f>INDEX('Unique Asset List'!$AZ$4:$BF$60,MATCH('3'!$B44,'Unique Asset List'!$A$4:$A$60,0),MATCH('3'!$C$1,'Unique Asset List'!$AZ$3:$BF$3,0))</f>
        <v>0.12</v>
      </c>
      <c r="AH44" s="15">
        <f>INDEX('Unique Asset List'!$BG$4:$BM$60,MATCH('3'!$B44,'Unique Asset List'!$A$4:$A$60,0),MATCH('3'!$C$1,'Unique Asset List'!$BG$3:$BM$3,0))</f>
        <v>0.38</v>
      </c>
      <c r="AI44" s="11">
        <v>0.96187963349867744</v>
      </c>
      <c r="AJ44" s="15">
        <f>INDEX('Unique Asset List'!$AL$4:$AR$60,MATCH('3'!$B44,'Unique Asset List'!$A$4:$A$60,0),MATCH('3'!$C$1,'Unique Asset List'!$AL$3:$AR$3,0))</f>
        <v>2.1252009430760062</v>
      </c>
      <c r="AK44" s="15">
        <f>INDEX('Unique Asset List'!$AS$4:$AY$60,MATCH('3'!$B44,'Unique Asset List'!$A$4:$A$60,0),MATCH('3'!$C$1,'Unique Asset List'!$AS$3:$AY$3,0))</f>
        <v>-1.7169645793441486</v>
      </c>
      <c r="AL44" s="9">
        <v>169</v>
      </c>
      <c r="AM44" s="14">
        <f>INDEX(Simulation!$B$6:$H$6,MATCH($A44,Simulation!$B$1:$H$1,0))*(1+AN44)^((DATE(X44,Y44,15)-DATE(2017,1,15))/365.5)</f>
        <v>3.5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13"/>
        <v>0.82</v>
      </c>
      <c r="AS44" s="10">
        <v>1</v>
      </c>
      <c r="AT44" s="4">
        <f>IF($C$5="ON",BT44,MyRating(_E1,$B44,Efficacy!$F$1))</f>
        <v>0</v>
      </c>
      <c r="AU44" s="3">
        <f>IF($C$5="ON",BU44,MyRating(_E2,$B44,Efficacy!$F$1))</f>
        <v>0</v>
      </c>
      <c r="AV44" s="3">
        <f>IF($C$5="ON",BV44,MyRating(_E3,$B44,Efficacy!$F$1))</f>
        <v>0</v>
      </c>
      <c r="AW44" s="3">
        <f>IF($C$5="ON",BW44,MyRating(_E4,$B44,Efficacy!$F$1))</f>
        <v>0</v>
      </c>
      <c r="AX44" s="3">
        <f>IF($C$5="ON",BX44,MyRating(_E5,$B44,Efficacy!$F$1))</f>
        <v>0</v>
      </c>
      <c r="AY44" s="3">
        <f>IF($C$5="ON",BY44,MyRating(_E6,$B44,Efficacy!$F$1))</f>
        <v>0</v>
      </c>
      <c r="AZ44" s="3">
        <f>IF($C$5="ON",BZ44,MyRating(_E7,$B44,Efficacy!$F$1))</f>
        <v>0</v>
      </c>
      <c r="BA44" s="3">
        <f>IF($C$5="ON",CA44,MyRating(_E8,$B44,Efficacy!$F$1))</f>
        <v>0</v>
      </c>
      <c r="BB44" s="3">
        <f>IF($C$5="ON",CB44,MyRating(_S1,$B44,Efficacy!$F$1))</f>
        <v>0</v>
      </c>
      <c r="BC44" s="3">
        <f>IF($C$5="ON",CC44,MyRating(_S2,$B44,Efficacy!$F$1))</f>
        <v>0</v>
      </c>
      <c r="BD44" s="3">
        <f>IF($C$5="ON",CD44,MyRating(_S3,$B44,Efficacy!$F$1))</f>
        <v>0</v>
      </c>
      <c r="BE44" s="3">
        <f>IF($C$5="ON",CE44,MyRating(_S4,$B44,Efficacy!$F$1))</f>
        <v>0</v>
      </c>
      <c r="BF44" s="3">
        <f>IF($C$5="ON",CF44,MyRating(_S5,$B44,Efficacy!$F$1))</f>
        <v>0</v>
      </c>
      <c r="BG44" s="3">
        <f>IF($C$5="ON",CG44,MyRating(_S6,$B44,Efficacy!$F$1))</f>
        <v>0</v>
      </c>
      <c r="BH44" s="3">
        <f>IF($C$5="ON",CH44,MyRating(_S7,$B44,Efficacy!$F$1))</f>
        <v>0</v>
      </c>
      <c r="BI44" s="3">
        <f>IF($C$5="ON",CI44,MyRating(_D1,$B44,Efficacy!$F$1))</f>
        <v>0</v>
      </c>
      <c r="BJ44" s="3">
        <f>IF($C$5="ON",CJ44,MyRating(_D2,$B44,Efficacy!$F$1))</f>
        <v>0</v>
      </c>
      <c r="BK44" s="3">
        <f>IF($C$5="ON",CK44,MyRating(_D3,$B44,Efficacy!$F$1))</f>
        <v>0</v>
      </c>
      <c r="BL44" s="3">
        <f>IF($C$5="ON",CL44,MyRating(_D4,$B44,Efficacy!$F$1))</f>
        <v>0</v>
      </c>
      <c r="BM44" s="3">
        <f>IF($C$5="ON",CM44,MyRating(_B1G5,$B44,Barrier!$L$2))</f>
        <v>0</v>
      </c>
      <c r="BN44" s="3">
        <f>IF($C$5="ON",CN44,MyRating(_B2,$B44,Barrier!$F$2))</f>
        <v>0</v>
      </c>
      <c r="BO44" s="6">
        <f>IF($C$5="ON",CO44,MyRating(_B3,$B44,Barrier!$F$2))</f>
        <v>0</v>
      </c>
      <c r="BP44" s="5">
        <f t="shared" si="14"/>
        <v>0</v>
      </c>
      <c r="BQ44" s="8">
        <f t="shared" si="15"/>
        <v>0</v>
      </c>
      <c r="BR44" s="5">
        <f t="shared" si="16"/>
        <v>0</v>
      </c>
      <c r="BS44" s="7">
        <f t="shared" si="17"/>
        <v>0</v>
      </c>
      <c r="BT44" s="4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6">
        <v>0</v>
      </c>
      <c r="CP44" s="5">
        <v>0</v>
      </c>
      <c r="CQ44" s="61">
        <f t="shared" si="18"/>
        <v>2032</v>
      </c>
      <c r="CR44">
        <f t="shared" si="19"/>
        <v>11.000000000000909</v>
      </c>
    </row>
    <row r="45" spans="1:96" x14ac:dyDescent="0.35">
      <c r="A45" s="9" t="str">
        <f t="shared" si="12"/>
        <v>FR</v>
      </c>
      <c r="B45" s="9" t="s">
        <v>13</v>
      </c>
      <c r="C45" s="20"/>
      <c r="D45" s="9" t="s">
        <v>2</v>
      </c>
      <c r="E45" s="9" t="s">
        <v>193</v>
      </c>
      <c r="F45" s="9" t="s">
        <v>1</v>
      </c>
      <c r="G45" s="19">
        <v>0</v>
      </c>
      <c r="H45" s="9">
        <v>2014</v>
      </c>
      <c r="I45" s="9">
        <v>6</v>
      </c>
      <c r="J45" s="18">
        <f>INDEX(PTRS!$D$6:$D$12,MATCH('3'!$F45,PTRS!$B$6:$B$12,0))</f>
        <v>0.1044225</v>
      </c>
      <c r="K45" s="17">
        <v>0</v>
      </c>
      <c r="L45" s="17">
        <v>0.1044225</v>
      </c>
      <c r="M45" s="17">
        <v>0</v>
      </c>
      <c r="N45" s="17">
        <v>0</v>
      </c>
      <c r="O45" s="17">
        <v>1</v>
      </c>
      <c r="P45" s="17">
        <v>0.1044225</v>
      </c>
      <c r="Q45" s="17">
        <v>0.1044225</v>
      </c>
      <c r="R45" s="17">
        <v>0.1044225</v>
      </c>
      <c r="S45" s="17">
        <v>1</v>
      </c>
      <c r="T45" s="17"/>
      <c r="U45" s="22">
        <v>0.72649652910676854</v>
      </c>
      <c r="V45" s="17">
        <v>1</v>
      </c>
      <c r="W45" s="9" t="s">
        <v>13</v>
      </c>
      <c r="X45" s="9">
        <f>INDEX('Unique Asset List'!$C$4:$I$60,MATCH('3'!$B45,'Unique Asset List'!$A$4:$A$60,0),MATCH('3'!$C$1,'Unique Asset List'!$C$3:$I$3,0))</f>
        <v>2031</v>
      </c>
      <c r="Y45" s="9">
        <f>INDEX('Unique Asset List'!$J$4:$P$60,MATCH('3'!$B45,'Unique Asset List'!$A$4:$A$60,0),MATCH('3'!$C$1,'Unique Asset List'!$J$3:$P$3,0))</f>
        <v>6</v>
      </c>
      <c r="Z45" s="9">
        <f>INDEX('Unique Asset List'!$X$4:$AD$60,MATCH('3'!$B45,'Unique Asset List'!$A$4:$A$60,0),MATCH('3'!$C$1,'Unique Asset List'!$X$3:$AD$3,0))</f>
        <v>2042</v>
      </c>
      <c r="AA45" s="9">
        <f>INDEX('Unique Asset List'!$AE$4:$AK$60,MATCH('3'!$B45,'Unique Asset List'!$A$4:$A$60,0),MATCH('3'!$C$1,'Unique Asset List'!$AE$3:$AK$3,0))</f>
        <v>6</v>
      </c>
      <c r="AB45" s="21">
        <v>2.3276916000000001</v>
      </c>
      <c r="AC45" s="21">
        <v>1.0028454</v>
      </c>
      <c r="AD45" s="21">
        <v>0.56099999999999994</v>
      </c>
      <c r="AE45" s="15">
        <f>INDEX('Unique Asset List'!$BN$4:$BT$60,MATCH('3'!$B45,'Unique Asset List'!$A$4:$A$60,0),MATCH('3'!$C$1,'Unique Asset List'!$BN$3:$BT$3,0))</f>
        <v>0.12</v>
      </c>
      <c r="AF45" s="15">
        <f>INDEX('Unique Asset List'!$BU$4:$CA$60,MATCH('3'!$B45,'Unique Asset List'!$A$4:$A$60,0),MATCH('3'!$C$1,'Unique Asset List'!$BU$3:$CA$3,0))</f>
        <v>0.38</v>
      </c>
      <c r="AG45" s="15">
        <f>INDEX('Unique Asset List'!$AZ$4:$BF$60,MATCH('3'!$B45,'Unique Asset List'!$A$4:$A$60,0),MATCH('3'!$C$1,'Unique Asset List'!$AZ$3:$BF$3,0))</f>
        <v>0.12</v>
      </c>
      <c r="AH45" s="15">
        <f>INDEX('Unique Asset List'!$BG$4:$BM$60,MATCH('3'!$B45,'Unique Asset List'!$A$4:$A$60,0),MATCH('3'!$C$1,'Unique Asset List'!$BG$3:$BM$3,0))</f>
        <v>0.38</v>
      </c>
      <c r="AI45" s="11">
        <v>0.96187963349867744</v>
      </c>
      <c r="AJ45" s="15">
        <f>INDEX('Unique Asset List'!$AL$4:$AR$60,MATCH('3'!$B45,'Unique Asset List'!$A$4:$A$60,0),MATCH('3'!$C$1,'Unique Asset List'!$AL$3:$AR$3,0))</f>
        <v>2.1252009430760062</v>
      </c>
      <c r="AK45" s="15">
        <f>INDEX('Unique Asset List'!$AS$4:$AY$60,MATCH('3'!$B45,'Unique Asset List'!$A$4:$A$60,0),MATCH('3'!$C$1,'Unique Asset List'!$AS$3:$AY$3,0))</f>
        <v>-1.7169645793441486</v>
      </c>
      <c r="AL45" s="9">
        <v>169</v>
      </c>
      <c r="AM45" s="14">
        <f>INDEX(Simulation!$B$6:$H$6,MATCH($A45,Simulation!$B$1:$H$1,0))*(1+AN45)^((DATE(X45,Y45,15)-DATE(2017,1,15))/365.5)</f>
        <v>3.5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13"/>
        <v>0.82</v>
      </c>
      <c r="AS45" s="10">
        <v>1</v>
      </c>
      <c r="AT45" s="4">
        <f>IF($C$5="ON",BT45,MyRating(_E1,$B45,Efficacy!$F$1))</f>
        <v>0</v>
      </c>
      <c r="AU45" s="3">
        <f>IF($C$5="ON",BU45,MyRating(_E2,$B45,Efficacy!$F$1))</f>
        <v>0</v>
      </c>
      <c r="AV45" s="3">
        <f>IF($C$5="ON",BV45,MyRating(_E3,$B45,Efficacy!$F$1))</f>
        <v>0</v>
      </c>
      <c r="AW45" s="3">
        <f>IF($C$5="ON",BW45,MyRating(_E4,$B45,Efficacy!$F$1))</f>
        <v>0</v>
      </c>
      <c r="AX45" s="3">
        <f>IF($C$5="ON",BX45,MyRating(_E5,$B45,Efficacy!$F$1))</f>
        <v>0</v>
      </c>
      <c r="AY45" s="3">
        <f>IF($C$5="ON",BY45,MyRating(_E6,$B45,Efficacy!$F$1))</f>
        <v>0</v>
      </c>
      <c r="AZ45" s="3">
        <f>IF($C$5="ON",BZ45,MyRating(_E7,$B45,Efficacy!$F$1))</f>
        <v>0</v>
      </c>
      <c r="BA45" s="3">
        <f>IF($C$5="ON",CA45,MyRating(_E8,$B45,Efficacy!$F$1))</f>
        <v>0</v>
      </c>
      <c r="BB45" s="3">
        <f>IF($C$5="ON",CB45,MyRating(_S1,$B45,Efficacy!$F$1))</f>
        <v>0</v>
      </c>
      <c r="BC45" s="3">
        <f>IF($C$5="ON",CC45,MyRating(_S2,$B45,Efficacy!$F$1))</f>
        <v>0</v>
      </c>
      <c r="BD45" s="3">
        <f>IF($C$5="ON",CD45,MyRating(_S3,$B45,Efficacy!$F$1))</f>
        <v>0</v>
      </c>
      <c r="BE45" s="3">
        <f>IF($C$5="ON",CE45,MyRating(_S4,$B45,Efficacy!$F$1))</f>
        <v>0</v>
      </c>
      <c r="BF45" s="3">
        <f>IF($C$5="ON",CF45,MyRating(_S5,$B45,Efficacy!$F$1))</f>
        <v>0</v>
      </c>
      <c r="BG45" s="3">
        <f>IF($C$5="ON",CG45,MyRating(_S6,$B45,Efficacy!$F$1))</f>
        <v>0</v>
      </c>
      <c r="BH45" s="3">
        <f>IF($C$5="ON",CH45,MyRating(_S7,$B45,Efficacy!$F$1))</f>
        <v>0</v>
      </c>
      <c r="BI45" s="3">
        <f>IF($C$5="ON",CI45,MyRating(_D1,$B45,Efficacy!$F$1))</f>
        <v>0</v>
      </c>
      <c r="BJ45" s="3">
        <f>IF($C$5="ON",CJ45,MyRating(_D2,$B45,Efficacy!$F$1))</f>
        <v>0</v>
      </c>
      <c r="BK45" s="3">
        <f>IF($C$5="ON",CK45,MyRating(_D3,$B45,Efficacy!$F$1))</f>
        <v>0</v>
      </c>
      <c r="BL45" s="3">
        <f>IF($C$5="ON",CL45,MyRating(_D4,$B45,Efficacy!$F$1))</f>
        <v>0</v>
      </c>
      <c r="BM45" s="3">
        <f>IF($C$5="ON",CM45,MyRating(_B1G5,$B45,Barrier!$L$2))</f>
        <v>0</v>
      </c>
      <c r="BN45" s="3">
        <f>IF($C$5="ON",CN45,MyRating(_B2,$B45,Barrier!$F$2))</f>
        <v>0</v>
      </c>
      <c r="BO45" s="6">
        <f>IF($C$5="ON",CO45,MyRating(_B3,$B45,Barrier!$F$2))</f>
        <v>0</v>
      </c>
      <c r="BP45" s="5">
        <f t="shared" si="14"/>
        <v>0</v>
      </c>
      <c r="BQ45" s="8">
        <f t="shared" si="15"/>
        <v>0</v>
      </c>
      <c r="BR45" s="5">
        <f t="shared" si="16"/>
        <v>0</v>
      </c>
      <c r="BS45" s="7">
        <f t="shared" si="17"/>
        <v>0</v>
      </c>
      <c r="BT45" s="4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6">
        <v>0</v>
      </c>
      <c r="CP45" s="5">
        <v>0</v>
      </c>
      <c r="CQ45" s="61">
        <f t="shared" si="18"/>
        <v>2032</v>
      </c>
      <c r="CR45">
        <f t="shared" si="19"/>
        <v>9</v>
      </c>
    </row>
    <row r="46" spans="1:96" x14ac:dyDescent="0.35">
      <c r="A46" s="9" t="str">
        <f t="shared" si="12"/>
        <v>FR</v>
      </c>
      <c r="B46" s="9" t="s">
        <v>10</v>
      </c>
      <c r="C46" s="20"/>
      <c r="D46" s="9" t="s">
        <v>2</v>
      </c>
      <c r="E46" s="9" t="s">
        <v>193</v>
      </c>
      <c r="F46" s="9" t="s">
        <v>1</v>
      </c>
      <c r="G46" s="19">
        <v>0</v>
      </c>
      <c r="H46" s="9">
        <v>2014</v>
      </c>
      <c r="I46" s="9">
        <v>6</v>
      </c>
      <c r="J46" s="18">
        <f>INDEX(PTRS!$D$6:$D$12,MATCH('3'!$F46,PTRS!$B$6:$B$12,0))</f>
        <v>0.1044225</v>
      </c>
      <c r="K46" s="17">
        <v>0</v>
      </c>
      <c r="L46" s="17">
        <v>0.1044225</v>
      </c>
      <c r="M46" s="17">
        <v>0</v>
      </c>
      <c r="N46" s="17">
        <v>0</v>
      </c>
      <c r="O46" s="17">
        <v>1</v>
      </c>
      <c r="P46" s="17">
        <v>0.1044225</v>
      </c>
      <c r="Q46" s="17">
        <v>0.1044225</v>
      </c>
      <c r="R46" s="17">
        <v>0.1044225</v>
      </c>
      <c r="S46" s="17">
        <v>1</v>
      </c>
      <c r="T46" s="17"/>
      <c r="U46" s="22">
        <v>0.72649652910676854</v>
      </c>
      <c r="V46" s="17">
        <v>1</v>
      </c>
      <c r="W46" s="9" t="s">
        <v>10</v>
      </c>
      <c r="X46" s="9">
        <f>INDEX('Unique Asset List'!$C$4:$I$60,MATCH('3'!$B46,'Unique Asset List'!$A$4:$A$60,0),MATCH('3'!$C$1,'Unique Asset List'!$C$3:$I$3,0))</f>
        <v>2035</v>
      </c>
      <c r="Y46" s="9">
        <f>INDEX('Unique Asset List'!$J$4:$P$60,MATCH('3'!$B46,'Unique Asset List'!$A$4:$A$60,0),MATCH('3'!$C$1,'Unique Asset List'!$J$3:$P$3,0))</f>
        <v>6</v>
      </c>
      <c r="Z46" s="9">
        <f>INDEX('Unique Asset List'!$X$4:$AD$60,MATCH('3'!$B46,'Unique Asset List'!$A$4:$A$60,0),MATCH('3'!$C$1,'Unique Asset List'!$X$3:$AD$3,0))</f>
        <v>2046</v>
      </c>
      <c r="AA46" s="9">
        <f>INDEX('Unique Asset List'!$AE$4:$AK$60,MATCH('3'!$B46,'Unique Asset List'!$A$4:$A$60,0),MATCH('3'!$C$1,'Unique Asset List'!$AE$3:$AK$3,0))</f>
        <v>6</v>
      </c>
      <c r="AB46" s="21">
        <v>2.3276916000000001</v>
      </c>
      <c r="AC46" s="21">
        <v>1.0028454</v>
      </c>
      <c r="AD46" s="21">
        <v>0.56099999999999994</v>
      </c>
      <c r="AE46" s="15">
        <f>INDEX('Unique Asset List'!$BN$4:$BT$60,MATCH('3'!$B46,'Unique Asset List'!$A$4:$A$60,0),MATCH('3'!$C$1,'Unique Asset List'!$BN$3:$BT$3,0))</f>
        <v>0.12</v>
      </c>
      <c r="AF46" s="15">
        <f>INDEX('Unique Asset List'!$BU$4:$CA$60,MATCH('3'!$B46,'Unique Asset List'!$A$4:$A$60,0),MATCH('3'!$C$1,'Unique Asset List'!$BU$3:$CA$3,0))</f>
        <v>0.38</v>
      </c>
      <c r="AG46" s="15">
        <f>INDEX('Unique Asset List'!$AZ$4:$BF$60,MATCH('3'!$B46,'Unique Asset List'!$A$4:$A$60,0),MATCH('3'!$C$1,'Unique Asset List'!$AZ$3:$BF$3,0))</f>
        <v>0.12</v>
      </c>
      <c r="AH46" s="15">
        <f>INDEX('Unique Asset List'!$BG$4:$BM$60,MATCH('3'!$B46,'Unique Asset List'!$A$4:$A$60,0),MATCH('3'!$C$1,'Unique Asset List'!$BG$3:$BM$3,0))</f>
        <v>0.38</v>
      </c>
      <c r="AI46" s="11">
        <v>0.96187963349867744</v>
      </c>
      <c r="AJ46" s="15">
        <f>INDEX('Unique Asset List'!$AL$4:$AR$60,MATCH('3'!$B46,'Unique Asset List'!$A$4:$A$60,0),MATCH('3'!$C$1,'Unique Asset List'!$AL$3:$AR$3,0))</f>
        <v>2.1252009430760062</v>
      </c>
      <c r="AK46" s="15">
        <f>INDEX('Unique Asset List'!$AS$4:$AY$60,MATCH('3'!$B46,'Unique Asset List'!$A$4:$A$60,0),MATCH('3'!$C$1,'Unique Asset List'!$AS$3:$AY$3,0))</f>
        <v>-1.7169645793441486</v>
      </c>
      <c r="AL46" s="9">
        <v>169</v>
      </c>
      <c r="AM46" s="14">
        <f>INDEX(Simulation!$B$6:$H$6,MATCH($A46,Simulation!$B$1:$H$1,0))*(1+AN46)^((DATE(X46,Y46,15)-DATE(2017,1,15))/365.5)</f>
        <v>3.5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13"/>
        <v>0.82</v>
      </c>
      <c r="AS46" s="10">
        <v>1</v>
      </c>
      <c r="AT46" s="4">
        <f>IF($C$5="ON",BT46,MyRating(_E1,$B46,Efficacy!$F$1))</f>
        <v>0</v>
      </c>
      <c r="AU46" s="3">
        <f>IF($C$5="ON",BU46,MyRating(_E2,$B46,Efficacy!$F$1))</f>
        <v>0</v>
      </c>
      <c r="AV46" s="3">
        <f>IF($C$5="ON",BV46,MyRating(_E3,$B46,Efficacy!$F$1))</f>
        <v>0</v>
      </c>
      <c r="AW46" s="3">
        <f>IF($C$5="ON",BW46,MyRating(_E4,$B46,Efficacy!$F$1))</f>
        <v>0</v>
      </c>
      <c r="AX46" s="3">
        <f>IF($C$5="ON",BX46,MyRating(_E5,$B46,Efficacy!$F$1))</f>
        <v>0</v>
      </c>
      <c r="AY46" s="3">
        <f>IF($C$5="ON",BY46,MyRating(_E6,$B46,Efficacy!$F$1))</f>
        <v>0</v>
      </c>
      <c r="AZ46" s="3">
        <f>IF($C$5="ON",BZ46,MyRating(_E7,$B46,Efficacy!$F$1))</f>
        <v>0</v>
      </c>
      <c r="BA46" s="3">
        <f>IF($C$5="ON",CA46,MyRating(_E8,$B46,Efficacy!$F$1))</f>
        <v>0</v>
      </c>
      <c r="BB46" s="3">
        <f>IF($C$5="ON",CB46,MyRating(_S1,$B46,Efficacy!$F$1))</f>
        <v>0</v>
      </c>
      <c r="BC46" s="3">
        <f>IF($C$5="ON",CC46,MyRating(_S2,$B46,Efficacy!$F$1))</f>
        <v>0</v>
      </c>
      <c r="BD46" s="3">
        <f>IF($C$5="ON",CD46,MyRating(_S3,$B46,Efficacy!$F$1))</f>
        <v>0</v>
      </c>
      <c r="BE46" s="3">
        <f>IF($C$5="ON",CE46,MyRating(_S4,$B46,Efficacy!$F$1))</f>
        <v>0</v>
      </c>
      <c r="BF46" s="3">
        <f>IF($C$5="ON",CF46,MyRating(_S5,$B46,Efficacy!$F$1))</f>
        <v>0</v>
      </c>
      <c r="BG46" s="3">
        <f>IF($C$5="ON",CG46,MyRating(_S6,$B46,Efficacy!$F$1))</f>
        <v>0</v>
      </c>
      <c r="BH46" s="3">
        <f>IF($C$5="ON",CH46,MyRating(_S7,$B46,Efficacy!$F$1))</f>
        <v>0</v>
      </c>
      <c r="BI46" s="3">
        <f>IF($C$5="ON",CI46,MyRating(_D1,$B46,Efficacy!$F$1))</f>
        <v>0</v>
      </c>
      <c r="BJ46" s="3">
        <f>IF($C$5="ON",CJ46,MyRating(_D2,$B46,Efficacy!$F$1))</f>
        <v>0</v>
      </c>
      <c r="BK46" s="3">
        <f>IF($C$5="ON",CK46,MyRating(_D3,$B46,Efficacy!$F$1))</f>
        <v>0</v>
      </c>
      <c r="BL46" s="3">
        <f>IF($C$5="ON",CL46,MyRating(_D4,$B46,Efficacy!$F$1))</f>
        <v>0</v>
      </c>
      <c r="BM46" s="3">
        <f>IF($C$5="ON",CM46,MyRating(_B1G5,$B46,Barrier!$L$2))</f>
        <v>0</v>
      </c>
      <c r="BN46" s="3">
        <f>IF($C$5="ON",CN46,MyRating(_B2,$B46,Barrier!$F$2))</f>
        <v>0</v>
      </c>
      <c r="BO46" s="6">
        <f>IF($C$5="ON",CO46,MyRating(_B3,$B46,Barrier!$F$2))</f>
        <v>0</v>
      </c>
      <c r="BP46" s="5">
        <f t="shared" si="14"/>
        <v>0</v>
      </c>
      <c r="BQ46" s="8">
        <f t="shared" si="15"/>
        <v>0</v>
      </c>
      <c r="BR46" s="5">
        <f t="shared" si="16"/>
        <v>0</v>
      </c>
      <c r="BS46" s="7">
        <f t="shared" si="17"/>
        <v>0</v>
      </c>
      <c r="BT46" s="4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6">
        <v>0</v>
      </c>
      <c r="CP46" s="5">
        <v>0</v>
      </c>
      <c r="CQ46" s="61">
        <f t="shared" si="18"/>
        <v>2036</v>
      </c>
      <c r="CR46">
        <f t="shared" si="19"/>
        <v>9</v>
      </c>
    </row>
    <row r="47" spans="1:96" x14ac:dyDescent="0.35">
      <c r="A47" s="9" t="str">
        <f t="shared" si="12"/>
        <v>FR</v>
      </c>
      <c r="B47" s="9" t="s">
        <v>7</v>
      </c>
      <c r="C47" s="20"/>
      <c r="D47" s="9" t="s">
        <v>2</v>
      </c>
      <c r="E47" s="9" t="s">
        <v>193</v>
      </c>
      <c r="F47" s="9" t="s">
        <v>1</v>
      </c>
      <c r="G47" s="19">
        <v>0</v>
      </c>
      <c r="H47" s="9">
        <v>2014</v>
      </c>
      <c r="I47" s="9">
        <v>6</v>
      </c>
      <c r="J47" s="18">
        <f>INDEX(PTRS!$D$6:$D$12,MATCH('3'!$F47,PTRS!$B$6:$B$12,0))</f>
        <v>0.1044225</v>
      </c>
      <c r="K47" s="17">
        <v>0</v>
      </c>
      <c r="L47" s="17">
        <v>0.1044225</v>
      </c>
      <c r="M47" s="17">
        <v>0</v>
      </c>
      <c r="N47" s="17">
        <v>0</v>
      </c>
      <c r="O47" s="17">
        <v>1</v>
      </c>
      <c r="P47" s="17">
        <v>0.1044225</v>
      </c>
      <c r="Q47" s="17">
        <v>0.1044225</v>
      </c>
      <c r="R47" s="17">
        <v>0.1044225</v>
      </c>
      <c r="S47" s="17">
        <v>1</v>
      </c>
      <c r="T47" s="17"/>
      <c r="U47" s="22">
        <v>0.72649652910676854</v>
      </c>
      <c r="V47" s="17">
        <v>1</v>
      </c>
      <c r="W47" s="9" t="s">
        <v>7</v>
      </c>
      <c r="X47" s="9">
        <f>INDEX('Unique Asset List'!$C$4:$I$60,MATCH('3'!$B47,'Unique Asset List'!$A$4:$A$60,0),MATCH('3'!$C$1,'Unique Asset List'!$C$3:$I$3,0))</f>
        <v>2039</v>
      </c>
      <c r="Y47" s="9">
        <f>INDEX('Unique Asset List'!$J$4:$P$60,MATCH('3'!$B47,'Unique Asset List'!$A$4:$A$60,0),MATCH('3'!$C$1,'Unique Asset List'!$J$3:$P$3,0))</f>
        <v>6</v>
      </c>
      <c r="Z47" s="9">
        <f>INDEX('Unique Asset List'!$X$4:$AD$60,MATCH('3'!$B47,'Unique Asset List'!$A$4:$A$60,0),MATCH('3'!$C$1,'Unique Asset List'!$X$3:$AD$3,0))</f>
        <v>2050</v>
      </c>
      <c r="AA47" s="9">
        <f>INDEX('Unique Asset List'!$AE$4:$AK$60,MATCH('3'!$B47,'Unique Asset List'!$A$4:$A$60,0),MATCH('3'!$C$1,'Unique Asset List'!$AE$3:$AK$3,0))</f>
        <v>6</v>
      </c>
      <c r="AB47" s="21">
        <v>2.3276916000000001</v>
      </c>
      <c r="AC47" s="21">
        <v>1.0028454</v>
      </c>
      <c r="AD47" s="21">
        <v>0.56099999999999994</v>
      </c>
      <c r="AE47" s="15">
        <f>INDEX('Unique Asset List'!$BN$4:$BT$60,MATCH('3'!$B47,'Unique Asset List'!$A$4:$A$60,0),MATCH('3'!$C$1,'Unique Asset List'!$BN$3:$BT$3,0))</f>
        <v>0.12</v>
      </c>
      <c r="AF47" s="15">
        <f>INDEX('Unique Asset List'!$BU$4:$CA$60,MATCH('3'!$B47,'Unique Asset List'!$A$4:$A$60,0),MATCH('3'!$C$1,'Unique Asset List'!$BU$3:$CA$3,0))</f>
        <v>0.38</v>
      </c>
      <c r="AG47" s="15">
        <f>INDEX('Unique Asset List'!$AZ$4:$BF$60,MATCH('3'!$B47,'Unique Asset List'!$A$4:$A$60,0),MATCH('3'!$C$1,'Unique Asset List'!$AZ$3:$BF$3,0))</f>
        <v>0.12</v>
      </c>
      <c r="AH47" s="15">
        <f>INDEX('Unique Asset List'!$BG$4:$BM$60,MATCH('3'!$B47,'Unique Asset List'!$A$4:$A$60,0),MATCH('3'!$C$1,'Unique Asset List'!$BG$3:$BM$3,0))</f>
        <v>0.38</v>
      </c>
      <c r="AI47" s="11">
        <v>0.96187963349867744</v>
      </c>
      <c r="AJ47" s="15">
        <f>INDEX('Unique Asset List'!$AL$4:$AR$60,MATCH('3'!$B47,'Unique Asset List'!$A$4:$A$60,0),MATCH('3'!$C$1,'Unique Asset List'!$AL$3:$AR$3,0))</f>
        <v>2.1252009430760062</v>
      </c>
      <c r="AK47" s="15">
        <f>INDEX('Unique Asset List'!$AS$4:$AY$60,MATCH('3'!$B47,'Unique Asset List'!$A$4:$A$60,0),MATCH('3'!$C$1,'Unique Asset List'!$AS$3:$AY$3,0))</f>
        <v>-1.7169645793441486</v>
      </c>
      <c r="AL47" s="9">
        <v>169</v>
      </c>
      <c r="AM47" s="14">
        <f>INDEX(Simulation!$B$6:$H$6,MATCH($A47,Simulation!$B$1:$H$1,0))*(1+AN47)^((DATE(X47,Y47,15)-DATE(2017,1,15))/365.5)</f>
        <v>3.5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13"/>
        <v>0.82</v>
      </c>
      <c r="AS47" s="10">
        <v>1</v>
      </c>
      <c r="AT47" s="4">
        <f>IF($C$5="ON",BT47,MyRating(_E1,$B47,Efficacy!$F$1))</f>
        <v>0</v>
      </c>
      <c r="AU47" s="3">
        <f>IF($C$5="ON",BU47,MyRating(_E2,$B47,Efficacy!$F$1))</f>
        <v>0</v>
      </c>
      <c r="AV47" s="3">
        <f>IF($C$5="ON",BV47,MyRating(_E3,$B47,Efficacy!$F$1))</f>
        <v>0</v>
      </c>
      <c r="AW47" s="3">
        <f>IF($C$5="ON",BW47,MyRating(_E4,$B47,Efficacy!$F$1))</f>
        <v>0</v>
      </c>
      <c r="AX47" s="3">
        <f>IF($C$5="ON",BX47,MyRating(_E5,$B47,Efficacy!$F$1))</f>
        <v>0</v>
      </c>
      <c r="AY47" s="3">
        <f>IF($C$5="ON",BY47,MyRating(_E6,$B47,Efficacy!$F$1))</f>
        <v>0</v>
      </c>
      <c r="AZ47" s="3">
        <f>IF($C$5="ON",BZ47,MyRating(_E7,$B47,Efficacy!$F$1))</f>
        <v>0</v>
      </c>
      <c r="BA47" s="3">
        <f>IF($C$5="ON",CA47,MyRating(_E8,$B47,Efficacy!$F$1))</f>
        <v>0</v>
      </c>
      <c r="BB47" s="3">
        <f>IF($C$5="ON",CB47,MyRating(_S1,$B47,Efficacy!$F$1))</f>
        <v>0</v>
      </c>
      <c r="BC47" s="3">
        <f>IF($C$5="ON",CC47,MyRating(_S2,$B47,Efficacy!$F$1))</f>
        <v>0</v>
      </c>
      <c r="BD47" s="3">
        <f>IF($C$5="ON",CD47,MyRating(_S3,$B47,Efficacy!$F$1))</f>
        <v>0</v>
      </c>
      <c r="BE47" s="3">
        <f>IF($C$5="ON",CE47,MyRating(_S4,$B47,Efficacy!$F$1))</f>
        <v>0</v>
      </c>
      <c r="BF47" s="3">
        <f>IF($C$5="ON",CF47,MyRating(_S5,$B47,Efficacy!$F$1))</f>
        <v>0</v>
      </c>
      <c r="BG47" s="3">
        <f>IF($C$5="ON",CG47,MyRating(_S6,$B47,Efficacy!$F$1))</f>
        <v>0</v>
      </c>
      <c r="BH47" s="3">
        <f>IF($C$5="ON",CH47,MyRating(_S7,$B47,Efficacy!$F$1))</f>
        <v>0</v>
      </c>
      <c r="BI47" s="3">
        <f>IF($C$5="ON",CI47,MyRating(_D1,$B47,Efficacy!$F$1))</f>
        <v>0</v>
      </c>
      <c r="BJ47" s="3">
        <f>IF($C$5="ON",CJ47,MyRating(_D2,$B47,Efficacy!$F$1))</f>
        <v>0</v>
      </c>
      <c r="BK47" s="3">
        <f>IF($C$5="ON",CK47,MyRating(_D3,$B47,Efficacy!$F$1))</f>
        <v>0</v>
      </c>
      <c r="BL47" s="3">
        <f>IF($C$5="ON",CL47,MyRating(_D4,$B47,Efficacy!$F$1))</f>
        <v>0</v>
      </c>
      <c r="BM47" s="3">
        <f>IF($C$5="ON",CM47,MyRating(_B1G5,$B47,Barrier!$L$2))</f>
        <v>0</v>
      </c>
      <c r="BN47" s="3">
        <f>IF($C$5="ON",CN47,MyRating(_B2,$B47,Barrier!$F$2))</f>
        <v>0</v>
      </c>
      <c r="BO47" s="6">
        <f>IF($C$5="ON",CO47,MyRating(_B3,$B47,Barrier!$F$2))</f>
        <v>0</v>
      </c>
      <c r="BP47" s="5">
        <f t="shared" si="14"/>
        <v>0</v>
      </c>
      <c r="BQ47" s="8">
        <f t="shared" si="15"/>
        <v>0</v>
      </c>
      <c r="BR47" s="5">
        <f t="shared" si="16"/>
        <v>0</v>
      </c>
      <c r="BS47" s="7">
        <f t="shared" si="17"/>
        <v>0</v>
      </c>
      <c r="BT47" s="4">
        <v>0</v>
      </c>
      <c r="BU47" s="3">
        <v>0</v>
      </c>
      <c r="BV47" s="3">
        <v>0</v>
      </c>
      <c r="BW47" s="3">
        <v>0</v>
      </c>
      <c r="BX47" s="3">
        <v>0</v>
      </c>
      <c r="BY47" s="3">
        <v>0</v>
      </c>
      <c r="BZ47" s="3">
        <v>0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6">
        <v>0</v>
      </c>
      <c r="CP47" s="5">
        <v>0</v>
      </c>
      <c r="CQ47" s="61">
        <f t="shared" si="18"/>
        <v>2040</v>
      </c>
      <c r="CR47">
        <f t="shared" si="19"/>
        <v>9</v>
      </c>
    </row>
    <row r="48" spans="1:96" x14ac:dyDescent="0.35">
      <c r="A48" s="9" t="str">
        <f t="shared" si="12"/>
        <v>FR</v>
      </c>
      <c r="B48" s="9" t="s">
        <v>15</v>
      </c>
      <c r="C48" s="20"/>
      <c r="D48" s="9" t="s">
        <v>14</v>
      </c>
      <c r="E48" s="9" t="s">
        <v>193</v>
      </c>
      <c r="F48" s="9" t="s">
        <v>1</v>
      </c>
      <c r="G48" s="19">
        <v>0</v>
      </c>
      <c r="H48" s="9">
        <v>2014</v>
      </c>
      <c r="I48" s="9">
        <v>6</v>
      </c>
      <c r="J48" s="18">
        <f>INDEX(PTRS!$D$6:$D$12,MATCH('3'!$F48,PTRS!$B$6:$B$12,0))</f>
        <v>0.1044225</v>
      </c>
      <c r="K48" s="17">
        <v>0</v>
      </c>
      <c r="L48" s="17">
        <v>0.1044225</v>
      </c>
      <c r="M48" s="17">
        <v>0</v>
      </c>
      <c r="N48" s="17">
        <v>0</v>
      </c>
      <c r="O48" s="17">
        <v>1</v>
      </c>
      <c r="P48" s="17">
        <v>0.1044225</v>
      </c>
      <c r="Q48" s="17">
        <v>0.1044225</v>
      </c>
      <c r="R48" s="17">
        <v>0.1044225</v>
      </c>
      <c r="S48" s="17">
        <v>1</v>
      </c>
      <c r="T48" s="17" t="s">
        <v>13</v>
      </c>
      <c r="U48" s="22">
        <v>0.72649652910676854</v>
      </c>
      <c r="V48" s="17">
        <v>1</v>
      </c>
      <c r="W48" s="9" t="s">
        <v>13</v>
      </c>
      <c r="X48" s="9">
        <f>INDEX('Unique Asset List'!$C$4:$I$60,MATCH('3'!$B48,'Unique Asset List'!$A$4:$A$60,0),MATCH('3'!$C$1,'Unique Asset List'!$C$3:$I$3,0))</f>
        <v>2033</v>
      </c>
      <c r="Y48" s="9">
        <f>INDEX('Unique Asset List'!$J$4:$P$60,MATCH('3'!$B48,'Unique Asset List'!$A$4:$A$60,0),MATCH('3'!$C$1,'Unique Asset List'!$J$3:$P$3,0))</f>
        <v>6</v>
      </c>
      <c r="Z48" s="9">
        <f>INDEX('Unique Asset List'!$X$4:$AD$60,MATCH('3'!$B48,'Unique Asset List'!$A$4:$A$60,0),MATCH('3'!$C$1,'Unique Asset List'!$X$3:$AD$3,0))</f>
        <v>2044</v>
      </c>
      <c r="AA48" s="9">
        <f>INDEX('Unique Asset List'!$AE$4:$AK$60,MATCH('3'!$B48,'Unique Asset List'!$A$4:$A$60,0),MATCH('3'!$C$1,'Unique Asset List'!$AE$3:$AK$3,0))</f>
        <v>6</v>
      </c>
      <c r="AB48" s="21">
        <v>2.3276916000000001</v>
      </c>
      <c r="AC48" s="21">
        <v>1.0028454</v>
      </c>
      <c r="AD48" s="21">
        <v>0.56099999999999994</v>
      </c>
      <c r="AE48" s="15">
        <f>INDEX('Unique Asset List'!$BN$4:$BT$60,MATCH('3'!$B48,'Unique Asset List'!$A$4:$A$60,0),MATCH('3'!$C$1,'Unique Asset List'!$BN$3:$BT$3,0))</f>
        <v>0.12</v>
      </c>
      <c r="AF48" s="15">
        <f>INDEX('Unique Asset List'!$BU$4:$CA$60,MATCH('3'!$B48,'Unique Asset List'!$A$4:$A$60,0),MATCH('3'!$C$1,'Unique Asset List'!$BU$3:$CA$3,0))</f>
        <v>0.38</v>
      </c>
      <c r="AG48" s="15">
        <f>INDEX('Unique Asset List'!$AZ$4:$BF$60,MATCH('3'!$B48,'Unique Asset List'!$A$4:$A$60,0),MATCH('3'!$C$1,'Unique Asset List'!$AZ$3:$BF$3,0))</f>
        <v>0.12</v>
      </c>
      <c r="AH48" s="15">
        <f>INDEX('Unique Asset List'!$BG$4:$BM$60,MATCH('3'!$B48,'Unique Asset List'!$A$4:$A$60,0),MATCH('3'!$C$1,'Unique Asset List'!$BG$3:$BM$3,0))</f>
        <v>0.38</v>
      </c>
      <c r="AI48" s="11">
        <v>0.96187963349867744</v>
      </c>
      <c r="AJ48" s="15">
        <f>INDEX('Unique Asset List'!$AL$4:$AR$60,MATCH('3'!$B48,'Unique Asset List'!$A$4:$A$60,0),MATCH('3'!$C$1,'Unique Asset List'!$AL$3:$AR$3,0))</f>
        <v>2.1252009430760062</v>
      </c>
      <c r="AK48" s="15">
        <f>INDEX('Unique Asset List'!$AS$4:$AY$60,MATCH('3'!$B48,'Unique Asset List'!$A$4:$A$60,0),MATCH('3'!$C$1,'Unique Asset List'!$AS$3:$AY$3,0))</f>
        <v>-1.7169645793441486</v>
      </c>
      <c r="AL48" s="9">
        <v>169</v>
      </c>
      <c r="AM48" s="14">
        <f>INDEX(Simulation!$B$6:$H$6,MATCH($A48,Simulation!$B$1:$H$1,0))*(1+AN48)^((DATE(X48,Y48,15)-DATE(2017,1,15))/365.5)</f>
        <v>3.5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13"/>
        <v>0.82</v>
      </c>
      <c r="AS48" s="10">
        <v>1</v>
      </c>
      <c r="AT48" s="4">
        <f>IF($C$5="ON",BT48,MyRating(_E1,$B48,Efficacy!$F$1))</f>
        <v>0</v>
      </c>
      <c r="AU48" s="3">
        <f>IF($C$5="ON",BU48,MyRating(_E2,$B48,Efficacy!$F$1))</f>
        <v>0</v>
      </c>
      <c r="AV48" s="3">
        <f>IF($C$5="ON",BV48,MyRating(_E3,$B48,Efficacy!$F$1))</f>
        <v>0</v>
      </c>
      <c r="AW48" s="3">
        <f>IF($C$5="ON",BW48,MyRating(_E4,$B48,Efficacy!$F$1))</f>
        <v>0</v>
      </c>
      <c r="AX48" s="3">
        <f>IF($C$5="ON",BX48,MyRating(_E5,$B48,Efficacy!$F$1))</f>
        <v>0</v>
      </c>
      <c r="AY48" s="3">
        <f>IF($C$5="ON",BY48,MyRating(_E6,$B48,Efficacy!$F$1))</f>
        <v>0</v>
      </c>
      <c r="AZ48" s="3">
        <f>IF($C$5="ON",BZ48,MyRating(_E7,$B48,Efficacy!$F$1))</f>
        <v>0</v>
      </c>
      <c r="BA48" s="3">
        <f>IF($C$5="ON",CA48,MyRating(_E8,$B48,Efficacy!$F$1))</f>
        <v>0</v>
      </c>
      <c r="BB48" s="3">
        <f>IF($C$5="ON",CB48,MyRating(_S1,$B48,Efficacy!$F$1))</f>
        <v>0</v>
      </c>
      <c r="BC48" s="3">
        <f>IF($C$5="ON",CC48,MyRating(_S2,$B48,Efficacy!$F$1))</f>
        <v>0</v>
      </c>
      <c r="BD48" s="3">
        <f>IF($C$5="ON",CD48,MyRating(_S3,$B48,Efficacy!$F$1))</f>
        <v>0</v>
      </c>
      <c r="BE48" s="3">
        <f>IF($C$5="ON",CE48,MyRating(_S4,$B48,Efficacy!$F$1))</f>
        <v>0</v>
      </c>
      <c r="BF48" s="3">
        <f>IF($C$5="ON",CF48,MyRating(_S5,$B48,Efficacy!$F$1))</f>
        <v>0</v>
      </c>
      <c r="BG48" s="3">
        <f>IF($C$5="ON",CG48,MyRating(_S6,$B48,Efficacy!$F$1))</f>
        <v>0</v>
      </c>
      <c r="BH48" s="3">
        <f>IF($C$5="ON",CH48,MyRating(_S7,$B48,Efficacy!$F$1))</f>
        <v>0</v>
      </c>
      <c r="BI48" s="3">
        <f>IF($C$5="ON",CI48,MyRating(_D1,$B48,Efficacy!$F$1))</f>
        <v>0</v>
      </c>
      <c r="BJ48" s="3">
        <f>IF($C$5="ON",CJ48,MyRating(_D2,$B48,Efficacy!$F$1))</f>
        <v>0</v>
      </c>
      <c r="BK48" s="3">
        <f>IF($C$5="ON",CK48,MyRating(_D3,$B48,Efficacy!$F$1))</f>
        <v>0</v>
      </c>
      <c r="BL48" s="3">
        <f>IF($C$5="ON",CL48,MyRating(_D4,$B48,Efficacy!$F$1))</f>
        <v>0</v>
      </c>
      <c r="BM48" s="3">
        <f>IF($C$5="ON",CM48,MyRating(_B1G5,$B48,Barrier!$L$2))</f>
        <v>0</v>
      </c>
      <c r="BN48" s="3">
        <f>IF($C$5="ON",CN48,MyRating(_B2,$B48,Barrier!$F$2))</f>
        <v>0</v>
      </c>
      <c r="BO48" s="6">
        <f>IF($C$5="ON",CO48,MyRating(_B3,$B48,Barrier!$F$2))</f>
        <v>0</v>
      </c>
      <c r="BP48" s="5">
        <f t="shared" si="14"/>
        <v>0</v>
      </c>
      <c r="BQ48" s="8">
        <f t="shared" si="15"/>
        <v>0</v>
      </c>
      <c r="BR48" s="5">
        <f t="shared" si="16"/>
        <v>0</v>
      </c>
      <c r="BS48" s="7">
        <f t="shared" si="17"/>
        <v>0</v>
      </c>
      <c r="BT48" s="4">
        <v>0</v>
      </c>
      <c r="BU48" s="3">
        <v>0</v>
      </c>
      <c r="BV48" s="3">
        <v>0</v>
      </c>
      <c r="BW48" s="3">
        <v>0</v>
      </c>
      <c r="BX48" s="3">
        <v>0</v>
      </c>
      <c r="BY48" s="3">
        <v>0</v>
      </c>
      <c r="BZ48" s="3">
        <v>0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6">
        <v>0</v>
      </c>
      <c r="CP48" s="5">
        <v>0</v>
      </c>
      <c r="CQ48" s="61">
        <f t="shared" si="18"/>
        <v>2034</v>
      </c>
      <c r="CR48">
        <f t="shared" si="19"/>
        <v>9</v>
      </c>
    </row>
    <row r="49" spans="1:96" x14ac:dyDescent="0.35">
      <c r="A49" s="9" t="str">
        <f t="shared" si="12"/>
        <v>FR</v>
      </c>
      <c r="B49" s="9" t="s">
        <v>12</v>
      </c>
      <c r="C49" s="20"/>
      <c r="D49" s="9" t="s">
        <v>11</v>
      </c>
      <c r="E49" s="9" t="s">
        <v>193</v>
      </c>
      <c r="F49" s="9" t="s">
        <v>1</v>
      </c>
      <c r="G49" s="19">
        <v>0</v>
      </c>
      <c r="H49" s="9">
        <v>2014</v>
      </c>
      <c r="I49" s="9">
        <v>6</v>
      </c>
      <c r="J49" s="18">
        <f>INDEX(PTRS!$D$6:$D$12,MATCH('3'!$F49,PTRS!$B$6:$B$12,0))</f>
        <v>0.1044225</v>
      </c>
      <c r="K49" s="17">
        <v>0</v>
      </c>
      <c r="L49" s="17">
        <v>0.1044225</v>
      </c>
      <c r="M49" s="17">
        <v>0</v>
      </c>
      <c r="N49" s="17">
        <v>0</v>
      </c>
      <c r="O49" s="17">
        <v>1</v>
      </c>
      <c r="P49" s="17">
        <v>0.1044225</v>
      </c>
      <c r="Q49" s="17">
        <v>0.1044225</v>
      </c>
      <c r="R49" s="17">
        <v>0.1044225</v>
      </c>
      <c r="S49" s="17">
        <v>1</v>
      </c>
      <c r="T49" s="17" t="s">
        <v>10</v>
      </c>
      <c r="U49" s="22">
        <v>0.72649652910676854</v>
      </c>
      <c r="V49" s="17">
        <v>1</v>
      </c>
      <c r="W49" s="9" t="s">
        <v>10</v>
      </c>
      <c r="X49" s="9">
        <f>INDEX('Unique Asset List'!$C$4:$I$60,MATCH('3'!$B49,'Unique Asset List'!$A$4:$A$60,0),MATCH('3'!$C$1,'Unique Asset List'!$C$3:$I$3,0))</f>
        <v>2037</v>
      </c>
      <c r="Y49" s="9">
        <f>INDEX('Unique Asset List'!$J$4:$P$60,MATCH('3'!$B49,'Unique Asset List'!$A$4:$A$60,0),MATCH('3'!$C$1,'Unique Asset List'!$J$3:$P$3,0))</f>
        <v>6</v>
      </c>
      <c r="Z49" s="9">
        <f>INDEX('Unique Asset List'!$X$4:$AD$60,MATCH('3'!$B49,'Unique Asset List'!$A$4:$A$60,0),MATCH('3'!$C$1,'Unique Asset List'!$X$3:$AD$3,0))</f>
        <v>2048</v>
      </c>
      <c r="AA49" s="9">
        <f>INDEX('Unique Asset List'!$AE$4:$AK$60,MATCH('3'!$B49,'Unique Asset List'!$A$4:$A$60,0),MATCH('3'!$C$1,'Unique Asset List'!$AE$3:$AK$3,0))</f>
        <v>6</v>
      </c>
      <c r="AB49" s="21">
        <v>2.3276916000000001</v>
      </c>
      <c r="AC49" s="21">
        <v>1.0028454</v>
      </c>
      <c r="AD49" s="21">
        <v>0.56099999999999994</v>
      </c>
      <c r="AE49" s="15">
        <f>INDEX('Unique Asset List'!$BN$4:$BT$60,MATCH('3'!$B49,'Unique Asset List'!$A$4:$A$60,0),MATCH('3'!$C$1,'Unique Asset List'!$BN$3:$BT$3,0))</f>
        <v>0.12</v>
      </c>
      <c r="AF49" s="15">
        <f>INDEX('Unique Asset List'!$BU$4:$CA$60,MATCH('3'!$B49,'Unique Asset List'!$A$4:$A$60,0),MATCH('3'!$C$1,'Unique Asset List'!$BU$3:$CA$3,0))</f>
        <v>0.38</v>
      </c>
      <c r="AG49" s="15">
        <f>INDEX('Unique Asset List'!$AZ$4:$BF$60,MATCH('3'!$B49,'Unique Asset List'!$A$4:$A$60,0),MATCH('3'!$C$1,'Unique Asset List'!$AZ$3:$BF$3,0))</f>
        <v>0.12</v>
      </c>
      <c r="AH49" s="15">
        <f>INDEX('Unique Asset List'!$BG$4:$BM$60,MATCH('3'!$B49,'Unique Asset List'!$A$4:$A$60,0),MATCH('3'!$C$1,'Unique Asset List'!$BG$3:$BM$3,0))</f>
        <v>0.38</v>
      </c>
      <c r="AI49" s="11">
        <v>0.96187963349867744</v>
      </c>
      <c r="AJ49" s="15">
        <f>INDEX('Unique Asset List'!$AL$4:$AR$60,MATCH('3'!$B49,'Unique Asset List'!$A$4:$A$60,0),MATCH('3'!$C$1,'Unique Asset List'!$AL$3:$AR$3,0))</f>
        <v>2.1252009430760062</v>
      </c>
      <c r="AK49" s="15">
        <f>INDEX('Unique Asset List'!$AS$4:$AY$60,MATCH('3'!$B49,'Unique Asset List'!$A$4:$A$60,0),MATCH('3'!$C$1,'Unique Asset List'!$AS$3:$AY$3,0))</f>
        <v>-1.7169645793441486</v>
      </c>
      <c r="AL49" s="9">
        <v>169</v>
      </c>
      <c r="AM49" s="14">
        <f>INDEX(Simulation!$B$6:$H$6,MATCH($A49,Simulation!$B$1:$H$1,0))*(1+AN49)^((DATE(X49,Y49,15)-DATE(2017,1,15))/365.5)</f>
        <v>3.5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13"/>
        <v>0.82</v>
      </c>
      <c r="AS49" s="10">
        <v>1</v>
      </c>
      <c r="AT49" s="4">
        <f>IF($C$5="ON",BT49,MyRating(_E1,$B49,Efficacy!$F$1))</f>
        <v>0</v>
      </c>
      <c r="AU49" s="3">
        <f>IF($C$5="ON",BU49,MyRating(_E2,$B49,Efficacy!$F$1))</f>
        <v>0</v>
      </c>
      <c r="AV49" s="3">
        <f>IF($C$5="ON",BV49,MyRating(_E3,$B49,Efficacy!$F$1))</f>
        <v>0</v>
      </c>
      <c r="AW49" s="3">
        <f>IF($C$5="ON",BW49,MyRating(_E4,$B49,Efficacy!$F$1))</f>
        <v>0</v>
      </c>
      <c r="AX49" s="3">
        <f>IF($C$5="ON",BX49,MyRating(_E5,$B49,Efficacy!$F$1))</f>
        <v>0</v>
      </c>
      <c r="AY49" s="3">
        <f>IF($C$5="ON",BY49,MyRating(_E6,$B49,Efficacy!$F$1))</f>
        <v>0</v>
      </c>
      <c r="AZ49" s="3">
        <f>IF($C$5="ON",BZ49,MyRating(_E7,$B49,Efficacy!$F$1))</f>
        <v>0</v>
      </c>
      <c r="BA49" s="3">
        <f>IF($C$5="ON",CA49,MyRating(_E8,$B49,Efficacy!$F$1))</f>
        <v>0</v>
      </c>
      <c r="BB49" s="3">
        <f>IF($C$5="ON",CB49,MyRating(_S1,$B49,Efficacy!$F$1))</f>
        <v>0</v>
      </c>
      <c r="BC49" s="3">
        <f>IF($C$5="ON",CC49,MyRating(_S2,$B49,Efficacy!$F$1))</f>
        <v>0</v>
      </c>
      <c r="BD49" s="3">
        <f>IF($C$5="ON",CD49,MyRating(_S3,$B49,Efficacy!$F$1))</f>
        <v>0</v>
      </c>
      <c r="BE49" s="3">
        <f>IF($C$5="ON",CE49,MyRating(_S4,$B49,Efficacy!$F$1))</f>
        <v>0</v>
      </c>
      <c r="BF49" s="3">
        <f>IF($C$5="ON",CF49,MyRating(_S5,$B49,Efficacy!$F$1))</f>
        <v>0</v>
      </c>
      <c r="BG49" s="3">
        <f>IF($C$5="ON",CG49,MyRating(_S6,$B49,Efficacy!$F$1))</f>
        <v>0</v>
      </c>
      <c r="BH49" s="3">
        <f>IF($C$5="ON",CH49,MyRating(_S7,$B49,Efficacy!$F$1))</f>
        <v>0</v>
      </c>
      <c r="BI49" s="3">
        <f>IF($C$5="ON",CI49,MyRating(_D1,$B49,Efficacy!$F$1))</f>
        <v>0</v>
      </c>
      <c r="BJ49" s="3">
        <f>IF($C$5="ON",CJ49,MyRating(_D2,$B49,Efficacy!$F$1))</f>
        <v>0</v>
      </c>
      <c r="BK49" s="3">
        <f>IF($C$5="ON",CK49,MyRating(_D3,$B49,Efficacy!$F$1))</f>
        <v>0</v>
      </c>
      <c r="BL49" s="3">
        <f>IF($C$5="ON",CL49,MyRating(_D4,$B49,Efficacy!$F$1))</f>
        <v>0</v>
      </c>
      <c r="BM49" s="3">
        <f>IF($C$5="ON",CM49,MyRating(_B1G5,$B49,Barrier!$L$2))</f>
        <v>0</v>
      </c>
      <c r="BN49" s="3">
        <f>IF($C$5="ON",CN49,MyRating(_B2,$B49,Barrier!$F$2))</f>
        <v>0</v>
      </c>
      <c r="BO49" s="6">
        <f>IF($C$5="ON",CO49,MyRating(_B3,$B49,Barrier!$F$2))</f>
        <v>0</v>
      </c>
      <c r="BP49" s="5">
        <f t="shared" si="14"/>
        <v>0</v>
      </c>
      <c r="BQ49" s="8">
        <f t="shared" si="15"/>
        <v>0</v>
      </c>
      <c r="BR49" s="5">
        <f t="shared" si="16"/>
        <v>0</v>
      </c>
      <c r="BS49" s="7">
        <f t="shared" si="17"/>
        <v>0</v>
      </c>
      <c r="BT49" s="4">
        <v>0</v>
      </c>
      <c r="BU49" s="3">
        <v>0</v>
      </c>
      <c r="BV49" s="3">
        <v>0</v>
      </c>
      <c r="BW49" s="3">
        <v>0</v>
      </c>
      <c r="BX49" s="3">
        <v>0</v>
      </c>
      <c r="BY49" s="3">
        <v>0</v>
      </c>
      <c r="BZ49" s="3">
        <v>0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6">
        <v>0</v>
      </c>
      <c r="CP49" s="5">
        <v>0</v>
      </c>
      <c r="CQ49" s="61">
        <f t="shared" si="18"/>
        <v>2038</v>
      </c>
      <c r="CR49">
        <f t="shared" si="19"/>
        <v>9</v>
      </c>
    </row>
    <row r="50" spans="1:96" x14ac:dyDescent="0.35">
      <c r="A50" s="9" t="str">
        <f t="shared" si="12"/>
        <v>FR</v>
      </c>
      <c r="B50" s="9" t="s">
        <v>9</v>
      </c>
      <c r="C50" s="20"/>
      <c r="D50" s="9" t="s">
        <v>8</v>
      </c>
      <c r="E50" s="9" t="s">
        <v>193</v>
      </c>
      <c r="F50" s="9" t="s">
        <v>1</v>
      </c>
      <c r="G50" s="19">
        <v>0</v>
      </c>
      <c r="H50" s="9">
        <v>2014</v>
      </c>
      <c r="I50" s="9">
        <v>6</v>
      </c>
      <c r="J50" s="18">
        <f>INDEX(PTRS!$D$6:$D$12,MATCH('3'!$F50,PTRS!$B$6:$B$12,0))</f>
        <v>0.1044225</v>
      </c>
      <c r="K50" s="17">
        <v>0</v>
      </c>
      <c r="L50" s="17">
        <v>0.1044225</v>
      </c>
      <c r="M50" s="17">
        <v>0</v>
      </c>
      <c r="N50" s="17">
        <v>0</v>
      </c>
      <c r="O50" s="17">
        <v>1</v>
      </c>
      <c r="P50" s="17">
        <v>0.1044225</v>
      </c>
      <c r="Q50" s="17">
        <v>0.1044225</v>
      </c>
      <c r="R50" s="17">
        <v>0.1044225</v>
      </c>
      <c r="S50" s="17">
        <v>1</v>
      </c>
      <c r="T50" s="17" t="s">
        <v>7</v>
      </c>
      <c r="U50" s="22">
        <v>0.72649652910676854</v>
      </c>
      <c r="V50" s="17">
        <v>1</v>
      </c>
      <c r="W50" s="9" t="s">
        <v>7</v>
      </c>
      <c r="X50" s="9">
        <f>INDEX('Unique Asset List'!$C$4:$I$60,MATCH('3'!$B50,'Unique Asset List'!$A$4:$A$60,0),MATCH('3'!$C$1,'Unique Asset List'!$C$3:$I$3,0))</f>
        <v>2042</v>
      </c>
      <c r="Y50" s="9">
        <f>INDEX('Unique Asset List'!$J$4:$P$60,MATCH('3'!$B50,'Unique Asset List'!$A$4:$A$60,0),MATCH('3'!$C$1,'Unique Asset List'!$J$3:$P$3,0))</f>
        <v>6</v>
      </c>
      <c r="Z50" s="9">
        <f>INDEX('Unique Asset List'!$X$4:$AD$60,MATCH('3'!$B50,'Unique Asset List'!$A$4:$A$60,0),MATCH('3'!$C$1,'Unique Asset List'!$X$3:$AD$3,0))</f>
        <v>2053</v>
      </c>
      <c r="AA50" s="9">
        <f>INDEX('Unique Asset List'!$AE$4:$AK$60,MATCH('3'!$B50,'Unique Asset List'!$A$4:$A$60,0),MATCH('3'!$C$1,'Unique Asset List'!$AE$3:$AK$3,0))</f>
        <v>6</v>
      </c>
      <c r="AB50" s="21">
        <v>2.3276916000000001</v>
      </c>
      <c r="AC50" s="21">
        <v>1.0028454</v>
      </c>
      <c r="AD50" s="21">
        <v>0.56099999999999994</v>
      </c>
      <c r="AE50" s="15">
        <f>INDEX('Unique Asset List'!$BN$4:$BT$60,MATCH('3'!$B50,'Unique Asset List'!$A$4:$A$60,0),MATCH('3'!$C$1,'Unique Asset List'!$BN$3:$BT$3,0))</f>
        <v>0.12</v>
      </c>
      <c r="AF50" s="15">
        <f>INDEX('Unique Asset List'!$BU$4:$CA$60,MATCH('3'!$B50,'Unique Asset List'!$A$4:$A$60,0),MATCH('3'!$C$1,'Unique Asset List'!$BU$3:$CA$3,0))</f>
        <v>0.38</v>
      </c>
      <c r="AG50" s="15">
        <f>INDEX('Unique Asset List'!$AZ$4:$BF$60,MATCH('3'!$B50,'Unique Asset List'!$A$4:$A$60,0),MATCH('3'!$C$1,'Unique Asset List'!$AZ$3:$BF$3,0))</f>
        <v>0.12</v>
      </c>
      <c r="AH50" s="15">
        <f>INDEX('Unique Asset List'!$BG$4:$BM$60,MATCH('3'!$B50,'Unique Asset List'!$A$4:$A$60,0),MATCH('3'!$C$1,'Unique Asset List'!$BG$3:$BM$3,0))</f>
        <v>0.38</v>
      </c>
      <c r="AI50" s="11">
        <v>0.96187963349867744</v>
      </c>
      <c r="AJ50" s="15">
        <f>INDEX('Unique Asset List'!$AL$4:$AR$60,MATCH('3'!$B50,'Unique Asset List'!$A$4:$A$60,0),MATCH('3'!$C$1,'Unique Asset List'!$AL$3:$AR$3,0))</f>
        <v>2.1252009430760062</v>
      </c>
      <c r="AK50" s="15">
        <f>INDEX('Unique Asset List'!$AS$4:$AY$60,MATCH('3'!$B50,'Unique Asset List'!$A$4:$A$60,0),MATCH('3'!$C$1,'Unique Asset List'!$AS$3:$AY$3,0))</f>
        <v>-1.7169645793441486</v>
      </c>
      <c r="AL50" s="9">
        <v>169</v>
      </c>
      <c r="AM50" s="14">
        <f>INDEX(Simulation!$B$6:$H$6,MATCH($A50,Simulation!$B$1:$H$1,0))*(1+AN50)^((DATE(X50,Y50,15)-DATE(2017,1,15))/365.5)</f>
        <v>3.5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13"/>
        <v>0.82</v>
      </c>
      <c r="AS50" s="10">
        <v>1</v>
      </c>
      <c r="AT50" s="4">
        <f>IF($C$5="ON",BT50,MyRating(_E1,$B50,Efficacy!$F$1))</f>
        <v>0</v>
      </c>
      <c r="AU50" s="3">
        <f>IF($C$5="ON",BU50,MyRating(_E2,$B50,Efficacy!$F$1))</f>
        <v>0</v>
      </c>
      <c r="AV50" s="3">
        <f>IF($C$5="ON",BV50,MyRating(_E3,$B50,Efficacy!$F$1))</f>
        <v>0</v>
      </c>
      <c r="AW50" s="3">
        <f>IF($C$5="ON",BW50,MyRating(_E4,$B50,Efficacy!$F$1))</f>
        <v>0</v>
      </c>
      <c r="AX50" s="3">
        <f>IF($C$5="ON",BX50,MyRating(_E5,$B50,Efficacy!$F$1))</f>
        <v>0</v>
      </c>
      <c r="AY50" s="3">
        <f>IF($C$5="ON",BY50,MyRating(_E6,$B50,Efficacy!$F$1))</f>
        <v>0</v>
      </c>
      <c r="AZ50" s="3">
        <f>IF($C$5="ON",BZ50,MyRating(_E7,$B50,Efficacy!$F$1))</f>
        <v>0</v>
      </c>
      <c r="BA50" s="3">
        <f>IF($C$5="ON",CA50,MyRating(_E8,$B50,Efficacy!$F$1))</f>
        <v>0</v>
      </c>
      <c r="BB50" s="3">
        <f>IF($C$5="ON",CB50,MyRating(_S1,$B50,Efficacy!$F$1))</f>
        <v>0</v>
      </c>
      <c r="BC50" s="3">
        <f>IF($C$5="ON",CC50,MyRating(_S2,$B50,Efficacy!$F$1))</f>
        <v>0</v>
      </c>
      <c r="BD50" s="3">
        <f>IF($C$5="ON",CD50,MyRating(_S3,$B50,Efficacy!$F$1))</f>
        <v>0</v>
      </c>
      <c r="BE50" s="3">
        <f>IF($C$5="ON",CE50,MyRating(_S4,$B50,Efficacy!$F$1))</f>
        <v>0</v>
      </c>
      <c r="BF50" s="3">
        <f>IF($C$5="ON",CF50,MyRating(_S5,$B50,Efficacy!$F$1))</f>
        <v>0</v>
      </c>
      <c r="BG50" s="3">
        <f>IF($C$5="ON",CG50,MyRating(_S6,$B50,Efficacy!$F$1))</f>
        <v>0</v>
      </c>
      <c r="BH50" s="3">
        <f>IF($C$5="ON",CH50,MyRating(_S7,$B50,Efficacy!$F$1))</f>
        <v>0</v>
      </c>
      <c r="BI50" s="3">
        <f>IF($C$5="ON",CI50,MyRating(_D1,$B50,Efficacy!$F$1))</f>
        <v>0</v>
      </c>
      <c r="BJ50" s="3">
        <f>IF($C$5="ON",CJ50,MyRating(_D2,$B50,Efficacy!$F$1))</f>
        <v>0</v>
      </c>
      <c r="BK50" s="3">
        <f>IF($C$5="ON",CK50,MyRating(_D3,$B50,Efficacy!$F$1))</f>
        <v>0</v>
      </c>
      <c r="BL50" s="3">
        <f>IF($C$5="ON",CL50,MyRating(_D4,$B50,Efficacy!$F$1))</f>
        <v>0</v>
      </c>
      <c r="BM50" s="3">
        <f>IF($C$5="ON",CM50,MyRating(_B1G5,$B50,Barrier!$L$2))</f>
        <v>0</v>
      </c>
      <c r="BN50" s="3">
        <f>IF($C$5="ON",CN50,MyRating(_B2,$B50,Barrier!$F$2))</f>
        <v>0</v>
      </c>
      <c r="BO50" s="6">
        <f>IF($C$5="ON",CO50,MyRating(_B3,$B50,Barrier!$F$2))</f>
        <v>0</v>
      </c>
      <c r="BP50" s="5">
        <f t="shared" si="14"/>
        <v>0</v>
      </c>
      <c r="BQ50" s="8">
        <f t="shared" si="15"/>
        <v>0</v>
      </c>
      <c r="BR50" s="5">
        <f t="shared" si="16"/>
        <v>0</v>
      </c>
      <c r="BS50" s="7">
        <f t="shared" si="17"/>
        <v>0</v>
      </c>
      <c r="BT50" s="4">
        <v>0</v>
      </c>
      <c r="BU50" s="3">
        <v>0</v>
      </c>
      <c r="BV50" s="3">
        <v>0</v>
      </c>
      <c r="BW50" s="3">
        <v>0</v>
      </c>
      <c r="BX50" s="3">
        <v>0</v>
      </c>
      <c r="BY50" s="3">
        <v>0</v>
      </c>
      <c r="BZ50" s="3">
        <v>0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6">
        <v>0</v>
      </c>
      <c r="CP50" s="5">
        <v>0</v>
      </c>
      <c r="CQ50" s="61">
        <f t="shared" si="18"/>
        <v>2043</v>
      </c>
      <c r="CR50">
        <f t="shared" si="19"/>
        <v>9</v>
      </c>
    </row>
    <row r="51" spans="1:96" x14ac:dyDescent="0.35">
      <c r="A51" s="9" t="str">
        <f t="shared" si="12"/>
        <v>FR</v>
      </c>
      <c r="B51" s="9" t="s">
        <v>4</v>
      </c>
      <c r="C51" s="20" t="s">
        <v>3</v>
      </c>
      <c r="D51" s="9" t="s">
        <v>2</v>
      </c>
      <c r="E51" s="9" t="s">
        <v>193</v>
      </c>
      <c r="F51" s="9" t="s">
        <v>1</v>
      </c>
      <c r="G51" s="19">
        <v>0</v>
      </c>
      <c r="H51" s="9">
        <v>2014</v>
      </c>
      <c r="I51" s="9">
        <v>6</v>
      </c>
      <c r="J51" s="18">
        <f>INDEX(PTRS!$D$6:$D$12,MATCH('3'!$F51,PTRS!$B$6:$B$12,0))</f>
        <v>0.1044225</v>
      </c>
      <c r="K51" s="17">
        <v>0</v>
      </c>
      <c r="L51" s="17">
        <v>0.1044225</v>
      </c>
      <c r="M51" s="17">
        <v>0.1044225</v>
      </c>
      <c r="N51" s="17">
        <v>0.1044225</v>
      </c>
      <c r="O51" s="17">
        <v>0.1044225</v>
      </c>
      <c r="P51" s="17">
        <v>0.1044225</v>
      </c>
      <c r="Q51" s="17">
        <v>0.1044225</v>
      </c>
      <c r="R51" s="17">
        <v>0.1044225</v>
      </c>
      <c r="S51" s="17">
        <v>1</v>
      </c>
      <c r="T51" s="17"/>
      <c r="U51" s="17">
        <f t="shared" ref="U51:U58" si="20">BP51/$BP$7</f>
        <v>0</v>
      </c>
      <c r="V51" s="17">
        <v>1</v>
      </c>
      <c r="W51" s="9" t="s">
        <v>0</v>
      </c>
      <c r="X51" s="9">
        <f>INDEX('Unique Asset List'!$C$4:$I$60,MATCH('3'!$B51,'Unique Asset List'!$A$4:$A$60,0),MATCH('3'!$C$1,'Unique Asset List'!$C$3:$I$3,0))</f>
        <v>2052</v>
      </c>
      <c r="Y51" s="9">
        <f>INDEX('Unique Asset List'!$J$4:$P$60,MATCH('3'!$B51,'Unique Asset List'!$A$4:$A$60,0),MATCH('3'!$C$1,'Unique Asset List'!$J$3:$P$3,0))</f>
        <v>6</v>
      </c>
      <c r="Z51" s="9">
        <f>INDEX('Unique Asset List'!$X$4:$AD$60,MATCH('3'!$B51,'Unique Asset List'!$A$4:$A$60,0),MATCH('3'!$C$1,'Unique Asset List'!$X$3:$AD$3,0))</f>
        <v>2060</v>
      </c>
      <c r="AA51" s="9">
        <f>INDEX('Unique Asset List'!$AE$4:$AK$60,MATCH('3'!$B51,'Unique Asset List'!$A$4:$A$60,0),MATCH('3'!$C$1,'Unique Asset List'!$AE$3:$AK$3,0))</f>
        <v>6</v>
      </c>
      <c r="AB51" s="16">
        <f t="shared" ref="AB51:AB58" si="21">SUMPRODUCT($AT51:$BA51,$AT$7:$BA$7)</f>
        <v>0</v>
      </c>
      <c r="AC51" s="16">
        <f t="shared" ref="AC51:AC58" si="22">SUMPRODUCT($BB51:$BH51,$BB$7:$BH$7)</f>
        <v>0</v>
      </c>
      <c r="AD51" s="16">
        <f t="shared" ref="AD51:AD58" si="23">SUMPRODUCT($BI51:$BL51,$BI$7:$BL$7)</f>
        <v>0</v>
      </c>
      <c r="AE51" s="15">
        <f>INDEX('Unique Asset List'!$BN$4:$BT$60,MATCH('3'!$B51,'Unique Asset List'!$A$4:$A$60,0),MATCH('3'!$C$1,'Unique Asset List'!$BN$3:$BT$3,0))</f>
        <v>0.12</v>
      </c>
      <c r="AF51" s="15">
        <f>INDEX('Unique Asset List'!$BU$4:$CA$60,MATCH('3'!$B51,'Unique Asset List'!$A$4:$A$60,0),MATCH('3'!$C$1,'Unique Asset List'!$BU$3:$CA$3,0))</f>
        <v>0.38</v>
      </c>
      <c r="AG51" s="15">
        <f>INDEX('Unique Asset List'!$AZ$4:$BF$60,MATCH('3'!$B51,'Unique Asset List'!$A$4:$A$60,0),MATCH('3'!$C$1,'Unique Asset List'!$AZ$3:$BF$3,0))</f>
        <v>0.12</v>
      </c>
      <c r="AH51" s="15">
        <f>INDEX('Unique Asset List'!$BG$4:$BM$60,MATCH('3'!$B51,'Unique Asset List'!$A$4:$A$60,0),MATCH('3'!$C$1,'Unique Asset List'!$BG$3:$BM$3,0))</f>
        <v>0.38</v>
      </c>
      <c r="AI51" s="11">
        <v>0.96187963349867744</v>
      </c>
      <c r="AJ51" s="15">
        <f>INDEX('Unique Asset List'!$AL$4:$AR$60,MATCH('3'!$B51,'Unique Asset List'!$A$4:$A$60,0),MATCH('3'!$C$1,'Unique Asset List'!$AL$3:$AR$3,0))</f>
        <v>2.1252009430760062</v>
      </c>
      <c r="AK51" s="15">
        <f>INDEX('Unique Asset List'!$AS$4:$AY$60,MATCH('3'!$B51,'Unique Asset List'!$A$4:$A$60,0),MATCH('3'!$C$1,'Unique Asset List'!$AS$3:$AY$3,0))</f>
        <v>-1.7169645793441486</v>
      </c>
      <c r="AL51" s="9">
        <v>169</v>
      </c>
      <c r="AM51" s="14">
        <f>INDEX(Simulation!$B$6:$H$6,MATCH($A51,Simulation!$B$1:$H$1,0))*(1+AN51)^((DATE(X51,Y51,15)-DATE(2017,1,15))/365.5)</f>
        <v>3.5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13"/>
        <v>0.82</v>
      </c>
      <c r="AS51" s="10">
        <v>1</v>
      </c>
      <c r="AT51" s="4">
        <f>IF($C$5="ON",BT51,MyRating(_E1,$B51,Efficacy!$F$1))</f>
        <v>0</v>
      </c>
      <c r="AU51" s="3">
        <f>IF($C$5="ON",BU51,MyRating(_E2,$B51,Efficacy!$F$1))</f>
        <v>0</v>
      </c>
      <c r="AV51" s="3">
        <f>IF($C$5="ON",BV51,MyRating(_E3,$B51,Efficacy!$F$1))</f>
        <v>0</v>
      </c>
      <c r="AW51" s="3">
        <f>IF($C$5="ON",BW51,MyRating(_E4,$B51,Efficacy!$F$1))</f>
        <v>0</v>
      </c>
      <c r="AX51" s="3">
        <f>IF($C$5="ON",BX51,MyRating(_E5,$B51,Efficacy!$F$1))</f>
        <v>0</v>
      </c>
      <c r="AY51" s="3">
        <f>IF($C$5="ON",BY51,MyRating(_E6,$B51,Efficacy!$F$1))</f>
        <v>0</v>
      </c>
      <c r="AZ51" s="3">
        <f>IF($C$5="ON",BZ51,MyRating(_E7,$B51,Efficacy!$F$1))</f>
        <v>0</v>
      </c>
      <c r="BA51" s="3">
        <f>IF($C$5="ON",CA51,MyRating(_E8,$B51,Efficacy!$F$1))</f>
        <v>0</v>
      </c>
      <c r="BB51" s="3">
        <f>IF($C$5="ON",CB51,MyRating(_S1,$B51,Efficacy!$F$1))</f>
        <v>0</v>
      </c>
      <c r="BC51" s="3">
        <f>IF($C$5="ON",CC51,MyRating(_S2,$B51,Efficacy!$F$1))</f>
        <v>0</v>
      </c>
      <c r="BD51" s="3">
        <f>IF($C$5="ON",CD51,MyRating(_S3,$B51,Efficacy!$F$1))</f>
        <v>0</v>
      </c>
      <c r="BE51" s="3">
        <f>IF($C$5="ON",CE51,MyRating(_S4,$B51,Efficacy!$F$1))</f>
        <v>0</v>
      </c>
      <c r="BF51" s="3">
        <f>IF($C$5="ON",CF51,MyRating(_S5,$B51,Efficacy!$F$1))</f>
        <v>0</v>
      </c>
      <c r="BG51" s="3">
        <f>IF($C$5="ON",CG51,MyRating(_S6,$B51,Efficacy!$F$1))</f>
        <v>0</v>
      </c>
      <c r="BH51" s="3">
        <f>IF($C$5="ON",CH51,MyRating(_S7,$B51,Efficacy!$F$1))</f>
        <v>0</v>
      </c>
      <c r="BI51" s="3">
        <f>IF($C$5="ON",CI51,MyRating(_D1,$B51,Efficacy!$F$1))</f>
        <v>0</v>
      </c>
      <c r="BJ51" s="3">
        <f>IF($C$5="ON",CJ51,MyRating(_D2,$B51,Efficacy!$F$1))</f>
        <v>0</v>
      </c>
      <c r="BK51" s="3">
        <f>IF($C$5="ON",CK51,MyRating(_D3,$B51,Efficacy!$F$1))</f>
        <v>0</v>
      </c>
      <c r="BL51" s="3">
        <f>IF($C$5="ON",CL51,MyRating(_D4,$B51,Efficacy!$F$1))</f>
        <v>0</v>
      </c>
      <c r="BM51" s="3">
        <f>IF($C$5="ON",CM51,MyRating(_B1G5,$B51,Barrier!$L$2))</f>
        <v>0</v>
      </c>
      <c r="BN51" s="3">
        <f>IF($C$5="ON",CN51,MyRating(_B2,$B51,Barrier!$F$2))</f>
        <v>0</v>
      </c>
      <c r="BO51" s="6">
        <f>IF($C$5="ON",CO51,MyRating(_B3,$B51,Barrier!$F$2))</f>
        <v>0</v>
      </c>
      <c r="BP51" s="5">
        <f t="shared" si="14"/>
        <v>0</v>
      </c>
      <c r="BQ51" s="8">
        <f t="shared" si="15"/>
        <v>0</v>
      </c>
      <c r="BR51" s="5">
        <f t="shared" si="16"/>
        <v>0</v>
      </c>
      <c r="BS51" s="7">
        <f t="shared" si="17"/>
        <v>0</v>
      </c>
      <c r="BT51" s="4">
        <v>0</v>
      </c>
      <c r="BU51" s="3">
        <v>0</v>
      </c>
      <c r="BV51" s="3">
        <v>0</v>
      </c>
      <c r="BW51" s="3">
        <v>0</v>
      </c>
      <c r="BX51" s="3">
        <v>0</v>
      </c>
      <c r="BY51" s="3">
        <v>0</v>
      </c>
      <c r="BZ51" s="3">
        <v>0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6">
        <v>0</v>
      </c>
      <c r="CP51" s="5">
        <v>0</v>
      </c>
      <c r="CQ51" s="61">
        <f t="shared" si="18"/>
        <v>2053</v>
      </c>
      <c r="CR51">
        <f t="shared" si="19"/>
        <v>9</v>
      </c>
    </row>
    <row r="52" spans="1:96" x14ac:dyDescent="0.35">
      <c r="A52" s="9" t="str">
        <f t="shared" si="12"/>
        <v>FR</v>
      </c>
      <c r="B52" s="9" t="s">
        <v>68</v>
      </c>
      <c r="C52" s="20" t="s">
        <v>3</v>
      </c>
      <c r="D52" s="9" t="s">
        <v>2</v>
      </c>
      <c r="E52" s="9" t="s">
        <v>193</v>
      </c>
      <c r="F52" s="9" t="s">
        <v>1</v>
      </c>
      <c r="G52" s="19">
        <v>0</v>
      </c>
      <c r="H52" s="9">
        <v>2014</v>
      </c>
      <c r="I52" s="9">
        <v>6</v>
      </c>
      <c r="J52" s="18">
        <f>INDEX(PTRS!$D$6:$D$12,MATCH('3'!$F52,PTRS!$B$6:$B$12,0))</f>
        <v>0.1044225</v>
      </c>
      <c r="K52" s="17">
        <v>0</v>
      </c>
      <c r="L52" s="17">
        <v>1</v>
      </c>
      <c r="M52" s="17">
        <v>0.1044225</v>
      </c>
      <c r="N52" s="17">
        <v>0.1044225</v>
      </c>
      <c r="O52" s="17">
        <v>0.1044225</v>
      </c>
      <c r="P52" s="17">
        <v>0.1044225</v>
      </c>
      <c r="Q52" s="17">
        <v>1</v>
      </c>
      <c r="R52" s="17">
        <v>1</v>
      </c>
      <c r="S52" s="17">
        <v>1</v>
      </c>
      <c r="T52" s="17"/>
      <c r="U52" s="17">
        <f t="shared" si="20"/>
        <v>0.72649652910676854</v>
      </c>
      <c r="V52" s="17">
        <v>1</v>
      </c>
      <c r="W52" s="9" t="s">
        <v>68</v>
      </c>
      <c r="X52" s="9">
        <f>INDEX('Unique Asset List'!$C$4:$I$60,MATCH('3'!$B52,'Unique Asset List'!$A$4:$A$60,0),MATCH('3'!$C$1,'Unique Asset List'!$C$3:$I$3,0))</f>
        <v>2033</v>
      </c>
      <c r="Y52" s="9">
        <f>INDEX('Unique Asset List'!$J$4:$P$60,MATCH('3'!$B52,'Unique Asset List'!$A$4:$A$60,0),MATCH('3'!$C$1,'Unique Asset List'!$J$3:$P$3,0))</f>
        <v>3</v>
      </c>
      <c r="Z52" s="9">
        <f>INDEX('Unique Asset List'!$X$4:$AD$60,MATCH('3'!$B52,'Unique Asset List'!$A$4:$A$60,0),MATCH('3'!$C$1,'Unique Asset List'!$X$3:$AD$3,0))</f>
        <v>2041</v>
      </c>
      <c r="AA52" s="9">
        <f>INDEX('Unique Asset List'!$AE$4:$AK$60,MATCH('3'!$B52,'Unique Asset List'!$A$4:$A$60,0),MATCH('3'!$C$1,'Unique Asset List'!$AE$3:$AK$3,0))</f>
        <v>3</v>
      </c>
      <c r="AB52" s="16">
        <f t="shared" si="21"/>
        <v>2.3276916000000001</v>
      </c>
      <c r="AC52" s="16">
        <f t="shared" si="22"/>
        <v>1.0028454</v>
      </c>
      <c r="AD52" s="16">
        <f t="shared" si="23"/>
        <v>0.56099999999999994</v>
      </c>
      <c r="AE52" s="15">
        <f>INDEX('Unique Asset List'!$BN$4:$BT$60,MATCH('3'!$B52,'Unique Asset List'!$A$4:$A$60,0),MATCH('3'!$C$1,'Unique Asset List'!$BN$3:$BT$3,0))</f>
        <v>0.12</v>
      </c>
      <c r="AF52" s="15">
        <f>INDEX('Unique Asset List'!$BU$4:$CA$60,MATCH('3'!$B52,'Unique Asset List'!$A$4:$A$60,0),MATCH('3'!$C$1,'Unique Asset List'!$BU$3:$CA$3,0))</f>
        <v>0.38</v>
      </c>
      <c r="AG52" s="15">
        <f>INDEX('Unique Asset List'!$AZ$4:$BF$60,MATCH('3'!$B52,'Unique Asset List'!$A$4:$A$60,0),MATCH('3'!$C$1,'Unique Asset List'!$AZ$3:$BF$3,0))</f>
        <v>0.12</v>
      </c>
      <c r="AH52" s="15">
        <f>INDEX('Unique Asset List'!$BG$4:$BM$60,MATCH('3'!$B52,'Unique Asset List'!$A$4:$A$60,0),MATCH('3'!$C$1,'Unique Asset List'!$BG$3:$BM$3,0))</f>
        <v>0.38</v>
      </c>
      <c r="AI52" s="11">
        <v>0.96187963349867744</v>
      </c>
      <c r="AJ52" s="15">
        <f>INDEX('Unique Asset List'!$AL$4:$AR$60,MATCH('3'!$B52,'Unique Asset List'!$A$4:$A$60,0),MATCH('3'!$C$1,'Unique Asset List'!$AL$3:$AR$3,0))</f>
        <v>2.1252009430760062</v>
      </c>
      <c r="AK52" s="15">
        <f>INDEX('Unique Asset List'!$AS$4:$AY$60,MATCH('3'!$B52,'Unique Asset List'!$A$4:$A$60,0),MATCH('3'!$C$1,'Unique Asset List'!$AS$3:$AY$3,0))</f>
        <v>-1.7169645793441486</v>
      </c>
      <c r="AL52" s="9">
        <v>169</v>
      </c>
      <c r="AM52" s="14">
        <f>INDEX(Simulation!$B$6:$H$6,MATCH($A52,Simulation!$B$1:$H$1,0))*(1+AN52)^((DATE(X52,Y52,15)-DATE(2017,1,15))/365.5)</f>
        <v>3.5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13"/>
        <v>0.82</v>
      </c>
      <c r="AS52" s="10">
        <v>1</v>
      </c>
      <c r="AT52" s="4">
        <f>IF($C$5="ON",BT52,MyRating(_E1,$B52,Efficacy!$F$1))</f>
        <v>4</v>
      </c>
      <c r="AU52" s="3">
        <f>IF($C$5="ON",BU52,MyRating(_E2,$B52,Efficacy!$F$1))</f>
        <v>5</v>
      </c>
      <c r="AV52" s="3">
        <f>IF($C$5="ON",BV52,MyRating(_E3,$B52,Efficacy!$F$1))</f>
        <v>5</v>
      </c>
      <c r="AW52" s="3">
        <f>IF($C$5="ON",BW52,MyRating(_E4,$B52,Efficacy!$F$1))</f>
        <v>4</v>
      </c>
      <c r="AX52" s="3">
        <f>IF($C$5="ON",BX52,MyRating(_E5,$B52,Efficacy!$F$1))</f>
        <v>4</v>
      </c>
      <c r="AY52" s="3">
        <f>IF($C$5="ON",BY52,MyRating(_E6,$B52,Efficacy!$F$1))</f>
        <v>3</v>
      </c>
      <c r="AZ52" s="3">
        <f>IF($C$5="ON",BZ52,MyRating(_E7,$B52,Efficacy!$F$1))</f>
        <v>3</v>
      </c>
      <c r="BA52" s="3">
        <f>IF($C$5="ON",CA52,MyRating(_E8,$B52,Efficacy!$F$1))</f>
        <v>4</v>
      </c>
      <c r="BB52" s="3">
        <f>IF($C$5="ON",CB52,MyRating(_S1,$B52,Efficacy!$F$1))</f>
        <v>5</v>
      </c>
      <c r="BC52" s="3">
        <f>IF($C$5="ON",CC52,MyRating(_S2,$B52,Efficacy!$F$1))</f>
        <v>3</v>
      </c>
      <c r="BD52" s="3">
        <f>IF($C$5="ON",CD52,MyRating(_S3,$B52,Efficacy!$F$1))</f>
        <v>3</v>
      </c>
      <c r="BE52" s="3">
        <f>IF($C$5="ON",CE52,MyRating(_S4,$B52,Efficacy!$F$1))</f>
        <v>4</v>
      </c>
      <c r="BF52" s="3">
        <f>IF($C$5="ON",CF52,MyRating(_S5,$B52,Efficacy!$F$1))</f>
        <v>5</v>
      </c>
      <c r="BG52" s="3">
        <f>IF($C$5="ON",CG52,MyRating(_S6,$B52,Efficacy!$F$1))</f>
        <v>3</v>
      </c>
      <c r="BH52" s="3">
        <f>IF($C$5="ON",CH52,MyRating(_S7,$B52,Efficacy!$F$1))</f>
        <v>3</v>
      </c>
      <c r="BI52" s="3">
        <f>IF($C$5="ON",CI52,MyRating(_D1,$B52,Efficacy!$F$1))</f>
        <v>3</v>
      </c>
      <c r="BJ52" s="3">
        <f>IF($C$5="ON",CJ52,MyRating(_D2,$B52,Efficacy!$F$1))</f>
        <v>3</v>
      </c>
      <c r="BK52" s="3">
        <f>IF($C$5="ON",CK52,MyRating(_D3,$B52,Efficacy!$F$1))</f>
        <v>3</v>
      </c>
      <c r="BL52" s="3">
        <f>IF($C$5="ON",CL52,MyRating(_D4,$B52,Efficacy!$F$1))</f>
        <v>3</v>
      </c>
      <c r="BM52" s="3">
        <f>IF($C$5="ON",CM52,MyRating(_B1G5,$B52,Barrier!$L$2))</f>
        <v>2</v>
      </c>
      <c r="BN52" s="3">
        <f>IF($C$5="ON",CN52,MyRating(_B2,$B52,Barrier!$F$2))</f>
        <v>3</v>
      </c>
      <c r="BO52" s="6">
        <f>IF($C$5="ON",CO52,MyRating(_B3,$B52,Barrier!$F$2))</f>
        <v>3</v>
      </c>
      <c r="BP52" s="5">
        <f t="shared" si="14"/>
        <v>3.6275844714639842E-2</v>
      </c>
      <c r="BQ52" s="8">
        <f t="shared" si="15"/>
        <v>2.9499999999999997</v>
      </c>
      <c r="BR52" s="5">
        <f t="shared" si="16"/>
        <v>3.60415394013439E-2</v>
      </c>
      <c r="BS52" s="7">
        <f t="shared" si="17"/>
        <v>1.8542316878791175E-2</v>
      </c>
      <c r="BT52" s="4">
        <v>4</v>
      </c>
      <c r="BU52" s="3">
        <v>5</v>
      </c>
      <c r="BV52" s="3">
        <v>5</v>
      </c>
      <c r="BW52" s="3">
        <v>4</v>
      </c>
      <c r="BX52" s="3">
        <v>4</v>
      </c>
      <c r="BY52" s="3">
        <v>3</v>
      </c>
      <c r="BZ52" s="3">
        <v>3</v>
      </c>
      <c r="CA52" s="3">
        <v>4</v>
      </c>
      <c r="CB52" s="3">
        <v>5</v>
      </c>
      <c r="CC52" s="3">
        <v>3</v>
      </c>
      <c r="CD52" s="3">
        <v>3</v>
      </c>
      <c r="CE52" s="3">
        <v>4</v>
      </c>
      <c r="CF52" s="3">
        <v>5</v>
      </c>
      <c r="CG52" s="3">
        <v>3</v>
      </c>
      <c r="CH52" s="3">
        <v>3</v>
      </c>
      <c r="CI52" s="3">
        <v>3</v>
      </c>
      <c r="CJ52" s="3">
        <v>3</v>
      </c>
      <c r="CK52" s="3">
        <v>3</v>
      </c>
      <c r="CL52" s="3">
        <v>3</v>
      </c>
      <c r="CM52" s="3">
        <v>2</v>
      </c>
      <c r="CN52" s="3">
        <v>3</v>
      </c>
      <c r="CO52" s="6">
        <v>3</v>
      </c>
      <c r="CP52" s="5">
        <v>3.6275844714639842E-2</v>
      </c>
      <c r="CQ52" s="61">
        <f t="shared" si="18"/>
        <v>2034</v>
      </c>
      <c r="CR52">
        <f t="shared" si="19"/>
        <v>6</v>
      </c>
    </row>
    <row r="53" spans="1:96" x14ac:dyDescent="0.35">
      <c r="A53" s="9" t="str">
        <f t="shared" si="12"/>
        <v>FR</v>
      </c>
      <c r="B53" s="9" t="s">
        <v>67</v>
      </c>
      <c r="C53" s="20" t="s">
        <v>3</v>
      </c>
      <c r="D53" s="9" t="s">
        <v>2</v>
      </c>
      <c r="E53" s="9" t="s">
        <v>193</v>
      </c>
      <c r="F53" s="9" t="s">
        <v>1</v>
      </c>
      <c r="G53" s="19">
        <v>0</v>
      </c>
      <c r="H53" s="9">
        <v>2014</v>
      </c>
      <c r="I53" s="9">
        <v>6</v>
      </c>
      <c r="J53" s="18">
        <f>INDEX(PTRS!$D$6:$D$12,MATCH('3'!$F53,PTRS!$B$6:$B$12,0))</f>
        <v>0.1044225</v>
      </c>
      <c r="K53" s="17">
        <v>0</v>
      </c>
      <c r="L53" s="17">
        <v>0.1044225</v>
      </c>
      <c r="M53" s="17">
        <v>0.1044225</v>
      </c>
      <c r="N53" s="17">
        <v>0.1044225</v>
      </c>
      <c r="O53" s="17">
        <v>0.1044225</v>
      </c>
      <c r="P53" s="17">
        <v>0.1044225</v>
      </c>
      <c r="Q53" s="17">
        <v>1</v>
      </c>
      <c r="R53" s="17">
        <v>1</v>
      </c>
      <c r="S53" s="17">
        <v>1</v>
      </c>
      <c r="T53" s="17"/>
      <c r="U53" s="17">
        <f t="shared" si="20"/>
        <v>0.72649652910676854</v>
      </c>
      <c r="V53" s="17">
        <v>1</v>
      </c>
      <c r="W53" s="9" t="s">
        <v>67</v>
      </c>
      <c r="X53" s="9">
        <f>INDEX('Unique Asset List'!$C$4:$I$60,MATCH('3'!$B53,'Unique Asset List'!$A$4:$A$60,0),MATCH('3'!$C$1,'Unique Asset List'!$C$3:$I$3,0))</f>
        <v>2033</v>
      </c>
      <c r="Y53" s="9">
        <f>INDEX('Unique Asset List'!$J$4:$P$60,MATCH('3'!$B53,'Unique Asset List'!$A$4:$A$60,0),MATCH('3'!$C$1,'Unique Asset List'!$J$3:$P$3,0))</f>
        <v>3</v>
      </c>
      <c r="Z53" s="9">
        <f>INDEX('Unique Asset List'!$X$4:$AD$60,MATCH('3'!$B53,'Unique Asset List'!$A$4:$A$60,0),MATCH('3'!$C$1,'Unique Asset List'!$X$3:$AD$3,0))</f>
        <v>2041</v>
      </c>
      <c r="AA53" s="9">
        <f>INDEX('Unique Asset List'!$AE$4:$AK$60,MATCH('3'!$B53,'Unique Asset List'!$A$4:$A$60,0),MATCH('3'!$C$1,'Unique Asset List'!$AE$3:$AK$3,0))</f>
        <v>3</v>
      </c>
      <c r="AB53" s="16">
        <f t="shared" si="21"/>
        <v>2.3276916000000001</v>
      </c>
      <c r="AC53" s="16">
        <f t="shared" si="22"/>
        <v>1.0028454</v>
      </c>
      <c r="AD53" s="16">
        <f t="shared" si="23"/>
        <v>0.56099999999999994</v>
      </c>
      <c r="AE53" s="15">
        <f>INDEX('Unique Asset List'!$BN$4:$BT$60,MATCH('3'!$B53,'Unique Asset List'!$A$4:$A$60,0),MATCH('3'!$C$1,'Unique Asset List'!$BN$3:$BT$3,0))</f>
        <v>0.12</v>
      </c>
      <c r="AF53" s="15">
        <f>INDEX('Unique Asset List'!$BU$4:$CA$60,MATCH('3'!$B53,'Unique Asset List'!$A$4:$A$60,0),MATCH('3'!$C$1,'Unique Asset List'!$BU$3:$CA$3,0))</f>
        <v>0.38</v>
      </c>
      <c r="AG53" s="15">
        <f>INDEX('Unique Asset List'!$AZ$4:$BF$60,MATCH('3'!$B53,'Unique Asset List'!$A$4:$A$60,0),MATCH('3'!$C$1,'Unique Asset List'!$AZ$3:$BF$3,0))</f>
        <v>0.12</v>
      </c>
      <c r="AH53" s="15">
        <f>INDEX('Unique Asset List'!$BG$4:$BM$60,MATCH('3'!$B53,'Unique Asset List'!$A$4:$A$60,0),MATCH('3'!$C$1,'Unique Asset List'!$BG$3:$BM$3,0))</f>
        <v>0.38</v>
      </c>
      <c r="AI53" s="11">
        <v>0.96187963349867744</v>
      </c>
      <c r="AJ53" s="15">
        <f>INDEX('Unique Asset List'!$AL$4:$AR$60,MATCH('3'!$B53,'Unique Asset List'!$A$4:$A$60,0),MATCH('3'!$C$1,'Unique Asset List'!$AL$3:$AR$3,0))</f>
        <v>2.1252009430760062</v>
      </c>
      <c r="AK53" s="15">
        <f>INDEX('Unique Asset List'!$AS$4:$AY$60,MATCH('3'!$B53,'Unique Asset List'!$A$4:$A$60,0),MATCH('3'!$C$1,'Unique Asset List'!$AS$3:$AY$3,0))</f>
        <v>-1.7169645793441486</v>
      </c>
      <c r="AL53" s="9">
        <v>169</v>
      </c>
      <c r="AM53" s="14">
        <f>INDEX(Simulation!$B$6:$H$6,MATCH($A53,Simulation!$B$1:$H$1,0))*(1+AN53)^((DATE(X53,Y53,15)-DATE(2017,1,15))/365.5)</f>
        <v>3.5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13"/>
        <v>0.82</v>
      </c>
      <c r="AS53" s="10">
        <v>1</v>
      </c>
      <c r="AT53" s="4">
        <f>IF($C$5="ON",BT53,MyRating(_E1,$B53,Efficacy!$F$1))</f>
        <v>4</v>
      </c>
      <c r="AU53" s="3">
        <f>IF($C$5="ON",BU53,MyRating(_E2,$B53,Efficacy!$F$1))</f>
        <v>5</v>
      </c>
      <c r="AV53" s="3">
        <f>IF($C$5="ON",BV53,MyRating(_E3,$B53,Efficacy!$F$1))</f>
        <v>5</v>
      </c>
      <c r="AW53" s="3">
        <f>IF($C$5="ON",BW53,MyRating(_E4,$B53,Efficacy!$F$1))</f>
        <v>4</v>
      </c>
      <c r="AX53" s="3">
        <f>IF($C$5="ON",BX53,MyRating(_E5,$B53,Efficacy!$F$1))</f>
        <v>4</v>
      </c>
      <c r="AY53" s="3">
        <f>IF($C$5="ON",BY53,MyRating(_E6,$B53,Efficacy!$F$1))</f>
        <v>3</v>
      </c>
      <c r="AZ53" s="3">
        <f>IF($C$5="ON",BZ53,MyRating(_E7,$B53,Efficacy!$F$1))</f>
        <v>3</v>
      </c>
      <c r="BA53" s="3">
        <f>IF($C$5="ON",CA53,MyRating(_E8,$B53,Efficacy!$F$1))</f>
        <v>4</v>
      </c>
      <c r="BB53" s="3">
        <f>IF($C$5="ON",CB53,MyRating(_S1,$B53,Efficacy!$F$1))</f>
        <v>5</v>
      </c>
      <c r="BC53" s="3">
        <f>IF($C$5="ON",CC53,MyRating(_S2,$B53,Efficacy!$F$1))</f>
        <v>3</v>
      </c>
      <c r="BD53" s="3">
        <f>IF($C$5="ON",CD53,MyRating(_S3,$B53,Efficacy!$F$1))</f>
        <v>3</v>
      </c>
      <c r="BE53" s="3">
        <f>IF($C$5="ON",CE53,MyRating(_S4,$B53,Efficacy!$F$1))</f>
        <v>4</v>
      </c>
      <c r="BF53" s="3">
        <f>IF($C$5="ON",CF53,MyRating(_S5,$B53,Efficacy!$F$1))</f>
        <v>5</v>
      </c>
      <c r="BG53" s="3">
        <f>IF($C$5="ON",CG53,MyRating(_S6,$B53,Efficacy!$F$1))</f>
        <v>3</v>
      </c>
      <c r="BH53" s="3">
        <f>IF($C$5="ON",CH53,MyRating(_S7,$B53,Efficacy!$F$1))</f>
        <v>3</v>
      </c>
      <c r="BI53" s="3">
        <f>IF($C$5="ON",CI53,MyRating(_D1,$B53,Efficacy!$F$1))</f>
        <v>3</v>
      </c>
      <c r="BJ53" s="3">
        <f>IF($C$5="ON",CJ53,MyRating(_D2,$B53,Efficacy!$F$1))</f>
        <v>3</v>
      </c>
      <c r="BK53" s="3">
        <f>IF($C$5="ON",CK53,MyRating(_D3,$B53,Efficacy!$F$1))</f>
        <v>3</v>
      </c>
      <c r="BL53" s="3">
        <f>IF($C$5="ON",CL53,MyRating(_D4,$B53,Efficacy!$F$1))</f>
        <v>3</v>
      </c>
      <c r="BM53" s="3">
        <f>IF($C$5="ON",CM53,MyRating(_B1G5,$B53,Barrier!$L$2))</f>
        <v>2</v>
      </c>
      <c r="BN53" s="3">
        <f>IF($C$5="ON",CN53,MyRating(_B2,$B53,Barrier!$F$2))</f>
        <v>3</v>
      </c>
      <c r="BO53" s="6">
        <f>IF($C$5="ON",CO53,MyRating(_B3,$B53,Barrier!$F$2))</f>
        <v>3</v>
      </c>
      <c r="BP53" s="5">
        <f t="shared" si="14"/>
        <v>3.6275844714639842E-2</v>
      </c>
      <c r="BQ53" s="8">
        <f t="shared" si="15"/>
        <v>2.9499999999999997</v>
      </c>
      <c r="BR53" s="5">
        <f t="shared" si="16"/>
        <v>3.60415394013439E-2</v>
      </c>
      <c r="BS53" s="7">
        <f t="shared" si="17"/>
        <v>1.8542316878791175E-2</v>
      </c>
      <c r="BT53" s="4">
        <v>4</v>
      </c>
      <c r="BU53" s="3">
        <v>5</v>
      </c>
      <c r="BV53" s="3">
        <v>5</v>
      </c>
      <c r="BW53" s="3">
        <v>4</v>
      </c>
      <c r="BX53" s="3">
        <v>4</v>
      </c>
      <c r="BY53" s="3">
        <v>3</v>
      </c>
      <c r="BZ53" s="3">
        <v>3</v>
      </c>
      <c r="CA53" s="3">
        <v>4</v>
      </c>
      <c r="CB53" s="3">
        <v>5</v>
      </c>
      <c r="CC53" s="3">
        <v>3</v>
      </c>
      <c r="CD53" s="3">
        <v>3</v>
      </c>
      <c r="CE53" s="3">
        <v>4</v>
      </c>
      <c r="CF53" s="3">
        <v>5</v>
      </c>
      <c r="CG53" s="3">
        <v>3</v>
      </c>
      <c r="CH53" s="3">
        <v>3</v>
      </c>
      <c r="CI53" s="3">
        <v>3</v>
      </c>
      <c r="CJ53" s="3">
        <v>3</v>
      </c>
      <c r="CK53" s="3">
        <v>3</v>
      </c>
      <c r="CL53" s="3">
        <v>3</v>
      </c>
      <c r="CM53" s="3">
        <v>2</v>
      </c>
      <c r="CN53" s="3">
        <v>3</v>
      </c>
      <c r="CO53" s="6">
        <v>3</v>
      </c>
      <c r="CP53" s="5">
        <v>3.6275844714639842E-2</v>
      </c>
      <c r="CQ53" s="61">
        <f t="shared" si="18"/>
        <v>2034</v>
      </c>
      <c r="CR53">
        <f t="shared" si="19"/>
        <v>6</v>
      </c>
    </row>
    <row r="54" spans="1:96" x14ac:dyDescent="0.35">
      <c r="A54" s="9" t="str">
        <f t="shared" si="12"/>
        <v>FR</v>
      </c>
      <c r="B54" s="9" t="s">
        <v>192</v>
      </c>
      <c r="C54" s="20" t="s">
        <v>3</v>
      </c>
      <c r="D54" s="9" t="s">
        <v>2</v>
      </c>
      <c r="E54" s="9"/>
      <c r="F54" s="9" t="s">
        <v>1</v>
      </c>
      <c r="G54" s="19">
        <v>0</v>
      </c>
      <c r="H54" s="9">
        <v>2014</v>
      </c>
      <c r="I54" s="9">
        <v>6</v>
      </c>
      <c r="J54" s="18">
        <f>INDEX(PTRS!$D$6:$D$12,MATCH('3'!$F54,PTRS!$B$6:$B$12,0))</f>
        <v>0.1044225</v>
      </c>
      <c r="K54" s="17">
        <v>0</v>
      </c>
      <c r="L54" s="17">
        <v>0.1044225</v>
      </c>
      <c r="M54" s="17">
        <v>0.1044225</v>
      </c>
      <c r="N54" s="17">
        <v>0.1044225</v>
      </c>
      <c r="O54" s="17">
        <v>0.1044225</v>
      </c>
      <c r="P54" s="17">
        <v>0.1044225</v>
      </c>
      <c r="Q54" s="17">
        <v>0.1044225</v>
      </c>
      <c r="R54" s="17">
        <v>0.1044225</v>
      </c>
      <c r="S54" s="17">
        <v>1</v>
      </c>
      <c r="T54" s="17"/>
      <c r="U54" s="17">
        <f t="shared" si="20"/>
        <v>0</v>
      </c>
      <c r="V54" s="17">
        <v>1</v>
      </c>
      <c r="W54" s="9" t="s">
        <v>0</v>
      </c>
      <c r="X54" s="9">
        <f>INDEX('Unique Asset List'!$C$4:$I$60,MATCH('3'!$B54,'Unique Asset List'!$A$4:$A$60,0),MATCH('3'!$C$1,'Unique Asset List'!$C$3:$I$3,0))</f>
        <v>2052</v>
      </c>
      <c r="Y54" s="9">
        <f>INDEX('Unique Asset List'!$J$4:$P$60,MATCH('3'!$B54,'Unique Asset List'!$A$4:$A$60,0),MATCH('3'!$C$1,'Unique Asset List'!$J$3:$P$3,0))</f>
        <v>6</v>
      </c>
      <c r="Z54" s="9">
        <f>INDEX('Unique Asset List'!$X$4:$AD$60,MATCH('3'!$B54,'Unique Asset List'!$A$4:$A$60,0),MATCH('3'!$C$1,'Unique Asset List'!$X$3:$AD$3,0))</f>
        <v>2060</v>
      </c>
      <c r="AA54" s="9">
        <f>INDEX('Unique Asset List'!$AE$4:$AK$60,MATCH('3'!$B54,'Unique Asset List'!$A$4:$A$60,0),MATCH('3'!$C$1,'Unique Asset List'!$AE$3:$AK$3,0))</f>
        <v>6</v>
      </c>
      <c r="AB54" s="16">
        <f t="shared" si="21"/>
        <v>0</v>
      </c>
      <c r="AC54" s="16">
        <f t="shared" si="22"/>
        <v>0</v>
      </c>
      <c r="AD54" s="16">
        <f t="shared" si="23"/>
        <v>0</v>
      </c>
      <c r="AE54" s="15">
        <f>INDEX('Unique Asset List'!$BN$4:$BT$60,MATCH('3'!$B54,'Unique Asset List'!$A$4:$A$60,0),MATCH('3'!$C$1,'Unique Asset List'!$BN$3:$BT$3,0))</f>
        <v>0.12</v>
      </c>
      <c r="AF54" s="15">
        <f>INDEX('Unique Asset List'!$BU$4:$CA$60,MATCH('3'!$B54,'Unique Asset List'!$A$4:$A$60,0),MATCH('3'!$C$1,'Unique Asset List'!$BU$3:$CA$3,0))</f>
        <v>0.38</v>
      </c>
      <c r="AG54" s="15">
        <f>INDEX('Unique Asset List'!$AZ$4:$BF$60,MATCH('3'!$B54,'Unique Asset List'!$A$4:$A$60,0),MATCH('3'!$C$1,'Unique Asset List'!$AZ$3:$BF$3,0))</f>
        <v>0.12</v>
      </c>
      <c r="AH54" s="15">
        <f>INDEX('Unique Asset List'!$BG$4:$BM$60,MATCH('3'!$B54,'Unique Asset List'!$A$4:$A$60,0),MATCH('3'!$C$1,'Unique Asset List'!$BG$3:$BM$3,0))</f>
        <v>0.38</v>
      </c>
      <c r="AI54" s="11">
        <v>0.96187963349867744</v>
      </c>
      <c r="AJ54" s="15">
        <f>INDEX('Unique Asset List'!$AL$4:$AR$60,MATCH('3'!$B54,'Unique Asset List'!$A$4:$A$60,0),MATCH('3'!$C$1,'Unique Asset List'!$AL$3:$AR$3,0))</f>
        <v>2.1252009430760062</v>
      </c>
      <c r="AK54" s="15">
        <f>INDEX('Unique Asset List'!$AS$4:$AY$60,MATCH('3'!$B54,'Unique Asset List'!$A$4:$A$60,0),MATCH('3'!$C$1,'Unique Asset List'!$AS$3:$AY$3,0))</f>
        <v>-1.7169645793441486</v>
      </c>
      <c r="AL54" s="9">
        <v>169</v>
      </c>
      <c r="AM54" s="14">
        <f>INDEX(Simulation!$B$6:$H$6,MATCH($A54,Simulation!$B$1:$H$1,0))*(1+AN54)^((DATE(X54,Y54,15)-DATE(2017,1,15))/365.5)</f>
        <v>3.5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13"/>
        <v>0.82</v>
      </c>
      <c r="AS54" s="10">
        <v>1</v>
      </c>
      <c r="AT54" s="4">
        <f>IF($C$5="ON",BT54,MyRating(_E1,$B54,Efficacy!$F$1))</f>
        <v>0</v>
      </c>
      <c r="AU54" s="3">
        <f>IF($C$5="ON",BU54,MyRating(_E2,$B54,Efficacy!$F$1))</f>
        <v>0</v>
      </c>
      <c r="AV54" s="3">
        <f>IF($C$5="ON",BV54,MyRating(_E3,$B54,Efficacy!$F$1))</f>
        <v>0</v>
      </c>
      <c r="AW54" s="3">
        <f>IF($C$5="ON",BW54,MyRating(_E4,$B54,Efficacy!$F$1))</f>
        <v>0</v>
      </c>
      <c r="AX54" s="3">
        <f>IF($C$5="ON",BX54,MyRating(_E5,$B54,Efficacy!$F$1))</f>
        <v>0</v>
      </c>
      <c r="AY54" s="3">
        <f>IF($C$5="ON",BY54,MyRating(_E6,$B54,Efficacy!$F$1))</f>
        <v>0</v>
      </c>
      <c r="AZ54" s="3">
        <f>IF($C$5="ON",BZ54,MyRating(_E7,$B54,Efficacy!$F$1))</f>
        <v>0</v>
      </c>
      <c r="BA54" s="3">
        <f>IF($C$5="ON",CA54,MyRating(_E8,$B54,Efficacy!$F$1))</f>
        <v>0</v>
      </c>
      <c r="BB54" s="3">
        <f>IF($C$5="ON",CB54,MyRating(_S1,$B54,Efficacy!$F$1))</f>
        <v>0</v>
      </c>
      <c r="BC54" s="3">
        <f>IF($C$5="ON",CC54,MyRating(_S2,$B54,Efficacy!$F$1))</f>
        <v>0</v>
      </c>
      <c r="BD54" s="3">
        <f>IF($C$5="ON",CD54,MyRating(_S3,$B54,Efficacy!$F$1))</f>
        <v>0</v>
      </c>
      <c r="BE54" s="3">
        <f>IF($C$5="ON",CE54,MyRating(_S4,$B54,Efficacy!$F$1))</f>
        <v>0</v>
      </c>
      <c r="BF54" s="3">
        <f>IF($C$5="ON",CF54,MyRating(_S5,$B54,Efficacy!$F$1))</f>
        <v>0</v>
      </c>
      <c r="BG54" s="3">
        <f>IF($C$5="ON",CG54,MyRating(_S6,$B54,Efficacy!$F$1))</f>
        <v>0</v>
      </c>
      <c r="BH54" s="3">
        <f>IF($C$5="ON",CH54,MyRating(_S7,$B54,Efficacy!$F$1))</f>
        <v>0</v>
      </c>
      <c r="BI54" s="3">
        <f>IF($C$5="ON",CI54,MyRating(_D1,$B54,Efficacy!$F$1))</f>
        <v>0</v>
      </c>
      <c r="BJ54" s="3">
        <f>IF($C$5="ON",CJ54,MyRating(_D2,$B54,Efficacy!$F$1))</f>
        <v>0</v>
      </c>
      <c r="BK54" s="3">
        <f>IF($C$5="ON",CK54,MyRating(_D3,$B54,Efficacy!$F$1))</f>
        <v>0</v>
      </c>
      <c r="BL54" s="3">
        <f>IF($C$5="ON",CL54,MyRating(_D4,$B54,Efficacy!$F$1))</f>
        <v>0</v>
      </c>
      <c r="BM54" s="3">
        <f>IF($C$5="ON",CM54,MyRating(_B1G5,$B54,Barrier!$L$2))</f>
        <v>0</v>
      </c>
      <c r="BN54" s="3">
        <f>IF($C$5="ON",CN54,MyRating(_B2,$B54,Barrier!$F$2))</f>
        <v>0</v>
      </c>
      <c r="BO54" s="6">
        <f>IF($C$5="ON",CO54,MyRating(_B3,$B54,Barrier!$F$2))</f>
        <v>0</v>
      </c>
      <c r="BP54" s="5">
        <f t="shared" si="14"/>
        <v>0</v>
      </c>
      <c r="BQ54" s="8">
        <f t="shared" si="15"/>
        <v>0</v>
      </c>
      <c r="BR54" s="5">
        <f t="shared" si="16"/>
        <v>0</v>
      </c>
      <c r="BS54" s="7">
        <f t="shared" si="17"/>
        <v>0</v>
      </c>
      <c r="BT54" s="4">
        <v>0</v>
      </c>
      <c r="BU54" s="3">
        <v>0</v>
      </c>
      <c r="BV54" s="3">
        <v>0</v>
      </c>
      <c r="BW54" s="3">
        <v>0</v>
      </c>
      <c r="BX54" s="3">
        <v>0</v>
      </c>
      <c r="BY54" s="3">
        <v>0</v>
      </c>
      <c r="BZ54" s="3">
        <v>0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6">
        <v>0</v>
      </c>
      <c r="CP54" s="5">
        <v>0</v>
      </c>
      <c r="CQ54" s="61">
        <f t="shared" si="18"/>
        <v>2053</v>
      </c>
      <c r="CR54">
        <f t="shared" si="19"/>
        <v>9</v>
      </c>
    </row>
    <row r="55" spans="1:96" x14ac:dyDescent="0.35">
      <c r="A55" s="9" t="str">
        <f t="shared" si="12"/>
        <v>FR</v>
      </c>
      <c r="B55" s="9" t="s">
        <v>191</v>
      </c>
      <c r="C55" s="20" t="s">
        <v>3</v>
      </c>
      <c r="D55" s="9" t="s">
        <v>2</v>
      </c>
      <c r="E55" s="9"/>
      <c r="F55" s="9" t="s">
        <v>1</v>
      </c>
      <c r="G55" s="19">
        <v>0</v>
      </c>
      <c r="H55" s="9">
        <v>2014</v>
      </c>
      <c r="I55" s="9">
        <v>6</v>
      </c>
      <c r="J55" s="18">
        <f>INDEX(PTRS!$D$6:$D$12,MATCH('3'!$F55,PTRS!$B$6:$B$12,0))</f>
        <v>0.1044225</v>
      </c>
      <c r="K55" s="17">
        <v>0</v>
      </c>
      <c r="L55" s="17">
        <v>0.1044225</v>
      </c>
      <c r="M55" s="17">
        <v>0.1044225</v>
      </c>
      <c r="N55" s="17">
        <v>0.1044225</v>
      </c>
      <c r="O55" s="17">
        <v>0.1044225</v>
      </c>
      <c r="P55" s="17">
        <v>0.1044225</v>
      </c>
      <c r="Q55" s="17">
        <v>0.1044225</v>
      </c>
      <c r="R55" s="17">
        <v>0.1044225</v>
      </c>
      <c r="S55" s="17">
        <v>1</v>
      </c>
      <c r="T55" s="17"/>
      <c r="U55" s="17">
        <f t="shared" si="20"/>
        <v>0</v>
      </c>
      <c r="V55" s="17">
        <v>1</v>
      </c>
      <c r="W55" s="9" t="s">
        <v>0</v>
      </c>
      <c r="X55" s="9">
        <f>INDEX('Unique Asset List'!$C$4:$I$60,MATCH('3'!$B55,'Unique Asset List'!$A$4:$A$60,0),MATCH('3'!$C$1,'Unique Asset List'!$C$3:$I$3,0))</f>
        <v>2052</v>
      </c>
      <c r="Y55" s="9">
        <f>INDEX('Unique Asset List'!$J$4:$P$60,MATCH('3'!$B55,'Unique Asset List'!$A$4:$A$60,0),MATCH('3'!$C$1,'Unique Asset List'!$J$3:$P$3,0))</f>
        <v>6</v>
      </c>
      <c r="Z55" s="9">
        <f>INDEX('Unique Asset List'!$X$4:$AD$60,MATCH('3'!$B55,'Unique Asset List'!$A$4:$A$60,0),MATCH('3'!$C$1,'Unique Asset List'!$X$3:$AD$3,0))</f>
        <v>2060</v>
      </c>
      <c r="AA55" s="9">
        <f>INDEX('Unique Asset List'!$AE$4:$AK$60,MATCH('3'!$B55,'Unique Asset List'!$A$4:$A$60,0),MATCH('3'!$C$1,'Unique Asset List'!$AE$3:$AK$3,0))</f>
        <v>6</v>
      </c>
      <c r="AB55" s="16">
        <f t="shared" si="21"/>
        <v>0</v>
      </c>
      <c r="AC55" s="16">
        <f t="shared" si="22"/>
        <v>0</v>
      </c>
      <c r="AD55" s="16">
        <f t="shared" si="23"/>
        <v>0</v>
      </c>
      <c r="AE55" s="15">
        <f>INDEX('Unique Asset List'!$BN$4:$BT$60,MATCH('3'!$B55,'Unique Asset List'!$A$4:$A$60,0),MATCH('3'!$C$1,'Unique Asset List'!$BN$3:$BT$3,0))</f>
        <v>0.12</v>
      </c>
      <c r="AF55" s="15">
        <f>INDEX('Unique Asset List'!$BU$4:$CA$60,MATCH('3'!$B55,'Unique Asset List'!$A$4:$A$60,0),MATCH('3'!$C$1,'Unique Asset List'!$BU$3:$CA$3,0))</f>
        <v>0.38</v>
      </c>
      <c r="AG55" s="15">
        <f>INDEX('Unique Asset List'!$AZ$4:$BF$60,MATCH('3'!$B55,'Unique Asset List'!$A$4:$A$60,0),MATCH('3'!$C$1,'Unique Asset List'!$AZ$3:$BF$3,0))</f>
        <v>0.12</v>
      </c>
      <c r="AH55" s="15">
        <f>INDEX('Unique Asset List'!$BG$4:$BM$60,MATCH('3'!$B55,'Unique Asset List'!$A$4:$A$60,0),MATCH('3'!$C$1,'Unique Asset List'!$BG$3:$BM$3,0))</f>
        <v>0.38</v>
      </c>
      <c r="AI55" s="11">
        <v>0.96187963349867744</v>
      </c>
      <c r="AJ55" s="15">
        <f>INDEX('Unique Asset List'!$AL$4:$AR$60,MATCH('3'!$B55,'Unique Asset List'!$A$4:$A$60,0),MATCH('3'!$C$1,'Unique Asset List'!$AL$3:$AR$3,0))</f>
        <v>2.1252009430760062</v>
      </c>
      <c r="AK55" s="15">
        <f>INDEX('Unique Asset List'!$AS$4:$AY$60,MATCH('3'!$B55,'Unique Asset List'!$A$4:$A$60,0),MATCH('3'!$C$1,'Unique Asset List'!$AS$3:$AY$3,0))</f>
        <v>-1.7169645793441486</v>
      </c>
      <c r="AL55" s="9">
        <v>169</v>
      </c>
      <c r="AM55" s="14">
        <f>INDEX(Simulation!$B$6:$H$6,MATCH($A55,Simulation!$B$1:$H$1,0))*(1+AN55)^((DATE(X55,Y55,15)-DATE(2017,1,15))/365.5)</f>
        <v>3.5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13"/>
        <v>0.82</v>
      </c>
      <c r="AS55" s="10">
        <v>1</v>
      </c>
      <c r="AT55" s="4">
        <f>IF($C$5="ON",BT55,MyRating(_E1,$B55,Efficacy!$F$1))</f>
        <v>0</v>
      </c>
      <c r="AU55" s="3">
        <f>IF($C$5="ON",BU55,MyRating(_E2,$B55,Efficacy!$F$1))</f>
        <v>0</v>
      </c>
      <c r="AV55" s="3">
        <f>IF($C$5="ON",BV55,MyRating(_E3,$B55,Efficacy!$F$1))</f>
        <v>0</v>
      </c>
      <c r="AW55" s="3">
        <f>IF($C$5="ON",BW55,MyRating(_E4,$B55,Efficacy!$F$1))</f>
        <v>0</v>
      </c>
      <c r="AX55" s="3">
        <f>IF($C$5="ON",BX55,MyRating(_E5,$B55,Efficacy!$F$1))</f>
        <v>0</v>
      </c>
      <c r="AY55" s="3">
        <f>IF($C$5="ON",BY55,MyRating(_E6,$B55,Efficacy!$F$1))</f>
        <v>0</v>
      </c>
      <c r="AZ55" s="3">
        <f>IF($C$5="ON",BZ55,MyRating(_E7,$B55,Efficacy!$F$1))</f>
        <v>0</v>
      </c>
      <c r="BA55" s="3">
        <f>IF($C$5="ON",CA55,MyRating(_E8,$B55,Efficacy!$F$1))</f>
        <v>0</v>
      </c>
      <c r="BB55" s="3">
        <f>IF($C$5="ON",CB55,MyRating(_S1,$B55,Efficacy!$F$1))</f>
        <v>0</v>
      </c>
      <c r="BC55" s="3">
        <f>IF($C$5="ON",CC55,MyRating(_S2,$B55,Efficacy!$F$1))</f>
        <v>0</v>
      </c>
      <c r="BD55" s="3">
        <f>IF($C$5="ON",CD55,MyRating(_S3,$B55,Efficacy!$F$1))</f>
        <v>0</v>
      </c>
      <c r="BE55" s="3">
        <f>IF($C$5="ON",CE55,MyRating(_S4,$B55,Efficacy!$F$1))</f>
        <v>0</v>
      </c>
      <c r="BF55" s="3">
        <f>IF($C$5="ON",CF55,MyRating(_S5,$B55,Efficacy!$F$1))</f>
        <v>0</v>
      </c>
      <c r="BG55" s="3">
        <f>IF($C$5="ON",CG55,MyRating(_S6,$B55,Efficacy!$F$1))</f>
        <v>0</v>
      </c>
      <c r="BH55" s="3">
        <f>IF($C$5="ON",CH55,MyRating(_S7,$B55,Efficacy!$F$1))</f>
        <v>0</v>
      </c>
      <c r="BI55" s="3">
        <f>IF($C$5="ON",CI55,MyRating(_D1,$B55,Efficacy!$F$1))</f>
        <v>0</v>
      </c>
      <c r="BJ55" s="3">
        <f>IF($C$5="ON",CJ55,MyRating(_D2,$B55,Efficacy!$F$1))</f>
        <v>0</v>
      </c>
      <c r="BK55" s="3">
        <f>IF($C$5="ON",CK55,MyRating(_D3,$B55,Efficacy!$F$1))</f>
        <v>0</v>
      </c>
      <c r="BL55" s="3">
        <f>IF($C$5="ON",CL55,MyRating(_D4,$B55,Efficacy!$F$1))</f>
        <v>0</v>
      </c>
      <c r="BM55" s="3">
        <f>IF($C$5="ON",CM55,MyRating(_B1G5,$B55,Barrier!$L$2))</f>
        <v>0</v>
      </c>
      <c r="BN55" s="3">
        <f>IF($C$5="ON",CN55,MyRating(_B2,$B55,Barrier!$F$2))</f>
        <v>0</v>
      </c>
      <c r="BO55" s="6">
        <f>IF($C$5="ON",CO55,MyRating(_B3,$B55,Barrier!$F$2))</f>
        <v>0</v>
      </c>
      <c r="BP55" s="5">
        <f t="shared" si="14"/>
        <v>0</v>
      </c>
      <c r="BQ55" s="8">
        <f t="shared" si="15"/>
        <v>0</v>
      </c>
      <c r="BR55" s="5">
        <f t="shared" si="16"/>
        <v>0</v>
      </c>
      <c r="BS55" s="7">
        <f t="shared" si="17"/>
        <v>0</v>
      </c>
      <c r="BT55" s="4">
        <v>0</v>
      </c>
      <c r="BU55" s="3">
        <v>0</v>
      </c>
      <c r="BV55" s="3">
        <v>0</v>
      </c>
      <c r="BW55" s="3">
        <v>0</v>
      </c>
      <c r="BX55" s="3">
        <v>0</v>
      </c>
      <c r="BY55" s="3">
        <v>0</v>
      </c>
      <c r="BZ55" s="3">
        <v>0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6">
        <v>0</v>
      </c>
      <c r="CP55" s="5">
        <v>0</v>
      </c>
      <c r="CQ55" s="61">
        <f t="shared" si="18"/>
        <v>2053</v>
      </c>
      <c r="CR55">
        <f t="shared" si="19"/>
        <v>9</v>
      </c>
    </row>
    <row r="56" spans="1:96" x14ac:dyDescent="0.35">
      <c r="A56" s="9" t="str">
        <f t="shared" si="12"/>
        <v>FR</v>
      </c>
      <c r="B56" s="9" t="s">
        <v>190</v>
      </c>
      <c r="C56" s="20" t="s">
        <v>3</v>
      </c>
      <c r="D56" s="9" t="s">
        <v>2</v>
      </c>
      <c r="E56" s="9"/>
      <c r="F56" s="9" t="s">
        <v>1</v>
      </c>
      <c r="G56" s="19">
        <v>0</v>
      </c>
      <c r="H56" s="9">
        <v>2014</v>
      </c>
      <c r="I56" s="9">
        <v>6</v>
      </c>
      <c r="J56" s="18">
        <f>INDEX(PTRS!$D$6:$D$12,MATCH('3'!$F56,PTRS!$B$6:$B$12,0))</f>
        <v>0.1044225</v>
      </c>
      <c r="K56" s="17">
        <v>0</v>
      </c>
      <c r="L56" s="17">
        <v>0.1044225</v>
      </c>
      <c r="M56" s="17">
        <v>0.1044225</v>
      </c>
      <c r="N56" s="17">
        <v>0.1044225</v>
      </c>
      <c r="O56" s="17">
        <v>0.1044225</v>
      </c>
      <c r="P56" s="17">
        <v>0.1044225</v>
      </c>
      <c r="Q56" s="17">
        <v>0.1044225</v>
      </c>
      <c r="R56" s="17">
        <v>0.1044225</v>
      </c>
      <c r="S56" s="17">
        <v>1</v>
      </c>
      <c r="T56" s="17"/>
      <c r="U56" s="17">
        <f t="shared" si="20"/>
        <v>0</v>
      </c>
      <c r="V56" s="17">
        <v>1</v>
      </c>
      <c r="W56" s="9" t="s">
        <v>0</v>
      </c>
      <c r="X56" s="9">
        <f>INDEX('Unique Asset List'!$C$4:$I$60,MATCH('3'!$B56,'Unique Asset List'!$A$4:$A$60,0),MATCH('3'!$C$1,'Unique Asset List'!$C$3:$I$3,0))</f>
        <v>2052</v>
      </c>
      <c r="Y56" s="9">
        <f>INDEX('Unique Asset List'!$J$4:$P$60,MATCH('3'!$B56,'Unique Asset List'!$A$4:$A$60,0),MATCH('3'!$C$1,'Unique Asset List'!$J$3:$P$3,0))</f>
        <v>6</v>
      </c>
      <c r="Z56" s="9">
        <f>INDEX('Unique Asset List'!$X$4:$AD$60,MATCH('3'!$B56,'Unique Asset List'!$A$4:$A$60,0),MATCH('3'!$C$1,'Unique Asset List'!$X$3:$AD$3,0))</f>
        <v>2060</v>
      </c>
      <c r="AA56" s="9">
        <f>INDEX('Unique Asset List'!$AE$4:$AK$60,MATCH('3'!$B56,'Unique Asset List'!$A$4:$A$60,0),MATCH('3'!$C$1,'Unique Asset List'!$AE$3:$AK$3,0))</f>
        <v>6</v>
      </c>
      <c r="AB56" s="16">
        <f t="shared" si="21"/>
        <v>0</v>
      </c>
      <c r="AC56" s="16">
        <f t="shared" si="22"/>
        <v>0</v>
      </c>
      <c r="AD56" s="16">
        <f t="shared" si="23"/>
        <v>0</v>
      </c>
      <c r="AE56" s="15">
        <f>INDEX('Unique Asset List'!$BN$4:$BT$60,MATCH('3'!$B56,'Unique Asset List'!$A$4:$A$60,0),MATCH('3'!$C$1,'Unique Asset List'!$BN$3:$BT$3,0))</f>
        <v>0.12</v>
      </c>
      <c r="AF56" s="15">
        <f>INDEX('Unique Asset List'!$BU$4:$CA$60,MATCH('3'!$B56,'Unique Asset List'!$A$4:$A$60,0),MATCH('3'!$C$1,'Unique Asset List'!$BU$3:$CA$3,0))</f>
        <v>0.38</v>
      </c>
      <c r="AG56" s="15">
        <f>INDEX('Unique Asset List'!$AZ$4:$BF$60,MATCH('3'!$B56,'Unique Asset List'!$A$4:$A$60,0),MATCH('3'!$C$1,'Unique Asset List'!$AZ$3:$BF$3,0))</f>
        <v>0.12</v>
      </c>
      <c r="AH56" s="15">
        <f>INDEX('Unique Asset List'!$BG$4:$BM$60,MATCH('3'!$B56,'Unique Asset List'!$A$4:$A$60,0),MATCH('3'!$C$1,'Unique Asset List'!$BG$3:$BM$3,0))</f>
        <v>0.38</v>
      </c>
      <c r="AI56" s="11">
        <v>0.96187963349867744</v>
      </c>
      <c r="AJ56" s="15">
        <f>INDEX('Unique Asset List'!$AL$4:$AR$60,MATCH('3'!$B56,'Unique Asset List'!$A$4:$A$60,0),MATCH('3'!$C$1,'Unique Asset List'!$AL$3:$AR$3,0))</f>
        <v>2.1252009430760062</v>
      </c>
      <c r="AK56" s="15">
        <f>INDEX('Unique Asset List'!$AS$4:$AY$60,MATCH('3'!$B56,'Unique Asset List'!$A$4:$A$60,0),MATCH('3'!$C$1,'Unique Asset List'!$AS$3:$AY$3,0))</f>
        <v>-1.7169645793441486</v>
      </c>
      <c r="AL56" s="9">
        <v>169</v>
      </c>
      <c r="AM56" s="14">
        <f>INDEX(Simulation!$B$6:$H$6,MATCH($A56,Simulation!$B$1:$H$1,0))*(1+AN56)^((DATE(X56,Y56,15)-DATE(2017,1,15))/365.5)</f>
        <v>3.5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13"/>
        <v>0.82</v>
      </c>
      <c r="AS56" s="10">
        <v>1</v>
      </c>
      <c r="AT56" s="4">
        <f>IF($C$5="ON",BT56,MyRating(_E1,$B56,Efficacy!$F$1))</f>
        <v>0</v>
      </c>
      <c r="AU56" s="3">
        <f>IF($C$5="ON",BU56,MyRating(_E2,$B56,Efficacy!$F$1))</f>
        <v>0</v>
      </c>
      <c r="AV56" s="3">
        <f>IF($C$5="ON",BV56,MyRating(_E3,$B56,Efficacy!$F$1))</f>
        <v>0</v>
      </c>
      <c r="AW56" s="3">
        <f>IF($C$5="ON",BW56,MyRating(_E4,$B56,Efficacy!$F$1))</f>
        <v>0</v>
      </c>
      <c r="AX56" s="3">
        <f>IF($C$5="ON",BX56,MyRating(_E5,$B56,Efficacy!$F$1))</f>
        <v>0</v>
      </c>
      <c r="AY56" s="3">
        <f>IF($C$5="ON",BY56,MyRating(_E6,$B56,Efficacy!$F$1))</f>
        <v>0</v>
      </c>
      <c r="AZ56" s="3">
        <f>IF($C$5="ON",BZ56,MyRating(_E7,$B56,Efficacy!$F$1))</f>
        <v>0</v>
      </c>
      <c r="BA56" s="3">
        <f>IF($C$5="ON",CA56,MyRating(_E8,$B56,Efficacy!$F$1))</f>
        <v>0</v>
      </c>
      <c r="BB56" s="3">
        <f>IF($C$5="ON",CB56,MyRating(_S1,$B56,Efficacy!$F$1))</f>
        <v>0</v>
      </c>
      <c r="BC56" s="3">
        <f>IF($C$5="ON",CC56,MyRating(_S2,$B56,Efficacy!$F$1))</f>
        <v>0</v>
      </c>
      <c r="BD56" s="3">
        <f>IF($C$5="ON",CD56,MyRating(_S3,$B56,Efficacy!$F$1))</f>
        <v>0</v>
      </c>
      <c r="BE56" s="3">
        <f>IF($C$5="ON",CE56,MyRating(_S4,$B56,Efficacy!$F$1))</f>
        <v>0</v>
      </c>
      <c r="BF56" s="3">
        <f>IF($C$5="ON",CF56,MyRating(_S5,$B56,Efficacy!$F$1))</f>
        <v>0</v>
      </c>
      <c r="BG56" s="3">
        <f>IF($C$5="ON",CG56,MyRating(_S6,$B56,Efficacy!$F$1))</f>
        <v>0</v>
      </c>
      <c r="BH56" s="3">
        <f>IF($C$5="ON",CH56,MyRating(_S7,$B56,Efficacy!$F$1))</f>
        <v>0</v>
      </c>
      <c r="BI56" s="3">
        <f>IF($C$5="ON",CI56,MyRating(_D1,$B56,Efficacy!$F$1))</f>
        <v>0</v>
      </c>
      <c r="BJ56" s="3">
        <f>IF($C$5="ON",CJ56,MyRating(_D2,$B56,Efficacy!$F$1))</f>
        <v>0</v>
      </c>
      <c r="BK56" s="3">
        <f>IF($C$5="ON",CK56,MyRating(_D3,$B56,Efficacy!$F$1))</f>
        <v>0</v>
      </c>
      <c r="BL56" s="3">
        <f>IF($C$5="ON",CL56,MyRating(_D4,$B56,Efficacy!$F$1))</f>
        <v>0</v>
      </c>
      <c r="BM56" s="3">
        <f>IF($C$5="ON",CM56,MyRating(_B1G5,$B56,Barrier!$L$2))</f>
        <v>0</v>
      </c>
      <c r="BN56" s="3">
        <f>IF($C$5="ON",CN56,MyRating(_B2,$B56,Barrier!$F$2))</f>
        <v>0</v>
      </c>
      <c r="BO56" s="6">
        <f>IF($C$5="ON",CO56,MyRating(_B3,$B56,Barrier!$F$2))</f>
        <v>0</v>
      </c>
      <c r="BP56" s="5">
        <f t="shared" si="14"/>
        <v>0</v>
      </c>
      <c r="BQ56" s="8">
        <f t="shared" si="15"/>
        <v>0</v>
      </c>
      <c r="BR56" s="5">
        <f t="shared" si="16"/>
        <v>0</v>
      </c>
      <c r="BS56" s="7">
        <f t="shared" si="17"/>
        <v>0</v>
      </c>
      <c r="BT56" s="4">
        <v>0</v>
      </c>
      <c r="BU56" s="3">
        <v>0</v>
      </c>
      <c r="BV56" s="3">
        <v>0</v>
      </c>
      <c r="BW56" s="3">
        <v>0</v>
      </c>
      <c r="BX56" s="3">
        <v>0</v>
      </c>
      <c r="BY56" s="3">
        <v>0</v>
      </c>
      <c r="BZ56" s="3">
        <v>0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6">
        <v>0</v>
      </c>
      <c r="CP56" s="5">
        <v>0</v>
      </c>
      <c r="CQ56" s="61">
        <f t="shared" si="18"/>
        <v>2053</v>
      </c>
      <c r="CR56">
        <f t="shared" si="19"/>
        <v>9</v>
      </c>
    </row>
    <row r="57" spans="1:96" x14ac:dyDescent="0.35">
      <c r="A57" s="9" t="str">
        <f t="shared" si="12"/>
        <v>FR</v>
      </c>
      <c r="B57" s="9" t="s">
        <v>189</v>
      </c>
      <c r="C57" s="20" t="s">
        <v>3</v>
      </c>
      <c r="D57" s="9" t="s">
        <v>2</v>
      </c>
      <c r="E57" s="9"/>
      <c r="F57" s="9" t="s">
        <v>1</v>
      </c>
      <c r="G57" s="19">
        <v>0</v>
      </c>
      <c r="H57" s="9">
        <v>2014</v>
      </c>
      <c r="I57" s="9">
        <v>6</v>
      </c>
      <c r="J57" s="18">
        <f>INDEX(PTRS!$D$6:$D$12,MATCH('3'!$F57,PTRS!$B$6:$B$12,0))</f>
        <v>0.1044225</v>
      </c>
      <c r="K57" s="17">
        <v>0</v>
      </c>
      <c r="L57" s="17">
        <v>0.1044225</v>
      </c>
      <c r="M57" s="17">
        <v>0.1044225</v>
      </c>
      <c r="N57" s="17">
        <v>0.1044225</v>
      </c>
      <c r="O57" s="17">
        <v>0.1044225</v>
      </c>
      <c r="P57" s="17">
        <v>0.1044225</v>
      </c>
      <c r="Q57" s="17">
        <v>0.1044225</v>
      </c>
      <c r="R57" s="17">
        <v>0.1044225</v>
      </c>
      <c r="S57" s="17">
        <v>1</v>
      </c>
      <c r="T57" s="17"/>
      <c r="U57" s="17">
        <f t="shared" si="20"/>
        <v>0</v>
      </c>
      <c r="V57" s="17">
        <v>1</v>
      </c>
      <c r="W57" s="9" t="s">
        <v>0</v>
      </c>
      <c r="X57" s="9">
        <f>INDEX('Unique Asset List'!$C$4:$I$60,MATCH('3'!$B57,'Unique Asset List'!$A$4:$A$60,0),MATCH('3'!$C$1,'Unique Asset List'!$C$3:$I$3,0))</f>
        <v>2052</v>
      </c>
      <c r="Y57" s="9">
        <f>INDEX('Unique Asset List'!$J$4:$P$60,MATCH('3'!$B57,'Unique Asset List'!$A$4:$A$60,0),MATCH('3'!$C$1,'Unique Asset List'!$J$3:$P$3,0))</f>
        <v>6</v>
      </c>
      <c r="Z57" s="9">
        <f>INDEX('Unique Asset List'!$X$4:$AD$60,MATCH('3'!$B57,'Unique Asset List'!$A$4:$A$60,0),MATCH('3'!$C$1,'Unique Asset List'!$X$3:$AD$3,0))</f>
        <v>2060</v>
      </c>
      <c r="AA57" s="9">
        <f>INDEX('Unique Asset List'!$AE$4:$AK$60,MATCH('3'!$B57,'Unique Asset List'!$A$4:$A$60,0),MATCH('3'!$C$1,'Unique Asset List'!$AE$3:$AK$3,0))</f>
        <v>6</v>
      </c>
      <c r="AB57" s="16">
        <f t="shared" si="21"/>
        <v>0</v>
      </c>
      <c r="AC57" s="16">
        <f t="shared" si="22"/>
        <v>0</v>
      </c>
      <c r="AD57" s="16">
        <f t="shared" si="23"/>
        <v>0</v>
      </c>
      <c r="AE57" s="15">
        <f>INDEX('Unique Asset List'!$BN$4:$BT$60,MATCH('3'!$B57,'Unique Asset List'!$A$4:$A$60,0),MATCH('3'!$C$1,'Unique Asset List'!$BN$3:$BT$3,0))</f>
        <v>0.12</v>
      </c>
      <c r="AF57" s="15">
        <f>INDEX('Unique Asset List'!$BU$4:$CA$60,MATCH('3'!$B57,'Unique Asset List'!$A$4:$A$60,0),MATCH('3'!$C$1,'Unique Asset List'!$BU$3:$CA$3,0))</f>
        <v>0.38</v>
      </c>
      <c r="AG57" s="15">
        <f>INDEX('Unique Asset List'!$AZ$4:$BF$60,MATCH('3'!$B57,'Unique Asset List'!$A$4:$A$60,0),MATCH('3'!$C$1,'Unique Asset List'!$AZ$3:$BF$3,0))</f>
        <v>0.12</v>
      </c>
      <c r="AH57" s="15">
        <f>INDEX('Unique Asset List'!$BG$4:$BM$60,MATCH('3'!$B57,'Unique Asset List'!$A$4:$A$60,0),MATCH('3'!$C$1,'Unique Asset List'!$BG$3:$BM$3,0))</f>
        <v>0.38</v>
      </c>
      <c r="AI57" s="11">
        <v>0.96187963349867744</v>
      </c>
      <c r="AJ57" s="15">
        <f>INDEX('Unique Asset List'!$AL$4:$AR$60,MATCH('3'!$B57,'Unique Asset List'!$A$4:$A$60,0),MATCH('3'!$C$1,'Unique Asset List'!$AL$3:$AR$3,0))</f>
        <v>2.1252009430760062</v>
      </c>
      <c r="AK57" s="15">
        <f>INDEX('Unique Asset List'!$AS$4:$AY$60,MATCH('3'!$B57,'Unique Asset List'!$A$4:$A$60,0),MATCH('3'!$C$1,'Unique Asset List'!$AS$3:$AY$3,0))</f>
        <v>-1.7169645793441486</v>
      </c>
      <c r="AL57" s="9">
        <v>169</v>
      </c>
      <c r="AM57" s="14">
        <f>INDEX(Simulation!$B$6:$H$6,MATCH($A57,Simulation!$B$1:$H$1,0))*(1+AN57)^((DATE(X57,Y57,15)-DATE(2017,1,15))/365.5)</f>
        <v>3.5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13"/>
        <v>0.82</v>
      </c>
      <c r="AS57" s="10">
        <v>1</v>
      </c>
      <c r="AT57" s="4">
        <f>IF($C$5="ON",BT57,MyRating(_E1,$B57,Efficacy!$F$1))</f>
        <v>0</v>
      </c>
      <c r="AU57" s="3">
        <f>IF($C$5="ON",BU57,MyRating(_E2,$B57,Efficacy!$F$1))</f>
        <v>0</v>
      </c>
      <c r="AV57" s="3">
        <f>IF($C$5="ON",BV57,MyRating(_E3,$B57,Efficacy!$F$1))</f>
        <v>0</v>
      </c>
      <c r="AW57" s="3">
        <f>IF($C$5="ON",BW57,MyRating(_E4,$B57,Efficacy!$F$1))</f>
        <v>0</v>
      </c>
      <c r="AX57" s="3">
        <f>IF($C$5="ON",BX57,MyRating(_E5,$B57,Efficacy!$F$1))</f>
        <v>0</v>
      </c>
      <c r="AY57" s="3">
        <f>IF($C$5="ON",BY57,MyRating(_E6,$B57,Efficacy!$F$1))</f>
        <v>0</v>
      </c>
      <c r="AZ57" s="3">
        <f>IF($C$5="ON",BZ57,MyRating(_E7,$B57,Efficacy!$F$1))</f>
        <v>0</v>
      </c>
      <c r="BA57" s="3">
        <f>IF($C$5="ON",CA57,MyRating(_E8,$B57,Efficacy!$F$1))</f>
        <v>0</v>
      </c>
      <c r="BB57" s="3">
        <f>IF($C$5="ON",CB57,MyRating(_S1,$B57,Efficacy!$F$1))</f>
        <v>0</v>
      </c>
      <c r="BC57" s="3">
        <f>IF($C$5="ON",CC57,MyRating(_S2,$B57,Efficacy!$F$1))</f>
        <v>0</v>
      </c>
      <c r="BD57" s="3">
        <f>IF($C$5="ON",CD57,MyRating(_S3,$B57,Efficacy!$F$1))</f>
        <v>0</v>
      </c>
      <c r="BE57" s="3">
        <f>IF($C$5="ON",CE57,MyRating(_S4,$B57,Efficacy!$F$1))</f>
        <v>0</v>
      </c>
      <c r="BF57" s="3">
        <f>IF($C$5="ON",CF57,MyRating(_S5,$B57,Efficacy!$F$1))</f>
        <v>0</v>
      </c>
      <c r="BG57" s="3">
        <f>IF($C$5="ON",CG57,MyRating(_S6,$B57,Efficacy!$F$1))</f>
        <v>0</v>
      </c>
      <c r="BH57" s="3">
        <f>IF($C$5="ON",CH57,MyRating(_S7,$B57,Efficacy!$F$1))</f>
        <v>0</v>
      </c>
      <c r="BI57" s="3">
        <f>IF($C$5="ON",CI57,MyRating(_D1,$B57,Efficacy!$F$1))</f>
        <v>0</v>
      </c>
      <c r="BJ57" s="3">
        <f>IF($C$5="ON",CJ57,MyRating(_D2,$B57,Efficacy!$F$1))</f>
        <v>0</v>
      </c>
      <c r="BK57" s="3">
        <f>IF($C$5="ON",CK57,MyRating(_D3,$B57,Efficacy!$F$1))</f>
        <v>0</v>
      </c>
      <c r="BL57" s="3">
        <f>IF($C$5="ON",CL57,MyRating(_D4,$B57,Efficacy!$F$1))</f>
        <v>0</v>
      </c>
      <c r="BM57" s="3">
        <f>IF($C$5="ON",CM57,MyRating(_B1G5,$B57,Barrier!$L$2))</f>
        <v>0</v>
      </c>
      <c r="BN57" s="3">
        <f>IF($C$5="ON",CN57,MyRating(_B2,$B57,Barrier!$F$2))</f>
        <v>0</v>
      </c>
      <c r="BO57" s="6">
        <f>IF($C$5="ON",CO57,MyRating(_B3,$B57,Barrier!$F$2))</f>
        <v>0</v>
      </c>
      <c r="BP57" s="5">
        <f t="shared" si="14"/>
        <v>0</v>
      </c>
      <c r="BQ57" s="8">
        <f t="shared" si="15"/>
        <v>0</v>
      </c>
      <c r="BR57" s="5">
        <f t="shared" si="16"/>
        <v>0</v>
      </c>
      <c r="BS57" s="7">
        <f t="shared" si="17"/>
        <v>0</v>
      </c>
      <c r="BT57" s="4">
        <v>0</v>
      </c>
      <c r="BU57" s="3">
        <v>0</v>
      </c>
      <c r="BV57" s="3">
        <v>0</v>
      </c>
      <c r="BW57" s="3">
        <v>0</v>
      </c>
      <c r="BX57" s="3">
        <v>0</v>
      </c>
      <c r="BY57" s="3">
        <v>0</v>
      </c>
      <c r="BZ57" s="3">
        <v>0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6">
        <v>0</v>
      </c>
      <c r="CP57" s="5">
        <v>0</v>
      </c>
      <c r="CQ57" s="61">
        <f t="shared" si="18"/>
        <v>2053</v>
      </c>
      <c r="CR57">
        <f t="shared" si="19"/>
        <v>9</v>
      </c>
    </row>
    <row r="58" spans="1:96" x14ac:dyDescent="0.35">
      <c r="A58" s="9" t="str">
        <f t="shared" si="12"/>
        <v>FR</v>
      </c>
      <c r="B58" s="9" t="s">
        <v>188</v>
      </c>
      <c r="C58" s="20" t="s">
        <v>3</v>
      </c>
      <c r="D58" s="9" t="s">
        <v>2</v>
      </c>
      <c r="E58" s="9"/>
      <c r="F58" s="9" t="s">
        <v>1</v>
      </c>
      <c r="G58" s="19">
        <v>0</v>
      </c>
      <c r="H58" s="9">
        <v>2014</v>
      </c>
      <c r="I58" s="9">
        <v>6</v>
      </c>
      <c r="J58" s="18">
        <f>INDEX(PTRS!$D$6:$D$12,MATCH('3'!$F58,PTRS!$B$6:$B$12,0))</f>
        <v>0.1044225</v>
      </c>
      <c r="K58" s="17">
        <v>0</v>
      </c>
      <c r="L58" s="17">
        <v>0.1044225</v>
      </c>
      <c r="M58" s="17">
        <v>0.1044225</v>
      </c>
      <c r="N58" s="17">
        <v>0.1044225</v>
      </c>
      <c r="O58" s="17">
        <v>0.1044225</v>
      </c>
      <c r="P58" s="17">
        <v>0.1044225</v>
      </c>
      <c r="Q58" s="17">
        <v>0.1044225</v>
      </c>
      <c r="R58" s="17">
        <v>0.1044225</v>
      </c>
      <c r="S58" s="17">
        <v>1</v>
      </c>
      <c r="T58" s="17"/>
      <c r="U58" s="17">
        <f t="shared" si="20"/>
        <v>0</v>
      </c>
      <c r="V58" s="17">
        <v>1</v>
      </c>
      <c r="W58" s="9" t="s">
        <v>0</v>
      </c>
      <c r="X58" s="9">
        <f>INDEX('Unique Asset List'!$C$4:$I$60,MATCH('3'!$B58,'Unique Asset List'!$A$4:$A$60,0),MATCH('3'!$C$1,'Unique Asset List'!$C$3:$I$3,0))</f>
        <v>2052</v>
      </c>
      <c r="Y58" s="9">
        <f>INDEX('Unique Asset List'!$J$4:$P$60,MATCH('3'!$B58,'Unique Asset List'!$A$4:$A$60,0),MATCH('3'!$C$1,'Unique Asset List'!$J$3:$P$3,0))</f>
        <v>6</v>
      </c>
      <c r="Z58" s="9">
        <f>INDEX('Unique Asset List'!$X$4:$AD$60,MATCH('3'!$B58,'Unique Asset List'!$A$4:$A$60,0),MATCH('3'!$C$1,'Unique Asset List'!$X$3:$AD$3,0))</f>
        <v>2060</v>
      </c>
      <c r="AA58" s="9">
        <f>INDEX('Unique Asset List'!$AE$4:$AK$60,MATCH('3'!$B58,'Unique Asset List'!$A$4:$A$60,0),MATCH('3'!$C$1,'Unique Asset List'!$AE$3:$AK$3,0))</f>
        <v>6</v>
      </c>
      <c r="AB58" s="16">
        <f t="shared" si="21"/>
        <v>0</v>
      </c>
      <c r="AC58" s="16">
        <f t="shared" si="22"/>
        <v>0</v>
      </c>
      <c r="AD58" s="16">
        <f t="shared" si="23"/>
        <v>0</v>
      </c>
      <c r="AE58" s="15">
        <f>INDEX('Unique Asset List'!$BN$4:$BT$60,MATCH('3'!$B58,'Unique Asset List'!$A$4:$A$60,0),MATCH('3'!$C$1,'Unique Asset List'!$BN$3:$BT$3,0))</f>
        <v>0.12</v>
      </c>
      <c r="AF58" s="15">
        <f>INDEX('Unique Asset List'!$BU$4:$CA$60,MATCH('3'!$B58,'Unique Asset List'!$A$4:$A$60,0),MATCH('3'!$C$1,'Unique Asset List'!$BU$3:$CA$3,0))</f>
        <v>0.38</v>
      </c>
      <c r="AG58" s="15">
        <f>INDEX('Unique Asset List'!$AZ$4:$BF$60,MATCH('3'!$B58,'Unique Asset List'!$A$4:$A$60,0),MATCH('3'!$C$1,'Unique Asset List'!$AZ$3:$BF$3,0))</f>
        <v>0.12</v>
      </c>
      <c r="AH58" s="15">
        <f>INDEX('Unique Asset List'!$BG$4:$BM$60,MATCH('3'!$B58,'Unique Asset List'!$A$4:$A$60,0),MATCH('3'!$C$1,'Unique Asset List'!$BG$3:$BM$3,0))</f>
        <v>0.38</v>
      </c>
      <c r="AI58" s="11">
        <v>0.96187963349867744</v>
      </c>
      <c r="AJ58" s="15">
        <f>INDEX('Unique Asset List'!$AL$4:$AR$60,MATCH('3'!$B58,'Unique Asset List'!$A$4:$A$60,0),MATCH('3'!$C$1,'Unique Asset List'!$AL$3:$AR$3,0))</f>
        <v>2.1252009430760062</v>
      </c>
      <c r="AK58" s="15">
        <f>INDEX('Unique Asset List'!$AS$4:$AY$60,MATCH('3'!$B58,'Unique Asset List'!$A$4:$A$60,0),MATCH('3'!$C$1,'Unique Asset List'!$AS$3:$AY$3,0))</f>
        <v>-1.7169645793441486</v>
      </c>
      <c r="AL58" s="9">
        <v>169</v>
      </c>
      <c r="AM58" s="14">
        <f>INDEX(Simulation!$B$6:$H$6,MATCH($A58,Simulation!$B$1:$H$1,0))*(1+AN58)^((DATE(X58,Y58,15)-DATE(2017,1,15))/365.5)</f>
        <v>3.5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13"/>
        <v>0.82</v>
      </c>
      <c r="AS58" s="10">
        <v>1</v>
      </c>
      <c r="AT58" s="4">
        <f>IF($C$5="ON",BT58,MyRating(_E1,$B58,Efficacy!$F$1))</f>
        <v>0</v>
      </c>
      <c r="AU58" s="3">
        <f>IF($C$5="ON",BU58,MyRating(_E2,$B58,Efficacy!$F$1))</f>
        <v>0</v>
      </c>
      <c r="AV58" s="3">
        <f>IF($C$5="ON",BV58,MyRating(_E3,$B58,Efficacy!$F$1))</f>
        <v>0</v>
      </c>
      <c r="AW58" s="3">
        <f>IF($C$5="ON",BW58,MyRating(_E4,$B58,Efficacy!$F$1))</f>
        <v>0</v>
      </c>
      <c r="AX58" s="3">
        <f>IF($C$5="ON",BX58,MyRating(_E5,$B58,Efficacy!$F$1))</f>
        <v>0</v>
      </c>
      <c r="AY58" s="3">
        <f>IF($C$5="ON",BY58,MyRating(_E6,$B58,Efficacy!$F$1))</f>
        <v>0</v>
      </c>
      <c r="AZ58" s="3">
        <f>IF($C$5="ON",BZ58,MyRating(_E7,$B58,Efficacy!$F$1))</f>
        <v>0</v>
      </c>
      <c r="BA58" s="3">
        <f>IF($C$5="ON",CA58,MyRating(_E8,$B58,Efficacy!$F$1))</f>
        <v>0</v>
      </c>
      <c r="BB58" s="3">
        <f>IF($C$5="ON",CB58,MyRating(_S1,$B58,Efficacy!$F$1))</f>
        <v>0</v>
      </c>
      <c r="BC58" s="3">
        <f>IF($C$5="ON",CC58,MyRating(_S2,$B58,Efficacy!$F$1))</f>
        <v>0</v>
      </c>
      <c r="BD58" s="3">
        <f>IF($C$5="ON",CD58,MyRating(_S3,$B58,Efficacy!$F$1))</f>
        <v>0</v>
      </c>
      <c r="BE58" s="3">
        <f>IF($C$5="ON",CE58,MyRating(_S4,$B58,Efficacy!$F$1))</f>
        <v>0</v>
      </c>
      <c r="BF58" s="3">
        <f>IF($C$5="ON",CF58,MyRating(_S5,$B58,Efficacy!$F$1))</f>
        <v>0</v>
      </c>
      <c r="BG58" s="3">
        <f>IF($C$5="ON",CG58,MyRating(_S6,$B58,Efficacy!$F$1))</f>
        <v>0</v>
      </c>
      <c r="BH58" s="3">
        <f>IF($C$5="ON",CH58,MyRating(_S7,$B58,Efficacy!$F$1))</f>
        <v>0</v>
      </c>
      <c r="BI58" s="3">
        <f>IF($C$5="ON",CI58,MyRating(_D1,$B58,Efficacy!$F$1))</f>
        <v>0</v>
      </c>
      <c r="BJ58" s="3">
        <f>IF($C$5="ON",CJ58,MyRating(_D2,$B58,Efficacy!$F$1))</f>
        <v>0</v>
      </c>
      <c r="BK58" s="3">
        <f>IF($C$5="ON",CK58,MyRating(_D3,$B58,Efficacy!$F$1))</f>
        <v>0</v>
      </c>
      <c r="BL58" s="3">
        <f>IF($C$5="ON",CL58,MyRating(_D4,$B58,Efficacy!$F$1))</f>
        <v>0</v>
      </c>
      <c r="BM58" s="3">
        <f>IF($C$5="ON",CM58,MyRating(_B1G5,$B58,Barrier!$L$2))</f>
        <v>0</v>
      </c>
      <c r="BN58" s="3">
        <f>IF($C$5="ON",CN58,MyRating(_B2,$B58,Barrier!$F$2))</f>
        <v>0</v>
      </c>
      <c r="BO58" s="6">
        <f>IF($C$5="ON",CO58,MyRating(_B3,$B58,Barrier!$F$2))</f>
        <v>0</v>
      </c>
      <c r="BP58" s="5">
        <f t="shared" si="14"/>
        <v>0</v>
      </c>
      <c r="BQ58" s="8">
        <f t="shared" si="15"/>
        <v>0</v>
      </c>
      <c r="BR58" s="5">
        <f t="shared" si="16"/>
        <v>0</v>
      </c>
      <c r="BS58" s="7">
        <f t="shared" si="17"/>
        <v>0</v>
      </c>
      <c r="BT58" s="4">
        <v>0</v>
      </c>
      <c r="BU58" s="3">
        <v>0</v>
      </c>
      <c r="BV58" s="3">
        <v>0</v>
      </c>
      <c r="BW58" s="3">
        <v>0</v>
      </c>
      <c r="BX58" s="3">
        <v>0</v>
      </c>
      <c r="BY58" s="3">
        <v>0</v>
      </c>
      <c r="BZ58" s="3">
        <v>0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6">
        <v>0</v>
      </c>
      <c r="CP58" s="5">
        <v>0</v>
      </c>
      <c r="CQ58" s="61">
        <f t="shared" si="18"/>
        <v>2053</v>
      </c>
      <c r="CR58">
        <f t="shared" si="19"/>
        <v>9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3">
    <dataValidation type="list" allowBlank="1" showInputMessage="1" showErrorMessage="1" sqref="C5" xr:uid="{00000000-0002-0000-0100-000002000000}">
      <formula1>"ON,OFF"</formula1>
    </dataValidation>
    <dataValidation type="list" allowBlank="1" showInputMessage="1" showErrorMessage="1" sqref="C1" xr:uid="{00000000-0002-0000-0100-000001000000}">
      <formula1>"US,FR,DE,ES,IT,UK,JP"</formula1>
    </dataValidation>
    <dataValidation type="list" allowBlank="1" showInputMessage="1" showErrorMessage="1" sqref="J1:S1" xr:uid="{00000000-0002-0000-0100-000000000000}">
      <formula1>$J$8:$S$8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938CC-6930-4B1E-9EF6-59852F3E6E8B}">
  <sheetPr codeName="Sheet7">
    <outlinePr summaryBelow="0" summaryRight="0"/>
  </sheetPr>
  <dimension ref="A1:CP58"/>
  <sheetViews>
    <sheetView zoomScale="67" zoomScaleNormal="67" workbookViewId="0">
      <selection sqref="A1:B1"/>
    </sheetView>
  </sheetViews>
  <sheetFormatPr defaultRowHeight="14.5" x14ac:dyDescent="0.35"/>
  <cols>
    <col min="1" max="1" width="6.81640625" customWidth="1"/>
    <col min="2" max="2" width="24.26953125" bestFit="1" customWidth="1"/>
    <col min="3" max="3" width="4.81640625" bestFit="1" customWidth="1"/>
    <col min="4" max="4" width="11.453125" bestFit="1" customWidth="1"/>
    <col min="5" max="5" width="8.26953125" bestFit="1" customWidth="1"/>
    <col min="6" max="6" width="8.453125" bestFit="1" customWidth="1"/>
    <col min="7" max="7" width="5.1796875" customWidth="1"/>
    <col min="8" max="8" width="4.453125" bestFit="1" customWidth="1"/>
    <col min="9" max="9" width="4" bestFit="1" customWidth="1"/>
    <col min="10" max="10" width="4.81640625" bestFit="1" customWidth="1"/>
    <col min="11" max="19" width="5.1796875" customWidth="1"/>
    <col min="20" max="20" width="17.1796875" bestFit="1" customWidth="1"/>
    <col min="21" max="21" width="7.1796875" bestFit="1" customWidth="1"/>
    <col min="22" max="22" width="4.81640625" bestFit="1" customWidth="1"/>
    <col min="23" max="23" width="8.7265625" bestFit="1" customWidth="1"/>
    <col min="24" max="24" width="4.81640625" bestFit="1" customWidth="1"/>
    <col min="25" max="25" width="3.1796875" bestFit="1" customWidth="1"/>
    <col min="26" max="30" width="5" bestFit="1" customWidth="1"/>
    <col min="31" max="35" width="4" bestFit="1" customWidth="1"/>
    <col min="36" max="36" width="4" customWidth="1"/>
    <col min="37" max="37" width="4.81640625" bestFit="1" customWidth="1"/>
    <col min="38" max="38" width="4" style="2" bestFit="1" customWidth="1"/>
    <col min="39" max="39" width="5.7265625" style="2" bestFit="1" customWidth="1"/>
    <col min="40" max="40" width="4.81640625" style="2" bestFit="1" customWidth="1"/>
    <col min="41" max="41" width="4" style="2" customWidth="1"/>
    <col min="42" max="42" width="5.26953125" bestFit="1" customWidth="1"/>
    <col min="43" max="43" width="4.81640625" style="2" bestFit="1" customWidth="1"/>
    <col min="44" max="44" width="5.26953125" bestFit="1" customWidth="1"/>
    <col min="45" max="45" width="4.54296875" customWidth="1"/>
    <col min="46" max="46" width="3.26953125" bestFit="1" customWidth="1"/>
    <col min="47" max="47" width="3.54296875" bestFit="1" customWidth="1"/>
    <col min="48" max="48" width="4.54296875" bestFit="1" customWidth="1"/>
    <col min="49" max="64" width="3.54296875" bestFit="1" customWidth="1"/>
    <col min="65" max="65" width="3.26953125" bestFit="1" customWidth="1"/>
    <col min="66" max="67" width="4.26953125" customWidth="1"/>
    <col min="68" max="71" width="7.7265625" style="1" bestFit="1" customWidth="1"/>
    <col min="72" max="73" width="3.54296875" bestFit="1" customWidth="1"/>
    <col min="74" max="74" width="4.54296875" bestFit="1" customWidth="1"/>
    <col min="75" max="91" width="3.54296875" bestFit="1" customWidth="1"/>
    <col min="92" max="93" width="4.54296875" bestFit="1" customWidth="1"/>
    <col min="94" max="94" width="5.1796875" style="1" bestFit="1" customWidth="1"/>
  </cols>
  <sheetData>
    <row r="1" spans="1:94" x14ac:dyDescent="0.35">
      <c r="A1" s="177" t="s">
        <v>187</v>
      </c>
      <c r="B1" s="179"/>
      <c r="C1" s="58" t="s">
        <v>184</v>
      </c>
      <c r="D1" s="57"/>
      <c r="E1" s="57"/>
      <c r="F1" s="177" t="s">
        <v>186</v>
      </c>
      <c r="G1" s="178"/>
      <c r="H1" s="178"/>
      <c r="I1" s="178"/>
      <c r="J1" s="180" t="s">
        <v>202</v>
      </c>
      <c r="K1" s="181"/>
      <c r="L1" s="181"/>
      <c r="M1" s="181"/>
      <c r="N1" s="181"/>
      <c r="O1" s="181"/>
      <c r="P1" s="181"/>
      <c r="Q1" s="181"/>
      <c r="R1" s="181"/>
      <c r="S1" s="182"/>
      <c r="T1" s="177" t="s">
        <v>185</v>
      </c>
      <c r="U1" s="178"/>
      <c r="V1" s="178"/>
      <c r="W1" s="179"/>
      <c r="X1" s="49">
        <v>3</v>
      </c>
      <c r="AL1"/>
      <c r="AM1"/>
      <c r="AN1"/>
      <c r="AO1"/>
      <c r="AQ1"/>
      <c r="BQ1" s="37"/>
    </row>
    <row r="2" spans="1:94" x14ac:dyDescent="0.35">
      <c r="B2" t="s">
        <v>178</v>
      </c>
      <c r="C2" s="50">
        <v>3</v>
      </c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T2" s="177" t="s">
        <v>174</v>
      </c>
      <c r="U2" s="178"/>
      <c r="V2" s="178"/>
      <c r="W2" s="179"/>
      <c r="X2" s="49">
        <v>0.2</v>
      </c>
      <c r="AL2"/>
      <c r="AM2"/>
      <c r="AN2"/>
      <c r="AO2"/>
      <c r="AQ2"/>
      <c r="BQ2" s="37"/>
    </row>
    <row r="3" spans="1:94" x14ac:dyDescent="0.35">
      <c r="B3" t="s">
        <v>172</v>
      </c>
      <c r="C3" s="50">
        <v>2</v>
      </c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T3" s="177" t="s">
        <v>171</v>
      </c>
      <c r="U3" s="178"/>
      <c r="V3" s="178"/>
      <c r="W3" s="179"/>
      <c r="X3" s="49">
        <v>-0.5</v>
      </c>
      <c r="AL3"/>
      <c r="AM3"/>
      <c r="AN3"/>
      <c r="AO3"/>
      <c r="AQ3"/>
      <c r="BQ3" s="37"/>
    </row>
    <row r="4" spans="1:94" x14ac:dyDescent="0.35">
      <c r="B4" t="s">
        <v>169</v>
      </c>
      <c r="C4" s="47">
        <v>0.01</v>
      </c>
      <c r="T4" s="177" t="s">
        <v>168</v>
      </c>
      <c r="U4" s="178"/>
      <c r="V4" s="178"/>
      <c r="W4" s="179"/>
      <c r="X4" s="49">
        <v>1.2</v>
      </c>
      <c r="AL4"/>
      <c r="AM4"/>
      <c r="AN4"/>
      <c r="AO4"/>
      <c r="AQ4"/>
      <c r="BQ4" s="37"/>
    </row>
    <row r="5" spans="1:94" x14ac:dyDescent="0.35">
      <c r="B5" t="s">
        <v>207</v>
      </c>
      <c r="C5" s="47" t="s">
        <v>165</v>
      </c>
      <c r="D5" s="46"/>
      <c r="U5" s="45"/>
      <c r="V5" s="44"/>
      <c r="AL5"/>
      <c r="AM5"/>
      <c r="AN5"/>
      <c r="AO5"/>
      <c r="AQ5"/>
      <c r="BQ5" s="37"/>
    </row>
    <row r="6" spans="1:94" x14ac:dyDescent="0.35">
      <c r="AL6"/>
      <c r="AM6"/>
      <c r="AN6"/>
      <c r="AO6"/>
      <c r="AQ6"/>
      <c r="BQ6" s="37"/>
    </row>
    <row r="7" spans="1:94" x14ac:dyDescent="0.35">
      <c r="AL7"/>
      <c r="AM7"/>
      <c r="AN7"/>
      <c r="AO7"/>
      <c r="AQ7"/>
      <c r="AT7" s="29">
        <f>IF($C$5="ON",BT7,INDEX(Conjoint!$F$9:$F$33,MATCH(AT8,Conjoint!$B$9:$B$33,0)))</f>
        <v>8.4581000000000003E-2</v>
      </c>
      <c r="AU7" s="29">
        <f>IF($C$5="ON",BU7,INDEX(Conjoint!$F$9:$F$33,MATCH(AU8,Conjoint!$B$9:$B$33,0)))</f>
        <v>8.0703200000000017E-2</v>
      </c>
      <c r="AV7" s="29">
        <f>IF($C$5="ON",BV7,INDEX(Conjoint!$F$9:$F$33,MATCH(AV8,Conjoint!$B$9:$B$33,0)))</f>
        <v>9.5090400000000005E-2</v>
      </c>
      <c r="AW7" s="29">
        <f>IF($C$5="ON",BW7,INDEX(Conjoint!$F$9:$F$33,MATCH(AW8,Conjoint!$B$9:$B$33,0)))</f>
        <v>8.2614000000000007E-2</v>
      </c>
      <c r="AX7" s="29">
        <f>IF($C$5="ON",BX7,INDEX(Conjoint!$F$9:$F$33,MATCH(AX8,Conjoint!$B$9:$B$33,0)))</f>
        <v>6.1089400000000009E-2</v>
      </c>
      <c r="AY7" s="29">
        <f>IF($C$5="ON",BY7,INDEX(Conjoint!$F$9:$F$33,MATCH(AY8,Conjoint!$B$9:$B$33,0)))</f>
        <v>5.8054600000000005E-2</v>
      </c>
      <c r="AZ7" s="29">
        <f>IF($C$5="ON",BZ7,INDEX(Conjoint!$F$9:$F$33,MATCH(AZ8,Conjoint!$B$9:$B$33,0)))</f>
        <v>3.8047400000000002E-2</v>
      </c>
      <c r="BA7" s="29">
        <f>IF($C$5="ON",CA7,INDEX(Conjoint!$F$9:$F$33,MATCH(BA8,Conjoint!$B$9:$B$33,0)))</f>
        <v>6.1820000000000007E-2</v>
      </c>
      <c r="BB7" s="29">
        <f>IF($C$5="ON",CB7,INDEX(Conjoint!$F$9:$F$33,MATCH(BB8,Conjoint!$B$9:$B$33,0)))</f>
        <v>6.1469900000000001E-2</v>
      </c>
      <c r="BC7" s="29">
        <f>IF($C$5="ON",CC7,INDEX(Conjoint!$F$9:$F$33,MATCH(BC8,Conjoint!$B$9:$B$33,0)))</f>
        <v>2.4572900000000002E-2</v>
      </c>
      <c r="BD7" s="29">
        <f>IF($C$5="ON",CD7,INDEX(Conjoint!$F$9:$F$33,MATCH(BD8,Conjoint!$B$9:$B$33,0)))</f>
        <v>3.06471E-2</v>
      </c>
      <c r="BE7" s="29">
        <f>IF($C$5="ON",CE7,INDEX(Conjoint!$F$9:$F$33,MATCH(BE8,Conjoint!$B$9:$B$33,0)))</f>
        <v>3.4964300000000004E-2</v>
      </c>
      <c r="BF7" s="29">
        <f>IF($C$5="ON",CF7,INDEX(Conjoint!$F$9:$F$33,MATCH(BF8,Conjoint!$B$9:$B$33,0)))</f>
        <v>4.6008299999999995E-2</v>
      </c>
      <c r="BG7" s="29">
        <f>IF($C$5="ON",CG7,INDEX(Conjoint!$F$9:$F$33,MATCH(BG8,Conjoint!$B$9:$B$33,0)))</f>
        <v>2.14354E-2</v>
      </c>
      <c r="BH7" s="29">
        <f>IF($C$5="ON",CH7,INDEX(Conjoint!$F$9:$F$33,MATCH(BH8,Conjoint!$B$9:$B$33,0)))</f>
        <v>3.1877000000000003E-2</v>
      </c>
      <c r="BI7" s="29">
        <f>IF($C$5="ON",CI7,INDEX(Conjoint!$F$9:$F$33,MATCH(BI8,Conjoint!$B$9:$B$33,0)))</f>
        <v>5.9704054739999991E-2</v>
      </c>
      <c r="BJ7" s="29">
        <f>IF($C$5="ON",CJ7,INDEX(Conjoint!$F$9:$F$33,MATCH(BJ8,Conjoint!$B$9:$B$33,0)))</f>
        <v>4.0027204139999994E-2</v>
      </c>
      <c r="BK7" s="29">
        <f>IF($C$5="ON",CK7,INDEX(Conjoint!$F$9:$F$33,MATCH(BK8,Conjoint!$B$9:$B$33,0)))</f>
        <v>3.2328141120000001E-2</v>
      </c>
      <c r="BL7" s="29">
        <f>IF($C$5="ON",CL7,INDEX(Conjoint!$F$9:$F$33,MATCH(BL8,Conjoint!$B$9:$B$33,0)))</f>
        <v>5.4940599999999999E-2</v>
      </c>
      <c r="BM7" s="29">
        <f>IF($C$5="ON",CM7,INDEX(Conjoint!$F$9:$F$33,MATCH(BM8,Conjoint!$B$9:$B$33,0)))</f>
        <v>0.05</v>
      </c>
      <c r="BN7" s="29">
        <f>IF($C$5="ON",CN7,INDEX(Conjoint!$F$9:$F$33,MATCH(BN8,Conjoint!$B$9:$B$33,0)))</f>
        <v>0.47499999999999998</v>
      </c>
      <c r="BO7" s="29">
        <f>IF($C$5="ON",CO7,INDEX(Conjoint!$F$9:$F$33,MATCH(BO8,Conjoint!$B$9:$B$33,0)))</f>
        <v>0.47499999999999998</v>
      </c>
      <c r="BP7" s="33">
        <f>MAX(BP9:BP58)</f>
        <v>4.9932578149053504E-2</v>
      </c>
      <c r="BQ7" s="36">
        <f>SUM(BQ9:BQ58)</f>
        <v>81.850000000000037</v>
      </c>
      <c r="BR7" s="35"/>
      <c r="BS7" s="34">
        <f>SUM(BS9:BS58)</f>
        <v>0.51114776305424126</v>
      </c>
      <c r="BT7" s="29">
        <v>8.4581000000000003E-2</v>
      </c>
      <c r="BU7" s="29">
        <v>8.0703200000000017E-2</v>
      </c>
      <c r="BV7" s="29">
        <v>9.5090400000000005E-2</v>
      </c>
      <c r="BW7" s="29">
        <v>8.2614000000000007E-2</v>
      </c>
      <c r="BX7" s="29">
        <v>6.1089400000000009E-2</v>
      </c>
      <c r="BY7" s="29">
        <v>5.8054600000000005E-2</v>
      </c>
      <c r="BZ7" s="29">
        <v>3.8047400000000002E-2</v>
      </c>
      <c r="CA7" s="29">
        <v>6.1820000000000007E-2</v>
      </c>
      <c r="CB7" s="29">
        <v>6.1469900000000001E-2</v>
      </c>
      <c r="CC7" s="29">
        <v>2.4572900000000002E-2</v>
      </c>
      <c r="CD7" s="29">
        <v>3.06471E-2</v>
      </c>
      <c r="CE7" s="29">
        <v>3.4964300000000004E-2</v>
      </c>
      <c r="CF7" s="29">
        <v>4.6008299999999995E-2</v>
      </c>
      <c r="CG7" s="29">
        <v>2.14354E-2</v>
      </c>
      <c r="CH7" s="29">
        <v>3.1877000000000003E-2</v>
      </c>
      <c r="CI7" s="29">
        <v>5.9704054739999991E-2</v>
      </c>
      <c r="CJ7" s="29">
        <v>4.0027204139999994E-2</v>
      </c>
      <c r="CK7" s="29">
        <v>3.2328141120000001E-2</v>
      </c>
      <c r="CL7" s="29">
        <v>5.4940599999999999E-2</v>
      </c>
      <c r="CM7" s="29">
        <v>0.05</v>
      </c>
      <c r="CN7" s="29">
        <v>0.47499999999999998</v>
      </c>
      <c r="CO7" s="28">
        <v>0.47499999999999998</v>
      </c>
      <c r="CP7" s="33">
        <v>5.3883834849545127E-2</v>
      </c>
    </row>
    <row r="8" spans="1:94" ht="104.25" customHeight="1" x14ac:dyDescent="0.35">
      <c r="A8" s="30" t="s">
        <v>162</v>
      </c>
      <c r="B8" s="30" t="s">
        <v>161</v>
      </c>
      <c r="C8" s="31" t="s">
        <v>160</v>
      </c>
      <c r="D8" s="31" t="s">
        <v>159</v>
      </c>
      <c r="E8" s="31" t="s">
        <v>158</v>
      </c>
      <c r="F8" s="31" t="s">
        <v>157</v>
      </c>
      <c r="G8" s="31" t="s">
        <v>156</v>
      </c>
      <c r="H8" s="31" t="s">
        <v>155</v>
      </c>
      <c r="I8" s="31" t="s">
        <v>154</v>
      </c>
      <c r="J8" s="32" t="s">
        <v>206</v>
      </c>
      <c r="K8" s="32" t="s">
        <v>205</v>
      </c>
      <c r="L8" s="32" t="s">
        <v>153</v>
      </c>
      <c r="M8" s="32" t="s">
        <v>204</v>
      </c>
      <c r="N8" s="32" t="s">
        <v>203</v>
      </c>
      <c r="O8" s="32" t="s">
        <v>202</v>
      </c>
      <c r="P8" s="32" t="s">
        <v>201</v>
      </c>
      <c r="Q8" s="32" t="s">
        <v>200</v>
      </c>
      <c r="R8" s="32" t="s">
        <v>152</v>
      </c>
      <c r="S8" s="32" t="s">
        <v>151</v>
      </c>
      <c r="T8" s="31" t="s">
        <v>150</v>
      </c>
      <c r="U8" s="31" t="s">
        <v>199</v>
      </c>
      <c r="V8" s="31" t="s">
        <v>198</v>
      </c>
      <c r="W8" s="31" t="s">
        <v>149</v>
      </c>
      <c r="X8" s="31" t="s">
        <v>148</v>
      </c>
      <c r="Y8" s="31" t="s">
        <v>147</v>
      </c>
      <c r="Z8" s="31" t="s">
        <v>146</v>
      </c>
      <c r="AA8" s="31" t="s">
        <v>145</v>
      </c>
      <c r="AB8" s="31" t="s">
        <v>144</v>
      </c>
      <c r="AC8" s="31" t="s">
        <v>143</v>
      </c>
      <c r="AD8" s="31" t="s">
        <v>142</v>
      </c>
      <c r="AE8" s="31" t="s">
        <v>141</v>
      </c>
      <c r="AF8" s="31" t="s">
        <v>140</v>
      </c>
      <c r="AG8" s="31" t="s">
        <v>139</v>
      </c>
      <c r="AH8" s="31" t="s">
        <v>138</v>
      </c>
      <c r="AI8" s="31" t="s">
        <v>137</v>
      </c>
      <c r="AJ8" s="31" t="s">
        <v>136</v>
      </c>
      <c r="AK8" s="31" t="s">
        <v>135</v>
      </c>
      <c r="AL8" s="31" t="s">
        <v>134</v>
      </c>
      <c r="AM8" s="31" t="s">
        <v>133</v>
      </c>
      <c r="AN8" s="31" t="s">
        <v>132</v>
      </c>
      <c r="AO8" s="31" t="s">
        <v>131</v>
      </c>
      <c r="AP8" s="31" t="s">
        <v>130</v>
      </c>
      <c r="AQ8" s="31" t="s">
        <v>129</v>
      </c>
      <c r="AR8" s="31" t="s">
        <v>128</v>
      </c>
      <c r="AS8" s="31" t="s">
        <v>127</v>
      </c>
      <c r="AT8" s="26" t="s">
        <v>119</v>
      </c>
      <c r="AU8" s="25" t="s">
        <v>118</v>
      </c>
      <c r="AV8" s="25" t="s">
        <v>117</v>
      </c>
      <c r="AW8" s="25" t="s">
        <v>116</v>
      </c>
      <c r="AX8" s="25" t="s">
        <v>115</v>
      </c>
      <c r="AY8" s="25" t="s">
        <v>114</v>
      </c>
      <c r="AZ8" s="25" t="s">
        <v>113</v>
      </c>
      <c r="BA8" s="25" t="s">
        <v>112</v>
      </c>
      <c r="BB8" s="25" t="s">
        <v>111</v>
      </c>
      <c r="BC8" s="25" t="s">
        <v>110</v>
      </c>
      <c r="BD8" s="25" t="s">
        <v>109</v>
      </c>
      <c r="BE8" s="25" t="s">
        <v>108</v>
      </c>
      <c r="BF8" s="25" t="s">
        <v>107</v>
      </c>
      <c r="BG8" s="25" t="s">
        <v>106</v>
      </c>
      <c r="BH8" s="25" t="s">
        <v>105</v>
      </c>
      <c r="BI8" s="25" t="s">
        <v>104</v>
      </c>
      <c r="BJ8" s="25" t="s">
        <v>103</v>
      </c>
      <c r="BK8" s="25" t="s">
        <v>102</v>
      </c>
      <c r="BL8" s="25" t="s">
        <v>101</v>
      </c>
      <c r="BM8" s="29" t="s">
        <v>123</v>
      </c>
      <c r="BN8" s="29" t="s">
        <v>122</v>
      </c>
      <c r="BO8" s="28" t="s">
        <v>121</v>
      </c>
      <c r="BP8" s="27" t="s">
        <v>120</v>
      </c>
      <c r="BQ8" s="27" t="s">
        <v>126</v>
      </c>
      <c r="BR8" s="27" t="s">
        <v>125</v>
      </c>
      <c r="BS8" s="27" t="s">
        <v>124</v>
      </c>
      <c r="BT8" s="26" t="s">
        <v>119</v>
      </c>
      <c r="BU8" s="25" t="s">
        <v>118</v>
      </c>
      <c r="BV8" s="25" t="s">
        <v>117</v>
      </c>
      <c r="BW8" s="25" t="s">
        <v>116</v>
      </c>
      <c r="BX8" s="25" t="s">
        <v>115</v>
      </c>
      <c r="BY8" s="25" t="s">
        <v>114</v>
      </c>
      <c r="BZ8" s="25" t="s">
        <v>113</v>
      </c>
      <c r="CA8" s="25" t="s">
        <v>112</v>
      </c>
      <c r="CB8" s="25" t="s">
        <v>111</v>
      </c>
      <c r="CC8" s="25" t="s">
        <v>110</v>
      </c>
      <c r="CD8" s="25" t="s">
        <v>109</v>
      </c>
      <c r="CE8" s="25" t="s">
        <v>108</v>
      </c>
      <c r="CF8" s="25" t="s">
        <v>107</v>
      </c>
      <c r="CG8" s="25" t="s">
        <v>106</v>
      </c>
      <c r="CH8" s="25" t="s">
        <v>105</v>
      </c>
      <c r="CI8" s="25" t="s">
        <v>104</v>
      </c>
      <c r="CJ8" s="25" t="s">
        <v>103</v>
      </c>
      <c r="CK8" s="25" t="s">
        <v>102</v>
      </c>
      <c r="CL8" s="25" t="s">
        <v>101</v>
      </c>
      <c r="CM8" s="29" t="s">
        <v>123</v>
      </c>
      <c r="CN8" s="29" t="s">
        <v>122</v>
      </c>
      <c r="CO8" s="28" t="s">
        <v>121</v>
      </c>
      <c r="CP8" s="27" t="s">
        <v>120</v>
      </c>
    </row>
    <row r="9" spans="1:94" x14ac:dyDescent="0.35">
      <c r="A9" s="9" t="s">
        <v>184</v>
      </c>
      <c r="B9" s="9" t="s">
        <v>49</v>
      </c>
      <c r="C9" s="20"/>
      <c r="D9" s="9" t="s">
        <v>48</v>
      </c>
      <c r="E9" s="9" t="s">
        <v>193</v>
      </c>
      <c r="F9" s="9" t="s">
        <v>47</v>
      </c>
      <c r="G9" s="19">
        <v>0.16</v>
      </c>
      <c r="H9" s="9">
        <v>2014</v>
      </c>
      <c r="I9" s="9">
        <v>6</v>
      </c>
      <c r="J9" s="18">
        <f>INDEX(PTRS!$D$6:$D$12,MATCH('2'!$F9,PTRS!$B$6:$B$12,0))</f>
        <v>1</v>
      </c>
      <c r="K9" s="17">
        <v>1</v>
      </c>
      <c r="L9" s="17">
        <v>1</v>
      </c>
      <c r="M9" s="17">
        <v>1</v>
      </c>
      <c r="N9" s="17">
        <v>1</v>
      </c>
      <c r="O9" s="17">
        <v>1</v>
      </c>
      <c r="P9" s="17">
        <v>1</v>
      </c>
      <c r="Q9" s="17">
        <v>1</v>
      </c>
      <c r="R9" s="17">
        <v>1</v>
      </c>
      <c r="S9" s="17">
        <v>1</v>
      </c>
      <c r="T9" s="17"/>
      <c r="U9" s="17">
        <f t="shared" ref="U9:U36" si="0">BP9/$BP$7</f>
        <v>0.74129766176673451</v>
      </c>
      <c r="V9" s="17">
        <v>1</v>
      </c>
      <c r="W9" s="9" t="s">
        <v>46</v>
      </c>
      <c r="X9" s="9">
        <f>INDEX('Unique Asset List'!$C$4:$I$60,MATCH('2'!$B9,'Unique Asset List'!$A$4:$A$60,0),MATCH('2'!$C$1,'Unique Asset List'!$C$3:$I$3,0))</f>
        <v>1984</v>
      </c>
      <c r="Y9" s="9">
        <f>INDEX('Unique Asset List'!$J$4:$P$60,MATCH('2'!$B9,'Unique Asset List'!$A$4:$A$60,0),MATCH('2'!$C$1,'Unique Asset List'!$J$3:$P$3,0))</f>
        <v>7</v>
      </c>
      <c r="Z9" s="9">
        <f>INDEX('Unique Asset List'!$X$4:$AD$60,MATCH('2'!$B9,'Unique Asset List'!$A$4:$A$60,0),MATCH('2'!$C$1,'Unique Asset List'!$X$3:$AD$3,0))</f>
        <v>1994</v>
      </c>
      <c r="AA9" s="9">
        <f>INDEX('Unique Asset List'!$AE$4:$AK$60,MATCH('2'!$B9,'Unique Asset List'!$A$4:$A$60,0),MATCH('2'!$C$1,'Unique Asset List'!$AE$3:$AK$3,0))</f>
        <v>7</v>
      </c>
      <c r="AB9" s="16">
        <f t="shared" ref="AB9:AB36" si="1">SUMPRODUCT($AT9:$BA9,$AT$7:$BA$7)</f>
        <v>1.4218038</v>
      </c>
      <c r="AC9" s="16">
        <f t="shared" ref="AC9:AC36" si="2">SUMPRODUCT($BB9:$BH9,$BB$7:$BH$7)</f>
        <v>0.72835179999999999</v>
      </c>
      <c r="AD9" s="16">
        <f t="shared" ref="AD9:AD36" si="3">SUMPRODUCT($BI9:$BL9,$BI$7:$BL$7)</f>
        <v>0.56099999999999994</v>
      </c>
      <c r="AE9" s="15">
        <f>INDEX('Unique Asset List'!$BN$4:$BT$60,MATCH('2'!$B9,'Unique Asset List'!$A$4:$A$60,0),MATCH('2'!$C$1,'Unique Asset List'!$BN$3:$BT$3,0))</f>
        <v>0.2</v>
      </c>
      <c r="AF9" s="15">
        <f>INDEX('Unique Asset List'!$BU$4:$CA$60,MATCH('2'!$B9,'Unique Asset List'!$A$4:$A$60,0),MATCH('2'!$C$1,'Unique Asset List'!$BU$3:$CA$3,0))</f>
        <v>0.3</v>
      </c>
      <c r="AG9" s="15">
        <f>INDEX('Unique Asset List'!$AZ$4:$BF$60,MATCH('2'!$B9,'Unique Asset List'!$A$4:$A$60,0),MATCH('2'!$C$1,'Unique Asset List'!$AZ$3:$BF$3,0))</f>
        <v>0.2</v>
      </c>
      <c r="AH9" s="15">
        <f>INDEX('Unique Asset List'!$BG$4:$BM$60,MATCH('2'!$B9,'Unique Asset List'!$A$4:$A$60,0),MATCH('2'!$C$1,'Unique Asset List'!$BG$3:$BM$3,0))</f>
        <v>0.3</v>
      </c>
      <c r="AI9" s="11">
        <v>0.96187963349867744</v>
      </c>
      <c r="AJ9" s="15">
        <f>INDEX('Unique Asset List'!$AL$4:$AR$60,MATCH('2'!$B9,'Unique Asset List'!$A$4:$A$60,0),MATCH('2'!$C$1,'Unique Asset List'!$AL$3:$AR$3,0))</f>
        <v>2.2612105538192599</v>
      </c>
      <c r="AK9" s="15">
        <f>INDEX('Unique Asset List'!$AS$4:$AY$60,MATCH('2'!$B9,'Unique Asset List'!$A$4:$A$60,0),MATCH('2'!$C$1,'Unique Asset List'!$AS$3:$AY$3,0))</f>
        <v>-1.7475682675103321</v>
      </c>
      <c r="AL9" s="9">
        <v>169</v>
      </c>
      <c r="AM9" s="14">
        <f>INDEX(Simulation!$B$6:$H$6,MATCH($A9,Simulation!$B$1:$H$1,0))*(1+AN9)^((DATE(X9,Y9,15)-DATE(2017,1,15))/365.5)</f>
        <v>3.5</v>
      </c>
      <c r="AN9" s="12">
        <v>0</v>
      </c>
      <c r="AO9" s="13">
        <v>0.1</v>
      </c>
      <c r="AP9" s="11">
        <v>0.82</v>
      </c>
      <c r="AQ9" s="12">
        <v>0</v>
      </c>
      <c r="AR9" s="11">
        <f t="shared" ref="AR9:AR40" si="4">AP9</f>
        <v>0.82</v>
      </c>
      <c r="AS9" s="10">
        <v>1</v>
      </c>
      <c r="AT9" s="4">
        <f>IF($C$5="ON",BT9,MyRating(_E1,$B9,Efficacy!$F$1))</f>
        <v>2</v>
      </c>
      <c r="AU9" s="3">
        <f>IF($C$5="ON",BU9,MyRating(_E2,$B9,Efficacy!$F$1))</f>
        <v>2</v>
      </c>
      <c r="AV9" s="3">
        <f>IF($C$5="ON",BV9,MyRating(_E3,$B9,Efficacy!$F$1))</f>
        <v>2</v>
      </c>
      <c r="AW9" s="3">
        <f>IF($C$5="ON",BW9,MyRating(_E4,$B9,Efficacy!$F$1))</f>
        <v>2</v>
      </c>
      <c r="AX9" s="3">
        <f>IF($C$5="ON",BX9,MyRating(_E5,$B9,Efficacy!$F$1))</f>
        <v>2</v>
      </c>
      <c r="AY9" s="3">
        <f>IF($C$5="ON",BY9,MyRating(_E6,$B9,Efficacy!$F$1))</f>
        <v>5</v>
      </c>
      <c r="AZ9" s="3">
        <f>IF($C$5="ON",BZ9,MyRating(_E7,$B9,Efficacy!$F$1))</f>
        <v>2</v>
      </c>
      <c r="BA9" s="3">
        <f>IF($C$5="ON",CA9,MyRating(_E8,$B9,Efficacy!$F$1))</f>
        <v>4</v>
      </c>
      <c r="BB9" s="3">
        <f>IF($C$5="ON",CB9,MyRating(_S1,$B9,'S&amp;T'!$F$1))</f>
        <v>3</v>
      </c>
      <c r="BC9" s="3">
        <f>IF($C$5="ON",CC9,MyRating(_S2,$B9,'S&amp;T'!$F$1))</f>
        <v>2</v>
      </c>
      <c r="BD9" s="3">
        <f>IF($C$5="ON",CD9,MyRating(_S3,$B9,'S&amp;T'!$F$1))</f>
        <v>3</v>
      </c>
      <c r="BE9" s="3">
        <f>IF($C$5="ON",CE9,MyRating(_S4,$B9,'S&amp;T'!$F$1))</f>
        <v>3</v>
      </c>
      <c r="BF9" s="3">
        <f>IF($C$5="ON",CF9,MyRating(_S5,$B9,'S&amp;T'!$F$1))</f>
        <v>3</v>
      </c>
      <c r="BG9" s="3">
        <f>IF($C$5="ON",CG9,MyRating(_S6,$B9,'S&amp;T'!$F$1))</f>
        <v>3</v>
      </c>
      <c r="BH9" s="3">
        <f>IF($C$5="ON",CH9,MyRating(_S7,$B9,'S&amp;T'!$F$1))</f>
        <v>3</v>
      </c>
      <c r="BI9" s="3">
        <f>IF($C$5="ON",CI9,MyRating(_D1,$B9,Delivery!$F$1))</f>
        <v>3</v>
      </c>
      <c r="BJ9" s="3">
        <f>IF($C$5="ON",CJ9,MyRating(_D2,$B9,Delivery!$F$1))</f>
        <v>3</v>
      </c>
      <c r="BK9" s="3">
        <f>IF($C$5="ON",CK9,MyRating(_D3,$B9,Delivery!$F$1))</f>
        <v>3</v>
      </c>
      <c r="BL9" s="3">
        <f>IF($C$5="ON",CL9,MyRating(_D4,$B9,Delivery!$F$1))</f>
        <v>3</v>
      </c>
      <c r="BM9" s="3">
        <f>IF($C$5="ON",CM9,MyRating(_B1G5,$B9,Barrier!$L$2))</f>
        <v>3</v>
      </c>
      <c r="BN9" s="3">
        <f>IF($C$5="ON",CN9,MyRating(_B2,$B9,Barrier!$F$2))</f>
        <v>3</v>
      </c>
      <c r="BO9" s="6">
        <f>IF($C$5="ON",CO9,MyRating(_B3,$B9,Barrier!$F$2))</f>
        <v>3</v>
      </c>
      <c r="BP9" s="5">
        <f t="shared" ref="BP9:BP40" si="5">BS9/$BS$7</f>
        <v>3.7014903427878103E-2</v>
      </c>
      <c r="BQ9" s="8">
        <f t="shared" ref="BQ9:BQ40" si="6">SUMPRODUCT($BM9:$BO9,$BM$7:$BO$7)</f>
        <v>2.9999999999999996</v>
      </c>
      <c r="BR9" s="5">
        <f t="shared" ref="BR9:BR40" si="7">BQ9/$BQ$7</f>
        <v>3.6652412950519221E-2</v>
      </c>
      <c r="BS9" s="7">
        <f t="shared" ref="BS9:BS40" si="8">BR9^$X$4</f>
        <v>1.8920085086828659E-2</v>
      </c>
      <c r="BT9" s="4">
        <v>2</v>
      </c>
      <c r="BU9" s="3">
        <v>2</v>
      </c>
      <c r="BV9" s="3">
        <v>2</v>
      </c>
      <c r="BW9" s="3">
        <v>2</v>
      </c>
      <c r="BX9" s="3">
        <v>2</v>
      </c>
      <c r="BY9" s="3">
        <v>5</v>
      </c>
      <c r="BZ9" s="3">
        <v>2</v>
      </c>
      <c r="CA9" s="3">
        <v>4</v>
      </c>
      <c r="CB9" s="3">
        <v>3</v>
      </c>
      <c r="CC9" s="3">
        <v>2</v>
      </c>
      <c r="CD9" s="3">
        <v>3</v>
      </c>
      <c r="CE9" s="3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3</v>
      </c>
      <c r="CN9" s="3">
        <v>3</v>
      </c>
      <c r="CO9" s="6">
        <v>3</v>
      </c>
      <c r="CP9" s="5">
        <v>3.7014903427878103E-2</v>
      </c>
    </row>
    <row r="10" spans="1:94" x14ac:dyDescent="0.35">
      <c r="A10" s="9" t="s">
        <v>184</v>
      </c>
      <c r="B10" s="9" t="s">
        <v>197</v>
      </c>
      <c r="C10" s="20"/>
      <c r="D10" s="9" t="s">
        <v>48</v>
      </c>
      <c r="E10" s="9" t="s">
        <v>193</v>
      </c>
      <c r="F10" s="9" t="s">
        <v>47</v>
      </c>
      <c r="G10" s="19">
        <v>0.63</v>
      </c>
      <c r="H10" s="9">
        <v>2014</v>
      </c>
      <c r="I10" s="9">
        <v>6</v>
      </c>
      <c r="J10" s="18">
        <f>INDEX(PTRS!$D$6:$D$12,MATCH('2'!$F10,PTRS!$B$6:$B$12,0))</f>
        <v>1</v>
      </c>
      <c r="K10" s="17">
        <v>1</v>
      </c>
      <c r="L10" s="17">
        <v>1</v>
      </c>
      <c r="M10" s="17">
        <v>1</v>
      </c>
      <c r="N10" s="17">
        <v>1</v>
      </c>
      <c r="O10" s="17">
        <v>1</v>
      </c>
      <c r="P10" s="17">
        <v>1</v>
      </c>
      <c r="Q10" s="17">
        <v>1</v>
      </c>
      <c r="R10" s="17">
        <v>1</v>
      </c>
      <c r="S10" s="17">
        <v>1</v>
      </c>
      <c r="T10" s="17"/>
      <c r="U10" s="17">
        <f t="shared" si="0"/>
        <v>0.74129766176673451</v>
      </c>
      <c r="V10" s="17">
        <v>1</v>
      </c>
      <c r="W10" s="9" t="s">
        <v>195</v>
      </c>
      <c r="X10" s="9">
        <f>INDEX('Unique Asset List'!$C$4:$I$60,MATCH('2'!$B10,'Unique Asset List'!$A$4:$A$60,0),MATCH('2'!$C$1,'Unique Asset List'!$C$3:$I$3,0))</f>
        <v>1977</v>
      </c>
      <c r="Y10" s="9">
        <f>INDEX('Unique Asset List'!$J$4:$P$60,MATCH('2'!$B10,'Unique Asset List'!$A$4:$A$60,0),MATCH('2'!$C$1,'Unique Asset List'!$J$3:$P$3,0))</f>
        <v>7</v>
      </c>
      <c r="Z10" s="9">
        <f>INDEX('Unique Asset List'!$X$4:$AD$60,MATCH('2'!$B10,'Unique Asset List'!$A$4:$A$60,0),MATCH('2'!$C$1,'Unique Asset List'!$X$3:$AD$3,0))</f>
        <v>2001</v>
      </c>
      <c r="AA10" s="9">
        <f>INDEX('Unique Asset List'!$AE$4:$AK$60,MATCH('2'!$B10,'Unique Asset List'!$A$4:$A$60,0),MATCH('2'!$C$1,'Unique Asset List'!$AE$3:$AK$3,0))</f>
        <v>7</v>
      </c>
      <c r="AB10" s="16">
        <f t="shared" si="1"/>
        <v>1.5698908</v>
      </c>
      <c r="AC10" s="16">
        <f t="shared" si="2"/>
        <v>0.99973299999999998</v>
      </c>
      <c r="AD10" s="16">
        <f t="shared" si="3"/>
        <v>0.46126874111999994</v>
      </c>
      <c r="AE10" s="15">
        <f>INDEX('Unique Asset List'!$BN$4:$BT$60,MATCH('2'!$B10,'Unique Asset List'!$A$4:$A$60,0),MATCH('2'!$C$1,'Unique Asset List'!$BN$3:$BT$3,0))</f>
        <v>0.2</v>
      </c>
      <c r="AF10" s="15">
        <f>INDEX('Unique Asset List'!$BU$4:$CA$60,MATCH('2'!$B10,'Unique Asset List'!$A$4:$A$60,0),MATCH('2'!$C$1,'Unique Asset List'!$BU$3:$CA$3,0))</f>
        <v>0.3</v>
      </c>
      <c r="AG10" s="15">
        <f>INDEX('Unique Asset List'!$AZ$4:$BF$60,MATCH('2'!$B10,'Unique Asset List'!$A$4:$A$60,0),MATCH('2'!$C$1,'Unique Asset List'!$AZ$3:$BF$3,0))</f>
        <v>0.2</v>
      </c>
      <c r="AH10" s="15">
        <f>INDEX('Unique Asset List'!$BG$4:$BM$60,MATCH('2'!$B10,'Unique Asset List'!$A$4:$A$60,0),MATCH('2'!$C$1,'Unique Asset List'!$BG$3:$BM$3,0))</f>
        <v>0.3</v>
      </c>
      <c r="AI10" s="11">
        <v>0.96187963349867744</v>
      </c>
      <c r="AJ10" s="15">
        <f>INDEX('Unique Asset List'!$AL$4:$AR$60,MATCH('2'!$B10,'Unique Asset List'!$A$4:$A$60,0),MATCH('2'!$C$1,'Unique Asset List'!$AL$3:$AR$3,0))</f>
        <v>2.2612105538192599</v>
      </c>
      <c r="AK10" s="15">
        <f>INDEX('Unique Asset List'!$AS$4:$AY$60,MATCH('2'!$B10,'Unique Asset List'!$A$4:$A$60,0),MATCH('2'!$C$1,'Unique Asset List'!$AS$3:$AY$3,0))</f>
        <v>-1.7475682675103321</v>
      </c>
      <c r="AL10" s="9">
        <v>169</v>
      </c>
      <c r="AM10" s="14">
        <f>INDEX(Simulation!$B$6:$H$6,MATCH($A10,Simulation!$B$1:$H$1,0))*(1+AN10)^((DATE(X10,Y10,15)-DATE(2017,1,15))/365.5)</f>
        <v>3.5</v>
      </c>
      <c r="AN10" s="12">
        <v>0</v>
      </c>
      <c r="AO10" s="13">
        <v>0.1</v>
      </c>
      <c r="AP10" s="11">
        <v>0.82</v>
      </c>
      <c r="AQ10" s="12">
        <v>0</v>
      </c>
      <c r="AR10" s="11">
        <f t="shared" si="4"/>
        <v>0.82</v>
      </c>
      <c r="AS10" s="10">
        <v>1</v>
      </c>
      <c r="AT10" s="4">
        <f>IF($C$5="ON",BT10,MyRating(_E1,$B10,Efficacy!$F$1))</f>
        <v>3</v>
      </c>
      <c r="AU10" s="3">
        <f>IF($C$5="ON",BU10,MyRating(_E2,$B10,Efficacy!$F$1))</f>
        <v>3</v>
      </c>
      <c r="AV10" s="3">
        <f>IF($C$5="ON",BV10,MyRating(_E3,$B10,Efficacy!$F$1))</f>
        <v>3</v>
      </c>
      <c r="AW10" s="3">
        <f>IF($C$5="ON",BW10,MyRating(_E4,$B10,Efficacy!$F$1))</f>
        <v>3</v>
      </c>
      <c r="AX10" s="3">
        <f>IF($C$5="ON",BX10,MyRating(_E5,$B10,Efficacy!$F$1))</f>
        <v>3</v>
      </c>
      <c r="AY10" s="3">
        <f>IF($C$5="ON",BY10,MyRating(_E6,$B10,Efficacy!$F$1))</f>
        <v>1</v>
      </c>
      <c r="AZ10" s="3">
        <f>IF($C$5="ON",BZ10,MyRating(_E7,$B10,Efficacy!$F$1))</f>
        <v>3</v>
      </c>
      <c r="BA10" s="3">
        <f>IF($C$5="ON",CA10,MyRating(_E8,$B10,Efficacy!$F$1))</f>
        <v>3</v>
      </c>
      <c r="BB10" s="3">
        <f>IF($C$5="ON",CB10,MyRating(_S1,$B10,'S&amp;T'!$F$1))</f>
        <v>4</v>
      </c>
      <c r="BC10" s="3">
        <f>IF($C$5="ON",CC10,MyRating(_S2,$B10,'S&amp;T'!$F$1))</f>
        <v>5</v>
      </c>
      <c r="BD10" s="3">
        <f>IF($C$5="ON",CD10,MyRating(_S3,$B10,'S&amp;T'!$F$1))</f>
        <v>4</v>
      </c>
      <c r="BE10" s="3">
        <f>IF($C$5="ON",CE10,MyRating(_S4,$B10,'S&amp;T'!$F$1))</f>
        <v>4</v>
      </c>
      <c r="BF10" s="3">
        <f>IF($C$5="ON",CF10,MyRating(_S5,$B10,'S&amp;T'!$F$1))</f>
        <v>5</v>
      </c>
      <c r="BG10" s="3">
        <f>IF($C$5="ON",CG10,MyRating(_S6,$B10,'S&amp;T'!$F$1))</f>
        <v>2</v>
      </c>
      <c r="BH10" s="3">
        <f>IF($C$5="ON",CH10,MyRating(_S7,$B10,'S&amp;T'!$F$1))</f>
        <v>3</v>
      </c>
      <c r="BI10" s="3">
        <f>IF($C$5="ON",CI10,MyRating(_D1,$B10,Delivery!$F$1))</f>
        <v>2</v>
      </c>
      <c r="BJ10" s="3">
        <f>IF($C$5="ON",CJ10,MyRating(_D2,$B10,Delivery!$F$1))</f>
        <v>2</v>
      </c>
      <c r="BK10" s="3">
        <f>IF($C$5="ON",CK10,MyRating(_D3,$B10,Delivery!$F$1))</f>
        <v>3</v>
      </c>
      <c r="BL10" s="3">
        <f>IF($C$5="ON",CL10,MyRating(_D4,$B10,Delivery!$F$1))</f>
        <v>3</v>
      </c>
      <c r="BM10" s="3">
        <f>IF($C$5="ON",CM10,MyRating(_B1G5,$B10,Barrier!$L$2))</f>
        <v>3</v>
      </c>
      <c r="BN10" s="3">
        <f>IF($C$5="ON",CN10,MyRating(_B2,$B10,Barrier!$F$2))</f>
        <v>3</v>
      </c>
      <c r="BO10" s="6">
        <f>IF($C$5="ON",CO10,MyRating(_B3,$B10,Barrier!$F$2))</f>
        <v>3</v>
      </c>
      <c r="BP10" s="5">
        <f t="shared" si="5"/>
        <v>3.7014903427878103E-2</v>
      </c>
      <c r="BQ10" s="8">
        <f t="shared" si="6"/>
        <v>2.9999999999999996</v>
      </c>
      <c r="BR10" s="5">
        <f t="shared" si="7"/>
        <v>3.6652412950519221E-2</v>
      </c>
      <c r="BS10" s="7">
        <f t="shared" si="8"/>
        <v>1.8920085086828659E-2</v>
      </c>
      <c r="BT10" s="4">
        <v>3</v>
      </c>
      <c r="BU10" s="3">
        <v>3</v>
      </c>
      <c r="BV10" s="3">
        <v>3</v>
      </c>
      <c r="BW10" s="3">
        <v>3</v>
      </c>
      <c r="BX10" s="3">
        <v>3</v>
      </c>
      <c r="BY10" s="3">
        <v>1</v>
      </c>
      <c r="BZ10" s="3">
        <v>3</v>
      </c>
      <c r="CA10" s="3">
        <v>3</v>
      </c>
      <c r="CB10" s="3">
        <v>4</v>
      </c>
      <c r="CC10" s="3">
        <v>5</v>
      </c>
      <c r="CD10" s="3">
        <v>4</v>
      </c>
      <c r="CE10" s="3">
        <v>4</v>
      </c>
      <c r="CF10" s="3">
        <v>5</v>
      </c>
      <c r="CG10" s="3">
        <v>2</v>
      </c>
      <c r="CH10" s="3">
        <v>3</v>
      </c>
      <c r="CI10" s="3">
        <v>2</v>
      </c>
      <c r="CJ10" s="3">
        <v>2</v>
      </c>
      <c r="CK10" s="3">
        <v>3</v>
      </c>
      <c r="CL10" s="3">
        <v>3</v>
      </c>
      <c r="CM10" s="3">
        <v>3</v>
      </c>
      <c r="CN10" s="3">
        <v>3</v>
      </c>
      <c r="CO10" s="6">
        <v>3</v>
      </c>
      <c r="CP10" s="5">
        <v>3.7014903427878103E-2</v>
      </c>
    </row>
    <row r="11" spans="1:94" x14ac:dyDescent="0.35">
      <c r="A11" s="9" t="s">
        <v>184</v>
      </c>
      <c r="B11" s="9" t="s">
        <v>196</v>
      </c>
      <c r="C11" s="20"/>
      <c r="D11" s="9" t="s">
        <v>90</v>
      </c>
      <c r="E11" s="9" t="s">
        <v>193</v>
      </c>
      <c r="F11" s="9" t="s">
        <v>47</v>
      </c>
      <c r="G11" s="19">
        <v>0.21</v>
      </c>
      <c r="H11" s="9">
        <v>2014</v>
      </c>
      <c r="I11" s="9">
        <v>6</v>
      </c>
      <c r="J11" s="18">
        <f>INDEX(PTRS!$D$6:$D$12,MATCH('2'!$F11,PTRS!$B$6:$B$12,0))</f>
        <v>1</v>
      </c>
      <c r="K11" s="17">
        <v>1</v>
      </c>
      <c r="L11" s="17">
        <v>1</v>
      </c>
      <c r="M11" s="17">
        <v>1</v>
      </c>
      <c r="N11" s="17">
        <v>1</v>
      </c>
      <c r="O11" s="17">
        <v>1</v>
      </c>
      <c r="P11" s="17">
        <v>1</v>
      </c>
      <c r="Q11" s="17">
        <v>1</v>
      </c>
      <c r="R11" s="17">
        <v>1</v>
      </c>
      <c r="S11" s="17">
        <v>1</v>
      </c>
      <c r="T11" s="17"/>
      <c r="U11" s="17">
        <f t="shared" si="0"/>
        <v>0.74129766176673451</v>
      </c>
      <c r="V11" s="17">
        <v>1</v>
      </c>
      <c r="W11" s="9" t="s">
        <v>54</v>
      </c>
      <c r="X11" s="9">
        <f>INDEX('Unique Asset List'!$C$4:$I$60,MATCH('2'!$B11,'Unique Asset List'!$A$4:$A$60,0),MATCH('2'!$C$1,'Unique Asset List'!$C$3:$I$3,0))</f>
        <v>2010</v>
      </c>
      <c r="Y11" s="9">
        <f>INDEX('Unique Asset List'!$J$4:$P$60,MATCH('2'!$B11,'Unique Asset List'!$A$4:$A$60,0),MATCH('2'!$C$1,'Unique Asset List'!$J$3:$P$3,0))</f>
        <v>9</v>
      </c>
      <c r="Z11" s="9">
        <f>INDEX('Unique Asset List'!$X$4:$AD$60,MATCH('2'!$B11,'Unique Asset List'!$A$4:$A$60,0),MATCH('2'!$C$1,'Unique Asset List'!$X$3:$AD$3,0))</f>
        <v>2017</v>
      </c>
      <c r="AA11" s="9">
        <f>INDEX('Unique Asset List'!$AE$4:$AK$60,MATCH('2'!$B11,'Unique Asset List'!$A$4:$A$60,0),MATCH('2'!$C$1,'Unique Asset List'!$AE$3:$AK$3,0))</f>
        <v>3</v>
      </c>
      <c r="AB11" s="16">
        <f t="shared" si="1"/>
        <v>1.6603166</v>
      </c>
      <c r="AC11" s="16">
        <f t="shared" si="2"/>
        <v>0.65777060000000009</v>
      </c>
      <c r="AD11" s="16">
        <f t="shared" si="3"/>
        <v>0.52097279586</v>
      </c>
      <c r="AE11" s="15">
        <f>INDEX('Unique Asset List'!$BN$4:$BT$60,MATCH('2'!$B11,'Unique Asset List'!$A$4:$A$60,0),MATCH('2'!$C$1,'Unique Asset List'!$BN$3:$BT$3,0))</f>
        <v>0.2</v>
      </c>
      <c r="AF11" s="15">
        <f>INDEX('Unique Asset List'!$BU$4:$CA$60,MATCH('2'!$B11,'Unique Asset List'!$A$4:$A$60,0),MATCH('2'!$C$1,'Unique Asset List'!$BU$3:$CA$3,0))</f>
        <v>0.3</v>
      </c>
      <c r="AG11" s="15">
        <f>INDEX('Unique Asset List'!$AZ$4:$BF$60,MATCH('2'!$B11,'Unique Asset List'!$A$4:$A$60,0),MATCH('2'!$C$1,'Unique Asset List'!$AZ$3:$BF$3,0))</f>
        <v>0.2</v>
      </c>
      <c r="AH11" s="15">
        <f>INDEX('Unique Asset List'!$BG$4:$BM$60,MATCH('2'!$B11,'Unique Asset List'!$A$4:$A$60,0),MATCH('2'!$C$1,'Unique Asset List'!$BG$3:$BM$3,0))</f>
        <v>0.3</v>
      </c>
      <c r="AI11" s="11">
        <v>0.96187963349867744</v>
      </c>
      <c r="AJ11" s="15">
        <f>INDEX('Unique Asset List'!$AL$4:$AR$60,MATCH('2'!$B11,'Unique Asset List'!$A$4:$A$60,0),MATCH('2'!$C$1,'Unique Asset List'!$AL$3:$AR$3,0))</f>
        <v>2.2612105538192599</v>
      </c>
      <c r="AK11" s="15">
        <f>INDEX('Unique Asset List'!$AS$4:$AY$60,MATCH('2'!$B11,'Unique Asset List'!$A$4:$A$60,0),MATCH('2'!$C$1,'Unique Asset List'!$AS$3:$AY$3,0))</f>
        <v>-1.7475682675103321</v>
      </c>
      <c r="AL11" s="9">
        <v>169</v>
      </c>
      <c r="AM11" s="14">
        <f>INDEX(Simulation!$B$6:$H$6,MATCH($A11,Simulation!$B$1:$H$1,0))*(1+AN11)^((DATE(X11,Y11,15)-DATE(2017,1,15))/365.5)</f>
        <v>3.5</v>
      </c>
      <c r="AN11" s="12">
        <v>0</v>
      </c>
      <c r="AO11" s="13">
        <v>0.1</v>
      </c>
      <c r="AP11" s="11">
        <v>0.82</v>
      </c>
      <c r="AQ11" s="12">
        <v>0</v>
      </c>
      <c r="AR11" s="11">
        <f t="shared" si="4"/>
        <v>0.82</v>
      </c>
      <c r="AS11" s="10">
        <v>1</v>
      </c>
      <c r="AT11" s="4">
        <f>IF($C$5="ON",BT11,MyRating(_E1,$B11,Efficacy!$F$1))</f>
        <v>3</v>
      </c>
      <c r="AU11" s="3">
        <f>IF($C$5="ON",BU11,MyRating(_E2,$B11,Efficacy!$F$1))</f>
        <v>2</v>
      </c>
      <c r="AV11" s="3">
        <f>IF($C$5="ON",BV11,MyRating(_E3,$B11,Efficacy!$F$1))</f>
        <v>3</v>
      </c>
      <c r="AW11" s="3">
        <f>IF($C$5="ON",BW11,MyRating(_E4,$B11,Efficacy!$F$1))</f>
        <v>3</v>
      </c>
      <c r="AX11" s="3">
        <f>IF($C$5="ON",BX11,MyRating(_E5,$B11,Efficacy!$F$1))</f>
        <v>2</v>
      </c>
      <c r="AY11" s="3">
        <f>IF($C$5="ON",BY11,MyRating(_E6,$B11,Efficacy!$F$1))</f>
        <v>5</v>
      </c>
      <c r="AZ11" s="3">
        <f>IF($C$5="ON",BZ11,MyRating(_E7,$B11,Efficacy!$F$1))</f>
        <v>3</v>
      </c>
      <c r="BA11" s="3">
        <f>IF($C$5="ON",CA11,MyRating(_E8,$B11,Efficacy!$F$1))</f>
        <v>3</v>
      </c>
      <c r="BB11" s="3">
        <f>IF($C$5="ON",CB11,MyRating(_S1,$B11,'S&amp;T'!$F$1))</f>
        <v>3</v>
      </c>
      <c r="BC11" s="3">
        <f>IF($C$5="ON",CC11,MyRating(_S2,$B11,'S&amp;T'!$F$1))</f>
        <v>1</v>
      </c>
      <c r="BD11" s="3">
        <f>IF($C$5="ON",CD11,MyRating(_S3,$B11,'S&amp;T'!$F$1))</f>
        <v>3</v>
      </c>
      <c r="BE11" s="3">
        <f>IF($C$5="ON",CE11,MyRating(_S4,$B11,'S&amp;T'!$F$1))</f>
        <v>3</v>
      </c>
      <c r="BF11" s="3">
        <f>IF($C$5="ON",CF11,MyRating(_S5,$B11,'S&amp;T'!$F$1))</f>
        <v>2</v>
      </c>
      <c r="BG11" s="3">
        <f>IF($C$5="ON",CG11,MyRating(_S6,$B11,'S&amp;T'!$F$1))</f>
        <v>3</v>
      </c>
      <c r="BH11" s="3">
        <f>IF($C$5="ON",CH11,MyRating(_S7,$B11,'S&amp;T'!$F$1))</f>
        <v>3</v>
      </c>
      <c r="BI11" s="3">
        <f>IF($C$5="ON",CI11,MyRating(_D1,$B11,Delivery!$F$1))</f>
        <v>3</v>
      </c>
      <c r="BJ11" s="3">
        <f>IF($C$5="ON",CJ11,MyRating(_D2,$B11,Delivery!$F$1))</f>
        <v>2</v>
      </c>
      <c r="BK11" s="3">
        <f>IF($C$5="ON",CK11,MyRating(_D3,$B11,Delivery!$F$1))</f>
        <v>3</v>
      </c>
      <c r="BL11" s="3">
        <f>IF($C$5="ON",CL11,MyRating(_D4,$B11,Delivery!$F$1))</f>
        <v>3</v>
      </c>
      <c r="BM11" s="3">
        <f>IF($C$5="ON",CM11,MyRating(_B1G5,$B11,Barrier!$L$2))</f>
        <v>3</v>
      </c>
      <c r="BN11" s="3">
        <f>IF($C$5="ON",CN11,MyRating(_B2,$B11,Barrier!$F$2))</f>
        <v>3</v>
      </c>
      <c r="BO11" s="6">
        <f>IF($C$5="ON",CO11,MyRating(_B3,$B11,Barrier!$F$2))</f>
        <v>3</v>
      </c>
      <c r="BP11" s="5">
        <f t="shared" si="5"/>
        <v>3.7014903427878103E-2</v>
      </c>
      <c r="BQ11" s="8">
        <f t="shared" si="6"/>
        <v>2.9999999999999996</v>
      </c>
      <c r="BR11" s="5">
        <f t="shared" si="7"/>
        <v>3.6652412950519221E-2</v>
      </c>
      <c r="BS11" s="7">
        <f t="shared" si="8"/>
        <v>1.8920085086828659E-2</v>
      </c>
      <c r="BT11" s="4">
        <v>3</v>
      </c>
      <c r="BU11" s="3">
        <v>2</v>
      </c>
      <c r="BV11" s="3">
        <v>3</v>
      </c>
      <c r="BW11" s="3">
        <v>3</v>
      </c>
      <c r="BX11" s="3">
        <v>2</v>
      </c>
      <c r="BY11" s="3">
        <v>5</v>
      </c>
      <c r="BZ11" s="3">
        <v>3</v>
      </c>
      <c r="CA11" s="3">
        <v>3</v>
      </c>
      <c r="CB11" s="3">
        <v>3</v>
      </c>
      <c r="CC11" s="3">
        <v>1</v>
      </c>
      <c r="CD11" s="3">
        <v>3</v>
      </c>
      <c r="CE11" s="3">
        <v>3</v>
      </c>
      <c r="CF11" s="3">
        <v>2</v>
      </c>
      <c r="CG11" s="3">
        <v>3</v>
      </c>
      <c r="CH11" s="3">
        <v>3</v>
      </c>
      <c r="CI11" s="3">
        <v>3</v>
      </c>
      <c r="CJ11" s="3">
        <v>2</v>
      </c>
      <c r="CK11" s="3">
        <v>3</v>
      </c>
      <c r="CL11" s="3">
        <v>3</v>
      </c>
      <c r="CM11" s="3">
        <v>3</v>
      </c>
      <c r="CN11" s="3">
        <v>3</v>
      </c>
      <c r="CO11" s="6">
        <v>3</v>
      </c>
      <c r="CP11" s="5">
        <v>3.7014903427878103E-2</v>
      </c>
    </row>
    <row r="12" spans="1:94" x14ac:dyDescent="0.35">
      <c r="A12" s="9" t="s">
        <v>184</v>
      </c>
      <c r="B12" s="9" t="s">
        <v>88</v>
      </c>
      <c r="C12" s="20"/>
      <c r="D12" s="9" t="s">
        <v>87</v>
      </c>
      <c r="E12" s="9" t="s">
        <v>193</v>
      </c>
      <c r="F12" s="9" t="s">
        <v>86</v>
      </c>
      <c r="G12" s="19">
        <v>0</v>
      </c>
      <c r="H12" s="9">
        <v>2014</v>
      </c>
      <c r="I12" s="9">
        <v>6</v>
      </c>
      <c r="J12" s="18">
        <f>INDEX(PTRS!$D$6:$D$12,MATCH('2'!$F12,PTRS!$B$6:$B$12,0))</f>
        <v>0.9</v>
      </c>
      <c r="K12" s="17">
        <v>1</v>
      </c>
      <c r="L12" s="17">
        <v>0.9</v>
      </c>
      <c r="M12" s="17">
        <v>0.5</v>
      </c>
      <c r="N12" s="17">
        <v>0.5</v>
      </c>
      <c r="O12" s="17">
        <v>0.5</v>
      </c>
      <c r="P12" s="17">
        <v>0.9</v>
      </c>
      <c r="Q12" s="17">
        <v>1</v>
      </c>
      <c r="R12" s="17">
        <v>1</v>
      </c>
      <c r="S12" s="17">
        <v>1</v>
      </c>
      <c r="T12" s="17"/>
      <c r="U12" s="17">
        <f t="shared" si="0"/>
        <v>0.21031695408457127</v>
      </c>
      <c r="V12" s="17">
        <v>1</v>
      </c>
      <c r="W12" s="9" t="s">
        <v>16</v>
      </c>
      <c r="X12" s="9">
        <f>INDEX('Unique Asset List'!$C$4:$I$60,MATCH('2'!$B12,'Unique Asset List'!$A$4:$A$60,0),MATCH('2'!$C$1,'Unique Asset List'!$C$3:$I$3,0))</f>
        <v>2019</v>
      </c>
      <c r="Y12" s="9">
        <f>INDEX('Unique Asset List'!$J$4:$P$60,MATCH('2'!$B12,'Unique Asset List'!$A$4:$A$60,0),MATCH('2'!$C$1,'Unique Asset List'!$J$3:$P$3,0))</f>
        <v>7</v>
      </c>
      <c r="Z12" s="9">
        <f>INDEX('Unique Asset List'!$X$4:$AD$60,MATCH('2'!$B12,'Unique Asset List'!$A$4:$A$60,0),MATCH('2'!$C$1,'Unique Asset List'!$X$3:$AD$3,0))</f>
        <v>2029</v>
      </c>
      <c r="AA12" s="9">
        <f>INDEX('Unique Asset List'!$AE$4:$AK$60,MATCH('2'!$B12,'Unique Asset List'!$A$4:$A$60,0),MATCH('2'!$C$1,'Unique Asset List'!$AE$3:$AK$3,0))</f>
        <v>7</v>
      </c>
      <c r="AB12" s="16">
        <f t="shared" si="1"/>
        <v>2.1202012000000003</v>
      </c>
      <c r="AC12" s="16">
        <f t="shared" si="2"/>
        <v>0.98141</v>
      </c>
      <c r="AD12" s="16">
        <f t="shared" si="3"/>
        <v>0.31905939999999999</v>
      </c>
      <c r="AE12" s="15">
        <f>INDEX('Unique Asset List'!$BN$4:$BT$60,MATCH('2'!$B12,'Unique Asset List'!$A$4:$A$60,0),MATCH('2'!$C$1,'Unique Asset List'!$BN$3:$BT$3,0))</f>
        <v>0.2</v>
      </c>
      <c r="AF12" s="15">
        <f>INDEX('Unique Asset List'!$BU$4:$CA$60,MATCH('2'!$B12,'Unique Asset List'!$A$4:$A$60,0),MATCH('2'!$C$1,'Unique Asset List'!$BU$3:$CA$3,0))</f>
        <v>0.3</v>
      </c>
      <c r="AG12" s="15">
        <f>INDEX('Unique Asset List'!$AZ$4:$BF$60,MATCH('2'!$B12,'Unique Asset List'!$A$4:$A$60,0),MATCH('2'!$C$1,'Unique Asset List'!$AZ$3:$BF$3,0))</f>
        <v>0.2</v>
      </c>
      <c r="AH12" s="15">
        <f>INDEX('Unique Asset List'!$BG$4:$BM$60,MATCH('2'!$B12,'Unique Asset List'!$A$4:$A$60,0),MATCH('2'!$C$1,'Unique Asset List'!$BG$3:$BM$3,0))</f>
        <v>0.3</v>
      </c>
      <c r="AI12" s="11">
        <v>0.96187963349867744</v>
      </c>
      <c r="AJ12" s="15">
        <f>INDEX('Unique Asset List'!$AL$4:$AR$60,MATCH('2'!$B12,'Unique Asset List'!$A$4:$A$60,0),MATCH('2'!$C$1,'Unique Asset List'!$AL$3:$AR$3,0))</f>
        <v>2.2612105538192599</v>
      </c>
      <c r="AK12" s="15">
        <f>INDEX('Unique Asset List'!$AS$4:$AY$60,MATCH('2'!$B12,'Unique Asset List'!$A$4:$A$60,0),MATCH('2'!$C$1,'Unique Asset List'!$AS$3:$AY$3,0))</f>
        <v>-1.7475682675103321</v>
      </c>
      <c r="AL12" s="9">
        <v>169</v>
      </c>
      <c r="AM12" s="14">
        <f>INDEX(Simulation!$B$6:$H$6,MATCH($A12,Simulation!$B$1:$H$1,0))*(1+AN12)^((DATE(X12,Y12,15)-DATE(2017,1,15))/365.5)</f>
        <v>3.5</v>
      </c>
      <c r="AN12" s="12">
        <v>0</v>
      </c>
      <c r="AO12" s="13">
        <v>0.1</v>
      </c>
      <c r="AP12" s="11">
        <v>0.82</v>
      </c>
      <c r="AQ12" s="12">
        <v>0</v>
      </c>
      <c r="AR12" s="11">
        <f t="shared" si="4"/>
        <v>0.82</v>
      </c>
      <c r="AS12" s="10">
        <v>1</v>
      </c>
      <c r="AT12" s="4">
        <f>IF($C$5="ON",BT12,MyRating(_E1,$B12,Efficacy!$F$1))</f>
        <v>3</v>
      </c>
      <c r="AU12" s="3">
        <f>IF($C$5="ON",BU12,MyRating(_E2,$B12,Efficacy!$F$1))</f>
        <v>5</v>
      </c>
      <c r="AV12" s="3">
        <f>IF($C$5="ON",BV12,MyRating(_E3,$B12,Efficacy!$F$1))</f>
        <v>5</v>
      </c>
      <c r="AW12" s="3">
        <f>IF($C$5="ON",BW12,MyRating(_E4,$B12,Efficacy!$F$1))</f>
        <v>4</v>
      </c>
      <c r="AX12" s="3">
        <f>IF($C$5="ON",BX12,MyRating(_E5,$B12,Efficacy!$F$1))</f>
        <v>3</v>
      </c>
      <c r="AY12" s="3">
        <f>IF($C$5="ON",BY12,MyRating(_E6,$B12,Efficacy!$F$1))</f>
        <v>3</v>
      </c>
      <c r="AZ12" s="3">
        <f>IF($C$5="ON",BZ12,MyRating(_E7,$B12,Efficacy!$F$1))</f>
        <v>3</v>
      </c>
      <c r="BA12" s="3">
        <f>IF($C$5="ON",CA12,MyRating(_E8,$B12,Efficacy!$F$1))</f>
        <v>3</v>
      </c>
      <c r="BB12" s="3">
        <f>IF($C$5="ON",CB12,MyRating(_S1,$B12,'S&amp;T'!$F$1))</f>
        <v>5</v>
      </c>
      <c r="BC12" s="3">
        <f>IF($C$5="ON",CC12,MyRating(_S2,$B12,'S&amp;T'!$F$1))</f>
        <v>3</v>
      </c>
      <c r="BD12" s="3">
        <f>IF($C$5="ON",CD12,MyRating(_S3,$B12,'S&amp;T'!$F$1))</f>
        <v>3</v>
      </c>
      <c r="BE12" s="3">
        <f>IF($C$5="ON",CE12,MyRating(_S4,$B12,'S&amp;T'!$F$1))</f>
        <v>4</v>
      </c>
      <c r="BF12" s="3">
        <f>IF($C$5="ON",CF12,MyRating(_S5,$B12,'S&amp;T'!$F$1))</f>
        <v>5</v>
      </c>
      <c r="BG12" s="3">
        <f>IF($C$5="ON",CG12,MyRating(_S6,$B12,'S&amp;T'!$F$1))</f>
        <v>2</v>
      </c>
      <c r="BH12" s="3">
        <f>IF($C$5="ON",CH12,MyRating(_S7,$B12,'S&amp;T'!$F$1))</f>
        <v>3</v>
      </c>
      <c r="BI12" s="3">
        <f>IF($C$5="ON",CI12,MyRating(_D1,$B12,Delivery!$F$1))</f>
        <v>2</v>
      </c>
      <c r="BJ12" s="3">
        <f>IF($C$5="ON",CJ12,MyRating(_D2,$B12,Delivery!$F$1))</f>
        <v>2</v>
      </c>
      <c r="BK12" s="3">
        <f>IF($C$5="ON",CK12,MyRating(_D3,$B12,Delivery!$F$1))</f>
        <v>2</v>
      </c>
      <c r="BL12" s="3">
        <f>IF($C$5="ON",CL12,MyRating(_D4,$B12,Delivery!$F$1))</f>
        <v>1</v>
      </c>
      <c r="BM12" s="3">
        <f>IF($C$5="ON",CM12,MyRating(_B1G5,$B12,Barrier!$L$2))</f>
        <v>2</v>
      </c>
      <c r="BN12" s="3">
        <f>IF($C$5="ON",CN12,MyRating(_B2,$B12,Barrier!$F$2))</f>
        <v>1</v>
      </c>
      <c r="BO12" s="6">
        <f>IF($C$5="ON",CO12,MyRating(_B3,$B12,Barrier!$F$2))</f>
        <v>1</v>
      </c>
      <c r="BP12" s="5">
        <f t="shared" si="5"/>
        <v>1.0501667745898752E-2</v>
      </c>
      <c r="BQ12" s="8">
        <f t="shared" si="6"/>
        <v>1.0499999999999998</v>
      </c>
      <c r="BR12" s="5">
        <f t="shared" si="7"/>
        <v>1.2828344532681727E-2</v>
      </c>
      <c r="BS12" s="7">
        <f t="shared" si="8"/>
        <v>5.3679039766550227E-3</v>
      </c>
      <c r="BT12" s="4">
        <v>3</v>
      </c>
      <c r="BU12" s="3">
        <v>5</v>
      </c>
      <c r="BV12" s="3">
        <v>5</v>
      </c>
      <c r="BW12" s="3">
        <v>4</v>
      </c>
      <c r="BX12" s="3">
        <v>3</v>
      </c>
      <c r="BY12" s="3">
        <v>3</v>
      </c>
      <c r="BZ12" s="3">
        <v>3</v>
      </c>
      <c r="CA12" s="3">
        <v>3</v>
      </c>
      <c r="CB12" s="3">
        <v>5</v>
      </c>
      <c r="CC12" s="3">
        <v>3</v>
      </c>
      <c r="CD12" s="3">
        <v>3</v>
      </c>
      <c r="CE12" s="3">
        <v>4</v>
      </c>
      <c r="CF12" s="3">
        <v>5</v>
      </c>
      <c r="CG12" s="3">
        <v>2</v>
      </c>
      <c r="CH12" s="3">
        <v>3</v>
      </c>
      <c r="CI12" s="3">
        <v>2</v>
      </c>
      <c r="CJ12" s="3">
        <v>2</v>
      </c>
      <c r="CK12" s="3">
        <v>2</v>
      </c>
      <c r="CL12" s="3">
        <v>1</v>
      </c>
      <c r="CM12" s="3">
        <v>2</v>
      </c>
      <c r="CN12" s="3">
        <v>1</v>
      </c>
      <c r="CO12" s="6">
        <v>1</v>
      </c>
      <c r="CP12" s="5">
        <v>1.0501667745898752E-2</v>
      </c>
    </row>
    <row r="13" spans="1:94" x14ac:dyDescent="0.35">
      <c r="A13" s="9" t="s">
        <v>184</v>
      </c>
      <c r="B13" s="9" t="s">
        <v>85</v>
      </c>
      <c r="C13" s="20"/>
      <c r="D13" s="9" t="s">
        <v>2</v>
      </c>
      <c r="E13" s="9" t="s">
        <v>193</v>
      </c>
      <c r="F13" s="9" t="s">
        <v>63</v>
      </c>
      <c r="G13" s="19">
        <v>0</v>
      </c>
      <c r="H13" s="9">
        <v>2014</v>
      </c>
      <c r="I13" s="9">
        <v>6</v>
      </c>
      <c r="J13" s="18">
        <f>INDEX(PTRS!$D$6:$D$12,MATCH('2'!$F13,PTRS!$B$6:$B$12,0))</f>
        <v>0.58500000000000008</v>
      </c>
      <c r="K13" s="17">
        <v>1</v>
      </c>
      <c r="L13" s="17">
        <v>1</v>
      </c>
      <c r="M13" s="17">
        <v>0.58500000000000008</v>
      </c>
      <c r="N13" s="17">
        <v>0.62</v>
      </c>
      <c r="O13" s="17">
        <v>0.62</v>
      </c>
      <c r="P13" s="17">
        <v>1</v>
      </c>
      <c r="Q13" s="17">
        <v>1</v>
      </c>
      <c r="R13" s="17">
        <v>1</v>
      </c>
      <c r="S13" s="17">
        <v>1</v>
      </c>
      <c r="T13" s="17"/>
      <c r="U13" s="17">
        <f t="shared" si="0"/>
        <v>0.19835681424527862</v>
      </c>
      <c r="V13" s="17">
        <v>1</v>
      </c>
      <c r="W13" s="9" t="s">
        <v>62</v>
      </c>
      <c r="X13" s="9">
        <f>INDEX('Unique Asset List'!$C$4:$I$60,MATCH('2'!$B13,'Unique Asset List'!$A$4:$A$60,0),MATCH('2'!$C$1,'Unique Asset List'!$C$3:$I$3,0))</f>
        <v>2020</v>
      </c>
      <c r="Y13" s="9">
        <f>INDEX('Unique Asset List'!$J$4:$P$60,MATCH('2'!$B13,'Unique Asset List'!$A$4:$A$60,0),MATCH('2'!$C$1,'Unique Asset List'!$J$3:$P$3,0))</f>
        <v>3</v>
      </c>
      <c r="Z13" s="9">
        <f>INDEX('Unique Asset List'!$X$4:$AD$60,MATCH('2'!$B13,'Unique Asset List'!$A$4:$A$60,0),MATCH('2'!$C$1,'Unique Asset List'!$X$3:$AD$3,0))</f>
        <v>2031</v>
      </c>
      <c r="AA13" s="9">
        <f>INDEX('Unique Asset List'!$AE$4:$AK$60,MATCH('2'!$B13,'Unique Asset List'!$A$4:$A$60,0),MATCH('2'!$C$1,'Unique Asset List'!$AE$3:$AK$3,0))</f>
        <v>1</v>
      </c>
      <c r="AB13" s="16">
        <f t="shared" si="1"/>
        <v>2.3511832000000004</v>
      </c>
      <c r="AC13" s="16">
        <f t="shared" si="2"/>
        <v>0.88497580000000009</v>
      </c>
      <c r="AD13" s="16">
        <f t="shared" si="3"/>
        <v>0.39141474525999997</v>
      </c>
      <c r="AE13" s="15">
        <f>INDEX('Unique Asset List'!$BN$4:$BT$60,MATCH('2'!$B13,'Unique Asset List'!$A$4:$A$60,0),MATCH('2'!$C$1,'Unique Asset List'!$BN$3:$BT$3,0))</f>
        <v>0.27</v>
      </c>
      <c r="AF13" s="15">
        <f>INDEX('Unique Asset List'!$BU$4:$CA$60,MATCH('2'!$B13,'Unique Asset List'!$A$4:$A$60,0),MATCH('2'!$C$1,'Unique Asset List'!$BU$3:$CA$3,0))</f>
        <v>0.23</v>
      </c>
      <c r="AG13" s="15">
        <f>INDEX('Unique Asset List'!$AZ$4:$BF$60,MATCH('2'!$B13,'Unique Asset List'!$A$4:$A$60,0),MATCH('2'!$C$1,'Unique Asset List'!$AZ$3:$BF$3,0))</f>
        <v>0.27</v>
      </c>
      <c r="AH13" s="15">
        <f>INDEX('Unique Asset List'!$BG$4:$BM$60,MATCH('2'!$B13,'Unique Asset List'!$A$4:$A$60,0),MATCH('2'!$C$1,'Unique Asset List'!$BG$3:$BM$3,0))</f>
        <v>0.23</v>
      </c>
      <c r="AI13" s="11">
        <v>0.96187963349867744</v>
      </c>
      <c r="AJ13" s="15">
        <f>INDEX('Unique Asset List'!$AL$4:$AR$60,MATCH('2'!$B13,'Unique Asset List'!$A$4:$A$60,0),MATCH('2'!$C$1,'Unique Asset List'!$AL$3:$AR$3,0))</f>
        <v>2.2612105538192599</v>
      </c>
      <c r="AK13" s="15">
        <f>INDEX('Unique Asset List'!$AS$4:$AY$60,MATCH('2'!$B13,'Unique Asset List'!$A$4:$A$60,0),MATCH('2'!$C$1,'Unique Asset List'!$AS$3:$AY$3,0))</f>
        <v>-1.7475682675103321</v>
      </c>
      <c r="AL13" s="9">
        <v>177.56756756756758</v>
      </c>
      <c r="AM13" s="14">
        <v>28</v>
      </c>
      <c r="AN13" s="12">
        <v>0</v>
      </c>
      <c r="AO13" s="13">
        <v>0.1</v>
      </c>
      <c r="AP13" s="11">
        <v>0.82</v>
      </c>
      <c r="AQ13" s="12">
        <v>0</v>
      </c>
      <c r="AR13" s="11">
        <f t="shared" si="4"/>
        <v>0.82</v>
      </c>
      <c r="AS13" s="10">
        <f>2.8*37/365</f>
        <v>0.28383561643835614</v>
      </c>
      <c r="AT13" s="4">
        <f>IF($C$5="ON",BT13,MyRating(_E1,$B13,Efficacy!$F$1))</f>
        <v>5</v>
      </c>
      <c r="AU13" s="3">
        <f>IF($C$5="ON",BU13,MyRating(_E2,$B13,Efficacy!$F$1))</f>
        <v>5</v>
      </c>
      <c r="AV13" s="3">
        <f>IF($C$5="ON",BV13,MyRating(_E3,$B13,Efficacy!$F$1))</f>
        <v>5</v>
      </c>
      <c r="AW13" s="3">
        <f>IF($C$5="ON",BW13,MyRating(_E4,$B13,Efficacy!$F$1))</f>
        <v>4</v>
      </c>
      <c r="AX13" s="3">
        <f>IF($C$5="ON",BX13,MyRating(_E5,$B13,Efficacy!$F$1))</f>
        <v>3</v>
      </c>
      <c r="AY13" s="3">
        <f>IF($C$5="ON",BY13,MyRating(_E6,$B13,Efficacy!$F$1))</f>
        <v>3</v>
      </c>
      <c r="AZ13" s="3">
        <f>IF($C$5="ON",BZ13,MyRating(_E7,$B13,Efficacy!$F$1))</f>
        <v>3</v>
      </c>
      <c r="BA13" s="3">
        <f>IF($C$5="ON",CA13,MyRating(_E8,$B13,Efficacy!$F$1))</f>
        <v>4</v>
      </c>
      <c r="BB13" s="3">
        <f>IF($C$5="ON",CB13,MyRating(_S1,$B13,'S&amp;T'!$F$1))</f>
        <v>4</v>
      </c>
      <c r="BC13" s="3">
        <f>IF($C$5="ON",CC13,MyRating(_S2,$B13,'S&amp;T'!$F$1))</f>
        <v>3</v>
      </c>
      <c r="BD13" s="3">
        <f>IF($C$5="ON",CD13,MyRating(_S3,$B13,'S&amp;T'!$F$1))</f>
        <v>3</v>
      </c>
      <c r="BE13" s="3">
        <f>IF($C$5="ON",CE13,MyRating(_S4,$B13,'S&amp;T'!$F$1))</f>
        <v>3</v>
      </c>
      <c r="BF13" s="3">
        <f>IF($C$5="ON",CF13,MyRating(_S5,$B13,'S&amp;T'!$F$1))</f>
        <v>5</v>
      </c>
      <c r="BG13" s="3">
        <f>IF($C$5="ON",CG13,MyRating(_S6,$B13,'S&amp;T'!$F$1))</f>
        <v>2</v>
      </c>
      <c r="BH13" s="3">
        <f>IF($C$5="ON",CH13,MyRating(_S7,$B13,'S&amp;T'!$F$1))</f>
        <v>3</v>
      </c>
      <c r="BI13" s="3">
        <f>IF($C$5="ON",CI13,MyRating(_D1,$B13,Delivery!$F$1))</f>
        <v>2</v>
      </c>
      <c r="BJ13" s="3">
        <f>IF($C$5="ON",CJ13,MyRating(_D2,$B13,Delivery!$F$1))</f>
        <v>3</v>
      </c>
      <c r="BK13" s="3">
        <f>IF($C$5="ON",CK13,MyRating(_D3,$B13,Delivery!$F$1))</f>
        <v>3</v>
      </c>
      <c r="BL13" s="3">
        <f>IF($C$5="ON",CL13,MyRating(_D4,$B13,Delivery!$F$1))</f>
        <v>1</v>
      </c>
      <c r="BM13" s="3">
        <f>IF($C$5="ON",CM13,MyRating(_B1G5,$B13,Barrier!$L$2))</f>
        <v>1</v>
      </c>
      <c r="BN13" s="3">
        <f>IF($C$5="ON",CN13,MyRating(_B2,$B13,Barrier!$F$2))</f>
        <v>1</v>
      </c>
      <c r="BO13" s="6">
        <f>IF($C$5="ON",CO13,MyRating(_B3,$B13,Barrier!$F$2))</f>
        <v>1</v>
      </c>
      <c r="BP13" s="5">
        <f t="shared" si="5"/>
        <v>9.9044671286996639E-3</v>
      </c>
      <c r="BQ13" s="8">
        <f t="shared" si="6"/>
        <v>1</v>
      </c>
      <c r="BR13" s="5">
        <f t="shared" si="7"/>
        <v>1.2217470983506409E-2</v>
      </c>
      <c r="BS13" s="7">
        <f t="shared" si="8"/>
        <v>5.0626462170790974E-3</v>
      </c>
      <c r="BT13" s="4">
        <v>5</v>
      </c>
      <c r="BU13" s="3">
        <v>5</v>
      </c>
      <c r="BV13" s="3">
        <v>5</v>
      </c>
      <c r="BW13" s="3">
        <v>4</v>
      </c>
      <c r="BX13" s="3">
        <v>3</v>
      </c>
      <c r="BY13" s="3">
        <v>3</v>
      </c>
      <c r="BZ13" s="3">
        <v>3</v>
      </c>
      <c r="CA13" s="3">
        <v>4</v>
      </c>
      <c r="CB13" s="3">
        <v>4</v>
      </c>
      <c r="CC13" s="3">
        <v>3</v>
      </c>
      <c r="CD13" s="3">
        <v>3</v>
      </c>
      <c r="CE13" s="3">
        <v>3</v>
      </c>
      <c r="CF13" s="3">
        <v>5</v>
      </c>
      <c r="CG13" s="3">
        <v>2</v>
      </c>
      <c r="CH13" s="3">
        <v>3</v>
      </c>
      <c r="CI13" s="3">
        <v>2</v>
      </c>
      <c r="CJ13" s="3">
        <v>3</v>
      </c>
      <c r="CK13" s="3">
        <v>3</v>
      </c>
      <c r="CL13" s="3">
        <v>1</v>
      </c>
      <c r="CM13" s="3">
        <v>1</v>
      </c>
      <c r="CN13" s="3">
        <v>1</v>
      </c>
      <c r="CO13" s="6">
        <v>1</v>
      </c>
      <c r="CP13" s="5">
        <v>9.9044671286996639E-3</v>
      </c>
    </row>
    <row r="14" spans="1:94" x14ac:dyDescent="0.35">
      <c r="A14" s="9" t="s">
        <v>184</v>
      </c>
      <c r="B14" s="9" t="s">
        <v>94</v>
      </c>
      <c r="C14" s="20"/>
      <c r="D14" s="9" t="s">
        <v>93</v>
      </c>
      <c r="E14" s="9" t="s">
        <v>92</v>
      </c>
      <c r="F14" s="9" t="s">
        <v>47</v>
      </c>
      <c r="G14" s="19">
        <v>0</v>
      </c>
      <c r="H14" s="9">
        <v>2014</v>
      </c>
      <c r="I14" s="9">
        <v>6</v>
      </c>
      <c r="J14" s="18">
        <f>INDEX(PTRS!$D$6:$D$12,MATCH('2'!$F14,PTRS!$B$6:$B$12,0))</f>
        <v>1</v>
      </c>
      <c r="K14" s="17">
        <v>1</v>
      </c>
      <c r="L14" s="17">
        <v>1</v>
      </c>
      <c r="M14" s="17">
        <v>1</v>
      </c>
      <c r="N14" s="17">
        <v>1</v>
      </c>
      <c r="O14" s="17">
        <v>1</v>
      </c>
      <c r="P14" s="17">
        <v>1</v>
      </c>
      <c r="Q14" s="17">
        <v>1</v>
      </c>
      <c r="R14" s="17">
        <v>1</v>
      </c>
      <c r="S14" s="17">
        <v>1</v>
      </c>
      <c r="T14" s="17"/>
      <c r="U14" s="17">
        <f t="shared" si="0"/>
        <v>0.74129766176673451</v>
      </c>
      <c r="V14" s="17">
        <v>1</v>
      </c>
      <c r="W14" s="9" t="s">
        <v>54</v>
      </c>
      <c r="X14" s="9">
        <f>INDEX('Unique Asset List'!$C$4:$I$60,MATCH('2'!$B14,'Unique Asset List'!$A$4:$A$60,0),MATCH('2'!$C$1,'Unique Asset List'!$C$3:$I$3,0))</f>
        <v>2016</v>
      </c>
      <c r="Y14" s="9">
        <f>INDEX('Unique Asset List'!$J$4:$P$60,MATCH('2'!$B14,'Unique Asset List'!$A$4:$A$60,0),MATCH('2'!$C$1,'Unique Asset List'!$J$3:$P$3,0))</f>
        <v>7</v>
      </c>
      <c r="Z14" s="9">
        <f>INDEX('Unique Asset List'!$X$4:$AD$60,MATCH('2'!$B14,'Unique Asset List'!$A$4:$A$60,0),MATCH('2'!$C$1,'Unique Asset List'!$X$3:$AD$3,0))</f>
        <v>2027</v>
      </c>
      <c r="AA14" s="9">
        <f>INDEX('Unique Asset List'!$AE$4:$AK$60,MATCH('2'!$B14,'Unique Asset List'!$A$4:$A$60,0),MATCH('2'!$C$1,'Unique Asset List'!$AE$3:$AK$3,0))</f>
        <v>2</v>
      </c>
      <c r="AB14" s="16">
        <f t="shared" si="1"/>
        <v>1.6860000000000002</v>
      </c>
      <c r="AC14" s="16">
        <f t="shared" si="2"/>
        <v>0.78788900000000006</v>
      </c>
      <c r="AD14" s="16">
        <f t="shared" si="3"/>
        <v>0.56099999999999994</v>
      </c>
      <c r="AE14" s="15">
        <f>INDEX('Unique Asset List'!$BN$4:$BT$60,MATCH('2'!$B14,'Unique Asset List'!$A$4:$A$60,0),MATCH('2'!$C$1,'Unique Asset List'!$BN$3:$BT$3,0))</f>
        <v>0.2</v>
      </c>
      <c r="AF14" s="15">
        <f>INDEX('Unique Asset List'!$BU$4:$CA$60,MATCH('2'!$B14,'Unique Asset List'!$A$4:$A$60,0),MATCH('2'!$C$1,'Unique Asset List'!$BU$3:$CA$3,0))</f>
        <v>0.3</v>
      </c>
      <c r="AG14" s="15">
        <f>INDEX('Unique Asset List'!$AZ$4:$BF$60,MATCH('2'!$B14,'Unique Asset List'!$A$4:$A$60,0),MATCH('2'!$C$1,'Unique Asset List'!$AZ$3:$BF$3,0))</f>
        <v>0.2</v>
      </c>
      <c r="AH14" s="15">
        <f>INDEX('Unique Asset List'!$BG$4:$BM$60,MATCH('2'!$B14,'Unique Asset List'!$A$4:$A$60,0),MATCH('2'!$C$1,'Unique Asset List'!$BG$3:$BM$3,0))</f>
        <v>0.3</v>
      </c>
      <c r="AI14" s="11">
        <v>0.96187963349867744</v>
      </c>
      <c r="AJ14" s="15">
        <f>INDEX('Unique Asset List'!$AL$4:$AR$60,MATCH('2'!$B14,'Unique Asset List'!$A$4:$A$60,0),MATCH('2'!$C$1,'Unique Asset List'!$AL$3:$AR$3,0))</f>
        <v>2.2612105538192599</v>
      </c>
      <c r="AK14" s="15">
        <f>INDEX('Unique Asset List'!$AS$4:$AY$60,MATCH('2'!$B14,'Unique Asset List'!$A$4:$A$60,0),MATCH('2'!$C$1,'Unique Asset List'!$AS$3:$AY$3,0))</f>
        <v>-1.7475682675103321</v>
      </c>
      <c r="AL14" s="9">
        <v>169</v>
      </c>
      <c r="AM14" s="14">
        <f>INDEX(Simulation!$B$6:$H$6,MATCH($A14,Simulation!$B$1:$H$1,0))*(1+AN14)^((DATE(X14,Y14,15)-DATE(2017,1,15))/365.5)</f>
        <v>3.5</v>
      </c>
      <c r="AN14" s="12">
        <v>0</v>
      </c>
      <c r="AO14" s="13">
        <v>0.1</v>
      </c>
      <c r="AP14" s="11">
        <v>0.82</v>
      </c>
      <c r="AQ14" s="12">
        <v>0</v>
      </c>
      <c r="AR14" s="11">
        <f t="shared" si="4"/>
        <v>0.82</v>
      </c>
      <c r="AS14" s="10">
        <v>1</v>
      </c>
      <c r="AT14" s="4">
        <f>IF($C$5="ON",BT14,MyRating(_E1,$B14,Efficacy!$F$1))</f>
        <v>3</v>
      </c>
      <c r="AU14" s="3">
        <f>IF($C$5="ON",BU14,MyRating(_E2,$B14,Efficacy!$F$1))</f>
        <v>3</v>
      </c>
      <c r="AV14" s="3">
        <f>IF($C$5="ON",BV14,MyRating(_E3,$B14,Efficacy!$F$1))</f>
        <v>3</v>
      </c>
      <c r="AW14" s="3">
        <f>IF($C$5="ON",BW14,MyRating(_E4,$B14,Efficacy!$F$1))</f>
        <v>3</v>
      </c>
      <c r="AX14" s="3">
        <f>IF($C$5="ON",BX14,MyRating(_E5,$B14,Efficacy!$F$1))</f>
        <v>3</v>
      </c>
      <c r="AY14" s="3">
        <f>IF($C$5="ON",BY14,MyRating(_E6,$B14,Efficacy!$F$1))</f>
        <v>3</v>
      </c>
      <c r="AZ14" s="3">
        <f>IF($C$5="ON",BZ14,MyRating(_E7,$B14,Efficacy!$F$1))</f>
        <v>3</v>
      </c>
      <c r="BA14" s="3">
        <f>IF($C$5="ON",CA14,MyRating(_E8,$B14,Efficacy!$F$1))</f>
        <v>3</v>
      </c>
      <c r="BB14" s="3">
        <f>IF($C$5="ON",CB14,MyRating(_S1,$B14,'S&amp;T'!$F$1))</f>
        <v>3</v>
      </c>
      <c r="BC14" s="3">
        <f>IF($C$5="ON",CC14,MyRating(_S2,$B14,'S&amp;T'!$F$1))</f>
        <v>3</v>
      </c>
      <c r="BD14" s="3">
        <f>IF($C$5="ON",CD14,MyRating(_S3,$B14,'S&amp;T'!$F$1))</f>
        <v>3</v>
      </c>
      <c r="BE14" s="3">
        <f>IF($C$5="ON",CE14,MyRating(_S4,$B14,'S&amp;T'!$F$1))</f>
        <v>4</v>
      </c>
      <c r="BF14" s="3">
        <f>IF($C$5="ON",CF14,MyRating(_S5,$B14,'S&amp;T'!$F$1))</f>
        <v>3</v>
      </c>
      <c r="BG14" s="3">
        <f>IF($C$5="ON",CG14,MyRating(_S6,$B14,'S&amp;T'!$F$1))</f>
        <v>3</v>
      </c>
      <c r="BH14" s="3">
        <f>IF($C$5="ON",CH14,MyRating(_S7,$B14,'S&amp;T'!$F$1))</f>
        <v>3</v>
      </c>
      <c r="BI14" s="3">
        <f>IF($C$5="ON",CI14,MyRating(_D1,$B14,Delivery!$F$1))</f>
        <v>3</v>
      </c>
      <c r="BJ14" s="3">
        <f>IF($C$5="ON",CJ14,MyRating(_D2,$B14,Delivery!$F$1))</f>
        <v>3</v>
      </c>
      <c r="BK14" s="3">
        <f>IF($C$5="ON",CK14,MyRating(_D3,$B14,Delivery!$F$1))</f>
        <v>3</v>
      </c>
      <c r="BL14" s="3">
        <f>IF($C$5="ON",CL14,MyRating(_D4,$B14,Delivery!$F$1))</f>
        <v>3</v>
      </c>
      <c r="BM14" s="3">
        <f>IF($C$5="ON",CM14,MyRating(_B1G5,$B14,Barrier!$L$2))</f>
        <v>3</v>
      </c>
      <c r="BN14" s="3">
        <f>IF($C$5="ON",CN14,MyRating(_B2,$B14,Barrier!$F$2))</f>
        <v>3</v>
      </c>
      <c r="BO14" s="6">
        <f>IF($C$5="ON",CO14,MyRating(_B3,$B14,Barrier!$F$2))</f>
        <v>3</v>
      </c>
      <c r="BP14" s="5">
        <f t="shared" si="5"/>
        <v>3.7014903427878103E-2</v>
      </c>
      <c r="BQ14" s="8">
        <f t="shared" si="6"/>
        <v>2.9999999999999996</v>
      </c>
      <c r="BR14" s="5">
        <f t="shared" si="7"/>
        <v>3.6652412950519221E-2</v>
      </c>
      <c r="BS14" s="7">
        <f t="shared" si="8"/>
        <v>1.8920085086828659E-2</v>
      </c>
      <c r="BT14" s="4">
        <v>3</v>
      </c>
      <c r="BU14" s="3">
        <v>3</v>
      </c>
      <c r="BV14" s="3">
        <v>3</v>
      </c>
      <c r="BW14" s="3">
        <v>3</v>
      </c>
      <c r="BX14" s="3">
        <v>3</v>
      </c>
      <c r="BY14" s="3">
        <v>3</v>
      </c>
      <c r="BZ14" s="3">
        <v>3</v>
      </c>
      <c r="CA14" s="3">
        <v>3</v>
      </c>
      <c r="CB14" s="3">
        <v>3</v>
      </c>
      <c r="CC14" s="3">
        <v>3</v>
      </c>
      <c r="CD14" s="3">
        <v>3</v>
      </c>
      <c r="CE14" s="3">
        <v>4</v>
      </c>
      <c r="CF14" s="3">
        <v>3</v>
      </c>
      <c r="CG14" s="3">
        <v>3</v>
      </c>
      <c r="CH14" s="3">
        <v>3</v>
      </c>
      <c r="CI14" s="3">
        <v>3</v>
      </c>
      <c r="CJ14" s="3">
        <v>3</v>
      </c>
      <c r="CK14" s="3">
        <v>3</v>
      </c>
      <c r="CL14" s="3">
        <v>3</v>
      </c>
      <c r="CM14" s="3">
        <v>3</v>
      </c>
      <c r="CN14" s="3">
        <v>3</v>
      </c>
      <c r="CO14" s="6">
        <v>3</v>
      </c>
      <c r="CP14" s="5">
        <v>3.7014903427878103E-2</v>
      </c>
    </row>
    <row r="15" spans="1:94" x14ac:dyDescent="0.35">
      <c r="A15" s="9" t="s">
        <v>184</v>
      </c>
      <c r="B15" s="9" t="s">
        <v>83</v>
      </c>
      <c r="C15" s="20"/>
      <c r="D15" s="9" t="s">
        <v>82</v>
      </c>
      <c r="E15" s="9" t="s">
        <v>193</v>
      </c>
      <c r="F15" s="9" t="s">
        <v>63</v>
      </c>
      <c r="G15" s="19">
        <v>0</v>
      </c>
      <c r="H15" s="9">
        <v>2014</v>
      </c>
      <c r="I15" s="9">
        <v>6</v>
      </c>
      <c r="J15" s="18">
        <f>INDEX(PTRS!$D$6:$D$12,MATCH('2'!$F15,PTRS!$B$6:$B$12,0))</f>
        <v>0.58500000000000008</v>
      </c>
      <c r="K15" s="17">
        <v>1</v>
      </c>
      <c r="L15" s="17">
        <v>0.58500000000000008</v>
      </c>
      <c r="M15" s="17">
        <v>0.19500000000000003</v>
      </c>
      <c r="N15" s="17">
        <v>0.58500000000000008</v>
      </c>
      <c r="O15" s="17">
        <v>0.58500000000000008</v>
      </c>
      <c r="P15" s="17">
        <v>0.58500000000000008</v>
      </c>
      <c r="Q15" s="17">
        <v>0.58500000000000008</v>
      </c>
      <c r="R15" s="17">
        <v>0.58500000000000008</v>
      </c>
      <c r="S15" s="17">
        <v>1</v>
      </c>
      <c r="T15" s="17"/>
      <c r="U15" s="17">
        <f t="shared" si="0"/>
        <v>0.72649652910676854</v>
      </c>
      <c r="V15" s="17">
        <v>1</v>
      </c>
      <c r="W15" s="9" t="s">
        <v>195</v>
      </c>
      <c r="X15" s="9">
        <f>INDEX('Unique Asset List'!$C$4:$I$60,MATCH('2'!$B15,'Unique Asset List'!$A$4:$A$60,0),MATCH('2'!$C$1,'Unique Asset List'!$C$3:$I$3,0))</f>
        <v>2022</v>
      </c>
      <c r="Y15" s="9">
        <f>INDEX('Unique Asset List'!$J$4:$P$60,MATCH('2'!$B15,'Unique Asset List'!$A$4:$A$60,0),MATCH('2'!$C$1,'Unique Asset List'!$J$3:$P$3,0))</f>
        <v>1</v>
      </c>
      <c r="Z15" s="9">
        <f>INDEX('Unique Asset List'!$X$4:$AD$60,MATCH('2'!$B15,'Unique Asset List'!$A$4:$A$60,0),MATCH('2'!$C$1,'Unique Asset List'!$X$3:$AD$3,0))</f>
        <v>2032</v>
      </c>
      <c r="AA15" s="9">
        <f>INDEX('Unique Asset List'!$AE$4:$AK$60,MATCH('2'!$B15,'Unique Asset List'!$A$4:$A$60,0),MATCH('2'!$C$1,'Unique Asset List'!$AE$3:$AK$3,0))</f>
        <v>1</v>
      </c>
      <c r="AB15" s="16">
        <f t="shared" si="1"/>
        <v>1.6860000000000002</v>
      </c>
      <c r="AC15" s="16">
        <f t="shared" si="2"/>
        <v>1.0347223999999999</v>
      </c>
      <c r="AD15" s="16">
        <f t="shared" si="3"/>
        <v>0.38169906301999995</v>
      </c>
      <c r="AE15" s="15">
        <f>INDEX('Unique Asset List'!$BN$4:$BT$60,MATCH('2'!$B15,'Unique Asset List'!$A$4:$A$60,0),MATCH('2'!$C$1,'Unique Asset List'!$BN$3:$BT$3,0))</f>
        <v>0.2</v>
      </c>
      <c r="AF15" s="15">
        <f>INDEX('Unique Asset List'!$BU$4:$CA$60,MATCH('2'!$B15,'Unique Asset List'!$A$4:$A$60,0),MATCH('2'!$C$1,'Unique Asset List'!$BU$3:$CA$3,0))</f>
        <v>0.3</v>
      </c>
      <c r="AG15" s="15">
        <f>INDEX('Unique Asset List'!$AZ$4:$BF$60,MATCH('2'!$B15,'Unique Asset List'!$A$4:$A$60,0),MATCH('2'!$C$1,'Unique Asset List'!$AZ$3:$BF$3,0))</f>
        <v>0.2</v>
      </c>
      <c r="AH15" s="15">
        <f>INDEX('Unique Asset List'!$BG$4:$BM$60,MATCH('2'!$B15,'Unique Asset List'!$A$4:$A$60,0),MATCH('2'!$C$1,'Unique Asset List'!$BG$3:$BM$3,0))</f>
        <v>0.3</v>
      </c>
      <c r="AI15" s="11">
        <v>0.96187963349867744</v>
      </c>
      <c r="AJ15" s="15">
        <f>INDEX('Unique Asset List'!$AL$4:$AR$60,MATCH('2'!$B15,'Unique Asset List'!$A$4:$A$60,0),MATCH('2'!$C$1,'Unique Asset List'!$AL$3:$AR$3,0))</f>
        <v>2.2612105538192599</v>
      </c>
      <c r="AK15" s="15">
        <f>INDEX('Unique Asset List'!$AS$4:$AY$60,MATCH('2'!$B15,'Unique Asset List'!$A$4:$A$60,0),MATCH('2'!$C$1,'Unique Asset List'!$AS$3:$AY$3,0))</f>
        <v>-1.7475682675103321</v>
      </c>
      <c r="AL15" s="9">
        <v>169</v>
      </c>
      <c r="AM15" s="14">
        <f>INDEX(Simulation!$B$6:$H$6,MATCH($A15,Simulation!$B$1:$H$1,0))*(1+AN15)^((DATE(X15,Y15,15)-DATE(2017,1,15))/365.5)</f>
        <v>3.5</v>
      </c>
      <c r="AN15" s="12">
        <v>0</v>
      </c>
      <c r="AO15" s="13">
        <v>0.1</v>
      </c>
      <c r="AP15" s="11">
        <v>0.82</v>
      </c>
      <c r="AQ15" s="12">
        <v>0</v>
      </c>
      <c r="AR15" s="11">
        <f t="shared" si="4"/>
        <v>0.82</v>
      </c>
      <c r="AS15" s="10">
        <v>1</v>
      </c>
      <c r="AT15" s="4">
        <f>IF($C$5="ON",BT15,MyRating(_E1,$B15,Efficacy!$F$1))</f>
        <v>3</v>
      </c>
      <c r="AU15" s="3">
        <f>IF($C$5="ON",BU15,MyRating(_E2,$B15,Efficacy!$F$1))</f>
        <v>3</v>
      </c>
      <c r="AV15" s="3">
        <f>IF($C$5="ON",BV15,MyRating(_E3,$B15,Efficacy!$F$1))</f>
        <v>3</v>
      </c>
      <c r="AW15" s="3">
        <f>IF($C$5="ON",BW15,MyRating(_E4,$B15,Efficacy!$F$1))</f>
        <v>3</v>
      </c>
      <c r="AX15" s="3">
        <f>IF($C$5="ON",BX15,MyRating(_E5,$B15,Efficacy!$F$1))</f>
        <v>3</v>
      </c>
      <c r="AY15" s="3">
        <f>IF($C$5="ON",BY15,MyRating(_E6,$B15,Efficacy!$F$1))</f>
        <v>3</v>
      </c>
      <c r="AZ15" s="3">
        <f>IF($C$5="ON",BZ15,MyRating(_E7,$B15,Efficacy!$F$1))</f>
        <v>3</v>
      </c>
      <c r="BA15" s="3">
        <f>IF($C$5="ON",CA15,MyRating(_E8,$B15,Efficacy!$F$1))</f>
        <v>3</v>
      </c>
      <c r="BB15" s="3">
        <f>IF($C$5="ON",CB15,MyRating(_S1,$B15,'S&amp;T'!$F$1))</f>
        <v>5</v>
      </c>
      <c r="BC15" s="3">
        <f>IF($C$5="ON",CC15,MyRating(_S2,$B15,'S&amp;T'!$F$1))</f>
        <v>3</v>
      </c>
      <c r="BD15" s="3">
        <f>IF($C$5="ON",CD15,MyRating(_S3,$B15,'S&amp;T'!$F$1))</f>
        <v>3</v>
      </c>
      <c r="BE15" s="3">
        <f>IF($C$5="ON",CE15,MyRating(_S4,$B15,'S&amp;T'!$F$1))</f>
        <v>4</v>
      </c>
      <c r="BF15" s="3">
        <f>IF($C$5="ON",CF15,MyRating(_S5,$B15,'S&amp;T'!$F$1))</f>
        <v>5</v>
      </c>
      <c r="BG15" s="3">
        <f>IF($C$5="ON",CG15,MyRating(_S6,$B15,'S&amp;T'!$F$1))</f>
        <v>3</v>
      </c>
      <c r="BH15" s="3">
        <f>IF($C$5="ON",CH15,MyRating(_S7,$B15,'S&amp;T'!$F$1))</f>
        <v>4</v>
      </c>
      <c r="BI15" s="3">
        <f>IF($C$5="ON",CI15,MyRating(_D1,$B15,Delivery!$F$1))</f>
        <v>2</v>
      </c>
      <c r="BJ15" s="3">
        <f>IF($C$5="ON",CJ15,MyRating(_D2,$B15,Delivery!$F$1))</f>
        <v>3</v>
      </c>
      <c r="BK15" s="3">
        <f>IF($C$5="ON",CK15,MyRating(_D3,$B15,Delivery!$F$1))</f>
        <v>1</v>
      </c>
      <c r="BL15" s="3">
        <f>IF($C$5="ON",CL15,MyRating(_D4,$B15,Delivery!$F$1))</f>
        <v>2</v>
      </c>
      <c r="BM15" s="3">
        <f>IF($C$5="ON",CM15,MyRating(_B1G5,$B15,Barrier!$L$2))</f>
        <v>2</v>
      </c>
      <c r="BN15" s="3">
        <f>IF($C$5="ON",CN15,MyRating(_B2,$B15,Barrier!$F$2))</f>
        <v>3</v>
      </c>
      <c r="BO15" s="6">
        <f>IF($C$5="ON",CO15,MyRating(_B3,$B15,Barrier!$F$2))</f>
        <v>3</v>
      </c>
      <c r="BP15" s="5">
        <f t="shared" si="5"/>
        <v>3.6275844714639842E-2</v>
      </c>
      <c r="BQ15" s="8">
        <f t="shared" si="6"/>
        <v>2.9499999999999997</v>
      </c>
      <c r="BR15" s="5">
        <f t="shared" si="7"/>
        <v>3.60415394013439E-2</v>
      </c>
      <c r="BS15" s="7">
        <f t="shared" si="8"/>
        <v>1.8542316878791175E-2</v>
      </c>
      <c r="BT15" s="4">
        <v>3</v>
      </c>
      <c r="BU15" s="3">
        <v>3</v>
      </c>
      <c r="BV15" s="3">
        <v>3</v>
      </c>
      <c r="BW15" s="3">
        <v>3</v>
      </c>
      <c r="BX15" s="3">
        <v>3</v>
      </c>
      <c r="BY15" s="3">
        <v>3</v>
      </c>
      <c r="BZ15" s="3">
        <v>3</v>
      </c>
      <c r="CA15" s="3">
        <v>3</v>
      </c>
      <c r="CB15" s="3">
        <v>5</v>
      </c>
      <c r="CC15" s="3">
        <v>3</v>
      </c>
      <c r="CD15" s="3">
        <v>3</v>
      </c>
      <c r="CE15" s="3">
        <v>4</v>
      </c>
      <c r="CF15" s="3">
        <v>5</v>
      </c>
      <c r="CG15" s="3">
        <v>3</v>
      </c>
      <c r="CH15" s="3">
        <v>4</v>
      </c>
      <c r="CI15" s="3">
        <v>2</v>
      </c>
      <c r="CJ15" s="3">
        <v>3</v>
      </c>
      <c r="CK15" s="3">
        <v>1</v>
      </c>
      <c r="CL15" s="3">
        <v>2</v>
      </c>
      <c r="CM15" s="3">
        <v>2</v>
      </c>
      <c r="CN15" s="3">
        <v>3</v>
      </c>
      <c r="CO15" s="6">
        <v>3</v>
      </c>
      <c r="CP15" s="5">
        <v>3.6275844714639842E-2</v>
      </c>
    </row>
    <row r="16" spans="1:94" x14ac:dyDescent="0.35">
      <c r="A16" s="9" t="s">
        <v>184</v>
      </c>
      <c r="B16" s="9" t="s">
        <v>84</v>
      </c>
      <c r="C16" s="20"/>
      <c r="D16" s="9" t="s">
        <v>64</v>
      </c>
      <c r="E16" s="9" t="s">
        <v>193</v>
      </c>
      <c r="F16" s="9" t="s">
        <v>63</v>
      </c>
      <c r="G16" s="19">
        <v>0</v>
      </c>
      <c r="H16" s="9">
        <v>2014</v>
      </c>
      <c r="I16" s="9">
        <v>6</v>
      </c>
      <c r="J16" s="18">
        <f>INDEX(PTRS!$D$6:$D$12,MATCH('2'!$F16,PTRS!$B$6:$B$12,0))</f>
        <v>0.58500000000000008</v>
      </c>
      <c r="K16" s="17">
        <v>0</v>
      </c>
      <c r="L16" s="17">
        <v>0.29250000000000004</v>
      </c>
      <c r="M16" s="17">
        <v>0.19500000000000003</v>
      </c>
      <c r="N16" s="17">
        <v>0.58500000000000008</v>
      </c>
      <c r="O16" s="17">
        <v>0.58500000000000008</v>
      </c>
      <c r="P16" s="17">
        <f>J16/2</f>
        <v>0.29250000000000004</v>
      </c>
      <c r="Q16" s="17">
        <v>0.29250000000000004</v>
      </c>
      <c r="R16" s="17">
        <v>0.29250000000000004</v>
      </c>
      <c r="S16" s="17">
        <v>1</v>
      </c>
      <c r="T16" s="17"/>
      <c r="U16" s="17">
        <f t="shared" si="0"/>
        <v>0.19835681424527862</v>
      </c>
      <c r="V16" s="17">
        <v>1</v>
      </c>
      <c r="W16" s="9" t="s">
        <v>62</v>
      </c>
      <c r="X16" s="9">
        <f>INDEX('Unique Asset List'!$C$4:$I$60,MATCH('2'!$B16,'Unique Asset List'!$A$4:$A$60,0),MATCH('2'!$C$1,'Unique Asset List'!$C$3:$I$3,0))</f>
        <v>2022</v>
      </c>
      <c r="Y16" s="9">
        <f>INDEX('Unique Asset List'!$J$4:$P$60,MATCH('2'!$B16,'Unique Asset List'!$A$4:$A$60,0),MATCH('2'!$C$1,'Unique Asset List'!$J$3:$P$3,0))</f>
        <v>7</v>
      </c>
      <c r="Z16" s="9">
        <f>INDEX('Unique Asset List'!$X$4:$AD$60,MATCH('2'!$B16,'Unique Asset List'!$A$4:$A$60,0),MATCH('2'!$C$1,'Unique Asset List'!$X$3:$AD$3,0))</f>
        <v>2031</v>
      </c>
      <c r="AA16" s="9">
        <f>INDEX('Unique Asset List'!$AE$4:$AK$60,MATCH('2'!$B16,'Unique Asset List'!$A$4:$A$60,0),MATCH('2'!$C$1,'Unique Asset List'!$AE$3:$AK$3,0))</f>
        <v>7</v>
      </c>
      <c r="AB16" s="16">
        <f t="shared" si="1"/>
        <v>1.6860000000000002</v>
      </c>
      <c r="AC16" s="16">
        <f t="shared" si="2"/>
        <v>0.73148930000000001</v>
      </c>
      <c r="AD16" s="16">
        <f t="shared" si="3"/>
        <v>0.56099999999999994</v>
      </c>
      <c r="AE16" s="15">
        <f>INDEX('Unique Asset List'!$BN$4:$BT$60,MATCH('2'!$B16,'Unique Asset List'!$A$4:$A$60,0),MATCH('2'!$C$1,'Unique Asset List'!$BN$3:$BT$3,0))</f>
        <v>0.27</v>
      </c>
      <c r="AF16" s="15">
        <f>INDEX('Unique Asset List'!$BU$4:$CA$60,MATCH('2'!$B16,'Unique Asset List'!$A$4:$A$60,0),MATCH('2'!$C$1,'Unique Asset List'!$BU$3:$CA$3,0))</f>
        <v>0.23</v>
      </c>
      <c r="AG16" s="15">
        <f>INDEX('Unique Asset List'!$AZ$4:$BF$60,MATCH('2'!$B16,'Unique Asset List'!$A$4:$A$60,0),MATCH('2'!$C$1,'Unique Asset List'!$AZ$3:$BF$3,0))</f>
        <v>0.27</v>
      </c>
      <c r="AH16" s="15">
        <f>INDEX('Unique Asset List'!$BG$4:$BM$60,MATCH('2'!$B16,'Unique Asset List'!$A$4:$A$60,0),MATCH('2'!$C$1,'Unique Asset List'!$BG$3:$BM$3,0))</f>
        <v>0.23</v>
      </c>
      <c r="AI16" s="11">
        <v>0.96187963349867744</v>
      </c>
      <c r="AJ16" s="15">
        <f>INDEX('Unique Asset List'!$AL$4:$AR$60,MATCH('2'!$B16,'Unique Asset List'!$A$4:$A$60,0),MATCH('2'!$C$1,'Unique Asset List'!$AL$3:$AR$3,0))</f>
        <v>2.2612105538192599</v>
      </c>
      <c r="AK16" s="15">
        <f>INDEX('Unique Asset List'!$AS$4:$AY$60,MATCH('2'!$B16,'Unique Asset List'!$A$4:$A$60,0),MATCH('2'!$C$1,'Unique Asset List'!$AS$3:$AY$3,0))</f>
        <v>-1.7475682675103321</v>
      </c>
      <c r="AL16" s="9">
        <v>169</v>
      </c>
      <c r="AM16" s="14">
        <v>28</v>
      </c>
      <c r="AN16" s="12">
        <v>0</v>
      </c>
      <c r="AO16" s="13">
        <v>0.1</v>
      </c>
      <c r="AP16" s="11">
        <v>0.82</v>
      </c>
      <c r="AQ16" s="12">
        <v>0</v>
      </c>
      <c r="AR16" s="11">
        <f t="shared" si="4"/>
        <v>0.82</v>
      </c>
      <c r="AS16" s="10">
        <v>1</v>
      </c>
      <c r="AT16" s="4">
        <f>IF($C$5="ON",BT16,MyRating(_E1,$B16,Efficacy!$F$1))</f>
        <v>3</v>
      </c>
      <c r="AU16" s="3">
        <f>IF($C$5="ON",BU16,MyRating(_E2,$B16,Efficacy!$F$1))</f>
        <v>3</v>
      </c>
      <c r="AV16" s="3">
        <f>IF($C$5="ON",BV16,MyRating(_E3,$B16,Efficacy!$F$1))</f>
        <v>3</v>
      </c>
      <c r="AW16" s="3">
        <f>IF($C$5="ON",BW16,MyRating(_E4,$B16,Efficacy!$F$1))</f>
        <v>3</v>
      </c>
      <c r="AX16" s="3">
        <f>IF($C$5="ON",BX16,MyRating(_E5,$B16,Efficacy!$F$1))</f>
        <v>3</v>
      </c>
      <c r="AY16" s="3">
        <f>IF($C$5="ON",BY16,MyRating(_E6,$B16,Efficacy!$F$1))</f>
        <v>3</v>
      </c>
      <c r="AZ16" s="3">
        <f>IF($C$5="ON",BZ16,MyRating(_E7,$B16,Efficacy!$F$1))</f>
        <v>3</v>
      </c>
      <c r="BA16" s="3">
        <f>IF($C$5="ON",CA16,MyRating(_E8,$B16,Efficacy!$F$1))</f>
        <v>3</v>
      </c>
      <c r="BB16" s="3">
        <f>IF($C$5="ON",CB16,MyRating(_S1,$B16,'S&amp;T'!$F$1))</f>
        <v>3</v>
      </c>
      <c r="BC16" s="3">
        <f>IF($C$5="ON",CC16,MyRating(_S2,$B16,'S&amp;T'!$F$1))</f>
        <v>3</v>
      </c>
      <c r="BD16" s="3">
        <f>IF($C$5="ON",CD16,MyRating(_S3,$B16,'S&amp;T'!$F$1))</f>
        <v>3</v>
      </c>
      <c r="BE16" s="3">
        <f>IF($C$5="ON",CE16,MyRating(_S4,$B16,'S&amp;T'!$F$1))</f>
        <v>3</v>
      </c>
      <c r="BF16" s="3">
        <f>IF($C$5="ON",CF16,MyRating(_S5,$B16,'S&amp;T'!$F$1))</f>
        <v>3</v>
      </c>
      <c r="BG16" s="3">
        <f>IF($C$5="ON",CG16,MyRating(_S6,$B16,'S&amp;T'!$F$1))</f>
        <v>2</v>
      </c>
      <c r="BH16" s="3">
        <f>IF($C$5="ON",CH16,MyRating(_S7,$B16,'S&amp;T'!$F$1))</f>
        <v>3</v>
      </c>
      <c r="BI16" s="3">
        <f>IF($C$5="ON",CI16,MyRating(_D1,$B16,Delivery!$F$1))</f>
        <v>3</v>
      </c>
      <c r="BJ16" s="3">
        <f>IF($C$5="ON",CJ16,MyRating(_D2,$B16,Delivery!$F$1))</f>
        <v>3</v>
      </c>
      <c r="BK16" s="3">
        <f>IF($C$5="ON",CK16,MyRating(_D3,$B16,Delivery!$F$1))</f>
        <v>3</v>
      </c>
      <c r="BL16" s="3">
        <f>IF($C$5="ON",CL16,MyRating(_D4,$B16,Delivery!$F$1))</f>
        <v>3</v>
      </c>
      <c r="BM16" s="3">
        <f>IF($C$5="ON",CM16,MyRating(_B1G5,$B16,Barrier!$L$2))</f>
        <v>1</v>
      </c>
      <c r="BN16" s="3">
        <f>IF($C$5="ON",CN16,MyRating(_B2,$B16,Barrier!$F$2))</f>
        <v>1</v>
      </c>
      <c r="BO16" s="6">
        <f>IF($C$5="ON",CO16,MyRating(_B3,$B16,Barrier!$F$2))</f>
        <v>1</v>
      </c>
      <c r="BP16" s="5">
        <f t="shared" si="5"/>
        <v>9.9044671286996639E-3</v>
      </c>
      <c r="BQ16" s="8">
        <f t="shared" si="6"/>
        <v>1</v>
      </c>
      <c r="BR16" s="5">
        <f t="shared" si="7"/>
        <v>1.2217470983506409E-2</v>
      </c>
      <c r="BS16" s="7">
        <f t="shared" si="8"/>
        <v>5.0626462170790974E-3</v>
      </c>
      <c r="BT16" s="4">
        <v>3</v>
      </c>
      <c r="BU16" s="3">
        <v>3</v>
      </c>
      <c r="BV16" s="3">
        <v>3</v>
      </c>
      <c r="BW16" s="3">
        <v>3</v>
      </c>
      <c r="BX16" s="3">
        <v>3</v>
      </c>
      <c r="BY16" s="3">
        <v>3</v>
      </c>
      <c r="BZ16" s="3">
        <v>3</v>
      </c>
      <c r="CA16" s="3">
        <v>3</v>
      </c>
      <c r="CB16" s="3">
        <v>3</v>
      </c>
      <c r="CC16" s="3">
        <v>3</v>
      </c>
      <c r="CD16" s="3">
        <v>3</v>
      </c>
      <c r="CE16" s="3">
        <v>3</v>
      </c>
      <c r="CF16" s="3">
        <v>3</v>
      </c>
      <c r="CG16" s="3">
        <v>2</v>
      </c>
      <c r="CH16" s="3">
        <v>3</v>
      </c>
      <c r="CI16" s="3">
        <v>3</v>
      </c>
      <c r="CJ16" s="3">
        <v>3</v>
      </c>
      <c r="CK16" s="3">
        <v>3</v>
      </c>
      <c r="CL16" s="3">
        <v>3</v>
      </c>
      <c r="CM16" s="3">
        <v>1</v>
      </c>
      <c r="CN16" s="3">
        <v>1</v>
      </c>
      <c r="CO16" s="6">
        <v>1</v>
      </c>
      <c r="CP16" s="5">
        <v>9.9044671286996639E-3</v>
      </c>
    </row>
    <row r="17" spans="1:94" x14ac:dyDescent="0.35">
      <c r="A17" s="9" t="s">
        <v>184</v>
      </c>
      <c r="B17" s="9" t="s">
        <v>80</v>
      </c>
      <c r="C17" s="20"/>
      <c r="D17" s="9" t="s">
        <v>79</v>
      </c>
      <c r="E17" s="9" t="s">
        <v>193</v>
      </c>
      <c r="F17" s="9" t="s">
        <v>43</v>
      </c>
      <c r="G17" s="19">
        <v>0</v>
      </c>
      <c r="H17" s="9">
        <v>2014</v>
      </c>
      <c r="I17" s="9">
        <v>6</v>
      </c>
      <c r="J17" s="18">
        <f>INDEX(PTRS!$D$6:$D$12,MATCH('2'!$F17,PTRS!$B$6:$B$12,0))</f>
        <v>0.40949999999999998</v>
      </c>
      <c r="K17" s="17">
        <v>0</v>
      </c>
      <c r="L17" s="17">
        <v>0.40949999999999998</v>
      </c>
      <c r="M17" s="17">
        <v>0.13649999999999998</v>
      </c>
      <c r="N17" s="17">
        <v>0.40949999999999998</v>
      </c>
      <c r="O17" s="17">
        <v>0.40949999999999998</v>
      </c>
      <c r="P17" s="17">
        <v>0.40949999999999998</v>
      </c>
      <c r="Q17" s="17">
        <v>0.41</v>
      </c>
      <c r="R17" s="17">
        <v>0.41</v>
      </c>
      <c r="S17" s="17">
        <v>1</v>
      </c>
      <c r="T17" s="17"/>
      <c r="U17" s="17">
        <f t="shared" si="0"/>
        <v>0.72649652910676854</v>
      </c>
      <c r="V17" s="17">
        <v>1</v>
      </c>
      <c r="W17" s="9" t="s">
        <v>62</v>
      </c>
      <c r="X17" s="9">
        <f>INDEX('Unique Asset List'!$C$4:$I$60,MATCH('2'!$B17,'Unique Asset List'!$A$4:$A$60,0),MATCH('2'!$C$1,'Unique Asset List'!$C$3:$I$3,0))</f>
        <v>2023</v>
      </c>
      <c r="Y17" s="9">
        <f>INDEX('Unique Asset List'!$J$4:$P$60,MATCH('2'!$B17,'Unique Asset List'!$A$4:$A$60,0),MATCH('2'!$C$1,'Unique Asset List'!$J$3:$P$3,0))</f>
        <v>3</v>
      </c>
      <c r="Z17" s="9">
        <f>INDEX('Unique Asset List'!$X$4:$AD$60,MATCH('2'!$B17,'Unique Asset List'!$A$4:$A$60,0),MATCH('2'!$C$1,'Unique Asset List'!$X$3:$AD$3,0))</f>
        <v>2033</v>
      </c>
      <c r="AA17" s="9">
        <f>INDEX('Unique Asset List'!$AE$4:$AK$60,MATCH('2'!$B17,'Unique Asset List'!$A$4:$A$60,0),MATCH('2'!$C$1,'Unique Asset List'!$AE$3:$AK$3,0))</f>
        <v>3</v>
      </c>
      <c r="AB17" s="16">
        <f t="shared" si="1"/>
        <v>2.1526286000000003</v>
      </c>
      <c r="AC17" s="16">
        <f t="shared" si="2"/>
        <v>0.88497580000000009</v>
      </c>
      <c r="AD17" s="16">
        <f t="shared" si="3"/>
        <v>0.56099999999999994</v>
      </c>
      <c r="AE17" s="15">
        <f>INDEX('Unique Asset List'!$BN$4:$BT$60,MATCH('2'!$B17,'Unique Asset List'!$A$4:$A$60,0),MATCH('2'!$C$1,'Unique Asset List'!$BN$3:$BT$3,0))</f>
        <v>0.27</v>
      </c>
      <c r="AF17" s="15">
        <f>INDEX('Unique Asset List'!$BU$4:$CA$60,MATCH('2'!$B17,'Unique Asset List'!$A$4:$A$60,0),MATCH('2'!$C$1,'Unique Asset List'!$BU$3:$CA$3,0))</f>
        <v>0.23</v>
      </c>
      <c r="AG17" s="15">
        <f>INDEX('Unique Asset List'!$AZ$4:$BF$60,MATCH('2'!$B17,'Unique Asset List'!$A$4:$A$60,0),MATCH('2'!$C$1,'Unique Asset List'!$AZ$3:$BF$3,0))</f>
        <v>0.27</v>
      </c>
      <c r="AH17" s="15">
        <f>INDEX('Unique Asset List'!$BG$4:$BM$60,MATCH('2'!$B17,'Unique Asset List'!$A$4:$A$60,0),MATCH('2'!$C$1,'Unique Asset List'!$BG$3:$BM$3,0))</f>
        <v>0.23</v>
      </c>
      <c r="AI17" s="11">
        <v>0.96187963349867744</v>
      </c>
      <c r="AJ17" s="15">
        <f>INDEX('Unique Asset List'!$AL$4:$AR$60,MATCH('2'!$B17,'Unique Asset List'!$A$4:$A$60,0),MATCH('2'!$C$1,'Unique Asset List'!$AL$3:$AR$3,0))</f>
        <v>2.2612105538192599</v>
      </c>
      <c r="AK17" s="15">
        <f>INDEX('Unique Asset List'!$AS$4:$AY$60,MATCH('2'!$B17,'Unique Asset List'!$A$4:$A$60,0),MATCH('2'!$C$1,'Unique Asset List'!$AS$3:$AY$3,0))</f>
        <v>-1.7475682675103321</v>
      </c>
      <c r="AL17" s="9">
        <v>169</v>
      </c>
      <c r="AM17" s="14">
        <f>INDEX(Simulation!$B$6:$H$6,MATCH($A17,Simulation!$B$1:$H$1,0))*(1+AN17)^((DATE(X17,Y17,15)-DATE(2017,1,15))/365.5)</f>
        <v>3.5</v>
      </c>
      <c r="AN17" s="12">
        <v>0</v>
      </c>
      <c r="AO17" s="13">
        <v>0.1</v>
      </c>
      <c r="AP17" s="11">
        <v>0.82</v>
      </c>
      <c r="AQ17" s="12">
        <v>0</v>
      </c>
      <c r="AR17" s="11">
        <f t="shared" si="4"/>
        <v>0.82</v>
      </c>
      <c r="AS17" s="10">
        <v>1</v>
      </c>
      <c r="AT17" s="4">
        <f>IF($C$5="ON",BT17,MyRating(_E1,$B17,Efficacy!$F$1))</f>
        <v>4</v>
      </c>
      <c r="AU17" s="3">
        <f>IF($C$5="ON",BU17,MyRating(_E2,$B17,Efficacy!$F$1))</f>
        <v>4</v>
      </c>
      <c r="AV17" s="3">
        <f>IF($C$5="ON",BV17,MyRating(_E3,$B17,Efficacy!$F$1))</f>
        <v>4</v>
      </c>
      <c r="AW17" s="3">
        <f>IF($C$5="ON",BW17,MyRating(_E4,$B17,Efficacy!$F$1))</f>
        <v>4</v>
      </c>
      <c r="AX17" s="3">
        <f>IF($C$5="ON",BX17,MyRating(_E5,$B17,Efficacy!$F$1))</f>
        <v>3</v>
      </c>
      <c r="AY17" s="3">
        <f>IF($C$5="ON",BY17,MyRating(_E6,$B17,Efficacy!$F$1))</f>
        <v>3</v>
      </c>
      <c r="AZ17" s="3">
        <f>IF($C$5="ON",BZ17,MyRating(_E7,$B17,Efficacy!$F$1))</f>
        <v>3</v>
      </c>
      <c r="BA17" s="3">
        <f>IF($C$5="ON",CA17,MyRating(_E8,$B17,Efficacy!$F$1))</f>
        <v>5</v>
      </c>
      <c r="BB17" s="3">
        <f>IF($C$5="ON",CB17,MyRating(_S1,$B17,'S&amp;T'!$F$1))</f>
        <v>4</v>
      </c>
      <c r="BC17" s="3">
        <f>IF($C$5="ON",CC17,MyRating(_S2,$B17,'S&amp;T'!$F$1))</f>
        <v>3</v>
      </c>
      <c r="BD17" s="3">
        <f>IF($C$5="ON",CD17,MyRating(_S3,$B17,'S&amp;T'!$F$1))</f>
        <v>3</v>
      </c>
      <c r="BE17" s="3">
        <f>IF($C$5="ON",CE17,MyRating(_S4,$B17,'S&amp;T'!$F$1))</f>
        <v>3</v>
      </c>
      <c r="BF17" s="3">
        <f>IF($C$5="ON",CF17,MyRating(_S5,$B17,'S&amp;T'!$F$1))</f>
        <v>5</v>
      </c>
      <c r="BG17" s="3">
        <f>IF($C$5="ON",CG17,MyRating(_S6,$B17,'S&amp;T'!$F$1))</f>
        <v>2</v>
      </c>
      <c r="BH17" s="3">
        <f>IF($C$5="ON",CH17,MyRating(_S7,$B17,'S&amp;T'!$F$1))</f>
        <v>3</v>
      </c>
      <c r="BI17" s="3">
        <f>IF($C$5="ON",CI17,MyRating(_D1,$B17,Delivery!$F$1))</f>
        <v>3</v>
      </c>
      <c r="BJ17" s="3">
        <f>IF($C$5="ON",CJ17,MyRating(_D2,$B17,Delivery!$F$1))</f>
        <v>3</v>
      </c>
      <c r="BK17" s="3">
        <f>IF($C$5="ON",CK17,MyRating(_D3,$B17,Delivery!$F$1))</f>
        <v>3</v>
      </c>
      <c r="BL17" s="3">
        <f>IF($C$5="ON",CL17,MyRating(_D4,$B17,Delivery!$F$1))</f>
        <v>3</v>
      </c>
      <c r="BM17" s="3">
        <f>IF($C$5="ON",CM17,MyRating(_B1G5,$B17,Barrier!$L$2))</f>
        <v>2</v>
      </c>
      <c r="BN17" s="3">
        <f>IF($C$5="ON",CN17,MyRating(_B2,$B17,Barrier!$F$2))</f>
        <v>3</v>
      </c>
      <c r="BO17" s="6">
        <f>IF($C$5="ON",CO17,MyRating(_B3,$B17,Barrier!$F$2))</f>
        <v>3</v>
      </c>
      <c r="BP17" s="5">
        <f t="shared" si="5"/>
        <v>3.6275844714639842E-2</v>
      </c>
      <c r="BQ17" s="8">
        <f t="shared" si="6"/>
        <v>2.9499999999999997</v>
      </c>
      <c r="BR17" s="5">
        <f t="shared" si="7"/>
        <v>3.60415394013439E-2</v>
      </c>
      <c r="BS17" s="7">
        <f t="shared" si="8"/>
        <v>1.8542316878791175E-2</v>
      </c>
      <c r="BT17" s="4">
        <v>4</v>
      </c>
      <c r="BU17" s="3">
        <v>4</v>
      </c>
      <c r="BV17" s="3">
        <v>4</v>
      </c>
      <c r="BW17" s="3">
        <v>4</v>
      </c>
      <c r="BX17" s="3">
        <v>3</v>
      </c>
      <c r="BY17" s="3">
        <v>3</v>
      </c>
      <c r="BZ17" s="3">
        <v>3</v>
      </c>
      <c r="CA17" s="3">
        <v>5</v>
      </c>
      <c r="CB17" s="3">
        <v>4</v>
      </c>
      <c r="CC17" s="3">
        <v>3</v>
      </c>
      <c r="CD17" s="3">
        <v>3</v>
      </c>
      <c r="CE17" s="3">
        <v>3</v>
      </c>
      <c r="CF17" s="3">
        <v>5</v>
      </c>
      <c r="CG17" s="3">
        <v>2</v>
      </c>
      <c r="CH17" s="3">
        <v>3</v>
      </c>
      <c r="CI17" s="3">
        <v>3</v>
      </c>
      <c r="CJ17" s="3">
        <v>3</v>
      </c>
      <c r="CK17" s="3">
        <v>3</v>
      </c>
      <c r="CL17" s="3">
        <v>3</v>
      </c>
      <c r="CM17" s="3">
        <v>2</v>
      </c>
      <c r="CN17" s="3">
        <v>3</v>
      </c>
      <c r="CO17" s="6">
        <v>3</v>
      </c>
      <c r="CP17" s="5">
        <v>3.6275844714639842E-2</v>
      </c>
    </row>
    <row r="18" spans="1:94" x14ac:dyDescent="0.35">
      <c r="A18" s="9" t="s">
        <v>184</v>
      </c>
      <c r="B18" s="9" t="s">
        <v>89</v>
      </c>
      <c r="C18" s="20"/>
      <c r="D18" s="9" t="s">
        <v>64</v>
      </c>
      <c r="E18" s="9" t="s">
        <v>193</v>
      </c>
      <c r="F18" s="9" t="s">
        <v>63</v>
      </c>
      <c r="G18" s="19">
        <v>0</v>
      </c>
      <c r="H18" s="9">
        <v>2014</v>
      </c>
      <c r="I18" s="9">
        <v>6</v>
      </c>
      <c r="J18" s="18">
        <f>INDEX(PTRS!$D$6:$D$12,MATCH('2'!$F18,PTRS!$B$6:$B$12,0))</f>
        <v>0.58500000000000008</v>
      </c>
      <c r="K18" s="17">
        <v>1</v>
      </c>
      <c r="L18" s="17">
        <v>1</v>
      </c>
      <c r="M18" s="17">
        <v>1</v>
      </c>
      <c r="N18" s="17">
        <v>1</v>
      </c>
      <c r="O18" s="17">
        <v>1</v>
      </c>
      <c r="P18" s="17">
        <v>0.58500000000000008</v>
      </c>
      <c r="Q18" s="17">
        <v>1</v>
      </c>
      <c r="R18" s="17">
        <v>1</v>
      </c>
      <c r="S18" s="17">
        <v>1</v>
      </c>
      <c r="T18" s="17"/>
      <c r="U18" s="17">
        <f t="shared" si="0"/>
        <v>0.72649652910676854</v>
      </c>
      <c r="V18" s="17">
        <v>0.25</v>
      </c>
      <c r="W18" s="9" t="s">
        <v>54</v>
      </c>
      <c r="X18" s="9">
        <f>INDEX('Unique Asset List'!$C$4:$I$60,MATCH('2'!$B18,'Unique Asset List'!$A$4:$A$60,0),MATCH('2'!$C$1,'Unique Asset List'!$C$3:$I$3,0))</f>
        <v>2017</v>
      </c>
      <c r="Y18" s="9">
        <f>INDEX('Unique Asset List'!$J$4:$P$60,MATCH('2'!$B18,'Unique Asset List'!$A$4:$A$60,0),MATCH('2'!$C$1,'Unique Asset List'!$J$3:$P$3,0))</f>
        <v>3</v>
      </c>
      <c r="Z18" s="9">
        <f>INDEX('Unique Asset List'!$X$4:$AD$60,MATCH('2'!$B18,'Unique Asset List'!$A$4:$A$60,0),MATCH('2'!$C$1,'Unique Asset List'!$X$3:$AD$3,0))</f>
        <v>2033</v>
      </c>
      <c r="AA18" s="9">
        <f>INDEX('Unique Asset List'!$AE$4:$AK$60,MATCH('2'!$B18,'Unique Asset List'!$A$4:$A$60,0),MATCH('2'!$C$1,'Unique Asset List'!$AE$3:$AK$3,0))</f>
        <v>11</v>
      </c>
      <c r="AB18" s="16">
        <f t="shared" si="1"/>
        <v>1.8285232000000005</v>
      </c>
      <c r="AC18" s="16">
        <f t="shared" si="2"/>
        <v>0.82350590000000001</v>
      </c>
      <c r="AD18" s="16">
        <f t="shared" si="3"/>
        <v>0.52097279586</v>
      </c>
      <c r="AE18" s="15">
        <f>INDEX('Unique Asset List'!$BN$4:$BT$60,MATCH('2'!$B18,'Unique Asset List'!$A$4:$A$60,0),MATCH('2'!$C$1,'Unique Asset List'!$BN$3:$BT$3,0))</f>
        <v>0.2</v>
      </c>
      <c r="AF18" s="15">
        <f>INDEX('Unique Asset List'!$BU$4:$CA$60,MATCH('2'!$B18,'Unique Asset List'!$A$4:$A$60,0),MATCH('2'!$C$1,'Unique Asset List'!$BU$3:$CA$3,0))</f>
        <v>0.3</v>
      </c>
      <c r="AG18" s="15">
        <f>INDEX('Unique Asset List'!$AZ$4:$BF$60,MATCH('2'!$B18,'Unique Asset List'!$A$4:$A$60,0),MATCH('2'!$C$1,'Unique Asset List'!$AZ$3:$BF$3,0))</f>
        <v>0.2</v>
      </c>
      <c r="AH18" s="15">
        <f>INDEX('Unique Asset List'!$BG$4:$BM$60,MATCH('2'!$B18,'Unique Asset List'!$A$4:$A$60,0),MATCH('2'!$C$1,'Unique Asset List'!$BG$3:$BM$3,0))</f>
        <v>0.3</v>
      </c>
      <c r="AI18" s="11">
        <v>0.96187963349867744</v>
      </c>
      <c r="AJ18" s="15">
        <f>INDEX('Unique Asset List'!$AL$4:$AR$60,MATCH('2'!$B18,'Unique Asset List'!$A$4:$A$60,0),MATCH('2'!$C$1,'Unique Asset List'!$AL$3:$AR$3,0))</f>
        <v>2.2612105538192599</v>
      </c>
      <c r="AK18" s="15">
        <f>INDEX('Unique Asset List'!$AS$4:$AY$60,MATCH('2'!$B18,'Unique Asset List'!$A$4:$A$60,0),MATCH('2'!$C$1,'Unique Asset List'!$AS$3:$AY$3,0))</f>
        <v>-1.7475682675103321</v>
      </c>
      <c r="AL18" s="9">
        <v>169</v>
      </c>
      <c r="AM18" s="14">
        <f>INDEX(Simulation!$B$6:$H$6,MATCH($A18,Simulation!$B$1:$H$1,0))*(1+AN18)^((DATE(X18,Y18,15)-DATE(2017,1,15))/365.5)</f>
        <v>3.5</v>
      </c>
      <c r="AN18" s="12">
        <v>0</v>
      </c>
      <c r="AO18" s="13">
        <v>0.1</v>
      </c>
      <c r="AP18" s="11">
        <v>0.82</v>
      </c>
      <c r="AQ18" s="12">
        <v>0</v>
      </c>
      <c r="AR18" s="11">
        <f t="shared" si="4"/>
        <v>0.82</v>
      </c>
      <c r="AS18" s="10">
        <v>1</v>
      </c>
      <c r="AT18" s="4">
        <f>IF($C$5="ON",BT18,MyRating(_E1,$B18,Efficacy!$F$1))</f>
        <v>3</v>
      </c>
      <c r="AU18" s="3">
        <f>IF($C$5="ON",BU18,MyRating(_E2,$B18,Efficacy!$F$1))</f>
        <v>4</v>
      </c>
      <c r="AV18" s="3">
        <f>IF($C$5="ON",BV18,MyRating(_E3,$B18,Efficacy!$F$1))</f>
        <v>3</v>
      </c>
      <c r="AW18" s="3">
        <f>IF($C$5="ON",BW18,MyRating(_E4,$B18,Efficacy!$F$1))</f>
        <v>3</v>
      </c>
      <c r="AX18" s="3">
        <f>IF($C$5="ON",BX18,MyRating(_E5,$B18,Efficacy!$F$1))</f>
        <v>3</v>
      </c>
      <c r="AY18" s="3">
        <f>IF($C$5="ON",BY18,MyRating(_E6,$B18,Efficacy!$F$1))</f>
        <v>3</v>
      </c>
      <c r="AZ18" s="3">
        <f>IF($C$5="ON",BZ18,MyRating(_E7,$B18,Efficacy!$F$1))</f>
        <v>3</v>
      </c>
      <c r="BA18" s="3">
        <f>IF($C$5="ON",CA18,MyRating(_E8,$B18,Efficacy!$F$1))</f>
        <v>4</v>
      </c>
      <c r="BB18" s="3">
        <f>IF($C$5="ON",CB18,MyRating(_S1,$B18,'S&amp;T'!$F$1))</f>
        <v>3</v>
      </c>
      <c r="BC18" s="3">
        <f>IF($C$5="ON",CC18,MyRating(_S2,$B18,'S&amp;T'!$F$1))</f>
        <v>3</v>
      </c>
      <c r="BD18" s="3">
        <f>IF($C$5="ON",CD18,MyRating(_S3,$B18,'S&amp;T'!$F$1))</f>
        <v>3</v>
      </c>
      <c r="BE18" s="3">
        <f>IF($C$5="ON",CE18,MyRating(_S4,$B18,'S&amp;T'!$F$1))</f>
        <v>3</v>
      </c>
      <c r="BF18" s="3">
        <f>IF($C$5="ON",CF18,MyRating(_S5,$B18,'S&amp;T'!$F$1))</f>
        <v>5</v>
      </c>
      <c r="BG18" s="3">
        <f>IF($C$5="ON",CG18,MyRating(_S6,$B18,'S&amp;T'!$F$1))</f>
        <v>2</v>
      </c>
      <c r="BH18" s="3">
        <f>IF($C$5="ON",CH18,MyRating(_S7,$B18,'S&amp;T'!$F$1))</f>
        <v>3</v>
      </c>
      <c r="BI18" s="3">
        <f>IF($C$5="ON",CI18,MyRating(_D1,$B18,Delivery!$F$1))</f>
        <v>3</v>
      </c>
      <c r="BJ18" s="3">
        <f>IF($C$5="ON",CJ18,MyRating(_D2,$B18,Delivery!$F$1))</f>
        <v>2</v>
      </c>
      <c r="BK18" s="3">
        <f>IF($C$5="ON",CK18,MyRating(_D3,$B18,Delivery!$F$1))</f>
        <v>3</v>
      </c>
      <c r="BL18" s="3">
        <f>IF($C$5="ON",CL18,MyRating(_D4,$B18,Delivery!$F$1))</f>
        <v>3</v>
      </c>
      <c r="BM18" s="3">
        <f>IF($C$5="ON",CM18,MyRating(_B1G5,$B18,Barrier!$L$2))</f>
        <v>2</v>
      </c>
      <c r="BN18" s="3">
        <f>IF($C$5="ON",CN18,MyRating(_B2,$B18,Barrier!$F$2))</f>
        <v>3</v>
      </c>
      <c r="BO18" s="6">
        <f>IF($C$5="ON",CO18,MyRating(_B3,$B18,Barrier!$F$2))</f>
        <v>3</v>
      </c>
      <c r="BP18" s="5">
        <f t="shared" si="5"/>
        <v>3.6275844714639842E-2</v>
      </c>
      <c r="BQ18" s="8">
        <f t="shared" si="6"/>
        <v>2.9499999999999997</v>
      </c>
      <c r="BR18" s="5">
        <f t="shared" si="7"/>
        <v>3.60415394013439E-2</v>
      </c>
      <c r="BS18" s="7">
        <f t="shared" si="8"/>
        <v>1.8542316878791175E-2</v>
      </c>
      <c r="BT18" s="4">
        <v>3</v>
      </c>
      <c r="BU18" s="3">
        <v>4</v>
      </c>
      <c r="BV18" s="3">
        <v>3</v>
      </c>
      <c r="BW18" s="3">
        <v>3</v>
      </c>
      <c r="BX18" s="3">
        <v>3</v>
      </c>
      <c r="BY18" s="3">
        <v>3</v>
      </c>
      <c r="BZ18" s="3">
        <v>3</v>
      </c>
      <c r="CA18" s="3">
        <v>4</v>
      </c>
      <c r="CB18" s="3">
        <v>3</v>
      </c>
      <c r="CC18" s="3">
        <v>3</v>
      </c>
      <c r="CD18" s="3">
        <v>3</v>
      </c>
      <c r="CE18" s="3">
        <v>3</v>
      </c>
      <c r="CF18" s="3">
        <v>5</v>
      </c>
      <c r="CG18" s="3">
        <v>2</v>
      </c>
      <c r="CH18" s="3">
        <v>3</v>
      </c>
      <c r="CI18" s="3">
        <v>3</v>
      </c>
      <c r="CJ18" s="3">
        <v>2</v>
      </c>
      <c r="CK18" s="3">
        <v>3</v>
      </c>
      <c r="CL18" s="3">
        <v>3</v>
      </c>
      <c r="CM18" s="3">
        <v>2</v>
      </c>
      <c r="CN18" s="3">
        <v>3</v>
      </c>
      <c r="CO18" s="6">
        <v>3</v>
      </c>
      <c r="CP18" s="5">
        <v>3.6275844714639842E-2</v>
      </c>
    </row>
    <row r="19" spans="1:94" x14ac:dyDescent="0.35">
      <c r="A19" s="9" t="s">
        <v>184</v>
      </c>
      <c r="B19" s="9" t="s">
        <v>78</v>
      </c>
      <c r="C19" s="20"/>
      <c r="D19" s="9" t="s">
        <v>77</v>
      </c>
      <c r="E19" s="9" t="s">
        <v>193</v>
      </c>
      <c r="F19" s="9" t="s">
        <v>51</v>
      </c>
      <c r="G19" s="19">
        <v>0</v>
      </c>
      <c r="H19" s="9">
        <v>2014</v>
      </c>
      <c r="I19" s="9">
        <v>6</v>
      </c>
      <c r="J19" s="18">
        <f>INDEX(PTRS!$D$6:$D$12,MATCH('2'!$F19,PTRS!$B$6:$B$12,0))</f>
        <v>0.1638</v>
      </c>
      <c r="K19" s="17">
        <v>0</v>
      </c>
      <c r="L19" s="17">
        <v>0.1638</v>
      </c>
      <c r="M19" s="17">
        <v>5.4600000000000003E-2</v>
      </c>
      <c r="N19" s="17">
        <v>0.1638</v>
      </c>
      <c r="O19" s="17">
        <v>0.1638</v>
      </c>
      <c r="P19" s="17">
        <v>0.1638</v>
      </c>
      <c r="Q19" s="17">
        <v>0.16</v>
      </c>
      <c r="R19" s="17">
        <v>0.16</v>
      </c>
      <c r="S19" s="17">
        <v>1</v>
      </c>
      <c r="T19" s="17"/>
      <c r="U19" s="17">
        <f t="shared" si="0"/>
        <v>0.72649652910676854</v>
      </c>
      <c r="V19" s="17">
        <v>1</v>
      </c>
      <c r="W19" s="9" t="s">
        <v>62</v>
      </c>
      <c r="X19" s="9">
        <f>INDEX('Unique Asset List'!$C$4:$I$60,MATCH('2'!$B19,'Unique Asset List'!$A$4:$A$60,0),MATCH('2'!$C$1,'Unique Asset List'!$C$3:$I$3,0))</f>
        <v>2024</v>
      </c>
      <c r="Y19" s="9">
        <f>INDEX('Unique Asset List'!$J$4:$P$60,MATCH('2'!$B19,'Unique Asset List'!$A$4:$A$60,0),MATCH('2'!$C$1,'Unique Asset List'!$J$3:$P$3,0))</f>
        <v>7</v>
      </c>
      <c r="Z19" s="9">
        <f>INDEX('Unique Asset List'!$X$4:$AD$60,MATCH('2'!$B19,'Unique Asset List'!$A$4:$A$60,0),MATCH('2'!$C$1,'Unique Asset List'!$X$3:$AD$3,0))</f>
        <v>2034</v>
      </c>
      <c r="AA19" s="9">
        <f>INDEX('Unique Asset List'!$AE$4:$AK$60,MATCH('2'!$B19,'Unique Asset List'!$A$4:$A$60,0),MATCH('2'!$C$1,'Unique Asset List'!$AE$3:$AK$3,0))</f>
        <v>7</v>
      </c>
      <c r="AB19" s="16">
        <f t="shared" si="1"/>
        <v>1.8922540000000003</v>
      </c>
      <c r="AC19" s="16">
        <f t="shared" si="2"/>
        <v>0.88497580000000009</v>
      </c>
      <c r="AD19" s="16">
        <f t="shared" si="3"/>
        <v>0.56099999999999994</v>
      </c>
      <c r="AE19" s="15">
        <f>INDEX('Unique Asset List'!$BN$4:$BT$60,MATCH('2'!$B19,'Unique Asset List'!$A$4:$A$60,0),MATCH('2'!$C$1,'Unique Asset List'!$BN$3:$BT$3,0))</f>
        <v>0.27</v>
      </c>
      <c r="AF19" s="15">
        <f>INDEX('Unique Asset List'!$BU$4:$CA$60,MATCH('2'!$B19,'Unique Asset List'!$A$4:$A$60,0),MATCH('2'!$C$1,'Unique Asset List'!$BU$3:$CA$3,0))</f>
        <v>0.23</v>
      </c>
      <c r="AG19" s="15">
        <f>INDEX('Unique Asset List'!$AZ$4:$BF$60,MATCH('2'!$B19,'Unique Asset List'!$A$4:$A$60,0),MATCH('2'!$C$1,'Unique Asset List'!$AZ$3:$BF$3,0))</f>
        <v>0.27</v>
      </c>
      <c r="AH19" s="15">
        <f>INDEX('Unique Asset List'!$BG$4:$BM$60,MATCH('2'!$B19,'Unique Asset List'!$A$4:$A$60,0),MATCH('2'!$C$1,'Unique Asset List'!$BG$3:$BM$3,0))</f>
        <v>0.23</v>
      </c>
      <c r="AI19" s="11">
        <v>0.96187963349867744</v>
      </c>
      <c r="AJ19" s="15">
        <f>INDEX('Unique Asset List'!$AL$4:$AR$60,MATCH('2'!$B19,'Unique Asset List'!$A$4:$A$60,0),MATCH('2'!$C$1,'Unique Asset List'!$AL$3:$AR$3,0))</f>
        <v>2.2612105538192599</v>
      </c>
      <c r="AK19" s="15">
        <f>INDEX('Unique Asset List'!$AS$4:$AY$60,MATCH('2'!$B19,'Unique Asset List'!$A$4:$A$60,0),MATCH('2'!$C$1,'Unique Asset List'!$AS$3:$AY$3,0))</f>
        <v>-1.7475682675103321</v>
      </c>
      <c r="AL19" s="9">
        <v>169</v>
      </c>
      <c r="AM19" s="14">
        <f>INDEX(Simulation!$B$6:$H$6,MATCH($A19,Simulation!$B$1:$H$1,0))*(1+AN19)^((DATE(X19,Y19,15)-DATE(2017,1,15))/365.5)</f>
        <v>3.5</v>
      </c>
      <c r="AN19" s="12">
        <v>0</v>
      </c>
      <c r="AO19" s="13">
        <v>0.1</v>
      </c>
      <c r="AP19" s="11">
        <v>0.82</v>
      </c>
      <c r="AQ19" s="12">
        <v>0</v>
      </c>
      <c r="AR19" s="11">
        <f t="shared" si="4"/>
        <v>0.82</v>
      </c>
      <c r="AS19" s="10">
        <v>1</v>
      </c>
      <c r="AT19" s="4">
        <f>IF($C$5="ON",BT19,MyRating(_E1,$B19,Efficacy!$F$1))</f>
        <v>3</v>
      </c>
      <c r="AU19" s="3">
        <f>IF($C$5="ON",BU19,MyRating(_E2,$B19,Efficacy!$F$1))</f>
        <v>3</v>
      </c>
      <c r="AV19" s="3">
        <f>IF($C$5="ON",BV19,MyRating(_E3,$B19,Efficacy!$F$1))</f>
        <v>3</v>
      </c>
      <c r="AW19" s="3">
        <f>IF($C$5="ON",BW19,MyRating(_E4,$B19,Efficacy!$F$1))</f>
        <v>4</v>
      </c>
      <c r="AX19" s="3">
        <f>IF($C$5="ON",BX19,MyRating(_E5,$B19,Efficacy!$F$1))</f>
        <v>3</v>
      </c>
      <c r="AY19" s="3">
        <f>IF($C$5="ON",BY19,MyRating(_E6,$B19,Efficacy!$F$1))</f>
        <v>3</v>
      </c>
      <c r="AZ19" s="3">
        <f>IF($C$5="ON",BZ19,MyRating(_E7,$B19,Efficacy!$F$1))</f>
        <v>3</v>
      </c>
      <c r="BA19" s="3">
        <f>IF($C$5="ON",CA19,MyRating(_E8,$B19,Efficacy!$F$1))</f>
        <v>5</v>
      </c>
      <c r="BB19" s="3">
        <f>IF($C$5="ON",CB19,MyRating(_S1,$B19,'S&amp;T'!$F$1))</f>
        <v>4</v>
      </c>
      <c r="BC19" s="3">
        <f>IF($C$5="ON",CC19,MyRating(_S2,$B19,'S&amp;T'!$F$1))</f>
        <v>3</v>
      </c>
      <c r="BD19" s="3">
        <f>IF($C$5="ON",CD19,MyRating(_S3,$B19,'S&amp;T'!$F$1))</f>
        <v>3</v>
      </c>
      <c r="BE19" s="3">
        <f>IF($C$5="ON",CE19,MyRating(_S4,$B19,'S&amp;T'!$F$1))</f>
        <v>3</v>
      </c>
      <c r="BF19" s="3">
        <f>IF($C$5="ON",CF19,MyRating(_S5,$B19,'S&amp;T'!$F$1))</f>
        <v>5</v>
      </c>
      <c r="BG19" s="3">
        <f>IF($C$5="ON",CG19,MyRating(_S6,$B19,'S&amp;T'!$F$1))</f>
        <v>2</v>
      </c>
      <c r="BH19" s="3">
        <f>IF($C$5="ON",CH19,MyRating(_S7,$B19,'S&amp;T'!$F$1))</f>
        <v>3</v>
      </c>
      <c r="BI19" s="3">
        <f>IF($C$5="ON",CI19,MyRating(_D1,$B19,Delivery!$F$1))</f>
        <v>3</v>
      </c>
      <c r="BJ19" s="3">
        <f>IF($C$5="ON",CJ19,MyRating(_D2,$B19,Delivery!$F$1))</f>
        <v>3</v>
      </c>
      <c r="BK19" s="3">
        <f>IF($C$5="ON",CK19,MyRating(_D3,$B19,Delivery!$F$1))</f>
        <v>3</v>
      </c>
      <c r="BL19" s="3">
        <f>IF($C$5="ON",CL19,MyRating(_D4,$B19,Delivery!$F$1))</f>
        <v>3</v>
      </c>
      <c r="BM19" s="3">
        <f>IF($C$5="ON",CM19,MyRating(_B1G5,$B19,Barrier!$L$2))</f>
        <v>2</v>
      </c>
      <c r="BN19" s="3">
        <f>IF($C$5="ON",CN19,MyRating(_B2,$B19,Barrier!$F$2))</f>
        <v>3</v>
      </c>
      <c r="BO19" s="6">
        <f>IF($C$5="ON",CO19,MyRating(_B3,$B19,Barrier!$F$2))</f>
        <v>3</v>
      </c>
      <c r="BP19" s="5">
        <f t="shared" si="5"/>
        <v>3.6275844714639842E-2</v>
      </c>
      <c r="BQ19" s="8">
        <f t="shared" si="6"/>
        <v>2.9499999999999997</v>
      </c>
      <c r="BR19" s="5">
        <f t="shared" si="7"/>
        <v>3.60415394013439E-2</v>
      </c>
      <c r="BS19" s="7">
        <f t="shared" si="8"/>
        <v>1.8542316878791175E-2</v>
      </c>
      <c r="BT19" s="4">
        <v>3</v>
      </c>
      <c r="BU19" s="3">
        <v>3</v>
      </c>
      <c r="BV19" s="3">
        <v>3</v>
      </c>
      <c r="BW19" s="3">
        <v>4</v>
      </c>
      <c r="BX19" s="3">
        <v>3</v>
      </c>
      <c r="BY19" s="3">
        <v>3</v>
      </c>
      <c r="BZ19" s="3">
        <v>3</v>
      </c>
      <c r="CA19" s="3">
        <v>5</v>
      </c>
      <c r="CB19" s="3">
        <v>4</v>
      </c>
      <c r="CC19" s="3">
        <v>3</v>
      </c>
      <c r="CD19" s="3">
        <v>3</v>
      </c>
      <c r="CE19" s="3">
        <v>3</v>
      </c>
      <c r="CF19" s="3">
        <v>5</v>
      </c>
      <c r="CG19" s="3">
        <v>2</v>
      </c>
      <c r="CH19" s="3">
        <v>3</v>
      </c>
      <c r="CI19" s="3">
        <v>3</v>
      </c>
      <c r="CJ19" s="3">
        <v>3</v>
      </c>
      <c r="CK19" s="3">
        <v>3</v>
      </c>
      <c r="CL19" s="3">
        <v>3</v>
      </c>
      <c r="CM19" s="3">
        <v>2</v>
      </c>
      <c r="CN19" s="3">
        <v>3</v>
      </c>
      <c r="CO19" s="6">
        <v>3</v>
      </c>
      <c r="CP19" s="5">
        <v>3.6275844714639842E-2</v>
      </c>
    </row>
    <row r="20" spans="1:94" x14ac:dyDescent="0.35">
      <c r="A20" s="9" t="s">
        <v>184</v>
      </c>
      <c r="B20" s="9" t="s">
        <v>39</v>
      </c>
      <c r="C20" s="20"/>
      <c r="D20" s="9" t="s">
        <v>2</v>
      </c>
      <c r="E20" s="9" t="s">
        <v>193</v>
      </c>
      <c r="F20" s="9" t="s">
        <v>43</v>
      </c>
      <c r="G20" s="19">
        <v>0</v>
      </c>
      <c r="H20" s="9">
        <v>2014</v>
      </c>
      <c r="I20" s="9">
        <v>6</v>
      </c>
      <c r="J20" s="18">
        <f>INDEX(PTRS!$D$6:$D$12,MATCH('2'!$F20,PTRS!$B$6:$B$12,0))</f>
        <v>0.40949999999999998</v>
      </c>
      <c r="K20" s="17">
        <v>0</v>
      </c>
      <c r="L20" s="17">
        <v>0.40949999999999998</v>
      </c>
      <c r="M20" s="17">
        <v>0.40949999999999998</v>
      </c>
      <c r="N20" s="17">
        <v>0.4</v>
      </c>
      <c r="O20" s="17">
        <v>0.4</v>
      </c>
      <c r="P20" s="17">
        <v>0.40949999999999998</v>
      </c>
      <c r="Q20" s="17">
        <v>1</v>
      </c>
      <c r="R20" s="17">
        <v>1</v>
      </c>
      <c r="S20" s="17">
        <v>1</v>
      </c>
      <c r="T20" s="17"/>
      <c r="U20" s="17">
        <f t="shared" si="0"/>
        <v>0.72649652910676854</v>
      </c>
      <c r="V20" s="17">
        <v>1</v>
      </c>
      <c r="W20" s="9" t="s">
        <v>38</v>
      </c>
      <c r="X20" s="9">
        <f>INDEX('Unique Asset List'!$C$4:$I$60,MATCH('2'!$B20,'Unique Asset List'!$A$4:$A$60,0),MATCH('2'!$C$1,'Unique Asset List'!$C$3:$I$3,0))</f>
        <v>2023</v>
      </c>
      <c r="Y20" s="9">
        <f>INDEX('Unique Asset List'!$J$4:$P$60,MATCH('2'!$B20,'Unique Asset List'!$A$4:$A$60,0),MATCH('2'!$C$1,'Unique Asset List'!$J$3:$P$3,0))</f>
        <v>8</v>
      </c>
      <c r="Z20" s="9">
        <f>INDEX('Unique Asset List'!$X$4:$AD$60,MATCH('2'!$B20,'Unique Asset List'!$A$4:$A$60,0),MATCH('2'!$C$1,'Unique Asset List'!$X$3:$AD$3,0))</f>
        <v>2034</v>
      </c>
      <c r="AA20" s="9">
        <f>INDEX('Unique Asset List'!$AE$4:$AK$60,MATCH('2'!$B20,'Unique Asset List'!$A$4:$A$60,0),MATCH('2'!$C$1,'Unique Asset List'!$AE$3:$AK$3,0))</f>
        <v>3</v>
      </c>
      <c r="AB20" s="16">
        <f t="shared" si="1"/>
        <v>1.7951404000000002</v>
      </c>
      <c r="AC20" s="16">
        <f t="shared" si="2"/>
        <v>0.94451300000000005</v>
      </c>
      <c r="AD20" s="16">
        <f t="shared" si="3"/>
        <v>0.52097279586</v>
      </c>
      <c r="AE20" s="15">
        <f>INDEX('Unique Asset List'!$BN$4:$BT$60,MATCH('2'!$B20,'Unique Asset List'!$A$4:$A$60,0),MATCH('2'!$C$1,'Unique Asset List'!$BN$3:$BT$3,0))</f>
        <v>0.2</v>
      </c>
      <c r="AF20" s="15">
        <f>INDEX('Unique Asset List'!$BU$4:$CA$60,MATCH('2'!$B20,'Unique Asset List'!$A$4:$A$60,0),MATCH('2'!$C$1,'Unique Asset List'!$BU$3:$CA$3,0))</f>
        <v>0.3</v>
      </c>
      <c r="AG20" s="15">
        <f>INDEX('Unique Asset List'!$AZ$4:$BF$60,MATCH('2'!$B20,'Unique Asset List'!$A$4:$A$60,0),MATCH('2'!$C$1,'Unique Asset List'!$AZ$3:$BF$3,0))</f>
        <v>0.2</v>
      </c>
      <c r="AH20" s="15">
        <f>INDEX('Unique Asset List'!$BG$4:$BM$60,MATCH('2'!$B20,'Unique Asset List'!$A$4:$A$60,0),MATCH('2'!$C$1,'Unique Asset List'!$BG$3:$BM$3,0))</f>
        <v>0.3</v>
      </c>
      <c r="AI20" s="11">
        <v>0.96187963349867744</v>
      </c>
      <c r="AJ20" s="15">
        <f>INDEX('Unique Asset List'!$AL$4:$AR$60,MATCH('2'!$B20,'Unique Asset List'!$A$4:$A$60,0),MATCH('2'!$C$1,'Unique Asset List'!$AL$3:$AR$3,0))</f>
        <v>2.2612105538192599</v>
      </c>
      <c r="AK20" s="15">
        <f>INDEX('Unique Asset List'!$AS$4:$AY$60,MATCH('2'!$B20,'Unique Asset List'!$A$4:$A$60,0),MATCH('2'!$C$1,'Unique Asset List'!$AS$3:$AY$3,0))</f>
        <v>-1.7475682675103321</v>
      </c>
      <c r="AL20" s="9">
        <v>169</v>
      </c>
      <c r="AM20" s="14">
        <f>INDEX(Simulation!$B$6:$H$6,MATCH($A20,Simulation!$B$1:$H$1,0))*(1+AN20)^((DATE(X20,Y20,15)-DATE(2017,1,15))/365.5)</f>
        <v>3.5</v>
      </c>
      <c r="AN20" s="12">
        <v>0</v>
      </c>
      <c r="AO20" s="13">
        <v>0.1</v>
      </c>
      <c r="AP20" s="11">
        <v>0.82</v>
      </c>
      <c r="AQ20" s="12">
        <v>0</v>
      </c>
      <c r="AR20" s="11">
        <f t="shared" si="4"/>
        <v>0.82</v>
      </c>
      <c r="AS20" s="10">
        <v>1</v>
      </c>
      <c r="AT20" s="4">
        <f>IF($C$5="ON",BT20,MyRating(_E1,$B20,Efficacy!$F$1))</f>
        <v>4</v>
      </c>
      <c r="AU20" s="3">
        <f>IF($C$5="ON",BU20,MyRating(_E2,$B20,Efficacy!$F$1))</f>
        <v>3</v>
      </c>
      <c r="AV20" s="3">
        <f>IF($C$5="ON",BV20,MyRating(_E3,$B20,Efficacy!$F$1))</f>
        <v>3</v>
      </c>
      <c r="AW20" s="3">
        <f>IF($C$5="ON",BW20,MyRating(_E4,$B20,Efficacy!$F$1))</f>
        <v>4</v>
      </c>
      <c r="AX20" s="3">
        <f>IF($C$5="ON",BX20,MyRating(_E5,$B20,Efficacy!$F$1))</f>
        <v>3</v>
      </c>
      <c r="AY20" s="3">
        <f>IF($C$5="ON",BY20,MyRating(_E6,$B20,Efficacy!$F$1))</f>
        <v>2</v>
      </c>
      <c r="AZ20" s="3">
        <f>IF($C$5="ON",BZ20,MyRating(_E7,$B20,Efficacy!$F$1))</f>
        <v>3</v>
      </c>
      <c r="BA20" s="3">
        <f>IF($C$5="ON",CA20,MyRating(_E8,$B20,Efficacy!$F$1))</f>
        <v>3</v>
      </c>
      <c r="BB20" s="3">
        <f>IF($C$5="ON",CB20,MyRating(_S1,$B20,'S&amp;T'!$F$1))</f>
        <v>4</v>
      </c>
      <c r="BC20" s="3">
        <f>IF($C$5="ON",CC20,MyRating(_S2,$B20,'S&amp;T'!$F$1))</f>
        <v>4</v>
      </c>
      <c r="BD20" s="3">
        <f>IF($C$5="ON",CD20,MyRating(_S3,$B20,'S&amp;T'!$F$1))</f>
        <v>3</v>
      </c>
      <c r="BE20" s="3">
        <f>IF($C$5="ON",CE20,MyRating(_S4,$B20,'S&amp;T'!$F$1))</f>
        <v>4</v>
      </c>
      <c r="BF20" s="3">
        <f>IF($C$5="ON",CF20,MyRating(_S5,$B20,'S&amp;T'!$F$1))</f>
        <v>5</v>
      </c>
      <c r="BG20" s="3">
        <f>IF($C$5="ON",CG20,MyRating(_S6,$B20,'S&amp;T'!$F$1))</f>
        <v>2</v>
      </c>
      <c r="BH20" s="3">
        <f>IF($C$5="ON",CH20,MyRating(_S7,$B20,'S&amp;T'!$F$1))</f>
        <v>3</v>
      </c>
      <c r="BI20" s="3">
        <f>IF($C$5="ON",CI20,MyRating(_D1,$B20,Delivery!$F$1))</f>
        <v>3</v>
      </c>
      <c r="BJ20" s="3">
        <f>IF($C$5="ON",CJ20,MyRating(_D2,$B20,Delivery!$F$1))</f>
        <v>2</v>
      </c>
      <c r="BK20" s="3">
        <f>IF($C$5="ON",CK20,MyRating(_D3,$B20,Delivery!$F$1))</f>
        <v>3</v>
      </c>
      <c r="BL20" s="3">
        <f>IF($C$5="ON",CL20,MyRating(_D4,$B20,Delivery!$F$1))</f>
        <v>3</v>
      </c>
      <c r="BM20" s="3">
        <f>IF($C$5="ON",CM20,MyRating(_B1G5,$B20,Barrier!$L$2))</f>
        <v>2</v>
      </c>
      <c r="BN20" s="3">
        <f>IF($C$5="ON",CN20,MyRating(_B2,$B20,Barrier!$F$2))</f>
        <v>3</v>
      </c>
      <c r="BO20" s="6">
        <f>IF($C$5="ON",CO20,MyRating(_B3,$B20,Barrier!$F$2))</f>
        <v>3</v>
      </c>
      <c r="BP20" s="5">
        <f t="shared" si="5"/>
        <v>3.6275844714639842E-2</v>
      </c>
      <c r="BQ20" s="8">
        <f t="shared" si="6"/>
        <v>2.9499999999999997</v>
      </c>
      <c r="BR20" s="5">
        <f t="shared" si="7"/>
        <v>3.60415394013439E-2</v>
      </c>
      <c r="BS20" s="7">
        <f t="shared" si="8"/>
        <v>1.8542316878791175E-2</v>
      </c>
      <c r="BT20" s="4">
        <v>4</v>
      </c>
      <c r="BU20" s="3">
        <v>3</v>
      </c>
      <c r="BV20" s="3">
        <v>3</v>
      </c>
      <c r="BW20" s="3">
        <v>4</v>
      </c>
      <c r="BX20" s="3">
        <v>3</v>
      </c>
      <c r="BY20" s="3">
        <v>2</v>
      </c>
      <c r="BZ20" s="3">
        <v>3</v>
      </c>
      <c r="CA20" s="3">
        <v>3</v>
      </c>
      <c r="CB20" s="3">
        <v>4</v>
      </c>
      <c r="CC20" s="3">
        <v>4</v>
      </c>
      <c r="CD20" s="3">
        <v>3</v>
      </c>
      <c r="CE20" s="3">
        <v>4</v>
      </c>
      <c r="CF20" s="3">
        <v>5</v>
      </c>
      <c r="CG20" s="3">
        <v>2</v>
      </c>
      <c r="CH20" s="3">
        <v>3</v>
      </c>
      <c r="CI20" s="3">
        <v>3</v>
      </c>
      <c r="CJ20" s="3">
        <v>2</v>
      </c>
      <c r="CK20" s="3">
        <v>3</v>
      </c>
      <c r="CL20" s="3">
        <v>3</v>
      </c>
      <c r="CM20" s="3">
        <v>2</v>
      </c>
      <c r="CN20" s="3">
        <v>3</v>
      </c>
      <c r="CO20" s="6">
        <v>3</v>
      </c>
      <c r="CP20" s="5">
        <v>3.6275844714639842E-2</v>
      </c>
    </row>
    <row r="21" spans="1:94" x14ac:dyDescent="0.35">
      <c r="A21" s="9" t="s">
        <v>184</v>
      </c>
      <c r="B21" s="9" t="s">
        <v>76</v>
      </c>
      <c r="C21" s="20"/>
      <c r="D21" s="9" t="s">
        <v>75</v>
      </c>
      <c r="E21" s="9" t="s">
        <v>193</v>
      </c>
      <c r="F21" s="9" t="s">
        <v>51</v>
      </c>
      <c r="G21" s="19">
        <v>0</v>
      </c>
      <c r="H21" s="9">
        <v>2014</v>
      </c>
      <c r="I21" s="9">
        <v>6</v>
      </c>
      <c r="J21" s="18">
        <f>INDEX(PTRS!$D$6:$D$12,MATCH('2'!$F21,PTRS!$B$6:$B$12,0))</f>
        <v>0.1638</v>
      </c>
      <c r="K21" s="17">
        <v>0</v>
      </c>
      <c r="L21" s="17">
        <v>0.1638</v>
      </c>
      <c r="M21" s="17">
        <v>0.1638</v>
      </c>
      <c r="N21" s="17">
        <v>0.1638</v>
      </c>
      <c r="O21" s="17">
        <v>0.1638</v>
      </c>
      <c r="P21" s="17">
        <v>0.1638</v>
      </c>
      <c r="Q21" s="17">
        <v>0.16</v>
      </c>
      <c r="R21" s="17">
        <v>0.16</v>
      </c>
      <c r="S21" s="17">
        <v>1</v>
      </c>
      <c r="T21" s="17"/>
      <c r="U21" s="17">
        <f t="shared" si="0"/>
        <v>0.72649652910676854</v>
      </c>
      <c r="V21" s="17">
        <v>1</v>
      </c>
      <c r="W21" s="9" t="s">
        <v>27</v>
      </c>
      <c r="X21" s="9">
        <f>INDEX('Unique Asset List'!$C$4:$I$60,MATCH('2'!$B21,'Unique Asset List'!$A$4:$A$60,0),MATCH('2'!$C$1,'Unique Asset List'!$C$3:$I$3,0))</f>
        <v>2024</v>
      </c>
      <c r="Y21" s="9">
        <f>INDEX('Unique Asset List'!$J$4:$P$60,MATCH('2'!$B21,'Unique Asset List'!$A$4:$A$60,0),MATCH('2'!$C$1,'Unique Asset List'!$J$3:$P$3,0))</f>
        <v>6</v>
      </c>
      <c r="Z21" s="9">
        <f>INDEX('Unique Asset List'!$X$4:$AD$60,MATCH('2'!$B21,'Unique Asset List'!$A$4:$A$60,0),MATCH('2'!$C$1,'Unique Asset List'!$X$3:$AD$3,0))</f>
        <v>2034</v>
      </c>
      <c r="AA21" s="9">
        <f>INDEX('Unique Asset List'!$AE$4:$AK$60,MATCH('2'!$B21,'Unique Asset List'!$A$4:$A$60,0),MATCH('2'!$C$1,'Unique Asset List'!$AE$3:$AK$3,0))</f>
        <v>6</v>
      </c>
      <c r="AB21" s="16">
        <f t="shared" si="1"/>
        <v>2.0119600000000002</v>
      </c>
      <c r="AC21" s="16">
        <f t="shared" si="2"/>
        <v>0.76203600000000005</v>
      </c>
      <c r="AD21" s="16">
        <f t="shared" si="3"/>
        <v>0.56099999999999994</v>
      </c>
      <c r="AE21" s="15">
        <f>INDEX('Unique Asset List'!$BN$4:$BT$60,MATCH('2'!$B21,'Unique Asset List'!$A$4:$A$60,0),MATCH('2'!$C$1,'Unique Asset List'!$BN$3:$BT$3,0))</f>
        <v>0.2</v>
      </c>
      <c r="AF21" s="15">
        <f>INDEX('Unique Asset List'!$BU$4:$CA$60,MATCH('2'!$B21,'Unique Asset List'!$A$4:$A$60,0),MATCH('2'!$C$1,'Unique Asset List'!$BU$3:$CA$3,0))</f>
        <v>0.3</v>
      </c>
      <c r="AG21" s="15">
        <f>INDEX('Unique Asset List'!$AZ$4:$BF$60,MATCH('2'!$B21,'Unique Asset List'!$A$4:$A$60,0),MATCH('2'!$C$1,'Unique Asset List'!$AZ$3:$BF$3,0))</f>
        <v>0.2</v>
      </c>
      <c r="AH21" s="15">
        <f>INDEX('Unique Asset List'!$BG$4:$BM$60,MATCH('2'!$B21,'Unique Asset List'!$A$4:$A$60,0),MATCH('2'!$C$1,'Unique Asset List'!$BG$3:$BM$3,0))</f>
        <v>0.3</v>
      </c>
      <c r="AI21" s="11">
        <v>0.96187963349867744</v>
      </c>
      <c r="AJ21" s="15">
        <f>INDEX('Unique Asset List'!$AL$4:$AR$60,MATCH('2'!$B21,'Unique Asset List'!$A$4:$A$60,0),MATCH('2'!$C$1,'Unique Asset List'!$AL$3:$AR$3,0))</f>
        <v>2.2612105538192599</v>
      </c>
      <c r="AK21" s="15">
        <f>INDEX('Unique Asset List'!$AS$4:$AY$60,MATCH('2'!$B21,'Unique Asset List'!$A$4:$A$60,0),MATCH('2'!$C$1,'Unique Asset List'!$AS$3:$AY$3,0))</f>
        <v>-1.7475682675103321</v>
      </c>
      <c r="AL21" s="9">
        <v>169</v>
      </c>
      <c r="AM21" s="14">
        <f>INDEX(Simulation!$B$6:$H$6,MATCH($A21,Simulation!$B$1:$H$1,0))*(1+AN21)^((DATE(X21,Y21,15)-DATE(2017,1,15))/365.5)</f>
        <v>3.5</v>
      </c>
      <c r="AN21" s="12">
        <v>0</v>
      </c>
      <c r="AO21" s="13">
        <v>0.1</v>
      </c>
      <c r="AP21" s="11">
        <v>0.82</v>
      </c>
      <c r="AQ21" s="12">
        <v>0</v>
      </c>
      <c r="AR21" s="11">
        <f t="shared" si="4"/>
        <v>0.82</v>
      </c>
      <c r="AS21" s="10">
        <v>1</v>
      </c>
      <c r="AT21" s="4">
        <f>IF($C$5="ON",BT21,MyRating(_E1,$B21,Efficacy!$F$1))</f>
        <v>4</v>
      </c>
      <c r="AU21" s="3">
        <f>IF($C$5="ON",BU21,MyRating(_E2,$B21,Efficacy!$F$1))</f>
        <v>4</v>
      </c>
      <c r="AV21" s="3">
        <f>IF($C$5="ON",BV21,MyRating(_E3,$B21,Efficacy!$F$1))</f>
        <v>4</v>
      </c>
      <c r="AW21" s="3">
        <f>IF($C$5="ON",BW21,MyRating(_E4,$B21,Efficacy!$F$1))</f>
        <v>3</v>
      </c>
      <c r="AX21" s="3">
        <f>IF($C$5="ON",BX21,MyRating(_E5,$B21,Efficacy!$F$1))</f>
        <v>3</v>
      </c>
      <c r="AY21" s="3">
        <f>IF($C$5="ON",BY21,MyRating(_E6,$B21,Efficacy!$F$1))</f>
        <v>2</v>
      </c>
      <c r="AZ21" s="3">
        <f>IF($C$5="ON",BZ21,MyRating(_E7,$B21,Efficacy!$F$1))</f>
        <v>3</v>
      </c>
      <c r="BA21" s="3">
        <f>IF($C$5="ON",CA21,MyRating(_E8,$B21,Efficacy!$F$1))</f>
        <v>5</v>
      </c>
      <c r="BB21" s="3">
        <f>IF($C$5="ON",CB21,MyRating(_S1,$B21,'S&amp;T'!$F$1))</f>
        <v>2</v>
      </c>
      <c r="BC21" s="3">
        <f>IF($C$5="ON",CC21,MyRating(_S2,$B21,'S&amp;T'!$F$1))</f>
        <v>3</v>
      </c>
      <c r="BD21" s="3">
        <f>IF($C$5="ON",CD21,MyRating(_S3,$B21,'S&amp;T'!$F$1))</f>
        <v>3</v>
      </c>
      <c r="BE21" s="3">
        <f>IF($C$5="ON",CE21,MyRating(_S4,$B21,'S&amp;T'!$F$1))</f>
        <v>3</v>
      </c>
      <c r="BF21" s="3">
        <f>IF($C$5="ON",CF21,MyRating(_S5,$B21,'S&amp;T'!$F$1))</f>
        <v>5</v>
      </c>
      <c r="BG21" s="3">
        <f>IF($C$5="ON",CG21,MyRating(_S6,$B21,'S&amp;T'!$F$1))</f>
        <v>2</v>
      </c>
      <c r="BH21" s="3">
        <f>IF($C$5="ON",CH21,MyRating(_S7,$B21,'S&amp;T'!$F$1))</f>
        <v>3</v>
      </c>
      <c r="BI21" s="3">
        <f>IF($C$5="ON",CI21,MyRating(_D1,$B21,Delivery!$F$1))</f>
        <v>3</v>
      </c>
      <c r="BJ21" s="3">
        <f>IF($C$5="ON",CJ21,MyRating(_D2,$B21,Delivery!$F$1))</f>
        <v>3</v>
      </c>
      <c r="BK21" s="3">
        <f>IF($C$5="ON",CK21,MyRating(_D3,$B21,Delivery!$F$1))</f>
        <v>3</v>
      </c>
      <c r="BL21" s="3">
        <f>IF($C$5="ON",CL21,MyRating(_D4,$B21,Delivery!$F$1))</f>
        <v>3</v>
      </c>
      <c r="BM21" s="3">
        <f>IF($C$5="ON",CM21,MyRating(_B1G5,$B21,Barrier!$L$2))</f>
        <v>2</v>
      </c>
      <c r="BN21" s="3">
        <f>IF($C$5="ON",CN21,MyRating(_B2,$B21,Barrier!$F$2))</f>
        <v>3</v>
      </c>
      <c r="BO21" s="6">
        <f>IF($C$5="ON",CO21,MyRating(_B3,$B21,Barrier!$F$2))</f>
        <v>3</v>
      </c>
      <c r="BP21" s="5">
        <f t="shared" si="5"/>
        <v>3.6275844714639842E-2</v>
      </c>
      <c r="BQ21" s="8">
        <f t="shared" si="6"/>
        <v>2.9499999999999997</v>
      </c>
      <c r="BR21" s="5">
        <f t="shared" si="7"/>
        <v>3.60415394013439E-2</v>
      </c>
      <c r="BS21" s="7">
        <f t="shared" si="8"/>
        <v>1.8542316878791175E-2</v>
      </c>
      <c r="BT21" s="4">
        <v>4</v>
      </c>
      <c r="BU21" s="3">
        <v>4</v>
      </c>
      <c r="BV21" s="3">
        <v>4</v>
      </c>
      <c r="BW21" s="3">
        <v>3</v>
      </c>
      <c r="BX21" s="3">
        <v>3</v>
      </c>
      <c r="BY21" s="3">
        <v>2</v>
      </c>
      <c r="BZ21" s="3">
        <v>3</v>
      </c>
      <c r="CA21" s="3">
        <v>5</v>
      </c>
      <c r="CB21" s="3">
        <v>2</v>
      </c>
      <c r="CC21" s="3">
        <v>3</v>
      </c>
      <c r="CD21" s="3">
        <v>3</v>
      </c>
      <c r="CE21" s="3">
        <v>3</v>
      </c>
      <c r="CF21" s="3">
        <v>5</v>
      </c>
      <c r="CG21" s="3">
        <v>2</v>
      </c>
      <c r="CH21" s="3">
        <v>3</v>
      </c>
      <c r="CI21" s="3">
        <v>3</v>
      </c>
      <c r="CJ21" s="3">
        <v>3</v>
      </c>
      <c r="CK21" s="3">
        <v>3</v>
      </c>
      <c r="CL21" s="3">
        <v>3</v>
      </c>
      <c r="CM21" s="3">
        <v>2</v>
      </c>
      <c r="CN21" s="3">
        <v>3</v>
      </c>
      <c r="CO21" s="6">
        <v>3</v>
      </c>
      <c r="CP21" s="5">
        <v>3.6275844714639842E-2</v>
      </c>
    </row>
    <row r="22" spans="1:94" x14ac:dyDescent="0.35">
      <c r="A22" s="9" t="s">
        <v>184</v>
      </c>
      <c r="B22" s="9" t="s">
        <v>69</v>
      </c>
      <c r="C22" s="20" t="s">
        <v>3</v>
      </c>
      <c r="D22" s="9" t="s">
        <v>2</v>
      </c>
      <c r="E22" s="9" t="s">
        <v>193</v>
      </c>
      <c r="F22" s="9" t="s">
        <v>51</v>
      </c>
      <c r="G22" s="19">
        <v>0</v>
      </c>
      <c r="H22" s="9">
        <v>2014</v>
      </c>
      <c r="I22" s="9">
        <v>6</v>
      </c>
      <c r="J22" s="18">
        <f>INDEX(PTRS!$D$6:$D$12,MATCH('2'!$F22,PTRS!$B$6:$B$12,0))</f>
        <v>0.1638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0.1638</v>
      </c>
      <c r="Q22" s="17">
        <v>0</v>
      </c>
      <c r="R22" s="17">
        <v>0</v>
      </c>
      <c r="S22" s="17">
        <v>1</v>
      </c>
      <c r="T22" s="17"/>
      <c r="U22" s="17">
        <f t="shared" si="0"/>
        <v>0.19835681424527862</v>
      </c>
      <c r="V22" s="17">
        <v>1</v>
      </c>
      <c r="W22" s="9" t="s">
        <v>62</v>
      </c>
      <c r="X22" s="9">
        <f>INDEX('Unique Asset List'!$C$4:$I$60,MATCH('2'!$B22,'Unique Asset List'!$A$4:$A$60,0),MATCH('2'!$C$1,'Unique Asset List'!$C$3:$I$3,0))</f>
        <v>2024</v>
      </c>
      <c r="Y22" s="9">
        <f>INDEX('Unique Asset List'!$J$4:$P$60,MATCH('2'!$B22,'Unique Asset List'!$A$4:$A$60,0),MATCH('2'!$C$1,'Unique Asset List'!$J$3:$P$3,0))</f>
        <v>9</v>
      </c>
      <c r="Z22" s="9">
        <f>INDEX('Unique Asset List'!$X$4:$AD$60,MATCH('2'!$B22,'Unique Asset List'!$A$4:$A$60,0),MATCH('2'!$C$1,'Unique Asset List'!$X$3:$AD$3,0))</f>
        <v>2026</v>
      </c>
      <c r="AA22" s="9">
        <f>INDEX('Unique Asset List'!$AE$4:$AK$60,MATCH('2'!$B22,'Unique Asset List'!$A$4:$A$60,0),MATCH('2'!$C$1,'Unique Asset List'!$AE$3:$AK$3,0))</f>
        <v>9</v>
      </c>
      <c r="AB22" s="16">
        <f t="shared" si="1"/>
        <v>2.3511832000000004</v>
      </c>
      <c r="AC22" s="16">
        <f t="shared" si="2"/>
        <v>0.94644569999999995</v>
      </c>
      <c r="AD22" s="16">
        <f t="shared" si="3"/>
        <v>0.39141474525999997</v>
      </c>
      <c r="AE22" s="15">
        <f>INDEX('Unique Asset List'!$BN$4:$BT$60,MATCH('2'!$B22,'Unique Asset List'!$A$4:$A$60,0),MATCH('2'!$C$1,'Unique Asset List'!$BN$3:$BT$3,0))</f>
        <v>0.27</v>
      </c>
      <c r="AF22" s="15">
        <f>INDEX('Unique Asset List'!$BU$4:$CA$60,MATCH('2'!$B22,'Unique Asset List'!$A$4:$A$60,0),MATCH('2'!$C$1,'Unique Asset List'!$BU$3:$CA$3,0))</f>
        <v>0.23</v>
      </c>
      <c r="AG22" s="15">
        <f>INDEX('Unique Asset List'!$AZ$4:$BF$60,MATCH('2'!$B22,'Unique Asset List'!$A$4:$A$60,0),MATCH('2'!$C$1,'Unique Asset List'!$AZ$3:$BF$3,0))</f>
        <v>0.27</v>
      </c>
      <c r="AH22" s="15">
        <f>INDEX('Unique Asset List'!$BG$4:$BM$60,MATCH('2'!$B22,'Unique Asset List'!$A$4:$A$60,0),MATCH('2'!$C$1,'Unique Asset List'!$BG$3:$BM$3,0))</f>
        <v>0.23</v>
      </c>
      <c r="AI22" s="11">
        <v>0.96187963349867744</v>
      </c>
      <c r="AJ22" s="15">
        <f>INDEX('Unique Asset List'!$AL$4:$AR$60,MATCH('2'!$B22,'Unique Asset List'!$A$4:$A$60,0),MATCH('2'!$C$1,'Unique Asset List'!$AL$3:$AR$3,0))</f>
        <v>2.2612105538192599</v>
      </c>
      <c r="AK22" s="15">
        <f>INDEX('Unique Asset List'!$AS$4:$AY$60,MATCH('2'!$B22,'Unique Asset List'!$A$4:$A$60,0),MATCH('2'!$C$1,'Unique Asset List'!$AS$3:$AY$3,0))</f>
        <v>-1.7475682675103321</v>
      </c>
      <c r="AL22" s="9">
        <v>177.56756756756758</v>
      </c>
      <c r="AM22" s="14">
        <v>28</v>
      </c>
      <c r="AN22" s="12">
        <v>0</v>
      </c>
      <c r="AO22" s="13">
        <v>0.1</v>
      </c>
      <c r="AP22" s="11">
        <v>0.82</v>
      </c>
      <c r="AQ22" s="12">
        <v>0</v>
      </c>
      <c r="AR22" s="11">
        <f t="shared" si="4"/>
        <v>0.82</v>
      </c>
      <c r="AS22" s="10">
        <f>2.8*37/365</f>
        <v>0.28383561643835614</v>
      </c>
      <c r="AT22" s="4">
        <f>IF($C$5="ON",BT22,MyRating(_E1,$B22,Efficacy!$F$1))</f>
        <v>5</v>
      </c>
      <c r="AU22" s="3">
        <f>IF($C$5="ON",BU22,MyRating(_E2,$B22,Efficacy!$F$1))</f>
        <v>5</v>
      </c>
      <c r="AV22" s="3">
        <f>IF($C$5="ON",BV22,MyRating(_E3,$B22,Efficacy!$F$1))</f>
        <v>5</v>
      </c>
      <c r="AW22" s="3">
        <f>IF($C$5="ON",BW22,MyRating(_E4,$B22,Efficacy!$F$1))</f>
        <v>4</v>
      </c>
      <c r="AX22" s="3">
        <f>IF($C$5="ON",BX22,MyRating(_E5,$B22,Efficacy!$F$1))</f>
        <v>3</v>
      </c>
      <c r="AY22" s="3">
        <f>IF($C$5="ON",BY22,MyRating(_E6,$B22,Efficacy!$F$1))</f>
        <v>3</v>
      </c>
      <c r="AZ22" s="3">
        <f>IF($C$5="ON",BZ22,MyRating(_E7,$B22,Efficacy!$F$1))</f>
        <v>3</v>
      </c>
      <c r="BA22" s="3">
        <f>IF($C$5="ON",CA22,MyRating(_E8,$B22,Efficacy!$F$1))</f>
        <v>4</v>
      </c>
      <c r="BB22" s="3">
        <f>IF($C$5="ON",CB22,MyRating(_S1,$B22,'S&amp;T'!$F$1))</f>
        <v>5</v>
      </c>
      <c r="BC22" s="3">
        <f>IF($C$5="ON",CC22,MyRating(_S2,$B22,'S&amp;T'!$F$1))</f>
        <v>3</v>
      </c>
      <c r="BD22" s="3">
        <f>IF($C$5="ON",CD22,MyRating(_S3,$B22,'S&amp;T'!$F$1))</f>
        <v>3</v>
      </c>
      <c r="BE22" s="3">
        <f>IF($C$5="ON",CE22,MyRating(_S4,$B22,'S&amp;T'!$F$1))</f>
        <v>3</v>
      </c>
      <c r="BF22" s="3">
        <f>IF($C$5="ON",CF22,MyRating(_S5,$B22,'S&amp;T'!$F$1))</f>
        <v>5</v>
      </c>
      <c r="BG22" s="3">
        <f>IF($C$5="ON",CG22,MyRating(_S6,$B22,'S&amp;T'!$F$1))</f>
        <v>2</v>
      </c>
      <c r="BH22" s="3">
        <f>IF($C$5="ON",CH22,MyRating(_S7,$B22,'S&amp;T'!$F$1))</f>
        <v>3</v>
      </c>
      <c r="BI22" s="3">
        <f>IF($C$5="ON",CI22,MyRating(_D1,$B22,Delivery!$F$1))</f>
        <v>2</v>
      </c>
      <c r="BJ22" s="3">
        <f>IF($C$5="ON",CJ22,MyRating(_D2,$B22,Delivery!$F$1))</f>
        <v>3</v>
      </c>
      <c r="BK22" s="3">
        <f>IF($C$5="ON",CK22,MyRating(_D3,$B22,Delivery!$F$1))</f>
        <v>3</v>
      </c>
      <c r="BL22" s="3">
        <f>IF($C$5="ON",CL22,MyRating(_D4,$B22,Delivery!$F$1))</f>
        <v>1</v>
      </c>
      <c r="BM22" s="3">
        <f>IF($C$5="ON",CM22,MyRating(_B1G5,$B22,Barrier!$L$2))</f>
        <v>1</v>
      </c>
      <c r="BN22" s="3">
        <f>IF($C$5="ON",CN22,MyRating(_B2,$B22,Barrier!$F$2))</f>
        <v>1</v>
      </c>
      <c r="BO22" s="6">
        <f>IF($C$5="ON",CO22,MyRating(_B3,$B22,Barrier!$F$2))</f>
        <v>1</v>
      </c>
      <c r="BP22" s="5">
        <f t="shared" si="5"/>
        <v>9.9044671286996639E-3</v>
      </c>
      <c r="BQ22" s="8">
        <f t="shared" si="6"/>
        <v>1</v>
      </c>
      <c r="BR22" s="5">
        <f t="shared" si="7"/>
        <v>1.2217470983506409E-2</v>
      </c>
      <c r="BS22" s="7">
        <f t="shared" si="8"/>
        <v>5.0626462170790974E-3</v>
      </c>
      <c r="BT22" s="4">
        <v>5</v>
      </c>
      <c r="BU22" s="3">
        <v>5</v>
      </c>
      <c r="BV22" s="3">
        <v>5</v>
      </c>
      <c r="BW22" s="3">
        <v>4</v>
      </c>
      <c r="BX22" s="3">
        <v>3</v>
      </c>
      <c r="BY22" s="3">
        <v>3</v>
      </c>
      <c r="BZ22" s="3">
        <v>3</v>
      </c>
      <c r="CA22" s="3">
        <v>4</v>
      </c>
      <c r="CB22" s="3">
        <v>5</v>
      </c>
      <c r="CC22" s="3">
        <v>3</v>
      </c>
      <c r="CD22" s="3">
        <v>3</v>
      </c>
      <c r="CE22" s="3">
        <v>3</v>
      </c>
      <c r="CF22" s="3">
        <v>5</v>
      </c>
      <c r="CG22" s="3">
        <v>2</v>
      </c>
      <c r="CH22" s="3">
        <v>3</v>
      </c>
      <c r="CI22" s="3">
        <v>2</v>
      </c>
      <c r="CJ22" s="3">
        <v>3</v>
      </c>
      <c r="CK22" s="3">
        <v>3</v>
      </c>
      <c r="CL22" s="3">
        <v>1</v>
      </c>
      <c r="CM22" s="3">
        <v>1</v>
      </c>
      <c r="CN22" s="3">
        <v>1</v>
      </c>
      <c r="CO22" s="6">
        <v>1</v>
      </c>
      <c r="CP22" s="5">
        <v>9.9044671286996639E-3</v>
      </c>
    </row>
    <row r="23" spans="1:94" x14ac:dyDescent="0.35">
      <c r="A23" s="9" t="s">
        <v>184</v>
      </c>
      <c r="B23" s="9" t="s">
        <v>74</v>
      </c>
      <c r="C23" s="20" t="s">
        <v>3</v>
      </c>
      <c r="D23" s="9" t="s">
        <v>73</v>
      </c>
      <c r="E23" s="9" t="s">
        <v>193</v>
      </c>
      <c r="F23" s="9" t="s">
        <v>58</v>
      </c>
      <c r="G23" s="19">
        <v>0</v>
      </c>
      <c r="H23" s="9">
        <v>2014</v>
      </c>
      <c r="I23" s="9">
        <v>6</v>
      </c>
      <c r="J23" s="18">
        <f>INDEX(PTRS!$D$6:$D$12,MATCH('2'!$F23,PTRS!$B$6:$B$12,0))</f>
        <v>0.13923000000000002</v>
      </c>
      <c r="K23" s="17">
        <v>0</v>
      </c>
      <c r="L23" s="17">
        <v>0.13923000000000002</v>
      </c>
      <c r="M23" s="17">
        <v>4.6410000000000007E-2</v>
      </c>
      <c r="N23" s="17">
        <v>0.13923000000000002</v>
      </c>
      <c r="O23" s="17">
        <v>0.13923000000000002</v>
      </c>
      <c r="P23" s="17">
        <v>0.13923000000000002</v>
      </c>
      <c r="Q23" s="17">
        <v>0.14000000000000001</v>
      </c>
      <c r="R23" s="17">
        <v>0.14000000000000001</v>
      </c>
      <c r="S23" s="17">
        <v>1</v>
      </c>
      <c r="T23" s="17"/>
      <c r="U23" s="17">
        <f t="shared" si="0"/>
        <v>0.72649652910676854</v>
      </c>
      <c r="V23" s="17">
        <v>1</v>
      </c>
      <c r="W23" s="9" t="s">
        <v>27</v>
      </c>
      <c r="X23" s="9">
        <f>INDEX('Unique Asset List'!$C$4:$I$60,MATCH('2'!$B23,'Unique Asset List'!$A$4:$A$60,0),MATCH('2'!$C$1,'Unique Asset List'!$C$3:$I$3,0))</f>
        <v>2026</v>
      </c>
      <c r="Y23" s="9">
        <f>INDEX('Unique Asset List'!$J$4:$P$60,MATCH('2'!$B23,'Unique Asset List'!$A$4:$A$60,0),MATCH('2'!$C$1,'Unique Asset List'!$J$3:$P$3,0))</f>
        <v>3</v>
      </c>
      <c r="Z23" s="9">
        <f>INDEX('Unique Asset List'!$X$4:$AD$60,MATCH('2'!$B23,'Unique Asset List'!$A$4:$A$60,0),MATCH('2'!$C$1,'Unique Asset List'!$X$3:$AD$3,0))</f>
        <v>2036</v>
      </c>
      <c r="AA23" s="9">
        <f>INDEX('Unique Asset List'!$AE$4:$AK$60,MATCH('2'!$B23,'Unique Asset List'!$A$4:$A$60,0),MATCH('2'!$C$1,'Unique Asset List'!$AE$3:$AK$3,0))</f>
        <v>3</v>
      </c>
      <c r="AB23" s="16">
        <f t="shared" si="1"/>
        <v>2.0119600000000002</v>
      </c>
      <c r="AC23" s="16">
        <f t="shared" si="2"/>
        <v>0.76203600000000005</v>
      </c>
      <c r="AD23" s="16">
        <f t="shared" si="3"/>
        <v>0.56099999999999994</v>
      </c>
      <c r="AE23" s="15">
        <f>INDEX('Unique Asset List'!$BN$4:$BT$60,MATCH('2'!$B23,'Unique Asset List'!$A$4:$A$60,0),MATCH('2'!$C$1,'Unique Asset List'!$BN$3:$BT$3,0))</f>
        <v>0.2</v>
      </c>
      <c r="AF23" s="15">
        <f>INDEX('Unique Asset List'!$BU$4:$CA$60,MATCH('2'!$B23,'Unique Asset List'!$A$4:$A$60,0),MATCH('2'!$C$1,'Unique Asset List'!$BU$3:$CA$3,0))</f>
        <v>0.3</v>
      </c>
      <c r="AG23" s="15">
        <f>INDEX('Unique Asset List'!$AZ$4:$BF$60,MATCH('2'!$B23,'Unique Asset List'!$A$4:$A$60,0),MATCH('2'!$C$1,'Unique Asset List'!$AZ$3:$BF$3,0))</f>
        <v>0.2</v>
      </c>
      <c r="AH23" s="15">
        <f>INDEX('Unique Asset List'!$BG$4:$BM$60,MATCH('2'!$B23,'Unique Asset List'!$A$4:$A$60,0),MATCH('2'!$C$1,'Unique Asset List'!$BG$3:$BM$3,0))</f>
        <v>0.3</v>
      </c>
      <c r="AI23" s="11">
        <v>0.96187963349867744</v>
      </c>
      <c r="AJ23" s="15">
        <f>INDEX('Unique Asset List'!$AL$4:$AR$60,MATCH('2'!$B23,'Unique Asset List'!$A$4:$A$60,0),MATCH('2'!$C$1,'Unique Asset List'!$AL$3:$AR$3,0))</f>
        <v>2.2612105538192599</v>
      </c>
      <c r="AK23" s="15">
        <f>INDEX('Unique Asset List'!$AS$4:$AY$60,MATCH('2'!$B23,'Unique Asset List'!$A$4:$A$60,0),MATCH('2'!$C$1,'Unique Asset List'!$AS$3:$AY$3,0))</f>
        <v>-1.7475682675103321</v>
      </c>
      <c r="AL23" s="9">
        <v>169</v>
      </c>
      <c r="AM23" s="14">
        <f>INDEX(Simulation!$B$6:$H$6,MATCH($A23,Simulation!$B$1:$H$1,0))*(1+AN23)^((DATE(X23,Y23,15)-DATE(2017,1,15))/365.5)</f>
        <v>3.5</v>
      </c>
      <c r="AN23" s="12">
        <v>0</v>
      </c>
      <c r="AO23" s="13">
        <v>0.1</v>
      </c>
      <c r="AP23" s="11">
        <v>0.82</v>
      </c>
      <c r="AQ23" s="12">
        <v>0</v>
      </c>
      <c r="AR23" s="11">
        <f t="shared" si="4"/>
        <v>0.82</v>
      </c>
      <c r="AS23" s="10">
        <v>1</v>
      </c>
      <c r="AT23" s="4">
        <f>IF($C$5="ON",BT23,MyRating(_E1,$B23,Efficacy!$F$1))</f>
        <v>4</v>
      </c>
      <c r="AU23" s="3">
        <f>IF($C$5="ON",BU23,MyRating(_E2,$B23,Efficacy!$F$1))</f>
        <v>4</v>
      </c>
      <c r="AV23" s="3">
        <f>IF($C$5="ON",BV23,MyRating(_E3,$B23,Efficacy!$F$1))</f>
        <v>4</v>
      </c>
      <c r="AW23" s="3">
        <f>IF($C$5="ON",BW23,MyRating(_E4,$B23,Efficacy!$F$1))</f>
        <v>3</v>
      </c>
      <c r="AX23" s="3">
        <f>IF($C$5="ON",BX23,MyRating(_E5,$B23,Efficacy!$F$1))</f>
        <v>3</v>
      </c>
      <c r="AY23" s="3">
        <f>IF($C$5="ON",BY23,MyRating(_E6,$B23,Efficacy!$F$1))</f>
        <v>2</v>
      </c>
      <c r="AZ23" s="3">
        <f>IF($C$5="ON",BZ23,MyRating(_E7,$B23,Efficacy!$F$1))</f>
        <v>3</v>
      </c>
      <c r="BA23" s="3">
        <f>IF($C$5="ON",CA23,MyRating(_E8,$B23,Efficacy!$F$1))</f>
        <v>5</v>
      </c>
      <c r="BB23" s="3">
        <f>IF($C$5="ON",CB23,MyRating(_S1,$B23,'S&amp;T'!$F$1))</f>
        <v>2</v>
      </c>
      <c r="BC23" s="3">
        <f>IF($C$5="ON",CC23,MyRating(_S2,$B23,'S&amp;T'!$F$1))</f>
        <v>3</v>
      </c>
      <c r="BD23" s="3">
        <f>IF($C$5="ON",CD23,MyRating(_S3,$B23,'S&amp;T'!$F$1))</f>
        <v>3</v>
      </c>
      <c r="BE23" s="3">
        <f>IF($C$5="ON",CE23,MyRating(_S4,$B23,'S&amp;T'!$F$1))</f>
        <v>3</v>
      </c>
      <c r="BF23" s="3">
        <f>IF($C$5="ON",CF23,MyRating(_S5,$B23,'S&amp;T'!$F$1))</f>
        <v>5</v>
      </c>
      <c r="BG23" s="3">
        <f>IF($C$5="ON",CG23,MyRating(_S6,$B23,'S&amp;T'!$F$1))</f>
        <v>2</v>
      </c>
      <c r="BH23" s="3">
        <f>IF($C$5="ON",CH23,MyRating(_S7,$B23,'S&amp;T'!$F$1))</f>
        <v>3</v>
      </c>
      <c r="BI23" s="3">
        <f>IF($C$5="ON",CI23,MyRating(_D1,$B23,Delivery!$F$1))</f>
        <v>3</v>
      </c>
      <c r="BJ23" s="3">
        <f>IF($C$5="ON",CJ23,MyRating(_D2,$B23,Delivery!$F$1))</f>
        <v>3</v>
      </c>
      <c r="BK23" s="3">
        <f>IF($C$5="ON",CK23,MyRating(_D3,$B23,Delivery!$F$1))</f>
        <v>3</v>
      </c>
      <c r="BL23" s="3">
        <f>IF($C$5="ON",CL23,MyRating(_D4,$B23,Delivery!$F$1))</f>
        <v>3</v>
      </c>
      <c r="BM23" s="3">
        <f>IF($C$5="ON",CM23,MyRating(_B1G5,$B23,Barrier!$L$2))</f>
        <v>2</v>
      </c>
      <c r="BN23" s="3">
        <f>IF($C$5="ON",CN23,MyRating(_B2,$B23,Barrier!$F$2))</f>
        <v>3</v>
      </c>
      <c r="BO23" s="6">
        <f>IF($C$5="ON",CO23,MyRating(_B3,$B23,Barrier!$F$2))</f>
        <v>3</v>
      </c>
      <c r="BP23" s="5">
        <f t="shared" si="5"/>
        <v>3.6275844714639842E-2</v>
      </c>
      <c r="BQ23" s="8">
        <f t="shared" si="6"/>
        <v>2.9499999999999997</v>
      </c>
      <c r="BR23" s="5">
        <f t="shared" si="7"/>
        <v>3.60415394013439E-2</v>
      </c>
      <c r="BS23" s="7">
        <f t="shared" si="8"/>
        <v>1.8542316878791175E-2</v>
      </c>
      <c r="BT23" s="4">
        <v>4</v>
      </c>
      <c r="BU23" s="3">
        <v>4</v>
      </c>
      <c r="BV23" s="3">
        <v>4</v>
      </c>
      <c r="BW23" s="3">
        <v>3</v>
      </c>
      <c r="BX23" s="3">
        <v>3</v>
      </c>
      <c r="BY23" s="3">
        <v>2</v>
      </c>
      <c r="BZ23" s="3">
        <v>3</v>
      </c>
      <c r="CA23" s="3">
        <v>5</v>
      </c>
      <c r="CB23" s="3">
        <v>2</v>
      </c>
      <c r="CC23" s="3">
        <v>3</v>
      </c>
      <c r="CD23" s="3">
        <v>3</v>
      </c>
      <c r="CE23" s="3">
        <v>3</v>
      </c>
      <c r="CF23" s="3">
        <v>5</v>
      </c>
      <c r="CG23" s="3">
        <v>2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2</v>
      </c>
      <c r="CN23" s="3">
        <v>3</v>
      </c>
      <c r="CO23" s="6">
        <v>3</v>
      </c>
      <c r="CP23" s="5">
        <v>3.6275844714639842E-2</v>
      </c>
    </row>
    <row r="24" spans="1:94" x14ac:dyDescent="0.35">
      <c r="A24" s="9" t="s">
        <v>184</v>
      </c>
      <c r="B24" s="9" t="s">
        <v>17</v>
      </c>
      <c r="C24" s="20"/>
      <c r="D24" s="9" t="s">
        <v>2</v>
      </c>
      <c r="E24" s="9" t="s">
        <v>193</v>
      </c>
      <c r="F24" s="9" t="s">
        <v>51</v>
      </c>
      <c r="G24" s="19">
        <v>0</v>
      </c>
      <c r="H24" s="9">
        <v>2014</v>
      </c>
      <c r="I24" s="9">
        <v>6</v>
      </c>
      <c r="J24" s="18">
        <f>INDEX(PTRS!$D$6:$D$12,MATCH('2'!$F24,PTRS!$B$6:$B$12,0))</f>
        <v>0.1638</v>
      </c>
      <c r="K24" s="17">
        <v>0</v>
      </c>
      <c r="L24" s="17">
        <v>0.1638</v>
      </c>
      <c r="M24" s="17">
        <v>0.25</v>
      </c>
      <c r="N24" s="17">
        <v>0.25</v>
      </c>
      <c r="O24" s="17">
        <v>0.25</v>
      </c>
      <c r="P24" s="17">
        <v>0.1638</v>
      </c>
      <c r="Q24" s="17">
        <v>0.1638</v>
      </c>
      <c r="R24" s="17">
        <v>0.1638</v>
      </c>
      <c r="S24" s="17">
        <v>1</v>
      </c>
      <c r="T24" s="17"/>
      <c r="U24" s="17">
        <f t="shared" si="0"/>
        <v>0.72649652910676854</v>
      </c>
      <c r="V24" s="17">
        <v>1</v>
      </c>
      <c r="W24" s="9" t="s">
        <v>16</v>
      </c>
      <c r="X24" s="9">
        <f>INDEX('Unique Asset List'!$C$4:$I$60,MATCH('2'!$B24,'Unique Asset List'!$A$4:$A$60,0),MATCH('2'!$C$1,'Unique Asset List'!$C$3:$I$3,0))</f>
        <v>2027</v>
      </c>
      <c r="Y24" s="9">
        <f>INDEX('Unique Asset List'!$J$4:$P$60,MATCH('2'!$B24,'Unique Asset List'!$A$4:$A$60,0),MATCH('2'!$C$1,'Unique Asset List'!$J$3:$P$3,0))</f>
        <v>1</v>
      </c>
      <c r="Z24" s="9">
        <f>INDEX('Unique Asset List'!$X$4:$AD$60,MATCH('2'!$B24,'Unique Asset List'!$A$4:$A$60,0),MATCH('2'!$C$1,'Unique Asset List'!$X$3:$AD$3,0))</f>
        <v>2035</v>
      </c>
      <c r="AA24" s="9">
        <f>INDEX('Unique Asset List'!$AE$4:$AK$60,MATCH('2'!$B24,'Unique Asset List'!$A$4:$A$60,0),MATCH('2'!$C$1,'Unique Asset List'!$AE$3:$AK$3,0))</f>
        <v>8</v>
      </c>
      <c r="AB24" s="16">
        <f t="shared" si="1"/>
        <v>1.7951404000000002</v>
      </c>
      <c r="AC24" s="16">
        <f t="shared" si="2"/>
        <v>0.88497580000000009</v>
      </c>
      <c r="AD24" s="16">
        <f t="shared" si="3"/>
        <v>0.56099999999999994</v>
      </c>
      <c r="AE24" s="15">
        <f>INDEX('Unique Asset List'!$BN$4:$BT$60,MATCH('2'!$B24,'Unique Asset List'!$A$4:$A$60,0),MATCH('2'!$C$1,'Unique Asset List'!$BN$3:$BT$3,0))</f>
        <v>0.2</v>
      </c>
      <c r="AF24" s="15">
        <f>INDEX('Unique Asset List'!$BU$4:$CA$60,MATCH('2'!$B24,'Unique Asset List'!$A$4:$A$60,0),MATCH('2'!$C$1,'Unique Asset List'!$BU$3:$CA$3,0))</f>
        <v>0.3</v>
      </c>
      <c r="AG24" s="15">
        <f>INDEX('Unique Asset List'!$AZ$4:$BF$60,MATCH('2'!$B24,'Unique Asset List'!$A$4:$A$60,0),MATCH('2'!$C$1,'Unique Asset List'!$AZ$3:$BF$3,0))</f>
        <v>0.2</v>
      </c>
      <c r="AH24" s="15">
        <f>INDEX('Unique Asset List'!$BG$4:$BM$60,MATCH('2'!$B24,'Unique Asset List'!$A$4:$A$60,0),MATCH('2'!$C$1,'Unique Asset List'!$BG$3:$BM$3,0))</f>
        <v>0.3</v>
      </c>
      <c r="AI24" s="11">
        <v>0.96187963349867744</v>
      </c>
      <c r="AJ24" s="15">
        <f>INDEX('Unique Asset List'!$AL$4:$AR$60,MATCH('2'!$B24,'Unique Asset List'!$A$4:$A$60,0),MATCH('2'!$C$1,'Unique Asset List'!$AL$3:$AR$3,0))</f>
        <v>2.2612105538192599</v>
      </c>
      <c r="AK24" s="15">
        <f>INDEX('Unique Asset List'!$AS$4:$AY$60,MATCH('2'!$B24,'Unique Asset List'!$A$4:$A$60,0),MATCH('2'!$C$1,'Unique Asset List'!$AS$3:$AY$3,0))</f>
        <v>-1.7475682675103321</v>
      </c>
      <c r="AL24" s="9">
        <v>169</v>
      </c>
      <c r="AM24" s="14">
        <f>INDEX(Simulation!$B$6:$H$6,MATCH($A24,Simulation!$B$1:$H$1,0))*(1+AN24)^((DATE(X24,Y24,15)-DATE(2017,1,15))/365.5)</f>
        <v>3.5</v>
      </c>
      <c r="AN24" s="12">
        <v>0</v>
      </c>
      <c r="AO24" s="13">
        <v>0.1</v>
      </c>
      <c r="AP24" s="11">
        <v>0.82</v>
      </c>
      <c r="AQ24" s="12">
        <v>0</v>
      </c>
      <c r="AR24" s="11">
        <f t="shared" si="4"/>
        <v>0.82</v>
      </c>
      <c r="AS24" s="10">
        <v>1</v>
      </c>
      <c r="AT24" s="4">
        <f>IF($C$5="ON",BT24,MyRating(_E1,$B24,Efficacy!$F$1))</f>
        <v>4</v>
      </c>
      <c r="AU24" s="3">
        <f>IF($C$5="ON",BU24,MyRating(_E2,$B24,Efficacy!$F$1))</f>
        <v>3</v>
      </c>
      <c r="AV24" s="3">
        <f>IF($C$5="ON",BV24,MyRating(_E3,$B24,Efficacy!$F$1))</f>
        <v>3</v>
      </c>
      <c r="AW24" s="3">
        <f>IF($C$5="ON",BW24,MyRating(_E4,$B24,Efficacy!$F$1))</f>
        <v>4</v>
      </c>
      <c r="AX24" s="3">
        <f>IF($C$5="ON",BX24,MyRating(_E5,$B24,Efficacy!$F$1))</f>
        <v>3</v>
      </c>
      <c r="AY24" s="3">
        <f>IF($C$5="ON",BY24,MyRating(_E6,$B24,Efficacy!$F$1))</f>
        <v>2</v>
      </c>
      <c r="AZ24" s="3">
        <f>IF($C$5="ON",BZ24,MyRating(_E7,$B24,Efficacy!$F$1))</f>
        <v>3</v>
      </c>
      <c r="BA24" s="3">
        <f>IF($C$5="ON",CA24,MyRating(_E8,$B24,Efficacy!$F$1))</f>
        <v>3</v>
      </c>
      <c r="BB24" s="3">
        <f>IF($C$5="ON",CB24,MyRating(_S1,$B24,'S&amp;T'!$F$1))</f>
        <v>4</v>
      </c>
      <c r="BC24" s="3">
        <f>IF($C$5="ON",CC24,MyRating(_S2,$B24,'S&amp;T'!$F$1))</f>
        <v>3</v>
      </c>
      <c r="BD24" s="3">
        <f>IF($C$5="ON",CD24,MyRating(_S3,$B24,'S&amp;T'!$F$1))</f>
        <v>3</v>
      </c>
      <c r="BE24" s="3">
        <f>IF($C$5="ON",CE24,MyRating(_S4,$B24,'S&amp;T'!$F$1))</f>
        <v>3</v>
      </c>
      <c r="BF24" s="3">
        <f>IF($C$5="ON",CF24,MyRating(_S5,$B24,'S&amp;T'!$F$1))</f>
        <v>5</v>
      </c>
      <c r="BG24" s="3">
        <f>IF($C$5="ON",CG24,MyRating(_S6,$B24,'S&amp;T'!$F$1))</f>
        <v>2</v>
      </c>
      <c r="BH24" s="3">
        <f>IF($C$5="ON",CH24,MyRating(_S7,$B24,'S&amp;T'!$F$1))</f>
        <v>3</v>
      </c>
      <c r="BI24" s="3">
        <f>IF($C$5="ON",CI24,MyRating(_D1,$B24,Delivery!$F$1))</f>
        <v>3</v>
      </c>
      <c r="BJ24" s="3">
        <f>IF($C$5="ON",CJ24,MyRating(_D2,$B24,Delivery!$F$1))</f>
        <v>3</v>
      </c>
      <c r="BK24" s="3">
        <f>IF($C$5="ON",CK24,MyRating(_D3,$B24,Delivery!$F$1))</f>
        <v>3</v>
      </c>
      <c r="BL24" s="3">
        <f>IF($C$5="ON",CL24,MyRating(_D4,$B24,Delivery!$F$1))</f>
        <v>3</v>
      </c>
      <c r="BM24" s="3">
        <f>IF($C$5="ON",CM24,MyRating(_B1G5,$B24,Barrier!$L$2))</f>
        <v>2</v>
      </c>
      <c r="BN24" s="3">
        <f>IF($C$5="ON",CN24,MyRating(_B2,$B24,Barrier!$F$2))</f>
        <v>3</v>
      </c>
      <c r="BO24" s="6">
        <f>IF($C$5="ON",CO24,MyRating(_B3,$B24,Barrier!$F$2))</f>
        <v>3</v>
      </c>
      <c r="BP24" s="5">
        <f t="shared" si="5"/>
        <v>3.6275844714639842E-2</v>
      </c>
      <c r="BQ24" s="8">
        <f t="shared" si="6"/>
        <v>2.9499999999999997</v>
      </c>
      <c r="BR24" s="5">
        <f t="shared" si="7"/>
        <v>3.60415394013439E-2</v>
      </c>
      <c r="BS24" s="7">
        <f t="shared" si="8"/>
        <v>1.8542316878791175E-2</v>
      </c>
      <c r="BT24" s="4">
        <v>4</v>
      </c>
      <c r="BU24" s="3">
        <v>3</v>
      </c>
      <c r="BV24" s="3">
        <v>3</v>
      </c>
      <c r="BW24" s="3">
        <v>4</v>
      </c>
      <c r="BX24" s="3">
        <v>3</v>
      </c>
      <c r="BY24" s="3">
        <v>2</v>
      </c>
      <c r="BZ24" s="3">
        <v>3</v>
      </c>
      <c r="CA24" s="3">
        <v>3</v>
      </c>
      <c r="CB24" s="3">
        <v>4</v>
      </c>
      <c r="CC24" s="3">
        <v>3</v>
      </c>
      <c r="CD24" s="3">
        <v>3</v>
      </c>
      <c r="CE24" s="3">
        <v>3</v>
      </c>
      <c r="CF24" s="3">
        <v>5</v>
      </c>
      <c r="CG24" s="3">
        <v>2</v>
      </c>
      <c r="CH24" s="3">
        <v>3</v>
      </c>
      <c r="CI24" s="3">
        <v>3</v>
      </c>
      <c r="CJ24" s="3">
        <v>3</v>
      </c>
      <c r="CK24" s="3">
        <v>3</v>
      </c>
      <c r="CL24" s="3">
        <v>3</v>
      </c>
      <c r="CM24" s="3">
        <v>2</v>
      </c>
      <c r="CN24" s="3">
        <v>3</v>
      </c>
      <c r="CO24" s="6">
        <v>3</v>
      </c>
      <c r="CP24" s="5">
        <v>3.6275844714639842E-2</v>
      </c>
    </row>
    <row r="25" spans="1:94" x14ac:dyDescent="0.35">
      <c r="A25" s="9" t="s">
        <v>184</v>
      </c>
      <c r="B25" s="9" t="s">
        <v>21</v>
      </c>
      <c r="C25" s="20"/>
      <c r="D25" s="9" t="s">
        <v>2</v>
      </c>
      <c r="E25" s="9" t="s">
        <v>193</v>
      </c>
      <c r="F25" s="9" t="s">
        <v>51</v>
      </c>
      <c r="G25" s="19">
        <v>0</v>
      </c>
      <c r="H25" s="9">
        <v>2014</v>
      </c>
      <c r="I25" s="9">
        <v>6</v>
      </c>
      <c r="J25" s="18">
        <f>INDEX(PTRS!$D$6:$D$12,MATCH('2'!$F25,PTRS!$B$6:$B$12,0))</f>
        <v>0.1638</v>
      </c>
      <c r="K25" s="17">
        <v>0</v>
      </c>
      <c r="L25" s="17">
        <v>0.1638</v>
      </c>
      <c r="M25" s="17">
        <v>0.1638</v>
      </c>
      <c r="N25" s="17">
        <v>0.12</v>
      </c>
      <c r="O25" s="17">
        <v>0.12</v>
      </c>
      <c r="P25" s="17">
        <v>0.1638</v>
      </c>
      <c r="Q25" s="17">
        <v>1</v>
      </c>
      <c r="R25" s="17">
        <v>1</v>
      </c>
      <c r="S25" s="17">
        <v>1</v>
      </c>
      <c r="T25" s="17"/>
      <c r="U25" s="17">
        <f t="shared" si="0"/>
        <v>0.72649652910676854</v>
      </c>
      <c r="V25" s="17">
        <v>1</v>
      </c>
      <c r="W25" s="9" t="s">
        <v>20</v>
      </c>
      <c r="X25" s="9">
        <f>INDEX('Unique Asset List'!$C$4:$I$60,MATCH('2'!$B25,'Unique Asset List'!$A$4:$A$60,0),MATCH('2'!$C$1,'Unique Asset List'!$C$3:$I$3,0))</f>
        <v>2026</v>
      </c>
      <c r="Y25" s="9">
        <f>INDEX('Unique Asset List'!$J$4:$P$60,MATCH('2'!$B25,'Unique Asset List'!$A$4:$A$60,0),MATCH('2'!$C$1,'Unique Asset List'!$J$3:$P$3,0))</f>
        <v>3</v>
      </c>
      <c r="Z25" s="9">
        <f>INDEX('Unique Asset List'!$X$4:$AD$60,MATCH('2'!$B25,'Unique Asset List'!$A$4:$A$60,0),MATCH('2'!$C$1,'Unique Asset List'!$X$3:$AD$3,0))</f>
        <v>2036</v>
      </c>
      <c r="AA25" s="9">
        <f>INDEX('Unique Asset List'!$AE$4:$AK$60,MATCH('2'!$B25,'Unique Asset List'!$A$4:$A$60,0),MATCH('2'!$C$1,'Unique Asset List'!$AE$3:$AK$3,0))</f>
        <v>3</v>
      </c>
      <c r="AB25" s="16">
        <f t="shared" si="1"/>
        <v>1.6822346000000001</v>
      </c>
      <c r="AC25" s="16">
        <f t="shared" si="2"/>
        <v>0.86278740000000009</v>
      </c>
      <c r="AD25" s="16">
        <f t="shared" si="3"/>
        <v>0.56099999999999994</v>
      </c>
      <c r="AE25" s="15">
        <f>INDEX('Unique Asset List'!$BN$4:$BT$60,MATCH('2'!$B25,'Unique Asset List'!$A$4:$A$60,0),MATCH('2'!$C$1,'Unique Asset List'!$BN$3:$BT$3,0))</f>
        <v>0.2</v>
      </c>
      <c r="AF25" s="15">
        <f>INDEX('Unique Asset List'!$BU$4:$CA$60,MATCH('2'!$B25,'Unique Asset List'!$A$4:$A$60,0),MATCH('2'!$C$1,'Unique Asset List'!$BU$3:$CA$3,0))</f>
        <v>0.3</v>
      </c>
      <c r="AG25" s="15">
        <f>INDEX('Unique Asset List'!$AZ$4:$BF$60,MATCH('2'!$B25,'Unique Asset List'!$A$4:$A$60,0),MATCH('2'!$C$1,'Unique Asset List'!$AZ$3:$BF$3,0))</f>
        <v>0.2</v>
      </c>
      <c r="AH25" s="15">
        <f>INDEX('Unique Asset List'!$BG$4:$BM$60,MATCH('2'!$B25,'Unique Asset List'!$A$4:$A$60,0),MATCH('2'!$C$1,'Unique Asset List'!$BG$3:$BM$3,0))</f>
        <v>0.3</v>
      </c>
      <c r="AI25" s="11">
        <v>0.96187963349867744</v>
      </c>
      <c r="AJ25" s="15">
        <f>INDEX('Unique Asset List'!$AL$4:$AR$60,MATCH('2'!$B25,'Unique Asset List'!$A$4:$A$60,0),MATCH('2'!$C$1,'Unique Asset List'!$AL$3:$AR$3,0))</f>
        <v>2.2612105538192599</v>
      </c>
      <c r="AK25" s="15">
        <f>INDEX('Unique Asset List'!$AS$4:$AY$60,MATCH('2'!$B25,'Unique Asset List'!$A$4:$A$60,0),MATCH('2'!$C$1,'Unique Asset List'!$AS$3:$AY$3,0))</f>
        <v>-1.7475682675103321</v>
      </c>
      <c r="AL25" s="9">
        <v>169</v>
      </c>
      <c r="AM25" s="14">
        <f>INDEX(Simulation!$B$6:$H$6,MATCH($A25,Simulation!$B$1:$H$1,0))*(1+AN25)^((DATE(X25,Y25,15)-DATE(2017,1,15))/365.5)</f>
        <v>3.5</v>
      </c>
      <c r="AN25" s="12">
        <v>0</v>
      </c>
      <c r="AO25" s="13">
        <v>0.1</v>
      </c>
      <c r="AP25" s="11">
        <v>0.82</v>
      </c>
      <c r="AQ25" s="12">
        <v>0</v>
      </c>
      <c r="AR25" s="11">
        <f t="shared" si="4"/>
        <v>0.82</v>
      </c>
      <c r="AS25" s="10">
        <v>1</v>
      </c>
      <c r="AT25" s="4">
        <f>IF($C$5="ON",BT25,MyRating(_E1,$B25,Efficacy!$F$1))</f>
        <v>3</v>
      </c>
      <c r="AU25" s="3">
        <f>IF($C$5="ON",BU25,MyRating(_E2,$B25,Efficacy!$F$1))</f>
        <v>3</v>
      </c>
      <c r="AV25" s="3">
        <f>IF($C$5="ON",BV25,MyRating(_E3,$B25,Efficacy!$F$1))</f>
        <v>3</v>
      </c>
      <c r="AW25" s="3">
        <f>IF($C$5="ON",BW25,MyRating(_E4,$B25,Efficacy!$F$1))</f>
        <v>3</v>
      </c>
      <c r="AX25" s="3">
        <f>IF($C$5="ON",BX25,MyRating(_E5,$B25,Efficacy!$F$1))</f>
        <v>3</v>
      </c>
      <c r="AY25" s="3">
        <f>IF($C$5="ON",BY25,MyRating(_E6,$B25,Efficacy!$F$1))</f>
        <v>4</v>
      </c>
      <c r="AZ25" s="3">
        <f>IF($C$5="ON",BZ25,MyRating(_E7,$B25,Efficacy!$F$1))</f>
        <v>3</v>
      </c>
      <c r="BA25" s="3">
        <f>IF($C$5="ON",CA25,MyRating(_E8,$B25,Efficacy!$F$1))</f>
        <v>2</v>
      </c>
      <c r="BB25" s="3">
        <f>IF($C$5="ON",CB25,MyRating(_S1,$B25,'S&amp;T'!$F$1))</f>
        <v>3</v>
      </c>
      <c r="BC25" s="3">
        <f>IF($C$5="ON",CC25,MyRating(_S2,$B25,'S&amp;T'!$F$1))</f>
        <v>4</v>
      </c>
      <c r="BD25" s="3">
        <f>IF($C$5="ON",CD25,MyRating(_S3,$B25,'S&amp;T'!$F$1))</f>
        <v>2</v>
      </c>
      <c r="BE25" s="3">
        <f>IF($C$5="ON",CE25,MyRating(_S4,$B25,'S&amp;T'!$F$1))</f>
        <v>5</v>
      </c>
      <c r="BF25" s="3">
        <f>IF($C$5="ON",CF25,MyRating(_S5,$B25,'S&amp;T'!$F$1))</f>
        <v>4</v>
      </c>
      <c r="BG25" s="3">
        <f>IF($C$5="ON",CG25,MyRating(_S6,$B25,'S&amp;T'!$F$1))</f>
        <v>3</v>
      </c>
      <c r="BH25" s="3">
        <f>IF($C$5="ON",CH25,MyRating(_S7,$B25,'S&amp;T'!$F$1))</f>
        <v>3</v>
      </c>
      <c r="BI25" s="3">
        <f>IF($C$5="ON",CI25,MyRating(_D1,$B25,Delivery!$F$1))</f>
        <v>3</v>
      </c>
      <c r="BJ25" s="3">
        <f>IF($C$5="ON",CJ25,MyRating(_D2,$B25,Delivery!$F$1))</f>
        <v>3</v>
      </c>
      <c r="BK25" s="3">
        <f>IF($C$5="ON",CK25,MyRating(_D3,$B25,Delivery!$F$1))</f>
        <v>3</v>
      </c>
      <c r="BL25" s="3">
        <f>IF($C$5="ON",CL25,MyRating(_D4,$B25,Delivery!$F$1))</f>
        <v>3</v>
      </c>
      <c r="BM25" s="3">
        <f>IF($C$5="ON",CM25,MyRating(_B1G5,$B25,Barrier!$L$2))</f>
        <v>2</v>
      </c>
      <c r="BN25" s="3">
        <f>IF($C$5="ON",CN25,MyRating(_B2,$B25,Barrier!$F$2))</f>
        <v>3</v>
      </c>
      <c r="BO25" s="6">
        <f>IF($C$5="ON",CO25,MyRating(_B3,$B25,Barrier!$F$2))</f>
        <v>3</v>
      </c>
      <c r="BP25" s="5">
        <f t="shared" si="5"/>
        <v>3.6275844714639842E-2</v>
      </c>
      <c r="BQ25" s="8">
        <f t="shared" si="6"/>
        <v>2.9499999999999997</v>
      </c>
      <c r="BR25" s="5">
        <f t="shared" si="7"/>
        <v>3.60415394013439E-2</v>
      </c>
      <c r="BS25" s="7">
        <f t="shared" si="8"/>
        <v>1.8542316878791175E-2</v>
      </c>
      <c r="BT25" s="4">
        <v>3</v>
      </c>
      <c r="BU25" s="3">
        <v>3</v>
      </c>
      <c r="BV25" s="3">
        <v>3</v>
      </c>
      <c r="BW25" s="3">
        <v>3</v>
      </c>
      <c r="BX25" s="3">
        <v>3</v>
      </c>
      <c r="BY25" s="3">
        <v>4</v>
      </c>
      <c r="BZ25" s="3">
        <v>3</v>
      </c>
      <c r="CA25" s="3">
        <v>2</v>
      </c>
      <c r="CB25" s="3">
        <v>3</v>
      </c>
      <c r="CC25" s="3">
        <v>4</v>
      </c>
      <c r="CD25" s="3">
        <v>2</v>
      </c>
      <c r="CE25" s="3">
        <v>5</v>
      </c>
      <c r="CF25" s="3">
        <v>4</v>
      </c>
      <c r="CG25" s="3">
        <v>3</v>
      </c>
      <c r="CH25" s="3">
        <v>3</v>
      </c>
      <c r="CI25" s="3">
        <v>3</v>
      </c>
      <c r="CJ25" s="3">
        <v>3</v>
      </c>
      <c r="CK25" s="3">
        <v>3</v>
      </c>
      <c r="CL25" s="3">
        <v>3</v>
      </c>
      <c r="CM25" s="3">
        <v>2</v>
      </c>
      <c r="CN25" s="3">
        <v>3</v>
      </c>
      <c r="CO25" s="6">
        <v>3</v>
      </c>
      <c r="CP25" s="5">
        <v>3.6275844714639842E-2</v>
      </c>
    </row>
    <row r="26" spans="1:94" x14ac:dyDescent="0.35">
      <c r="A26" s="9" t="s">
        <v>184</v>
      </c>
      <c r="B26" s="9" t="s">
        <v>72</v>
      </c>
      <c r="C26" s="20"/>
      <c r="D26" s="9" t="s">
        <v>2</v>
      </c>
      <c r="E26" s="9" t="s">
        <v>193</v>
      </c>
      <c r="F26" s="9" t="s">
        <v>51</v>
      </c>
      <c r="G26" s="19">
        <v>0</v>
      </c>
      <c r="H26" s="9">
        <v>2014</v>
      </c>
      <c r="I26" s="9">
        <v>6</v>
      </c>
      <c r="J26" s="18">
        <f>INDEX(PTRS!$D$6:$D$12,MATCH('2'!$F26,PTRS!$B$6:$B$12,0))</f>
        <v>0.1638</v>
      </c>
      <c r="K26" s="17">
        <v>0</v>
      </c>
      <c r="L26" s="17">
        <v>0.1638</v>
      </c>
      <c r="M26" s="17">
        <v>0.1638</v>
      </c>
      <c r="N26" s="17">
        <v>0.1638</v>
      </c>
      <c r="O26" s="17">
        <v>0.1638</v>
      </c>
      <c r="P26" s="17">
        <v>0.1638</v>
      </c>
      <c r="Q26" s="17">
        <v>1</v>
      </c>
      <c r="R26" s="17">
        <v>1</v>
      </c>
      <c r="S26" s="17">
        <v>1</v>
      </c>
      <c r="T26" s="17"/>
      <c r="U26" s="17">
        <f t="shared" si="0"/>
        <v>1</v>
      </c>
      <c r="V26" s="17">
        <v>1</v>
      </c>
      <c r="W26" s="9" t="s">
        <v>71</v>
      </c>
      <c r="X26" s="9">
        <f>INDEX('Unique Asset List'!$C$4:$I$60,MATCH('2'!$B26,'Unique Asset List'!$A$4:$A$60,0),MATCH('2'!$C$1,'Unique Asset List'!$C$3:$I$3,0))</f>
        <v>2026</v>
      </c>
      <c r="Y26" s="9">
        <f>INDEX('Unique Asset List'!$J$4:$P$60,MATCH('2'!$B26,'Unique Asset List'!$A$4:$A$60,0),MATCH('2'!$C$1,'Unique Asset List'!$J$3:$P$3,0))</f>
        <v>8</v>
      </c>
      <c r="Z26" s="9">
        <f>INDEX('Unique Asset List'!$X$4:$AD$60,MATCH('2'!$B26,'Unique Asset List'!$A$4:$A$60,0),MATCH('2'!$C$1,'Unique Asset List'!$X$3:$AD$3,0))</f>
        <v>2037</v>
      </c>
      <c r="AA26" s="9">
        <f>INDEX('Unique Asset List'!$AE$4:$AK$60,MATCH('2'!$B26,'Unique Asset List'!$A$4:$A$60,0),MATCH('2'!$C$1,'Unique Asset List'!$AE$3:$AK$3,0))</f>
        <v>6</v>
      </c>
      <c r="AB26" s="16">
        <f t="shared" si="1"/>
        <v>1.849261</v>
      </c>
      <c r="AC26" s="16">
        <f t="shared" si="2"/>
        <v>0.94988439999999996</v>
      </c>
      <c r="AD26" s="16">
        <f t="shared" si="3"/>
        <v>0.41402720413999994</v>
      </c>
      <c r="AE26" s="15">
        <f>INDEX('Unique Asset List'!$BN$4:$BT$60,MATCH('2'!$B26,'Unique Asset List'!$A$4:$A$60,0),MATCH('2'!$C$1,'Unique Asset List'!$BN$3:$BT$3,0))</f>
        <v>0.27</v>
      </c>
      <c r="AF26" s="15">
        <f>INDEX('Unique Asset List'!$BU$4:$CA$60,MATCH('2'!$B26,'Unique Asset List'!$A$4:$A$60,0),MATCH('2'!$C$1,'Unique Asset List'!$BU$3:$CA$3,0))</f>
        <v>0.23</v>
      </c>
      <c r="AG26" s="15">
        <f>INDEX('Unique Asset List'!$AZ$4:$BF$60,MATCH('2'!$B26,'Unique Asset List'!$A$4:$A$60,0),MATCH('2'!$C$1,'Unique Asset List'!$AZ$3:$BF$3,0))</f>
        <v>0.27</v>
      </c>
      <c r="AH26" s="15">
        <f>INDEX('Unique Asset List'!$BG$4:$BM$60,MATCH('2'!$B26,'Unique Asset List'!$A$4:$A$60,0),MATCH('2'!$C$1,'Unique Asset List'!$BG$3:$BM$3,0))</f>
        <v>0.23</v>
      </c>
      <c r="AI26" s="11">
        <v>0.96187963349867744</v>
      </c>
      <c r="AJ26" s="15">
        <f>INDEX('Unique Asset List'!$AL$4:$AR$60,MATCH('2'!$B26,'Unique Asset List'!$A$4:$A$60,0),MATCH('2'!$C$1,'Unique Asset List'!$AL$3:$AR$3,0))</f>
        <v>2.2612105538192599</v>
      </c>
      <c r="AK26" s="15">
        <f>INDEX('Unique Asset List'!$AS$4:$AY$60,MATCH('2'!$B26,'Unique Asset List'!$A$4:$A$60,0),MATCH('2'!$C$1,'Unique Asset List'!$AS$3:$AY$3,0))</f>
        <v>-1.7475682675103321</v>
      </c>
      <c r="AL26" s="9">
        <v>169</v>
      </c>
      <c r="AM26" s="14">
        <f>INDEX(Simulation!$B$6:$H$6,MATCH($A26,Simulation!$B$1:$H$1,0))*(1+AN26)^((DATE(X26,Y26,15)-DATE(2017,1,15))/365.5)</f>
        <v>3.5</v>
      </c>
      <c r="AN26" s="12">
        <v>0</v>
      </c>
      <c r="AO26" s="13">
        <v>0.1</v>
      </c>
      <c r="AP26" s="11">
        <v>0.82</v>
      </c>
      <c r="AQ26" s="12">
        <v>0</v>
      </c>
      <c r="AR26" s="11">
        <f t="shared" si="4"/>
        <v>0.82</v>
      </c>
      <c r="AS26" s="10">
        <v>1</v>
      </c>
      <c r="AT26" s="4">
        <f>IF($C$5="ON",BT26,MyRating(_E1,$B26,Efficacy!$F$1))</f>
        <v>5</v>
      </c>
      <c r="AU26" s="3">
        <f>IF($C$5="ON",BU26,MyRating(_E2,$B26,Efficacy!$F$1))</f>
        <v>4</v>
      </c>
      <c r="AV26" s="3">
        <f>IF($C$5="ON",BV26,MyRating(_E3,$B26,Efficacy!$F$1))</f>
        <v>4</v>
      </c>
      <c r="AW26" s="3">
        <f>IF($C$5="ON",BW26,MyRating(_E4,$B26,Efficacy!$F$1))</f>
        <v>3</v>
      </c>
      <c r="AX26" s="3">
        <f>IF($C$5="ON",BX26,MyRating(_E5,$B26,Efficacy!$F$1))</f>
        <v>3</v>
      </c>
      <c r="AY26" s="3">
        <f>IF($C$5="ON",BY26,MyRating(_E6,$B26,Efficacy!$F$1))</f>
        <v>2</v>
      </c>
      <c r="AZ26" s="3">
        <f>IF($C$5="ON",BZ26,MyRating(_E7,$B26,Efficacy!$F$1))</f>
        <v>3</v>
      </c>
      <c r="BA26" s="3">
        <f>IF($C$5="ON",CA26,MyRating(_E8,$B26,Efficacy!$F$1))</f>
        <v>1</v>
      </c>
      <c r="BB26" s="3">
        <f>IF($C$5="ON",CB26,MyRating(_S1,$B26,'S&amp;T'!$F$1))</f>
        <v>3</v>
      </c>
      <c r="BC26" s="3">
        <f>IF($C$5="ON",CC26,MyRating(_S2,$B26,'S&amp;T'!$F$1))</f>
        <v>4</v>
      </c>
      <c r="BD26" s="3">
        <f>IF($C$5="ON",CD26,MyRating(_S3,$B26,'S&amp;T'!$F$1))</f>
        <v>3</v>
      </c>
      <c r="BE26" s="3">
        <f>IF($C$5="ON",CE26,MyRating(_S4,$B26,'S&amp;T'!$F$1))</f>
        <v>5</v>
      </c>
      <c r="BF26" s="3">
        <f>IF($C$5="ON",CF26,MyRating(_S5,$B26,'S&amp;T'!$F$1))</f>
        <v>5</v>
      </c>
      <c r="BG26" s="3">
        <f>IF($C$5="ON",CG26,MyRating(_S6,$B26,'S&amp;T'!$F$1))</f>
        <v>2</v>
      </c>
      <c r="BH26" s="3">
        <f>IF($C$5="ON",CH26,MyRating(_S7,$B26,'S&amp;T'!$F$1))</f>
        <v>4</v>
      </c>
      <c r="BI26" s="3">
        <f>IF($C$5="ON",CI26,MyRating(_D1,$B26,Delivery!$F$1))</f>
        <v>2</v>
      </c>
      <c r="BJ26" s="3">
        <f>IF($C$5="ON",CJ26,MyRating(_D2,$B26,Delivery!$F$1))</f>
        <v>3</v>
      </c>
      <c r="BK26" s="3">
        <f>IF($C$5="ON",CK26,MyRating(_D3,$B26,Delivery!$F$1))</f>
        <v>2</v>
      </c>
      <c r="BL26" s="3">
        <f>IF($C$5="ON",CL26,MyRating(_D4,$B26,Delivery!$F$1))</f>
        <v>2</v>
      </c>
      <c r="BM26" s="3">
        <f>IF($C$5="ON",CM26,MyRating(_B1G5,$B26,Barrier!$L$2))</f>
        <v>1</v>
      </c>
      <c r="BN26" s="3">
        <f>IF($C$5="ON",CN26,MyRating(_B2,$B26,Barrier!$F$2))</f>
        <v>3</v>
      </c>
      <c r="BO26" s="6">
        <f>IF($C$5="ON",CO26,MyRating(_B3,$B26,Barrier!$F$2))</f>
        <v>5</v>
      </c>
      <c r="BP26" s="5">
        <f t="shared" si="5"/>
        <v>4.9932578149053504E-2</v>
      </c>
      <c r="BQ26" s="8">
        <f t="shared" si="6"/>
        <v>3.8499999999999996</v>
      </c>
      <c r="BR26" s="5">
        <f t="shared" si="7"/>
        <v>4.7037263286499667E-2</v>
      </c>
      <c r="BS26" s="7">
        <f t="shared" si="8"/>
        <v>2.5522925624419785E-2</v>
      </c>
      <c r="BT26" s="4">
        <v>5</v>
      </c>
      <c r="BU26" s="3">
        <v>4</v>
      </c>
      <c r="BV26" s="3">
        <v>4</v>
      </c>
      <c r="BW26" s="3">
        <v>3</v>
      </c>
      <c r="BX26" s="3">
        <v>3</v>
      </c>
      <c r="BY26" s="3">
        <v>2</v>
      </c>
      <c r="BZ26" s="3">
        <v>3</v>
      </c>
      <c r="CA26" s="3">
        <v>1</v>
      </c>
      <c r="CB26" s="3">
        <v>3</v>
      </c>
      <c r="CC26" s="3">
        <v>4</v>
      </c>
      <c r="CD26" s="3">
        <v>3</v>
      </c>
      <c r="CE26" s="3">
        <v>5</v>
      </c>
      <c r="CF26" s="3">
        <v>5</v>
      </c>
      <c r="CG26" s="3">
        <v>2</v>
      </c>
      <c r="CH26" s="3">
        <v>4</v>
      </c>
      <c r="CI26" s="3">
        <v>2</v>
      </c>
      <c r="CJ26" s="3">
        <v>3</v>
      </c>
      <c r="CK26" s="3">
        <v>2</v>
      </c>
      <c r="CL26" s="3">
        <v>2</v>
      </c>
      <c r="CM26" s="3">
        <v>1</v>
      </c>
      <c r="CN26" s="3">
        <v>3</v>
      </c>
      <c r="CO26" s="6">
        <v>5</v>
      </c>
      <c r="CP26" s="5">
        <v>4.9932578149053504E-2</v>
      </c>
    </row>
    <row r="27" spans="1:94" x14ac:dyDescent="0.35">
      <c r="A27" s="9" t="s">
        <v>184</v>
      </c>
      <c r="B27" s="9" t="s">
        <v>31</v>
      </c>
      <c r="C27" s="20"/>
      <c r="D27" s="9" t="s">
        <v>2</v>
      </c>
      <c r="E27" s="9" t="s">
        <v>193</v>
      </c>
      <c r="F27" s="9" t="s">
        <v>58</v>
      </c>
      <c r="G27" s="19">
        <v>0</v>
      </c>
      <c r="H27" s="9">
        <v>2014</v>
      </c>
      <c r="I27" s="9">
        <v>6</v>
      </c>
      <c r="J27" s="18">
        <f>INDEX(PTRS!$D$6:$D$12,MATCH('2'!$F27,PTRS!$B$6:$B$12,0))</f>
        <v>0.13923000000000002</v>
      </c>
      <c r="K27" s="17">
        <v>0</v>
      </c>
      <c r="L27" s="17">
        <v>0.1044225</v>
      </c>
      <c r="M27" s="17">
        <v>0.13923000000000002</v>
      </c>
      <c r="N27" s="17">
        <v>0.14000000000000001</v>
      </c>
      <c r="O27" s="17">
        <v>0.14000000000000001</v>
      </c>
      <c r="P27" s="17">
        <v>0.1044225</v>
      </c>
      <c r="Q27" s="17">
        <v>0.1044225</v>
      </c>
      <c r="R27" s="17">
        <v>0.1044225</v>
      </c>
      <c r="S27" s="17">
        <v>1</v>
      </c>
      <c r="T27" s="17"/>
      <c r="U27" s="17">
        <f t="shared" si="0"/>
        <v>0.72649652910676854</v>
      </c>
      <c r="V27" s="17">
        <v>1</v>
      </c>
      <c r="W27" s="9" t="s">
        <v>31</v>
      </c>
      <c r="X27" s="9">
        <f>INDEX('Unique Asset List'!$C$4:$I$60,MATCH('2'!$B27,'Unique Asset List'!$A$4:$A$60,0),MATCH('2'!$C$1,'Unique Asset List'!$C$3:$I$3,0))</f>
        <v>2028</v>
      </c>
      <c r="Y27" s="9">
        <f>INDEX('Unique Asset List'!$J$4:$P$60,MATCH('2'!$B27,'Unique Asset List'!$A$4:$A$60,0),MATCH('2'!$C$1,'Unique Asset List'!$J$3:$P$3,0))</f>
        <v>2</v>
      </c>
      <c r="Z27" s="9">
        <f>INDEX('Unique Asset List'!$X$4:$AD$60,MATCH('2'!$B27,'Unique Asset List'!$A$4:$A$60,0),MATCH('2'!$C$1,'Unique Asset List'!$X$3:$AD$3,0))</f>
        <v>2037</v>
      </c>
      <c r="AA27" s="9">
        <f>INDEX('Unique Asset List'!$AE$4:$AK$60,MATCH('2'!$B27,'Unique Asset List'!$A$4:$A$60,0),MATCH('2'!$C$1,'Unique Asset List'!$AE$3:$AK$3,0))</f>
        <v>2</v>
      </c>
      <c r="AB27" s="16">
        <f t="shared" si="1"/>
        <v>2.1250906000000005</v>
      </c>
      <c r="AC27" s="16">
        <f t="shared" si="2"/>
        <v>0.97325250000000008</v>
      </c>
      <c r="AD27" s="16">
        <f t="shared" si="3"/>
        <v>0.56099999999999994</v>
      </c>
      <c r="AE27" s="15">
        <f>INDEX('Unique Asset List'!$BN$4:$BT$60,MATCH('2'!$B27,'Unique Asset List'!$A$4:$A$60,0),MATCH('2'!$C$1,'Unique Asset List'!$BN$3:$BT$3,0))</f>
        <v>0.2</v>
      </c>
      <c r="AF27" s="15">
        <f>INDEX('Unique Asset List'!$BU$4:$CA$60,MATCH('2'!$B27,'Unique Asset List'!$A$4:$A$60,0),MATCH('2'!$C$1,'Unique Asset List'!$BU$3:$CA$3,0))</f>
        <v>0.3</v>
      </c>
      <c r="AG27" s="15">
        <f>INDEX('Unique Asset List'!$AZ$4:$BF$60,MATCH('2'!$B27,'Unique Asset List'!$A$4:$A$60,0),MATCH('2'!$C$1,'Unique Asset List'!$AZ$3:$BF$3,0))</f>
        <v>0.2</v>
      </c>
      <c r="AH27" s="15">
        <f>INDEX('Unique Asset List'!$BG$4:$BM$60,MATCH('2'!$B27,'Unique Asset List'!$A$4:$A$60,0),MATCH('2'!$C$1,'Unique Asset List'!$BG$3:$BM$3,0))</f>
        <v>0.3</v>
      </c>
      <c r="AI27" s="11">
        <v>0.96187963349867744</v>
      </c>
      <c r="AJ27" s="15">
        <f>INDEX('Unique Asset List'!$AL$4:$AR$60,MATCH('2'!$B27,'Unique Asset List'!$A$4:$A$60,0),MATCH('2'!$C$1,'Unique Asset List'!$AL$3:$AR$3,0))</f>
        <v>2.2612105538192599</v>
      </c>
      <c r="AK27" s="15">
        <f>INDEX('Unique Asset List'!$AS$4:$AY$60,MATCH('2'!$B27,'Unique Asset List'!$A$4:$A$60,0),MATCH('2'!$C$1,'Unique Asset List'!$AS$3:$AY$3,0))</f>
        <v>-1.7475682675103321</v>
      </c>
      <c r="AL27" s="9">
        <v>169</v>
      </c>
      <c r="AM27" s="14">
        <f>INDEX(Simulation!$B$6:$H$6,MATCH($A27,Simulation!$B$1:$H$1,0))*(1+AN27)^((DATE(X27,Y27,15)-DATE(2017,1,15))/365.5)</f>
        <v>3.5</v>
      </c>
      <c r="AN27" s="12">
        <v>0</v>
      </c>
      <c r="AO27" s="13">
        <v>0.1</v>
      </c>
      <c r="AP27" s="11">
        <v>0.82</v>
      </c>
      <c r="AQ27" s="12">
        <v>0</v>
      </c>
      <c r="AR27" s="11">
        <f t="shared" si="4"/>
        <v>0.82</v>
      </c>
      <c r="AS27" s="10">
        <v>1</v>
      </c>
      <c r="AT27" s="4">
        <f>IF($C$5="ON",BT27,MyRating(_E1,$B27,Efficacy!$F$1))</f>
        <v>4</v>
      </c>
      <c r="AU27" s="3">
        <f>IF($C$5="ON",BU27,MyRating(_E2,$B27,Efficacy!$F$1))</f>
        <v>4</v>
      </c>
      <c r="AV27" s="3">
        <f>IF($C$5="ON",BV27,MyRating(_E3,$B27,Efficacy!$F$1))</f>
        <v>4</v>
      </c>
      <c r="AW27" s="3">
        <f>IF($C$5="ON",BW27,MyRating(_E4,$B27,Efficacy!$F$1))</f>
        <v>4</v>
      </c>
      <c r="AX27" s="3">
        <f>IF($C$5="ON",BX27,MyRating(_E5,$B27,Efficacy!$F$1))</f>
        <v>3</v>
      </c>
      <c r="AY27" s="3">
        <f>IF($C$5="ON",BY27,MyRating(_E6,$B27,Efficacy!$F$1))</f>
        <v>4</v>
      </c>
      <c r="AZ27" s="3">
        <f>IF($C$5="ON",BZ27,MyRating(_E7,$B27,Efficacy!$F$1))</f>
        <v>4</v>
      </c>
      <c r="BA27" s="3">
        <f>IF($C$5="ON",CA27,MyRating(_E8,$B27,Efficacy!$F$1))</f>
        <v>3</v>
      </c>
      <c r="BB27" s="3">
        <f>IF($C$5="ON",CB27,MyRating(_S1,$B27,'S&amp;T'!$F$1))</f>
        <v>4</v>
      </c>
      <c r="BC27" s="3">
        <f>IF($C$5="ON",CC27,MyRating(_S2,$B27,'S&amp;T'!$F$1))</f>
        <v>3</v>
      </c>
      <c r="BD27" s="3">
        <f>IF($C$5="ON",CD27,MyRating(_S3,$B27,'S&amp;T'!$F$1))</f>
        <v>3</v>
      </c>
      <c r="BE27" s="3">
        <f>IF($C$5="ON",CE27,MyRating(_S4,$B27,'S&amp;T'!$F$1))</f>
        <v>4</v>
      </c>
      <c r="BF27" s="3">
        <f>IF($C$5="ON",CF27,MyRating(_S5,$B27,'S&amp;T'!$F$1))</f>
        <v>5</v>
      </c>
      <c r="BG27" s="3">
        <f>IF($C$5="ON",CG27,MyRating(_S6,$B27,'S&amp;T'!$F$1))</f>
        <v>3</v>
      </c>
      <c r="BH27" s="3">
        <f>IF($C$5="ON",CH27,MyRating(_S7,$B27,'S&amp;T'!$F$1))</f>
        <v>4</v>
      </c>
      <c r="BI27" s="3">
        <f>IF($C$5="ON",CI27,MyRating(_D1,$B27,Delivery!$F$1))</f>
        <v>3</v>
      </c>
      <c r="BJ27" s="3">
        <f>IF($C$5="ON",CJ27,MyRating(_D2,$B27,Delivery!$F$1))</f>
        <v>3</v>
      </c>
      <c r="BK27" s="3">
        <f>IF($C$5="ON",CK27,MyRating(_D3,$B27,Delivery!$F$1))</f>
        <v>3</v>
      </c>
      <c r="BL27" s="3">
        <f>IF($C$5="ON",CL27,MyRating(_D4,$B27,Delivery!$F$1))</f>
        <v>3</v>
      </c>
      <c r="BM27" s="3">
        <f>IF($C$5="ON",CM27,MyRating(_B1G5,$B27,Barrier!$L$2))</f>
        <v>2</v>
      </c>
      <c r="BN27" s="3">
        <f>IF($C$5="ON",CN27,MyRating(_B2,$B27,Barrier!$F$2))</f>
        <v>3</v>
      </c>
      <c r="BO27" s="6">
        <f>IF($C$5="ON",CO27,MyRating(_B3,$B27,Barrier!$F$2))</f>
        <v>3</v>
      </c>
      <c r="BP27" s="5">
        <f t="shared" si="5"/>
        <v>3.6275844714639842E-2</v>
      </c>
      <c r="BQ27" s="8">
        <f t="shared" si="6"/>
        <v>2.9499999999999997</v>
      </c>
      <c r="BR27" s="5">
        <f t="shared" si="7"/>
        <v>3.60415394013439E-2</v>
      </c>
      <c r="BS27" s="7">
        <f t="shared" si="8"/>
        <v>1.8542316878791175E-2</v>
      </c>
      <c r="BT27" s="4">
        <v>4</v>
      </c>
      <c r="BU27" s="3">
        <v>4</v>
      </c>
      <c r="BV27" s="3">
        <v>4</v>
      </c>
      <c r="BW27" s="3">
        <v>4</v>
      </c>
      <c r="BX27" s="3">
        <v>3</v>
      </c>
      <c r="BY27" s="3">
        <v>4</v>
      </c>
      <c r="BZ27" s="3">
        <v>4</v>
      </c>
      <c r="CA27" s="3">
        <v>3</v>
      </c>
      <c r="CB27" s="3">
        <v>4</v>
      </c>
      <c r="CC27" s="3">
        <v>3</v>
      </c>
      <c r="CD27" s="3">
        <v>3</v>
      </c>
      <c r="CE27" s="3">
        <v>4</v>
      </c>
      <c r="CF27" s="3">
        <v>5</v>
      </c>
      <c r="CG27" s="3">
        <v>3</v>
      </c>
      <c r="CH27" s="3">
        <v>4</v>
      </c>
      <c r="CI27" s="3">
        <v>3</v>
      </c>
      <c r="CJ27" s="3">
        <v>3</v>
      </c>
      <c r="CK27" s="3">
        <v>3</v>
      </c>
      <c r="CL27" s="3">
        <v>3</v>
      </c>
      <c r="CM27" s="3">
        <v>2</v>
      </c>
      <c r="CN27" s="3">
        <v>3</v>
      </c>
      <c r="CO27" s="6">
        <v>3</v>
      </c>
      <c r="CP27" s="5">
        <v>3.6275844714639842E-2</v>
      </c>
    </row>
    <row r="28" spans="1:94" x14ac:dyDescent="0.35">
      <c r="A28" s="9" t="s">
        <v>184</v>
      </c>
      <c r="B28" s="9" t="s">
        <v>35</v>
      </c>
      <c r="C28" s="20"/>
      <c r="D28" s="9" t="s">
        <v>2</v>
      </c>
      <c r="E28" s="9" t="s">
        <v>193</v>
      </c>
      <c r="F28" s="9" t="s">
        <v>58</v>
      </c>
      <c r="G28" s="19">
        <v>0</v>
      </c>
      <c r="H28" s="9">
        <v>2014</v>
      </c>
      <c r="I28" s="9">
        <v>6</v>
      </c>
      <c r="J28" s="18">
        <f>INDEX(PTRS!$D$6:$D$12,MATCH('2'!$F28,PTRS!$B$6:$B$12,0))</f>
        <v>0.13923000000000002</v>
      </c>
      <c r="K28" s="17">
        <v>0</v>
      </c>
      <c r="L28" s="17">
        <v>0.1044225</v>
      </c>
      <c r="M28" s="17">
        <v>0.13923000000000002</v>
      </c>
      <c r="N28" s="17">
        <v>0.14000000000000001</v>
      </c>
      <c r="O28" s="17">
        <v>0.14000000000000001</v>
      </c>
      <c r="P28" s="17">
        <v>0.1044225</v>
      </c>
      <c r="Q28" s="17">
        <v>0.1044225</v>
      </c>
      <c r="R28" s="17">
        <v>0.1044225</v>
      </c>
      <c r="S28" s="17">
        <v>1</v>
      </c>
      <c r="T28" s="17"/>
      <c r="U28" s="17">
        <f t="shared" si="0"/>
        <v>0.72649652910676854</v>
      </c>
      <c r="V28" s="17">
        <v>1</v>
      </c>
      <c r="W28" s="9" t="s">
        <v>35</v>
      </c>
      <c r="X28" s="9">
        <f>INDEX('Unique Asset List'!$C$4:$I$60,MATCH('2'!$B28,'Unique Asset List'!$A$4:$A$60,0),MATCH('2'!$C$1,'Unique Asset List'!$C$3:$I$3,0))</f>
        <v>2028</v>
      </c>
      <c r="Y28" s="9">
        <f>INDEX('Unique Asset List'!$J$4:$P$60,MATCH('2'!$B28,'Unique Asset List'!$A$4:$A$60,0),MATCH('2'!$C$1,'Unique Asset List'!$J$3:$P$3,0))</f>
        <v>4</v>
      </c>
      <c r="Z28" s="9">
        <f>INDEX('Unique Asset List'!$X$4:$AD$60,MATCH('2'!$B28,'Unique Asset List'!$A$4:$A$60,0),MATCH('2'!$C$1,'Unique Asset List'!$X$3:$AD$3,0))</f>
        <v>2038</v>
      </c>
      <c r="AA28" s="9">
        <f>INDEX('Unique Asset List'!$AE$4:$AK$60,MATCH('2'!$B28,'Unique Asset List'!$A$4:$A$60,0),MATCH('2'!$C$1,'Unique Asset List'!$AE$3:$AK$3,0))</f>
        <v>2</v>
      </c>
      <c r="AB28" s="16">
        <f t="shared" si="1"/>
        <v>2.0908086000000004</v>
      </c>
      <c r="AC28" s="16">
        <f t="shared" si="2"/>
        <v>0.97325250000000008</v>
      </c>
      <c r="AD28" s="16">
        <f t="shared" si="3"/>
        <v>0.56099999999999994</v>
      </c>
      <c r="AE28" s="15">
        <f>INDEX('Unique Asset List'!$BN$4:$BT$60,MATCH('2'!$B28,'Unique Asset List'!$A$4:$A$60,0),MATCH('2'!$C$1,'Unique Asset List'!$BN$3:$BT$3,0))</f>
        <v>0.2</v>
      </c>
      <c r="AF28" s="15">
        <f>INDEX('Unique Asset List'!$BU$4:$CA$60,MATCH('2'!$B28,'Unique Asset List'!$A$4:$A$60,0),MATCH('2'!$C$1,'Unique Asset List'!$BU$3:$CA$3,0))</f>
        <v>0.3</v>
      </c>
      <c r="AG28" s="15">
        <f>INDEX('Unique Asset List'!$AZ$4:$BF$60,MATCH('2'!$B28,'Unique Asset List'!$A$4:$A$60,0),MATCH('2'!$C$1,'Unique Asset List'!$AZ$3:$BF$3,0))</f>
        <v>0.2</v>
      </c>
      <c r="AH28" s="15">
        <f>INDEX('Unique Asset List'!$BG$4:$BM$60,MATCH('2'!$B28,'Unique Asset List'!$A$4:$A$60,0),MATCH('2'!$C$1,'Unique Asset List'!$BG$3:$BM$3,0))</f>
        <v>0.3</v>
      </c>
      <c r="AI28" s="11">
        <v>0.96187963349867744</v>
      </c>
      <c r="AJ28" s="15">
        <f>INDEX('Unique Asset List'!$AL$4:$AR$60,MATCH('2'!$B28,'Unique Asset List'!$A$4:$A$60,0),MATCH('2'!$C$1,'Unique Asset List'!$AL$3:$AR$3,0))</f>
        <v>2.2612105538192599</v>
      </c>
      <c r="AK28" s="15">
        <f>INDEX('Unique Asset List'!$AS$4:$AY$60,MATCH('2'!$B28,'Unique Asset List'!$A$4:$A$60,0),MATCH('2'!$C$1,'Unique Asset List'!$AS$3:$AY$3,0))</f>
        <v>-1.7475682675103321</v>
      </c>
      <c r="AL28" s="9">
        <v>169</v>
      </c>
      <c r="AM28" s="14">
        <f>INDEX(Simulation!$B$6:$H$6,MATCH($A28,Simulation!$B$1:$H$1,0))*(1+AN28)^((DATE(X28,Y28,15)-DATE(2017,1,15))/365.5)</f>
        <v>3.5</v>
      </c>
      <c r="AN28" s="12">
        <v>0</v>
      </c>
      <c r="AO28" s="13">
        <v>0.1</v>
      </c>
      <c r="AP28" s="11">
        <v>0.82</v>
      </c>
      <c r="AQ28" s="12">
        <v>0</v>
      </c>
      <c r="AR28" s="11">
        <f t="shared" si="4"/>
        <v>0.82</v>
      </c>
      <c r="AS28" s="10">
        <v>1</v>
      </c>
      <c r="AT28" s="4">
        <f>IF($C$5="ON",BT28,MyRating(_E1,$B28,Efficacy!$F$1))</f>
        <v>4</v>
      </c>
      <c r="AU28" s="3">
        <f>IF($C$5="ON",BU28,MyRating(_E2,$B28,Efficacy!$F$1))</f>
        <v>4</v>
      </c>
      <c r="AV28" s="3">
        <f>IF($C$5="ON",BV28,MyRating(_E3,$B28,Efficacy!$F$1))</f>
        <v>4</v>
      </c>
      <c r="AW28" s="3">
        <f>IF($C$5="ON",BW28,MyRating(_E4,$B28,Efficacy!$F$1))</f>
        <v>4</v>
      </c>
      <c r="AX28" s="3">
        <f>IF($C$5="ON",BX28,MyRating(_E5,$B28,Efficacy!$F$1))</f>
        <v>3</v>
      </c>
      <c r="AY28" s="3">
        <f>IF($C$5="ON",BY28,MyRating(_E6,$B28,Efficacy!$F$1))</f>
        <v>3</v>
      </c>
      <c r="AZ28" s="3">
        <f>IF($C$5="ON",BZ28,MyRating(_E7,$B28,Efficacy!$F$1))</f>
        <v>3</v>
      </c>
      <c r="BA28" s="3">
        <f>IF($C$5="ON",CA28,MyRating(_E8,$B28,Efficacy!$F$1))</f>
        <v>4</v>
      </c>
      <c r="BB28" s="3">
        <f>IF($C$5="ON",CB28,MyRating(_S1,$B28,'S&amp;T'!$F$1))</f>
        <v>4</v>
      </c>
      <c r="BC28" s="3">
        <f>IF($C$5="ON",CC28,MyRating(_S2,$B28,'S&amp;T'!$F$1))</f>
        <v>3</v>
      </c>
      <c r="BD28" s="3">
        <f>IF($C$5="ON",CD28,MyRating(_S3,$B28,'S&amp;T'!$F$1))</f>
        <v>3</v>
      </c>
      <c r="BE28" s="3">
        <f>IF($C$5="ON",CE28,MyRating(_S4,$B28,'S&amp;T'!$F$1))</f>
        <v>4</v>
      </c>
      <c r="BF28" s="3">
        <f>IF($C$5="ON",CF28,MyRating(_S5,$B28,'S&amp;T'!$F$1))</f>
        <v>5</v>
      </c>
      <c r="BG28" s="3">
        <f>IF($C$5="ON",CG28,MyRating(_S6,$B28,'S&amp;T'!$F$1))</f>
        <v>3</v>
      </c>
      <c r="BH28" s="3">
        <f>IF($C$5="ON",CH28,MyRating(_S7,$B28,'S&amp;T'!$F$1))</f>
        <v>4</v>
      </c>
      <c r="BI28" s="3">
        <f>IF($C$5="ON",CI28,MyRating(_D1,$B28,Delivery!$F$1))</f>
        <v>3</v>
      </c>
      <c r="BJ28" s="3">
        <f>IF($C$5="ON",CJ28,MyRating(_D2,$B28,Delivery!$F$1))</f>
        <v>3</v>
      </c>
      <c r="BK28" s="3">
        <f>IF($C$5="ON",CK28,MyRating(_D3,$B28,Delivery!$F$1))</f>
        <v>3</v>
      </c>
      <c r="BL28" s="3">
        <f>IF($C$5="ON",CL28,MyRating(_D4,$B28,Delivery!$F$1))</f>
        <v>3</v>
      </c>
      <c r="BM28" s="3">
        <f>IF($C$5="ON",CM28,MyRating(_B1G5,$B28,Barrier!$L$2))</f>
        <v>2</v>
      </c>
      <c r="BN28" s="3">
        <f>IF($C$5="ON",CN28,MyRating(_B2,$B28,Barrier!$F$2))</f>
        <v>3</v>
      </c>
      <c r="BO28" s="6">
        <f>IF($C$5="ON",CO28,MyRating(_B3,$B28,Barrier!$F$2))</f>
        <v>3</v>
      </c>
      <c r="BP28" s="5">
        <f t="shared" si="5"/>
        <v>3.6275844714639842E-2</v>
      </c>
      <c r="BQ28" s="8">
        <f t="shared" si="6"/>
        <v>2.9499999999999997</v>
      </c>
      <c r="BR28" s="5">
        <f t="shared" si="7"/>
        <v>3.60415394013439E-2</v>
      </c>
      <c r="BS28" s="7">
        <f t="shared" si="8"/>
        <v>1.8542316878791175E-2</v>
      </c>
      <c r="BT28" s="4">
        <v>4</v>
      </c>
      <c r="BU28" s="3">
        <v>4</v>
      </c>
      <c r="BV28" s="3">
        <v>4</v>
      </c>
      <c r="BW28" s="3">
        <v>4</v>
      </c>
      <c r="BX28" s="3">
        <v>3</v>
      </c>
      <c r="BY28" s="3">
        <v>3</v>
      </c>
      <c r="BZ28" s="3">
        <v>3</v>
      </c>
      <c r="CA28" s="3">
        <v>4</v>
      </c>
      <c r="CB28" s="3">
        <v>4</v>
      </c>
      <c r="CC28" s="3">
        <v>3</v>
      </c>
      <c r="CD28" s="3">
        <v>3</v>
      </c>
      <c r="CE28" s="3">
        <v>4</v>
      </c>
      <c r="CF28" s="3">
        <v>5</v>
      </c>
      <c r="CG28" s="3">
        <v>3</v>
      </c>
      <c r="CH28" s="3">
        <v>4</v>
      </c>
      <c r="CI28" s="3">
        <v>3</v>
      </c>
      <c r="CJ28" s="3">
        <v>3</v>
      </c>
      <c r="CK28" s="3">
        <v>3</v>
      </c>
      <c r="CL28" s="3">
        <v>3</v>
      </c>
      <c r="CM28" s="3">
        <v>2</v>
      </c>
      <c r="CN28" s="3">
        <v>3</v>
      </c>
      <c r="CO28" s="6">
        <v>3</v>
      </c>
      <c r="CP28" s="5">
        <v>3.6275844714639842E-2</v>
      </c>
    </row>
    <row r="29" spans="1:94" x14ac:dyDescent="0.35">
      <c r="A29" s="9" t="s">
        <v>184</v>
      </c>
      <c r="B29" s="9" t="s">
        <v>70</v>
      </c>
      <c r="C29" s="20"/>
      <c r="D29" s="9" t="s">
        <v>64</v>
      </c>
      <c r="E29" s="9" t="s">
        <v>193</v>
      </c>
      <c r="F29" s="9" t="s">
        <v>58</v>
      </c>
      <c r="G29" s="19">
        <v>0</v>
      </c>
      <c r="H29" s="9">
        <v>2014</v>
      </c>
      <c r="I29" s="9">
        <v>6</v>
      </c>
      <c r="J29" s="18">
        <f>INDEX(PTRS!$D$6:$D$12,MATCH('2'!$F29,PTRS!$B$6:$B$12,0))</f>
        <v>0.13923000000000002</v>
      </c>
      <c r="K29" s="17">
        <v>0</v>
      </c>
      <c r="L29" s="17">
        <v>0.13923000000000002</v>
      </c>
      <c r="M29" s="17">
        <v>0.13923000000000002</v>
      </c>
      <c r="N29" s="17">
        <v>0.13923000000000002</v>
      </c>
      <c r="O29" s="17">
        <v>0.13923000000000002</v>
      </c>
      <c r="P29" s="17">
        <v>0.13923000000000002</v>
      </c>
      <c r="Q29" s="17">
        <v>0.14000000000000001</v>
      </c>
      <c r="R29" s="17">
        <v>0.14000000000000001</v>
      </c>
      <c r="S29" s="17">
        <v>1</v>
      </c>
      <c r="T29" s="17"/>
      <c r="U29" s="17">
        <f t="shared" si="0"/>
        <v>0.72649652910676854</v>
      </c>
      <c r="V29" s="17">
        <v>1</v>
      </c>
      <c r="W29" s="9" t="s">
        <v>62</v>
      </c>
      <c r="X29" s="9">
        <f>INDEX('Unique Asset List'!$C$4:$I$60,MATCH('2'!$B29,'Unique Asset List'!$A$4:$A$60,0),MATCH('2'!$C$1,'Unique Asset List'!$C$3:$I$3,0))</f>
        <v>2026</v>
      </c>
      <c r="Y29" s="9">
        <f>INDEX('Unique Asset List'!$J$4:$P$60,MATCH('2'!$B29,'Unique Asset List'!$A$4:$A$60,0),MATCH('2'!$C$1,'Unique Asset List'!$J$3:$P$3,0))</f>
        <v>3</v>
      </c>
      <c r="Z29" s="9">
        <f>INDEX('Unique Asset List'!$X$4:$AD$60,MATCH('2'!$B29,'Unique Asset List'!$A$4:$A$60,0),MATCH('2'!$C$1,'Unique Asset List'!$X$3:$AD$3,0))</f>
        <v>2037</v>
      </c>
      <c r="AA29" s="9">
        <f>INDEX('Unique Asset List'!$AE$4:$AK$60,MATCH('2'!$B29,'Unique Asset List'!$A$4:$A$60,0),MATCH('2'!$C$1,'Unique Asset List'!$AE$3:$AK$3,0))</f>
        <v>3</v>
      </c>
      <c r="AB29" s="16">
        <f t="shared" si="1"/>
        <v>1.6860000000000002</v>
      </c>
      <c r="AC29" s="16">
        <f t="shared" si="2"/>
        <v>0.98141</v>
      </c>
      <c r="AD29" s="16">
        <f t="shared" si="3"/>
        <v>0.50129594525999999</v>
      </c>
      <c r="AE29" s="15">
        <f>INDEX('Unique Asset List'!$BN$4:$BT$60,MATCH('2'!$B29,'Unique Asset List'!$A$4:$A$60,0),MATCH('2'!$C$1,'Unique Asset List'!$BN$3:$BT$3,0))</f>
        <v>0.27</v>
      </c>
      <c r="AF29" s="15">
        <f>INDEX('Unique Asset List'!$BU$4:$CA$60,MATCH('2'!$B29,'Unique Asset List'!$A$4:$A$60,0),MATCH('2'!$C$1,'Unique Asset List'!$BU$3:$CA$3,0))</f>
        <v>0.23</v>
      </c>
      <c r="AG29" s="15">
        <f>INDEX('Unique Asset List'!$AZ$4:$BF$60,MATCH('2'!$B29,'Unique Asset List'!$A$4:$A$60,0),MATCH('2'!$C$1,'Unique Asset List'!$AZ$3:$BF$3,0))</f>
        <v>0.27</v>
      </c>
      <c r="AH29" s="15">
        <f>INDEX('Unique Asset List'!$BG$4:$BM$60,MATCH('2'!$B29,'Unique Asset List'!$A$4:$A$60,0),MATCH('2'!$C$1,'Unique Asset List'!$BG$3:$BM$3,0))</f>
        <v>0.23</v>
      </c>
      <c r="AI29" s="11">
        <v>0.96187963349867744</v>
      </c>
      <c r="AJ29" s="15">
        <f>INDEX('Unique Asset List'!$AL$4:$AR$60,MATCH('2'!$B29,'Unique Asset List'!$A$4:$A$60,0),MATCH('2'!$C$1,'Unique Asset List'!$AL$3:$AR$3,0))</f>
        <v>2.2612105538192599</v>
      </c>
      <c r="AK29" s="15">
        <f>INDEX('Unique Asset List'!$AS$4:$AY$60,MATCH('2'!$B29,'Unique Asset List'!$A$4:$A$60,0),MATCH('2'!$C$1,'Unique Asset List'!$AS$3:$AY$3,0))</f>
        <v>-1.7475682675103321</v>
      </c>
      <c r="AL29" s="9">
        <v>169</v>
      </c>
      <c r="AM29" s="14">
        <f>INDEX(Simulation!$B$6:$H$6,MATCH($A29,Simulation!$B$1:$H$1,0))*(1+AN29)^((DATE(X29,Y29,15)-DATE(2017,1,15))/365.5)</f>
        <v>3.5</v>
      </c>
      <c r="AN29" s="12">
        <v>0</v>
      </c>
      <c r="AO29" s="13">
        <v>0.1</v>
      </c>
      <c r="AP29" s="11">
        <v>0.82</v>
      </c>
      <c r="AQ29" s="12">
        <v>0</v>
      </c>
      <c r="AR29" s="11">
        <f t="shared" si="4"/>
        <v>0.82</v>
      </c>
      <c r="AS29" s="10">
        <v>1</v>
      </c>
      <c r="AT29" s="4">
        <f>IF($C$5="ON",BT29,MyRating(_E1,$B29,Efficacy!$F$1))</f>
        <v>3</v>
      </c>
      <c r="AU29" s="3">
        <f>IF($C$5="ON",BU29,MyRating(_E2,$B29,Efficacy!$F$1))</f>
        <v>3</v>
      </c>
      <c r="AV29" s="3">
        <f>IF($C$5="ON",BV29,MyRating(_E3,$B29,Efficacy!$F$1))</f>
        <v>3</v>
      </c>
      <c r="AW29" s="3">
        <f>IF($C$5="ON",BW29,MyRating(_E4,$B29,Efficacy!$F$1))</f>
        <v>3</v>
      </c>
      <c r="AX29" s="3">
        <f>IF($C$5="ON",BX29,MyRating(_E5,$B29,Efficacy!$F$1))</f>
        <v>3</v>
      </c>
      <c r="AY29" s="3">
        <f>IF($C$5="ON",BY29,MyRating(_E6,$B29,Efficacy!$F$1))</f>
        <v>3</v>
      </c>
      <c r="AZ29" s="3">
        <f>IF($C$5="ON",BZ29,MyRating(_E7,$B29,Efficacy!$F$1))</f>
        <v>3</v>
      </c>
      <c r="BA29" s="3">
        <f>IF($C$5="ON",CA29,MyRating(_E8,$B29,Efficacy!$F$1))</f>
        <v>3</v>
      </c>
      <c r="BB29" s="3">
        <f>IF($C$5="ON",CB29,MyRating(_S1,$B29,'S&amp;T'!$F$1))</f>
        <v>5</v>
      </c>
      <c r="BC29" s="3">
        <f>IF($C$5="ON",CC29,MyRating(_S2,$B29,'S&amp;T'!$F$1))</f>
        <v>3</v>
      </c>
      <c r="BD29" s="3">
        <f>IF($C$5="ON",CD29,MyRating(_S3,$B29,'S&amp;T'!$F$1))</f>
        <v>3</v>
      </c>
      <c r="BE29" s="3">
        <f>IF($C$5="ON",CE29,MyRating(_S4,$B29,'S&amp;T'!$F$1))</f>
        <v>4</v>
      </c>
      <c r="BF29" s="3">
        <f>IF($C$5="ON",CF29,MyRating(_S5,$B29,'S&amp;T'!$F$1))</f>
        <v>5</v>
      </c>
      <c r="BG29" s="3">
        <f>IF($C$5="ON",CG29,MyRating(_S6,$B29,'S&amp;T'!$F$1))</f>
        <v>2</v>
      </c>
      <c r="BH29" s="3">
        <f>IF($C$5="ON",CH29,MyRating(_S7,$B29,'S&amp;T'!$F$1))</f>
        <v>3</v>
      </c>
      <c r="BI29" s="3">
        <f>IF($C$5="ON",CI29,MyRating(_D1,$B29,Delivery!$F$1))</f>
        <v>2</v>
      </c>
      <c r="BJ29" s="3">
        <f>IF($C$5="ON",CJ29,MyRating(_D2,$B29,Delivery!$F$1))</f>
        <v>3</v>
      </c>
      <c r="BK29" s="3">
        <f>IF($C$5="ON",CK29,MyRating(_D3,$B29,Delivery!$F$1))</f>
        <v>3</v>
      </c>
      <c r="BL29" s="3">
        <f>IF($C$5="ON",CL29,MyRating(_D4,$B29,Delivery!$F$1))</f>
        <v>3</v>
      </c>
      <c r="BM29" s="3">
        <f>IF($C$5="ON",CM29,MyRating(_B1G5,$B29,Barrier!$L$2))</f>
        <v>2</v>
      </c>
      <c r="BN29" s="3">
        <f>IF($C$5="ON",CN29,MyRating(_B2,$B29,Barrier!$F$2))</f>
        <v>3</v>
      </c>
      <c r="BO29" s="6">
        <f>IF($C$5="ON",CO29,MyRating(_B3,$B29,Barrier!$F$2))</f>
        <v>3</v>
      </c>
      <c r="BP29" s="5">
        <f t="shared" si="5"/>
        <v>3.6275844714639842E-2</v>
      </c>
      <c r="BQ29" s="8">
        <f t="shared" si="6"/>
        <v>2.9499999999999997</v>
      </c>
      <c r="BR29" s="5">
        <f t="shared" si="7"/>
        <v>3.60415394013439E-2</v>
      </c>
      <c r="BS29" s="7">
        <f t="shared" si="8"/>
        <v>1.8542316878791175E-2</v>
      </c>
      <c r="BT29" s="4">
        <v>3</v>
      </c>
      <c r="BU29" s="3">
        <v>3</v>
      </c>
      <c r="BV29" s="3">
        <v>3</v>
      </c>
      <c r="BW29" s="3">
        <v>3</v>
      </c>
      <c r="BX29" s="3">
        <v>3</v>
      </c>
      <c r="BY29" s="3">
        <v>3</v>
      </c>
      <c r="BZ29" s="3">
        <v>3</v>
      </c>
      <c r="CA29" s="3">
        <v>3</v>
      </c>
      <c r="CB29" s="3">
        <v>5</v>
      </c>
      <c r="CC29" s="3">
        <v>3</v>
      </c>
      <c r="CD29" s="3">
        <v>3</v>
      </c>
      <c r="CE29" s="3">
        <v>4</v>
      </c>
      <c r="CF29" s="3">
        <v>5</v>
      </c>
      <c r="CG29" s="3">
        <v>2</v>
      </c>
      <c r="CH29" s="3">
        <v>3</v>
      </c>
      <c r="CI29" s="3">
        <v>2</v>
      </c>
      <c r="CJ29" s="3">
        <v>3</v>
      </c>
      <c r="CK29" s="3">
        <v>3</v>
      </c>
      <c r="CL29" s="3">
        <v>3</v>
      </c>
      <c r="CM29" s="3">
        <v>2</v>
      </c>
      <c r="CN29" s="3">
        <v>3</v>
      </c>
      <c r="CO29" s="6">
        <v>3</v>
      </c>
      <c r="CP29" s="5">
        <v>3.6275844714639842E-2</v>
      </c>
    </row>
    <row r="30" spans="1:94" x14ac:dyDescent="0.35">
      <c r="A30" s="9" t="s">
        <v>184</v>
      </c>
      <c r="B30" s="9" t="s">
        <v>24</v>
      </c>
      <c r="C30" s="20"/>
      <c r="D30" s="9" t="s">
        <v>2</v>
      </c>
      <c r="E30" s="9" t="s">
        <v>193</v>
      </c>
      <c r="F30" s="9" t="s">
        <v>58</v>
      </c>
      <c r="G30" s="19">
        <v>0</v>
      </c>
      <c r="H30" s="9">
        <v>2014</v>
      </c>
      <c r="I30" s="9">
        <v>6</v>
      </c>
      <c r="J30" s="18">
        <f>INDEX(PTRS!$D$6:$D$12,MATCH('2'!$F30,PTRS!$B$6:$B$12,0))</f>
        <v>0.13923000000000002</v>
      </c>
      <c r="K30" s="17">
        <v>0</v>
      </c>
      <c r="L30" s="17">
        <v>0.1044225</v>
      </c>
      <c r="M30" s="17">
        <v>0.13923000000000002</v>
      </c>
      <c r="N30" s="17">
        <v>0.1</v>
      </c>
      <c r="O30" s="17">
        <v>0.1</v>
      </c>
      <c r="P30" s="17">
        <v>0.1044225</v>
      </c>
      <c r="Q30" s="17">
        <v>1</v>
      </c>
      <c r="R30" s="17">
        <v>1</v>
      </c>
      <c r="S30" s="17">
        <v>1</v>
      </c>
      <c r="T30" s="17"/>
      <c r="U30" s="17">
        <f t="shared" si="0"/>
        <v>0.72649652910676854</v>
      </c>
      <c r="V30" s="17">
        <v>1</v>
      </c>
      <c r="W30" s="9" t="s">
        <v>24</v>
      </c>
      <c r="X30" s="9">
        <f>INDEX('Unique Asset List'!$C$4:$I$60,MATCH('2'!$B30,'Unique Asset List'!$A$4:$A$60,0),MATCH('2'!$C$1,'Unique Asset List'!$C$3:$I$3,0))</f>
        <v>2026</v>
      </c>
      <c r="Y30" s="9">
        <f>INDEX('Unique Asset List'!$J$4:$P$60,MATCH('2'!$B30,'Unique Asset List'!$A$4:$A$60,0),MATCH('2'!$C$1,'Unique Asset List'!$J$3:$P$3,0))</f>
        <v>6</v>
      </c>
      <c r="Z30" s="9">
        <f>INDEX('Unique Asset List'!$X$4:$AD$60,MATCH('2'!$B30,'Unique Asset List'!$A$4:$A$60,0),MATCH('2'!$C$1,'Unique Asset List'!$X$3:$AD$3,0))</f>
        <v>2037</v>
      </c>
      <c r="AA30" s="9">
        <f>INDEX('Unique Asset List'!$AE$4:$AK$60,MATCH('2'!$B30,'Unique Asset List'!$A$4:$A$60,0),MATCH('2'!$C$1,'Unique Asset List'!$AE$3:$AK$3,0))</f>
        <v>2</v>
      </c>
      <c r="AB30" s="16">
        <f t="shared" si="1"/>
        <v>2.3276916000000001</v>
      </c>
      <c r="AC30" s="16">
        <f t="shared" si="2"/>
        <v>1.0028454</v>
      </c>
      <c r="AD30" s="16">
        <f t="shared" si="3"/>
        <v>0.56099999999999994</v>
      </c>
      <c r="AE30" s="15">
        <f>INDEX('Unique Asset List'!$BN$4:$BT$60,MATCH('2'!$B30,'Unique Asset List'!$A$4:$A$60,0),MATCH('2'!$C$1,'Unique Asset List'!$BN$3:$BT$3,0))</f>
        <v>0.2</v>
      </c>
      <c r="AF30" s="15">
        <f>INDEX('Unique Asset List'!$BU$4:$CA$60,MATCH('2'!$B30,'Unique Asset List'!$A$4:$A$60,0),MATCH('2'!$C$1,'Unique Asset List'!$BU$3:$CA$3,0))</f>
        <v>0.3</v>
      </c>
      <c r="AG30" s="15">
        <f>INDEX('Unique Asset List'!$AZ$4:$BF$60,MATCH('2'!$B30,'Unique Asset List'!$A$4:$A$60,0),MATCH('2'!$C$1,'Unique Asset List'!$AZ$3:$BF$3,0))</f>
        <v>0.2</v>
      </c>
      <c r="AH30" s="15">
        <f>INDEX('Unique Asset List'!$BG$4:$BM$60,MATCH('2'!$B30,'Unique Asset List'!$A$4:$A$60,0),MATCH('2'!$C$1,'Unique Asset List'!$BG$3:$BM$3,0))</f>
        <v>0.3</v>
      </c>
      <c r="AI30" s="11">
        <v>0.96187963349867744</v>
      </c>
      <c r="AJ30" s="15">
        <f>INDEX('Unique Asset List'!$AL$4:$AR$60,MATCH('2'!$B30,'Unique Asset List'!$A$4:$A$60,0),MATCH('2'!$C$1,'Unique Asset List'!$AL$3:$AR$3,0))</f>
        <v>2.2612105538192599</v>
      </c>
      <c r="AK30" s="15">
        <f>INDEX('Unique Asset List'!$AS$4:$AY$60,MATCH('2'!$B30,'Unique Asset List'!$A$4:$A$60,0),MATCH('2'!$C$1,'Unique Asset List'!$AS$3:$AY$3,0))</f>
        <v>-1.7475682675103321</v>
      </c>
      <c r="AL30" s="9">
        <v>169</v>
      </c>
      <c r="AM30" s="14">
        <f>INDEX(Simulation!$B$6:$H$6,MATCH($A30,Simulation!$B$1:$H$1,0))*(1+AN30)^((DATE(X30,Y30,15)-DATE(2017,1,15))/365.5)</f>
        <v>3.5</v>
      </c>
      <c r="AN30" s="12">
        <v>0</v>
      </c>
      <c r="AO30" s="13">
        <v>0.1</v>
      </c>
      <c r="AP30" s="11">
        <v>0.82</v>
      </c>
      <c r="AQ30" s="12">
        <v>0</v>
      </c>
      <c r="AR30" s="11">
        <f t="shared" si="4"/>
        <v>0.82</v>
      </c>
      <c r="AS30" s="10">
        <v>1</v>
      </c>
      <c r="AT30" s="4">
        <f>IF($C$5="ON",BT30,MyRating(_E1,$B30,Efficacy!$F$1))</f>
        <v>4</v>
      </c>
      <c r="AU30" s="3">
        <f>IF($C$5="ON",BU30,MyRating(_E2,$B30,Efficacy!$F$1))</f>
        <v>5</v>
      </c>
      <c r="AV30" s="3">
        <f>IF($C$5="ON",BV30,MyRating(_E3,$B30,Efficacy!$F$1))</f>
        <v>5</v>
      </c>
      <c r="AW30" s="3">
        <f>IF($C$5="ON",BW30,MyRating(_E4,$B30,Efficacy!$F$1))</f>
        <v>4</v>
      </c>
      <c r="AX30" s="3">
        <f>IF($C$5="ON",BX30,MyRating(_E5,$B30,Efficacy!$F$1))</f>
        <v>4</v>
      </c>
      <c r="AY30" s="3">
        <f>IF($C$5="ON",BY30,MyRating(_E6,$B30,Efficacy!$F$1))</f>
        <v>3</v>
      </c>
      <c r="AZ30" s="3">
        <f>IF($C$5="ON",BZ30,MyRating(_E7,$B30,Efficacy!$F$1))</f>
        <v>3</v>
      </c>
      <c r="BA30" s="3">
        <f>IF($C$5="ON",CA30,MyRating(_E8,$B30,Efficacy!$F$1))</f>
        <v>4</v>
      </c>
      <c r="BB30" s="3">
        <f>IF($C$5="ON",CB30,MyRating(_S1,$B30,'S&amp;T'!$F$1))</f>
        <v>5</v>
      </c>
      <c r="BC30" s="3">
        <f>IF($C$5="ON",CC30,MyRating(_S2,$B30,'S&amp;T'!$F$1))</f>
        <v>3</v>
      </c>
      <c r="BD30" s="3">
        <f>IF($C$5="ON",CD30,MyRating(_S3,$B30,'S&amp;T'!$F$1))</f>
        <v>3</v>
      </c>
      <c r="BE30" s="3">
        <f>IF($C$5="ON",CE30,MyRating(_S4,$B30,'S&amp;T'!$F$1))</f>
        <v>4</v>
      </c>
      <c r="BF30" s="3">
        <f>IF($C$5="ON",CF30,MyRating(_S5,$B30,'S&amp;T'!$F$1))</f>
        <v>5</v>
      </c>
      <c r="BG30" s="3">
        <f>IF($C$5="ON",CG30,MyRating(_S6,$B30,'S&amp;T'!$F$1))</f>
        <v>3</v>
      </c>
      <c r="BH30" s="3">
        <f>IF($C$5="ON",CH30,MyRating(_S7,$B30,'S&amp;T'!$F$1))</f>
        <v>3</v>
      </c>
      <c r="BI30" s="3">
        <f>IF($C$5="ON",CI30,MyRating(_D1,$B30,Delivery!$F$1))</f>
        <v>3</v>
      </c>
      <c r="BJ30" s="3">
        <f>IF($C$5="ON",CJ30,MyRating(_D2,$B30,Delivery!$F$1))</f>
        <v>3</v>
      </c>
      <c r="BK30" s="3">
        <f>IF($C$5="ON",CK30,MyRating(_D3,$B30,Delivery!$F$1))</f>
        <v>3</v>
      </c>
      <c r="BL30" s="3">
        <f>IF($C$5="ON",CL30,MyRating(_D4,$B30,Delivery!$F$1))</f>
        <v>3</v>
      </c>
      <c r="BM30" s="3">
        <f>IF($C$5="ON",CM30,MyRating(_B1G5,$B30,Barrier!$L$2))</f>
        <v>2</v>
      </c>
      <c r="BN30" s="3">
        <f>IF($C$5="ON",CN30,MyRating(_B2,$B30,Barrier!$F$2))</f>
        <v>3</v>
      </c>
      <c r="BO30" s="6">
        <f>IF($C$5="ON",CO30,MyRating(_B3,$B30,Barrier!$F$2))</f>
        <v>3</v>
      </c>
      <c r="BP30" s="5">
        <f t="shared" si="5"/>
        <v>3.6275844714639842E-2</v>
      </c>
      <c r="BQ30" s="8">
        <f t="shared" si="6"/>
        <v>2.9499999999999997</v>
      </c>
      <c r="BR30" s="5">
        <f t="shared" si="7"/>
        <v>3.60415394013439E-2</v>
      </c>
      <c r="BS30" s="7">
        <f t="shared" si="8"/>
        <v>1.8542316878791175E-2</v>
      </c>
      <c r="BT30" s="4">
        <v>4</v>
      </c>
      <c r="BU30" s="3">
        <v>5</v>
      </c>
      <c r="BV30" s="3">
        <v>5</v>
      </c>
      <c r="BW30" s="3">
        <v>4</v>
      </c>
      <c r="BX30" s="3">
        <v>4</v>
      </c>
      <c r="BY30" s="3">
        <v>3</v>
      </c>
      <c r="BZ30" s="3">
        <v>3</v>
      </c>
      <c r="CA30" s="3">
        <v>4</v>
      </c>
      <c r="CB30" s="3">
        <v>5</v>
      </c>
      <c r="CC30" s="3">
        <v>3</v>
      </c>
      <c r="CD30" s="3">
        <v>3</v>
      </c>
      <c r="CE30" s="3">
        <v>4</v>
      </c>
      <c r="CF30" s="3">
        <v>5</v>
      </c>
      <c r="CG30" s="3">
        <v>3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2</v>
      </c>
      <c r="CN30" s="3">
        <v>3</v>
      </c>
      <c r="CO30" s="6">
        <v>3</v>
      </c>
      <c r="CP30" s="5">
        <v>3.6275844714639842E-2</v>
      </c>
    </row>
    <row r="31" spans="1:94" x14ac:dyDescent="0.35">
      <c r="A31" s="9" t="s">
        <v>184</v>
      </c>
      <c r="B31" s="9" t="s">
        <v>66</v>
      </c>
      <c r="C31" s="20" t="s">
        <v>3</v>
      </c>
      <c r="D31" s="9" t="s">
        <v>2</v>
      </c>
      <c r="E31" s="9" t="s">
        <v>193</v>
      </c>
      <c r="F31" s="9" t="s">
        <v>1</v>
      </c>
      <c r="G31" s="19">
        <v>0</v>
      </c>
      <c r="H31" s="9">
        <v>2014</v>
      </c>
      <c r="I31" s="9">
        <v>6</v>
      </c>
      <c r="J31" s="18">
        <f>INDEX(PTRS!$D$6:$D$12,MATCH('2'!$F31,PTRS!$B$6:$B$12,0))</f>
        <v>0.1044225</v>
      </c>
      <c r="K31" s="17">
        <v>0</v>
      </c>
      <c r="L31" s="17">
        <v>0.1044225</v>
      </c>
      <c r="M31" s="17">
        <v>0.1044225</v>
      </c>
      <c r="N31" s="17">
        <v>0.1044225</v>
      </c>
      <c r="O31" s="17">
        <v>0.1044225</v>
      </c>
      <c r="P31" s="17">
        <v>0.1044225</v>
      </c>
      <c r="Q31" s="17">
        <v>1</v>
      </c>
      <c r="R31" s="17">
        <v>1</v>
      </c>
      <c r="S31" s="17">
        <v>1</v>
      </c>
      <c r="T31" s="17"/>
      <c r="U31" s="17">
        <f t="shared" si="0"/>
        <v>0.72649652910676854</v>
      </c>
      <c r="V31" s="17">
        <v>1</v>
      </c>
      <c r="W31" s="9" t="s">
        <v>62</v>
      </c>
      <c r="X31" s="9">
        <f>INDEX('Unique Asset List'!$C$4:$I$60,MATCH('2'!$B31,'Unique Asset List'!$A$4:$A$60,0),MATCH('2'!$C$1,'Unique Asset List'!$C$3:$I$3,0))</f>
        <v>2029</v>
      </c>
      <c r="Y31" s="9">
        <f>INDEX('Unique Asset List'!$J$4:$P$60,MATCH('2'!$B31,'Unique Asset List'!$A$4:$A$60,0),MATCH('2'!$C$1,'Unique Asset List'!$J$3:$P$3,0))</f>
        <v>3</v>
      </c>
      <c r="Z31" s="9">
        <f>INDEX('Unique Asset List'!$X$4:$AD$60,MATCH('2'!$B31,'Unique Asset List'!$A$4:$A$60,0),MATCH('2'!$C$1,'Unique Asset List'!$X$3:$AD$3,0))</f>
        <v>2038</v>
      </c>
      <c r="AA31" s="9">
        <f>INDEX('Unique Asset List'!$AE$4:$AK$60,MATCH('2'!$B31,'Unique Asset List'!$A$4:$A$60,0),MATCH('2'!$C$1,'Unique Asset List'!$AE$3:$AK$3,0))</f>
        <v>3</v>
      </c>
      <c r="AB31" s="16">
        <f t="shared" si="1"/>
        <v>2.3276916000000001</v>
      </c>
      <c r="AC31" s="16">
        <f t="shared" si="2"/>
        <v>1.0028454</v>
      </c>
      <c r="AD31" s="16">
        <f t="shared" si="3"/>
        <v>0.56099999999999994</v>
      </c>
      <c r="AE31" s="15">
        <f>INDEX('Unique Asset List'!$BN$4:$BT$60,MATCH('2'!$B31,'Unique Asset List'!$A$4:$A$60,0),MATCH('2'!$C$1,'Unique Asset List'!$BN$3:$BT$3,0))</f>
        <v>0.27</v>
      </c>
      <c r="AF31" s="15">
        <f>INDEX('Unique Asset List'!$BU$4:$CA$60,MATCH('2'!$B31,'Unique Asset List'!$A$4:$A$60,0),MATCH('2'!$C$1,'Unique Asset List'!$BU$3:$CA$3,0))</f>
        <v>0.23</v>
      </c>
      <c r="AG31" s="15">
        <f>INDEX('Unique Asset List'!$AZ$4:$BF$60,MATCH('2'!$B31,'Unique Asset List'!$A$4:$A$60,0),MATCH('2'!$C$1,'Unique Asset List'!$AZ$3:$BF$3,0))</f>
        <v>0.27</v>
      </c>
      <c r="AH31" s="15">
        <f>INDEX('Unique Asset List'!$BG$4:$BM$60,MATCH('2'!$B31,'Unique Asset List'!$A$4:$A$60,0),MATCH('2'!$C$1,'Unique Asset List'!$BG$3:$BM$3,0))</f>
        <v>0.23</v>
      </c>
      <c r="AI31" s="11">
        <v>0.96187963349867744</v>
      </c>
      <c r="AJ31" s="15">
        <f>INDEX('Unique Asset List'!$AL$4:$AR$60,MATCH('2'!$B31,'Unique Asset List'!$A$4:$A$60,0),MATCH('2'!$C$1,'Unique Asset List'!$AL$3:$AR$3,0))</f>
        <v>2.2612105538192599</v>
      </c>
      <c r="AK31" s="15">
        <f>INDEX('Unique Asset List'!$AS$4:$AY$60,MATCH('2'!$B31,'Unique Asset List'!$A$4:$A$60,0),MATCH('2'!$C$1,'Unique Asset List'!$AS$3:$AY$3,0))</f>
        <v>-1.7475682675103321</v>
      </c>
      <c r="AL31" s="9">
        <v>169</v>
      </c>
      <c r="AM31" s="14">
        <f>INDEX(Simulation!$B$6:$H$6,MATCH($A31,Simulation!$B$1:$H$1,0))*(1+AN31)^((DATE(X31,Y31,15)-DATE(2017,1,15))/365.5)</f>
        <v>3.5</v>
      </c>
      <c r="AN31" s="12">
        <v>0</v>
      </c>
      <c r="AO31" s="13">
        <v>0.1</v>
      </c>
      <c r="AP31" s="11">
        <v>0.82</v>
      </c>
      <c r="AQ31" s="12">
        <v>0</v>
      </c>
      <c r="AR31" s="11">
        <f t="shared" si="4"/>
        <v>0.82</v>
      </c>
      <c r="AS31" s="10">
        <v>1</v>
      </c>
      <c r="AT31" s="4">
        <f>IF($C$5="ON",BT31,MyRating(_E1,$B31,Efficacy!$F$1))</f>
        <v>4</v>
      </c>
      <c r="AU31" s="3">
        <f>IF($C$5="ON",BU31,MyRating(_E2,$B31,Efficacy!$F$1))</f>
        <v>5</v>
      </c>
      <c r="AV31" s="3">
        <f>IF($C$5="ON",BV31,MyRating(_E3,$B31,Efficacy!$F$1))</f>
        <v>5</v>
      </c>
      <c r="AW31" s="3">
        <f>IF($C$5="ON",BW31,MyRating(_E4,$B31,Efficacy!$F$1))</f>
        <v>4</v>
      </c>
      <c r="AX31" s="3">
        <f>IF($C$5="ON",BX31,MyRating(_E5,$B31,Efficacy!$F$1))</f>
        <v>4</v>
      </c>
      <c r="AY31" s="3">
        <f>IF($C$5="ON",BY31,MyRating(_E6,$B31,Efficacy!$F$1))</f>
        <v>3</v>
      </c>
      <c r="AZ31" s="3">
        <f>IF($C$5="ON",BZ31,MyRating(_E7,$B31,Efficacy!$F$1))</f>
        <v>3</v>
      </c>
      <c r="BA31" s="3">
        <f>IF($C$5="ON",CA31,MyRating(_E8,$B31,Efficacy!$F$1))</f>
        <v>4</v>
      </c>
      <c r="BB31" s="3">
        <f>IF($C$5="ON",CB31,MyRating(_S1,$B31,'S&amp;T'!$F$1))</f>
        <v>5</v>
      </c>
      <c r="BC31" s="3">
        <f>IF($C$5="ON",CC31,MyRating(_S2,$B31,'S&amp;T'!$F$1))</f>
        <v>3</v>
      </c>
      <c r="BD31" s="3">
        <f>IF($C$5="ON",CD31,MyRating(_S3,$B31,'S&amp;T'!$F$1))</f>
        <v>3</v>
      </c>
      <c r="BE31" s="3">
        <f>IF($C$5="ON",CE31,MyRating(_S4,$B31,'S&amp;T'!$F$1))</f>
        <v>4</v>
      </c>
      <c r="BF31" s="3">
        <f>IF($C$5="ON",CF31,MyRating(_S5,$B31,'S&amp;T'!$F$1))</f>
        <v>5</v>
      </c>
      <c r="BG31" s="3">
        <f>IF($C$5="ON",CG31,MyRating(_S6,$B31,'S&amp;T'!$F$1))</f>
        <v>3</v>
      </c>
      <c r="BH31" s="3">
        <f>IF($C$5="ON",CH31,MyRating(_S7,$B31,'S&amp;T'!$F$1))</f>
        <v>3</v>
      </c>
      <c r="BI31" s="3">
        <f>IF($C$5="ON",CI31,MyRating(_D1,$B31,Delivery!$F$1))</f>
        <v>3</v>
      </c>
      <c r="BJ31" s="3">
        <f>IF($C$5="ON",CJ31,MyRating(_D2,$B31,Delivery!$F$1))</f>
        <v>3</v>
      </c>
      <c r="BK31" s="3">
        <f>IF($C$5="ON",CK31,MyRating(_D3,$B31,Delivery!$F$1))</f>
        <v>3</v>
      </c>
      <c r="BL31" s="3">
        <f>IF($C$5="ON",CL31,MyRating(_D4,$B31,Delivery!$F$1))</f>
        <v>3</v>
      </c>
      <c r="BM31" s="3">
        <f>IF($C$5="ON",CM31,MyRating(_B1G5,$B31,Barrier!$L$2))</f>
        <v>2</v>
      </c>
      <c r="BN31" s="3">
        <f>IF($C$5="ON",CN31,MyRating(_B2,$B31,Barrier!$F$2))</f>
        <v>3</v>
      </c>
      <c r="BO31" s="6">
        <f>IF($C$5="ON",CO31,MyRating(_B3,$B31,Barrier!$F$2))</f>
        <v>3</v>
      </c>
      <c r="BP31" s="5">
        <f t="shared" si="5"/>
        <v>3.6275844714639842E-2</v>
      </c>
      <c r="BQ31" s="8">
        <f t="shared" si="6"/>
        <v>2.9499999999999997</v>
      </c>
      <c r="BR31" s="5">
        <f t="shared" si="7"/>
        <v>3.60415394013439E-2</v>
      </c>
      <c r="BS31" s="7">
        <f t="shared" si="8"/>
        <v>1.8542316878791175E-2</v>
      </c>
      <c r="BT31" s="4">
        <v>4</v>
      </c>
      <c r="BU31" s="3">
        <v>5</v>
      </c>
      <c r="BV31" s="3">
        <v>5</v>
      </c>
      <c r="BW31" s="3">
        <v>4</v>
      </c>
      <c r="BX31" s="3">
        <v>4</v>
      </c>
      <c r="BY31" s="3">
        <v>3</v>
      </c>
      <c r="BZ31" s="3">
        <v>3</v>
      </c>
      <c r="CA31" s="3">
        <v>4</v>
      </c>
      <c r="CB31" s="3">
        <v>5</v>
      </c>
      <c r="CC31" s="3">
        <v>3</v>
      </c>
      <c r="CD31" s="3">
        <v>3</v>
      </c>
      <c r="CE31" s="3">
        <v>4</v>
      </c>
      <c r="CF31" s="3">
        <v>5</v>
      </c>
      <c r="CG31" s="3">
        <v>3</v>
      </c>
      <c r="CH31" s="3">
        <v>3</v>
      </c>
      <c r="CI31" s="3">
        <v>3</v>
      </c>
      <c r="CJ31" s="3">
        <v>3</v>
      </c>
      <c r="CK31" s="3">
        <v>3</v>
      </c>
      <c r="CL31" s="3">
        <v>3</v>
      </c>
      <c r="CM31" s="3">
        <v>2</v>
      </c>
      <c r="CN31" s="3">
        <v>3</v>
      </c>
      <c r="CO31" s="6">
        <v>3</v>
      </c>
      <c r="CP31" s="5">
        <v>3.6275844714639842E-2</v>
      </c>
    </row>
    <row r="32" spans="1:94" x14ac:dyDescent="0.35">
      <c r="A32" s="9" t="s">
        <v>184</v>
      </c>
      <c r="B32" s="9" t="s">
        <v>57</v>
      </c>
      <c r="C32" s="20" t="s">
        <v>3</v>
      </c>
      <c r="D32" s="9" t="s">
        <v>2</v>
      </c>
      <c r="E32" s="9" t="s">
        <v>193</v>
      </c>
      <c r="F32" s="9" t="s">
        <v>1</v>
      </c>
      <c r="G32" s="19">
        <v>0</v>
      </c>
      <c r="H32" s="9">
        <v>2014</v>
      </c>
      <c r="I32" s="9">
        <v>6</v>
      </c>
      <c r="J32" s="18">
        <f>INDEX(PTRS!$D$6:$D$12,MATCH('2'!$F32,PTRS!$B$6:$B$12,0))</f>
        <v>0.1044225</v>
      </c>
      <c r="K32" s="17">
        <v>0</v>
      </c>
      <c r="L32" s="17">
        <v>0.1044225</v>
      </c>
      <c r="M32" s="17">
        <v>0.1044225</v>
      </c>
      <c r="N32" s="17">
        <v>0.1044225</v>
      </c>
      <c r="O32" s="17">
        <v>0.1044225</v>
      </c>
      <c r="P32" s="17">
        <v>0.1044225</v>
      </c>
      <c r="Q32" s="17">
        <v>1</v>
      </c>
      <c r="R32" s="17">
        <v>1</v>
      </c>
      <c r="S32" s="17">
        <v>1</v>
      </c>
      <c r="T32" s="17"/>
      <c r="U32" s="17">
        <f t="shared" si="0"/>
        <v>0.72649652910676854</v>
      </c>
      <c r="V32" s="17">
        <v>1</v>
      </c>
      <c r="W32" s="9" t="s">
        <v>57</v>
      </c>
      <c r="X32" s="9">
        <f>INDEX('Unique Asset List'!$C$4:$I$60,MATCH('2'!$B32,'Unique Asset List'!$A$4:$A$60,0),MATCH('2'!$C$1,'Unique Asset List'!$C$3:$I$3,0))</f>
        <v>2029</v>
      </c>
      <c r="Y32" s="9">
        <f>INDEX('Unique Asset List'!$J$4:$P$60,MATCH('2'!$B32,'Unique Asset List'!$A$4:$A$60,0),MATCH('2'!$C$1,'Unique Asset List'!$J$3:$P$3,0))</f>
        <v>9</v>
      </c>
      <c r="Z32" s="9">
        <f>INDEX('Unique Asset List'!$X$4:$AD$60,MATCH('2'!$B32,'Unique Asset List'!$A$4:$A$60,0),MATCH('2'!$C$1,'Unique Asset List'!$X$3:$AD$3,0))</f>
        <v>2038</v>
      </c>
      <c r="AA32" s="9">
        <f>INDEX('Unique Asset List'!$AE$4:$AK$60,MATCH('2'!$B32,'Unique Asset List'!$A$4:$A$60,0),MATCH('2'!$C$1,'Unique Asset List'!$AE$3:$AK$3,0))</f>
        <v>9</v>
      </c>
      <c r="AB32" s="16">
        <f t="shared" si="1"/>
        <v>2.3276916000000001</v>
      </c>
      <c r="AC32" s="16">
        <f t="shared" si="2"/>
        <v>1.0028454</v>
      </c>
      <c r="AD32" s="16">
        <f t="shared" si="3"/>
        <v>0.56099999999999994</v>
      </c>
      <c r="AE32" s="15">
        <f>INDEX('Unique Asset List'!$BN$4:$BT$60,MATCH('2'!$B32,'Unique Asset List'!$A$4:$A$60,0),MATCH('2'!$C$1,'Unique Asset List'!$BN$3:$BT$3,0))</f>
        <v>0.27</v>
      </c>
      <c r="AF32" s="15">
        <f>INDEX('Unique Asset List'!$BU$4:$CA$60,MATCH('2'!$B32,'Unique Asset List'!$A$4:$A$60,0),MATCH('2'!$C$1,'Unique Asset List'!$BU$3:$CA$3,0))</f>
        <v>0.23</v>
      </c>
      <c r="AG32" s="15">
        <f>INDEX('Unique Asset List'!$AZ$4:$BF$60,MATCH('2'!$B32,'Unique Asset List'!$A$4:$A$60,0),MATCH('2'!$C$1,'Unique Asset List'!$AZ$3:$BF$3,0))</f>
        <v>0.27</v>
      </c>
      <c r="AH32" s="15">
        <f>INDEX('Unique Asset List'!$BG$4:$BM$60,MATCH('2'!$B32,'Unique Asset List'!$A$4:$A$60,0),MATCH('2'!$C$1,'Unique Asset List'!$BG$3:$BM$3,0))</f>
        <v>0.23</v>
      </c>
      <c r="AI32" s="11">
        <v>0.96187963349867744</v>
      </c>
      <c r="AJ32" s="15">
        <f>INDEX('Unique Asset List'!$AL$4:$AR$60,MATCH('2'!$B32,'Unique Asset List'!$A$4:$A$60,0),MATCH('2'!$C$1,'Unique Asset List'!$AL$3:$AR$3,0))</f>
        <v>2.2612105538192599</v>
      </c>
      <c r="AK32" s="15">
        <f>INDEX('Unique Asset List'!$AS$4:$AY$60,MATCH('2'!$B32,'Unique Asset List'!$A$4:$A$60,0),MATCH('2'!$C$1,'Unique Asset List'!$AS$3:$AY$3,0))</f>
        <v>-1.7475682675103321</v>
      </c>
      <c r="AL32" s="9">
        <v>169</v>
      </c>
      <c r="AM32" s="14">
        <f>INDEX(Simulation!$B$6:$H$6,MATCH($A32,Simulation!$B$1:$H$1,0))*(1+AN32)^((DATE(X32,Y32,15)-DATE(2017,1,15))/365.5)</f>
        <v>3.5</v>
      </c>
      <c r="AN32" s="12">
        <v>0</v>
      </c>
      <c r="AO32" s="13">
        <v>0.1</v>
      </c>
      <c r="AP32" s="11">
        <v>0.82</v>
      </c>
      <c r="AQ32" s="12">
        <v>0</v>
      </c>
      <c r="AR32" s="11">
        <f t="shared" si="4"/>
        <v>0.82</v>
      </c>
      <c r="AS32" s="10">
        <v>1</v>
      </c>
      <c r="AT32" s="4">
        <f>IF($C$5="ON",BT32,MyRating(_E1,$B32,Efficacy!$F$1))</f>
        <v>4</v>
      </c>
      <c r="AU32" s="3">
        <f>IF($C$5="ON",BU32,MyRating(_E2,$B32,Efficacy!$F$1))</f>
        <v>5</v>
      </c>
      <c r="AV32" s="3">
        <f>IF($C$5="ON",BV32,MyRating(_E3,$B32,Efficacy!$F$1))</f>
        <v>5</v>
      </c>
      <c r="AW32" s="3">
        <f>IF($C$5="ON",BW32,MyRating(_E4,$B32,Efficacy!$F$1))</f>
        <v>4</v>
      </c>
      <c r="AX32" s="3">
        <f>IF($C$5="ON",BX32,MyRating(_E5,$B32,Efficacy!$F$1))</f>
        <v>4</v>
      </c>
      <c r="AY32" s="3">
        <f>IF($C$5="ON",BY32,MyRating(_E6,$B32,Efficacy!$F$1))</f>
        <v>3</v>
      </c>
      <c r="AZ32" s="3">
        <f>IF($C$5="ON",BZ32,MyRating(_E7,$B32,Efficacy!$F$1))</f>
        <v>3</v>
      </c>
      <c r="BA32" s="3">
        <f>IF($C$5="ON",CA32,MyRating(_E8,$B32,Efficacy!$F$1))</f>
        <v>4</v>
      </c>
      <c r="BB32" s="3">
        <f>IF($C$5="ON",CB32,MyRating(_S1,$B32,'S&amp;T'!$F$1))</f>
        <v>5</v>
      </c>
      <c r="BC32" s="3">
        <f>IF($C$5="ON",CC32,MyRating(_S2,$B32,'S&amp;T'!$F$1))</f>
        <v>3</v>
      </c>
      <c r="BD32" s="3">
        <f>IF($C$5="ON",CD32,MyRating(_S3,$B32,'S&amp;T'!$F$1))</f>
        <v>3</v>
      </c>
      <c r="BE32" s="3">
        <f>IF($C$5="ON",CE32,MyRating(_S4,$B32,'S&amp;T'!$F$1))</f>
        <v>4</v>
      </c>
      <c r="BF32" s="3">
        <f>IF($C$5="ON",CF32,MyRating(_S5,$B32,'S&amp;T'!$F$1))</f>
        <v>5</v>
      </c>
      <c r="BG32" s="3">
        <f>IF($C$5="ON",CG32,MyRating(_S6,$B32,'S&amp;T'!$F$1))</f>
        <v>3</v>
      </c>
      <c r="BH32" s="3">
        <f>IF($C$5="ON",CH32,MyRating(_S7,$B32,'S&amp;T'!$F$1))</f>
        <v>3</v>
      </c>
      <c r="BI32" s="3">
        <f>IF($C$5="ON",CI32,MyRating(_D1,$B32,Delivery!$F$1))</f>
        <v>3</v>
      </c>
      <c r="BJ32" s="3">
        <f>IF($C$5="ON",CJ32,MyRating(_D2,$B32,Delivery!$F$1))</f>
        <v>3</v>
      </c>
      <c r="BK32" s="3">
        <f>IF($C$5="ON",CK32,MyRating(_D3,$B32,Delivery!$F$1))</f>
        <v>3</v>
      </c>
      <c r="BL32" s="3">
        <f>IF($C$5="ON",CL32,MyRating(_D4,$B32,Delivery!$F$1))</f>
        <v>3</v>
      </c>
      <c r="BM32" s="3">
        <f>IF($C$5="ON",CM32,MyRating(_B1G5,$B32,Barrier!$L$2))</f>
        <v>2</v>
      </c>
      <c r="BN32" s="3">
        <f>IF($C$5="ON",CN32,MyRating(_B2,$B32,Barrier!$F$2))</f>
        <v>3</v>
      </c>
      <c r="BO32" s="6">
        <f>IF($C$5="ON",CO32,MyRating(_B3,$B32,Barrier!$F$2))</f>
        <v>3</v>
      </c>
      <c r="BP32" s="5">
        <f t="shared" si="5"/>
        <v>3.6275844714639842E-2</v>
      </c>
      <c r="BQ32" s="8">
        <f t="shared" si="6"/>
        <v>2.9499999999999997</v>
      </c>
      <c r="BR32" s="5">
        <f t="shared" si="7"/>
        <v>3.60415394013439E-2</v>
      </c>
      <c r="BS32" s="7">
        <f t="shared" si="8"/>
        <v>1.8542316878791175E-2</v>
      </c>
      <c r="BT32" s="4">
        <v>4</v>
      </c>
      <c r="BU32" s="3">
        <v>5</v>
      </c>
      <c r="BV32" s="3">
        <v>5</v>
      </c>
      <c r="BW32" s="3">
        <v>4</v>
      </c>
      <c r="BX32" s="3">
        <v>4</v>
      </c>
      <c r="BY32" s="3">
        <v>3</v>
      </c>
      <c r="BZ32" s="3">
        <v>3</v>
      </c>
      <c r="CA32" s="3">
        <v>4</v>
      </c>
      <c r="CB32" s="3">
        <v>5</v>
      </c>
      <c r="CC32" s="3">
        <v>3</v>
      </c>
      <c r="CD32" s="3">
        <v>3</v>
      </c>
      <c r="CE32" s="3">
        <v>4</v>
      </c>
      <c r="CF32" s="3">
        <v>5</v>
      </c>
      <c r="CG32" s="3">
        <v>3</v>
      </c>
      <c r="CH32" s="3">
        <v>3</v>
      </c>
      <c r="CI32" s="3">
        <v>3</v>
      </c>
      <c r="CJ32" s="3">
        <v>3</v>
      </c>
      <c r="CK32" s="3">
        <v>3</v>
      </c>
      <c r="CL32" s="3">
        <v>3</v>
      </c>
      <c r="CM32" s="3">
        <v>2</v>
      </c>
      <c r="CN32" s="3">
        <v>3</v>
      </c>
      <c r="CO32" s="6">
        <v>3</v>
      </c>
      <c r="CP32" s="5">
        <v>3.6275844714639842E-2</v>
      </c>
    </row>
    <row r="33" spans="1:94" x14ac:dyDescent="0.35">
      <c r="A33" s="9" t="s">
        <v>184</v>
      </c>
      <c r="B33" s="9" t="s">
        <v>28</v>
      </c>
      <c r="C33" s="20"/>
      <c r="D33" s="9" t="s">
        <v>2</v>
      </c>
      <c r="E33" s="9" t="s">
        <v>193</v>
      </c>
      <c r="F33" s="9" t="s">
        <v>58</v>
      </c>
      <c r="G33" s="19">
        <v>0</v>
      </c>
      <c r="H33" s="9">
        <v>2014</v>
      </c>
      <c r="I33" s="9">
        <v>6</v>
      </c>
      <c r="J33" s="18">
        <f>INDEX(PTRS!$D$6:$D$12,MATCH('2'!$F33,PTRS!$B$6:$B$12,0))</f>
        <v>0.13923000000000002</v>
      </c>
      <c r="K33" s="17">
        <v>0</v>
      </c>
      <c r="L33" s="17">
        <v>0.1044225</v>
      </c>
      <c r="M33" s="17">
        <v>0.13923000000000002</v>
      </c>
      <c r="N33" s="17">
        <v>0.1</v>
      </c>
      <c r="O33" s="17">
        <v>0.1</v>
      </c>
      <c r="P33" s="17">
        <v>0.1044225</v>
      </c>
      <c r="Q33" s="17">
        <v>0.1044225</v>
      </c>
      <c r="R33" s="17">
        <v>0.1044225</v>
      </c>
      <c r="S33" s="17">
        <v>1</v>
      </c>
      <c r="T33" s="17"/>
      <c r="U33" s="17">
        <f t="shared" si="0"/>
        <v>0.72649652910676854</v>
      </c>
      <c r="V33" s="17">
        <v>1</v>
      </c>
      <c r="W33" s="9" t="s">
        <v>27</v>
      </c>
      <c r="X33" s="9">
        <f>INDEX('Unique Asset List'!$C$4:$I$60,MATCH('2'!$B33,'Unique Asset List'!$A$4:$A$60,0),MATCH('2'!$C$1,'Unique Asset List'!$C$3:$I$3,0))</f>
        <v>2031</v>
      </c>
      <c r="Y33" s="9">
        <f>INDEX('Unique Asset List'!$J$4:$P$60,MATCH('2'!$B33,'Unique Asset List'!$A$4:$A$60,0),MATCH('2'!$C$1,'Unique Asset List'!$J$3:$P$3,0))</f>
        <v>6</v>
      </c>
      <c r="Z33" s="9">
        <f>INDEX('Unique Asset List'!$X$4:$AD$60,MATCH('2'!$B33,'Unique Asset List'!$A$4:$A$60,0),MATCH('2'!$C$1,'Unique Asset List'!$X$3:$AD$3,0))</f>
        <v>2038</v>
      </c>
      <c r="AA33" s="9">
        <f>INDEX('Unique Asset List'!$AE$4:$AK$60,MATCH('2'!$B33,'Unique Asset List'!$A$4:$A$60,0),MATCH('2'!$C$1,'Unique Asset List'!$AE$3:$AK$3,0))</f>
        <v>9</v>
      </c>
      <c r="AB33" s="16">
        <f t="shared" si="1"/>
        <v>2.0289886000000004</v>
      </c>
      <c r="AC33" s="16">
        <f t="shared" si="2"/>
        <v>0.85031269999999992</v>
      </c>
      <c r="AD33" s="16">
        <f t="shared" si="3"/>
        <v>0.56099999999999994</v>
      </c>
      <c r="AE33" s="15">
        <f>INDEX('Unique Asset List'!$BN$4:$BT$60,MATCH('2'!$B33,'Unique Asset List'!$A$4:$A$60,0),MATCH('2'!$C$1,'Unique Asset List'!$BN$3:$BT$3,0))</f>
        <v>0.2</v>
      </c>
      <c r="AF33" s="15">
        <f>INDEX('Unique Asset List'!$BU$4:$CA$60,MATCH('2'!$B33,'Unique Asset List'!$A$4:$A$60,0),MATCH('2'!$C$1,'Unique Asset List'!$BU$3:$CA$3,0))</f>
        <v>0.3</v>
      </c>
      <c r="AG33" s="15">
        <f>INDEX('Unique Asset List'!$AZ$4:$BF$60,MATCH('2'!$B33,'Unique Asset List'!$A$4:$A$60,0),MATCH('2'!$C$1,'Unique Asset List'!$AZ$3:$BF$3,0))</f>
        <v>0.2</v>
      </c>
      <c r="AH33" s="15">
        <f>INDEX('Unique Asset List'!$BG$4:$BM$60,MATCH('2'!$B33,'Unique Asset List'!$A$4:$A$60,0),MATCH('2'!$C$1,'Unique Asset List'!$BG$3:$BM$3,0))</f>
        <v>0.3</v>
      </c>
      <c r="AI33" s="11">
        <v>0.96187963349867744</v>
      </c>
      <c r="AJ33" s="15">
        <f>INDEX('Unique Asset List'!$AL$4:$AR$60,MATCH('2'!$B33,'Unique Asset List'!$A$4:$A$60,0),MATCH('2'!$C$1,'Unique Asset List'!$AL$3:$AR$3,0))</f>
        <v>2.2612105538192599</v>
      </c>
      <c r="AK33" s="15">
        <f>INDEX('Unique Asset List'!$AS$4:$AY$60,MATCH('2'!$B33,'Unique Asset List'!$A$4:$A$60,0),MATCH('2'!$C$1,'Unique Asset List'!$AS$3:$AY$3,0))</f>
        <v>-1.7475682675103321</v>
      </c>
      <c r="AL33" s="9">
        <v>169</v>
      </c>
      <c r="AM33" s="14">
        <f>INDEX(Simulation!$B$6:$H$6,MATCH($A33,Simulation!$B$1:$H$1,0))*(1+AN33)^((DATE(X33,Y33,15)-DATE(2017,1,15))/365.5)</f>
        <v>3.5</v>
      </c>
      <c r="AN33" s="12">
        <v>0</v>
      </c>
      <c r="AO33" s="13">
        <v>0.1</v>
      </c>
      <c r="AP33" s="11">
        <v>0.82</v>
      </c>
      <c r="AQ33" s="12">
        <v>0</v>
      </c>
      <c r="AR33" s="11">
        <f t="shared" si="4"/>
        <v>0.82</v>
      </c>
      <c r="AS33" s="10">
        <v>1</v>
      </c>
      <c r="AT33" s="4">
        <f>IF($C$5="ON",BT33,MyRating(_E1,$B33,Efficacy!$F$1))</f>
        <v>4</v>
      </c>
      <c r="AU33" s="3">
        <f>IF($C$5="ON",BU33,MyRating(_E2,$B33,Efficacy!$F$1))</f>
        <v>4</v>
      </c>
      <c r="AV33" s="3">
        <f>IF($C$5="ON",BV33,MyRating(_E3,$B33,Efficacy!$F$1))</f>
        <v>4</v>
      </c>
      <c r="AW33" s="3">
        <f>IF($C$5="ON",BW33,MyRating(_E4,$B33,Efficacy!$F$1))</f>
        <v>4</v>
      </c>
      <c r="AX33" s="3">
        <f>IF($C$5="ON",BX33,MyRating(_E5,$B33,Efficacy!$F$1))</f>
        <v>3</v>
      </c>
      <c r="AY33" s="3">
        <f>IF($C$5="ON",BY33,MyRating(_E6,$B33,Efficacy!$F$1))</f>
        <v>3</v>
      </c>
      <c r="AZ33" s="3">
        <f>IF($C$5="ON",BZ33,MyRating(_E7,$B33,Efficacy!$F$1))</f>
        <v>3</v>
      </c>
      <c r="BA33" s="3">
        <f>IF($C$5="ON",CA33,MyRating(_E8,$B33,Efficacy!$F$1))</f>
        <v>3</v>
      </c>
      <c r="BB33" s="3">
        <f>IF($C$5="ON",CB33,MyRating(_S1,$B33,'S&amp;T'!$F$1))</f>
        <v>2</v>
      </c>
      <c r="BC33" s="3">
        <f>IF($C$5="ON",CC33,MyRating(_S2,$B33,'S&amp;T'!$F$1))</f>
        <v>3</v>
      </c>
      <c r="BD33" s="3">
        <f>IF($C$5="ON",CD33,MyRating(_S3,$B33,'S&amp;T'!$F$1))</f>
        <v>3</v>
      </c>
      <c r="BE33" s="3">
        <f>IF($C$5="ON",CE33,MyRating(_S4,$B33,'S&amp;T'!$F$1))</f>
        <v>4</v>
      </c>
      <c r="BF33" s="3">
        <f>IF($C$5="ON",CF33,MyRating(_S5,$B33,'S&amp;T'!$F$1))</f>
        <v>5</v>
      </c>
      <c r="BG33" s="3">
        <f>IF($C$5="ON",CG33,MyRating(_S6,$B33,'S&amp;T'!$F$1))</f>
        <v>3</v>
      </c>
      <c r="BH33" s="3">
        <f>IF($C$5="ON",CH33,MyRating(_S7,$B33,'S&amp;T'!$F$1))</f>
        <v>4</v>
      </c>
      <c r="BI33" s="3">
        <f>IF($C$5="ON",CI33,MyRating(_D1,$B33,Delivery!$F$1))</f>
        <v>3</v>
      </c>
      <c r="BJ33" s="3">
        <f>IF($C$5="ON",CJ33,MyRating(_D2,$B33,Delivery!$F$1))</f>
        <v>3</v>
      </c>
      <c r="BK33" s="3">
        <f>IF($C$5="ON",CK33,MyRating(_D3,$B33,Delivery!$F$1))</f>
        <v>3</v>
      </c>
      <c r="BL33" s="3">
        <f>IF($C$5="ON",CL33,MyRating(_D4,$B33,Delivery!$F$1))</f>
        <v>3</v>
      </c>
      <c r="BM33" s="3">
        <f>IF($C$5="ON",CM33,MyRating(_B1G5,$B33,Barrier!$L$2))</f>
        <v>2</v>
      </c>
      <c r="BN33" s="3">
        <f>IF($C$5="ON",CN33,MyRating(_B2,$B33,Barrier!$F$2))</f>
        <v>3</v>
      </c>
      <c r="BO33" s="6">
        <f>IF($C$5="ON",CO33,MyRating(_B3,$B33,Barrier!$F$2))</f>
        <v>3</v>
      </c>
      <c r="BP33" s="5">
        <f t="shared" si="5"/>
        <v>3.6275844714639842E-2</v>
      </c>
      <c r="BQ33" s="8">
        <f t="shared" si="6"/>
        <v>2.9499999999999997</v>
      </c>
      <c r="BR33" s="5">
        <f t="shared" si="7"/>
        <v>3.60415394013439E-2</v>
      </c>
      <c r="BS33" s="7">
        <f t="shared" si="8"/>
        <v>1.8542316878791175E-2</v>
      </c>
      <c r="BT33" s="4">
        <v>4</v>
      </c>
      <c r="BU33" s="3">
        <v>4</v>
      </c>
      <c r="BV33" s="3">
        <v>4</v>
      </c>
      <c r="BW33" s="3">
        <v>4</v>
      </c>
      <c r="BX33" s="3">
        <v>3</v>
      </c>
      <c r="BY33" s="3">
        <v>3</v>
      </c>
      <c r="BZ33" s="3">
        <v>3</v>
      </c>
      <c r="CA33" s="3">
        <v>3</v>
      </c>
      <c r="CB33" s="3">
        <v>2</v>
      </c>
      <c r="CC33" s="3">
        <v>3</v>
      </c>
      <c r="CD33" s="3">
        <v>3</v>
      </c>
      <c r="CE33" s="3">
        <v>4</v>
      </c>
      <c r="CF33" s="3">
        <v>5</v>
      </c>
      <c r="CG33" s="3">
        <v>3</v>
      </c>
      <c r="CH33" s="3">
        <v>4</v>
      </c>
      <c r="CI33" s="3">
        <v>3</v>
      </c>
      <c r="CJ33" s="3">
        <v>3</v>
      </c>
      <c r="CK33" s="3">
        <v>3</v>
      </c>
      <c r="CL33" s="3">
        <v>3</v>
      </c>
      <c r="CM33" s="3">
        <v>2</v>
      </c>
      <c r="CN33" s="3">
        <v>3</v>
      </c>
      <c r="CO33" s="6">
        <v>3</v>
      </c>
      <c r="CP33" s="5">
        <v>3.6275844714639842E-2</v>
      </c>
    </row>
    <row r="34" spans="1:94" x14ac:dyDescent="0.35">
      <c r="A34" s="9" t="s">
        <v>184</v>
      </c>
      <c r="B34" s="9" t="s">
        <v>61</v>
      </c>
      <c r="C34" s="20"/>
      <c r="D34" s="9" t="s">
        <v>60</v>
      </c>
      <c r="E34" s="9" t="s">
        <v>59</v>
      </c>
      <c r="F34" s="9" t="s">
        <v>58</v>
      </c>
      <c r="G34" s="19">
        <v>0</v>
      </c>
      <c r="H34" s="9">
        <v>2014</v>
      </c>
      <c r="I34" s="9">
        <v>6</v>
      </c>
      <c r="J34" s="18">
        <f>INDEX(PTRS!$D$6:$D$12,MATCH('2'!$F34,PTRS!$B$6:$B$12,0))</f>
        <v>0.13923000000000002</v>
      </c>
      <c r="K34" s="17">
        <v>0</v>
      </c>
      <c r="L34" s="17">
        <v>0.1044225</v>
      </c>
      <c r="M34" s="17">
        <v>0.13923000000000002</v>
      </c>
      <c r="N34" s="17">
        <v>0.1044225</v>
      </c>
      <c r="O34" s="17">
        <v>0.1044225</v>
      </c>
      <c r="P34" s="17">
        <v>0.13923000000000002</v>
      </c>
      <c r="Q34" s="17">
        <v>0.1044225</v>
      </c>
      <c r="R34" s="17">
        <v>0.1044225</v>
      </c>
      <c r="S34" s="17">
        <v>1</v>
      </c>
      <c r="T34" s="17"/>
      <c r="U34" s="17">
        <f t="shared" si="0"/>
        <v>0.72649652910676854</v>
      </c>
      <c r="V34" s="17">
        <v>1</v>
      </c>
      <c r="W34" s="9" t="s">
        <v>57</v>
      </c>
      <c r="X34" s="9">
        <f>INDEX('Unique Asset List'!$C$4:$I$60,MATCH('2'!$B34,'Unique Asset List'!$A$4:$A$60,0),MATCH('2'!$C$1,'Unique Asset List'!$C$3:$I$3,0))</f>
        <v>2028</v>
      </c>
      <c r="Y34" s="9">
        <f>INDEX('Unique Asset List'!$J$4:$P$60,MATCH('2'!$B34,'Unique Asset List'!$A$4:$A$60,0),MATCH('2'!$C$1,'Unique Asset List'!$J$3:$P$3,0))</f>
        <v>9</v>
      </c>
      <c r="Z34" s="9">
        <f>INDEX('Unique Asset List'!$X$4:$AD$60,MATCH('2'!$B34,'Unique Asset List'!$A$4:$A$60,0),MATCH('2'!$C$1,'Unique Asset List'!$X$3:$AD$3,0))</f>
        <v>2036</v>
      </c>
      <c r="AA34" s="9">
        <f>INDEX('Unique Asset List'!$AE$4:$AK$60,MATCH('2'!$B34,'Unique Asset List'!$A$4:$A$60,0),MATCH('2'!$C$1,'Unique Asset List'!$AE$3:$AK$3,0))</f>
        <v>9</v>
      </c>
      <c r="AB34" s="16">
        <f t="shared" si="1"/>
        <v>2.3276916000000001</v>
      </c>
      <c r="AC34" s="16">
        <f t="shared" si="2"/>
        <v>1.0028454</v>
      </c>
      <c r="AD34" s="16">
        <f t="shared" si="3"/>
        <v>0.56099999999999994</v>
      </c>
      <c r="AE34" s="15">
        <f>INDEX('Unique Asset List'!$BN$4:$BT$60,MATCH('2'!$B34,'Unique Asset List'!$A$4:$A$60,0),MATCH('2'!$C$1,'Unique Asset List'!$BN$3:$BT$3,0))</f>
        <v>0.27</v>
      </c>
      <c r="AF34" s="15">
        <f>INDEX('Unique Asset List'!$BU$4:$CA$60,MATCH('2'!$B34,'Unique Asset List'!$A$4:$A$60,0),MATCH('2'!$C$1,'Unique Asset List'!$BU$3:$CA$3,0))</f>
        <v>0.23</v>
      </c>
      <c r="AG34" s="15">
        <f>INDEX('Unique Asset List'!$AZ$4:$BF$60,MATCH('2'!$B34,'Unique Asset List'!$A$4:$A$60,0),MATCH('2'!$C$1,'Unique Asset List'!$AZ$3:$BF$3,0))</f>
        <v>0.27</v>
      </c>
      <c r="AH34" s="15">
        <f>INDEX('Unique Asset List'!$BG$4:$BM$60,MATCH('2'!$B34,'Unique Asset List'!$A$4:$A$60,0),MATCH('2'!$C$1,'Unique Asset List'!$BG$3:$BM$3,0))</f>
        <v>0.23</v>
      </c>
      <c r="AI34" s="11">
        <v>0.96187963349867744</v>
      </c>
      <c r="AJ34" s="15">
        <f>INDEX('Unique Asset List'!$AL$4:$AR$60,MATCH('2'!$B34,'Unique Asset List'!$A$4:$A$60,0),MATCH('2'!$C$1,'Unique Asset List'!$AL$3:$AR$3,0))</f>
        <v>2.2612105538192599</v>
      </c>
      <c r="AK34" s="15">
        <f>INDEX('Unique Asset List'!$AS$4:$AY$60,MATCH('2'!$B34,'Unique Asset List'!$A$4:$A$60,0),MATCH('2'!$C$1,'Unique Asset List'!$AS$3:$AY$3,0))</f>
        <v>-1.7475682675103321</v>
      </c>
      <c r="AL34" s="9">
        <v>169</v>
      </c>
      <c r="AM34" s="14">
        <f>INDEX(Simulation!$B$6:$H$6,MATCH($A34,Simulation!$B$1:$H$1,0))*(1+AN34)^((DATE(X34,Y34,15)-DATE(2017,1,15))/365.5)</f>
        <v>3.5</v>
      </c>
      <c r="AN34" s="12">
        <v>0</v>
      </c>
      <c r="AO34" s="13">
        <v>0.1</v>
      </c>
      <c r="AP34" s="11">
        <v>0.82</v>
      </c>
      <c r="AQ34" s="12">
        <v>0</v>
      </c>
      <c r="AR34" s="11">
        <f t="shared" si="4"/>
        <v>0.82</v>
      </c>
      <c r="AS34" s="10">
        <v>1</v>
      </c>
      <c r="AT34" s="4">
        <f>IF($C$5="ON",BT34,MyRating(_E1,$B34,Efficacy!$F$1))</f>
        <v>4</v>
      </c>
      <c r="AU34" s="3">
        <f>IF($C$5="ON",BU34,MyRating(_E2,$B34,Efficacy!$F$1))</f>
        <v>5</v>
      </c>
      <c r="AV34" s="3">
        <f>IF($C$5="ON",BV34,MyRating(_E3,$B34,Efficacy!$F$1))</f>
        <v>5</v>
      </c>
      <c r="AW34" s="3">
        <f>IF($C$5="ON",BW34,MyRating(_E4,$B34,Efficacy!$F$1))</f>
        <v>4</v>
      </c>
      <c r="AX34" s="3">
        <f>IF($C$5="ON",BX34,MyRating(_E5,$B34,Efficacy!$F$1))</f>
        <v>4</v>
      </c>
      <c r="AY34" s="3">
        <f>IF($C$5="ON",BY34,MyRating(_E6,$B34,Efficacy!$F$1))</f>
        <v>3</v>
      </c>
      <c r="AZ34" s="3">
        <f>IF($C$5="ON",BZ34,MyRating(_E7,$B34,Efficacy!$F$1))</f>
        <v>3</v>
      </c>
      <c r="BA34" s="3">
        <f>IF($C$5="ON",CA34,MyRating(_E8,$B34,Efficacy!$F$1))</f>
        <v>4</v>
      </c>
      <c r="BB34" s="3">
        <f>IF($C$5="ON",CB34,MyRating(_S1,$B34,'S&amp;T'!$F$1))</f>
        <v>5</v>
      </c>
      <c r="BC34" s="3">
        <f>IF($C$5="ON",CC34,MyRating(_S2,$B34,'S&amp;T'!$F$1))</f>
        <v>3</v>
      </c>
      <c r="BD34" s="3">
        <f>IF($C$5="ON",CD34,MyRating(_S3,$B34,'S&amp;T'!$F$1))</f>
        <v>3</v>
      </c>
      <c r="BE34" s="3">
        <f>IF($C$5="ON",CE34,MyRating(_S4,$B34,'S&amp;T'!$F$1))</f>
        <v>4</v>
      </c>
      <c r="BF34" s="3">
        <f>IF($C$5="ON",CF34,MyRating(_S5,$B34,'S&amp;T'!$F$1))</f>
        <v>5</v>
      </c>
      <c r="BG34" s="3">
        <f>IF($C$5="ON",CG34,MyRating(_S6,$B34,'S&amp;T'!$F$1))</f>
        <v>3</v>
      </c>
      <c r="BH34" s="3">
        <f>IF($C$5="ON",CH34,MyRating(_S7,$B34,'S&amp;T'!$F$1))</f>
        <v>3</v>
      </c>
      <c r="BI34" s="3">
        <f>IF($C$5="ON",CI34,MyRating(_D1,$B34,Delivery!$F$1))</f>
        <v>3</v>
      </c>
      <c r="BJ34" s="3">
        <f>IF($C$5="ON",CJ34,MyRating(_D2,$B34,Delivery!$F$1))</f>
        <v>3</v>
      </c>
      <c r="BK34" s="3">
        <f>IF($C$5="ON",CK34,MyRating(_D3,$B34,Delivery!$F$1))</f>
        <v>3</v>
      </c>
      <c r="BL34" s="3">
        <f>IF($C$5="ON",CL34,MyRating(_D4,$B34,Delivery!$F$1))</f>
        <v>3</v>
      </c>
      <c r="BM34" s="3">
        <f>IF($C$5="ON",CM34,MyRating(_B1G5,$B34,Barrier!$L$2))</f>
        <v>2</v>
      </c>
      <c r="BN34" s="3">
        <f>IF($C$5="ON",CN34,MyRating(_B2,$B34,Barrier!$F$2))</f>
        <v>3</v>
      </c>
      <c r="BO34" s="6">
        <f>IF($C$5="ON",CO34,MyRating(_B3,$B34,Barrier!$F$2))</f>
        <v>3</v>
      </c>
      <c r="BP34" s="5">
        <f t="shared" si="5"/>
        <v>3.6275844714639842E-2</v>
      </c>
      <c r="BQ34" s="8">
        <f t="shared" si="6"/>
        <v>2.9499999999999997</v>
      </c>
      <c r="BR34" s="5">
        <f t="shared" si="7"/>
        <v>3.60415394013439E-2</v>
      </c>
      <c r="BS34" s="7">
        <f t="shared" si="8"/>
        <v>1.8542316878791175E-2</v>
      </c>
      <c r="BT34" s="4">
        <v>4</v>
      </c>
      <c r="BU34" s="3">
        <v>5</v>
      </c>
      <c r="BV34" s="3">
        <v>5</v>
      </c>
      <c r="BW34" s="3">
        <v>4</v>
      </c>
      <c r="BX34" s="3">
        <v>4</v>
      </c>
      <c r="BY34" s="3">
        <v>3</v>
      </c>
      <c r="BZ34" s="3">
        <v>3</v>
      </c>
      <c r="CA34" s="3">
        <v>4</v>
      </c>
      <c r="CB34" s="3">
        <v>5</v>
      </c>
      <c r="CC34" s="3">
        <v>3</v>
      </c>
      <c r="CD34" s="3">
        <v>3</v>
      </c>
      <c r="CE34" s="3">
        <v>4</v>
      </c>
      <c r="CF34" s="3">
        <v>5</v>
      </c>
      <c r="CG34" s="3">
        <v>3</v>
      </c>
      <c r="CH34" s="3">
        <v>3</v>
      </c>
      <c r="CI34" s="3">
        <v>3</v>
      </c>
      <c r="CJ34" s="3">
        <v>3</v>
      </c>
      <c r="CK34" s="3">
        <v>3</v>
      </c>
      <c r="CL34" s="3">
        <v>3</v>
      </c>
      <c r="CM34" s="3">
        <v>2</v>
      </c>
      <c r="CN34" s="3">
        <v>3</v>
      </c>
      <c r="CO34" s="6">
        <v>3</v>
      </c>
      <c r="CP34" s="5">
        <v>3.6275844714639842E-2</v>
      </c>
    </row>
    <row r="35" spans="1:94" x14ac:dyDescent="0.35">
      <c r="A35" s="9" t="s">
        <v>184</v>
      </c>
      <c r="B35" s="9" t="s">
        <v>56</v>
      </c>
      <c r="C35" s="20"/>
      <c r="D35" s="9" t="s">
        <v>55</v>
      </c>
      <c r="E35" s="9" t="s">
        <v>193</v>
      </c>
      <c r="F35" s="9" t="s">
        <v>51</v>
      </c>
      <c r="G35" s="19">
        <v>0</v>
      </c>
      <c r="H35" s="9">
        <v>2014</v>
      </c>
      <c r="I35" s="9">
        <v>6</v>
      </c>
      <c r="J35" s="18">
        <f>INDEX(PTRS!$D$6:$D$12,MATCH('2'!$F35,PTRS!$B$6:$B$12,0))</f>
        <v>0.1638</v>
      </c>
      <c r="K35" s="17">
        <v>0</v>
      </c>
      <c r="L35" s="17">
        <v>0.1044225</v>
      </c>
      <c r="M35" s="17">
        <v>5.4600000000000003E-2</v>
      </c>
      <c r="N35" s="17">
        <v>0.1044225</v>
      </c>
      <c r="O35" s="17">
        <v>0.1044225</v>
      </c>
      <c r="P35" s="17">
        <v>0.1638</v>
      </c>
      <c r="Q35" s="17">
        <v>0.1044225</v>
      </c>
      <c r="R35" s="17">
        <v>0.1044225</v>
      </c>
      <c r="S35" s="17">
        <v>1</v>
      </c>
      <c r="T35" s="17"/>
      <c r="U35" s="17">
        <f t="shared" si="0"/>
        <v>0.72649652910676854</v>
      </c>
      <c r="V35" s="17">
        <v>1</v>
      </c>
      <c r="W35" s="9" t="s">
        <v>54</v>
      </c>
      <c r="X35" s="9">
        <f>INDEX('Unique Asset List'!$C$4:$I$60,MATCH('2'!$B35,'Unique Asset List'!$A$4:$A$60,0),MATCH('2'!$C$1,'Unique Asset List'!$C$3:$I$3,0))</f>
        <v>2023</v>
      </c>
      <c r="Y35" s="9">
        <f>INDEX('Unique Asset List'!$J$4:$P$60,MATCH('2'!$B35,'Unique Asset List'!$A$4:$A$60,0),MATCH('2'!$C$1,'Unique Asset List'!$J$3:$P$3,0))</f>
        <v>9</v>
      </c>
      <c r="Z35" s="9">
        <f>INDEX('Unique Asset List'!$X$4:$AD$60,MATCH('2'!$B35,'Unique Asset List'!$A$4:$A$60,0),MATCH('2'!$C$1,'Unique Asset List'!$X$3:$AD$3,0))</f>
        <v>2036</v>
      </c>
      <c r="AA35" s="9">
        <f>INDEX('Unique Asset List'!$AE$4:$AK$60,MATCH('2'!$B35,'Unique Asset List'!$A$4:$A$60,0),MATCH('2'!$C$1,'Unique Asset List'!$AE$3:$AK$3,0))</f>
        <v>9</v>
      </c>
      <c r="AB35" s="16">
        <f t="shared" si="1"/>
        <v>1.6014190000000001</v>
      </c>
      <c r="AC35" s="16">
        <f t="shared" si="2"/>
        <v>0.78788900000000006</v>
      </c>
      <c r="AD35" s="16">
        <f t="shared" si="3"/>
        <v>0.56099999999999994</v>
      </c>
      <c r="AE35" s="15">
        <f>INDEX('Unique Asset List'!$BN$4:$BT$60,MATCH('2'!$B35,'Unique Asset List'!$A$4:$A$60,0),MATCH('2'!$C$1,'Unique Asset List'!$BN$3:$BT$3,0))</f>
        <v>0.2</v>
      </c>
      <c r="AF35" s="15">
        <f>INDEX('Unique Asset List'!$BU$4:$CA$60,MATCH('2'!$B35,'Unique Asset List'!$A$4:$A$60,0),MATCH('2'!$C$1,'Unique Asset List'!$BU$3:$CA$3,0))</f>
        <v>0.3</v>
      </c>
      <c r="AG35" s="15">
        <f>INDEX('Unique Asset List'!$AZ$4:$BF$60,MATCH('2'!$B35,'Unique Asset List'!$A$4:$A$60,0),MATCH('2'!$C$1,'Unique Asset List'!$AZ$3:$BF$3,0))</f>
        <v>0.2</v>
      </c>
      <c r="AH35" s="15">
        <f>INDEX('Unique Asset List'!$BG$4:$BM$60,MATCH('2'!$B35,'Unique Asset List'!$A$4:$A$60,0),MATCH('2'!$C$1,'Unique Asset List'!$BG$3:$BM$3,0))</f>
        <v>0.3</v>
      </c>
      <c r="AI35" s="11">
        <v>0.96187963349867744</v>
      </c>
      <c r="AJ35" s="15">
        <f>INDEX('Unique Asset List'!$AL$4:$AR$60,MATCH('2'!$B35,'Unique Asset List'!$A$4:$A$60,0),MATCH('2'!$C$1,'Unique Asset List'!$AL$3:$AR$3,0))</f>
        <v>2.2612105538192599</v>
      </c>
      <c r="AK35" s="15">
        <f>INDEX('Unique Asset List'!$AS$4:$AY$60,MATCH('2'!$B35,'Unique Asset List'!$A$4:$A$60,0),MATCH('2'!$C$1,'Unique Asset List'!$AS$3:$AY$3,0))</f>
        <v>-1.7475682675103321</v>
      </c>
      <c r="AL35" s="9">
        <v>169</v>
      </c>
      <c r="AM35" s="14">
        <f>INDEX(Simulation!$B$6:$H$6,MATCH($A35,Simulation!$B$1:$H$1,0))*(1+AN35)^((DATE(X35,Y35,15)-DATE(2017,1,15))/365.5)</f>
        <v>3.5</v>
      </c>
      <c r="AN35" s="12">
        <v>0</v>
      </c>
      <c r="AO35" s="13">
        <v>0.1</v>
      </c>
      <c r="AP35" s="11">
        <v>0.82</v>
      </c>
      <c r="AQ35" s="12">
        <v>0</v>
      </c>
      <c r="AR35" s="11">
        <f t="shared" si="4"/>
        <v>0.82</v>
      </c>
      <c r="AS35" s="10">
        <v>1</v>
      </c>
      <c r="AT35" s="4">
        <f>IF($C$5="ON",BT35,MyRating(_E1,$B35,Efficacy!$F$1))</f>
        <v>2</v>
      </c>
      <c r="AU35" s="3">
        <f>IF($C$5="ON",BU35,MyRating(_E2,$B35,Efficacy!$F$1))</f>
        <v>3</v>
      </c>
      <c r="AV35" s="3">
        <f>IF($C$5="ON",BV35,MyRating(_E3,$B35,Efficacy!$F$1))</f>
        <v>3</v>
      </c>
      <c r="AW35" s="3">
        <f>IF($C$5="ON",BW35,MyRating(_E4,$B35,Efficacy!$F$1))</f>
        <v>3</v>
      </c>
      <c r="AX35" s="3">
        <f>IF($C$5="ON",BX35,MyRating(_E5,$B35,Efficacy!$F$1))</f>
        <v>3</v>
      </c>
      <c r="AY35" s="3">
        <f>IF($C$5="ON",BY35,MyRating(_E6,$B35,Efficacy!$F$1))</f>
        <v>3</v>
      </c>
      <c r="AZ35" s="3">
        <f>IF($C$5="ON",BZ35,MyRating(_E7,$B35,Efficacy!$F$1))</f>
        <v>3</v>
      </c>
      <c r="BA35" s="3">
        <f>IF($C$5="ON",CA35,MyRating(_E8,$B35,Efficacy!$F$1))</f>
        <v>3</v>
      </c>
      <c r="BB35" s="3">
        <f>IF($C$5="ON",CB35,MyRating(_S1,$B35,'S&amp;T'!$F$1))</f>
        <v>3</v>
      </c>
      <c r="BC35" s="3">
        <f>IF($C$5="ON",CC35,MyRating(_S2,$B35,'S&amp;T'!$F$1))</f>
        <v>3</v>
      </c>
      <c r="BD35" s="3">
        <f>IF($C$5="ON",CD35,MyRating(_S3,$B35,'S&amp;T'!$F$1))</f>
        <v>3</v>
      </c>
      <c r="BE35" s="3">
        <f>IF($C$5="ON",CE35,MyRating(_S4,$B35,'S&amp;T'!$F$1))</f>
        <v>4</v>
      </c>
      <c r="BF35" s="3">
        <f>IF($C$5="ON",CF35,MyRating(_S5,$B35,'S&amp;T'!$F$1))</f>
        <v>3</v>
      </c>
      <c r="BG35" s="3">
        <f>IF($C$5="ON",CG35,MyRating(_S6,$B35,'S&amp;T'!$F$1))</f>
        <v>3</v>
      </c>
      <c r="BH35" s="3">
        <f>IF($C$5="ON",CH35,MyRating(_S7,$B35,'S&amp;T'!$F$1))</f>
        <v>3</v>
      </c>
      <c r="BI35" s="3">
        <f>IF($C$5="ON",CI35,MyRating(_D1,$B35,Delivery!$F$1))</f>
        <v>3</v>
      </c>
      <c r="BJ35" s="3">
        <f>IF($C$5="ON",CJ35,MyRating(_D2,$B35,Delivery!$F$1))</f>
        <v>3</v>
      </c>
      <c r="BK35" s="3">
        <f>IF($C$5="ON",CK35,MyRating(_D3,$B35,Delivery!$F$1))</f>
        <v>3</v>
      </c>
      <c r="BL35" s="3">
        <f>IF($C$5="ON",CL35,MyRating(_D4,$B35,Delivery!$F$1))</f>
        <v>3</v>
      </c>
      <c r="BM35" s="3">
        <f>IF($C$5="ON",CM35,MyRating(_B1G5,$B35,Barrier!$L$2))</f>
        <v>2</v>
      </c>
      <c r="BN35" s="3">
        <f>IF($C$5="ON",CN35,MyRating(_B2,$B35,Barrier!$F$2))</f>
        <v>3</v>
      </c>
      <c r="BO35" s="6">
        <f>IF($C$5="ON",CO35,MyRating(_B3,$B35,Barrier!$F$2))</f>
        <v>3</v>
      </c>
      <c r="BP35" s="5">
        <f t="shared" si="5"/>
        <v>3.6275844714639842E-2</v>
      </c>
      <c r="BQ35" s="8">
        <f t="shared" si="6"/>
        <v>2.9499999999999997</v>
      </c>
      <c r="BR35" s="5">
        <f t="shared" si="7"/>
        <v>3.60415394013439E-2</v>
      </c>
      <c r="BS35" s="7">
        <f t="shared" si="8"/>
        <v>1.8542316878791175E-2</v>
      </c>
      <c r="BT35" s="4">
        <v>2</v>
      </c>
      <c r="BU35" s="3">
        <v>3</v>
      </c>
      <c r="BV35" s="3">
        <v>3</v>
      </c>
      <c r="BW35" s="3">
        <v>3</v>
      </c>
      <c r="BX35" s="3">
        <v>3</v>
      </c>
      <c r="BY35" s="3">
        <v>3</v>
      </c>
      <c r="BZ35" s="3">
        <v>3</v>
      </c>
      <c r="CA35" s="3">
        <v>3</v>
      </c>
      <c r="CB35" s="3">
        <v>3</v>
      </c>
      <c r="CC35" s="3">
        <v>3</v>
      </c>
      <c r="CD35" s="3">
        <v>3</v>
      </c>
      <c r="CE35" s="3">
        <v>4</v>
      </c>
      <c r="CF35" s="3">
        <v>3</v>
      </c>
      <c r="CG35" s="3">
        <v>3</v>
      </c>
      <c r="CH35" s="3">
        <v>3</v>
      </c>
      <c r="CI35" s="3">
        <v>3</v>
      </c>
      <c r="CJ35" s="3">
        <v>3</v>
      </c>
      <c r="CK35" s="3">
        <v>3</v>
      </c>
      <c r="CL35" s="3">
        <v>3</v>
      </c>
      <c r="CM35" s="3">
        <v>2</v>
      </c>
      <c r="CN35" s="3">
        <v>3</v>
      </c>
      <c r="CO35" s="6">
        <v>3</v>
      </c>
      <c r="CP35" s="5">
        <v>3.6275844714639842E-2</v>
      </c>
    </row>
    <row r="36" spans="1:94" x14ac:dyDescent="0.35">
      <c r="A36" s="9" t="s">
        <v>184</v>
      </c>
      <c r="B36" s="9" t="s">
        <v>53</v>
      </c>
      <c r="C36" s="20"/>
      <c r="D36" s="9" t="s">
        <v>52</v>
      </c>
      <c r="E36" s="9" t="s">
        <v>193</v>
      </c>
      <c r="F36" s="9" t="s">
        <v>51</v>
      </c>
      <c r="G36" s="19">
        <v>0</v>
      </c>
      <c r="H36" s="9">
        <v>2014</v>
      </c>
      <c r="I36" s="9">
        <v>6</v>
      </c>
      <c r="J36" s="18">
        <f>INDEX(PTRS!$D$6:$D$12,MATCH('2'!$F36,PTRS!$B$6:$B$12,0))</f>
        <v>0.1638</v>
      </c>
      <c r="K36" s="17">
        <v>0</v>
      </c>
      <c r="L36" s="17">
        <v>0.1044225</v>
      </c>
      <c r="M36" s="17">
        <v>0.1638</v>
      </c>
      <c r="N36" s="17">
        <v>0.1044225</v>
      </c>
      <c r="O36" s="17">
        <v>0.1044225</v>
      </c>
      <c r="P36" s="17">
        <v>0.1638</v>
      </c>
      <c r="Q36" s="17">
        <v>0.1044225</v>
      </c>
      <c r="R36" s="17">
        <v>0.1044225</v>
      </c>
      <c r="S36" s="17">
        <v>1</v>
      </c>
      <c r="T36" s="17"/>
      <c r="U36" s="17">
        <f t="shared" si="0"/>
        <v>0.72649652910676854</v>
      </c>
      <c r="V36" s="17">
        <v>1</v>
      </c>
      <c r="W36" s="9" t="s">
        <v>50</v>
      </c>
      <c r="X36" s="9">
        <f>INDEX('Unique Asset List'!$C$4:$I$60,MATCH('2'!$B36,'Unique Asset List'!$A$4:$A$60,0),MATCH('2'!$C$1,'Unique Asset List'!$C$3:$I$3,0))</f>
        <v>2024</v>
      </c>
      <c r="Y36" s="9">
        <f>INDEX('Unique Asset List'!$J$4:$P$60,MATCH('2'!$B36,'Unique Asset List'!$A$4:$A$60,0),MATCH('2'!$C$1,'Unique Asset List'!$J$3:$P$3,0))</f>
        <v>9</v>
      </c>
      <c r="Z36" s="9">
        <f>INDEX('Unique Asset List'!$X$4:$AD$60,MATCH('2'!$B36,'Unique Asset List'!$A$4:$A$60,0),MATCH('2'!$C$1,'Unique Asset List'!$X$3:$AD$3,0))</f>
        <v>2036</v>
      </c>
      <c r="AA36" s="9">
        <f>INDEX('Unique Asset List'!$AE$4:$AK$60,MATCH('2'!$B36,'Unique Asset List'!$A$4:$A$60,0),MATCH('2'!$C$1,'Unique Asset List'!$AE$3:$AK$3,0))</f>
        <v>9</v>
      </c>
      <c r="AB36" s="16">
        <f t="shared" si="1"/>
        <v>1.6860000000000002</v>
      </c>
      <c r="AC36" s="16">
        <f t="shared" si="2"/>
        <v>0.7529247</v>
      </c>
      <c r="AD36" s="16">
        <f t="shared" si="3"/>
        <v>0.56099999999999994</v>
      </c>
      <c r="AE36" s="15">
        <f>INDEX('Unique Asset List'!$BN$4:$BT$60,MATCH('2'!$B36,'Unique Asset List'!$A$4:$A$60,0),MATCH('2'!$C$1,'Unique Asset List'!$BN$3:$BT$3,0))</f>
        <v>0.2</v>
      </c>
      <c r="AF36" s="15">
        <f>INDEX('Unique Asset List'!$BU$4:$CA$60,MATCH('2'!$B36,'Unique Asset List'!$A$4:$A$60,0),MATCH('2'!$C$1,'Unique Asset List'!$BU$3:$CA$3,0))</f>
        <v>0.3</v>
      </c>
      <c r="AG36" s="15">
        <f>INDEX('Unique Asset List'!$AZ$4:$BF$60,MATCH('2'!$B36,'Unique Asset List'!$A$4:$A$60,0),MATCH('2'!$C$1,'Unique Asset List'!$AZ$3:$BF$3,0))</f>
        <v>0.2</v>
      </c>
      <c r="AH36" s="15">
        <f>INDEX('Unique Asset List'!$BG$4:$BM$60,MATCH('2'!$B36,'Unique Asset List'!$A$4:$A$60,0),MATCH('2'!$C$1,'Unique Asset List'!$BG$3:$BM$3,0))</f>
        <v>0.3</v>
      </c>
      <c r="AI36" s="11">
        <v>0.96187963349867744</v>
      </c>
      <c r="AJ36" s="15">
        <f>INDEX('Unique Asset List'!$AL$4:$AR$60,MATCH('2'!$B36,'Unique Asset List'!$A$4:$A$60,0),MATCH('2'!$C$1,'Unique Asset List'!$AL$3:$AR$3,0))</f>
        <v>2.2612105538192599</v>
      </c>
      <c r="AK36" s="15">
        <f>INDEX('Unique Asset List'!$AS$4:$AY$60,MATCH('2'!$B36,'Unique Asset List'!$A$4:$A$60,0),MATCH('2'!$C$1,'Unique Asset List'!$AS$3:$AY$3,0))</f>
        <v>-1.7475682675103321</v>
      </c>
      <c r="AL36" s="9">
        <v>169</v>
      </c>
      <c r="AM36" s="14">
        <f>INDEX(Simulation!$B$6:$H$6,MATCH($A36,Simulation!$B$1:$H$1,0))*(1+AN36)^((DATE(X36,Y36,15)-DATE(2017,1,15))/365.5)</f>
        <v>3.5</v>
      </c>
      <c r="AN36" s="12">
        <v>0</v>
      </c>
      <c r="AO36" s="13">
        <v>0.1</v>
      </c>
      <c r="AP36" s="11">
        <v>0.82</v>
      </c>
      <c r="AQ36" s="12">
        <v>0</v>
      </c>
      <c r="AR36" s="11">
        <f t="shared" si="4"/>
        <v>0.82</v>
      </c>
      <c r="AS36" s="10">
        <v>1</v>
      </c>
      <c r="AT36" s="4">
        <f>IF($C$5="ON",BT36,MyRating(_E1,$B36,Efficacy!$F$1))</f>
        <v>3</v>
      </c>
      <c r="AU36" s="3">
        <f>IF($C$5="ON",BU36,MyRating(_E2,$B36,Efficacy!$F$1))</f>
        <v>3</v>
      </c>
      <c r="AV36" s="3">
        <f>IF($C$5="ON",BV36,MyRating(_E3,$B36,Efficacy!$F$1))</f>
        <v>3</v>
      </c>
      <c r="AW36" s="3">
        <f>IF($C$5="ON",BW36,MyRating(_E4,$B36,Efficacy!$F$1))</f>
        <v>3</v>
      </c>
      <c r="AX36" s="3">
        <f>IF($C$5="ON",BX36,MyRating(_E5,$B36,Efficacy!$F$1))</f>
        <v>3</v>
      </c>
      <c r="AY36" s="3">
        <f>IF($C$5="ON",BY36,MyRating(_E6,$B36,Efficacy!$F$1))</f>
        <v>3</v>
      </c>
      <c r="AZ36" s="3">
        <f>IF($C$5="ON",BZ36,MyRating(_E7,$B36,Efficacy!$F$1))</f>
        <v>3</v>
      </c>
      <c r="BA36" s="3">
        <f>IF($C$5="ON",CA36,MyRating(_E8,$B36,Efficacy!$F$1))</f>
        <v>3</v>
      </c>
      <c r="BB36" s="3">
        <f>IF($C$5="ON",CB36,MyRating(_S1,$B36,'S&amp;T'!$F$1))</f>
        <v>3</v>
      </c>
      <c r="BC36" s="3">
        <f>IF($C$5="ON",CC36,MyRating(_S2,$B36,'S&amp;T'!$F$1))</f>
        <v>3</v>
      </c>
      <c r="BD36" s="3">
        <f>IF($C$5="ON",CD36,MyRating(_S3,$B36,'S&amp;T'!$F$1))</f>
        <v>3</v>
      </c>
      <c r="BE36" s="3">
        <f>IF($C$5="ON",CE36,MyRating(_S4,$B36,'S&amp;T'!$F$1))</f>
        <v>3</v>
      </c>
      <c r="BF36" s="3">
        <f>IF($C$5="ON",CF36,MyRating(_S5,$B36,'S&amp;T'!$F$1))</f>
        <v>3</v>
      </c>
      <c r="BG36" s="3">
        <f>IF($C$5="ON",CG36,MyRating(_S6,$B36,'S&amp;T'!$F$1))</f>
        <v>3</v>
      </c>
      <c r="BH36" s="3">
        <f>IF($C$5="ON",CH36,MyRating(_S7,$B36,'S&amp;T'!$F$1))</f>
        <v>3</v>
      </c>
      <c r="BI36" s="3">
        <f>IF($C$5="ON",CI36,MyRating(_D1,$B36,Delivery!$F$1))</f>
        <v>3</v>
      </c>
      <c r="BJ36" s="3">
        <f>IF($C$5="ON",CJ36,MyRating(_D2,$B36,Delivery!$F$1))</f>
        <v>3</v>
      </c>
      <c r="BK36" s="3">
        <f>IF($C$5="ON",CK36,MyRating(_D3,$B36,Delivery!$F$1))</f>
        <v>3</v>
      </c>
      <c r="BL36" s="3">
        <f>IF($C$5="ON",CL36,MyRating(_D4,$B36,Delivery!$F$1))</f>
        <v>3</v>
      </c>
      <c r="BM36" s="3">
        <f>IF($C$5="ON",CM36,MyRating(_B1G5,$B36,Barrier!$L$2))</f>
        <v>2</v>
      </c>
      <c r="BN36" s="3">
        <f>IF($C$5="ON",CN36,MyRating(_B2,$B36,Barrier!$F$2))</f>
        <v>3</v>
      </c>
      <c r="BO36" s="6">
        <f>IF($C$5="ON",CO36,MyRating(_B3,$B36,Barrier!$F$2))</f>
        <v>3</v>
      </c>
      <c r="BP36" s="5">
        <f t="shared" si="5"/>
        <v>3.6275844714639842E-2</v>
      </c>
      <c r="BQ36" s="8">
        <f t="shared" si="6"/>
        <v>2.9499999999999997</v>
      </c>
      <c r="BR36" s="5">
        <f t="shared" si="7"/>
        <v>3.60415394013439E-2</v>
      </c>
      <c r="BS36" s="7">
        <f t="shared" si="8"/>
        <v>1.8542316878791175E-2</v>
      </c>
      <c r="BT36" s="4">
        <v>3</v>
      </c>
      <c r="BU36" s="3">
        <v>3</v>
      </c>
      <c r="BV36" s="3">
        <v>3</v>
      </c>
      <c r="BW36" s="3">
        <v>3</v>
      </c>
      <c r="BX36" s="3">
        <v>3</v>
      </c>
      <c r="BY36" s="3">
        <v>3</v>
      </c>
      <c r="BZ36" s="3">
        <v>3</v>
      </c>
      <c r="CA36" s="3">
        <v>3</v>
      </c>
      <c r="CB36" s="3">
        <v>3</v>
      </c>
      <c r="CC36" s="3">
        <v>3</v>
      </c>
      <c r="CD36" s="3">
        <v>3</v>
      </c>
      <c r="CE36" s="3">
        <v>3</v>
      </c>
      <c r="CF36" s="3">
        <v>3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2</v>
      </c>
      <c r="CN36" s="3">
        <v>3</v>
      </c>
      <c r="CO36" s="6">
        <v>3</v>
      </c>
      <c r="CP36" s="5">
        <v>3.6275844714639842E-2</v>
      </c>
    </row>
    <row r="37" spans="1:94" x14ac:dyDescent="0.35">
      <c r="A37" s="9" t="s">
        <v>184</v>
      </c>
      <c r="B37" s="9" t="s">
        <v>45</v>
      </c>
      <c r="C37" s="20"/>
      <c r="D37" s="9" t="s">
        <v>44</v>
      </c>
      <c r="E37" s="9" t="s">
        <v>193</v>
      </c>
      <c r="F37" s="9" t="s">
        <v>43</v>
      </c>
      <c r="G37" s="19">
        <v>0</v>
      </c>
      <c r="H37" s="9">
        <v>2014</v>
      </c>
      <c r="I37" s="9">
        <v>6</v>
      </c>
      <c r="J37" s="18">
        <f>INDEX(PTRS!$D$6:$D$12,MATCH('2'!$F37,PTRS!$B$6:$B$12,0))</f>
        <v>0.40949999999999998</v>
      </c>
      <c r="K37" s="17">
        <v>0</v>
      </c>
      <c r="L37" s="17">
        <v>0.1044225</v>
      </c>
      <c r="M37" s="17">
        <v>0.40949999999999998</v>
      </c>
      <c r="N37" s="17">
        <v>0.41</v>
      </c>
      <c r="O37" s="17">
        <v>0.41</v>
      </c>
      <c r="P37" s="17">
        <v>0.1044225</v>
      </c>
      <c r="Q37" s="17">
        <v>0.1044225</v>
      </c>
      <c r="R37" s="17">
        <v>0.1044225</v>
      </c>
      <c r="S37" s="17">
        <v>1</v>
      </c>
      <c r="T37" s="17"/>
      <c r="U37" s="22">
        <v>0.73</v>
      </c>
      <c r="V37" s="17">
        <v>1</v>
      </c>
      <c r="W37" s="9" t="s">
        <v>42</v>
      </c>
      <c r="X37" s="9">
        <f>INDEX('Unique Asset List'!$C$4:$I$60,MATCH('2'!$B37,'Unique Asset List'!$A$4:$A$60,0),MATCH('2'!$C$1,'Unique Asset List'!$C$3:$I$3,0))</f>
        <v>2022</v>
      </c>
      <c r="Y37" s="9">
        <f>INDEX('Unique Asset List'!$J$4:$P$60,MATCH('2'!$B37,'Unique Asset List'!$A$4:$A$60,0),MATCH('2'!$C$1,'Unique Asset List'!$J$3:$P$3,0))</f>
        <v>1</v>
      </c>
      <c r="Z37" s="9">
        <f>INDEX('Unique Asset List'!$X$4:$AD$60,MATCH('2'!$B37,'Unique Asset List'!$A$4:$A$60,0),MATCH('2'!$C$1,'Unique Asset List'!$X$3:$AD$3,0))</f>
        <v>2035</v>
      </c>
      <c r="AA37" s="9">
        <f>INDEX('Unique Asset List'!$AE$4:$AK$60,MATCH('2'!$B37,'Unique Asset List'!$A$4:$A$60,0),MATCH('2'!$C$1,'Unique Asset List'!$AE$3:$AK$3,0))</f>
        <v>1</v>
      </c>
      <c r="AB37" s="23">
        <v>1.57</v>
      </c>
      <c r="AC37" s="23">
        <v>0.65</v>
      </c>
      <c r="AD37" s="23">
        <v>0.5</v>
      </c>
      <c r="AE37" s="15">
        <f>INDEX('Unique Asset List'!$BN$4:$BT$60,MATCH('2'!$B37,'Unique Asset List'!$A$4:$A$60,0),MATCH('2'!$C$1,'Unique Asset List'!$BN$3:$BT$3,0))</f>
        <v>0.2</v>
      </c>
      <c r="AF37" s="15">
        <f>INDEX('Unique Asset List'!$BU$4:$CA$60,MATCH('2'!$B37,'Unique Asset List'!$A$4:$A$60,0),MATCH('2'!$C$1,'Unique Asset List'!$BU$3:$CA$3,0))</f>
        <v>0.3</v>
      </c>
      <c r="AG37" s="15">
        <f>INDEX('Unique Asset List'!$AZ$4:$BF$60,MATCH('2'!$B37,'Unique Asset List'!$A$4:$A$60,0),MATCH('2'!$C$1,'Unique Asset List'!$AZ$3:$BF$3,0))</f>
        <v>0.2</v>
      </c>
      <c r="AH37" s="15">
        <f>INDEX('Unique Asset List'!$BG$4:$BM$60,MATCH('2'!$B37,'Unique Asset List'!$A$4:$A$60,0),MATCH('2'!$C$1,'Unique Asset List'!$BG$3:$BM$3,0))</f>
        <v>0.3</v>
      </c>
      <c r="AI37" s="11">
        <v>0.96187963349867744</v>
      </c>
      <c r="AJ37" s="15">
        <f>INDEX('Unique Asset List'!$AL$4:$AR$60,MATCH('2'!$B37,'Unique Asset List'!$A$4:$A$60,0),MATCH('2'!$C$1,'Unique Asset List'!$AL$3:$AR$3,0))</f>
        <v>2.2612105538192599</v>
      </c>
      <c r="AK37" s="15">
        <f>INDEX('Unique Asset List'!$AS$4:$AY$60,MATCH('2'!$B37,'Unique Asset List'!$A$4:$A$60,0),MATCH('2'!$C$1,'Unique Asset List'!$AS$3:$AY$3,0))</f>
        <v>-1.7475682675103321</v>
      </c>
      <c r="AL37" s="9">
        <v>169</v>
      </c>
      <c r="AM37" s="14">
        <f>INDEX(Simulation!$B$6:$H$6,MATCH($A37,Simulation!$B$1:$H$1,0))*(1+AN37)^((DATE(X37,Y37,15)-DATE(2017,1,15))/365.5)</f>
        <v>3.5</v>
      </c>
      <c r="AN37" s="12">
        <v>0</v>
      </c>
      <c r="AO37" s="13">
        <v>0.1</v>
      </c>
      <c r="AP37" s="11">
        <v>0.82</v>
      </c>
      <c r="AQ37" s="12">
        <v>0</v>
      </c>
      <c r="AR37" s="11">
        <f t="shared" si="4"/>
        <v>0.82</v>
      </c>
      <c r="AS37" s="10">
        <v>1</v>
      </c>
      <c r="AT37" s="4">
        <f>IF($C$5="ON",BT37,MyRating(_E1,$B37,Efficacy!$F$1))</f>
        <v>0</v>
      </c>
      <c r="AU37" s="3">
        <f>IF($C$5="ON",BU37,MyRating(_E2,$B37,Efficacy!$F$1))</f>
        <v>0</v>
      </c>
      <c r="AV37" s="3">
        <f>IF($C$5="ON",BV37,MyRating(_E3,$B37,Efficacy!$F$1))</f>
        <v>0</v>
      </c>
      <c r="AW37" s="3">
        <f>IF($C$5="ON",BW37,MyRating(_E4,$B37,Efficacy!$F$1))</f>
        <v>0</v>
      </c>
      <c r="AX37" s="3">
        <f>IF($C$5="ON",BX37,MyRating(_E5,$B37,Efficacy!$F$1))</f>
        <v>0</v>
      </c>
      <c r="AY37" s="3">
        <f>IF($C$5="ON",BY37,MyRating(_E6,$B37,Efficacy!$F$1))</f>
        <v>0</v>
      </c>
      <c r="AZ37" s="3">
        <f>IF($C$5="ON",BZ37,MyRating(_E7,$B37,Efficacy!$F$1))</f>
        <v>0</v>
      </c>
      <c r="BA37" s="3">
        <f>IF($C$5="ON",CA37,MyRating(_E8,$B37,Efficacy!$F$1))</f>
        <v>0</v>
      </c>
      <c r="BB37" s="3">
        <f>IF($C$5="ON",CB37,MyRating(_S1,$B37,'S&amp;T'!$F$1))</f>
        <v>0</v>
      </c>
      <c r="BC37" s="3">
        <f>IF($C$5="ON",CC37,MyRating(_S2,$B37,'S&amp;T'!$F$1))</f>
        <v>0</v>
      </c>
      <c r="BD37" s="3">
        <f>IF($C$5="ON",CD37,MyRating(_S3,$B37,'S&amp;T'!$F$1))</f>
        <v>0</v>
      </c>
      <c r="BE37" s="3">
        <f>IF($C$5="ON",CE37,MyRating(_S4,$B37,'S&amp;T'!$F$1))</f>
        <v>0</v>
      </c>
      <c r="BF37" s="3">
        <f>IF($C$5="ON",CF37,MyRating(_S5,$B37,'S&amp;T'!$F$1))</f>
        <v>0</v>
      </c>
      <c r="BG37" s="3">
        <f>IF($C$5="ON",CG37,MyRating(_S6,$B37,'S&amp;T'!$F$1))</f>
        <v>0</v>
      </c>
      <c r="BH37" s="3">
        <f>IF($C$5="ON",CH37,MyRating(_S7,$B37,'S&amp;T'!$F$1))</f>
        <v>0</v>
      </c>
      <c r="BI37" s="3">
        <f>IF($C$5="ON",CI37,MyRating(_D1,$B37,Delivery!$F$1))</f>
        <v>0</v>
      </c>
      <c r="BJ37" s="3">
        <f>IF($C$5="ON",CJ37,MyRating(_D2,$B37,Delivery!$F$1))</f>
        <v>0</v>
      </c>
      <c r="BK37" s="3">
        <f>IF($C$5="ON",CK37,MyRating(_D3,$B37,Delivery!$F$1))</f>
        <v>0</v>
      </c>
      <c r="BL37" s="3">
        <f>IF($C$5="ON",CL37,MyRating(_D4,$B37,Delivery!$F$1))</f>
        <v>0</v>
      </c>
      <c r="BM37" s="3">
        <f>IF($C$5="ON",CM37,MyRating(_B1G5,$B37,Barrier!$L$2))</f>
        <v>0</v>
      </c>
      <c r="BN37" s="3">
        <f>IF($C$5="ON",CN37,MyRating(_B2,$B37,Barrier!$F$2))</f>
        <v>0</v>
      </c>
      <c r="BO37" s="6">
        <f>IF($C$5="ON",CO37,MyRating(_B3,$B37,Barrier!$F$2))</f>
        <v>0</v>
      </c>
      <c r="BP37" s="5">
        <f t="shared" si="5"/>
        <v>0</v>
      </c>
      <c r="BQ37" s="8">
        <f t="shared" si="6"/>
        <v>0</v>
      </c>
      <c r="BR37" s="5">
        <f t="shared" si="7"/>
        <v>0</v>
      </c>
      <c r="BS37" s="7">
        <f t="shared" si="8"/>
        <v>0</v>
      </c>
      <c r="BT37" s="4">
        <v>0</v>
      </c>
      <c r="BU37" s="3">
        <v>0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6">
        <v>0</v>
      </c>
      <c r="CP37" s="5">
        <v>0</v>
      </c>
    </row>
    <row r="38" spans="1:94" x14ac:dyDescent="0.35">
      <c r="A38" s="9" t="s">
        <v>184</v>
      </c>
      <c r="B38" s="9" t="s">
        <v>41</v>
      </c>
      <c r="C38" s="20"/>
      <c r="D38" s="9" t="s">
        <v>194</v>
      </c>
      <c r="E38" s="9" t="s">
        <v>193</v>
      </c>
      <c r="F38" s="9" t="s">
        <v>1</v>
      </c>
      <c r="G38" s="19">
        <v>0</v>
      </c>
      <c r="H38" s="9">
        <v>2014</v>
      </c>
      <c r="I38" s="9">
        <v>6</v>
      </c>
      <c r="J38" s="18">
        <f>INDEX(PTRS!$D$6:$D$12,MATCH('2'!$F38,PTRS!$B$6:$B$12,0))</f>
        <v>0.1044225</v>
      </c>
      <c r="K38" s="17">
        <v>0</v>
      </c>
      <c r="L38" s="17">
        <v>0.1044225</v>
      </c>
      <c r="M38" s="17">
        <v>0.1044225</v>
      </c>
      <c r="N38" s="17">
        <v>0.1044225</v>
      </c>
      <c r="O38" s="17">
        <v>0.1044225</v>
      </c>
      <c r="P38" s="17">
        <v>0.1044225</v>
      </c>
      <c r="Q38" s="17">
        <v>0.1044225</v>
      </c>
      <c r="R38" s="17">
        <v>0.1044225</v>
      </c>
      <c r="S38" s="17">
        <v>1</v>
      </c>
      <c r="T38" s="17" t="s">
        <v>39</v>
      </c>
      <c r="U38" s="22">
        <v>0.72649652910676854</v>
      </c>
      <c r="V38" s="17">
        <v>1</v>
      </c>
      <c r="W38" s="59" t="s">
        <v>38</v>
      </c>
      <c r="X38" s="9">
        <f>INDEX('Unique Asset List'!$C$4:$I$60,MATCH('2'!$B38,'Unique Asset List'!$A$4:$A$60,0),MATCH('2'!$C$1,'Unique Asset List'!$C$3:$I$3,0))</f>
        <v>2028</v>
      </c>
      <c r="Y38" s="9">
        <f>INDEX('Unique Asset List'!$J$4:$P$60,MATCH('2'!$B38,'Unique Asset List'!$A$4:$A$60,0),MATCH('2'!$C$1,'Unique Asset List'!$J$3:$P$3,0))</f>
        <v>3</v>
      </c>
      <c r="Z38" s="9">
        <f>INDEX('Unique Asset List'!$X$4:$AD$60,MATCH('2'!$B38,'Unique Asset List'!$A$4:$A$60,0),MATCH('2'!$C$1,'Unique Asset List'!$X$3:$AD$3,0))</f>
        <v>2038</v>
      </c>
      <c r="AA38" s="9">
        <f>INDEX('Unique Asset List'!$AE$4:$AK$60,MATCH('2'!$B38,'Unique Asset List'!$A$4:$A$60,0),MATCH('2'!$C$1,'Unique Asset List'!$AE$3:$AK$3,0))</f>
        <v>3</v>
      </c>
      <c r="AB38" s="16">
        <f>AB20</f>
        <v>1.7951404000000002</v>
      </c>
      <c r="AC38" s="16">
        <f>AC20</f>
        <v>0.94451300000000005</v>
      </c>
      <c r="AD38" s="16">
        <f>AD20</f>
        <v>0.52097279586</v>
      </c>
      <c r="AE38" s="15">
        <f>INDEX('Unique Asset List'!$BN$4:$BT$60,MATCH('2'!$B38,'Unique Asset List'!$A$4:$A$60,0),MATCH('2'!$C$1,'Unique Asset List'!$BN$3:$BT$3,0))</f>
        <v>0.2</v>
      </c>
      <c r="AF38" s="15">
        <f>INDEX('Unique Asset List'!$BU$4:$CA$60,MATCH('2'!$B38,'Unique Asset List'!$A$4:$A$60,0),MATCH('2'!$C$1,'Unique Asset List'!$BU$3:$CA$3,0))</f>
        <v>0.3</v>
      </c>
      <c r="AG38" s="15">
        <f>INDEX('Unique Asset List'!$AZ$4:$BF$60,MATCH('2'!$B38,'Unique Asset List'!$A$4:$A$60,0),MATCH('2'!$C$1,'Unique Asset List'!$AZ$3:$BF$3,0))</f>
        <v>0.2</v>
      </c>
      <c r="AH38" s="15">
        <f>INDEX('Unique Asset List'!$BG$4:$BM$60,MATCH('2'!$B38,'Unique Asset List'!$A$4:$A$60,0),MATCH('2'!$C$1,'Unique Asset List'!$BG$3:$BM$3,0))</f>
        <v>0.3</v>
      </c>
      <c r="AI38" s="11">
        <v>0.96187963349867744</v>
      </c>
      <c r="AJ38" s="15">
        <f>INDEX('Unique Asset List'!$AL$4:$AR$60,MATCH('2'!$B38,'Unique Asset List'!$A$4:$A$60,0),MATCH('2'!$C$1,'Unique Asset List'!$AL$3:$AR$3,0))</f>
        <v>2.2612105538192599</v>
      </c>
      <c r="AK38" s="15">
        <f>INDEX('Unique Asset List'!$AS$4:$AY$60,MATCH('2'!$B38,'Unique Asset List'!$A$4:$A$60,0),MATCH('2'!$C$1,'Unique Asset List'!$AS$3:$AY$3,0))</f>
        <v>-1.7475682675103321</v>
      </c>
      <c r="AL38" s="9">
        <v>169</v>
      </c>
      <c r="AM38" s="14">
        <f>INDEX(Simulation!$B$6:$H$6,MATCH($A38,Simulation!$B$1:$H$1,0))*(1+AN38)^((DATE(X38,Y38,15)-DATE(2017,1,15))/365.5)</f>
        <v>3.5</v>
      </c>
      <c r="AN38" s="12">
        <v>0</v>
      </c>
      <c r="AO38" s="13">
        <v>0.1</v>
      </c>
      <c r="AP38" s="11">
        <v>0.82</v>
      </c>
      <c r="AQ38" s="12">
        <v>0</v>
      </c>
      <c r="AR38" s="11">
        <f t="shared" si="4"/>
        <v>0.82</v>
      </c>
      <c r="AS38" s="10">
        <v>1</v>
      </c>
      <c r="AT38" s="4">
        <f>IF($C$5="ON",BT38,MyRating(_E1,$B38,Efficacy!$F$1))</f>
        <v>0</v>
      </c>
      <c r="AU38" s="3">
        <f>IF($C$5="ON",BU38,MyRating(_E2,$B38,Efficacy!$F$1))</f>
        <v>0</v>
      </c>
      <c r="AV38" s="3">
        <f>IF($C$5="ON",BV38,MyRating(_E3,$B38,Efficacy!$F$1))</f>
        <v>0</v>
      </c>
      <c r="AW38" s="3">
        <f>IF($C$5="ON",BW38,MyRating(_E4,$B38,Efficacy!$F$1))</f>
        <v>0</v>
      </c>
      <c r="AX38" s="3">
        <f>IF($C$5="ON",BX38,MyRating(_E5,$B38,Efficacy!$F$1))</f>
        <v>0</v>
      </c>
      <c r="AY38" s="3">
        <f>IF($C$5="ON",BY38,MyRating(_E6,$B38,Efficacy!$F$1))</f>
        <v>0</v>
      </c>
      <c r="AZ38" s="3">
        <f>IF($C$5="ON",BZ38,MyRating(_E7,$B38,Efficacy!$F$1))</f>
        <v>0</v>
      </c>
      <c r="BA38" s="3">
        <f>IF($C$5="ON",CA38,MyRating(_E8,$B38,Efficacy!$F$1))</f>
        <v>0</v>
      </c>
      <c r="BB38" s="3">
        <f>IF($C$5="ON",CB38,MyRating(_S1,$B38,'S&amp;T'!$F$1))</f>
        <v>0</v>
      </c>
      <c r="BC38" s="3">
        <f>IF($C$5="ON",CC38,MyRating(_S2,$B38,'S&amp;T'!$F$1))</f>
        <v>0</v>
      </c>
      <c r="BD38" s="3">
        <f>IF($C$5="ON",CD38,MyRating(_S3,$B38,'S&amp;T'!$F$1))</f>
        <v>0</v>
      </c>
      <c r="BE38" s="3">
        <f>IF($C$5="ON",CE38,MyRating(_S4,$B38,'S&amp;T'!$F$1))</f>
        <v>0</v>
      </c>
      <c r="BF38" s="3">
        <f>IF($C$5="ON",CF38,MyRating(_S5,$B38,'S&amp;T'!$F$1))</f>
        <v>0</v>
      </c>
      <c r="BG38" s="3">
        <f>IF($C$5="ON",CG38,MyRating(_S6,$B38,'S&amp;T'!$F$1))</f>
        <v>0</v>
      </c>
      <c r="BH38" s="3">
        <f>IF($C$5="ON",CH38,MyRating(_S7,$B38,'S&amp;T'!$F$1))</f>
        <v>0</v>
      </c>
      <c r="BI38" s="3">
        <f>IF($C$5="ON",CI38,MyRating(_D1,$B38,Delivery!$F$1))</f>
        <v>0</v>
      </c>
      <c r="BJ38" s="3">
        <f>IF($C$5="ON",CJ38,MyRating(_D2,$B38,Delivery!$F$1))</f>
        <v>0</v>
      </c>
      <c r="BK38" s="3">
        <f>IF($C$5="ON",CK38,MyRating(_D3,$B38,Delivery!$F$1))</f>
        <v>0</v>
      </c>
      <c r="BL38" s="3">
        <f>IF($C$5="ON",CL38,MyRating(_D4,$B38,Delivery!$F$1))</f>
        <v>0</v>
      </c>
      <c r="BM38" s="3">
        <f>IF($C$5="ON",CM38,MyRating(_B1G5,$B38,Barrier!$L$2))</f>
        <v>0</v>
      </c>
      <c r="BN38" s="3">
        <f>IF($C$5="ON",CN38,MyRating(_B2,$B38,Barrier!$F$2))</f>
        <v>0</v>
      </c>
      <c r="BO38" s="6">
        <f>IF($C$5="ON",CO38,MyRating(_B3,$B38,Barrier!$F$2))</f>
        <v>0</v>
      </c>
      <c r="BP38" s="5">
        <f t="shared" si="5"/>
        <v>0</v>
      </c>
      <c r="BQ38" s="8">
        <f t="shared" si="6"/>
        <v>0</v>
      </c>
      <c r="BR38" s="5">
        <f t="shared" si="7"/>
        <v>0</v>
      </c>
      <c r="BS38" s="7">
        <f t="shared" si="8"/>
        <v>0</v>
      </c>
      <c r="BT38" s="4">
        <v>0</v>
      </c>
      <c r="BU38" s="3">
        <v>0</v>
      </c>
      <c r="BV38" s="3">
        <v>0</v>
      </c>
      <c r="BW38" s="3">
        <v>0</v>
      </c>
      <c r="BX38" s="3">
        <v>0</v>
      </c>
      <c r="BY38" s="3">
        <v>0</v>
      </c>
      <c r="BZ38" s="3">
        <v>0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6">
        <v>0</v>
      </c>
      <c r="CP38" s="5">
        <v>0</v>
      </c>
    </row>
    <row r="39" spans="1:94" x14ac:dyDescent="0.35">
      <c r="A39" s="9" t="s">
        <v>184</v>
      </c>
      <c r="B39" s="9" t="s">
        <v>37</v>
      </c>
      <c r="C39" s="20"/>
      <c r="D39" s="9" t="s">
        <v>36</v>
      </c>
      <c r="E39" s="9" t="s">
        <v>193</v>
      </c>
      <c r="F39" s="9" t="s">
        <v>1</v>
      </c>
      <c r="G39" s="19">
        <v>0</v>
      </c>
      <c r="H39" s="9">
        <v>2014</v>
      </c>
      <c r="I39" s="9">
        <v>6</v>
      </c>
      <c r="J39" s="18">
        <f>INDEX(PTRS!$D$6:$D$12,MATCH('2'!$F39,PTRS!$B$6:$B$12,0))</f>
        <v>0.1044225</v>
      </c>
      <c r="K39" s="17">
        <v>0</v>
      </c>
      <c r="L39" s="17">
        <v>0.1044225</v>
      </c>
      <c r="M39" s="17">
        <v>0.1044225</v>
      </c>
      <c r="N39" s="17">
        <v>0.1044225</v>
      </c>
      <c r="O39" s="17">
        <v>0.1044225</v>
      </c>
      <c r="P39" s="17">
        <v>0.1044225</v>
      </c>
      <c r="Q39" s="17">
        <v>0.1044225</v>
      </c>
      <c r="R39" s="17">
        <v>0.1044225</v>
      </c>
      <c r="S39" s="17">
        <v>1</v>
      </c>
      <c r="T39" s="17" t="s">
        <v>35</v>
      </c>
      <c r="U39" s="22">
        <v>0.72649652910676854</v>
      </c>
      <c r="V39" s="17">
        <v>1</v>
      </c>
      <c r="W39" s="9" t="s">
        <v>34</v>
      </c>
      <c r="X39" s="9">
        <f>INDEX('Unique Asset List'!$C$4:$I$60,MATCH('2'!$B39,'Unique Asset List'!$A$4:$A$60,0),MATCH('2'!$C$1,'Unique Asset List'!$C$3:$I$3,0))</f>
        <v>2033</v>
      </c>
      <c r="Y39" s="9">
        <f>INDEX('Unique Asset List'!$J$4:$P$60,MATCH('2'!$B39,'Unique Asset List'!$A$4:$A$60,0),MATCH('2'!$C$1,'Unique Asset List'!$J$3:$P$3,0))</f>
        <v>2</v>
      </c>
      <c r="Z39" s="9">
        <f>INDEX('Unique Asset List'!$X$4:$AD$60,MATCH('2'!$B39,'Unique Asset List'!$A$4:$A$60,0),MATCH('2'!$C$1,'Unique Asset List'!$X$3:$AD$3,0))</f>
        <v>2043</v>
      </c>
      <c r="AA39" s="9">
        <f>INDEX('Unique Asset List'!$AE$4:$AK$60,MATCH('2'!$B39,'Unique Asset List'!$A$4:$A$60,0),MATCH('2'!$C$1,'Unique Asset List'!$AE$3:$AK$3,0))</f>
        <v>2</v>
      </c>
      <c r="AB39" s="16">
        <f>AB28</f>
        <v>2.0908086000000004</v>
      </c>
      <c r="AC39" s="16">
        <f>AC28</f>
        <v>0.97325250000000008</v>
      </c>
      <c r="AD39" s="16">
        <f>AD28</f>
        <v>0.56099999999999994</v>
      </c>
      <c r="AE39" s="15">
        <f>INDEX('Unique Asset List'!$BN$4:$BT$60,MATCH('2'!$B39,'Unique Asset List'!$A$4:$A$60,0),MATCH('2'!$C$1,'Unique Asset List'!$BN$3:$BT$3,0))</f>
        <v>0.2</v>
      </c>
      <c r="AF39" s="15">
        <f>INDEX('Unique Asset List'!$BU$4:$CA$60,MATCH('2'!$B39,'Unique Asset List'!$A$4:$A$60,0),MATCH('2'!$C$1,'Unique Asset List'!$BU$3:$CA$3,0))</f>
        <v>0.3</v>
      </c>
      <c r="AG39" s="15">
        <f>INDEX('Unique Asset List'!$AZ$4:$BF$60,MATCH('2'!$B39,'Unique Asset List'!$A$4:$A$60,0),MATCH('2'!$C$1,'Unique Asset List'!$AZ$3:$BF$3,0))</f>
        <v>0.2</v>
      </c>
      <c r="AH39" s="15">
        <f>INDEX('Unique Asset List'!$BG$4:$BM$60,MATCH('2'!$B39,'Unique Asset List'!$A$4:$A$60,0),MATCH('2'!$C$1,'Unique Asset List'!$BG$3:$BM$3,0))</f>
        <v>0.3</v>
      </c>
      <c r="AI39" s="11">
        <v>0.96187963349867744</v>
      </c>
      <c r="AJ39" s="15">
        <f>INDEX('Unique Asset List'!$AL$4:$AR$60,MATCH('2'!$B39,'Unique Asset List'!$A$4:$A$60,0),MATCH('2'!$C$1,'Unique Asset List'!$AL$3:$AR$3,0))</f>
        <v>2.2612105538192599</v>
      </c>
      <c r="AK39" s="15">
        <f>INDEX('Unique Asset List'!$AS$4:$AY$60,MATCH('2'!$B39,'Unique Asset List'!$A$4:$A$60,0),MATCH('2'!$C$1,'Unique Asset List'!$AS$3:$AY$3,0))</f>
        <v>-1.7475682675103321</v>
      </c>
      <c r="AL39" s="9">
        <v>169</v>
      </c>
      <c r="AM39" s="14">
        <f>INDEX(Simulation!$B$6:$H$6,MATCH($A39,Simulation!$B$1:$H$1,0))*(1+AN39)^((DATE(X39,Y39,15)-DATE(2017,1,15))/365.5)</f>
        <v>3.5</v>
      </c>
      <c r="AN39" s="12">
        <v>0</v>
      </c>
      <c r="AO39" s="13">
        <v>0.1</v>
      </c>
      <c r="AP39" s="11">
        <v>0.82</v>
      </c>
      <c r="AQ39" s="12">
        <v>0</v>
      </c>
      <c r="AR39" s="11">
        <f t="shared" si="4"/>
        <v>0.82</v>
      </c>
      <c r="AS39" s="10">
        <v>1</v>
      </c>
      <c r="AT39" s="4">
        <f>IF($C$5="ON",BT39,MyRating(_E1,$B39,Efficacy!$F$1))</f>
        <v>0</v>
      </c>
      <c r="AU39" s="3">
        <f>IF($C$5="ON",BU39,MyRating(_E2,$B39,Efficacy!$F$1))</f>
        <v>0</v>
      </c>
      <c r="AV39" s="3">
        <f>IF($C$5="ON",BV39,MyRating(_E3,$B39,Efficacy!$F$1))</f>
        <v>0</v>
      </c>
      <c r="AW39" s="3">
        <f>IF($C$5="ON",BW39,MyRating(_E4,$B39,Efficacy!$F$1))</f>
        <v>0</v>
      </c>
      <c r="AX39" s="3">
        <f>IF($C$5="ON",BX39,MyRating(_E5,$B39,Efficacy!$F$1))</f>
        <v>0</v>
      </c>
      <c r="AY39" s="3">
        <f>IF($C$5="ON",BY39,MyRating(_E6,$B39,Efficacy!$F$1))</f>
        <v>0</v>
      </c>
      <c r="AZ39" s="3">
        <f>IF($C$5="ON",BZ39,MyRating(_E7,$B39,Efficacy!$F$1))</f>
        <v>0</v>
      </c>
      <c r="BA39" s="3">
        <f>IF($C$5="ON",CA39,MyRating(_E8,$B39,Efficacy!$F$1))</f>
        <v>0</v>
      </c>
      <c r="BB39" s="3">
        <f>IF($C$5="ON",CB39,MyRating(_S1,$B39,'S&amp;T'!$F$1))</f>
        <v>0</v>
      </c>
      <c r="BC39" s="3">
        <f>IF($C$5="ON",CC39,MyRating(_S2,$B39,'S&amp;T'!$F$1))</f>
        <v>0</v>
      </c>
      <c r="BD39" s="3">
        <f>IF($C$5="ON",CD39,MyRating(_S3,$B39,'S&amp;T'!$F$1))</f>
        <v>0</v>
      </c>
      <c r="BE39" s="3">
        <f>IF($C$5="ON",CE39,MyRating(_S4,$B39,'S&amp;T'!$F$1))</f>
        <v>0</v>
      </c>
      <c r="BF39" s="3">
        <f>IF($C$5="ON",CF39,MyRating(_S5,$B39,'S&amp;T'!$F$1))</f>
        <v>0</v>
      </c>
      <c r="BG39" s="3">
        <f>IF($C$5="ON",CG39,MyRating(_S6,$B39,'S&amp;T'!$F$1))</f>
        <v>0</v>
      </c>
      <c r="BH39" s="3">
        <f>IF($C$5="ON",CH39,MyRating(_S7,$B39,'S&amp;T'!$F$1))</f>
        <v>0</v>
      </c>
      <c r="BI39" s="3">
        <f>IF($C$5="ON",CI39,MyRating(_D1,$B39,Delivery!$F$1))</f>
        <v>0</v>
      </c>
      <c r="BJ39" s="3">
        <f>IF($C$5="ON",CJ39,MyRating(_D2,$B39,Delivery!$F$1))</f>
        <v>0</v>
      </c>
      <c r="BK39" s="3">
        <f>IF($C$5="ON",CK39,MyRating(_D3,$B39,Delivery!$F$1))</f>
        <v>0</v>
      </c>
      <c r="BL39" s="3">
        <f>IF($C$5="ON",CL39,MyRating(_D4,$B39,Delivery!$F$1))</f>
        <v>0</v>
      </c>
      <c r="BM39" s="3">
        <f>IF($C$5="ON",CM39,MyRating(_B1G5,$B39,Barrier!$L$2))</f>
        <v>0</v>
      </c>
      <c r="BN39" s="3">
        <f>IF($C$5="ON",CN39,MyRating(_B2,$B39,Barrier!$F$2))</f>
        <v>0</v>
      </c>
      <c r="BO39" s="6">
        <f>IF($C$5="ON",CO39,MyRating(_B3,$B39,Barrier!$F$2))</f>
        <v>0</v>
      </c>
      <c r="BP39" s="5">
        <f t="shared" si="5"/>
        <v>0</v>
      </c>
      <c r="BQ39" s="8">
        <f t="shared" si="6"/>
        <v>0</v>
      </c>
      <c r="BR39" s="5">
        <f t="shared" si="7"/>
        <v>0</v>
      </c>
      <c r="BS39" s="7">
        <f t="shared" si="8"/>
        <v>0</v>
      </c>
      <c r="BT39" s="4">
        <v>0</v>
      </c>
      <c r="BU39" s="3">
        <v>0</v>
      </c>
      <c r="BV39" s="3">
        <v>0</v>
      </c>
      <c r="BW39" s="3">
        <v>0</v>
      </c>
      <c r="BX39" s="3">
        <v>0</v>
      </c>
      <c r="BY39" s="3">
        <v>0</v>
      </c>
      <c r="BZ39" s="3">
        <v>0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6">
        <v>0</v>
      </c>
      <c r="CP39" s="5">
        <v>0</v>
      </c>
    </row>
    <row r="40" spans="1:94" x14ac:dyDescent="0.35">
      <c r="A40" s="9" t="s">
        <v>184</v>
      </c>
      <c r="B40" s="9" t="s">
        <v>33</v>
      </c>
      <c r="C40" s="20"/>
      <c r="D40" s="9" t="s">
        <v>32</v>
      </c>
      <c r="E40" s="9" t="s">
        <v>193</v>
      </c>
      <c r="F40" s="9" t="s">
        <v>1</v>
      </c>
      <c r="G40" s="19">
        <v>0</v>
      </c>
      <c r="H40" s="9">
        <v>2014</v>
      </c>
      <c r="I40" s="9">
        <v>6</v>
      </c>
      <c r="J40" s="18">
        <f>INDEX(PTRS!$D$6:$D$12,MATCH('2'!$F40,PTRS!$B$6:$B$12,0))</f>
        <v>0.1044225</v>
      </c>
      <c r="K40" s="17">
        <v>0</v>
      </c>
      <c r="L40" s="17">
        <v>0.1044225</v>
      </c>
      <c r="M40" s="17">
        <v>0.1044225</v>
      </c>
      <c r="N40" s="17">
        <v>0.1044225</v>
      </c>
      <c r="O40" s="17">
        <v>0.1044225</v>
      </c>
      <c r="P40" s="17">
        <v>0.1044225</v>
      </c>
      <c r="Q40" s="17">
        <v>0.1044225</v>
      </c>
      <c r="R40" s="17">
        <v>0.1044225</v>
      </c>
      <c r="S40" s="17">
        <v>1</v>
      </c>
      <c r="T40" s="17" t="s">
        <v>31</v>
      </c>
      <c r="U40" s="22">
        <v>0.72649652910676854</v>
      </c>
      <c r="V40" s="17">
        <v>1</v>
      </c>
      <c r="W40" s="9" t="s">
        <v>31</v>
      </c>
      <c r="X40" s="9">
        <f>INDEX('Unique Asset List'!$C$4:$I$60,MATCH('2'!$B40,'Unique Asset List'!$A$4:$A$60,0),MATCH('2'!$C$1,'Unique Asset List'!$C$3:$I$3,0))</f>
        <v>2032</v>
      </c>
      <c r="Y40" s="9">
        <f>INDEX('Unique Asset List'!$J$4:$P$60,MATCH('2'!$B40,'Unique Asset List'!$A$4:$A$60,0),MATCH('2'!$C$1,'Unique Asset List'!$J$3:$P$3,0))</f>
        <v>2</v>
      </c>
      <c r="Z40" s="9">
        <f>INDEX('Unique Asset List'!$X$4:$AD$60,MATCH('2'!$B40,'Unique Asset List'!$A$4:$A$60,0),MATCH('2'!$C$1,'Unique Asset List'!$X$3:$AD$3,0))</f>
        <v>2042</v>
      </c>
      <c r="AA40" s="9">
        <f>INDEX('Unique Asset List'!$AE$4:$AK$60,MATCH('2'!$B40,'Unique Asset List'!$A$4:$A$60,0),MATCH('2'!$C$1,'Unique Asset List'!$AE$3:$AK$3,0))</f>
        <v>2</v>
      </c>
      <c r="AB40" s="16">
        <f>AB27</f>
        <v>2.1250906000000005</v>
      </c>
      <c r="AC40" s="16">
        <f>AC27</f>
        <v>0.97325250000000008</v>
      </c>
      <c r="AD40" s="16">
        <f>AD27</f>
        <v>0.56099999999999994</v>
      </c>
      <c r="AE40" s="15">
        <f>INDEX('Unique Asset List'!$BN$4:$BT$60,MATCH('2'!$B40,'Unique Asset List'!$A$4:$A$60,0),MATCH('2'!$C$1,'Unique Asset List'!$BN$3:$BT$3,0))</f>
        <v>0.2</v>
      </c>
      <c r="AF40" s="15">
        <f>INDEX('Unique Asset List'!$BU$4:$CA$60,MATCH('2'!$B40,'Unique Asset List'!$A$4:$A$60,0),MATCH('2'!$C$1,'Unique Asset List'!$BU$3:$CA$3,0))</f>
        <v>0.3</v>
      </c>
      <c r="AG40" s="15">
        <f>INDEX('Unique Asset List'!$AZ$4:$BF$60,MATCH('2'!$B40,'Unique Asset List'!$A$4:$A$60,0),MATCH('2'!$C$1,'Unique Asset List'!$AZ$3:$BF$3,0))</f>
        <v>0.2</v>
      </c>
      <c r="AH40" s="15">
        <f>INDEX('Unique Asset List'!$BG$4:$BM$60,MATCH('2'!$B40,'Unique Asset List'!$A$4:$A$60,0),MATCH('2'!$C$1,'Unique Asset List'!$BG$3:$BM$3,0))</f>
        <v>0.3</v>
      </c>
      <c r="AI40" s="11">
        <v>0.96187963349867744</v>
      </c>
      <c r="AJ40" s="15">
        <f>INDEX('Unique Asset List'!$AL$4:$AR$60,MATCH('2'!$B40,'Unique Asset List'!$A$4:$A$60,0),MATCH('2'!$C$1,'Unique Asset List'!$AL$3:$AR$3,0))</f>
        <v>2.2612105538192599</v>
      </c>
      <c r="AK40" s="15">
        <f>INDEX('Unique Asset List'!$AS$4:$AY$60,MATCH('2'!$B40,'Unique Asset List'!$A$4:$A$60,0),MATCH('2'!$C$1,'Unique Asset List'!$AS$3:$AY$3,0))</f>
        <v>-1.7475682675103321</v>
      </c>
      <c r="AL40" s="9">
        <v>169</v>
      </c>
      <c r="AM40" s="14">
        <f>INDEX(Simulation!$B$6:$H$6,MATCH($A40,Simulation!$B$1:$H$1,0))*(1+AN40)^((DATE(X40,Y40,15)-DATE(2017,1,15))/365.5)</f>
        <v>3.5</v>
      </c>
      <c r="AN40" s="12">
        <v>0</v>
      </c>
      <c r="AO40" s="13">
        <v>0.1</v>
      </c>
      <c r="AP40" s="11">
        <v>0.82</v>
      </c>
      <c r="AQ40" s="12">
        <v>0</v>
      </c>
      <c r="AR40" s="11">
        <f t="shared" si="4"/>
        <v>0.82</v>
      </c>
      <c r="AS40" s="10">
        <v>1</v>
      </c>
      <c r="AT40" s="4">
        <f>IF($C$5="ON",BT40,MyRating(_E1,$B40,Efficacy!$F$1))</f>
        <v>0</v>
      </c>
      <c r="AU40" s="3">
        <f>IF($C$5="ON",BU40,MyRating(_E2,$B40,Efficacy!$F$1))</f>
        <v>0</v>
      </c>
      <c r="AV40" s="3">
        <f>IF($C$5="ON",BV40,MyRating(_E3,$B40,Efficacy!$F$1))</f>
        <v>0</v>
      </c>
      <c r="AW40" s="3">
        <f>IF($C$5="ON",BW40,MyRating(_E4,$B40,Efficacy!$F$1))</f>
        <v>0</v>
      </c>
      <c r="AX40" s="3">
        <f>IF($C$5="ON",BX40,MyRating(_E5,$B40,Efficacy!$F$1))</f>
        <v>0</v>
      </c>
      <c r="AY40" s="3">
        <f>IF($C$5="ON",BY40,MyRating(_E6,$B40,Efficacy!$F$1))</f>
        <v>0</v>
      </c>
      <c r="AZ40" s="3">
        <f>IF($C$5="ON",BZ40,MyRating(_E7,$B40,Efficacy!$F$1))</f>
        <v>0</v>
      </c>
      <c r="BA40" s="3">
        <f>IF($C$5="ON",CA40,MyRating(_E8,$B40,Efficacy!$F$1))</f>
        <v>0</v>
      </c>
      <c r="BB40" s="3">
        <f>IF($C$5="ON",CB40,MyRating(_S1,$B40,'S&amp;T'!$F$1))</f>
        <v>0</v>
      </c>
      <c r="BC40" s="3">
        <f>IF($C$5="ON",CC40,MyRating(_S2,$B40,'S&amp;T'!$F$1))</f>
        <v>0</v>
      </c>
      <c r="BD40" s="3">
        <f>IF($C$5="ON",CD40,MyRating(_S3,$B40,'S&amp;T'!$F$1))</f>
        <v>0</v>
      </c>
      <c r="BE40" s="3">
        <f>IF($C$5="ON",CE40,MyRating(_S4,$B40,'S&amp;T'!$F$1))</f>
        <v>0</v>
      </c>
      <c r="BF40" s="3">
        <f>IF($C$5="ON",CF40,MyRating(_S5,$B40,'S&amp;T'!$F$1))</f>
        <v>0</v>
      </c>
      <c r="BG40" s="3">
        <f>IF($C$5="ON",CG40,MyRating(_S6,$B40,'S&amp;T'!$F$1))</f>
        <v>0</v>
      </c>
      <c r="BH40" s="3">
        <f>IF($C$5="ON",CH40,MyRating(_S7,$B40,'S&amp;T'!$F$1))</f>
        <v>0</v>
      </c>
      <c r="BI40" s="3">
        <f>IF($C$5="ON",CI40,MyRating(_D1,$B40,Delivery!$F$1))</f>
        <v>0</v>
      </c>
      <c r="BJ40" s="3">
        <f>IF($C$5="ON",CJ40,MyRating(_D2,$B40,Delivery!$F$1))</f>
        <v>0</v>
      </c>
      <c r="BK40" s="3">
        <f>IF($C$5="ON",CK40,MyRating(_D3,$B40,Delivery!$F$1))</f>
        <v>0</v>
      </c>
      <c r="BL40" s="3">
        <f>IF($C$5="ON",CL40,MyRating(_D4,$B40,Delivery!$F$1))</f>
        <v>0</v>
      </c>
      <c r="BM40" s="3">
        <f>IF($C$5="ON",CM40,MyRating(_B1G5,$B40,Barrier!$L$2))</f>
        <v>0</v>
      </c>
      <c r="BN40" s="3">
        <f>IF($C$5="ON",CN40,MyRating(_B2,$B40,Barrier!$F$2))</f>
        <v>0</v>
      </c>
      <c r="BO40" s="6">
        <f>IF($C$5="ON",CO40,MyRating(_B3,$B40,Barrier!$F$2))</f>
        <v>0</v>
      </c>
      <c r="BP40" s="5">
        <f t="shared" si="5"/>
        <v>0</v>
      </c>
      <c r="BQ40" s="8">
        <f t="shared" si="6"/>
        <v>0</v>
      </c>
      <c r="BR40" s="5">
        <f t="shared" si="7"/>
        <v>0</v>
      </c>
      <c r="BS40" s="7">
        <f t="shared" si="8"/>
        <v>0</v>
      </c>
      <c r="BT40" s="4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6">
        <v>0</v>
      </c>
      <c r="CP40" s="5">
        <v>0</v>
      </c>
    </row>
    <row r="41" spans="1:94" x14ac:dyDescent="0.35">
      <c r="A41" s="9" t="s">
        <v>184</v>
      </c>
      <c r="B41" s="9" t="s">
        <v>30</v>
      </c>
      <c r="C41" s="20"/>
      <c r="D41" s="9" t="s">
        <v>29</v>
      </c>
      <c r="E41" s="9" t="s">
        <v>193</v>
      </c>
      <c r="F41" s="9" t="s">
        <v>1</v>
      </c>
      <c r="G41" s="19">
        <v>0</v>
      </c>
      <c r="H41" s="9">
        <v>2014</v>
      </c>
      <c r="I41" s="9">
        <v>6</v>
      </c>
      <c r="J41" s="18">
        <f>INDEX(PTRS!$D$6:$D$12,MATCH('2'!$F41,PTRS!$B$6:$B$12,0))</f>
        <v>0.1044225</v>
      </c>
      <c r="K41" s="17">
        <v>0</v>
      </c>
      <c r="L41" s="17">
        <v>0.1044225</v>
      </c>
      <c r="M41" s="17">
        <v>0.1044225</v>
      </c>
      <c r="N41" s="17">
        <v>0.1044225</v>
      </c>
      <c r="O41" s="17">
        <v>0.1044225</v>
      </c>
      <c r="P41" s="17">
        <v>0.1044225</v>
      </c>
      <c r="Q41" s="17">
        <v>0.1044225</v>
      </c>
      <c r="R41" s="17">
        <v>0.1044225</v>
      </c>
      <c r="S41" s="17">
        <v>1</v>
      </c>
      <c r="T41" s="17" t="s">
        <v>28</v>
      </c>
      <c r="U41" s="22">
        <v>0.72649652910676854</v>
      </c>
      <c r="V41" s="17">
        <v>1</v>
      </c>
      <c r="W41" s="9" t="s">
        <v>27</v>
      </c>
      <c r="X41" s="9">
        <f>INDEX('Unique Asset List'!$C$4:$I$60,MATCH('2'!$B41,'Unique Asset List'!$A$4:$A$60,0),MATCH('2'!$C$1,'Unique Asset List'!$C$3:$I$3,0))</f>
        <v>2034</v>
      </c>
      <c r="Y41" s="9">
        <f>INDEX('Unique Asset List'!$J$4:$P$60,MATCH('2'!$B41,'Unique Asset List'!$A$4:$A$60,0),MATCH('2'!$C$1,'Unique Asset List'!$J$3:$P$3,0))</f>
        <v>6</v>
      </c>
      <c r="Z41" s="9">
        <f>INDEX('Unique Asset List'!$X$4:$AD$60,MATCH('2'!$B41,'Unique Asset List'!$A$4:$A$60,0),MATCH('2'!$C$1,'Unique Asset List'!$X$3:$AD$3,0))</f>
        <v>2044</v>
      </c>
      <c r="AA41" s="9">
        <f>INDEX('Unique Asset List'!$AE$4:$AK$60,MATCH('2'!$B41,'Unique Asset List'!$A$4:$A$60,0),MATCH('2'!$C$1,'Unique Asset List'!$AE$3:$AK$3,0))</f>
        <v>6</v>
      </c>
      <c r="AB41" s="16">
        <f>AB33</f>
        <v>2.0289886000000004</v>
      </c>
      <c r="AC41" s="16">
        <f>AC33</f>
        <v>0.85031269999999992</v>
      </c>
      <c r="AD41" s="16">
        <f>AD33</f>
        <v>0.56099999999999994</v>
      </c>
      <c r="AE41" s="15">
        <f>INDEX('Unique Asset List'!$BN$4:$BT$60,MATCH('2'!$B41,'Unique Asset List'!$A$4:$A$60,0),MATCH('2'!$C$1,'Unique Asset List'!$BN$3:$BT$3,0))</f>
        <v>0.2</v>
      </c>
      <c r="AF41" s="15">
        <f>INDEX('Unique Asset List'!$BU$4:$CA$60,MATCH('2'!$B41,'Unique Asset List'!$A$4:$A$60,0),MATCH('2'!$C$1,'Unique Asset List'!$BU$3:$CA$3,0))</f>
        <v>0.3</v>
      </c>
      <c r="AG41" s="15">
        <f>INDEX('Unique Asset List'!$AZ$4:$BF$60,MATCH('2'!$B41,'Unique Asset List'!$A$4:$A$60,0),MATCH('2'!$C$1,'Unique Asset List'!$AZ$3:$BF$3,0))</f>
        <v>0.2</v>
      </c>
      <c r="AH41" s="15">
        <f>INDEX('Unique Asset List'!$BG$4:$BM$60,MATCH('2'!$B41,'Unique Asset List'!$A$4:$A$60,0),MATCH('2'!$C$1,'Unique Asset List'!$BG$3:$BM$3,0))</f>
        <v>0.3</v>
      </c>
      <c r="AI41" s="11">
        <v>0.96187963349867744</v>
      </c>
      <c r="AJ41" s="15">
        <f>INDEX('Unique Asset List'!$AL$4:$AR$60,MATCH('2'!$B41,'Unique Asset List'!$A$4:$A$60,0),MATCH('2'!$C$1,'Unique Asset List'!$AL$3:$AR$3,0))</f>
        <v>2.2612105538192599</v>
      </c>
      <c r="AK41" s="15">
        <f>INDEX('Unique Asset List'!$AS$4:$AY$60,MATCH('2'!$B41,'Unique Asset List'!$A$4:$A$60,0),MATCH('2'!$C$1,'Unique Asset List'!$AS$3:$AY$3,0))</f>
        <v>-1.7475682675103321</v>
      </c>
      <c r="AL41" s="9">
        <v>169</v>
      </c>
      <c r="AM41" s="14">
        <f>INDEX(Simulation!$B$6:$H$6,MATCH($A41,Simulation!$B$1:$H$1,0))*(1+AN41)^((DATE(X41,Y41,15)-DATE(2017,1,15))/365.5)</f>
        <v>3.5</v>
      </c>
      <c r="AN41" s="12">
        <v>0</v>
      </c>
      <c r="AO41" s="13">
        <v>0.1</v>
      </c>
      <c r="AP41" s="11">
        <v>0.82</v>
      </c>
      <c r="AQ41" s="12">
        <v>0</v>
      </c>
      <c r="AR41" s="11">
        <f t="shared" ref="AR41:AR58" si="9">AP41</f>
        <v>0.82</v>
      </c>
      <c r="AS41" s="10">
        <v>1</v>
      </c>
      <c r="AT41" s="4">
        <f>IF($C$5="ON",BT41,MyRating(_E1,$B41,Efficacy!$F$1))</f>
        <v>0</v>
      </c>
      <c r="AU41" s="3">
        <f>IF($C$5="ON",BU41,MyRating(_E2,$B41,Efficacy!$F$1))</f>
        <v>0</v>
      </c>
      <c r="AV41" s="3">
        <f>IF($C$5="ON",BV41,MyRating(_E3,$B41,Efficacy!$F$1))</f>
        <v>0</v>
      </c>
      <c r="AW41" s="3">
        <f>IF($C$5="ON",BW41,MyRating(_E4,$B41,Efficacy!$F$1))</f>
        <v>0</v>
      </c>
      <c r="AX41" s="3">
        <f>IF($C$5="ON",BX41,MyRating(_E5,$B41,Efficacy!$F$1))</f>
        <v>0</v>
      </c>
      <c r="AY41" s="3">
        <f>IF($C$5="ON",BY41,MyRating(_E6,$B41,Efficacy!$F$1))</f>
        <v>0</v>
      </c>
      <c r="AZ41" s="3">
        <f>IF($C$5="ON",BZ41,MyRating(_E7,$B41,Efficacy!$F$1))</f>
        <v>0</v>
      </c>
      <c r="BA41" s="3">
        <f>IF($C$5="ON",CA41,MyRating(_E8,$B41,Efficacy!$F$1))</f>
        <v>0</v>
      </c>
      <c r="BB41" s="3">
        <f>IF($C$5="ON",CB41,MyRating(_S1,$B41,'S&amp;T'!$F$1))</f>
        <v>0</v>
      </c>
      <c r="BC41" s="3">
        <f>IF($C$5="ON",CC41,MyRating(_S2,$B41,'S&amp;T'!$F$1))</f>
        <v>0</v>
      </c>
      <c r="BD41" s="3">
        <f>IF($C$5="ON",CD41,MyRating(_S3,$B41,'S&amp;T'!$F$1))</f>
        <v>0</v>
      </c>
      <c r="BE41" s="3">
        <f>IF($C$5="ON",CE41,MyRating(_S4,$B41,'S&amp;T'!$F$1))</f>
        <v>0</v>
      </c>
      <c r="BF41" s="3">
        <f>IF($C$5="ON",CF41,MyRating(_S5,$B41,'S&amp;T'!$F$1))</f>
        <v>0</v>
      </c>
      <c r="BG41" s="3">
        <f>IF($C$5="ON",CG41,MyRating(_S6,$B41,'S&amp;T'!$F$1))</f>
        <v>0</v>
      </c>
      <c r="BH41" s="3">
        <f>IF($C$5="ON",CH41,MyRating(_S7,$B41,'S&amp;T'!$F$1))</f>
        <v>0</v>
      </c>
      <c r="BI41" s="3">
        <f>IF($C$5="ON",CI41,MyRating(_D1,$B41,Delivery!$F$1))</f>
        <v>0</v>
      </c>
      <c r="BJ41" s="3">
        <f>IF($C$5="ON",CJ41,MyRating(_D2,$B41,Delivery!$F$1))</f>
        <v>0</v>
      </c>
      <c r="BK41" s="3">
        <f>IF($C$5="ON",CK41,MyRating(_D3,$B41,Delivery!$F$1))</f>
        <v>0</v>
      </c>
      <c r="BL41" s="3">
        <f>IF($C$5="ON",CL41,MyRating(_D4,$B41,Delivery!$F$1))</f>
        <v>0</v>
      </c>
      <c r="BM41" s="3">
        <f>IF($C$5="ON",CM41,MyRating(_B1G5,$B41,Barrier!$L$2))</f>
        <v>0</v>
      </c>
      <c r="BN41" s="3">
        <f>IF($C$5="ON",CN41,MyRating(_B2,$B41,Barrier!$F$2))</f>
        <v>0</v>
      </c>
      <c r="BO41" s="6">
        <f>IF($C$5="ON",CO41,MyRating(_B3,$B41,Barrier!$F$2))</f>
        <v>0</v>
      </c>
      <c r="BP41" s="5">
        <f t="shared" ref="BP41:BP58" si="10">BS41/$BS$7</f>
        <v>0</v>
      </c>
      <c r="BQ41" s="8">
        <f t="shared" ref="BQ41:BQ58" si="11">SUMPRODUCT($BM41:$BO41,$BM$7:$BO$7)</f>
        <v>0</v>
      </c>
      <c r="BR41" s="5">
        <f t="shared" ref="BR41:BR58" si="12">BQ41/$BQ$7</f>
        <v>0</v>
      </c>
      <c r="BS41" s="7">
        <f t="shared" ref="BS41:BS58" si="13">BR41^$X$4</f>
        <v>0</v>
      </c>
      <c r="BT41" s="4">
        <v>0</v>
      </c>
      <c r="BU41" s="3">
        <v>0</v>
      </c>
      <c r="BV41" s="3">
        <v>0</v>
      </c>
      <c r="BW41" s="3">
        <v>0</v>
      </c>
      <c r="BX41" s="3">
        <v>0</v>
      </c>
      <c r="BY41" s="3">
        <v>0</v>
      </c>
      <c r="BZ41" s="3">
        <v>0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6">
        <v>0</v>
      </c>
      <c r="CP41" s="5">
        <v>0</v>
      </c>
    </row>
    <row r="42" spans="1:94" x14ac:dyDescent="0.35">
      <c r="A42" s="9" t="s">
        <v>184</v>
      </c>
      <c r="B42" s="9" t="s">
        <v>26</v>
      </c>
      <c r="C42" s="20"/>
      <c r="D42" s="9" t="s">
        <v>25</v>
      </c>
      <c r="E42" s="9" t="s">
        <v>193</v>
      </c>
      <c r="F42" s="9" t="s">
        <v>1</v>
      </c>
      <c r="G42" s="19">
        <v>0</v>
      </c>
      <c r="H42" s="9">
        <v>2014</v>
      </c>
      <c r="I42" s="9">
        <v>6</v>
      </c>
      <c r="J42" s="18">
        <f>INDEX(PTRS!$D$6:$D$12,MATCH('2'!$F42,PTRS!$B$6:$B$12,0))</f>
        <v>0.1044225</v>
      </c>
      <c r="K42" s="17">
        <v>0</v>
      </c>
      <c r="L42" s="17">
        <v>0.1044225</v>
      </c>
      <c r="M42" s="17">
        <v>0.1044225</v>
      </c>
      <c r="N42" s="17">
        <v>0.1044225</v>
      </c>
      <c r="O42" s="17">
        <v>0.1044225</v>
      </c>
      <c r="P42" s="17">
        <v>0.1044225</v>
      </c>
      <c r="Q42" s="17">
        <v>0.1044225</v>
      </c>
      <c r="R42" s="17">
        <v>0.1044225</v>
      </c>
      <c r="S42" s="17">
        <v>1</v>
      </c>
      <c r="T42" s="17" t="s">
        <v>24</v>
      </c>
      <c r="U42" s="22">
        <v>0.72649652910676854</v>
      </c>
      <c r="V42" s="17">
        <v>1</v>
      </c>
      <c r="W42" s="9" t="s">
        <v>24</v>
      </c>
      <c r="X42" s="9">
        <f>INDEX('Unique Asset List'!$C$4:$I$60,MATCH('2'!$B42,'Unique Asset List'!$A$4:$A$60,0),MATCH('2'!$C$1,'Unique Asset List'!$C$3:$I$3,0))</f>
        <v>2032</v>
      </c>
      <c r="Y42" s="9">
        <f>INDEX('Unique Asset List'!$J$4:$P$60,MATCH('2'!$B42,'Unique Asset List'!$A$4:$A$60,0),MATCH('2'!$C$1,'Unique Asset List'!$J$3:$P$3,0))</f>
        <v>2</v>
      </c>
      <c r="Z42" s="9">
        <f>INDEX('Unique Asset List'!$X$4:$AD$60,MATCH('2'!$B42,'Unique Asset List'!$A$4:$A$60,0),MATCH('2'!$C$1,'Unique Asset List'!$X$3:$AD$3,0))</f>
        <v>2042</v>
      </c>
      <c r="AA42" s="9">
        <f>INDEX('Unique Asset List'!$AE$4:$AK$60,MATCH('2'!$B42,'Unique Asset List'!$A$4:$A$60,0),MATCH('2'!$C$1,'Unique Asset List'!$AE$3:$AK$3,0))</f>
        <v>2</v>
      </c>
      <c r="AB42" s="16">
        <f>AB30</f>
        <v>2.3276916000000001</v>
      </c>
      <c r="AC42" s="16">
        <f>AC30</f>
        <v>1.0028454</v>
      </c>
      <c r="AD42" s="16">
        <f>AD30</f>
        <v>0.56099999999999994</v>
      </c>
      <c r="AE42" s="15">
        <f>INDEX('Unique Asset List'!$BN$4:$BT$60,MATCH('2'!$B42,'Unique Asset List'!$A$4:$A$60,0),MATCH('2'!$C$1,'Unique Asset List'!$BN$3:$BT$3,0))</f>
        <v>0.2</v>
      </c>
      <c r="AF42" s="15">
        <f>INDEX('Unique Asset List'!$BU$4:$CA$60,MATCH('2'!$B42,'Unique Asset List'!$A$4:$A$60,0),MATCH('2'!$C$1,'Unique Asset List'!$BU$3:$CA$3,0))</f>
        <v>0.3</v>
      </c>
      <c r="AG42" s="15">
        <f>INDEX('Unique Asset List'!$AZ$4:$BF$60,MATCH('2'!$B42,'Unique Asset List'!$A$4:$A$60,0),MATCH('2'!$C$1,'Unique Asset List'!$AZ$3:$BF$3,0))</f>
        <v>0.2</v>
      </c>
      <c r="AH42" s="15">
        <f>INDEX('Unique Asset List'!$BG$4:$BM$60,MATCH('2'!$B42,'Unique Asset List'!$A$4:$A$60,0),MATCH('2'!$C$1,'Unique Asset List'!$BG$3:$BM$3,0))</f>
        <v>0.3</v>
      </c>
      <c r="AI42" s="11">
        <v>0.96187963349867744</v>
      </c>
      <c r="AJ42" s="15">
        <f>INDEX('Unique Asset List'!$AL$4:$AR$60,MATCH('2'!$B42,'Unique Asset List'!$A$4:$A$60,0),MATCH('2'!$C$1,'Unique Asset List'!$AL$3:$AR$3,0))</f>
        <v>2.2612105538192599</v>
      </c>
      <c r="AK42" s="15">
        <f>INDEX('Unique Asset List'!$AS$4:$AY$60,MATCH('2'!$B42,'Unique Asset List'!$A$4:$A$60,0),MATCH('2'!$C$1,'Unique Asset List'!$AS$3:$AY$3,0))</f>
        <v>-1.7475682675103321</v>
      </c>
      <c r="AL42" s="9">
        <v>169</v>
      </c>
      <c r="AM42" s="14">
        <f>INDEX(Simulation!$B$6:$H$6,MATCH($A42,Simulation!$B$1:$H$1,0))*(1+AN42)^((DATE(X42,Y42,15)-DATE(2017,1,15))/365.5)</f>
        <v>3.5</v>
      </c>
      <c r="AN42" s="12">
        <v>0</v>
      </c>
      <c r="AO42" s="13">
        <v>0.1</v>
      </c>
      <c r="AP42" s="11">
        <v>0.82</v>
      </c>
      <c r="AQ42" s="12">
        <v>0</v>
      </c>
      <c r="AR42" s="11">
        <f t="shared" si="9"/>
        <v>0.82</v>
      </c>
      <c r="AS42" s="10">
        <v>1</v>
      </c>
      <c r="AT42" s="4">
        <f>IF($C$5="ON",BT42,MyRating(_E1,$B42,Efficacy!$F$1))</f>
        <v>0</v>
      </c>
      <c r="AU42" s="3">
        <f>IF($C$5="ON",BU42,MyRating(_E2,$B42,Efficacy!$F$1))</f>
        <v>0</v>
      </c>
      <c r="AV42" s="3">
        <f>IF($C$5="ON",BV42,MyRating(_E3,$B42,Efficacy!$F$1))</f>
        <v>0</v>
      </c>
      <c r="AW42" s="3">
        <f>IF($C$5="ON",BW42,MyRating(_E4,$B42,Efficacy!$F$1))</f>
        <v>0</v>
      </c>
      <c r="AX42" s="3">
        <f>IF($C$5="ON",BX42,MyRating(_E5,$B42,Efficacy!$F$1))</f>
        <v>0</v>
      </c>
      <c r="AY42" s="3">
        <f>IF($C$5="ON",BY42,MyRating(_E6,$B42,Efficacy!$F$1))</f>
        <v>0</v>
      </c>
      <c r="AZ42" s="3">
        <f>IF($C$5="ON",BZ42,MyRating(_E7,$B42,Efficacy!$F$1))</f>
        <v>0</v>
      </c>
      <c r="BA42" s="3">
        <f>IF($C$5="ON",CA42,MyRating(_E8,$B42,Efficacy!$F$1))</f>
        <v>0</v>
      </c>
      <c r="BB42" s="3">
        <f>IF($C$5="ON",CB42,MyRating(_S1,$B42,'S&amp;T'!$F$1))</f>
        <v>0</v>
      </c>
      <c r="BC42" s="3">
        <f>IF($C$5="ON",CC42,MyRating(_S2,$B42,'S&amp;T'!$F$1))</f>
        <v>0</v>
      </c>
      <c r="BD42" s="3">
        <f>IF($C$5="ON",CD42,MyRating(_S3,$B42,'S&amp;T'!$F$1))</f>
        <v>0</v>
      </c>
      <c r="BE42" s="3">
        <f>IF($C$5="ON",CE42,MyRating(_S4,$B42,'S&amp;T'!$F$1))</f>
        <v>0</v>
      </c>
      <c r="BF42" s="3">
        <f>IF($C$5="ON",CF42,MyRating(_S5,$B42,'S&amp;T'!$F$1))</f>
        <v>0</v>
      </c>
      <c r="BG42" s="3">
        <f>IF($C$5="ON",CG42,MyRating(_S6,$B42,'S&amp;T'!$F$1))</f>
        <v>0</v>
      </c>
      <c r="BH42" s="3">
        <f>IF($C$5="ON",CH42,MyRating(_S7,$B42,'S&amp;T'!$F$1))</f>
        <v>0</v>
      </c>
      <c r="BI42" s="3">
        <f>IF($C$5="ON",CI42,MyRating(_D1,$B42,Delivery!$F$1))</f>
        <v>0</v>
      </c>
      <c r="BJ42" s="3">
        <f>IF($C$5="ON",CJ42,MyRating(_D2,$B42,Delivery!$F$1))</f>
        <v>0</v>
      </c>
      <c r="BK42" s="3">
        <f>IF($C$5="ON",CK42,MyRating(_D3,$B42,Delivery!$F$1))</f>
        <v>0</v>
      </c>
      <c r="BL42" s="3">
        <f>IF($C$5="ON",CL42,MyRating(_D4,$B42,Delivery!$F$1))</f>
        <v>0</v>
      </c>
      <c r="BM42" s="3">
        <f>IF($C$5="ON",CM42,MyRating(_B1G5,$B42,Barrier!$L$2))</f>
        <v>0</v>
      </c>
      <c r="BN42" s="3">
        <f>IF($C$5="ON",CN42,MyRating(_B2,$B42,Barrier!$F$2))</f>
        <v>0</v>
      </c>
      <c r="BO42" s="6">
        <f>IF($C$5="ON",CO42,MyRating(_B3,$B42,Barrier!$F$2))</f>
        <v>0</v>
      </c>
      <c r="BP42" s="5">
        <f t="shared" si="10"/>
        <v>0</v>
      </c>
      <c r="BQ42" s="8">
        <f t="shared" si="11"/>
        <v>0</v>
      </c>
      <c r="BR42" s="5">
        <f t="shared" si="12"/>
        <v>0</v>
      </c>
      <c r="BS42" s="7">
        <f t="shared" si="13"/>
        <v>0</v>
      </c>
      <c r="BT42" s="4">
        <v>0</v>
      </c>
      <c r="BU42" s="3">
        <v>0</v>
      </c>
      <c r="BV42" s="3">
        <v>0</v>
      </c>
      <c r="BW42" s="3">
        <v>0</v>
      </c>
      <c r="BX42" s="3">
        <v>0</v>
      </c>
      <c r="BY42" s="3">
        <v>0</v>
      </c>
      <c r="BZ42" s="3">
        <v>0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6">
        <v>0</v>
      </c>
      <c r="CP42" s="5">
        <v>0</v>
      </c>
    </row>
    <row r="43" spans="1:94" x14ac:dyDescent="0.35">
      <c r="A43" s="9" t="s">
        <v>184</v>
      </c>
      <c r="B43" s="9" t="s">
        <v>23</v>
      </c>
      <c r="C43" s="20"/>
      <c r="D43" s="9" t="s">
        <v>22</v>
      </c>
      <c r="E43" s="9" t="s">
        <v>193</v>
      </c>
      <c r="F43" s="9" t="s">
        <v>1</v>
      </c>
      <c r="G43" s="19">
        <v>0</v>
      </c>
      <c r="H43" s="9">
        <v>2014</v>
      </c>
      <c r="I43" s="9">
        <v>6</v>
      </c>
      <c r="J43" s="18">
        <f>INDEX(PTRS!$D$6:$D$12,MATCH('2'!$F43,PTRS!$B$6:$B$12,0))</f>
        <v>0.1044225</v>
      </c>
      <c r="K43" s="17">
        <v>0</v>
      </c>
      <c r="L43" s="17">
        <v>0.1044225</v>
      </c>
      <c r="M43" s="17">
        <v>0.1044225</v>
      </c>
      <c r="N43" s="17">
        <v>0.1044225</v>
      </c>
      <c r="O43" s="17">
        <v>0.1044225</v>
      </c>
      <c r="P43" s="17">
        <v>0.1044225</v>
      </c>
      <c r="Q43" s="17">
        <v>0.1044225</v>
      </c>
      <c r="R43" s="17">
        <v>0.1044225</v>
      </c>
      <c r="S43" s="17">
        <v>1</v>
      </c>
      <c r="T43" s="9" t="s">
        <v>21</v>
      </c>
      <c r="U43" s="22">
        <v>0.72649652910676854</v>
      </c>
      <c r="V43" s="17">
        <v>1</v>
      </c>
      <c r="W43" s="9" t="s">
        <v>20</v>
      </c>
      <c r="X43" s="9">
        <f>INDEX('Unique Asset List'!$C$4:$I$60,MATCH('2'!$B43,'Unique Asset List'!$A$4:$A$60,0),MATCH('2'!$C$1,'Unique Asset List'!$C$3:$I$3,0))</f>
        <v>2031</v>
      </c>
      <c r="Y43" s="9">
        <f>INDEX('Unique Asset List'!$J$4:$P$60,MATCH('2'!$B43,'Unique Asset List'!$A$4:$A$60,0),MATCH('2'!$C$1,'Unique Asset List'!$J$3:$P$3,0))</f>
        <v>3</v>
      </c>
      <c r="Z43" s="9">
        <f>INDEX('Unique Asset List'!$X$4:$AD$60,MATCH('2'!$B43,'Unique Asset List'!$A$4:$A$60,0),MATCH('2'!$C$1,'Unique Asset List'!$X$3:$AD$3,0))</f>
        <v>2041</v>
      </c>
      <c r="AA43" s="9">
        <f>INDEX('Unique Asset List'!$AE$4:$AK$60,MATCH('2'!$B43,'Unique Asset List'!$A$4:$A$60,0),MATCH('2'!$C$1,'Unique Asset List'!$AE$3:$AK$3,0))</f>
        <v>3</v>
      </c>
      <c r="AB43" s="16">
        <f>AB25</f>
        <v>1.6822346000000001</v>
      </c>
      <c r="AC43" s="16">
        <f>AC25</f>
        <v>0.86278740000000009</v>
      </c>
      <c r="AD43" s="16">
        <f>AD25</f>
        <v>0.56099999999999994</v>
      </c>
      <c r="AE43" s="15">
        <f>INDEX('Unique Asset List'!$BN$4:$BT$60,MATCH('2'!$B43,'Unique Asset List'!$A$4:$A$60,0),MATCH('2'!$C$1,'Unique Asset List'!$BN$3:$BT$3,0))</f>
        <v>0.2</v>
      </c>
      <c r="AF43" s="15">
        <f>INDEX('Unique Asset List'!$BU$4:$CA$60,MATCH('2'!$B43,'Unique Asset List'!$A$4:$A$60,0),MATCH('2'!$C$1,'Unique Asset List'!$BU$3:$CA$3,0))</f>
        <v>0.3</v>
      </c>
      <c r="AG43" s="15">
        <f>INDEX('Unique Asset List'!$AZ$4:$BF$60,MATCH('2'!$B43,'Unique Asset List'!$A$4:$A$60,0),MATCH('2'!$C$1,'Unique Asset List'!$AZ$3:$BF$3,0))</f>
        <v>0.2</v>
      </c>
      <c r="AH43" s="15">
        <f>INDEX('Unique Asset List'!$BG$4:$BM$60,MATCH('2'!$B43,'Unique Asset List'!$A$4:$A$60,0),MATCH('2'!$C$1,'Unique Asset List'!$BG$3:$BM$3,0))</f>
        <v>0.3</v>
      </c>
      <c r="AI43" s="11">
        <v>0.96187963349867744</v>
      </c>
      <c r="AJ43" s="15">
        <f>INDEX('Unique Asset List'!$AL$4:$AR$60,MATCH('2'!$B43,'Unique Asset List'!$A$4:$A$60,0),MATCH('2'!$C$1,'Unique Asset List'!$AL$3:$AR$3,0))</f>
        <v>2.2612105538192599</v>
      </c>
      <c r="AK43" s="15">
        <f>INDEX('Unique Asset List'!$AS$4:$AY$60,MATCH('2'!$B43,'Unique Asset List'!$A$4:$A$60,0),MATCH('2'!$C$1,'Unique Asset List'!$AS$3:$AY$3,0))</f>
        <v>-1.7475682675103321</v>
      </c>
      <c r="AL43" s="9">
        <v>169</v>
      </c>
      <c r="AM43" s="14">
        <f>INDEX(Simulation!$B$6:$H$6,MATCH($A43,Simulation!$B$1:$H$1,0))*(1+AN43)^((DATE(X43,Y43,15)-DATE(2017,1,15))/365.5)</f>
        <v>3.5</v>
      </c>
      <c r="AN43" s="12">
        <v>0</v>
      </c>
      <c r="AO43" s="13">
        <v>0.1</v>
      </c>
      <c r="AP43" s="11">
        <v>0.82</v>
      </c>
      <c r="AQ43" s="12">
        <v>0</v>
      </c>
      <c r="AR43" s="11">
        <f t="shared" si="9"/>
        <v>0.82</v>
      </c>
      <c r="AS43" s="10">
        <v>1</v>
      </c>
      <c r="AT43" s="4">
        <f>IF($C$5="ON",BT43,MyRating(_E1,$B43,Efficacy!$F$1))</f>
        <v>0</v>
      </c>
      <c r="AU43" s="3">
        <f>IF($C$5="ON",BU43,MyRating(_E2,$B43,Efficacy!$F$1))</f>
        <v>0</v>
      </c>
      <c r="AV43" s="3">
        <f>IF($C$5="ON",BV43,MyRating(_E3,$B43,Efficacy!$F$1))</f>
        <v>0</v>
      </c>
      <c r="AW43" s="3">
        <f>IF($C$5="ON",BW43,MyRating(_E4,$B43,Efficacy!$F$1))</f>
        <v>0</v>
      </c>
      <c r="AX43" s="3">
        <f>IF($C$5="ON",BX43,MyRating(_E5,$B43,Efficacy!$F$1))</f>
        <v>0</v>
      </c>
      <c r="AY43" s="3">
        <f>IF($C$5="ON",BY43,MyRating(_E6,$B43,Efficacy!$F$1))</f>
        <v>0</v>
      </c>
      <c r="AZ43" s="3">
        <f>IF($C$5="ON",BZ43,MyRating(_E7,$B43,Efficacy!$F$1))</f>
        <v>0</v>
      </c>
      <c r="BA43" s="3">
        <f>IF($C$5="ON",CA43,MyRating(_E8,$B43,Efficacy!$F$1))</f>
        <v>0</v>
      </c>
      <c r="BB43" s="3">
        <f>IF($C$5="ON",CB43,MyRating(_S1,$B43,'S&amp;T'!$F$1))</f>
        <v>0</v>
      </c>
      <c r="BC43" s="3">
        <f>IF($C$5="ON",CC43,MyRating(_S2,$B43,'S&amp;T'!$F$1))</f>
        <v>0</v>
      </c>
      <c r="BD43" s="3">
        <f>IF($C$5="ON",CD43,MyRating(_S3,$B43,'S&amp;T'!$F$1))</f>
        <v>0</v>
      </c>
      <c r="BE43" s="3">
        <f>IF($C$5="ON",CE43,MyRating(_S4,$B43,'S&amp;T'!$F$1))</f>
        <v>0</v>
      </c>
      <c r="BF43" s="3">
        <f>IF($C$5="ON",CF43,MyRating(_S5,$B43,'S&amp;T'!$F$1))</f>
        <v>0</v>
      </c>
      <c r="BG43" s="3">
        <f>IF($C$5="ON",CG43,MyRating(_S6,$B43,'S&amp;T'!$F$1))</f>
        <v>0</v>
      </c>
      <c r="BH43" s="3">
        <f>IF($C$5="ON",CH43,MyRating(_S7,$B43,'S&amp;T'!$F$1))</f>
        <v>0</v>
      </c>
      <c r="BI43" s="3">
        <f>IF($C$5="ON",CI43,MyRating(_D1,$B43,Delivery!$F$1))</f>
        <v>0</v>
      </c>
      <c r="BJ43" s="3">
        <f>IF($C$5="ON",CJ43,MyRating(_D2,$B43,Delivery!$F$1))</f>
        <v>0</v>
      </c>
      <c r="BK43" s="3">
        <f>IF($C$5="ON",CK43,MyRating(_D3,$B43,Delivery!$F$1))</f>
        <v>0</v>
      </c>
      <c r="BL43" s="3">
        <f>IF($C$5="ON",CL43,MyRating(_D4,$B43,Delivery!$F$1))</f>
        <v>0</v>
      </c>
      <c r="BM43" s="3">
        <f>IF($C$5="ON",CM43,MyRating(_B1G5,$B43,Barrier!$L$2))</f>
        <v>0</v>
      </c>
      <c r="BN43" s="3">
        <f>IF($C$5="ON",CN43,MyRating(_B2,$B43,Barrier!$F$2))</f>
        <v>0</v>
      </c>
      <c r="BO43" s="6">
        <f>IF($C$5="ON",CO43,MyRating(_B3,$B43,Barrier!$F$2))</f>
        <v>0</v>
      </c>
      <c r="BP43" s="5">
        <f t="shared" si="10"/>
        <v>0</v>
      </c>
      <c r="BQ43" s="8">
        <f t="shared" si="11"/>
        <v>0</v>
      </c>
      <c r="BR43" s="5">
        <f t="shared" si="12"/>
        <v>0</v>
      </c>
      <c r="BS43" s="7">
        <f t="shared" si="13"/>
        <v>0</v>
      </c>
      <c r="BT43" s="4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3">
        <v>0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6">
        <v>0</v>
      </c>
      <c r="CP43" s="5">
        <v>0</v>
      </c>
    </row>
    <row r="44" spans="1:94" x14ac:dyDescent="0.35">
      <c r="A44" s="9" t="s">
        <v>184</v>
      </c>
      <c r="B44" s="9" t="s">
        <v>19</v>
      </c>
      <c r="C44" s="20"/>
      <c r="D44" s="9" t="s">
        <v>18</v>
      </c>
      <c r="E44" s="9" t="s">
        <v>193</v>
      </c>
      <c r="F44" s="9" t="s">
        <v>1</v>
      </c>
      <c r="G44" s="19">
        <v>0</v>
      </c>
      <c r="H44" s="9">
        <v>2014</v>
      </c>
      <c r="I44" s="9">
        <v>6</v>
      </c>
      <c r="J44" s="18">
        <f>INDEX(PTRS!$D$6:$D$12,MATCH('2'!$F44,PTRS!$B$6:$B$12,0))</f>
        <v>0.1044225</v>
      </c>
      <c r="K44" s="17">
        <v>0</v>
      </c>
      <c r="L44" s="17">
        <v>0.1044225</v>
      </c>
      <c r="M44" s="17">
        <v>0.1044225</v>
      </c>
      <c r="N44" s="17">
        <v>0.1044225</v>
      </c>
      <c r="O44" s="17">
        <v>0.1044225</v>
      </c>
      <c r="P44" s="17">
        <v>0.1044225</v>
      </c>
      <c r="Q44" s="17">
        <v>0.1044225</v>
      </c>
      <c r="R44" s="17">
        <v>0.1044225</v>
      </c>
      <c r="S44" s="17">
        <v>1</v>
      </c>
      <c r="T44" s="9" t="s">
        <v>17</v>
      </c>
      <c r="U44" s="22">
        <v>0.72649652910676854</v>
      </c>
      <c r="V44" s="17">
        <v>1</v>
      </c>
      <c r="W44" s="9" t="s">
        <v>16</v>
      </c>
      <c r="X44" s="9">
        <f>INDEX('Unique Asset List'!$C$4:$I$60,MATCH('2'!$B44,'Unique Asset List'!$A$4:$A$60,0),MATCH('2'!$C$1,'Unique Asset List'!$C$3:$I$3,0))</f>
        <v>2030</v>
      </c>
      <c r="Y44" s="9">
        <f>INDEX('Unique Asset List'!$J$4:$P$60,MATCH('2'!$B44,'Unique Asset List'!$A$4:$A$60,0),MATCH('2'!$C$1,'Unique Asset List'!$J$3:$P$3,0))</f>
        <v>8</v>
      </c>
      <c r="Z44" s="9">
        <f>INDEX('Unique Asset List'!$X$4:$AD$60,MATCH('2'!$B44,'Unique Asset List'!$A$4:$A$60,0),MATCH('2'!$C$1,'Unique Asset List'!$X$3:$AD$3,0))</f>
        <v>2040</v>
      </c>
      <c r="AA44" s="9">
        <f>INDEX('Unique Asset List'!$AE$4:$AK$60,MATCH('2'!$B44,'Unique Asset List'!$A$4:$A$60,0),MATCH('2'!$C$1,'Unique Asset List'!$AE$3:$AK$3,0))</f>
        <v>8</v>
      </c>
      <c r="AB44" s="16">
        <f>AB24</f>
        <v>1.7951404000000002</v>
      </c>
      <c r="AC44" s="16">
        <f>AC24</f>
        <v>0.88497580000000009</v>
      </c>
      <c r="AD44" s="16">
        <f>AD24</f>
        <v>0.56099999999999994</v>
      </c>
      <c r="AE44" s="15">
        <f>INDEX('Unique Asset List'!$BN$4:$BT$60,MATCH('2'!$B44,'Unique Asset List'!$A$4:$A$60,0),MATCH('2'!$C$1,'Unique Asset List'!$BN$3:$BT$3,0))</f>
        <v>0.2</v>
      </c>
      <c r="AF44" s="15">
        <f>INDEX('Unique Asset List'!$BU$4:$CA$60,MATCH('2'!$B44,'Unique Asset List'!$A$4:$A$60,0),MATCH('2'!$C$1,'Unique Asset List'!$BU$3:$CA$3,0))</f>
        <v>0.3</v>
      </c>
      <c r="AG44" s="15">
        <f>INDEX('Unique Asset List'!$AZ$4:$BF$60,MATCH('2'!$B44,'Unique Asset List'!$A$4:$A$60,0),MATCH('2'!$C$1,'Unique Asset List'!$AZ$3:$BF$3,0))</f>
        <v>0.2</v>
      </c>
      <c r="AH44" s="15">
        <f>INDEX('Unique Asset List'!$BG$4:$BM$60,MATCH('2'!$B44,'Unique Asset List'!$A$4:$A$60,0),MATCH('2'!$C$1,'Unique Asset List'!$BG$3:$BM$3,0))</f>
        <v>0.3</v>
      </c>
      <c r="AI44" s="11">
        <v>0.96187963349867744</v>
      </c>
      <c r="AJ44" s="15">
        <f>INDEX('Unique Asset List'!$AL$4:$AR$60,MATCH('2'!$B44,'Unique Asset List'!$A$4:$A$60,0),MATCH('2'!$C$1,'Unique Asset List'!$AL$3:$AR$3,0))</f>
        <v>2.2612105538192599</v>
      </c>
      <c r="AK44" s="15">
        <f>INDEX('Unique Asset List'!$AS$4:$AY$60,MATCH('2'!$B44,'Unique Asset List'!$A$4:$A$60,0),MATCH('2'!$C$1,'Unique Asset List'!$AS$3:$AY$3,0))</f>
        <v>-1.7475682675103321</v>
      </c>
      <c r="AL44" s="9">
        <v>169</v>
      </c>
      <c r="AM44" s="14">
        <f>INDEX(Simulation!$B$6:$H$6,MATCH($A44,Simulation!$B$1:$H$1,0))*(1+AN44)^((DATE(X44,Y44,15)-DATE(2017,1,15))/365.5)</f>
        <v>3.5</v>
      </c>
      <c r="AN44" s="12">
        <v>0</v>
      </c>
      <c r="AO44" s="13">
        <v>0.1</v>
      </c>
      <c r="AP44" s="11">
        <v>0.82</v>
      </c>
      <c r="AQ44" s="12">
        <v>0</v>
      </c>
      <c r="AR44" s="11">
        <f t="shared" si="9"/>
        <v>0.82</v>
      </c>
      <c r="AS44" s="10">
        <v>1</v>
      </c>
      <c r="AT44" s="4">
        <f>IF($C$5="ON",BT44,MyRating(_E1,$B44,Efficacy!$F$1))</f>
        <v>0</v>
      </c>
      <c r="AU44" s="3">
        <f>IF($C$5="ON",BU44,MyRating(_E2,$B44,Efficacy!$F$1))</f>
        <v>0</v>
      </c>
      <c r="AV44" s="3">
        <f>IF($C$5="ON",BV44,MyRating(_E3,$B44,Efficacy!$F$1))</f>
        <v>0</v>
      </c>
      <c r="AW44" s="3">
        <f>IF($C$5="ON",BW44,MyRating(_E4,$B44,Efficacy!$F$1))</f>
        <v>0</v>
      </c>
      <c r="AX44" s="3">
        <f>IF($C$5="ON",BX44,MyRating(_E5,$B44,Efficacy!$F$1))</f>
        <v>0</v>
      </c>
      <c r="AY44" s="3">
        <f>IF($C$5="ON",BY44,MyRating(_E6,$B44,Efficacy!$F$1))</f>
        <v>0</v>
      </c>
      <c r="AZ44" s="3">
        <f>IF($C$5="ON",BZ44,MyRating(_E7,$B44,Efficacy!$F$1))</f>
        <v>0</v>
      </c>
      <c r="BA44" s="3">
        <f>IF($C$5="ON",CA44,MyRating(_E8,$B44,Efficacy!$F$1))</f>
        <v>0</v>
      </c>
      <c r="BB44" s="3">
        <f>IF($C$5="ON",CB44,MyRating(_S1,$B44,'S&amp;T'!$F$1))</f>
        <v>0</v>
      </c>
      <c r="BC44" s="3">
        <f>IF($C$5="ON",CC44,MyRating(_S2,$B44,'S&amp;T'!$F$1))</f>
        <v>0</v>
      </c>
      <c r="BD44" s="3">
        <f>IF($C$5="ON",CD44,MyRating(_S3,$B44,'S&amp;T'!$F$1))</f>
        <v>0</v>
      </c>
      <c r="BE44" s="3">
        <f>IF($C$5="ON",CE44,MyRating(_S4,$B44,'S&amp;T'!$F$1))</f>
        <v>0</v>
      </c>
      <c r="BF44" s="3">
        <f>IF($C$5="ON",CF44,MyRating(_S5,$B44,'S&amp;T'!$F$1))</f>
        <v>0</v>
      </c>
      <c r="BG44" s="3">
        <f>IF($C$5="ON",CG44,MyRating(_S6,$B44,'S&amp;T'!$F$1))</f>
        <v>0</v>
      </c>
      <c r="BH44" s="3">
        <f>IF($C$5="ON",CH44,MyRating(_S7,$B44,'S&amp;T'!$F$1))</f>
        <v>0</v>
      </c>
      <c r="BI44" s="3">
        <f>IF($C$5="ON",CI44,MyRating(_D1,$B44,Delivery!$F$1))</f>
        <v>0</v>
      </c>
      <c r="BJ44" s="3">
        <f>IF($C$5="ON",CJ44,MyRating(_D2,$B44,Delivery!$F$1))</f>
        <v>0</v>
      </c>
      <c r="BK44" s="3">
        <f>IF($C$5="ON",CK44,MyRating(_D3,$B44,Delivery!$F$1))</f>
        <v>0</v>
      </c>
      <c r="BL44" s="3">
        <f>IF($C$5="ON",CL44,MyRating(_D4,$B44,Delivery!$F$1))</f>
        <v>0</v>
      </c>
      <c r="BM44" s="3">
        <f>IF($C$5="ON",CM44,MyRating(_B1G5,$B44,Barrier!$L$2))</f>
        <v>0</v>
      </c>
      <c r="BN44" s="3">
        <f>IF($C$5="ON",CN44,MyRating(_B2,$B44,Barrier!$F$2))</f>
        <v>0</v>
      </c>
      <c r="BO44" s="6">
        <f>IF($C$5="ON",CO44,MyRating(_B3,$B44,Barrier!$F$2))</f>
        <v>0</v>
      </c>
      <c r="BP44" s="5">
        <f t="shared" si="10"/>
        <v>0</v>
      </c>
      <c r="BQ44" s="8">
        <f t="shared" si="11"/>
        <v>0</v>
      </c>
      <c r="BR44" s="5">
        <f t="shared" si="12"/>
        <v>0</v>
      </c>
      <c r="BS44" s="7">
        <f t="shared" si="13"/>
        <v>0</v>
      </c>
      <c r="BT44" s="4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6">
        <v>0</v>
      </c>
      <c r="CP44" s="5">
        <v>0</v>
      </c>
    </row>
    <row r="45" spans="1:94" x14ac:dyDescent="0.35">
      <c r="A45" s="9" t="s">
        <v>184</v>
      </c>
      <c r="B45" s="9" t="s">
        <v>13</v>
      </c>
      <c r="C45" s="20"/>
      <c r="D45" s="9" t="s">
        <v>2</v>
      </c>
      <c r="E45" s="9" t="s">
        <v>193</v>
      </c>
      <c r="F45" s="9" t="s">
        <v>1</v>
      </c>
      <c r="G45" s="19">
        <v>0</v>
      </c>
      <c r="H45" s="9">
        <v>2014</v>
      </c>
      <c r="I45" s="9">
        <v>6</v>
      </c>
      <c r="J45" s="18">
        <f>INDEX(PTRS!$D$6:$D$12,MATCH('2'!$F45,PTRS!$B$6:$B$12,0))</f>
        <v>0.1044225</v>
      </c>
      <c r="K45" s="17">
        <v>0</v>
      </c>
      <c r="L45" s="17">
        <v>0.1044225</v>
      </c>
      <c r="M45" s="17">
        <v>0.1044225</v>
      </c>
      <c r="N45" s="17">
        <v>0</v>
      </c>
      <c r="O45" s="17">
        <v>1</v>
      </c>
      <c r="P45" s="17">
        <v>0.1044225</v>
      </c>
      <c r="Q45" s="17">
        <v>0.1044225</v>
      </c>
      <c r="R45" s="17">
        <v>0.1044225</v>
      </c>
      <c r="S45" s="17">
        <v>1</v>
      </c>
      <c r="T45" s="17"/>
      <c r="U45" s="22">
        <v>0.72649652910676854</v>
      </c>
      <c r="V45" s="17">
        <v>1</v>
      </c>
      <c r="W45" s="9" t="s">
        <v>13</v>
      </c>
      <c r="X45" s="9">
        <f>INDEX('Unique Asset List'!$C$4:$I$60,MATCH('2'!$B45,'Unique Asset List'!$A$4:$A$60,0),MATCH('2'!$C$1,'Unique Asset List'!$C$3:$I$3,0))</f>
        <v>2030</v>
      </c>
      <c r="Y45" s="9">
        <f>INDEX('Unique Asset List'!$J$4:$P$60,MATCH('2'!$B45,'Unique Asset List'!$A$4:$A$60,0),MATCH('2'!$C$1,'Unique Asset List'!$J$3:$P$3,0))</f>
        <v>6</v>
      </c>
      <c r="Z45" s="9">
        <f>INDEX('Unique Asset List'!$X$4:$AD$60,MATCH('2'!$B45,'Unique Asset List'!$A$4:$A$60,0),MATCH('2'!$C$1,'Unique Asset List'!$X$3:$AD$3,0))</f>
        <v>2042</v>
      </c>
      <c r="AA45" s="9">
        <f>INDEX('Unique Asset List'!$AE$4:$AK$60,MATCH('2'!$B45,'Unique Asset List'!$A$4:$A$60,0),MATCH('2'!$C$1,'Unique Asset List'!$AE$3:$AK$3,0))</f>
        <v>6</v>
      </c>
      <c r="AB45" s="21">
        <v>2.3276916000000001</v>
      </c>
      <c r="AC45" s="21">
        <v>1.0028454</v>
      </c>
      <c r="AD45" s="21">
        <v>0.56099999999999994</v>
      </c>
      <c r="AE45" s="15">
        <f>INDEX('Unique Asset List'!$BN$4:$BT$60,MATCH('2'!$B45,'Unique Asset List'!$A$4:$A$60,0),MATCH('2'!$C$1,'Unique Asset List'!$BN$3:$BT$3,0))</f>
        <v>0.2</v>
      </c>
      <c r="AF45" s="15">
        <f>INDEX('Unique Asset List'!$BU$4:$CA$60,MATCH('2'!$B45,'Unique Asset List'!$A$4:$A$60,0),MATCH('2'!$C$1,'Unique Asset List'!$BU$3:$CA$3,0))</f>
        <v>0.3</v>
      </c>
      <c r="AG45" s="15">
        <f>INDEX('Unique Asset List'!$AZ$4:$BF$60,MATCH('2'!$B45,'Unique Asset List'!$A$4:$A$60,0),MATCH('2'!$C$1,'Unique Asset List'!$AZ$3:$BF$3,0))</f>
        <v>0.2</v>
      </c>
      <c r="AH45" s="15">
        <f>INDEX('Unique Asset List'!$BG$4:$BM$60,MATCH('2'!$B45,'Unique Asset List'!$A$4:$A$60,0),MATCH('2'!$C$1,'Unique Asset List'!$BG$3:$BM$3,0))</f>
        <v>0.3</v>
      </c>
      <c r="AI45" s="11">
        <v>0.96187963349867744</v>
      </c>
      <c r="AJ45" s="15">
        <f>INDEX('Unique Asset List'!$AL$4:$AR$60,MATCH('2'!$B45,'Unique Asset List'!$A$4:$A$60,0),MATCH('2'!$C$1,'Unique Asset List'!$AL$3:$AR$3,0))</f>
        <v>2.2612105538192599</v>
      </c>
      <c r="AK45" s="15">
        <f>INDEX('Unique Asset List'!$AS$4:$AY$60,MATCH('2'!$B45,'Unique Asset List'!$A$4:$A$60,0),MATCH('2'!$C$1,'Unique Asset List'!$AS$3:$AY$3,0))</f>
        <v>-1.7475682675103321</v>
      </c>
      <c r="AL45" s="9">
        <v>169</v>
      </c>
      <c r="AM45" s="14">
        <f>INDEX(Simulation!$B$6:$H$6,MATCH($A45,Simulation!$B$1:$H$1,0))*(1+AN45)^((DATE(X45,Y45,15)-DATE(2017,1,15))/365.5)</f>
        <v>3.5</v>
      </c>
      <c r="AN45" s="12">
        <v>0</v>
      </c>
      <c r="AO45" s="13">
        <v>0.1</v>
      </c>
      <c r="AP45" s="11">
        <v>0.82</v>
      </c>
      <c r="AQ45" s="12">
        <v>0</v>
      </c>
      <c r="AR45" s="11">
        <f t="shared" si="9"/>
        <v>0.82</v>
      </c>
      <c r="AS45" s="10">
        <v>1</v>
      </c>
      <c r="AT45" s="4">
        <f>IF($C$5="ON",BT45,MyRating(_E1,$B45,Efficacy!$F$1))</f>
        <v>0</v>
      </c>
      <c r="AU45" s="3">
        <f>IF($C$5="ON",BU45,MyRating(_E2,$B45,Efficacy!$F$1))</f>
        <v>0</v>
      </c>
      <c r="AV45" s="3">
        <f>IF($C$5="ON",BV45,MyRating(_E3,$B45,Efficacy!$F$1))</f>
        <v>0</v>
      </c>
      <c r="AW45" s="3">
        <f>IF($C$5="ON",BW45,MyRating(_E4,$B45,Efficacy!$F$1))</f>
        <v>0</v>
      </c>
      <c r="AX45" s="3">
        <f>IF($C$5="ON",BX45,MyRating(_E5,$B45,Efficacy!$F$1))</f>
        <v>0</v>
      </c>
      <c r="AY45" s="3">
        <f>IF($C$5="ON",BY45,MyRating(_E6,$B45,Efficacy!$F$1))</f>
        <v>0</v>
      </c>
      <c r="AZ45" s="3">
        <f>IF($C$5="ON",BZ45,MyRating(_E7,$B45,Efficacy!$F$1))</f>
        <v>0</v>
      </c>
      <c r="BA45" s="3">
        <f>IF($C$5="ON",CA45,MyRating(_E8,$B45,Efficacy!$F$1))</f>
        <v>0</v>
      </c>
      <c r="BB45" s="3">
        <f>IF($C$5="ON",CB45,MyRating(_S1,$B45,'S&amp;T'!$F$1))</f>
        <v>0</v>
      </c>
      <c r="BC45" s="3">
        <f>IF($C$5="ON",CC45,MyRating(_S2,$B45,'S&amp;T'!$F$1))</f>
        <v>0</v>
      </c>
      <c r="BD45" s="3">
        <f>IF($C$5="ON",CD45,MyRating(_S3,$B45,'S&amp;T'!$F$1))</f>
        <v>0</v>
      </c>
      <c r="BE45" s="3">
        <f>IF($C$5="ON",CE45,MyRating(_S4,$B45,'S&amp;T'!$F$1))</f>
        <v>0</v>
      </c>
      <c r="BF45" s="3">
        <f>IF($C$5="ON",CF45,MyRating(_S5,$B45,'S&amp;T'!$F$1))</f>
        <v>0</v>
      </c>
      <c r="BG45" s="3">
        <f>IF($C$5="ON",CG45,MyRating(_S6,$B45,'S&amp;T'!$F$1))</f>
        <v>0</v>
      </c>
      <c r="BH45" s="3">
        <f>IF($C$5="ON",CH45,MyRating(_S7,$B45,'S&amp;T'!$F$1))</f>
        <v>0</v>
      </c>
      <c r="BI45" s="3">
        <f>IF($C$5="ON",CI45,MyRating(_D1,$B45,Delivery!$F$1))</f>
        <v>0</v>
      </c>
      <c r="BJ45" s="3">
        <f>IF($C$5="ON",CJ45,MyRating(_D2,$B45,Delivery!$F$1))</f>
        <v>0</v>
      </c>
      <c r="BK45" s="3">
        <f>IF($C$5="ON",CK45,MyRating(_D3,$B45,Delivery!$F$1))</f>
        <v>0</v>
      </c>
      <c r="BL45" s="3">
        <f>IF($C$5="ON",CL45,MyRating(_D4,$B45,Delivery!$F$1))</f>
        <v>0</v>
      </c>
      <c r="BM45" s="3">
        <f>IF($C$5="ON",CM45,MyRating(_B1G5,$B45,Barrier!$L$2))</f>
        <v>0</v>
      </c>
      <c r="BN45" s="3">
        <f>IF($C$5="ON",CN45,MyRating(_B2,$B45,Barrier!$F$2))</f>
        <v>0</v>
      </c>
      <c r="BO45" s="6">
        <f>IF($C$5="ON",CO45,MyRating(_B3,$B45,Barrier!$F$2))</f>
        <v>0</v>
      </c>
      <c r="BP45" s="5">
        <f t="shared" si="10"/>
        <v>0</v>
      </c>
      <c r="BQ45" s="8">
        <f t="shared" si="11"/>
        <v>0</v>
      </c>
      <c r="BR45" s="5">
        <f t="shared" si="12"/>
        <v>0</v>
      </c>
      <c r="BS45" s="7">
        <f t="shared" si="13"/>
        <v>0</v>
      </c>
      <c r="BT45" s="4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6">
        <v>0</v>
      </c>
      <c r="CP45" s="5">
        <v>0</v>
      </c>
    </row>
    <row r="46" spans="1:94" x14ac:dyDescent="0.35">
      <c r="A46" s="9" t="s">
        <v>184</v>
      </c>
      <c r="B46" s="9" t="s">
        <v>10</v>
      </c>
      <c r="C46" s="20"/>
      <c r="D46" s="9" t="s">
        <v>2</v>
      </c>
      <c r="E46" s="9" t="s">
        <v>193</v>
      </c>
      <c r="F46" s="9" t="s">
        <v>1</v>
      </c>
      <c r="G46" s="19">
        <v>0</v>
      </c>
      <c r="H46" s="9">
        <v>2014</v>
      </c>
      <c r="I46" s="9">
        <v>6</v>
      </c>
      <c r="J46" s="18">
        <f>INDEX(PTRS!$D$6:$D$12,MATCH('2'!$F46,PTRS!$B$6:$B$12,0))</f>
        <v>0.1044225</v>
      </c>
      <c r="K46" s="17">
        <v>0</v>
      </c>
      <c r="L46" s="17">
        <v>0.1044225</v>
      </c>
      <c r="M46" s="17">
        <v>0.1044225</v>
      </c>
      <c r="N46" s="17">
        <v>0</v>
      </c>
      <c r="O46" s="17">
        <v>1</v>
      </c>
      <c r="P46" s="17">
        <v>0.1044225</v>
      </c>
      <c r="Q46" s="17">
        <v>0.1044225</v>
      </c>
      <c r="R46" s="17">
        <v>0.1044225</v>
      </c>
      <c r="S46" s="17">
        <v>1</v>
      </c>
      <c r="T46" s="17"/>
      <c r="U46" s="22">
        <v>0.72649652910676854</v>
      </c>
      <c r="V46" s="17">
        <v>1</v>
      </c>
      <c r="W46" s="9" t="s">
        <v>10</v>
      </c>
      <c r="X46" s="9">
        <f>INDEX('Unique Asset List'!$C$4:$I$60,MATCH('2'!$B46,'Unique Asset List'!$A$4:$A$60,0),MATCH('2'!$C$1,'Unique Asset List'!$C$3:$I$3,0))</f>
        <v>2034</v>
      </c>
      <c r="Y46" s="9">
        <f>INDEX('Unique Asset List'!$J$4:$P$60,MATCH('2'!$B46,'Unique Asset List'!$A$4:$A$60,0),MATCH('2'!$C$1,'Unique Asset List'!$J$3:$P$3,0))</f>
        <v>6</v>
      </c>
      <c r="Z46" s="9">
        <f>INDEX('Unique Asset List'!$X$4:$AD$60,MATCH('2'!$B46,'Unique Asset List'!$A$4:$A$60,0),MATCH('2'!$C$1,'Unique Asset List'!$X$3:$AD$3,0))</f>
        <v>2046</v>
      </c>
      <c r="AA46" s="9">
        <f>INDEX('Unique Asset List'!$AE$4:$AK$60,MATCH('2'!$B46,'Unique Asset List'!$A$4:$A$60,0),MATCH('2'!$C$1,'Unique Asset List'!$AE$3:$AK$3,0))</f>
        <v>6</v>
      </c>
      <c r="AB46" s="21">
        <v>2.3276916000000001</v>
      </c>
      <c r="AC46" s="21">
        <v>1.0028454</v>
      </c>
      <c r="AD46" s="21">
        <v>0.56099999999999994</v>
      </c>
      <c r="AE46" s="15">
        <f>INDEX('Unique Asset List'!$BN$4:$BT$60,MATCH('2'!$B46,'Unique Asset List'!$A$4:$A$60,0),MATCH('2'!$C$1,'Unique Asset List'!$BN$3:$BT$3,0))</f>
        <v>0.2</v>
      </c>
      <c r="AF46" s="15">
        <f>INDEX('Unique Asset List'!$BU$4:$CA$60,MATCH('2'!$B46,'Unique Asset List'!$A$4:$A$60,0),MATCH('2'!$C$1,'Unique Asset List'!$BU$3:$CA$3,0))</f>
        <v>0.3</v>
      </c>
      <c r="AG46" s="15">
        <f>INDEX('Unique Asset List'!$AZ$4:$BF$60,MATCH('2'!$B46,'Unique Asset List'!$A$4:$A$60,0),MATCH('2'!$C$1,'Unique Asset List'!$AZ$3:$BF$3,0))</f>
        <v>0.2</v>
      </c>
      <c r="AH46" s="15">
        <f>INDEX('Unique Asset List'!$BG$4:$BM$60,MATCH('2'!$B46,'Unique Asset List'!$A$4:$A$60,0),MATCH('2'!$C$1,'Unique Asset List'!$BG$3:$BM$3,0))</f>
        <v>0.3</v>
      </c>
      <c r="AI46" s="11">
        <v>0.96187963349867744</v>
      </c>
      <c r="AJ46" s="15">
        <f>INDEX('Unique Asset List'!$AL$4:$AR$60,MATCH('2'!$B46,'Unique Asset List'!$A$4:$A$60,0),MATCH('2'!$C$1,'Unique Asset List'!$AL$3:$AR$3,0))</f>
        <v>2.2612105538192599</v>
      </c>
      <c r="AK46" s="15">
        <f>INDEX('Unique Asset List'!$AS$4:$AY$60,MATCH('2'!$B46,'Unique Asset List'!$A$4:$A$60,0),MATCH('2'!$C$1,'Unique Asset List'!$AS$3:$AY$3,0))</f>
        <v>-1.7475682675103321</v>
      </c>
      <c r="AL46" s="9">
        <v>169</v>
      </c>
      <c r="AM46" s="14">
        <f>INDEX(Simulation!$B$6:$H$6,MATCH($A46,Simulation!$B$1:$H$1,0))*(1+AN46)^((DATE(X46,Y46,15)-DATE(2017,1,15))/365.5)</f>
        <v>3.5</v>
      </c>
      <c r="AN46" s="12">
        <v>0</v>
      </c>
      <c r="AO46" s="13">
        <v>0.1</v>
      </c>
      <c r="AP46" s="11">
        <v>0.82</v>
      </c>
      <c r="AQ46" s="12">
        <v>0</v>
      </c>
      <c r="AR46" s="11">
        <f t="shared" si="9"/>
        <v>0.82</v>
      </c>
      <c r="AS46" s="10">
        <v>1</v>
      </c>
      <c r="AT46" s="4">
        <f>IF($C$5="ON",BT46,MyRating(_E1,$B46,Efficacy!$F$1))</f>
        <v>0</v>
      </c>
      <c r="AU46" s="3">
        <f>IF($C$5="ON",BU46,MyRating(_E2,$B46,Efficacy!$F$1))</f>
        <v>0</v>
      </c>
      <c r="AV46" s="3">
        <f>IF($C$5="ON",BV46,MyRating(_E3,$B46,Efficacy!$F$1))</f>
        <v>0</v>
      </c>
      <c r="AW46" s="3">
        <f>IF($C$5="ON",BW46,MyRating(_E4,$B46,Efficacy!$F$1))</f>
        <v>0</v>
      </c>
      <c r="AX46" s="3">
        <f>IF($C$5="ON",BX46,MyRating(_E5,$B46,Efficacy!$F$1))</f>
        <v>0</v>
      </c>
      <c r="AY46" s="3">
        <f>IF($C$5="ON",BY46,MyRating(_E6,$B46,Efficacy!$F$1))</f>
        <v>0</v>
      </c>
      <c r="AZ46" s="3">
        <f>IF($C$5="ON",BZ46,MyRating(_E7,$B46,Efficacy!$F$1))</f>
        <v>0</v>
      </c>
      <c r="BA46" s="3">
        <f>IF($C$5="ON",CA46,MyRating(_E8,$B46,Efficacy!$F$1))</f>
        <v>0</v>
      </c>
      <c r="BB46" s="3">
        <f>IF($C$5="ON",CB46,MyRating(_S1,$B46,'S&amp;T'!$F$1))</f>
        <v>0</v>
      </c>
      <c r="BC46" s="3">
        <f>IF($C$5="ON",CC46,MyRating(_S2,$B46,'S&amp;T'!$F$1))</f>
        <v>0</v>
      </c>
      <c r="BD46" s="3">
        <f>IF($C$5="ON",CD46,MyRating(_S3,$B46,'S&amp;T'!$F$1))</f>
        <v>0</v>
      </c>
      <c r="BE46" s="3">
        <f>IF($C$5="ON",CE46,MyRating(_S4,$B46,'S&amp;T'!$F$1))</f>
        <v>0</v>
      </c>
      <c r="BF46" s="3">
        <f>IF($C$5="ON",CF46,MyRating(_S5,$B46,'S&amp;T'!$F$1))</f>
        <v>0</v>
      </c>
      <c r="BG46" s="3">
        <f>IF($C$5="ON",CG46,MyRating(_S6,$B46,'S&amp;T'!$F$1))</f>
        <v>0</v>
      </c>
      <c r="BH46" s="3">
        <f>IF($C$5="ON",CH46,MyRating(_S7,$B46,'S&amp;T'!$F$1))</f>
        <v>0</v>
      </c>
      <c r="BI46" s="3">
        <f>IF($C$5="ON",CI46,MyRating(_D1,$B46,Delivery!$F$1))</f>
        <v>0</v>
      </c>
      <c r="BJ46" s="3">
        <f>IF($C$5="ON",CJ46,MyRating(_D2,$B46,Delivery!$F$1))</f>
        <v>0</v>
      </c>
      <c r="BK46" s="3">
        <f>IF($C$5="ON",CK46,MyRating(_D3,$B46,Delivery!$F$1))</f>
        <v>0</v>
      </c>
      <c r="BL46" s="3">
        <f>IF($C$5="ON",CL46,MyRating(_D4,$B46,Delivery!$F$1))</f>
        <v>0</v>
      </c>
      <c r="BM46" s="3">
        <f>IF($C$5="ON",CM46,MyRating(_B1G5,$B46,Barrier!$L$2))</f>
        <v>0</v>
      </c>
      <c r="BN46" s="3">
        <f>IF($C$5="ON",CN46,MyRating(_B2,$B46,Barrier!$F$2))</f>
        <v>0</v>
      </c>
      <c r="BO46" s="6">
        <f>IF($C$5="ON",CO46,MyRating(_B3,$B46,Barrier!$F$2))</f>
        <v>0</v>
      </c>
      <c r="BP46" s="5">
        <f t="shared" si="10"/>
        <v>0</v>
      </c>
      <c r="BQ46" s="8">
        <f t="shared" si="11"/>
        <v>0</v>
      </c>
      <c r="BR46" s="5">
        <f t="shared" si="12"/>
        <v>0</v>
      </c>
      <c r="BS46" s="7">
        <f t="shared" si="13"/>
        <v>0</v>
      </c>
      <c r="BT46" s="4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6">
        <v>0</v>
      </c>
      <c r="CP46" s="5">
        <v>0</v>
      </c>
    </row>
    <row r="47" spans="1:94" x14ac:dyDescent="0.35">
      <c r="A47" s="9" t="s">
        <v>184</v>
      </c>
      <c r="B47" s="9" t="s">
        <v>7</v>
      </c>
      <c r="C47" s="20"/>
      <c r="D47" s="9" t="s">
        <v>2</v>
      </c>
      <c r="E47" s="9" t="s">
        <v>193</v>
      </c>
      <c r="F47" s="9" t="s">
        <v>1</v>
      </c>
      <c r="G47" s="19">
        <v>0</v>
      </c>
      <c r="H47" s="9">
        <v>2014</v>
      </c>
      <c r="I47" s="9">
        <v>6</v>
      </c>
      <c r="J47" s="18">
        <f>INDEX(PTRS!$D$6:$D$12,MATCH('2'!$F47,PTRS!$B$6:$B$12,0))</f>
        <v>0.1044225</v>
      </c>
      <c r="K47" s="17">
        <v>0</v>
      </c>
      <c r="L47" s="17">
        <v>0.1044225</v>
      </c>
      <c r="M47" s="17">
        <v>0.1044225</v>
      </c>
      <c r="N47" s="17">
        <v>0</v>
      </c>
      <c r="O47" s="17">
        <v>1</v>
      </c>
      <c r="P47" s="17">
        <v>0.1044225</v>
      </c>
      <c r="Q47" s="17">
        <v>0.1044225</v>
      </c>
      <c r="R47" s="17">
        <v>0.1044225</v>
      </c>
      <c r="S47" s="17">
        <v>1</v>
      </c>
      <c r="T47" s="17"/>
      <c r="U47" s="22">
        <v>0.72649652910676854</v>
      </c>
      <c r="V47" s="17">
        <v>1</v>
      </c>
      <c r="W47" s="9" t="s">
        <v>7</v>
      </c>
      <c r="X47" s="9">
        <f>INDEX('Unique Asset List'!$C$4:$I$60,MATCH('2'!$B47,'Unique Asset List'!$A$4:$A$60,0),MATCH('2'!$C$1,'Unique Asset List'!$C$3:$I$3,0))</f>
        <v>2038</v>
      </c>
      <c r="Y47" s="9">
        <f>INDEX('Unique Asset List'!$J$4:$P$60,MATCH('2'!$B47,'Unique Asset List'!$A$4:$A$60,0),MATCH('2'!$C$1,'Unique Asset List'!$J$3:$P$3,0))</f>
        <v>6</v>
      </c>
      <c r="Z47" s="9">
        <f>INDEX('Unique Asset List'!$X$4:$AD$60,MATCH('2'!$B47,'Unique Asset List'!$A$4:$A$60,0),MATCH('2'!$C$1,'Unique Asset List'!$X$3:$AD$3,0))</f>
        <v>2050</v>
      </c>
      <c r="AA47" s="9">
        <f>INDEX('Unique Asset List'!$AE$4:$AK$60,MATCH('2'!$B47,'Unique Asset List'!$A$4:$A$60,0),MATCH('2'!$C$1,'Unique Asset List'!$AE$3:$AK$3,0))</f>
        <v>6</v>
      </c>
      <c r="AB47" s="21">
        <v>2.3276916000000001</v>
      </c>
      <c r="AC47" s="21">
        <v>1.0028454</v>
      </c>
      <c r="AD47" s="21">
        <v>0.56099999999999994</v>
      </c>
      <c r="AE47" s="15">
        <f>INDEX('Unique Asset List'!$BN$4:$BT$60,MATCH('2'!$B47,'Unique Asset List'!$A$4:$A$60,0),MATCH('2'!$C$1,'Unique Asset List'!$BN$3:$BT$3,0))</f>
        <v>0.2</v>
      </c>
      <c r="AF47" s="15">
        <f>INDEX('Unique Asset List'!$BU$4:$CA$60,MATCH('2'!$B47,'Unique Asset List'!$A$4:$A$60,0),MATCH('2'!$C$1,'Unique Asset List'!$BU$3:$CA$3,0))</f>
        <v>0.3</v>
      </c>
      <c r="AG47" s="15">
        <f>INDEX('Unique Asset List'!$AZ$4:$BF$60,MATCH('2'!$B47,'Unique Asset List'!$A$4:$A$60,0),MATCH('2'!$C$1,'Unique Asset List'!$AZ$3:$BF$3,0))</f>
        <v>0.2</v>
      </c>
      <c r="AH47" s="15">
        <f>INDEX('Unique Asset List'!$BG$4:$BM$60,MATCH('2'!$B47,'Unique Asset List'!$A$4:$A$60,0),MATCH('2'!$C$1,'Unique Asset List'!$BG$3:$BM$3,0))</f>
        <v>0.3</v>
      </c>
      <c r="AI47" s="11">
        <v>0.96187963349867744</v>
      </c>
      <c r="AJ47" s="15">
        <f>INDEX('Unique Asset List'!$AL$4:$AR$60,MATCH('2'!$B47,'Unique Asset List'!$A$4:$A$60,0),MATCH('2'!$C$1,'Unique Asset List'!$AL$3:$AR$3,0))</f>
        <v>2.2612105538192599</v>
      </c>
      <c r="AK47" s="15">
        <f>INDEX('Unique Asset List'!$AS$4:$AY$60,MATCH('2'!$B47,'Unique Asset List'!$A$4:$A$60,0),MATCH('2'!$C$1,'Unique Asset List'!$AS$3:$AY$3,0))</f>
        <v>-1.7475682675103321</v>
      </c>
      <c r="AL47" s="9">
        <v>169</v>
      </c>
      <c r="AM47" s="14">
        <f>INDEX(Simulation!$B$6:$H$6,MATCH($A47,Simulation!$B$1:$H$1,0))*(1+AN47)^((DATE(X47,Y47,15)-DATE(2017,1,15))/365.5)</f>
        <v>3.5</v>
      </c>
      <c r="AN47" s="12">
        <v>0</v>
      </c>
      <c r="AO47" s="13">
        <v>0.1</v>
      </c>
      <c r="AP47" s="11">
        <v>0.82</v>
      </c>
      <c r="AQ47" s="12">
        <v>0</v>
      </c>
      <c r="AR47" s="11">
        <f t="shared" si="9"/>
        <v>0.82</v>
      </c>
      <c r="AS47" s="10">
        <v>1</v>
      </c>
      <c r="AT47" s="4">
        <f>IF($C$5="ON",BT47,MyRating(_E1,$B47,Efficacy!$F$1))</f>
        <v>0</v>
      </c>
      <c r="AU47" s="3">
        <f>IF($C$5="ON",BU47,MyRating(_E2,$B47,Efficacy!$F$1))</f>
        <v>0</v>
      </c>
      <c r="AV47" s="3">
        <f>IF($C$5="ON",BV47,MyRating(_E3,$B47,Efficacy!$F$1))</f>
        <v>0</v>
      </c>
      <c r="AW47" s="3">
        <f>IF($C$5="ON",BW47,MyRating(_E4,$B47,Efficacy!$F$1))</f>
        <v>0</v>
      </c>
      <c r="AX47" s="3">
        <f>IF($C$5="ON",BX47,MyRating(_E5,$B47,Efficacy!$F$1))</f>
        <v>0</v>
      </c>
      <c r="AY47" s="3">
        <f>IF($C$5="ON",BY47,MyRating(_E6,$B47,Efficacy!$F$1))</f>
        <v>0</v>
      </c>
      <c r="AZ47" s="3">
        <f>IF($C$5="ON",BZ47,MyRating(_E7,$B47,Efficacy!$F$1))</f>
        <v>0</v>
      </c>
      <c r="BA47" s="3">
        <f>IF($C$5="ON",CA47,MyRating(_E8,$B47,Efficacy!$F$1))</f>
        <v>0</v>
      </c>
      <c r="BB47" s="3">
        <f>IF($C$5="ON",CB47,MyRating(_S1,$B47,'S&amp;T'!$F$1))</f>
        <v>0</v>
      </c>
      <c r="BC47" s="3">
        <f>IF($C$5="ON",CC47,MyRating(_S2,$B47,'S&amp;T'!$F$1))</f>
        <v>0</v>
      </c>
      <c r="BD47" s="3">
        <f>IF($C$5="ON",CD47,MyRating(_S3,$B47,'S&amp;T'!$F$1))</f>
        <v>0</v>
      </c>
      <c r="BE47" s="3">
        <f>IF($C$5="ON",CE47,MyRating(_S4,$B47,'S&amp;T'!$F$1))</f>
        <v>0</v>
      </c>
      <c r="BF47" s="3">
        <f>IF($C$5="ON",CF47,MyRating(_S5,$B47,'S&amp;T'!$F$1))</f>
        <v>0</v>
      </c>
      <c r="BG47" s="3">
        <f>IF($C$5="ON",CG47,MyRating(_S6,$B47,'S&amp;T'!$F$1))</f>
        <v>0</v>
      </c>
      <c r="BH47" s="3">
        <f>IF($C$5="ON",CH47,MyRating(_S7,$B47,'S&amp;T'!$F$1))</f>
        <v>0</v>
      </c>
      <c r="BI47" s="3">
        <f>IF($C$5="ON",CI47,MyRating(_D1,$B47,Delivery!$F$1))</f>
        <v>0</v>
      </c>
      <c r="BJ47" s="3">
        <f>IF($C$5="ON",CJ47,MyRating(_D2,$B47,Delivery!$F$1))</f>
        <v>0</v>
      </c>
      <c r="BK47" s="3">
        <f>IF($C$5="ON",CK47,MyRating(_D3,$B47,Delivery!$F$1))</f>
        <v>0</v>
      </c>
      <c r="BL47" s="3">
        <f>IF($C$5="ON",CL47,MyRating(_D4,$B47,Delivery!$F$1))</f>
        <v>0</v>
      </c>
      <c r="BM47" s="3">
        <f>IF($C$5="ON",CM47,MyRating(_B1G5,$B47,Barrier!$L$2))</f>
        <v>0</v>
      </c>
      <c r="BN47" s="3">
        <f>IF($C$5="ON",CN47,MyRating(_B2,$B47,Barrier!$F$2))</f>
        <v>0</v>
      </c>
      <c r="BO47" s="6">
        <f>IF($C$5="ON",CO47,MyRating(_B3,$B47,Barrier!$F$2))</f>
        <v>0</v>
      </c>
      <c r="BP47" s="5">
        <f t="shared" si="10"/>
        <v>0</v>
      </c>
      <c r="BQ47" s="8">
        <f t="shared" si="11"/>
        <v>0</v>
      </c>
      <c r="BR47" s="5">
        <f t="shared" si="12"/>
        <v>0</v>
      </c>
      <c r="BS47" s="7">
        <f t="shared" si="13"/>
        <v>0</v>
      </c>
      <c r="BT47" s="4">
        <v>0</v>
      </c>
      <c r="BU47" s="3">
        <v>0</v>
      </c>
      <c r="BV47" s="3">
        <v>0</v>
      </c>
      <c r="BW47" s="3">
        <v>0</v>
      </c>
      <c r="BX47" s="3">
        <v>0</v>
      </c>
      <c r="BY47" s="3">
        <v>0</v>
      </c>
      <c r="BZ47" s="3">
        <v>0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6">
        <v>0</v>
      </c>
      <c r="CP47" s="5">
        <v>0</v>
      </c>
    </row>
    <row r="48" spans="1:94" x14ac:dyDescent="0.35">
      <c r="A48" s="9" t="s">
        <v>184</v>
      </c>
      <c r="B48" s="9" t="s">
        <v>15</v>
      </c>
      <c r="C48" s="20"/>
      <c r="D48" s="9" t="s">
        <v>14</v>
      </c>
      <c r="E48" s="9" t="s">
        <v>193</v>
      </c>
      <c r="F48" s="9" t="s">
        <v>1</v>
      </c>
      <c r="G48" s="19">
        <v>0</v>
      </c>
      <c r="H48" s="9">
        <v>2014</v>
      </c>
      <c r="I48" s="9">
        <v>6</v>
      </c>
      <c r="J48" s="18">
        <f>INDEX(PTRS!$D$6:$D$12,MATCH('2'!$F48,PTRS!$B$6:$B$12,0))</f>
        <v>0.1044225</v>
      </c>
      <c r="K48" s="17">
        <v>0</v>
      </c>
      <c r="L48" s="17">
        <v>0.1044225</v>
      </c>
      <c r="M48" s="17">
        <v>0.1044225</v>
      </c>
      <c r="N48" s="17">
        <v>0</v>
      </c>
      <c r="O48" s="17">
        <v>1</v>
      </c>
      <c r="P48" s="17">
        <v>0.1044225</v>
      </c>
      <c r="Q48" s="17">
        <v>0.1044225</v>
      </c>
      <c r="R48" s="17">
        <v>0.1044225</v>
      </c>
      <c r="S48" s="17">
        <v>1</v>
      </c>
      <c r="T48" s="17" t="s">
        <v>13</v>
      </c>
      <c r="U48" s="22">
        <v>0.72649652910676854</v>
      </c>
      <c r="V48" s="17">
        <v>1</v>
      </c>
      <c r="W48" s="9" t="s">
        <v>13</v>
      </c>
      <c r="X48" s="9">
        <f>INDEX('Unique Asset List'!$C$4:$I$60,MATCH('2'!$B48,'Unique Asset List'!$A$4:$A$60,0),MATCH('2'!$C$1,'Unique Asset List'!$C$3:$I$3,0))</f>
        <v>2032</v>
      </c>
      <c r="Y48" s="9">
        <f>INDEX('Unique Asset List'!$J$4:$P$60,MATCH('2'!$B48,'Unique Asset List'!$A$4:$A$60,0),MATCH('2'!$C$1,'Unique Asset List'!$J$3:$P$3,0))</f>
        <v>6</v>
      </c>
      <c r="Z48" s="9">
        <f>INDEX('Unique Asset List'!$X$4:$AD$60,MATCH('2'!$B48,'Unique Asset List'!$A$4:$A$60,0),MATCH('2'!$C$1,'Unique Asset List'!$X$3:$AD$3,0))</f>
        <v>2044</v>
      </c>
      <c r="AA48" s="9">
        <f>INDEX('Unique Asset List'!$AE$4:$AK$60,MATCH('2'!$B48,'Unique Asset List'!$A$4:$A$60,0),MATCH('2'!$C$1,'Unique Asset List'!$AE$3:$AK$3,0))</f>
        <v>6</v>
      </c>
      <c r="AB48" s="21">
        <v>2.3276916000000001</v>
      </c>
      <c r="AC48" s="21">
        <v>1.0028454</v>
      </c>
      <c r="AD48" s="21">
        <v>0.56099999999999994</v>
      </c>
      <c r="AE48" s="15">
        <f>INDEX('Unique Asset List'!$BN$4:$BT$60,MATCH('2'!$B48,'Unique Asset List'!$A$4:$A$60,0),MATCH('2'!$C$1,'Unique Asset List'!$BN$3:$BT$3,0))</f>
        <v>0.2</v>
      </c>
      <c r="AF48" s="15">
        <f>INDEX('Unique Asset List'!$BU$4:$CA$60,MATCH('2'!$B48,'Unique Asset List'!$A$4:$A$60,0),MATCH('2'!$C$1,'Unique Asset List'!$BU$3:$CA$3,0))</f>
        <v>0.3</v>
      </c>
      <c r="AG48" s="15">
        <f>INDEX('Unique Asset List'!$AZ$4:$BF$60,MATCH('2'!$B48,'Unique Asset List'!$A$4:$A$60,0),MATCH('2'!$C$1,'Unique Asset List'!$AZ$3:$BF$3,0))</f>
        <v>0.2</v>
      </c>
      <c r="AH48" s="15">
        <f>INDEX('Unique Asset List'!$BG$4:$BM$60,MATCH('2'!$B48,'Unique Asset List'!$A$4:$A$60,0),MATCH('2'!$C$1,'Unique Asset List'!$BG$3:$BM$3,0))</f>
        <v>0.3</v>
      </c>
      <c r="AI48" s="11">
        <v>0.96187963349867744</v>
      </c>
      <c r="AJ48" s="15">
        <f>INDEX('Unique Asset List'!$AL$4:$AR$60,MATCH('2'!$B48,'Unique Asset List'!$A$4:$A$60,0),MATCH('2'!$C$1,'Unique Asset List'!$AL$3:$AR$3,0))</f>
        <v>2.2612105538192599</v>
      </c>
      <c r="AK48" s="15">
        <f>INDEX('Unique Asset List'!$AS$4:$AY$60,MATCH('2'!$B48,'Unique Asset List'!$A$4:$A$60,0),MATCH('2'!$C$1,'Unique Asset List'!$AS$3:$AY$3,0))</f>
        <v>-1.7475682675103321</v>
      </c>
      <c r="AL48" s="9">
        <v>169</v>
      </c>
      <c r="AM48" s="14">
        <f>INDEX(Simulation!$B$6:$H$6,MATCH($A48,Simulation!$B$1:$H$1,0))*(1+AN48)^((DATE(X48,Y48,15)-DATE(2017,1,15))/365.5)</f>
        <v>3.5</v>
      </c>
      <c r="AN48" s="12">
        <v>0</v>
      </c>
      <c r="AO48" s="13">
        <v>0.1</v>
      </c>
      <c r="AP48" s="11">
        <v>0.82</v>
      </c>
      <c r="AQ48" s="12">
        <v>0</v>
      </c>
      <c r="AR48" s="11">
        <f t="shared" si="9"/>
        <v>0.82</v>
      </c>
      <c r="AS48" s="10">
        <v>1</v>
      </c>
      <c r="AT48" s="4">
        <f>IF($C$5="ON",BT48,MyRating(_E1,$B48,Efficacy!$F$1))</f>
        <v>0</v>
      </c>
      <c r="AU48" s="3">
        <f>IF($C$5="ON",BU48,MyRating(_E2,$B48,Efficacy!$F$1))</f>
        <v>0</v>
      </c>
      <c r="AV48" s="3">
        <f>IF($C$5="ON",BV48,MyRating(_E3,$B48,Efficacy!$F$1))</f>
        <v>0</v>
      </c>
      <c r="AW48" s="3">
        <f>IF($C$5="ON",BW48,MyRating(_E4,$B48,Efficacy!$F$1))</f>
        <v>0</v>
      </c>
      <c r="AX48" s="3">
        <f>IF($C$5="ON",BX48,MyRating(_E5,$B48,Efficacy!$F$1))</f>
        <v>0</v>
      </c>
      <c r="AY48" s="3">
        <f>IF($C$5="ON",BY48,MyRating(_E6,$B48,Efficacy!$F$1))</f>
        <v>0</v>
      </c>
      <c r="AZ48" s="3">
        <f>IF($C$5="ON",BZ48,MyRating(_E7,$B48,Efficacy!$F$1))</f>
        <v>0</v>
      </c>
      <c r="BA48" s="3">
        <f>IF($C$5="ON",CA48,MyRating(_E8,$B48,Efficacy!$F$1))</f>
        <v>0</v>
      </c>
      <c r="BB48" s="3">
        <f>IF($C$5="ON",CB48,MyRating(_S1,$B48,'S&amp;T'!$F$1))</f>
        <v>0</v>
      </c>
      <c r="BC48" s="3">
        <f>IF($C$5="ON",CC48,MyRating(_S2,$B48,'S&amp;T'!$F$1))</f>
        <v>0</v>
      </c>
      <c r="BD48" s="3">
        <f>IF($C$5="ON",CD48,MyRating(_S3,$B48,'S&amp;T'!$F$1))</f>
        <v>0</v>
      </c>
      <c r="BE48" s="3">
        <f>IF($C$5="ON",CE48,MyRating(_S4,$B48,'S&amp;T'!$F$1))</f>
        <v>0</v>
      </c>
      <c r="BF48" s="3">
        <f>IF($C$5="ON",CF48,MyRating(_S5,$B48,'S&amp;T'!$F$1))</f>
        <v>0</v>
      </c>
      <c r="BG48" s="3">
        <f>IF($C$5="ON",CG48,MyRating(_S6,$B48,'S&amp;T'!$F$1))</f>
        <v>0</v>
      </c>
      <c r="BH48" s="3">
        <f>IF($C$5="ON",CH48,MyRating(_S7,$B48,'S&amp;T'!$F$1))</f>
        <v>0</v>
      </c>
      <c r="BI48" s="3">
        <f>IF($C$5="ON",CI48,MyRating(_D1,$B48,Delivery!$F$1))</f>
        <v>0</v>
      </c>
      <c r="BJ48" s="3">
        <f>IF($C$5="ON",CJ48,MyRating(_D2,$B48,Delivery!$F$1))</f>
        <v>0</v>
      </c>
      <c r="BK48" s="3">
        <f>IF($C$5="ON",CK48,MyRating(_D3,$B48,Delivery!$F$1))</f>
        <v>0</v>
      </c>
      <c r="BL48" s="3">
        <f>IF($C$5="ON",CL48,MyRating(_D4,$B48,Delivery!$F$1))</f>
        <v>0</v>
      </c>
      <c r="BM48" s="3">
        <f>IF($C$5="ON",CM48,MyRating(_B1G5,$B48,Barrier!$L$2))</f>
        <v>0</v>
      </c>
      <c r="BN48" s="3">
        <f>IF($C$5="ON",CN48,MyRating(_B2,$B48,Barrier!$F$2))</f>
        <v>0</v>
      </c>
      <c r="BO48" s="6">
        <f>IF($C$5="ON",CO48,MyRating(_B3,$B48,Barrier!$F$2))</f>
        <v>0</v>
      </c>
      <c r="BP48" s="5">
        <f t="shared" si="10"/>
        <v>0</v>
      </c>
      <c r="BQ48" s="8">
        <f t="shared" si="11"/>
        <v>0</v>
      </c>
      <c r="BR48" s="5">
        <f t="shared" si="12"/>
        <v>0</v>
      </c>
      <c r="BS48" s="7">
        <f t="shared" si="13"/>
        <v>0</v>
      </c>
      <c r="BT48" s="4">
        <v>0</v>
      </c>
      <c r="BU48" s="3">
        <v>0</v>
      </c>
      <c r="BV48" s="3">
        <v>0</v>
      </c>
      <c r="BW48" s="3">
        <v>0</v>
      </c>
      <c r="BX48" s="3">
        <v>0</v>
      </c>
      <c r="BY48" s="3">
        <v>0</v>
      </c>
      <c r="BZ48" s="3">
        <v>0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6">
        <v>0</v>
      </c>
      <c r="CP48" s="5">
        <v>0</v>
      </c>
    </row>
    <row r="49" spans="1:94" x14ac:dyDescent="0.35">
      <c r="A49" s="9" t="s">
        <v>184</v>
      </c>
      <c r="B49" s="9" t="s">
        <v>12</v>
      </c>
      <c r="C49" s="20"/>
      <c r="D49" s="9" t="s">
        <v>11</v>
      </c>
      <c r="E49" s="9" t="s">
        <v>193</v>
      </c>
      <c r="F49" s="9" t="s">
        <v>1</v>
      </c>
      <c r="G49" s="19">
        <v>0</v>
      </c>
      <c r="H49" s="9">
        <v>2014</v>
      </c>
      <c r="I49" s="9">
        <v>6</v>
      </c>
      <c r="J49" s="18">
        <f>INDEX(PTRS!$D$6:$D$12,MATCH('2'!$F49,PTRS!$B$6:$B$12,0))</f>
        <v>0.1044225</v>
      </c>
      <c r="K49" s="17">
        <v>0</v>
      </c>
      <c r="L49" s="17">
        <v>0.1044225</v>
      </c>
      <c r="M49" s="17">
        <v>0.1044225</v>
      </c>
      <c r="N49" s="17">
        <v>0</v>
      </c>
      <c r="O49" s="17">
        <v>1</v>
      </c>
      <c r="P49" s="17">
        <v>0.1044225</v>
      </c>
      <c r="Q49" s="17">
        <v>0.1044225</v>
      </c>
      <c r="R49" s="17">
        <v>0.1044225</v>
      </c>
      <c r="S49" s="17">
        <v>1</v>
      </c>
      <c r="T49" s="17" t="s">
        <v>10</v>
      </c>
      <c r="U49" s="22">
        <v>0.72649652910676854</v>
      </c>
      <c r="V49" s="17">
        <v>1</v>
      </c>
      <c r="W49" s="9" t="s">
        <v>10</v>
      </c>
      <c r="X49" s="9">
        <f>INDEX('Unique Asset List'!$C$4:$I$60,MATCH('2'!$B49,'Unique Asset List'!$A$4:$A$60,0),MATCH('2'!$C$1,'Unique Asset List'!$C$3:$I$3,0))</f>
        <v>2036</v>
      </c>
      <c r="Y49" s="9">
        <f>INDEX('Unique Asset List'!$J$4:$P$60,MATCH('2'!$B49,'Unique Asset List'!$A$4:$A$60,0),MATCH('2'!$C$1,'Unique Asset List'!$J$3:$P$3,0))</f>
        <v>6</v>
      </c>
      <c r="Z49" s="9">
        <f>INDEX('Unique Asset List'!$X$4:$AD$60,MATCH('2'!$B49,'Unique Asset List'!$A$4:$A$60,0),MATCH('2'!$C$1,'Unique Asset List'!$X$3:$AD$3,0))</f>
        <v>2048</v>
      </c>
      <c r="AA49" s="9">
        <f>INDEX('Unique Asset List'!$AE$4:$AK$60,MATCH('2'!$B49,'Unique Asset List'!$A$4:$A$60,0),MATCH('2'!$C$1,'Unique Asset List'!$AE$3:$AK$3,0))</f>
        <v>6</v>
      </c>
      <c r="AB49" s="21">
        <v>2.3276916000000001</v>
      </c>
      <c r="AC49" s="21">
        <v>1.0028454</v>
      </c>
      <c r="AD49" s="21">
        <v>0.56099999999999994</v>
      </c>
      <c r="AE49" s="15">
        <f>INDEX('Unique Asset List'!$BN$4:$BT$60,MATCH('2'!$B49,'Unique Asset List'!$A$4:$A$60,0),MATCH('2'!$C$1,'Unique Asset List'!$BN$3:$BT$3,0))</f>
        <v>0.2</v>
      </c>
      <c r="AF49" s="15">
        <f>INDEX('Unique Asset List'!$BU$4:$CA$60,MATCH('2'!$B49,'Unique Asset List'!$A$4:$A$60,0),MATCH('2'!$C$1,'Unique Asset List'!$BU$3:$CA$3,0))</f>
        <v>0.3</v>
      </c>
      <c r="AG49" s="15">
        <f>INDEX('Unique Asset List'!$AZ$4:$BF$60,MATCH('2'!$B49,'Unique Asset List'!$A$4:$A$60,0),MATCH('2'!$C$1,'Unique Asset List'!$AZ$3:$BF$3,0))</f>
        <v>0.2</v>
      </c>
      <c r="AH49" s="15">
        <f>INDEX('Unique Asset List'!$BG$4:$BM$60,MATCH('2'!$B49,'Unique Asset List'!$A$4:$A$60,0),MATCH('2'!$C$1,'Unique Asset List'!$BG$3:$BM$3,0))</f>
        <v>0.3</v>
      </c>
      <c r="AI49" s="11">
        <v>0.96187963349867744</v>
      </c>
      <c r="AJ49" s="15">
        <f>INDEX('Unique Asset List'!$AL$4:$AR$60,MATCH('2'!$B49,'Unique Asset List'!$A$4:$A$60,0),MATCH('2'!$C$1,'Unique Asset List'!$AL$3:$AR$3,0))</f>
        <v>2.2612105538192599</v>
      </c>
      <c r="AK49" s="15">
        <f>INDEX('Unique Asset List'!$AS$4:$AY$60,MATCH('2'!$B49,'Unique Asset List'!$A$4:$A$60,0),MATCH('2'!$C$1,'Unique Asset List'!$AS$3:$AY$3,0))</f>
        <v>-1.7475682675103321</v>
      </c>
      <c r="AL49" s="9">
        <v>169</v>
      </c>
      <c r="AM49" s="14">
        <f>INDEX(Simulation!$B$6:$H$6,MATCH($A49,Simulation!$B$1:$H$1,0))*(1+AN49)^((DATE(X49,Y49,15)-DATE(2017,1,15))/365.5)</f>
        <v>3.5</v>
      </c>
      <c r="AN49" s="12">
        <v>0</v>
      </c>
      <c r="AO49" s="13">
        <v>0.1</v>
      </c>
      <c r="AP49" s="11">
        <v>0.82</v>
      </c>
      <c r="AQ49" s="12">
        <v>0</v>
      </c>
      <c r="AR49" s="11">
        <f t="shared" si="9"/>
        <v>0.82</v>
      </c>
      <c r="AS49" s="10">
        <v>1</v>
      </c>
      <c r="AT49" s="4">
        <f>IF($C$5="ON",BT49,MyRating(_E1,$B49,Efficacy!$F$1))</f>
        <v>0</v>
      </c>
      <c r="AU49" s="3">
        <f>IF($C$5="ON",BU49,MyRating(_E2,$B49,Efficacy!$F$1))</f>
        <v>0</v>
      </c>
      <c r="AV49" s="3">
        <f>IF($C$5="ON",BV49,MyRating(_E3,$B49,Efficacy!$F$1))</f>
        <v>0</v>
      </c>
      <c r="AW49" s="3">
        <f>IF($C$5="ON",BW49,MyRating(_E4,$B49,Efficacy!$F$1))</f>
        <v>0</v>
      </c>
      <c r="AX49" s="3">
        <f>IF($C$5="ON",BX49,MyRating(_E5,$B49,Efficacy!$F$1))</f>
        <v>0</v>
      </c>
      <c r="AY49" s="3">
        <f>IF($C$5="ON",BY49,MyRating(_E6,$B49,Efficacy!$F$1))</f>
        <v>0</v>
      </c>
      <c r="AZ49" s="3">
        <f>IF($C$5="ON",BZ49,MyRating(_E7,$B49,Efficacy!$F$1))</f>
        <v>0</v>
      </c>
      <c r="BA49" s="3">
        <f>IF($C$5="ON",CA49,MyRating(_E8,$B49,Efficacy!$F$1))</f>
        <v>0</v>
      </c>
      <c r="BB49" s="3">
        <f>IF($C$5="ON",CB49,MyRating(_S1,$B49,'S&amp;T'!$F$1))</f>
        <v>0</v>
      </c>
      <c r="BC49" s="3">
        <f>IF($C$5="ON",CC49,MyRating(_S2,$B49,'S&amp;T'!$F$1))</f>
        <v>0</v>
      </c>
      <c r="BD49" s="3">
        <f>IF($C$5="ON",CD49,MyRating(_S3,$B49,'S&amp;T'!$F$1))</f>
        <v>0</v>
      </c>
      <c r="BE49" s="3">
        <f>IF($C$5="ON",CE49,MyRating(_S4,$B49,'S&amp;T'!$F$1))</f>
        <v>0</v>
      </c>
      <c r="BF49" s="3">
        <f>IF($C$5="ON",CF49,MyRating(_S5,$B49,'S&amp;T'!$F$1))</f>
        <v>0</v>
      </c>
      <c r="BG49" s="3">
        <f>IF($C$5="ON",CG49,MyRating(_S6,$B49,'S&amp;T'!$F$1))</f>
        <v>0</v>
      </c>
      <c r="BH49" s="3">
        <f>IF($C$5="ON",CH49,MyRating(_S7,$B49,'S&amp;T'!$F$1))</f>
        <v>0</v>
      </c>
      <c r="BI49" s="3">
        <f>IF($C$5="ON",CI49,MyRating(_D1,$B49,Delivery!$F$1))</f>
        <v>0</v>
      </c>
      <c r="BJ49" s="3">
        <f>IF($C$5="ON",CJ49,MyRating(_D2,$B49,Delivery!$F$1))</f>
        <v>0</v>
      </c>
      <c r="BK49" s="3">
        <f>IF($C$5="ON",CK49,MyRating(_D3,$B49,Delivery!$F$1))</f>
        <v>0</v>
      </c>
      <c r="BL49" s="3">
        <f>IF($C$5="ON",CL49,MyRating(_D4,$B49,Delivery!$F$1))</f>
        <v>0</v>
      </c>
      <c r="BM49" s="3">
        <f>IF($C$5="ON",CM49,MyRating(_B1G5,$B49,Barrier!$L$2))</f>
        <v>0</v>
      </c>
      <c r="BN49" s="3">
        <f>IF($C$5="ON",CN49,MyRating(_B2,$B49,Barrier!$F$2))</f>
        <v>0</v>
      </c>
      <c r="BO49" s="6">
        <f>IF($C$5="ON",CO49,MyRating(_B3,$B49,Barrier!$F$2))</f>
        <v>0</v>
      </c>
      <c r="BP49" s="5">
        <f t="shared" si="10"/>
        <v>0</v>
      </c>
      <c r="BQ49" s="8">
        <f t="shared" si="11"/>
        <v>0</v>
      </c>
      <c r="BR49" s="5">
        <f t="shared" si="12"/>
        <v>0</v>
      </c>
      <c r="BS49" s="7">
        <f t="shared" si="13"/>
        <v>0</v>
      </c>
      <c r="BT49" s="4">
        <v>0</v>
      </c>
      <c r="BU49" s="3">
        <v>0</v>
      </c>
      <c r="BV49" s="3">
        <v>0</v>
      </c>
      <c r="BW49" s="3">
        <v>0</v>
      </c>
      <c r="BX49" s="3">
        <v>0</v>
      </c>
      <c r="BY49" s="3">
        <v>0</v>
      </c>
      <c r="BZ49" s="3">
        <v>0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6">
        <v>0</v>
      </c>
      <c r="CP49" s="5">
        <v>0</v>
      </c>
    </row>
    <row r="50" spans="1:94" x14ac:dyDescent="0.35">
      <c r="A50" s="9" t="s">
        <v>184</v>
      </c>
      <c r="B50" s="9" t="s">
        <v>9</v>
      </c>
      <c r="C50" s="20"/>
      <c r="D50" s="9" t="s">
        <v>8</v>
      </c>
      <c r="E50" s="9" t="s">
        <v>193</v>
      </c>
      <c r="F50" s="9" t="s">
        <v>1</v>
      </c>
      <c r="G50" s="19">
        <v>0</v>
      </c>
      <c r="H50" s="9">
        <v>2014</v>
      </c>
      <c r="I50" s="9">
        <v>6</v>
      </c>
      <c r="J50" s="18">
        <f>INDEX(PTRS!$D$6:$D$12,MATCH('2'!$F50,PTRS!$B$6:$B$12,0))</f>
        <v>0.1044225</v>
      </c>
      <c r="K50" s="17">
        <v>0</v>
      </c>
      <c r="L50" s="17">
        <v>0.1044225</v>
      </c>
      <c r="M50" s="17">
        <v>0.1044225</v>
      </c>
      <c r="N50" s="17">
        <v>0</v>
      </c>
      <c r="O50" s="17">
        <v>1</v>
      </c>
      <c r="P50" s="17">
        <v>0.1044225</v>
      </c>
      <c r="Q50" s="17">
        <v>0.1044225</v>
      </c>
      <c r="R50" s="17">
        <v>0.1044225</v>
      </c>
      <c r="S50" s="17">
        <v>1</v>
      </c>
      <c r="T50" s="17" t="s">
        <v>7</v>
      </c>
      <c r="U50" s="22">
        <v>0.72649652910676854</v>
      </c>
      <c r="V50" s="17">
        <v>1</v>
      </c>
      <c r="W50" s="9" t="s">
        <v>7</v>
      </c>
      <c r="X50" s="9">
        <f>INDEX('Unique Asset List'!$C$4:$I$60,MATCH('2'!$B50,'Unique Asset List'!$A$4:$A$60,0),MATCH('2'!$C$1,'Unique Asset List'!$C$3:$I$3,0))</f>
        <v>2041</v>
      </c>
      <c r="Y50" s="9">
        <f>INDEX('Unique Asset List'!$J$4:$P$60,MATCH('2'!$B50,'Unique Asset List'!$A$4:$A$60,0),MATCH('2'!$C$1,'Unique Asset List'!$J$3:$P$3,0))</f>
        <v>6</v>
      </c>
      <c r="Z50" s="9">
        <f>INDEX('Unique Asset List'!$X$4:$AD$60,MATCH('2'!$B50,'Unique Asset List'!$A$4:$A$60,0),MATCH('2'!$C$1,'Unique Asset List'!$X$3:$AD$3,0))</f>
        <v>2053</v>
      </c>
      <c r="AA50" s="9">
        <f>INDEX('Unique Asset List'!$AE$4:$AK$60,MATCH('2'!$B50,'Unique Asset List'!$A$4:$A$60,0),MATCH('2'!$C$1,'Unique Asset List'!$AE$3:$AK$3,0))</f>
        <v>6</v>
      </c>
      <c r="AB50" s="21">
        <v>2.3276916000000001</v>
      </c>
      <c r="AC50" s="21">
        <v>1.0028454</v>
      </c>
      <c r="AD50" s="21">
        <v>0.56099999999999994</v>
      </c>
      <c r="AE50" s="15">
        <f>INDEX('Unique Asset List'!$BN$4:$BT$60,MATCH('2'!$B50,'Unique Asset List'!$A$4:$A$60,0),MATCH('2'!$C$1,'Unique Asset List'!$BN$3:$BT$3,0))</f>
        <v>0.2</v>
      </c>
      <c r="AF50" s="15">
        <f>INDEX('Unique Asset List'!$BU$4:$CA$60,MATCH('2'!$B50,'Unique Asset List'!$A$4:$A$60,0),MATCH('2'!$C$1,'Unique Asset List'!$BU$3:$CA$3,0))</f>
        <v>0.3</v>
      </c>
      <c r="AG50" s="15">
        <f>INDEX('Unique Asset List'!$AZ$4:$BF$60,MATCH('2'!$B50,'Unique Asset List'!$A$4:$A$60,0),MATCH('2'!$C$1,'Unique Asset List'!$AZ$3:$BF$3,0))</f>
        <v>0.2</v>
      </c>
      <c r="AH50" s="15">
        <f>INDEX('Unique Asset List'!$BG$4:$BM$60,MATCH('2'!$B50,'Unique Asset List'!$A$4:$A$60,0),MATCH('2'!$C$1,'Unique Asset List'!$BG$3:$BM$3,0))</f>
        <v>0.3</v>
      </c>
      <c r="AI50" s="11">
        <v>0.96187963349867744</v>
      </c>
      <c r="AJ50" s="15">
        <f>INDEX('Unique Asset List'!$AL$4:$AR$60,MATCH('2'!$B50,'Unique Asset List'!$A$4:$A$60,0),MATCH('2'!$C$1,'Unique Asset List'!$AL$3:$AR$3,0))</f>
        <v>2.2612105538192599</v>
      </c>
      <c r="AK50" s="15">
        <f>INDEX('Unique Asset List'!$AS$4:$AY$60,MATCH('2'!$B50,'Unique Asset List'!$A$4:$A$60,0),MATCH('2'!$C$1,'Unique Asset List'!$AS$3:$AY$3,0))</f>
        <v>-1.7475682675103321</v>
      </c>
      <c r="AL50" s="9">
        <v>169</v>
      </c>
      <c r="AM50" s="14">
        <f>INDEX(Simulation!$B$6:$H$6,MATCH($A50,Simulation!$B$1:$H$1,0))*(1+AN50)^((DATE(X50,Y50,15)-DATE(2017,1,15))/365.5)</f>
        <v>3.5</v>
      </c>
      <c r="AN50" s="12">
        <v>0</v>
      </c>
      <c r="AO50" s="13">
        <v>0.1</v>
      </c>
      <c r="AP50" s="11">
        <v>0.82</v>
      </c>
      <c r="AQ50" s="12">
        <v>0</v>
      </c>
      <c r="AR50" s="11">
        <f t="shared" si="9"/>
        <v>0.82</v>
      </c>
      <c r="AS50" s="10">
        <v>1</v>
      </c>
      <c r="AT50" s="4">
        <f>IF($C$5="ON",BT50,MyRating(_E1,$B50,Efficacy!$F$1))</f>
        <v>0</v>
      </c>
      <c r="AU50" s="3">
        <f>IF($C$5="ON",BU50,MyRating(_E2,$B50,Efficacy!$F$1))</f>
        <v>0</v>
      </c>
      <c r="AV50" s="3">
        <f>IF($C$5="ON",BV50,MyRating(_E3,$B50,Efficacy!$F$1))</f>
        <v>0</v>
      </c>
      <c r="AW50" s="3">
        <f>IF($C$5="ON",BW50,MyRating(_E4,$B50,Efficacy!$F$1))</f>
        <v>0</v>
      </c>
      <c r="AX50" s="3">
        <f>IF($C$5="ON",BX50,MyRating(_E5,$B50,Efficacy!$F$1))</f>
        <v>0</v>
      </c>
      <c r="AY50" s="3">
        <f>IF($C$5="ON",BY50,MyRating(_E6,$B50,Efficacy!$F$1))</f>
        <v>0</v>
      </c>
      <c r="AZ50" s="3">
        <f>IF($C$5="ON",BZ50,MyRating(_E7,$B50,Efficacy!$F$1))</f>
        <v>0</v>
      </c>
      <c r="BA50" s="3">
        <f>IF($C$5="ON",CA50,MyRating(_E8,$B50,Efficacy!$F$1))</f>
        <v>0</v>
      </c>
      <c r="BB50" s="3">
        <f>IF($C$5="ON",CB50,MyRating(_S1,$B50,'S&amp;T'!$F$1))</f>
        <v>0</v>
      </c>
      <c r="BC50" s="3">
        <f>IF($C$5="ON",CC50,MyRating(_S2,$B50,'S&amp;T'!$F$1))</f>
        <v>0</v>
      </c>
      <c r="BD50" s="3">
        <f>IF($C$5="ON",CD50,MyRating(_S3,$B50,'S&amp;T'!$F$1))</f>
        <v>0</v>
      </c>
      <c r="BE50" s="3">
        <f>IF($C$5="ON",CE50,MyRating(_S4,$B50,'S&amp;T'!$F$1))</f>
        <v>0</v>
      </c>
      <c r="BF50" s="3">
        <f>IF($C$5="ON",CF50,MyRating(_S5,$B50,'S&amp;T'!$F$1))</f>
        <v>0</v>
      </c>
      <c r="BG50" s="3">
        <f>IF($C$5="ON",CG50,MyRating(_S6,$B50,'S&amp;T'!$F$1))</f>
        <v>0</v>
      </c>
      <c r="BH50" s="3">
        <f>IF($C$5="ON",CH50,MyRating(_S7,$B50,'S&amp;T'!$F$1))</f>
        <v>0</v>
      </c>
      <c r="BI50" s="3">
        <f>IF($C$5="ON",CI50,MyRating(_D1,$B50,Delivery!$F$1))</f>
        <v>0</v>
      </c>
      <c r="BJ50" s="3">
        <f>IF($C$5="ON",CJ50,MyRating(_D2,$B50,Delivery!$F$1))</f>
        <v>0</v>
      </c>
      <c r="BK50" s="3">
        <f>IF($C$5="ON",CK50,MyRating(_D3,$B50,Delivery!$F$1))</f>
        <v>0</v>
      </c>
      <c r="BL50" s="3">
        <f>IF($C$5="ON",CL50,MyRating(_D4,$B50,Delivery!$F$1))</f>
        <v>0</v>
      </c>
      <c r="BM50" s="3">
        <f>IF($C$5="ON",CM50,MyRating(_B1G5,$B50,Barrier!$L$2))</f>
        <v>0</v>
      </c>
      <c r="BN50" s="3">
        <f>IF($C$5="ON",CN50,MyRating(_B2,$B50,Barrier!$F$2))</f>
        <v>0</v>
      </c>
      <c r="BO50" s="6">
        <f>IF($C$5="ON",CO50,MyRating(_B3,$B50,Barrier!$F$2))</f>
        <v>0</v>
      </c>
      <c r="BP50" s="5">
        <f t="shared" si="10"/>
        <v>0</v>
      </c>
      <c r="BQ50" s="8">
        <f t="shared" si="11"/>
        <v>0</v>
      </c>
      <c r="BR50" s="5">
        <f t="shared" si="12"/>
        <v>0</v>
      </c>
      <c r="BS50" s="7">
        <f t="shared" si="13"/>
        <v>0</v>
      </c>
      <c r="BT50" s="4">
        <v>0</v>
      </c>
      <c r="BU50" s="3">
        <v>0</v>
      </c>
      <c r="BV50" s="3">
        <v>0</v>
      </c>
      <c r="BW50" s="3">
        <v>0</v>
      </c>
      <c r="BX50" s="3">
        <v>0</v>
      </c>
      <c r="BY50" s="3">
        <v>0</v>
      </c>
      <c r="BZ50" s="3">
        <v>0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6">
        <v>0</v>
      </c>
      <c r="CP50" s="5">
        <v>0</v>
      </c>
    </row>
    <row r="51" spans="1:94" x14ac:dyDescent="0.35">
      <c r="A51" s="9" t="s">
        <v>184</v>
      </c>
      <c r="B51" s="9" t="s">
        <v>4</v>
      </c>
      <c r="C51" s="20" t="s">
        <v>3</v>
      </c>
      <c r="D51" s="9" t="s">
        <v>2</v>
      </c>
      <c r="E51" s="9" t="s">
        <v>193</v>
      </c>
      <c r="F51" s="9" t="s">
        <v>1</v>
      </c>
      <c r="G51" s="19">
        <v>0</v>
      </c>
      <c r="H51" s="9">
        <v>2014</v>
      </c>
      <c r="I51" s="9">
        <v>6</v>
      </c>
      <c r="J51" s="18">
        <f>INDEX(PTRS!$D$6:$D$12,MATCH('2'!$F51,PTRS!$B$6:$B$12,0))</f>
        <v>0.1044225</v>
      </c>
      <c r="K51" s="17">
        <v>0</v>
      </c>
      <c r="L51" s="17">
        <v>0.1044225</v>
      </c>
      <c r="M51" s="17">
        <v>0.1044225</v>
      </c>
      <c r="N51" s="17">
        <v>0.1044225</v>
      </c>
      <c r="O51" s="17">
        <v>0.1044225</v>
      </c>
      <c r="P51" s="17">
        <v>0.1044225</v>
      </c>
      <c r="Q51" s="17">
        <v>0.1044225</v>
      </c>
      <c r="R51" s="17">
        <v>0.1044225</v>
      </c>
      <c r="S51" s="17">
        <v>1</v>
      </c>
      <c r="T51" s="17"/>
      <c r="U51" s="17">
        <f t="shared" ref="U51:U58" si="14">BP51/$BP$7</f>
        <v>0</v>
      </c>
      <c r="V51" s="17">
        <v>1</v>
      </c>
      <c r="W51" s="9" t="s">
        <v>0</v>
      </c>
      <c r="X51" s="9">
        <f>INDEX('Unique Asset List'!$C$4:$I$60,MATCH('2'!$B51,'Unique Asset List'!$A$4:$A$60,0),MATCH('2'!$C$1,'Unique Asset List'!$C$3:$I$3,0))</f>
        <v>2051</v>
      </c>
      <c r="Y51" s="9">
        <f>INDEX('Unique Asset List'!$J$4:$P$60,MATCH('2'!$B51,'Unique Asset List'!$A$4:$A$60,0),MATCH('2'!$C$1,'Unique Asset List'!$J$3:$P$3,0))</f>
        <v>6</v>
      </c>
      <c r="Z51" s="9">
        <f>INDEX('Unique Asset List'!$X$4:$AD$60,MATCH('2'!$B51,'Unique Asset List'!$A$4:$A$60,0),MATCH('2'!$C$1,'Unique Asset List'!$X$3:$AD$3,0))</f>
        <v>2060</v>
      </c>
      <c r="AA51" s="9">
        <f>INDEX('Unique Asset List'!$AE$4:$AK$60,MATCH('2'!$B51,'Unique Asset List'!$A$4:$A$60,0),MATCH('2'!$C$1,'Unique Asset List'!$AE$3:$AK$3,0))</f>
        <v>6</v>
      </c>
      <c r="AB51" s="16">
        <f t="shared" ref="AB51:AB58" si="15">SUMPRODUCT($AT51:$BA51,$AT$7:$BA$7)</f>
        <v>0</v>
      </c>
      <c r="AC51" s="16">
        <f t="shared" ref="AC51:AC58" si="16">SUMPRODUCT($BB51:$BH51,$BB$7:$BH$7)</f>
        <v>0</v>
      </c>
      <c r="AD51" s="16">
        <f t="shared" ref="AD51:AD58" si="17">SUMPRODUCT($BI51:$BL51,$BI$7:$BL$7)</f>
        <v>0</v>
      </c>
      <c r="AE51" s="15">
        <f>INDEX('Unique Asset List'!$BN$4:$BT$60,MATCH('2'!$B51,'Unique Asset List'!$A$4:$A$60,0),MATCH('2'!$C$1,'Unique Asset List'!$BN$3:$BT$3,0))</f>
        <v>0.2</v>
      </c>
      <c r="AF51" s="15">
        <f>INDEX('Unique Asset List'!$BU$4:$CA$60,MATCH('2'!$B51,'Unique Asset List'!$A$4:$A$60,0),MATCH('2'!$C$1,'Unique Asset List'!$BU$3:$CA$3,0))</f>
        <v>0.3</v>
      </c>
      <c r="AG51" s="15">
        <f>INDEX('Unique Asset List'!$AZ$4:$BF$60,MATCH('2'!$B51,'Unique Asset List'!$A$4:$A$60,0),MATCH('2'!$C$1,'Unique Asset List'!$AZ$3:$BF$3,0))</f>
        <v>0.2</v>
      </c>
      <c r="AH51" s="15">
        <f>INDEX('Unique Asset List'!$BG$4:$BM$60,MATCH('2'!$B51,'Unique Asset List'!$A$4:$A$60,0),MATCH('2'!$C$1,'Unique Asset List'!$BG$3:$BM$3,0))</f>
        <v>0.3</v>
      </c>
      <c r="AI51" s="11">
        <v>0.96187963349867744</v>
      </c>
      <c r="AJ51" s="15">
        <f>INDEX('Unique Asset List'!$AL$4:$AR$60,MATCH('2'!$B51,'Unique Asset List'!$A$4:$A$60,0),MATCH('2'!$C$1,'Unique Asset List'!$AL$3:$AR$3,0))</f>
        <v>2.2612105538192599</v>
      </c>
      <c r="AK51" s="15">
        <f>INDEX('Unique Asset List'!$AS$4:$AY$60,MATCH('2'!$B51,'Unique Asset List'!$A$4:$A$60,0),MATCH('2'!$C$1,'Unique Asset List'!$AS$3:$AY$3,0))</f>
        <v>-1.7475682675103321</v>
      </c>
      <c r="AL51" s="9">
        <v>169</v>
      </c>
      <c r="AM51" s="14">
        <f>INDEX(Simulation!$B$6:$H$6,MATCH($A51,Simulation!$B$1:$H$1,0))*(1+AN51)^((DATE(X51,Y51,15)-DATE(2017,1,15))/365.5)</f>
        <v>3.5</v>
      </c>
      <c r="AN51" s="12">
        <v>0</v>
      </c>
      <c r="AO51" s="13">
        <v>0.1</v>
      </c>
      <c r="AP51" s="11">
        <v>0.82</v>
      </c>
      <c r="AQ51" s="12">
        <v>0</v>
      </c>
      <c r="AR51" s="11">
        <f t="shared" si="9"/>
        <v>0.82</v>
      </c>
      <c r="AS51" s="10">
        <v>1</v>
      </c>
      <c r="AT51" s="4">
        <f>IF($C$5="ON",BT51,MyRating(_E1,$B51,Efficacy!$F$1))</f>
        <v>0</v>
      </c>
      <c r="AU51" s="3">
        <f>IF($C$5="ON",BU51,MyRating(_E2,$B51,Efficacy!$F$1))</f>
        <v>0</v>
      </c>
      <c r="AV51" s="3">
        <f>IF($C$5="ON",BV51,MyRating(_E3,$B51,Efficacy!$F$1))</f>
        <v>0</v>
      </c>
      <c r="AW51" s="3">
        <f>IF($C$5="ON",BW51,MyRating(_E4,$B51,Efficacy!$F$1))</f>
        <v>0</v>
      </c>
      <c r="AX51" s="3">
        <f>IF($C$5="ON",BX51,MyRating(_E5,$B51,Efficacy!$F$1))</f>
        <v>0</v>
      </c>
      <c r="AY51" s="3">
        <f>IF($C$5="ON",BY51,MyRating(_E6,$B51,Efficacy!$F$1))</f>
        <v>0</v>
      </c>
      <c r="AZ51" s="3">
        <f>IF($C$5="ON",BZ51,MyRating(_E7,$B51,Efficacy!$F$1))</f>
        <v>0</v>
      </c>
      <c r="BA51" s="3">
        <f>IF($C$5="ON",CA51,MyRating(_E8,$B51,Efficacy!$F$1))</f>
        <v>0</v>
      </c>
      <c r="BB51" s="3">
        <f>IF($C$5="ON",CB51,MyRating(_S1,$B51,'S&amp;T'!$F$1))</f>
        <v>0</v>
      </c>
      <c r="BC51" s="3">
        <f>IF($C$5="ON",CC51,MyRating(_S2,$B51,'S&amp;T'!$F$1))</f>
        <v>0</v>
      </c>
      <c r="BD51" s="3">
        <f>IF($C$5="ON",CD51,MyRating(_S3,$B51,'S&amp;T'!$F$1))</f>
        <v>0</v>
      </c>
      <c r="BE51" s="3">
        <f>IF($C$5="ON",CE51,MyRating(_S4,$B51,'S&amp;T'!$F$1))</f>
        <v>0</v>
      </c>
      <c r="BF51" s="3">
        <f>IF($C$5="ON",CF51,MyRating(_S5,$B51,'S&amp;T'!$F$1))</f>
        <v>0</v>
      </c>
      <c r="BG51" s="3">
        <f>IF($C$5="ON",CG51,MyRating(_S6,$B51,'S&amp;T'!$F$1))</f>
        <v>0</v>
      </c>
      <c r="BH51" s="3">
        <f>IF($C$5="ON",CH51,MyRating(_S7,$B51,'S&amp;T'!$F$1))</f>
        <v>0</v>
      </c>
      <c r="BI51" s="3">
        <f>IF($C$5="ON",CI51,MyRating(_D1,$B51,Delivery!$F$1))</f>
        <v>0</v>
      </c>
      <c r="BJ51" s="3">
        <f>IF($C$5="ON",CJ51,MyRating(_D2,$B51,Delivery!$F$1))</f>
        <v>0</v>
      </c>
      <c r="BK51" s="3">
        <f>IF($C$5="ON",CK51,MyRating(_D3,$B51,Delivery!$F$1))</f>
        <v>0</v>
      </c>
      <c r="BL51" s="3">
        <f>IF($C$5="ON",CL51,MyRating(_D4,$B51,Delivery!$F$1))</f>
        <v>0</v>
      </c>
      <c r="BM51" s="3">
        <f>IF($C$5="ON",CM51,MyRating(_B1G5,$B51,Barrier!$L$2))</f>
        <v>0</v>
      </c>
      <c r="BN51" s="3">
        <f>IF($C$5="ON",CN51,MyRating(_B2,$B51,Barrier!$F$2))</f>
        <v>0</v>
      </c>
      <c r="BO51" s="6">
        <f>IF($C$5="ON",CO51,MyRating(_B3,$B51,Barrier!$F$2))</f>
        <v>0</v>
      </c>
      <c r="BP51" s="5">
        <f t="shared" si="10"/>
        <v>0</v>
      </c>
      <c r="BQ51" s="8">
        <f t="shared" si="11"/>
        <v>0</v>
      </c>
      <c r="BR51" s="5">
        <f t="shared" si="12"/>
        <v>0</v>
      </c>
      <c r="BS51" s="7">
        <f t="shared" si="13"/>
        <v>0</v>
      </c>
      <c r="BT51" s="4">
        <v>0</v>
      </c>
      <c r="BU51" s="3">
        <v>0</v>
      </c>
      <c r="BV51" s="3">
        <v>0</v>
      </c>
      <c r="BW51" s="3">
        <v>0</v>
      </c>
      <c r="BX51" s="3">
        <v>0</v>
      </c>
      <c r="BY51" s="3">
        <v>0</v>
      </c>
      <c r="BZ51" s="3">
        <v>0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6">
        <v>0</v>
      </c>
      <c r="CP51" s="5">
        <v>0</v>
      </c>
    </row>
    <row r="52" spans="1:94" x14ac:dyDescent="0.35">
      <c r="A52" s="9" t="s">
        <v>184</v>
      </c>
      <c r="B52" s="9" t="s">
        <v>68</v>
      </c>
      <c r="C52" s="20" t="s">
        <v>3</v>
      </c>
      <c r="D52" s="9" t="s">
        <v>2</v>
      </c>
      <c r="E52" s="9" t="s">
        <v>193</v>
      </c>
      <c r="F52" s="9" t="s">
        <v>1</v>
      </c>
      <c r="G52" s="19">
        <v>0</v>
      </c>
      <c r="H52" s="9">
        <v>2014</v>
      </c>
      <c r="I52" s="9">
        <v>6</v>
      </c>
      <c r="J52" s="18">
        <f>INDEX(PTRS!$D$6:$D$12,MATCH('2'!$F52,PTRS!$B$6:$B$12,0))</f>
        <v>0.1044225</v>
      </c>
      <c r="K52" s="17">
        <v>0</v>
      </c>
      <c r="L52" s="17">
        <v>1</v>
      </c>
      <c r="M52" s="17">
        <v>0.1044225</v>
      </c>
      <c r="N52" s="17">
        <v>0.1044225</v>
      </c>
      <c r="O52" s="17">
        <v>0.1044225</v>
      </c>
      <c r="P52" s="17">
        <v>0.1044225</v>
      </c>
      <c r="Q52" s="17">
        <v>1</v>
      </c>
      <c r="R52" s="17">
        <v>1</v>
      </c>
      <c r="S52" s="17">
        <v>1</v>
      </c>
      <c r="T52" s="17"/>
      <c r="U52" s="17">
        <f t="shared" si="14"/>
        <v>0.72649652910676854</v>
      </c>
      <c r="V52" s="17">
        <v>1</v>
      </c>
      <c r="W52" s="9" t="s">
        <v>68</v>
      </c>
      <c r="X52" s="9">
        <f>INDEX('Unique Asset List'!$C$4:$I$60,MATCH('2'!$B52,'Unique Asset List'!$A$4:$A$60,0),MATCH('2'!$C$1,'Unique Asset List'!$C$3:$I$3,0))</f>
        <v>2032</v>
      </c>
      <c r="Y52" s="9">
        <f>INDEX('Unique Asset List'!$J$4:$P$60,MATCH('2'!$B52,'Unique Asset List'!$A$4:$A$60,0),MATCH('2'!$C$1,'Unique Asset List'!$J$3:$P$3,0))</f>
        <v>3</v>
      </c>
      <c r="Z52" s="9">
        <f>INDEX('Unique Asset List'!$X$4:$AD$60,MATCH('2'!$B52,'Unique Asset List'!$A$4:$A$60,0),MATCH('2'!$C$1,'Unique Asset List'!$X$3:$AD$3,0))</f>
        <v>2041</v>
      </c>
      <c r="AA52" s="9">
        <f>INDEX('Unique Asset List'!$AE$4:$AK$60,MATCH('2'!$B52,'Unique Asset List'!$A$4:$A$60,0),MATCH('2'!$C$1,'Unique Asset List'!$AE$3:$AK$3,0))</f>
        <v>3</v>
      </c>
      <c r="AB52" s="16">
        <f t="shared" si="15"/>
        <v>2.3276916000000001</v>
      </c>
      <c r="AC52" s="16">
        <f t="shared" si="16"/>
        <v>1.0028454</v>
      </c>
      <c r="AD52" s="16">
        <f t="shared" si="17"/>
        <v>0.56099999999999994</v>
      </c>
      <c r="AE52" s="15">
        <f>INDEX('Unique Asset List'!$BN$4:$BT$60,MATCH('2'!$B52,'Unique Asset List'!$A$4:$A$60,0),MATCH('2'!$C$1,'Unique Asset List'!$BN$3:$BT$3,0))</f>
        <v>0.2</v>
      </c>
      <c r="AF52" s="15">
        <f>INDEX('Unique Asset List'!$BU$4:$CA$60,MATCH('2'!$B52,'Unique Asset List'!$A$4:$A$60,0),MATCH('2'!$C$1,'Unique Asset List'!$BU$3:$CA$3,0))</f>
        <v>0.3</v>
      </c>
      <c r="AG52" s="15">
        <f>INDEX('Unique Asset List'!$AZ$4:$BF$60,MATCH('2'!$B52,'Unique Asset List'!$A$4:$A$60,0),MATCH('2'!$C$1,'Unique Asset List'!$AZ$3:$BF$3,0))</f>
        <v>0.2</v>
      </c>
      <c r="AH52" s="15">
        <f>INDEX('Unique Asset List'!$BG$4:$BM$60,MATCH('2'!$B52,'Unique Asset List'!$A$4:$A$60,0),MATCH('2'!$C$1,'Unique Asset List'!$BG$3:$BM$3,0))</f>
        <v>0.3</v>
      </c>
      <c r="AI52" s="11">
        <v>0.96187963349867744</v>
      </c>
      <c r="AJ52" s="15">
        <f>INDEX('Unique Asset List'!$AL$4:$AR$60,MATCH('2'!$B52,'Unique Asset List'!$A$4:$A$60,0),MATCH('2'!$C$1,'Unique Asset List'!$AL$3:$AR$3,0))</f>
        <v>2.2612105538192599</v>
      </c>
      <c r="AK52" s="15">
        <f>INDEX('Unique Asset List'!$AS$4:$AY$60,MATCH('2'!$B52,'Unique Asset List'!$A$4:$A$60,0),MATCH('2'!$C$1,'Unique Asset List'!$AS$3:$AY$3,0))</f>
        <v>-1.7475682675103321</v>
      </c>
      <c r="AL52" s="9">
        <v>169</v>
      </c>
      <c r="AM52" s="14">
        <f>INDEX(Simulation!$B$6:$H$6,MATCH($A52,Simulation!$B$1:$H$1,0))*(1+AN52)^((DATE(X52,Y52,15)-DATE(2017,1,15))/365.5)</f>
        <v>3.5</v>
      </c>
      <c r="AN52" s="12">
        <v>0</v>
      </c>
      <c r="AO52" s="13">
        <v>0.1</v>
      </c>
      <c r="AP52" s="11">
        <v>0.82</v>
      </c>
      <c r="AQ52" s="12">
        <v>0</v>
      </c>
      <c r="AR52" s="11">
        <f t="shared" si="9"/>
        <v>0.82</v>
      </c>
      <c r="AS52" s="10">
        <v>1</v>
      </c>
      <c r="AT52" s="4">
        <f>IF($C$5="ON",BT52,MyRating(_E1,$B52,Efficacy!$F$1))</f>
        <v>4</v>
      </c>
      <c r="AU52" s="3">
        <f>IF($C$5="ON",BU52,MyRating(_E2,$B52,Efficacy!$F$1))</f>
        <v>5</v>
      </c>
      <c r="AV52" s="3">
        <f>IF($C$5="ON",BV52,MyRating(_E3,$B52,Efficacy!$F$1))</f>
        <v>5</v>
      </c>
      <c r="AW52" s="3">
        <f>IF($C$5="ON",BW52,MyRating(_E4,$B52,Efficacy!$F$1))</f>
        <v>4</v>
      </c>
      <c r="AX52" s="3">
        <f>IF($C$5="ON",BX52,MyRating(_E5,$B52,Efficacy!$F$1))</f>
        <v>4</v>
      </c>
      <c r="AY52" s="3">
        <f>IF($C$5="ON",BY52,MyRating(_E6,$B52,Efficacy!$F$1))</f>
        <v>3</v>
      </c>
      <c r="AZ52" s="3">
        <f>IF($C$5="ON",BZ52,MyRating(_E7,$B52,Efficacy!$F$1))</f>
        <v>3</v>
      </c>
      <c r="BA52" s="3">
        <f>IF($C$5="ON",CA52,MyRating(_E8,$B52,Efficacy!$F$1))</f>
        <v>4</v>
      </c>
      <c r="BB52" s="3">
        <f>IF($C$5="ON",CB52,MyRating(_S1,$B52,'S&amp;T'!$F$1))</f>
        <v>5</v>
      </c>
      <c r="BC52" s="3">
        <f>IF($C$5="ON",CC52,MyRating(_S2,$B52,'S&amp;T'!$F$1))</f>
        <v>3</v>
      </c>
      <c r="BD52" s="3">
        <f>IF($C$5="ON",CD52,MyRating(_S3,$B52,'S&amp;T'!$F$1))</f>
        <v>3</v>
      </c>
      <c r="BE52" s="3">
        <f>IF($C$5="ON",CE52,MyRating(_S4,$B52,'S&amp;T'!$F$1))</f>
        <v>4</v>
      </c>
      <c r="BF52" s="3">
        <f>IF($C$5="ON",CF52,MyRating(_S5,$B52,'S&amp;T'!$F$1))</f>
        <v>5</v>
      </c>
      <c r="BG52" s="3">
        <f>IF($C$5="ON",CG52,MyRating(_S6,$B52,'S&amp;T'!$F$1))</f>
        <v>3</v>
      </c>
      <c r="BH52" s="3">
        <f>IF($C$5="ON",CH52,MyRating(_S7,$B52,'S&amp;T'!$F$1))</f>
        <v>3</v>
      </c>
      <c r="BI52" s="3">
        <f>IF($C$5="ON",CI52,MyRating(_D1,$B52,Delivery!$F$1))</f>
        <v>3</v>
      </c>
      <c r="BJ52" s="3">
        <f>IF($C$5="ON",CJ52,MyRating(_D2,$B52,Delivery!$F$1))</f>
        <v>3</v>
      </c>
      <c r="BK52" s="3">
        <f>IF($C$5="ON",CK52,MyRating(_D3,$B52,Delivery!$F$1))</f>
        <v>3</v>
      </c>
      <c r="BL52" s="3">
        <f>IF($C$5="ON",CL52,MyRating(_D4,$B52,Delivery!$F$1))</f>
        <v>3</v>
      </c>
      <c r="BM52" s="3">
        <f>IF($C$5="ON",CM52,MyRating(_B1G5,$B52,Barrier!$L$2))</f>
        <v>2</v>
      </c>
      <c r="BN52" s="3">
        <f>IF($C$5="ON",CN52,MyRating(_B2,$B52,Barrier!$F$2))</f>
        <v>3</v>
      </c>
      <c r="BO52" s="6">
        <f>IF($C$5="ON",CO52,MyRating(_B3,$B52,Barrier!$F$2))</f>
        <v>3</v>
      </c>
      <c r="BP52" s="5">
        <f t="shared" si="10"/>
        <v>3.6275844714639842E-2</v>
      </c>
      <c r="BQ52" s="8">
        <f t="shared" si="11"/>
        <v>2.9499999999999997</v>
      </c>
      <c r="BR52" s="5">
        <f t="shared" si="12"/>
        <v>3.60415394013439E-2</v>
      </c>
      <c r="BS52" s="7">
        <f t="shared" si="13"/>
        <v>1.8542316878791175E-2</v>
      </c>
      <c r="BT52" s="4">
        <v>4</v>
      </c>
      <c r="BU52" s="3">
        <v>5</v>
      </c>
      <c r="BV52" s="3">
        <v>5</v>
      </c>
      <c r="BW52" s="3">
        <v>4</v>
      </c>
      <c r="BX52" s="3">
        <v>4</v>
      </c>
      <c r="BY52" s="3">
        <v>3</v>
      </c>
      <c r="BZ52" s="3">
        <v>3</v>
      </c>
      <c r="CA52" s="3">
        <v>4</v>
      </c>
      <c r="CB52" s="3">
        <v>5</v>
      </c>
      <c r="CC52" s="3">
        <v>3</v>
      </c>
      <c r="CD52" s="3">
        <v>3</v>
      </c>
      <c r="CE52" s="3">
        <v>4</v>
      </c>
      <c r="CF52" s="3">
        <v>5</v>
      </c>
      <c r="CG52" s="3">
        <v>3</v>
      </c>
      <c r="CH52" s="3">
        <v>3</v>
      </c>
      <c r="CI52" s="3">
        <v>3</v>
      </c>
      <c r="CJ52" s="3">
        <v>3</v>
      </c>
      <c r="CK52" s="3">
        <v>3</v>
      </c>
      <c r="CL52" s="3">
        <v>3</v>
      </c>
      <c r="CM52" s="3">
        <v>2</v>
      </c>
      <c r="CN52" s="3">
        <v>3</v>
      </c>
      <c r="CO52" s="6">
        <v>3</v>
      </c>
      <c r="CP52" s="5">
        <v>3.6275844714639842E-2</v>
      </c>
    </row>
    <row r="53" spans="1:94" x14ac:dyDescent="0.35">
      <c r="A53" s="9" t="s">
        <v>184</v>
      </c>
      <c r="B53" s="9" t="s">
        <v>67</v>
      </c>
      <c r="C53" s="20" t="s">
        <v>3</v>
      </c>
      <c r="D53" s="9" t="s">
        <v>2</v>
      </c>
      <c r="E53" s="9" t="s">
        <v>193</v>
      </c>
      <c r="F53" s="9" t="s">
        <v>1</v>
      </c>
      <c r="G53" s="19">
        <v>0</v>
      </c>
      <c r="H53" s="9">
        <v>2014</v>
      </c>
      <c r="I53" s="9">
        <v>6</v>
      </c>
      <c r="J53" s="18">
        <f>INDEX(PTRS!$D$6:$D$12,MATCH('2'!$F53,PTRS!$B$6:$B$12,0))</f>
        <v>0.1044225</v>
      </c>
      <c r="K53" s="17">
        <v>0</v>
      </c>
      <c r="L53" s="17">
        <v>0.1044225</v>
      </c>
      <c r="M53" s="17">
        <v>0.1044225</v>
      </c>
      <c r="N53" s="17">
        <v>0.1044225</v>
      </c>
      <c r="O53" s="17">
        <v>0.1044225</v>
      </c>
      <c r="P53" s="17">
        <v>0.1044225</v>
      </c>
      <c r="Q53" s="17">
        <v>1</v>
      </c>
      <c r="R53" s="17">
        <v>1</v>
      </c>
      <c r="S53" s="17">
        <v>1</v>
      </c>
      <c r="T53" s="17"/>
      <c r="U53" s="17">
        <f t="shared" si="14"/>
        <v>0.72649652910676854</v>
      </c>
      <c r="V53" s="17">
        <v>1</v>
      </c>
      <c r="W53" s="9" t="s">
        <v>67</v>
      </c>
      <c r="X53" s="9">
        <f>INDEX('Unique Asset List'!$C$4:$I$60,MATCH('2'!$B53,'Unique Asset List'!$A$4:$A$60,0),MATCH('2'!$C$1,'Unique Asset List'!$C$3:$I$3,0))</f>
        <v>2032</v>
      </c>
      <c r="Y53" s="9">
        <f>INDEX('Unique Asset List'!$J$4:$P$60,MATCH('2'!$B53,'Unique Asset List'!$A$4:$A$60,0),MATCH('2'!$C$1,'Unique Asset List'!$J$3:$P$3,0))</f>
        <v>3</v>
      </c>
      <c r="Z53" s="9">
        <f>INDEX('Unique Asset List'!$X$4:$AD$60,MATCH('2'!$B53,'Unique Asset List'!$A$4:$A$60,0),MATCH('2'!$C$1,'Unique Asset List'!$X$3:$AD$3,0))</f>
        <v>2041</v>
      </c>
      <c r="AA53" s="9">
        <f>INDEX('Unique Asset List'!$AE$4:$AK$60,MATCH('2'!$B53,'Unique Asset List'!$A$4:$A$60,0),MATCH('2'!$C$1,'Unique Asset List'!$AE$3:$AK$3,0))</f>
        <v>3</v>
      </c>
      <c r="AB53" s="16">
        <f t="shared" si="15"/>
        <v>2.3276916000000001</v>
      </c>
      <c r="AC53" s="16">
        <f t="shared" si="16"/>
        <v>1.0028454</v>
      </c>
      <c r="AD53" s="16">
        <f t="shared" si="17"/>
        <v>0.56099999999999994</v>
      </c>
      <c r="AE53" s="15">
        <f>INDEX('Unique Asset List'!$BN$4:$BT$60,MATCH('2'!$B53,'Unique Asset List'!$A$4:$A$60,0),MATCH('2'!$C$1,'Unique Asset List'!$BN$3:$BT$3,0))</f>
        <v>0.2</v>
      </c>
      <c r="AF53" s="15">
        <f>INDEX('Unique Asset List'!$BU$4:$CA$60,MATCH('2'!$B53,'Unique Asset List'!$A$4:$A$60,0),MATCH('2'!$C$1,'Unique Asset List'!$BU$3:$CA$3,0))</f>
        <v>0.3</v>
      </c>
      <c r="AG53" s="15">
        <f>INDEX('Unique Asset List'!$AZ$4:$BF$60,MATCH('2'!$B53,'Unique Asset List'!$A$4:$A$60,0),MATCH('2'!$C$1,'Unique Asset List'!$AZ$3:$BF$3,0))</f>
        <v>0.2</v>
      </c>
      <c r="AH53" s="15">
        <f>INDEX('Unique Asset List'!$BG$4:$BM$60,MATCH('2'!$B53,'Unique Asset List'!$A$4:$A$60,0),MATCH('2'!$C$1,'Unique Asset List'!$BG$3:$BM$3,0))</f>
        <v>0.3</v>
      </c>
      <c r="AI53" s="11">
        <v>0.96187963349867744</v>
      </c>
      <c r="AJ53" s="15">
        <f>INDEX('Unique Asset List'!$AL$4:$AR$60,MATCH('2'!$B53,'Unique Asset List'!$A$4:$A$60,0),MATCH('2'!$C$1,'Unique Asset List'!$AL$3:$AR$3,0))</f>
        <v>2.2612105538192599</v>
      </c>
      <c r="AK53" s="15">
        <f>INDEX('Unique Asset List'!$AS$4:$AY$60,MATCH('2'!$B53,'Unique Asset List'!$A$4:$A$60,0),MATCH('2'!$C$1,'Unique Asset List'!$AS$3:$AY$3,0))</f>
        <v>-1.7475682675103321</v>
      </c>
      <c r="AL53" s="9">
        <v>169</v>
      </c>
      <c r="AM53" s="14">
        <f>INDEX(Simulation!$B$6:$H$6,MATCH($A53,Simulation!$B$1:$H$1,0))*(1+AN53)^((DATE(X53,Y53,15)-DATE(2017,1,15))/365.5)</f>
        <v>3.5</v>
      </c>
      <c r="AN53" s="12">
        <v>0</v>
      </c>
      <c r="AO53" s="13">
        <v>0.1</v>
      </c>
      <c r="AP53" s="11">
        <v>0.82</v>
      </c>
      <c r="AQ53" s="12">
        <v>0</v>
      </c>
      <c r="AR53" s="11">
        <f t="shared" si="9"/>
        <v>0.82</v>
      </c>
      <c r="AS53" s="10">
        <v>1</v>
      </c>
      <c r="AT53" s="4">
        <f>IF($C$5="ON",BT53,MyRating(_E1,$B53,Efficacy!$F$1))</f>
        <v>4</v>
      </c>
      <c r="AU53" s="3">
        <f>IF($C$5="ON",BU53,MyRating(_E2,$B53,Efficacy!$F$1))</f>
        <v>5</v>
      </c>
      <c r="AV53" s="3">
        <f>IF($C$5="ON",BV53,MyRating(_E3,$B53,Efficacy!$F$1))</f>
        <v>5</v>
      </c>
      <c r="AW53" s="3">
        <f>IF($C$5="ON",BW53,MyRating(_E4,$B53,Efficacy!$F$1))</f>
        <v>4</v>
      </c>
      <c r="AX53" s="3">
        <f>IF($C$5="ON",BX53,MyRating(_E5,$B53,Efficacy!$F$1))</f>
        <v>4</v>
      </c>
      <c r="AY53" s="3">
        <f>IF($C$5="ON",BY53,MyRating(_E6,$B53,Efficacy!$F$1))</f>
        <v>3</v>
      </c>
      <c r="AZ53" s="3">
        <f>IF($C$5="ON",BZ53,MyRating(_E7,$B53,Efficacy!$F$1))</f>
        <v>3</v>
      </c>
      <c r="BA53" s="3">
        <f>IF($C$5="ON",CA53,MyRating(_E8,$B53,Efficacy!$F$1))</f>
        <v>4</v>
      </c>
      <c r="BB53" s="3">
        <f>IF($C$5="ON",CB53,MyRating(_S1,$B53,'S&amp;T'!$F$1))</f>
        <v>5</v>
      </c>
      <c r="BC53" s="3">
        <f>IF($C$5="ON",CC53,MyRating(_S2,$B53,'S&amp;T'!$F$1))</f>
        <v>3</v>
      </c>
      <c r="BD53" s="3">
        <f>IF($C$5="ON",CD53,MyRating(_S3,$B53,'S&amp;T'!$F$1))</f>
        <v>3</v>
      </c>
      <c r="BE53" s="3">
        <f>IF($C$5="ON",CE53,MyRating(_S4,$B53,'S&amp;T'!$F$1))</f>
        <v>4</v>
      </c>
      <c r="BF53" s="3">
        <f>IF($C$5="ON",CF53,MyRating(_S5,$B53,'S&amp;T'!$F$1))</f>
        <v>5</v>
      </c>
      <c r="BG53" s="3">
        <f>IF($C$5="ON",CG53,MyRating(_S6,$B53,'S&amp;T'!$F$1))</f>
        <v>3</v>
      </c>
      <c r="BH53" s="3">
        <f>IF($C$5="ON",CH53,MyRating(_S7,$B53,'S&amp;T'!$F$1))</f>
        <v>3</v>
      </c>
      <c r="BI53" s="3">
        <f>IF($C$5="ON",CI53,MyRating(_D1,$B53,Delivery!$F$1))</f>
        <v>3</v>
      </c>
      <c r="BJ53" s="3">
        <f>IF($C$5="ON",CJ53,MyRating(_D2,$B53,Delivery!$F$1))</f>
        <v>3</v>
      </c>
      <c r="BK53" s="3">
        <f>IF($C$5="ON",CK53,MyRating(_D3,$B53,Delivery!$F$1))</f>
        <v>3</v>
      </c>
      <c r="BL53" s="3">
        <f>IF($C$5="ON",CL53,MyRating(_D4,$B53,Delivery!$F$1))</f>
        <v>3</v>
      </c>
      <c r="BM53" s="3">
        <f>IF($C$5="ON",CM53,MyRating(_B1G5,$B53,Barrier!$L$2))</f>
        <v>2</v>
      </c>
      <c r="BN53" s="3">
        <f>IF($C$5="ON",CN53,MyRating(_B2,$B53,Barrier!$F$2))</f>
        <v>3</v>
      </c>
      <c r="BO53" s="6">
        <f>IF($C$5="ON",CO53,MyRating(_B3,$B53,Barrier!$F$2))</f>
        <v>3</v>
      </c>
      <c r="BP53" s="5">
        <f t="shared" si="10"/>
        <v>3.6275844714639842E-2</v>
      </c>
      <c r="BQ53" s="8">
        <f t="shared" si="11"/>
        <v>2.9499999999999997</v>
      </c>
      <c r="BR53" s="5">
        <f t="shared" si="12"/>
        <v>3.60415394013439E-2</v>
      </c>
      <c r="BS53" s="7">
        <f t="shared" si="13"/>
        <v>1.8542316878791175E-2</v>
      </c>
      <c r="BT53" s="4">
        <v>4</v>
      </c>
      <c r="BU53" s="3">
        <v>5</v>
      </c>
      <c r="BV53" s="3">
        <v>5</v>
      </c>
      <c r="BW53" s="3">
        <v>4</v>
      </c>
      <c r="BX53" s="3">
        <v>4</v>
      </c>
      <c r="BY53" s="3">
        <v>3</v>
      </c>
      <c r="BZ53" s="3">
        <v>3</v>
      </c>
      <c r="CA53" s="3">
        <v>4</v>
      </c>
      <c r="CB53" s="3">
        <v>5</v>
      </c>
      <c r="CC53" s="3">
        <v>3</v>
      </c>
      <c r="CD53" s="3">
        <v>3</v>
      </c>
      <c r="CE53" s="3">
        <v>4</v>
      </c>
      <c r="CF53" s="3">
        <v>5</v>
      </c>
      <c r="CG53" s="3">
        <v>3</v>
      </c>
      <c r="CH53" s="3">
        <v>3</v>
      </c>
      <c r="CI53" s="3">
        <v>3</v>
      </c>
      <c r="CJ53" s="3">
        <v>3</v>
      </c>
      <c r="CK53" s="3">
        <v>3</v>
      </c>
      <c r="CL53" s="3">
        <v>3</v>
      </c>
      <c r="CM53" s="3">
        <v>2</v>
      </c>
      <c r="CN53" s="3">
        <v>3</v>
      </c>
      <c r="CO53" s="6">
        <v>3</v>
      </c>
      <c r="CP53" s="5">
        <v>3.6275844714639842E-2</v>
      </c>
    </row>
    <row r="54" spans="1:94" x14ac:dyDescent="0.35">
      <c r="A54" s="9" t="s">
        <v>184</v>
      </c>
      <c r="B54" s="9" t="s">
        <v>192</v>
      </c>
      <c r="C54" s="20" t="s">
        <v>3</v>
      </c>
      <c r="D54" s="9" t="s">
        <v>2</v>
      </c>
      <c r="E54" s="9"/>
      <c r="F54" s="9" t="s">
        <v>1</v>
      </c>
      <c r="G54" s="19">
        <v>0</v>
      </c>
      <c r="H54" s="9">
        <v>2014</v>
      </c>
      <c r="I54" s="9">
        <v>6</v>
      </c>
      <c r="J54" s="18">
        <f>INDEX(PTRS!$D$6:$D$12,MATCH('2'!$F54,PTRS!$B$6:$B$12,0))</f>
        <v>0.1044225</v>
      </c>
      <c r="K54" s="17">
        <v>0</v>
      </c>
      <c r="L54" s="17">
        <v>0.1044225</v>
      </c>
      <c r="M54" s="17">
        <v>0.1044225</v>
      </c>
      <c r="N54" s="17">
        <v>0.1044225</v>
      </c>
      <c r="O54" s="17">
        <v>0.1044225</v>
      </c>
      <c r="P54" s="17">
        <v>0.1044225</v>
      </c>
      <c r="Q54" s="17">
        <v>0.1044225</v>
      </c>
      <c r="R54" s="17">
        <v>0.1044225</v>
      </c>
      <c r="S54" s="17">
        <v>1</v>
      </c>
      <c r="T54" s="17"/>
      <c r="U54" s="17">
        <f t="shared" si="14"/>
        <v>0</v>
      </c>
      <c r="V54" s="17">
        <v>1</v>
      </c>
      <c r="W54" s="9" t="s">
        <v>0</v>
      </c>
      <c r="X54" s="9">
        <f>INDEX('Unique Asset List'!$C$4:$I$60,MATCH('2'!$B54,'Unique Asset List'!$A$4:$A$60,0),MATCH('2'!$C$1,'Unique Asset List'!$C$3:$I$3,0))</f>
        <v>2051</v>
      </c>
      <c r="Y54" s="9">
        <f>INDEX('Unique Asset List'!$J$4:$P$60,MATCH('2'!$B54,'Unique Asset List'!$A$4:$A$60,0),MATCH('2'!$C$1,'Unique Asset List'!$J$3:$P$3,0))</f>
        <v>6</v>
      </c>
      <c r="Z54" s="9">
        <f>INDEX('Unique Asset List'!$X$4:$AD$60,MATCH('2'!$B54,'Unique Asset List'!$A$4:$A$60,0),MATCH('2'!$C$1,'Unique Asset List'!$X$3:$AD$3,0))</f>
        <v>2060</v>
      </c>
      <c r="AA54" s="9">
        <f>INDEX('Unique Asset List'!$AE$4:$AK$60,MATCH('2'!$B54,'Unique Asset List'!$A$4:$A$60,0),MATCH('2'!$C$1,'Unique Asset List'!$AE$3:$AK$3,0))</f>
        <v>6</v>
      </c>
      <c r="AB54" s="16">
        <f t="shared" si="15"/>
        <v>0</v>
      </c>
      <c r="AC54" s="16">
        <f t="shared" si="16"/>
        <v>0</v>
      </c>
      <c r="AD54" s="16">
        <f t="shared" si="17"/>
        <v>0</v>
      </c>
      <c r="AE54" s="15">
        <f>INDEX('Unique Asset List'!$BN$4:$BT$60,MATCH('2'!$B54,'Unique Asset List'!$A$4:$A$60,0),MATCH('2'!$C$1,'Unique Asset List'!$BN$3:$BT$3,0))</f>
        <v>0.2</v>
      </c>
      <c r="AF54" s="15">
        <f>INDEX('Unique Asset List'!$BU$4:$CA$60,MATCH('2'!$B54,'Unique Asset List'!$A$4:$A$60,0),MATCH('2'!$C$1,'Unique Asset List'!$BU$3:$CA$3,0))</f>
        <v>0.3</v>
      </c>
      <c r="AG54" s="15">
        <f>INDEX('Unique Asset List'!$AZ$4:$BF$60,MATCH('2'!$B54,'Unique Asset List'!$A$4:$A$60,0),MATCH('2'!$C$1,'Unique Asset List'!$AZ$3:$BF$3,0))</f>
        <v>0.2</v>
      </c>
      <c r="AH54" s="15">
        <f>INDEX('Unique Asset List'!$BG$4:$BM$60,MATCH('2'!$B54,'Unique Asset List'!$A$4:$A$60,0),MATCH('2'!$C$1,'Unique Asset List'!$BG$3:$BM$3,0))</f>
        <v>0.3</v>
      </c>
      <c r="AI54" s="11">
        <v>0.96187963349867744</v>
      </c>
      <c r="AJ54" s="15">
        <f>INDEX('Unique Asset List'!$AL$4:$AR$60,MATCH('2'!$B54,'Unique Asset List'!$A$4:$A$60,0),MATCH('2'!$C$1,'Unique Asset List'!$AL$3:$AR$3,0))</f>
        <v>2.2612105538192599</v>
      </c>
      <c r="AK54" s="15">
        <f>INDEX('Unique Asset List'!$AS$4:$AY$60,MATCH('2'!$B54,'Unique Asset List'!$A$4:$A$60,0),MATCH('2'!$C$1,'Unique Asset List'!$AS$3:$AY$3,0))</f>
        <v>-1.7475682675103321</v>
      </c>
      <c r="AL54" s="9">
        <v>169</v>
      </c>
      <c r="AM54" s="14">
        <f>INDEX(Simulation!$B$6:$H$6,MATCH($A54,Simulation!$B$1:$H$1,0))*(1+AN54)^((DATE(X54,Y54,15)-DATE(2017,1,15))/365.5)</f>
        <v>3.5</v>
      </c>
      <c r="AN54" s="12">
        <v>0</v>
      </c>
      <c r="AO54" s="13">
        <v>0.1</v>
      </c>
      <c r="AP54" s="11">
        <v>0.82</v>
      </c>
      <c r="AQ54" s="12">
        <v>0</v>
      </c>
      <c r="AR54" s="11">
        <f t="shared" si="9"/>
        <v>0.82</v>
      </c>
      <c r="AS54" s="10">
        <v>1</v>
      </c>
      <c r="AT54" s="4">
        <f>IF($C$5="ON",BT54,MyRating(_E1,$B54,Efficacy!$F$1))</f>
        <v>0</v>
      </c>
      <c r="AU54" s="3">
        <f>IF($C$5="ON",BU54,MyRating(_E2,$B54,Efficacy!$F$1))</f>
        <v>0</v>
      </c>
      <c r="AV54" s="3">
        <f>IF($C$5="ON",BV54,MyRating(_E3,$B54,Efficacy!$F$1))</f>
        <v>0</v>
      </c>
      <c r="AW54" s="3">
        <f>IF($C$5="ON",BW54,MyRating(_E4,$B54,Efficacy!$F$1))</f>
        <v>0</v>
      </c>
      <c r="AX54" s="3">
        <f>IF($C$5="ON",BX54,MyRating(_E5,$B54,Efficacy!$F$1))</f>
        <v>0</v>
      </c>
      <c r="AY54" s="3">
        <f>IF($C$5="ON",BY54,MyRating(_E6,$B54,Efficacy!$F$1))</f>
        <v>0</v>
      </c>
      <c r="AZ54" s="3">
        <f>IF($C$5="ON",BZ54,MyRating(_E7,$B54,Efficacy!$F$1))</f>
        <v>0</v>
      </c>
      <c r="BA54" s="3">
        <f>IF($C$5="ON",CA54,MyRating(_E8,$B54,Efficacy!$F$1))</f>
        <v>0</v>
      </c>
      <c r="BB54" s="3">
        <f>IF($C$5="ON",CB54,MyRating(_S1,$B54,'S&amp;T'!$F$1))</f>
        <v>0</v>
      </c>
      <c r="BC54" s="3">
        <f>IF($C$5="ON",CC54,MyRating(_S2,$B54,'S&amp;T'!$F$1))</f>
        <v>0</v>
      </c>
      <c r="BD54" s="3">
        <f>IF($C$5="ON",CD54,MyRating(_S3,$B54,'S&amp;T'!$F$1))</f>
        <v>0</v>
      </c>
      <c r="BE54" s="3">
        <f>IF($C$5="ON",CE54,MyRating(_S4,$B54,'S&amp;T'!$F$1))</f>
        <v>0</v>
      </c>
      <c r="BF54" s="3">
        <f>IF($C$5="ON",CF54,MyRating(_S5,$B54,'S&amp;T'!$F$1))</f>
        <v>0</v>
      </c>
      <c r="BG54" s="3">
        <f>IF($C$5="ON",CG54,MyRating(_S6,$B54,'S&amp;T'!$F$1))</f>
        <v>0</v>
      </c>
      <c r="BH54" s="3">
        <f>IF($C$5="ON",CH54,MyRating(_S7,$B54,'S&amp;T'!$F$1))</f>
        <v>0</v>
      </c>
      <c r="BI54" s="3">
        <f>IF($C$5="ON",CI54,MyRating(_D1,$B54,Delivery!$F$1))</f>
        <v>0</v>
      </c>
      <c r="BJ54" s="3">
        <f>IF($C$5="ON",CJ54,MyRating(_D2,$B54,Delivery!$F$1))</f>
        <v>0</v>
      </c>
      <c r="BK54" s="3">
        <f>IF($C$5="ON",CK54,MyRating(_D3,$B54,Delivery!$F$1))</f>
        <v>0</v>
      </c>
      <c r="BL54" s="3">
        <f>IF($C$5="ON",CL54,MyRating(_D4,$B54,Delivery!$F$1))</f>
        <v>0</v>
      </c>
      <c r="BM54" s="3">
        <f>IF($C$5="ON",CM54,MyRating(_B1G5,$B54,Barrier!$L$2))</f>
        <v>0</v>
      </c>
      <c r="BN54" s="3">
        <f>IF($C$5="ON",CN54,MyRating(_B2,$B54,Barrier!$F$2))</f>
        <v>0</v>
      </c>
      <c r="BO54" s="6">
        <f>IF($C$5="ON",CO54,MyRating(_B3,$B54,Barrier!$F$2))</f>
        <v>0</v>
      </c>
      <c r="BP54" s="5">
        <f t="shared" si="10"/>
        <v>0</v>
      </c>
      <c r="BQ54" s="8">
        <f t="shared" si="11"/>
        <v>0</v>
      </c>
      <c r="BR54" s="5">
        <f t="shared" si="12"/>
        <v>0</v>
      </c>
      <c r="BS54" s="7">
        <f t="shared" si="13"/>
        <v>0</v>
      </c>
      <c r="BT54" s="4">
        <v>0</v>
      </c>
      <c r="BU54" s="3">
        <v>0</v>
      </c>
      <c r="BV54" s="3">
        <v>0</v>
      </c>
      <c r="BW54" s="3">
        <v>0</v>
      </c>
      <c r="BX54" s="3">
        <v>0</v>
      </c>
      <c r="BY54" s="3">
        <v>0</v>
      </c>
      <c r="BZ54" s="3">
        <v>0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6">
        <v>0</v>
      </c>
      <c r="CP54" s="5">
        <v>0</v>
      </c>
    </row>
    <row r="55" spans="1:94" x14ac:dyDescent="0.35">
      <c r="A55" s="9" t="s">
        <v>184</v>
      </c>
      <c r="B55" s="9" t="s">
        <v>191</v>
      </c>
      <c r="C55" s="20" t="s">
        <v>3</v>
      </c>
      <c r="D55" s="9" t="s">
        <v>2</v>
      </c>
      <c r="E55" s="9"/>
      <c r="F55" s="9" t="s">
        <v>1</v>
      </c>
      <c r="G55" s="19">
        <v>0</v>
      </c>
      <c r="H55" s="9">
        <v>2014</v>
      </c>
      <c r="I55" s="9">
        <v>6</v>
      </c>
      <c r="J55" s="18">
        <f>INDEX(PTRS!$D$6:$D$12,MATCH('2'!$F55,PTRS!$B$6:$B$12,0))</f>
        <v>0.1044225</v>
      </c>
      <c r="K55" s="17">
        <v>0</v>
      </c>
      <c r="L55" s="17">
        <v>0.1044225</v>
      </c>
      <c r="M55" s="17">
        <v>0.1044225</v>
      </c>
      <c r="N55" s="17">
        <v>0.1044225</v>
      </c>
      <c r="O55" s="17">
        <v>0.1044225</v>
      </c>
      <c r="P55" s="17">
        <v>0.1044225</v>
      </c>
      <c r="Q55" s="17">
        <v>0.1044225</v>
      </c>
      <c r="R55" s="17">
        <v>0.1044225</v>
      </c>
      <c r="S55" s="17">
        <v>1</v>
      </c>
      <c r="T55" s="17"/>
      <c r="U55" s="17">
        <f t="shared" si="14"/>
        <v>0</v>
      </c>
      <c r="V55" s="17">
        <v>1</v>
      </c>
      <c r="W55" s="9" t="s">
        <v>0</v>
      </c>
      <c r="X55" s="9">
        <f>INDEX('Unique Asset List'!$C$4:$I$60,MATCH('2'!$B55,'Unique Asset List'!$A$4:$A$60,0),MATCH('2'!$C$1,'Unique Asset List'!$C$3:$I$3,0))</f>
        <v>2051</v>
      </c>
      <c r="Y55" s="9">
        <f>INDEX('Unique Asset List'!$J$4:$P$60,MATCH('2'!$B55,'Unique Asset List'!$A$4:$A$60,0),MATCH('2'!$C$1,'Unique Asset List'!$J$3:$P$3,0))</f>
        <v>6</v>
      </c>
      <c r="Z55" s="9">
        <f>INDEX('Unique Asset List'!$X$4:$AD$60,MATCH('2'!$B55,'Unique Asset List'!$A$4:$A$60,0),MATCH('2'!$C$1,'Unique Asset List'!$X$3:$AD$3,0))</f>
        <v>2060</v>
      </c>
      <c r="AA55" s="9">
        <f>INDEX('Unique Asset List'!$AE$4:$AK$60,MATCH('2'!$B55,'Unique Asset List'!$A$4:$A$60,0),MATCH('2'!$C$1,'Unique Asset List'!$AE$3:$AK$3,0))</f>
        <v>6</v>
      </c>
      <c r="AB55" s="16">
        <f t="shared" si="15"/>
        <v>0</v>
      </c>
      <c r="AC55" s="16">
        <f t="shared" si="16"/>
        <v>0</v>
      </c>
      <c r="AD55" s="16">
        <f t="shared" si="17"/>
        <v>0</v>
      </c>
      <c r="AE55" s="15">
        <f>INDEX('Unique Asset List'!$BN$4:$BT$60,MATCH('2'!$B55,'Unique Asset List'!$A$4:$A$60,0),MATCH('2'!$C$1,'Unique Asset List'!$BN$3:$BT$3,0))</f>
        <v>0.2</v>
      </c>
      <c r="AF55" s="15">
        <f>INDEX('Unique Asset List'!$BU$4:$CA$60,MATCH('2'!$B55,'Unique Asset List'!$A$4:$A$60,0),MATCH('2'!$C$1,'Unique Asset List'!$BU$3:$CA$3,0))</f>
        <v>0.3</v>
      </c>
      <c r="AG55" s="15">
        <f>INDEX('Unique Asset List'!$AZ$4:$BF$60,MATCH('2'!$B55,'Unique Asset List'!$A$4:$A$60,0),MATCH('2'!$C$1,'Unique Asset List'!$AZ$3:$BF$3,0))</f>
        <v>0.2</v>
      </c>
      <c r="AH55" s="15">
        <f>INDEX('Unique Asset List'!$BG$4:$BM$60,MATCH('2'!$B55,'Unique Asset List'!$A$4:$A$60,0),MATCH('2'!$C$1,'Unique Asset List'!$BG$3:$BM$3,0))</f>
        <v>0.3</v>
      </c>
      <c r="AI55" s="11">
        <v>0.96187963349867744</v>
      </c>
      <c r="AJ55" s="15">
        <f>INDEX('Unique Asset List'!$AL$4:$AR$60,MATCH('2'!$B55,'Unique Asset List'!$A$4:$A$60,0),MATCH('2'!$C$1,'Unique Asset List'!$AL$3:$AR$3,0))</f>
        <v>2.2612105538192599</v>
      </c>
      <c r="AK55" s="15">
        <f>INDEX('Unique Asset List'!$AS$4:$AY$60,MATCH('2'!$B55,'Unique Asset List'!$A$4:$A$60,0),MATCH('2'!$C$1,'Unique Asset List'!$AS$3:$AY$3,0))</f>
        <v>-1.7475682675103321</v>
      </c>
      <c r="AL55" s="9">
        <v>169</v>
      </c>
      <c r="AM55" s="14">
        <f>INDEX(Simulation!$B$6:$H$6,MATCH($A55,Simulation!$B$1:$H$1,0))*(1+AN55)^((DATE(X55,Y55,15)-DATE(2017,1,15))/365.5)</f>
        <v>3.5</v>
      </c>
      <c r="AN55" s="12">
        <v>0</v>
      </c>
      <c r="AO55" s="13">
        <v>0.1</v>
      </c>
      <c r="AP55" s="11">
        <v>0.82</v>
      </c>
      <c r="AQ55" s="12">
        <v>0</v>
      </c>
      <c r="AR55" s="11">
        <f t="shared" si="9"/>
        <v>0.82</v>
      </c>
      <c r="AS55" s="10">
        <v>1</v>
      </c>
      <c r="AT55" s="4">
        <f>IF($C$5="ON",BT55,MyRating(_E1,$B55,Efficacy!$F$1))</f>
        <v>0</v>
      </c>
      <c r="AU55" s="3">
        <f>IF($C$5="ON",BU55,MyRating(_E2,$B55,Efficacy!$F$1))</f>
        <v>0</v>
      </c>
      <c r="AV55" s="3">
        <f>IF($C$5="ON",BV55,MyRating(_E3,$B55,Efficacy!$F$1))</f>
        <v>0</v>
      </c>
      <c r="AW55" s="3">
        <f>IF($C$5="ON",BW55,MyRating(_E4,$B55,Efficacy!$F$1))</f>
        <v>0</v>
      </c>
      <c r="AX55" s="3">
        <f>IF($C$5="ON",BX55,MyRating(_E5,$B55,Efficacy!$F$1))</f>
        <v>0</v>
      </c>
      <c r="AY55" s="3">
        <f>IF($C$5="ON",BY55,MyRating(_E6,$B55,Efficacy!$F$1))</f>
        <v>0</v>
      </c>
      <c r="AZ55" s="3">
        <f>IF($C$5="ON",BZ55,MyRating(_E7,$B55,Efficacy!$F$1))</f>
        <v>0</v>
      </c>
      <c r="BA55" s="3">
        <f>IF($C$5="ON",CA55,MyRating(_E8,$B55,Efficacy!$F$1))</f>
        <v>0</v>
      </c>
      <c r="BB55" s="3">
        <f>IF($C$5="ON",CB55,MyRating(_S1,$B55,'S&amp;T'!$F$1))</f>
        <v>0</v>
      </c>
      <c r="BC55" s="3">
        <f>IF($C$5="ON",CC55,MyRating(_S2,$B55,'S&amp;T'!$F$1))</f>
        <v>0</v>
      </c>
      <c r="BD55" s="3">
        <f>IF($C$5="ON",CD55,MyRating(_S3,$B55,'S&amp;T'!$F$1))</f>
        <v>0</v>
      </c>
      <c r="BE55" s="3">
        <f>IF($C$5="ON",CE55,MyRating(_S4,$B55,'S&amp;T'!$F$1))</f>
        <v>0</v>
      </c>
      <c r="BF55" s="3">
        <f>IF($C$5="ON",CF55,MyRating(_S5,$B55,'S&amp;T'!$F$1))</f>
        <v>0</v>
      </c>
      <c r="BG55" s="3">
        <f>IF($C$5="ON",CG55,MyRating(_S6,$B55,'S&amp;T'!$F$1))</f>
        <v>0</v>
      </c>
      <c r="BH55" s="3">
        <f>IF($C$5="ON",CH55,MyRating(_S7,$B55,'S&amp;T'!$F$1))</f>
        <v>0</v>
      </c>
      <c r="BI55" s="3">
        <f>IF($C$5="ON",CI55,MyRating(_D1,$B55,Delivery!$F$1))</f>
        <v>0</v>
      </c>
      <c r="BJ55" s="3">
        <f>IF($C$5="ON",CJ55,MyRating(_D2,$B55,Delivery!$F$1))</f>
        <v>0</v>
      </c>
      <c r="BK55" s="3">
        <f>IF($C$5="ON",CK55,MyRating(_D3,$B55,Delivery!$F$1))</f>
        <v>0</v>
      </c>
      <c r="BL55" s="3">
        <f>IF($C$5="ON",CL55,MyRating(_D4,$B55,Delivery!$F$1))</f>
        <v>0</v>
      </c>
      <c r="BM55" s="3">
        <f>IF($C$5="ON",CM55,MyRating(_B1G5,$B55,Barrier!$L$2))</f>
        <v>0</v>
      </c>
      <c r="BN55" s="3">
        <f>IF($C$5="ON",CN55,MyRating(_B2,$B55,Barrier!$F$2))</f>
        <v>0</v>
      </c>
      <c r="BO55" s="6">
        <f>IF($C$5="ON",CO55,MyRating(_B3,$B55,Barrier!$F$2))</f>
        <v>0</v>
      </c>
      <c r="BP55" s="5">
        <f t="shared" si="10"/>
        <v>0</v>
      </c>
      <c r="BQ55" s="8">
        <f t="shared" si="11"/>
        <v>0</v>
      </c>
      <c r="BR55" s="5">
        <f t="shared" si="12"/>
        <v>0</v>
      </c>
      <c r="BS55" s="7">
        <f t="shared" si="13"/>
        <v>0</v>
      </c>
      <c r="BT55" s="4">
        <v>0</v>
      </c>
      <c r="BU55" s="3">
        <v>0</v>
      </c>
      <c r="BV55" s="3">
        <v>0</v>
      </c>
      <c r="BW55" s="3">
        <v>0</v>
      </c>
      <c r="BX55" s="3">
        <v>0</v>
      </c>
      <c r="BY55" s="3">
        <v>0</v>
      </c>
      <c r="BZ55" s="3">
        <v>0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6">
        <v>0</v>
      </c>
      <c r="CP55" s="5">
        <v>0</v>
      </c>
    </row>
    <row r="56" spans="1:94" x14ac:dyDescent="0.35">
      <c r="A56" s="9" t="s">
        <v>184</v>
      </c>
      <c r="B56" s="9" t="s">
        <v>190</v>
      </c>
      <c r="C56" s="20" t="s">
        <v>3</v>
      </c>
      <c r="D56" s="9" t="s">
        <v>2</v>
      </c>
      <c r="E56" s="9"/>
      <c r="F56" s="9" t="s">
        <v>1</v>
      </c>
      <c r="G56" s="19">
        <v>0</v>
      </c>
      <c r="H56" s="9">
        <v>2014</v>
      </c>
      <c r="I56" s="9">
        <v>6</v>
      </c>
      <c r="J56" s="18">
        <f>INDEX(PTRS!$D$6:$D$12,MATCH('2'!$F56,PTRS!$B$6:$B$12,0))</f>
        <v>0.1044225</v>
      </c>
      <c r="K56" s="17">
        <v>0</v>
      </c>
      <c r="L56" s="17">
        <v>0.1044225</v>
      </c>
      <c r="M56" s="17">
        <v>0.1044225</v>
      </c>
      <c r="N56" s="17">
        <v>0.1044225</v>
      </c>
      <c r="O56" s="17">
        <v>0.1044225</v>
      </c>
      <c r="P56" s="17">
        <v>0.1044225</v>
      </c>
      <c r="Q56" s="17">
        <v>0.1044225</v>
      </c>
      <c r="R56" s="17">
        <v>0.1044225</v>
      </c>
      <c r="S56" s="17">
        <v>1</v>
      </c>
      <c r="T56" s="17"/>
      <c r="U56" s="17">
        <f t="shared" si="14"/>
        <v>0</v>
      </c>
      <c r="V56" s="17">
        <v>1</v>
      </c>
      <c r="W56" s="9" t="s">
        <v>0</v>
      </c>
      <c r="X56" s="9">
        <f>INDEX('Unique Asset List'!$C$4:$I$60,MATCH('2'!$B56,'Unique Asset List'!$A$4:$A$60,0),MATCH('2'!$C$1,'Unique Asset List'!$C$3:$I$3,0))</f>
        <v>2051</v>
      </c>
      <c r="Y56" s="9">
        <f>INDEX('Unique Asset List'!$J$4:$P$60,MATCH('2'!$B56,'Unique Asset List'!$A$4:$A$60,0),MATCH('2'!$C$1,'Unique Asset List'!$J$3:$P$3,0))</f>
        <v>6</v>
      </c>
      <c r="Z56" s="9">
        <f>INDEX('Unique Asset List'!$X$4:$AD$60,MATCH('2'!$B56,'Unique Asset List'!$A$4:$A$60,0),MATCH('2'!$C$1,'Unique Asset List'!$X$3:$AD$3,0))</f>
        <v>2060</v>
      </c>
      <c r="AA56" s="9">
        <f>INDEX('Unique Asset List'!$AE$4:$AK$60,MATCH('2'!$B56,'Unique Asset List'!$A$4:$A$60,0),MATCH('2'!$C$1,'Unique Asset List'!$AE$3:$AK$3,0))</f>
        <v>6</v>
      </c>
      <c r="AB56" s="16">
        <f t="shared" si="15"/>
        <v>0</v>
      </c>
      <c r="AC56" s="16">
        <f t="shared" si="16"/>
        <v>0</v>
      </c>
      <c r="AD56" s="16">
        <f t="shared" si="17"/>
        <v>0</v>
      </c>
      <c r="AE56" s="15">
        <f>INDEX('Unique Asset List'!$BN$4:$BT$60,MATCH('2'!$B56,'Unique Asset List'!$A$4:$A$60,0),MATCH('2'!$C$1,'Unique Asset List'!$BN$3:$BT$3,0))</f>
        <v>0.2</v>
      </c>
      <c r="AF56" s="15">
        <f>INDEX('Unique Asset List'!$BU$4:$CA$60,MATCH('2'!$B56,'Unique Asset List'!$A$4:$A$60,0),MATCH('2'!$C$1,'Unique Asset List'!$BU$3:$CA$3,0))</f>
        <v>0.3</v>
      </c>
      <c r="AG56" s="15">
        <f>INDEX('Unique Asset List'!$AZ$4:$BF$60,MATCH('2'!$B56,'Unique Asset List'!$A$4:$A$60,0),MATCH('2'!$C$1,'Unique Asset List'!$AZ$3:$BF$3,0))</f>
        <v>0.2</v>
      </c>
      <c r="AH56" s="15">
        <f>INDEX('Unique Asset List'!$BG$4:$BM$60,MATCH('2'!$B56,'Unique Asset List'!$A$4:$A$60,0),MATCH('2'!$C$1,'Unique Asset List'!$BG$3:$BM$3,0))</f>
        <v>0.3</v>
      </c>
      <c r="AI56" s="11">
        <v>0.96187963349867744</v>
      </c>
      <c r="AJ56" s="15">
        <f>INDEX('Unique Asset List'!$AL$4:$AR$60,MATCH('2'!$B56,'Unique Asset List'!$A$4:$A$60,0),MATCH('2'!$C$1,'Unique Asset List'!$AL$3:$AR$3,0))</f>
        <v>2.2612105538192599</v>
      </c>
      <c r="AK56" s="15">
        <f>INDEX('Unique Asset List'!$AS$4:$AY$60,MATCH('2'!$B56,'Unique Asset List'!$A$4:$A$60,0),MATCH('2'!$C$1,'Unique Asset List'!$AS$3:$AY$3,0))</f>
        <v>-1.7475682675103321</v>
      </c>
      <c r="AL56" s="9">
        <v>169</v>
      </c>
      <c r="AM56" s="14">
        <f>INDEX(Simulation!$B$6:$H$6,MATCH($A56,Simulation!$B$1:$H$1,0))*(1+AN56)^((DATE(X56,Y56,15)-DATE(2017,1,15))/365.5)</f>
        <v>3.5</v>
      </c>
      <c r="AN56" s="12">
        <v>0</v>
      </c>
      <c r="AO56" s="13">
        <v>0.1</v>
      </c>
      <c r="AP56" s="11">
        <v>0.82</v>
      </c>
      <c r="AQ56" s="12">
        <v>0</v>
      </c>
      <c r="AR56" s="11">
        <f t="shared" si="9"/>
        <v>0.82</v>
      </c>
      <c r="AS56" s="10">
        <v>1</v>
      </c>
      <c r="AT56" s="4">
        <f>IF($C$5="ON",BT56,MyRating(_E1,$B56,Efficacy!$F$1))</f>
        <v>0</v>
      </c>
      <c r="AU56" s="3">
        <f>IF($C$5="ON",BU56,MyRating(_E2,$B56,Efficacy!$F$1))</f>
        <v>0</v>
      </c>
      <c r="AV56" s="3">
        <f>IF($C$5="ON",BV56,MyRating(_E3,$B56,Efficacy!$F$1))</f>
        <v>0</v>
      </c>
      <c r="AW56" s="3">
        <f>IF($C$5="ON",BW56,MyRating(_E4,$B56,Efficacy!$F$1))</f>
        <v>0</v>
      </c>
      <c r="AX56" s="3">
        <f>IF($C$5="ON",BX56,MyRating(_E5,$B56,Efficacy!$F$1))</f>
        <v>0</v>
      </c>
      <c r="AY56" s="3">
        <f>IF($C$5="ON",BY56,MyRating(_E6,$B56,Efficacy!$F$1))</f>
        <v>0</v>
      </c>
      <c r="AZ56" s="3">
        <f>IF($C$5="ON",BZ56,MyRating(_E7,$B56,Efficacy!$F$1))</f>
        <v>0</v>
      </c>
      <c r="BA56" s="3">
        <f>IF($C$5="ON",CA56,MyRating(_E8,$B56,Efficacy!$F$1))</f>
        <v>0</v>
      </c>
      <c r="BB56" s="3">
        <f>IF($C$5="ON",CB56,MyRating(_S1,$B56,'S&amp;T'!$F$1))</f>
        <v>0</v>
      </c>
      <c r="BC56" s="3">
        <f>IF($C$5="ON",CC56,MyRating(_S2,$B56,'S&amp;T'!$F$1))</f>
        <v>0</v>
      </c>
      <c r="BD56" s="3">
        <f>IF($C$5="ON",CD56,MyRating(_S3,$B56,'S&amp;T'!$F$1))</f>
        <v>0</v>
      </c>
      <c r="BE56" s="3">
        <f>IF($C$5="ON",CE56,MyRating(_S4,$B56,'S&amp;T'!$F$1))</f>
        <v>0</v>
      </c>
      <c r="BF56" s="3">
        <f>IF($C$5="ON",CF56,MyRating(_S5,$B56,'S&amp;T'!$F$1))</f>
        <v>0</v>
      </c>
      <c r="BG56" s="3">
        <f>IF($C$5="ON",CG56,MyRating(_S6,$B56,'S&amp;T'!$F$1))</f>
        <v>0</v>
      </c>
      <c r="BH56" s="3">
        <f>IF($C$5="ON",CH56,MyRating(_S7,$B56,'S&amp;T'!$F$1))</f>
        <v>0</v>
      </c>
      <c r="BI56" s="3">
        <f>IF($C$5="ON",CI56,MyRating(_D1,$B56,Delivery!$F$1))</f>
        <v>0</v>
      </c>
      <c r="BJ56" s="3">
        <f>IF($C$5="ON",CJ56,MyRating(_D2,$B56,Delivery!$F$1))</f>
        <v>0</v>
      </c>
      <c r="BK56" s="3">
        <f>IF($C$5="ON",CK56,MyRating(_D3,$B56,Delivery!$F$1))</f>
        <v>0</v>
      </c>
      <c r="BL56" s="3">
        <f>IF($C$5="ON",CL56,MyRating(_D4,$B56,Delivery!$F$1))</f>
        <v>0</v>
      </c>
      <c r="BM56" s="3">
        <f>IF($C$5="ON",CM56,MyRating(_B1G5,$B56,Barrier!$L$2))</f>
        <v>0</v>
      </c>
      <c r="BN56" s="3">
        <f>IF($C$5="ON",CN56,MyRating(_B2,$B56,Barrier!$F$2))</f>
        <v>0</v>
      </c>
      <c r="BO56" s="6">
        <f>IF($C$5="ON",CO56,MyRating(_B3,$B56,Barrier!$F$2))</f>
        <v>0</v>
      </c>
      <c r="BP56" s="5">
        <f t="shared" si="10"/>
        <v>0</v>
      </c>
      <c r="BQ56" s="8">
        <f t="shared" si="11"/>
        <v>0</v>
      </c>
      <c r="BR56" s="5">
        <f t="shared" si="12"/>
        <v>0</v>
      </c>
      <c r="BS56" s="7">
        <f t="shared" si="13"/>
        <v>0</v>
      </c>
      <c r="BT56" s="4">
        <v>0</v>
      </c>
      <c r="BU56" s="3">
        <v>0</v>
      </c>
      <c r="BV56" s="3">
        <v>0</v>
      </c>
      <c r="BW56" s="3">
        <v>0</v>
      </c>
      <c r="BX56" s="3">
        <v>0</v>
      </c>
      <c r="BY56" s="3">
        <v>0</v>
      </c>
      <c r="BZ56" s="3">
        <v>0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6">
        <v>0</v>
      </c>
      <c r="CP56" s="5">
        <v>0</v>
      </c>
    </row>
    <row r="57" spans="1:94" x14ac:dyDescent="0.35">
      <c r="A57" s="9" t="s">
        <v>184</v>
      </c>
      <c r="B57" s="9" t="s">
        <v>189</v>
      </c>
      <c r="C57" s="20" t="s">
        <v>3</v>
      </c>
      <c r="D57" s="9" t="s">
        <v>2</v>
      </c>
      <c r="E57" s="9"/>
      <c r="F57" s="9" t="s">
        <v>1</v>
      </c>
      <c r="G57" s="19">
        <v>0</v>
      </c>
      <c r="H57" s="9">
        <v>2014</v>
      </c>
      <c r="I57" s="9">
        <v>6</v>
      </c>
      <c r="J57" s="18">
        <f>INDEX(PTRS!$D$6:$D$12,MATCH('2'!$F57,PTRS!$B$6:$B$12,0))</f>
        <v>0.1044225</v>
      </c>
      <c r="K57" s="17">
        <v>0</v>
      </c>
      <c r="L57" s="17">
        <v>0.1044225</v>
      </c>
      <c r="M57" s="17">
        <v>0.1044225</v>
      </c>
      <c r="N57" s="17">
        <v>0.1044225</v>
      </c>
      <c r="O57" s="17">
        <v>0.1044225</v>
      </c>
      <c r="P57" s="17">
        <v>0.1044225</v>
      </c>
      <c r="Q57" s="17">
        <v>0.1044225</v>
      </c>
      <c r="R57" s="17">
        <v>0.1044225</v>
      </c>
      <c r="S57" s="17">
        <v>1</v>
      </c>
      <c r="T57" s="17"/>
      <c r="U57" s="17">
        <f t="shared" si="14"/>
        <v>0</v>
      </c>
      <c r="V57" s="17">
        <v>1</v>
      </c>
      <c r="W57" s="9" t="s">
        <v>0</v>
      </c>
      <c r="X57" s="9">
        <f>INDEX('Unique Asset List'!$C$4:$I$60,MATCH('2'!$B57,'Unique Asset List'!$A$4:$A$60,0),MATCH('2'!$C$1,'Unique Asset List'!$C$3:$I$3,0))</f>
        <v>2051</v>
      </c>
      <c r="Y57" s="9">
        <f>INDEX('Unique Asset List'!$J$4:$P$60,MATCH('2'!$B57,'Unique Asset List'!$A$4:$A$60,0),MATCH('2'!$C$1,'Unique Asset List'!$J$3:$P$3,0))</f>
        <v>6</v>
      </c>
      <c r="Z57" s="9">
        <f>INDEX('Unique Asset List'!$X$4:$AD$60,MATCH('2'!$B57,'Unique Asset List'!$A$4:$A$60,0),MATCH('2'!$C$1,'Unique Asset List'!$X$3:$AD$3,0))</f>
        <v>2060</v>
      </c>
      <c r="AA57" s="9">
        <f>INDEX('Unique Asset List'!$AE$4:$AK$60,MATCH('2'!$B57,'Unique Asset List'!$A$4:$A$60,0),MATCH('2'!$C$1,'Unique Asset List'!$AE$3:$AK$3,0))</f>
        <v>6</v>
      </c>
      <c r="AB57" s="16">
        <f t="shared" si="15"/>
        <v>0</v>
      </c>
      <c r="AC57" s="16">
        <f t="shared" si="16"/>
        <v>0</v>
      </c>
      <c r="AD57" s="16">
        <f t="shared" si="17"/>
        <v>0</v>
      </c>
      <c r="AE57" s="15">
        <f>INDEX('Unique Asset List'!$BN$4:$BT$60,MATCH('2'!$B57,'Unique Asset List'!$A$4:$A$60,0),MATCH('2'!$C$1,'Unique Asset List'!$BN$3:$BT$3,0))</f>
        <v>0.2</v>
      </c>
      <c r="AF57" s="15">
        <f>INDEX('Unique Asset List'!$BU$4:$CA$60,MATCH('2'!$B57,'Unique Asset List'!$A$4:$A$60,0),MATCH('2'!$C$1,'Unique Asset List'!$BU$3:$CA$3,0))</f>
        <v>0.3</v>
      </c>
      <c r="AG57" s="15">
        <f>INDEX('Unique Asset List'!$AZ$4:$BF$60,MATCH('2'!$B57,'Unique Asset List'!$A$4:$A$60,0),MATCH('2'!$C$1,'Unique Asset List'!$AZ$3:$BF$3,0))</f>
        <v>0.2</v>
      </c>
      <c r="AH57" s="15">
        <f>INDEX('Unique Asset List'!$BG$4:$BM$60,MATCH('2'!$B57,'Unique Asset List'!$A$4:$A$60,0),MATCH('2'!$C$1,'Unique Asset List'!$BG$3:$BM$3,0))</f>
        <v>0.3</v>
      </c>
      <c r="AI57" s="11">
        <v>0.96187963349867744</v>
      </c>
      <c r="AJ57" s="15">
        <f>INDEX('Unique Asset List'!$AL$4:$AR$60,MATCH('2'!$B57,'Unique Asset List'!$A$4:$A$60,0),MATCH('2'!$C$1,'Unique Asset List'!$AL$3:$AR$3,0))</f>
        <v>2.2612105538192599</v>
      </c>
      <c r="AK57" s="15">
        <f>INDEX('Unique Asset List'!$AS$4:$AY$60,MATCH('2'!$B57,'Unique Asset List'!$A$4:$A$60,0),MATCH('2'!$C$1,'Unique Asset List'!$AS$3:$AY$3,0))</f>
        <v>-1.7475682675103321</v>
      </c>
      <c r="AL57" s="9">
        <v>169</v>
      </c>
      <c r="AM57" s="14">
        <f>INDEX(Simulation!$B$6:$H$6,MATCH($A57,Simulation!$B$1:$H$1,0))*(1+AN57)^((DATE(X57,Y57,15)-DATE(2017,1,15))/365.5)</f>
        <v>3.5</v>
      </c>
      <c r="AN57" s="12">
        <v>0</v>
      </c>
      <c r="AO57" s="13">
        <v>0.1</v>
      </c>
      <c r="AP57" s="11">
        <v>0.82</v>
      </c>
      <c r="AQ57" s="12">
        <v>0</v>
      </c>
      <c r="AR57" s="11">
        <f t="shared" si="9"/>
        <v>0.82</v>
      </c>
      <c r="AS57" s="10">
        <v>1</v>
      </c>
      <c r="AT57" s="4">
        <f>IF($C$5="ON",BT57,MyRating(_E1,$B57,Efficacy!$F$1))</f>
        <v>0</v>
      </c>
      <c r="AU57" s="3">
        <f>IF($C$5="ON",BU57,MyRating(_E2,$B57,Efficacy!$F$1))</f>
        <v>0</v>
      </c>
      <c r="AV57" s="3">
        <f>IF($C$5="ON",BV57,MyRating(_E3,$B57,Efficacy!$F$1))</f>
        <v>0</v>
      </c>
      <c r="AW57" s="3">
        <f>IF($C$5="ON",BW57,MyRating(_E4,$B57,Efficacy!$F$1))</f>
        <v>0</v>
      </c>
      <c r="AX57" s="3">
        <f>IF($C$5="ON",BX57,MyRating(_E5,$B57,Efficacy!$F$1))</f>
        <v>0</v>
      </c>
      <c r="AY57" s="3">
        <f>IF($C$5="ON",BY57,MyRating(_E6,$B57,Efficacy!$F$1))</f>
        <v>0</v>
      </c>
      <c r="AZ57" s="3">
        <f>IF($C$5="ON",BZ57,MyRating(_E7,$B57,Efficacy!$F$1))</f>
        <v>0</v>
      </c>
      <c r="BA57" s="3">
        <f>IF($C$5="ON",CA57,MyRating(_E8,$B57,Efficacy!$F$1))</f>
        <v>0</v>
      </c>
      <c r="BB57" s="3">
        <f>IF($C$5="ON",CB57,MyRating(_S1,$B57,'S&amp;T'!$F$1))</f>
        <v>0</v>
      </c>
      <c r="BC57" s="3">
        <f>IF($C$5="ON",CC57,MyRating(_S2,$B57,'S&amp;T'!$F$1))</f>
        <v>0</v>
      </c>
      <c r="BD57" s="3">
        <f>IF($C$5="ON",CD57,MyRating(_S3,$B57,'S&amp;T'!$F$1))</f>
        <v>0</v>
      </c>
      <c r="BE57" s="3">
        <f>IF($C$5="ON",CE57,MyRating(_S4,$B57,'S&amp;T'!$F$1))</f>
        <v>0</v>
      </c>
      <c r="BF57" s="3">
        <f>IF($C$5="ON",CF57,MyRating(_S5,$B57,'S&amp;T'!$F$1))</f>
        <v>0</v>
      </c>
      <c r="BG57" s="3">
        <f>IF($C$5="ON",CG57,MyRating(_S6,$B57,'S&amp;T'!$F$1))</f>
        <v>0</v>
      </c>
      <c r="BH57" s="3">
        <f>IF($C$5="ON",CH57,MyRating(_S7,$B57,'S&amp;T'!$F$1))</f>
        <v>0</v>
      </c>
      <c r="BI57" s="3">
        <f>IF($C$5="ON",CI57,MyRating(_D1,$B57,Delivery!$F$1))</f>
        <v>0</v>
      </c>
      <c r="BJ57" s="3">
        <f>IF($C$5="ON",CJ57,MyRating(_D2,$B57,Delivery!$F$1))</f>
        <v>0</v>
      </c>
      <c r="BK57" s="3">
        <f>IF($C$5="ON",CK57,MyRating(_D3,$B57,Delivery!$F$1))</f>
        <v>0</v>
      </c>
      <c r="BL57" s="3">
        <f>IF($C$5="ON",CL57,MyRating(_D4,$B57,Delivery!$F$1))</f>
        <v>0</v>
      </c>
      <c r="BM57" s="3">
        <f>IF($C$5="ON",CM57,MyRating(_B1G5,$B57,Barrier!$L$2))</f>
        <v>0</v>
      </c>
      <c r="BN57" s="3">
        <f>IF($C$5="ON",CN57,MyRating(_B2,$B57,Barrier!$F$2))</f>
        <v>0</v>
      </c>
      <c r="BO57" s="6">
        <f>IF($C$5="ON",CO57,MyRating(_B3,$B57,Barrier!$F$2))</f>
        <v>0</v>
      </c>
      <c r="BP57" s="5">
        <f t="shared" si="10"/>
        <v>0</v>
      </c>
      <c r="BQ57" s="8">
        <f t="shared" si="11"/>
        <v>0</v>
      </c>
      <c r="BR57" s="5">
        <f t="shared" si="12"/>
        <v>0</v>
      </c>
      <c r="BS57" s="7">
        <f t="shared" si="13"/>
        <v>0</v>
      </c>
      <c r="BT57" s="4">
        <v>0</v>
      </c>
      <c r="BU57" s="3">
        <v>0</v>
      </c>
      <c r="BV57" s="3">
        <v>0</v>
      </c>
      <c r="BW57" s="3">
        <v>0</v>
      </c>
      <c r="BX57" s="3">
        <v>0</v>
      </c>
      <c r="BY57" s="3">
        <v>0</v>
      </c>
      <c r="BZ57" s="3">
        <v>0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6">
        <v>0</v>
      </c>
      <c r="CP57" s="5">
        <v>0</v>
      </c>
    </row>
    <row r="58" spans="1:94" x14ac:dyDescent="0.35">
      <c r="A58" s="9" t="s">
        <v>184</v>
      </c>
      <c r="B58" s="9" t="s">
        <v>188</v>
      </c>
      <c r="C58" s="20" t="s">
        <v>3</v>
      </c>
      <c r="D58" s="9" t="s">
        <v>2</v>
      </c>
      <c r="E58" s="9"/>
      <c r="F58" s="9" t="s">
        <v>1</v>
      </c>
      <c r="G58" s="19">
        <v>0</v>
      </c>
      <c r="H58" s="9">
        <v>2014</v>
      </c>
      <c r="I58" s="9">
        <v>6</v>
      </c>
      <c r="J58" s="18">
        <f>INDEX(PTRS!$D$6:$D$12,MATCH('2'!$F58,PTRS!$B$6:$B$12,0))</f>
        <v>0.1044225</v>
      </c>
      <c r="K58" s="17">
        <v>0</v>
      </c>
      <c r="L58" s="17">
        <v>0.1044225</v>
      </c>
      <c r="M58" s="17">
        <v>0.1044225</v>
      </c>
      <c r="N58" s="17">
        <v>0.1044225</v>
      </c>
      <c r="O58" s="17">
        <v>0.1044225</v>
      </c>
      <c r="P58" s="17">
        <v>0.1044225</v>
      </c>
      <c r="Q58" s="17">
        <v>0.1044225</v>
      </c>
      <c r="R58" s="17">
        <v>0.1044225</v>
      </c>
      <c r="S58" s="17">
        <v>1</v>
      </c>
      <c r="T58" s="17"/>
      <c r="U58" s="17">
        <f t="shared" si="14"/>
        <v>0</v>
      </c>
      <c r="V58" s="17">
        <v>1</v>
      </c>
      <c r="W58" s="9" t="s">
        <v>0</v>
      </c>
      <c r="X58" s="9">
        <f>INDEX('Unique Asset List'!$C$4:$I$60,MATCH('2'!$B58,'Unique Asset List'!$A$4:$A$60,0),MATCH('2'!$C$1,'Unique Asset List'!$C$3:$I$3,0))</f>
        <v>2051</v>
      </c>
      <c r="Y58" s="9">
        <f>INDEX('Unique Asset List'!$J$4:$P$60,MATCH('2'!$B58,'Unique Asset List'!$A$4:$A$60,0),MATCH('2'!$C$1,'Unique Asset List'!$J$3:$P$3,0))</f>
        <v>6</v>
      </c>
      <c r="Z58" s="9">
        <f>INDEX('Unique Asset List'!$X$4:$AD$60,MATCH('2'!$B58,'Unique Asset List'!$A$4:$A$60,0),MATCH('2'!$C$1,'Unique Asset List'!$X$3:$AD$3,0))</f>
        <v>2060</v>
      </c>
      <c r="AA58" s="9">
        <f>INDEX('Unique Asset List'!$AE$4:$AK$60,MATCH('2'!$B58,'Unique Asset List'!$A$4:$A$60,0),MATCH('2'!$C$1,'Unique Asset List'!$AE$3:$AK$3,0))</f>
        <v>6</v>
      </c>
      <c r="AB58" s="16">
        <f t="shared" si="15"/>
        <v>0</v>
      </c>
      <c r="AC58" s="16">
        <f t="shared" si="16"/>
        <v>0</v>
      </c>
      <c r="AD58" s="16">
        <f t="shared" si="17"/>
        <v>0</v>
      </c>
      <c r="AE58" s="15">
        <f>INDEX('Unique Asset List'!$BN$4:$BT$60,MATCH('2'!$B58,'Unique Asset List'!$A$4:$A$60,0),MATCH('2'!$C$1,'Unique Asset List'!$BN$3:$BT$3,0))</f>
        <v>0.2</v>
      </c>
      <c r="AF58" s="15">
        <f>INDEX('Unique Asset List'!$BU$4:$CA$60,MATCH('2'!$B58,'Unique Asset List'!$A$4:$A$60,0),MATCH('2'!$C$1,'Unique Asset List'!$BU$3:$CA$3,0))</f>
        <v>0.3</v>
      </c>
      <c r="AG58" s="15">
        <f>INDEX('Unique Asset List'!$AZ$4:$BF$60,MATCH('2'!$B58,'Unique Asset List'!$A$4:$A$60,0),MATCH('2'!$C$1,'Unique Asset List'!$AZ$3:$BF$3,0))</f>
        <v>0.2</v>
      </c>
      <c r="AH58" s="15">
        <f>INDEX('Unique Asset List'!$BG$4:$BM$60,MATCH('2'!$B58,'Unique Asset List'!$A$4:$A$60,0),MATCH('2'!$C$1,'Unique Asset List'!$BG$3:$BM$3,0))</f>
        <v>0.3</v>
      </c>
      <c r="AI58" s="11">
        <v>0.96187963349867744</v>
      </c>
      <c r="AJ58" s="15">
        <f>INDEX('Unique Asset List'!$AL$4:$AR$60,MATCH('2'!$B58,'Unique Asset List'!$A$4:$A$60,0),MATCH('2'!$C$1,'Unique Asset List'!$AL$3:$AR$3,0))</f>
        <v>2.2612105538192599</v>
      </c>
      <c r="AK58" s="15">
        <f>INDEX('Unique Asset List'!$AS$4:$AY$60,MATCH('2'!$B58,'Unique Asset List'!$A$4:$A$60,0),MATCH('2'!$C$1,'Unique Asset List'!$AS$3:$AY$3,0))</f>
        <v>-1.7475682675103321</v>
      </c>
      <c r="AL58" s="9">
        <v>169</v>
      </c>
      <c r="AM58" s="14">
        <f>INDEX(Simulation!$B$6:$H$6,MATCH($A58,Simulation!$B$1:$H$1,0))*(1+AN58)^((DATE(X58,Y58,15)-DATE(2017,1,15))/365.5)</f>
        <v>3.5</v>
      </c>
      <c r="AN58" s="12">
        <v>0</v>
      </c>
      <c r="AO58" s="13">
        <v>0.1</v>
      </c>
      <c r="AP58" s="11">
        <v>0.82</v>
      </c>
      <c r="AQ58" s="12">
        <v>0</v>
      </c>
      <c r="AR58" s="11">
        <f t="shared" si="9"/>
        <v>0.82</v>
      </c>
      <c r="AS58" s="10">
        <v>1</v>
      </c>
      <c r="AT58" s="4">
        <f>IF($C$5="ON",BT58,MyRating(_E1,$B58,Efficacy!$F$1))</f>
        <v>0</v>
      </c>
      <c r="AU58" s="3">
        <f>IF($C$5="ON",BU58,MyRating(_E2,$B58,Efficacy!$F$1))</f>
        <v>0</v>
      </c>
      <c r="AV58" s="3">
        <f>IF($C$5="ON",BV58,MyRating(_E3,$B58,Efficacy!$F$1))</f>
        <v>0</v>
      </c>
      <c r="AW58" s="3">
        <f>IF($C$5="ON",BW58,MyRating(_E4,$B58,Efficacy!$F$1))</f>
        <v>0</v>
      </c>
      <c r="AX58" s="3">
        <f>IF($C$5="ON",BX58,MyRating(_E5,$B58,Efficacy!$F$1))</f>
        <v>0</v>
      </c>
      <c r="AY58" s="3">
        <f>IF($C$5="ON",BY58,MyRating(_E6,$B58,Efficacy!$F$1))</f>
        <v>0</v>
      </c>
      <c r="AZ58" s="3">
        <f>IF($C$5="ON",BZ58,MyRating(_E7,$B58,Efficacy!$F$1))</f>
        <v>0</v>
      </c>
      <c r="BA58" s="3">
        <f>IF($C$5="ON",CA58,MyRating(_E8,$B58,Efficacy!$F$1))</f>
        <v>0</v>
      </c>
      <c r="BB58" s="3">
        <f>IF($C$5="ON",CB58,MyRating(_S1,$B58,'S&amp;T'!$F$1))</f>
        <v>0</v>
      </c>
      <c r="BC58" s="3">
        <f>IF($C$5="ON",CC58,MyRating(_S2,$B58,'S&amp;T'!$F$1))</f>
        <v>0</v>
      </c>
      <c r="BD58" s="3">
        <f>IF($C$5="ON",CD58,MyRating(_S3,$B58,'S&amp;T'!$F$1))</f>
        <v>0</v>
      </c>
      <c r="BE58" s="3">
        <f>IF($C$5="ON",CE58,MyRating(_S4,$B58,'S&amp;T'!$F$1))</f>
        <v>0</v>
      </c>
      <c r="BF58" s="3">
        <f>IF($C$5="ON",CF58,MyRating(_S5,$B58,'S&amp;T'!$F$1))</f>
        <v>0</v>
      </c>
      <c r="BG58" s="3">
        <f>IF($C$5="ON",CG58,MyRating(_S6,$B58,'S&amp;T'!$F$1))</f>
        <v>0</v>
      </c>
      <c r="BH58" s="3">
        <f>IF($C$5="ON",CH58,MyRating(_S7,$B58,'S&amp;T'!$F$1))</f>
        <v>0</v>
      </c>
      <c r="BI58" s="3">
        <f>IF($C$5="ON",CI58,MyRating(_D1,$B58,Delivery!$F$1))</f>
        <v>0</v>
      </c>
      <c r="BJ58" s="3">
        <f>IF($C$5="ON",CJ58,MyRating(_D2,$B58,Delivery!$F$1))</f>
        <v>0</v>
      </c>
      <c r="BK58" s="3">
        <f>IF($C$5="ON",CK58,MyRating(_D3,$B58,Delivery!$F$1))</f>
        <v>0</v>
      </c>
      <c r="BL58" s="3">
        <f>IF($C$5="ON",CL58,MyRating(_D4,$B58,Delivery!$F$1))</f>
        <v>0</v>
      </c>
      <c r="BM58" s="3">
        <f>IF($C$5="ON",CM58,MyRating(_B1G5,$B58,Barrier!$L$2))</f>
        <v>0</v>
      </c>
      <c r="BN58" s="3">
        <f>IF($C$5="ON",CN58,MyRating(_B2,$B58,Barrier!$F$2))</f>
        <v>0</v>
      </c>
      <c r="BO58" s="6">
        <f>IF($C$5="ON",CO58,MyRating(_B3,$B58,Barrier!$F$2))</f>
        <v>0</v>
      </c>
      <c r="BP58" s="5">
        <f t="shared" si="10"/>
        <v>0</v>
      </c>
      <c r="BQ58" s="8">
        <f t="shared" si="11"/>
        <v>0</v>
      </c>
      <c r="BR58" s="5">
        <f t="shared" si="12"/>
        <v>0</v>
      </c>
      <c r="BS58" s="7">
        <f t="shared" si="13"/>
        <v>0</v>
      </c>
      <c r="BT58" s="4">
        <v>0</v>
      </c>
      <c r="BU58" s="3">
        <v>0</v>
      </c>
      <c r="BV58" s="3">
        <v>0</v>
      </c>
      <c r="BW58" s="3">
        <v>0</v>
      </c>
      <c r="BX58" s="3">
        <v>0</v>
      </c>
      <c r="BY58" s="3">
        <v>0</v>
      </c>
      <c r="BZ58" s="3">
        <v>0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6">
        <v>0</v>
      </c>
      <c r="CP58" s="5">
        <v>0</v>
      </c>
    </row>
  </sheetData>
  <mergeCells count="7">
    <mergeCell ref="T4:W4"/>
    <mergeCell ref="T3:W3"/>
    <mergeCell ref="F1:I1"/>
    <mergeCell ref="J1:S1"/>
    <mergeCell ref="A1:B1"/>
    <mergeCell ref="T1:W1"/>
    <mergeCell ref="T2:W2"/>
  </mergeCells>
  <dataValidations count="3">
    <dataValidation type="list" allowBlank="1" showInputMessage="1" showErrorMessage="1" sqref="C5" xr:uid="{00000000-0002-0000-0100-000002000000}">
      <formula1>"ON,OFF"</formula1>
    </dataValidation>
    <dataValidation type="list" allowBlank="1" showInputMessage="1" showErrorMessage="1" sqref="C1" xr:uid="{00000000-0002-0000-0100-000001000000}">
      <formula1>"US,FR,DE,ES,IT,UK,JP"</formula1>
    </dataValidation>
    <dataValidation type="list" allowBlank="1" showInputMessage="1" showErrorMessage="1" sqref="J1:S1" xr:uid="{00000000-0002-0000-0100-000000000000}">
      <formula1>$J$8:$S$8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E4FB5-0927-433E-BCA1-B3B3B6C991D4}">
  <sheetPr codeName="Sheet1">
    <outlinePr summaryBelow="0" summaryRight="0"/>
  </sheetPr>
  <dimension ref="A1:DN58"/>
  <sheetViews>
    <sheetView tabSelected="1" zoomScale="67" zoomScaleNormal="67" workbookViewId="0">
      <pane xSplit="2" ySplit="8" topLeftCell="C9" activePane="bottomRight" state="frozen"/>
      <selection activeCell="B17" sqref="B17"/>
      <selection pane="topRight" activeCell="B17" sqref="B17"/>
      <selection pane="bottomLeft" activeCell="B17" sqref="B17"/>
      <selection pane="bottomRight" activeCell="V16" sqref="V16"/>
    </sheetView>
  </sheetViews>
  <sheetFormatPr defaultRowHeight="14.5" x14ac:dyDescent="0.35"/>
  <cols>
    <col min="1" max="1" width="6.81640625" customWidth="1"/>
    <col min="2" max="2" width="24.26953125" bestFit="1" customWidth="1"/>
    <col min="3" max="3" width="4.453125" bestFit="1" customWidth="1"/>
    <col min="4" max="4" width="11.453125" bestFit="1" customWidth="1"/>
    <col min="5" max="5" width="8.26953125" bestFit="1" customWidth="1"/>
    <col min="6" max="6" width="8.453125" bestFit="1" customWidth="1"/>
    <col min="7" max="7" width="5.1796875" customWidth="1"/>
    <col min="8" max="8" width="4.453125" bestFit="1" customWidth="1"/>
    <col min="9" max="9" width="4" bestFit="1" customWidth="1"/>
    <col min="10" max="10" width="4.81640625" bestFit="1" customWidth="1"/>
    <col min="11" max="19" width="5.1796875" customWidth="1"/>
    <col min="20" max="20" width="17.1796875" bestFit="1" customWidth="1"/>
    <col min="21" max="21" width="7.1796875" bestFit="1" customWidth="1"/>
    <col min="22" max="22" width="4.81640625" bestFit="1" customWidth="1"/>
    <col min="23" max="23" width="8.7265625" bestFit="1" customWidth="1"/>
    <col min="24" max="24" width="4.81640625" bestFit="1" customWidth="1"/>
    <col min="25" max="25" width="3.1796875" bestFit="1" customWidth="1"/>
    <col min="26" max="27" width="5" bestFit="1" customWidth="1"/>
    <col min="28" max="28" width="3.7265625" bestFit="1" customWidth="1"/>
    <col min="29" max="30" width="5" bestFit="1" customWidth="1"/>
    <col min="31" max="34" width="4" bestFit="1" customWidth="1"/>
    <col min="35" max="35" width="4.7265625" customWidth="1"/>
    <col min="36" max="36" width="4" style="2" bestFit="1" customWidth="1"/>
    <col min="37" max="37" width="5.7265625" style="2" bestFit="1" customWidth="1"/>
    <col min="38" max="39" width="4.81640625" style="2" bestFit="1" customWidth="1"/>
    <col min="40" max="40" width="5.26953125" bestFit="1" customWidth="1"/>
    <col min="41" max="41" width="5.36328125" style="2" bestFit="1" customWidth="1"/>
    <col min="42" max="42" width="5.26953125" bestFit="1" customWidth="1"/>
    <col min="43" max="43" width="4.54296875" customWidth="1"/>
    <col min="44" max="44" width="3.54296875" bestFit="1" customWidth="1"/>
    <col min="45" max="45" width="3.81640625" bestFit="1" customWidth="1"/>
    <col min="46" max="46" width="4.54296875" bestFit="1" customWidth="1"/>
    <col min="47" max="62" width="3.54296875" bestFit="1" customWidth="1"/>
    <col min="63" max="65" width="4.26953125" customWidth="1"/>
    <col min="66" max="69" width="7.7265625" style="1" bestFit="1" customWidth="1"/>
    <col min="70" max="70" width="4.81640625" bestFit="1" customWidth="1"/>
    <col min="71" max="71" width="4.453125" bestFit="1" customWidth="1"/>
    <col min="72" max="72" width="4.54296875" bestFit="1" customWidth="1"/>
    <col min="73" max="89" width="3.54296875" bestFit="1" customWidth="1"/>
    <col min="90" max="91" width="4.54296875" bestFit="1" customWidth="1"/>
    <col min="92" max="92" width="5.1796875" style="1" bestFit="1" customWidth="1"/>
  </cols>
  <sheetData>
    <row r="1" spans="1:118" x14ac:dyDescent="0.35">
      <c r="A1" s="177" t="s">
        <v>187</v>
      </c>
      <c r="B1" s="179"/>
      <c r="C1" s="58" t="s">
        <v>5</v>
      </c>
      <c r="D1" s="57"/>
      <c r="E1" s="57"/>
      <c r="F1" s="177" t="s">
        <v>186</v>
      </c>
      <c r="G1" s="178"/>
      <c r="H1" s="178"/>
      <c r="I1" s="178"/>
      <c r="J1" s="180" t="s">
        <v>202</v>
      </c>
      <c r="K1" s="181"/>
      <c r="L1" s="181"/>
      <c r="M1" s="181"/>
      <c r="N1" s="181"/>
      <c r="O1" s="181"/>
      <c r="P1" s="181"/>
      <c r="Q1" s="181"/>
      <c r="R1" s="181"/>
      <c r="S1" s="182"/>
      <c r="T1" s="177" t="s">
        <v>185</v>
      </c>
      <c r="U1" s="178"/>
      <c r="V1" s="178"/>
      <c r="W1" s="179"/>
      <c r="X1" s="49">
        <v>3</v>
      </c>
      <c r="AJ1"/>
      <c r="AK1"/>
      <c r="AL1"/>
      <c r="AM1"/>
      <c r="AO1"/>
      <c r="BO1" s="37"/>
    </row>
    <row r="2" spans="1:118" x14ac:dyDescent="0.35">
      <c r="B2" t="s">
        <v>178</v>
      </c>
      <c r="C2" s="50">
        <v>3</v>
      </c>
      <c r="F2" s="177" t="s">
        <v>177</v>
      </c>
      <c r="G2" s="178"/>
      <c r="H2" s="178"/>
      <c r="I2" s="178"/>
      <c r="J2" s="53" t="s">
        <v>176</v>
      </c>
      <c r="K2" s="9">
        <v>2014</v>
      </c>
      <c r="L2" s="53" t="s">
        <v>175</v>
      </c>
      <c r="M2" s="9">
        <v>6</v>
      </c>
      <c r="T2" s="177" t="s">
        <v>174</v>
      </c>
      <c r="U2" s="178"/>
      <c r="V2" s="178"/>
      <c r="W2" s="179"/>
      <c r="X2" s="49">
        <v>0.2</v>
      </c>
      <c r="AJ2"/>
      <c r="AK2"/>
      <c r="AL2"/>
      <c r="AM2"/>
      <c r="AO2"/>
      <c r="BO2" s="37"/>
    </row>
    <row r="3" spans="1:118" x14ac:dyDescent="0.35">
      <c r="B3" t="s">
        <v>172</v>
      </c>
      <c r="C3" s="50">
        <v>2</v>
      </c>
      <c r="T3" s="177" t="s">
        <v>171</v>
      </c>
      <c r="U3" s="178"/>
      <c r="V3" s="178"/>
      <c r="W3" s="179"/>
      <c r="X3" s="49">
        <v>-0.5</v>
      </c>
      <c r="AJ3"/>
      <c r="AK3"/>
      <c r="AL3"/>
      <c r="AM3"/>
      <c r="AO3"/>
      <c r="BO3" s="37"/>
    </row>
    <row r="4" spans="1:118" x14ac:dyDescent="0.35">
      <c r="B4" t="s">
        <v>169</v>
      </c>
      <c r="C4" s="47">
        <v>0.01</v>
      </c>
      <c r="T4" s="177" t="s">
        <v>168</v>
      </c>
      <c r="U4" s="178"/>
      <c r="V4" s="178"/>
      <c r="W4" s="179"/>
      <c r="X4" s="49">
        <v>1.2</v>
      </c>
      <c r="AJ4"/>
      <c r="AK4"/>
      <c r="AL4"/>
      <c r="AM4"/>
      <c r="AO4"/>
      <c r="BO4" s="37"/>
    </row>
    <row r="5" spans="1:118" x14ac:dyDescent="0.35">
      <c r="B5" t="s">
        <v>166</v>
      </c>
      <c r="C5" s="47" t="s">
        <v>165</v>
      </c>
      <c r="D5" s="46"/>
      <c r="U5" s="45"/>
      <c r="V5" s="44"/>
      <c r="AJ5"/>
      <c r="AK5"/>
      <c r="AL5"/>
      <c r="AM5"/>
      <c r="AO5"/>
      <c r="BO5" s="37"/>
    </row>
    <row r="6" spans="1:118" x14ac:dyDescent="0.35">
      <c r="AJ6"/>
      <c r="AK6"/>
      <c r="AL6"/>
      <c r="AM6"/>
      <c r="AO6"/>
      <c r="BO6" s="37"/>
    </row>
    <row r="7" spans="1:118" x14ac:dyDescent="0.35">
      <c r="AJ7"/>
      <c r="AK7"/>
      <c r="AL7"/>
      <c r="AM7"/>
      <c r="AO7"/>
      <c r="AT7" s="29">
        <f>IF($C$5="ON",BT7,INDEX(Conjoint!$F$9:$F$33,MATCH(AV8,Conjoint!$B$9:$B$33,0)))</f>
        <v>9.5090400000000005E-2</v>
      </c>
      <c r="AU7" s="29">
        <f>IF($C$5="ON",BU7,INDEX(Conjoint!$F$9:$F$33,MATCH(AW8,Conjoint!$B$9:$B$33,0)))</f>
        <v>8.2614000000000007E-2</v>
      </c>
      <c r="AV7" s="29">
        <f>IF($C$5="ON",BV7,INDEX(Conjoint!$F$9:$F$33,MATCH(AX8,Conjoint!$B$9:$B$33,0)))</f>
        <v>6.1089400000000009E-2</v>
      </c>
      <c r="AW7" s="29">
        <f>IF($C$5="ON",BW7,INDEX(Conjoint!$F$9:$F$33,MATCH(AY8,Conjoint!$B$9:$B$33,0)))</f>
        <v>5.8054600000000005E-2</v>
      </c>
      <c r="AX7" s="29">
        <f>IF($C$5="ON",BX7,INDEX(Conjoint!$F$9:$F$33,MATCH(AZ8,Conjoint!$B$9:$B$33,0)))</f>
        <v>3.8047400000000002E-2</v>
      </c>
      <c r="AY7" s="29">
        <f>IF($C$5="ON",BY7,INDEX(Conjoint!$F$9:$F$33,MATCH(BA8,Conjoint!$B$9:$B$33,0)))</f>
        <v>6.1820000000000007E-2</v>
      </c>
      <c r="AZ7" s="29">
        <f>IF($C$5="ON",BZ7,INDEX(Conjoint!$F$9:$F$33,MATCH(BB8,Conjoint!$B$9:$B$33,0)))</f>
        <v>6.1469900000000001E-2</v>
      </c>
      <c r="BA7" s="29">
        <f>IF($C$5="ON",CA7,INDEX(Conjoint!$F$9:$F$33,MATCH(BC8,Conjoint!$B$9:$B$33,0)))</f>
        <v>2.4572900000000002E-2</v>
      </c>
      <c r="BB7" s="29">
        <f>IF($C$5="ON",CB7,INDEX(Conjoint!$F$9:$F$33,MATCH(BD8,Conjoint!$B$9:$B$33,0)))</f>
        <v>3.06471E-2</v>
      </c>
      <c r="BC7" s="29">
        <f>IF($C$5="ON",CC7,INDEX(Conjoint!$F$9:$F$33,MATCH(BE8,Conjoint!$B$9:$B$33,0)))</f>
        <v>3.4964300000000004E-2</v>
      </c>
      <c r="BD7" s="29">
        <f>IF($C$5="ON",CD7,INDEX(Conjoint!$F$9:$F$33,MATCH(BF8,Conjoint!$B$9:$B$33,0)))</f>
        <v>4.6008299999999995E-2</v>
      </c>
      <c r="BE7" s="29">
        <f>IF($C$5="ON",CE7,INDEX(Conjoint!$F$9:$F$33,MATCH(BG8,Conjoint!$B$9:$B$33,0)))</f>
        <v>2.14354E-2</v>
      </c>
      <c r="BF7" s="29">
        <f>IF($C$5="ON",CF7,INDEX(Conjoint!$F$9:$F$33,MATCH(BH8,Conjoint!$B$9:$B$33,0)))</f>
        <v>3.1877000000000003E-2</v>
      </c>
      <c r="BG7" s="29">
        <f>IF($C$5="ON",CG7,INDEX(Conjoint!$F$9:$F$33,MATCH(BI8,Conjoint!$B$9:$B$33,0)))</f>
        <v>5.9704054739999991E-2</v>
      </c>
      <c r="BH7" s="29">
        <f>IF($C$5="ON",CH7,INDEX(Conjoint!$F$9:$F$33,MATCH(BJ8,Conjoint!$B$9:$B$33,0)))</f>
        <v>4.0027204139999994E-2</v>
      </c>
      <c r="BI7" s="29">
        <f>IF($C$5="ON",CI7,INDEX(Conjoint!$F$9:$F$33,MATCH(BK8,Conjoint!$B$9:$B$33,0)))</f>
        <v>3.2328141120000001E-2</v>
      </c>
      <c r="BJ7" s="29">
        <f>IF($C$5="ON",CJ7,INDEX(Conjoint!$F$9:$F$33,MATCH(BL8,Conjoint!$B$9:$B$33,0)))</f>
        <v>5.4940599999999999E-2</v>
      </c>
      <c r="BK7" s="29">
        <f>IF($C$5="ON",CK7,INDEX(Conjoint!$F$9:$F$37,MATCH(BM8,Conjoint!$B$9:$B$37,0)))</f>
        <v>0.05</v>
      </c>
      <c r="BL7" s="29">
        <f>IF($C$5="ON",CL7,INDEX(Conjoint!$F$9:$F$37,MATCH(BN8,Conjoint!$B$9:$B$37,0)))</f>
        <v>0.47499999999999998</v>
      </c>
      <c r="BM7" s="29">
        <f>IF($C$5="ON",CM7,INDEX(Conjoint!$F$9:$F$37,MATCH(BO8,Conjoint!$B$9:$B$37,0)))</f>
        <v>0.47499999999999998</v>
      </c>
      <c r="BN7" s="33">
        <f>MAX(BP9:BP58)</f>
        <v>3.4276163423804913E-2</v>
      </c>
      <c r="BO7" s="36">
        <f>SUM(BQ9:BQ58)</f>
        <v>92.024999999999991</v>
      </c>
      <c r="BP7" s="35"/>
      <c r="BQ7" s="34">
        <f>SUM(BS9:BS58)</f>
        <v>0.49883260969469906</v>
      </c>
      <c r="BR7" s="29">
        <v>8.4581000000000003E-2</v>
      </c>
      <c r="BS7" s="29">
        <v>8.0703200000000017E-2</v>
      </c>
      <c r="BT7" s="29">
        <v>9.5090400000000005E-2</v>
      </c>
      <c r="BU7" s="29">
        <v>8.2614000000000007E-2</v>
      </c>
      <c r="BV7" s="29">
        <v>6.1089400000000009E-2</v>
      </c>
      <c r="BW7" s="29">
        <v>5.8054600000000005E-2</v>
      </c>
      <c r="BX7" s="29">
        <v>3.8047400000000002E-2</v>
      </c>
      <c r="BY7" s="29">
        <v>6.1820000000000007E-2</v>
      </c>
      <c r="BZ7" s="29">
        <v>6.1469900000000001E-2</v>
      </c>
      <c r="CA7" s="29">
        <v>2.4572900000000002E-2</v>
      </c>
      <c r="CB7" s="29">
        <v>3.06471E-2</v>
      </c>
      <c r="CC7" s="29">
        <v>3.4964300000000004E-2</v>
      </c>
      <c r="CD7" s="29">
        <v>4.6008299999999995E-2</v>
      </c>
      <c r="CE7" s="29">
        <v>2.14354E-2</v>
      </c>
      <c r="CF7" s="29">
        <v>3.1877000000000003E-2</v>
      </c>
      <c r="CG7" s="29">
        <v>5.9704054739999991E-2</v>
      </c>
      <c r="CH7" s="29">
        <v>4.0027204139999994E-2</v>
      </c>
      <c r="CI7" s="29">
        <v>3.2328141120000001E-2</v>
      </c>
      <c r="CJ7" s="29">
        <v>5.4940599999999999E-2</v>
      </c>
      <c r="CK7" s="29">
        <v>0.05</v>
      </c>
      <c r="CL7" s="29">
        <v>0.47499999999999998</v>
      </c>
      <c r="CM7" s="28">
        <v>0.47499999999999998</v>
      </c>
      <c r="CN7" s="33">
        <v>3.4276163423804913E-2</v>
      </c>
      <c r="CO7" s="36">
        <v>92.024999999999991</v>
      </c>
    </row>
    <row r="8" spans="1:118" ht="104.25" customHeight="1" x14ac:dyDescent="0.35">
      <c r="A8" s="30" t="s">
        <v>162</v>
      </c>
      <c r="B8" s="30" t="s">
        <v>161</v>
      </c>
      <c r="C8" s="31" t="s">
        <v>160</v>
      </c>
      <c r="D8" s="31" t="s">
        <v>159</v>
      </c>
      <c r="E8" s="31" t="s">
        <v>158</v>
      </c>
      <c r="F8" s="31" t="s">
        <v>157</v>
      </c>
      <c r="G8" s="31" t="s">
        <v>156</v>
      </c>
      <c r="H8" s="31" t="s">
        <v>155</v>
      </c>
      <c r="I8" s="31" t="s">
        <v>154</v>
      </c>
      <c r="J8" s="32" t="s">
        <v>206</v>
      </c>
      <c r="K8" s="32" t="s">
        <v>205</v>
      </c>
      <c r="L8" s="32" t="s">
        <v>153</v>
      </c>
      <c r="M8" s="32" t="s">
        <v>204</v>
      </c>
      <c r="N8" s="32" t="s">
        <v>203</v>
      </c>
      <c r="O8" s="32" t="s">
        <v>202</v>
      </c>
      <c r="P8" s="32" t="s">
        <v>201</v>
      </c>
      <c r="Q8" s="32" t="s">
        <v>200</v>
      </c>
      <c r="R8" s="32" t="s">
        <v>152</v>
      </c>
      <c r="S8" s="32" t="s">
        <v>151</v>
      </c>
      <c r="T8" s="31" t="s">
        <v>150</v>
      </c>
      <c r="U8" s="31" t="s">
        <v>199</v>
      </c>
      <c r="V8" s="31" t="s">
        <v>198</v>
      </c>
      <c r="W8" s="31" t="s">
        <v>149</v>
      </c>
      <c r="X8" s="31" t="s">
        <v>148</v>
      </c>
      <c r="Y8" s="31" t="s">
        <v>147</v>
      </c>
      <c r="Z8" s="31" t="s">
        <v>146</v>
      </c>
      <c r="AA8" s="31" t="s">
        <v>145</v>
      </c>
      <c r="AB8" s="31" t="s">
        <v>144</v>
      </c>
      <c r="AC8" s="31" t="s">
        <v>143</v>
      </c>
      <c r="AD8" s="31" t="s">
        <v>142</v>
      </c>
      <c r="AE8" s="31" t="s">
        <v>141</v>
      </c>
      <c r="AF8" s="31" t="s">
        <v>140</v>
      </c>
      <c r="AG8" s="31" t="s">
        <v>139</v>
      </c>
      <c r="AH8" s="31" t="s">
        <v>138</v>
      </c>
      <c r="AI8" s="31" t="s">
        <v>137</v>
      </c>
      <c r="AJ8" s="31" t="s">
        <v>136</v>
      </c>
      <c r="AK8" s="31" t="s">
        <v>135</v>
      </c>
      <c r="AL8" s="31" t="s">
        <v>134</v>
      </c>
      <c r="AM8" s="31" t="s">
        <v>133</v>
      </c>
      <c r="AN8" s="31" t="s">
        <v>132</v>
      </c>
      <c r="AO8" s="31" t="s">
        <v>131</v>
      </c>
      <c r="AP8" s="31" t="s">
        <v>130</v>
      </c>
      <c r="AQ8" s="31" t="s">
        <v>129</v>
      </c>
      <c r="AR8" s="31" t="s">
        <v>128</v>
      </c>
      <c r="AS8" s="31" t="s">
        <v>127</v>
      </c>
      <c r="AT8" s="26" t="s">
        <v>119</v>
      </c>
      <c r="AU8" s="25" t="s">
        <v>118</v>
      </c>
      <c r="AV8" s="25" t="s">
        <v>117</v>
      </c>
      <c r="AW8" s="25" t="s">
        <v>116</v>
      </c>
      <c r="AX8" s="25" t="s">
        <v>115</v>
      </c>
      <c r="AY8" s="25" t="s">
        <v>114</v>
      </c>
      <c r="AZ8" s="25" t="s">
        <v>113</v>
      </c>
      <c r="BA8" s="25" t="s">
        <v>112</v>
      </c>
      <c r="BB8" s="25" t="s">
        <v>111</v>
      </c>
      <c r="BC8" s="25" t="s">
        <v>110</v>
      </c>
      <c r="BD8" s="25" t="s">
        <v>109</v>
      </c>
      <c r="BE8" s="25" t="s">
        <v>108</v>
      </c>
      <c r="BF8" s="25" t="s">
        <v>107</v>
      </c>
      <c r="BG8" s="25" t="s">
        <v>106</v>
      </c>
      <c r="BH8" s="25" t="s">
        <v>105</v>
      </c>
      <c r="BI8" s="25" t="s">
        <v>104</v>
      </c>
      <c r="BJ8" s="25" t="s">
        <v>103</v>
      </c>
      <c r="BK8" s="25" t="s">
        <v>102</v>
      </c>
      <c r="BL8" s="25" t="s">
        <v>101</v>
      </c>
      <c r="BM8" s="29" t="s">
        <v>123</v>
      </c>
      <c r="BN8" s="29" t="s">
        <v>122</v>
      </c>
      <c r="BO8" s="28" t="s">
        <v>121</v>
      </c>
      <c r="BP8" s="27" t="s">
        <v>120</v>
      </c>
      <c r="BQ8" s="27" t="s">
        <v>126</v>
      </c>
      <c r="BR8" s="27" t="s">
        <v>125</v>
      </c>
      <c r="BS8" s="27" t="s">
        <v>124</v>
      </c>
      <c r="BT8" s="26" t="s">
        <v>119</v>
      </c>
      <c r="BU8" s="25" t="s">
        <v>118</v>
      </c>
      <c r="BV8" s="25" t="s">
        <v>117</v>
      </c>
      <c r="BW8" s="25" t="s">
        <v>116</v>
      </c>
      <c r="BX8" s="25" t="s">
        <v>115</v>
      </c>
      <c r="BY8" s="25" t="s">
        <v>114</v>
      </c>
      <c r="BZ8" s="25" t="s">
        <v>113</v>
      </c>
      <c r="CA8" s="25" t="s">
        <v>112</v>
      </c>
      <c r="CB8" s="25" t="s">
        <v>111</v>
      </c>
      <c r="CC8" s="25" t="s">
        <v>110</v>
      </c>
      <c r="CD8" s="25" t="s">
        <v>109</v>
      </c>
      <c r="CE8" s="25" t="s">
        <v>108</v>
      </c>
      <c r="CF8" s="25" t="s">
        <v>107</v>
      </c>
      <c r="CG8" s="25" t="s">
        <v>106</v>
      </c>
      <c r="CH8" s="25" t="s">
        <v>105</v>
      </c>
      <c r="CI8" s="25" t="s">
        <v>104</v>
      </c>
      <c r="CJ8" s="25" t="s">
        <v>103</v>
      </c>
      <c r="CK8" s="25" t="s">
        <v>102</v>
      </c>
      <c r="CL8" s="25" t="s">
        <v>101</v>
      </c>
      <c r="CM8" s="29" t="s">
        <v>123</v>
      </c>
      <c r="CN8" s="29" t="s">
        <v>122</v>
      </c>
      <c r="CO8" s="28" t="s">
        <v>121</v>
      </c>
      <c r="CP8" s="27"/>
      <c r="CQ8" s="26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</row>
    <row r="9" spans="1:118" x14ac:dyDescent="0.35">
      <c r="A9" s="9" t="s">
        <v>5</v>
      </c>
      <c r="B9" s="9" t="s">
        <v>100</v>
      </c>
      <c r="C9" s="20"/>
      <c r="D9" s="9" t="s">
        <v>93</v>
      </c>
      <c r="E9" s="9"/>
      <c r="F9" s="9" t="s">
        <v>47</v>
      </c>
      <c r="G9" s="19">
        <v>0.156</v>
      </c>
      <c r="H9" s="9">
        <v>2014</v>
      </c>
      <c r="I9" s="9">
        <v>6</v>
      </c>
      <c r="J9" s="18">
        <f>INDEX(PTRS!$D$6:$D$12,MATCH('1'!$F9,PTRS!$B$6:$B$12,0))</f>
        <v>1</v>
      </c>
      <c r="K9" s="17">
        <v>1</v>
      </c>
      <c r="L9" s="17">
        <v>1</v>
      </c>
      <c r="M9" s="17">
        <f t="shared" ref="M9:M15" si="0">J9</f>
        <v>1</v>
      </c>
      <c r="N9" s="17">
        <f t="shared" ref="N9:N15" si="1">IF(D9="Janssen",M9,J9)</f>
        <v>1</v>
      </c>
      <c r="O9" s="17">
        <v>1</v>
      </c>
      <c r="P9" s="17">
        <v>1</v>
      </c>
      <c r="Q9" s="17">
        <f t="shared" ref="Q9:Q53" si="2">IF(O9&gt;=0.5,1,0)</f>
        <v>1</v>
      </c>
      <c r="R9" s="17">
        <v>1</v>
      </c>
      <c r="S9" s="17">
        <v>1</v>
      </c>
      <c r="T9" s="17"/>
      <c r="U9" s="17">
        <f t="shared" ref="U9:U42" si="3">BP9/$BN$7</f>
        <v>1</v>
      </c>
      <c r="V9" s="17">
        <v>1</v>
      </c>
      <c r="W9" s="9" t="s">
        <v>54</v>
      </c>
      <c r="X9" s="9">
        <f>INDEX('Unique Asset List'!$C$4:$I$60,MATCH('1'!$B9,'Unique Asset List'!$A$4:$A$60,0),MATCH('1'!$C$1,'Unique Asset List'!$C$3:$I$3,0))</f>
        <v>2007</v>
      </c>
      <c r="Y9" s="9">
        <f>INDEX('Unique Asset List'!$J$4:$P$60,MATCH('1'!$B9,'Unique Asset List'!$A$4:$A$60,0),MATCH('1'!$C$1,'Unique Asset List'!$J$3:$P$3,0))</f>
        <v>11</v>
      </c>
      <c r="Z9" s="9">
        <f>INDEX('Unique Asset List'!$X$4:$AD$60,MATCH('1'!$B9,'Unique Asset List'!$A$4:$A$60,0),MATCH('1'!$C$1,'Unique Asset List'!$X$3:$AD$3,0))</f>
        <v>2015</v>
      </c>
      <c r="AA9" s="9">
        <f>INDEX('Unique Asset List'!$AE$4:$AK$60,MATCH('1'!$B9,'Unique Asset List'!$A$4:$A$60,0),MATCH('1'!$C$1,'Unique Asset List'!$AE$3:$AK$3,0))</f>
        <v>4</v>
      </c>
      <c r="AB9" s="16">
        <f>SUMPRODUCT($AT9:$BA9,$AT$7:$BA$7)</f>
        <v>1.4482758</v>
      </c>
      <c r="AC9" s="16">
        <f t="shared" ref="AC9:AC42" si="4">SUMPRODUCT($BB9:$BH9,$AZ$7:$BF$7)</f>
        <v>0.7529247</v>
      </c>
      <c r="AD9" s="16">
        <f t="shared" ref="AD9:AD42" si="5">SUMPRODUCT($BI9:$BL9,$BG$7:$BJ$7)</f>
        <v>0.56099999999999994</v>
      </c>
      <c r="AE9" s="15">
        <f>INDEX('Unique Asset List'!$BN$4:$BT$60,MATCH('1'!$B9,'Unique Asset List'!$A$4:$A$60,0),MATCH('1'!$C$1,'Unique Asset List'!$BN$3:$BT$3,0))</f>
        <v>0.15</v>
      </c>
      <c r="AF9" s="15">
        <f>INDEX('Unique Asset List'!$BU$4:$CA$60,MATCH('1'!$B9,'Unique Asset List'!$A$4:$A$60,0),MATCH('1'!$C$1,'Unique Asset List'!$BU$3:$CA$3,0))</f>
        <v>0.35</v>
      </c>
      <c r="AG9" s="15">
        <f>INDEX('Unique Asset List'!$AZ$4:$BF$60,MATCH('1'!$B9,'Unique Asset List'!$A$4:$A$60,0),MATCH('1'!$C$1,'Unique Asset List'!$AZ$3:$BF$3,0))</f>
        <v>0.15</v>
      </c>
      <c r="AH9" s="15">
        <f>INDEX('Unique Asset List'!$BG$4:$BM$60,MATCH('1'!$B9,'Unique Asset List'!$A$4:$A$60,0),MATCH('1'!$C$1,'Unique Asset List'!$BG$3:$BM$3,0))</f>
        <v>0.35</v>
      </c>
      <c r="AI9" s="11">
        <v>0.96187963349867744</v>
      </c>
      <c r="AJ9" s="15">
        <f>INDEX('Unique Asset List'!$AL$4:$AR$60,MATCH('1'!$B9,'Unique Asset List'!$A$4:$A$60,0),MATCH('1'!$C$1,'Unique Asset List'!$AL$3:$AR$3,0))</f>
        <v>1.2267192541321688</v>
      </c>
      <c r="AK9" s="15">
        <f>INDEX('Unique Asset List'!$AS$4:$AY$60,MATCH('1'!$B9,'Unique Asset List'!$A$4:$A$60,0),MATCH('1'!$C$1,'Unique Asset List'!$AS$3:$AY$3,0))</f>
        <v>11.984388276878477</v>
      </c>
      <c r="AL9" s="9">
        <v>160</v>
      </c>
      <c r="AM9" s="14">
        <f>INDEX(Simulation!$B$6:$H$6,MATCH($A9,Simulation!$B$1:$H$1,0))*(1+AN9)^((DATE(X9,Y9,15)-DATE(2017,1,15))/365.5)</f>
        <v>10.944500891088499</v>
      </c>
      <c r="AN9" s="12">
        <v>3.5000000000000003E-2</v>
      </c>
      <c r="AO9" s="13">
        <v>60</v>
      </c>
      <c r="AP9" s="11">
        <v>0.6</v>
      </c>
      <c r="AQ9" s="12">
        <v>-0.02</v>
      </c>
      <c r="AR9" s="11">
        <v>0.5</v>
      </c>
      <c r="AS9" s="10">
        <v>1</v>
      </c>
      <c r="AT9" s="4">
        <f>IF($C$5="ON",BT9,MyRating(_E1,$B9,Efficacy!$F$1))</f>
        <v>3</v>
      </c>
      <c r="AU9" s="3">
        <f>IF($C$5="ON",BU9,MyRating(_E2,$B9,Efficacy!$F$1))</f>
        <v>3</v>
      </c>
      <c r="AV9" s="3">
        <f>IF($C$5="ON",BV9,MyRating(_E3,$B9,Efficacy!$F$1))</f>
        <v>3</v>
      </c>
      <c r="AW9" s="3">
        <f>IF($C$5="ON",BW9,MyRating(_E4,$B9,Efficacy!$F$1))</f>
        <v>3</v>
      </c>
      <c r="AX9" s="3">
        <f>IF($C$5="ON",BX9,MyRating(_E5,$B9,Efficacy!$F$1))</f>
        <v>3</v>
      </c>
      <c r="AY9" s="3">
        <f>IF($C$5="ON",BY9,MyRating(_E6,$B9,Efficacy!$F$1))</f>
        <v>3</v>
      </c>
      <c r="AZ9" s="3">
        <f>IF($C$5="ON",BZ9,MyRating(_E7,$B9,Efficacy!$F$1))</f>
        <v>3</v>
      </c>
      <c r="BA9" s="3">
        <f>IF($C$5="ON",CA9,MyRating(_E8,$B9,Efficacy!$F$1))</f>
        <v>3</v>
      </c>
      <c r="BB9" s="3">
        <f>IF($C$5="ON",CB9,MyRating(_S1,$B9,Efficacy!$F$1))</f>
        <v>3</v>
      </c>
      <c r="BC9" s="3">
        <f>IF($C$5="ON",CC9,MyRating(_S2,$B9,Efficacy!$F$1))</f>
        <v>3</v>
      </c>
      <c r="BD9" s="3">
        <f>IF($C$5="ON",CD9,MyRating(_S3,$B9,Efficacy!$F$1))</f>
        <v>3</v>
      </c>
      <c r="BE9" s="3">
        <f>IF($C$5="ON",CE9,MyRating(_S4,$B9,Efficacy!$F$1))</f>
        <v>3</v>
      </c>
      <c r="BF9" s="3">
        <f>IF($C$5="ON",CF9,MyRating(_S5,$B9,Efficacy!$F$1))</f>
        <v>3</v>
      </c>
      <c r="BG9" s="3">
        <f>IF($C$5="ON",CG9,MyRating(_S6,$B9,Efficacy!$F$1))</f>
        <v>3</v>
      </c>
      <c r="BH9" s="3">
        <f>IF($C$5="ON",CH9,MyRating(_S7,$B9,Efficacy!$F$1))</f>
        <v>3</v>
      </c>
      <c r="BI9" s="3">
        <f>IF($C$5="ON",CI9,MyRating(_D1,$B9,Efficacy!$F$1))</f>
        <v>3</v>
      </c>
      <c r="BJ9" s="3">
        <f>IF($C$5="ON",CJ9,MyRating(_D2,$B9,Efficacy!$F$1))</f>
        <v>3</v>
      </c>
      <c r="BK9" s="3">
        <f>IF($C$5="ON",CK9,MyRating(_D3,$B9,Efficacy!$F$1))</f>
        <v>3</v>
      </c>
      <c r="BL9" s="3">
        <f>IF($C$5="ON",CL9,MyRating(_D4,$B9,Efficacy!$F$1))</f>
        <v>3</v>
      </c>
      <c r="BM9" s="3">
        <f>IF($C$5="ON",CM9,MyRating(_B1,$B9,Barrier!$F$2))</f>
        <v>5</v>
      </c>
      <c r="BN9" s="3">
        <f>IF($C$5="ON",CN9,MyRating(_B2,$B9,Barrier!$F$2))</f>
        <v>3</v>
      </c>
      <c r="BO9" s="6">
        <f>IF($C$5="ON",CO9,MyRating(_B3,$B9,Barrier!$F$2))</f>
        <v>3</v>
      </c>
      <c r="BP9" s="5">
        <f t="shared" ref="BP9:BP40" si="6">BS9/$BQ$7</f>
        <v>3.4276163423804913E-2</v>
      </c>
      <c r="BQ9" s="8">
        <f t="shared" ref="BQ9:BQ40" si="7">SUMPRODUCT($BM9:$BO9,$BK$7:$BM$7)</f>
        <v>3.0999999999999996</v>
      </c>
      <c r="BR9" s="5">
        <f t="shared" ref="BR9:BR40" si="8">BQ9/$BO$7</f>
        <v>3.3686498234175494E-2</v>
      </c>
      <c r="BS9" s="7">
        <f t="shared" ref="BS9:BS40" si="9">BR9^$X$4</f>
        <v>1.7098068051018597E-2</v>
      </c>
      <c r="BT9" s="4">
        <v>3</v>
      </c>
      <c r="BU9" s="3">
        <v>3</v>
      </c>
      <c r="BV9" s="3">
        <v>3</v>
      </c>
      <c r="BW9" s="3">
        <v>3</v>
      </c>
      <c r="BX9" s="3">
        <v>3</v>
      </c>
      <c r="BY9" s="3">
        <v>3</v>
      </c>
      <c r="BZ9" s="3">
        <v>3</v>
      </c>
      <c r="CA9" s="3">
        <v>3</v>
      </c>
      <c r="CB9" s="3">
        <v>3</v>
      </c>
      <c r="CC9" s="3">
        <v>3</v>
      </c>
      <c r="CD9" s="3">
        <v>3</v>
      </c>
      <c r="CE9" s="3">
        <v>3</v>
      </c>
      <c r="CF9" s="3">
        <v>3</v>
      </c>
      <c r="CG9" s="3">
        <v>3</v>
      </c>
      <c r="CH9" s="3">
        <v>3</v>
      </c>
      <c r="CI9" s="3">
        <v>3</v>
      </c>
      <c r="CJ9" s="3">
        <v>3</v>
      </c>
      <c r="CK9" s="3">
        <v>3</v>
      </c>
      <c r="CL9" s="3">
        <v>3</v>
      </c>
      <c r="CM9" s="3">
        <v>5</v>
      </c>
      <c r="CN9" s="3">
        <v>3</v>
      </c>
      <c r="CO9" s="6">
        <v>3</v>
      </c>
      <c r="CP9" s="5"/>
      <c r="CQ9" s="4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</row>
    <row r="10" spans="1:118" x14ac:dyDescent="0.35">
      <c r="A10" s="9" t="s">
        <v>5</v>
      </c>
      <c r="B10" s="9" t="s">
        <v>99</v>
      </c>
      <c r="C10" s="20"/>
      <c r="D10" s="9" t="s">
        <v>90</v>
      </c>
      <c r="E10" s="9"/>
      <c r="F10" s="9" t="s">
        <v>47</v>
      </c>
      <c r="G10" s="19">
        <v>0.10400000000000001</v>
      </c>
      <c r="H10" s="9">
        <v>2014</v>
      </c>
      <c r="I10" s="9">
        <v>6</v>
      </c>
      <c r="J10" s="18">
        <f>INDEX(PTRS!$D$6:$D$12,MATCH('1'!$F10,PTRS!$B$6:$B$12,0))</f>
        <v>1</v>
      </c>
      <c r="K10" s="17">
        <v>1</v>
      </c>
      <c r="L10" s="17">
        <v>1</v>
      </c>
      <c r="M10" s="17">
        <f t="shared" si="0"/>
        <v>1</v>
      </c>
      <c r="N10" s="17">
        <f t="shared" si="1"/>
        <v>1</v>
      </c>
      <c r="O10" s="17">
        <v>1</v>
      </c>
      <c r="P10" s="17">
        <v>1</v>
      </c>
      <c r="Q10" s="17">
        <f t="shared" si="2"/>
        <v>1</v>
      </c>
      <c r="R10" s="17">
        <v>1</v>
      </c>
      <c r="S10" s="17">
        <v>1</v>
      </c>
      <c r="T10" s="17"/>
      <c r="U10" s="17">
        <f t="shared" si="3"/>
        <v>1</v>
      </c>
      <c r="V10" s="17">
        <v>1</v>
      </c>
      <c r="W10" s="9" t="s">
        <v>54</v>
      </c>
      <c r="X10" s="9">
        <f>INDEX('Unique Asset List'!$C$4:$I$60,MATCH('1'!$B10,'Unique Asset List'!$A$4:$A$60,0),MATCH('1'!$C$1,'Unique Asset List'!$C$3:$I$3,0))</f>
        <v>2007</v>
      </c>
      <c r="Y10" s="9">
        <f>INDEX('Unique Asset List'!$J$4:$P$60,MATCH('1'!$B10,'Unique Asset List'!$A$4:$A$60,0),MATCH('1'!$C$1,'Unique Asset List'!$J$3:$P$3,0))</f>
        <v>9</v>
      </c>
      <c r="Z10" s="9">
        <f>INDEX('Unique Asset List'!$X$4:$AD$60,MATCH('1'!$B10,'Unique Asset List'!$A$4:$A$60,0),MATCH('1'!$C$1,'Unique Asset List'!$X$3:$AD$3,0))</f>
        <v>2012</v>
      </c>
      <c r="AA10" s="9">
        <f>INDEX('Unique Asset List'!$AE$4:$AK$60,MATCH('1'!$B10,'Unique Asset List'!$A$4:$A$60,0),MATCH('1'!$C$1,'Unique Asset List'!$AE$3:$AK$3,0))</f>
        <v>3</v>
      </c>
      <c r="AB10" s="16">
        <f t="shared" ref="AB10:AB42" si="10">SUMPRODUCT($AT10:$BA10,$AT$7:$BA$7)</f>
        <v>1.3901650000000001</v>
      </c>
      <c r="AC10" s="16">
        <f t="shared" si="4"/>
        <v>0.65777060000000009</v>
      </c>
      <c r="AD10" s="16">
        <f t="shared" si="5"/>
        <v>0.52097279586</v>
      </c>
      <c r="AE10" s="15">
        <f>INDEX('Unique Asset List'!$BN$4:$BT$60,MATCH('1'!$B10,'Unique Asset List'!$A$4:$A$60,0),MATCH('1'!$C$1,'Unique Asset List'!$BN$3:$BT$3,0))</f>
        <v>0.15</v>
      </c>
      <c r="AF10" s="15">
        <f>INDEX('Unique Asset List'!$BU$4:$CA$60,MATCH('1'!$B10,'Unique Asset List'!$A$4:$A$60,0),MATCH('1'!$C$1,'Unique Asset List'!$BU$3:$CA$3,0))</f>
        <v>0.35</v>
      </c>
      <c r="AG10" s="15">
        <f>INDEX('Unique Asset List'!$AZ$4:$BF$60,MATCH('1'!$B10,'Unique Asset List'!$A$4:$A$60,0),MATCH('1'!$C$1,'Unique Asset List'!$AZ$3:$BF$3,0))</f>
        <v>0.15</v>
      </c>
      <c r="AH10" s="15">
        <f>INDEX('Unique Asset List'!$BG$4:$BM$60,MATCH('1'!$B10,'Unique Asset List'!$A$4:$A$60,0),MATCH('1'!$C$1,'Unique Asset List'!$BG$3:$BM$3,0))</f>
        <v>0.35</v>
      </c>
      <c r="AI10" s="11">
        <v>0.96187963349867744</v>
      </c>
      <c r="AJ10" s="15">
        <f>INDEX('Unique Asset List'!$AL$4:$AR$60,MATCH('1'!$B10,'Unique Asset List'!$A$4:$A$60,0),MATCH('1'!$C$1,'Unique Asset List'!$AL$3:$AR$3,0))</f>
        <v>1.2267192541321688</v>
      </c>
      <c r="AK10" s="15">
        <f>INDEX('Unique Asset List'!$AS$4:$AY$60,MATCH('1'!$B10,'Unique Asset List'!$A$4:$A$60,0),MATCH('1'!$C$1,'Unique Asset List'!$AS$3:$AY$3,0))</f>
        <v>11.984388276878477</v>
      </c>
      <c r="AL10" s="9">
        <v>160</v>
      </c>
      <c r="AM10" s="14">
        <f>INDEX(Simulation!$B$6:$H$6,MATCH($A10,Simulation!$B$1:$H$1,0))*(1+AN10)^((DATE(X10,Y10,15)-DATE(2017,1,15))/365.5)</f>
        <v>10.881844015745001</v>
      </c>
      <c r="AN10" s="12">
        <v>3.5000000000000003E-2</v>
      </c>
      <c r="AO10" s="13">
        <v>60</v>
      </c>
      <c r="AP10" s="11">
        <v>0.6</v>
      </c>
      <c r="AQ10" s="12">
        <v>-0.02</v>
      </c>
      <c r="AR10" s="11">
        <v>0.5</v>
      </c>
      <c r="AS10" s="10">
        <v>1</v>
      </c>
      <c r="AT10" s="4">
        <f>IF($C$5="ON",BT10,MyRating(_E1,$B10,Efficacy!$F$1))</f>
        <v>3</v>
      </c>
      <c r="AU10" s="3">
        <f>IF($C$5="ON",BU10,MyRating(_E2,$B10,Efficacy!$F$1))</f>
        <v>2</v>
      </c>
      <c r="AV10" s="3">
        <f>IF($C$5="ON",BV10,MyRating(_E3,$B10,Efficacy!$F$1))</f>
        <v>2</v>
      </c>
      <c r="AW10" s="3">
        <f>IF($C$5="ON",BW10,MyRating(_E4,$B10,Efficacy!$F$1))</f>
        <v>3</v>
      </c>
      <c r="AX10" s="3">
        <f>IF($C$5="ON",BX10,MyRating(_E5,$B10,Efficacy!$F$1))</f>
        <v>2</v>
      </c>
      <c r="AY10" s="3">
        <f>IF($C$5="ON",BY10,MyRating(_E6,$B10,Efficacy!$F$1))</f>
        <v>5</v>
      </c>
      <c r="AZ10" s="3">
        <f>IF($C$5="ON",BZ10,MyRating(_E7,$B10,Efficacy!$F$1))</f>
        <v>3</v>
      </c>
      <c r="BA10" s="3">
        <f>IF($C$5="ON",CA10,MyRating(_E8,$B10,Efficacy!$F$1))</f>
        <v>3</v>
      </c>
      <c r="BB10" s="3">
        <f>IF($C$5="ON",CB10,MyRating(_S1,$B10,Efficacy!$F$1))</f>
        <v>3</v>
      </c>
      <c r="BC10" s="3">
        <f>IF($C$5="ON",CC10,MyRating(_S2,$B10,Efficacy!$F$1))</f>
        <v>1</v>
      </c>
      <c r="BD10" s="3">
        <f>IF($C$5="ON",CD10,MyRating(_S3,$B10,Efficacy!$F$1))</f>
        <v>3</v>
      </c>
      <c r="BE10" s="3">
        <f>IF($C$5="ON",CE10,MyRating(_S4,$B10,Efficacy!$F$1))</f>
        <v>3</v>
      </c>
      <c r="BF10" s="3">
        <f>IF($C$5="ON",CF10,MyRating(_S5,$B10,Efficacy!$F$1))</f>
        <v>2</v>
      </c>
      <c r="BG10" s="3">
        <f>IF($C$5="ON",CG10,MyRating(_S6,$B10,Efficacy!$F$1))</f>
        <v>3</v>
      </c>
      <c r="BH10" s="3">
        <f>IF($C$5="ON",CH10,MyRating(_S7,$B10,Efficacy!$F$1))</f>
        <v>3</v>
      </c>
      <c r="BI10" s="3">
        <f>IF($C$5="ON",CI10,MyRating(_D1,$B10,Efficacy!$F$1))</f>
        <v>3</v>
      </c>
      <c r="BJ10" s="3">
        <f>IF($C$5="ON",CJ10,MyRating(_D2,$B10,Efficacy!$F$1))</f>
        <v>2</v>
      </c>
      <c r="BK10" s="3">
        <f>IF($C$5="ON",CK10,MyRating(_D3,$B10,Efficacy!$F$1))</f>
        <v>3</v>
      </c>
      <c r="BL10" s="3">
        <f>IF($C$5="ON",CL10,MyRating(_D4,$B10,Efficacy!$F$1))</f>
        <v>3</v>
      </c>
      <c r="BM10" s="3">
        <f>IF($C$5="ON",CM10,MyRating(_B1,$B10,Barrier!$F$2))</f>
        <v>5</v>
      </c>
      <c r="BN10" s="3">
        <f>IF($C$5="ON",CN10,MyRating(_B2,$B10,Barrier!$F$2))</f>
        <v>3</v>
      </c>
      <c r="BO10" s="6">
        <f>IF($C$5="ON",CO10,MyRating(_B3,$B10,Barrier!$F$2))</f>
        <v>3</v>
      </c>
      <c r="BP10" s="5">
        <f t="shared" si="6"/>
        <v>3.4276163423804913E-2</v>
      </c>
      <c r="BQ10" s="8">
        <f t="shared" si="7"/>
        <v>3.0999999999999996</v>
      </c>
      <c r="BR10" s="5">
        <f t="shared" si="8"/>
        <v>3.3686498234175494E-2</v>
      </c>
      <c r="BS10" s="7">
        <f t="shared" si="9"/>
        <v>1.7098068051018597E-2</v>
      </c>
      <c r="BT10" s="4">
        <v>3</v>
      </c>
      <c r="BU10" s="3">
        <v>2</v>
      </c>
      <c r="BV10" s="3">
        <v>2</v>
      </c>
      <c r="BW10" s="3">
        <v>3</v>
      </c>
      <c r="BX10" s="3">
        <v>2</v>
      </c>
      <c r="BY10" s="3">
        <v>5</v>
      </c>
      <c r="BZ10" s="3">
        <v>3</v>
      </c>
      <c r="CA10" s="3">
        <v>3</v>
      </c>
      <c r="CB10" s="3">
        <v>3</v>
      </c>
      <c r="CC10" s="3">
        <v>1</v>
      </c>
      <c r="CD10" s="3">
        <v>3</v>
      </c>
      <c r="CE10" s="3">
        <v>3</v>
      </c>
      <c r="CF10" s="3">
        <v>2</v>
      </c>
      <c r="CG10" s="3">
        <v>3</v>
      </c>
      <c r="CH10" s="3">
        <v>3</v>
      </c>
      <c r="CI10" s="3">
        <v>3</v>
      </c>
      <c r="CJ10" s="3">
        <v>2</v>
      </c>
      <c r="CK10" s="3">
        <v>3</v>
      </c>
      <c r="CL10" s="3">
        <v>3</v>
      </c>
      <c r="CM10" s="3">
        <v>5</v>
      </c>
      <c r="CN10" s="3">
        <v>3</v>
      </c>
      <c r="CO10" s="6">
        <v>3</v>
      </c>
      <c r="CP10" s="5"/>
      <c r="CQ10" s="4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</row>
    <row r="11" spans="1:118" x14ac:dyDescent="0.35">
      <c r="A11" s="9" t="s">
        <v>5</v>
      </c>
      <c r="B11" s="9" t="s">
        <v>98</v>
      </c>
      <c r="C11" s="20"/>
      <c r="D11" s="9" t="s">
        <v>97</v>
      </c>
      <c r="E11" s="9"/>
      <c r="F11" s="9" t="s">
        <v>47</v>
      </c>
      <c r="G11" s="19">
        <v>0</v>
      </c>
      <c r="H11" s="9">
        <v>2014</v>
      </c>
      <c r="I11" s="9">
        <v>6</v>
      </c>
      <c r="J11" s="18">
        <f>INDEX(PTRS!$D$6:$D$12,MATCH('1'!$F11,PTRS!$B$6:$B$12,0))</f>
        <v>1</v>
      </c>
      <c r="K11" s="17">
        <v>1</v>
      </c>
      <c r="L11" s="17">
        <v>1</v>
      </c>
      <c r="M11" s="17">
        <f t="shared" si="0"/>
        <v>1</v>
      </c>
      <c r="N11" s="17">
        <f t="shared" si="1"/>
        <v>1</v>
      </c>
      <c r="O11" s="17">
        <v>1</v>
      </c>
      <c r="P11" s="17">
        <v>1</v>
      </c>
      <c r="Q11" s="17">
        <f t="shared" si="2"/>
        <v>1</v>
      </c>
      <c r="R11" s="17">
        <v>1</v>
      </c>
      <c r="S11" s="17">
        <v>1</v>
      </c>
      <c r="T11" s="17"/>
      <c r="U11" s="17">
        <f t="shared" si="3"/>
        <v>1</v>
      </c>
      <c r="V11" s="17">
        <v>0.01</v>
      </c>
      <c r="W11" s="9" t="s">
        <v>54</v>
      </c>
      <c r="X11" s="9">
        <f>INDEX('Unique Asset List'!$C$4:$I$60,MATCH('1'!$B11,'Unique Asset List'!$A$4:$A$60,0),MATCH('1'!$C$1,'Unique Asset List'!$C$3:$I$3,0))</f>
        <v>2009</v>
      </c>
      <c r="Y11" s="9">
        <f>INDEX('Unique Asset List'!$J$4:$P$60,MATCH('1'!$B11,'Unique Asset List'!$A$4:$A$60,0),MATCH('1'!$C$1,'Unique Asset List'!$J$3:$P$3,0))</f>
        <v>4</v>
      </c>
      <c r="Z11" s="9">
        <f>INDEX('Unique Asset List'!$X$4:$AD$60,MATCH('1'!$B11,'Unique Asset List'!$A$4:$A$60,0),MATCH('1'!$C$1,'Unique Asset List'!$X$3:$AD$3,0))</f>
        <v>2011</v>
      </c>
      <c r="AA11" s="9">
        <f>INDEX('Unique Asset List'!$AE$4:$AK$60,MATCH('1'!$B11,'Unique Asset List'!$A$4:$A$60,0),MATCH('1'!$C$1,'Unique Asset List'!$AE$3:$AK$3,0))</f>
        <v>10</v>
      </c>
      <c r="AB11" s="16">
        <f t="shared" si="10"/>
        <v>1.0756827</v>
      </c>
      <c r="AC11" s="16">
        <f t="shared" si="4"/>
        <v>0.45589129999999994</v>
      </c>
      <c r="AD11" s="16">
        <f t="shared" si="5"/>
        <v>0.41628930947999998</v>
      </c>
      <c r="AE11" s="15">
        <f>INDEX('Unique Asset List'!$BN$4:$BT$60,MATCH('1'!$B11,'Unique Asset List'!$A$4:$A$60,0),MATCH('1'!$C$1,'Unique Asset List'!$BN$3:$BT$3,0))</f>
        <v>0.15</v>
      </c>
      <c r="AF11" s="15">
        <f>INDEX('Unique Asset List'!$BU$4:$CA$60,MATCH('1'!$B11,'Unique Asset List'!$A$4:$A$60,0),MATCH('1'!$C$1,'Unique Asset List'!$BU$3:$CA$3,0))</f>
        <v>0.35</v>
      </c>
      <c r="AG11" s="15">
        <f>INDEX('Unique Asset List'!$AZ$4:$BF$60,MATCH('1'!$B11,'Unique Asset List'!$A$4:$A$60,0),MATCH('1'!$C$1,'Unique Asset List'!$AZ$3:$BF$3,0))</f>
        <v>0.15</v>
      </c>
      <c r="AH11" s="15">
        <f>INDEX('Unique Asset List'!$BG$4:$BM$60,MATCH('1'!$B11,'Unique Asset List'!$A$4:$A$60,0),MATCH('1'!$C$1,'Unique Asset List'!$BG$3:$BM$3,0))</f>
        <v>0.35</v>
      </c>
      <c r="AI11" s="11">
        <v>0.96187963349867744</v>
      </c>
      <c r="AJ11" s="15">
        <f>INDEX('Unique Asset List'!$AL$4:$AR$60,MATCH('1'!$B11,'Unique Asset List'!$A$4:$A$60,0),MATCH('1'!$C$1,'Unique Asset List'!$AL$3:$AR$3,0))</f>
        <v>1.2267192541321688</v>
      </c>
      <c r="AK11" s="15">
        <f>INDEX('Unique Asset List'!$AS$4:$AY$60,MATCH('1'!$B11,'Unique Asset List'!$A$4:$A$60,0),MATCH('1'!$C$1,'Unique Asset List'!$AS$3:$AY$3,0))</f>
        <v>11.984388276878477</v>
      </c>
      <c r="AL11" s="9">
        <v>160</v>
      </c>
      <c r="AM11" s="14">
        <f>INDEX(Simulation!$B$6:$H$6,MATCH($A11,Simulation!$B$1:$H$1,0))*(1+AN11)^((DATE(X11,Y11,15)-DATE(2017,1,15))/365.5)</f>
        <v>11.490239892462673</v>
      </c>
      <c r="AN11" s="12">
        <v>3.5000000000000003E-2</v>
      </c>
      <c r="AO11" s="13">
        <v>60</v>
      </c>
      <c r="AP11" s="11">
        <v>0.6</v>
      </c>
      <c r="AQ11" s="12">
        <v>-0.02</v>
      </c>
      <c r="AR11" s="11">
        <v>0.5</v>
      </c>
      <c r="AS11" s="10">
        <v>1</v>
      </c>
      <c r="AT11" s="4">
        <f>IF($C$5="ON",BT11,MyRating(_E1,$B11,Efficacy!$F$1))</f>
        <v>2</v>
      </c>
      <c r="AU11" s="3">
        <f>IF($C$5="ON",BU11,MyRating(_E2,$B11,Efficacy!$F$1))</f>
        <v>2</v>
      </c>
      <c r="AV11" s="3">
        <f>IF($C$5="ON",BV11,MyRating(_E3,$B11,Efficacy!$F$1))</f>
        <v>2</v>
      </c>
      <c r="AW11" s="3">
        <f>IF($C$5="ON",BW11,MyRating(_E4,$B11,Efficacy!$F$1))</f>
        <v>2</v>
      </c>
      <c r="AX11" s="3">
        <f>IF($C$5="ON",BX11,MyRating(_E5,$B11,Efficacy!$F$1))</f>
        <v>1</v>
      </c>
      <c r="AY11" s="3">
        <f>IF($C$5="ON",BY11,MyRating(_E6,$B11,Efficacy!$F$1))</f>
        <v>4</v>
      </c>
      <c r="AZ11" s="3">
        <f>IF($C$5="ON",BZ11,MyRating(_E7,$B11,Efficacy!$F$1))</f>
        <v>2</v>
      </c>
      <c r="BA11" s="3">
        <f>IF($C$5="ON",CA11,MyRating(_E8,$B11,Efficacy!$F$1))</f>
        <v>3</v>
      </c>
      <c r="BB11" s="3">
        <f>IF($C$5="ON",CB11,MyRating(_S1,$B11,Efficacy!$F$1))</f>
        <v>2</v>
      </c>
      <c r="BC11" s="3">
        <f>IF($C$5="ON",CC11,MyRating(_S2,$B11,Efficacy!$F$1))</f>
        <v>1</v>
      </c>
      <c r="BD11" s="3">
        <f>IF($C$5="ON",CD11,MyRating(_S3,$B11,Efficacy!$F$1))</f>
        <v>2</v>
      </c>
      <c r="BE11" s="3">
        <f>IF($C$5="ON",CE11,MyRating(_S4,$B11,Efficacy!$F$1))</f>
        <v>3</v>
      </c>
      <c r="BF11" s="3">
        <f>IF($C$5="ON",CF11,MyRating(_S5,$B11,Efficacy!$F$1))</f>
        <v>1</v>
      </c>
      <c r="BG11" s="3">
        <f>IF($C$5="ON",CG11,MyRating(_S6,$B11,Efficacy!$F$1))</f>
        <v>3</v>
      </c>
      <c r="BH11" s="3">
        <f>IF($C$5="ON",CH11,MyRating(_S7,$B11,Efficacy!$F$1))</f>
        <v>1</v>
      </c>
      <c r="BI11" s="3">
        <f>IF($C$5="ON",CI11,MyRating(_D1,$B11,Efficacy!$F$1))</f>
        <v>3</v>
      </c>
      <c r="BJ11" s="3">
        <f>IF($C$5="ON",CJ11,MyRating(_D2,$B11,Efficacy!$F$1))</f>
        <v>1</v>
      </c>
      <c r="BK11" s="3">
        <f>IF($C$5="ON",CK11,MyRating(_D3,$B11,Efficacy!$F$1))</f>
        <v>1</v>
      </c>
      <c r="BL11" s="3">
        <f>IF($C$5="ON",CL11,MyRating(_D4,$B11,Efficacy!$F$1))</f>
        <v>3</v>
      </c>
      <c r="BM11" s="3">
        <f>IF($C$5="ON",CM11,MyRating(_B1,$B11,Barrier!$F$2))</f>
        <v>5</v>
      </c>
      <c r="BN11" s="3">
        <f>IF($C$5="ON",CN11,MyRating(_B2,$B11,Barrier!$F$2))</f>
        <v>3</v>
      </c>
      <c r="BO11" s="6">
        <f>IF($C$5="ON",CO11,MyRating(_B3,$B11,Barrier!$F$2))</f>
        <v>3</v>
      </c>
      <c r="BP11" s="5">
        <f t="shared" si="6"/>
        <v>3.4276163423804913E-2</v>
      </c>
      <c r="BQ11" s="8">
        <f t="shared" si="7"/>
        <v>3.0999999999999996</v>
      </c>
      <c r="BR11" s="5">
        <f t="shared" si="8"/>
        <v>3.3686498234175494E-2</v>
      </c>
      <c r="BS11" s="7">
        <f t="shared" si="9"/>
        <v>1.7098068051018597E-2</v>
      </c>
      <c r="BT11" s="4">
        <v>2</v>
      </c>
      <c r="BU11" s="3">
        <v>2</v>
      </c>
      <c r="BV11" s="3">
        <v>2</v>
      </c>
      <c r="BW11" s="3">
        <v>2</v>
      </c>
      <c r="BX11" s="3">
        <v>1</v>
      </c>
      <c r="BY11" s="3">
        <v>4</v>
      </c>
      <c r="BZ11" s="3">
        <v>2</v>
      </c>
      <c r="CA11" s="3">
        <v>3</v>
      </c>
      <c r="CB11" s="3">
        <v>2</v>
      </c>
      <c r="CC11" s="3">
        <v>1</v>
      </c>
      <c r="CD11" s="3">
        <v>2</v>
      </c>
      <c r="CE11" s="3">
        <v>3</v>
      </c>
      <c r="CF11" s="3">
        <v>1</v>
      </c>
      <c r="CG11" s="3">
        <v>3</v>
      </c>
      <c r="CH11" s="3">
        <v>1</v>
      </c>
      <c r="CI11" s="3">
        <v>3</v>
      </c>
      <c r="CJ11" s="3">
        <v>1</v>
      </c>
      <c r="CK11" s="3">
        <v>1</v>
      </c>
      <c r="CL11" s="3">
        <v>3</v>
      </c>
      <c r="CM11" s="3">
        <v>5</v>
      </c>
      <c r="CN11" s="3">
        <v>3</v>
      </c>
      <c r="CO11" s="6">
        <v>3</v>
      </c>
      <c r="CP11" s="5"/>
      <c r="CQ11" s="4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</row>
    <row r="12" spans="1:118" x14ac:dyDescent="0.35">
      <c r="A12" s="9" t="s">
        <v>5</v>
      </c>
      <c r="B12" s="9" t="s">
        <v>96</v>
      </c>
      <c r="C12" s="20"/>
      <c r="D12" s="9" t="s">
        <v>95</v>
      </c>
      <c r="E12" s="9"/>
      <c r="F12" s="9" t="s">
        <v>47</v>
      </c>
      <c r="G12" s="19">
        <v>0.32857142857142863</v>
      </c>
      <c r="H12" s="9">
        <v>2014</v>
      </c>
      <c r="I12" s="9">
        <v>6</v>
      </c>
      <c r="J12" s="18">
        <f>INDEX(PTRS!$D$6:$D$12,MATCH('1'!$F12,PTRS!$B$6:$B$12,0))</f>
        <v>1</v>
      </c>
      <c r="K12" s="17">
        <v>1</v>
      </c>
      <c r="L12" s="17">
        <v>1</v>
      </c>
      <c r="M12" s="17">
        <f t="shared" si="0"/>
        <v>1</v>
      </c>
      <c r="N12" s="17">
        <f t="shared" si="1"/>
        <v>1</v>
      </c>
      <c r="O12" s="17">
        <v>1</v>
      </c>
      <c r="P12" s="17">
        <v>1</v>
      </c>
      <c r="Q12" s="17">
        <f t="shared" si="2"/>
        <v>1</v>
      </c>
      <c r="R12" s="17">
        <v>1</v>
      </c>
      <c r="S12" s="17">
        <v>1</v>
      </c>
      <c r="T12" s="17"/>
      <c r="U12" s="17">
        <f t="shared" si="3"/>
        <v>1</v>
      </c>
      <c r="V12" s="17">
        <v>1</v>
      </c>
      <c r="W12" s="9" t="s">
        <v>81</v>
      </c>
      <c r="X12" s="9">
        <f>INDEX('Unique Asset List'!$C$4:$I$60,MATCH('1'!$B12,'Unique Asset List'!$A$4:$A$60,0),MATCH('1'!$C$1,'Unique Asset List'!$C$3:$I$3,0))</f>
        <v>1989</v>
      </c>
      <c r="Y12" s="9">
        <f>INDEX('Unique Asset List'!$J$4:$P$60,MATCH('1'!$B12,'Unique Asset List'!$A$4:$A$60,0),MATCH('1'!$C$1,'Unique Asset List'!$J$3:$P$3,0))</f>
        <v>12</v>
      </c>
      <c r="Z12" s="9">
        <f>INDEX('Unique Asset List'!$X$4:$AD$60,MATCH('1'!$B12,'Unique Asset List'!$A$4:$A$60,0),MATCH('1'!$C$1,'Unique Asset List'!$X$3:$AD$3,0))</f>
        <v>2006</v>
      </c>
      <c r="AA12" s="9">
        <f>INDEX('Unique Asset List'!$AE$4:$AK$60,MATCH('1'!$B12,'Unique Asset List'!$A$4:$A$60,0),MATCH('1'!$C$1,'Unique Asset List'!$AE$3:$AK$3,0))</f>
        <v>3</v>
      </c>
      <c r="AB12" s="16">
        <f t="shared" si="10"/>
        <v>1.3246358</v>
      </c>
      <c r="AC12" s="16">
        <f t="shared" si="4"/>
        <v>1.0775680999999999</v>
      </c>
      <c r="AD12" s="16">
        <f t="shared" si="5"/>
        <v>0.46126874111999994</v>
      </c>
      <c r="AE12" s="15">
        <f>INDEX('Unique Asset List'!$BN$4:$BT$60,MATCH('1'!$B12,'Unique Asset List'!$A$4:$A$60,0),MATCH('1'!$C$1,'Unique Asset List'!$BN$3:$BT$3,0))</f>
        <v>0.15</v>
      </c>
      <c r="AF12" s="15">
        <f>INDEX('Unique Asset List'!$BU$4:$CA$60,MATCH('1'!$B12,'Unique Asset List'!$A$4:$A$60,0),MATCH('1'!$C$1,'Unique Asset List'!$BU$3:$CA$3,0))</f>
        <v>0.35</v>
      </c>
      <c r="AG12" s="15">
        <f>INDEX('Unique Asset List'!$AZ$4:$BF$60,MATCH('1'!$B12,'Unique Asset List'!$A$4:$A$60,0),MATCH('1'!$C$1,'Unique Asset List'!$AZ$3:$BF$3,0))</f>
        <v>0.15</v>
      </c>
      <c r="AH12" s="15">
        <f>INDEX('Unique Asset List'!$BG$4:$BM$60,MATCH('1'!$B12,'Unique Asset List'!$A$4:$A$60,0),MATCH('1'!$C$1,'Unique Asset List'!$BG$3:$BM$3,0))</f>
        <v>0.35</v>
      </c>
      <c r="AI12" s="11">
        <v>0.97304949785176587</v>
      </c>
      <c r="AJ12" s="15">
        <f>INDEX('Unique Asset List'!$AL$4:$AR$60,MATCH('1'!$B12,'Unique Asset List'!$A$4:$A$60,0),MATCH('1'!$C$1,'Unique Asset List'!$AL$3:$AR$3,0))</f>
        <v>1.2267192541321688</v>
      </c>
      <c r="AK12" s="15">
        <f>INDEX('Unique Asset List'!$AS$4:$AY$60,MATCH('1'!$B12,'Unique Asset List'!$A$4:$A$60,0),MATCH('1'!$C$1,'Unique Asset List'!$AS$3:$AY$3,0))</f>
        <v>11.984388276878477</v>
      </c>
      <c r="AL12" s="9">
        <v>160</v>
      </c>
      <c r="AM12" s="14">
        <f>INDEX(Simulation!$B$6:$H$6,MATCH($A12,Simulation!$B$1:$H$1,0))*(1+AN12)^((DATE(X12,Y12,15)-DATE(2017,1,15))/365.5)</f>
        <v>5.9115360332165636</v>
      </c>
      <c r="AN12" s="12">
        <v>3.5000000000000003E-2</v>
      </c>
      <c r="AO12" s="13">
        <v>60</v>
      </c>
      <c r="AP12" s="11">
        <v>0.6</v>
      </c>
      <c r="AQ12" s="12">
        <v>-0.02</v>
      </c>
      <c r="AR12" s="11">
        <v>0.5</v>
      </c>
      <c r="AS12" s="10">
        <v>1</v>
      </c>
      <c r="AT12" s="4">
        <f>IF($C$5="ON",BT12,MyRating(_E1,$B12,Efficacy!$F$1))</f>
        <v>3</v>
      </c>
      <c r="AU12" s="3">
        <f>IF($C$5="ON",BU12,MyRating(_E2,$B12,Efficacy!$F$1))</f>
        <v>3</v>
      </c>
      <c r="AV12" s="3">
        <f>IF($C$5="ON",BV12,MyRating(_E3,$B12,Efficacy!$F$1))</f>
        <v>3</v>
      </c>
      <c r="AW12" s="3">
        <f>IF($C$5="ON",BW12,MyRating(_E4,$B12,Efficacy!$F$1))</f>
        <v>3</v>
      </c>
      <c r="AX12" s="3">
        <f>IF($C$5="ON",BX12,MyRating(_E5,$B12,Efficacy!$F$1))</f>
        <v>3</v>
      </c>
      <c r="AY12" s="3">
        <f>IF($C$5="ON",BY12,MyRating(_E6,$B12,Efficacy!$F$1))</f>
        <v>1</v>
      </c>
      <c r="AZ12" s="3">
        <f>IF($C$5="ON",BZ12,MyRating(_E7,$B12,Efficacy!$F$1))</f>
        <v>3</v>
      </c>
      <c r="BA12" s="3">
        <f>IF($C$5="ON",CA12,MyRating(_E8,$B12,Efficacy!$F$1))</f>
        <v>3</v>
      </c>
      <c r="BB12" s="3">
        <f>IF($C$5="ON",CB12,MyRating(_S1,$B12,Efficacy!$F$1))</f>
        <v>4</v>
      </c>
      <c r="BC12" s="3">
        <f>IF($C$5="ON",CC12,MyRating(_S2,$B12,Efficacy!$F$1))</f>
        <v>5</v>
      </c>
      <c r="BD12" s="3">
        <f>IF($C$5="ON",CD12,MyRating(_S3,$B12,Efficacy!$F$1))</f>
        <v>4</v>
      </c>
      <c r="BE12" s="3">
        <f>IF($C$5="ON",CE12,MyRating(_S4,$B12,Efficacy!$F$1))</f>
        <v>5</v>
      </c>
      <c r="BF12" s="3">
        <f>IF($C$5="ON",CF12,MyRating(_S5,$B12,Efficacy!$F$1))</f>
        <v>5</v>
      </c>
      <c r="BG12" s="3">
        <f>IF($C$5="ON",CG12,MyRating(_S6,$B12,Efficacy!$F$1))</f>
        <v>4</v>
      </c>
      <c r="BH12" s="3">
        <f>IF($C$5="ON",CH12,MyRating(_S7,$B12,Efficacy!$F$1))</f>
        <v>3</v>
      </c>
      <c r="BI12" s="3">
        <f>IF($C$5="ON",CI12,MyRating(_D1,$B12,Efficacy!$F$1))</f>
        <v>2</v>
      </c>
      <c r="BJ12" s="3">
        <f>IF($C$5="ON",CJ12,MyRating(_D2,$B12,Efficacy!$F$1))</f>
        <v>2</v>
      </c>
      <c r="BK12" s="3">
        <f>IF($C$5="ON",CK12,MyRating(_D3,$B12,Efficacy!$F$1))</f>
        <v>3</v>
      </c>
      <c r="BL12" s="3">
        <f>IF($C$5="ON",CL12,MyRating(_D4,$B12,Efficacy!$F$1))</f>
        <v>3</v>
      </c>
      <c r="BM12" s="3">
        <f>IF($C$5="ON",CM12,MyRating(_B1,$B12,Barrier!$F$2))</f>
        <v>5</v>
      </c>
      <c r="BN12" s="3">
        <f>IF($C$5="ON",CN12,MyRating(_B2,$B12,Barrier!$F$2))</f>
        <v>3</v>
      </c>
      <c r="BO12" s="6">
        <f>IF($C$5="ON",CO12,MyRating(_B3,$B12,Barrier!$F$2))</f>
        <v>3</v>
      </c>
      <c r="BP12" s="5">
        <f t="shared" si="6"/>
        <v>3.4276163423804913E-2</v>
      </c>
      <c r="BQ12" s="8">
        <f t="shared" si="7"/>
        <v>3.0999999999999996</v>
      </c>
      <c r="BR12" s="5">
        <f t="shared" si="8"/>
        <v>3.3686498234175494E-2</v>
      </c>
      <c r="BS12" s="7">
        <f t="shared" si="9"/>
        <v>1.7098068051018597E-2</v>
      </c>
      <c r="BT12" s="4">
        <v>3</v>
      </c>
      <c r="BU12" s="3">
        <v>3</v>
      </c>
      <c r="BV12" s="3">
        <v>3</v>
      </c>
      <c r="BW12" s="3">
        <v>3</v>
      </c>
      <c r="BX12" s="3">
        <v>3</v>
      </c>
      <c r="BY12" s="3">
        <v>1</v>
      </c>
      <c r="BZ12" s="3">
        <v>3</v>
      </c>
      <c r="CA12" s="3">
        <v>3</v>
      </c>
      <c r="CB12" s="3">
        <v>4</v>
      </c>
      <c r="CC12" s="3">
        <v>5</v>
      </c>
      <c r="CD12" s="3">
        <v>4</v>
      </c>
      <c r="CE12" s="3">
        <v>5</v>
      </c>
      <c r="CF12" s="3">
        <v>5</v>
      </c>
      <c r="CG12" s="3">
        <v>4</v>
      </c>
      <c r="CH12" s="3">
        <v>3</v>
      </c>
      <c r="CI12" s="3">
        <v>2</v>
      </c>
      <c r="CJ12" s="3">
        <v>2</v>
      </c>
      <c r="CK12" s="3">
        <v>3</v>
      </c>
      <c r="CL12" s="3">
        <v>3</v>
      </c>
      <c r="CM12" s="3">
        <v>5</v>
      </c>
      <c r="CN12" s="3">
        <v>3</v>
      </c>
      <c r="CO12" s="6">
        <v>3</v>
      </c>
      <c r="CP12" s="5"/>
      <c r="CQ12" s="4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</row>
    <row r="13" spans="1:118" x14ac:dyDescent="0.35">
      <c r="A13" s="9" t="s">
        <v>5</v>
      </c>
      <c r="B13" s="9" t="s">
        <v>94</v>
      </c>
      <c r="C13" s="20"/>
      <c r="D13" s="9" t="s">
        <v>93</v>
      </c>
      <c r="E13" s="9" t="s">
        <v>92</v>
      </c>
      <c r="F13" s="9" t="s">
        <v>47</v>
      </c>
      <c r="G13" s="19">
        <v>0</v>
      </c>
      <c r="H13" s="9">
        <v>2014</v>
      </c>
      <c r="I13" s="9">
        <v>6</v>
      </c>
      <c r="J13" s="18">
        <f>INDEX(PTRS!$D$6:$D$12,MATCH('1'!$F13,PTRS!$B$6:$B$12,0))</f>
        <v>1</v>
      </c>
      <c r="K13" s="17">
        <v>1</v>
      </c>
      <c r="L13" s="17">
        <v>1</v>
      </c>
      <c r="M13" s="17">
        <f t="shared" si="0"/>
        <v>1</v>
      </c>
      <c r="N13" s="17">
        <f t="shared" si="1"/>
        <v>1</v>
      </c>
      <c r="O13" s="17">
        <v>1</v>
      </c>
      <c r="P13" s="17">
        <v>1</v>
      </c>
      <c r="Q13" s="17">
        <f t="shared" si="2"/>
        <v>1</v>
      </c>
      <c r="R13" s="17">
        <v>1</v>
      </c>
      <c r="S13" s="17">
        <v>1</v>
      </c>
      <c r="T13" s="17"/>
      <c r="U13" s="17">
        <f t="shared" si="3"/>
        <v>0.9614162825377699</v>
      </c>
      <c r="V13" s="17">
        <v>1</v>
      </c>
      <c r="W13" s="9" t="s">
        <v>54</v>
      </c>
      <c r="X13" s="9">
        <f>INDEX('Unique Asset List'!$C$4:$I$60,MATCH('1'!$B13,'Unique Asset List'!$A$4:$A$60,0),MATCH('1'!$C$1,'Unique Asset List'!$C$3:$I$3,0))</f>
        <v>2015</v>
      </c>
      <c r="Y13" s="9">
        <f>INDEX('Unique Asset List'!$J$4:$P$60,MATCH('1'!$B13,'Unique Asset List'!$A$4:$A$60,0),MATCH('1'!$C$1,'Unique Asset List'!$J$3:$P$3,0))</f>
        <v>7</v>
      </c>
      <c r="Z13" s="9">
        <f>INDEX('Unique Asset List'!$X$4:$AD$60,MATCH('1'!$B13,'Unique Asset List'!$A$4:$A$60,0),MATCH('1'!$C$1,'Unique Asset List'!$X$3:$AD$3,0))</f>
        <v>2027</v>
      </c>
      <c r="AA13" s="9">
        <f>INDEX('Unique Asset List'!$AE$4:$AK$60,MATCH('1'!$B13,'Unique Asset List'!$A$4:$A$60,0),MATCH('1'!$C$1,'Unique Asset List'!$AE$3:$AK$3,0))</f>
        <v>2</v>
      </c>
      <c r="AB13" s="16">
        <f t="shared" si="10"/>
        <v>1.4482758</v>
      </c>
      <c r="AC13" s="16">
        <f t="shared" si="4"/>
        <v>0.78788900000000006</v>
      </c>
      <c r="AD13" s="16">
        <f t="shared" si="5"/>
        <v>0.56099999999999994</v>
      </c>
      <c r="AE13" s="15">
        <f>INDEX('Unique Asset List'!$BN$4:$BT$60,MATCH('1'!$B13,'Unique Asset List'!$A$4:$A$60,0),MATCH('1'!$C$1,'Unique Asset List'!$BN$3:$BT$3,0))</f>
        <v>0.15</v>
      </c>
      <c r="AF13" s="15">
        <f>INDEX('Unique Asset List'!$BU$4:$CA$60,MATCH('1'!$B13,'Unique Asset List'!$A$4:$A$60,0),MATCH('1'!$C$1,'Unique Asset List'!$BU$3:$CA$3,0))</f>
        <v>0.35</v>
      </c>
      <c r="AG13" s="15">
        <f>INDEX('Unique Asset List'!$AZ$4:$BF$60,MATCH('1'!$B13,'Unique Asset List'!$A$4:$A$60,0),MATCH('1'!$C$1,'Unique Asset List'!$AZ$3:$BF$3,0))</f>
        <v>0.15</v>
      </c>
      <c r="AH13" s="15">
        <f>INDEX('Unique Asset List'!$BG$4:$BM$60,MATCH('1'!$B13,'Unique Asset List'!$A$4:$A$60,0),MATCH('1'!$C$1,'Unique Asset List'!$BG$3:$BM$3,0))</f>
        <v>0.35</v>
      </c>
      <c r="AI13" s="11">
        <v>0.97304949785176587</v>
      </c>
      <c r="AJ13" s="15">
        <f>INDEX('Unique Asset List'!$AL$4:$AR$60,MATCH('1'!$B13,'Unique Asset List'!$A$4:$A$60,0),MATCH('1'!$C$1,'Unique Asset List'!$AL$3:$AR$3,0))</f>
        <v>1.2267192541321688</v>
      </c>
      <c r="AK13" s="15">
        <f>INDEX('Unique Asset List'!$AS$4:$AY$60,MATCH('1'!$B13,'Unique Asset List'!$A$4:$A$60,0),MATCH('1'!$C$1,'Unique Asset List'!$AS$3:$AY$3,0))</f>
        <v>11.984388276878477</v>
      </c>
      <c r="AL13" s="9">
        <v>160</v>
      </c>
      <c r="AM13" s="14">
        <v>28.7</v>
      </c>
      <c r="AN13" s="12">
        <v>7.5999999999999998E-2</v>
      </c>
      <c r="AO13" s="13">
        <v>60</v>
      </c>
      <c r="AP13" s="11">
        <v>0.6</v>
      </c>
      <c r="AQ13" s="12">
        <v>-0.02</v>
      </c>
      <c r="AR13" s="11">
        <v>0.5</v>
      </c>
      <c r="AS13" s="10">
        <v>1</v>
      </c>
      <c r="AT13" s="4">
        <f>IF($C$5="ON",BT13,MyRating(_E1,$B13,Efficacy!$F$1))</f>
        <v>3</v>
      </c>
      <c r="AU13" s="3">
        <f>IF($C$5="ON",BU13,MyRating(_E2,$B13,Efficacy!$F$1))</f>
        <v>3</v>
      </c>
      <c r="AV13" s="3">
        <f>IF($C$5="ON",BV13,MyRating(_E3,$B13,Efficacy!$F$1))</f>
        <v>3</v>
      </c>
      <c r="AW13" s="3">
        <f>IF($C$5="ON",BW13,MyRating(_E4,$B13,Efficacy!$F$1))</f>
        <v>3</v>
      </c>
      <c r="AX13" s="3">
        <f>IF($C$5="ON",BX13,MyRating(_E5,$B13,Efficacy!$F$1))</f>
        <v>3</v>
      </c>
      <c r="AY13" s="3">
        <f>IF($C$5="ON",BY13,MyRating(_E6,$B13,Efficacy!$F$1))</f>
        <v>3</v>
      </c>
      <c r="AZ13" s="3">
        <f>IF($C$5="ON",BZ13,MyRating(_E7,$B13,Efficacy!$F$1))</f>
        <v>3</v>
      </c>
      <c r="BA13" s="3">
        <f>IF($C$5="ON",CA13,MyRating(_E8,$B13,Efficacy!$F$1))</f>
        <v>3</v>
      </c>
      <c r="BB13" s="3">
        <f>IF($C$5="ON",CB13,MyRating(_S1,$B13,Efficacy!$F$1))</f>
        <v>3</v>
      </c>
      <c r="BC13" s="3">
        <f>IF($C$5="ON",CC13,MyRating(_S2,$B13,Efficacy!$F$1))</f>
        <v>3</v>
      </c>
      <c r="BD13" s="3">
        <f>IF($C$5="ON",CD13,MyRating(_S3,$B13,Efficacy!$F$1))</f>
        <v>3</v>
      </c>
      <c r="BE13" s="3">
        <f>IF($C$5="ON",CE13,MyRating(_S4,$B13,Efficacy!$F$1))</f>
        <v>4</v>
      </c>
      <c r="BF13" s="3">
        <f>IF($C$5="ON",CF13,MyRating(_S5,$B13,Efficacy!$F$1))</f>
        <v>3</v>
      </c>
      <c r="BG13" s="3">
        <f>IF($C$5="ON",CG13,MyRating(_S6,$B13,Efficacy!$F$1))</f>
        <v>3</v>
      </c>
      <c r="BH13" s="3">
        <f>IF($C$5="ON",CH13,MyRating(_S7,$B13,Efficacy!$F$1))</f>
        <v>3</v>
      </c>
      <c r="BI13" s="3">
        <f>IF($C$5="ON",CI13,MyRating(_D1,$B13,Efficacy!$F$1))</f>
        <v>3</v>
      </c>
      <c r="BJ13" s="3">
        <f>IF($C$5="ON",CJ13,MyRating(_D2,$B13,Efficacy!$F$1))</f>
        <v>3</v>
      </c>
      <c r="BK13" s="3">
        <f>IF($C$5="ON",CK13,MyRating(_D3,$B13,Efficacy!$F$1))</f>
        <v>3</v>
      </c>
      <c r="BL13" s="3">
        <f>IF($C$5="ON",CL13,MyRating(_D4,$B13,Efficacy!$F$1))</f>
        <v>3</v>
      </c>
      <c r="BM13" s="3">
        <f>IF($C$5="ON",CM13,MyRating(_B1,$B13,Barrier!$F$2))</f>
        <v>3</v>
      </c>
      <c r="BN13" s="3">
        <f>IF($C$5="ON",CN13,MyRating(_B2,$B13,Barrier!$F$2))</f>
        <v>3</v>
      </c>
      <c r="BO13" s="6">
        <f>IF($C$5="ON",CO13,MyRating(_B3,$B13,Barrier!$F$2))</f>
        <v>3</v>
      </c>
      <c r="BP13" s="5">
        <f t="shared" si="6"/>
        <v>3.2953661618571599E-2</v>
      </c>
      <c r="BQ13" s="8">
        <f t="shared" si="7"/>
        <v>2.9999999999999996</v>
      </c>
      <c r="BR13" s="5">
        <f t="shared" si="8"/>
        <v>3.2599837000814993E-2</v>
      </c>
      <c r="BS13" s="7">
        <f t="shared" si="9"/>
        <v>1.6438361024188112E-2</v>
      </c>
      <c r="BT13" s="4">
        <v>3</v>
      </c>
      <c r="BU13" s="3">
        <v>3</v>
      </c>
      <c r="BV13" s="3">
        <v>3</v>
      </c>
      <c r="BW13" s="3">
        <v>3</v>
      </c>
      <c r="BX13" s="3">
        <v>3</v>
      </c>
      <c r="BY13" s="3">
        <v>3</v>
      </c>
      <c r="BZ13" s="3">
        <v>3</v>
      </c>
      <c r="CA13" s="3">
        <v>3</v>
      </c>
      <c r="CB13" s="3">
        <v>3</v>
      </c>
      <c r="CC13" s="3">
        <v>3</v>
      </c>
      <c r="CD13" s="3">
        <v>3</v>
      </c>
      <c r="CE13" s="3">
        <v>4</v>
      </c>
      <c r="CF13" s="3">
        <v>3</v>
      </c>
      <c r="CG13" s="3">
        <v>3</v>
      </c>
      <c r="CH13" s="3">
        <v>3</v>
      </c>
      <c r="CI13" s="3">
        <v>3</v>
      </c>
      <c r="CJ13" s="3">
        <v>3</v>
      </c>
      <c r="CK13" s="3">
        <v>3</v>
      </c>
      <c r="CL13" s="3">
        <v>3</v>
      </c>
      <c r="CM13" s="3">
        <v>3</v>
      </c>
      <c r="CN13" s="3">
        <v>3</v>
      </c>
      <c r="CO13" s="6">
        <v>3</v>
      </c>
      <c r="CP13" s="5"/>
      <c r="CQ13" s="4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</row>
    <row r="14" spans="1:118" x14ac:dyDescent="0.35">
      <c r="A14" s="9" t="s">
        <v>5</v>
      </c>
      <c r="B14" s="9" t="s">
        <v>91</v>
      </c>
      <c r="C14" s="20"/>
      <c r="D14" s="9" t="s">
        <v>90</v>
      </c>
      <c r="E14" s="9"/>
      <c r="F14" s="9" t="s">
        <v>47</v>
      </c>
      <c r="G14" s="19">
        <v>0.17142857142857143</v>
      </c>
      <c r="H14" s="9">
        <v>2014</v>
      </c>
      <c r="I14" s="9">
        <v>6</v>
      </c>
      <c r="J14" s="18">
        <f>INDEX(PTRS!$D$6:$D$12,MATCH('1'!$F14,PTRS!$B$6:$B$12,0))</f>
        <v>1</v>
      </c>
      <c r="K14" s="17">
        <v>1</v>
      </c>
      <c r="L14" s="17">
        <v>1</v>
      </c>
      <c r="M14" s="17">
        <f t="shared" si="0"/>
        <v>1</v>
      </c>
      <c r="N14" s="17">
        <f t="shared" si="1"/>
        <v>1</v>
      </c>
      <c r="O14" s="17">
        <v>1</v>
      </c>
      <c r="P14" s="17">
        <v>1</v>
      </c>
      <c r="Q14" s="17">
        <f t="shared" si="2"/>
        <v>1</v>
      </c>
      <c r="R14" s="17">
        <v>1</v>
      </c>
      <c r="S14" s="17">
        <v>1</v>
      </c>
      <c r="T14" s="17"/>
      <c r="U14" s="17">
        <f t="shared" si="3"/>
        <v>1</v>
      </c>
      <c r="V14" s="17">
        <v>1</v>
      </c>
      <c r="W14" s="9" t="s">
        <v>81</v>
      </c>
      <c r="X14" s="9">
        <f>INDEX('Unique Asset List'!$C$4:$I$60,MATCH('1'!$B14,'Unique Asset List'!$A$4:$A$60,0),MATCH('1'!$C$1,'Unique Asset List'!$C$3:$I$3,0))</f>
        <v>1981</v>
      </c>
      <c r="Y14" s="9">
        <f>INDEX('Unique Asset List'!$J$4:$P$60,MATCH('1'!$B14,'Unique Asset List'!$A$4:$A$60,0),MATCH('1'!$C$1,'Unique Asset List'!$J$3:$P$3,0))</f>
        <v>1</v>
      </c>
      <c r="Z14" s="9">
        <f>INDEX('Unique Asset List'!$X$4:$AD$60,MATCH('1'!$B14,'Unique Asset List'!$A$4:$A$60,0),MATCH('1'!$C$1,'Unique Asset List'!$X$3:$AD$3,0))</f>
        <v>2020</v>
      </c>
      <c r="AA14" s="9">
        <f>INDEX('Unique Asset List'!$AE$4:$AK$60,MATCH('1'!$B14,'Unique Asset List'!$A$4:$A$60,0),MATCH('1'!$C$1,'Unique Asset List'!$AE$3:$AK$3,0))</f>
        <v>6</v>
      </c>
      <c r="AB14" s="16">
        <f t="shared" si="10"/>
        <v>1.0035646</v>
      </c>
      <c r="AC14" s="16">
        <f t="shared" si="4"/>
        <v>0.78683479999999995</v>
      </c>
      <c r="AD14" s="16">
        <f t="shared" si="5"/>
        <v>0.56099999999999994</v>
      </c>
      <c r="AE14" s="15">
        <f>INDEX('Unique Asset List'!$BN$4:$BT$60,MATCH('1'!$B14,'Unique Asset List'!$A$4:$A$60,0),MATCH('1'!$C$1,'Unique Asset List'!$BN$3:$BT$3,0))</f>
        <v>0.15</v>
      </c>
      <c r="AF14" s="15">
        <f>INDEX('Unique Asset List'!$BU$4:$CA$60,MATCH('1'!$B14,'Unique Asset List'!$A$4:$A$60,0),MATCH('1'!$C$1,'Unique Asset List'!$BU$3:$CA$3,0))</f>
        <v>0.35</v>
      </c>
      <c r="AG14" s="15">
        <f>INDEX('Unique Asset List'!$AZ$4:$BF$60,MATCH('1'!$B14,'Unique Asset List'!$A$4:$A$60,0),MATCH('1'!$C$1,'Unique Asset List'!$AZ$3:$BF$3,0))</f>
        <v>0.15</v>
      </c>
      <c r="AH14" s="15">
        <f>INDEX('Unique Asset List'!$BG$4:$BM$60,MATCH('1'!$B14,'Unique Asset List'!$A$4:$A$60,0),MATCH('1'!$C$1,'Unique Asset List'!$BG$3:$BM$3,0))</f>
        <v>0.35</v>
      </c>
      <c r="AI14" s="11">
        <v>0.97304949785176587</v>
      </c>
      <c r="AJ14" s="15">
        <f>INDEX('Unique Asset List'!$AL$4:$AR$60,MATCH('1'!$B14,'Unique Asset List'!$A$4:$A$60,0),MATCH('1'!$C$1,'Unique Asset List'!$AL$3:$AR$3,0))</f>
        <v>1.2267192541321688</v>
      </c>
      <c r="AK14" s="15">
        <f>INDEX('Unique Asset List'!$AS$4:$AY$60,MATCH('1'!$B14,'Unique Asset List'!$A$4:$A$60,0),MATCH('1'!$C$1,'Unique Asset List'!$AS$3:$AY$3,0))</f>
        <v>11.984388276878477</v>
      </c>
      <c r="AL14" s="9">
        <v>160</v>
      </c>
      <c r="AM14" s="14">
        <f>INDEX(Simulation!$B$6:$H$6,MATCH($A14,Simulation!$B$1:$H$1,0))*(1+AN14)^((DATE(X14,Y14,15)-DATE(2017,1,15))/365.5)</f>
        <v>4.3511750420512101</v>
      </c>
      <c r="AN14" s="12">
        <v>3.5000000000000003E-2</v>
      </c>
      <c r="AO14" s="13">
        <v>60</v>
      </c>
      <c r="AP14" s="11">
        <v>0.6</v>
      </c>
      <c r="AQ14" s="12">
        <v>-0.02</v>
      </c>
      <c r="AR14" s="11">
        <v>0.5</v>
      </c>
      <c r="AS14" s="10">
        <v>1</v>
      </c>
      <c r="AT14" s="4">
        <f>IF($C$5="ON",BT14,MyRating(_E1,$B14,Efficacy!$F$1))</f>
        <v>2</v>
      </c>
      <c r="AU14" s="3">
        <f>IF($C$5="ON",BU14,MyRating(_E2,$B14,Efficacy!$F$1))</f>
        <v>2</v>
      </c>
      <c r="AV14" s="3">
        <f>IF($C$5="ON",BV14,MyRating(_E3,$B14,Efficacy!$F$1))</f>
        <v>2</v>
      </c>
      <c r="AW14" s="3">
        <f>IF($C$5="ON",BW14,MyRating(_E4,$B14,Efficacy!$F$1))</f>
        <v>2</v>
      </c>
      <c r="AX14" s="3">
        <f>IF($C$5="ON",BX14,MyRating(_E5,$B14,Efficacy!$F$1))</f>
        <v>3</v>
      </c>
      <c r="AY14" s="3">
        <f>IF($C$5="ON",BY14,MyRating(_E6,$B14,Efficacy!$F$1))</f>
        <v>2</v>
      </c>
      <c r="AZ14" s="3">
        <f>IF($C$5="ON",BZ14,MyRating(_E7,$B14,Efficacy!$F$1))</f>
        <v>2</v>
      </c>
      <c r="BA14" s="3">
        <f>IF($C$5="ON",CA14,MyRating(_E8,$B14,Efficacy!$F$1))</f>
        <v>2</v>
      </c>
      <c r="BB14" s="3">
        <f>IF($C$5="ON",CB14,MyRating(_S1,$B14,Efficacy!$F$1))</f>
        <v>4</v>
      </c>
      <c r="BC14" s="3">
        <f>IF($C$5="ON",CC14,MyRating(_S2,$B14,Efficacy!$F$1))</f>
        <v>2</v>
      </c>
      <c r="BD14" s="3">
        <f>IF($C$5="ON",CD14,MyRating(_S3,$B14,Efficacy!$F$1))</f>
        <v>2</v>
      </c>
      <c r="BE14" s="3">
        <f>IF($C$5="ON",CE14,MyRating(_S4,$B14,Efficacy!$F$1))</f>
        <v>4</v>
      </c>
      <c r="BF14" s="3">
        <f>IF($C$5="ON",CF14,MyRating(_S5,$B14,Efficacy!$F$1))</f>
        <v>4</v>
      </c>
      <c r="BG14" s="3">
        <f>IF($C$5="ON",CG14,MyRating(_S6,$B14,Efficacy!$F$1))</f>
        <v>2</v>
      </c>
      <c r="BH14" s="3">
        <f>IF($C$5="ON",CH14,MyRating(_S7,$B14,Efficacy!$F$1))</f>
        <v>2</v>
      </c>
      <c r="BI14" s="3">
        <f>IF($C$5="ON",CI14,MyRating(_D1,$B14,Efficacy!$F$1))</f>
        <v>3</v>
      </c>
      <c r="BJ14" s="3">
        <f>IF($C$5="ON",CJ14,MyRating(_D2,$B14,Efficacy!$F$1))</f>
        <v>3</v>
      </c>
      <c r="BK14" s="3">
        <f>IF($C$5="ON",CK14,MyRating(_D3,$B14,Efficacy!$F$1))</f>
        <v>3</v>
      </c>
      <c r="BL14" s="3">
        <f>IF($C$5="ON",CL14,MyRating(_D4,$B14,Efficacy!$F$1))</f>
        <v>3</v>
      </c>
      <c r="BM14" s="3">
        <f>IF($C$5="ON",CM14,MyRating(_B1,$B14,Barrier!$F$2))</f>
        <v>5</v>
      </c>
      <c r="BN14" s="3">
        <f>IF($C$5="ON",CN14,MyRating(_B2,$B14,Barrier!$F$2))</f>
        <v>3</v>
      </c>
      <c r="BO14" s="6">
        <f>IF($C$5="ON",CO14,MyRating(_B3,$B14,Barrier!$F$2))</f>
        <v>3</v>
      </c>
      <c r="BP14" s="5">
        <f t="shared" si="6"/>
        <v>3.4276163423804913E-2</v>
      </c>
      <c r="BQ14" s="8">
        <f t="shared" si="7"/>
        <v>3.0999999999999996</v>
      </c>
      <c r="BR14" s="5">
        <f t="shared" si="8"/>
        <v>3.3686498234175494E-2</v>
      </c>
      <c r="BS14" s="7">
        <f t="shared" si="9"/>
        <v>1.7098068051018597E-2</v>
      </c>
      <c r="BT14" s="4">
        <v>2</v>
      </c>
      <c r="BU14" s="3">
        <v>2</v>
      </c>
      <c r="BV14" s="3">
        <v>2</v>
      </c>
      <c r="BW14" s="3">
        <v>2</v>
      </c>
      <c r="BX14" s="3">
        <v>3</v>
      </c>
      <c r="BY14" s="3">
        <v>2</v>
      </c>
      <c r="BZ14" s="3">
        <v>2</v>
      </c>
      <c r="CA14" s="3">
        <v>2</v>
      </c>
      <c r="CB14" s="3">
        <v>4</v>
      </c>
      <c r="CC14" s="3">
        <v>2</v>
      </c>
      <c r="CD14" s="3">
        <v>2</v>
      </c>
      <c r="CE14" s="3">
        <v>4</v>
      </c>
      <c r="CF14" s="3">
        <v>4</v>
      </c>
      <c r="CG14" s="3">
        <v>2</v>
      </c>
      <c r="CH14" s="3">
        <v>2</v>
      </c>
      <c r="CI14" s="3">
        <v>3</v>
      </c>
      <c r="CJ14" s="3">
        <v>3</v>
      </c>
      <c r="CK14" s="3">
        <v>3</v>
      </c>
      <c r="CL14" s="3">
        <v>3</v>
      </c>
      <c r="CM14" s="3">
        <v>5</v>
      </c>
      <c r="CN14" s="3">
        <v>3</v>
      </c>
      <c r="CO14" s="6">
        <v>3</v>
      </c>
      <c r="CP14" s="5"/>
      <c r="CQ14" s="4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</row>
    <row r="15" spans="1:118" x14ac:dyDescent="0.35">
      <c r="A15" s="9" t="s">
        <v>5</v>
      </c>
      <c r="B15" s="9" t="s">
        <v>89</v>
      </c>
      <c r="C15" s="20"/>
      <c r="D15" s="9" t="s">
        <v>64</v>
      </c>
      <c r="E15" s="9"/>
      <c r="F15" s="9" t="s">
        <v>47</v>
      </c>
      <c r="G15" s="19">
        <v>0</v>
      </c>
      <c r="H15" s="9">
        <v>2014</v>
      </c>
      <c r="I15" s="9">
        <v>6</v>
      </c>
      <c r="J15" s="18">
        <f>INDEX(PTRS!$D$6:$D$12,MATCH('1'!$F15,PTRS!$B$6:$B$12,0))</f>
        <v>1</v>
      </c>
      <c r="K15" s="17">
        <v>1</v>
      </c>
      <c r="L15" s="17">
        <v>1</v>
      </c>
      <c r="M15" s="17">
        <f t="shared" si="0"/>
        <v>1</v>
      </c>
      <c r="N15" s="17">
        <f t="shared" si="1"/>
        <v>1</v>
      </c>
      <c r="O15" s="17">
        <v>1</v>
      </c>
      <c r="P15" s="17">
        <v>1</v>
      </c>
      <c r="Q15" s="17">
        <f t="shared" si="2"/>
        <v>1</v>
      </c>
      <c r="R15" s="17">
        <v>1</v>
      </c>
      <c r="S15" s="17">
        <v>1</v>
      </c>
      <c r="T15" s="17"/>
      <c r="U15" s="17">
        <f t="shared" si="3"/>
        <v>0.9614162825377699</v>
      </c>
      <c r="V15" s="17">
        <v>0.7</v>
      </c>
      <c r="W15" s="9" t="s">
        <v>54</v>
      </c>
      <c r="X15" s="9">
        <f>INDEX('Unique Asset List'!$C$4:$I$60,MATCH('1'!$B15,'Unique Asset List'!$A$4:$A$60,0),MATCH('1'!$C$1,'Unique Asset List'!$C$3:$I$3,0))</f>
        <v>2016</v>
      </c>
      <c r="Y15" s="9">
        <f>INDEX('Unique Asset List'!$J$4:$P$60,MATCH('1'!$B15,'Unique Asset List'!$A$4:$A$60,0),MATCH('1'!$C$1,'Unique Asset List'!$J$3:$P$3,0))</f>
        <v>3</v>
      </c>
      <c r="Z15" s="9">
        <f>INDEX('Unique Asset List'!$X$4:$AD$60,MATCH('1'!$B15,'Unique Asset List'!$A$4:$A$60,0),MATCH('1'!$C$1,'Unique Asset List'!$X$3:$AD$3,0))</f>
        <v>2029</v>
      </c>
      <c r="AA15" s="9">
        <f>INDEX('Unique Asset List'!$AE$4:$AK$60,MATCH('1'!$B15,'Unique Asset List'!$A$4:$A$60,0),MATCH('1'!$C$1,'Unique Asset List'!$AE$3:$AK$3,0))</f>
        <v>9</v>
      </c>
      <c r="AB15" s="16">
        <f t="shared" si="10"/>
        <v>1.4728487000000001</v>
      </c>
      <c r="AC15" s="16">
        <f t="shared" si="4"/>
        <v>0.82350590000000001</v>
      </c>
      <c r="AD15" s="16">
        <f t="shared" si="5"/>
        <v>0.52097279586</v>
      </c>
      <c r="AE15" s="15">
        <f>INDEX('Unique Asset List'!$BN$4:$BT$60,MATCH('1'!$B15,'Unique Asset List'!$A$4:$A$60,0),MATCH('1'!$C$1,'Unique Asset List'!$BN$3:$BT$3,0))</f>
        <v>0.15</v>
      </c>
      <c r="AF15" s="15">
        <f>INDEX('Unique Asset List'!$BU$4:$CA$60,MATCH('1'!$B15,'Unique Asset List'!$A$4:$A$60,0),MATCH('1'!$C$1,'Unique Asset List'!$BU$3:$CA$3,0))</f>
        <v>0.35</v>
      </c>
      <c r="AG15" s="15">
        <f>INDEX('Unique Asset List'!$AZ$4:$BF$60,MATCH('1'!$B15,'Unique Asset List'!$A$4:$A$60,0),MATCH('1'!$C$1,'Unique Asset List'!$AZ$3:$BF$3,0))</f>
        <v>0.15</v>
      </c>
      <c r="AH15" s="15">
        <f>INDEX('Unique Asset List'!$BG$4:$BM$60,MATCH('1'!$B15,'Unique Asset List'!$A$4:$A$60,0),MATCH('1'!$C$1,'Unique Asset List'!$BG$3:$BM$3,0))</f>
        <v>0.35</v>
      </c>
      <c r="AI15" s="11">
        <v>0.97304949785176587</v>
      </c>
      <c r="AJ15" s="15">
        <f>INDEX('Unique Asset List'!$AL$4:$AR$60,MATCH('1'!$B15,'Unique Asset List'!$A$4:$A$60,0),MATCH('1'!$C$1,'Unique Asset List'!$AL$3:$AR$3,0))</f>
        <v>1.6</v>
      </c>
      <c r="AK15" s="15">
        <f>INDEX('Unique Asset List'!$AS$4:$AY$60,MATCH('1'!$B15,'Unique Asset List'!$A$4:$A$60,0),MATCH('1'!$C$1,'Unique Asset List'!$AS$3:$AY$3,0))</f>
        <v>11.984388276878477</v>
      </c>
      <c r="AL15" s="9">
        <v>160</v>
      </c>
      <c r="AM15" s="14">
        <v>32.979999999999997</v>
      </c>
      <c r="AN15" s="12">
        <v>0.11</v>
      </c>
      <c r="AO15" s="13">
        <v>100</v>
      </c>
      <c r="AP15" s="11">
        <v>0.6</v>
      </c>
      <c r="AQ15" s="12">
        <v>-0.02</v>
      </c>
      <c r="AR15" s="11">
        <v>0.5</v>
      </c>
      <c r="AS15" s="10">
        <v>1</v>
      </c>
      <c r="AT15" s="4">
        <f>IF($C$5="ON",BT15,MyRating(_E1,$B15,Efficacy!$F$1))</f>
        <v>3</v>
      </c>
      <c r="AU15" s="3">
        <f>IF($C$5="ON",BU15,MyRating(_E2,$B15,Efficacy!$F$1))</f>
        <v>3</v>
      </c>
      <c r="AV15" s="3">
        <f>IF($C$5="ON",BV15,MyRating(_E3,$B15,Efficacy!$F$1))</f>
        <v>3</v>
      </c>
      <c r="AW15" s="3">
        <f>IF($C$5="ON",BW15,MyRating(_E4,$B15,Efficacy!$F$1))</f>
        <v>3</v>
      </c>
      <c r="AX15" s="3">
        <f>IF($C$5="ON",BX15,MyRating(_E5,$B15,Efficacy!$F$1))</f>
        <v>3</v>
      </c>
      <c r="AY15" s="3">
        <f>IF($C$5="ON",BY15,MyRating(_E6,$B15,Efficacy!$F$1))</f>
        <v>3</v>
      </c>
      <c r="AZ15" s="3">
        <f>IF($C$5="ON",BZ15,MyRating(_E7,$B15,Efficacy!$F$1))</f>
        <v>3</v>
      </c>
      <c r="BA15" s="3">
        <f>IF($C$5="ON",CA15,MyRating(_E8,$B15,Efficacy!$F$1))</f>
        <v>4</v>
      </c>
      <c r="BB15" s="3">
        <f>IF($C$5="ON",CB15,MyRating(_S1,$B15,Efficacy!$F$1))</f>
        <v>3</v>
      </c>
      <c r="BC15" s="3">
        <f>IF($C$5="ON",CC15,MyRating(_S2,$B15,Efficacy!$F$1))</f>
        <v>3</v>
      </c>
      <c r="BD15" s="3">
        <f>IF($C$5="ON",CD15,MyRating(_S3,$B15,Efficacy!$F$1))</f>
        <v>3</v>
      </c>
      <c r="BE15" s="3">
        <f>IF($C$5="ON",CE15,MyRating(_S4,$B15,Efficacy!$F$1))</f>
        <v>3</v>
      </c>
      <c r="BF15" s="3">
        <f>IF($C$5="ON",CF15,MyRating(_S5,$B15,Efficacy!$F$1))</f>
        <v>5</v>
      </c>
      <c r="BG15" s="3">
        <f>IF($C$5="ON",CG15,MyRating(_S6,$B15,Efficacy!$F$1))</f>
        <v>2</v>
      </c>
      <c r="BH15" s="3">
        <f>IF($C$5="ON",CH15,MyRating(_S7,$B15,Efficacy!$F$1))</f>
        <v>3</v>
      </c>
      <c r="BI15" s="3">
        <f>IF($C$5="ON",CI15,MyRating(_D1,$B15,Efficacy!$F$1))</f>
        <v>3</v>
      </c>
      <c r="BJ15" s="3">
        <f>IF($C$5="ON",CJ15,MyRating(_D2,$B15,Efficacy!$F$1))</f>
        <v>2</v>
      </c>
      <c r="BK15" s="3">
        <f>IF($C$5="ON",CK15,MyRating(_D3,$B15,Efficacy!$F$1))</f>
        <v>3</v>
      </c>
      <c r="BL15" s="3">
        <f>IF($C$5="ON",CL15,MyRating(_D4,$B15,Efficacy!$F$1))</f>
        <v>3</v>
      </c>
      <c r="BM15" s="3">
        <f>IF($C$5="ON",CM15,MyRating(_B1,$B15,Barrier!$F$2))</f>
        <v>3</v>
      </c>
      <c r="BN15" s="3">
        <f>IF($C$5="ON",CN15,MyRating(_B2,$B15,Barrier!$F$2))</f>
        <v>3</v>
      </c>
      <c r="BO15" s="6">
        <f>IF($C$5="ON",CO15,MyRating(_B3,$B15,Barrier!$F$2))</f>
        <v>3</v>
      </c>
      <c r="BP15" s="5">
        <f t="shared" si="6"/>
        <v>3.2953661618571599E-2</v>
      </c>
      <c r="BQ15" s="8">
        <f t="shared" si="7"/>
        <v>2.9999999999999996</v>
      </c>
      <c r="BR15" s="5">
        <f t="shared" si="8"/>
        <v>3.2599837000814993E-2</v>
      </c>
      <c r="BS15" s="7">
        <f t="shared" si="9"/>
        <v>1.6438361024188112E-2</v>
      </c>
      <c r="BT15" s="4">
        <v>3</v>
      </c>
      <c r="BU15" s="3">
        <v>3</v>
      </c>
      <c r="BV15" s="3">
        <v>3</v>
      </c>
      <c r="BW15" s="3">
        <v>3</v>
      </c>
      <c r="BX15" s="3">
        <v>3</v>
      </c>
      <c r="BY15" s="3">
        <v>3</v>
      </c>
      <c r="BZ15" s="3">
        <v>3</v>
      </c>
      <c r="CA15" s="3">
        <v>4</v>
      </c>
      <c r="CB15" s="3">
        <v>3</v>
      </c>
      <c r="CC15" s="3">
        <v>3</v>
      </c>
      <c r="CD15" s="3">
        <v>3</v>
      </c>
      <c r="CE15" s="3">
        <v>3</v>
      </c>
      <c r="CF15" s="3">
        <v>5</v>
      </c>
      <c r="CG15" s="3">
        <v>2</v>
      </c>
      <c r="CH15" s="3">
        <v>3</v>
      </c>
      <c r="CI15" s="3">
        <v>3</v>
      </c>
      <c r="CJ15" s="3">
        <v>2</v>
      </c>
      <c r="CK15" s="3">
        <v>3</v>
      </c>
      <c r="CL15" s="3">
        <v>3</v>
      </c>
      <c r="CM15" s="3">
        <v>3</v>
      </c>
      <c r="CN15" s="3">
        <v>3</v>
      </c>
      <c r="CO15" s="6">
        <v>3</v>
      </c>
      <c r="CP15" s="5"/>
      <c r="CQ15" s="4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</row>
    <row r="16" spans="1:118" x14ac:dyDescent="0.35">
      <c r="A16" s="9" t="s">
        <v>5</v>
      </c>
      <c r="B16" s="9" t="s">
        <v>88</v>
      </c>
      <c r="C16" s="20"/>
      <c r="D16" s="9" t="s">
        <v>87</v>
      </c>
      <c r="E16" s="9"/>
      <c r="F16" s="9" t="s">
        <v>86</v>
      </c>
      <c r="G16" s="19">
        <v>0</v>
      </c>
      <c r="H16" s="9">
        <v>2014</v>
      </c>
      <c r="I16" s="9">
        <v>6</v>
      </c>
      <c r="J16" s="18">
        <f>INDEX(PTRS!$D$6:$D$12,MATCH('1'!$F16,PTRS!$B$6:$B$12,0))</f>
        <v>0.9</v>
      </c>
      <c r="K16" s="17">
        <v>1</v>
      </c>
      <c r="L16" s="17">
        <v>1</v>
      </c>
      <c r="M16" s="18">
        <v>0.5</v>
      </c>
      <c r="N16" s="17">
        <v>0.5</v>
      </c>
      <c r="O16" s="17">
        <v>0.5</v>
      </c>
      <c r="P16" s="17">
        <v>0.9</v>
      </c>
      <c r="Q16" s="17">
        <f t="shared" si="2"/>
        <v>1</v>
      </c>
      <c r="R16" s="17">
        <v>1</v>
      </c>
      <c r="S16" s="17">
        <v>1</v>
      </c>
      <c r="T16" s="17"/>
      <c r="U16" s="17">
        <f t="shared" si="3"/>
        <v>0.28842784796423215</v>
      </c>
      <c r="V16" s="17">
        <v>1</v>
      </c>
      <c r="W16" s="9" t="s">
        <v>16</v>
      </c>
      <c r="X16" s="9">
        <f>INDEX('Unique Asset List'!$C$4:$I$60,MATCH('1'!$B16,'Unique Asset List'!$A$4:$A$60,0),MATCH('1'!$C$1,'Unique Asset List'!$C$3:$I$3,0))</f>
        <v>2018</v>
      </c>
      <c r="Y16" s="9">
        <f>INDEX('Unique Asset List'!$J$4:$P$60,MATCH('1'!$B16,'Unique Asset List'!$A$4:$A$60,0),MATCH('1'!$C$1,'Unique Asset List'!$J$3:$P$3,0))</f>
        <v>10</v>
      </c>
      <c r="Z16" s="9">
        <f>INDEX('Unique Asset List'!$X$4:$AD$60,MATCH('1'!$B16,'Unique Asset List'!$A$4:$A$60,0),MATCH('1'!$C$1,'Unique Asset List'!$X$3:$AD$3,0))</f>
        <v>2028</v>
      </c>
      <c r="AA16" s="9">
        <f>INDEX('Unique Asset List'!$AE$4:$AK$60,MATCH('1'!$B16,'Unique Asset List'!$A$4:$A$60,0),MATCH('1'!$C$1,'Unique Asset List'!$AE$3:$AK$3,0))</f>
        <v>7</v>
      </c>
      <c r="AB16" s="16">
        <f t="shared" si="10"/>
        <v>1.7937372</v>
      </c>
      <c r="AC16" s="16">
        <f t="shared" si="4"/>
        <v>0.91994010000000004</v>
      </c>
      <c r="AD16" s="16">
        <f t="shared" si="5"/>
        <v>0.31905939999999999</v>
      </c>
      <c r="AE16" s="15">
        <f>INDEX('Unique Asset List'!$BN$4:$BT$60,MATCH('1'!$B16,'Unique Asset List'!$A$4:$A$60,0),MATCH('1'!$C$1,'Unique Asset List'!$BN$3:$BT$3,0))</f>
        <v>0.15</v>
      </c>
      <c r="AF16" s="15">
        <f>INDEX('Unique Asset List'!$BU$4:$CA$60,MATCH('1'!$B16,'Unique Asset List'!$A$4:$A$60,0),MATCH('1'!$C$1,'Unique Asset List'!$BU$3:$CA$3,0))</f>
        <v>0.35</v>
      </c>
      <c r="AG16" s="15">
        <f>INDEX('Unique Asset List'!$AZ$4:$BF$60,MATCH('1'!$B16,'Unique Asset List'!$A$4:$A$60,0),MATCH('1'!$C$1,'Unique Asset List'!$AZ$3:$BF$3,0))</f>
        <v>0.15</v>
      </c>
      <c r="AH16" s="15">
        <f>INDEX('Unique Asset List'!$BG$4:$BM$60,MATCH('1'!$B16,'Unique Asset List'!$A$4:$A$60,0),MATCH('1'!$C$1,'Unique Asset List'!$BG$3:$BM$3,0))</f>
        <v>0.35</v>
      </c>
      <c r="AI16" s="11">
        <v>0.97304949785176587</v>
      </c>
      <c r="AJ16" s="15">
        <f>INDEX('Unique Asset List'!$AL$4:$AR$60,MATCH('1'!$B16,'Unique Asset List'!$A$4:$A$60,0),MATCH('1'!$C$1,'Unique Asset List'!$AL$3:$AR$3,0))</f>
        <v>1.2267192541321688</v>
      </c>
      <c r="AK16" s="15">
        <f>INDEX('Unique Asset List'!$AS$4:$AY$60,MATCH('1'!$B16,'Unique Asset List'!$A$4:$A$60,0),MATCH('1'!$C$1,'Unique Asset List'!$AS$3:$AY$3,0))</f>
        <v>11.984388276878477</v>
      </c>
      <c r="AL16" s="9">
        <v>160</v>
      </c>
      <c r="AM16" s="14">
        <f>INDEX(Simulation!$B$6:$H$6,MATCH($A16,Simulation!$B$1:$H$1,0))*(1+AN16)^((DATE(X16,Y16,15)-DATE(2017,1,15))/365.5)</f>
        <v>15.92833741557301</v>
      </c>
      <c r="AN16" s="12">
        <v>3.5000000000000003E-2</v>
      </c>
      <c r="AO16" s="13">
        <v>60</v>
      </c>
      <c r="AP16" s="11">
        <v>0.6</v>
      </c>
      <c r="AQ16" s="12">
        <v>-0.02</v>
      </c>
      <c r="AR16" s="11">
        <v>0.5</v>
      </c>
      <c r="AS16" s="10">
        <v>1</v>
      </c>
      <c r="AT16" s="4">
        <f>IF($C$5="ON",BT16,MyRating(_E1,$B16,Efficacy!$F$1))</f>
        <v>3</v>
      </c>
      <c r="AU16" s="3">
        <f>IF($C$5="ON",BU16,MyRating(_E2,$B16,Efficacy!$F$1))</f>
        <v>5</v>
      </c>
      <c r="AV16" s="3">
        <f>IF($C$5="ON",BV16,MyRating(_E3,$B16,Efficacy!$F$1))</f>
        <v>5</v>
      </c>
      <c r="AW16" s="3">
        <f>IF($C$5="ON",BW16,MyRating(_E4,$B16,Efficacy!$F$1))</f>
        <v>4</v>
      </c>
      <c r="AX16" s="3">
        <f>IF($C$5="ON",BX16,MyRating(_E5,$B16,Efficacy!$F$1))</f>
        <v>3</v>
      </c>
      <c r="AY16" s="3">
        <f>IF($C$5="ON",BY16,MyRating(_E6,$B16,Efficacy!$F$1))</f>
        <v>3</v>
      </c>
      <c r="AZ16" s="3">
        <f>IF($C$5="ON",BZ16,MyRating(_E7,$B16,Efficacy!$F$1))</f>
        <v>3</v>
      </c>
      <c r="BA16" s="3">
        <f>IF($C$5="ON",CA16,MyRating(_E8,$B16,Efficacy!$F$1))</f>
        <v>3</v>
      </c>
      <c r="BB16" s="3">
        <f>IF($C$5="ON",CB16,MyRating(_S1,$B16,Efficacy!$F$1))</f>
        <v>4</v>
      </c>
      <c r="BC16" s="3">
        <f>IF($C$5="ON",CC16,MyRating(_S2,$B16,Efficacy!$F$1))</f>
        <v>3</v>
      </c>
      <c r="BD16" s="3">
        <f>IF($C$5="ON",CD16,MyRating(_S3,$B16,Efficacy!$F$1))</f>
        <v>3</v>
      </c>
      <c r="BE16" s="3">
        <f>IF($C$5="ON",CE16,MyRating(_S4,$B16,Efficacy!$F$1))</f>
        <v>4</v>
      </c>
      <c r="BF16" s="3">
        <f>IF($C$5="ON",CF16,MyRating(_S5,$B16,Efficacy!$F$1))</f>
        <v>5</v>
      </c>
      <c r="BG16" s="3">
        <f>IF($C$5="ON",CG16,MyRating(_S6,$B16,Efficacy!$F$1))</f>
        <v>2</v>
      </c>
      <c r="BH16" s="3">
        <f>IF($C$5="ON",CH16,MyRating(_S7,$B16,Efficacy!$F$1))</f>
        <v>3</v>
      </c>
      <c r="BI16" s="3">
        <f>IF($C$5="ON",CI16,MyRating(_D1,$B16,Efficacy!$F$1))</f>
        <v>2</v>
      </c>
      <c r="BJ16" s="3">
        <f>IF($C$5="ON",CJ16,MyRating(_D2,$B16,Efficacy!$F$1))</f>
        <v>2</v>
      </c>
      <c r="BK16" s="3">
        <f>IF($C$5="ON",CK16,MyRating(_D3,$B16,Efficacy!$F$1))</f>
        <v>2</v>
      </c>
      <c r="BL16" s="3">
        <f>IF($C$5="ON",CL16,MyRating(_D4,$B16,Efficacy!$F$1))</f>
        <v>1</v>
      </c>
      <c r="BM16" s="3">
        <f>IF($C$5="ON",CM16,MyRating(_B1,$B16,Barrier!$F$2))</f>
        <v>3</v>
      </c>
      <c r="BN16" s="3">
        <f>IF($C$5="ON",CN16,MyRating(_B2,$B16,Barrier!$F$2))</f>
        <v>1</v>
      </c>
      <c r="BO16" s="6">
        <f>IF($C$5="ON",CO16,MyRating(_B3,$B16,Barrier!$F$2))</f>
        <v>1</v>
      </c>
      <c r="BP16" s="5">
        <f t="shared" si="6"/>
        <v>9.886200052798378E-3</v>
      </c>
      <c r="BQ16" s="8">
        <f t="shared" si="7"/>
        <v>1.1000000000000001</v>
      </c>
      <c r="BR16" s="5">
        <f t="shared" si="8"/>
        <v>1.1953273566965501E-2</v>
      </c>
      <c r="BS16" s="7">
        <f t="shared" si="9"/>
        <v>4.9315589723012863E-3</v>
      </c>
      <c r="BT16" s="4">
        <v>3</v>
      </c>
      <c r="BU16" s="3">
        <v>5</v>
      </c>
      <c r="BV16" s="3">
        <v>5</v>
      </c>
      <c r="BW16" s="3">
        <v>4</v>
      </c>
      <c r="BX16" s="3">
        <v>3</v>
      </c>
      <c r="BY16" s="3">
        <v>3</v>
      </c>
      <c r="BZ16" s="3">
        <v>3</v>
      </c>
      <c r="CA16" s="3">
        <v>3</v>
      </c>
      <c r="CB16" s="3">
        <v>4</v>
      </c>
      <c r="CC16" s="3">
        <v>3</v>
      </c>
      <c r="CD16" s="3">
        <v>3</v>
      </c>
      <c r="CE16" s="3">
        <v>4</v>
      </c>
      <c r="CF16" s="3">
        <v>5</v>
      </c>
      <c r="CG16" s="3">
        <v>2</v>
      </c>
      <c r="CH16" s="3">
        <v>3</v>
      </c>
      <c r="CI16" s="3">
        <v>2</v>
      </c>
      <c r="CJ16" s="3">
        <v>2</v>
      </c>
      <c r="CK16" s="3">
        <v>2</v>
      </c>
      <c r="CL16" s="3">
        <v>1</v>
      </c>
      <c r="CM16" s="3">
        <v>3</v>
      </c>
      <c r="CN16" s="3">
        <v>1</v>
      </c>
      <c r="CO16" s="6">
        <v>1</v>
      </c>
      <c r="CP16" s="5"/>
      <c r="CQ16" s="4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</row>
    <row r="17" spans="1:116" x14ac:dyDescent="0.35">
      <c r="A17" s="9" t="s">
        <v>5</v>
      </c>
      <c r="B17" s="9" t="s">
        <v>85</v>
      </c>
      <c r="C17" s="20"/>
      <c r="D17" s="9" t="s">
        <v>2</v>
      </c>
      <c r="E17" s="9"/>
      <c r="F17" s="9" t="s">
        <v>63</v>
      </c>
      <c r="G17" s="19">
        <v>0</v>
      </c>
      <c r="H17" s="9">
        <v>2014</v>
      </c>
      <c r="I17" s="9">
        <v>6</v>
      </c>
      <c r="J17" s="18">
        <f>INDEX(PTRS!$D$6:$D$12,MATCH('1'!$F17,PTRS!$B$6:$B$12,0))</f>
        <v>0.58500000000000008</v>
      </c>
      <c r="K17" s="17">
        <v>1</v>
      </c>
      <c r="L17" s="17">
        <v>1</v>
      </c>
      <c r="M17" s="17">
        <v>0.62</v>
      </c>
      <c r="N17" s="17">
        <f>IF(D17="Janssen",M17,J17)</f>
        <v>0.62</v>
      </c>
      <c r="O17" s="17">
        <v>0.62</v>
      </c>
      <c r="P17" s="17">
        <v>1</v>
      </c>
      <c r="Q17" s="17">
        <f t="shared" si="2"/>
        <v>1</v>
      </c>
      <c r="R17" s="17">
        <v>1</v>
      </c>
      <c r="S17" s="17">
        <v>1</v>
      </c>
      <c r="T17" s="17"/>
      <c r="U17" s="17">
        <f t="shared" si="3"/>
        <v>0.25725626938202822</v>
      </c>
      <c r="V17" s="17">
        <v>1</v>
      </c>
      <c r="W17" s="9" t="s">
        <v>62</v>
      </c>
      <c r="X17" s="9">
        <f>INDEX('Unique Asset List'!$C$4:$I$60,MATCH('1'!$B17,'Unique Asset List'!$A$4:$A$60,0),MATCH('1'!$C$1,'Unique Asset List'!$C$3:$I$3,0))</f>
        <v>2019</v>
      </c>
      <c r="Y17" s="9">
        <f>INDEX('Unique Asset List'!$J$4:$P$60,MATCH('1'!$B17,'Unique Asset List'!$A$4:$A$60,0),MATCH('1'!$C$1,'Unique Asset List'!$J$3:$P$3,0))</f>
        <v>5</v>
      </c>
      <c r="Z17" s="9">
        <f>INDEX('Unique Asset List'!$X$4:$AD$60,MATCH('1'!$B17,'Unique Asset List'!$A$4:$A$60,0),MATCH('1'!$C$1,'Unique Asset List'!$X$3:$AD$3,0))</f>
        <v>2026</v>
      </c>
      <c r="AA17" s="9">
        <f>INDEX('Unique Asset List'!$AE$4:$AK$60,MATCH('1'!$B17,'Unique Asset List'!$A$4:$A$60,0),MATCH('1'!$C$1,'Unique Asset List'!$AE$3:$AK$3,0))</f>
        <v>6</v>
      </c>
      <c r="AB17" s="16">
        <f t="shared" si="10"/>
        <v>2.1525883000000001</v>
      </c>
      <c r="AC17" s="16">
        <f t="shared" si="4"/>
        <v>0.91994010000000004</v>
      </c>
      <c r="AD17" s="16">
        <f t="shared" si="5"/>
        <v>0.35908660413999993</v>
      </c>
      <c r="AE17" s="15">
        <f>INDEX('Unique Asset List'!$BN$4:$BT$60,MATCH('1'!$B17,'Unique Asset List'!$A$4:$A$60,0),MATCH('1'!$C$1,'Unique Asset List'!$BN$3:$BT$3,0))</f>
        <v>0.22</v>
      </c>
      <c r="AF17" s="15">
        <f>INDEX('Unique Asset List'!$BU$4:$CA$60,MATCH('1'!$B17,'Unique Asset List'!$A$4:$A$60,0),MATCH('1'!$C$1,'Unique Asset List'!$BU$3:$CA$3,0))</f>
        <v>0.28000000000000003</v>
      </c>
      <c r="AG17" s="15">
        <f>INDEX('Unique Asset List'!$AZ$4:$BF$60,MATCH('1'!$B17,'Unique Asset List'!$A$4:$A$60,0),MATCH('1'!$C$1,'Unique Asset List'!$AZ$3:$BF$3,0))</f>
        <v>0.22</v>
      </c>
      <c r="AH17" s="15">
        <f>INDEX('Unique Asset List'!$BG$4:$BM$60,MATCH('1'!$B17,'Unique Asset List'!$A$4:$A$60,0),MATCH('1'!$C$1,'Unique Asset List'!$BG$3:$BM$3,0))</f>
        <v>0.28000000000000003</v>
      </c>
      <c r="AI17" s="11">
        <v>0.96187963349867744</v>
      </c>
      <c r="AJ17" s="15">
        <f>INDEX('Unique Asset List'!$AL$4:$AR$60,MATCH('1'!$B17,'Unique Asset List'!$A$4:$A$60,0),MATCH('1'!$C$1,'Unique Asset List'!$AL$3:$AR$3,0))</f>
        <v>1.2267192541321688</v>
      </c>
      <c r="AK17" s="15">
        <f>INDEX('Unique Asset List'!$AS$4:$AY$60,MATCH('1'!$B17,'Unique Asset List'!$A$4:$A$60,0),MATCH('1'!$C$1,'Unique Asset List'!$AS$3:$AY$3,0))</f>
        <v>-1.8</v>
      </c>
      <c r="AL17" s="9">
        <v>177.56756756756758</v>
      </c>
      <c r="AM17" s="14">
        <f>14000/365</f>
        <v>38.356164383561641</v>
      </c>
      <c r="AN17" s="12">
        <v>3.5000000000000003E-2</v>
      </c>
      <c r="AO17" s="13">
        <v>60</v>
      </c>
      <c r="AP17" s="11">
        <v>0.6</v>
      </c>
      <c r="AQ17" s="12">
        <v>-0.02</v>
      </c>
      <c r="AR17" s="11">
        <v>0.5</v>
      </c>
      <c r="AS17" s="10">
        <v>0.28383561643835614</v>
      </c>
      <c r="AT17" s="4">
        <f>IF($C$5="ON",BT17,MyRating(_E1,$B17,Efficacy!$F$1))</f>
        <v>5</v>
      </c>
      <c r="AU17" s="3">
        <f>IF($C$5="ON",BU17,MyRating(_E2,$B17,Efficacy!$F$1))</f>
        <v>5</v>
      </c>
      <c r="AV17" s="3">
        <f>IF($C$5="ON",BV17,MyRating(_E3,$B17,Efficacy!$F$1))</f>
        <v>5</v>
      </c>
      <c r="AW17" s="3">
        <f>IF($C$5="ON",BW17,MyRating(_E4,$B17,Efficacy!$F$1))</f>
        <v>5</v>
      </c>
      <c r="AX17" s="3">
        <f>IF($C$5="ON",BX17,MyRating(_E5,$B17,Efficacy!$F$1))</f>
        <v>3</v>
      </c>
      <c r="AY17" s="3">
        <f>IF($C$5="ON",BY17,MyRating(_E6,$B17,Efficacy!$F$1))</f>
        <v>3</v>
      </c>
      <c r="AZ17" s="3">
        <f>IF($C$5="ON",BZ17,MyRating(_E7,$B17,Efficacy!$F$1))</f>
        <v>4</v>
      </c>
      <c r="BA17" s="3">
        <f>IF($C$5="ON",CA17,MyRating(_E8,$B17,Efficacy!$F$1))</f>
        <v>5</v>
      </c>
      <c r="BB17" s="3">
        <f>IF($C$5="ON",CB17,MyRating(_S1,$B17,Efficacy!$F$1))</f>
        <v>4</v>
      </c>
      <c r="BC17" s="3">
        <f>IF($C$5="ON",CC17,MyRating(_S2,$B17,Efficacy!$F$1))</f>
        <v>3</v>
      </c>
      <c r="BD17" s="3">
        <f>IF($C$5="ON",CD17,MyRating(_S3,$B17,Efficacy!$F$1))</f>
        <v>3</v>
      </c>
      <c r="BE17" s="3">
        <f>IF($C$5="ON",CE17,MyRating(_S4,$B17,Efficacy!$F$1))</f>
        <v>4</v>
      </c>
      <c r="BF17" s="3">
        <f>IF($C$5="ON",CF17,MyRating(_S5,$B17,Efficacy!$F$1))</f>
        <v>5</v>
      </c>
      <c r="BG17" s="3">
        <f>IF($C$5="ON",CG17,MyRating(_S6,$B17,Efficacy!$F$1))</f>
        <v>2</v>
      </c>
      <c r="BH17" s="3">
        <f>IF($C$5="ON",CH17,MyRating(_S7,$B17,Efficacy!$F$1))</f>
        <v>3</v>
      </c>
      <c r="BI17" s="3">
        <f>IF($C$5="ON",CI17,MyRating(_D1,$B17,Efficacy!$F$1))</f>
        <v>2</v>
      </c>
      <c r="BJ17" s="3">
        <f>IF($C$5="ON",CJ17,MyRating(_D2,$B17,Efficacy!$F$1))</f>
        <v>3</v>
      </c>
      <c r="BK17" s="3">
        <f>IF($C$5="ON",CK17,MyRating(_D3,$B17,Efficacy!$F$1))</f>
        <v>2</v>
      </c>
      <c r="BL17" s="3">
        <f>IF($C$5="ON",CL17,MyRating(_D4,$B17,Efficacy!$F$1))</f>
        <v>1</v>
      </c>
      <c r="BM17" s="3">
        <f>IF($C$5="ON",CM17,MyRating(_B1,$B17,Barrier!$F$2))</f>
        <v>1</v>
      </c>
      <c r="BN17" s="3">
        <f>IF($C$5="ON",CN17,MyRating(_B2,$B17,Barrier!$F$2))</f>
        <v>1</v>
      </c>
      <c r="BO17" s="6">
        <f>IF($C$5="ON",CO17,MyRating(_B3,$B17,Barrier!$F$2))</f>
        <v>1</v>
      </c>
      <c r="BP17" s="5">
        <f t="shared" si="6"/>
        <v>8.8177579311367795E-3</v>
      </c>
      <c r="BQ17" s="8">
        <f t="shared" si="7"/>
        <v>1</v>
      </c>
      <c r="BR17" s="5">
        <f t="shared" si="8"/>
        <v>1.0866612333604999E-2</v>
      </c>
      <c r="BS17" s="7">
        <f t="shared" si="9"/>
        <v>4.3985852004450902E-3</v>
      </c>
      <c r="BT17" s="4">
        <v>5</v>
      </c>
      <c r="BU17" s="3">
        <v>5</v>
      </c>
      <c r="BV17" s="3">
        <v>5</v>
      </c>
      <c r="BW17" s="3">
        <v>5</v>
      </c>
      <c r="BX17" s="3">
        <v>3</v>
      </c>
      <c r="BY17" s="3">
        <v>3</v>
      </c>
      <c r="BZ17" s="3">
        <v>4</v>
      </c>
      <c r="CA17" s="3">
        <v>5</v>
      </c>
      <c r="CB17" s="3">
        <v>4</v>
      </c>
      <c r="CC17" s="3">
        <v>3</v>
      </c>
      <c r="CD17" s="3">
        <v>3</v>
      </c>
      <c r="CE17" s="3">
        <v>4</v>
      </c>
      <c r="CF17" s="3">
        <v>5</v>
      </c>
      <c r="CG17" s="3">
        <v>2</v>
      </c>
      <c r="CH17" s="3">
        <v>3</v>
      </c>
      <c r="CI17" s="3">
        <v>2</v>
      </c>
      <c r="CJ17" s="3">
        <v>3</v>
      </c>
      <c r="CK17" s="3">
        <v>2</v>
      </c>
      <c r="CL17" s="3">
        <v>1</v>
      </c>
      <c r="CM17" s="3">
        <v>1</v>
      </c>
      <c r="CN17" s="3">
        <v>1</v>
      </c>
      <c r="CO17" s="6">
        <v>1</v>
      </c>
      <c r="CP17" s="5"/>
      <c r="CQ17" s="4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</row>
    <row r="18" spans="1:116" x14ac:dyDescent="0.35">
      <c r="A18" s="9" t="s">
        <v>5</v>
      </c>
      <c r="B18" s="9" t="s">
        <v>84</v>
      </c>
      <c r="C18" s="20"/>
      <c r="D18" s="9" t="s">
        <v>64</v>
      </c>
      <c r="E18" s="9"/>
      <c r="F18" s="9" t="s">
        <v>63</v>
      </c>
      <c r="G18" s="19">
        <v>0</v>
      </c>
      <c r="H18" s="9">
        <v>2014</v>
      </c>
      <c r="I18" s="9">
        <v>6</v>
      </c>
      <c r="J18" s="18">
        <f>INDEX(PTRS!$D$6:$D$12,MATCH('1'!$F18,PTRS!$B$6:$B$12,0))</f>
        <v>0.58500000000000008</v>
      </c>
      <c r="K18" s="17">
        <v>0</v>
      </c>
      <c r="L18" s="17">
        <v>0</v>
      </c>
      <c r="M18" s="18">
        <v>0.2</v>
      </c>
      <c r="N18" s="17">
        <v>0.58500000000000008</v>
      </c>
      <c r="O18" s="17">
        <v>0.58500000000000008</v>
      </c>
      <c r="P18" s="17">
        <f>J18/2</f>
        <v>0.29250000000000004</v>
      </c>
      <c r="Q18" s="17">
        <f t="shared" si="2"/>
        <v>1</v>
      </c>
      <c r="R18" s="17">
        <v>0.29250000000000004</v>
      </c>
      <c r="S18" s="17">
        <v>1</v>
      </c>
      <c r="T18" s="17"/>
      <c r="U18" s="17">
        <f t="shared" si="3"/>
        <v>0.25725626938202822</v>
      </c>
      <c r="V18" s="17">
        <v>1</v>
      </c>
      <c r="W18" s="9" t="s">
        <v>62</v>
      </c>
      <c r="X18" s="9">
        <f>INDEX('Unique Asset List'!$C$4:$I$60,MATCH('1'!$B18,'Unique Asset List'!$A$4:$A$60,0),MATCH('1'!$C$1,'Unique Asset List'!$C$3:$I$3,0))</f>
        <v>2021</v>
      </c>
      <c r="Y18" s="9">
        <f>INDEX('Unique Asset List'!$J$4:$P$60,MATCH('1'!$B18,'Unique Asset List'!$A$4:$A$60,0),MATCH('1'!$C$1,'Unique Asset List'!$J$3:$P$3,0))</f>
        <v>6</v>
      </c>
      <c r="Z18" s="9">
        <f>INDEX('Unique Asset List'!$X$4:$AD$60,MATCH('1'!$B18,'Unique Asset List'!$A$4:$A$60,0),MATCH('1'!$C$1,'Unique Asset List'!$X$3:$AD$3,0))</f>
        <v>2031</v>
      </c>
      <c r="AA18" s="9">
        <f>INDEX('Unique Asset List'!$AE$4:$AK$60,MATCH('1'!$B18,'Unique Asset List'!$A$4:$A$60,0),MATCH('1'!$C$1,'Unique Asset List'!$AE$3:$AK$3,0))</f>
        <v>7</v>
      </c>
      <c r="AB18" s="16">
        <f t="shared" si="10"/>
        <v>1.4482758</v>
      </c>
      <c r="AC18" s="16">
        <f t="shared" si="4"/>
        <v>0.73148930000000001</v>
      </c>
      <c r="AD18" s="16">
        <f t="shared" si="5"/>
        <v>0.52867185888000001</v>
      </c>
      <c r="AE18" s="15">
        <f>INDEX('Unique Asset List'!$BN$4:$BT$60,MATCH('1'!$B18,'Unique Asset List'!$A$4:$A$60,0),MATCH('1'!$C$1,'Unique Asset List'!$BN$3:$BT$3,0))</f>
        <v>0.22</v>
      </c>
      <c r="AF18" s="15">
        <f>INDEX('Unique Asset List'!$BU$4:$CA$60,MATCH('1'!$B18,'Unique Asset List'!$A$4:$A$60,0),MATCH('1'!$C$1,'Unique Asset List'!$BU$3:$CA$3,0))</f>
        <v>0.28000000000000003</v>
      </c>
      <c r="AG18" s="15">
        <f>INDEX('Unique Asset List'!$AZ$4:$BF$60,MATCH('1'!$B18,'Unique Asset List'!$A$4:$A$60,0),MATCH('1'!$C$1,'Unique Asset List'!$AZ$3:$BF$3,0))</f>
        <v>0.22</v>
      </c>
      <c r="AH18" s="15">
        <f>INDEX('Unique Asset List'!$BG$4:$BM$60,MATCH('1'!$B18,'Unique Asset List'!$A$4:$A$60,0),MATCH('1'!$C$1,'Unique Asset List'!$BG$3:$BM$3,0))</f>
        <v>0.28000000000000003</v>
      </c>
      <c r="AI18" s="11">
        <v>0.97304949785176587</v>
      </c>
      <c r="AJ18" s="15">
        <f>INDEX('Unique Asset List'!$AL$4:$AR$60,MATCH('1'!$B18,'Unique Asset List'!$A$4:$A$60,0),MATCH('1'!$C$1,'Unique Asset List'!$AL$3:$AR$3,0))</f>
        <v>1.2267192541321688</v>
      </c>
      <c r="AK18" s="15">
        <f>INDEX('Unique Asset List'!$AS$4:$AY$60,MATCH('1'!$B18,'Unique Asset List'!$A$4:$A$60,0),MATCH('1'!$C$1,'Unique Asset List'!$AS$3:$AY$3,0))</f>
        <v>11.984388276878477</v>
      </c>
      <c r="AL18" s="9">
        <v>160</v>
      </c>
      <c r="AM18" s="14">
        <f>14000/365</f>
        <v>38.356164383561641</v>
      </c>
      <c r="AN18" s="12">
        <v>3.5000000000000003E-2</v>
      </c>
      <c r="AO18" s="13">
        <v>60</v>
      </c>
      <c r="AP18" s="11">
        <v>0.6</v>
      </c>
      <c r="AQ18" s="12">
        <v>-0.02</v>
      </c>
      <c r="AR18" s="11">
        <v>0.5</v>
      </c>
      <c r="AS18" s="10">
        <v>1</v>
      </c>
      <c r="AT18" s="4">
        <f>IF($C$5="ON",BT18,MyRating(_E1,$B18,Efficacy!$F$1))</f>
        <v>3</v>
      </c>
      <c r="AU18" s="3">
        <f>IF($C$5="ON",BU18,MyRating(_E2,$B18,Efficacy!$F$1))</f>
        <v>3</v>
      </c>
      <c r="AV18" s="3">
        <f>IF($C$5="ON",BV18,MyRating(_E3,$B18,Efficacy!$F$1))</f>
        <v>3</v>
      </c>
      <c r="AW18" s="3">
        <f>IF($C$5="ON",BW18,MyRating(_E4,$B18,Efficacy!$F$1))</f>
        <v>3</v>
      </c>
      <c r="AX18" s="3">
        <f>IF($C$5="ON",BX18,MyRating(_E5,$B18,Efficacy!$F$1))</f>
        <v>3</v>
      </c>
      <c r="AY18" s="3">
        <f>IF($C$5="ON",BY18,MyRating(_E6,$B18,Efficacy!$F$1))</f>
        <v>3</v>
      </c>
      <c r="AZ18" s="3">
        <f>IF($C$5="ON",BZ18,MyRating(_E7,$B18,Efficacy!$F$1))</f>
        <v>3</v>
      </c>
      <c r="BA18" s="3">
        <f>IF($C$5="ON",CA18,MyRating(_E8,$B18,Efficacy!$F$1))</f>
        <v>3</v>
      </c>
      <c r="BB18" s="3">
        <f>IF($C$5="ON",CB18,MyRating(_S1,$B18,Efficacy!$F$1))</f>
        <v>3</v>
      </c>
      <c r="BC18" s="3">
        <f>IF($C$5="ON",CC18,MyRating(_S2,$B18,Efficacy!$F$1))</f>
        <v>3</v>
      </c>
      <c r="BD18" s="3">
        <f>IF($C$5="ON",CD18,MyRating(_S3,$B18,Efficacy!$F$1))</f>
        <v>3</v>
      </c>
      <c r="BE18" s="3">
        <f>IF($C$5="ON",CE18,MyRating(_S4,$B18,Efficacy!$F$1))</f>
        <v>3</v>
      </c>
      <c r="BF18" s="3">
        <f>IF($C$5="ON",CF18,MyRating(_S5,$B18,Efficacy!$F$1))</f>
        <v>3</v>
      </c>
      <c r="BG18" s="3">
        <f>IF($C$5="ON",CG18,MyRating(_S6,$B18,Efficacy!$F$1))</f>
        <v>2</v>
      </c>
      <c r="BH18" s="3">
        <f>IF($C$5="ON",CH18,MyRating(_S7,$B18,Efficacy!$F$1))</f>
        <v>3</v>
      </c>
      <c r="BI18" s="3">
        <f>IF($C$5="ON",CI18,MyRating(_D1,$B18,Efficacy!$F$1))</f>
        <v>3</v>
      </c>
      <c r="BJ18" s="3">
        <f>IF($C$5="ON",CJ18,MyRating(_D2,$B18,Efficacy!$F$1))</f>
        <v>3</v>
      </c>
      <c r="BK18" s="3">
        <f>IF($C$5="ON",CK18,MyRating(_D3,$B18,Efficacy!$F$1))</f>
        <v>2</v>
      </c>
      <c r="BL18" s="3">
        <f>IF($C$5="ON",CL18,MyRating(_D4,$B18,Efficacy!$F$1))</f>
        <v>3</v>
      </c>
      <c r="BM18" s="3">
        <f>IF($C$5="ON",CM18,MyRating(_B1,$B18,Barrier!$F$2))</f>
        <v>1</v>
      </c>
      <c r="BN18" s="3">
        <f>IF($C$5="ON",CN18,MyRating(_B2,$B18,Barrier!$F$2))</f>
        <v>1</v>
      </c>
      <c r="BO18" s="6">
        <f>IF($C$5="ON",CO18,MyRating(_B3,$B18,Barrier!$F$2))</f>
        <v>1</v>
      </c>
      <c r="BP18" s="5">
        <f t="shared" si="6"/>
        <v>8.8177579311367795E-3</v>
      </c>
      <c r="BQ18" s="8">
        <f t="shared" si="7"/>
        <v>1</v>
      </c>
      <c r="BR18" s="5">
        <f t="shared" si="8"/>
        <v>1.0866612333604999E-2</v>
      </c>
      <c r="BS18" s="7">
        <f t="shared" si="9"/>
        <v>4.3985852004450902E-3</v>
      </c>
      <c r="BT18" s="4">
        <v>3</v>
      </c>
      <c r="BU18" s="3">
        <v>3</v>
      </c>
      <c r="BV18" s="3">
        <v>3</v>
      </c>
      <c r="BW18" s="3">
        <v>3</v>
      </c>
      <c r="BX18" s="3">
        <v>3</v>
      </c>
      <c r="BY18" s="3">
        <v>3</v>
      </c>
      <c r="BZ18" s="3">
        <v>3</v>
      </c>
      <c r="CA18" s="3">
        <v>3</v>
      </c>
      <c r="CB18" s="3">
        <v>3</v>
      </c>
      <c r="CC18" s="3">
        <v>3</v>
      </c>
      <c r="CD18" s="3">
        <v>3</v>
      </c>
      <c r="CE18" s="3">
        <v>3</v>
      </c>
      <c r="CF18" s="3">
        <v>3</v>
      </c>
      <c r="CG18" s="3">
        <v>2</v>
      </c>
      <c r="CH18" s="3">
        <v>3</v>
      </c>
      <c r="CI18" s="3">
        <v>3</v>
      </c>
      <c r="CJ18" s="3">
        <v>3</v>
      </c>
      <c r="CK18" s="3">
        <v>2</v>
      </c>
      <c r="CL18" s="3">
        <v>3</v>
      </c>
      <c r="CM18" s="3">
        <v>1</v>
      </c>
      <c r="CN18" s="3">
        <v>1</v>
      </c>
      <c r="CO18" s="6">
        <v>1</v>
      </c>
      <c r="CP18" s="5"/>
      <c r="CQ18" s="4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</row>
    <row r="19" spans="1:116" x14ac:dyDescent="0.35">
      <c r="A19" s="9" t="s">
        <v>5</v>
      </c>
      <c r="B19" s="9" t="s">
        <v>83</v>
      </c>
      <c r="C19" s="20"/>
      <c r="D19" s="9" t="s">
        <v>82</v>
      </c>
      <c r="E19" s="9"/>
      <c r="F19" s="9" t="s">
        <v>63</v>
      </c>
      <c r="G19" s="19">
        <v>0</v>
      </c>
      <c r="H19" s="9">
        <v>2014</v>
      </c>
      <c r="I19" s="9">
        <v>6</v>
      </c>
      <c r="J19" s="18">
        <f>INDEX(PTRS!$D$6:$D$12,MATCH('1'!$F19,PTRS!$B$6:$B$12,0))</f>
        <v>0.58500000000000008</v>
      </c>
      <c r="K19" s="17">
        <v>1</v>
      </c>
      <c r="L19" s="17">
        <v>0</v>
      </c>
      <c r="M19" s="18">
        <f>J19/3</f>
        <v>0.19500000000000003</v>
      </c>
      <c r="N19" s="17">
        <f t="shared" ref="N19:N50" si="11">IF(D19="Janssen",M19,J19)</f>
        <v>0.58500000000000008</v>
      </c>
      <c r="O19" s="17">
        <v>0.58500000000000008</v>
      </c>
      <c r="P19" s="17">
        <v>0.58500000000000008</v>
      </c>
      <c r="Q19" s="17">
        <f t="shared" si="2"/>
        <v>1</v>
      </c>
      <c r="R19" s="17">
        <v>0.58500000000000008</v>
      </c>
      <c r="S19" s="17">
        <v>1</v>
      </c>
      <c r="T19" s="17"/>
      <c r="U19" s="17">
        <f t="shared" si="3"/>
        <v>0.9614162825377699</v>
      </c>
      <c r="V19" s="17">
        <v>1</v>
      </c>
      <c r="W19" s="9" t="s">
        <v>81</v>
      </c>
      <c r="X19" s="9">
        <f>INDEX('Unique Asset List'!$C$4:$I$60,MATCH('1'!$B19,'Unique Asset List'!$A$4:$A$60,0),MATCH('1'!$C$1,'Unique Asset List'!$C$3:$I$3,0))</f>
        <v>2021</v>
      </c>
      <c r="Y19" s="9">
        <f>INDEX('Unique Asset List'!$J$4:$P$60,MATCH('1'!$B19,'Unique Asset List'!$A$4:$A$60,0),MATCH('1'!$C$1,'Unique Asset List'!$J$3:$P$3,0))</f>
        <v>3</v>
      </c>
      <c r="Z19" s="9">
        <f>INDEX('Unique Asset List'!$X$4:$AD$60,MATCH('1'!$B19,'Unique Asset List'!$A$4:$A$60,0),MATCH('1'!$C$1,'Unique Asset List'!$X$3:$AD$3,0))</f>
        <v>2029</v>
      </c>
      <c r="AA19" s="9">
        <f>INDEX('Unique Asset List'!$AE$4:$AK$60,MATCH('1'!$B19,'Unique Asset List'!$A$4:$A$60,0),MATCH('1'!$C$1,'Unique Asset List'!$AE$3:$AK$3,0))</f>
        <v>7</v>
      </c>
      <c r="AB19" s="16">
        <f t="shared" si="10"/>
        <v>1.4482758</v>
      </c>
      <c r="AC19" s="16">
        <f t="shared" si="4"/>
        <v>0.97325250000000008</v>
      </c>
      <c r="AD19" s="16">
        <f t="shared" si="5"/>
        <v>0.38169906301999995</v>
      </c>
      <c r="AE19" s="15">
        <f>INDEX('Unique Asset List'!$BN$4:$BT$60,MATCH('1'!$B19,'Unique Asset List'!$A$4:$A$60,0),MATCH('1'!$C$1,'Unique Asset List'!$BN$3:$BT$3,0))</f>
        <v>0.15</v>
      </c>
      <c r="AF19" s="15">
        <f>INDEX('Unique Asset List'!$BU$4:$CA$60,MATCH('1'!$B19,'Unique Asset List'!$A$4:$A$60,0),MATCH('1'!$C$1,'Unique Asset List'!$BU$3:$CA$3,0))</f>
        <v>0.35</v>
      </c>
      <c r="AG19" s="15">
        <f>INDEX('Unique Asset List'!$AZ$4:$BF$60,MATCH('1'!$B19,'Unique Asset List'!$A$4:$A$60,0),MATCH('1'!$C$1,'Unique Asset List'!$AZ$3:$BF$3,0))</f>
        <v>0.15</v>
      </c>
      <c r="AH19" s="15">
        <f>INDEX('Unique Asset List'!$BG$4:$BM$60,MATCH('1'!$B19,'Unique Asset List'!$A$4:$A$60,0),MATCH('1'!$C$1,'Unique Asset List'!$BG$3:$BM$3,0))</f>
        <v>0.35</v>
      </c>
      <c r="AI19" s="11">
        <v>0.97304949785176587</v>
      </c>
      <c r="AJ19" s="15">
        <f>INDEX('Unique Asset List'!$AL$4:$AR$60,MATCH('1'!$B19,'Unique Asset List'!$A$4:$A$60,0),MATCH('1'!$C$1,'Unique Asset List'!$AL$3:$AR$3,0))</f>
        <v>1.2267192541321688</v>
      </c>
      <c r="AK19" s="15">
        <f>INDEX('Unique Asset List'!$AS$4:$AY$60,MATCH('1'!$B19,'Unique Asset List'!$A$4:$A$60,0),MATCH('1'!$C$1,'Unique Asset List'!$AS$3:$AY$3,0))</f>
        <v>11.984388276878477</v>
      </c>
      <c r="AL19" s="9">
        <v>160</v>
      </c>
      <c r="AM19" s="14">
        <f>INDEX(Simulation!$B$6:$H$6,MATCH($A19,Simulation!$B$1:$H$1,0))*(1+AN19)^((DATE(X19,Y19,15)-DATE(2017,1,15))/365.5)</f>
        <v>17.307067739024401</v>
      </c>
      <c r="AN19" s="12">
        <v>3.5000000000000003E-2</v>
      </c>
      <c r="AO19" s="13">
        <v>60</v>
      </c>
      <c r="AP19" s="11">
        <v>0.6</v>
      </c>
      <c r="AQ19" s="12">
        <v>-0.02</v>
      </c>
      <c r="AR19" s="11">
        <v>0.5</v>
      </c>
      <c r="AS19" s="10">
        <v>1</v>
      </c>
      <c r="AT19" s="4">
        <f>IF($C$5="ON",BT19,MyRating(_E1,$B19,Efficacy!$F$1))</f>
        <v>3</v>
      </c>
      <c r="AU19" s="3">
        <f>IF($C$5="ON",BU19,MyRating(_E2,$B19,Efficacy!$F$1))</f>
        <v>3</v>
      </c>
      <c r="AV19" s="3">
        <f>IF($C$5="ON",BV19,MyRating(_E3,$B19,Efficacy!$F$1))</f>
        <v>3</v>
      </c>
      <c r="AW19" s="3">
        <f>IF($C$5="ON",BW19,MyRating(_E4,$B19,Efficacy!$F$1))</f>
        <v>3</v>
      </c>
      <c r="AX19" s="3">
        <f>IF($C$5="ON",BX19,MyRating(_E5,$B19,Efficacy!$F$1))</f>
        <v>3</v>
      </c>
      <c r="AY19" s="3">
        <f>IF($C$5="ON",BY19,MyRating(_E6,$B19,Efficacy!$F$1))</f>
        <v>3</v>
      </c>
      <c r="AZ19" s="3">
        <f>IF($C$5="ON",BZ19,MyRating(_E7,$B19,Efficacy!$F$1))</f>
        <v>3</v>
      </c>
      <c r="BA19" s="3">
        <f>IF($C$5="ON",CA19,MyRating(_E8,$B19,Efficacy!$F$1))</f>
        <v>3</v>
      </c>
      <c r="BB19" s="3">
        <f>IF($C$5="ON",CB19,MyRating(_S1,$B19,Efficacy!$F$1))</f>
        <v>4</v>
      </c>
      <c r="BC19" s="3">
        <f>IF($C$5="ON",CC19,MyRating(_S2,$B19,Efficacy!$F$1))</f>
        <v>3</v>
      </c>
      <c r="BD19" s="3">
        <f>IF($C$5="ON",CD19,MyRating(_S3,$B19,Efficacy!$F$1))</f>
        <v>3</v>
      </c>
      <c r="BE19" s="3">
        <f>IF($C$5="ON",CE19,MyRating(_S4,$B19,Efficacy!$F$1))</f>
        <v>4</v>
      </c>
      <c r="BF19" s="3">
        <f>IF($C$5="ON",CF19,MyRating(_S5,$B19,Efficacy!$F$1))</f>
        <v>5</v>
      </c>
      <c r="BG19" s="3">
        <f>IF($C$5="ON",CG19,MyRating(_S6,$B19,Efficacy!$F$1))</f>
        <v>3</v>
      </c>
      <c r="BH19" s="3">
        <f>IF($C$5="ON",CH19,MyRating(_S7,$B19,Efficacy!$F$1))</f>
        <v>4</v>
      </c>
      <c r="BI19" s="3">
        <f>IF($C$5="ON",CI19,MyRating(_D1,$B19,Efficacy!$F$1))</f>
        <v>2</v>
      </c>
      <c r="BJ19" s="3">
        <f>IF($C$5="ON",CJ19,MyRating(_D2,$B19,Efficacy!$F$1))</f>
        <v>3</v>
      </c>
      <c r="BK19" s="3">
        <f>IF($C$5="ON",CK19,MyRating(_D3,$B19,Efficacy!$F$1))</f>
        <v>1</v>
      </c>
      <c r="BL19" s="3">
        <f>IF($C$5="ON",CL19,MyRating(_D4,$B19,Efficacy!$F$1))</f>
        <v>2</v>
      </c>
      <c r="BM19" s="3">
        <f>IF($C$5="ON",CM19,MyRating(_B1,$B19,Barrier!$F$2))</f>
        <v>3</v>
      </c>
      <c r="BN19" s="3">
        <f>IF($C$5="ON",CN19,MyRating(_B2,$B19,Barrier!$F$2))</f>
        <v>3</v>
      </c>
      <c r="BO19" s="6">
        <f>IF($C$5="ON",CO19,MyRating(_B3,$B19,Barrier!$F$2))</f>
        <v>3</v>
      </c>
      <c r="BP19" s="5">
        <f t="shared" si="6"/>
        <v>3.2953661618571599E-2</v>
      </c>
      <c r="BQ19" s="8">
        <f t="shared" si="7"/>
        <v>2.9999999999999996</v>
      </c>
      <c r="BR19" s="5">
        <f t="shared" si="8"/>
        <v>3.2599837000814993E-2</v>
      </c>
      <c r="BS19" s="7">
        <f t="shared" si="9"/>
        <v>1.6438361024188112E-2</v>
      </c>
      <c r="BT19" s="4">
        <v>3</v>
      </c>
      <c r="BU19" s="3">
        <v>3</v>
      </c>
      <c r="BV19" s="3">
        <v>3</v>
      </c>
      <c r="BW19" s="3">
        <v>3</v>
      </c>
      <c r="BX19" s="3">
        <v>3</v>
      </c>
      <c r="BY19" s="3">
        <v>3</v>
      </c>
      <c r="BZ19" s="3">
        <v>3</v>
      </c>
      <c r="CA19" s="3">
        <v>3</v>
      </c>
      <c r="CB19" s="3">
        <v>4</v>
      </c>
      <c r="CC19" s="3">
        <v>3</v>
      </c>
      <c r="CD19" s="3">
        <v>3</v>
      </c>
      <c r="CE19" s="3">
        <v>4</v>
      </c>
      <c r="CF19" s="3">
        <v>5</v>
      </c>
      <c r="CG19" s="3">
        <v>3</v>
      </c>
      <c r="CH19" s="3">
        <v>4</v>
      </c>
      <c r="CI19" s="3">
        <v>2</v>
      </c>
      <c r="CJ19" s="3">
        <v>3</v>
      </c>
      <c r="CK19" s="3">
        <v>1</v>
      </c>
      <c r="CL19" s="3">
        <v>2</v>
      </c>
      <c r="CM19" s="3">
        <v>3</v>
      </c>
      <c r="CN19" s="3">
        <v>3</v>
      </c>
      <c r="CO19" s="6">
        <v>3</v>
      </c>
      <c r="CP19" s="5"/>
      <c r="CQ19" s="4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</row>
    <row r="20" spans="1:116" x14ac:dyDescent="0.35">
      <c r="A20" s="9" t="s">
        <v>5</v>
      </c>
      <c r="B20" s="9" t="s">
        <v>80</v>
      </c>
      <c r="C20" s="20"/>
      <c r="D20" s="9" t="s">
        <v>79</v>
      </c>
      <c r="E20" s="9"/>
      <c r="F20" s="9" t="s">
        <v>43</v>
      </c>
      <c r="G20" s="19">
        <v>0</v>
      </c>
      <c r="H20" s="9">
        <v>2014</v>
      </c>
      <c r="I20" s="9">
        <v>6</v>
      </c>
      <c r="J20" s="18">
        <f>INDEX(PTRS!$D$6:$D$12,MATCH('1'!$F20,PTRS!$B$6:$B$12,0))</f>
        <v>0.40949999999999998</v>
      </c>
      <c r="K20" s="17">
        <v>0</v>
      </c>
      <c r="L20" s="17">
        <v>0</v>
      </c>
      <c r="M20" s="18">
        <f>J20/3</f>
        <v>0.13649999999999998</v>
      </c>
      <c r="N20" s="17">
        <f t="shared" si="11"/>
        <v>0.40949999999999998</v>
      </c>
      <c r="O20" s="17">
        <v>0.40949999999999998</v>
      </c>
      <c r="P20" s="17">
        <v>0.40949999999999998</v>
      </c>
      <c r="Q20" s="17">
        <f t="shared" si="2"/>
        <v>0</v>
      </c>
      <c r="R20" s="17">
        <v>0.41</v>
      </c>
      <c r="S20" s="17">
        <v>1</v>
      </c>
      <c r="T20" s="17"/>
      <c r="U20" s="17">
        <f t="shared" si="3"/>
        <v>0.9614162825377699</v>
      </c>
      <c r="V20" s="17">
        <v>1</v>
      </c>
      <c r="W20" s="9" t="s">
        <v>62</v>
      </c>
      <c r="X20" s="9">
        <f>INDEX('Unique Asset List'!$C$4:$I$60,MATCH('1'!$B20,'Unique Asset List'!$A$4:$A$60,0),MATCH('1'!$C$1,'Unique Asset List'!$C$3:$I$3,0))</f>
        <v>2022</v>
      </c>
      <c r="Y20" s="9">
        <f>INDEX('Unique Asset List'!$J$4:$P$60,MATCH('1'!$B20,'Unique Asset List'!$A$4:$A$60,0),MATCH('1'!$C$1,'Unique Asset List'!$J$3:$P$3,0))</f>
        <v>7</v>
      </c>
      <c r="Z20" s="9">
        <f>INDEX('Unique Asset List'!$X$4:$AD$60,MATCH('1'!$B20,'Unique Asset List'!$A$4:$A$60,0),MATCH('1'!$C$1,'Unique Asset List'!$X$3:$AD$3,0))</f>
        <v>2032</v>
      </c>
      <c r="AA20" s="9">
        <f>INDEX('Unique Asset List'!$AE$4:$AK$60,MATCH('1'!$B20,'Unique Asset List'!$A$4:$A$60,0),MATCH('1'!$C$1,'Unique Asset List'!$AE$3:$AK$3,0))</f>
        <v>7</v>
      </c>
      <c r="AB20" s="16">
        <f t="shared" si="10"/>
        <v>1.7116560000000001</v>
      </c>
      <c r="AC20" s="16">
        <f t="shared" si="4"/>
        <v>0.88497580000000009</v>
      </c>
      <c r="AD20" s="16">
        <f t="shared" si="5"/>
        <v>0.56099999999999994</v>
      </c>
      <c r="AE20" s="15">
        <f>INDEX('Unique Asset List'!$BN$4:$BT$60,MATCH('1'!$B20,'Unique Asset List'!$A$4:$A$60,0),MATCH('1'!$C$1,'Unique Asset List'!$BN$3:$BT$3,0))</f>
        <v>0.22</v>
      </c>
      <c r="AF20" s="15">
        <f>INDEX('Unique Asset List'!$BU$4:$CA$60,MATCH('1'!$B20,'Unique Asset List'!$A$4:$A$60,0),MATCH('1'!$C$1,'Unique Asset List'!$BU$3:$CA$3,0))</f>
        <v>0.28000000000000003</v>
      </c>
      <c r="AG20" s="15">
        <f>INDEX('Unique Asset List'!$AZ$4:$BF$60,MATCH('1'!$B20,'Unique Asset List'!$A$4:$A$60,0),MATCH('1'!$C$1,'Unique Asset List'!$AZ$3:$BF$3,0))</f>
        <v>0.22</v>
      </c>
      <c r="AH20" s="15">
        <f>INDEX('Unique Asset List'!$BG$4:$BM$60,MATCH('1'!$B20,'Unique Asset List'!$A$4:$A$60,0),MATCH('1'!$C$1,'Unique Asset List'!$BG$3:$BM$3,0))</f>
        <v>0.28000000000000003</v>
      </c>
      <c r="AI20" s="11">
        <v>0.97304949785176587</v>
      </c>
      <c r="AJ20" s="15">
        <f>INDEX('Unique Asset List'!$AL$4:$AR$60,MATCH('1'!$B20,'Unique Asset List'!$A$4:$A$60,0),MATCH('1'!$C$1,'Unique Asset List'!$AL$3:$AR$3,0))</f>
        <v>1.2267192541321688</v>
      </c>
      <c r="AK20" s="15">
        <f>INDEX('Unique Asset List'!$AS$4:$AY$60,MATCH('1'!$B20,'Unique Asset List'!$A$4:$A$60,0),MATCH('1'!$C$1,'Unique Asset List'!$AS$3:$AY$3,0))</f>
        <v>11.984388276878477</v>
      </c>
      <c r="AL20" s="9">
        <v>160</v>
      </c>
      <c r="AM20" s="14">
        <f>INDEX(Simulation!$B$6:$H$6,MATCH($A20,Simulation!$B$1:$H$1,0))*(1+AN20)^((DATE(X20,Y20,15)-DATE(2017,1,15))/365.5)</f>
        <v>18.118837682650454</v>
      </c>
      <c r="AN20" s="12">
        <v>3.5000000000000003E-2</v>
      </c>
      <c r="AO20" s="13">
        <v>60</v>
      </c>
      <c r="AP20" s="11">
        <v>0.6</v>
      </c>
      <c r="AQ20" s="12">
        <v>-0.02</v>
      </c>
      <c r="AR20" s="11">
        <v>0.5</v>
      </c>
      <c r="AS20" s="10">
        <v>1</v>
      </c>
      <c r="AT20" s="4">
        <f>IF($C$5="ON",BT20,MyRating(_E1,$B20,Efficacy!$F$1))</f>
        <v>4</v>
      </c>
      <c r="AU20" s="3">
        <f>IF($C$5="ON",BU20,MyRating(_E2,$B20,Efficacy!$F$1))</f>
        <v>3</v>
      </c>
      <c r="AV20" s="3">
        <f>IF($C$5="ON",BV20,MyRating(_E3,$B20,Efficacy!$F$1))</f>
        <v>4</v>
      </c>
      <c r="AW20" s="3">
        <f>IF($C$5="ON",BW20,MyRating(_E4,$B20,Efficacy!$F$1))</f>
        <v>4</v>
      </c>
      <c r="AX20" s="3">
        <f>IF($C$5="ON",BX20,MyRating(_E5,$B20,Efficacy!$F$1))</f>
        <v>3</v>
      </c>
      <c r="AY20" s="3">
        <f>IF($C$5="ON",BY20,MyRating(_E6,$B20,Efficacy!$F$1))</f>
        <v>3</v>
      </c>
      <c r="AZ20" s="3">
        <f>IF($C$5="ON",BZ20,MyRating(_E7,$B20,Efficacy!$F$1))</f>
        <v>3</v>
      </c>
      <c r="BA20" s="3">
        <f>IF($C$5="ON",CA20,MyRating(_E8,$B20,Efficacy!$F$1))</f>
        <v>5</v>
      </c>
      <c r="BB20" s="3">
        <f>IF($C$5="ON",CB20,MyRating(_S1,$B20,Efficacy!$F$1))</f>
        <v>4</v>
      </c>
      <c r="BC20" s="3">
        <f>IF($C$5="ON",CC20,MyRating(_S2,$B20,Efficacy!$F$1))</f>
        <v>3</v>
      </c>
      <c r="BD20" s="3">
        <f>IF($C$5="ON",CD20,MyRating(_S3,$B20,Efficacy!$F$1))</f>
        <v>3</v>
      </c>
      <c r="BE20" s="3">
        <f>IF($C$5="ON",CE20,MyRating(_S4,$B20,Efficacy!$F$1))</f>
        <v>3</v>
      </c>
      <c r="BF20" s="3">
        <f>IF($C$5="ON",CF20,MyRating(_S5,$B20,Efficacy!$F$1))</f>
        <v>5</v>
      </c>
      <c r="BG20" s="3">
        <f>IF($C$5="ON",CG20,MyRating(_S6,$B20,Efficacy!$F$1))</f>
        <v>2</v>
      </c>
      <c r="BH20" s="3">
        <f>IF($C$5="ON",CH20,MyRating(_S7,$B20,Efficacy!$F$1))</f>
        <v>3</v>
      </c>
      <c r="BI20" s="3">
        <f>IF($C$5="ON",CI20,MyRating(_D1,$B20,Efficacy!$F$1))</f>
        <v>3</v>
      </c>
      <c r="BJ20" s="3">
        <f>IF($C$5="ON",CJ20,MyRating(_D2,$B20,Efficacy!$F$1))</f>
        <v>3</v>
      </c>
      <c r="BK20" s="3">
        <f>IF($C$5="ON",CK20,MyRating(_D3,$B20,Efficacy!$F$1))</f>
        <v>3</v>
      </c>
      <c r="BL20" s="3">
        <f>IF($C$5="ON",CL20,MyRating(_D4,$B20,Efficacy!$F$1))</f>
        <v>3</v>
      </c>
      <c r="BM20" s="3">
        <f>IF($C$5="ON",CM20,MyRating(_B1,$B20,Barrier!$F$2))</f>
        <v>3</v>
      </c>
      <c r="BN20" s="3">
        <f>IF($C$5="ON",CN20,MyRating(_B2,$B20,Barrier!$F$2))</f>
        <v>3</v>
      </c>
      <c r="BO20" s="6">
        <f>IF($C$5="ON",CO20,MyRating(_B3,$B20,Barrier!$F$2))</f>
        <v>3</v>
      </c>
      <c r="BP20" s="5">
        <f t="shared" si="6"/>
        <v>3.2953661618571599E-2</v>
      </c>
      <c r="BQ20" s="8">
        <f t="shared" si="7"/>
        <v>2.9999999999999996</v>
      </c>
      <c r="BR20" s="5">
        <f t="shared" si="8"/>
        <v>3.2599837000814993E-2</v>
      </c>
      <c r="BS20" s="7">
        <f t="shared" si="9"/>
        <v>1.6438361024188112E-2</v>
      </c>
      <c r="BT20" s="4">
        <v>4</v>
      </c>
      <c r="BU20" s="3">
        <v>3</v>
      </c>
      <c r="BV20" s="3">
        <v>4</v>
      </c>
      <c r="BW20" s="3">
        <v>4</v>
      </c>
      <c r="BX20" s="3">
        <v>3</v>
      </c>
      <c r="BY20" s="3">
        <v>3</v>
      </c>
      <c r="BZ20" s="3">
        <v>3</v>
      </c>
      <c r="CA20" s="3">
        <v>5</v>
      </c>
      <c r="CB20" s="3">
        <v>4</v>
      </c>
      <c r="CC20" s="3">
        <v>3</v>
      </c>
      <c r="CD20" s="3">
        <v>3</v>
      </c>
      <c r="CE20" s="3">
        <v>3</v>
      </c>
      <c r="CF20" s="3">
        <v>5</v>
      </c>
      <c r="CG20" s="3">
        <v>2</v>
      </c>
      <c r="CH20" s="3">
        <v>3</v>
      </c>
      <c r="CI20" s="3">
        <v>3</v>
      </c>
      <c r="CJ20" s="3">
        <v>3</v>
      </c>
      <c r="CK20" s="3">
        <v>3</v>
      </c>
      <c r="CL20" s="3">
        <v>3</v>
      </c>
      <c r="CM20" s="3">
        <v>3</v>
      </c>
      <c r="CN20" s="3">
        <v>3</v>
      </c>
      <c r="CO20" s="6">
        <v>3</v>
      </c>
      <c r="CP20" s="5"/>
      <c r="CQ20" s="4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</row>
    <row r="21" spans="1:116" x14ac:dyDescent="0.35">
      <c r="A21" s="9" t="s">
        <v>5</v>
      </c>
      <c r="B21" s="9" t="s">
        <v>17</v>
      </c>
      <c r="C21" s="20"/>
      <c r="D21" s="9" t="s">
        <v>2</v>
      </c>
      <c r="E21" s="9"/>
      <c r="F21" s="9" t="s">
        <v>58</v>
      </c>
      <c r="G21" s="19">
        <v>0</v>
      </c>
      <c r="H21" s="9">
        <v>2014</v>
      </c>
      <c r="I21" s="9">
        <v>6</v>
      </c>
      <c r="J21" s="18">
        <f>INDEX(PTRS!$D$6:$D$12,MATCH('1'!$F21,PTRS!$B$6:$B$12,0))</f>
        <v>0.13923000000000002</v>
      </c>
      <c r="K21" s="17">
        <v>0</v>
      </c>
      <c r="L21" s="17">
        <v>1</v>
      </c>
      <c r="M21" s="18">
        <v>0.25</v>
      </c>
      <c r="N21" s="17">
        <f t="shared" si="11"/>
        <v>0.25</v>
      </c>
      <c r="O21" s="17">
        <v>0.25</v>
      </c>
      <c r="P21" s="17">
        <v>0.1638</v>
      </c>
      <c r="Q21" s="17">
        <f t="shared" si="2"/>
        <v>0</v>
      </c>
      <c r="R21" s="17">
        <v>0.1638</v>
      </c>
      <c r="S21" s="17">
        <v>1</v>
      </c>
      <c r="T21" s="17"/>
      <c r="U21" s="17">
        <f t="shared" si="3"/>
        <v>0.9614162825377699</v>
      </c>
      <c r="V21" s="17">
        <v>1</v>
      </c>
      <c r="W21" s="9" t="s">
        <v>16</v>
      </c>
      <c r="X21" s="9">
        <f>INDEX('Unique Asset List'!$C$4:$I$60,MATCH('1'!$B21,'Unique Asset List'!$A$4:$A$60,0),MATCH('1'!$C$1,'Unique Asset List'!$C$3:$I$3,0))</f>
        <v>2025</v>
      </c>
      <c r="Y21" s="9">
        <f>INDEX('Unique Asset List'!$J$4:$P$60,MATCH('1'!$B21,'Unique Asset List'!$A$4:$A$60,0),MATCH('1'!$C$1,'Unique Asset List'!$J$3:$P$3,0))</f>
        <v>12</v>
      </c>
      <c r="Z21" s="9">
        <f>INDEX('Unique Asset List'!$X$4:$AD$60,MATCH('1'!$B21,'Unique Asset List'!$A$4:$A$60,0),MATCH('1'!$C$1,'Unique Asset List'!$X$3:$AD$3,0))</f>
        <v>2034</v>
      </c>
      <c r="AA21" s="9">
        <f>INDEX('Unique Asset List'!$AE$4:$AK$60,MATCH('1'!$B21,'Unique Asset List'!$A$4:$A$60,0),MATCH('1'!$C$1,'Unique Asset List'!$AE$3:$AK$3,0))</f>
        <v>1</v>
      </c>
      <c r="AB21" s="16">
        <f t="shared" si="10"/>
        <v>1.5776481999999998</v>
      </c>
      <c r="AC21" s="16">
        <f t="shared" si="4"/>
        <v>0.97947730000000011</v>
      </c>
      <c r="AD21" s="16">
        <f t="shared" si="5"/>
        <v>0.56099999999999994</v>
      </c>
      <c r="AE21" s="15">
        <f>INDEX('Unique Asset List'!$BN$4:$BT$60,MATCH('1'!$B21,'Unique Asset List'!$A$4:$A$60,0),MATCH('1'!$C$1,'Unique Asset List'!$BN$3:$BT$3,0))</f>
        <v>0.15</v>
      </c>
      <c r="AF21" s="15">
        <f>INDEX('Unique Asset List'!$BU$4:$CA$60,MATCH('1'!$B21,'Unique Asset List'!$A$4:$A$60,0),MATCH('1'!$C$1,'Unique Asset List'!$BU$3:$CA$3,0))</f>
        <v>0.35</v>
      </c>
      <c r="AG21" s="15">
        <f>INDEX('Unique Asset List'!$AZ$4:$BF$60,MATCH('1'!$B21,'Unique Asset List'!$A$4:$A$60,0),MATCH('1'!$C$1,'Unique Asset List'!$AZ$3:$BF$3,0))</f>
        <v>0.15</v>
      </c>
      <c r="AH21" s="15">
        <f>INDEX('Unique Asset List'!$BG$4:$BM$60,MATCH('1'!$B21,'Unique Asset List'!$A$4:$A$60,0),MATCH('1'!$C$1,'Unique Asset List'!$BG$3:$BM$3,0))</f>
        <v>0.35</v>
      </c>
      <c r="AI21" s="11">
        <v>0.97304949785176587</v>
      </c>
      <c r="AJ21" s="15">
        <f>INDEX('Unique Asset List'!$AL$4:$AR$60,MATCH('1'!$B21,'Unique Asset List'!$A$4:$A$60,0),MATCH('1'!$C$1,'Unique Asset List'!$AL$3:$AR$3,0))</f>
        <v>1.2267192541321688</v>
      </c>
      <c r="AK21" s="15">
        <f>INDEX('Unique Asset List'!$AS$4:$AY$60,MATCH('1'!$B21,'Unique Asset List'!$A$4:$A$60,0),MATCH('1'!$C$1,'Unique Asset List'!$AS$3:$AY$3,0))</f>
        <v>11.984388276878477</v>
      </c>
      <c r="AL21" s="9">
        <v>160</v>
      </c>
      <c r="AM21" s="14">
        <f>INDEX(Simulation!$B$6:$H$6,MATCH($A21,Simulation!$B$1:$H$1,0))*(1+AN21)^((DATE(X21,Y21,15)-DATE(2017,1,15))/365.5)</f>
        <v>20.379102114091609</v>
      </c>
      <c r="AN21" s="12">
        <v>3.5000000000000003E-2</v>
      </c>
      <c r="AO21" s="13">
        <v>60</v>
      </c>
      <c r="AP21" s="11">
        <v>0.6</v>
      </c>
      <c r="AQ21" s="12">
        <v>-0.02</v>
      </c>
      <c r="AR21" s="11">
        <v>0.5</v>
      </c>
      <c r="AS21" s="10">
        <v>1</v>
      </c>
      <c r="AT21" s="4">
        <f>IF($C$5="ON",BT21,MyRating(_E1,$B21,Efficacy!$F$1))</f>
        <v>4</v>
      </c>
      <c r="AU21" s="3">
        <f>IF($C$5="ON",BU21,MyRating(_E2,$B21,Efficacy!$F$1))</f>
        <v>3</v>
      </c>
      <c r="AV21" s="3">
        <f>IF($C$5="ON",BV21,MyRating(_E3,$B21,Efficacy!$F$1))</f>
        <v>3</v>
      </c>
      <c r="AW21" s="3">
        <f>IF($C$5="ON",BW21,MyRating(_E4,$B21,Efficacy!$F$1))</f>
        <v>4</v>
      </c>
      <c r="AX21" s="3">
        <f>IF($C$5="ON",BX21,MyRating(_E5,$B21,Efficacy!$F$1))</f>
        <v>4</v>
      </c>
      <c r="AY21" s="3">
        <f>IF($C$5="ON",BY21,MyRating(_E6,$B21,Efficacy!$F$1))</f>
        <v>2</v>
      </c>
      <c r="AZ21" s="3">
        <f>IF($C$5="ON",BZ21,MyRating(_E7,$B21,Efficacy!$F$1))</f>
        <v>3</v>
      </c>
      <c r="BA21" s="3">
        <f>IF($C$5="ON",CA21,MyRating(_E8,$B21,Efficacy!$F$1))</f>
        <v>3</v>
      </c>
      <c r="BB21" s="3">
        <f>IF($C$5="ON",CB21,MyRating(_S1,$B21,Efficacy!$F$1))</f>
        <v>4</v>
      </c>
      <c r="BC21" s="3">
        <f>IF($C$5="ON",CC21,MyRating(_S2,$B21,Efficacy!$F$1))</f>
        <v>4</v>
      </c>
      <c r="BD21" s="3">
        <f>IF($C$5="ON",CD21,MyRating(_S3,$B21,Efficacy!$F$1))</f>
        <v>3</v>
      </c>
      <c r="BE21" s="3">
        <f>IF($C$5="ON",CE21,MyRating(_S4,$B21,Efficacy!$F$1))</f>
        <v>5</v>
      </c>
      <c r="BF21" s="3">
        <f>IF($C$5="ON",CF21,MyRating(_S5,$B21,Efficacy!$F$1))</f>
        <v>5</v>
      </c>
      <c r="BG21" s="3">
        <f>IF($C$5="ON",CG21,MyRating(_S6,$B21,Efficacy!$F$1))</f>
        <v>2</v>
      </c>
      <c r="BH21" s="3">
        <f>IF($C$5="ON",CH21,MyRating(_S7,$B21,Efficacy!$F$1))</f>
        <v>3</v>
      </c>
      <c r="BI21" s="3">
        <f>IF($C$5="ON",CI21,MyRating(_D1,$B21,Efficacy!$F$1))</f>
        <v>3</v>
      </c>
      <c r="BJ21" s="3">
        <f>IF($C$5="ON",CJ21,MyRating(_D2,$B21,Efficacy!$F$1))</f>
        <v>3</v>
      </c>
      <c r="BK21" s="3">
        <f>IF($C$5="ON",CK21,MyRating(_D3,$B21,Efficacy!$F$1))</f>
        <v>3</v>
      </c>
      <c r="BL21" s="3">
        <f>IF($C$5="ON",CL21,MyRating(_D4,$B21,Efficacy!$F$1))</f>
        <v>3</v>
      </c>
      <c r="BM21" s="3">
        <f>IF($C$5="ON",CM21,MyRating(_B1,$B21,Barrier!$F$2))</f>
        <v>3</v>
      </c>
      <c r="BN21" s="3">
        <f>IF($C$5="ON",CN21,MyRating(_B2,$B21,Barrier!$F$2))</f>
        <v>3</v>
      </c>
      <c r="BO21" s="6">
        <f>IF($C$5="ON",CO21,MyRating(_B3,$B21,Barrier!$F$2))</f>
        <v>3</v>
      </c>
      <c r="BP21" s="5">
        <f t="shared" si="6"/>
        <v>3.2953661618571599E-2</v>
      </c>
      <c r="BQ21" s="8">
        <f t="shared" si="7"/>
        <v>2.9999999999999996</v>
      </c>
      <c r="BR21" s="5">
        <f t="shared" si="8"/>
        <v>3.2599837000814993E-2</v>
      </c>
      <c r="BS21" s="7">
        <f t="shared" si="9"/>
        <v>1.6438361024188112E-2</v>
      </c>
      <c r="BT21" s="4">
        <v>4</v>
      </c>
      <c r="BU21" s="3">
        <v>3</v>
      </c>
      <c r="BV21" s="3">
        <v>3</v>
      </c>
      <c r="BW21" s="3">
        <v>4</v>
      </c>
      <c r="BX21" s="3">
        <v>4</v>
      </c>
      <c r="BY21" s="3">
        <v>2</v>
      </c>
      <c r="BZ21" s="3">
        <v>3</v>
      </c>
      <c r="CA21" s="3">
        <v>3</v>
      </c>
      <c r="CB21" s="3">
        <v>4</v>
      </c>
      <c r="CC21" s="3">
        <v>4</v>
      </c>
      <c r="CD21" s="3">
        <v>3</v>
      </c>
      <c r="CE21" s="3">
        <v>5</v>
      </c>
      <c r="CF21" s="3">
        <v>5</v>
      </c>
      <c r="CG21" s="3">
        <v>2</v>
      </c>
      <c r="CH21" s="3">
        <v>3</v>
      </c>
      <c r="CI21" s="3">
        <v>3</v>
      </c>
      <c r="CJ21" s="3">
        <v>3</v>
      </c>
      <c r="CK21" s="3">
        <v>3</v>
      </c>
      <c r="CL21" s="3">
        <v>3</v>
      </c>
      <c r="CM21" s="3">
        <v>3</v>
      </c>
      <c r="CN21" s="3">
        <v>3</v>
      </c>
      <c r="CO21" s="6">
        <v>3</v>
      </c>
      <c r="CP21" s="5"/>
      <c r="CQ21" s="4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</row>
    <row r="22" spans="1:116" x14ac:dyDescent="0.35">
      <c r="A22" s="9" t="s">
        <v>5</v>
      </c>
      <c r="B22" s="9" t="s">
        <v>78</v>
      </c>
      <c r="C22" s="20"/>
      <c r="D22" s="9" t="s">
        <v>77</v>
      </c>
      <c r="E22" s="9"/>
      <c r="F22" s="9" t="s">
        <v>51</v>
      </c>
      <c r="G22" s="19">
        <v>0</v>
      </c>
      <c r="H22" s="9">
        <v>2014</v>
      </c>
      <c r="I22" s="9">
        <v>6</v>
      </c>
      <c r="J22" s="18">
        <f>INDEX(PTRS!$D$6:$D$12,MATCH('1'!$F22,PTRS!$B$6:$B$12,0))</f>
        <v>0.1638</v>
      </c>
      <c r="K22" s="17">
        <v>0</v>
      </c>
      <c r="L22" s="17">
        <v>0</v>
      </c>
      <c r="M22" s="18">
        <f>J22/3</f>
        <v>5.4600000000000003E-2</v>
      </c>
      <c r="N22" s="17">
        <f t="shared" si="11"/>
        <v>0.1638</v>
      </c>
      <c r="O22" s="17">
        <v>0.1638</v>
      </c>
      <c r="P22" s="17">
        <v>0.1638</v>
      </c>
      <c r="Q22" s="17">
        <f t="shared" si="2"/>
        <v>0</v>
      </c>
      <c r="R22" s="17">
        <v>0.16</v>
      </c>
      <c r="S22" s="17">
        <v>1</v>
      </c>
      <c r="T22" s="17"/>
      <c r="U22" s="17">
        <f t="shared" si="3"/>
        <v>0.9614162825377699</v>
      </c>
      <c r="V22" s="17">
        <v>1</v>
      </c>
      <c r="W22" s="9" t="s">
        <v>62</v>
      </c>
      <c r="X22" s="9">
        <f>INDEX('Unique Asset List'!$C$4:$I$60,MATCH('1'!$B22,'Unique Asset List'!$A$4:$A$60,0),MATCH('1'!$C$1,'Unique Asset List'!$C$3:$I$3,0))</f>
        <v>2023</v>
      </c>
      <c r="Y22" s="9">
        <f>INDEX('Unique Asset List'!$J$4:$P$60,MATCH('1'!$B22,'Unique Asset List'!$A$4:$A$60,0),MATCH('1'!$C$1,'Unique Asset List'!$J$3:$P$3,0))</f>
        <v>10</v>
      </c>
      <c r="Z22" s="9">
        <f>INDEX('Unique Asset List'!$X$4:$AD$60,MATCH('1'!$B22,'Unique Asset List'!$A$4:$A$60,0),MATCH('1'!$C$1,'Unique Asset List'!$X$3:$AD$3,0))</f>
        <v>2033</v>
      </c>
      <c r="AA22" s="9">
        <f>INDEX('Unique Asset List'!$AE$4:$AK$60,MATCH('1'!$B22,'Unique Asset List'!$A$4:$A$60,0),MATCH('1'!$C$1,'Unique Asset List'!$AE$3:$AK$3,0))</f>
        <v>7</v>
      </c>
      <c r="AB22" s="16">
        <f t="shared" si="10"/>
        <v>1.5554762</v>
      </c>
      <c r="AC22" s="16">
        <f t="shared" si="4"/>
        <v>0.88497580000000009</v>
      </c>
      <c r="AD22" s="16">
        <f t="shared" si="5"/>
        <v>0.56099999999999994</v>
      </c>
      <c r="AE22" s="15">
        <f>INDEX('Unique Asset List'!$BN$4:$BT$60,MATCH('1'!$B22,'Unique Asset List'!$A$4:$A$60,0),MATCH('1'!$C$1,'Unique Asset List'!$BN$3:$BT$3,0))</f>
        <v>0.22</v>
      </c>
      <c r="AF22" s="15">
        <f>INDEX('Unique Asset List'!$BU$4:$CA$60,MATCH('1'!$B22,'Unique Asset List'!$A$4:$A$60,0),MATCH('1'!$C$1,'Unique Asset List'!$BU$3:$CA$3,0))</f>
        <v>0.28000000000000003</v>
      </c>
      <c r="AG22" s="15">
        <f>INDEX('Unique Asset List'!$AZ$4:$BF$60,MATCH('1'!$B22,'Unique Asset List'!$A$4:$A$60,0),MATCH('1'!$C$1,'Unique Asset List'!$AZ$3:$BF$3,0))</f>
        <v>0.22</v>
      </c>
      <c r="AH22" s="15">
        <f>INDEX('Unique Asset List'!$BG$4:$BM$60,MATCH('1'!$B22,'Unique Asset List'!$A$4:$A$60,0),MATCH('1'!$C$1,'Unique Asset List'!$BG$3:$BM$3,0))</f>
        <v>0.28000000000000003</v>
      </c>
      <c r="AI22" s="11">
        <v>0.97304949785176587</v>
      </c>
      <c r="AJ22" s="15">
        <f>INDEX('Unique Asset List'!$AL$4:$AR$60,MATCH('1'!$B22,'Unique Asset List'!$A$4:$A$60,0),MATCH('1'!$C$1,'Unique Asset List'!$AL$3:$AR$3,0))</f>
        <v>1.2267192541321688</v>
      </c>
      <c r="AK22" s="15">
        <f>INDEX('Unique Asset List'!$AS$4:$AY$60,MATCH('1'!$B22,'Unique Asset List'!$A$4:$A$60,0),MATCH('1'!$C$1,'Unique Asset List'!$AS$3:$AY$3,0))</f>
        <v>11.984388276878477</v>
      </c>
      <c r="AL22" s="9">
        <v>160</v>
      </c>
      <c r="AM22" s="14">
        <f>INDEX(Simulation!$B$6:$H$6,MATCH($A22,Simulation!$B$1:$H$1,0))*(1+AN22)^((DATE(X22,Y22,15)-DATE(2017,1,15))/365.5)</f>
        <v>18.915197540095335</v>
      </c>
      <c r="AN22" s="12">
        <v>3.5000000000000003E-2</v>
      </c>
      <c r="AO22" s="13">
        <v>60</v>
      </c>
      <c r="AP22" s="11">
        <v>0.6</v>
      </c>
      <c r="AQ22" s="12">
        <v>-0.02</v>
      </c>
      <c r="AR22" s="11">
        <v>0.5</v>
      </c>
      <c r="AS22" s="10">
        <v>1</v>
      </c>
      <c r="AT22" s="4">
        <f>IF($C$5="ON",BT22,MyRating(_E1,$B22,Efficacy!$F$1))</f>
        <v>3</v>
      </c>
      <c r="AU22" s="3">
        <f>IF($C$5="ON",BU22,MyRating(_E2,$B22,Efficacy!$F$1))</f>
        <v>3</v>
      </c>
      <c r="AV22" s="3">
        <f>IF($C$5="ON",BV22,MyRating(_E3,$B22,Efficacy!$F$1))</f>
        <v>3</v>
      </c>
      <c r="AW22" s="3">
        <f>IF($C$5="ON",BW22,MyRating(_E4,$B22,Efficacy!$F$1))</f>
        <v>4</v>
      </c>
      <c r="AX22" s="3">
        <f>IF($C$5="ON",BX22,MyRating(_E5,$B22,Efficacy!$F$1))</f>
        <v>3</v>
      </c>
      <c r="AY22" s="3">
        <f>IF($C$5="ON",BY22,MyRating(_E6,$B22,Efficacy!$F$1))</f>
        <v>3</v>
      </c>
      <c r="AZ22" s="3">
        <f>IF($C$5="ON",BZ22,MyRating(_E7,$B22,Efficacy!$F$1))</f>
        <v>3</v>
      </c>
      <c r="BA22" s="3">
        <f>IF($C$5="ON",CA22,MyRating(_E8,$B22,Efficacy!$F$1))</f>
        <v>5</v>
      </c>
      <c r="BB22" s="3">
        <f>IF($C$5="ON",CB22,MyRating(_S1,$B22,Efficacy!$F$1))</f>
        <v>4</v>
      </c>
      <c r="BC22" s="3">
        <f>IF($C$5="ON",CC22,MyRating(_S2,$B22,Efficacy!$F$1))</f>
        <v>3</v>
      </c>
      <c r="BD22" s="3">
        <f>IF($C$5="ON",CD22,MyRating(_S3,$B22,Efficacy!$F$1))</f>
        <v>3</v>
      </c>
      <c r="BE22" s="3">
        <f>IF($C$5="ON",CE22,MyRating(_S4,$B22,Efficacy!$F$1))</f>
        <v>3</v>
      </c>
      <c r="BF22" s="3">
        <f>IF($C$5="ON",CF22,MyRating(_S5,$B22,Efficacy!$F$1))</f>
        <v>5</v>
      </c>
      <c r="BG22" s="3">
        <f>IF($C$5="ON",CG22,MyRating(_S6,$B22,Efficacy!$F$1))</f>
        <v>2</v>
      </c>
      <c r="BH22" s="3">
        <f>IF($C$5="ON",CH22,MyRating(_S7,$B22,Efficacy!$F$1))</f>
        <v>3</v>
      </c>
      <c r="BI22" s="3">
        <f>IF($C$5="ON",CI22,MyRating(_D1,$B22,Efficacy!$F$1))</f>
        <v>3</v>
      </c>
      <c r="BJ22" s="3">
        <f>IF($C$5="ON",CJ22,MyRating(_D2,$B22,Efficacy!$F$1))</f>
        <v>3</v>
      </c>
      <c r="BK22" s="3">
        <f>IF($C$5="ON",CK22,MyRating(_D3,$B22,Efficacy!$F$1))</f>
        <v>3</v>
      </c>
      <c r="BL22" s="3">
        <f>IF($C$5="ON",CL22,MyRating(_D4,$B22,Efficacy!$F$1))</f>
        <v>3</v>
      </c>
      <c r="BM22" s="3">
        <f>IF($C$5="ON",CM22,MyRating(_B1,$B22,Barrier!$F$2))</f>
        <v>3</v>
      </c>
      <c r="BN22" s="3">
        <f>IF($C$5="ON",CN22,MyRating(_B2,$B22,Barrier!$F$2))</f>
        <v>3</v>
      </c>
      <c r="BO22" s="6">
        <f>IF($C$5="ON",CO22,MyRating(_B3,$B22,Barrier!$F$2))</f>
        <v>3</v>
      </c>
      <c r="BP22" s="5">
        <f t="shared" si="6"/>
        <v>3.2953661618571599E-2</v>
      </c>
      <c r="BQ22" s="8">
        <f t="shared" si="7"/>
        <v>2.9999999999999996</v>
      </c>
      <c r="BR22" s="5">
        <f t="shared" si="8"/>
        <v>3.2599837000814993E-2</v>
      </c>
      <c r="BS22" s="7">
        <f t="shared" si="9"/>
        <v>1.6438361024188112E-2</v>
      </c>
      <c r="BT22" s="4">
        <v>3</v>
      </c>
      <c r="BU22" s="3">
        <v>3</v>
      </c>
      <c r="BV22" s="3">
        <v>3</v>
      </c>
      <c r="BW22" s="3">
        <v>4</v>
      </c>
      <c r="BX22" s="3">
        <v>3</v>
      </c>
      <c r="BY22" s="3">
        <v>3</v>
      </c>
      <c r="BZ22" s="3">
        <v>3</v>
      </c>
      <c r="CA22" s="3">
        <v>5</v>
      </c>
      <c r="CB22" s="3">
        <v>4</v>
      </c>
      <c r="CC22" s="3">
        <v>3</v>
      </c>
      <c r="CD22" s="3">
        <v>3</v>
      </c>
      <c r="CE22" s="3">
        <v>3</v>
      </c>
      <c r="CF22" s="3">
        <v>5</v>
      </c>
      <c r="CG22" s="3">
        <v>2</v>
      </c>
      <c r="CH22" s="3">
        <v>3</v>
      </c>
      <c r="CI22" s="3">
        <v>3</v>
      </c>
      <c r="CJ22" s="3">
        <v>3</v>
      </c>
      <c r="CK22" s="3">
        <v>3</v>
      </c>
      <c r="CL22" s="3">
        <v>3</v>
      </c>
      <c r="CM22" s="3">
        <v>3</v>
      </c>
      <c r="CN22" s="3">
        <v>3</v>
      </c>
      <c r="CO22" s="6">
        <v>3</v>
      </c>
      <c r="CP22" s="5"/>
      <c r="CQ22" s="4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</row>
    <row r="23" spans="1:116" x14ac:dyDescent="0.35">
      <c r="A23" s="9" t="s">
        <v>5</v>
      </c>
      <c r="B23" s="9" t="s">
        <v>39</v>
      </c>
      <c r="C23" s="20"/>
      <c r="D23" s="9" t="s">
        <v>2</v>
      </c>
      <c r="E23" s="9"/>
      <c r="F23" s="9" t="s">
        <v>43</v>
      </c>
      <c r="G23" s="19">
        <v>0</v>
      </c>
      <c r="H23" s="9">
        <v>2014</v>
      </c>
      <c r="I23" s="9">
        <v>6</v>
      </c>
      <c r="J23" s="18">
        <f>INDEX(PTRS!$D$6:$D$12,MATCH('1'!$F23,PTRS!$B$6:$B$12,0))</f>
        <v>0.40949999999999998</v>
      </c>
      <c r="K23" s="17">
        <v>0</v>
      </c>
      <c r="L23" s="17">
        <v>1</v>
      </c>
      <c r="M23" s="17">
        <v>0.4</v>
      </c>
      <c r="N23" s="17">
        <f t="shared" si="11"/>
        <v>0.4</v>
      </c>
      <c r="O23" s="17">
        <v>0.4</v>
      </c>
      <c r="P23" s="17">
        <v>0.40949999999999998</v>
      </c>
      <c r="Q23" s="17">
        <f t="shared" si="2"/>
        <v>0</v>
      </c>
      <c r="R23" s="17">
        <v>1</v>
      </c>
      <c r="S23" s="17">
        <v>1</v>
      </c>
      <c r="T23" s="17"/>
      <c r="U23" s="17">
        <f t="shared" si="3"/>
        <v>0.9614162825377699</v>
      </c>
      <c r="V23" s="17">
        <v>1</v>
      </c>
      <c r="W23" s="9" t="s">
        <v>38</v>
      </c>
      <c r="X23" s="9">
        <f>INDEX('Unique Asset List'!$C$4:$I$60,MATCH('1'!$B23,'Unique Asset List'!$A$4:$A$60,0),MATCH('1'!$C$1,'Unique Asset List'!$C$3:$I$3,0))</f>
        <v>2023</v>
      </c>
      <c r="Y23" s="9">
        <f>INDEX('Unique Asset List'!$J$4:$P$60,MATCH('1'!$B23,'Unique Asset List'!$A$4:$A$60,0),MATCH('1'!$C$1,'Unique Asset List'!$J$3:$P$3,0))</f>
        <v>3</v>
      </c>
      <c r="Z23" s="9">
        <f>INDEX('Unique Asset List'!$X$4:$AD$60,MATCH('1'!$B23,'Unique Asset List'!$A$4:$A$60,0),MATCH('1'!$C$1,'Unique Asset List'!$X$3:$AD$3,0))</f>
        <v>2035</v>
      </c>
      <c r="AA23" s="9">
        <f>INDEX('Unique Asset List'!$AE$4:$AK$60,MATCH('1'!$B23,'Unique Asset List'!$A$4:$A$60,0),MATCH('1'!$C$1,'Unique Asset List'!$AE$3:$AK$3,0))</f>
        <v>8</v>
      </c>
      <c r="AB23" s="16">
        <f t="shared" si="10"/>
        <v>1.8212189999999999</v>
      </c>
      <c r="AC23" s="16">
        <f t="shared" si="4"/>
        <v>1.0180309000000001</v>
      </c>
      <c r="AD23" s="16">
        <f t="shared" si="5"/>
        <v>0.56099999999999994</v>
      </c>
      <c r="AE23" s="15">
        <f>INDEX('Unique Asset List'!$BN$4:$BT$60,MATCH('1'!$B23,'Unique Asset List'!$A$4:$A$60,0),MATCH('1'!$C$1,'Unique Asset List'!$BN$3:$BT$3,0))</f>
        <v>0.15</v>
      </c>
      <c r="AF23" s="15">
        <f>INDEX('Unique Asset List'!$BU$4:$CA$60,MATCH('1'!$B23,'Unique Asset List'!$A$4:$A$60,0),MATCH('1'!$C$1,'Unique Asset List'!$BU$3:$CA$3,0))</f>
        <v>0.35</v>
      </c>
      <c r="AG23" s="15">
        <f>INDEX('Unique Asset List'!$AZ$4:$BF$60,MATCH('1'!$B23,'Unique Asset List'!$A$4:$A$60,0),MATCH('1'!$C$1,'Unique Asset List'!$AZ$3:$BF$3,0))</f>
        <v>0.15</v>
      </c>
      <c r="AH23" s="15">
        <f>INDEX('Unique Asset List'!$BG$4:$BM$60,MATCH('1'!$B23,'Unique Asset List'!$A$4:$A$60,0),MATCH('1'!$C$1,'Unique Asset List'!$BG$3:$BM$3,0))</f>
        <v>0.35</v>
      </c>
      <c r="AI23" s="11">
        <v>0.97304949785176587</v>
      </c>
      <c r="AJ23" s="15">
        <f>INDEX('Unique Asset List'!$AL$4:$AR$60,MATCH('1'!$B23,'Unique Asset List'!$A$4:$A$60,0),MATCH('1'!$C$1,'Unique Asset List'!$AL$3:$AR$3,0))</f>
        <v>1.2267192541321688</v>
      </c>
      <c r="AK23" s="15">
        <f>INDEX('Unique Asset List'!$AS$4:$AY$60,MATCH('1'!$B23,'Unique Asset List'!$A$4:$A$60,0),MATCH('1'!$C$1,'Unique Asset List'!$AS$3:$AY$3,0))</f>
        <v>11.984388276878477</v>
      </c>
      <c r="AL23" s="9">
        <v>160</v>
      </c>
      <c r="AM23" s="14">
        <f>INDEX(Simulation!$B$6:$H$6,MATCH($A23,Simulation!$B$1:$H$1,0))*(1+AN23)^((DATE(X23,Y23,15)-DATE(2017,1,15))/365.5)</f>
        <v>18.538018729554409</v>
      </c>
      <c r="AN23" s="12">
        <v>3.5000000000000003E-2</v>
      </c>
      <c r="AO23" s="13">
        <v>60</v>
      </c>
      <c r="AP23" s="11">
        <v>0.6</v>
      </c>
      <c r="AQ23" s="12">
        <v>-0.02</v>
      </c>
      <c r="AR23" s="11">
        <v>0.5</v>
      </c>
      <c r="AS23" s="10">
        <v>1</v>
      </c>
      <c r="AT23" s="4">
        <f>IF($C$5="ON",BT23,MyRating(_E1,$B23,Efficacy!$F$1))</f>
        <v>4</v>
      </c>
      <c r="AU23" s="3">
        <f>IF($C$5="ON",BU23,MyRating(_E2,$B23,Efficacy!$F$1))</f>
        <v>4</v>
      </c>
      <c r="AV23" s="3">
        <f>IF($C$5="ON",BV23,MyRating(_E3,$B23,Efficacy!$F$1))</f>
        <v>4</v>
      </c>
      <c r="AW23" s="3">
        <f>IF($C$5="ON",BW23,MyRating(_E4,$B23,Efficacy!$F$1))</f>
        <v>4</v>
      </c>
      <c r="AX23" s="3">
        <f>IF($C$5="ON",BX23,MyRating(_E5,$B23,Efficacy!$F$1))</f>
        <v>5</v>
      </c>
      <c r="AY23" s="3">
        <f>IF($C$5="ON",BY23,MyRating(_E6,$B23,Efficacy!$F$1))</f>
        <v>3</v>
      </c>
      <c r="AZ23" s="3">
        <f>IF($C$5="ON",BZ23,MyRating(_E7,$B23,Efficacy!$F$1))</f>
        <v>3</v>
      </c>
      <c r="BA23" s="3">
        <f>IF($C$5="ON",CA23,MyRating(_E8,$B23,Efficacy!$F$1))</f>
        <v>3</v>
      </c>
      <c r="BB23" s="3">
        <f>IF($C$5="ON",CB23,MyRating(_S1,$B23,Efficacy!$F$1))</f>
        <v>4</v>
      </c>
      <c r="BC23" s="3">
        <f>IF($C$5="ON",CC23,MyRating(_S2,$B23,Efficacy!$F$1))</f>
        <v>4</v>
      </c>
      <c r="BD23" s="3">
        <f>IF($C$5="ON",CD23,MyRating(_S3,$B23,Efficacy!$F$1))</f>
        <v>4</v>
      </c>
      <c r="BE23" s="3">
        <f>IF($C$5="ON",CE23,MyRating(_S4,$B23,Efficacy!$F$1))</f>
        <v>4</v>
      </c>
      <c r="BF23" s="3">
        <f>IF($C$5="ON",CF23,MyRating(_S5,$B23,Efficacy!$F$1))</f>
        <v>5</v>
      </c>
      <c r="BG23" s="3">
        <f>IF($C$5="ON",CG23,MyRating(_S6,$B23,Efficacy!$F$1))</f>
        <v>4</v>
      </c>
      <c r="BH23" s="3">
        <f>IF($C$5="ON",CH23,MyRating(_S7,$B23,Efficacy!$F$1))</f>
        <v>3</v>
      </c>
      <c r="BI23" s="3">
        <f>IF($C$5="ON",CI23,MyRating(_D1,$B23,Efficacy!$F$1))</f>
        <v>3</v>
      </c>
      <c r="BJ23" s="3">
        <f>IF($C$5="ON",CJ23,MyRating(_D2,$B23,Efficacy!$F$1))</f>
        <v>3</v>
      </c>
      <c r="BK23" s="3">
        <f>IF($C$5="ON",CK23,MyRating(_D3,$B23,Efficacy!$F$1))</f>
        <v>3</v>
      </c>
      <c r="BL23" s="3">
        <f>IF($C$5="ON",CL23,MyRating(_D4,$B23,Efficacy!$F$1))</f>
        <v>3</v>
      </c>
      <c r="BM23" s="3">
        <f>IF($C$5="ON",CM23,MyRating(_B1,$B23,Barrier!$F$2))</f>
        <v>3</v>
      </c>
      <c r="BN23" s="3">
        <f>IF($C$5="ON",CN23,MyRating(_B2,$B23,Barrier!$F$2))</f>
        <v>3</v>
      </c>
      <c r="BO23" s="6">
        <f>IF($C$5="ON",CO23,MyRating(_B3,$B23,Barrier!$F$2))</f>
        <v>3</v>
      </c>
      <c r="BP23" s="5">
        <f t="shared" si="6"/>
        <v>3.2953661618571599E-2</v>
      </c>
      <c r="BQ23" s="8">
        <f t="shared" si="7"/>
        <v>2.9999999999999996</v>
      </c>
      <c r="BR23" s="5">
        <f t="shared" si="8"/>
        <v>3.2599837000814993E-2</v>
      </c>
      <c r="BS23" s="7">
        <f t="shared" si="9"/>
        <v>1.6438361024188112E-2</v>
      </c>
      <c r="BT23" s="4">
        <v>4</v>
      </c>
      <c r="BU23" s="3">
        <v>4</v>
      </c>
      <c r="BV23" s="3">
        <v>4</v>
      </c>
      <c r="BW23" s="3">
        <v>4</v>
      </c>
      <c r="BX23" s="3">
        <v>5</v>
      </c>
      <c r="BY23" s="3">
        <v>3</v>
      </c>
      <c r="BZ23" s="3">
        <v>3</v>
      </c>
      <c r="CA23" s="3">
        <v>3</v>
      </c>
      <c r="CB23" s="3">
        <v>4</v>
      </c>
      <c r="CC23" s="3">
        <v>4</v>
      </c>
      <c r="CD23" s="3">
        <v>4</v>
      </c>
      <c r="CE23" s="3">
        <v>4</v>
      </c>
      <c r="CF23" s="3">
        <v>5</v>
      </c>
      <c r="CG23" s="3">
        <v>4</v>
      </c>
      <c r="CH23" s="3">
        <v>3</v>
      </c>
      <c r="CI23" s="3">
        <v>3</v>
      </c>
      <c r="CJ23" s="3">
        <v>3</v>
      </c>
      <c r="CK23" s="3">
        <v>3</v>
      </c>
      <c r="CL23" s="3">
        <v>3</v>
      </c>
      <c r="CM23" s="3">
        <v>3</v>
      </c>
      <c r="CN23" s="3">
        <v>3</v>
      </c>
      <c r="CO23" s="6">
        <v>3</v>
      </c>
      <c r="CP23" s="5"/>
      <c r="CQ23" s="4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</row>
    <row r="24" spans="1:116" x14ac:dyDescent="0.35">
      <c r="A24" s="9" t="s">
        <v>5</v>
      </c>
      <c r="B24" s="9" t="s">
        <v>76</v>
      </c>
      <c r="C24" s="20"/>
      <c r="D24" s="9" t="s">
        <v>75</v>
      </c>
      <c r="E24" s="9"/>
      <c r="F24" s="9" t="s">
        <v>51</v>
      </c>
      <c r="G24" s="19">
        <v>0</v>
      </c>
      <c r="H24" s="9">
        <v>2014</v>
      </c>
      <c r="I24" s="9">
        <v>6</v>
      </c>
      <c r="J24" s="18">
        <f>INDEX(PTRS!$D$6:$D$12,MATCH('1'!$F24,PTRS!$B$6:$B$12,0))</f>
        <v>0.1638</v>
      </c>
      <c r="K24" s="17">
        <v>0</v>
      </c>
      <c r="L24" s="17">
        <v>0</v>
      </c>
      <c r="M24" s="17">
        <f>J24</f>
        <v>0.1638</v>
      </c>
      <c r="N24" s="17">
        <f t="shared" si="11"/>
        <v>0.1638</v>
      </c>
      <c r="O24" s="17">
        <v>0.1638</v>
      </c>
      <c r="P24" s="17">
        <v>0.1638</v>
      </c>
      <c r="Q24" s="17">
        <f t="shared" si="2"/>
        <v>0</v>
      </c>
      <c r="R24" s="17">
        <v>0.16</v>
      </c>
      <c r="S24" s="17">
        <v>1</v>
      </c>
      <c r="T24" s="17"/>
      <c r="U24" s="17">
        <f t="shared" si="3"/>
        <v>0.9614162825377699</v>
      </c>
      <c r="V24" s="17">
        <v>1</v>
      </c>
      <c r="W24" s="9" t="s">
        <v>27</v>
      </c>
      <c r="X24" s="9">
        <f>INDEX('Unique Asset List'!$C$4:$I$60,MATCH('1'!$B24,'Unique Asset List'!$A$4:$A$60,0),MATCH('1'!$C$1,'Unique Asset List'!$C$3:$I$3,0))</f>
        <v>2023</v>
      </c>
      <c r="Y24" s="9">
        <f>INDEX('Unique Asset List'!$J$4:$P$60,MATCH('1'!$B24,'Unique Asset List'!$A$4:$A$60,0),MATCH('1'!$C$1,'Unique Asset List'!$J$3:$P$3,0))</f>
        <v>9</v>
      </c>
      <c r="Z24" s="9">
        <f>INDEX('Unique Asset List'!$X$4:$AD$60,MATCH('1'!$B24,'Unique Asset List'!$A$4:$A$60,0),MATCH('1'!$C$1,'Unique Asset List'!$X$3:$AD$3,0))</f>
        <v>2033</v>
      </c>
      <c r="AA24" s="9">
        <f>INDEX('Unique Asset List'!$AE$4:$AK$60,MATCH('1'!$B24,'Unique Asset List'!$A$4:$A$60,0),MATCH('1'!$C$1,'Unique Asset List'!$AE$3:$AK$3,0))</f>
        <v>9</v>
      </c>
      <c r="AB24" s="16">
        <f t="shared" si="10"/>
        <v>1.5917814000000001</v>
      </c>
      <c r="AC24" s="16">
        <f t="shared" si="4"/>
        <v>0.82350590000000001</v>
      </c>
      <c r="AD24" s="16">
        <f t="shared" si="5"/>
        <v>0.45111879999999999</v>
      </c>
      <c r="AE24" s="15">
        <f>INDEX('Unique Asset List'!$BN$4:$BT$60,MATCH('1'!$B24,'Unique Asset List'!$A$4:$A$60,0),MATCH('1'!$C$1,'Unique Asset List'!$BN$3:$BT$3,0))</f>
        <v>0.15</v>
      </c>
      <c r="AF24" s="15">
        <f>INDEX('Unique Asset List'!$BU$4:$CA$60,MATCH('1'!$B24,'Unique Asset List'!$A$4:$A$60,0),MATCH('1'!$C$1,'Unique Asset List'!$BU$3:$CA$3,0))</f>
        <v>0.35</v>
      </c>
      <c r="AG24" s="15">
        <f>INDEX('Unique Asset List'!$AZ$4:$BF$60,MATCH('1'!$B24,'Unique Asset List'!$A$4:$A$60,0),MATCH('1'!$C$1,'Unique Asset List'!$AZ$3:$BF$3,0))</f>
        <v>0.15</v>
      </c>
      <c r="AH24" s="15">
        <f>INDEX('Unique Asset List'!$BG$4:$BM$60,MATCH('1'!$B24,'Unique Asset List'!$A$4:$A$60,0),MATCH('1'!$C$1,'Unique Asset List'!$BG$3:$BM$3,0))</f>
        <v>0.35</v>
      </c>
      <c r="AI24" s="11">
        <v>0.97304949785176587</v>
      </c>
      <c r="AJ24" s="15">
        <f>INDEX('Unique Asset List'!$AL$4:$AR$60,MATCH('1'!$B24,'Unique Asset List'!$A$4:$A$60,0),MATCH('1'!$C$1,'Unique Asset List'!$AL$3:$AR$3,0))</f>
        <v>1.2267192541321688</v>
      </c>
      <c r="AK24" s="15">
        <f>INDEX('Unique Asset List'!$AS$4:$AY$60,MATCH('1'!$B24,'Unique Asset List'!$A$4:$A$60,0),MATCH('1'!$C$1,'Unique Asset List'!$AS$3:$AY$3,0))</f>
        <v>11.984388276878477</v>
      </c>
      <c r="AL24" s="9">
        <v>160</v>
      </c>
      <c r="AM24" s="14">
        <f>INDEX(Simulation!$B$6:$H$6,MATCH($A24,Simulation!$B$1:$H$1,0))*(1+AN24)^((DATE(X24,Y24,15)-DATE(2017,1,15))/365.5)</f>
        <v>18.861863042785817</v>
      </c>
      <c r="AN24" s="12">
        <v>3.5000000000000003E-2</v>
      </c>
      <c r="AO24" s="13">
        <v>60</v>
      </c>
      <c r="AP24" s="11">
        <v>0.6</v>
      </c>
      <c r="AQ24" s="12">
        <v>-0.02</v>
      </c>
      <c r="AR24" s="11">
        <v>0.5</v>
      </c>
      <c r="AS24" s="10">
        <v>1</v>
      </c>
      <c r="AT24" s="4">
        <f>IF($C$5="ON",BT24,MyRating(_E1,$B24,Efficacy!$F$1))</f>
        <v>4</v>
      </c>
      <c r="AU24" s="3">
        <f>IF($C$5="ON",BU24,MyRating(_E2,$B24,Efficacy!$F$1))</f>
        <v>3</v>
      </c>
      <c r="AV24" s="3">
        <f>IF($C$5="ON",BV24,MyRating(_E3,$B24,Efficacy!$F$1))</f>
        <v>4</v>
      </c>
      <c r="AW24" s="3">
        <f>IF($C$5="ON",BW24,MyRating(_E4,$B24,Efficacy!$F$1))</f>
        <v>3</v>
      </c>
      <c r="AX24" s="3">
        <f>IF($C$5="ON",BX24,MyRating(_E5,$B24,Efficacy!$F$1))</f>
        <v>3</v>
      </c>
      <c r="AY24" s="3">
        <f>IF($C$5="ON",BY24,MyRating(_E6,$B24,Efficacy!$F$1))</f>
        <v>2</v>
      </c>
      <c r="AZ24" s="3">
        <f>IF($C$5="ON",BZ24,MyRating(_E7,$B24,Efficacy!$F$1))</f>
        <v>3</v>
      </c>
      <c r="BA24" s="3">
        <f>IF($C$5="ON",CA24,MyRating(_E8,$B24,Efficacy!$F$1))</f>
        <v>5</v>
      </c>
      <c r="BB24" s="3">
        <f>IF($C$5="ON",CB24,MyRating(_S1,$B24,Efficacy!$F$1))</f>
        <v>3</v>
      </c>
      <c r="BC24" s="3">
        <f>IF($C$5="ON",CC24,MyRating(_S2,$B24,Efficacy!$F$1))</f>
        <v>3</v>
      </c>
      <c r="BD24" s="3">
        <f>IF($C$5="ON",CD24,MyRating(_S3,$B24,Efficacy!$F$1))</f>
        <v>3</v>
      </c>
      <c r="BE24" s="3">
        <f>IF($C$5="ON",CE24,MyRating(_S4,$B24,Efficacy!$F$1))</f>
        <v>3</v>
      </c>
      <c r="BF24" s="3">
        <f>IF($C$5="ON",CF24,MyRating(_S5,$B24,Efficacy!$F$1))</f>
        <v>5</v>
      </c>
      <c r="BG24" s="3">
        <f>IF($C$5="ON",CG24,MyRating(_S6,$B24,Efficacy!$F$1))</f>
        <v>2</v>
      </c>
      <c r="BH24" s="3">
        <f>IF($C$5="ON",CH24,MyRating(_S7,$B24,Efficacy!$F$1))</f>
        <v>3</v>
      </c>
      <c r="BI24" s="3">
        <f>IF($C$5="ON",CI24,MyRating(_D1,$B24,Efficacy!$F$1))</f>
        <v>3</v>
      </c>
      <c r="BJ24" s="3">
        <f>IF($C$5="ON",CJ24,MyRating(_D2,$B24,Efficacy!$F$1))</f>
        <v>3</v>
      </c>
      <c r="BK24" s="3">
        <f>IF($C$5="ON",CK24,MyRating(_D3,$B24,Efficacy!$F$1))</f>
        <v>3</v>
      </c>
      <c r="BL24" s="3">
        <f>IF($C$5="ON",CL24,MyRating(_D4,$B24,Efficacy!$F$1))</f>
        <v>1</v>
      </c>
      <c r="BM24" s="3">
        <f>IF($C$5="ON",CM24,MyRating(_B1,$B24,Barrier!$F$2))</f>
        <v>3</v>
      </c>
      <c r="BN24" s="3">
        <f>IF($C$5="ON",CN24,MyRating(_B2,$B24,Barrier!$F$2))</f>
        <v>3</v>
      </c>
      <c r="BO24" s="6">
        <f>IF($C$5="ON",CO24,MyRating(_B3,$B24,Barrier!$F$2))</f>
        <v>3</v>
      </c>
      <c r="BP24" s="5">
        <f t="shared" si="6"/>
        <v>3.2953661618571599E-2</v>
      </c>
      <c r="BQ24" s="8">
        <f t="shared" si="7"/>
        <v>2.9999999999999996</v>
      </c>
      <c r="BR24" s="5">
        <f t="shared" si="8"/>
        <v>3.2599837000814993E-2</v>
      </c>
      <c r="BS24" s="7">
        <f t="shared" si="9"/>
        <v>1.6438361024188112E-2</v>
      </c>
      <c r="BT24" s="4">
        <v>4</v>
      </c>
      <c r="BU24" s="3">
        <v>3</v>
      </c>
      <c r="BV24" s="3">
        <v>4</v>
      </c>
      <c r="BW24" s="3">
        <v>3</v>
      </c>
      <c r="BX24" s="3">
        <v>3</v>
      </c>
      <c r="BY24" s="3">
        <v>2</v>
      </c>
      <c r="BZ24" s="3">
        <v>3</v>
      </c>
      <c r="CA24" s="3">
        <v>5</v>
      </c>
      <c r="CB24" s="3">
        <v>3</v>
      </c>
      <c r="CC24" s="3">
        <v>3</v>
      </c>
      <c r="CD24" s="3">
        <v>3</v>
      </c>
      <c r="CE24" s="3">
        <v>3</v>
      </c>
      <c r="CF24" s="3">
        <v>5</v>
      </c>
      <c r="CG24" s="3">
        <v>2</v>
      </c>
      <c r="CH24" s="3">
        <v>3</v>
      </c>
      <c r="CI24" s="3">
        <v>3</v>
      </c>
      <c r="CJ24" s="3">
        <v>3</v>
      </c>
      <c r="CK24" s="3">
        <v>3</v>
      </c>
      <c r="CL24" s="3">
        <v>1</v>
      </c>
      <c r="CM24" s="3">
        <v>3</v>
      </c>
      <c r="CN24" s="3">
        <v>3</v>
      </c>
      <c r="CO24" s="6">
        <v>3</v>
      </c>
      <c r="CP24" s="5"/>
      <c r="CQ24" s="4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</row>
    <row r="25" spans="1:116" x14ac:dyDescent="0.35">
      <c r="A25" s="9" t="s">
        <v>5</v>
      </c>
      <c r="B25" s="9" t="s">
        <v>74</v>
      </c>
      <c r="C25" s="20" t="s">
        <v>3</v>
      </c>
      <c r="D25" s="9" t="s">
        <v>73</v>
      </c>
      <c r="E25" s="9"/>
      <c r="F25" s="9" t="s">
        <v>58</v>
      </c>
      <c r="G25" s="19">
        <v>0</v>
      </c>
      <c r="H25" s="9">
        <v>2014</v>
      </c>
      <c r="I25" s="9">
        <v>6</v>
      </c>
      <c r="J25" s="18">
        <f>INDEX(PTRS!$D$6:$D$12,MATCH('1'!$F25,PTRS!$B$6:$B$12,0))</f>
        <v>0.13923000000000002</v>
      </c>
      <c r="K25" s="17">
        <v>0</v>
      </c>
      <c r="L25" s="17">
        <v>0</v>
      </c>
      <c r="M25" s="18">
        <f>J25/3</f>
        <v>4.6410000000000007E-2</v>
      </c>
      <c r="N25" s="17">
        <f t="shared" si="11"/>
        <v>0.13923000000000002</v>
      </c>
      <c r="O25" s="17">
        <v>0.13923000000000002</v>
      </c>
      <c r="P25" s="17">
        <v>0.13923000000000002</v>
      </c>
      <c r="Q25" s="17">
        <f t="shared" si="2"/>
        <v>0</v>
      </c>
      <c r="R25" s="17">
        <v>0.14000000000000001</v>
      </c>
      <c r="S25" s="17">
        <v>1</v>
      </c>
      <c r="T25" s="17"/>
      <c r="U25" s="17">
        <f t="shared" si="3"/>
        <v>0.9614162825377699</v>
      </c>
      <c r="V25" s="17">
        <v>1</v>
      </c>
      <c r="W25" s="9" t="s">
        <v>27</v>
      </c>
      <c r="X25" s="9">
        <f>INDEX('Unique Asset List'!$C$4:$I$60,MATCH('1'!$B25,'Unique Asset List'!$A$4:$A$60,0),MATCH('1'!$C$1,'Unique Asset List'!$C$3:$I$3,0))</f>
        <v>2025</v>
      </c>
      <c r="Y25" s="9">
        <f>INDEX('Unique Asset List'!$J$4:$P$60,MATCH('1'!$B25,'Unique Asset List'!$A$4:$A$60,0),MATCH('1'!$C$1,'Unique Asset List'!$J$3:$P$3,0))</f>
        <v>7</v>
      </c>
      <c r="Z25" s="9">
        <f>INDEX('Unique Asset List'!$X$4:$AD$60,MATCH('1'!$B25,'Unique Asset List'!$A$4:$A$60,0),MATCH('1'!$C$1,'Unique Asset List'!$X$3:$AD$3,0))</f>
        <v>2034</v>
      </c>
      <c r="AA25" s="9">
        <f>INDEX('Unique Asset List'!$AE$4:$AK$60,MATCH('1'!$B25,'Unique Asset List'!$A$4:$A$60,0),MATCH('1'!$C$1,'Unique Asset List'!$AE$3:$AK$3,0))</f>
        <v>7</v>
      </c>
      <c r="AB25" s="16">
        <f t="shared" si="10"/>
        <v>1.5917814000000001</v>
      </c>
      <c r="AC25" s="16">
        <f t="shared" si="4"/>
        <v>0.76203600000000005</v>
      </c>
      <c r="AD25" s="16">
        <f t="shared" si="5"/>
        <v>0.45111879999999999</v>
      </c>
      <c r="AE25" s="15">
        <f>INDEX('Unique Asset List'!$BN$4:$BT$60,MATCH('1'!$B25,'Unique Asset List'!$A$4:$A$60,0),MATCH('1'!$C$1,'Unique Asset List'!$BN$3:$BT$3,0))</f>
        <v>0.15</v>
      </c>
      <c r="AF25" s="15">
        <f>INDEX('Unique Asset List'!$BU$4:$CA$60,MATCH('1'!$B25,'Unique Asset List'!$A$4:$A$60,0),MATCH('1'!$C$1,'Unique Asset List'!$BU$3:$CA$3,0))</f>
        <v>0.35</v>
      </c>
      <c r="AG25" s="15">
        <f>INDEX('Unique Asset List'!$AZ$4:$BF$60,MATCH('1'!$B25,'Unique Asset List'!$A$4:$A$60,0),MATCH('1'!$C$1,'Unique Asset List'!$AZ$3:$BF$3,0))</f>
        <v>0.15</v>
      </c>
      <c r="AH25" s="15">
        <f>INDEX('Unique Asset List'!$BG$4:$BM$60,MATCH('1'!$B25,'Unique Asset List'!$A$4:$A$60,0),MATCH('1'!$C$1,'Unique Asset List'!$BG$3:$BM$3,0))</f>
        <v>0.35</v>
      </c>
      <c r="AI25" s="11">
        <v>0.97304949785176587</v>
      </c>
      <c r="AJ25" s="15">
        <f>INDEX('Unique Asset List'!$AL$4:$AR$60,MATCH('1'!$B25,'Unique Asset List'!$A$4:$A$60,0),MATCH('1'!$C$1,'Unique Asset List'!$AL$3:$AR$3,0))</f>
        <v>1.2267192541321688</v>
      </c>
      <c r="AK25" s="15">
        <f>INDEX('Unique Asset List'!$AS$4:$AY$60,MATCH('1'!$B25,'Unique Asset List'!$A$4:$A$60,0),MATCH('1'!$C$1,'Unique Asset List'!$AS$3:$AY$3,0))</f>
        <v>11.984388276878477</v>
      </c>
      <c r="AL25" s="9">
        <v>160</v>
      </c>
      <c r="AM25" s="14">
        <f>INDEX(Simulation!$B$6:$H$6,MATCH($A25,Simulation!$B$1:$H$1,0))*(1+AN25)^((DATE(X25,Y25,15)-DATE(2017,1,15))/365.5)</f>
        <v>20.087733846405371</v>
      </c>
      <c r="AN25" s="12">
        <v>3.5000000000000003E-2</v>
      </c>
      <c r="AO25" s="13">
        <v>60</v>
      </c>
      <c r="AP25" s="11">
        <v>0.6</v>
      </c>
      <c r="AQ25" s="12">
        <v>-0.02</v>
      </c>
      <c r="AR25" s="11">
        <v>0.5</v>
      </c>
      <c r="AS25" s="10">
        <v>1</v>
      </c>
      <c r="AT25" s="4">
        <f>IF($C$5="ON",BT25,MyRating(_E1,$B25,Efficacy!$F$1))</f>
        <v>4</v>
      </c>
      <c r="AU25" s="3">
        <f>IF($C$5="ON",BU25,MyRating(_E2,$B25,Efficacy!$F$1))</f>
        <v>3</v>
      </c>
      <c r="AV25" s="3">
        <f>IF($C$5="ON",BV25,MyRating(_E3,$B25,Efficacy!$F$1))</f>
        <v>4</v>
      </c>
      <c r="AW25" s="3">
        <f>IF($C$5="ON",BW25,MyRating(_E4,$B25,Efficacy!$F$1))</f>
        <v>3</v>
      </c>
      <c r="AX25" s="3">
        <f>IF($C$5="ON",BX25,MyRating(_E5,$B25,Efficacy!$F$1))</f>
        <v>3</v>
      </c>
      <c r="AY25" s="3">
        <f>IF($C$5="ON",BY25,MyRating(_E6,$B25,Efficacy!$F$1))</f>
        <v>2</v>
      </c>
      <c r="AZ25" s="3">
        <f>IF($C$5="ON",BZ25,MyRating(_E7,$B25,Efficacy!$F$1))</f>
        <v>3</v>
      </c>
      <c r="BA25" s="3">
        <f>IF($C$5="ON",CA25,MyRating(_E8,$B25,Efficacy!$F$1))</f>
        <v>5</v>
      </c>
      <c r="BB25" s="3">
        <f>IF($C$5="ON",CB25,MyRating(_S1,$B25,Efficacy!$F$1))</f>
        <v>2</v>
      </c>
      <c r="BC25" s="3">
        <f>IF($C$5="ON",CC25,MyRating(_S2,$B25,Efficacy!$F$1))</f>
        <v>3</v>
      </c>
      <c r="BD25" s="3">
        <f>IF($C$5="ON",CD25,MyRating(_S3,$B25,Efficacy!$F$1))</f>
        <v>3</v>
      </c>
      <c r="BE25" s="3">
        <f>IF($C$5="ON",CE25,MyRating(_S4,$B25,Efficacy!$F$1))</f>
        <v>3</v>
      </c>
      <c r="BF25" s="3">
        <f>IF($C$5="ON",CF25,MyRating(_S5,$B25,Efficacy!$F$1))</f>
        <v>5</v>
      </c>
      <c r="BG25" s="3">
        <f>IF($C$5="ON",CG25,MyRating(_S6,$B25,Efficacy!$F$1))</f>
        <v>2</v>
      </c>
      <c r="BH25" s="3">
        <f>IF($C$5="ON",CH25,MyRating(_S7,$B25,Efficacy!$F$1))</f>
        <v>3</v>
      </c>
      <c r="BI25" s="3">
        <f>IF($C$5="ON",CI25,MyRating(_D1,$B25,Efficacy!$F$1))</f>
        <v>3</v>
      </c>
      <c r="BJ25" s="3">
        <f>IF($C$5="ON",CJ25,MyRating(_D2,$B25,Efficacy!$F$1))</f>
        <v>3</v>
      </c>
      <c r="BK25" s="3">
        <f>IF($C$5="ON",CK25,MyRating(_D3,$B25,Efficacy!$F$1))</f>
        <v>3</v>
      </c>
      <c r="BL25" s="3">
        <f>IF($C$5="ON",CL25,MyRating(_D4,$B25,Efficacy!$F$1))</f>
        <v>1</v>
      </c>
      <c r="BM25" s="3">
        <f>IF($C$5="ON",CM25,MyRating(_B1,$B25,Barrier!$F$2))</f>
        <v>3</v>
      </c>
      <c r="BN25" s="3">
        <f>IF($C$5="ON",CN25,MyRating(_B2,$B25,Barrier!$F$2))</f>
        <v>3</v>
      </c>
      <c r="BO25" s="6">
        <f>IF($C$5="ON",CO25,MyRating(_B3,$B25,Barrier!$F$2))</f>
        <v>3</v>
      </c>
      <c r="BP25" s="5">
        <f t="shared" si="6"/>
        <v>3.2953661618571599E-2</v>
      </c>
      <c r="BQ25" s="8">
        <f t="shared" si="7"/>
        <v>2.9999999999999996</v>
      </c>
      <c r="BR25" s="5">
        <f t="shared" si="8"/>
        <v>3.2599837000814993E-2</v>
      </c>
      <c r="BS25" s="7">
        <f t="shared" si="9"/>
        <v>1.6438361024188112E-2</v>
      </c>
      <c r="BT25" s="4">
        <v>4</v>
      </c>
      <c r="BU25" s="3">
        <v>3</v>
      </c>
      <c r="BV25" s="3">
        <v>4</v>
      </c>
      <c r="BW25" s="3">
        <v>3</v>
      </c>
      <c r="BX25" s="3">
        <v>3</v>
      </c>
      <c r="BY25" s="3">
        <v>2</v>
      </c>
      <c r="BZ25" s="3">
        <v>3</v>
      </c>
      <c r="CA25" s="3">
        <v>5</v>
      </c>
      <c r="CB25" s="3">
        <v>2</v>
      </c>
      <c r="CC25" s="3">
        <v>3</v>
      </c>
      <c r="CD25" s="3">
        <v>3</v>
      </c>
      <c r="CE25" s="3">
        <v>3</v>
      </c>
      <c r="CF25" s="3">
        <v>5</v>
      </c>
      <c r="CG25" s="3">
        <v>2</v>
      </c>
      <c r="CH25" s="3">
        <v>3</v>
      </c>
      <c r="CI25" s="3">
        <v>3</v>
      </c>
      <c r="CJ25" s="3">
        <v>3</v>
      </c>
      <c r="CK25" s="3">
        <v>3</v>
      </c>
      <c r="CL25" s="3">
        <v>1</v>
      </c>
      <c r="CM25" s="3">
        <v>3</v>
      </c>
      <c r="CN25" s="3">
        <v>3</v>
      </c>
      <c r="CO25" s="6">
        <v>3</v>
      </c>
      <c r="CP25" s="5"/>
      <c r="CQ25" s="4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</row>
    <row r="26" spans="1:116" x14ac:dyDescent="0.35">
      <c r="A26" s="9" t="s">
        <v>5</v>
      </c>
      <c r="B26" s="9" t="s">
        <v>72</v>
      </c>
      <c r="C26" s="20"/>
      <c r="D26" s="9" t="s">
        <v>2</v>
      </c>
      <c r="E26" s="9"/>
      <c r="F26" s="9" t="s">
        <v>51</v>
      </c>
      <c r="G26" s="19">
        <v>0</v>
      </c>
      <c r="H26" s="9">
        <v>2014</v>
      </c>
      <c r="I26" s="9">
        <v>6</v>
      </c>
      <c r="J26" s="18">
        <f>INDEX(PTRS!$D$6:$D$12,MATCH('1'!$F26,PTRS!$B$6:$B$12,0))</f>
        <v>0.1638</v>
      </c>
      <c r="K26" s="17">
        <v>0</v>
      </c>
      <c r="L26" s="17">
        <v>1</v>
      </c>
      <c r="M26" s="17">
        <v>0.16400000000000001</v>
      </c>
      <c r="N26" s="17">
        <f t="shared" si="11"/>
        <v>0.16400000000000001</v>
      </c>
      <c r="O26" s="17">
        <v>0.16400000000000001</v>
      </c>
      <c r="P26" s="17">
        <v>0.1638</v>
      </c>
      <c r="Q26" s="17">
        <f t="shared" si="2"/>
        <v>0</v>
      </c>
      <c r="R26" s="17">
        <v>1</v>
      </c>
      <c r="S26" s="17">
        <v>1</v>
      </c>
      <c r="T26" s="17"/>
      <c r="U26" s="17">
        <f t="shared" si="3"/>
        <v>0.74476637191997019</v>
      </c>
      <c r="V26" s="17">
        <v>0.4</v>
      </c>
      <c r="W26" s="9" t="s">
        <v>71</v>
      </c>
      <c r="X26" s="9">
        <f>INDEX('Unique Asset List'!$C$4:$I$60,MATCH('1'!$B26,'Unique Asset List'!$A$4:$A$60,0),MATCH('1'!$C$1,'Unique Asset List'!$C$3:$I$3,0))</f>
        <v>2025</v>
      </c>
      <c r="Y26" s="9">
        <f>INDEX('Unique Asset List'!$J$4:$P$60,MATCH('1'!$B26,'Unique Asset List'!$A$4:$A$60,0),MATCH('1'!$C$1,'Unique Asset List'!$J$3:$P$3,0))</f>
        <v>6</v>
      </c>
      <c r="Z26" s="9">
        <f>INDEX('Unique Asset List'!$X$4:$AD$60,MATCH('1'!$B26,'Unique Asset List'!$A$4:$A$60,0),MATCH('1'!$C$1,'Unique Asset List'!$X$3:$AD$3,0))</f>
        <v>2031</v>
      </c>
      <c r="AA26" s="9">
        <f>INDEX('Unique Asset List'!$AE$4:$AK$60,MATCH('1'!$B26,'Unique Asset List'!$A$4:$A$60,0),MATCH('1'!$C$1,'Unique Asset List'!$AE$3:$AK$3,0))</f>
        <v>1</v>
      </c>
      <c r="AB26" s="16">
        <f t="shared" si="10"/>
        <v>1.6957671000000003</v>
      </c>
      <c r="AC26" s="16">
        <f t="shared" si="4"/>
        <v>0.85759169999999996</v>
      </c>
      <c r="AD26" s="16">
        <f t="shared" si="5"/>
        <v>0.41402720413999994</v>
      </c>
      <c r="AE26" s="15">
        <f>INDEX('Unique Asset List'!$BN$4:$BT$60,MATCH('1'!$B26,'Unique Asset List'!$A$4:$A$60,0),MATCH('1'!$C$1,'Unique Asset List'!$BN$3:$BT$3,0))</f>
        <v>0.22</v>
      </c>
      <c r="AF26" s="15">
        <f>INDEX('Unique Asset List'!$BU$4:$CA$60,MATCH('1'!$B26,'Unique Asset List'!$A$4:$A$60,0),MATCH('1'!$C$1,'Unique Asset List'!$BU$3:$CA$3,0))</f>
        <v>0.28000000000000003</v>
      </c>
      <c r="AG26" s="15">
        <f>INDEX('Unique Asset List'!$AZ$4:$BF$60,MATCH('1'!$B26,'Unique Asset List'!$A$4:$A$60,0),MATCH('1'!$C$1,'Unique Asset List'!$AZ$3:$BF$3,0))</f>
        <v>0.22</v>
      </c>
      <c r="AH26" s="15">
        <f>INDEX('Unique Asset List'!$BG$4:$BM$60,MATCH('1'!$B26,'Unique Asset List'!$A$4:$A$60,0),MATCH('1'!$C$1,'Unique Asset List'!$BG$3:$BM$3,0))</f>
        <v>0.28000000000000003</v>
      </c>
      <c r="AI26" s="11">
        <v>0.97304949785176587</v>
      </c>
      <c r="AJ26" s="15">
        <f>INDEX('Unique Asset List'!$AL$4:$AR$60,MATCH('1'!$B26,'Unique Asset List'!$A$4:$A$60,0),MATCH('1'!$C$1,'Unique Asset List'!$AL$3:$AR$3,0))</f>
        <v>1.2267192541321688</v>
      </c>
      <c r="AK26" s="15">
        <f>INDEX('Unique Asset List'!$AS$4:$AY$60,MATCH('1'!$B26,'Unique Asset List'!$A$4:$A$60,0),MATCH('1'!$C$1,'Unique Asset List'!$AS$3:$AY$3,0))</f>
        <v>11.984388276878477</v>
      </c>
      <c r="AL26" s="9">
        <v>160</v>
      </c>
      <c r="AM26" s="14">
        <f>INDEX(Simulation!$B$6:$H$6,MATCH($A26,Simulation!$B$1:$H$1,0))*(1+AN26)^((DATE(X26,Y26,15)-DATE(2017,1,15))/365.5)</f>
        <v>20.031093190947534</v>
      </c>
      <c r="AN26" s="12">
        <v>3.5000000000000003E-2</v>
      </c>
      <c r="AO26" s="13">
        <v>60</v>
      </c>
      <c r="AP26" s="11">
        <v>0.6</v>
      </c>
      <c r="AQ26" s="12">
        <v>-0.02</v>
      </c>
      <c r="AR26" s="11">
        <v>0.5</v>
      </c>
      <c r="AS26" s="10">
        <v>1</v>
      </c>
      <c r="AT26" s="4">
        <f>IF($C$5="ON",BT26,MyRating(_E1,$B26,Efficacy!$F$1))</f>
        <v>5</v>
      </c>
      <c r="AU26" s="3">
        <f>IF($C$5="ON",BU26,MyRating(_E2,$B26,Efficacy!$F$1))</f>
        <v>4</v>
      </c>
      <c r="AV26" s="3">
        <f>IF($C$5="ON",BV26,MyRating(_E3,$B26,Efficacy!$F$1))</f>
        <v>4</v>
      </c>
      <c r="AW26" s="3">
        <f>IF($C$5="ON",BW26,MyRating(_E4,$B26,Efficacy!$F$1))</f>
        <v>3</v>
      </c>
      <c r="AX26" s="3">
        <f>IF($C$5="ON",BX26,MyRating(_E5,$B26,Efficacy!$F$1))</f>
        <v>3</v>
      </c>
      <c r="AY26" s="3">
        <f>IF($C$5="ON",BY26,MyRating(_E6,$B26,Efficacy!$F$1))</f>
        <v>2</v>
      </c>
      <c r="AZ26" s="3">
        <f>IF($C$5="ON",BZ26,MyRating(_E7,$B26,Efficacy!$F$1))</f>
        <v>3</v>
      </c>
      <c r="BA26" s="3">
        <f>IF($C$5="ON",CA26,MyRating(_E8,$B26,Efficacy!$F$1))</f>
        <v>2</v>
      </c>
      <c r="BB26" s="3">
        <f>IF($C$5="ON",CB26,MyRating(_S1,$B26,Efficacy!$F$1))</f>
        <v>1</v>
      </c>
      <c r="BC26" s="3">
        <f>IF($C$5="ON",CC26,MyRating(_S2,$B26,Efficacy!$F$1))</f>
        <v>4</v>
      </c>
      <c r="BD26" s="3">
        <f>IF($C$5="ON",CD26,MyRating(_S3,$B26,Efficacy!$F$1))</f>
        <v>4</v>
      </c>
      <c r="BE26" s="3">
        <f>IF($C$5="ON",CE26,MyRating(_S4,$B26,Efficacy!$F$1))</f>
        <v>5</v>
      </c>
      <c r="BF26" s="3">
        <f>IF($C$5="ON",CF26,MyRating(_S5,$B26,Efficacy!$F$1))</f>
        <v>5</v>
      </c>
      <c r="BG26" s="3">
        <f>IF($C$5="ON",CG26,MyRating(_S6,$B26,Efficacy!$F$1))</f>
        <v>2</v>
      </c>
      <c r="BH26" s="3">
        <f>IF($C$5="ON",CH26,MyRating(_S7,$B26,Efficacy!$F$1))</f>
        <v>4</v>
      </c>
      <c r="BI26" s="3">
        <f>IF($C$5="ON",CI26,MyRating(_D1,$B26,Efficacy!$F$1))</f>
        <v>2</v>
      </c>
      <c r="BJ26" s="3">
        <f>IF($C$5="ON",CJ26,MyRating(_D2,$B26,Efficacy!$F$1))</f>
        <v>3</v>
      </c>
      <c r="BK26" s="3">
        <f>IF($C$5="ON",CK26,MyRating(_D3,$B26,Efficacy!$F$1))</f>
        <v>2</v>
      </c>
      <c r="BL26" s="3">
        <f>IF($C$5="ON",CL26,MyRating(_D4,$B26,Efficacy!$F$1))</f>
        <v>2</v>
      </c>
      <c r="BM26" s="3">
        <f>IF($C$5="ON",CM26,MyRating(_B1,$B26,Barrier!$F$2))</f>
        <v>1</v>
      </c>
      <c r="BN26" s="3">
        <f>IF($C$5="ON",CN26,MyRating(_B2,$B26,Barrier!$F$2))</f>
        <v>2</v>
      </c>
      <c r="BO26" s="6">
        <f>IF($C$5="ON",CO26,MyRating(_B3,$B26,Barrier!$F$2))</f>
        <v>3</v>
      </c>
      <c r="BP26" s="5">
        <f t="shared" si="6"/>
        <v>2.5527733876483168E-2</v>
      </c>
      <c r="BQ26" s="8">
        <f t="shared" si="7"/>
        <v>2.4249999999999998</v>
      </c>
      <c r="BR26" s="5">
        <f t="shared" si="8"/>
        <v>2.6351534908992121E-2</v>
      </c>
      <c r="BS26" s="7">
        <f t="shared" si="9"/>
        <v>1.2734066109197875E-2</v>
      </c>
      <c r="BT26" s="4">
        <v>5</v>
      </c>
      <c r="BU26" s="3">
        <v>4</v>
      </c>
      <c r="BV26" s="3">
        <v>4</v>
      </c>
      <c r="BW26" s="3">
        <v>3</v>
      </c>
      <c r="BX26" s="3">
        <v>3</v>
      </c>
      <c r="BY26" s="3">
        <v>2</v>
      </c>
      <c r="BZ26" s="3">
        <v>3</v>
      </c>
      <c r="CA26" s="3">
        <v>2</v>
      </c>
      <c r="CB26" s="3">
        <v>1</v>
      </c>
      <c r="CC26" s="3">
        <v>4</v>
      </c>
      <c r="CD26" s="3">
        <v>4</v>
      </c>
      <c r="CE26" s="3">
        <v>5</v>
      </c>
      <c r="CF26" s="3">
        <v>5</v>
      </c>
      <c r="CG26" s="3">
        <v>2</v>
      </c>
      <c r="CH26" s="3">
        <v>4</v>
      </c>
      <c r="CI26" s="3">
        <v>2</v>
      </c>
      <c r="CJ26" s="3">
        <v>3</v>
      </c>
      <c r="CK26" s="3">
        <v>2</v>
      </c>
      <c r="CL26" s="3">
        <v>2</v>
      </c>
      <c r="CM26" s="3">
        <v>1</v>
      </c>
      <c r="CN26" s="3">
        <v>2</v>
      </c>
      <c r="CO26" s="6">
        <v>3</v>
      </c>
      <c r="CP26" s="5"/>
      <c r="CQ26" s="4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</row>
    <row r="27" spans="1:116" x14ac:dyDescent="0.35">
      <c r="A27" s="9" t="s">
        <v>5</v>
      </c>
      <c r="B27" s="9" t="s">
        <v>21</v>
      </c>
      <c r="C27" s="20"/>
      <c r="D27" s="9" t="s">
        <v>2</v>
      </c>
      <c r="E27" s="9"/>
      <c r="F27" s="9" t="s">
        <v>51</v>
      </c>
      <c r="G27" s="19">
        <v>0</v>
      </c>
      <c r="H27" s="9">
        <v>2014</v>
      </c>
      <c r="I27" s="9">
        <v>6</v>
      </c>
      <c r="J27" s="18">
        <f>INDEX(PTRS!$D$6:$D$12,MATCH('1'!$F27,PTRS!$B$6:$B$12,0))</f>
        <v>0.1638</v>
      </c>
      <c r="K27" s="17">
        <v>0</v>
      </c>
      <c r="L27" s="17">
        <v>0</v>
      </c>
      <c r="M27" s="17">
        <v>0.12</v>
      </c>
      <c r="N27" s="17">
        <f t="shared" si="11"/>
        <v>0.12</v>
      </c>
      <c r="O27" s="17">
        <v>0.12</v>
      </c>
      <c r="P27" s="17">
        <v>0.1638</v>
      </c>
      <c r="Q27" s="17">
        <f t="shared" si="2"/>
        <v>0</v>
      </c>
      <c r="R27" s="17">
        <v>1</v>
      </c>
      <c r="S27" s="17">
        <v>1</v>
      </c>
      <c r="T27" s="17"/>
      <c r="U27" s="17">
        <f t="shared" si="3"/>
        <v>0.9614162825377699</v>
      </c>
      <c r="V27" s="17">
        <v>1</v>
      </c>
      <c r="W27" s="9" t="s">
        <v>20</v>
      </c>
      <c r="X27" s="9">
        <f>INDEX('Unique Asset List'!$C$4:$I$60,MATCH('1'!$B27,'Unique Asset List'!$A$4:$A$60,0),MATCH('1'!$C$1,'Unique Asset List'!$C$3:$I$3,0))</f>
        <v>2025</v>
      </c>
      <c r="Y27" s="9">
        <f>INDEX('Unique Asset List'!$J$4:$P$60,MATCH('1'!$B27,'Unique Asset List'!$A$4:$A$60,0),MATCH('1'!$C$1,'Unique Asset List'!$J$3:$P$3,0))</f>
        <v>6</v>
      </c>
      <c r="Z27" s="9">
        <f>INDEX('Unique Asset List'!$X$4:$AD$60,MATCH('1'!$B27,'Unique Asset List'!$A$4:$A$60,0),MATCH('1'!$C$1,'Unique Asset List'!$X$3:$AD$3,0))</f>
        <v>2037</v>
      </c>
      <c r="AA27" s="9">
        <f>INDEX('Unique Asset List'!$AE$4:$AK$60,MATCH('1'!$B27,'Unique Asset List'!$A$4:$A$60,0),MATCH('1'!$C$1,'Unique Asset List'!$AE$3:$AK$3,0))</f>
        <v>5</v>
      </c>
      <c r="AB27" s="16">
        <f t="shared" si="10"/>
        <v>1.4855229000000001</v>
      </c>
      <c r="AC27" s="16">
        <f t="shared" si="4"/>
        <v>0.91486990000000001</v>
      </c>
      <c r="AD27" s="16">
        <f t="shared" si="5"/>
        <v>0.56099999999999994</v>
      </c>
      <c r="AE27" s="15">
        <f>INDEX('Unique Asset List'!$BN$4:$BT$60,MATCH('1'!$B27,'Unique Asset List'!$A$4:$A$60,0),MATCH('1'!$C$1,'Unique Asset List'!$BN$3:$BT$3,0))</f>
        <v>0.15</v>
      </c>
      <c r="AF27" s="15">
        <f>INDEX('Unique Asset List'!$BU$4:$CA$60,MATCH('1'!$B27,'Unique Asset List'!$A$4:$A$60,0),MATCH('1'!$C$1,'Unique Asset List'!$BU$3:$CA$3,0))</f>
        <v>0.35</v>
      </c>
      <c r="AG27" s="15">
        <f>INDEX('Unique Asset List'!$AZ$4:$BF$60,MATCH('1'!$B27,'Unique Asset List'!$A$4:$A$60,0),MATCH('1'!$C$1,'Unique Asset List'!$AZ$3:$BF$3,0))</f>
        <v>0.15</v>
      </c>
      <c r="AH27" s="15">
        <f>INDEX('Unique Asset List'!$BG$4:$BM$60,MATCH('1'!$B27,'Unique Asset List'!$A$4:$A$60,0),MATCH('1'!$C$1,'Unique Asset List'!$BG$3:$BM$3,0))</f>
        <v>0.35</v>
      </c>
      <c r="AI27" s="11">
        <v>0.97304949785176587</v>
      </c>
      <c r="AJ27" s="15">
        <f>INDEX('Unique Asset List'!$AL$4:$AR$60,MATCH('1'!$B27,'Unique Asset List'!$A$4:$A$60,0),MATCH('1'!$C$1,'Unique Asset List'!$AL$3:$AR$3,0))</f>
        <v>1.2267192541321688</v>
      </c>
      <c r="AK27" s="15">
        <f>INDEX('Unique Asset List'!$AS$4:$AY$60,MATCH('1'!$B27,'Unique Asset List'!$A$4:$A$60,0),MATCH('1'!$C$1,'Unique Asset List'!$AS$3:$AY$3,0))</f>
        <v>11.984388276878477</v>
      </c>
      <c r="AL27" s="9">
        <v>160</v>
      </c>
      <c r="AM27" s="14">
        <f>INDEX(Simulation!$B$6:$H$6,MATCH($A27,Simulation!$B$1:$H$1,0))*(1+AN27)^((DATE(X27,Y27,15)-DATE(2017,1,15))/365.5)</f>
        <v>20.031093190947534</v>
      </c>
      <c r="AN27" s="12">
        <v>3.5000000000000003E-2</v>
      </c>
      <c r="AO27" s="13">
        <v>60</v>
      </c>
      <c r="AP27" s="11">
        <v>0.6</v>
      </c>
      <c r="AQ27" s="12">
        <v>-0.02</v>
      </c>
      <c r="AR27" s="11">
        <v>0.5</v>
      </c>
      <c r="AS27" s="10">
        <v>1</v>
      </c>
      <c r="AT27" s="4">
        <f>IF($C$5="ON",BT27,MyRating(_E1,$B27,Efficacy!$F$1))</f>
        <v>3</v>
      </c>
      <c r="AU27" s="3">
        <f>IF($C$5="ON",BU27,MyRating(_E2,$B27,Efficacy!$F$1))</f>
        <v>3</v>
      </c>
      <c r="AV27" s="3">
        <f>IF($C$5="ON",BV27,MyRating(_E3,$B27,Efficacy!$F$1))</f>
        <v>3</v>
      </c>
      <c r="AW27" s="3">
        <f>IF($C$5="ON",BW27,MyRating(_E4,$B27,Efficacy!$F$1))</f>
        <v>3</v>
      </c>
      <c r="AX27" s="3">
        <f>IF($C$5="ON",BX27,MyRating(_E5,$B27,Efficacy!$F$1))</f>
        <v>3</v>
      </c>
      <c r="AY27" s="3">
        <f>IF($C$5="ON",BY27,MyRating(_E6,$B27,Efficacy!$F$1))</f>
        <v>4</v>
      </c>
      <c r="AZ27" s="3">
        <f>IF($C$5="ON",BZ27,MyRating(_E7,$B27,Efficacy!$F$1))</f>
        <v>3</v>
      </c>
      <c r="BA27" s="3">
        <f>IF($C$5="ON",CA27,MyRating(_E8,$B27,Efficacy!$F$1))</f>
        <v>2</v>
      </c>
      <c r="BB27" s="3">
        <f>IF($C$5="ON",CB27,MyRating(_S1,$B27,Efficacy!$F$1))</f>
        <v>3</v>
      </c>
      <c r="BC27" s="3">
        <f>IF($C$5="ON",CC27,MyRating(_S2,$B27,Efficacy!$F$1))</f>
        <v>4</v>
      </c>
      <c r="BD27" s="3">
        <f>IF($C$5="ON",CD27,MyRating(_S3,$B27,Efficacy!$F$1))</f>
        <v>3</v>
      </c>
      <c r="BE27" s="3">
        <f>IF($C$5="ON",CE27,MyRating(_S4,$B27,Efficacy!$F$1))</f>
        <v>5</v>
      </c>
      <c r="BF27" s="3">
        <f>IF($C$5="ON",CF27,MyRating(_S5,$B27,Efficacy!$F$1))</f>
        <v>4</v>
      </c>
      <c r="BG27" s="3">
        <f>IF($C$5="ON",CG27,MyRating(_S6,$B27,Efficacy!$F$1))</f>
        <v>4</v>
      </c>
      <c r="BH27" s="3">
        <f>IF($C$5="ON",CH27,MyRating(_S7,$B27,Efficacy!$F$1))</f>
        <v>3</v>
      </c>
      <c r="BI27" s="3">
        <f>IF($C$5="ON",CI27,MyRating(_D1,$B27,Efficacy!$F$1))</f>
        <v>3</v>
      </c>
      <c r="BJ27" s="3">
        <f>IF($C$5="ON",CJ27,MyRating(_D2,$B27,Efficacy!$F$1))</f>
        <v>3</v>
      </c>
      <c r="BK27" s="3">
        <f>IF($C$5="ON",CK27,MyRating(_D3,$B27,Efficacy!$F$1))</f>
        <v>3</v>
      </c>
      <c r="BL27" s="3">
        <f>IF($C$5="ON",CL27,MyRating(_D4,$B27,Efficacy!$F$1))</f>
        <v>3</v>
      </c>
      <c r="BM27" s="3">
        <f>IF($C$5="ON",CM27,MyRating(_B1,$B27,Barrier!$F$2))</f>
        <v>3</v>
      </c>
      <c r="BN27" s="3">
        <f>IF($C$5="ON",CN27,MyRating(_B2,$B27,Barrier!$F$2))</f>
        <v>3</v>
      </c>
      <c r="BO27" s="6">
        <f>IF($C$5="ON",CO27,MyRating(_B3,$B27,Barrier!$F$2))</f>
        <v>3</v>
      </c>
      <c r="BP27" s="5">
        <f t="shared" si="6"/>
        <v>3.2953661618571599E-2</v>
      </c>
      <c r="BQ27" s="8">
        <f t="shared" si="7"/>
        <v>2.9999999999999996</v>
      </c>
      <c r="BR27" s="5">
        <f t="shared" si="8"/>
        <v>3.2599837000814993E-2</v>
      </c>
      <c r="BS27" s="7">
        <f t="shared" si="9"/>
        <v>1.6438361024188112E-2</v>
      </c>
      <c r="BT27" s="4">
        <v>3</v>
      </c>
      <c r="BU27" s="3">
        <v>3</v>
      </c>
      <c r="BV27" s="3">
        <v>3</v>
      </c>
      <c r="BW27" s="3">
        <v>3</v>
      </c>
      <c r="BX27" s="3">
        <v>3</v>
      </c>
      <c r="BY27" s="3">
        <v>4</v>
      </c>
      <c r="BZ27" s="3">
        <v>3</v>
      </c>
      <c r="CA27" s="3">
        <v>2</v>
      </c>
      <c r="CB27" s="3">
        <v>3</v>
      </c>
      <c r="CC27" s="3">
        <v>4</v>
      </c>
      <c r="CD27" s="3">
        <v>3</v>
      </c>
      <c r="CE27" s="3">
        <v>5</v>
      </c>
      <c r="CF27" s="3">
        <v>4</v>
      </c>
      <c r="CG27" s="3">
        <v>4</v>
      </c>
      <c r="CH27" s="3">
        <v>3</v>
      </c>
      <c r="CI27" s="3">
        <v>3</v>
      </c>
      <c r="CJ27" s="3">
        <v>3</v>
      </c>
      <c r="CK27" s="3">
        <v>3</v>
      </c>
      <c r="CL27" s="3">
        <v>3</v>
      </c>
      <c r="CM27" s="3">
        <v>3</v>
      </c>
      <c r="CN27" s="3">
        <v>3</v>
      </c>
      <c r="CO27" s="6">
        <v>3</v>
      </c>
      <c r="CP27" s="5"/>
      <c r="CQ27" s="4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</row>
    <row r="28" spans="1:116" x14ac:dyDescent="0.35">
      <c r="A28" s="9" t="s">
        <v>5</v>
      </c>
      <c r="B28" s="9" t="s">
        <v>70</v>
      </c>
      <c r="C28" s="20"/>
      <c r="D28" s="9" t="s">
        <v>64</v>
      </c>
      <c r="E28" s="9"/>
      <c r="F28" s="9" t="s">
        <v>58</v>
      </c>
      <c r="G28" s="19">
        <v>0</v>
      </c>
      <c r="H28" s="9">
        <v>2014</v>
      </c>
      <c r="I28" s="9">
        <v>6</v>
      </c>
      <c r="J28" s="18">
        <f>INDEX(PTRS!$D$6:$D$12,MATCH('1'!$F28,PTRS!$B$6:$B$12,0))</f>
        <v>0.13923000000000002</v>
      </c>
      <c r="K28" s="17">
        <v>0</v>
      </c>
      <c r="L28" s="17">
        <v>0</v>
      </c>
      <c r="M28" s="17">
        <f>J28</f>
        <v>0.13923000000000002</v>
      </c>
      <c r="N28" s="17">
        <f t="shared" si="11"/>
        <v>0.13923000000000002</v>
      </c>
      <c r="O28" s="17">
        <v>0.13923000000000002</v>
      </c>
      <c r="P28" s="17">
        <v>0.13923000000000002</v>
      </c>
      <c r="Q28" s="17">
        <f t="shared" si="2"/>
        <v>0</v>
      </c>
      <c r="R28" s="17">
        <v>0.14000000000000001</v>
      </c>
      <c r="S28" s="17">
        <v>1</v>
      </c>
      <c r="T28" s="17"/>
      <c r="U28" s="17">
        <f t="shared" si="3"/>
        <v>0.9614162825377699</v>
      </c>
      <c r="V28" s="17">
        <v>1</v>
      </c>
      <c r="W28" s="9" t="s">
        <v>62</v>
      </c>
      <c r="X28" s="9">
        <f>INDEX('Unique Asset List'!$C$4:$I$60,MATCH('1'!$B28,'Unique Asset List'!$A$4:$A$60,0),MATCH('1'!$C$1,'Unique Asset List'!$C$3:$I$3,0))</f>
        <v>2025</v>
      </c>
      <c r="Y28" s="9">
        <f>INDEX('Unique Asset List'!$J$4:$P$60,MATCH('1'!$B28,'Unique Asset List'!$A$4:$A$60,0),MATCH('1'!$C$1,'Unique Asset List'!$J$3:$P$3,0))</f>
        <v>6</v>
      </c>
      <c r="Z28" s="9">
        <f>INDEX('Unique Asset List'!$X$4:$AD$60,MATCH('1'!$B28,'Unique Asset List'!$A$4:$A$60,0),MATCH('1'!$C$1,'Unique Asset List'!$X$3:$AD$3,0))</f>
        <v>2036</v>
      </c>
      <c r="AA28" s="9">
        <f>INDEX('Unique Asset List'!$AE$4:$AK$60,MATCH('1'!$B28,'Unique Asset List'!$A$4:$A$60,0),MATCH('1'!$C$1,'Unique Asset List'!$AE$3:$AK$3,0))</f>
        <v>6</v>
      </c>
      <c r="AB28" s="16">
        <f t="shared" si="10"/>
        <v>1.4482758</v>
      </c>
      <c r="AC28" s="16">
        <f t="shared" si="4"/>
        <v>0.91994010000000004</v>
      </c>
      <c r="AD28" s="16">
        <f t="shared" si="5"/>
        <v>0.50129594525999999</v>
      </c>
      <c r="AE28" s="15">
        <f>INDEX('Unique Asset List'!$BN$4:$BT$60,MATCH('1'!$B28,'Unique Asset List'!$A$4:$A$60,0),MATCH('1'!$C$1,'Unique Asset List'!$BN$3:$BT$3,0))</f>
        <v>0.22</v>
      </c>
      <c r="AF28" s="15">
        <f>INDEX('Unique Asset List'!$BU$4:$CA$60,MATCH('1'!$B28,'Unique Asset List'!$A$4:$A$60,0),MATCH('1'!$C$1,'Unique Asset List'!$BU$3:$CA$3,0))</f>
        <v>0.28000000000000003</v>
      </c>
      <c r="AG28" s="15">
        <f>INDEX('Unique Asset List'!$AZ$4:$BF$60,MATCH('1'!$B28,'Unique Asset List'!$A$4:$A$60,0),MATCH('1'!$C$1,'Unique Asset List'!$AZ$3:$BF$3,0))</f>
        <v>0.22</v>
      </c>
      <c r="AH28" s="15">
        <f>INDEX('Unique Asset List'!$BG$4:$BM$60,MATCH('1'!$B28,'Unique Asset List'!$A$4:$A$60,0),MATCH('1'!$C$1,'Unique Asset List'!$BG$3:$BM$3,0))</f>
        <v>0.28000000000000003</v>
      </c>
      <c r="AI28" s="11">
        <v>0.97304949785176587</v>
      </c>
      <c r="AJ28" s="15">
        <f>INDEX('Unique Asset List'!$AL$4:$AR$60,MATCH('1'!$B28,'Unique Asset List'!$A$4:$A$60,0),MATCH('1'!$C$1,'Unique Asset List'!$AL$3:$AR$3,0))</f>
        <v>1.2267192541321688</v>
      </c>
      <c r="AK28" s="15">
        <f>INDEX('Unique Asset List'!$AS$4:$AY$60,MATCH('1'!$B28,'Unique Asset List'!$A$4:$A$60,0),MATCH('1'!$C$1,'Unique Asset List'!$AS$3:$AY$3,0))</f>
        <v>11.984388276878477</v>
      </c>
      <c r="AL28" s="9">
        <v>160</v>
      </c>
      <c r="AM28" s="14">
        <f>INDEX(Simulation!$B$6:$H$6,MATCH($A28,Simulation!$B$1:$H$1,0))*(1+AN28)^((DATE(X28,Y28,15)-DATE(2017,1,15))/365.5)</f>
        <v>20.031093190947534</v>
      </c>
      <c r="AN28" s="12">
        <v>3.5000000000000003E-2</v>
      </c>
      <c r="AO28" s="13">
        <v>60</v>
      </c>
      <c r="AP28" s="11">
        <v>0.6</v>
      </c>
      <c r="AQ28" s="12">
        <v>-0.02</v>
      </c>
      <c r="AR28" s="11">
        <v>0.5</v>
      </c>
      <c r="AS28" s="10">
        <v>1</v>
      </c>
      <c r="AT28" s="4">
        <f>IF($C$5="ON",BT28,MyRating(_E1,$B28,Efficacy!$F$1))</f>
        <v>3</v>
      </c>
      <c r="AU28" s="3">
        <f>IF($C$5="ON",BU28,MyRating(_E2,$B28,Efficacy!$F$1))</f>
        <v>3</v>
      </c>
      <c r="AV28" s="3">
        <f>IF($C$5="ON",BV28,MyRating(_E3,$B28,Efficacy!$F$1))</f>
        <v>3</v>
      </c>
      <c r="AW28" s="3">
        <f>IF($C$5="ON",BW28,MyRating(_E4,$B28,Efficacy!$F$1))</f>
        <v>3</v>
      </c>
      <c r="AX28" s="3">
        <f>IF($C$5="ON",BX28,MyRating(_E5,$B28,Efficacy!$F$1))</f>
        <v>3</v>
      </c>
      <c r="AY28" s="3">
        <f>IF($C$5="ON",BY28,MyRating(_E6,$B28,Efficacy!$F$1))</f>
        <v>3</v>
      </c>
      <c r="AZ28" s="3">
        <f>IF($C$5="ON",BZ28,MyRating(_E7,$B28,Efficacy!$F$1))</f>
        <v>3</v>
      </c>
      <c r="BA28" s="3">
        <f>IF($C$5="ON",CA28,MyRating(_E8,$B28,Efficacy!$F$1))</f>
        <v>3</v>
      </c>
      <c r="BB28" s="3">
        <f>IF($C$5="ON",CB28,MyRating(_S1,$B28,Efficacy!$F$1))</f>
        <v>4</v>
      </c>
      <c r="BC28" s="3">
        <f>IF($C$5="ON",CC28,MyRating(_S2,$B28,Efficacy!$F$1))</f>
        <v>3</v>
      </c>
      <c r="BD28" s="3">
        <f>IF($C$5="ON",CD28,MyRating(_S3,$B28,Efficacy!$F$1))</f>
        <v>3</v>
      </c>
      <c r="BE28" s="3">
        <f>IF($C$5="ON",CE28,MyRating(_S4,$B28,Efficacy!$F$1))</f>
        <v>4</v>
      </c>
      <c r="BF28" s="3">
        <f>IF($C$5="ON",CF28,MyRating(_S5,$B28,Efficacy!$F$1))</f>
        <v>5</v>
      </c>
      <c r="BG28" s="3">
        <f>IF($C$5="ON",CG28,MyRating(_S6,$B28,Efficacy!$F$1))</f>
        <v>2</v>
      </c>
      <c r="BH28" s="3">
        <f>IF($C$5="ON",CH28,MyRating(_S7,$B28,Efficacy!$F$1))</f>
        <v>3</v>
      </c>
      <c r="BI28" s="3">
        <f>IF($C$5="ON",CI28,MyRating(_D1,$B28,Efficacy!$F$1))</f>
        <v>2</v>
      </c>
      <c r="BJ28" s="3">
        <f>IF($C$5="ON",CJ28,MyRating(_D2,$B28,Efficacy!$F$1))</f>
        <v>3</v>
      </c>
      <c r="BK28" s="3">
        <f>IF($C$5="ON",CK28,MyRating(_D3,$B28,Efficacy!$F$1))</f>
        <v>3</v>
      </c>
      <c r="BL28" s="3">
        <f>IF($C$5="ON",CL28,MyRating(_D4,$B28,Efficacy!$F$1))</f>
        <v>3</v>
      </c>
      <c r="BM28" s="3">
        <f>IF($C$5="ON",CM28,MyRating(_B1,$B28,Barrier!$F$2))</f>
        <v>3</v>
      </c>
      <c r="BN28" s="3">
        <f>IF($C$5="ON",CN28,MyRating(_B2,$B28,Barrier!$F$2))</f>
        <v>3</v>
      </c>
      <c r="BO28" s="6">
        <f>IF($C$5="ON",CO28,MyRating(_B3,$B28,Barrier!$F$2))</f>
        <v>3</v>
      </c>
      <c r="BP28" s="5">
        <f t="shared" si="6"/>
        <v>3.2953661618571599E-2</v>
      </c>
      <c r="BQ28" s="8">
        <f t="shared" si="7"/>
        <v>2.9999999999999996</v>
      </c>
      <c r="BR28" s="5">
        <f t="shared" si="8"/>
        <v>3.2599837000814993E-2</v>
      </c>
      <c r="BS28" s="7">
        <f t="shared" si="9"/>
        <v>1.6438361024188112E-2</v>
      </c>
      <c r="BT28" s="4">
        <v>3</v>
      </c>
      <c r="BU28" s="3">
        <v>3</v>
      </c>
      <c r="BV28" s="3">
        <v>3</v>
      </c>
      <c r="BW28" s="3">
        <v>3</v>
      </c>
      <c r="BX28" s="3">
        <v>3</v>
      </c>
      <c r="BY28" s="3">
        <v>3</v>
      </c>
      <c r="BZ28" s="3">
        <v>3</v>
      </c>
      <c r="CA28" s="3">
        <v>3</v>
      </c>
      <c r="CB28" s="3">
        <v>4</v>
      </c>
      <c r="CC28" s="3">
        <v>3</v>
      </c>
      <c r="CD28" s="3">
        <v>3</v>
      </c>
      <c r="CE28" s="3">
        <v>4</v>
      </c>
      <c r="CF28" s="3">
        <v>5</v>
      </c>
      <c r="CG28" s="3">
        <v>2</v>
      </c>
      <c r="CH28" s="3">
        <v>3</v>
      </c>
      <c r="CI28" s="3">
        <v>2</v>
      </c>
      <c r="CJ28" s="3">
        <v>3</v>
      </c>
      <c r="CK28" s="3">
        <v>3</v>
      </c>
      <c r="CL28" s="3">
        <v>3</v>
      </c>
      <c r="CM28" s="3">
        <v>3</v>
      </c>
      <c r="CN28" s="3">
        <v>3</v>
      </c>
      <c r="CO28" s="6">
        <v>3</v>
      </c>
      <c r="CP28" s="5"/>
      <c r="CQ28" s="4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</row>
    <row r="29" spans="1:116" x14ac:dyDescent="0.35">
      <c r="A29" s="9" t="s">
        <v>5</v>
      </c>
      <c r="B29" s="9" t="s">
        <v>69</v>
      </c>
      <c r="C29" s="20" t="s">
        <v>3</v>
      </c>
      <c r="D29" s="9" t="s">
        <v>2</v>
      </c>
      <c r="E29" s="9"/>
      <c r="F29" s="9" t="s">
        <v>51</v>
      </c>
      <c r="G29" s="19">
        <v>0</v>
      </c>
      <c r="H29" s="9">
        <v>2014</v>
      </c>
      <c r="I29" s="9">
        <v>6</v>
      </c>
      <c r="J29" s="18">
        <f>INDEX(PTRS!$D$6:$D$12,MATCH('1'!$F29,PTRS!$B$6:$B$12,0))</f>
        <v>0.1638</v>
      </c>
      <c r="K29" s="17">
        <v>0</v>
      </c>
      <c r="L29" s="17">
        <v>0</v>
      </c>
      <c r="M29" s="17">
        <v>0</v>
      </c>
      <c r="N29" s="17">
        <f t="shared" si="11"/>
        <v>0</v>
      </c>
      <c r="O29" s="17">
        <v>0</v>
      </c>
      <c r="P29" s="17">
        <v>0.1638</v>
      </c>
      <c r="Q29" s="17">
        <f t="shared" si="2"/>
        <v>0</v>
      </c>
      <c r="R29" s="17">
        <v>0</v>
      </c>
      <c r="S29" s="17">
        <v>1</v>
      </c>
      <c r="T29" s="17"/>
      <c r="U29" s="17">
        <f t="shared" si="3"/>
        <v>0.25725626938202822</v>
      </c>
      <c r="V29" s="17">
        <v>1</v>
      </c>
      <c r="W29" s="9" t="s">
        <v>62</v>
      </c>
      <c r="X29" s="9">
        <f>INDEX('Unique Asset List'!$C$4:$I$60,MATCH('1'!$B29,'Unique Asset List'!$A$4:$A$60,0),MATCH('1'!$C$1,'Unique Asset List'!$C$3:$I$3,0))</f>
        <v>2023</v>
      </c>
      <c r="Y29" s="9">
        <f>INDEX('Unique Asset List'!$J$4:$P$60,MATCH('1'!$B29,'Unique Asset List'!$A$4:$A$60,0),MATCH('1'!$C$1,'Unique Asset List'!$J$3:$P$3,0))</f>
        <v>9</v>
      </c>
      <c r="Z29" s="9">
        <f>INDEX('Unique Asset List'!$X$4:$AD$60,MATCH('1'!$B29,'Unique Asset List'!$A$4:$A$60,0),MATCH('1'!$C$1,'Unique Asset List'!$X$3:$AD$3,0))</f>
        <v>2026</v>
      </c>
      <c r="AA29" s="9">
        <f>INDEX('Unique Asset List'!$AE$4:$AK$60,MATCH('1'!$B29,'Unique Asset List'!$A$4:$A$60,0),MATCH('1'!$C$1,'Unique Asset List'!$AE$3:$AK$3,0))</f>
        <v>9</v>
      </c>
      <c r="AB29" s="16">
        <f t="shared" si="10"/>
        <v>2.0911184</v>
      </c>
      <c r="AC29" s="16">
        <f t="shared" si="4"/>
        <v>0.91994010000000004</v>
      </c>
      <c r="AD29" s="16">
        <f t="shared" si="5"/>
        <v>0.39141474525999997</v>
      </c>
      <c r="AE29" s="15">
        <f>INDEX('Unique Asset List'!$BN$4:$BT$60,MATCH('1'!$B29,'Unique Asset List'!$A$4:$A$60,0),MATCH('1'!$C$1,'Unique Asset List'!$BN$3:$BT$3,0))</f>
        <v>0.22</v>
      </c>
      <c r="AF29" s="15">
        <f>INDEX('Unique Asset List'!$BU$4:$CA$60,MATCH('1'!$B29,'Unique Asset List'!$A$4:$A$60,0),MATCH('1'!$C$1,'Unique Asset List'!$BU$3:$CA$3,0))</f>
        <v>0.28000000000000003</v>
      </c>
      <c r="AG29" s="15">
        <f>INDEX('Unique Asset List'!$AZ$4:$BF$60,MATCH('1'!$B29,'Unique Asset List'!$A$4:$A$60,0),MATCH('1'!$C$1,'Unique Asset List'!$AZ$3:$BF$3,0))</f>
        <v>0.22</v>
      </c>
      <c r="AH29" s="15">
        <f>INDEX('Unique Asset List'!$BG$4:$BM$60,MATCH('1'!$B29,'Unique Asset List'!$A$4:$A$60,0),MATCH('1'!$C$1,'Unique Asset List'!$BG$3:$BM$3,0))</f>
        <v>0.28000000000000003</v>
      </c>
      <c r="AI29" s="11">
        <v>0.97304949785176587</v>
      </c>
      <c r="AJ29" s="15">
        <f>INDEX('Unique Asset List'!$AL$4:$AR$60,MATCH('1'!$B29,'Unique Asset List'!$A$4:$A$60,0),MATCH('1'!$C$1,'Unique Asset List'!$AL$3:$AR$3,0))</f>
        <v>1.2267192541321688</v>
      </c>
      <c r="AK29" s="15">
        <f>INDEX('Unique Asset List'!$AS$4:$AY$60,MATCH('1'!$B29,'Unique Asset List'!$A$4:$A$60,0),MATCH('1'!$C$1,'Unique Asset List'!$AS$3:$AY$3,0))</f>
        <v>11.984388276878477</v>
      </c>
      <c r="AL29" s="9">
        <v>177.56756756756758</v>
      </c>
      <c r="AM29" s="14">
        <f>14000/365</f>
        <v>38.356164383561641</v>
      </c>
      <c r="AN29" s="12">
        <v>3.5000000000000003E-2</v>
      </c>
      <c r="AO29" s="13">
        <v>60</v>
      </c>
      <c r="AP29" s="11">
        <v>0.6</v>
      </c>
      <c r="AQ29" s="12">
        <v>-0.02</v>
      </c>
      <c r="AR29" s="11">
        <v>0.5</v>
      </c>
      <c r="AS29" s="10">
        <v>0.28383561643835614</v>
      </c>
      <c r="AT29" s="4">
        <f>IF($C$5="ON",BT29,MyRating(_E1,$B29,Efficacy!$F$1))</f>
        <v>5</v>
      </c>
      <c r="AU29" s="3">
        <f>IF($C$5="ON",BU29,MyRating(_E2,$B29,Efficacy!$F$1))</f>
        <v>5</v>
      </c>
      <c r="AV29" s="3">
        <f>IF($C$5="ON",BV29,MyRating(_E3,$B29,Efficacy!$F$1))</f>
        <v>5</v>
      </c>
      <c r="AW29" s="3">
        <f>IF($C$5="ON",BW29,MyRating(_E4,$B29,Efficacy!$F$1))</f>
        <v>5</v>
      </c>
      <c r="AX29" s="3">
        <f>IF($C$5="ON",BX29,MyRating(_E5,$B29,Efficacy!$F$1))</f>
        <v>3</v>
      </c>
      <c r="AY29" s="3">
        <f>IF($C$5="ON",BY29,MyRating(_E6,$B29,Efficacy!$F$1))</f>
        <v>3</v>
      </c>
      <c r="AZ29" s="3">
        <f>IF($C$5="ON",BZ29,MyRating(_E7,$B29,Efficacy!$F$1))</f>
        <v>3</v>
      </c>
      <c r="BA29" s="3">
        <f>IF($C$5="ON",CA29,MyRating(_E8,$B29,Efficacy!$F$1))</f>
        <v>5</v>
      </c>
      <c r="BB29" s="3">
        <f>IF($C$5="ON",CB29,MyRating(_S1,$B29,Efficacy!$F$1))</f>
        <v>4</v>
      </c>
      <c r="BC29" s="3">
        <f>IF($C$5="ON",CC29,MyRating(_S2,$B29,Efficacy!$F$1))</f>
        <v>3</v>
      </c>
      <c r="BD29" s="3">
        <f>IF($C$5="ON",CD29,MyRating(_S3,$B29,Efficacy!$F$1))</f>
        <v>3</v>
      </c>
      <c r="BE29" s="3">
        <f>IF($C$5="ON",CE29,MyRating(_S4,$B29,Efficacy!$F$1))</f>
        <v>4</v>
      </c>
      <c r="BF29" s="3">
        <f>IF($C$5="ON",CF29,MyRating(_S5,$B29,Efficacy!$F$1))</f>
        <v>5</v>
      </c>
      <c r="BG29" s="3">
        <f>IF($C$5="ON",CG29,MyRating(_S6,$B29,Efficacy!$F$1))</f>
        <v>2</v>
      </c>
      <c r="BH29" s="3">
        <f>IF($C$5="ON",CH29,MyRating(_S7,$B29,Efficacy!$F$1))</f>
        <v>3</v>
      </c>
      <c r="BI29" s="3">
        <f>IF($C$5="ON",CI29,MyRating(_D1,$B29,Efficacy!$F$1))</f>
        <v>2</v>
      </c>
      <c r="BJ29" s="3">
        <f>IF($C$5="ON",CJ29,MyRating(_D2,$B29,Efficacy!$F$1))</f>
        <v>3</v>
      </c>
      <c r="BK29" s="3">
        <f>IF($C$5="ON",CK29,MyRating(_D3,$B29,Efficacy!$F$1))</f>
        <v>3</v>
      </c>
      <c r="BL29" s="3">
        <f>IF($C$5="ON",CL29,MyRating(_D4,$B29,Efficacy!$F$1))</f>
        <v>1</v>
      </c>
      <c r="BM29" s="3">
        <f>IF($C$5="ON",CM29,MyRating(_B1,$B29,Barrier!$F$2))</f>
        <v>1</v>
      </c>
      <c r="BN29" s="3">
        <f>IF($C$5="ON",CN29,MyRating(_B2,$B29,Barrier!$F$2))</f>
        <v>1</v>
      </c>
      <c r="BO29" s="6">
        <f>IF($C$5="ON",CO29,MyRating(_B3,$B29,Barrier!$F$2))</f>
        <v>1</v>
      </c>
      <c r="BP29" s="5">
        <f t="shared" si="6"/>
        <v>8.8177579311367795E-3</v>
      </c>
      <c r="BQ29" s="8">
        <f t="shared" si="7"/>
        <v>1</v>
      </c>
      <c r="BR29" s="5">
        <f t="shared" si="8"/>
        <v>1.0866612333604999E-2</v>
      </c>
      <c r="BS29" s="7">
        <f t="shared" si="9"/>
        <v>4.3985852004450902E-3</v>
      </c>
      <c r="BT29" s="4">
        <v>5</v>
      </c>
      <c r="BU29" s="3">
        <v>5</v>
      </c>
      <c r="BV29" s="3">
        <v>5</v>
      </c>
      <c r="BW29" s="3">
        <v>5</v>
      </c>
      <c r="BX29" s="3">
        <v>3</v>
      </c>
      <c r="BY29" s="3">
        <v>3</v>
      </c>
      <c r="BZ29" s="3">
        <v>3</v>
      </c>
      <c r="CA29" s="3">
        <v>5</v>
      </c>
      <c r="CB29" s="3">
        <v>4</v>
      </c>
      <c r="CC29" s="3">
        <v>3</v>
      </c>
      <c r="CD29" s="3">
        <v>3</v>
      </c>
      <c r="CE29" s="3">
        <v>4</v>
      </c>
      <c r="CF29" s="3">
        <v>5</v>
      </c>
      <c r="CG29" s="3">
        <v>2</v>
      </c>
      <c r="CH29" s="3">
        <v>3</v>
      </c>
      <c r="CI29" s="3">
        <v>2</v>
      </c>
      <c r="CJ29" s="3">
        <v>3</v>
      </c>
      <c r="CK29" s="3">
        <v>3</v>
      </c>
      <c r="CL29" s="3">
        <v>1</v>
      </c>
      <c r="CM29" s="3">
        <v>1</v>
      </c>
      <c r="CN29" s="3">
        <v>1</v>
      </c>
      <c r="CO29" s="6">
        <v>1</v>
      </c>
      <c r="CP29" s="5"/>
      <c r="CQ29" s="4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</row>
    <row r="30" spans="1:116" x14ac:dyDescent="0.35">
      <c r="A30" s="9" t="s">
        <v>5</v>
      </c>
      <c r="B30" s="9" t="s">
        <v>24</v>
      </c>
      <c r="C30" s="20"/>
      <c r="D30" s="9" t="s">
        <v>2</v>
      </c>
      <c r="E30" s="9"/>
      <c r="F30" s="9" t="s">
        <v>58</v>
      </c>
      <c r="G30" s="19">
        <v>0</v>
      </c>
      <c r="H30" s="9">
        <v>2014</v>
      </c>
      <c r="I30" s="9">
        <v>6</v>
      </c>
      <c r="J30" s="18">
        <f>INDEX(PTRS!$D$6:$D$12,MATCH('1'!$F30,PTRS!$B$6:$B$12,0))</f>
        <v>0.13923000000000002</v>
      </c>
      <c r="K30" s="17">
        <v>0</v>
      </c>
      <c r="L30" s="17">
        <v>0</v>
      </c>
      <c r="M30" s="17">
        <v>0.1</v>
      </c>
      <c r="N30" s="17">
        <f t="shared" si="11"/>
        <v>0.1</v>
      </c>
      <c r="O30" s="17">
        <v>0.1</v>
      </c>
      <c r="P30" s="17">
        <v>0.1044225</v>
      </c>
      <c r="Q30" s="17">
        <f t="shared" si="2"/>
        <v>0</v>
      </c>
      <c r="R30" s="17">
        <v>1</v>
      </c>
      <c r="S30" s="17">
        <v>1</v>
      </c>
      <c r="T30" s="17"/>
      <c r="U30" s="17">
        <f t="shared" si="3"/>
        <v>0.9614162825377699</v>
      </c>
      <c r="V30" s="17">
        <v>1</v>
      </c>
      <c r="W30" s="9" t="s">
        <v>24</v>
      </c>
      <c r="X30" s="9">
        <f>INDEX('Unique Asset List'!$C$4:$I$60,MATCH('1'!$B30,'Unique Asset List'!$A$4:$A$60,0),MATCH('1'!$C$1,'Unique Asset List'!$C$3:$I$3,0))</f>
        <v>2026</v>
      </c>
      <c r="Y30" s="9">
        <f>INDEX('Unique Asset List'!$J$4:$P$60,MATCH('1'!$B30,'Unique Asset List'!$A$4:$A$60,0),MATCH('1'!$C$1,'Unique Asset List'!$J$3:$P$3,0))</f>
        <v>4</v>
      </c>
      <c r="Z30" s="9">
        <f>INDEX('Unique Asset List'!$X$4:$AD$60,MATCH('1'!$B30,'Unique Asset List'!$A$4:$A$60,0),MATCH('1'!$C$1,'Unique Asset List'!$X$3:$AD$3,0))</f>
        <v>2038</v>
      </c>
      <c r="AA30" s="9">
        <f>INDEX('Unique Asset List'!$AE$4:$AK$60,MATCH('1'!$B30,'Unique Asset List'!$A$4:$A$60,0),MATCH('1'!$C$1,'Unique Asset List'!$AE$3:$AK$3,0))</f>
        <v>5</v>
      </c>
      <c r="AB30" s="16">
        <f t="shared" si="10"/>
        <v>1.8077445000000001</v>
      </c>
      <c r="AC30" s="16">
        <f t="shared" si="4"/>
        <v>0.94137550000000003</v>
      </c>
      <c r="AD30" s="16">
        <f t="shared" si="5"/>
        <v>0.56099999999999994</v>
      </c>
      <c r="AE30" s="15">
        <f>INDEX('Unique Asset List'!$BN$4:$BT$60,MATCH('1'!$B30,'Unique Asset List'!$A$4:$A$60,0),MATCH('1'!$C$1,'Unique Asset List'!$BN$3:$BT$3,0))</f>
        <v>0.15</v>
      </c>
      <c r="AF30" s="15">
        <f>INDEX('Unique Asset List'!$BU$4:$CA$60,MATCH('1'!$B30,'Unique Asset List'!$A$4:$A$60,0),MATCH('1'!$C$1,'Unique Asset List'!$BU$3:$CA$3,0))</f>
        <v>0.35</v>
      </c>
      <c r="AG30" s="15">
        <f>INDEX('Unique Asset List'!$AZ$4:$BF$60,MATCH('1'!$B30,'Unique Asset List'!$A$4:$A$60,0),MATCH('1'!$C$1,'Unique Asset List'!$AZ$3:$BF$3,0))</f>
        <v>0.15</v>
      </c>
      <c r="AH30" s="15">
        <f>INDEX('Unique Asset List'!$BG$4:$BM$60,MATCH('1'!$B30,'Unique Asset List'!$A$4:$A$60,0),MATCH('1'!$C$1,'Unique Asset List'!$BG$3:$BM$3,0))</f>
        <v>0.35</v>
      </c>
      <c r="AI30" s="11">
        <v>0.97304949785176587</v>
      </c>
      <c r="AJ30" s="15">
        <f>INDEX('Unique Asset List'!$AL$4:$AR$60,MATCH('1'!$B30,'Unique Asset List'!$A$4:$A$60,0),MATCH('1'!$C$1,'Unique Asset List'!$AL$3:$AR$3,0))</f>
        <v>1.2267192541321688</v>
      </c>
      <c r="AK30" s="15">
        <f>INDEX('Unique Asset List'!$AS$4:$AY$60,MATCH('1'!$B30,'Unique Asset List'!$A$4:$A$60,0),MATCH('1'!$C$1,'Unique Asset List'!$AS$3:$AY$3,0))</f>
        <v>11.984388276878477</v>
      </c>
      <c r="AL30" s="9">
        <v>160</v>
      </c>
      <c r="AM30" s="14">
        <f>INDEX(Simulation!$B$6:$H$6,MATCH($A30,Simulation!$B$1:$H$1,0))*(1+AN30)^((DATE(X30,Y30,15)-DATE(2017,1,15))/365.5)</f>
        <v>20.612520392853551</v>
      </c>
      <c r="AN30" s="12">
        <v>3.5000000000000003E-2</v>
      </c>
      <c r="AO30" s="13">
        <v>60</v>
      </c>
      <c r="AP30" s="11">
        <v>0.6</v>
      </c>
      <c r="AQ30" s="12">
        <v>-0.02</v>
      </c>
      <c r="AR30" s="11">
        <v>0.5</v>
      </c>
      <c r="AS30" s="10">
        <v>1</v>
      </c>
      <c r="AT30" s="4">
        <f>IF($C$5="ON",BT30,MyRating(_E1,$B30,Efficacy!$F$1))</f>
        <v>4</v>
      </c>
      <c r="AU30" s="3">
        <f>IF($C$5="ON",BU30,MyRating(_E2,$B30,Efficacy!$F$1))</f>
        <v>4</v>
      </c>
      <c r="AV30" s="3">
        <f>IF($C$5="ON",BV30,MyRating(_E3,$B30,Efficacy!$F$1))</f>
        <v>4</v>
      </c>
      <c r="AW30" s="3">
        <f>IF($C$5="ON",BW30,MyRating(_E4,$B30,Efficacy!$F$1))</f>
        <v>4</v>
      </c>
      <c r="AX30" s="3">
        <f>IF($C$5="ON",BX30,MyRating(_E5,$B30,Efficacy!$F$1))</f>
        <v>4</v>
      </c>
      <c r="AY30" s="3">
        <f>IF($C$5="ON",BY30,MyRating(_E6,$B30,Efficacy!$F$1))</f>
        <v>3</v>
      </c>
      <c r="AZ30" s="3">
        <f>IF($C$5="ON",BZ30,MyRating(_E7,$B30,Efficacy!$F$1))</f>
        <v>3</v>
      </c>
      <c r="BA30" s="3">
        <f>IF($C$5="ON",CA30,MyRating(_E8,$B30,Efficacy!$F$1))</f>
        <v>4</v>
      </c>
      <c r="BB30" s="3">
        <f>IF($C$5="ON",CB30,MyRating(_S1,$B30,Efficacy!$F$1))</f>
        <v>4</v>
      </c>
      <c r="BC30" s="3">
        <f>IF($C$5="ON",CC30,MyRating(_S2,$B30,Efficacy!$F$1))</f>
        <v>3</v>
      </c>
      <c r="BD30" s="3">
        <f>IF($C$5="ON",CD30,MyRating(_S3,$B30,Efficacy!$F$1))</f>
        <v>3</v>
      </c>
      <c r="BE30" s="3">
        <f>IF($C$5="ON",CE30,MyRating(_S4,$B30,Efficacy!$F$1))</f>
        <v>4</v>
      </c>
      <c r="BF30" s="3">
        <f>IF($C$5="ON",CF30,MyRating(_S5,$B30,Efficacy!$F$1))</f>
        <v>5</v>
      </c>
      <c r="BG30" s="3">
        <f>IF($C$5="ON",CG30,MyRating(_S6,$B30,Efficacy!$F$1))</f>
        <v>3</v>
      </c>
      <c r="BH30" s="3">
        <f>IF($C$5="ON",CH30,MyRating(_S7,$B30,Efficacy!$F$1))</f>
        <v>3</v>
      </c>
      <c r="BI30" s="3">
        <f>IF($C$5="ON",CI30,MyRating(_D1,$B30,Efficacy!$F$1))</f>
        <v>3</v>
      </c>
      <c r="BJ30" s="3">
        <f>IF($C$5="ON",CJ30,MyRating(_D2,$B30,Efficacy!$F$1))</f>
        <v>3</v>
      </c>
      <c r="BK30" s="3">
        <f>IF($C$5="ON",CK30,MyRating(_D3,$B30,Efficacy!$F$1))</f>
        <v>3</v>
      </c>
      <c r="BL30" s="3">
        <f>IF($C$5="ON",CL30,MyRating(_D4,$B30,Efficacy!$F$1))</f>
        <v>3</v>
      </c>
      <c r="BM30" s="3">
        <f>IF($C$5="ON",CM30,MyRating(_B1,$B30,Barrier!$F$2))</f>
        <v>3</v>
      </c>
      <c r="BN30" s="3">
        <f>IF($C$5="ON",CN30,MyRating(_B2,$B30,Barrier!$F$2))</f>
        <v>3</v>
      </c>
      <c r="BO30" s="6">
        <f>IF($C$5="ON",CO30,MyRating(_B3,$B30,Barrier!$F$2))</f>
        <v>3</v>
      </c>
      <c r="BP30" s="5">
        <f t="shared" si="6"/>
        <v>3.2953661618571599E-2</v>
      </c>
      <c r="BQ30" s="8">
        <f t="shared" si="7"/>
        <v>2.9999999999999996</v>
      </c>
      <c r="BR30" s="5">
        <f t="shared" si="8"/>
        <v>3.2599837000814993E-2</v>
      </c>
      <c r="BS30" s="7">
        <f t="shared" si="9"/>
        <v>1.6438361024188112E-2</v>
      </c>
      <c r="BT30" s="4">
        <v>4</v>
      </c>
      <c r="BU30" s="3">
        <v>4</v>
      </c>
      <c r="BV30" s="3">
        <v>4</v>
      </c>
      <c r="BW30" s="3">
        <v>4</v>
      </c>
      <c r="BX30" s="3">
        <v>4</v>
      </c>
      <c r="BY30" s="3">
        <v>3</v>
      </c>
      <c r="BZ30" s="3">
        <v>3</v>
      </c>
      <c r="CA30" s="3">
        <v>4</v>
      </c>
      <c r="CB30" s="3">
        <v>4</v>
      </c>
      <c r="CC30" s="3">
        <v>3</v>
      </c>
      <c r="CD30" s="3">
        <v>3</v>
      </c>
      <c r="CE30" s="3">
        <v>4</v>
      </c>
      <c r="CF30" s="3">
        <v>5</v>
      </c>
      <c r="CG30" s="3">
        <v>3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3</v>
      </c>
      <c r="CN30" s="3">
        <v>3</v>
      </c>
      <c r="CO30" s="6">
        <v>3</v>
      </c>
      <c r="CP30" s="5"/>
      <c r="CQ30" s="4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</row>
    <row r="31" spans="1:116" x14ac:dyDescent="0.35">
      <c r="A31" s="9" t="s">
        <v>5</v>
      </c>
      <c r="B31" s="9" t="s">
        <v>57</v>
      </c>
      <c r="C31" s="20" t="s">
        <v>3</v>
      </c>
      <c r="D31" s="9" t="s">
        <v>2</v>
      </c>
      <c r="E31" s="9"/>
      <c r="F31" s="9" t="s">
        <v>1</v>
      </c>
      <c r="G31" s="19">
        <v>0</v>
      </c>
      <c r="H31" s="9">
        <v>2014</v>
      </c>
      <c r="I31" s="9">
        <v>6</v>
      </c>
      <c r="J31" s="18">
        <f>INDEX(PTRS!$D$6:$D$12,MATCH('1'!$F31,PTRS!$B$6:$B$12,0))</f>
        <v>0.1044225</v>
      </c>
      <c r="K31" s="17">
        <v>0</v>
      </c>
      <c r="L31" s="17">
        <v>0</v>
      </c>
      <c r="M31" s="17">
        <f>J31</f>
        <v>0.1044225</v>
      </c>
      <c r="N31" s="17">
        <f t="shared" si="11"/>
        <v>0.1044225</v>
      </c>
      <c r="O31" s="17">
        <v>0.1044225</v>
      </c>
      <c r="P31" s="17">
        <v>0.1044225</v>
      </c>
      <c r="Q31" s="17">
        <f t="shared" si="2"/>
        <v>0</v>
      </c>
      <c r="R31" s="17">
        <v>1</v>
      </c>
      <c r="S31" s="17">
        <v>1</v>
      </c>
      <c r="T31" s="17"/>
      <c r="U31" s="17">
        <f t="shared" si="3"/>
        <v>0.9614162825377699</v>
      </c>
      <c r="V31" s="17">
        <v>1</v>
      </c>
      <c r="W31" s="9" t="s">
        <v>57</v>
      </c>
      <c r="X31" s="9">
        <f>INDEX('Unique Asset List'!$C$4:$I$60,MATCH('1'!$B31,'Unique Asset List'!$A$4:$A$60,0),MATCH('1'!$C$1,'Unique Asset List'!$C$3:$I$3,0))</f>
        <v>2028</v>
      </c>
      <c r="Y31" s="9">
        <f>INDEX('Unique Asset List'!$J$4:$P$60,MATCH('1'!$B31,'Unique Asset List'!$A$4:$A$60,0),MATCH('1'!$C$1,'Unique Asset List'!$J$3:$P$3,0))</f>
        <v>9</v>
      </c>
      <c r="Z31" s="9">
        <f>INDEX('Unique Asset List'!$X$4:$AD$60,MATCH('1'!$B31,'Unique Asset List'!$A$4:$A$60,0),MATCH('1'!$C$1,'Unique Asset List'!$X$3:$AD$3,0))</f>
        <v>2038</v>
      </c>
      <c r="AA31" s="9">
        <f>INDEX('Unique Asset List'!$AE$4:$AK$60,MATCH('1'!$B31,'Unique Asset List'!$A$4:$A$60,0),MATCH('1'!$C$1,'Unique Asset List'!$AE$3:$AK$3,0))</f>
        <v>9</v>
      </c>
      <c r="AB31" s="16">
        <f t="shared" si="10"/>
        <v>1.9514479000000002</v>
      </c>
      <c r="AC31" s="16">
        <f t="shared" si="4"/>
        <v>0.94137550000000003</v>
      </c>
      <c r="AD31" s="16">
        <f t="shared" si="5"/>
        <v>0.56099999999999994</v>
      </c>
      <c r="AE31" s="15">
        <f>INDEX('Unique Asset List'!$BN$4:$BT$60,MATCH('1'!$B31,'Unique Asset List'!$A$4:$A$60,0),MATCH('1'!$C$1,'Unique Asset List'!$BN$3:$BT$3,0))</f>
        <v>0.22</v>
      </c>
      <c r="AF31" s="15">
        <f>INDEX('Unique Asset List'!$BU$4:$CA$60,MATCH('1'!$B31,'Unique Asset List'!$A$4:$A$60,0),MATCH('1'!$C$1,'Unique Asset List'!$BU$3:$CA$3,0))</f>
        <v>0.28000000000000003</v>
      </c>
      <c r="AG31" s="15">
        <f>INDEX('Unique Asset List'!$AZ$4:$BF$60,MATCH('1'!$B31,'Unique Asset List'!$A$4:$A$60,0),MATCH('1'!$C$1,'Unique Asset List'!$AZ$3:$BF$3,0))</f>
        <v>0.22</v>
      </c>
      <c r="AH31" s="15">
        <f>INDEX('Unique Asset List'!$BG$4:$BM$60,MATCH('1'!$B31,'Unique Asset List'!$A$4:$A$60,0),MATCH('1'!$C$1,'Unique Asset List'!$BG$3:$BM$3,0))</f>
        <v>0.28000000000000003</v>
      </c>
      <c r="AI31" s="11">
        <v>0.97304949785176587</v>
      </c>
      <c r="AJ31" s="15">
        <f>INDEX('Unique Asset List'!$AL$4:$AR$60,MATCH('1'!$B31,'Unique Asset List'!$A$4:$A$60,0),MATCH('1'!$C$1,'Unique Asset List'!$AL$3:$AR$3,0))</f>
        <v>1.2267192541321688</v>
      </c>
      <c r="AK31" s="15">
        <f>INDEX('Unique Asset List'!$AS$4:$AY$60,MATCH('1'!$B31,'Unique Asset List'!$A$4:$A$60,0),MATCH('1'!$C$1,'Unique Asset List'!$AS$3:$AY$3,0))</f>
        <v>11.984388276878477</v>
      </c>
      <c r="AL31" s="9">
        <v>160</v>
      </c>
      <c r="AM31" s="14">
        <f>INDEX(Simulation!$B$6:$H$6,MATCH($A31,Simulation!$B$1:$H$1,0))*(1+AN31)^((DATE(X31,Y31,15)-DATE(2017,1,15))/365.5)</f>
        <v>22.400922205331778</v>
      </c>
      <c r="AN31" s="12">
        <v>3.5000000000000003E-2</v>
      </c>
      <c r="AO31" s="13">
        <v>60</v>
      </c>
      <c r="AP31" s="11">
        <v>0.6</v>
      </c>
      <c r="AQ31" s="12">
        <v>-0.02</v>
      </c>
      <c r="AR31" s="11">
        <v>0.5</v>
      </c>
      <c r="AS31" s="10">
        <v>1</v>
      </c>
      <c r="AT31" s="4">
        <f>IF($C$5="ON",BT31,MyRating(_E1,$B31,Efficacy!$F$1))</f>
        <v>4</v>
      </c>
      <c r="AU31" s="3">
        <f>IF($C$5="ON",BU31,MyRating(_E2,$B31,Efficacy!$F$1))</f>
        <v>5</v>
      </c>
      <c r="AV31" s="3">
        <f>IF($C$5="ON",BV31,MyRating(_E3,$B31,Efficacy!$F$1))</f>
        <v>5</v>
      </c>
      <c r="AW31" s="3">
        <f>IF($C$5="ON",BW31,MyRating(_E4,$B31,Efficacy!$F$1))</f>
        <v>4</v>
      </c>
      <c r="AX31" s="3">
        <f>IF($C$5="ON",BX31,MyRating(_E5,$B31,Efficacy!$F$1))</f>
        <v>4</v>
      </c>
      <c r="AY31" s="3">
        <f>IF($C$5="ON",BY31,MyRating(_E6,$B31,Efficacy!$F$1))</f>
        <v>3</v>
      </c>
      <c r="AZ31" s="3">
        <f>IF($C$5="ON",BZ31,MyRating(_E7,$B31,Efficacy!$F$1))</f>
        <v>3</v>
      </c>
      <c r="BA31" s="3">
        <f>IF($C$5="ON",CA31,MyRating(_E8,$B31,Efficacy!$F$1))</f>
        <v>4</v>
      </c>
      <c r="BB31" s="3">
        <f>IF($C$5="ON",CB31,MyRating(_S1,$B31,Efficacy!$F$1))</f>
        <v>4</v>
      </c>
      <c r="BC31" s="3">
        <f>IF($C$5="ON",CC31,MyRating(_S2,$B31,Efficacy!$F$1))</f>
        <v>3</v>
      </c>
      <c r="BD31" s="3">
        <f>IF($C$5="ON",CD31,MyRating(_S3,$B31,Efficacy!$F$1))</f>
        <v>3</v>
      </c>
      <c r="BE31" s="3">
        <f>IF($C$5="ON",CE31,MyRating(_S4,$B31,Efficacy!$F$1))</f>
        <v>4</v>
      </c>
      <c r="BF31" s="3">
        <f>IF($C$5="ON",CF31,MyRating(_S5,$B31,Efficacy!$F$1))</f>
        <v>5</v>
      </c>
      <c r="BG31" s="3">
        <f>IF($C$5="ON",CG31,MyRating(_S6,$B31,Efficacy!$F$1))</f>
        <v>3</v>
      </c>
      <c r="BH31" s="3">
        <f>IF($C$5="ON",CH31,MyRating(_S7,$B31,Efficacy!$F$1))</f>
        <v>3</v>
      </c>
      <c r="BI31" s="3">
        <f>IF($C$5="ON",CI31,MyRating(_D1,$B31,Efficacy!$F$1))</f>
        <v>3</v>
      </c>
      <c r="BJ31" s="3">
        <f>IF($C$5="ON",CJ31,MyRating(_D2,$B31,Efficacy!$F$1))</f>
        <v>3</v>
      </c>
      <c r="BK31" s="3">
        <f>IF($C$5="ON",CK31,MyRating(_D3,$B31,Efficacy!$F$1))</f>
        <v>3</v>
      </c>
      <c r="BL31" s="3">
        <f>IF($C$5="ON",CL31,MyRating(_D4,$B31,Efficacy!$F$1))</f>
        <v>3</v>
      </c>
      <c r="BM31" s="3">
        <f>IF($C$5="ON",CM31,MyRating(_B1,$B31,Barrier!$F$2))</f>
        <v>3</v>
      </c>
      <c r="BN31" s="3">
        <f>IF($C$5="ON",CN31,MyRating(_B2,$B31,Barrier!$F$2))</f>
        <v>3</v>
      </c>
      <c r="BO31" s="6">
        <f>IF($C$5="ON",CO31,MyRating(_B3,$B31,Barrier!$F$2))</f>
        <v>3</v>
      </c>
      <c r="BP31" s="5">
        <f t="shared" si="6"/>
        <v>3.2953661618571599E-2</v>
      </c>
      <c r="BQ31" s="8">
        <f t="shared" si="7"/>
        <v>2.9999999999999996</v>
      </c>
      <c r="BR31" s="5">
        <f t="shared" si="8"/>
        <v>3.2599837000814993E-2</v>
      </c>
      <c r="BS31" s="7">
        <f t="shared" si="9"/>
        <v>1.6438361024188112E-2</v>
      </c>
      <c r="BT31" s="4">
        <v>4</v>
      </c>
      <c r="BU31" s="3">
        <v>5</v>
      </c>
      <c r="BV31" s="3">
        <v>5</v>
      </c>
      <c r="BW31" s="3">
        <v>4</v>
      </c>
      <c r="BX31" s="3">
        <v>4</v>
      </c>
      <c r="BY31" s="3">
        <v>3</v>
      </c>
      <c r="BZ31" s="3">
        <v>3</v>
      </c>
      <c r="CA31" s="3">
        <v>4</v>
      </c>
      <c r="CB31" s="3">
        <v>4</v>
      </c>
      <c r="CC31" s="3">
        <v>3</v>
      </c>
      <c r="CD31" s="3">
        <v>3</v>
      </c>
      <c r="CE31" s="3">
        <v>4</v>
      </c>
      <c r="CF31" s="3">
        <v>5</v>
      </c>
      <c r="CG31" s="3">
        <v>3</v>
      </c>
      <c r="CH31" s="3">
        <v>3</v>
      </c>
      <c r="CI31" s="3">
        <v>3</v>
      </c>
      <c r="CJ31" s="3">
        <v>3</v>
      </c>
      <c r="CK31" s="3">
        <v>3</v>
      </c>
      <c r="CL31" s="3">
        <v>3</v>
      </c>
      <c r="CM31" s="3">
        <v>3</v>
      </c>
      <c r="CN31" s="3">
        <v>3</v>
      </c>
      <c r="CO31" s="6">
        <v>3</v>
      </c>
      <c r="CP31" s="5"/>
      <c r="CQ31" s="4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</row>
    <row r="32" spans="1:116" x14ac:dyDescent="0.35">
      <c r="A32" s="9" t="s">
        <v>5</v>
      </c>
      <c r="B32" s="9" t="s">
        <v>68</v>
      </c>
      <c r="C32" s="20" t="s">
        <v>3</v>
      </c>
      <c r="D32" s="9" t="s">
        <v>2</v>
      </c>
      <c r="E32" s="9"/>
      <c r="F32" s="9" t="s">
        <v>1</v>
      </c>
      <c r="G32" s="19">
        <v>0</v>
      </c>
      <c r="H32" s="9">
        <v>2014</v>
      </c>
      <c r="I32" s="9">
        <v>6</v>
      </c>
      <c r="J32" s="18">
        <f>INDEX(PTRS!$D$6:$D$12,MATCH('1'!$F32,PTRS!$B$6:$B$12,0))</f>
        <v>0.1044225</v>
      </c>
      <c r="K32" s="17">
        <v>0</v>
      </c>
      <c r="L32" s="17">
        <v>0</v>
      </c>
      <c r="M32" s="17">
        <f>J32</f>
        <v>0.1044225</v>
      </c>
      <c r="N32" s="17">
        <f t="shared" si="11"/>
        <v>0.1044225</v>
      </c>
      <c r="O32" s="17">
        <v>0.1044225</v>
      </c>
      <c r="P32" s="17">
        <v>0.1044225</v>
      </c>
      <c r="Q32" s="17">
        <f t="shared" si="2"/>
        <v>0</v>
      </c>
      <c r="R32" s="17">
        <v>1</v>
      </c>
      <c r="S32" s="17">
        <v>1</v>
      </c>
      <c r="T32" s="17"/>
      <c r="U32" s="17">
        <f t="shared" si="3"/>
        <v>0.9614162825377699</v>
      </c>
      <c r="V32" s="17">
        <v>1</v>
      </c>
      <c r="W32" s="9" t="s">
        <v>68</v>
      </c>
      <c r="X32" s="9">
        <f>INDEX('Unique Asset List'!$C$4:$I$60,MATCH('1'!$B32,'Unique Asset List'!$A$4:$A$60,0),MATCH('1'!$C$1,'Unique Asset List'!$C$3:$I$3,0))</f>
        <v>2031</v>
      </c>
      <c r="Y32" s="9">
        <f>INDEX('Unique Asset List'!$J$4:$P$60,MATCH('1'!$B32,'Unique Asset List'!$A$4:$A$60,0),MATCH('1'!$C$1,'Unique Asset List'!$J$3:$P$3,0))</f>
        <v>3</v>
      </c>
      <c r="Z32" s="9">
        <f>INDEX('Unique Asset List'!$X$4:$AD$60,MATCH('1'!$B32,'Unique Asset List'!$A$4:$A$60,0),MATCH('1'!$C$1,'Unique Asset List'!$X$3:$AD$3,0))</f>
        <v>2041</v>
      </c>
      <c r="AA32" s="9">
        <f>INDEX('Unique Asset List'!$AE$4:$AK$60,MATCH('1'!$B32,'Unique Asset List'!$A$4:$A$60,0),MATCH('1'!$C$1,'Unique Asset List'!$AE$3:$AK$3,0))</f>
        <v>3</v>
      </c>
      <c r="AB32" s="16">
        <f t="shared" si="10"/>
        <v>1.8077445000000001</v>
      </c>
      <c r="AC32" s="16">
        <f t="shared" si="4"/>
        <v>0.94137550000000003</v>
      </c>
      <c r="AD32" s="16">
        <f t="shared" si="5"/>
        <v>0.56099999999999994</v>
      </c>
      <c r="AE32" s="15">
        <f>INDEX('Unique Asset List'!$BN$4:$BT$60,MATCH('1'!$B32,'Unique Asset List'!$A$4:$A$60,0),MATCH('1'!$C$1,'Unique Asset List'!$BN$3:$BT$3,0))</f>
        <v>0.15</v>
      </c>
      <c r="AF32" s="15">
        <f>INDEX('Unique Asset List'!$BU$4:$CA$60,MATCH('1'!$B32,'Unique Asset List'!$A$4:$A$60,0),MATCH('1'!$C$1,'Unique Asset List'!$BU$3:$CA$3,0))</f>
        <v>0.35</v>
      </c>
      <c r="AG32" s="15">
        <f>INDEX('Unique Asset List'!$AZ$4:$BF$60,MATCH('1'!$B32,'Unique Asset List'!$A$4:$A$60,0),MATCH('1'!$C$1,'Unique Asset List'!$AZ$3:$BF$3,0))</f>
        <v>0.15</v>
      </c>
      <c r="AH32" s="15">
        <f>INDEX('Unique Asset List'!$BG$4:$BM$60,MATCH('1'!$B32,'Unique Asset List'!$A$4:$A$60,0),MATCH('1'!$C$1,'Unique Asset List'!$BG$3:$BM$3,0))</f>
        <v>0.35</v>
      </c>
      <c r="AI32" s="11">
        <v>0.97304949785176587</v>
      </c>
      <c r="AJ32" s="15">
        <f>INDEX('Unique Asset List'!$AL$4:$AR$60,MATCH('1'!$B32,'Unique Asset List'!$A$4:$A$60,0),MATCH('1'!$C$1,'Unique Asset List'!$AL$3:$AR$3,0))</f>
        <v>1.2267192541321688</v>
      </c>
      <c r="AK32" s="15">
        <f>INDEX('Unique Asset List'!$AS$4:$AY$60,MATCH('1'!$B32,'Unique Asset List'!$A$4:$A$60,0),MATCH('1'!$C$1,'Unique Asset List'!$AS$3:$AY$3,0))</f>
        <v>11.984388276878477</v>
      </c>
      <c r="AL32" s="9">
        <v>160</v>
      </c>
      <c r="AM32" s="14">
        <f>INDEX(Simulation!$B$6:$H$6,MATCH($A32,Simulation!$B$1:$H$1,0))*(1+AN32)^((DATE(X32,Y32,15)-DATE(2017,1,15))/365.5)</f>
        <v>24.406435814856806</v>
      </c>
      <c r="AN32" s="12">
        <v>3.5000000000000003E-2</v>
      </c>
      <c r="AO32" s="13">
        <v>60</v>
      </c>
      <c r="AP32" s="11">
        <v>0.6</v>
      </c>
      <c r="AQ32" s="12">
        <v>-0.02</v>
      </c>
      <c r="AR32" s="11">
        <v>0.5</v>
      </c>
      <c r="AS32" s="10">
        <v>1</v>
      </c>
      <c r="AT32" s="4">
        <f>IF($C$5="ON",BT32,MyRating(_E1,$B32,Efficacy!$F$1))</f>
        <v>4</v>
      </c>
      <c r="AU32" s="3">
        <f>IF($C$5="ON",BU32,MyRating(_E2,$B32,Efficacy!$F$1))</f>
        <v>4</v>
      </c>
      <c r="AV32" s="3">
        <f>IF($C$5="ON",BV32,MyRating(_E3,$B32,Efficacy!$F$1))</f>
        <v>4</v>
      </c>
      <c r="AW32" s="3">
        <f>IF($C$5="ON",BW32,MyRating(_E4,$B32,Efficacy!$F$1))</f>
        <v>4</v>
      </c>
      <c r="AX32" s="3">
        <f>IF($C$5="ON",BX32,MyRating(_E5,$B32,Efficacy!$F$1))</f>
        <v>4</v>
      </c>
      <c r="AY32" s="3">
        <f>IF($C$5="ON",BY32,MyRating(_E6,$B32,Efficacy!$F$1))</f>
        <v>3</v>
      </c>
      <c r="AZ32" s="3">
        <f>IF($C$5="ON",BZ32,MyRating(_E7,$B32,Efficacy!$F$1))</f>
        <v>3</v>
      </c>
      <c r="BA32" s="3">
        <f>IF($C$5="ON",CA32,MyRating(_E8,$B32,Efficacy!$F$1))</f>
        <v>4</v>
      </c>
      <c r="BB32" s="3">
        <f>IF($C$5="ON",CB32,MyRating(_S1,$B32,Efficacy!$F$1))</f>
        <v>4</v>
      </c>
      <c r="BC32" s="3">
        <f>IF($C$5="ON",CC32,MyRating(_S2,$B32,Efficacy!$F$1))</f>
        <v>3</v>
      </c>
      <c r="BD32" s="3">
        <f>IF($C$5="ON",CD32,MyRating(_S3,$B32,Efficacy!$F$1))</f>
        <v>3</v>
      </c>
      <c r="BE32" s="3">
        <f>IF($C$5="ON",CE32,MyRating(_S4,$B32,Efficacy!$F$1))</f>
        <v>4</v>
      </c>
      <c r="BF32" s="3">
        <f>IF($C$5="ON",CF32,MyRating(_S5,$B32,Efficacy!$F$1))</f>
        <v>5</v>
      </c>
      <c r="BG32" s="3">
        <f>IF($C$5="ON",CG32,MyRating(_S6,$B32,Efficacy!$F$1))</f>
        <v>3</v>
      </c>
      <c r="BH32" s="3">
        <f>IF($C$5="ON",CH32,MyRating(_S7,$B32,Efficacy!$F$1))</f>
        <v>3</v>
      </c>
      <c r="BI32" s="3">
        <f>IF($C$5="ON",CI32,MyRating(_D1,$B32,Efficacy!$F$1))</f>
        <v>3</v>
      </c>
      <c r="BJ32" s="3">
        <f>IF($C$5="ON",CJ32,MyRating(_D2,$B32,Efficacy!$F$1))</f>
        <v>3</v>
      </c>
      <c r="BK32" s="3">
        <f>IF($C$5="ON",CK32,MyRating(_D3,$B32,Efficacy!$F$1))</f>
        <v>3</v>
      </c>
      <c r="BL32" s="3">
        <f>IF($C$5="ON",CL32,MyRating(_D4,$B32,Efficacy!$F$1))</f>
        <v>3</v>
      </c>
      <c r="BM32" s="3">
        <f>IF($C$5="ON",CM32,MyRating(_B1,$B32,Barrier!$F$2))</f>
        <v>3</v>
      </c>
      <c r="BN32" s="3">
        <f>IF($C$5="ON",CN32,MyRating(_B2,$B32,Barrier!$F$2))</f>
        <v>3</v>
      </c>
      <c r="BO32" s="6">
        <f>IF($C$5="ON",CO32,MyRating(_B3,$B32,Barrier!$F$2))</f>
        <v>3</v>
      </c>
      <c r="BP32" s="5">
        <f t="shared" si="6"/>
        <v>3.2953661618571599E-2</v>
      </c>
      <c r="BQ32" s="8">
        <f t="shared" si="7"/>
        <v>2.9999999999999996</v>
      </c>
      <c r="BR32" s="5">
        <f t="shared" si="8"/>
        <v>3.2599837000814993E-2</v>
      </c>
      <c r="BS32" s="7">
        <f t="shared" si="9"/>
        <v>1.6438361024188112E-2</v>
      </c>
      <c r="BT32" s="4">
        <v>4</v>
      </c>
      <c r="BU32" s="3">
        <v>4</v>
      </c>
      <c r="BV32" s="3">
        <v>4</v>
      </c>
      <c r="BW32" s="3">
        <v>4</v>
      </c>
      <c r="BX32" s="3">
        <v>4</v>
      </c>
      <c r="BY32" s="3">
        <v>3</v>
      </c>
      <c r="BZ32" s="3">
        <v>3</v>
      </c>
      <c r="CA32" s="3">
        <v>4</v>
      </c>
      <c r="CB32" s="3">
        <v>4</v>
      </c>
      <c r="CC32" s="3">
        <v>3</v>
      </c>
      <c r="CD32" s="3">
        <v>3</v>
      </c>
      <c r="CE32" s="3">
        <v>4</v>
      </c>
      <c r="CF32" s="3">
        <v>5</v>
      </c>
      <c r="CG32" s="3">
        <v>3</v>
      </c>
      <c r="CH32" s="3">
        <v>3</v>
      </c>
      <c r="CI32" s="3">
        <v>3</v>
      </c>
      <c r="CJ32" s="3">
        <v>3</v>
      </c>
      <c r="CK32" s="3">
        <v>3</v>
      </c>
      <c r="CL32" s="3">
        <v>3</v>
      </c>
      <c r="CM32" s="3">
        <v>3</v>
      </c>
      <c r="CN32" s="3">
        <v>3</v>
      </c>
      <c r="CO32" s="6">
        <v>3</v>
      </c>
      <c r="CP32" s="5"/>
      <c r="CQ32" s="4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</row>
    <row r="33" spans="1:116" x14ac:dyDescent="0.35">
      <c r="A33" s="9" t="s">
        <v>5</v>
      </c>
      <c r="B33" s="9" t="s">
        <v>67</v>
      </c>
      <c r="C33" s="20" t="s">
        <v>3</v>
      </c>
      <c r="D33" s="9" t="s">
        <v>2</v>
      </c>
      <c r="E33" s="9"/>
      <c r="F33" s="9" t="s">
        <v>1</v>
      </c>
      <c r="G33" s="19">
        <v>0</v>
      </c>
      <c r="H33" s="9">
        <v>2014</v>
      </c>
      <c r="I33" s="9">
        <v>6</v>
      </c>
      <c r="J33" s="18">
        <f>INDEX(PTRS!$D$6:$D$12,MATCH('1'!$F33,PTRS!$B$6:$B$12,0))</f>
        <v>0.1044225</v>
      </c>
      <c r="K33" s="17">
        <v>0</v>
      </c>
      <c r="L33" s="17">
        <v>0</v>
      </c>
      <c r="M33" s="17">
        <f>J33</f>
        <v>0.1044225</v>
      </c>
      <c r="N33" s="17">
        <f t="shared" si="11"/>
        <v>0.1044225</v>
      </c>
      <c r="O33" s="17">
        <v>0.1044225</v>
      </c>
      <c r="P33" s="17">
        <v>0.1044225</v>
      </c>
      <c r="Q33" s="17">
        <f t="shared" si="2"/>
        <v>0</v>
      </c>
      <c r="R33" s="17">
        <v>1</v>
      </c>
      <c r="S33" s="17">
        <v>1</v>
      </c>
      <c r="T33" s="17"/>
      <c r="U33" s="17">
        <f t="shared" si="3"/>
        <v>0.9614162825377699</v>
      </c>
      <c r="V33" s="17">
        <v>1</v>
      </c>
      <c r="W33" s="9" t="s">
        <v>67</v>
      </c>
      <c r="X33" s="9">
        <f>INDEX('Unique Asset List'!$C$4:$I$60,MATCH('1'!$B33,'Unique Asset List'!$A$4:$A$60,0),MATCH('1'!$C$1,'Unique Asset List'!$C$3:$I$3,0))</f>
        <v>2031</v>
      </c>
      <c r="Y33" s="9">
        <f>INDEX('Unique Asset List'!$J$4:$P$60,MATCH('1'!$B33,'Unique Asset List'!$A$4:$A$60,0),MATCH('1'!$C$1,'Unique Asset List'!$J$3:$P$3,0))</f>
        <v>3</v>
      </c>
      <c r="Z33" s="9">
        <f>INDEX('Unique Asset List'!$X$4:$AD$60,MATCH('1'!$B33,'Unique Asset List'!$A$4:$A$60,0),MATCH('1'!$C$1,'Unique Asset List'!$X$3:$AD$3,0))</f>
        <v>2041</v>
      </c>
      <c r="AA33" s="9">
        <f>INDEX('Unique Asset List'!$AE$4:$AK$60,MATCH('1'!$B33,'Unique Asset List'!$A$4:$A$60,0),MATCH('1'!$C$1,'Unique Asset List'!$AE$3:$AK$3,0))</f>
        <v>3</v>
      </c>
      <c r="AB33" s="16">
        <f t="shared" si="10"/>
        <v>1.8077445000000001</v>
      </c>
      <c r="AC33" s="16">
        <f t="shared" si="4"/>
        <v>0.94137550000000003</v>
      </c>
      <c r="AD33" s="16">
        <f t="shared" si="5"/>
        <v>0.56099999999999994</v>
      </c>
      <c r="AE33" s="15">
        <f>INDEX('Unique Asset List'!$BN$4:$BT$60,MATCH('1'!$B33,'Unique Asset List'!$A$4:$A$60,0),MATCH('1'!$C$1,'Unique Asset List'!$BN$3:$BT$3,0))</f>
        <v>0.15</v>
      </c>
      <c r="AF33" s="15">
        <f>INDEX('Unique Asset List'!$BU$4:$CA$60,MATCH('1'!$B33,'Unique Asset List'!$A$4:$A$60,0),MATCH('1'!$C$1,'Unique Asset List'!$BU$3:$CA$3,0))</f>
        <v>0.35</v>
      </c>
      <c r="AG33" s="15">
        <f>INDEX('Unique Asset List'!$AZ$4:$BF$60,MATCH('1'!$B33,'Unique Asset List'!$A$4:$A$60,0),MATCH('1'!$C$1,'Unique Asset List'!$AZ$3:$BF$3,0))</f>
        <v>0.15</v>
      </c>
      <c r="AH33" s="15">
        <f>INDEX('Unique Asset List'!$BG$4:$BM$60,MATCH('1'!$B33,'Unique Asset List'!$A$4:$A$60,0),MATCH('1'!$C$1,'Unique Asset List'!$BG$3:$BM$3,0))</f>
        <v>0.35</v>
      </c>
      <c r="AI33" s="11">
        <v>0.97304949785176587</v>
      </c>
      <c r="AJ33" s="15">
        <f>INDEX('Unique Asset List'!$AL$4:$AR$60,MATCH('1'!$B33,'Unique Asset List'!$A$4:$A$60,0),MATCH('1'!$C$1,'Unique Asset List'!$AL$3:$AR$3,0))</f>
        <v>1.2267192541321688</v>
      </c>
      <c r="AK33" s="15">
        <f>INDEX('Unique Asset List'!$AS$4:$AY$60,MATCH('1'!$B33,'Unique Asset List'!$A$4:$A$60,0),MATCH('1'!$C$1,'Unique Asset List'!$AS$3:$AY$3,0))</f>
        <v>11.984388276878477</v>
      </c>
      <c r="AL33" s="9">
        <v>160</v>
      </c>
      <c r="AM33" s="14">
        <f>INDEX(Simulation!$B$6:$H$6,MATCH($A33,Simulation!$B$1:$H$1,0))*(1+AN33)^((DATE(X33,Y33,15)-DATE(2017,1,15))/365.5)</f>
        <v>24.406435814856806</v>
      </c>
      <c r="AN33" s="12">
        <v>3.5000000000000003E-2</v>
      </c>
      <c r="AO33" s="13">
        <v>60</v>
      </c>
      <c r="AP33" s="11">
        <v>0.6</v>
      </c>
      <c r="AQ33" s="12">
        <v>-0.02</v>
      </c>
      <c r="AR33" s="11">
        <v>0.5</v>
      </c>
      <c r="AS33" s="10">
        <v>1</v>
      </c>
      <c r="AT33" s="4">
        <f>IF($C$5="ON",BT33,MyRating(_E1,$B33,Efficacy!$F$1))</f>
        <v>4</v>
      </c>
      <c r="AU33" s="3">
        <f>IF($C$5="ON",BU33,MyRating(_E2,$B33,Efficacy!$F$1))</f>
        <v>4</v>
      </c>
      <c r="AV33" s="3">
        <f>IF($C$5="ON",BV33,MyRating(_E3,$B33,Efficacy!$F$1))</f>
        <v>4</v>
      </c>
      <c r="AW33" s="3">
        <f>IF($C$5="ON",BW33,MyRating(_E4,$B33,Efficacy!$F$1))</f>
        <v>4</v>
      </c>
      <c r="AX33" s="3">
        <f>IF($C$5="ON",BX33,MyRating(_E5,$B33,Efficacy!$F$1))</f>
        <v>4</v>
      </c>
      <c r="AY33" s="3">
        <f>IF($C$5="ON",BY33,MyRating(_E6,$B33,Efficacy!$F$1))</f>
        <v>3</v>
      </c>
      <c r="AZ33" s="3">
        <f>IF($C$5="ON",BZ33,MyRating(_E7,$B33,Efficacy!$F$1))</f>
        <v>3</v>
      </c>
      <c r="BA33" s="3">
        <f>IF($C$5="ON",CA33,MyRating(_E8,$B33,Efficacy!$F$1))</f>
        <v>4</v>
      </c>
      <c r="BB33" s="3">
        <f>IF($C$5="ON",CB33,MyRating(_S1,$B33,Efficacy!$F$1))</f>
        <v>4</v>
      </c>
      <c r="BC33" s="3">
        <f>IF($C$5="ON",CC33,MyRating(_S2,$B33,Efficacy!$F$1))</f>
        <v>3</v>
      </c>
      <c r="BD33" s="3">
        <f>IF($C$5="ON",CD33,MyRating(_S3,$B33,Efficacy!$F$1))</f>
        <v>3</v>
      </c>
      <c r="BE33" s="3">
        <f>IF($C$5="ON",CE33,MyRating(_S4,$B33,Efficacy!$F$1))</f>
        <v>4</v>
      </c>
      <c r="BF33" s="3">
        <f>IF($C$5="ON",CF33,MyRating(_S5,$B33,Efficacy!$F$1))</f>
        <v>5</v>
      </c>
      <c r="BG33" s="3">
        <f>IF($C$5="ON",CG33,MyRating(_S6,$B33,Efficacy!$F$1))</f>
        <v>3</v>
      </c>
      <c r="BH33" s="3">
        <f>IF($C$5="ON",CH33,MyRating(_S7,$B33,Efficacy!$F$1))</f>
        <v>3</v>
      </c>
      <c r="BI33" s="3">
        <f>IF($C$5="ON",CI33,MyRating(_D1,$B33,Efficacy!$F$1))</f>
        <v>3</v>
      </c>
      <c r="BJ33" s="3">
        <f>IF($C$5="ON",CJ33,MyRating(_D2,$B33,Efficacy!$F$1))</f>
        <v>3</v>
      </c>
      <c r="BK33" s="3">
        <f>IF($C$5="ON",CK33,MyRating(_D3,$B33,Efficacy!$F$1))</f>
        <v>3</v>
      </c>
      <c r="BL33" s="3">
        <f>IF($C$5="ON",CL33,MyRating(_D4,$B33,Efficacy!$F$1))</f>
        <v>3</v>
      </c>
      <c r="BM33" s="3">
        <f>IF($C$5="ON",CM33,MyRating(_B1,$B33,Barrier!$F$2))</f>
        <v>3</v>
      </c>
      <c r="BN33" s="3">
        <f>IF($C$5="ON",CN33,MyRating(_B2,$B33,Barrier!$F$2))</f>
        <v>3</v>
      </c>
      <c r="BO33" s="6">
        <f>IF($C$5="ON",CO33,MyRating(_B3,$B33,Barrier!$F$2))</f>
        <v>3</v>
      </c>
      <c r="BP33" s="5">
        <f t="shared" si="6"/>
        <v>3.2953661618571599E-2</v>
      </c>
      <c r="BQ33" s="8">
        <f t="shared" si="7"/>
        <v>2.9999999999999996</v>
      </c>
      <c r="BR33" s="5">
        <f t="shared" si="8"/>
        <v>3.2599837000814993E-2</v>
      </c>
      <c r="BS33" s="7">
        <f t="shared" si="9"/>
        <v>1.6438361024188112E-2</v>
      </c>
      <c r="BT33" s="4">
        <v>4</v>
      </c>
      <c r="BU33" s="3">
        <v>4</v>
      </c>
      <c r="BV33" s="3">
        <v>4</v>
      </c>
      <c r="BW33" s="3">
        <v>4</v>
      </c>
      <c r="BX33" s="3">
        <v>4</v>
      </c>
      <c r="BY33" s="3">
        <v>3</v>
      </c>
      <c r="BZ33" s="3">
        <v>3</v>
      </c>
      <c r="CA33" s="3">
        <v>4</v>
      </c>
      <c r="CB33" s="3">
        <v>4</v>
      </c>
      <c r="CC33" s="3">
        <v>3</v>
      </c>
      <c r="CD33" s="3">
        <v>3</v>
      </c>
      <c r="CE33" s="3">
        <v>4</v>
      </c>
      <c r="CF33" s="3">
        <v>5</v>
      </c>
      <c r="CG33" s="3">
        <v>3</v>
      </c>
      <c r="CH33" s="3">
        <v>3</v>
      </c>
      <c r="CI33" s="3">
        <v>3</v>
      </c>
      <c r="CJ33" s="3">
        <v>3</v>
      </c>
      <c r="CK33" s="3">
        <v>3</v>
      </c>
      <c r="CL33" s="3">
        <v>3</v>
      </c>
      <c r="CM33" s="3">
        <v>3</v>
      </c>
      <c r="CN33" s="3">
        <v>3</v>
      </c>
      <c r="CO33" s="6">
        <v>3</v>
      </c>
      <c r="CP33" s="5"/>
      <c r="CQ33" s="4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</row>
    <row r="34" spans="1:116" x14ac:dyDescent="0.35">
      <c r="A34" s="9" t="s">
        <v>5</v>
      </c>
      <c r="B34" s="9" t="s">
        <v>66</v>
      </c>
      <c r="C34" s="20" t="s">
        <v>3</v>
      </c>
      <c r="D34" s="9" t="s">
        <v>2</v>
      </c>
      <c r="E34" s="9"/>
      <c r="F34" s="9" t="s">
        <v>1</v>
      </c>
      <c r="G34" s="19">
        <v>0</v>
      </c>
      <c r="H34" s="9">
        <v>2014</v>
      </c>
      <c r="I34" s="9">
        <v>6</v>
      </c>
      <c r="J34" s="18">
        <f>INDEX(PTRS!$D$6:$D$12,MATCH('1'!$F34,PTRS!$B$6:$B$12,0))</f>
        <v>0.1044225</v>
      </c>
      <c r="K34" s="17">
        <v>0</v>
      </c>
      <c r="L34" s="17">
        <v>0</v>
      </c>
      <c r="M34" s="17">
        <f>J34</f>
        <v>0.1044225</v>
      </c>
      <c r="N34" s="17">
        <f t="shared" si="11"/>
        <v>0.1044225</v>
      </c>
      <c r="O34" s="17">
        <v>0.1044225</v>
      </c>
      <c r="P34" s="17">
        <v>0.1044225</v>
      </c>
      <c r="Q34" s="17">
        <f t="shared" si="2"/>
        <v>0</v>
      </c>
      <c r="R34" s="17">
        <v>1</v>
      </c>
      <c r="S34" s="17">
        <v>1</v>
      </c>
      <c r="T34" s="17"/>
      <c r="U34" s="17">
        <f t="shared" si="3"/>
        <v>0.9614162825377699</v>
      </c>
      <c r="V34" s="17">
        <v>1</v>
      </c>
      <c r="W34" s="9" t="s">
        <v>62</v>
      </c>
      <c r="X34" s="9">
        <f>INDEX('Unique Asset List'!$C$4:$I$60,MATCH('1'!$B34,'Unique Asset List'!$A$4:$A$60,0),MATCH('1'!$C$1,'Unique Asset List'!$C$3:$I$3,0))</f>
        <v>2028</v>
      </c>
      <c r="Y34" s="9">
        <f>INDEX('Unique Asset List'!$J$4:$P$60,MATCH('1'!$B34,'Unique Asset List'!$A$4:$A$60,0),MATCH('1'!$C$1,'Unique Asset List'!$J$3:$P$3,0))</f>
        <v>3</v>
      </c>
      <c r="Z34" s="9">
        <f>INDEX('Unique Asset List'!$X$4:$AD$60,MATCH('1'!$B34,'Unique Asset List'!$A$4:$A$60,0),MATCH('1'!$C$1,'Unique Asset List'!$X$3:$AD$3,0))</f>
        <v>2038</v>
      </c>
      <c r="AA34" s="9">
        <f>INDEX('Unique Asset List'!$AE$4:$AK$60,MATCH('1'!$B34,'Unique Asset List'!$A$4:$A$60,0),MATCH('1'!$C$1,'Unique Asset List'!$AE$3:$AK$3,0))</f>
        <v>3</v>
      </c>
      <c r="AB34" s="16">
        <f t="shared" si="10"/>
        <v>1.8077445000000001</v>
      </c>
      <c r="AC34" s="16">
        <f t="shared" si="4"/>
        <v>0.94137550000000003</v>
      </c>
      <c r="AD34" s="16">
        <f t="shared" si="5"/>
        <v>0.56099999999999994</v>
      </c>
      <c r="AE34" s="15">
        <f>INDEX('Unique Asset List'!$BN$4:$BT$60,MATCH('1'!$B34,'Unique Asset List'!$A$4:$A$60,0),MATCH('1'!$C$1,'Unique Asset List'!$BN$3:$BT$3,0))</f>
        <v>0.22</v>
      </c>
      <c r="AF34" s="15">
        <f>INDEX('Unique Asset List'!$BU$4:$CA$60,MATCH('1'!$B34,'Unique Asset List'!$A$4:$A$60,0),MATCH('1'!$C$1,'Unique Asset List'!$BU$3:$CA$3,0))</f>
        <v>0.28000000000000003</v>
      </c>
      <c r="AG34" s="15">
        <f>INDEX('Unique Asset List'!$AZ$4:$BF$60,MATCH('1'!$B34,'Unique Asset List'!$A$4:$A$60,0),MATCH('1'!$C$1,'Unique Asset List'!$AZ$3:$BF$3,0))</f>
        <v>0.22</v>
      </c>
      <c r="AH34" s="15">
        <f>INDEX('Unique Asset List'!$BG$4:$BM$60,MATCH('1'!$B34,'Unique Asset List'!$A$4:$A$60,0),MATCH('1'!$C$1,'Unique Asset List'!$BG$3:$BM$3,0))</f>
        <v>0.28000000000000003</v>
      </c>
      <c r="AI34" s="11">
        <v>0.97304949785176587</v>
      </c>
      <c r="AJ34" s="15">
        <f>INDEX('Unique Asset List'!$AL$4:$AR$60,MATCH('1'!$B34,'Unique Asset List'!$A$4:$A$60,0),MATCH('1'!$C$1,'Unique Asset List'!$AL$3:$AR$3,0))</f>
        <v>1.2267192541321688</v>
      </c>
      <c r="AK34" s="15">
        <f>INDEX('Unique Asset List'!$AS$4:$AY$60,MATCH('1'!$B34,'Unique Asset List'!$A$4:$A$60,0),MATCH('1'!$C$1,'Unique Asset List'!$AS$3:$AY$3,0))</f>
        <v>11.984388276878477</v>
      </c>
      <c r="AL34" s="9">
        <v>160</v>
      </c>
      <c r="AM34" s="14">
        <f>INDEX(Simulation!$B$6:$H$6,MATCH($A34,Simulation!$B$1:$H$1,0))*(1+AN34)^((DATE(X34,Y34,15)-DATE(2017,1,15))/365.5)</f>
        <v>22.016314849691451</v>
      </c>
      <c r="AN34" s="12">
        <v>3.5000000000000003E-2</v>
      </c>
      <c r="AO34" s="13">
        <v>60</v>
      </c>
      <c r="AP34" s="11">
        <v>0.6</v>
      </c>
      <c r="AQ34" s="12">
        <v>-0.02</v>
      </c>
      <c r="AR34" s="11">
        <v>0.5</v>
      </c>
      <c r="AS34" s="10">
        <v>1</v>
      </c>
      <c r="AT34" s="4">
        <f>IF($C$5="ON",BT34,MyRating(_E1,$B34,Efficacy!$F$1))</f>
        <v>4</v>
      </c>
      <c r="AU34" s="3">
        <f>IF($C$5="ON",BU34,MyRating(_E2,$B34,Efficacy!$F$1))</f>
        <v>4</v>
      </c>
      <c r="AV34" s="3">
        <f>IF($C$5="ON",BV34,MyRating(_E3,$B34,Efficacy!$F$1))</f>
        <v>4</v>
      </c>
      <c r="AW34" s="3">
        <f>IF($C$5="ON",BW34,MyRating(_E4,$B34,Efficacy!$F$1))</f>
        <v>4</v>
      </c>
      <c r="AX34" s="3">
        <f>IF($C$5="ON",BX34,MyRating(_E5,$B34,Efficacy!$F$1))</f>
        <v>4</v>
      </c>
      <c r="AY34" s="3">
        <f>IF($C$5="ON",BY34,MyRating(_E6,$B34,Efficacy!$F$1))</f>
        <v>3</v>
      </c>
      <c r="AZ34" s="3">
        <f>IF($C$5="ON",BZ34,MyRating(_E7,$B34,Efficacy!$F$1))</f>
        <v>3</v>
      </c>
      <c r="BA34" s="3">
        <f>IF($C$5="ON",CA34,MyRating(_E8,$B34,Efficacy!$F$1))</f>
        <v>4</v>
      </c>
      <c r="BB34" s="3">
        <f>IF($C$5="ON",CB34,MyRating(_S1,$B34,Efficacy!$F$1))</f>
        <v>4</v>
      </c>
      <c r="BC34" s="3">
        <f>IF($C$5="ON",CC34,MyRating(_S2,$B34,Efficacy!$F$1))</f>
        <v>3</v>
      </c>
      <c r="BD34" s="3">
        <f>IF($C$5="ON",CD34,MyRating(_S3,$B34,Efficacy!$F$1))</f>
        <v>3</v>
      </c>
      <c r="BE34" s="3">
        <f>IF($C$5="ON",CE34,MyRating(_S4,$B34,Efficacy!$F$1))</f>
        <v>4</v>
      </c>
      <c r="BF34" s="3">
        <f>IF($C$5="ON",CF34,MyRating(_S5,$B34,Efficacy!$F$1))</f>
        <v>5</v>
      </c>
      <c r="BG34" s="3">
        <f>IF($C$5="ON",CG34,MyRating(_S6,$B34,Efficacy!$F$1))</f>
        <v>3</v>
      </c>
      <c r="BH34" s="3">
        <f>IF($C$5="ON",CH34,MyRating(_S7,$B34,Efficacy!$F$1))</f>
        <v>3</v>
      </c>
      <c r="BI34" s="3">
        <f>IF($C$5="ON",CI34,MyRating(_D1,$B34,Efficacy!$F$1))</f>
        <v>3</v>
      </c>
      <c r="BJ34" s="3">
        <f>IF($C$5="ON",CJ34,MyRating(_D2,$B34,Efficacy!$F$1))</f>
        <v>3</v>
      </c>
      <c r="BK34" s="3">
        <f>IF($C$5="ON",CK34,MyRating(_D3,$B34,Efficacy!$F$1))</f>
        <v>3</v>
      </c>
      <c r="BL34" s="3">
        <f>IF($C$5="ON",CL34,MyRating(_D4,$B34,Efficacy!$F$1))</f>
        <v>3</v>
      </c>
      <c r="BM34" s="3">
        <f>IF($C$5="ON",CM34,MyRating(_B1,$B34,Barrier!$F$2))</f>
        <v>3</v>
      </c>
      <c r="BN34" s="3">
        <f>IF($C$5="ON",CN34,MyRating(_B2,$B34,Barrier!$F$2))</f>
        <v>3</v>
      </c>
      <c r="BO34" s="6">
        <f>IF($C$5="ON",CO34,MyRating(_B3,$B34,Barrier!$F$2))</f>
        <v>3</v>
      </c>
      <c r="BP34" s="5">
        <f t="shared" si="6"/>
        <v>3.2953661618571599E-2</v>
      </c>
      <c r="BQ34" s="8">
        <f t="shared" si="7"/>
        <v>2.9999999999999996</v>
      </c>
      <c r="BR34" s="5">
        <f t="shared" si="8"/>
        <v>3.2599837000814993E-2</v>
      </c>
      <c r="BS34" s="7">
        <f t="shared" si="9"/>
        <v>1.6438361024188112E-2</v>
      </c>
      <c r="BT34" s="4">
        <v>4</v>
      </c>
      <c r="BU34" s="3">
        <v>4</v>
      </c>
      <c r="BV34" s="3">
        <v>4</v>
      </c>
      <c r="BW34" s="3">
        <v>4</v>
      </c>
      <c r="BX34" s="3">
        <v>4</v>
      </c>
      <c r="BY34" s="3">
        <v>3</v>
      </c>
      <c r="BZ34" s="3">
        <v>3</v>
      </c>
      <c r="CA34" s="3">
        <v>4</v>
      </c>
      <c r="CB34" s="3">
        <v>4</v>
      </c>
      <c r="CC34" s="3">
        <v>3</v>
      </c>
      <c r="CD34" s="3">
        <v>3</v>
      </c>
      <c r="CE34" s="3">
        <v>4</v>
      </c>
      <c r="CF34" s="3">
        <v>5</v>
      </c>
      <c r="CG34" s="3">
        <v>3</v>
      </c>
      <c r="CH34" s="3">
        <v>3</v>
      </c>
      <c r="CI34" s="3">
        <v>3</v>
      </c>
      <c r="CJ34" s="3">
        <v>3</v>
      </c>
      <c r="CK34" s="3">
        <v>3</v>
      </c>
      <c r="CL34" s="3">
        <v>3</v>
      </c>
      <c r="CM34" s="3">
        <v>3</v>
      </c>
      <c r="CN34" s="3">
        <v>3</v>
      </c>
      <c r="CO34" s="6">
        <v>3</v>
      </c>
      <c r="CP34" s="5"/>
      <c r="CQ34" s="4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</row>
    <row r="35" spans="1:116" x14ac:dyDescent="0.35">
      <c r="A35" s="9" t="s">
        <v>5</v>
      </c>
      <c r="B35" s="9" t="s">
        <v>65</v>
      </c>
      <c r="C35" s="20" t="s">
        <v>3</v>
      </c>
      <c r="D35" s="9" t="s">
        <v>64</v>
      </c>
      <c r="E35" s="9"/>
      <c r="F35" s="9" t="s">
        <v>63</v>
      </c>
      <c r="G35" s="19">
        <v>0</v>
      </c>
      <c r="H35" s="9">
        <v>2014</v>
      </c>
      <c r="I35" s="9">
        <v>6</v>
      </c>
      <c r="J35" s="18">
        <f>INDEX(PTRS!$D$6:$D$12,MATCH('1'!$F35,PTRS!$B$6:$B$12,0))</f>
        <v>0.58500000000000008</v>
      </c>
      <c r="K35" s="17">
        <v>0</v>
      </c>
      <c r="L35" s="17">
        <v>0</v>
      </c>
      <c r="M35" s="17">
        <f>J35</f>
        <v>0.58500000000000008</v>
      </c>
      <c r="N35" s="17">
        <f t="shared" si="11"/>
        <v>0.58500000000000008</v>
      </c>
      <c r="O35" s="17">
        <v>0.58500000000000008</v>
      </c>
      <c r="P35" s="17">
        <v>0.58500000000000008</v>
      </c>
      <c r="Q35" s="17">
        <f t="shared" si="2"/>
        <v>1</v>
      </c>
      <c r="R35" s="17">
        <v>0.29250000000000004</v>
      </c>
      <c r="S35" s="17">
        <v>1</v>
      </c>
      <c r="T35" s="17"/>
      <c r="U35" s="17">
        <f t="shared" si="3"/>
        <v>0.25725626938202822</v>
      </c>
      <c r="V35" s="17">
        <v>1</v>
      </c>
      <c r="W35" s="9" t="s">
        <v>62</v>
      </c>
      <c r="X35" s="9">
        <f>INDEX('Unique Asset List'!$C$4:$I$60,MATCH('1'!$B35,'Unique Asset List'!$A$4:$A$60,0),MATCH('1'!$C$1,'Unique Asset List'!$C$3:$I$3,0))</f>
        <v>2021</v>
      </c>
      <c r="Y35" s="9">
        <f>INDEX('Unique Asset List'!$J$4:$P$60,MATCH('1'!$B35,'Unique Asset List'!$A$4:$A$60,0),MATCH('1'!$C$1,'Unique Asset List'!$J$3:$P$3,0))</f>
        <v>7</v>
      </c>
      <c r="Z35" s="9">
        <f>INDEX('Unique Asset List'!$X$4:$AD$60,MATCH('1'!$B35,'Unique Asset List'!$A$4:$A$60,0),MATCH('1'!$C$1,'Unique Asset List'!$X$3:$AD$3,0))</f>
        <v>2031</v>
      </c>
      <c r="AA35" s="9">
        <f>INDEX('Unique Asset List'!$AE$4:$AK$60,MATCH('1'!$B35,'Unique Asset List'!$A$4:$A$60,0),MATCH('1'!$C$1,'Unique Asset List'!$AE$3:$AK$3,0))</f>
        <v>7</v>
      </c>
      <c r="AB35" s="16">
        <f t="shared" si="10"/>
        <v>1.4139084</v>
      </c>
      <c r="AC35" s="16">
        <f t="shared" si="4"/>
        <v>0.94137550000000003</v>
      </c>
      <c r="AD35" s="16">
        <f t="shared" si="5"/>
        <v>0.50129594525999999</v>
      </c>
      <c r="AE35" s="15">
        <f>INDEX('Unique Asset List'!$BN$4:$BT$60,MATCH('1'!$B35,'Unique Asset List'!$A$4:$A$60,0),MATCH('1'!$C$1,'Unique Asset List'!$BN$3:$BT$3,0))</f>
        <v>0.22</v>
      </c>
      <c r="AF35" s="15">
        <f>INDEX('Unique Asset List'!$BU$4:$CA$60,MATCH('1'!$B35,'Unique Asset List'!$A$4:$A$60,0),MATCH('1'!$C$1,'Unique Asset List'!$BU$3:$CA$3,0))</f>
        <v>0.28000000000000003</v>
      </c>
      <c r="AG35" s="15">
        <f>INDEX('Unique Asset List'!$AZ$4:$BF$60,MATCH('1'!$B35,'Unique Asset List'!$A$4:$A$60,0),MATCH('1'!$C$1,'Unique Asset List'!$AZ$3:$BF$3,0))</f>
        <v>0.22</v>
      </c>
      <c r="AH35" s="15">
        <f>INDEX('Unique Asset List'!$BG$4:$BM$60,MATCH('1'!$B35,'Unique Asset List'!$A$4:$A$60,0),MATCH('1'!$C$1,'Unique Asset List'!$BG$3:$BM$3,0))</f>
        <v>0.28000000000000003</v>
      </c>
      <c r="AI35" s="11">
        <v>0.97304949785176587</v>
      </c>
      <c r="AJ35" s="15">
        <f>INDEX('Unique Asset List'!$AL$4:$AR$60,MATCH('1'!$B35,'Unique Asset List'!$A$4:$A$60,0),MATCH('1'!$C$1,'Unique Asset List'!$AL$3:$AR$3,0))</f>
        <v>1.2267192541321688</v>
      </c>
      <c r="AK35" s="15">
        <f>INDEX('Unique Asset List'!$AS$4:$AY$60,MATCH('1'!$B35,'Unique Asset List'!$A$4:$A$60,0),MATCH('1'!$C$1,'Unique Asset List'!$AS$3:$AY$3,0))</f>
        <v>11.984388276878477</v>
      </c>
      <c r="AL35" s="9">
        <v>112.30769230769232</v>
      </c>
      <c r="AM35" s="14">
        <f>INDEX(Simulation!$B$6:$H$6,MATCH($A35,Simulation!$B$1:$H$1,0))*(1+AN35)^((DATE(X35,Y35,15)-DATE(2017,1,15))/365.5)</f>
        <v>17.506947236002926</v>
      </c>
      <c r="AN35" s="12">
        <v>3.5000000000000003E-2</v>
      </c>
      <c r="AO35" s="13">
        <v>60</v>
      </c>
      <c r="AP35" s="11">
        <v>0.6</v>
      </c>
      <c r="AQ35" s="12">
        <v>-0.02</v>
      </c>
      <c r="AR35" s="11">
        <v>0.5</v>
      </c>
      <c r="AS35" s="10">
        <v>1</v>
      </c>
      <c r="AT35" s="4">
        <f>IF($C$5="ON",BT35,MyRating(_E1,$B35,Efficacy!$F$1))</f>
        <v>0</v>
      </c>
      <c r="AU35" s="3">
        <f>IF($C$5="ON",BU35,MyRating(_E2,$B35,Efficacy!$F$1))</f>
        <v>4</v>
      </c>
      <c r="AV35" s="3">
        <f>IF($C$5="ON",BV35,MyRating(_E3,$B35,Efficacy!$F$1))</f>
        <v>4</v>
      </c>
      <c r="AW35" s="3">
        <f>IF($C$5="ON",BW35,MyRating(_E4,$B35,Efficacy!$F$1))</f>
        <v>4</v>
      </c>
      <c r="AX35" s="3">
        <f>IF($C$5="ON",BX35,MyRating(_E5,$B35,Efficacy!$F$1))</f>
        <v>3</v>
      </c>
      <c r="AY35" s="3">
        <f>IF($C$5="ON",BY35,MyRating(_E6,$B35,Efficacy!$F$1))</f>
        <v>3</v>
      </c>
      <c r="AZ35" s="3">
        <f>IF($C$5="ON",BZ35,MyRating(_E7,$B35,Efficacy!$F$1))</f>
        <v>3</v>
      </c>
      <c r="BA35" s="3">
        <f>IF($C$5="ON",CA35,MyRating(_E8,$B35,Efficacy!$F$1))</f>
        <v>5</v>
      </c>
      <c r="BB35" s="3">
        <f>IF($C$5="ON",CB35,MyRating(_S1,$B35,Efficacy!$F$1))</f>
        <v>4</v>
      </c>
      <c r="BC35" s="3">
        <f>IF($C$5="ON",CC35,MyRating(_S2,$B35,Efficacy!$F$1))</f>
        <v>3</v>
      </c>
      <c r="BD35" s="3">
        <f>IF($C$5="ON",CD35,MyRating(_S3,$B35,Efficacy!$F$1))</f>
        <v>3</v>
      </c>
      <c r="BE35" s="3">
        <f>IF($C$5="ON",CE35,MyRating(_S4,$B35,Efficacy!$F$1))</f>
        <v>4</v>
      </c>
      <c r="BF35" s="3">
        <f>IF($C$5="ON",CF35,MyRating(_S5,$B35,Efficacy!$F$1))</f>
        <v>5</v>
      </c>
      <c r="BG35" s="3">
        <f>IF($C$5="ON",CG35,MyRating(_S6,$B35,Efficacy!$F$1))</f>
        <v>3</v>
      </c>
      <c r="BH35" s="3">
        <f>IF($C$5="ON",CH35,MyRating(_S7,$B35,Efficacy!$F$1))</f>
        <v>3</v>
      </c>
      <c r="BI35" s="3">
        <f>IF($C$5="ON",CI35,MyRating(_D1,$B35,Efficacy!$F$1))</f>
        <v>2</v>
      </c>
      <c r="BJ35" s="3">
        <f>IF($C$5="ON",CJ35,MyRating(_D2,$B35,Efficacy!$F$1))</f>
        <v>3</v>
      </c>
      <c r="BK35" s="3">
        <f>IF($C$5="ON",CK35,MyRating(_D3,$B35,Efficacy!$F$1))</f>
        <v>3</v>
      </c>
      <c r="BL35" s="3">
        <f>IF($C$5="ON",CL35,MyRating(_D4,$B35,Efficacy!$F$1))</f>
        <v>3</v>
      </c>
      <c r="BM35" s="3">
        <f>IF($C$5="ON",CM35,MyRating(_B1,$B35,Barrier!$F$2))</f>
        <v>1</v>
      </c>
      <c r="BN35" s="3">
        <f>IF($C$5="ON",CN35,MyRating(_B2,$B35,Barrier!$F$2))</f>
        <v>1</v>
      </c>
      <c r="BO35" s="6">
        <f>IF($C$5="ON",CO35,MyRating(_B3,$B35,Barrier!$F$2))</f>
        <v>1</v>
      </c>
      <c r="BP35" s="5">
        <f t="shared" si="6"/>
        <v>8.8177579311367795E-3</v>
      </c>
      <c r="BQ35" s="8">
        <f t="shared" si="7"/>
        <v>1</v>
      </c>
      <c r="BR35" s="5">
        <f t="shared" si="8"/>
        <v>1.0866612333604999E-2</v>
      </c>
      <c r="BS35" s="7">
        <f t="shared" si="9"/>
        <v>4.3985852004450902E-3</v>
      </c>
      <c r="BT35" s="4">
        <v>0</v>
      </c>
      <c r="BU35" s="3">
        <v>4</v>
      </c>
      <c r="BV35" s="3">
        <v>4</v>
      </c>
      <c r="BW35" s="3">
        <v>4</v>
      </c>
      <c r="BX35" s="3">
        <v>3</v>
      </c>
      <c r="BY35" s="3">
        <v>3</v>
      </c>
      <c r="BZ35" s="3">
        <v>3</v>
      </c>
      <c r="CA35" s="3">
        <v>5</v>
      </c>
      <c r="CB35" s="3">
        <v>4</v>
      </c>
      <c r="CC35" s="3">
        <v>3</v>
      </c>
      <c r="CD35" s="3">
        <v>3</v>
      </c>
      <c r="CE35" s="3">
        <v>4</v>
      </c>
      <c r="CF35" s="3">
        <v>5</v>
      </c>
      <c r="CG35" s="3">
        <v>3</v>
      </c>
      <c r="CH35" s="3">
        <v>3</v>
      </c>
      <c r="CI35" s="3">
        <v>2</v>
      </c>
      <c r="CJ35" s="3">
        <v>3</v>
      </c>
      <c r="CK35" s="3">
        <v>3</v>
      </c>
      <c r="CL35" s="3">
        <v>3</v>
      </c>
      <c r="CM35" s="3">
        <v>1</v>
      </c>
      <c r="CN35" s="3">
        <v>1</v>
      </c>
      <c r="CO35" s="6">
        <v>1</v>
      </c>
      <c r="CP35" s="5"/>
      <c r="CQ35" s="4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</row>
    <row r="36" spans="1:116" x14ac:dyDescent="0.35">
      <c r="A36" s="9" t="s">
        <v>5</v>
      </c>
      <c r="B36" s="9" t="s">
        <v>35</v>
      </c>
      <c r="C36" s="20"/>
      <c r="D36" s="9" t="s">
        <v>2</v>
      </c>
      <c r="E36" s="9"/>
      <c r="F36" s="9" t="s">
        <v>58</v>
      </c>
      <c r="G36" s="19">
        <v>0</v>
      </c>
      <c r="H36" s="9">
        <v>2014</v>
      </c>
      <c r="I36" s="9">
        <v>6</v>
      </c>
      <c r="J36" s="18">
        <f>INDEX(PTRS!$D$6:$D$12,MATCH('1'!$F36,PTRS!$B$6:$B$12,0))</f>
        <v>0.13923000000000002</v>
      </c>
      <c r="K36" s="17">
        <v>0</v>
      </c>
      <c r="L36" s="17">
        <v>0</v>
      </c>
      <c r="M36" s="17">
        <v>0.14000000000000001</v>
      </c>
      <c r="N36" s="17">
        <f t="shared" si="11"/>
        <v>0.14000000000000001</v>
      </c>
      <c r="O36" s="17">
        <v>0.14000000000000001</v>
      </c>
      <c r="P36" s="17">
        <v>0.1044225</v>
      </c>
      <c r="Q36" s="17">
        <f t="shared" si="2"/>
        <v>0</v>
      </c>
      <c r="R36" s="17">
        <v>0.1044225</v>
      </c>
      <c r="S36" s="17">
        <v>1</v>
      </c>
      <c r="T36" s="17"/>
      <c r="U36" s="17">
        <f t="shared" si="3"/>
        <v>0.9614162825377699</v>
      </c>
      <c r="V36" s="17">
        <v>1</v>
      </c>
      <c r="W36" s="9" t="s">
        <v>35</v>
      </c>
      <c r="X36" s="9">
        <f>INDEX('Unique Asset List'!$C$4:$I$60,MATCH('1'!$B36,'Unique Asset List'!$A$4:$A$60,0),MATCH('1'!$C$1,'Unique Asset List'!$C$3:$I$3,0))</f>
        <v>2027</v>
      </c>
      <c r="Y36" s="9">
        <f>INDEX('Unique Asset List'!$J$4:$P$60,MATCH('1'!$B36,'Unique Asset List'!$A$4:$A$60,0),MATCH('1'!$C$1,'Unique Asset List'!$J$3:$P$3,0))</f>
        <v>6</v>
      </c>
      <c r="Z36" s="9">
        <f>INDEX('Unique Asset List'!$X$4:$AD$60,MATCH('1'!$B36,'Unique Asset List'!$A$4:$A$60,0),MATCH('1'!$C$1,'Unique Asset List'!$X$3:$AD$3,0))</f>
        <v>2039</v>
      </c>
      <c r="AA36" s="9">
        <f>INDEX('Unique Asset List'!$AE$4:$AK$60,MATCH('1'!$B36,'Unique Asset List'!$A$4:$A$60,0),MATCH('1'!$C$1,'Unique Asset List'!$AE$3:$AK$3,0))</f>
        <v>5</v>
      </c>
      <c r="AB36" s="16">
        <f t="shared" si="10"/>
        <v>1.7489031000000002</v>
      </c>
      <c r="AC36" s="16">
        <f t="shared" si="4"/>
        <v>0.94137550000000003</v>
      </c>
      <c r="AD36" s="16">
        <f t="shared" si="5"/>
        <v>0.56099999999999994</v>
      </c>
      <c r="AE36" s="15">
        <f>INDEX('Unique Asset List'!$BN$4:$BT$60,MATCH('1'!$B36,'Unique Asset List'!$A$4:$A$60,0),MATCH('1'!$C$1,'Unique Asset List'!$BN$3:$BT$3,0))</f>
        <v>0.15</v>
      </c>
      <c r="AF36" s="15">
        <f>INDEX('Unique Asset List'!$BU$4:$CA$60,MATCH('1'!$B36,'Unique Asset List'!$A$4:$A$60,0),MATCH('1'!$C$1,'Unique Asset List'!$BU$3:$CA$3,0))</f>
        <v>0.35</v>
      </c>
      <c r="AG36" s="15">
        <f>INDEX('Unique Asset List'!$AZ$4:$BF$60,MATCH('1'!$B36,'Unique Asset List'!$A$4:$A$60,0),MATCH('1'!$C$1,'Unique Asset List'!$AZ$3:$BF$3,0))</f>
        <v>0.15</v>
      </c>
      <c r="AH36" s="15">
        <f>INDEX('Unique Asset List'!$BG$4:$BM$60,MATCH('1'!$B36,'Unique Asset List'!$A$4:$A$60,0),MATCH('1'!$C$1,'Unique Asset List'!$BG$3:$BM$3,0))</f>
        <v>0.35</v>
      </c>
      <c r="AI36" s="11">
        <v>0.97304949785176587</v>
      </c>
      <c r="AJ36" s="15">
        <f>INDEX('Unique Asset List'!$AL$4:$AR$60,MATCH('1'!$B36,'Unique Asset List'!$A$4:$A$60,0),MATCH('1'!$C$1,'Unique Asset List'!$AL$3:$AR$3,0))</f>
        <v>1.2267192541321688</v>
      </c>
      <c r="AK36" s="15">
        <f>INDEX('Unique Asset List'!$AS$4:$AY$60,MATCH('1'!$B36,'Unique Asset List'!$A$4:$A$60,0),MATCH('1'!$C$1,'Unique Asset List'!$AS$3:$AY$3,0))</f>
        <v>11.984388276878477</v>
      </c>
      <c r="AL36" s="9">
        <v>160</v>
      </c>
      <c r="AM36" s="14">
        <f>INDEX(Simulation!$B$6:$H$6,MATCH($A36,Simulation!$B$1:$H$1,0))*(1+AN36)^((DATE(X36,Y36,15)-DATE(2017,1,15))/365.5)</f>
        <v>21.455788256374355</v>
      </c>
      <c r="AN36" s="12">
        <v>3.5000000000000003E-2</v>
      </c>
      <c r="AO36" s="13">
        <v>60</v>
      </c>
      <c r="AP36" s="11">
        <v>0.6</v>
      </c>
      <c r="AQ36" s="12">
        <v>-0.02</v>
      </c>
      <c r="AR36" s="11">
        <v>0.5</v>
      </c>
      <c r="AS36" s="10">
        <v>1</v>
      </c>
      <c r="AT36" s="4">
        <f>IF($C$5="ON",BT36,MyRating(_E1,$B36,Efficacy!$F$1))</f>
        <v>4</v>
      </c>
      <c r="AU36" s="3">
        <f>IF($C$5="ON",BU36,MyRating(_E2,$B36,Efficacy!$F$1))</f>
        <v>3</v>
      </c>
      <c r="AV36" s="3">
        <f>IF($C$5="ON",BV36,MyRating(_E3,$B36,Efficacy!$F$1))</f>
        <v>4</v>
      </c>
      <c r="AW36" s="3">
        <f>IF($C$5="ON",BW36,MyRating(_E4,$B36,Efficacy!$F$1))</f>
        <v>4</v>
      </c>
      <c r="AX36" s="3">
        <f>IF($C$5="ON",BX36,MyRating(_E5,$B36,Efficacy!$F$1))</f>
        <v>3</v>
      </c>
      <c r="AY36" s="3">
        <f>IF($C$5="ON",BY36,MyRating(_E6,$B36,Efficacy!$F$1))</f>
        <v>4</v>
      </c>
      <c r="AZ36" s="3">
        <f>IF($C$5="ON",BZ36,MyRating(_E7,$B36,Efficacy!$F$1))</f>
        <v>3</v>
      </c>
      <c r="BA36" s="3">
        <f>IF($C$5="ON",CA36,MyRating(_E8,$B36,Efficacy!$F$1))</f>
        <v>4</v>
      </c>
      <c r="BB36" s="3">
        <f>IF($C$5="ON",CB36,MyRating(_S1,$B36,Efficacy!$F$1))</f>
        <v>4</v>
      </c>
      <c r="BC36" s="3">
        <f>IF($C$5="ON",CC36,MyRating(_S2,$B36,Efficacy!$F$1))</f>
        <v>3</v>
      </c>
      <c r="BD36" s="3">
        <f>IF($C$5="ON",CD36,MyRating(_S3,$B36,Efficacy!$F$1))</f>
        <v>3</v>
      </c>
      <c r="BE36" s="3">
        <f>IF($C$5="ON",CE36,MyRating(_S4,$B36,Efficacy!$F$1))</f>
        <v>4</v>
      </c>
      <c r="BF36" s="3">
        <f>IF($C$5="ON",CF36,MyRating(_S5,$B36,Efficacy!$F$1))</f>
        <v>5</v>
      </c>
      <c r="BG36" s="3">
        <f>IF($C$5="ON",CG36,MyRating(_S6,$B36,Efficacy!$F$1))</f>
        <v>3</v>
      </c>
      <c r="BH36" s="3">
        <f>IF($C$5="ON",CH36,MyRating(_S7,$B36,Efficacy!$F$1))</f>
        <v>3</v>
      </c>
      <c r="BI36" s="3">
        <f>IF($C$5="ON",CI36,MyRating(_D1,$B36,Efficacy!$F$1))</f>
        <v>3</v>
      </c>
      <c r="BJ36" s="3">
        <f>IF($C$5="ON",CJ36,MyRating(_D2,$B36,Efficacy!$F$1))</f>
        <v>3</v>
      </c>
      <c r="BK36" s="3">
        <f>IF($C$5="ON",CK36,MyRating(_D3,$B36,Efficacy!$F$1))</f>
        <v>3</v>
      </c>
      <c r="BL36" s="3">
        <f>IF($C$5="ON",CL36,MyRating(_D4,$B36,Efficacy!$F$1))</f>
        <v>3</v>
      </c>
      <c r="BM36" s="3">
        <f>IF($C$5="ON",CM36,MyRating(_B1,$B36,Barrier!$F$2))</f>
        <v>3</v>
      </c>
      <c r="BN36" s="3">
        <f>IF($C$5="ON",CN36,MyRating(_B2,$B36,Barrier!$F$2))</f>
        <v>3</v>
      </c>
      <c r="BO36" s="6">
        <f>IF($C$5="ON",CO36,MyRating(_B3,$B36,Barrier!$F$2))</f>
        <v>3</v>
      </c>
      <c r="BP36" s="5">
        <f t="shared" si="6"/>
        <v>3.2953661618571599E-2</v>
      </c>
      <c r="BQ36" s="8">
        <f t="shared" si="7"/>
        <v>2.9999999999999996</v>
      </c>
      <c r="BR36" s="5">
        <f t="shared" si="8"/>
        <v>3.2599837000814993E-2</v>
      </c>
      <c r="BS36" s="7">
        <f t="shared" si="9"/>
        <v>1.6438361024188112E-2</v>
      </c>
      <c r="BT36" s="4">
        <v>4</v>
      </c>
      <c r="BU36" s="3">
        <v>3</v>
      </c>
      <c r="BV36" s="3">
        <v>4</v>
      </c>
      <c r="BW36" s="3">
        <v>4</v>
      </c>
      <c r="BX36" s="3">
        <v>3</v>
      </c>
      <c r="BY36" s="3">
        <v>4</v>
      </c>
      <c r="BZ36" s="3">
        <v>3</v>
      </c>
      <c r="CA36" s="3">
        <v>4</v>
      </c>
      <c r="CB36" s="3">
        <v>4</v>
      </c>
      <c r="CC36" s="3">
        <v>3</v>
      </c>
      <c r="CD36" s="3">
        <v>3</v>
      </c>
      <c r="CE36" s="3">
        <v>4</v>
      </c>
      <c r="CF36" s="3">
        <v>5</v>
      </c>
      <c r="CG36" s="3">
        <v>3</v>
      </c>
      <c r="CH36" s="3">
        <v>3</v>
      </c>
      <c r="CI36" s="3">
        <v>3</v>
      </c>
      <c r="CJ36" s="3">
        <v>3</v>
      </c>
      <c r="CK36" s="3">
        <v>3</v>
      </c>
      <c r="CL36" s="3">
        <v>3</v>
      </c>
      <c r="CM36" s="3">
        <v>3</v>
      </c>
      <c r="CN36" s="3">
        <v>3</v>
      </c>
      <c r="CO36" s="6">
        <v>3</v>
      </c>
      <c r="CP36" s="5"/>
      <c r="CQ36" s="4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</row>
    <row r="37" spans="1:116" x14ac:dyDescent="0.35">
      <c r="A37" s="9" t="s">
        <v>5</v>
      </c>
      <c r="B37" s="9" t="s">
        <v>31</v>
      </c>
      <c r="C37" s="20"/>
      <c r="D37" s="9" t="s">
        <v>2</v>
      </c>
      <c r="E37" s="9"/>
      <c r="F37" s="9" t="s">
        <v>58</v>
      </c>
      <c r="G37" s="19">
        <v>0</v>
      </c>
      <c r="H37" s="9">
        <v>2014</v>
      </c>
      <c r="I37" s="9">
        <v>6</v>
      </c>
      <c r="J37" s="18">
        <f>INDEX(PTRS!$D$6:$D$12,MATCH('1'!$F37,PTRS!$B$6:$B$12,0))</f>
        <v>0.13923000000000002</v>
      </c>
      <c r="K37" s="17">
        <v>1</v>
      </c>
      <c r="L37" s="17">
        <v>0</v>
      </c>
      <c r="M37" s="17">
        <v>0.14000000000000001</v>
      </c>
      <c r="N37" s="17">
        <f t="shared" si="11"/>
        <v>0.14000000000000001</v>
      </c>
      <c r="O37" s="17">
        <v>0.14000000000000001</v>
      </c>
      <c r="P37" s="17">
        <v>0.1044225</v>
      </c>
      <c r="Q37" s="17">
        <f t="shared" si="2"/>
        <v>0</v>
      </c>
      <c r="R37" s="17">
        <v>0.1044225</v>
      </c>
      <c r="S37" s="17">
        <v>1</v>
      </c>
      <c r="T37" s="17"/>
      <c r="U37" s="17">
        <f t="shared" si="3"/>
        <v>0.9614162825377699</v>
      </c>
      <c r="V37" s="17">
        <v>1</v>
      </c>
      <c r="W37" s="9" t="s">
        <v>31</v>
      </c>
      <c r="X37" s="9">
        <f>INDEX('Unique Asset List'!$C$4:$I$60,MATCH('1'!$B37,'Unique Asset List'!$A$4:$A$60,0),MATCH('1'!$C$1,'Unique Asset List'!$C$3:$I$3,0))</f>
        <v>2027</v>
      </c>
      <c r="Y37" s="9">
        <f>INDEX('Unique Asset List'!$J$4:$P$60,MATCH('1'!$B37,'Unique Asset List'!$A$4:$A$60,0),MATCH('1'!$C$1,'Unique Asset List'!$J$3:$P$3,0))</f>
        <v>2</v>
      </c>
      <c r="Z37" s="9">
        <f>INDEX('Unique Asset List'!$X$4:$AD$60,MATCH('1'!$B37,'Unique Asset List'!$A$4:$A$60,0),MATCH('1'!$C$1,'Unique Asset List'!$X$3:$AD$3,0))</f>
        <v>2035</v>
      </c>
      <c r="AA37" s="9">
        <f>INDEX('Unique Asset List'!$AE$4:$AK$60,MATCH('1'!$B37,'Unique Asset List'!$A$4:$A$60,0),MATCH('1'!$C$1,'Unique Asset List'!$AE$3:$AK$3,0))</f>
        <v>5</v>
      </c>
      <c r="AB37" s="16">
        <f t="shared" si="10"/>
        <v>1.7243302</v>
      </c>
      <c r="AC37" s="16">
        <f t="shared" si="4"/>
        <v>0.94137550000000003</v>
      </c>
      <c r="AD37" s="16">
        <f t="shared" si="5"/>
        <v>0.56099999999999994</v>
      </c>
      <c r="AE37" s="15">
        <f>INDEX('Unique Asset List'!$BN$4:$BT$60,MATCH('1'!$B37,'Unique Asset List'!$A$4:$A$60,0),MATCH('1'!$C$1,'Unique Asset List'!$BN$3:$BT$3,0))</f>
        <v>0.15</v>
      </c>
      <c r="AF37" s="15">
        <f>INDEX('Unique Asset List'!$BU$4:$CA$60,MATCH('1'!$B37,'Unique Asset List'!$A$4:$A$60,0),MATCH('1'!$C$1,'Unique Asset List'!$BU$3:$CA$3,0))</f>
        <v>0.35</v>
      </c>
      <c r="AG37" s="15">
        <f>INDEX('Unique Asset List'!$AZ$4:$BF$60,MATCH('1'!$B37,'Unique Asset List'!$A$4:$A$60,0),MATCH('1'!$C$1,'Unique Asset List'!$AZ$3:$BF$3,0))</f>
        <v>0.15</v>
      </c>
      <c r="AH37" s="15">
        <f>INDEX('Unique Asset List'!$BG$4:$BM$60,MATCH('1'!$B37,'Unique Asset List'!$A$4:$A$60,0),MATCH('1'!$C$1,'Unique Asset List'!$BG$3:$BM$3,0))</f>
        <v>0.35</v>
      </c>
      <c r="AI37" s="11">
        <v>0.97304949785176587</v>
      </c>
      <c r="AJ37" s="15">
        <f>INDEX('Unique Asset List'!$AL$4:$AR$60,MATCH('1'!$B37,'Unique Asset List'!$A$4:$A$60,0),MATCH('1'!$C$1,'Unique Asset List'!$AL$3:$AR$3,0))</f>
        <v>1.2267192541321688</v>
      </c>
      <c r="AK37" s="15">
        <f>INDEX('Unique Asset List'!$AS$4:$AY$60,MATCH('1'!$B37,'Unique Asset List'!$A$4:$A$60,0),MATCH('1'!$C$1,'Unique Asset List'!$AS$3:$AY$3,0))</f>
        <v>11.984388276878477</v>
      </c>
      <c r="AL37" s="9">
        <v>160</v>
      </c>
      <c r="AM37" s="14">
        <f>INDEX(Simulation!$B$6:$H$6,MATCH($A37,Simulation!$B$1:$H$1,0))*(1+AN37)^((DATE(X37,Y37,15)-DATE(2017,1,15))/365.5)</f>
        <v>21.214817404044098</v>
      </c>
      <c r="AN37" s="12">
        <v>3.5000000000000003E-2</v>
      </c>
      <c r="AO37" s="13">
        <v>60</v>
      </c>
      <c r="AP37" s="11">
        <v>0.6</v>
      </c>
      <c r="AQ37" s="12">
        <v>-0.02</v>
      </c>
      <c r="AR37" s="11">
        <v>0.5</v>
      </c>
      <c r="AS37" s="10">
        <v>1</v>
      </c>
      <c r="AT37" s="4">
        <f>IF($C$5="ON",BT37,MyRating(_E1,$B37,Efficacy!$F$1))</f>
        <v>4</v>
      </c>
      <c r="AU37" s="3">
        <f>IF($C$5="ON",BU37,MyRating(_E2,$B37,Efficacy!$F$1))</f>
        <v>3</v>
      </c>
      <c r="AV37" s="3">
        <f>IF($C$5="ON",BV37,MyRating(_E3,$B37,Efficacy!$F$1))</f>
        <v>4</v>
      </c>
      <c r="AW37" s="3">
        <f>IF($C$5="ON",BW37,MyRating(_E4,$B37,Efficacy!$F$1))</f>
        <v>4</v>
      </c>
      <c r="AX37" s="3">
        <f>IF($C$5="ON",BX37,MyRating(_E5,$B37,Efficacy!$F$1))</f>
        <v>3</v>
      </c>
      <c r="AY37" s="3">
        <f>IF($C$5="ON",BY37,MyRating(_E6,$B37,Efficacy!$F$1))</f>
        <v>4</v>
      </c>
      <c r="AZ37" s="3">
        <f>IF($C$5="ON",BZ37,MyRating(_E7,$B37,Efficacy!$F$1))</f>
        <v>3</v>
      </c>
      <c r="BA37" s="3">
        <f>IF($C$5="ON",CA37,MyRating(_E8,$B37,Efficacy!$F$1))</f>
        <v>3</v>
      </c>
      <c r="BB37" s="3">
        <f>IF($C$5="ON",CB37,MyRating(_S1,$B37,Efficacy!$F$1))</f>
        <v>4</v>
      </c>
      <c r="BC37" s="3">
        <f>IF($C$5="ON",CC37,MyRating(_S2,$B37,Efficacy!$F$1))</f>
        <v>3</v>
      </c>
      <c r="BD37" s="3">
        <f>IF($C$5="ON",CD37,MyRating(_S3,$B37,Efficacy!$F$1))</f>
        <v>3</v>
      </c>
      <c r="BE37" s="3">
        <f>IF($C$5="ON",CE37,MyRating(_S4,$B37,Efficacy!$F$1))</f>
        <v>4</v>
      </c>
      <c r="BF37" s="3">
        <f>IF($C$5="ON",CF37,MyRating(_S5,$B37,Efficacy!$F$1))</f>
        <v>5</v>
      </c>
      <c r="BG37" s="3">
        <f>IF($C$5="ON",CG37,MyRating(_S6,$B37,Efficacy!$F$1))</f>
        <v>3</v>
      </c>
      <c r="BH37" s="3">
        <f>IF($C$5="ON",CH37,MyRating(_S7,$B37,Efficacy!$F$1))</f>
        <v>3</v>
      </c>
      <c r="BI37" s="3">
        <f>IF($C$5="ON",CI37,MyRating(_D1,$B37,Efficacy!$F$1))</f>
        <v>3</v>
      </c>
      <c r="BJ37" s="3">
        <f>IF($C$5="ON",CJ37,MyRating(_D2,$B37,Efficacy!$F$1))</f>
        <v>3</v>
      </c>
      <c r="BK37" s="3">
        <f>IF($C$5="ON",CK37,MyRating(_D3,$B37,Efficacy!$F$1))</f>
        <v>3</v>
      </c>
      <c r="BL37" s="3">
        <f>IF($C$5="ON",CL37,MyRating(_D4,$B37,Efficacy!$F$1))</f>
        <v>3</v>
      </c>
      <c r="BM37" s="3">
        <f>IF($C$5="ON",CM37,MyRating(_B1,$B37,Barrier!$F$2))</f>
        <v>3</v>
      </c>
      <c r="BN37" s="3">
        <f>IF($C$5="ON",CN37,MyRating(_B2,$B37,Barrier!$F$2))</f>
        <v>3</v>
      </c>
      <c r="BO37" s="6">
        <f>IF($C$5="ON",CO37,MyRating(_B3,$B37,Barrier!$F$2))</f>
        <v>3</v>
      </c>
      <c r="BP37" s="5">
        <f t="shared" si="6"/>
        <v>3.2953661618571599E-2</v>
      </c>
      <c r="BQ37" s="8">
        <f t="shared" si="7"/>
        <v>2.9999999999999996</v>
      </c>
      <c r="BR37" s="5">
        <f t="shared" si="8"/>
        <v>3.2599837000814993E-2</v>
      </c>
      <c r="BS37" s="7">
        <f t="shared" si="9"/>
        <v>1.6438361024188112E-2</v>
      </c>
      <c r="BT37" s="4">
        <v>4</v>
      </c>
      <c r="BU37" s="3">
        <v>3</v>
      </c>
      <c r="BV37" s="3">
        <v>4</v>
      </c>
      <c r="BW37" s="3">
        <v>4</v>
      </c>
      <c r="BX37" s="3">
        <v>3</v>
      </c>
      <c r="BY37" s="3">
        <v>4</v>
      </c>
      <c r="BZ37" s="3">
        <v>3</v>
      </c>
      <c r="CA37" s="3">
        <v>3</v>
      </c>
      <c r="CB37" s="3">
        <v>4</v>
      </c>
      <c r="CC37" s="3">
        <v>3</v>
      </c>
      <c r="CD37" s="3">
        <v>3</v>
      </c>
      <c r="CE37" s="3">
        <v>4</v>
      </c>
      <c r="CF37" s="3">
        <v>5</v>
      </c>
      <c r="CG37" s="3">
        <v>3</v>
      </c>
      <c r="CH37" s="3">
        <v>3</v>
      </c>
      <c r="CI37" s="3">
        <v>3</v>
      </c>
      <c r="CJ37" s="3">
        <v>3</v>
      </c>
      <c r="CK37" s="3">
        <v>3</v>
      </c>
      <c r="CL37" s="3">
        <v>3</v>
      </c>
      <c r="CM37" s="3">
        <v>3</v>
      </c>
      <c r="CN37" s="3">
        <v>3</v>
      </c>
      <c r="CO37" s="6">
        <v>3</v>
      </c>
      <c r="CP37" s="5"/>
      <c r="CQ37" s="4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</row>
    <row r="38" spans="1:116" x14ac:dyDescent="0.35">
      <c r="A38" s="9" t="s">
        <v>5</v>
      </c>
      <c r="B38" s="9" t="s">
        <v>28</v>
      </c>
      <c r="C38" s="20"/>
      <c r="D38" s="9" t="s">
        <v>2</v>
      </c>
      <c r="E38" s="9"/>
      <c r="F38" s="9" t="s">
        <v>58</v>
      </c>
      <c r="G38" s="19">
        <v>0</v>
      </c>
      <c r="H38" s="9">
        <v>2014</v>
      </c>
      <c r="I38" s="9">
        <v>6</v>
      </c>
      <c r="J38" s="18">
        <f>INDEX(PTRS!$D$6:$D$12,MATCH('1'!$F38,PTRS!$B$6:$B$12,0))</f>
        <v>0.13923000000000002</v>
      </c>
      <c r="K38" s="17">
        <v>0</v>
      </c>
      <c r="L38" s="17">
        <v>0</v>
      </c>
      <c r="M38" s="17">
        <v>0.1</v>
      </c>
      <c r="N38" s="17">
        <f t="shared" si="11"/>
        <v>0.1</v>
      </c>
      <c r="O38" s="17">
        <v>0.1</v>
      </c>
      <c r="P38" s="17">
        <v>0.1044225</v>
      </c>
      <c r="Q38" s="17">
        <f t="shared" si="2"/>
        <v>0</v>
      </c>
      <c r="R38" s="17">
        <v>0.1044225</v>
      </c>
      <c r="S38" s="17">
        <v>1</v>
      </c>
      <c r="T38" s="17"/>
      <c r="U38" s="17">
        <f t="shared" si="3"/>
        <v>0.9614162825377699</v>
      </c>
      <c r="V38" s="17">
        <v>1</v>
      </c>
      <c r="W38" s="9" t="s">
        <v>27</v>
      </c>
      <c r="X38" s="9">
        <f>INDEX('Unique Asset List'!$C$4:$I$60,MATCH('1'!$B38,'Unique Asset List'!$A$4:$A$60,0),MATCH('1'!$C$1,'Unique Asset List'!$C$3:$I$3,0))</f>
        <v>2030</v>
      </c>
      <c r="Y38" s="9">
        <f>INDEX('Unique Asset List'!$J$4:$P$60,MATCH('1'!$B38,'Unique Asset List'!$A$4:$A$60,0),MATCH('1'!$C$1,'Unique Asset List'!$J$3:$P$3,0))</f>
        <v>12</v>
      </c>
      <c r="Z38" s="9">
        <f>INDEX('Unique Asset List'!$X$4:$AD$60,MATCH('1'!$B38,'Unique Asset List'!$A$4:$A$60,0),MATCH('1'!$C$1,'Unique Asset List'!$X$3:$AD$3,0))</f>
        <v>2040</v>
      </c>
      <c r="AA38" s="9">
        <f>INDEX('Unique Asset List'!$AE$4:$AK$60,MATCH('1'!$B38,'Unique Asset List'!$A$4:$A$60,0),MATCH('1'!$C$1,'Unique Asset List'!$AE$3:$AK$3,0))</f>
        <v>9</v>
      </c>
      <c r="AB38" s="16">
        <f t="shared" si="10"/>
        <v>1.7451242</v>
      </c>
      <c r="AC38" s="16">
        <f t="shared" si="4"/>
        <v>0.81843569999999999</v>
      </c>
      <c r="AD38" s="16">
        <f t="shared" si="5"/>
        <v>0.56099999999999994</v>
      </c>
      <c r="AE38" s="15">
        <f>INDEX('Unique Asset List'!$BN$4:$BT$60,MATCH('1'!$B38,'Unique Asset List'!$A$4:$A$60,0),MATCH('1'!$C$1,'Unique Asset List'!$BN$3:$BT$3,0))</f>
        <v>0.15</v>
      </c>
      <c r="AF38" s="15">
        <f>INDEX('Unique Asset List'!$BU$4:$CA$60,MATCH('1'!$B38,'Unique Asset List'!$A$4:$A$60,0),MATCH('1'!$C$1,'Unique Asset List'!$BU$3:$CA$3,0))</f>
        <v>0.35</v>
      </c>
      <c r="AG38" s="15">
        <f>INDEX('Unique Asset List'!$AZ$4:$BF$60,MATCH('1'!$B38,'Unique Asset List'!$A$4:$A$60,0),MATCH('1'!$C$1,'Unique Asset List'!$AZ$3:$BF$3,0))</f>
        <v>0.15</v>
      </c>
      <c r="AH38" s="15">
        <f>INDEX('Unique Asset List'!$BG$4:$BM$60,MATCH('1'!$B38,'Unique Asset List'!$A$4:$A$60,0),MATCH('1'!$C$1,'Unique Asset List'!$BG$3:$BM$3,0))</f>
        <v>0.35</v>
      </c>
      <c r="AI38" s="11">
        <v>0.97304949785176587</v>
      </c>
      <c r="AJ38" s="15">
        <f>INDEX('Unique Asset List'!$AL$4:$AR$60,MATCH('1'!$B38,'Unique Asset List'!$A$4:$A$60,0),MATCH('1'!$C$1,'Unique Asset List'!$AL$3:$AR$3,0))</f>
        <v>1.2267192541321688</v>
      </c>
      <c r="AK38" s="15">
        <f>INDEX('Unique Asset List'!$AS$4:$AY$60,MATCH('1'!$B38,'Unique Asset List'!$A$4:$A$60,0),MATCH('1'!$C$1,'Unique Asset List'!$AS$3:$AY$3,0))</f>
        <v>11.984388276878477</v>
      </c>
      <c r="AL38" s="9">
        <v>160</v>
      </c>
      <c r="AM38" s="14">
        <f>INDEX(Simulation!$B$6:$H$6,MATCH($A38,Simulation!$B$1:$H$1,0))*(1+AN38)^((DATE(X38,Y38,15)-DATE(2017,1,15))/365.5)</f>
        <v>24.200563569236156</v>
      </c>
      <c r="AN38" s="12">
        <v>3.5000000000000003E-2</v>
      </c>
      <c r="AO38" s="13">
        <v>60</v>
      </c>
      <c r="AP38" s="11">
        <v>0.6</v>
      </c>
      <c r="AQ38" s="12">
        <v>-0.02</v>
      </c>
      <c r="AR38" s="11">
        <v>0.5</v>
      </c>
      <c r="AS38" s="10">
        <v>1</v>
      </c>
      <c r="AT38" s="4">
        <f>IF($C$5="ON",BT38,MyRating(_E1,$B38,Efficacy!$F$1))</f>
        <v>4</v>
      </c>
      <c r="AU38" s="3">
        <f>IF($C$5="ON",BU38,MyRating(_E2,$B38,Efficacy!$F$1))</f>
        <v>4</v>
      </c>
      <c r="AV38" s="3">
        <f>IF($C$5="ON",BV38,MyRating(_E3,$B38,Efficacy!$F$1))</f>
        <v>4</v>
      </c>
      <c r="AW38" s="3">
        <f>IF($C$5="ON",BW38,MyRating(_E4,$B38,Efficacy!$F$1))</f>
        <v>4</v>
      </c>
      <c r="AX38" s="3">
        <f>IF($C$5="ON",BX38,MyRating(_E5,$B38,Efficacy!$F$1))</f>
        <v>3</v>
      </c>
      <c r="AY38" s="3">
        <f>IF($C$5="ON",BY38,MyRating(_E6,$B38,Efficacy!$F$1))</f>
        <v>3</v>
      </c>
      <c r="AZ38" s="3">
        <f>IF($C$5="ON",BZ38,MyRating(_E7,$B38,Efficacy!$F$1))</f>
        <v>3</v>
      </c>
      <c r="BA38" s="3">
        <f>IF($C$5="ON",CA38,MyRating(_E8,$B38,Efficacy!$F$1))</f>
        <v>3</v>
      </c>
      <c r="BB38" s="3">
        <f>IF($C$5="ON",CB38,MyRating(_S1,$B38,Efficacy!$F$1))</f>
        <v>2</v>
      </c>
      <c r="BC38" s="3">
        <f>IF($C$5="ON",CC38,MyRating(_S2,$B38,Efficacy!$F$1))</f>
        <v>3</v>
      </c>
      <c r="BD38" s="3">
        <f>IF($C$5="ON",CD38,MyRating(_S3,$B38,Efficacy!$F$1))</f>
        <v>3</v>
      </c>
      <c r="BE38" s="3">
        <f>IF($C$5="ON",CE38,MyRating(_S4,$B38,Efficacy!$F$1))</f>
        <v>4</v>
      </c>
      <c r="BF38" s="3">
        <f>IF($C$5="ON",CF38,MyRating(_S5,$B38,Efficacy!$F$1))</f>
        <v>5</v>
      </c>
      <c r="BG38" s="3">
        <f>IF($C$5="ON",CG38,MyRating(_S6,$B38,Efficacy!$F$1))</f>
        <v>3</v>
      </c>
      <c r="BH38" s="3">
        <f>IF($C$5="ON",CH38,MyRating(_S7,$B38,Efficacy!$F$1))</f>
        <v>3</v>
      </c>
      <c r="BI38" s="3">
        <f>IF($C$5="ON",CI38,MyRating(_D1,$B38,Efficacy!$F$1))</f>
        <v>3</v>
      </c>
      <c r="BJ38" s="3">
        <f>IF($C$5="ON",CJ38,MyRating(_D2,$B38,Efficacy!$F$1))</f>
        <v>3</v>
      </c>
      <c r="BK38" s="3">
        <f>IF($C$5="ON",CK38,MyRating(_D3,$B38,Efficacy!$F$1))</f>
        <v>3</v>
      </c>
      <c r="BL38" s="3">
        <f>IF($C$5="ON",CL38,MyRating(_D4,$B38,Efficacy!$F$1))</f>
        <v>3</v>
      </c>
      <c r="BM38" s="3">
        <f>IF($C$5="ON",CM38,MyRating(_B1,$B38,Barrier!$F$2))</f>
        <v>3</v>
      </c>
      <c r="BN38" s="3">
        <f>IF($C$5="ON",CN38,MyRating(_B2,$B38,Barrier!$F$2))</f>
        <v>3</v>
      </c>
      <c r="BO38" s="6">
        <f>IF($C$5="ON",CO38,MyRating(_B3,$B38,Barrier!$F$2))</f>
        <v>3</v>
      </c>
      <c r="BP38" s="5">
        <f t="shared" si="6"/>
        <v>3.2953661618571599E-2</v>
      </c>
      <c r="BQ38" s="8">
        <f t="shared" si="7"/>
        <v>2.9999999999999996</v>
      </c>
      <c r="BR38" s="5">
        <f t="shared" si="8"/>
        <v>3.2599837000814993E-2</v>
      </c>
      <c r="BS38" s="7">
        <f t="shared" si="9"/>
        <v>1.6438361024188112E-2</v>
      </c>
      <c r="BT38" s="4">
        <v>4</v>
      </c>
      <c r="BU38" s="3">
        <v>4</v>
      </c>
      <c r="BV38" s="3">
        <v>4</v>
      </c>
      <c r="BW38" s="3">
        <v>4</v>
      </c>
      <c r="BX38" s="3">
        <v>3</v>
      </c>
      <c r="BY38" s="3">
        <v>3</v>
      </c>
      <c r="BZ38" s="3">
        <v>3</v>
      </c>
      <c r="CA38" s="3">
        <v>3</v>
      </c>
      <c r="CB38" s="3">
        <v>2</v>
      </c>
      <c r="CC38" s="3">
        <v>3</v>
      </c>
      <c r="CD38" s="3">
        <v>3</v>
      </c>
      <c r="CE38" s="3">
        <v>4</v>
      </c>
      <c r="CF38" s="3">
        <v>5</v>
      </c>
      <c r="CG38" s="3">
        <v>3</v>
      </c>
      <c r="CH38" s="3">
        <v>3</v>
      </c>
      <c r="CI38" s="3">
        <v>3</v>
      </c>
      <c r="CJ38" s="3">
        <v>3</v>
      </c>
      <c r="CK38" s="3">
        <v>3</v>
      </c>
      <c r="CL38" s="3">
        <v>3</v>
      </c>
      <c r="CM38" s="3">
        <v>3</v>
      </c>
      <c r="CN38" s="3">
        <v>3</v>
      </c>
      <c r="CO38" s="6">
        <v>3</v>
      </c>
      <c r="CP38" s="5"/>
      <c r="CQ38" s="4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</row>
    <row r="39" spans="1:116" x14ac:dyDescent="0.35">
      <c r="A39" s="9" t="s">
        <v>5</v>
      </c>
      <c r="B39" s="9" t="s">
        <v>61</v>
      </c>
      <c r="C39" s="20"/>
      <c r="D39" s="9" t="s">
        <v>60</v>
      </c>
      <c r="E39" s="9" t="s">
        <v>59</v>
      </c>
      <c r="F39" s="9" t="s">
        <v>58</v>
      </c>
      <c r="G39" s="19">
        <v>0</v>
      </c>
      <c r="H39" s="9">
        <v>2014</v>
      </c>
      <c r="I39" s="9">
        <v>6</v>
      </c>
      <c r="J39" s="18">
        <f>INDEX(PTRS!$D$6:$D$12,MATCH('1'!$F39,PTRS!$B$6:$B$12,0))</f>
        <v>0.13923000000000002</v>
      </c>
      <c r="K39" s="17">
        <v>0</v>
      </c>
      <c r="L39" s="17">
        <v>0</v>
      </c>
      <c r="M39" s="17">
        <f>J39</f>
        <v>0.13923000000000002</v>
      </c>
      <c r="N39" s="17">
        <f t="shared" si="11"/>
        <v>0.13923000000000002</v>
      </c>
      <c r="O39" s="17">
        <v>0.13923000000000002</v>
      </c>
      <c r="P39" s="17">
        <v>0.13923000000000002</v>
      </c>
      <c r="Q39" s="17">
        <f t="shared" si="2"/>
        <v>0</v>
      </c>
      <c r="R39" s="17">
        <v>0.1044225</v>
      </c>
      <c r="S39" s="17">
        <v>1</v>
      </c>
      <c r="T39" s="17"/>
      <c r="U39" s="17">
        <f t="shared" si="3"/>
        <v>0.9614162825377699</v>
      </c>
      <c r="V39" s="17">
        <v>1</v>
      </c>
      <c r="W39" s="9" t="s">
        <v>57</v>
      </c>
      <c r="X39" s="9">
        <f>INDEX('Unique Asset List'!$C$4:$I$60,MATCH('1'!$B39,'Unique Asset List'!$A$4:$A$60,0),MATCH('1'!$C$1,'Unique Asset List'!$C$3:$I$3,0))</f>
        <v>2027</v>
      </c>
      <c r="Y39" s="9">
        <f>INDEX('Unique Asset List'!$J$4:$P$60,MATCH('1'!$B39,'Unique Asset List'!$A$4:$A$60,0),MATCH('1'!$C$1,'Unique Asset List'!$J$3:$P$3,0))</f>
        <v>6</v>
      </c>
      <c r="Z39" s="9">
        <f>INDEX('Unique Asset List'!$X$4:$AD$60,MATCH('1'!$B39,'Unique Asset List'!$A$4:$A$60,0),MATCH('1'!$C$1,'Unique Asset List'!$X$3:$AD$3,0))</f>
        <v>2036</v>
      </c>
      <c r="AA39" s="9">
        <f>INDEX('Unique Asset List'!$AE$4:$AK$60,MATCH('1'!$B39,'Unique Asset List'!$A$4:$A$60,0),MATCH('1'!$C$1,'Unique Asset List'!$AE$3:$AK$3,0))</f>
        <v>9</v>
      </c>
      <c r="AB39" s="16">
        <f t="shared" si="10"/>
        <v>1.9514479000000002</v>
      </c>
      <c r="AC39" s="16">
        <f t="shared" si="4"/>
        <v>0.87990560000000007</v>
      </c>
      <c r="AD39" s="16">
        <f t="shared" si="5"/>
        <v>0.56099999999999994</v>
      </c>
      <c r="AE39" s="15">
        <f>INDEX('Unique Asset List'!$BN$4:$BT$60,MATCH('1'!$B39,'Unique Asset List'!$A$4:$A$60,0),MATCH('1'!$C$1,'Unique Asset List'!$BN$3:$BT$3,0))</f>
        <v>0.22</v>
      </c>
      <c r="AF39" s="15">
        <f>INDEX('Unique Asset List'!$BU$4:$CA$60,MATCH('1'!$B39,'Unique Asset List'!$A$4:$A$60,0),MATCH('1'!$C$1,'Unique Asset List'!$BU$3:$CA$3,0))</f>
        <v>0.28000000000000003</v>
      </c>
      <c r="AG39" s="15">
        <f>INDEX('Unique Asset List'!$AZ$4:$BF$60,MATCH('1'!$B39,'Unique Asset List'!$A$4:$A$60,0),MATCH('1'!$C$1,'Unique Asset List'!$AZ$3:$BF$3,0))</f>
        <v>0.22</v>
      </c>
      <c r="AH39" s="15">
        <f>INDEX('Unique Asset List'!$BG$4:$BM$60,MATCH('1'!$B39,'Unique Asset List'!$A$4:$A$60,0),MATCH('1'!$C$1,'Unique Asset List'!$BG$3:$BM$3,0))</f>
        <v>0.28000000000000003</v>
      </c>
      <c r="AI39" s="11">
        <v>0.97304949785176587</v>
      </c>
      <c r="AJ39" s="15">
        <f>INDEX('Unique Asset List'!$AL$4:$AR$60,MATCH('1'!$B39,'Unique Asset List'!$A$4:$A$60,0),MATCH('1'!$C$1,'Unique Asset List'!$AL$3:$AR$3,0))</f>
        <v>1.2267192541321688</v>
      </c>
      <c r="AK39" s="15">
        <f>INDEX('Unique Asset List'!$AS$4:$AY$60,MATCH('1'!$B39,'Unique Asset List'!$A$4:$A$60,0),MATCH('1'!$C$1,'Unique Asset List'!$AS$3:$AY$3,0))</f>
        <v>11.984388276878477</v>
      </c>
      <c r="AL39" s="9">
        <v>160</v>
      </c>
      <c r="AM39" s="14">
        <f>INDEX(Simulation!$B$6:$H$6,MATCH($A39,Simulation!$B$1:$H$1,0))*(1+AN39)^((DATE(X39,Y39,15)-DATE(2017,1,15))/365.5)</f>
        <v>21.455788256374355</v>
      </c>
      <c r="AN39" s="12">
        <v>3.5000000000000003E-2</v>
      </c>
      <c r="AO39" s="13">
        <v>60</v>
      </c>
      <c r="AP39" s="11">
        <v>0.6</v>
      </c>
      <c r="AQ39" s="12">
        <v>-0.02</v>
      </c>
      <c r="AR39" s="11">
        <v>0.5</v>
      </c>
      <c r="AS39" s="10">
        <v>1</v>
      </c>
      <c r="AT39" s="4">
        <f>IF($C$5="ON",BT39,MyRating(_E1,$B39,Efficacy!$F$1))</f>
        <v>4</v>
      </c>
      <c r="AU39" s="3">
        <f>IF($C$5="ON",BU39,MyRating(_E2,$B39,Efficacy!$F$1))</f>
        <v>5</v>
      </c>
      <c r="AV39" s="3">
        <f>IF($C$5="ON",BV39,MyRating(_E3,$B39,Efficacy!$F$1))</f>
        <v>5</v>
      </c>
      <c r="AW39" s="3">
        <f>IF($C$5="ON",BW39,MyRating(_E4,$B39,Efficacy!$F$1))</f>
        <v>4</v>
      </c>
      <c r="AX39" s="3">
        <f>IF($C$5="ON",BX39,MyRating(_E5,$B39,Efficacy!$F$1))</f>
        <v>4</v>
      </c>
      <c r="AY39" s="3">
        <f>IF($C$5="ON",BY39,MyRating(_E6,$B39,Efficacy!$F$1))</f>
        <v>3</v>
      </c>
      <c r="AZ39" s="3">
        <f>IF($C$5="ON",BZ39,MyRating(_E7,$B39,Efficacy!$F$1))</f>
        <v>3</v>
      </c>
      <c r="BA39" s="3">
        <f>IF($C$5="ON",CA39,MyRating(_E8,$B39,Efficacy!$F$1))</f>
        <v>4</v>
      </c>
      <c r="BB39" s="3">
        <f>IF($C$5="ON",CB39,MyRating(_S1,$B39,Efficacy!$F$1))</f>
        <v>3</v>
      </c>
      <c r="BC39" s="3">
        <f>IF($C$5="ON",CC39,MyRating(_S2,$B39,Efficacy!$F$1))</f>
        <v>3</v>
      </c>
      <c r="BD39" s="3">
        <f>IF($C$5="ON",CD39,MyRating(_S3,$B39,Efficacy!$F$1))</f>
        <v>3</v>
      </c>
      <c r="BE39" s="3">
        <f>IF($C$5="ON",CE39,MyRating(_S4,$B39,Efficacy!$F$1))</f>
        <v>4</v>
      </c>
      <c r="BF39" s="3">
        <f>IF($C$5="ON",CF39,MyRating(_S5,$B39,Efficacy!$F$1))</f>
        <v>5</v>
      </c>
      <c r="BG39" s="3">
        <f>IF($C$5="ON",CG39,MyRating(_S6,$B39,Efficacy!$F$1))</f>
        <v>3</v>
      </c>
      <c r="BH39" s="3">
        <f>IF($C$5="ON",CH39,MyRating(_S7,$B39,Efficacy!$F$1))</f>
        <v>3</v>
      </c>
      <c r="BI39" s="3">
        <f>IF($C$5="ON",CI39,MyRating(_D1,$B39,Efficacy!$F$1))</f>
        <v>3</v>
      </c>
      <c r="BJ39" s="3">
        <f>IF($C$5="ON",CJ39,MyRating(_D2,$B39,Efficacy!$F$1))</f>
        <v>3</v>
      </c>
      <c r="BK39" s="3">
        <f>IF($C$5="ON",CK39,MyRating(_D3,$B39,Efficacy!$F$1))</f>
        <v>3</v>
      </c>
      <c r="BL39" s="3">
        <f>IF($C$5="ON",CL39,MyRating(_D4,$B39,Efficacy!$F$1))</f>
        <v>3</v>
      </c>
      <c r="BM39" s="3">
        <f>IF($C$5="ON",CM39,MyRating(_B1,$B39,Barrier!$F$2))</f>
        <v>3</v>
      </c>
      <c r="BN39" s="3">
        <f>IF($C$5="ON",CN39,MyRating(_B2,$B39,Barrier!$F$2))</f>
        <v>3</v>
      </c>
      <c r="BO39" s="6">
        <f>IF($C$5="ON",CO39,MyRating(_B3,$B39,Barrier!$F$2))</f>
        <v>3</v>
      </c>
      <c r="BP39" s="5">
        <f t="shared" si="6"/>
        <v>3.2953661618571599E-2</v>
      </c>
      <c r="BQ39" s="8">
        <f t="shared" si="7"/>
        <v>2.9999999999999996</v>
      </c>
      <c r="BR39" s="5">
        <f t="shared" si="8"/>
        <v>3.2599837000814993E-2</v>
      </c>
      <c r="BS39" s="7">
        <f t="shared" si="9"/>
        <v>1.6438361024188112E-2</v>
      </c>
      <c r="BT39" s="4">
        <v>4</v>
      </c>
      <c r="BU39" s="3">
        <v>5</v>
      </c>
      <c r="BV39" s="3">
        <v>5</v>
      </c>
      <c r="BW39" s="3">
        <v>4</v>
      </c>
      <c r="BX39" s="3">
        <v>4</v>
      </c>
      <c r="BY39" s="3">
        <v>3</v>
      </c>
      <c r="BZ39" s="3">
        <v>3</v>
      </c>
      <c r="CA39" s="3">
        <v>4</v>
      </c>
      <c r="CB39" s="3">
        <v>3</v>
      </c>
      <c r="CC39" s="3">
        <v>3</v>
      </c>
      <c r="CD39" s="3">
        <v>3</v>
      </c>
      <c r="CE39" s="3">
        <v>4</v>
      </c>
      <c r="CF39" s="3">
        <v>5</v>
      </c>
      <c r="CG39" s="3">
        <v>3</v>
      </c>
      <c r="CH39" s="3">
        <v>3</v>
      </c>
      <c r="CI39" s="3">
        <v>3</v>
      </c>
      <c r="CJ39" s="3">
        <v>3</v>
      </c>
      <c r="CK39" s="3">
        <v>3</v>
      </c>
      <c r="CL39" s="3">
        <v>3</v>
      </c>
      <c r="CM39" s="3">
        <v>3</v>
      </c>
      <c r="CN39" s="3">
        <v>3</v>
      </c>
      <c r="CO39" s="6">
        <v>3</v>
      </c>
      <c r="CP39" s="5"/>
      <c r="CQ39" s="4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</row>
    <row r="40" spans="1:116" x14ac:dyDescent="0.35">
      <c r="A40" s="9" t="s">
        <v>5</v>
      </c>
      <c r="B40" s="9" t="s">
        <v>56</v>
      </c>
      <c r="C40" s="20"/>
      <c r="D40" s="9" t="s">
        <v>55</v>
      </c>
      <c r="E40" s="9"/>
      <c r="F40" s="9" t="s">
        <v>51</v>
      </c>
      <c r="G40" s="19">
        <v>0</v>
      </c>
      <c r="H40" s="9">
        <v>2014</v>
      </c>
      <c r="I40" s="9">
        <v>6</v>
      </c>
      <c r="J40" s="18">
        <f>INDEX(PTRS!$D$6:$D$12,MATCH('1'!$F40,PTRS!$B$6:$B$12,0))</f>
        <v>0.1638</v>
      </c>
      <c r="K40" s="17">
        <v>0</v>
      </c>
      <c r="L40" s="17">
        <v>0</v>
      </c>
      <c r="M40" s="18">
        <f>J40/3</f>
        <v>5.4600000000000003E-2</v>
      </c>
      <c r="N40" s="17">
        <f t="shared" si="11"/>
        <v>0.1638</v>
      </c>
      <c r="O40" s="17">
        <v>0.1638</v>
      </c>
      <c r="P40" s="17">
        <v>0.1638</v>
      </c>
      <c r="Q40" s="17">
        <f t="shared" si="2"/>
        <v>0</v>
      </c>
      <c r="R40" s="17">
        <v>0.1044225</v>
      </c>
      <c r="S40" s="17">
        <v>1</v>
      </c>
      <c r="T40" s="17"/>
      <c r="U40" s="17">
        <f t="shared" si="3"/>
        <v>0.9614162825377699</v>
      </c>
      <c r="V40" s="17">
        <v>1</v>
      </c>
      <c r="W40" s="9" t="s">
        <v>54</v>
      </c>
      <c r="X40" s="9">
        <f>INDEX('Unique Asset List'!$C$4:$I$60,MATCH('1'!$B40,'Unique Asset List'!$A$4:$A$60,0),MATCH('1'!$C$1,'Unique Asset List'!$C$3:$I$3,0))</f>
        <v>2022</v>
      </c>
      <c r="Y40" s="9">
        <f>INDEX('Unique Asset List'!$J$4:$P$60,MATCH('1'!$B40,'Unique Asset List'!$A$4:$A$60,0),MATCH('1'!$C$1,'Unique Asset List'!$J$3:$P$3,0))</f>
        <v>6</v>
      </c>
      <c r="Z40" s="9">
        <f>INDEX('Unique Asset List'!$X$4:$AD$60,MATCH('1'!$B40,'Unique Asset List'!$A$4:$A$60,0),MATCH('1'!$C$1,'Unique Asset List'!$X$3:$AD$3,0))</f>
        <v>2036</v>
      </c>
      <c r="AA40" s="9">
        <f>INDEX('Unique Asset List'!$AE$4:$AK$60,MATCH('1'!$B40,'Unique Asset List'!$A$4:$A$60,0),MATCH('1'!$C$1,'Unique Asset List'!$AE$3:$AK$3,0))</f>
        <v>9</v>
      </c>
      <c r="AB40" s="16">
        <f t="shared" si="10"/>
        <v>1.3531853999999999</v>
      </c>
      <c r="AC40" s="16">
        <f t="shared" si="4"/>
        <v>0.78788900000000006</v>
      </c>
      <c r="AD40" s="16">
        <f t="shared" si="5"/>
        <v>0.56099999999999994</v>
      </c>
      <c r="AE40" s="15">
        <f>INDEX('Unique Asset List'!$BN$4:$BT$60,MATCH('1'!$B40,'Unique Asset List'!$A$4:$A$60,0),MATCH('1'!$C$1,'Unique Asset List'!$BN$3:$BT$3,0))</f>
        <v>0.15</v>
      </c>
      <c r="AF40" s="15">
        <f>INDEX('Unique Asset List'!$BU$4:$CA$60,MATCH('1'!$B40,'Unique Asset List'!$A$4:$A$60,0),MATCH('1'!$C$1,'Unique Asset List'!$BU$3:$CA$3,0))</f>
        <v>0.35</v>
      </c>
      <c r="AG40" s="15">
        <f>INDEX('Unique Asset List'!$AZ$4:$BF$60,MATCH('1'!$B40,'Unique Asset List'!$A$4:$A$60,0),MATCH('1'!$C$1,'Unique Asset List'!$AZ$3:$BF$3,0))</f>
        <v>0.15</v>
      </c>
      <c r="AH40" s="15">
        <f>INDEX('Unique Asset List'!$BG$4:$BM$60,MATCH('1'!$B40,'Unique Asset List'!$A$4:$A$60,0),MATCH('1'!$C$1,'Unique Asset List'!$BG$3:$BM$3,0))</f>
        <v>0.35</v>
      </c>
      <c r="AI40" s="11">
        <v>0.97304949785176587</v>
      </c>
      <c r="AJ40" s="15">
        <f>INDEX('Unique Asset List'!$AL$4:$AR$60,MATCH('1'!$B40,'Unique Asset List'!$A$4:$A$60,0),MATCH('1'!$C$1,'Unique Asset List'!$AL$3:$AR$3,0))</f>
        <v>1.2267192541321688</v>
      </c>
      <c r="AK40" s="15">
        <f>INDEX('Unique Asset List'!$AS$4:$AY$60,MATCH('1'!$B40,'Unique Asset List'!$A$4:$A$60,0),MATCH('1'!$C$1,'Unique Asset List'!$AS$3:$AY$3,0))</f>
        <v>11.984388276878477</v>
      </c>
      <c r="AL40" s="9">
        <v>160</v>
      </c>
      <c r="AM40" s="14">
        <f>INDEX(Simulation!$B$6:$H$6,MATCH($A40,Simulation!$B$1:$H$1,0))*(1+AN40)^((DATE(X40,Y40,15)-DATE(2017,1,15))/365.5)</f>
        <v>18.067748652383202</v>
      </c>
      <c r="AN40" s="12">
        <v>3.5000000000000003E-2</v>
      </c>
      <c r="AO40" s="13">
        <v>60</v>
      </c>
      <c r="AP40" s="11">
        <v>0.6</v>
      </c>
      <c r="AQ40" s="12">
        <v>-0.02</v>
      </c>
      <c r="AR40" s="11">
        <v>0.5</v>
      </c>
      <c r="AS40" s="10">
        <v>1</v>
      </c>
      <c r="AT40" s="4">
        <f>IF($C$5="ON",BT40,MyRating(_E1,$B40,Efficacy!$F$1))</f>
        <v>2</v>
      </c>
      <c r="AU40" s="3">
        <f>IF($C$5="ON",BU40,MyRating(_E2,$B40,Efficacy!$F$1))</f>
        <v>3</v>
      </c>
      <c r="AV40" s="3">
        <f>IF($C$5="ON",BV40,MyRating(_E3,$B40,Efficacy!$F$1))</f>
        <v>3</v>
      </c>
      <c r="AW40" s="3">
        <f>IF($C$5="ON",BW40,MyRating(_E4,$B40,Efficacy!$F$1))</f>
        <v>3</v>
      </c>
      <c r="AX40" s="3">
        <f>IF($C$5="ON",BX40,MyRating(_E5,$B40,Efficacy!$F$1))</f>
        <v>3</v>
      </c>
      <c r="AY40" s="3">
        <f>IF($C$5="ON",BY40,MyRating(_E6,$B40,Efficacy!$F$1))</f>
        <v>3</v>
      </c>
      <c r="AZ40" s="3">
        <f>IF($C$5="ON",BZ40,MyRating(_E7,$B40,Efficacy!$F$1))</f>
        <v>3</v>
      </c>
      <c r="BA40" s="3">
        <f>IF($C$5="ON",CA40,MyRating(_E8,$B40,Efficacy!$F$1))</f>
        <v>3</v>
      </c>
      <c r="BB40" s="3">
        <f>IF($C$5="ON",CB40,MyRating(_S1,$B40,Efficacy!$F$1))</f>
        <v>3</v>
      </c>
      <c r="BC40" s="3">
        <f>IF($C$5="ON",CC40,MyRating(_S2,$B40,Efficacy!$F$1))</f>
        <v>3</v>
      </c>
      <c r="BD40" s="3">
        <f>IF($C$5="ON",CD40,MyRating(_S3,$B40,Efficacy!$F$1))</f>
        <v>3</v>
      </c>
      <c r="BE40" s="3">
        <f>IF($C$5="ON",CE40,MyRating(_S4,$B40,Efficacy!$F$1))</f>
        <v>4</v>
      </c>
      <c r="BF40" s="3">
        <f>IF($C$5="ON",CF40,MyRating(_S5,$B40,Efficacy!$F$1))</f>
        <v>3</v>
      </c>
      <c r="BG40" s="3">
        <f>IF($C$5="ON",CG40,MyRating(_S6,$B40,Efficacy!$F$1))</f>
        <v>3</v>
      </c>
      <c r="BH40" s="3">
        <f>IF($C$5="ON",CH40,MyRating(_S7,$B40,Efficacy!$F$1))</f>
        <v>3</v>
      </c>
      <c r="BI40" s="3">
        <f>IF($C$5="ON",CI40,MyRating(_D1,$B40,Efficacy!$F$1))</f>
        <v>3</v>
      </c>
      <c r="BJ40" s="3">
        <f>IF($C$5="ON",CJ40,MyRating(_D2,$B40,Efficacy!$F$1))</f>
        <v>3</v>
      </c>
      <c r="BK40" s="3">
        <f>IF($C$5="ON",CK40,MyRating(_D3,$B40,Efficacy!$F$1))</f>
        <v>3</v>
      </c>
      <c r="BL40" s="3">
        <f>IF($C$5="ON",CL40,MyRating(_D4,$B40,Efficacy!$F$1))</f>
        <v>3</v>
      </c>
      <c r="BM40" s="3">
        <f>IF($C$5="ON",CM40,MyRating(_B1,$B40,Barrier!$F$2))</f>
        <v>3</v>
      </c>
      <c r="BN40" s="3">
        <f>IF($C$5="ON",CN40,MyRating(_B2,$B40,Barrier!$F$2))</f>
        <v>3</v>
      </c>
      <c r="BO40" s="6">
        <f>IF($C$5="ON",CO40,MyRating(_B3,$B40,Barrier!$F$2))</f>
        <v>3</v>
      </c>
      <c r="BP40" s="5">
        <f t="shared" si="6"/>
        <v>3.2953661618571599E-2</v>
      </c>
      <c r="BQ40" s="8">
        <f t="shared" si="7"/>
        <v>2.9999999999999996</v>
      </c>
      <c r="BR40" s="5">
        <f t="shared" si="8"/>
        <v>3.2599837000814993E-2</v>
      </c>
      <c r="BS40" s="7">
        <f t="shared" si="9"/>
        <v>1.6438361024188112E-2</v>
      </c>
      <c r="BT40" s="4">
        <v>2</v>
      </c>
      <c r="BU40" s="3">
        <v>3</v>
      </c>
      <c r="BV40" s="3">
        <v>3</v>
      </c>
      <c r="BW40" s="3">
        <v>3</v>
      </c>
      <c r="BX40" s="3">
        <v>3</v>
      </c>
      <c r="BY40" s="3">
        <v>3</v>
      </c>
      <c r="BZ40" s="3">
        <v>3</v>
      </c>
      <c r="CA40" s="3">
        <v>3</v>
      </c>
      <c r="CB40" s="3">
        <v>3</v>
      </c>
      <c r="CC40" s="3">
        <v>3</v>
      </c>
      <c r="CD40" s="3">
        <v>3</v>
      </c>
      <c r="CE40" s="3">
        <v>4</v>
      </c>
      <c r="CF40" s="3">
        <v>3</v>
      </c>
      <c r="CG40" s="3">
        <v>3</v>
      </c>
      <c r="CH40" s="3">
        <v>3</v>
      </c>
      <c r="CI40" s="3">
        <v>3</v>
      </c>
      <c r="CJ40" s="3">
        <v>3</v>
      </c>
      <c r="CK40" s="3">
        <v>3</v>
      </c>
      <c r="CL40" s="3">
        <v>3</v>
      </c>
      <c r="CM40" s="3">
        <v>3</v>
      </c>
      <c r="CN40" s="3">
        <v>3</v>
      </c>
      <c r="CO40" s="6">
        <v>3</v>
      </c>
      <c r="CP40" s="5"/>
      <c r="CQ40" s="4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</row>
    <row r="41" spans="1:116" x14ac:dyDescent="0.35">
      <c r="A41" s="9" t="s">
        <v>5</v>
      </c>
      <c r="B41" s="9" t="s">
        <v>53</v>
      </c>
      <c r="C41" s="20"/>
      <c r="D41" s="9" t="s">
        <v>52</v>
      </c>
      <c r="E41" s="9"/>
      <c r="F41" s="9" t="s">
        <v>51</v>
      </c>
      <c r="G41" s="19">
        <v>0</v>
      </c>
      <c r="H41" s="9">
        <v>2014</v>
      </c>
      <c r="I41" s="9">
        <v>6</v>
      </c>
      <c r="J41" s="18">
        <f>INDEX(PTRS!$D$6:$D$12,MATCH('1'!$F41,PTRS!$B$6:$B$12,0))</f>
        <v>0.1638</v>
      </c>
      <c r="K41" s="17">
        <v>0</v>
      </c>
      <c r="L41" s="17">
        <v>0</v>
      </c>
      <c r="M41" s="17">
        <f>J41</f>
        <v>0.1638</v>
      </c>
      <c r="N41" s="17">
        <f t="shared" si="11"/>
        <v>0.1638</v>
      </c>
      <c r="O41" s="17">
        <v>0.1638</v>
      </c>
      <c r="P41" s="17">
        <v>0.1638</v>
      </c>
      <c r="Q41" s="17">
        <f t="shared" si="2"/>
        <v>0</v>
      </c>
      <c r="R41" s="17">
        <v>0.1044225</v>
      </c>
      <c r="S41" s="17">
        <v>1</v>
      </c>
      <c r="T41" s="17"/>
      <c r="U41" s="17">
        <f t="shared" si="3"/>
        <v>0.9614162825377699</v>
      </c>
      <c r="V41" s="17">
        <v>1</v>
      </c>
      <c r="W41" s="9" t="s">
        <v>50</v>
      </c>
      <c r="X41" s="9">
        <f>INDEX('Unique Asset List'!$C$4:$I$60,MATCH('1'!$B41,'Unique Asset List'!$A$4:$A$60,0),MATCH('1'!$C$1,'Unique Asset List'!$C$3:$I$3,0))</f>
        <v>2023</v>
      </c>
      <c r="Y41" s="9">
        <f>INDEX('Unique Asset List'!$J$4:$P$60,MATCH('1'!$B41,'Unique Asset List'!$A$4:$A$60,0),MATCH('1'!$C$1,'Unique Asset List'!$J$3:$P$3,0))</f>
        <v>6</v>
      </c>
      <c r="Z41" s="9">
        <f>INDEX('Unique Asset List'!$X$4:$AD$60,MATCH('1'!$B41,'Unique Asset List'!$A$4:$A$60,0),MATCH('1'!$C$1,'Unique Asset List'!$X$3:$AD$3,0))</f>
        <v>2033</v>
      </c>
      <c r="AA41" s="9">
        <f>INDEX('Unique Asset List'!$AE$4:$AK$60,MATCH('1'!$B41,'Unique Asset List'!$A$4:$A$60,0),MATCH('1'!$C$1,'Unique Asset List'!$AE$3:$AK$3,0))</f>
        <v>6</v>
      </c>
      <c r="AB41" s="16">
        <f t="shared" si="10"/>
        <v>1.4482758</v>
      </c>
      <c r="AC41" s="16">
        <f t="shared" si="4"/>
        <v>0.7529247</v>
      </c>
      <c r="AD41" s="16">
        <f t="shared" si="5"/>
        <v>0.56099999999999994</v>
      </c>
      <c r="AE41" s="15">
        <f>INDEX('Unique Asset List'!$BN$4:$BT$60,MATCH('1'!$B41,'Unique Asset List'!$A$4:$A$60,0),MATCH('1'!$C$1,'Unique Asset List'!$BN$3:$BT$3,0))</f>
        <v>0.15</v>
      </c>
      <c r="AF41" s="15">
        <f>INDEX('Unique Asset List'!$BU$4:$CA$60,MATCH('1'!$B41,'Unique Asset List'!$A$4:$A$60,0),MATCH('1'!$C$1,'Unique Asset List'!$BU$3:$CA$3,0))</f>
        <v>0.35</v>
      </c>
      <c r="AG41" s="15">
        <f>INDEX('Unique Asset List'!$AZ$4:$BF$60,MATCH('1'!$B41,'Unique Asset List'!$A$4:$A$60,0),MATCH('1'!$C$1,'Unique Asset List'!$AZ$3:$BF$3,0))</f>
        <v>0.15</v>
      </c>
      <c r="AH41" s="15">
        <f>INDEX('Unique Asset List'!$BG$4:$BM$60,MATCH('1'!$B41,'Unique Asset List'!$A$4:$A$60,0),MATCH('1'!$C$1,'Unique Asset List'!$BG$3:$BM$3,0))</f>
        <v>0.35</v>
      </c>
      <c r="AI41" s="11">
        <v>0.97304949785176587</v>
      </c>
      <c r="AJ41" s="15">
        <f>INDEX('Unique Asset List'!$AL$4:$AR$60,MATCH('1'!$B41,'Unique Asset List'!$A$4:$A$60,0),MATCH('1'!$C$1,'Unique Asset List'!$AL$3:$AR$3,0))</f>
        <v>1.2267192541321688</v>
      </c>
      <c r="AK41" s="15">
        <f>INDEX('Unique Asset List'!$AS$4:$AY$60,MATCH('1'!$B41,'Unique Asset List'!$A$4:$A$60,0),MATCH('1'!$C$1,'Unique Asset List'!$AS$3:$AY$3,0))</f>
        <v>11.984388276878477</v>
      </c>
      <c r="AL41" s="9">
        <v>160</v>
      </c>
      <c r="AM41" s="14">
        <f>INDEX(Simulation!$B$6:$H$6,MATCH($A41,Simulation!$B$1:$H$1,0))*(1+AN41)^((DATE(X41,Y41,15)-DATE(2017,1,15))/365.5)</f>
        <v>18.699239833786123</v>
      </c>
      <c r="AN41" s="12">
        <v>3.5000000000000003E-2</v>
      </c>
      <c r="AO41" s="13">
        <v>60</v>
      </c>
      <c r="AP41" s="11">
        <v>0.6</v>
      </c>
      <c r="AQ41" s="12">
        <v>-0.02</v>
      </c>
      <c r="AR41" s="11">
        <v>0.5</v>
      </c>
      <c r="AS41" s="10">
        <v>1</v>
      </c>
      <c r="AT41" s="4">
        <f>IF($C$5="ON",BT41,MyRating(_E1,$B41,Efficacy!$F$1))</f>
        <v>3</v>
      </c>
      <c r="AU41" s="3">
        <f>IF($C$5="ON",BU41,MyRating(_E2,$B41,Efficacy!$F$1))</f>
        <v>3</v>
      </c>
      <c r="AV41" s="3">
        <f>IF($C$5="ON",BV41,MyRating(_E3,$B41,Efficacy!$F$1))</f>
        <v>3</v>
      </c>
      <c r="AW41" s="3">
        <f>IF($C$5="ON",BW41,MyRating(_E4,$B41,Efficacy!$F$1))</f>
        <v>3</v>
      </c>
      <c r="AX41" s="3">
        <f>IF($C$5="ON",BX41,MyRating(_E5,$B41,Efficacy!$F$1))</f>
        <v>3</v>
      </c>
      <c r="AY41" s="3">
        <f>IF($C$5="ON",BY41,MyRating(_E6,$B41,Efficacy!$F$1))</f>
        <v>3</v>
      </c>
      <c r="AZ41" s="3">
        <f>IF($C$5="ON",BZ41,MyRating(_E7,$B41,Efficacy!$F$1))</f>
        <v>3</v>
      </c>
      <c r="BA41" s="3">
        <f>IF($C$5="ON",CA41,MyRating(_E8,$B41,Efficacy!$F$1))</f>
        <v>3</v>
      </c>
      <c r="BB41" s="3">
        <f>IF($C$5="ON",CB41,MyRating(_S1,$B41,Efficacy!$F$1))</f>
        <v>3</v>
      </c>
      <c r="BC41" s="3">
        <f>IF($C$5="ON",CC41,MyRating(_S2,$B41,Efficacy!$F$1))</f>
        <v>3</v>
      </c>
      <c r="BD41" s="3">
        <f>IF($C$5="ON",CD41,MyRating(_S3,$B41,Efficacy!$F$1))</f>
        <v>3</v>
      </c>
      <c r="BE41" s="3">
        <f>IF($C$5="ON",CE41,MyRating(_S4,$B41,Efficacy!$F$1))</f>
        <v>3</v>
      </c>
      <c r="BF41" s="3">
        <f>IF($C$5="ON",CF41,MyRating(_S5,$B41,Efficacy!$F$1))</f>
        <v>3</v>
      </c>
      <c r="BG41" s="3">
        <f>IF($C$5="ON",CG41,MyRating(_S6,$B41,Efficacy!$F$1))</f>
        <v>3</v>
      </c>
      <c r="BH41" s="3">
        <f>IF($C$5="ON",CH41,MyRating(_S7,$B41,Efficacy!$F$1))</f>
        <v>3</v>
      </c>
      <c r="BI41" s="3">
        <f>IF($C$5="ON",CI41,MyRating(_D1,$B41,Efficacy!$F$1))</f>
        <v>3</v>
      </c>
      <c r="BJ41" s="3">
        <f>IF($C$5="ON",CJ41,MyRating(_D2,$B41,Efficacy!$F$1))</f>
        <v>3</v>
      </c>
      <c r="BK41" s="3">
        <f>IF($C$5="ON",CK41,MyRating(_D3,$B41,Efficacy!$F$1))</f>
        <v>3</v>
      </c>
      <c r="BL41" s="3">
        <f>IF($C$5="ON",CL41,MyRating(_D4,$B41,Efficacy!$F$1))</f>
        <v>3</v>
      </c>
      <c r="BM41" s="3">
        <f>IF($C$5="ON",CM41,MyRating(_B1,$B41,Barrier!$F$2))</f>
        <v>3</v>
      </c>
      <c r="BN41" s="3">
        <f>IF($C$5="ON",CN41,MyRating(_B2,$B41,Barrier!$F$2))</f>
        <v>3</v>
      </c>
      <c r="BO41" s="6">
        <f>IF($C$5="ON",CO41,MyRating(_B3,$B41,Barrier!$F$2))</f>
        <v>3</v>
      </c>
      <c r="BP41" s="5">
        <f t="shared" ref="BP41:BP58" si="12">BS41/$BQ$7</f>
        <v>3.2953661618571599E-2</v>
      </c>
      <c r="BQ41" s="8">
        <f t="shared" ref="BQ41:BQ58" si="13">SUMPRODUCT($BM41:$BO41,$BK$7:$BM$7)</f>
        <v>2.9999999999999996</v>
      </c>
      <c r="BR41" s="5">
        <f t="shared" ref="BR41:BR58" si="14">BQ41/$BO$7</f>
        <v>3.2599837000814993E-2</v>
      </c>
      <c r="BS41" s="7">
        <f t="shared" ref="BS41:BS58" si="15">BR41^$X$4</f>
        <v>1.6438361024188112E-2</v>
      </c>
      <c r="BT41" s="4">
        <v>3</v>
      </c>
      <c r="BU41" s="3">
        <v>3</v>
      </c>
      <c r="BV41" s="3">
        <v>3</v>
      </c>
      <c r="BW41" s="3">
        <v>3</v>
      </c>
      <c r="BX41" s="3">
        <v>3</v>
      </c>
      <c r="BY41" s="3">
        <v>3</v>
      </c>
      <c r="BZ41" s="3">
        <v>3</v>
      </c>
      <c r="CA41" s="3">
        <v>3</v>
      </c>
      <c r="CB41" s="3">
        <v>3</v>
      </c>
      <c r="CC41" s="3">
        <v>3</v>
      </c>
      <c r="CD41" s="3">
        <v>3</v>
      </c>
      <c r="CE41" s="3">
        <v>3</v>
      </c>
      <c r="CF41" s="3">
        <v>3</v>
      </c>
      <c r="CG41" s="3">
        <v>3</v>
      </c>
      <c r="CH41" s="3">
        <v>3</v>
      </c>
      <c r="CI41" s="3">
        <v>3</v>
      </c>
      <c r="CJ41" s="3">
        <v>3</v>
      </c>
      <c r="CK41" s="3">
        <v>3</v>
      </c>
      <c r="CL41" s="3">
        <v>3</v>
      </c>
      <c r="CM41" s="3">
        <v>3</v>
      </c>
      <c r="CN41" s="3">
        <v>3</v>
      </c>
      <c r="CO41" s="6">
        <v>3</v>
      </c>
      <c r="CP41" s="5"/>
      <c r="CQ41" s="4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</row>
    <row r="42" spans="1:116" x14ac:dyDescent="0.35">
      <c r="A42" s="9" t="s">
        <v>5</v>
      </c>
      <c r="B42" s="9" t="s">
        <v>49</v>
      </c>
      <c r="C42" s="20"/>
      <c r="D42" s="9" t="s">
        <v>48</v>
      </c>
      <c r="E42" s="9"/>
      <c r="F42" s="9" t="s">
        <v>47</v>
      </c>
      <c r="G42" s="19">
        <v>0.24</v>
      </c>
      <c r="H42" s="9">
        <v>2014</v>
      </c>
      <c r="I42" s="9">
        <v>6</v>
      </c>
      <c r="J42" s="18">
        <f>INDEX(PTRS!$D$6:$D$12,MATCH('1'!$F42,PTRS!$B$6:$B$12,0))</f>
        <v>1</v>
      </c>
      <c r="K42" s="17">
        <v>1</v>
      </c>
      <c r="L42" s="17">
        <v>1</v>
      </c>
      <c r="M42" s="17">
        <f>J42</f>
        <v>1</v>
      </c>
      <c r="N42" s="17">
        <f t="shared" si="11"/>
        <v>1</v>
      </c>
      <c r="O42" s="17">
        <v>1</v>
      </c>
      <c r="P42" s="17">
        <v>1</v>
      </c>
      <c r="Q42" s="17">
        <f t="shared" si="2"/>
        <v>1</v>
      </c>
      <c r="R42" s="17">
        <v>1</v>
      </c>
      <c r="S42" s="17">
        <v>1</v>
      </c>
      <c r="T42" s="17"/>
      <c r="U42" s="17">
        <f t="shared" si="3"/>
        <v>0.9614162825377699</v>
      </c>
      <c r="V42" s="17">
        <v>1</v>
      </c>
      <c r="W42" s="9" t="s">
        <v>46</v>
      </c>
      <c r="X42" s="9">
        <f>INDEX('Unique Asset List'!$C$4:$I$60,MATCH('1'!$B42,'Unique Asset List'!$A$4:$A$60,0),MATCH('1'!$C$1,'Unique Asset List'!$C$3:$I$3,0))</f>
        <v>1981</v>
      </c>
      <c r="Y42" s="9">
        <f>INDEX('Unique Asset List'!$J$4:$P$60,MATCH('1'!$B42,'Unique Asset List'!$A$4:$A$60,0),MATCH('1'!$C$1,'Unique Asset List'!$J$3:$P$3,0))</f>
        <v>11</v>
      </c>
      <c r="Z42" s="9">
        <f>INDEX('Unique Asset List'!$X$4:$AD$60,MATCH('1'!$B42,'Unique Asset List'!$A$4:$A$60,0),MATCH('1'!$C$1,'Unique Asset List'!$X$3:$AD$3,0))</f>
        <v>1991</v>
      </c>
      <c r="AA42" s="9">
        <f>INDEX('Unique Asset List'!$AE$4:$AK$60,MATCH('1'!$B42,'Unique Asset List'!$A$4:$A$60,0),MATCH('1'!$C$1,'Unique Asset List'!$AE$3:$AK$3,0))</f>
        <v>11</v>
      </c>
      <c r="AB42" s="16">
        <f t="shared" si="10"/>
        <v>1.0944670000000001</v>
      </c>
      <c r="AC42" s="16">
        <f t="shared" si="4"/>
        <v>0.69770470000000007</v>
      </c>
      <c r="AD42" s="16">
        <f t="shared" si="5"/>
        <v>0.56099999999999994</v>
      </c>
      <c r="AE42" s="15">
        <f>INDEX('Unique Asset List'!$BN$4:$BT$60,MATCH('1'!$B42,'Unique Asset List'!$A$4:$A$60,0),MATCH('1'!$C$1,'Unique Asset List'!$BN$3:$BT$3,0))</f>
        <v>0.15</v>
      </c>
      <c r="AF42" s="15">
        <f>INDEX('Unique Asset List'!$BU$4:$CA$60,MATCH('1'!$B42,'Unique Asset List'!$A$4:$A$60,0),MATCH('1'!$C$1,'Unique Asset List'!$BU$3:$CA$3,0))</f>
        <v>0.35</v>
      </c>
      <c r="AG42" s="15">
        <f>INDEX('Unique Asset List'!$AZ$4:$BF$60,MATCH('1'!$B42,'Unique Asset List'!$A$4:$A$60,0),MATCH('1'!$C$1,'Unique Asset List'!$AZ$3:$BF$3,0))</f>
        <v>0.15</v>
      </c>
      <c r="AH42" s="15">
        <f>INDEX('Unique Asset List'!$BG$4:$BM$60,MATCH('1'!$B42,'Unique Asset List'!$A$4:$A$60,0),MATCH('1'!$C$1,'Unique Asset List'!$BG$3:$BM$3,0))</f>
        <v>0.35</v>
      </c>
      <c r="AI42" s="11">
        <v>0.97304949785176587</v>
      </c>
      <c r="AJ42" s="15">
        <f>INDEX('Unique Asset List'!$AL$4:$AR$60,MATCH('1'!$B42,'Unique Asset List'!$A$4:$A$60,0),MATCH('1'!$C$1,'Unique Asset List'!$AL$3:$AR$3,0))</f>
        <v>1.2267192541321688</v>
      </c>
      <c r="AK42" s="15">
        <f>INDEX('Unique Asset List'!$AS$4:$AY$60,MATCH('1'!$B42,'Unique Asset List'!$A$4:$A$60,0),MATCH('1'!$C$1,'Unique Asset List'!$AS$3:$AY$3,0))</f>
        <v>11.984388276878477</v>
      </c>
      <c r="AL42" s="9">
        <v>160</v>
      </c>
      <c r="AM42" s="14">
        <f>INDEX(Simulation!$B$6:$H$6,MATCH($A42,Simulation!$B$1:$H$1,0))*(1+AN42)^((DATE(X42,Y42,15)-DATE(2017,1,15))/365.5)</f>
        <v>4.4774732677938989</v>
      </c>
      <c r="AN42" s="12">
        <v>3.5000000000000003E-2</v>
      </c>
      <c r="AO42" s="13">
        <v>60</v>
      </c>
      <c r="AP42" s="11">
        <v>0.6</v>
      </c>
      <c r="AQ42" s="12">
        <v>-0.02</v>
      </c>
      <c r="AR42" s="11">
        <v>0.5</v>
      </c>
      <c r="AS42" s="10">
        <v>1</v>
      </c>
      <c r="AT42" s="4">
        <f>IF($C$5="ON",BT42,MyRating(_E1,$B42,Efficacy!$F$1))</f>
        <v>2</v>
      </c>
      <c r="AU42" s="3">
        <f>IF($C$5="ON",BU42,MyRating(_E2,$B42,Efficacy!$F$1))</f>
        <v>1</v>
      </c>
      <c r="AV42" s="3">
        <f>IF($C$5="ON",BV42,MyRating(_E3,$B42,Efficacy!$F$1))</f>
        <v>1</v>
      </c>
      <c r="AW42" s="3">
        <f>IF($C$5="ON",BW42,MyRating(_E4,$B42,Efficacy!$F$1))</f>
        <v>2</v>
      </c>
      <c r="AX42" s="3">
        <f>IF($C$5="ON",BX42,MyRating(_E5,$B42,Efficacy!$F$1))</f>
        <v>3</v>
      </c>
      <c r="AY42" s="3">
        <f>IF($C$5="ON",BY42,MyRating(_E6,$B42,Efficacy!$F$1))</f>
        <v>5</v>
      </c>
      <c r="AZ42" s="3">
        <f>IF($C$5="ON",BZ42,MyRating(_E7,$B42,Efficacy!$F$1))</f>
        <v>2</v>
      </c>
      <c r="BA42" s="3">
        <f>IF($C$5="ON",CA42,MyRating(_E8,$B42,Efficacy!$F$1))</f>
        <v>4</v>
      </c>
      <c r="BB42" s="3">
        <f>IF($C$5="ON",CB42,MyRating(_S1,$B42,Efficacy!$F$1))</f>
        <v>3</v>
      </c>
      <c r="BC42" s="3">
        <f>IF($C$5="ON",CC42,MyRating(_S2,$B42,Efficacy!$F$1))</f>
        <v>2</v>
      </c>
      <c r="BD42" s="3">
        <f>IF($C$5="ON",CD42,MyRating(_S3,$B42,Efficacy!$F$1))</f>
        <v>2</v>
      </c>
      <c r="BE42" s="3">
        <f>IF($C$5="ON",CE42,MyRating(_S4,$B42,Efficacy!$F$1))</f>
        <v>3</v>
      </c>
      <c r="BF42" s="3">
        <f>IF($C$5="ON",CF42,MyRating(_S5,$B42,Efficacy!$F$1))</f>
        <v>3</v>
      </c>
      <c r="BG42" s="3">
        <f>IF($C$5="ON",CG42,MyRating(_S6,$B42,Efficacy!$F$1))</f>
        <v>3</v>
      </c>
      <c r="BH42" s="3">
        <f>IF($C$5="ON",CH42,MyRating(_S7,$B42,Efficacy!$F$1))</f>
        <v>3</v>
      </c>
      <c r="BI42" s="3">
        <f>IF($C$5="ON",CI42,MyRating(_D1,$B42,Efficacy!$F$1))</f>
        <v>3</v>
      </c>
      <c r="BJ42" s="3">
        <f>IF($C$5="ON",CJ42,MyRating(_D2,$B42,Efficacy!$F$1))</f>
        <v>3</v>
      </c>
      <c r="BK42" s="3">
        <f>IF($C$5="ON",CK42,MyRating(_D3,$B42,Efficacy!$F$1))</f>
        <v>3</v>
      </c>
      <c r="BL42" s="3">
        <f>IF($C$5="ON",CL42,MyRating(_D4,$B42,Efficacy!$F$1))</f>
        <v>3</v>
      </c>
      <c r="BM42" s="3">
        <f>IF($C$5="ON",CM42,MyRating(_B1,$B42,Barrier!$F$2))</f>
        <v>3</v>
      </c>
      <c r="BN42" s="3">
        <f>IF($C$5="ON",CN42,MyRating(_B2,$B42,Barrier!$F$2))</f>
        <v>3</v>
      </c>
      <c r="BO42" s="6">
        <f>IF($C$5="ON",CO42,MyRating(_B3,$B42,Barrier!$F$2))</f>
        <v>3</v>
      </c>
      <c r="BP42" s="5">
        <f t="shared" si="12"/>
        <v>3.2953661618571599E-2</v>
      </c>
      <c r="BQ42" s="8">
        <f t="shared" si="13"/>
        <v>2.9999999999999996</v>
      </c>
      <c r="BR42" s="5">
        <f t="shared" si="14"/>
        <v>3.2599837000814993E-2</v>
      </c>
      <c r="BS42" s="7">
        <f t="shared" si="15"/>
        <v>1.6438361024188112E-2</v>
      </c>
      <c r="BT42" s="4">
        <v>2</v>
      </c>
      <c r="BU42" s="3">
        <v>1</v>
      </c>
      <c r="BV42" s="3">
        <v>1</v>
      </c>
      <c r="BW42" s="3">
        <v>2</v>
      </c>
      <c r="BX42" s="3">
        <v>3</v>
      </c>
      <c r="BY42" s="3">
        <v>5</v>
      </c>
      <c r="BZ42" s="3">
        <v>2</v>
      </c>
      <c r="CA42" s="3">
        <v>4</v>
      </c>
      <c r="CB42" s="3">
        <v>3</v>
      </c>
      <c r="CC42" s="3">
        <v>2</v>
      </c>
      <c r="CD42" s="3">
        <v>2</v>
      </c>
      <c r="CE42" s="3">
        <v>3</v>
      </c>
      <c r="CF42" s="3">
        <v>3</v>
      </c>
      <c r="CG42" s="3">
        <v>3</v>
      </c>
      <c r="CH42" s="3">
        <v>3</v>
      </c>
      <c r="CI42" s="3">
        <v>3</v>
      </c>
      <c r="CJ42" s="3">
        <v>3</v>
      </c>
      <c r="CK42" s="3">
        <v>3</v>
      </c>
      <c r="CL42" s="3">
        <v>3</v>
      </c>
      <c r="CM42" s="3">
        <v>3</v>
      </c>
      <c r="CN42" s="3">
        <v>3</v>
      </c>
      <c r="CO42" s="6">
        <v>3</v>
      </c>
      <c r="CP42" s="5"/>
      <c r="CQ42" s="4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</row>
    <row r="43" spans="1:116" x14ac:dyDescent="0.35">
      <c r="A43" s="9" t="s">
        <v>5</v>
      </c>
      <c r="B43" s="9" t="s">
        <v>45</v>
      </c>
      <c r="C43" s="20"/>
      <c r="D43" s="9" t="s">
        <v>44</v>
      </c>
      <c r="E43" s="9"/>
      <c r="F43" s="9" t="s">
        <v>43</v>
      </c>
      <c r="G43" s="19">
        <v>0</v>
      </c>
      <c r="H43" s="9">
        <v>2014</v>
      </c>
      <c r="I43" s="9">
        <v>6</v>
      </c>
      <c r="J43" s="18">
        <f>INDEX(PTRS!$D$6:$D$12,MATCH('1'!$F43,PTRS!$B$6:$B$12,0))</f>
        <v>0.40949999999999998</v>
      </c>
      <c r="K43" s="17">
        <v>0</v>
      </c>
      <c r="L43" s="17">
        <v>1</v>
      </c>
      <c r="M43" s="17">
        <v>0.40949999999999998</v>
      </c>
      <c r="N43" s="17">
        <f t="shared" si="11"/>
        <v>0.40949999999999998</v>
      </c>
      <c r="O43" s="17">
        <v>0.40949999999999998</v>
      </c>
      <c r="P43" s="17">
        <v>0.1044225</v>
      </c>
      <c r="Q43" s="17">
        <f t="shared" si="2"/>
        <v>0</v>
      </c>
      <c r="R43" s="17">
        <v>0.1044225</v>
      </c>
      <c r="S43" s="17">
        <v>1</v>
      </c>
      <c r="T43" s="17"/>
      <c r="U43" s="22">
        <v>0.86819438565437679</v>
      </c>
      <c r="V43" s="17">
        <v>1</v>
      </c>
      <c r="W43" s="9" t="s">
        <v>42</v>
      </c>
      <c r="X43" s="9">
        <f>INDEX('Unique Asset List'!$C$4:$I$60,MATCH('1'!$B43,'Unique Asset List'!$A$4:$A$60,0),MATCH('1'!$C$1,'Unique Asset List'!$C$3:$I$3,0))</f>
        <v>2021</v>
      </c>
      <c r="Y43" s="9">
        <f>INDEX('Unique Asset List'!$J$4:$P$60,MATCH('1'!$B43,'Unique Asset List'!$A$4:$A$60,0),MATCH('1'!$C$1,'Unique Asset List'!$J$3:$P$3,0))</f>
        <v>6</v>
      </c>
      <c r="Z43" s="9">
        <f>INDEX('Unique Asset List'!$X$4:$AD$60,MATCH('1'!$B43,'Unique Asset List'!$A$4:$A$60,0),MATCH('1'!$C$1,'Unique Asset List'!$X$3:$AD$3,0))</f>
        <v>2034</v>
      </c>
      <c r="AA43" s="9">
        <f>INDEX('Unique Asset List'!$AE$4:$AK$60,MATCH('1'!$B43,'Unique Asset List'!$A$4:$A$60,0),MATCH('1'!$C$1,'Unique Asset List'!$AE$3:$AK$3,0))</f>
        <v>9</v>
      </c>
      <c r="AB43" s="24">
        <v>1.57</v>
      </c>
      <c r="AC43" s="24">
        <v>0.65</v>
      </c>
      <c r="AD43" s="24">
        <v>0.5</v>
      </c>
      <c r="AE43" s="15">
        <f>INDEX('Unique Asset List'!$BN$4:$BT$60,MATCH('1'!$B43,'Unique Asset List'!$A$4:$A$60,0),MATCH('1'!$C$1,'Unique Asset List'!$BN$3:$BT$3,0))</f>
        <v>0.15</v>
      </c>
      <c r="AF43" s="15">
        <f>INDEX('Unique Asset List'!$BU$4:$CA$60,MATCH('1'!$B43,'Unique Asset List'!$A$4:$A$60,0),MATCH('1'!$C$1,'Unique Asset List'!$BU$3:$CA$3,0))</f>
        <v>0.35</v>
      </c>
      <c r="AG43" s="15">
        <f>INDEX('Unique Asset List'!$AZ$4:$BF$60,MATCH('1'!$B43,'Unique Asset List'!$A$4:$A$60,0),MATCH('1'!$C$1,'Unique Asset List'!$AZ$3:$BF$3,0))</f>
        <v>0.15</v>
      </c>
      <c r="AH43" s="15">
        <f>INDEX('Unique Asset List'!$BG$4:$BM$60,MATCH('1'!$B43,'Unique Asset List'!$A$4:$A$60,0),MATCH('1'!$C$1,'Unique Asset List'!$BG$3:$BM$3,0))</f>
        <v>0.35</v>
      </c>
      <c r="AI43" s="11">
        <v>0.97304949785176587</v>
      </c>
      <c r="AJ43" s="15">
        <f>INDEX('Unique Asset List'!$AL$4:$AR$60,MATCH('1'!$B43,'Unique Asset List'!$A$4:$A$60,0),MATCH('1'!$C$1,'Unique Asset List'!$AL$3:$AR$3,0))</f>
        <v>1.2267192541321688</v>
      </c>
      <c r="AK43" s="15">
        <f>INDEX('Unique Asset List'!$AS$4:$AY$60,MATCH('1'!$B43,'Unique Asset List'!$A$4:$A$60,0),MATCH('1'!$C$1,'Unique Asset List'!$AS$3:$AY$3,0))</f>
        <v>11.984388276878477</v>
      </c>
      <c r="AL43" s="9">
        <v>160</v>
      </c>
      <c r="AM43" s="14">
        <f>INDEX(Simulation!$B$6:$H$6,MATCH($A43,Simulation!$B$1:$H$1,0))*(1+AN43)^((DATE(X43,Y43,15)-DATE(2017,1,15))/365.5)</f>
        <v>17.457583531062635</v>
      </c>
      <c r="AN43" s="12">
        <v>3.5000000000000003E-2</v>
      </c>
      <c r="AO43" s="13">
        <v>60</v>
      </c>
      <c r="AP43" s="11">
        <v>0.6</v>
      </c>
      <c r="AQ43" s="12">
        <v>-0.02</v>
      </c>
      <c r="AR43" s="11">
        <v>0.5</v>
      </c>
      <c r="AS43" s="10">
        <v>1</v>
      </c>
      <c r="AT43" s="4">
        <f>IF($C$5="ON",BT43,MyRating(_E1,$B43,Efficacy!$F$1))</f>
        <v>0</v>
      </c>
      <c r="AU43" s="3">
        <f>IF($C$5="ON",BU43,MyRating(_E2,$B43,Efficacy!$F$1))</f>
        <v>0</v>
      </c>
      <c r="AV43" s="3">
        <f>IF($C$5="ON",BV43,MyRating(_E3,$B43,Efficacy!$F$1))</f>
        <v>0</v>
      </c>
      <c r="AW43" s="3">
        <f>IF($C$5="ON",BW43,MyRating(_E4,$B43,Efficacy!$F$1))</f>
        <v>0</v>
      </c>
      <c r="AX43" s="3">
        <f>IF($C$5="ON",BX43,MyRating(_E5,$B43,Efficacy!$F$1))</f>
        <v>0</v>
      </c>
      <c r="AY43" s="3">
        <f>IF($C$5="ON",BY43,MyRating(_E6,$B43,Efficacy!$F$1))</f>
        <v>0</v>
      </c>
      <c r="AZ43" s="3">
        <f>IF($C$5="ON",BZ43,MyRating(_E7,$B43,Efficacy!$F$1))</f>
        <v>0</v>
      </c>
      <c r="BA43" s="3">
        <f>IF($C$5="ON",CA43,MyRating(_E8,$B43,Efficacy!$F$1))</f>
        <v>0</v>
      </c>
      <c r="BB43" s="3">
        <f>IF($C$5="ON",CB43,MyRating(_S1,$B43,Efficacy!$F$1))</f>
        <v>0</v>
      </c>
      <c r="BC43" s="3">
        <f>IF($C$5="ON",CC43,MyRating(_S2,$B43,Efficacy!$F$1))</f>
        <v>0</v>
      </c>
      <c r="BD43" s="3">
        <f>IF($C$5="ON",CD43,MyRating(_S3,$B43,Efficacy!$F$1))</f>
        <v>0</v>
      </c>
      <c r="BE43" s="3">
        <f>IF($C$5="ON",CE43,MyRating(_S4,$B43,Efficacy!$F$1))</f>
        <v>0</v>
      </c>
      <c r="BF43" s="3">
        <f>IF($C$5="ON",CF43,MyRating(_S5,$B43,Efficacy!$F$1))</f>
        <v>0</v>
      </c>
      <c r="BG43" s="3">
        <f>IF($C$5="ON",CG43,MyRating(_S6,$B43,Efficacy!$F$1))</f>
        <v>0</v>
      </c>
      <c r="BH43" s="3">
        <f>IF($C$5="ON",CH43,MyRating(_S7,$B43,Efficacy!$F$1))</f>
        <v>0</v>
      </c>
      <c r="BI43" s="3">
        <f>IF($C$5="ON",CI43,MyRating(_D1,$B43,Efficacy!$F$1))</f>
        <v>0</v>
      </c>
      <c r="BJ43" s="3">
        <f>IF($C$5="ON",CJ43,MyRating(_D2,$B43,Efficacy!$F$1))</f>
        <v>0</v>
      </c>
      <c r="BK43" s="3">
        <f>IF($C$5="ON",CK43,MyRating(_D3,$B43,Efficacy!$F$1))</f>
        <v>0</v>
      </c>
      <c r="BL43" s="3">
        <f>IF($C$5="ON",CL43,MyRating(_D4,$B43,Efficacy!$F$1))</f>
        <v>0</v>
      </c>
      <c r="BM43" s="3">
        <f>IF($C$5="ON",CM43,MyRating(_B1,$B43,Barrier!$F$2))</f>
        <v>0</v>
      </c>
      <c r="BN43" s="3">
        <f>IF($C$5="ON",CN43,MyRating(_B2,$B43,Barrier!$F$2))</f>
        <v>0</v>
      </c>
      <c r="BO43" s="6">
        <f>IF($C$5="ON",CO43,MyRating(_B3,$B43,Barrier!$F$2))</f>
        <v>0</v>
      </c>
      <c r="BP43" s="5">
        <f t="shared" si="12"/>
        <v>0</v>
      </c>
      <c r="BQ43" s="8">
        <f t="shared" si="13"/>
        <v>0</v>
      </c>
      <c r="BR43" s="5">
        <f t="shared" si="14"/>
        <v>0</v>
      </c>
      <c r="BS43" s="7">
        <f t="shared" si="15"/>
        <v>0</v>
      </c>
      <c r="BT43" s="4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3">
        <v>0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6">
        <v>0</v>
      </c>
      <c r="CP43" s="5"/>
      <c r="CQ43" s="4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</row>
    <row r="44" spans="1:116" x14ac:dyDescent="0.35">
      <c r="A44" s="9" t="s">
        <v>5</v>
      </c>
      <c r="B44" s="9" t="s">
        <v>41</v>
      </c>
      <c r="C44" s="20"/>
      <c r="D44" s="9" t="s">
        <v>40</v>
      </c>
      <c r="E44" s="9"/>
      <c r="F44" s="9" t="s">
        <v>1</v>
      </c>
      <c r="G44" s="19">
        <v>0</v>
      </c>
      <c r="H44" s="9">
        <v>2014</v>
      </c>
      <c r="I44" s="9">
        <v>6</v>
      </c>
      <c r="J44" s="18">
        <f>INDEX(PTRS!$D$6:$D$12,MATCH('1'!$F44,PTRS!$B$6:$B$12,0))</f>
        <v>0.1044225</v>
      </c>
      <c r="K44" s="17">
        <v>0</v>
      </c>
      <c r="L44" s="17">
        <v>0</v>
      </c>
      <c r="M44" s="17">
        <f t="shared" ref="M44:M58" si="16">J44</f>
        <v>0.1044225</v>
      </c>
      <c r="N44" s="17">
        <f t="shared" si="11"/>
        <v>0.1044225</v>
      </c>
      <c r="O44" s="17">
        <v>0.1044225</v>
      </c>
      <c r="P44" s="17">
        <v>0.1044225</v>
      </c>
      <c r="Q44" s="17">
        <f t="shared" si="2"/>
        <v>0</v>
      </c>
      <c r="R44" s="17">
        <v>0.1044225</v>
      </c>
      <c r="S44" s="17">
        <v>1</v>
      </c>
      <c r="T44" s="9" t="s">
        <v>39</v>
      </c>
      <c r="U44" s="22">
        <v>0.86819438565437679</v>
      </c>
      <c r="V44" s="17">
        <v>1</v>
      </c>
      <c r="W44" s="9" t="s">
        <v>38</v>
      </c>
      <c r="X44" s="9">
        <f>INDEX('Unique Asset List'!$C$4:$I$60,MATCH('1'!$B44,'Unique Asset List'!$A$4:$A$60,0),MATCH('1'!$C$1,'Unique Asset List'!$C$3:$I$3,0))</f>
        <v>2027</v>
      </c>
      <c r="Y44" s="9">
        <f>INDEX('Unique Asset List'!$J$4:$P$60,MATCH('1'!$B44,'Unique Asset List'!$A$4:$A$60,0),MATCH('1'!$C$1,'Unique Asset List'!$J$3:$P$3,0))</f>
        <v>8</v>
      </c>
      <c r="Z44" s="9">
        <f>INDEX('Unique Asset List'!$X$4:$AD$60,MATCH('1'!$B44,'Unique Asset List'!$A$4:$A$60,0),MATCH('1'!$C$1,'Unique Asset List'!$X$3:$AD$3,0))</f>
        <v>2039</v>
      </c>
      <c r="AA44" s="9">
        <f>INDEX('Unique Asset List'!$AE$4:$AK$60,MATCH('1'!$B44,'Unique Asset List'!$A$4:$A$60,0),MATCH('1'!$C$1,'Unique Asset List'!$AE$3:$AK$3,0))</f>
        <v>8</v>
      </c>
      <c r="AB44" s="23">
        <f>AB23</f>
        <v>1.8212189999999999</v>
      </c>
      <c r="AC44" s="23">
        <f>AC23</f>
        <v>1.0180309000000001</v>
      </c>
      <c r="AD44" s="23">
        <f>AD23</f>
        <v>0.56099999999999994</v>
      </c>
      <c r="AE44" s="15">
        <f>INDEX('Unique Asset List'!$BN$4:$BT$60,MATCH('1'!$B44,'Unique Asset List'!$A$4:$A$60,0),MATCH('1'!$C$1,'Unique Asset List'!$BN$3:$BT$3,0))</f>
        <v>0.15</v>
      </c>
      <c r="AF44" s="15">
        <f>INDEX('Unique Asset List'!$BU$4:$CA$60,MATCH('1'!$B44,'Unique Asset List'!$A$4:$A$60,0),MATCH('1'!$C$1,'Unique Asset List'!$BU$3:$CA$3,0))</f>
        <v>0.35</v>
      </c>
      <c r="AG44" s="15">
        <f>INDEX('Unique Asset List'!$AZ$4:$BF$60,MATCH('1'!$B44,'Unique Asset List'!$A$4:$A$60,0),MATCH('1'!$C$1,'Unique Asset List'!$AZ$3:$BF$3,0))</f>
        <v>0.15</v>
      </c>
      <c r="AH44" s="15">
        <f>INDEX('Unique Asset List'!$BG$4:$BM$60,MATCH('1'!$B44,'Unique Asset List'!$A$4:$A$60,0),MATCH('1'!$C$1,'Unique Asset List'!$BG$3:$BM$3,0))</f>
        <v>0.35</v>
      </c>
      <c r="AI44" s="11">
        <v>0.97304949785176587</v>
      </c>
      <c r="AJ44" s="15">
        <f>INDEX('Unique Asset List'!$AL$4:$AR$60,MATCH('1'!$B44,'Unique Asset List'!$A$4:$A$60,0),MATCH('1'!$C$1,'Unique Asset List'!$AL$3:$AR$3,0))</f>
        <v>1.2267192541321688</v>
      </c>
      <c r="AK44" s="15">
        <f>INDEX('Unique Asset List'!$AS$4:$AY$60,MATCH('1'!$B44,'Unique Asset List'!$A$4:$A$60,0),MATCH('1'!$C$1,'Unique Asset List'!$AS$3:$AY$3,0))</f>
        <v>11.984388276878477</v>
      </c>
      <c r="AL44" s="9">
        <v>160</v>
      </c>
      <c r="AM44" s="14">
        <f>INDEX(Simulation!$B$6:$H$6,MATCH($A44,Simulation!$B$1:$H$1,0))*(1+AN44)^((DATE(X44,Y44,15)-DATE(2017,1,15))/365.5)</f>
        <v>21.579329142296906</v>
      </c>
      <c r="AN44" s="12">
        <v>3.5000000000000003E-2</v>
      </c>
      <c r="AO44" s="13">
        <v>60</v>
      </c>
      <c r="AP44" s="11">
        <v>0.6</v>
      </c>
      <c r="AQ44" s="12">
        <v>-0.02</v>
      </c>
      <c r="AR44" s="11">
        <v>0.5</v>
      </c>
      <c r="AS44" s="10">
        <v>1</v>
      </c>
      <c r="AT44" s="4">
        <f>IF($C$5="ON",BT44,MyRating(_E1,$B44,Efficacy!$F$1))</f>
        <v>0</v>
      </c>
      <c r="AU44" s="3">
        <f>IF($C$5="ON",BU44,MyRating(_E2,$B44,Efficacy!$F$1))</f>
        <v>0</v>
      </c>
      <c r="AV44" s="3">
        <f>IF($C$5="ON",BV44,MyRating(_E3,$B44,Efficacy!$F$1))</f>
        <v>0</v>
      </c>
      <c r="AW44" s="3">
        <f>IF($C$5="ON",BW44,MyRating(_E4,$B44,Efficacy!$F$1))</f>
        <v>0</v>
      </c>
      <c r="AX44" s="3">
        <f>IF($C$5="ON",BX44,MyRating(_E5,$B44,Efficacy!$F$1))</f>
        <v>0</v>
      </c>
      <c r="AY44" s="3">
        <f>IF($C$5="ON",BY44,MyRating(_E6,$B44,Efficacy!$F$1))</f>
        <v>0</v>
      </c>
      <c r="AZ44" s="3">
        <f>IF($C$5="ON",BZ44,MyRating(_E7,$B44,Efficacy!$F$1))</f>
        <v>0</v>
      </c>
      <c r="BA44" s="3">
        <f>IF($C$5="ON",CA44,MyRating(_E8,$B44,Efficacy!$F$1))</f>
        <v>0</v>
      </c>
      <c r="BB44" s="3">
        <f>IF($C$5="ON",CB44,MyRating(_S1,$B44,Efficacy!$F$1))</f>
        <v>0</v>
      </c>
      <c r="BC44" s="3">
        <f>IF($C$5="ON",CC44,MyRating(_S2,$B44,Efficacy!$F$1))</f>
        <v>0</v>
      </c>
      <c r="BD44" s="3">
        <f>IF($C$5="ON",CD44,MyRating(_S3,$B44,Efficacy!$F$1))</f>
        <v>0</v>
      </c>
      <c r="BE44" s="3">
        <f>IF($C$5="ON",CE44,MyRating(_S4,$B44,Efficacy!$F$1))</f>
        <v>0</v>
      </c>
      <c r="BF44" s="3">
        <f>IF($C$5="ON",CF44,MyRating(_S5,$B44,Efficacy!$F$1))</f>
        <v>0</v>
      </c>
      <c r="BG44" s="3">
        <f>IF($C$5="ON",CG44,MyRating(_S6,$B44,Efficacy!$F$1))</f>
        <v>0</v>
      </c>
      <c r="BH44" s="3">
        <f>IF($C$5="ON",CH44,MyRating(_S7,$B44,Efficacy!$F$1))</f>
        <v>0</v>
      </c>
      <c r="BI44" s="3">
        <f>IF($C$5="ON",CI44,MyRating(_D1,$B44,Efficacy!$F$1))</f>
        <v>0</v>
      </c>
      <c r="BJ44" s="3">
        <f>IF($C$5="ON",CJ44,MyRating(_D2,$B44,Efficacy!$F$1))</f>
        <v>0</v>
      </c>
      <c r="BK44" s="3">
        <f>IF($C$5="ON",CK44,MyRating(_D3,$B44,Efficacy!$F$1))</f>
        <v>0</v>
      </c>
      <c r="BL44" s="3">
        <f>IF($C$5="ON",CL44,MyRating(_D4,$B44,Efficacy!$F$1))</f>
        <v>0</v>
      </c>
      <c r="BM44" s="3">
        <f>IF($C$5="ON",CM44,MyRating(_B1,$B44,Barrier!$F$2))</f>
        <v>0</v>
      </c>
      <c r="BN44" s="3">
        <f>IF($C$5="ON",CN44,MyRating(_B2,$B44,Barrier!$F$2))</f>
        <v>0</v>
      </c>
      <c r="BO44" s="6">
        <f>IF($C$5="ON",CO44,MyRating(_B3,$B44,Barrier!$F$2))</f>
        <v>0</v>
      </c>
      <c r="BP44" s="5">
        <f t="shared" si="12"/>
        <v>0</v>
      </c>
      <c r="BQ44" s="8">
        <f t="shared" si="13"/>
        <v>0</v>
      </c>
      <c r="BR44" s="5">
        <f t="shared" si="14"/>
        <v>0</v>
      </c>
      <c r="BS44" s="7">
        <f t="shared" si="15"/>
        <v>0</v>
      </c>
      <c r="BT44" s="4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6">
        <v>0</v>
      </c>
      <c r="CP44" s="5"/>
      <c r="CQ44" s="4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</row>
    <row r="45" spans="1:116" x14ac:dyDescent="0.35">
      <c r="A45" s="9" t="s">
        <v>5</v>
      </c>
      <c r="B45" s="9" t="s">
        <v>37</v>
      </c>
      <c r="C45" s="20"/>
      <c r="D45" s="9" t="s">
        <v>36</v>
      </c>
      <c r="E45" s="9"/>
      <c r="F45" s="9" t="s">
        <v>1</v>
      </c>
      <c r="G45" s="19">
        <v>0</v>
      </c>
      <c r="H45" s="9">
        <v>2014</v>
      </c>
      <c r="I45" s="9">
        <v>6</v>
      </c>
      <c r="J45" s="18">
        <f>INDEX(PTRS!$D$6:$D$12,MATCH('1'!$F45,PTRS!$B$6:$B$12,0))</f>
        <v>0.1044225</v>
      </c>
      <c r="K45" s="17">
        <v>0</v>
      </c>
      <c r="L45" s="17">
        <v>0</v>
      </c>
      <c r="M45" s="17">
        <f t="shared" si="16"/>
        <v>0.1044225</v>
      </c>
      <c r="N45" s="17">
        <f t="shared" si="11"/>
        <v>0.1044225</v>
      </c>
      <c r="O45" s="17">
        <v>0.1044225</v>
      </c>
      <c r="P45" s="17">
        <v>0.1044225</v>
      </c>
      <c r="Q45" s="17">
        <f t="shared" si="2"/>
        <v>0</v>
      </c>
      <c r="R45" s="17">
        <v>0.1044225</v>
      </c>
      <c r="S45" s="17">
        <v>1</v>
      </c>
      <c r="T45" s="9" t="s">
        <v>35</v>
      </c>
      <c r="U45" s="22">
        <v>0.86819438565437679</v>
      </c>
      <c r="V45" s="17">
        <v>1</v>
      </c>
      <c r="W45" s="9" t="s">
        <v>34</v>
      </c>
      <c r="X45" s="9">
        <f>INDEX('Unique Asset List'!$C$4:$I$60,MATCH('1'!$B45,'Unique Asset List'!$A$4:$A$60,0),MATCH('1'!$C$1,'Unique Asset List'!$C$3:$I$3,0))</f>
        <v>2032</v>
      </c>
      <c r="Y45" s="9">
        <f>INDEX('Unique Asset List'!$J$4:$P$60,MATCH('1'!$B45,'Unique Asset List'!$A$4:$A$60,0),MATCH('1'!$C$1,'Unique Asset List'!$J$3:$P$3,0))</f>
        <v>6</v>
      </c>
      <c r="Z45" s="9">
        <f>INDEX('Unique Asset List'!$X$4:$AD$60,MATCH('1'!$B45,'Unique Asset List'!$A$4:$A$60,0),MATCH('1'!$C$1,'Unique Asset List'!$X$3:$AD$3,0))</f>
        <v>2044</v>
      </c>
      <c r="AA45" s="9">
        <f>INDEX('Unique Asset List'!$AE$4:$AK$60,MATCH('1'!$B45,'Unique Asset List'!$A$4:$A$60,0),MATCH('1'!$C$1,'Unique Asset List'!$AE$3:$AK$3,0))</f>
        <v>6</v>
      </c>
      <c r="AB45" s="23">
        <f t="shared" ref="AB45:AD47" si="17">AB36</f>
        <v>1.7489031000000002</v>
      </c>
      <c r="AC45" s="23">
        <f t="shared" si="17"/>
        <v>0.94137550000000003</v>
      </c>
      <c r="AD45" s="23">
        <f t="shared" si="17"/>
        <v>0.56099999999999994</v>
      </c>
      <c r="AE45" s="15">
        <f>INDEX('Unique Asset List'!$BN$4:$BT$60,MATCH('1'!$B45,'Unique Asset List'!$A$4:$A$60,0),MATCH('1'!$C$1,'Unique Asset List'!$BN$3:$BT$3,0))</f>
        <v>0.15</v>
      </c>
      <c r="AF45" s="15">
        <f>INDEX('Unique Asset List'!$BU$4:$CA$60,MATCH('1'!$B45,'Unique Asset List'!$A$4:$A$60,0),MATCH('1'!$C$1,'Unique Asset List'!$BU$3:$CA$3,0))</f>
        <v>0.35</v>
      </c>
      <c r="AG45" s="15">
        <f>INDEX('Unique Asset List'!$AZ$4:$BF$60,MATCH('1'!$B45,'Unique Asset List'!$A$4:$A$60,0),MATCH('1'!$C$1,'Unique Asset List'!$AZ$3:$BF$3,0))</f>
        <v>0.15</v>
      </c>
      <c r="AH45" s="15">
        <f>INDEX('Unique Asset List'!$BG$4:$BM$60,MATCH('1'!$B45,'Unique Asset List'!$A$4:$A$60,0),MATCH('1'!$C$1,'Unique Asset List'!$BG$3:$BM$3,0))</f>
        <v>0.35</v>
      </c>
      <c r="AI45" s="11">
        <v>0.97304949785176587</v>
      </c>
      <c r="AJ45" s="15">
        <f>INDEX('Unique Asset List'!$AL$4:$AR$60,MATCH('1'!$B45,'Unique Asset List'!$A$4:$A$60,0),MATCH('1'!$C$1,'Unique Asset List'!$AL$3:$AR$3,0))</f>
        <v>1.2267192541321688</v>
      </c>
      <c r="AK45" s="15">
        <f>INDEX('Unique Asset List'!$AS$4:$AY$60,MATCH('1'!$B45,'Unique Asset List'!$A$4:$A$60,0),MATCH('1'!$C$1,'Unique Asset List'!$AS$3:$AY$3,0))</f>
        <v>11.984388276878477</v>
      </c>
      <c r="AL45" s="9">
        <v>160</v>
      </c>
      <c r="AM45" s="14">
        <f>INDEX(Simulation!$B$6:$H$6,MATCH($A45,Simulation!$B$1:$H$1,0))*(1+AN45)^((DATE(X45,Y45,15)-DATE(2017,1,15))/365.5)</f>
        <v>25.481546679395578</v>
      </c>
      <c r="AN45" s="12">
        <v>3.5000000000000003E-2</v>
      </c>
      <c r="AO45" s="13">
        <v>60</v>
      </c>
      <c r="AP45" s="11">
        <v>0.6</v>
      </c>
      <c r="AQ45" s="12">
        <v>-0.02</v>
      </c>
      <c r="AR45" s="11">
        <v>0.5</v>
      </c>
      <c r="AS45" s="10">
        <v>1</v>
      </c>
      <c r="AT45" s="4">
        <f>IF($C$5="ON",BT45,MyRating(_E1,$B45,Efficacy!$F$1))</f>
        <v>0</v>
      </c>
      <c r="AU45" s="3">
        <f>IF($C$5="ON",BU45,MyRating(_E2,$B45,Efficacy!$F$1))</f>
        <v>0</v>
      </c>
      <c r="AV45" s="3">
        <f>IF($C$5="ON",BV45,MyRating(_E3,$B45,Efficacy!$F$1))</f>
        <v>0</v>
      </c>
      <c r="AW45" s="3">
        <f>IF($C$5="ON",BW45,MyRating(_E4,$B45,Efficacy!$F$1))</f>
        <v>0</v>
      </c>
      <c r="AX45" s="3">
        <f>IF($C$5="ON",BX45,MyRating(_E5,$B45,Efficacy!$F$1))</f>
        <v>0</v>
      </c>
      <c r="AY45" s="3">
        <f>IF($C$5="ON",BY45,MyRating(_E6,$B45,Efficacy!$F$1))</f>
        <v>0</v>
      </c>
      <c r="AZ45" s="3">
        <f>IF($C$5="ON",BZ45,MyRating(_E7,$B45,Efficacy!$F$1))</f>
        <v>0</v>
      </c>
      <c r="BA45" s="3">
        <f>IF($C$5="ON",CA45,MyRating(_E8,$B45,Efficacy!$F$1))</f>
        <v>0</v>
      </c>
      <c r="BB45" s="3">
        <f>IF($C$5="ON",CB45,MyRating(_S1,$B45,Efficacy!$F$1))</f>
        <v>0</v>
      </c>
      <c r="BC45" s="3">
        <f>IF($C$5="ON",CC45,MyRating(_S2,$B45,Efficacy!$F$1))</f>
        <v>0</v>
      </c>
      <c r="BD45" s="3">
        <f>IF($C$5="ON",CD45,MyRating(_S3,$B45,Efficacy!$F$1))</f>
        <v>0</v>
      </c>
      <c r="BE45" s="3">
        <f>IF($C$5="ON",CE45,MyRating(_S4,$B45,Efficacy!$F$1))</f>
        <v>0</v>
      </c>
      <c r="BF45" s="3">
        <f>IF($C$5="ON",CF45,MyRating(_S5,$B45,Efficacy!$F$1))</f>
        <v>0</v>
      </c>
      <c r="BG45" s="3">
        <f>IF($C$5="ON",CG45,MyRating(_S6,$B45,Efficacy!$F$1))</f>
        <v>0</v>
      </c>
      <c r="BH45" s="3">
        <f>IF($C$5="ON",CH45,MyRating(_S7,$B45,Efficacy!$F$1))</f>
        <v>0</v>
      </c>
      <c r="BI45" s="3">
        <f>IF($C$5="ON",CI45,MyRating(_D1,$B45,Efficacy!$F$1))</f>
        <v>0</v>
      </c>
      <c r="BJ45" s="3">
        <f>IF($C$5="ON",CJ45,MyRating(_D2,$B45,Efficacy!$F$1))</f>
        <v>0</v>
      </c>
      <c r="BK45" s="3">
        <f>IF($C$5="ON",CK45,MyRating(_D3,$B45,Efficacy!$F$1))</f>
        <v>0</v>
      </c>
      <c r="BL45" s="3">
        <f>IF($C$5="ON",CL45,MyRating(_D4,$B45,Efficacy!$F$1))</f>
        <v>0</v>
      </c>
      <c r="BM45" s="3">
        <f>IF($C$5="ON",CM45,MyRating(_B1,$B45,Barrier!$F$2))</f>
        <v>0</v>
      </c>
      <c r="BN45" s="3">
        <f>IF($C$5="ON",CN45,MyRating(_B2,$B45,Barrier!$F$2))</f>
        <v>0</v>
      </c>
      <c r="BO45" s="6">
        <f>IF($C$5="ON",CO45,MyRating(_B3,$B45,Barrier!$F$2))</f>
        <v>0</v>
      </c>
      <c r="BP45" s="5">
        <f t="shared" si="12"/>
        <v>0</v>
      </c>
      <c r="BQ45" s="8">
        <f t="shared" si="13"/>
        <v>0</v>
      </c>
      <c r="BR45" s="5">
        <f t="shared" si="14"/>
        <v>0</v>
      </c>
      <c r="BS45" s="7">
        <f t="shared" si="15"/>
        <v>0</v>
      </c>
      <c r="BT45" s="4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6">
        <v>0</v>
      </c>
      <c r="CP45" s="5"/>
      <c r="CQ45" s="4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</row>
    <row r="46" spans="1:116" x14ac:dyDescent="0.35">
      <c r="A46" s="9" t="s">
        <v>5</v>
      </c>
      <c r="B46" s="9" t="s">
        <v>33</v>
      </c>
      <c r="C46" s="20"/>
      <c r="D46" s="9" t="s">
        <v>32</v>
      </c>
      <c r="E46" s="9"/>
      <c r="F46" s="9" t="s">
        <v>1</v>
      </c>
      <c r="G46" s="19">
        <v>0</v>
      </c>
      <c r="H46" s="9">
        <v>2014</v>
      </c>
      <c r="I46" s="9">
        <v>6</v>
      </c>
      <c r="J46" s="18">
        <f>INDEX(PTRS!$D$6:$D$12,MATCH('1'!$F46,PTRS!$B$6:$B$12,0))</f>
        <v>0.1044225</v>
      </c>
      <c r="K46" s="17">
        <v>0</v>
      </c>
      <c r="L46" s="17">
        <v>0</v>
      </c>
      <c r="M46" s="17">
        <f t="shared" si="16"/>
        <v>0.1044225</v>
      </c>
      <c r="N46" s="17">
        <f t="shared" si="11"/>
        <v>0.1044225</v>
      </c>
      <c r="O46" s="17">
        <v>0.1044225</v>
      </c>
      <c r="P46" s="17">
        <v>0.1044225</v>
      </c>
      <c r="Q46" s="17">
        <f t="shared" si="2"/>
        <v>0</v>
      </c>
      <c r="R46" s="17">
        <v>0.1044225</v>
      </c>
      <c r="S46" s="17">
        <v>1</v>
      </c>
      <c r="T46" s="9" t="s">
        <v>31</v>
      </c>
      <c r="U46" s="22">
        <v>0.86819438565437679</v>
      </c>
      <c r="V46" s="17">
        <v>1</v>
      </c>
      <c r="W46" s="9" t="s">
        <v>31</v>
      </c>
      <c r="X46" s="9">
        <f>INDEX('Unique Asset List'!$C$4:$I$60,MATCH('1'!$B46,'Unique Asset List'!$A$4:$A$60,0),MATCH('1'!$C$1,'Unique Asset List'!$C$3:$I$3,0))</f>
        <v>2031</v>
      </c>
      <c r="Y46" s="9">
        <f>INDEX('Unique Asset List'!$J$4:$P$60,MATCH('1'!$B46,'Unique Asset List'!$A$4:$A$60,0),MATCH('1'!$C$1,'Unique Asset List'!$J$3:$P$3,0))</f>
        <v>5</v>
      </c>
      <c r="Z46" s="9">
        <f>INDEX('Unique Asset List'!$X$4:$AD$60,MATCH('1'!$B46,'Unique Asset List'!$A$4:$A$60,0),MATCH('1'!$C$1,'Unique Asset List'!$X$3:$AD$3,0))</f>
        <v>2043</v>
      </c>
      <c r="AA46" s="9">
        <f>INDEX('Unique Asset List'!$AE$4:$AK$60,MATCH('1'!$B46,'Unique Asset List'!$A$4:$A$60,0),MATCH('1'!$C$1,'Unique Asset List'!$AE$3:$AK$3,0))</f>
        <v>5</v>
      </c>
      <c r="AB46" s="16">
        <f t="shared" si="17"/>
        <v>1.7243302</v>
      </c>
      <c r="AC46" s="16">
        <f t="shared" si="17"/>
        <v>0.94137550000000003</v>
      </c>
      <c r="AD46" s="16">
        <f t="shared" si="17"/>
        <v>0.56099999999999994</v>
      </c>
      <c r="AE46" s="15">
        <f>INDEX('Unique Asset List'!$BN$4:$BT$60,MATCH('1'!$B46,'Unique Asset List'!$A$4:$A$60,0),MATCH('1'!$C$1,'Unique Asset List'!$BN$3:$BT$3,0))</f>
        <v>0.15</v>
      </c>
      <c r="AF46" s="15">
        <f>INDEX('Unique Asset List'!$BU$4:$CA$60,MATCH('1'!$B46,'Unique Asset List'!$A$4:$A$60,0),MATCH('1'!$C$1,'Unique Asset List'!$BU$3:$CA$3,0))</f>
        <v>0.35</v>
      </c>
      <c r="AG46" s="15">
        <f>INDEX('Unique Asset List'!$AZ$4:$BF$60,MATCH('1'!$B46,'Unique Asset List'!$A$4:$A$60,0),MATCH('1'!$C$1,'Unique Asset List'!$AZ$3:$BF$3,0))</f>
        <v>0.15</v>
      </c>
      <c r="AH46" s="15">
        <f>INDEX('Unique Asset List'!$BG$4:$BM$60,MATCH('1'!$B46,'Unique Asset List'!$A$4:$A$60,0),MATCH('1'!$C$1,'Unique Asset List'!$BG$3:$BM$3,0))</f>
        <v>0.35</v>
      </c>
      <c r="AI46" s="11">
        <v>0.97304949785176587</v>
      </c>
      <c r="AJ46" s="15">
        <f>INDEX('Unique Asset List'!$AL$4:$AR$60,MATCH('1'!$B46,'Unique Asset List'!$A$4:$A$60,0),MATCH('1'!$C$1,'Unique Asset List'!$AL$3:$AR$3,0))</f>
        <v>1.2267192541321688</v>
      </c>
      <c r="AK46" s="15">
        <f>INDEX('Unique Asset List'!$AS$4:$AY$60,MATCH('1'!$B46,'Unique Asset List'!$A$4:$A$60,0),MATCH('1'!$C$1,'Unique Asset List'!$AS$3:$AY$3,0))</f>
        <v>11.984388276878477</v>
      </c>
      <c r="AL46" s="9">
        <v>160</v>
      </c>
      <c r="AM46" s="14">
        <f>INDEX(Simulation!$B$6:$H$6,MATCH($A46,Simulation!$B$1:$H$1,0))*(1+AN46)^((DATE(X46,Y46,15)-DATE(2017,1,15))/365.5)</f>
        <v>24.546966317243893</v>
      </c>
      <c r="AN46" s="12">
        <v>3.5000000000000003E-2</v>
      </c>
      <c r="AO46" s="13">
        <v>60</v>
      </c>
      <c r="AP46" s="11">
        <v>0.6</v>
      </c>
      <c r="AQ46" s="12">
        <v>-0.02</v>
      </c>
      <c r="AR46" s="11">
        <v>0.5</v>
      </c>
      <c r="AS46" s="10">
        <v>1</v>
      </c>
      <c r="AT46" s="4">
        <f>IF($C$5="ON",BT46,MyRating(_E1,$B46,Efficacy!$F$1))</f>
        <v>0</v>
      </c>
      <c r="AU46" s="3">
        <f>IF($C$5="ON",BU46,MyRating(_E2,$B46,Efficacy!$F$1))</f>
        <v>0</v>
      </c>
      <c r="AV46" s="3">
        <f>IF($C$5="ON",BV46,MyRating(_E3,$B46,Efficacy!$F$1))</f>
        <v>0</v>
      </c>
      <c r="AW46" s="3">
        <f>IF($C$5="ON",BW46,MyRating(_E4,$B46,Efficacy!$F$1))</f>
        <v>0</v>
      </c>
      <c r="AX46" s="3">
        <f>IF($C$5="ON",BX46,MyRating(_E5,$B46,Efficacy!$F$1))</f>
        <v>0</v>
      </c>
      <c r="AY46" s="3">
        <f>IF($C$5="ON",BY46,MyRating(_E6,$B46,Efficacy!$F$1))</f>
        <v>0</v>
      </c>
      <c r="AZ46" s="3">
        <f>IF($C$5="ON",BZ46,MyRating(_E7,$B46,Efficacy!$F$1))</f>
        <v>0</v>
      </c>
      <c r="BA46" s="3">
        <f>IF($C$5="ON",CA46,MyRating(_E8,$B46,Efficacy!$F$1))</f>
        <v>0</v>
      </c>
      <c r="BB46" s="3">
        <f>IF($C$5="ON",CB46,MyRating(_S1,$B46,Efficacy!$F$1))</f>
        <v>0</v>
      </c>
      <c r="BC46" s="3">
        <f>IF($C$5="ON",CC46,MyRating(_S2,$B46,Efficacy!$F$1))</f>
        <v>0</v>
      </c>
      <c r="BD46" s="3">
        <f>IF($C$5="ON",CD46,MyRating(_S3,$B46,Efficacy!$F$1))</f>
        <v>0</v>
      </c>
      <c r="BE46" s="3">
        <f>IF($C$5="ON",CE46,MyRating(_S4,$B46,Efficacy!$F$1))</f>
        <v>0</v>
      </c>
      <c r="BF46" s="3">
        <f>IF($C$5="ON",CF46,MyRating(_S5,$B46,Efficacy!$F$1))</f>
        <v>0</v>
      </c>
      <c r="BG46" s="3">
        <f>IF($C$5="ON",CG46,MyRating(_S6,$B46,Efficacy!$F$1))</f>
        <v>0</v>
      </c>
      <c r="BH46" s="3">
        <f>IF($C$5="ON",CH46,MyRating(_S7,$B46,Efficacy!$F$1))</f>
        <v>0</v>
      </c>
      <c r="BI46" s="3">
        <f>IF($C$5="ON",CI46,MyRating(_D1,$B46,Efficacy!$F$1))</f>
        <v>0</v>
      </c>
      <c r="BJ46" s="3">
        <f>IF($C$5="ON",CJ46,MyRating(_D2,$B46,Efficacy!$F$1))</f>
        <v>0</v>
      </c>
      <c r="BK46" s="3">
        <f>IF($C$5="ON",CK46,MyRating(_D3,$B46,Efficacy!$F$1))</f>
        <v>0</v>
      </c>
      <c r="BL46" s="3">
        <f>IF($C$5="ON",CL46,MyRating(_D4,$B46,Efficacy!$F$1))</f>
        <v>0</v>
      </c>
      <c r="BM46" s="3">
        <f>IF($C$5="ON",CM46,MyRating(_B1,$B46,Barrier!$F$2))</f>
        <v>0</v>
      </c>
      <c r="BN46" s="3">
        <f>IF($C$5="ON",CN46,MyRating(_B2,$B46,Barrier!$F$2))</f>
        <v>0</v>
      </c>
      <c r="BO46" s="6">
        <f>IF($C$5="ON",CO46,MyRating(_B3,$B46,Barrier!$F$2))</f>
        <v>0</v>
      </c>
      <c r="BP46" s="5">
        <f t="shared" si="12"/>
        <v>0</v>
      </c>
      <c r="BQ46" s="8">
        <f t="shared" si="13"/>
        <v>0</v>
      </c>
      <c r="BR46" s="5">
        <f t="shared" si="14"/>
        <v>0</v>
      </c>
      <c r="BS46" s="7">
        <f t="shared" si="15"/>
        <v>0</v>
      </c>
      <c r="BT46" s="4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6">
        <v>0</v>
      </c>
      <c r="CP46" s="5"/>
      <c r="CQ46" s="4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</row>
    <row r="47" spans="1:116" x14ac:dyDescent="0.35">
      <c r="A47" s="9" t="s">
        <v>5</v>
      </c>
      <c r="B47" s="9" t="s">
        <v>30</v>
      </c>
      <c r="C47" s="20"/>
      <c r="D47" s="9" t="s">
        <v>29</v>
      </c>
      <c r="E47" s="9"/>
      <c r="F47" s="9" t="s">
        <v>1</v>
      </c>
      <c r="G47" s="19">
        <v>0</v>
      </c>
      <c r="H47" s="9">
        <v>2014</v>
      </c>
      <c r="I47" s="9">
        <v>6</v>
      </c>
      <c r="J47" s="18">
        <f>INDEX(PTRS!$D$6:$D$12,MATCH('1'!$F47,PTRS!$B$6:$B$12,0))</f>
        <v>0.1044225</v>
      </c>
      <c r="K47" s="17">
        <v>0</v>
      </c>
      <c r="L47" s="17">
        <v>0</v>
      </c>
      <c r="M47" s="17">
        <f t="shared" si="16"/>
        <v>0.1044225</v>
      </c>
      <c r="N47" s="17">
        <f t="shared" si="11"/>
        <v>0.1044225</v>
      </c>
      <c r="O47" s="17">
        <v>0.1044225</v>
      </c>
      <c r="P47" s="17">
        <v>0.1044225</v>
      </c>
      <c r="Q47" s="17">
        <f t="shared" si="2"/>
        <v>0</v>
      </c>
      <c r="R47" s="17">
        <v>0.1044225</v>
      </c>
      <c r="S47" s="17">
        <v>1</v>
      </c>
      <c r="T47" s="9" t="s">
        <v>28</v>
      </c>
      <c r="U47" s="22">
        <v>0.86819438565437679</v>
      </c>
      <c r="V47" s="17">
        <v>1</v>
      </c>
      <c r="W47" s="9" t="s">
        <v>27</v>
      </c>
      <c r="X47" s="9">
        <f>INDEX('Unique Asset List'!$C$4:$I$60,MATCH('1'!$B47,'Unique Asset List'!$A$4:$A$60,0),MATCH('1'!$C$1,'Unique Asset List'!$C$3:$I$3,0))</f>
        <v>2033</v>
      </c>
      <c r="Y47" s="9">
        <f>INDEX('Unique Asset List'!$J$4:$P$60,MATCH('1'!$B47,'Unique Asset List'!$A$4:$A$60,0),MATCH('1'!$C$1,'Unique Asset List'!$J$3:$P$3,0))</f>
        <v>9</v>
      </c>
      <c r="Z47" s="9">
        <f>INDEX('Unique Asset List'!$X$4:$AD$60,MATCH('1'!$B47,'Unique Asset List'!$A$4:$A$60,0),MATCH('1'!$C$1,'Unique Asset List'!$X$3:$AD$3,0))</f>
        <v>2045</v>
      </c>
      <c r="AA47" s="9">
        <f>INDEX('Unique Asset List'!$AE$4:$AK$60,MATCH('1'!$B47,'Unique Asset List'!$A$4:$A$60,0),MATCH('1'!$C$1,'Unique Asset List'!$AE$3:$AK$3,0))</f>
        <v>9</v>
      </c>
      <c r="AB47" s="16">
        <f t="shared" si="17"/>
        <v>1.7451242</v>
      </c>
      <c r="AC47" s="16">
        <f t="shared" si="17"/>
        <v>0.81843569999999999</v>
      </c>
      <c r="AD47" s="16">
        <f t="shared" si="17"/>
        <v>0.56099999999999994</v>
      </c>
      <c r="AE47" s="15">
        <f>INDEX('Unique Asset List'!$BN$4:$BT$60,MATCH('1'!$B47,'Unique Asset List'!$A$4:$A$60,0),MATCH('1'!$C$1,'Unique Asset List'!$BN$3:$BT$3,0))</f>
        <v>0.15</v>
      </c>
      <c r="AF47" s="15">
        <f>INDEX('Unique Asset List'!$BU$4:$CA$60,MATCH('1'!$B47,'Unique Asset List'!$A$4:$A$60,0),MATCH('1'!$C$1,'Unique Asset List'!$BU$3:$CA$3,0))</f>
        <v>0.35</v>
      </c>
      <c r="AG47" s="15">
        <f>INDEX('Unique Asset List'!$AZ$4:$BF$60,MATCH('1'!$B47,'Unique Asset List'!$A$4:$A$60,0),MATCH('1'!$C$1,'Unique Asset List'!$AZ$3:$BF$3,0))</f>
        <v>0.15</v>
      </c>
      <c r="AH47" s="15">
        <f>INDEX('Unique Asset List'!$BG$4:$BM$60,MATCH('1'!$B47,'Unique Asset List'!$A$4:$A$60,0),MATCH('1'!$C$1,'Unique Asset List'!$BG$3:$BM$3,0))</f>
        <v>0.35</v>
      </c>
      <c r="AI47" s="11">
        <v>0.97304949785176587</v>
      </c>
      <c r="AJ47" s="15">
        <f>INDEX('Unique Asset List'!$AL$4:$AR$60,MATCH('1'!$B47,'Unique Asset List'!$A$4:$A$60,0),MATCH('1'!$C$1,'Unique Asset List'!$AL$3:$AR$3,0))</f>
        <v>1.2267192541321688</v>
      </c>
      <c r="AK47" s="15">
        <f>INDEX('Unique Asset List'!$AS$4:$AY$60,MATCH('1'!$B47,'Unique Asset List'!$A$4:$A$60,0),MATCH('1'!$C$1,'Unique Asset List'!$AS$3:$AY$3,0))</f>
        <v>11.984388276878477</v>
      </c>
      <c r="AL47" s="9">
        <v>160</v>
      </c>
      <c r="AM47" s="14">
        <f>INDEX(Simulation!$B$6:$H$6,MATCH($A47,Simulation!$B$1:$H$1,0))*(1+AN47)^((DATE(X47,Y47,15)-DATE(2017,1,15))/365.5)</f>
        <v>26.601512608584812</v>
      </c>
      <c r="AN47" s="12">
        <v>3.5000000000000003E-2</v>
      </c>
      <c r="AO47" s="13">
        <v>60</v>
      </c>
      <c r="AP47" s="11">
        <v>0.6</v>
      </c>
      <c r="AQ47" s="12">
        <v>-0.02</v>
      </c>
      <c r="AR47" s="11">
        <v>0.5</v>
      </c>
      <c r="AS47" s="10">
        <v>1</v>
      </c>
      <c r="AT47" s="4">
        <f>IF($C$5="ON",BT47,MyRating(_E1,$B47,Efficacy!$F$1))</f>
        <v>0</v>
      </c>
      <c r="AU47" s="3">
        <f>IF($C$5="ON",BU47,MyRating(_E2,$B47,Efficacy!$F$1))</f>
        <v>0</v>
      </c>
      <c r="AV47" s="3">
        <f>IF($C$5="ON",BV47,MyRating(_E3,$B47,Efficacy!$F$1))</f>
        <v>0</v>
      </c>
      <c r="AW47" s="3">
        <f>IF($C$5="ON",BW47,MyRating(_E4,$B47,Efficacy!$F$1))</f>
        <v>0</v>
      </c>
      <c r="AX47" s="3">
        <f>IF($C$5="ON",BX47,MyRating(_E5,$B47,Efficacy!$F$1))</f>
        <v>0</v>
      </c>
      <c r="AY47" s="3">
        <f>IF($C$5="ON",BY47,MyRating(_E6,$B47,Efficacy!$F$1))</f>
        <v>0</v>
      </c>
      <c r="AZ47" s="3">
        <f>IF($C$5="ON",BZ47,MyRating(_E7,$B47,Efficacy!$F$1))</f>
        <v>0</v>
      </c>
      <c r="BA47" s="3">
        <f>IF($C$5="ON",CA47,MyRating(_E8,$B47,Efficacy!$F$1))</f>
        <v>0</v>
      </c>
      <c r="BB47" s="3">
        <f>IF($C$5="ON",CB47,MyRating(_S1,$B47,Efficacy!$F$1))</f>
        <v>0</v>
      </c>
      <c r="BC47" s="3">
        <f>IF($C$5="ON",CC47,MyRating(_S2,$B47,Efficacy!$F$1))</f>
        <v>0</v>
      </c>
      <c r="BD47" s="3">
        <f>IF($C$5="ON",CD47,MyRating(_S3,$B47,Efficacy!$F$1))</f>
        <v>0</v>
      </c>
      <c r="BE47" s="3">
        <f>IF($C$5="ON",CE47,MyRating(_S4,$B47,Efficacy!$F$1))</f>
        <v>0</v>
      </c>
      <c r="BF47" s="3">
        <f>IF($C$5="ON",CF47,MyRating(_S5,$B47,Efficacy!$F$1))</f>
        <v>0</v>
      </c>
      <c r="BG47" s="3">
        <f>IF($C$5="ON",CG47,MyRating(_S6,$B47,Efficacy!$F$1))</f>
        <v>0</v>
      </c>
      <c r="BH47" s="3">
        <f>IF($C$5="ON",CH47,MyRating(_S7,$B47,Efficacy!$F$1))</f>
        <v>0</v>
      </c>
      <c r="BI47" s="3">
        <f>IF($C$5="ON",CI47,MyRating(_D1,$B47,Efficacy!$F$1))</f>
        <v>0</v>
      </c>
      <c r="BJ47" s="3">
        <f>IF($C$5="ON",CJ47,MyRating(_D2,$B47,Efficacy!$F$1))</f>
        <v>0</v>
      </c>
      <c r="BK47" s="3">
        <f>IF($C$5="ON",CK47,MyRating(_D3,$B47,Efficacy!$F$1))</f>
        <v>0</v>
      </c>
      <c r="BL47" s="3">
        <f>IF($C$5="ON",CL47,MyRating(_D4,$B47,Efficacy!$F$1))</f>
        <v>0</v>
      </c>
      <c r="BM47" s="3">
        <f>IF($C$5="ON",CM47,MyRating(_B1,$B47,Barrier!$F$2))</f>
        <v>0</v>
      </c>
      <c r="BN47" s="3">
        <f>IF($C$5="ON",CN47,MyRating(_B2,$B47,Barrier!$F$2))</f>
        <v>0</v>
      </c>
      <c r="BO47" s="6">
        <f>IF($C$5="ON",CO47,MyRating(_B3,$B47,Barrier!$F$2))</f>
        <v>0</v>
      </c>
      <c r="BP47" s="5">
        <f t="shared" si="12"/>
        <v>0</v>
      </c>
      <c r="BQ47" s="8">
        <f t="shared" si="13"/>
        <v>0</v>
      </c>
      <c r="BR47" s="5">
        <f t="shared" si="14"/>
        <v>0</v>
      </c>
      <c r="BS47" s="7">
        <f t="shared" si="15"/>
        <v>0</v>
      </c>
      <c r="BT47" s="4">
        <v>0</v>
      </c>
      <c r="BU47" s="3">
        <v>0</v>
      </c>
      <c r="BV47" s="3">
        <v>0</v>
      </c>
      <c r="BW47" s="3">
        <v>0</v>
      </c>
      <c r="BX47" s="3">
        <v>0</v>
      </c>
      <c r="BY47" s="3">
        <v>0</v>
      </c>
      <c r="BZ47" s="3">
        <v>0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6">
        <v>0</v>
      </c>
      <c r="CP47" s="5"/>
      <c r="CQ47" s="4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</row>
    <row r="48" spans="1:116" x14ac:dyDescent="0.35">
      <c r="A48" s="9" t="s">
        <v>5</v>
      </c>
      <c r="B48" s="9" t="s">
        <v>26</v>
      </c>
      <c r="C48" s="20"/>
      <c r="D48" s="9" t="s">
        <v>25</v>
      </c>
      <c r="E48" s="9"/>
      <c r="F48" s="9" t="s">
        <v>1</v>
      </c>
      <c r="G48" s="19">
        <v>0</v>
      </c>
      <c r="H48" s="9">
        <v>2014</v>
      </c>
      <c r="I48" s="9">
        <v>6</v>
      </c>
      <c r="J48" s="18">
        <f>INDEX(PTRS!$D$6:$D$12,MATCH('1'!$F48,PTRS!$B$6:$B$12,0))</f>
        <v>0.1044225</v>
      </c>
      <c r="K48" s="17">
        <v>0</v>
      </c>
      <c r="L48" s="17">
        <v>0</v>
      </c>
      <c r="M48" s="17">
        <f t="shared" si="16"/>
        <v>0.1044225</v>
      </c>
      <c r="N48" s="17">
        <f t="shared" si="11"/>
        <v>0.1044225</v>
      </c>
      <c r="O48" s="17">
        <v>0.1044225</v>
      </c>
      <c r="P48" s="17">
        <v>0.1044225</v>
      </c>
      <c r="Q48" s="17">
        <f t="shared" si="2"/>
        <v>0</v>
      </c>
      <c r="R48" s="17">
        <v>0.1044225</v>
      </c>
      <c r="S48" s="17">
        <v>1</v>
      </c>
      <c r="T48" s="9" t="s">
        <v>24</v>
      </c>
      <c r="U48" s="22">
        <v>0.86819438565437679</v>
      </c>
      <c r="V48" s="17">
        <v>1</v>
      </c>
      <c r="W48" s="9" t="s">
        <v>24</v>
      </c>
      <c r="X48" s="9">
        <f>INDEX('Unique Asset List'!$C$4:$I$60,MATCH('1'!$B48,'Unique Asset List'!$A$4:$A$60,0),MATCH('1'!$C$1,'Unique Asset List'!$C$3:$I$3,0))</f>
        <v>2031</v>
      </c>
      <c r="Y48" s="9">
        <f>INDEX('Unique Asset List'!$J$4:$P$60,MATCH('1'!$B48,'Unique Asset List'!$A$4:$A$60,0),MATCH('1'!$C$1,'Unique Asset List'!$J$3:$P$3,0))</f>
        <v>4</v>
      </c>
      <c r="Z48" s="9">
        <f>INDEX('Unique Asset List'!$X$4:$AD$60,MATCH('1'!$B48,'Unique Asset List'!$A$4:$A$60,0),MATCH('1'!$C$1,'Unique Asset List'!$X$3:$AD$3,0))</f>
        <v>2043</v>
      </c>
      <c r="AA48" s="9">
        <f>INDEX('Unique Asset List'!$AE$4:$AK$60,MATCH('1'!$B48,'Unique Asset List'!$A$4:$A$60,0),MATCH('1'!$C$1,'Unique Asset List'!$AE$3:$AK$3,0))</f>
        <v>4</v>
      </c>
      <c r="AB48" s="16">
        <f>AB30</f>
        <v>1.8077445000000001</v>
      </c>
      <c r="AC48" s="16">
        <f>AC30</f>
        <v>0.94137550000000003</v>
      </c>
      <c r="AD48" s="16">
        <f>AD30</f>
        <v>0.56099999999999994</v>
      </c>
      <c r="AE48" s="15">
        <f>INDEX('Unique Asset List'!$BN$4:$BT$60,MATCH('1'!$B48,'Unique Asset List'!$A$4:$A$60,0),MATCH('1'!$C$1,'Unique Asset List'!$BN$3:$BT$3,0))</f>
        <v>0.15</v>
      </c>
      <c r="AF48" s="15">
        <f>INDEX('Unique Asset List'!$BU$4:$CA$60,MATCH('1'!$B48,'Unique Asset List'!$A$4:$A$60,0),MATCH('1'!$C$1,'Unique Asset List'!$BU$3:$CA$3,0))</f>
        <v>0.35</v>
      </c>
      <c r="AG48" s="15">
        <f>INDEX('Unique Asset List'!$AZ$4:$BF$60,MATCH('1'!$B48,'Unique Asset List'!$A$4:$A$60,0),MATCH('1'!$C$1,'Unique Asset List'!$AZ$3:$BF$3,0))</f>
        <v>0.15</v>
      </c>
      <c r="AH48" s="15">
        <f>INDEX('Unique Asset List'!$BG$4:$BM$60,MATCH('1'!$B48,'Unique Asset List'!$A$4:$A$60,0),MATCH('1'!$C$1,'Unique Asset List'!$BG$3:$BM$3,0))</f>
        <v>0.35</v>
      </c>
      <c r="AI48" s="11">
        <v>0.97304949785176587</v>
      </c>
      <c r="AJ48" s="15">
        <f>INDEX('Unique Asset List'!$AL$4:$AR$60,MATCH('1'!$B48,'Unique Asset List'!$A$4:$A$60,0),MATCH('1'!$C$1,'Unique Asset List'!$AL$3:$AR$3,0))</f>
        <v>1.2267192541321688</v>
      </c>
      <c r="AK48" s="15">
        <f>INDEX('Unique Asset List'!$AS$4:$AY$60,MATCH('1'!$B48,'Unique Asset List'!$A$4:$A$60,0),MATCH('1'!$C$1,'Unique Asset List'!$AS$3:$AY$3,0))</f>
        <v>11.984388276878477</v>
      </c>
      <c r="AL48" s="9">
        <v>160</v>
      </c>
      <c r="AM48" s="14">
        <f>INDEX(Simulation!$B$6:$H$6,MATCH($A48,Simulation!$B$1:$H$1,0))*(1+AN48)^((DATE(X48,Y48,15)-DATE(2017,1,15))/365.5)</f>
        <v>24.477752125521665</v>
      </c>
      <c r="AN48" s="12">
        <v>3.5000000000000003E-2</v>
      </c>
      <c r="AO48" s="13">
        <v>60</v>
      </c>
      <c r="AP48" s="11">
        <v>0.6</v>
      </c>
      <c r="AQ48" s="12">
        <v>-0.02</v>
      </c>
      <c r="AR48" s="11">
        <v>0.5</v>
      </c>
      <c r="AS48" s="10">
        <v>1</v>
      </c>
      <c r="AT48" s="4">
        <f>IF($C$5="ON",BT48,MyRating(_E1,$B48,Efficacy!$F$1))</f>
        <v>0</v>
      </c>
      <c r="AU48" s="3">
        <f>IF($C$5="ON",BU48,MyRating(_E2,$B48,Efficacy!$F$1))</f>
        <v>0</v>
      </c>
      <c r="AV48" s="3">
        <f>IF($C$5="ON",BV48,MyRating(_E3,$B48,Efficacy!$F$1))</f>
        <v>0</v>
      </c>
      <c r="AW48" s="3">
        <f>IF($C$5="ON",BW48,MyRating(_E4,$B48,Efficacy!$F$1))</f>
        <v>0</v>
      </c>
      <c r="AX48" s="3">
        <f>IF($C$5="ON",BX48,MyRating(_E5,$B48,Efficacy!$F$1))</f>
        <v>0</v>
      </c>
      <c r="AY48" s="3">
        <f>IF($C$5="ON",BY48,MyRating(_E6,$B48,Efficacy!$F$1))</f>
        <v>0</v>
      </c>
      <c r="AZ48" s="3">
        <f>IF($C$5="ON",BZ48,MyRating(_E7,$B48,Efficacy!$F$1))</f>
        <v>0</v>
      </c>
      <c r="BA48" s="3">
        <f>IF($C$5="ON",CA48,MyRating(_E8,$B48,Efficacy!$F$1))</f>
        <v>0</v>
      </c>
      <c r="BB48" s="3">
        <f>IF($C$5="ON",CB48,MyRating(_S1,$B48,Efficacy!$F$1))</f>
        <v>0</v>
      </c>
      <c r="BC48" s="3">
        <f>IF($C$5="ON",CC48,MyRating(_S2,$B48,Efficacy!$F$1))</f>
        <v>0</v>
      </c>
      <c r="BD48" s="3">
        <f>IF($C$5="ON",CD48,MyRating(_S3,$B48,Efficacy!$F$1))</f>
        <v>0</v>
      </c>
      <c r="BE48" s="3">
        <f>IF($C$5="ON",CE48,MyRating(_S4,$B48,Efficacy!$F$1))</f>
        <v>0</v>
      </c>
      <c r="BF48" s="3">
        <f>IF($C$5="ON",CF48,MyRating(_S5,$B48,Efficacy!$F$1))</f>
        <v>0</v>
      </c>
      <c r="BG48" s="3">
        <f>IF($C$5="ON",CG48,MyRating(_S6,$B48,Efficacy!$F$1))</f>
        <v>0</v>
      </c>
      <c r="BH48" s="3">
        <f>IF($C$5="ON",CH48,MyRating(_S7,$B48,Efficacy!$F$1))</f>
        <v>0</v>
      </c>
      <c r="BI48" s="3">
        <f>IF($C$5="ON",CI48,MyRating(_D1,$B48,Efficacy!$F$1))</f>
        <v>0</v>
      </c>
      <c r="BJ48" s="3">
        <f>IF($C$5="ON",CJ48,MyRating(_D2,$B48,Efficacy!$F$1))</f>
        <v>0</v>
      </c>
      <c r="BK48" s="3">
        <f>IF($C$5="ON",CK48,MyRating(_D3,$B48,Efficacy!$F$1))</f>
        <v>0</v>
      </c>
      <c r="BL48" s="3">
        <f>IF($C$5="ON",CL48,MyRating(_D4,$B48,Efficacy!$F$1))</f>
        <v>0</v>
      </c>
      <c r="BM48" s="3">
        <f>IF($C$5="ON",CM48,MyRating(_B1,$B48,Barrier!$F$2))</f>
        <v>0</v>
      </c>
      <c r="BN48" s="3">
        <f>IF($C$5="ON",CN48,MyRating(_B2,$B48,Barrier!$F$2))</f>
        <v>0</v>
      </c>
      <c r="BO48" s="6">
        <f>IF($C$5="ON",CO48,MyRating(_B3,$B48,Barrier!$F$2))</f>
        <v>0</v>
      </c>
      <c r="BP48" s="5">
        <f t="shared" si="12"/>
        <v>0</v>
      </c>
      <c r="BQ48" s="8">
        <f t="shared" si="13"/>
        <v>0</v>
      </c>
      <c r="BR48" s="5">
        <f t="shared" si="14"/>
        <v>0</v>
      </c>
      <c r="BS48" s="7">
        <f t="shared" si="15"/>
        <v>0</v>
      </c>
      <c r="BT48" s="4">
        <v>0</v>
      </c>
      <c r="BU48" s="3">
        <v>0</v>
      </c>
      <c r="BV48" s="3">
        <v>0</v>
      </c>
      <c r="BW48" s="3">
        <v>0</v>
      </c>
      <c r="BX48" s="3">
        <v>0</v>
      </c>
      <c r="BY48" s="3">
        <v>0</v>
      </c>
      <c r="BZ48" s="3">
        <v>0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6">
        <v>0</v>
      </c>
      <c r="CP48" s="5"/>
      <c r="CQ48" s="4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</row>
    <row r="49" spans="1:116" x14ac:dyDescent="0.35">
      <c r="A49" s="9" t="s">
        <v>5</v>
      </c>
      <c r="B49" s="9" t="s">
        <v>23</v>
      </c>
      <c r="C49" s="20"/>
      <c r="D49" s="9" t="s">
        <v>22</v>
      </c>
      <c r="E49" s="9"/>
      <c r="F49" s="9" t="s">
        <v>1</v>
      </c>
      <c r="G49" s="19">
        <v>0</v>
      </c>
      <c r="H49" s="9">
        <v>2014</v>
      </c>
      <c r="I49" s="9">
        <v>6</v>
      </c>
      <c r="J49" s="18">
        <f>INDEX(PTRS!$D$6:$D$12,MATCH('1'!$F49,PTRS!$B$6:$B$12,0))</f>
        <v>0.1044225</v>
      </c>
      <c r="K49" s="17">
        <v>0</v>
      </c>
      <c r="L49" s="17">
        <v>0</v>
      </c>
      <c r="M49" s="17">
        <f t="shared" si="16"/>
        <v>0.1044225</v>
      </c>
      <c r="N49" s="17">
        <f t="shared" si="11"/>
        <v>0.1044225</v>
      </c>
      <c r="O49" s="17">
        <v>0.1044225</v>
      </c>
      <c r="P49" s="17">
        <v>0.1044225</v>
      </c>
      <c r="Q49" s="17">
        <f t="shared" si="2"/>
        <v>0</v>
      </c>
      <c r="R49" s="17">
        <v>0.1044225</v>
      </c>
      <c r="S49" s="17">
        <v>1</v>
      </c>
      <c r="T49" s="9" t="s">
        <v>21</v>
      </c>
      <c r="U49" s="22">
        <v>0.86819438565437679</v>
      </c>
      <c r="V49" s="17">
        <v>1</v>
      </c>
      <c r="W49" s="9" t="s">
        <v>20</v>
      </c>
      <c r="X49" s="9">
        <f>INDEX('Unique Asset List'!$C$4:$I$60,MATCH('1'!$B49,'Unique Asset List'!$A$4:$A$60,0),MATCH('1'!$C$1,'Unique Asset List'!$C$3:$I$3,0))</f>
        <v>2030</v>
      </c>
      <c r="Y49" s="9">
        <f>INDEX('Unique Asset List'!$J$4:$P$60,MATCH('1'!$B49,'Unique Asset List'!$A$4:$A$60,0),MATCH('1'!$C$1,'Unique Asset List'!$J$3:$P$3,0))</f>
        <v>6</v>
      </c>
      <c r="Z49" s="9">
        <f>INDEX('Unique Asset List'!$X$4:$AD$60,MATCH('1'!$B49,'Unique Asset List'!$A$4:$A$60,0),MATCH('1'!$C$1,'Unique Asset List'!$X$3:$AD$3,0))</f>
        <v>2042</v>
      </c>
      <c r="AA49" s="9">
        <f>INDEX('Unique Asset List'!$AE$4:$AK$60,MATCH('1'!$B49,'Unique Asset List'!$A$4:$A$60,0),MATCH('1'!$C$1,'Unique Asset List'!$AE$3:$AK$3,0))</f>
        <v>6</v>
      </c>
      <c r="AB49" s="16">
        <f>AB27</f>
        <v>1.4855229000000001</v>
      </c>
      <c r="AC49" s="16">
        <f>AC27</f>
        <v>0.91486990000000001</v>
      </c>
      <c r="AD49" s="16">
        <f>AD27</f>
        <v>0.56099999999999994</v>
      </c>
      <c r="AE49" s="15">
        <f>INDEX('Unique Asset List'!$BN$4:$BT$60,MATCH('1'!$B49,'Unique Asset List'!$A$4:$A$60,0),MATCH('1'!$C$1,'Unique Asset List'!$BN$3:$BT$3,0))</f>
        <v>0.15</v>
      </c>
      <c r="AF49" s="15">
        <f>INDEX('Unique Asset List'!$BU$4:$CA$60,MATCH('1'!$B49,'Unique Asset List'!$A$4:$A$60,0),MATCH('1'!$C$1,'Unique Asset List'!$BU$3:$CA$3,0))</f>
        <v>0.35</v>
      </c>
      <c r="AG49" s="15">
        <f>INDEX('Unique Asset List'!$AZ$4:$BF$60,MATCH('1'!$B49,'Unique Asset List'!$A$4:$A$60,0),MATCH('1'!$C$1,'Unique Asset List'!$AZ$3:$BF$3,0))</f>
        <v>0.15</v>
      </c>
      <c r="AH49" s="15">
        <f>INDEX('Unique Asset List'!$BG$4:$BM$60,MATCH('1'!$B49,'Unique Asset List'!$A$4:$A$60,0),MATCH('1'!$C$1,'Unique Asset List'!$BG$3:$BM$3,0))</f>
        <v>0.35</v>
      </c>
      <c r="AI49" s="11">
        <v>0.97304949785176587</v>
      </c>
      <c r="AJ49" s="15">
        <f>INDEX('Unique Asset List'!$AL$4:$AR$60,MATCH('1'!$B49,'Unique Asset List'!$A$4:$A$60,0),MATCH('1'!$C$1,'Unique Asset List'!$AL$3:$AR$3,0))</f>
        <v>1.2267192541321688</v>
      </c>
      <c r="AK49" s="15">
        <f>INDEX('Unique Asset List'!$AS$4:$AY$60,MATCH('1'!$B49,'Unique Asset List'!$A$4:$A$60,0),MATCH('1'!$C$1,'Unique Asset List'!$AS$3:$AY$3,0))</f>
        <v>11.984388276878477</v>
      </c>
      <c r="AL49" s="9">
        <v>160</v>
      </c>
      <c r="AM49" s="14">
        <f>INDEX(Simulation!$B$6:$H$6,MATCH($A49,Simulation!$B$1:$H$1,0))*(1+AN49)^((DATE(X49,Y49,15)-DATE(2017,1,15))/365.5)</f>
        <v>23.787296487101759</v>
      </c>
      <c r="AN49" s="12">
        <v>3.5000000000000003E-2</v>
      </c>
      <c r="AO49" s="13">
        <v>60</v>
      </c>
      <c r="AP49" s="11">
        <v>0.6</v>
      </c>
      <c r="AQ49" s="12">
        <v>-0.02</v>
      </c>
      <c r="AR49" s="11">
        <v>0.5</v>
      </c>
      <c r="AS49" s="10">
        <v>1</v>
      </c>
      <c r="AT49" s="4">
        <f>IF($C$5="ON",BT49,MyRating(_E1,$B49,Efficacy!$F$1))</f>
        <v>0</v>
      </c>
      <c r="AU49" s="3">
        <f>IF($C$5="ON",BU49,MyRating(_E2,$B49,Efficacy!$F$1))</f>
        <v>0</v>
      </c>
      <c r="AV49" s="3">
        <f>IF($C$5="ON",BV49,MyRating(_E3,$B49,Efficacy!$F$1))</f>
        <v>0</v>
      </c>
      <c r="AW49" s="3">
        <f>IF($C$5="ON",BW49,MyRating(_E4,$B49,Efficacy!$F$1))</f>
        <v>0</v>
      </c>
      <c r="AX49" s="3">
        <f>IF($C$5="ON",BX49,MyRating(_E5,$B49,Efficacy!$F$1))</f>
        <v>0</v>
      </c>
      <c r="AY49" s="3">
        <f>IF($C$5="ON",BY49,MyRating(_E6,$B49,Efficacy!$F$1))</f>
        <v>0</v>
      </c>
      <c r="AZ49" s="3">
        <f>IF($C$5="ON",BZ49,MyRating(_E7,$B49,Efficacy!$F$1))</f>
        <v>0</v>
      </c>
      <c r="BA49" s="3">
        <f>IF($C$5="ON",CA49,MyRating(_E8,$B49,Efficacy!$F$1))</f>
        <v>0</v>
      </c>
      <c r="BB49" s="3">
        <f>IF($C$5="ON",CB49,MyRating(_S1,$B49,Efficacy!$F$1))</f>
        <v>0</v>
      </c>
      <c r="BC49" s="3">
        <f>IF($C$5="ON",CC49,MyRating(_S2,$B49,Efficacy!$F$1))</f>
        <v>0</v>
      </c>
      <c r="BD49" s="3">
        <f>IF($C$5="ON",CD49,MyRating(_S3,$B49,Efficacy!$F$1))</f>
        <v>0</v>
      </c>
      <c r="BE49" s="3">
        <f>IF($C$5="ON",CE49,MyRating(_S4,$B49,Efficacy!$F$1))</f>
        <v>0</v>
      </c>
      <c r="BF49" s="3">
        <f>IF($C$5="ON",CF49,MyRating(_S5,$B49,Efficacy!$F$1))</f>
        <v>0</v>
      </c>
      <c r="BG49" s="3">
        <f>IF($C$5="ON",CG49,MyRating(_S6,$B49,Efficacy!$F$1))</f>
        <v>0</v>
      </c>
      <c r="BH49" s="3">
        <f>IF($C$5="ON",CH49,MyRating(_S7,$B49,Efficacy!$F$1))</f>
        <v>0</v>
      </c>
      <c r="BI49" s="3">
        <f>IF($C$5="ON",CI49,MyRating(_D1,$B49,Efficacy!$F$1))</f>
        <v>0</v>
      </c>
      <c r="BJ49" s="3">
        <f>IF($C$5="ON",CJ49,MyRating(_D2,$B49,Efficacy!$F$1))</f>
        <v>0</v>
      </c>
      <c r="BK49" s="3">
        <f>IF($C$5="ON",CK49,MyRating(_D3,$B49,Efficacy!$F$1))</f>
        <v>0</v>
      </c>
      <c r="BL49" s="3">
        <f>IF($C$5="ON",CL49,MyRating(_D4,$B49,Efficacy!$F$1))</f>
        <v>0</v>
      </c>
      <c r="BM49" s="3">
        <f>IF($C$5="ON",CM49,MyRating(_B1,$B49,Barrier!$F$2))</f>
        <v>0</v>
      </c>
      <c r="BN49" s="3">
        <f>IF($C$5="ON",CN49,MyRating(_B2,$B49,Barrier!$F$2))</f>
        <v>0</v>
      </c>
      <c r="BO49" s="6">
        <f>IF($C$5="ON",CO49,MyRating(_B3,$B49,Barrier!$F$2))</f>
        <v>0</v>
      </c>
      <c r="BP49" s="5">
        <f t="shared" si="12"/>
        <v>0</v>
      </c>
      <c r="BQ49" s="8">
        <f t="shared" si="13"/>
        <v>0</v>
      </c>
      <c r="BR49" s="5">
        <f t="shared" si="14"/>
        <v>0</v>
      </c>
      <c r="BS49" s="7">
        <f t="shared" si="15"/>
        <v>0</v>
      </c>
      <c r="BT49" s="4">
        <v>0</v>
      </c>
      <c r="BU49" s="3">
        <v>0</v>
      </c>
      <c r="BV49" s="3">
        <v>0</v>
      </c>
      <c r="BW49" s="3">
        <v>0</v>
      </c>
      <c r="BX49" s="3">
        <v>0</v>
      </c>
      <c r="BY49" s="3">
        <v>0</v>
      </c>
      <c r="BZ49" s="3">
        <v>0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6">
        <v>0</v>
      </c>
      <c r="CP49" s="5"/>
      <c r="CQ49" s="4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</row>
    <row r="50" spans="1:116" x14ac:dyDescent="0.35">
      <c r="A50" s="9" t="s">
        <v>5</v>
      </c>
      <c r="B50" s="9" t="s">
        <v>19</v>
      </c>
      <c r="C50" s="20"/>
      <c r="D50" s="9" t="s">
        <v>18</v>
      </c>
      <c r="E50" s="9"/>
      <c r="F50" s="9" t="s">
        <v>1</v>
      </c>
      <c r="G50" s="19">
        <v>0</v>
      </c>
      <c r="H50" s="9">
        <v>2014</v>
      </c>
      <c r="I50" s="9">
        <v>6</v>
      </c>
      <c r="J50" s="18">
        <f>INDEX(PTRS!$D$6:$D$12,MATCH('1'!$F50,PTRS!$B$6:$B$12,0))</f>
        <v>0.1044225</v>
      </c>
      <c r="K50" s="17">
        <v>0</v>
      </c>
      <c r="L50" s="17">
        <v>0</v>
      </c>
      <c r="M50" s="17">
        <f t="shared" si="16"/>
        <v>0.1044225</v>
      </c>
      <c r="N50" s="17">
        <f t="shared" si="11"/>
        <v>0.1044225</v>
      </c>
      <c r="O50" s="17">
        <v>0.1044225</v>
      </c>
      <c r="P50" s="17">
        <v>0.1044225</v>
      </c>
      <c r="Q50" s="17">
        <f t="shared" si="2"/>
        <v>0</v>
      </c>
      <c r="R50" s="17">
        <v>0.1044225</v>
      </c>
      <c r="S50" s="17">
        <v>1</v>
      </c>
      <c r="T50" s="9" t="s">
        <v>17</v>
      </c>
      <c r="U50" s="22">
        <v>0.86819438565437679</v>
      </c>
      <c r="V50" s="17">
        <v>1</v>
      </c>
      <c r="W50" s="9" t="s">
        <v>16</v>
      </c>
      <c r="X50" s="9">
        <f>INDEX('Unique Asset List'!$C$4:$I$60,MATCH('1'!$B50,'Unique Asset List'!$A$4:$A$60,0),MATCH('1'!$C$1,'Unique Asset List'!$C$3:$I$3,0))</f>
        <v>2029</v>
      </c>
      <c r="Y50" s="9">
        <f>INDEX('Unique Asset List'!$J$4:$P$60,MATCH('1'!$B50,'Unique Asset List'!$A$4:$A$60,0),MATCH('1'!$C$1,'Unique Asset List'!$J$3:$P$3,0))</f>
        <v>11</v>
      </c>
      <c r="Z50" s="9">
        <f>INDEX('Unique Asset List'!$X$4:$AD$60,MATCH('1'!$B50,'Unique Asset List'!$A$4:$A$60,0),MATCH('1'!$C$1,'Unique Asset List'!$X$3:$AD$3,0))</f>
        <v>2041</v>
      </c>
      <c r="AA50" s="9">
        <f>INDEX('Unique Asset List'!$AE$4:$AK$60,MATCH('1'!$B50,'Unique Asset List'!$A$4:$A$60,0),MATCH('1'!$C$1,'Unique Asset List'!$AE$3:$AK$3,0))</f>
        <v>11</v>
      </c>
      <c r="AB50" s="16">
        <f>AB21</f>
        <v>1.5776481999999998</v>
      </c>
      <c r="AC50" s="16">
        <f>AC21</f>
        <v>0.97947730000000011</v>
      </c>
      <c r="AD50" s="16">
        <f>AD21</f>
        <v>0.56099999999999994</v>
      </c>
      <c r="AE50" s="15">
        <f>INDEX('Unique Asset List'!$BN$4:$BT$60,MATCH('1'!$B50,'Unique Asset List'!$A$4:$A$60,0),MATCH('1'!$C$1,'Unique Asset List'!$BN$3:$BT$3,0))</f>
        <v>0.15</v>
      </c>
      <c r="AF50" s="15">
        <f>INDEX('Unique Asset List'!$BU$4:$CA$60,MATCH('1'!$B50,'Unique Asset List'!$A$4:$A$60,0),MATCH('1'!$C$1,'Unique Asset List'!$BU$3:$CA$3,0))</f>
        <v>0.35</v>
      </c>
      <c r="AG50" s="15">
        <f>INDEX('Unique Asset List'!$AZ$4:$BF$60,MATCH('1'!$B50,'Unique Asset List'!$A$4:$A$60,0),MATCH('1'!$C$1,'Unique Asset List'!$AZ$3:$BF$3,0))</f>
        <v>0.15</v>
      </c>
      <c r="AH50" s="15">
        <f>INDEX('Unique Asset List'!$BG$4:$BM$60,MATCH('1'!$B50,'Unique Asset List'!$A$4:$A$60,0),MATCH('1'!$C$1,'Unique Asset List'!$BG$3:$BM$3,0))</f>
        <v>0.35</v>
      </c>
      <c r="AI50" s="11">
        <v>0.97304949785176587</v>
      </c>
      <c r="AJ50" s="15">
        <f>INDEX('Unique Asset List'!$AL$4:$AR$60,MATCH('1'!$B50,'Unique Asset List'!$A$4:$A$60,0),MATCH('1'!$C$1,'Unique Asset List'!$AL$3:$AR$3,0))</f>
        <v>1.2267192541321688</v>
      </c>
      <c r="AK50" s="15">
        <f>INDEX('Unique Asset List'!$AS$4:$AY$60,MATCH('1'!$B50,'Unique Asset List'!$A$4:$A$60,0),MATCH('1'!$C$1,'Unique Asset List'!$AS$3:$AY$3,0))</f>
        <v>11.984388276878477</v>
      </c>
      <c r="AL50" s="9">
        <v>160</v>
      </c>
      <c r="AM50" s="14">
        <f>INDEX(Simulation!$B$6:$H$6,MATCH($A50,Simulation!$B$1:$H$1,0))*(1+AN50)^((DATE(X50,Y50,15)-DATE(2017,1,15))/365.5)</f>
        <v>23.317354424631613</v>
      </c>
      <c r="AN50" s="12">
        <v>3.5000000000000003E-2</v>
      </c>
      <c r="AO50" s="13">
        <v>60</v>
      </c>
      <c r="AP50" s="11">
        <v>0.6</v>
      </c>
      <c r="AQ50" s="12">
        <v>-0.02</v>
      </c>
      <c r="AR50" s="11">
        <v>0.5</v>
      </c>
      <c r="AS50" s="10">
        <v>1</v>
      </c>
      <c r="AT50" s="4">
        <f>IF($C$5="ON",BT50,MyRating(_E1,$B50,Efficacy!$F$1))</f>
        <v>0</v>
      </c>
      <c r="AU50" s="3">
        <f>IF($C$5="ON",BU50,MyRating(_E2,$B50,Efficacy!$F$1))</f>
        <v>0</v>
      </c>
      <c r="AV50" s="3">
        <f>IF($C$5="ON",BV50,MyRating(_E3,$B50,Efficacy!$F$1))</f>
        <v>0</v>
      </c>
      <c r="AW50" s="3">
        <f>IF($C$5="ON",BW50,MyRating(_E4,$B50,Efficacy!$F$1))</f>
        <v>0</v>
      </c>
      <c r="AX50" s="3">
        <f>IF($C$5="ON",BX50,MyRating(_E5,$B50,Efficacy!$F$1))</f>
        <v>0</v>
      </c>
      <c r="AY50" s="3">
        <f>IF($C$5="ON",BY50,MyRating(_E6,$B50,Efficacy!$F$1))</f>
        <v>0</v>
      </c>
      <c r="AZ50" s="3">
        <f>IF($C$5="ON",BZ50,MyRating(_E7,$B50,Efficacy!$F$1))</f>
        <v>0</v>
      </c>
      <c r="BA50" s="3">
        <f>IF($C$5="ON",CA50,MyRating(_E8,$B50,Efficacy!$F$1))</f>
        <v>0</v>
      </c>
      <c r="BB50" s="3">
        <f>IF($C$5="ON",CB50,MyRating(_S1,$B50,Efficacy!$F$1))</f>
        <v>0</v>
      </c>
      <c r="BC50" s="3">
        <f>IF($C$5="ON",CC50,MyRating(_S2,$B50,Efficacy!$F$1))</f>
        <v>0</v>
      </c>
      <c r="BD50" s="3">
        <f>IF($C$5="ON",CD50,MyRating(_S3,$B50,Efficacy!$F$1))</f>
        <v>0</v>
      </c>
      <c r="BE50" s="3">
        <f>IF($C$5="ON",CE50,MyRating(_S4,$B50,Efficacy!$F$1))</f>
        <v>0</v>
      </c>
      <c r="BF50" s="3">
        <f>IF($C$5="ON",CF50,MyRating(_S5,$B50,Efficacy!$F$1))</f>
        <v>0</v>
      </c>
      <c r="BG50" s="3">
        <f>IF($C$5="ON",CG50,MyRating(_S6,$B50,Efficacy!$F$1))</f>
        <v>0</v>
      </c>
      <c r="BH50" s="3">
        <f>IF($C$5="ON",CH50,MyRating(_S7,$B50,Efficacy!$F$1))</f>
        <v>0</v>
      </c>
      <c r="BI50" s="3">
        <f>IF($C$5="ON",CI50,MyRating(_D1,$B50,Efficacy!$F$1))</f>
        <v>0</v>
      </c>
      <c r="BJ50" s="3">
        <f>IF($C$5="ON",CJ50,MyRating(_D2,$B50,Efficacy!$F$1))</f>
        <v>0</v>
      </c>
      <c r="BK50" s="3">
        <f>IF($C$5="ON",CK50,MyRating(_D3,$B50,Efficacy!$F$1))</f>
        <v>0</v>
      </c>
      <c r="BL50" s="3">
        <f>IF($C$5="ON",CL50,MyRating(_D4,$B50,Efficacy!$F$1))</f>
        <v>0</v>
      </c>
      <c r="BM50" s="3">
        <f>IF($C$5="ON",CM50,MyRating(_B1,$B50,Barrier!$F$2))</f>
        <v>0</v>
      </c>
      <c r="BN50" s="3">
        <f>IF($C$5="ON",CN50,MyRating(_B2,$B50,Barrier!$F$2))</f>
        <v>0</v>
      </c>
      <c r="BO50" s="6">
        <f>IF($C$5="ON",CO50,MyRating(_B3,$B50,Barrier!$F$2))</f>
        <v>0</v>
      </c>
      <c r="BP50" s="5">
        <f t="shared" si="12"/>
        <v>0</v>
      </c>
      <c r="BQ50" s="8">
        <f t="shared" si="13"/>
        <v>0</v>
      </c>
      <c r="BR50" s="5">
        <f t="shared" si="14"/>
        <v>0</v>
      </c>
      <c r="BS50" s="7">
        <f t="shared" si="15"/>
        <v>0</v>
      </c>
      <c r="BT50" s="4">
        <v>0</v>
      </c>
      <c r="BU50" s="3">
        <v>0</v>
      </c>
      <c r="BV50" s="3">
        <v>0</v>
      </c>
      <c r="BW50" s="3">
        <v>0</v>
      </c>
      <c r="BX50" s="3">
        <v>0</v>
      </c>
      <c r="BY50" s="3">
        <v>0</v>
      </c>
      <c r="BZ50" s="3">
        <v>0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6">
        <v>0</v>
      </c>
      <c r="CP50" s="5"/>
      <c r="CQ50" s="4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</row>
    <row r="51" spans="1:116" x14ac:dyDescent="0.35">
      <c r="A51" s="9" t="s">
        <v>5</v>
      </c>
      <c r="B51" s="9" t="s">
        <v>13</v>
      </c>
      <c r="C51" s="20"/>
      <c r="D51" s="9" t="s">
        <v>2</v>
      </c>
      <c r="E51" s="9"/>
      <c r="F51" s="9" t="s">
        <v>1</v>
      </c>
      <c r="G51" s="19">
        <v>0</v>
      </c>
      <c r="H51" s="9">
        <v>2014</v>
      </c>
      <c r="I51" s="9">
        <v>6</v>
      </c>
      <c r="J51" s="18">
        <f>INDEX(PTRS!$D$6:$D$12,MATCH('1'!$F51,PTRS!$B$6:$B$12,0))</f>
        <v>0.1044225</v>
      </c>
      <c r="K51" s="17">
        <v>0</v>
      </c>
      <c r="L51" s="17">
        <v>0</v>
      </c>
      <c r="M51" s="17">
        <f t="shared" si="16"/>
        <v>0.1044225</v>
      </c>
      <c r="N51" s="17">
        <v>0</v>
      </c>
      <c r="O51" s="17">
        <v>1</v>
      </c>
      <c r="P51" s="17">
        <v>0.1044225</v>
      </c>
      <c r="Q51" s="17">
        <f t="shared" si="2"/>
        <v>1</v>
      </c>
      <c r="R51" s="17">
        <v>0.1044225</v>
      </c>
      <c r="S51" s="17">
        <v>1</v>
      </c>
      <c r="T51" s="17"/>
      <c r="U51" s="22">
        <v>0.86819438565437679</v>
      </c>
      <c r="V51" s="17">
        <v>1</v>
      </c>
      <c r="W51" s="9" t="s">
        <v>13</v>
      </c>
      <c r="X51" s="9">
        <f>INDEX('Unique Asset List'!$C$4:$I$60,MATCH('1'!$B51,'Unique Asset List'!$A$4:$A$60,0),MATCH('1'!$C$1,'Unique Asset List'!$C$3:$I$3,0))</f>
        <v>2029</v>
      </c>
      <c r="Y51" s="9">
        <f>INDEX('Unique Asset List'!$J$4:$P$60,MATCH('1'!$B51,'Unique Asset List'!$A$4:$A$60,0),MATCH('1'!$C$1,'Unique Asset List'!$J$3:$P$3,0))</f>
        <v>6</v>
      </c>
      <c r="Z51" s="9">
        <f>INDEX('Unique Asset List'!$X$4:$AD$60,MATCH('1'!$B51,'Unique Asset List'!$A$4:$A$60,0),MATCH('1'!$C$1,'Unique Asset List'!$X$3:$AD$3,0))</f>
        <v>2042</v>
      </c>
      <c r="AA51" s="9">
        <f>INDEX('Unique Asset List'!$AE$4:$AK$60,MATCH('1'!$B51,'Unique Asset List'!$A$4:$A$60,0),MATCH('1'!$C$1,'Unique Asset List'!$AE$3:$AK$3,0))</f>
        <v>6</v>
      </c>
      <c r="AB51" s="21">
        <v>2.3276916000000001</v>
      </c>
      <c r="AC51" s="21">
        <v>0.87990560000000007</v>
      </c>
      <c r="AD51" s="21">
        <v>0.56099999999999994</v>
      </c>
      <c r="AE51" s="15">
        <f>INDEX('Unique Asset List'!$BN$4:$BT$60,MATCH('1'!$B51,'Unique Asset List'!$A$4:$A$60,0),MATCH('1'!$C$1,'Unique Asset List'!$BN$3:$BT$3,0))</f>
        <v>0.15</v>
      </c>
      <c r="AF51" s="15">
        <f>INDEX('Unique Asset List'!$BU$4:$CA$60,MATCH('1'!$B51,'Unique Asset List'!$A$4:$A$60,0),MATCH('1'!$C$1,'Unique Asset List'!$BU$3:$CA$3,0))</f>
        <v>0.35</v>
      </c>
      <c r="AG51" s="15">
        <f>INDEX('Unique Asset List'!$AZ$4:$BF$60,MATCH('1'!$B51,'Unique Asset List'!$A$4:$A$60,0),MATCH('1'!$C$1,'Unique Asset List'!$AZ$3:$BF$3,0))</f>
        <v>0.15</v>
      </c>
      <c r="AH51" s="15">
        <f>INDEX('Unique Asset List'!$BG$4:$BM$60,MATCH('1'!$B51,'Unique Asset List'!$A$4:$A$60,0),MATCH('1'!$C$1,'Unique Asset List'!$BG$3:$BM$3,0))</f>
        <v>0.35</v>
      </c>
      <c r="AI51" s="11">
        <v>0.97304949785176587</v>
      </c>
      <c r="AJ51" s="15">
        <f>INDEX('Unique Asset List'!$AL$4:$AR$60,MATCH('1'!$B51,'Unique Asset List'!$A$4:$A$60,0),MATCH('1'!$C$1,'Unique Asset List'!$AL$3:$AR$3,0))</f>
        <v>1.2267192541321688</v>
      </c>
      <c r="AK51" s="15">
        <f>INDEX('Unique Asset List'!$AS$4:$AY$60,MATCH('1'!$B51,'Unique Asset List'!$A$4:$A$60,0),MATCH('1'!$C$1,'Unique Asset List'!$AS$3:$AY$3,0))</f>
        <v>11.984388276878477</v>
      </c>
      <c r="AL51" s="9">
        <v>160</v>
      </c>
      <c r="AM51" s="14">
        <f>INDEX(Simulation!$B$6:$H$6,MATCH($A51,Simulation!$B$1:$H$1,0))*(1+AN51)^((DATE(X51,Y51,15)-DATE(2017,1,15))/365.5)</f>
        <v>22.983976774934614</v>
      </c>
      <c r="AN51" s="12">
        <v>3.5000000000000003E-2</v>
      </c>
      <c r="AO51" s="13">
        <v>60</v>
      </c>
      <c r="AP51" s="11">
        <v>0.6</v>
      </c>
      <c r="AQ51" s="12">
        <v>-0.02</v>
      </c>
      <c r="AR51" s="11">
        <v>0.5</v>
      </c>
      <c r="AS51" s="10">
        <v>1</v>
      </c>
      <c r="AT51" s="4">
        <f>IF($C$5="ON",BT51,MyRating(_E1,$B51,Efficacy!$F$1))</f>
        <v>0</v>
      </c>
      <c r="AU51" s="3">
        <f>IF($C$5="ON",BU51,MyRating(_E2,$B51,Efficacy!$F$1))</f>
        <v>0</v>
      </c>
      <c r="AV51" s="3">
        <f>IF($C$5="ON",BV51,MyRating(_E3,$B51,Efficacy!$F$1))</f>
        <v>0</v>
      </c>
      <c r="AW51" s="3">
        <f>IF($C$5="ON",BW51,MyRating(_E4,$B51,Efficacy!$F$1))</f>
        <v>0</v>
      </c>
      <c r="AX51" s="3">
        <f>IF($C$5="ON",BX51,MyRating(_E5,$B51,Efficacy!$F$1))</f>
        <v>0</v>
      </c>
      <c r="AY51" s="3">
        <f>IF($C$5="ON",BY51,MyRating(_E6,$B51,Efficacy!$F$1))</f>
        <v>0</v>
      </c>
      <c r="AZ51" s="3">
        <f>IF($C$5="ON",BZ51,MyRating(_E7,$B51,Efficacy!$F$1))</f>
        <v>0</v>
      </c>
      <c r="BA51" s="3">
        <f>IF($C$5="ON",CA51,MyRating(_E8,$B51,Efficacy!$F$1))</f>
        <v>0</v>
      </c>
      <c r="BB51" s="3">
        <f>IF($C$5="ON",CB51,MyRating(_S1,$B51,Efficacy!$F$1))</f>
        <v>0</v>
      </c>
      <c r="BC51" s="3">
        <f>IF($C$5="ON",CC51,MyRating(_S2,$B51,Efficacy!$F$1))</f>
        <v>0</v>
      </c>
      <c r="BD51" s="3">
        <f>IF($C$5="ON",CD51,MyRating(_S3,$B51,Efficacy!$F$1))</f>
        <v>0</v>
      </c>
      <c r="BE51" s="3">
        <f>IF($C$5="ON",CE51,MyRating(_S4,$B51,Efficacy!$F$1))</f>
        <v>0</v>
      </c>
      <c r="BF51" s="3">
        <f>IF($C$5="ON",CF51,MyRating(_S5,$B51,Efficacy!$F$1))</f>
        <v>0</v>
      </c>
      <c r="BG51" s="3">
        <f>IF($C$5="ON",CG51,MyRating(_S6,$B51,Efficacy!$F$1))</f>
        <v>0</v>
      </c>
      <c r="BH51" s="3">
        <f>IF($C$5="ON",CH51,MyRating(_S7,$B51,Efficacy!$F$1))</f>
        <v>0</v>
      </c>
      <c r="BI51" s="3">
        <f>IF($C$5="ON",CI51,MyRating(_D1,$B51,Efficacy!$F$1))</f>
        <v>0</v>
      </c>
      <c r="BJ51" s="3">
        <f>IF($C$5="ON",CJ51,MyRating(_D2,$B51,Efficacy!$F$1))</f>
        <v>0</v>
      </c>
      <c r="BK51" s="3">
        <f>IF($C$5="ON",CK51,MyRating(_D3,$B51,Efficacy!$F$1))</f>
        <v>0</v>
      </c>
      <c r="BL51" s="3">
        <f>IF($C$5="ON",CL51,MyRating(_D4,$B51,Efficacy!$F$1))</f>
        <v>0</v>
      </c>
      <c r="BM51" s="3">
        <f>IF($C$5="ON",CM51,MyRating(_B1,$B51,Barrier!$F$2))</f>
        <v>0</v>
      </c>
      <c r="BN51" s="3">
        <f>IF($C$5="ON",CN51,MyRating(_B2,$B51,Barrier!$F$2))</f>
        <v>0</v>
      </c>
      <c r="BO51" s="6">
        <f>IF($C$5="ON",CO51,MyRating(_B3,$B51,Barrier!$F$2))</f>
        <v>0</v>
      </c>
      <c r="BP51" s="5">
        <f t="shared" si="12"/>
        <v>0</v>
      </c>
      <c r="BQ51" s="8">
        <f t="shared" si="13"/>
        <v>0</v>
      </c>
      <c r="BR51" s="5">
        <f t="shared" si="14"/>
        <v>0</v>
      </c>
      <c r="BS51" s="7">
        <f t="shared" si="15"/>
        <v>0</v>
      </c>
      <c r="BT51" s="4">
        <v>0</v>
      </c>
      <c r="BU51" s="3">
        <v>0</v>
      </c>
      <c r="BV51" s="3">
        <v>0</v>
      </c>
      <c r="BW51" s="3">
        <v>0</v>
      </c>
      <c r="BX51" s="3">
        <v>0</v>
      </c>
      <c r="BY51" s="3">
        <v>0</v>
      </c>
      <c r="BZ51" s="3">
        <v>0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6">
        <v>0</v>
      </c>
      <c r="CP51" s="5"/>
      <c r="CQ51" s="4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</row>
    <row r="52" spans="1:116" x14ac:dyDescent="0.35">
      <c r="A52" s="9" t="s">
        <v>5</v>
      </c>
      <c r="B52" s="9" t="s">
        <v>10</v>
      </c>
      <c r="C52" s="20"/>
      <c r="D52" s="9" t="s">
        <v>2</v>
      </c>
      <c r="E52" s="9"/>
      <c r="F52" s="9" t="s">
        <v>1</v>
      </c>
      <c r="G52" s="19">
        <v>0</v>
      </c>
      <c r="H52" s="9">
        <v>2014</v>
      </c>
      <c r="I52" s="9">
        <v>6</v>
      </c>
      <c r="J52" s="18">
        <f>INDEX(PTRS!$D$6:$D$12,MATCH('1'!$F52,PTRS!$B$6:$B$12,0))</f>
        <v>0.1044225</v>
      </c>
      <c r="K52" s="17">
        <v>0</v>
      </c>
      <c r="L52" s="17">
        <v>0</v>
      </c>
      <c r="M52" s="17">
        <f t="shared" si="16"/>
        <v>0.1044225</v>
      </c>
      <c r="N52" s="17">
        <v>0</v>
      </c>
      <c r="O52" s="17">
        <v>1</v>
      </c>
      <c r="P52" s="17">
        <v>0.1044225</v>
      </c>
      <c r="Q52" s="17">
        <f t="shared" si="2"/>
        <v>1</v>
      </c>
      <c r="R52" s="17">
        <v>0.1044225</v>
      </c>
      <c r="S52" s="17">
        <v>1</v>
      </c>
      <c r="T52" s="17"/>
      <c r="U52" s="22">
        <v>0.86819438565437679</v>
      </c>
      <c r="V52" s="17">
        <v>1</v>
      </c>
      <c r="W52" s="9" t="s">
        <v>10</v>
      </c>
      <c r="X52" s="9">
        <f>INDEX('Unique Asset List'!$C$4:$I$60,MATCH('1'!$B52,'Unique Asset List'!$A$4:$A$60,0),MATCH('1'!$C$1,'Unique Asset List'!$C$3:$I$3,0))</f>
        <v>2033</v>
      </c>
      <c r="Y52" s="9">
        <f>INDEX('Unique Asset List'!$J$4:$P$60,MATCH('1'!$B52,'Unique Asset List'!$A$4:$A$60,0),MATCH('1'!$C$1,'Unique Asset List'!$J$3:$P$3,0))</f>
        <v>6</v>
      </c>
      <c r="Z52" s="9">
        <f>INDEX('Unique Asset List'!$X$4:$AD$60,MATCH('1'!$B52,'Unique Asset List'!$A$4:$A$60,0),MATCH('1'!$C$1,'Unique Asset List'!$X$3:$AD$3,0))</f>
        <v>2046</v>
      </c>
      <c r="AA52" s="9">
        <f>INDEX('Unique Asset List'!$AE$4:$AK$60,MATCH('1'!$B52,'Unique Asset List'!$A$4:$A$60,0),MATCH('1'!$C$1,'Unique Asset List'!$AE$3:$AK$3,0))</f>
        <v>6</v>
      </c>
      <c r="AB52" s="21">
        <v>2.3276916000000001</v>
      </c>
      <c r="AC52" s="21">
        <v>0.87990560000000007</v>
      </c>
      <c r="AD52" s="21">
        <v>0.56099999999999994</v>
      </c>
      <c r="AE52" s="15">
        <f>INDEX('Unique Asset List'!$BN$4:$BT$60,MATCH('1'!$B52,'Unique Asset List'!$A$4:$A$60,0),MATCH('1'!$C$1,'Unique Asset List'!$BN$3:$BT$3,0))</f>
        <v>0.15</v>
      </c>
      <c r="AF52" s="15">
        <f>INDEX('Unique Asset List'!$BU$4:$CA$60,MATCH('1'!$B52,'Unique Asset List'!$A$4:$A$60,0),MATCH('1'!$C$1,'Unique Asset List'!$BU$3:$CA$3,0))</f>
        <v>0.35</v>
      </c>
      <c r="AG52" s="15">
        <f>INDEX('Unique Asset List'!$AZ$4:$BF$60,MATCH('1'!$B52,'Unique Asset List'!$A$4:$A$60,0),MATCH('1'!$C$1,'Unique Asset List'!$AZ$3:$BF$3,0))</f>
        <v>0.15</v>
      </c>
      <c r="AH52" s="15">
        <f>INDEX('Unique Asset List'!$BG$4:$BM$60,MATCH('1'!$B52,'Unique Asset List'!$A$4:$A$60,0),MATCH('1'!$C$1,'Unique Asset List'!$BG$3:$BM$3,0))</f>
        <v>0.35</v>
      </c>
      <c r="AI52" s="11">
        <v>0.97304949785176587</v>
      </c>
      <c r="AJ52" s="15">
        <f>INDEX('Unique Asset List'!$AL$4:$AR$60,MATCH('1'!$B52,'Unique Asset List'!$A$4:$A$60,0),MATCH('1'!$C$1,'Unique Asset List'!$AL$3:$AR$3,0))</f>
        <v>1.2267192541321688</v>
      </c>
      <c r="AK52" s="15">
        <f>INDEX('Unique Asset List'!$AS$4:$AY$60,MATCH('1'!$B52,'Unique Asset List'!$A$4:$A$60,0),MATCH('1'!$C$1,'Unique Asset List'!$AS$3:$AY$3,0))</f>
        <v>11.984388276878477</v>
      </c>
      <c r="AL52" s="9">
        <v>160</v>
      </c>
      <c r="AM52" s="14">
        <f>INDEX(Simulation!$B$6:$H$6,MATCH($A52,Simulation!$B$1:$H$1,0))*(1+AN52)^((DATE(X52,Y52,15)-DATE(2017,1,15))/365.5)</f>
        <v>26.372159689690172</v>
      </c>
      <c r="AN52" s="12">
        <v>3.5000000000000003E-2</v>
      </c>
      <c r="AO52" s="13">
        <v>60</v>
      </c>
      <c r="AP52" s="11">
        <v>0.6</v>
      </c>
      <c r="AQ52" s="12">
        <v>-0.02</v>
      </c>
      <c r="AR52" s="11">
        <v>0.5</v>
      </c>
      <c r="AS52" s="10">
        <v>1</v>
      </c>
      <c r="AT52" s="4">
        <f>IF($C$5="ON",BT52,MyRating(_E1,$B52,Efficacy!$F$1))</f>
        <v>0</v>
      </c>
      <c r="AU52" s="3">
        <f>IF($C$5="ON",BU52,MyRating(_E2,$B52,Efficacy!$F$1))</f>
        <v>0</v>
      </c>
      <c r="AV52" s="3">
        <f>IF($C$5="ON",BV52,MyRating(_E3,$B52,Efficacy!$F$1))</f>
        <v>0</v>
      </c>
      <c r="AW52" s="3">
        <f>IF($C$5="ON",BW52,MyRating(_E4,$B52,Efficacy!$F$1))</f>
        <v>0</v>
      </c>
      <c r="AX52" s="3">
        <f>IF($C$5="ON",BX52,MyRating(_E5,$B52,Efficacy!$F$1))</f>
        <v>0</v>
      </c>
      <c r="AY52" s="3">
        <f>IF($C$5="ON",BY52,MyRating(_E6,$B52,Efficacy!$F$1))</f>
        <v>0</v>
      </c>
      <c r="AZ52" s="3">
        <f>IF($C$5="ON",BZ52,MyRating(_E7,$B52,Efficacy!$F$1))</f>
        <v>0</v>
      </c>
      <c r="BA52" s="3">
        <f>IF($C$5="ON",CA52,MyRating(_E8,$B52,Efficacy!$F$1))</f>
        <v>0</v>
      </c>
      <c r="BB52" s="3">
        <f>IF($C$5="ON",CB52,MyRating(_S1,$B52,Efficacy!$F$1))</f>
        <v>0</v>
      </c>
      <c r="BC52" s="3">
        <f>IF($C$5="ON",CC52,MyRating(_S2,$B52,Efficacy!$F$1))</f>
        <v>0</v>
      </c>
      <c r="BD52" s="3">
        <f>IF($C$5="ON",CD52,MyRating(_S3,$B52,Efficacy!$F$1))</f>
        <v>0</v>
      </c>
      <c r="BE52" s="3">
        <f>IF($C$5="ON",CE52,MyRating(_S4,$B52,Efficacy!$F$1))</f>
        <v>0</v>
      </c>
      <c r="BF52" s="3">
        <f>IF($C$5="ON",CF52,MyRating(_S5,$B52,Efficacy!$F$1))</f>
        <v>0</v>
      </c>
      <c r="BG52" s="3">
        <f>IF($C$5="ON",CG52,MyRating(_S6,$B52,Efficacy!$F$1))</f>
        <v>0</v>
      </c>
      <c r="BH52" s="3">
        <f>IF($C$5="ON",CH52,MyRating(_S7,$B52,Efficacy!$F$1))</f>
        <v>0</v>
      </c>
      <c r="BI52" s="3">
        <f>IF($C$5="ON",CI52,MyRating(_D1,$B52,Efficacy!$F$1))</f>
        <v>0</v>
      </c>
      <c r="BJ52" s="3">
        <f>IF($C$5="ON",CJ52,MyRating(_D2,$B52,Efficacy!$F$1))</f>
        <v>0</v>
      </c>
      <c r="BK52" s="3">
        <f>IF($C$5="ON",CK52,MyRating(_D3,$B52,Efficacy!$F$1))</f>
        <v>0</v>
      </c>
      <c r="BL52" s="3">
        <f>IF($C$5="ON",CL52,MyRating(_D4,$B52,Efficacy!$F$1))</f>
        <v>0</v>
      </c>
      <c r="BM52" s="3">
        <f>IF($C$5="ON",CM52,MyRating(_B1,$B52,Barrier!$F$2))</f>
        <v>0</v>
      </c>
      <c r="BN52" s="3">
        <f>IF($C$5="ON",CN52,MyRating(_B2,$B52,Barrier!$F$2))</f>
        <v>0</v>
      </c>
      <c r="BO52" s="6">
        <f>IF($C$5="ON",CO52,MyRating(_B3,$B52,Barrier!$F$2))</f>
        <v>0</v>
      </c>
      <c r="BP52" s="5">
        <f t="shared" si="12"/>
        <v>0</v>
      </c>
      <c r="BQ52" s="8">
        <f t="shared" si="13"/>
        <v>0</v>
      </c>
      <c r="BR52" s="5">
        <f t="shared" si="14"/>
        <v>0</v>
      </c>
      <c r="BS52" s="7">
        <f t="shared" si="15"/>
        <v>0</v>
      </c>
      <c r="BT52" s="4">
        <v>0</v>
      </c>
      <c r="BU52" s="3">
        <v>0</v>
      </c>
      <c r="BV52" s="3">
        <v>0</v>
      </c>
      <c r="BW52" s="3">
        <v>0</v>
      </c>
      <c r="BX52" s="3">
        <v>0</v>
      </c>
      <c r="BY52" s="3">
        <v>0</v>
      </c>
      <c r="BZ52" s="3">
        <v>0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6">
        <v>0</v>
      </c>
      <c r="CP52" s="5"/>
      <c r="CQ52" s="4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</row>
    <row r="53" spans="1:116" x14ac:dyDescent="0.35">
      <c r="A53" s="9" t="s">
        <v>5</v>
      </c>
      <c r="B53" s="9" t="s">
        <v>7</v>
      </c>
      <c r="C53" s="20"/>
      <c r="D53" s="9" t="s">
        <v>2</v>
      </c>
      <c r="E53" s="9"/>
      <c r="F53" s="9" t="s">
        <v>1</v>
      </c>
      <c r="G53" s="19">
        <v>0</v>
      </c>
      <c r="H53" s="9">
        <v>2014</v>
      </c>
      <c r="I53" s="9">
        <v>6</v>
      </c>
      <c r="J53" s="18">
        <f>INDEX(PTRS!$D$6:$D$12,MATCH('1'!$F53,PTRS!$B$6:$B$12,0))</f>
        <v>0.1044225</v>
      </c>
      <c r="K53" s="17">
        <v>0</v>
      </c>
      <c r="L53" s="17">
        <v>0</v>
      </c>
      <c r="M53" s="17">
        <f t="shared" si="16"/>
        <v>0.1044225</v>
      </c>
      <c r="N53" s="17">
        <v>0</v>
      </c>
      <c r="O53" s="17">
        <v>1</v>
      </c>
      <c r="P53" s="17">
        <v>0.1044225</v>
      </c>
      <c r="Q53" s="17">
        <f t="shared" si="2"/>
        <v>1</v>
      </c>
      <c r="R53" s="17">
        <v>0.1044225</v>
      </c>
      <c r="S53" s="17">
        <v>1</v>
      </c>
      <c r="T53" s="17"/>
      <c r="U53" s="22">
        <v>0.86819438565437679</v>
      </c>
      <c r="V53" s="17">
        <v>1</v>
      </c>
      <c r="W53" s="9" t="s">
        <v>7</v>
      </c>
      <c r="X53" s="9">
        <f>INDEX('Unique Asset List'!$C$4:$I$60,MATCH('1'!$B53,'Unique Asset List'!$A$4:$A$60,0),MATCH('1'!$C$1,'Unique Asset List'!$C$3:$I$3,0))</f>
        <v>2037</v>
      </c>
      <c r="Y53" s="9">
        <f>INDEX('Unique Asset List'!$J$4:$P$60,MATCH('1'!$B53,'Unique Asset List'!$A$4:$A$60,0),MATCH('1'!$C$1,'Unique Asset List'!$J$3:$P$3,0))</f>
        <v>6</v>
      </c>
      <c r="Z53" s="9">
        <f>INDEX('Unique Asset List'!$X$4:$AD$60,MATCH('1'!$B53,'Unique Asset List'!$A$4:$A$60,0),MATCH('1'!$C$1,'Unique Asset List'!$X$3:$AD$3,0))</f>
        <v>2050</v>
      </c>
      <c r="AA53" s="9">
        <f>INDEX('Unique Asset List'!$AE$4:$AK$60,MATCH('1'!$B53,'Unique Asset List'!$A$4:$A$60,0),MATCH('1'!$C$1,'Unique Asset List'!$AE$3:$AK$3,0))</f>
        <v>6</v>
      </c>
      <c r="AB53" s="21">
        <v>2.3276916000000001</v>
      </c>
      <c r="AC53" s="21">
        <v>0.87990560000000007</v>
      </c>
      <c r="AD53" s="21">
        <v>0.56099999999999994</v>
      </c>
      <c r="AE53" s="15">
        <f>INDEX('Unique Asset List'!$BN$4:$BT$60,MATCH('1'!$B53,'Unique Asset List'!$A$4:$A$60,0),MATCH('1'!$C$1,'Unique Asset List'!$BN$3:$BT$3,0))</f>
        <v>0.15</v>
      </c>
      <c r="AF53" s="15">
        <f>INDEX('Unique Asset List'!$BU$4:$CA$60,MATCH('1'!$B53,'Unique Asset List'!$A$4:$A$60,0),MATCH('1'!$C$1,'Unique Asset List'!$BU$3:$CA$3,0))</f>
        <v>0.35</v>
      </c>
      <c r="AG53" s="15">
        <f>INDEX('Unique Asset List'!$AZ$4:$BF$60,MATCH('1'!$B53,'Unique Asset List'!$A$4:$A$60,0),MATCH('1'!$C$1,'Unique Asset List'!$AZ$3:$BF$3,0))</f>
        <v>0.15</v>
      </c>
      <c r="AH53" s="15">
        <f>INDEX('Unique Asset List'!$BG$4:$BM$60,MATCH('1'!$B53,'Unique Asset List'!$A$4:$A$60,0),MATCH('1'!$C$1,'Unique Asset List'!$BG$3:$BM$3,0))</f>
        <v>0.35</v>
      </c>
      <c r="AI53" s="11">
        <v>0.97304949785176587</v>
      </c>
      <c r="AJ53" s="15">
        <f>INDEX('Unique Asset List'!$AL$4:$AR$60,MATCH('1'!$B53,'Unique Asset List'!$A$4:$A$60,0),MATCH('1'!$C$1,'Unique Asset List'!$AL$3:$AR$3,0))</f>
        <v>1.2267192541321688</v>
      </c>
      <c r="AK53" s="15">
        <f>INDEX('Unique Asset List'!$AS$4:$AY$60,MATCH('1'!$B53,'Unique Asset List'!$A$4:$A$60,0),MATCH('1'!$C$1,'Unique Asset List'!$AS$3:$AY$3,0))</f>
        <v>11.984388276878477</v>
      </c>
      <c r="AL53" s="9">
        <v>160</v>
      </c>
      <c r="AM53" s="14">
        <f>INDEX(Simulation!$B$6:$H$6,MATCH($A53,Simulation!$B$1:$H$1,0))*(1+AN53)^((DATE(X53,Y53,15)-DATE(2017,1,15))/365.5)</f>
        <v>30.259811585651835</v>
      </c>
      <c r="AN53" s="12">
        <v>3.5000000000000003E-2</v>
      </c>
      <c r="AO53" s="13">
        <v>60</v>
      </c>
      <c r="AP53" s="11">
        <v>0.6</v>
      </c>
      <c r="AQ53" s="12">
        <v>-0.02</v>
      </c>
      <c r="AR53" s="11">
        <v>0.5</v>
      </c>
      <c r="AS53" s="10">
        <v>1</v>
      </c>
      <c r="AT53" s="4">
        <f>IF($C$5="ON",BT53,MyRating(_E1,$B53,Efficacy!$F$1))</f>
        <v>0</v>
      </c>
      <c r="AU53" s="3">
        <f>IF($C$5="ON",BU53,MyRating(_E2,$B53,Efficacy!$F$1))</f>
        <v>0</v>
      </c>
      <c r="AV53" s="3">
        <f>IF($C$5="ON",BV53,MyRating(_E3,$B53,Efficacy!$F$1))</f>
        <v>0</v>
      </c>
      <c r="AW53" s="3">
        <f>IF($C$5="ON",BW53,MyRating(_E4,$B53,Efficacy!$F$1))</f>
        <v>0</v>
      </c>
      <c r="AX53" s="3">
        <f>IF($C$5="ON",BX53,MyRating(_E5,$B53,Efficacy!$F$1))</f>
        <v>0</v>
      </c>
      <c r="AY53" s="3">
        <f>IF($C$5="ON",BY53,MyRating(_E6,$B53,Efficacy!$F$1))</f>
        <v>0</v>
      </c>
      <c r="AZ53" s="3">
        <f>IF($C$5="ON",BZ53,MyRating(_E7,$B53,Efficacy!$F$1))</f>
        <v>0</v>
      </c>
      <c r="BA53" s="3">
        <f>IF($C$5="ON",CA53,MyRating(_E8,$B53,Efficacy!$F$1))</f>
        <v>0</v>
      </c>
      <c r="BB53" s="3">
        <f>IF($C$5="ON",CB53,MyRating(_S1,$B53,Efficacy!$F$1))</f>
        <v>0</v>
      </c>
      <c r="BC53" s="3">
        <f>IF($C$5="ON",CC53,MyRating(_S2,$B53,Efficacy!$F$1))</f>
        <v>0</v>
      </c>
      <c r="BD53" s="3">
        <f>IF($C$5="ON",CD53,MyRating(_S3,$B53,Efficacy!$F$1))</f>
        <v>0</v>
      </c>
      <c r="BE53" s="3">
        <f>IF($C$5="ON",CE53,MyRating(_S4,$B53,Efficacy!$F$1))</f>
        <v>0</v>
      </c>
      <c r="BF53" s="3">
        <f>IF($C$5="ON",CF53,MyRating(_S5,$B53,Efficacy!$F$1))</f>
        <v>0</v>
      </c>
      <c r="BG53" s="3">
        <f>IF($C$5="ON",CG53,MyRating(_S6,$B53,Efficacy!$F$1))</f>
        <v>0</v>
      </c>
      <c r="BH53" s="3">
        <f>IF($C$5="ON",CH53,MyRating(_S7,$B53,Efficacy!$F$1))</f>
        <v>0</v>
      </c>
      <c r="BI53" s="3">
        <f>IF($C$5="ON",CI53,MyRating(_D1,$B53,Efficacy!$F$1))</f>
        <v>0</v>
      </c>
      <c r="BJ53" s="3">
        <f>IF($C$5="ON",CJ53,MyRating(_D2,$B53,Efficacy!$F$1))</f>
        <v>0</v>
      </c>
      <c r="BK53" s="3">
        <f>IF($C$5="ON",CK53,MyRating(_D3,$B53,Efficacy!$F$1))</f>
        <v>0</v>
      </c>
      <c r="BL53" s="3">
        <f>IF($C$5="ON",CL53,MyRating(_D4,$B53,Efficacy!$F$1))</f>
        <v>0</v>
      </c>
      <c r="BM53" s="3">
        <f>IF($C$5="ON",CM53,MyRating(_B1,$B53,Barrier!$F$2))</f>
        <v>0</v>
      </c>
      <c r="BN53" s="3">
        <f>IF($C$5="ON",CN53,MyRating(_B2,$B53,Barrier!$F$2))</f>
        <v>0</v>
      </c>
      <c r="BO53" s="6">
        <f>IF($C$5="ON",CO53,MyRating(_B3,$B53,Barrier!$F$2))</f>
        <v>0</v>
      </c>
      <c r="BP53" s="5">
        <f t="shared" si="12"/>
        <v>0</v>
      </c>
      <c r="BQ53" s="8">
        <f t="shared" si="13"/>
        <v>0</v>
      </c>
      <c r="BR53" s="5">
        <f t="shared" si="14"/>
        <v>0</v>
      </c>
      <c r="BS53" s="7">
        <f t="shared" si="15"/>
        <v>0</v>
      </c>
      <c r="BT53" s="4">
        <v>0</v>
      </c>
      <c r="BU53" s="3">
        <v>0</v>
      </c>
      <c r="BV53" s="3">
        <v>0</v>
      </c>
      <c r="BW53" s="3">
        <v>0</v>
      </c>
      <c r="BX53" s="3">
        <v>0</v>
      </c>
      <c r="BY53" s="3">
        <v>0</v>
      </c>
      <c r="BZ53" s="3">
        <v>0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6">
        <v>0</v>
      </c>
      <c r="CP53" s="5"/>
      <c r="CQ53" s="4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</row>
    <row r="54" spans="1:116" x14ac:dyDescent="0.35">
      <c r="A54" s="9" t="s">
        <v>5</v>
      </c>
      <c r="B54" s="9" t="s">
        <v>15</v>
      </c>
      <c r="C54" s="20"/>
      <c r="D54" s="9" t="s">
        <v>14</v>
      </c>
      <c r="E54" s="9"/>
      <c r="F54" s="9" t="s">
        <v>1</v>
      </c>
      <c r="G54" s="19">
        <v>0</v>
      </c>
      <c r="H54" s="9">
        <v>2014</v>
      </c>
      <c r="I54" s="9">
        <v>6</v>
      </c>
      <c r="J54" s="18">
        <f>INDEX(PTRS!$D$6:$D$12,MATCH('1'!$F54,PTRS!$B$6:$B$12,0))</f>
        <v>0.1044225</v>
      </c>
      <c r="K54" s="17">
        <v>0</v>
      </c>
      <c r="L54" s="17">
        <v>0</v>
      </c>
      <c r="M54" s="17">
        <f t="shared" si="16"/>
        <v>0.1044225</v>
      </c>
      <c r="N54" s="17">
        <v>0</v>
      </c>
      <c r="O54" s="17">
        <v>1</v>
      </c>
      <c r="P54" s="17">
        <v>0.1044225</v>
      </c>
      <c r="Q54" s="17">
        <v>1</v>
      </c>
      <c r="R54" s="17">
        <v>0.1044225</v>
      </c>
      <c r="S54" s="17">
        <v>1</v>
      </c>
      <c r="T54" s="17" t="s">
        <v>13</v>
      </c>
      <c r="U54" s="22">
        <v>0.86819438565437679</v>
      </c>
      <c r="V54" s="17">
        <v>1</v>
      </c>
      <c r="W54" s="9" t="s">
        <v>13</v>
      </c>
      <c r="X54" s="9">
        <f>INDEX('Unique Asset List'!$C$4:$I$60,MATCH('1'!$B54,'Unique Asset List'!$A$4:$A$60,0),MATCH('1'!$C$1,'Unique Asset List'!$C$3:$I$3,0))</f>
        <v>2031</v>
      </c>
      <c r="Y54" s="9">
        <f>INDEX('Unique Asset List'!$J$4:$P$60,MATCH('1'!$B54,'Unique Asset List'!$A$4:$A$60,0),MATCH('1'!$C$1,'Unique Asset List'!$J$3:$P$3,0))</f>
        <v>6</v>
      </c>
      <c r="Z54" s="9">
        <f>INDEX('Unique Asset List'!$X$4:$AD$60,MATCH('1'!$B54,'Unique Asset List'!$A$4:$A$60,0),MATCH('1'!$C$1,'Unique Asset List'!$X$3:$AD$3,0))</f>
        <v>2044</v>
      </c>
      <c r="AA54" s="9">
        <f>INDEX('Unique Asset List'!$AE$4:$AK$60,MATCH('1'!$B54,'Unique Asset List'!$A$4:$A$60,0),MATCH('1'!$C$1,'Unique Asset List'!$AE$3:$AK$3,0))</f>
        <v>6</v>
      </c>
      <c r="AB54" s="21">
        <v>2.3276916000000001</v>
      </c>
      <c r="AC54" s="21">
        <v>0.87990560000000007</v>
      </c>
      <c r="AD54" s="21">
        <v>0.56099999999999994</v>
      </c>
      <c r="AE54" s="15">
        <f>INDEX('Unique Asset List'!$BN$4:$BT$60,MATCH('1'!$B54,'Unique Asset List'!$A$4:$A$60,0),MATCH('1'!$C$1,'Unique Asset List'!$BN$3:$BT$3,0))</f>
        <v>0.15</v>
      </c>
      <c r="AF54" s="15">
        <f>INDEX('Unique Asset List'!$BU$4:$CA$60,MATCH('1'!$B54,'Unique Asset List'!$A$4:$A$60,0),MATCH('1'!$C$1,'Unique Asset List'!$BU$3:$CA$3,0))</f>
        <v>0.35</v>
      </c>
      <c r="AG54" s="15">
        <f>INDEX('Unique Asset List'!$AZ$4:$BF$60,MATCH('1'!$B54,'Unique Asset List'!$A$4:$A$60,0),MATCH('1'!$C$1,'Unique Asset List'!$AZ$3:$BF$3,0))</f>
        <v>0.15</v>
      </c>
      <c r="AH54" s="15">
        <f>INDEX('Unique Asset List'!$BG$4:$BM$60,MATCH('1'!$B54,'Unique Asset List'!$A$4:$A$60,0),MATCH('1'!$C$1,'Unique Asset List'!$BG$3:$BM$3,0))</f>
        <v>0.35</v>
      </c>
      <c r="AI54" s="11">
        <v>0.97304949785176587</v>
      </c>
      <c r="AJ54" s="15">
        <f>INDEX('Unique Asset List'!$AL$4:$AR$60,MATCH('1'!$B54,'Unique Asset List'!$A$4:$A$60,0),MATCH('1'!$C$1,'Unique Asset List'!$AL$3:$AR$3,0))</f>
        <v>1.2267192541321688</v>
      </c>
      <c r="AK54" s="15">
        <f>INDEX('Unique Asset List'!$AS$4:$AY$60,MATCH('1'!$B54,'Unique Asset List'!$A$4:$A$60,0),MATCH('1'!$C$1,'Unique Asset List'!$AS$3:$AY$3,0))</f>
        <v>11.984388276878477</v>
      </c>
      <c r="AL54" s="9">
        <v>160</v>
      </c>
      <c r="AM54" s="14">
        <f>INDEX(Simulation!$B$6:$H$6,MATCH($A54,Simulation!$B$1:$H$1,0))*(1+AN54)^((DATE(X54,Y54,15)-DATE(2017,1,15))/365.5)</f>
        <v>24.618693262097295</v>
      </c>
      <c r="AN54" s="12">
        <v>3.5000000000000003E-2</v>
      </c>
      <c r="AO54" s="13">
        <v>60</v>
      </c>
      <c r="AP54" s="11">
        <v>0.6</v>
      </c>
      <c r="AQ54" s="12">
        <v>-0.02</v>
      </c>
      <c r="AR54" s="11">
        <v>0.5</v>
      </c>
      <c r="AS54" s="10">
        <v>1</v>
      </c>
      <c r="AT54" s="4">
        <f>IF($C$5="ON",BT54,MyRating(_E1,$B54,Efficacy!$F$1))</f>
        <v>0</v>
      </c>
      <c r="AU54" s="3">
        <f>IF($C$5="ON",BU54,MyRating(_E2,$B54,Efficacy!$F$1))</f>
        <v>0</v>
      </c>
      <c r="AV54" s="3">
        <f>IF($C$5="ON",BV54,MyRating(_E3,$B54,Efficacy!$F$1))</f>
        <v>0</v>
      </c>
      <c r="AW54" s="3">
        <f>IF($C$5="ON",BW54,MyRating(_E4,$B54,Efficacy!$F$1))</f>
        <v>0</v>
      </c>
      <c r="AX54" s="3">
        <f>IF($C$5="ON",BX54,MyRating(_E5,$B54,Efficacy!$F$1))</f>
        <v>0</v>
      </c>
      <c r="AY54" s="3">
        <f>IF($C$5="ON",BY54,MyRating(_E6,$B54,Efficacy!$F$1))</f>
        <v>0</v>
      </c>
      <c r="AZ54" s="3">
        <f>IF($C$5="ON",BZ54,MyRating(_E7,$B54,Efficacy!$F$1))</f>
        <v>0</v>
      </c>
      <c r="BA54" s="3">
        <f>IF($C$5="ON",CA54,MyRating(_E8,$B54,Efficacy!$F$1))</f>
        <v>0</v>
      </c>
      <c r="BB54" s="3">
        <f>IF($C$5="ON",CB54,MyRating(_S1,$B54,Efficacy!$F$1))</f>
        <v>0</v>
      </c>
      <c r="BC54" s="3">
        <f>IF($C$5="ON",CC54,MyRating(_S2,$B54,Efficacy!$F$1))</f>
        <v>0</v>
      </c>
      <c r="BD54" s="3">
        <f>IF($C$5="ON",CD54,MyRating(_S3,$B54,Efficacy!$F$1))</f>
        <v>0</v>
      </c>
      <c r="BE54" s="3">
        <f>IF($C$5="ON",CE54,MyRating(_S4,$B54,Efficacy!$F$1))</f>
        <v>0</v>
      </c>
      <c r="BF54" s="3">
        <f>IF($C$5="ON",CF54,MyRating(_S5,$B54,Efficacy!$F$1))</f>
        <v>0</v>
      </c>
      <c r="BG54" s="3">
        <f>IF($C$5="ON",CG54,MyRating(_S6,$B54,Efficacy!$F$1))</f>
        <v>0</v>
      </c>
      <c r="BH54" s="3">
        <f>IF($C$5="ON",CH54,MyRating(_S7,$B54,Efficacy!$F$1))</f>
        <v>0</v>
      </c>
      <c r="BI54" s="3">
        <f>IF($C$5="ON",CI54,MyRating(_D1,$B54,Efficacy!$F$1))</f>
        <v>0</v>
      </c>
      <c r="BJ54" s="3">
        <f>IF($C$5="ON",CJ54,MyRating(_D2,$B54,Efficacy!$F$1))</f>
        <v>0</v>
      </c>
      <c r="BK54" s="3">
        <f>IF($C$5="ON",CK54,MyRating(_D3,$B54,Efficacy!$F$1))</f>
        <v>0</v>
      </c>
      <c r="BL54" s="3">
        <f>IF($C$5="ON",CL54,MyRating(_D4,$B54,Efficacy!$F$1))</f>
        <v>0</v>
      </c>
      <c r="BM54" s="3">
        <f>IF($C$5="ON",CM54,MyRating(_B1,$B54,Barrier!$F$2))</f>
        <v>0</v>
      </c>
      <c r="BN54" s="3">
        <f>IF($C$5="ON",CN54,MyRating(_B2,$B54,Barrier!$F$2))</f>
        <v>0</v>
      </c>
      <c r="BO54" s="6">
        <f>IF($C$5="ON",CO54,MyRating(_B3,$B54,Barrier!$F$2))</f>
        <v>0</v>
      </c>
      <c r="BP54" s="5">
        <f t="shared" si="12"/>
        <v>0</v>
      </c>
      <c r="BQ54" s="8">
        <f t="shared" si="13"/>
        <v>0</v>
      </c>
      <c r="BR54" s="5">
        <f t="shared" si="14"/>
        <v>0</v>
      </c>
      <c r="BS54" s="7">
        <f t="shared" si="15"/>
        <v>0</v>
      </c>
      <c r="BT54" s="4">
        <v>0</v>
      </c>
      <c r="BU54" s="3">
        <v>0</v>
      </c>
      <c r="BV54" s="3">
        <v>0</v>
      </c>
      <c r="BW54" s="3">
        <v>0</v>
      </c>
      <c r="BX54" s="3">
        <v>0</v>
      </c>
      <c r="BY54" s="3">
        <v>0</v>
      </c>
      <c r="BZ54" s="3">
        <v>0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6">
        <v>0</v>
      </c>
      <c r="CP54" s="5"/>
      <c r="CQ54" s="4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</row>
    <row r="55" spans="1:116" x14ac:dyDescent="0.35">
      <c r="A55" s="9" t="s">
        <v>5</v>
      </c>
      <c r="B55" s="9" t="s">
        <v>12</v>
      </c>
      <c r="C55" s="20"/>
      <c r="D55" s="9" t="s">
        <v>11</v>
      </c>
      <c r="E55" s="9"/>
      <c r="F55" s="9" t="s">
        <v>1</v>
      </c>
      <c r="G55" s="19">
        <v>0</v>
      </c>
      <c r="H55" s="9">
        <v>2014</v>
      </c>
      <c r="I55" s="9">
        <v>6</v>
      </c>
      <c r="J55" s="18">
        <f>INDEX(PTRS!$D$6:$D$12,MATCH('1'!$F55,PTRS!$B$6:$B$12,0))</f>
        <v>0.1044225</v>
      </c>
      <c r="K55" s="17">
        <v>0</v>
      </c>
      <c r="L55" s="17">
        <v>0</v>
      </c>
      <c r="M55" s="17">
        <f t="shared" si="16"/>
        <v>0.1044225</v>
      </c>
      <c r="N55" s="17">
        <v>0</v>
      </c>
      <c r="O55" s="17">
        <v>1</v>
      </c>
      <c r="P55" s="17">
        <v>0.1044225</v>
      </c>
      <c r="Q55" s="17">
        <f>IF(O55&gt;=0.5,1,0)</f>
        <v>1</v>
      </c>
      <c r="R55" s="17">
        <v>0.1044225</v>
      </c>
      <c r="S55" s="17">
        <v>1</v>
      </c>
      <c r="T55" s="17" t="s">
        <v>10</v>
      </c>
      <c r="U55" s="22">
        <v>0.86819438565437679</v>
      </c>
      <c r="V55" s="17">
        <v>1</v>
      </c>
      <c r="W55" s="9" t="s">
        <v>10</v>
      </c>
      <c r="X55" s="9">
        <f>INDEX('Unique Asset List'!$C$4:$I$60,MATCH('1'!$B55,'Unique Asset List'!$A$4:$A$60,0),MATCH('1'!$C$1,'Unique Asset List'!$C$3:$I$3,0))</f>
        <v>2035</v>
      </c>
      <c r="Y55" s="9">
        <f>INDEX('Unique Asset List'!$J$4:$P$60,MATCH('1'!$B55,'Unique Asset List'!$A$4:$A$60,0),MATCH('1'!$C$1,'Unique Asset List'!$J$3:$P$3,0))</f>
        <v>6</v>
      </c>
      <c r="Z55" s="9">
        <f>INDEX('Unique Asset List'!$X$4:$AD$60,MATCH('1'!$B55,'Unique Asset List'!$A$4:$A$60,0),MATCH('1'!$C$1,'Unique Asset List'!$X$3:$AD$3,0))</f>
        <v>2048</v>
      </c>
      <c r="AA55" s="9">
        <f>INDEX('Unique Asset List'!$AE$4:$AK$60,MATCH('1'!$B55,'Unique Asset List'!$A$4:$A$60,0),MATCH('1'!$C$1,'Unique Asset List'!$AE$3:$AK$3,0))</f>
        <v>6</v>
      </c>
      <c r="AB55" s="21">
        <v>2.3276916000000001</v>
      </c>
      <c r="AC55" s="21">
        <v>0.87990560000000007</v>
      </c>
      <c r="AD55" s="21">
        <v>0.56099999999999994</v>
      </c>
      <c r="AE55" s="15">
        <f>INDEX('Unique Asset List'!$BN$4:$BT$60,MATCH('1'!$B55,'Unique Asset List'!$A$4:$A$60,0),MATCH('1'!$C$1,'Unique Asset List'!$BN$3:$BT$3,0))</f>
        <v>0.15</v>
      </c>
      <c r="AF55" s="15">
        <f>INDEX('Unique Asset List'!$BU$4:$CA$60,MATCH('1'!$B55,'Unique Asset List'!$A$4:$A$60,0),MATCH('1'!$C$1,'Unique Asset List'!$BU$3:$CA$3,0))</f>
        <v>0.35</v>
      </c>
      <c r="AG55" s="15">
        <f>INDEX('Unique Asset List'!$AZ$4:$BF$60,MATCH('1'!$B55,'Unique Asset List'!$A$4:$A$60,0),MATCH('1'!$C$1,'Unique Asset List'!$AZ$3:$BF$3,0))</f>
        <v>0.15</v>
      </c>
      <c r="AH55" s="15">
        <f>INDEX('Unique Asset List'!$BG$4:$BM$60,MATCH('1'!$B55,'Unique Asset List'!$A$4:$A$60,0),MATCH('1'!$C$1,'Unique Asset List'!$BG$3:$BM$3,0))</f>
        <v>0.35</v>
      </c>
      <c r="AI55" s="11">
        <v>0.97304949785176587</v>
      </c>
      <c r="AJ55" s="15">
        <f>INDEX('Unique Asset List'!$AL$4:$AR$60,MATCH('1'!$B55,'Unique Asset List'!$A$4:$A$60,0),MATCH('1'!$C$1,'Unique Asset List'!$AL$3:$AR$3,0))</f>
        <v>1.2267192541321688</v>
      </c>
      <c r="AK55" s="15">
        <f>INDEX('Unique Asset List'!$AS$4:$AY$60,MATCH('1'!$B55,'Unique Asset List'!$A$4:$A$60,0),MATCH('1'!$C$1,'Unique Asset List'!$AS$3:$AY$3,0))</f>
        <v>11.984388276878477</v>
      </c>
      <c r="AL55" s="9">
        <v>160</v>
      </c>
      <c r="AM55" s="14">
        <f>INDEX(Simulation!$B$6:$H$6,MATCH($A55,Simulation!$B$1:$H$1,0))*(1+AN55)^((DATE(X55,Y55,15)-DATE(2017,1,15))/365.5)</f>
        <v>28.247857906277243</v>
      </c>
      <c r="AN55" s="12">
        <v>3.5000000000000003E-2</v>
      </c>
      <c r="AO55" s="13">
        <v>60</v>
      </c>
      <c r="AP55" s="11">
        <v>0.6</v>
      </c>
      <c r="AQ55" s="12">
        <v>-0.02</v>
      </c>
      <c r="AR55" s="11">
        <v>0.5</v>
      </c>
      <c r="AS55" s="10">
        <v>1</v>
      </c>
      <c r="AT55" s="4">
        <f>IF($C$5="ON",BT55,MyRating(_E1,$B55,Efficacy!$F$1))</f>
        <v>0</v>
      </c>
      <c r="AU55" s="3">
        <f>IF($C$5="ON",BU55,MyRating(_E2,$B55,Efficacy!$F$1))</f>
        <v>0</v>
      </c>
      <c r="AV55" s="3">
        <f>IF($C$5="ON",BV55,MyRating(_E3,$B55,Efficacy!$F$1))</f>
        <v>0</v>
      </c>
      <c r="AW55" s="3">
        <f>IF($C$5="ON",BW55,MyRating(_E4,$B55,Efficacy!$F$1))</f>
        <v>0</v>
      </c>
      <c r="AX55" s="3">
        <f>IF($C$5="ON",BX55,MyRating(_E5,$B55,Efficacy!$F$1))</f>
        <v>0</v>
      </c>
      <c r="AY55" s="3">
        <f>IF($C$5="ON",BY55,MyRating(_E6,$B55,Efficacy!$F$1))</f>
        <v>0</v>
      </c>
      <c r="AZ55" s="3">
        <f>IF($C$5="ON",BZ55,MyRating(_E7,$B55,Efficacy!$F$1))</f>
        <v>0</v>
      </c>
      <c r="BA55" s="3">
        <f>IF($C$5="ON",CA55,MyRating(_E8,$B55,Efficacy!$F$1))</f>
        <v>0</v>
      </c>
      <c r="BB55" s="3">
        <f>IF($C$5="ON",CB55,MyRating(_S1,$B55,Efficacy!$F$1))</f>
        <v>0</v>
      </c>
      <c r="BC55" s="3">
        <f>IF($C$5="ON",CC55,MyRating(_S2,$B55,Efficacy!$F$1))</f>
        <v>0</v>
      </c>
      <c r="BD55" s="3">
        <f>IF($C$5="ON",CD55,MyRating(_S3,$B55,Efficacy!$F$1))</f>
        <v>0</v>
      </c>
      <c r="BE55" s="3">
        <f>IF($C$5="ON",CE55,MyRating(_S4,$B55,Efficacy!$F$1))</f>
        <v>0</v>
      </c>
      <c r="BF55" s="3">
        <f>IF($C$5="ON",CF55,MyRating(_S5,$B55,Efficacy!$F$1))</f>
        <v>0</v>
      </c>
      <c r="BG55" s="3">
        <f>IF($C$5="ON",CG55,MyRating(_S6,$B55,Efficacy!$F$1))</f>
        <v>0</v>
      </c>
      <c r="BH55" s="3">
        <f>IF($C$5="ON",CH55,MyRating(_S7,$B55,Efficacy!$F$1))</f>
        <v>0</v>
      </c>
      <c r="BI55" s="3">
        <f>IF($C$5="ON",CI55,MyRating(_D1,$B55,Efficacy!$F$1))</f>
        <v>0</v>
      </c>
      <c r="BJ55" s="3">
        <f>IF($C$5="ON",CJ55,MyRating(_D2,$B55,Efficacy!$F$1))</f>
        <v>0</v>
      </c>
      <c r="BK55" s="3">
        <f>IF($C$5="ON",CK55,MyRating(_D3,$B55,Efficacy!$F$1))</f>
        <v>0</v>
      </c>
      <c r="BL55" s="3">
        <f>IF($C$5="ON",CL55,MyRating(_D4,$B55,Efficacy!$F$1))</f>
        <v>0</v>
      </c>
      <c r="BM55" s="3">
        <f>IF($C$5="ON",CM55,MyRating(_B1,$B55,Barrier!$F$2))</f>
        <v>0</v>
      </c>
      <c r="BN55" s="3">
        <f>IF($C$5="ON",CN55,MyRating(_B2,$B55,Barrier!$F$2))</f>
        <v>0</v>
      </c>
      <c r="BO55" s="6">
        <f>IF($C$5="ON",CO55,MyRating(_B3,$B55,Barrier!$F$2))</f>
        <v>0</v>
      </c>
      <c r="BP55" s="5">
        <f t="shared" si="12"/>
        <v>0</v>
      </c>
      <c r="BQ55" s="8">
        <f t="shared" si="13"/>
        <v>0</v>
      </c>
      <c r="BR55" s="5">
        <f t="shared" si="14"/>
        <v>0</v>
      </c>
      <c r="BS55" s="7">
        <f t="shared" si="15"/>
        <v>0</v>
      </c>
      <c r="BT55" s="4">
        <v>0</v>
      </c>
      <c r="BU55" s="3">
        <v>0</v>
      </c>
      <c r="BV55" s="3">
        <v>0</v>
      </c>
      <c r="BW55" s="3">
        <v>0</v>
      </c>
      <c r="BX55" s="3">
        <v>0</v>
      </c>
      <c r="BY55" s="3">
        <v>0</v>
      </c>
      <c r="BZ55" s="3">
        <v>0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6">
        <v>0</v>
      </c>
      <c r="CP55" s="5"/>
      <c r="CQ55" s="4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</row>
    <row r="56" spans="1:116" x14ac:dyDescent="0.35">
      <c r="A56" s="9" t="s">
        <v>5</v>
      </c>
      <c r="B56" s="9" t="s">
        <v>9</v>
      </c>
      <c r="C56" s="20"/>
      <c r="D56" s="9" t="s">
        <v>8</v>
      </c>
      <c r="E56" s="9"/>
      <c r="F56" s="9" t="s">
        <v>1</v>
      </c>
      <c r="G56" s="19">
        <v>0</v>
      </c>
      <c r="H56" s="9">
        <v>2014</v>
      </c>
      <c r="I56" s="9">
        <v>6</v>
      </c>
      <c r="J56" s="18">
        <f>INDEX(PTRS!$D$6:$D$12,MATCH('1'!$F56,PTRS!$B$6:$B$12,0))</f>
        <v>0.1044225</v>
      </c>
      <c r="K56" s="17">
        <v>0</v>
      </c>
      <c r="L56" s="17">
        <v>0</v>
      </c>
      <c r="M56" s="17">
        <f t="shared" si="16"/>
        <v>0.1044225</v>
      </c>
      <c r="N56" s="17">
        <v>0</v>
      </c>
      <c r="O56" s="17">
        <v>1</v>
      </c>
      <c r="P56" s="17">
        <v>0.1044225</v>
      </c>
      <c r="Q56" s="17">
        <f>IF(O56&gt;=0.5,1,0)</f>
        <v>1</v>
      </c>
      <c r="R56" s="17">
        <v>0.1044225</v>
      </c>
      <c r="S56" s="17">
        <v>1</v>
      </c>
      <c r="T56" s="17" t="s">
        <v>7</v>
      </c>
      <c r="U56" s="22">
        <v>0.86819438565437679</v>
      </c>
      <c r="V56" s="17">
        <v>1</v>
      </c>
      <c r="W56" s="9" t="s">
        <v>7</v>
      </c>
      <c r="X56" s="9">
        <f>INDEX('Unique Asset List'!$C$4:$I$60,MATCH('1'!$B56,'Unique Asset List'!$A$4:$A$60,0),MATCH('1'!$C$1,'Unique Asset List'!$C$3:$I$3,0))</f>
        <v>2040</v>
      </c>
      <c r="Y56" s="9">
        <f>INDEX('Unique Asset List'!$J$4:$P$60,MATCH('1'!$B56,'Unique Asset List'!$A$4:$A$60,0),MATCH('1'!$C$1,'Unique Asset List'!$J$3:$P$3,0))</f>
        <v>6</v>
      </c>
      <c r="Z56" s="9">
        <f>INDEX('Unique Asset List'!$X$4:$AD$60,MATCH('1'!$B56,'Unique Asset List'!$A$4:$A$60,0),MATCH('1'!$C$1,'Unique Asset List'!$X$3:$AD$3,0))</f>
        <v>2053</v>
      </c>
      <c r="AA56" s="9">
        <f>INDEX('Unique Asset List'!$AE$4:$AK$60,MATCH('1'!$B56,'Unique Asset List'!$A$4:$A$60,0),MATCH('1'!$C$1,'Unique Asset List'!$AE$3:$AK$3,0))</f>
        <v>6</v>
      </c>
      <c r="AB56" s="21">
        <v>2.3276916000000001</v>
      </c>
      <c r="AC56" s="21">
        <v>0.87990560000000007</v>
      </c>
      <c r="AD56" s="21">
        <v>0.56099999999999994</v>
      </c>
      <c r="AE56" s="15">
        <f>INDEX('Unique Asset List'!$BN$4:$BT$60,MATCH('1'!$B56,'Unique Asset List'!$A$4:$A$60,0),MATCH('1'!$C$1,'Unique Asset List'!$BN$3:$BT$3,0))</f>
        <v>0.15</v>
      </c>
      <c r="AF56" s="15">
        <f>INDEX('Unique Asset List'!$BU$4:$CA$60,MATCH('1'!$B56,'Unique Asset List'!$A$4:$A$60,0),MATCH('1'!$C$1,'Unique Asset List'!$BU$3:$CA$3,0))</f>
        <v>0.35</v>
      </c>
      <c r="AG56" s="15">
        <f>INDEX('Unique Asset List'!$AZ$4:$BF$60,MATCH('1'!$B56,'Unique Asset List'!$A$4:$A$60,0),MATCH('1'!$C$1,'Unique Asset List'!$AZ$3:$BF$3,0))</f>
        <v>0.15</v>
      </c>
      <c r="AH56" s="15">
        <f>INDEX('Unique Asset List'!$BG$4:$BM$60,MATCH('1'!$B56,'Unique Asset List'!$A$4:$A$60,0),MATCH('1'!$C$1,'Unique Asset List'!$BG$3:$BM$3,0))</f>
        <v>0.35</v>
      </c>
      <c r="AI56" s="11">
        <v>0.97304949785176587</v>
      </c>
      <c r="AJ56" s="15">
        <f>INDEX('Unique Asset List'!$AL$4:$AR$60,MATCH('1'!$B56,'Unique Asset List'!$A$4:$A$60,0),MATCH('1'!$C$1,'Unique Asset List'!$AL$3:$AR$3,0))</f>
        <v>1.2267192541321688</v>
      </c>
      <c r="AK56" s="15">
        <f>INDEX('Unique Asset List'!$AS$4:$AY$60,MATCH('1'!$B56,'Unique Asset List'!$A$4:$A$60,0),MATCH('1'!$C$1,'Unique Asset List'!$AS$3:$AY$3,0))</f>
        <v>11.984388276878477</v>
      </c>
      <c r="AL56" s="9">
        <v>160</v>
      </c>
      <c r="AM56" s="14">
        <f>INDEX(Simulation!$B$6:$H$6,MATCH($A56,Simulation!$B$1:$H$1,0))*(1+AN56)^((DATE(X56,Y56,15)-DATE(2017,1,15))/365.5)</f>
        <v>33.54801516639175</v>
      </c>
      <c r="AN56" s="12">
        <v>3.5000000000000003E-2</v>
      </c>
      <c r="AO56" s="13">
        <v>60</v>
      </c>
      <c r="AP56" s="11">
        <v>0.6</v>
      </c>
      <c r="AQ56" s="12">
        <v>-0.02</v>
      </c>
      <c r="AR56" s="11">
        <v>0.5</v>
      </c>
      <c r="AS56" s="10">
        <v>1</v>
      </c>
      <c r="AT56" s="4">
        <f>IF($C$5="ON",BT56,MyRating(_E1,$B56,Efficacy!$F$1))</f>
        <v>0</v>
      </c>
      <c r="AU56" s="3">
        <f>IF($C$5="ON",BU56,MyRating(_E2,$B56,Efficacy!$F$1))</f>
        <v>0</v>
      </c>
      <c r="AV56" s="3">
        <f>IF($C$5="ON",BV56,MyRating(_E3,$B56,Efficacy!$F$1))</f>
        <v>0</v>
      </c>
      <c r="AW56" s="3">
        <f>IF($C$5="ON",BW56,MyRating(_E4,$B56,Efficacy!$F$1))</f>
        <v>0</v>
      </c>
      <c r="AX56" s="3">
        <f>IF($C$5="ON",BX56,MyRating(_E5,$B56,Efficacy!$F$1))</f>
        <v>0</v>
      </c>
      <c r="AY56" s="3">
        <f>IF($C$5="ON",BY56,MyRating(_E6,$B56,Efficacy!$F$1))</f>
        <v>0</v>
      </c>
      <c r="AZ56" s="3">
        <f>IF($C$5="ON",BZ56,MyRating(_E7,$B56,Efficacy!$F$1))</f>
        <v>0</v>
      </c>
      <c r="BA56" s="3">
        <f>IF($C$5="ON",CA56,MyRating(_E8,$B56,Efficacy!$F$1))</f>
        <v>0</v>
      </c>
      <c r="BB56" s="3">
        <f>IF($C$5="ON",CB56,MyRating(_S1,$B56,Efficacy!$F$1))</f>
        <v>0</v>
      </c>
      <c r="BC56" s="3">
        <f>IF($C$5="ON",CC56,MyRating(_S2,$B56,Efficacy!$F$1))</f>
        <v>0</v>
      </c>
      <c r="BD56" s="3">
        <f>IF($C$5="ON",CD56,MyRating(_S3,$B56,Efficacy!$F$1))</f>
        <v>0</v>
      </c>
      <c r="BE56" s="3">
        <f>IF($C$5="ON",CE56,MyRating(_S4,$B56,Efficacy!$F$1))</f>
        <v>0</v>
      </c>
      <c r="BF56" s="3">
        <f>IF($C$5="ON",CF56,MyRating(_S5,$B56,Efficacy!$F$1))</f>
        <v>0</v>
      </c>
      <c r="BG56" s="3">
        <f>IF($C$5="ON",CG56,MyRating(_S6,$B56,Efficacy!$F$1))</f>
        <v>0</v>
      </c>
      <c r="BH56" s="3">
        <f>IF($C$5="ON",CH56,MyRating(_S7,$B56,Efficacy!$F$1))</f>
        <v>0</v>
      </c>
      <c r="BI56" s="3">
        <f>IF($C$5="ON",CI56,MyRating(_D1,$B56,Efficacy!$F$1))</f>
        <v>0</v>
      </c>
      <c r="BJ56" s="3">
        <f>IF($C$5="ON",CJ56,MyRating(_D2,$B56,Efficacy!$F$1))</f>
        <v>0</v>
      </c>
      <c r="BK56" s="3">
        <f>IF($C$5="ON",CK56,MyRating(_D3,$B56,Efficacy!$F$1))</f>
        <v>0</v>
      </c>
      <c r="BL56" s="3">
        <f>IF($C$5="ON",CL56,MyRating(_D4,$B56,Efficacy!$F$1))</f>
        <v>0</v>
      </c>
      <c r="BM56" s="3">
        <f>IF($C$5="ON",CM56,MyRating(_B1,$B56,Barrier!$F$2))</f>
        <v>0</v>
      </c>
      <c r="BN56" s="3">
        <f>IF($C$5="ON",CN56,MyRating(_B2,$B56,Barrier!$F$2))</f>
        <v>0</v>
      </c>
      <c r="BO56" s="6">
        <f>IF($C$5="ON",CO56,MyRating(_B3,$B56,Barrier!$F$2))</f>
        <v>0</v>
      </c>
      <c r="BP56" s="5">
        <f t="shared" si="12"/>
        <v>0</v>
      </c>
      <c r="BQ56" s="8">
        <f t="shared" si="13"/>
        <v>0</v>
      </c>
      <c r="BR56" s="5">
        <f t="shared" si="14"/>
        <v>0</v>
      </c>
      <c r="BS56" s="7">
        <f t="shared" si="15"/>
        <v>0</v>
      </c>
      <c r="BT56" s="4">
        <v>0</v>
      </c>
      <c r="BU56" s="3">
        <v>0</v>
      </c>
      <c r="BV56" s="3">
        <v>0</v>
      </c>
      <c r="BW56" s="3">
        <v>0</v>
      </c>
      <c r="BX56" s="3">
        <v>0</v>
      </c>
      <c r="BY56" s="3">
        <v>0</v>
      </c>
      <c r="BZ56" s="3">
        <v>0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6">
        <v>0</v>
      </c>
      <c r="CP56" s="5"/>
      <c r="CQ56" s="4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</row>
    <row r="57" spans="1:116" x14ac:dyDescent="0.35">
      <c r="A57" s="9" t="s">
        <v>5</v>
      </c>
      <c r="B57" s="9" t="s">
        <v>6</v>
      </c>
      <c r="C57" s="20" t="s">
        <v>3</v>
      </c>
      <c r="D57" s="9" t="s">
        <v>2</v>
      </c>
      <c r="E57" s="9"/>
      <c r="F57" s="9" t="s">
        <v>1</v>
      </c>
      <c r="G57" s="19">
        <v>0</v>
      </c>
      <c r="H57" s="9">
        <v>2014</v>
      </c>
      <c r="I57" s="9">
        <v>6</v>
      </c>
      <c r="J57" s="18">
        <f>INDEX(PTRS!$D$6:$D$12,MATCH('1'!$F57,PTRS!$B$6:$B$12,0))</f>
        <v>0.1044225</v>
      </c>
      <c r="K57" s="17">
        <v>0</v>
      </c>
      <c r="L57" s="17">
        <v>0</v>
      </c>
      <c r="M57" s="17">
        <f t="shared" si="16"/>
        <v>0.1044225</v>
      </c>
      <c r="N57" s="17">
        <v>0</v>
      </c>
      <c r="O57" s="17">
        <v>0</v>
      </c>
      <c r="P57" s="17">
        <v>0.1044225</v>
      </c>
      <c r="Q57" s="17">
        <f>IF(O57&gt;=0.5,1,0)</f>
        <v>0</v>
      </c>
      <c r="R57" s="17">
        <v>0.1044225</v>
      </c>
      <c r="S57" s="17">
        <v>1</v>
      </c>
      <c r="T57" s="17"/>
      <c r="U57" s="17">
        <f>BP57/$BN$7</f>
        <v>0</v>
      </c>
      <c r="V57" s="17">
        <v>1</v>
      </c>
      <c r="W57" s="9" t="s">
        <v>0</v>
      </c>
      <c r="X57" s="9">
        <f>INDEX('Unique Asset List'!$C$4:$I$60,MATCH('1'!$B57,'Unique Asset List'!$A$4:$A$60,0),MATCH('1'!$C$1,'Unique Asset List'!$C$3:$I$3,0))</f>
        <v>2050</v>
      </c>
      <c r="Y57" s="9">
        <f>INDEX('Unique Asset List'!$J$4:$P$60,MATCH('1'!$B57,'Unique Asset List'!$A$4:$A$60,0),MATCH('1'!$C$1,'Unique Asset List'!$J$3:$P$3,0))</f>
        <v>9</v>
      </c>
      <c r="Z57" s="9">
        <f>INDEX('Unique Asset List'!$X$4:$AD$60,MATCH('1'!$B57,'Unique Asset List'!$A$4:$A$60,0),MATCH('1'!$C$1,'Unique Asset List'!$X$3:$AD$3,0))</f>
        <v>2060</v>
      </c>
      <c r="AA57" s="9">
        <f>INDEX('Unique Asset List'!$AE$4:$AK$60,MATCH('1'!$B57,'Unique Asset List'!$A$4:$A$60,0),MATCH('1'!$C$1,'Unique Asset List'!$AE$3:$AK$3,0))</f>
        <v>6</v>
      </c>
      <c r="AB57" s="16">
        <f>SUMPRODUCT($AT57:$BA57,$AT$7:$BA$7)</f>
        <v>0</v>
      </c>
      <c r="AC57" s="16">
        <f>SUMPRODUCT($BB57:$BH57,$AZ$7:$BF$7)</f>
        <v>0</v>
      </c>
      <c r="AD57" s="16">
        <f>SUMPRODUCT($BI57:$BL57,$BG$7:$BJ$7)</f>
        <v>0</v>
      </c>
      <c r="AE57" s="15">
        <f>INDEX('Unique Asset List'!$BN$4:$BT$60,MATCH('1'!$B57,'Unique Asset List'!$A$4:$A$60,0),MATCH('1'!$C$1,'Unique Asset List'!$BN$3:$BT$3,0))</f>
        <v>0.15</v>
      </c>
      <c r="AF57" s="15">
        <f>INDEX('Unique Asset List'!$BU$4:$CA$60,MATCH('1'!$B57,'Unique Asset List'!$A$4:$A$60,0),MATCH('1'!$C$1,'Unique Asset List'!$BU$3:$CA$3,0))</f>
        <v>0.35</v>
      </c>
      <c r="AG57" s="15">
        <f>INDEX('Unique Asset List'!$AZ$4:$BF$60,MATCH('1'!$B57,'Unique Asset List'!$A$4:$A$60,0),MATCH('1'!$C$1,'Unique Asset List'!$AZ$3:$BF$3,0))</f>
        <v>0.15</v>
      </c>
      <c r="AH57" s="15">
        <f>INDEX('Unique Asset List'!$BG$4:$BM$60,MATCH('1'!$B57,'Unique Asset List'!$A$4:$A$60,0),MATCH('1'!$C$1,'Unique Asset List'!$BG$3:$BM$3,0))</f>
        <v>0.35</v>
      </c>
      <c r="AI57" s="11">
        <v>0.97304949785176587</v>
      </c>
      <c r="AJ57" s="15">
        <f>INDEX('Unique Asset List'!$AL$4:$AR$60,MATCH('1'!$B57,'Unique Asset List'!$A$4:$A$60,0),MATCH('1'!$C$1,'Unique Asset List'!$AL$3:$AR$3,0))</f>
        <v>1.2267192541321688</v>
      </c>
      <c r="AK57" s="15">
        <f>INDEX('Unique Asset List'!$AS$4:$AY$60,MATCH('1'!$B57,'Unique Asset List'!$A$4:$A$60,0),MATCH('1'!$C$1,'Unique Asset List'!$AS$3:$AY$3,0))</f>
        <v>11.984388276878477</v>
      </c>
      <c r="AL57" s="9">
        <v>160</v>
      </c>
      <c r="AM57" s="14">
        <f>INDEX(Simulation!$B$6:$H$6,MATCH($A57,Simulation!$B$1:$H$1,0))*(1+AN57)^((DATE(X57,Y57,15)-DATE(2017,1,15))/365.5)</f>
        <v>47.720867993791238</v>
      </c>
      <c r="AN57" s="12">
        <v>3.5000000000000003E-2</v>
      </c>
      <c r="AO57" s="13">
        <v>60</v>
      </c>
      <c r="AP57" s="11">
        <v>0.6</v>
      </c>
      <c r="AQ57" s="12">
        <v>-0.02</v>
      </c>
      <c r="AR57" s="11">
        <v>0.5</v>
      </c>
      <c r="AS57" s="10">
        <v>1</v>
      </c>
      <c r="AT57" s="4">
        <f>IF($C$5="ON",BT57,MyRating(_E1,$B57,Efficacy!$F$1))</f>
        <v>0</v>
      </c>
      <c r="AU57" s="3">
        <f>IF($C$5="ON",BU57,MyRating(_E2,$B57,Efficacy!$F$1))</f>
        <v>0</v>
      </c>
      <c r="AV57" s="3">
        <f>IF($C$5="ON",BV57,MyRating(_E3,$B57,Efficacy!$F$1))</f>
        <v>0</v>
      </c>
      <c r="AW57" s="3">
        <f>IF($C$5="ON",BW57,MyRating(_E4,$B57,Efficacy!$F$1))</f>
        <v>0</v>
      </c>
      <c r="AX57" s="3">
        <f>IF($C$5="ON",BX57,MyRating(_E5,$B57,Efficacy!$F$1))</f>
        <v>0</v>
      </c>
      <c r="AY57" s="3">
        <f>IF($C$5="ON",BY57,MyRating(_E6,$B57,Efficacy!$F$1))</f>
        <v>0</v>
      </c>
      <c r="AZ57" s="3">
        <f>IF($C$5="ON",BZ57,MyRating(_E7,$B57,Efficacy!$F$1))</f>
        <v>0</v>
      </c>
      <c r="BA57" s="3">
        <f>IF($C$5="ON",CA57,MyRating(_E8,$B57,Efficacy!$F$1))</f>
        <v>0</v>
      </c>
      <c r="BB57" s="3">
        <f>IF($C$5="ON",CB57,MyRating(_S1,$B57,Efficacy!$F$1))</f>
        <v>0</v>
      </c>
      <c r="BC57" s="3">
        <f>IF($C$5="ON",CC57,MyRating(_S2,$B57,Efficacy!$F$1))</f>
        <v>0</v>
      </c>
      <c r="BD57" s="3">
        <f>IF($C$5="ON",CD57,MyRating(_S3,$B57,Efficacy!$F$1))</f>
        <v>0</v>
      </c>
      <c r="BE57" s="3">
        <f>IF($C$5="ON",CE57,MyRating(_S4,$B57,Efficacy!$F$1))</f>
        <v>0</v>
      </c>
      <c r="BF57" s="3">
        <f>IF($C$5="ON",CF57,MyRating(_S5,$B57,Efficacy!$F$1))</f>
        <v>0</v>
      </c>
      <c r="BG57" s="3">
        <f>IF($C$5="ON",CG57,MyRating(_S6,$B57,Efficacy!$F$1))</f>
        <v>0</v>
      </c>
      <c r="BH57" s="3">
        <f>IF($C$5="ON",CH57,MyRating(_S7,$B57,Efficacy!$F$1))</f>
        <v>0</v>
      </c>
      <c r="BI57" s="3">
        <f>IF($C$5="ON",CI57,MyRating(_D1,$B57,Efficacy!$F$1))</f>
        <v>0</v>
      </c>
      <c r="BJ57" s="3">
        <f>IF($C$5="ON",CJ57,MyRating(_D2,$B57,Efficacy!$F$1))</f>
        <v>0</v>
      </c>
      <c r="BK57" s="3">
        <f>IF($C$5="ON",CK57,MyRating(_D3,$B57,Efficacy!$F$1))</f>
        <v>0</v>
      </c>
      <c r="BL57" s="3">
        <f>IF($C$5="ON",CL57,MyRating(_D4,$B57,Efficacy!$F$1))</f>
        <v>0</v>
      </c>
      <c r="BM57" s="3">
        <f>IF($C$5="ON",CM57,MyRating(_B1,$B57,Barrier!$F$2))</f>
        <v>0</v>
      </c>
      <c r="BN57" s="3">
        <f>IF($C$5="ON",CN57,MyRating(_B2,$B57,Barrier!$F$2))</f>
        <v>0</v>
      </c>
      <c r="BO57" s="6">
        <f>IF($C$5="ON",CO57,MyRating(_B3,$B57,Barrier!$F$2))</f>
        <v>0</v>
      </c>
      <c r="BP57" s="5">
        <f t="shared" si="12"/>
        <v>0</v>
      </c>
      <c r="BQ57" s="8">
        <f t="shared" si="13"/>
        <v>0</v>
      </c>
      <c r="BR57" s="5">
        <f t="shared" si="14"/>
        <v>0</v>
      </c>
      <c r="BS57" s="7">
        <f t="shared" si="15"/>
        <v>0</v>
      </c>
      <c r="BT57" s="4">
        <v>0</v>
      </c>
      <c r="BU57" s="3">
        <v>0</v>
      </c>
      <c r="BV57" s="3">
        <v>0</v>
      </c>
      <c r="BW57" s="3">
        <v>0</v>
      </c>
      <c r="BX57" s="3">
        <v>0</v>
      </c>
      <c r="BY57" s="3">
        <v>0</v>
      </c>
      <c r="BZ57" s="3">
        <v>0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6">
        <v>0</v>
      </c>
      <c r="CP57" s="5"/>
      <c r="CQ57" s="4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</row>
    <row r="58" spans="1:116" x14ac:dyDescent="0.35">
      <c r="A58" s="9" t="s">
        <v>5</v>
      </c>
      <c r="B58" s="9" t="s">
        <v>4</v>
      </c>
      <c r="C58" s="20" t="s">
        <v>3</v>
      </c>
      <c r="D58" s="9" t="s">
        <v>2</v>
      </c>
      <c r="E58" s="9"/>
      <c r="F58" s="9" t="s">
        <v>1</v>
      </c>
      <c r="G58" s="19">
        <v>0</v>
      </c>
      <c r="H58" s="9">
        <v>2014</v>
      </c>
      <c r="I58" s="9">
        <v>6</v>
      </c>
      <c r="J58" s="18">
        <f>INDEX(PTRS!$D$6:$D$12,MATCH('1'!$F58,PTRS!$B$6:$B$12,0))</f>
        <v>0.1044225</v>
      </c>
      <c r="K58" s="17">
        <v>0</v>
      </c>
      <c r="L58" s="17">
        <v>0</v>
      </c>
      <c r="M58" s="17">
        <f t="shared" si="16"/>
        <v>0.1044225</v>
      </c>
      <c r="N58" s="17">
        <f>IF(D58="Janssen",M58,J58)</f>
        <v>0.1044225</v>
      </c>
      <c r="O58" s="17">
        <v>0.1044225</v>
      </c>
      <c r="P58" s="17">
        <v>0.1044225</v>
      </c>
      <c r="Q58" s="17">
        <f>IF(O58&gt;=0.5,1,0)</f>
        <v>0</v>
      </c>
      <c r="R58" s="17">
        <v>0.1044225</v>
      </c>
      <c r="S58" s="17">
        <v>1</v>
      </c>
      <c r="T58" s="17"/>
      <c r="U58" s="17">
        <f>BP58/$BN$7</f>
        <v>0</v>
      </c>
      <c r="V58" s="17">
        <v>1</v>
      </c>
      <c r="W58" s="9" t="s">
        <v>0</v>
      </c>
      <c r="X58" s="9">
        <f>INDEX('Unique Asset List'!$C$4:$I$60,MATCH('1'!$B58,'Unique Asset List'!$A$4:$A$60,0),MATCH('1'!$C$1,'Unique Asset List'!$C$3:$I$3,0))</f>
        <v>2050</v>
      </c>
      <c r="Y58" s="9">
        <f>INDEX('Unique Asset List'!$J$4:$P$60,MATCH('1'!$B58,'Unique Asset List'!$A$4:$A$60,0),MATCH('1'!$C$1,'Unique Asset List'!$J$3:$P$3,0))</f>
        <v>9</v>
      </c>
      <c r="Z58" s="9">
        <f>INDEX('Unique Asset List'!$X$4:$AD$60,MATCH('1'!$B58,'Unique Asset List'!$A$4:$A$60,0),MATCH('1'!$C$1,'Unique Asset List'!$X$3:$AD$3,0))</f>
        <v>2060</v>
      </c>
      <c r="AA58" s="9">
        <f>INDEX('Unique Asset List'!$AE$4:$AK$60,MATCH('1'!$B58,'Unique Asset List'!$A$4:$A$60,0),MATCH('1'!$C$1,'Unique Asset List'!$AE$3:$AK$3,0))</f>
        <v>6</v>
      </c>
      <c r="AB58" s="16">
        <f>SUMPRODUCT($AT58:$BA58,$AT$7:$BA$7)</f>
        <v>0</v>
      </c>
      <c r="AC58" s="16">
        <f>SUMPRODUCT($BB58:$BH58,$AZ$7:$BF$7)</f>
        <v>0</v>
      </c>
      <c r="AD58" s="16">
        <f>SUMPRODUCT($BI58:$BL58,$BG$7:$BJ$7)</f>
        <v>0</v>
      </c>
      <c r="AE58" s="15">
        <f>INDEX('Unique Asset List'!$BN$4:$BT$60,MATCH('1'!$B58,'Unique Asset List'!$A$4:$A$60,0),MATCH('1'!$C$1,'Unique Asset List'!$BN$3:$BT$3,0))</f>
        <v>0.15</v>
      </c>
      <c r="AF58" s="15">
        <f>INDEX('Unique Asset List'!$BU$4:$CA$60,MATCH('1'!$B58,'Unique Asset List'!$A$4:$A$60,0),MATCH('1'!$C$1,'Unique Asset List'!$BU$3:$CA$3,0))</f>
        <v>0.35</v>
      </c>
      <c r="AG58" s="15">
        <f>INDEX('Unique Asset List'!$AZ$4:$BF$60,MATCH('1'!$B58,'Unique Asset List'!$A$4:$A$60,0),MATCH('1'!$C$1,'Unique Asset List'!$AZ$3:$BF$3,0))</f>
        <v>0.15</v>
      </c>
      <c r="AH58" s="15">
        <f>INDEX('Unique Asset List'!$BG$4:$BM$60,MATCH('1'!$B58,'Unique Asset List'!$A$4:$A$60,0),MATCH('1'!$C$1,'Unique Asset List'!$BG$3:$BM$3,0))</f>
        <v>0.35</v>
      </c>
      <c r="AI58" s="11">
        <v>0.97304949785176587</v>
      </c>
      <c r="AJ58" s="15">
        <f>INDEX('Unique Asset List'!$AL$4:$AR$60,MATCH('1'!$B58,'Unique Asset List'!$A$4:$A$60,0),MATCH('1'!$C$1,'Unique Asset List'!$AL$3:$AR$3,0))</f>
        <v>1.2267192541321688</v>
      </c>
      <c r="AK58" s="15">
        <f>INDEX('Unique Asset List'!$AS$4:$AY$60,MATCH('1'!$B58,'Unique Asset List'!$A$4:$A$60,0),MATCH('1'!$C$1,'Unique Asset List'!$AS$3:$AY$3,0))</f>
        <v>11.984388276878477</v>
      </c>
      <c r="AL58" s="9">
        <v>160</v>
      </c>
      <c r="AM58" s="14">
        <f>INDEX(Simulation!$B$6:$H$6,MATCH($A58,Simulation!$B$1:$H$1,0))*(1+AN58)^((DATE(X58,Y58,15)-DATE(2017,1,15))/365.5)</f>
        <v>47.720867993791238</v>
      </c>
      <c r="AN58" s="12">
        <v>3.5000000000000003E-2</v>
      </c>
      <c r="AO58" s="13">
        <v>60</v>
      </c>
      <c r="AP58" s="11">
        <v>0.6</v>
      </c>
      <c r="AQ58" s="12">
        <v>-0.02</v>
      </c>
      <c r="AR58" s="11">
        <v>0.5</v>
      </c>
      <c r="AS58" s="10">
        <v>1</v>
      </c>
      <c r="AT58" s="4">
        <f>IF($C$5="ON",BT58,MyRating(_E1,$B58,Efficacy!$F$1))</f>
        <v>0</v>
      </c>
      <c r="AU58" s="3">
        <f>IF($C$5="ON",BU58,MyRating(_E2,$B58,Efficacy!$F$1))</f>
        <v>0</v>
      </c>
      <c r="AV58" s="3">
        <f>IF($C$5="ON",BV58,MyRating(_E3,$B58,Efficacy!$F$1))</f>
        <v>0</v>
      </c>
      <c r="AW58" s="3">
        <f>IF($C$5="ON",BW58,MyRating(_E4,$B58,Efficacy!$F$1))</f>
        <v>0</v>
      </c>
      <c r="AX58" s="3">
        <f>IF($C$5="ON",BX58,MyRating(_E5,$B58,Efficacy!$F$1))</f>
        <v>0</v>
      </c>
      <c r="AY58" s="3">
        <f>IF($C$5="ON",BY58,MyRating(_E6,$B58,Efficacy!$F$1))</f>
        <v>0</v>
      </c>
      <c r="AZ58" s="3">
        <f>IF($C$5="ON",BZ58,MyRating(_E7,$B58,Efficacy!$F$1))</f>
        <v>0</v>
      </c>
      <c r="BA58" s="3">
        <f>IF($C$5="ON",CA58,MyRating(_E8,$B58,Efficacy!$F$1))</f>
        <v>0</v>
      </c>
      <c r="BB58" s="3">
        <f>IF($C$5="ON",CB58,MyRating(_S1,$B58,Efficacy!$F$1))</f>
        <v>0</v>
      </c>
      <c r="BC58" s="3">
        <f>IF($C$5="ON",CC58,MyRating(_S2,$B58,Efficacy!$F$1))</f>
        <v>0</v>
      </c>
      <c r="BD58" s="3">
        <f>IF($C$5="ON",CD58,MyRating(_S3,$B58,Efficacy!$F$1))</f>
        <v>0</v>
      </c>
      <c r="BE58" s="3">
        <f>IF($C$5="ON",CE58,MyRating(_S4,$B58,Efficacy!$F$1))</f>
        <v>0</v>
      </c>
      <c r="BF58" s="3">
        <f>IF($C$5="ON",CF58,MyRating(_S5,$B58,Efficacy!$F$1))</f>
        <v>0</v>
      </c>
      <c r="BG58" s="3">
        <f>IF($C$5="ON",CG58,MyRating(_S6,$B58,Efficacy!$F$1))</f>
        <v>0</v>
      </c>
      <c r="BH58" s="3">
        <f>IF($C$5="ON",CH58,MyRating(_S7,$B58,Efficacy!$F$1))</f>
        <v>0</v>
      </c>
      <c r="BI58" s="3">
        <f>IF($C$5="ON",CI58,MyRating(_D1,$B58,Efficacy!$F$1))</f>
        <v>0</v>
      </c>
      <c r="BJ58" s="3">
        <f>IF($C$5="ON",CJ58,MyRating(_D2,$B58,Efficacy!$F$1))</f>
        <v>0</v>
      </c>
      <c r="BK58" s="3">
        <f>IF($C$5="ON",CK58,MyRating(_D3,$B58,Efficacy!$F$1))</f>
        <v>0</v>
      </c>
      <c r="BL58" s="3">
        <f>IF($C$5="ON",CL58,MyRating(_D4,$B58,Efficacy!$F$1))</f>
        <v>0</v>
      </c>
      <c r="BM58" s="3">
        <f>IF($C$5="ON",CM58,MyRating(_B1,$B58,Barrier!$F$2))</f>
        <v>0</v>
      </c>
      <c r="BN58" s="3">
        <f>IF($C$5="ON",CN58,MyRating(_B2,$B58,Barrier!$F$2))</f>
        <v>0</v>
      </c>
      <c r="BO58" s="6">
        <f>IF($C$5="ON",CO58,MyRating(_B3,$B58,Barrier!$F$2))</f>
        <v>0</v>
      </c>
      <c r="BP58" s="5">
        <f t="shared" si="12"/>
        <v>0</v>
      </c>
      <c r="BQ58" s="8">
        <f t="shared" si="13"/>
        <v>0</v>
      </c>
      <c r="BR58" s="5">
        <f t="shared" si="14"/>
        <v>0</v>
      </c>
      <c r="BS58" s="7">
        <f t="shared" si="15"/>
        <v>0</v>
      </c>
      <c r="BT58" s="4">
        <v>0</v>
      </c>
      <c r="BU58" s="3">
        <v>0</v>
      </c>
      <c r="BV58" s="3">
        <v>0</v>
      </c>
      <c r="BW58" s="3">
        <v>0</v>
      </c>
      <c r="BX58" s="3">
        <v>0</v>
      </c>
      <c r="BY58" s="3">
        <v>0</v>
      </c>
      <c r="BZ58" s="3">
        <v>0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6">
        <v>0</v>
      </c>
      <c r="CP58" s="5"/>
      <c r="CQ58" s="4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</row>
  </sheetData>
  <mergeCells count="8">
    <mergeCell ref="T4:W4"/>
    <mergeCell ref="T3:W3"/>
    <mergeCell ref="F1:I1"/>
    <mergeCell ref="J1:S1"/>
    <mergeCell ref="A1:B1"/>
    <mergeCell ref="T1:W1"/>
    <mergeCell ref="T2:W2"/>
    <mergeCell ref="F2:I2"/>
  </mergeCells>
  <dataValidations count="3">
    <dataValidation type="list" allowBlank="1" showInputMessage="1" showErrorMessage="1" sqref="C5" xr:uid="{8DA91246-C71F-4D34-B494-791DC7A51FB5}">
      <formula1>"ON,OFF"</formula1>
    </dataValidation>
    <dataValidation type="list" allowBlank="1" showInputMessage="1" showErrorMessage="1" sqref="C1" xr:uid="{A66D1C5E-5BC0-41A9-A0F8-3A77028E4939}">
      <formula1>"US,FR,DE,ES,IT,UK,JP"</formula1>
    </dataValidation>
    <dataValidation type="list" allowBlank="1" showInputMessage="1" showErrorMessage="1" sqref="J1:S1" xr:uid="{F84F16D7-69A9-4A58-87EF-CE54E064D2AE}">
      <formula1>$J$8:$S$8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28</vt:i4>
      </vt:variant>
    </vt:vector>
  </HeadingPairs>
  <TitlesOfParts>
    <vt:vector size="44" baseType="lpstr">
      <vt:lpstr>Unique Asset List</vt:lpstr>
      <vt:lpstr>PTRS</vt:lpstr>
      <vt:lpstr>Conjoint</vt:lpstr>
      <vt:lpstr>Efficacy</vt:lpstr>
      <vt:lpstr>S&amp;T</vt:lpstr>
      <vt:lpstr>Delivery</vt:lpstr>
      <vt:lpstr>Barrier</vt:lpstr>
      <vt:lpstr>Efficacy Acceptability</vt:lpstr>
      <vt:lpstr>Simulation</vt:lpstr>
      <vt:lpstr>7</vt:lpstr>
      <vt:lpstr>6</vt:lpstr>
      <vt:lpstr>5</vt:lpstr>
      <vt:lpstr>4</vt:lpstr>
      <vt:lpstr>3</vt:lpstr>
      <vt:lpstr>2</vt:lpstr>
      <vt:lpstr>1</vt:lpstr>
      <vt:lpstr>_B1</vt:lpstr>
      <vt:lpstr>_B1G5</vt:lpstr>
      <vt:lpstr>_B2</vt:lpstr>
      <vt:lpstr>_B3</vt:lpstr>
      <vt:lpstr>_D1</vt:lpstr>
      <vt:lpstr>_D2</vt:lpstr>
      <vt:lpstr>_D3</vt:lpstr>
      <vt:lpstr>_D4</vt:lpstr>
      <vt:lpstr>_D5</vt:lpstr>
      <vt:lpstr>_D6</vt:lpstr>
      <vt:lpstr>_D7</vt:lpstr>
      <vt:lpstr>_D8</vt:lpstr>
      <vt:lpstr>_E1</vt:lpstr>
      <vt:lpstr>_E2</vt:lpstr>
      <vt:lpstr>_E3</vt:lpstr>
      <vt:lpstr>_E4</vt:lpstr>
      <vt:lpstr>_E5</vt:lpstr>
      <vt:lpstr>_E6</vt:lpstr>
      <vt:lpstr>_E7</vt:lpstr>
      <vt:lpstr>_E8</vt:lpstr>
      <vt:lpstr>_S1</vt:lpstr>
      <vt:lpstr>_S2</vt:lpstr>
      <vt:lpstr>_S3</vt:lpstr>
      <vt:lpstr>_S4</vt:lpstr>
      <vt:lpstr>_S5</vt:lpstr>
      <vt:lpstr>_S6</vt:lpstr>
      <vt:lpstr>_S7</vt:lpstr>
      <vt:lpstr>_S8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Nijs</dc:creator>
  <cp:lastModifiedBy>Michel Nijs</cp:lastModifiedBy>
  <dcterms:created xsi:type="dcterms:W3CDTF">2018-03-02T14:33:55Z</dcterms:created>
  <dcterms:modified xsi:type="dcterms:W3CDTF">2018-03-26T17:44:29Z</dcterms:modified>
</cp:coreProperties>
</file>