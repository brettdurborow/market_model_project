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-my.sharepoint.com/personal/mnijs1_its_jnj_com/Documents/Mood Market Model/"/>
    </mc:Choice>
  </mc:AlternateContent>
  <xr:revisionPtr revIDLastSave="9" documentId="8_{182ABDD0-267F-4E2C-9BEE-AAE52EA2DD81}" xr6:coauthVersionLast="40" xr6:coauthVersionMax="40" xr10:uidLastSave="{5ABFC61F-809A-4C24-B864-44C1F6414B98}"/>
  <bookViews>
    <workbookView xWindow="-120" yWindow="-120" windowWidth="25440" windowHeight="15390" tabRatio="905" firstSheet="2" activeTab="12" xr2:uid="{00000000-000D-0000-FFFF-FFFF00000000}"/>
  </bookViews>
  <sheets>
    <sheet name="217 Assumptions" sheetId="23" r:id="rId1"/>
    <sheet name="SPRAVATO Assumptions" sheetId="22" r:id="rId2"/>
    <sheet name="Unique Asset List" sheetId="20" r:id="rId3"/>
    <sheet name="Launch Scenarios" sheetId="25" r:id="rId4"/>
    <sheet name="PCP Deciles" sheetId="24" r:id="rId5"/>
    <sheet name="PTRS" sheetId="19" r:id="rId6"/>
    <sheet name="Conjoint" sheetId="8" r:id="rId7"/>
    <sheet name="Efficacy" sheetId="9" r:id="rId8"/>
    <sheet name="S&amp;T" sheetId="10" r:id="rId9"/>
    <sheet name="Delivery" sheetId="11" r:id="rId10"/>
    <sheet name="Barrier" sheetId="12" r:id="rId11"/>
    <sheet name="Efficacy Acceptability" sheetId="13" r:id="rId12"/>
    <sheet name="Simulation" sheetId="7" r:id="rId13"/>
    <sheet name="7" sheetId="21" r:id="rId14"/>
    <sheet name="6" sheetId="6" r:id="rId15"/>
    <sheet name="5" sheetId="5" r:id="rId16"/>
    <sheet name="4" sheetId="4" r:id="rId17"/>
    <sheet name="3" sheetId="3" r:id="rId18"/>
    <sheet name="2" sheetId="2" r:id="rId19"/>
    <sheet name="1" sheetId="1" r:id="rId20"/>
  </sheets>
  <functionGroups builtInGroupCount="19"/>
  <externalReferences>
    <externalReference r:id="rId21"/>
    <externalReference r:id="rId22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localSheetId="18" hidden="1">128</definedName>
    <definedName name="_AtRisk_SimSetting_ReportOptionReportSelection" hidden="1">768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768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Barrier!$D$10:$H$51</definedName>
    <definedName name="_B1G5">Barrier!$J$10:$N$51</definedName>
    <definedName name="_B2">Barrier!$D$53:$H$97</definedName>
    <definedName name="_B3">Barrier!$D$99:$H$141</definedName>
    <definedName name="_CompoundList">'Unique Asset List'!$A$4:$A$60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xlnm._FilterDatabase" localSheetId="19" hidden="1">'1'!$A$8:$DX$58</definedName>
    <definedName name="_xlnm._FilterDatabase" localSheetId="18" hidden="1">'2'!$A$8:$CZ$58</definedName>
    <definedName name="_xlnm._FilterDatabase" localSheetId="17" hidden="1">'3'!$A$8:$CZ$58</definedName>
    <definedName name="_xlnm._FilterDatabase" localSheetId="16" hidden="1">'4'!$A$8:$CZ$58</definedName>
    <definedName name="_xlnm._FilterDatabase" localSheetId="15" hidden="1">'5'!$A$8:$CZ$58</definedName>
    <definedName name="_xlnm._FilterDatabase" localSheetId="14" hidden="1">'6'!$A$8:$CZ$58</definedName>
    <definedName name="_xlnm._FilterDatabase" localSheetId="13" hidden="1">'7'!$A$8:$CZ$58</definedName>
    <definedName name="_xlnm._FilterDatabase" localSheetId="11" hidden="1">'Efficacy Acceptability'!$B$2:$K$52</definedName>
    <definedName name="_xlnm._FilterDatabase" localSheetId="2" hidden="1">'Unique Asset List'!$A$3:$CW$60</definedName>
    <definedName name="_OrderEntry" localSheetId="18" hidden="1">'2'!$C$3</definedName>
    <definedName name="_OrderEntry" localSheetId="17" hidden="1">'3'!$C$3</definedName>
    <definedName name="_OrderEntry" localSheetId="16" hidden="1">'4'!$C$3</definedName>
    <definedName name="_OrderEntry" localSheetId="15" hidden="1">'5'!$C$3</definedName>
    <definedName name="_OrderEntry" localSheetId="14" hidden="1">'6'!$C$3</definedName>
    <definedName name="_OrderEntry" localSheetId="13" hidden="1">'7'!$C$3</definedName>
    <definedName name="_OrderEntry" localSheetId="10" hidden="1">[1]US!$C$3</definedName>
    <definedName name="_OrderEntry" localSheetId="11" hidden="1">[1]US!$C$3</definedName>
    <definedName name="_OrderEntry" localSheetId="5" hidden="1">[1]US!$C$3</definedName>
    <definedName name="_OrderEntry" localSheetId="12" hidden="1">[2]Assets!$C$3</definedName>
    <definedName name="_OrderEntry" hidden="1">'1'!$C$3</definedName>
    <definedName name="_pe" localSheetId="18" hidden="1">'2'!$X$1</definedName>
    <definedName name="_pe" localSheetId="17" hidden="1">'3'!$X$1</definedName>
    <definedName name="_pe" localSheetId="16" hidden="1">'4'!$X$1</definedName>
    <definedName name="_pe" localSheetId="15" hidden="1">'5'!$X$1</definedName>
    <definedName name="_pe" localSheetId="14" hidden="1">'6'!$X$1</definedName>
    <definedName name="_pe" localSheetId="13" hidden="1">'7'!$X$1</definedName>
    <definedName name="_pe" localSheetId="10" hidden="1">[1]US!$X$1</definedName>
    <definedName name="_pe" localSheetId="11" hidden="1">[1]US!$X$1</definedName>
    <definedName name="_pe" localSheetId="5" hidden="1">[1]US!$X$1</definedName>
    <definedName name="_pe" localSheetId="12" hidden="1">[2]Assets!$Z$1</definedName>
    <definedName name="_pe" hidden="1">'1'!$X$1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19" hidden="1">#REF!</definedName>
    <definedName name="OptimizationAdjustableCellAddresses" localSheetId="18" hidden="1">#REF!</definedName>
    <definedName name="OptimizationAdjustableCellAddresses" localSheetId="0" hidden="1">#REF!</definedName>
    <definedName name="OptimizationAdjustableCellAddresses" localSheetId="17" hidden="1">#REF!</definedName>
    <definedName name="OptimizationAdjustableCellAddresses" localSheetId="16" hidden="1">#REF!</definedName>
    <definedName name="OptimizationAdjustableCellAddresses" localSheetId="15" hidden="1">#REF!</definedName>
    <definedName name="OptimizationAdjustableCellAddresses" localSheetId="14" hidden="1">#REF!</definedName>
    <definedName name="OptimizationAdjustableCellAddresses" localSheetId="13" hidden="1">#REF!</definedName>
    <definedName name="OptimizationAdjustableCellAddresses" localSheetId="10" hidden="1">#REF!</definedName>
    <definedName name="OptimizationAdjustableCellAddresses" localSheetId="9" hidden="1">#REF!</definedName>
    <definedName name="OptimizationAdjustableCellAddresses" localSheetId="5" hidden="1">#REF!</definedName>
    <definedName name="OptimizationAdjustableCellAddresses" localSheetId="8" hidden="1">#REF!</definedName>
    <definedName name="OptimizationAdjustableCellAddresses" localSheetId="12" hidden="1">#REF!</definedName>
    <definedName name="OptimizationAdjustableCellAddresses" localSheetId="2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5" hidden="1">"$Q$47"</definedName>
    <definedName name="RiskSelectedCell" hidden="1">"$AQ$4"</definedName>
    <definedName name="RiskSelectedCell_1" hidden="1">"$D$5"</definedName>
    <definedName name="RiskSelectedNameCell1" localSheetId="5" hidden="1">"$P$47"</definedName>
    <definedName name="RiskSelectedNameCell1" hidden="1">"$B$4"</definedName>
    <definedName name="RiskSelectedNameCell2" localSheetId="5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58" i="21" l="1"/>
  <c r="AV58" i="21"/>
  <c r="AU58" i="21"/>
  <c r="AT58" i="21"/>
  <c r="AW57" i="21"/>
  <c r="AV57" i="21"/>
  <c r="AU57" i="21"/>
  <c r="AT57" i="21"/>
  <c r="AW56" i="21"/>
  <c r="AV56" i="21"/>
  <c r="AU56" i="21"/>
  <c r="AT56" i="21"/>
  <c r="AW55" i="21"/>
  <c r="AV55" i="21"/>
  <c r="AU55" i="21"/>
  <c r="AT55" i="21"/>
  <c r="AW54" i="21"/>
  <c r="AV54" i="21"/>
  <c r="AU54" i="21"/>
  <c r="AT54" i="21"/>
  <c r="AW53" i="21"/>
  <c r="AV53" i="21"/>
  <c r="AU53" i="21"/>
  <c r="AT53" i="21"/>
  <c r="AW52" i="21"/>
  <c r="AV52" i="21"/>
  <c r="AU52" i="21"/>
  <c r="AT52" i="21"/>
  <c r="AW51" i="21"/>
  <c r="AV51" i="21"/>
  <c r="AU51" i="21"/>
  <c r="AT51" i="21"/>
  <c r="AW50" i="21"/>
  <c r="AV50" i="21"/>
  <c r="AU50" i="21"/>
  <c r="AT50" i="21"/>
  <c r="AW49" i="21"/>
  <c r="AV49" i="21"/>
  <c r="AU49" i="21"/>
  <c r="AT49" i="21"/>
  <c r="AW48" i="21"/>
  <c r="AV48" i="21"/>
  <c r="AU48" i="21"/>
  <c r="AT48" i="21"/>
  <c r="AW47" i="21"/>
  <c r="AV47" i="21"/>
  <c r="AU47" i="21"/>
  <c r="AT47" i="21"/>
  <c r="AW46" i="21"/>
  <c r="AV46" i="21"/>
  <c r="AU46" i="21"/>
  <c r="AT46" i="21"/>
  <c r="AW45" i="21"/>
  <c r="AV45" i="21"/>
  <c r="AU45" i="21"/>
  <c r="AT45" i="21"/>
  <c r="AW44" i="21"/>
  <c r="AV44" i="21"/>
  <c r="AU44" i="21"/>
  <c r="AT44" i="21"/>
  <c r="AW43" i="21"/>
  <c r="AV43" i="21"/>
  <c r="AU43" i="21"/>
  <c r="AT43" i="21"/>
  <c r="AW42" i="21"/>
  <c r="AV42" i="21"/>
  <c r="AU42" i="21"/>
  <c r="AT42" i="21"/>
  <c r="AW41" i="21"/>
  <c r="AV41" i="21"/>
  <c r="AU41" i="21"/>
  <c r="AT41" i="21"/>
  <c r="AW40" i="21"/>
  <c r="AV40" i="21"/>
  <c r="AU40" i="21"/>
  <c r="AT40" i="21"/>
  <c r="AW39" i="21"/>
  <c r="AV39" i="21"/>
  <c r="AU39" i="21"/>
  <c r="AT39" i="21"/>
  <c r="AW38" i="21"/>
  <c r="AV38" i="21"/>
  <c r="AU38" i="21"/>
  <c r="AT38" i="21"/>
  <c r="AW37" i="21"/>
  <c r="AV37" i="21"/>
  <c r="AU37" i="21"/>
  <c r="AT37" i="21"/>
  <c r="AW36" i="21"/>
  <c r="AV36" i="21"/>
  <c r="AU36" i="21"/>
  <c r="AT36" i="21"/>
  <c r="AW35" i="21"/>
  <c r="AV35" i="21"/>
  <c r="AU35" i="21"/>
  <c r="AT35" i="21"/>
  <c r="AW34" i="21"/>
  <c r="AV34" i="21"/>
  <c r="AU34" i="21"/>
  <c r="AT34" i="21"/>
  <c r="AW33" i="21"/>
  <c r="AV33" i="21"/>
  <c r="AU33" i="21"/>
  <c r="AT33" i="21"/>
  <c r="AW32" i="21"/>
  <c r="AV32" i="21"/>
  <c r="AU32" i="21"/>
  <c r="AT32" i="21"/>
  <c r="AW31" i="21"/>
  <c r="AV31" i="21"/>
  <c r="AU31" i="21"/>
  <c r="AT31" i="21"/>
  <c r="AW30" i="21"/>
  <c r="AV30" i="21"/>
  <c r="AU30" i="21"/>
  <c r="AT30" i="21"/>
  <c r="AW29" i="21"/>
  <c r="AV29" i="21"/>
  <c r="AU29" i="21"/>
  <c r="AT29" i="21"/>
  <c r="AW28" i="21"/>
  <c r="AV28" i="21"/>
  <c r="AU28" i="21"/>
  <c r="AT28" i="21"/>
  <c r="AW27" i="21"/>
  <c r="AV27" i="21"/>
  <c r="AU27" i="21"/>
  <c r="AT27" i="21"/>
  <c r="AW26" i="21"/>
  <c r="AV26" i="21"/>
  <c r="AU26" i="21"/>
  <c r="AT26" i="21"/>
  <c r="AW25" i="21"/>
  <c r="AV25" i="21"/>
  <c r="AU25" i="21"/>
  <c r="AT25" i="21"/>
  <c r="AW24" i="21"/>
  <c r="AV24" i="21"/>
  <c r="AU24" i="21"/>
  <c r="AT24" i="21"/>
  <c r="AW23" i="21"/>
  <c r="AV23" i="21"/>
  <c r="AU23" i="21"/>
  <c r="AT23" i="21"/>
  <c r="AW22" i="21"/>
  <c r="AV22" i="21"/>
  <c r="AU22" i="21"/>
  <c r="AT22" i="21"/>
  <c r="AW21" i="21"/>
  <c r="AV21" i="21"/>
  <c r="AU21" i="21"/>
  <c r="AT21" i="21"/>
  <c r="AW20" i="21"/>
  <c r="AV20" i="21"/>
  <c r="AU20" i="21"/>
  <c r="AT20" i="21"/>
  <c r="AW19" i="21"/>
  <c r="AV19" i="21"/>
  <c r="AU19" i="21"/>
  <c r="AT19" i="21"/>
  <c r="AW18" i="21"/>
  <c r="AV18" i="21"/>
  <c r="AU18" i="21"/>
  <c r="AT18" i="21"/>
  <c r="AW17" i="21"/>
  <c r="AV17" i="21"/>
  <c r="AU17" i="21"/>
  <c r="AT17" i="21"/>
  <c r="AW16" i="21"/>
  <c r="AV16" i="21"/>
  <c r="AU16" i="21"/>
  <c r="AT16" i="21"/>
  <c r="AW15" i="21"/>
  <c r="AV15" i="21"/>
  <c r="AU15" i="21"/>
  <c r="AT15" i="21"/>
  <c r="AW14" i="21"/>
  <c r="AV14" i="21"/>
  <c r="AU14" i="21"/>
  <c r="AT14" i="21"/>
  <c r="AW13" i="21"/>
  <c r="AV13" i="21"/>
  <c r="AU13" i="21"/>
  <c r="AT13" i="21"/>
  <c r="AW12" i="21"/>
  <c r="AV12" i="21"/>
  <c r="AU12" i="21"/>
  <c r="AT12" i="21"/>
  <c r="AW11" i="21"/>
  <c r="AV11" i="21"/>
  <c r="AU11" i="21"/>
  <c r="AT11" i="21"/>
  <c r="AW10" i="21"/>
  <c r="AV10" i="21"/>
  <c r="AU10" i="21"/>
  <c r="AT10" i="21"/>
  <c r="AW9" i="21"/>
  <c r="AV9" i="21"/>
  <c r="AU9" i="21"/>
  <c r="AT9" i="21"/>
  <c r="AW58" i="6"/>
  <c r="AV58" i="6"/>
  <c r="AU58" i="6"/>
  <c r="AT58" i="6"/>
  <c r="AW57" i="6"/>
  <c r="AV57" i="6"/>
  <c r="AU57" i="6"/>
  <c r="AT57" i="6"/>
  <c r="AW56" i="6"/>
  <c r="AV56" i="6"/>
  <c r="AU56" i="6"/>
  <c r="AT56" i="6"/>
  <c r="AW55" i="6"/>
  <c r="AV55" i="6"/>
  <c r="AU55" i="6"/>
  <c r="AT55" i="6"/>
  <c r="AW54" i="6"/>
  <c r="AV54" i="6"/>
  <c r="AU54" i="6"/>
  <c r="AT54" i="6"/>
  <c r="AW53" i="6"/>
  <c r="AV53" i="6"/>
  <c r="AU53" i="6"/>
  <c r="AT53" i="6"/>
  <c r="AW52" i="6"/>
  <c r="AV52" i="6"/>
  <c r="AU52" i="6"/>
  <c r="AT52" i="6"/>
  <c r="AW51" i="6"/>
  <c r="AV51" i="6"/>
  <c r="AU51" i="6"/>
  <c r="AT51" i="6"/>
  <c r="AW50" i="6"/>
  <c r="AV50" i="6"/>
  <c r="AU50" i="6"/>
  <c r="AT50" i="6"/>
  <c r="AW49" i="6"/>
  <c r="AV49" i="6"/>
  <c r="AU49" i="6"/>
  <c r="AT49" i="6"/>
  <c r="AW48" i="6"/>
  <c r="AV48" i="6"/>
  <c r="AU48" i="6"/>
  <c r="AT48" i="6"/>
  <c r="AW47" i="6"/>
  <c r="AV47" i="6"/>
  <c r="AU47" i="6"/>
  <c r="AT47" i="6"/>
  <c r="AW46" i="6"/>
  <c r="AV46" i="6"/>
  <c r="AU46" i="6"/>
  <c r="AT46" i="6"/>
  <c r="AW45" i="6"/>
  <c r="AV45" i="6"/>
  <c r="AU45" i="6"/>
  <c r="AT45" i="6"/>
  <c r="AW44" i="6"/>
  <c r="AV44" i="6"/>
  <c r="AU44" i="6"/>
  <c r="AT44" i="6"/>
  <c r="AW43" i="6"/>
  <c r="AV43" i="6"/>
  <c r="AU43" i="6"/>
  <c r="AT43" i="6"/>
  <c r="AW42" i="6"/>
  <c r="AV42" i="6"/>
  <c r="AU42" i="6"/>
  <c r="AT42" i="6"/>
  <c r="AW41" i="6"/>
  <c r="AV41" i="6"/>
  <c r="AU41" i="6"/>
  <c r="AT41" i="6"/>
  <c r="AW40" i="6"/>
  <c r="AV40" i="6"/>
  <c r="AU40" i="6"/>
  <c r="AT40" i="6"/>
  <c r="AW39" i="6"/>
  <c r="AV39" i="6"/>
  <c r="AU39" i="6"/>
  <c r="AT39" i="6"/>
  <c r="AW38" i="6"/>
  <c r="AV38" i="6"/>
  <c r="AU38" i="6"/>
  <c r="AT38" i="6"/>
  <c r="AW37" i="6"/>
  <c r="AV37" i="6"/>
  <c r="AU37" i="6"/>
  <c r="AT37" i="6"/>
  <c r="AW36" i="6"/>
  <c r="AV36" i="6"/>
  <c r="AU36" i="6"/>
  <c r="AT36" i="6"/>
  <c r="AW35" i="6"/>
  <c r="AV35" i="6"/>
  <c r="AU35" i="6"/>
  <c r="AT35" i="6"/>
  <c r="AW34" i="6"/>
  <c r="AV34" i="6"/>
  <c r="AU34" i="6"/>
  <c r="AT34" i="6"/>
  <c r="AW33" i="6"/>
  <c r="AV33" i="6"/>
  <c r="AU33" i="6"/>
  <c r="AT33" i="6"/>
  <c r="AW32" i="6"/>
  <c r="AV32" i="6"/>
  <c r="AU32" i="6"/>
  <c r="AT32" i="6"/>
  <c r="AW31" i="6"/>
  <c r="AV31" i="6"/>
  <c r="AU31" i="6"/>
  <c r="AT31" i="6"/>
  <c r="AW30" i="6"/>
  <c r="AV30" i="6"/>
  <c r="AU30" i="6"/>
  <c r="AT30" i="6"/>
  <c r="AW29" i="6"/>
  <c r="AV29" i="6"/>
  <c r="AU29" i="6"/>
  <c r="AT29" i="6"/>
  <c r="AW28" i="6"/>
  <c r="AV28" i="6"/>
  <c r="AU28" i="6"/>
  <c r="AT28" i="6"/>
  <c r="AW27" i="6"/>
  <c r="AV27" i="6"/>
  <c r="AU27" i="6"/>
  <c r="AT27" i="6"/>
  <c r="AW26" i="6"/>
  <c r="AV26" i="6"/>
  <c r="AU26" i="6"/>
  <c r="AT26" i="6"/>
  <c r="AW25" i="6"/>
  <c r="AV25" i="6"/>
  <c r="AU25" i="6"/>
  <c r="AT25" i="6"/>
  <c r="AW24" i="6"/>
  <c r="AV24" i="6"/>
  <c r="AU24" i="6"/>
  <c r="AT24" i="6"/>
  <c r="AW23" i="6"/>
  <c r="AV23" i="6"/>
  <c r="AU23" i="6"/>
  <c r="AT23" i="6"/>
  <c r="AW22" i="6"/>
  <c r="AV22" i="6"/>
  <c r="AU22" i="6"/>
  <c r="AT22" i="6"/>
  <c r="AW21" i="6"/>
  <c r="AV21" i="6"/>
  <c r="AU21" i="6"/>
  <c r="AT21" i="6"/>
  <c r="AW20" i="6"/>
  <c r="AV20" i="6"/>
  <c r="AU20" i="6"/>
  <c r="AT20" i="6"/>
  <c r="AW19" i="6"/>
  <c r="AV19" i="6"/>
  <c r="AU19" i="6"/>
  <c r="AT19" i="6"/>
  <c r="AW18" i="6"/>
  <c r="AV18" i="6"/>
  <c r="AU18" i="6"/>
  <c r="AT18" i="6"/>
  <c r="AW17" i="6"/>
  <c r="AV17" i="6"/>
  <c r="AU17" i="6"/>
  <c r="AT17" i="6"/>
  <c r="AW16" i="6"/>
  <c r="AV16" i="6"/>
  <c r="AU16" i="6"/>
  <c r="AT16" i="6"/>
  <c r="AW15" i="6"/>
  <c r="AV15" i="6"/>
  <c r="AU15" i="6"/>
  <c r="AT15" i="6"/>
  <c r="AW14" i="6"/>
  <c r="AV14" i="6"/>
  <c r="AU14" i="6"/>
  <c r="AT14" i="6"/>
  <c r="AW13" i="6"/>
  <c r="AV13" i="6"/>
  <c r="AU13" i="6"/>
  <c r="AT13" i="6"/>
  <c r="AW12" i="6"/>
  <c r="AV12" i="6"/>
  <c r="AU12" i="6"/>
  <c r="AT12" i="6"/>
  <c r="AW11" i="6"/>
  <c r="AV11" i="6"/>
  <c r="AU11" i="6"/>
  <c r="AT11" i="6"/>
  <c r="AW10" i="6"/>
  <c r="AV10" i="6"/>
  <c r="AU10" i="6"/>
  <c r="AT10" i="6"/>
  <c r="AW9" i="6"/>
  <c r="AV9" i="6"/>
  <c r="AU9" i="6"/>
  <c r="AT9" i="6"/>
  <c r="AW58" i="5"/>
  <c r="AV58" i="5"/>
  <c r="AU58" i="5"/>
  <c r="AT58" i="5"/>
  <c r="AW57" i="5"/>
  <c r="AV57" i="5"/>
  <c r="AU57" i="5"/>
  <c r="AT57" i="5"/>
  <c r="AW56" i="5"/>
  <c r="AV56" i="5"/>
  <c r="AU56" i="5"/>
  <c r="AT56" i="5"/>
  <c r="AW55" i="5"/>
  <c r="AV55" i="5"/>
  <c r="AU55" i="5"/>
  <c r="AT55" i="5"/>
  <c r="AW54" i="5"/>
  <c r="AV54" i="5"/>
  <c r="AU54" i="5"/>
  <c r="AT54" i="5"/>
  <c r="AW53" i="5"/>
  <c r="AV53" i="5"/>
  <c r="AU53" i="5"/>
  <c r="AT53" i="5"/>
  <c r="AW52" i="5"/>
  <c r="AV52" i="5"/>
  <c r="AU52" i="5"/>
  <c r="AT52" i="5"/>
  <c r="AW51" i="5"/>
  <c r="AV51" i="5"/>
  <c r="AU51" i="5"/>
  <c r="AT51" i="5"/>
  <c r="AW50" i="5"/>
  <c r="AV50" i="5"/>
  <c r="AU50" i="5"/>
  <c r="AT50" i="5"/>
  <c r="AW49" i="5"/>
  <c r="AV49" i="5"/>
  <c r="AU49" i="5"/>
  <c r="AT49" i="5"/>
  <c r="AW48" i="5"/>
  <c r="AV48" i="5"/>
  <c r="AU48" i="5"/>
  <c r="AT48" i="5"/>
  <c r="AW47" i="5"/>
  <c r="AV47" i="5"/>
  <c r="AU47" i="5"/>
  <c r="AT47" i="5"/>
  <c r="AW46" i="5"/>
  <c r="AV46" i="5"/>
  <c r="AU46" i="5"/>
  <c r="AT46" i="5"/>
  <c r="AW45" i="5"/>
  <c r="AV45" i="5"/>
  <c r="AU45" i="5"/>
  <c r="AT45" i="5"/>
  <c r="AW44" i="5"/>
  <c r="AV44" i="5"/>
  <c r="AU44" i="5"/>
  <c r="AT44" i="5"/>
  <c r="AW43" i="5"/>
  <c r="AV43" i="5"/>
  <c r="AU43" i="5"/>
  <c r="AT43" i="5"/>
  <c r="AW42" i="5"/>
  <c r="AV42" i="5"/>
  <c r="AU42" i="5"/>
  <c r="AT42" i="5"/>
  <c r="AW41" i="5"/>
  <c r="AV41" i="5"/>
  <c r="AU41" i="5"/>
  <c r="AT41" i="5"/>
  <c r="AW40" i="5"/>
  <c r="AV40" i="5"/>
  <c r="AU40" i="5"/>
  <c r="AT40" i="5"/>
  <c r="AW39" i="5"/>
  <c r="AV39" i="5"/>
  <c r="AU39" i="5"/>
  <c r="AT39" i="5"/>
  <c r="AW38" i="5"/>
  <c r="AV38" i="5"/>
  <c r="AU38" i="5"/>
  <c r="AT38" i="5"/>
  <c r="AW37" i="5"/>
  <c r="AV37" i="5"/>
  <c r="AU37" i="5"/>
  <c r="AT37" i="5"/>
  <c r="AW36" i="5"/>
  <c r="AV36" i="5"/>
  <c r="AU36" i="5"/>
  <c r="AT36" i="5"/>
  <c r="AW35" i="5"/>
  <c r="AV35" i="5"/>
  <c r="AU35" i="5"/>
  <c r="AT35" i="5"/>
  <c r="AW34" i="5"/>
  <c r="AV34" i="5"/>
  <c r="AU34" i="5"/>
  <c r="AT34" i="5"/>
  <c r="AW33" i="5"/>
  <c r="AV33" i="5"/>
  <c r="AU33" i="5"/>
  <c r="AT33" i="5"/>
  <c r="AW32" i="5"/>
  <c r="AV32" i="5"/>
  <c r="AU32" i="5"/>
  <c r="AT32" i="5"/>
  <c r="AW31" i="5"/>
  <c r="AV31" i="5"/>
  <c r="AU31" i="5"/>
  <c r="AT31" i="5"/>
  <c r="AW30" i="5"/>
  <c r="AV30" i="5"/>
  <c r="AU30" i="5"/>
  <c r="AT30" i="5"/>
  <c r="AW29" i="5"/>
  <c r="AV29" i="5"/>
  <c r="AU29" i="5"/>
  <c r="AT29" i="5"/>
  <c r="AW28" i="5"/>
  <c r="AV28" i="5"/>
  <c r="AU28" i="5"/>
  <c r="AT28" i="5"/>
  <c r="AW27" i="5"/>
  <c r="AV27" i="5"/>
  <c r="AU27" i="5"/>
  <c r="AT27" i="5"/>
  <c r="AW26" i="5"/>
  <c r="AV26" i="5"/>
  <c r="AU26" i="5"/>
  <c r="AT26" i="5"/>
  <c r="AW25" i="5"/>
  <c r="AV25" i="5"/>
  <c r="AU25" i="5"/>
  <c r="AT25" i="5"/>
  <c r="AW24" i="5"/>
  <c r="AV24" i="5"/>
  <c r="AU24" i="5"/>
  <c r="AT24" i="5"/>
  <c r="AW23" i="5"/>
  <c r="AV23" i="5"/>
  <c r="AU23" i="5"/>
  <c r="AT23" i="5"/>
  <c r="AW22" i="5"/>
  <c r="AV22" i="5"/>
  <c r="AU22" i="5"/>
  <c r="AT22" i="5"/>
  <c r="AW21" i="5"/>
  <c r="AV21" i="5"/>
  <c r="AU21" i="5"/>
  <c r="AT21" i="5"/>
  <c r="AW20" i="5"/>
  <c r="AV20" i="5"/>
  <c r="AU20" i="5"/>
  <c r="AT20" i="5"/>
  <c r="AW19" i="5"/>
  <c r="AV19" i="5"/>
  <c r="AU19" i="5"/>
  <c r="AT19" i="5"/>
  <c r="AW18" i="5"/>
  <c r="AV18" i="5"/>
  <c r="AU18" i="5"/>
  <c r="AT18" i="5"/>
  <c r="AW17" i="5"/>
  <c r="AV17" i="5"/>
  <c r="AU17" i="5"/>
  <c r="AT17" i="5"/>
  <c r="AW16" i="5"/>
  <c r="AV16" i="5"/>
  <c r="AU16" i="5"/>
  <c r="AT16" i="5"/>
  <c r="AW15" i="5"/>
  <c r="AV15" i="5"/>
  <c r="AU15" i="5"/>
  <c r="AT15" i="5"/>
  <c r="AW14" i="5"/>
  <c r="AV14" i="5"/>
  <c r="AU14" i="5"/>
  <c r="AT14" i="5"/>
  <c r="AW13" i="5"/>
  <c r="AV13" i="5"/>
  <c r="AU13" i="5"/>
  <c r="AT13" i="5"/>
  <c r="AW12" i="5"/>
  <c r="AV12" i="5"/>
  <c r="AU12" i="5"/>
  <c r="AT12" i="5"/>
  <c r="AW11" i="5"/>
  <c r="AV11" i="5"/>
  <c r="AU11" i="5"/>
  <c r="AT11" i="5"/>
  <c r="AW10" i="5"/>
  <c r="AV10" i="5"/>
  <c r="AU10" i="5"/>
  <c r="AT10" i="5"/>
  <c r="AW9" i="5"/>
  <c r="AV9" i="5"/>
  <c r="AU9" i="5"/>
  <c r="AT9" i="5"/>
  <c r="AW58" i="4"/>
  <c r="AV58" i="4"/>
  <c r="AU58" i="4"/>
  <c r="AT58" i="4"/>
  <c r="AW57" i="4"/>
  <c r="AV57" i="4"/>
  <c r="AU57" i="4"/>
  <c r="AT57" i="4"/>
  <c r="AW56" i="4"/>
  <c r="AV56" i="4"/>
  <c r="AU56" i="4"/>
  <c r="AT56" i="4"/>
  <c r="AW55" i="4"/>
  <c r="AV55" i="4"/>
  <c r="AU55" i="4"/>
  <c r="AT55" i="4"/>
  <c r="AW54" i="4"/>
  <c r="AV54" i="4"/>
  <c r="AU54" i="4"/>
  <c r="AT54" i="4"/>
  <c r="AW53" i="4"/>
  <c r="AV53" i="4"/>
  <c r="AU53" i="4"/>
  <c r="AT53" i="4"/>
  <c r="AW52" i="4"/>
  <c r="AV52" i="4"/>
  <c r="AU52" i="4"/>
  <c r="AT52" i="4"/>
  <c r="AW51" i="4"/>
  <c r="AV51" i="4"/>
  <c r="AU51" i="4"/>
  <c r="AT51" i="4"/>
  <c r="AW50" i="4"/>
  <c r="AV50" i="4"/>
  <c r="AU50" i="4"/>
  <c r="AT50" i="4"/>
  <c r="AW49" i="4"/>
  <c r="AV49" i="4"/>
  <c r="AU49" i="4"/>
  <c r="AT49" i="4"/>
  <c r="AW48" i="4"/>
  <c r="AV48" i="4"/>
  <c r="AU48" i="4"/>
  <c r="AT48" i="4"/>
  <c r="AW47" i="4"/>
  <c r="AV47" i="4"/>
  <c r="AU47" i="4"/>
  <c r="AT47" i="4"/>
  <c r="AW46" i="4"/>
  <c r="AV46" i="4"/>
  <c r="AU46" i="4"/>
  <c r="AT46" i="4"/>
  <c r="AW45" i="4"/>
  <c r="AV45" i="4"/>
  <c r="AU45" i="4"/>
  <c r="AT45" i="4"/>
  <c r="AW44" i="4"/>
  <c r="AV44" i="4"/>
  <c r="AU44" i="4"/>
  <c r="AT44" i="4"/>
  <c r="AW43" i="4"/>
  <c r="AV43" i="4"/>
  <c r="AU43" i="4"/>
  <c r="AT43" i="4"/>
  <c r="AW42" i="4"/>
  <c r="AV42" i="4"/>
  <c r="AU42" i="4"/>
  <c r="AT42" i="4"/>
  <c r="AW41" i="4"/>
  <c r="AV41" i="4"/>
  <c r="AU41" i="4"/>
  <c r="AT41" i="4"/>
  <c r="AW40" i="4"/>
  <c r="AV40" i="4"/>
  <c r="AU40" i="4"/>
  <c r="AT40" i="4"/>
  <c r="AW39" i="4"/>
  <c r="AV39" i="4"/>
  <c r="AU39" i="4"/>
  <c r="AT39" i="4"/>
  <c r="AW38" i="4"/>
  <c r="AV38" i="4"/>
  <c r="AU38" i="4"/>
  <c r="AT38" i="4"/>
  <c r="AW37" i="4"/>
  <c r="AV37" i="4"/>
  <c r="AU37" i="4"/>
  <c r="AT37" i="4"/>
  <c r="AW36" i="4"/>
  <c r="AV36" i="4"/>
  <c r="AU36" i="4"/>
  <c r="AT36" i="4"/>
  <c r="AW35" i="4"/>
  <c r="AV35" i="4"/>
  <c r="AU35" i="4"/>
  <c r="AT35" i="4"/>
  <c r="AW34" i="4"/>
  <c r="AV34" i="4"/>
  <c r="AU34" i="4"/>
  <c r="AT34" i="4"/>
  <c r="AW33" i="4"/>
  <c r="AV33" i="4"/>
  <c r="AU33" i="4"/>
  <c r="AT33" i="4"/>
  <c r="AW32" i="4"/>
  <c r="AV32" i="4"/>
  <c r="AU32" i="4"/>
  <c r="AT32" i="4"/>
  <c r="AW31" i="4"/>
  <c r="AV31" i="4"/>
  <c r="AU31" i="4"/>
  <c r="AT31" i="4"/>
  <c r="AW30" i="4"/>
  <c r="AV30" i="4"/>
  <c r="AU30" i="4"/>
  <c r="AT30" i="4"/>
  <c r="AW29" i="4"/>
  <c r="AV29" i="4"/>
  <c r="AU29" i="4"/>
  <c r="AT29" i="4"/>
  <c r="AW28" i="4"/>
  <c r="AV28" i="4"/>
  <c r="AU28" i="4"/>
  <c r="AT28" i="4"/>
  <c r="AW27" i="4"/>
  <c r="AV27" i="4"/>
  <c r="AU27" i="4"/>
  <c r="AT27" i="4"/>
  <c r="AW26" i="4"/>
  <c r="AV26" i="4"/>
  <c r="AU26" i="4"/>
  <c r="AT26" i="4"/>
  <c r="AW25" i="4"/>
  <c r="AV25" i="4"/>
  <c r="AU25" i="4"/>
  <c r="AT25" i="4"/>
  <c r="AW24" i="4"/>
  <c r="AV24" i="4"/>
  <c r="AU24" i="4"/>
  <c r="AT24" i="4"/>
  <c r="AW23" i="4"/>
  <c r="AV23" i="4"/>
  <c r="AU23" i="4"/>
  <c r="AT23" i="4"/>
  <c r="AW22" i="4"/>
  <c r="AV22" i="4"/>
  <c r="AU22" i="4"/>
  <c r="AT22" i="4"/>
  <c r="AW21" i="4"/>
  <c r="AV21" i="4"/>
  <c r="AU21" i="4"/>
  <c r="AT21" i="4"/>
  <c r="AW20" i="4"/>
  <c r="AV20" i="4"/>
  <c r="AU20" i="4"/>
  <c r="AT20" i="4"/>
  <c r="AW19" i="4"/>
  <c r="AV19" i="4"/>
  <c r="AU19" i="4"/>
  <c r="AT19" i="4"/>
  <c r="AW18" i="4"/>
  <c r="AV18" i="4"/>
  <c r="AU18" i="4"/>
  <c r="AT18" i="4"/>
  <c r="AW17" i="4"/>
  <c r="AV17" i="4"/>
  <c r="AU17" i="4"/>
  <c r="AT17" i="4"/>
  <c r="AW16" i="4"/>
  <c r="AV16" i="4"/>
  <c r="AU16" i="4"/>
  <c r="AT16" i="4"/>
  <c r="AW15" i="4"/>
  <c r="AV15" i="4"/>
  <c r="AU15" i="4"/>
  <c r="AT15" i="4"/>
  <c r="AW14" i="4"/>
  <c r="AV14" i="4"/>
  <c r="AU14" i="4"/>
  <c r="AT14" i="4"/>
  <c r="AW13" i="4"/>
  <c r="AV13" i="4"/>
  <c r="AU13" i="4"/>
  <c r="AT13" i="4"/>
  <c r="AW12" i="4"/>
  <c r="AV12" i="4"/>
  <c r="AU12" i="4"/>
  <c r="AT12" i="4"/>
  <c r="AW11" i="4"/>
  <c r="AV11" i="4"/>
  <c r="AU11" i="4"/>
  <c r="AT11" i="4"/>
  <c r="AW10" i="4"/>
  <c r="AV10" i="4"/>
  <c r="AU10" i="4"/>
  <c r="AT10" i="4"/>
  <c r="AW9" i="4"/>
  <c r="AV9" i="4"/>
  <c r="AU9" i="4"/>
  <c r="AT9" i="4"/>
  <c r="AW58" i="3"/>
  <c r="AV58" i="3"/>
  <c r="AU58" i="3"/>
  <c r="AT58" i="3"/>
  <c r="AW57" i="3"/>
  <c r="AV57" i="3"/>
  <c r="AU57" i="3"/>
  <c r="AT57" i="3"/>
  <c r="AW56" i="3"/>
  <c r="AV56" i="3"/>
  <c r="AU56" i="3"/>
  <c r="AT56" i="3"/>
  <c r="AW55" i="3"/>
  <c r="AV55" i="3"/>
  <c r="AU55" i="3"/>
  <c r="AT55" i="3"/>
  <c r="AW54" i="3"/>
  <c r="AV54" i="3"/>
  <c r="AU54" i="3"/>
  <c r="AT54" i="3"/>
  <c r="AW53" i="3"/>
  <c r="AV53" i="3"/>
  <c r="AU53" i="3"/>
  <c r="AT53" i="3"/>
  <c r="AW52" i="3"/>
  <c r="AV52" i="3"/>
  <c r="AU52" i="3"/>
  <c r="AT52" i="3"/>
  <c r="AW51" i="3"/>
  <c r="AV51" i="3"/>
  <c r="AU51" i="3"/>
  <c r="AT51" i="3"/>
  <c r="AW50" i="3"/>
  <c r="AV50" i="3"/>
  <c r="AU50" i="3"/>
  <c r="AT50" i="3"/>
  <c r="AW49" i="3"/>
  <c r="AV49" i="3"/>
  <c r="AU49" i="3"/>
  <c r="AT49" i="3"/>
  <c r="AW48" i="3"/>
  <c r="AV48" i="3"/>
  <c r="AU48" i="3"/>
  <c r="AT48" i="3"/>
  <c r="AW47" i="3"/>
  <c r="AV47" i="3"/>
  <c r="AU47" i="3"/>
  <c r="AT47" i="3"/>
  <c r="AW46" i="3"/>
  <c r="AV46" i="3"/>
  <c r="AU46" i="3"/>
  <c r="AT46" i="3"/>
  <c r="AW45" i="3"/>
  <c r="AV45" i="3"/>
  <c r="AU45" i="3"/>
  <c r="AT45" i="3"/>
  <c r="AW44" i="3"/>
  <c r="AV44" i="3"/>
  <c r="AU44" i="3"/>
  <c r="AT44" i="3"/>
  <c r="AW43" i="3"/>
  <c r="AV43" i="3"/>
  <c r="AU43" i="3"/>
  <c r="AT43" i="3"/>
  <c r="AW42" i="3"/>
  <c r="AV42" i="3"/>
  <c r="AU42" i="3"/>
  <c r="AT42" i="3"/>
  <c r="AW41" i="3"/>
  <c r="AV41" i="3"/>
  <c r="AU41" i="3"/>
  <c r="AT41" i="3"/>
  <c r="AW40" i="3"/>
  <c r="AV40" i="3"/>
  <c r="AU40" i="3"/>
  <c r="AT40" i="3"/>
  <c r="AW39" i="3"/>
  <c r="AV39" i="3"/>
  <c r="AU39" i="3"/>
  <c r="AT39" i="3"/>
  <c r="AW38" i="3"/>
  <c r="AV38" i="3"/>
  <c r="AU38" i="3"/>
  <c r="AT38" i="3"/>
  <c r="AW37" i="3"/>
  <c r="AV37" i="3"/>
  <c r="AU37" i="3"/>
  <c r="AT37" i="3"/>
  <c r="AW36" i="3"/>
  <c r="AV36" i="3"/>
  <c r="AU36" i="3"/>
  <c r="AT36" i="3"/>
  <c r="AW35" i="3"/>
  <c r="AV35" i="3"/>
  <c r="AU35" i="3"/>
  <c r="AT35" i="3"/>
  <c r="AW34" i="3"/>
  <c r="AV34" i="3"/>
  <c r="AU34" i="3"/>
  <c r="AT34" i="3"/>
  <c r="AW33" i="3"/>
  <c r="AV33" i="3"/>
  <c r="AU33" i="3"/>
  <c r="AT33" i="3"/>
  <c r="AW32" i="3"/>
  <c r="AV32" i="3"/>
  <c r="AU32" i="3"/>
  <c r="AT32" i="3"/>
  <c r="AW31" i="3"/>
  <c r="AV31" i="3"/>
  <c r="AU31" i="3"/>
  <c r="AT31" i="3"/>
  <c r="AW30" i="3"/>
  <c r="AV30" i="3"/>
  <c r="AU30" i="3"/>
  <c r="AT30" i="3"/>
  <c r="AW29" i="3"/>
  <c r="AV29" i="3"/>
  <c r="AU29" i="3"/>
  <c r="AT29" i="3"/>
  <c r="AW28" i="3"/>
  <c r="AV28" i="3"/>
  <c r="AU28" i="3"/>
  <c r="AT28" i="3"/>
  <c r="AW27" i="3"/>
  <c r="AV27" i="3"/>
  <c r="AU27" i="3"/>
  <c r="AT27" i="3"/>
  <c r="AW26" i="3"/>
  <c r="AV26" i="3"/>
  <c r="AU26" i="3"/>
  <c r="AT26" i="3"/>
  <c r="AW25" i="3"/>
  <c r="AV25" i="3"/>
  <c r="AU25" i="3"/>
  <c r="AT25" i="3"/>
  <c r="AW24" i="3"/>
  <c r="AV24" i="3"/>
  <c r="AU24" i="3"/>
  <c r="AT24" i="3"/>
  <c r="AW23" i="3"/>
  <c r="AV23" i="3"/>
  <c r="AU23" i="3"/>
  <c r="AT23" i="3"/>
  <c r="AW22" i="3"/>
  <c r="AV22" i="3"/>
  <c r="AU22" i="3"/>
  <c r="AT22" i="3"/>
  <c r="AW21" i="3"/>
  <c r="AV21" i="3"/>
  <c r="AU21" i="3"/>
  <c r="AT21" i="3"/>
  <c r="AW20" i="3"/>
  <c r="AV20" i="3"/>
  <c r="AU20" i="3"/>
  <c r="AT20" i="3"/>
  <c r="AW19" i="3"/>
  <c r="AV19" i="3"/>
  <c r="AU19" i="3"/>
  <c r="AT19" i="3"/>
  <c r="AW18" i="3"/>
  <c r="AV18" i="3"/>
  <c r="AU18" i="3"/>
  <c r="AT18" i="3"/>
  <c r="AW17" i="3"/>
  <c r="AV17" i="3"/>
  <c r="AU17" i="3"/>
  <c r="AT17" i="3"/>
  <c r="AW16" i="3"/>
  <c r="AV16" i="3"/>
  <c r="AU16" i="3"/>
  <c r="AT16" i="3"/>
  <c r="AW15" i="3"/>
  <c r="AV15" i="3"/>
  <c r="AU15" i="3"/>
  <c r="AT15" i="3"/>
  <c r="AW14" i="3"/>
  <c r="AV14" i="3"/>
  <c r="AU14" i="3"/>
  <c r="AT14" i="3"/>
  <c r="AW13" i="3"/>
  <c r="AV13" i="3"/>
  <c r="AU13" i="3"/>
  <c r="AT13" i="3"/>
  <c r="AW12" i="3"/>
  <c r="AV12" i="3"/>
  <c r="AU12" i="3"/>
  <c r="AT12" i="3"/>
  <c r="AW11" i="3"/>
  <c r="AV11" i="3"/>
  <c r="AU11" i="3"/>
  <c r="AT11" i="3"/>
  <c r="AW10" i="3"/>
  <c r="AV10" i="3"/>
  <c r="AU10" i="3"/>
  <c r="AT10" i="3"/>
  <c r="AW9" i="3"/>
  <c r="AV9" i="3"/>
  <c r="AU9" i="3"/>
  <c r="AT9" i="3"/>
  <c r="AW58" i="2"/>
  <c r="AV58" i="2"/>
  <c r="AU58" i="2"/>
  <c r="AT58" i="2"/>
  <c r="AW57" i="2"/>
  <c r="AV57" i="2"/>
  <c r="AU57" i="2"/>
  <c r="AT57" i="2"/>
  <c r="AW56" i="2"/>
  <c r="AV56" i="2"/>
  <c r="AU56" i="2"/>
  <c r="AT56" i="2"/>
  <c r="AW55" i="2"/>
  <c r="AV55" i="2"/>
  <c r="AU55" i="2"/>
  <c r="AT55" i="2"/>
  <c r="AW54" i="2"/>
  <c r="AV54" i="2"/>
  <c r="AU54" i="2"/>
  <c r="AT54" i="2"/>
  <c r="AW53" i="2"/>
  <c r="AV53" i="2"/>
  <c r="AU53" i="2"/>
  <c r="AT53" i="2"/>
  <c r="AW52" i="2"/>
  <c r="AV52" i="2"/>
  <c r="AU52" i="2"/>
  <c r="AT52" i="2"/>
  <c r="AW51" i="2"/>
  <c r="AV51" i="2"/>
  <c r="AU51" i="2"/>
  <c r="AT51" i="2"/>
  <c r="AW50" i="2"/>
  <c r="AV50" i="2"/>
  <c r="AU50" i="2"/>
  <c r="AT50" i="2"/>
  <c r="AW49" i="2"/>
  <c r="AV49" i="2"/>
  <c r="AU49" i="2"/>
  <c r="AT49" i="2"/>
  <c r="AW48" i="2"/>
  <c r="AV48" i="2"/>
  <c r="AU48" i="2"/>
  <c r="AT48" i="2"/>
  <c r="AW47" i="2"/>
  <c r="AV47" i="2"/>
  <c r="AU47" i="2"/>
  <c r="AT47" i="2"/>
  <c r="AW46" i="2"/>
  <c r="AV46" i="2"/>
  <c r="AU46" i="2"/>
  <c r="AT46" i="2"/>
  <c r="AW45" i="2"/>
  <c r="AV45" i="2"/>
  <c r="AU45" i="2"/>
  <c r="AT45" i="2"/>
  <c r="AW44" i="2"/>
  <c r="AV44" i="2"/>
  <c r="AU44" i="2"/>
  <c r="AT44" i="2"/>
  <c r="AW43" i="2"/>
  <c r="AV43" i="2"/>
  <c r="AU43" i="2"/>
  <c r="AT43" i="2"/>
  <c r="AW42" i="2"/>
  <c r="AV42" i="2"/>
  <c r="AU42" i="2"/>
  <c r="AT42" i="2"/>
  <c r="AW41" i="2"/>
  <c r="AV41" i="2"/>
  <c r="AU41" i="2"/>
  <c r="AT41" i="2"/>
  <c r="AW40" i="2"/>
  <c r="AV40" i="2"/>
  <c r="AU40" i="2"/>
  <c r="AT40" i="2"/>
  <c r="AW39" i="2"/>
  <c r="AV39" i="2"/>
  <c r="AU39" i="2"/>
  <c r="AT39" i="2"/>
  <c r="AW38" i="2"/>
  <c r="AV38" i="2"/>
  <c r="AU38" i="2"/>
  <c r="AT38" i="2"/>
  <c r="AW37" i="2"/>
  <c r="AV37" i="2"/>
  <c r="AU37" i="2"/>
  <c r="AT37" i="2"/>
  <c r="AW36" i="2"/>
  <c r="AV36" i="2"/>
  <c r="AU36" i="2"/>
  <c r="AT36" i="2"/>
  <c r="AW35" i="2"/>
  <c r="AV35" i="2"/>
  <c r="AU35" i="2"/>
  <c r="AT35" i="2"/>
  <c r="AW34" i="2"/>
  <c r="AV34" i="2"/>
  <c r="AU34" i="2"/>
  <c r="AT34" i="2"/>
  <c r="AW33" i="2"/>
  <c r="AV33" i="2"/>
  <c r="AU33" i="2"/>
  <c r="AT33" i="2"/>
  <c r="AW32" i="2"/>
  <c r="AV32" i="2"/>
  <c r="AU32" i="2"/>
  <c r="AT32" i="2"/>
  <c r="AW31" i="2"/>
  <c r="AV31" i="2"/>
  <c r="AU31" i="2"/>
  <c r="AT31" i="2"/>
  <c r="AW30" i="2"/>
  <c r="AV30" i="2"/>
  <c r="AU30" i="2"/>
  <c r="AT30" i="2"/>
  <c r="AW29" i="2"/>
  <c r="AV29" i="2"/>
  <c r="AU29" i="2"/>
  <c r="AT29" i="2"/>
  <c r="AW28" i="2"/>
  <c r="AV28" i="2"/>
  <c r="AU28" i="2"/>
  <c r="AT28" i="2"/>
  <c r="AW27" i="2"/>
  <c r="AV27" i="2"/>
  <c r="AU27" i="2"/>
  <c r="AT27" i="2"/>
  <c r="AW26" i="2"/>
  <c r="AV26" i="2"/>
  <c r="AU26" i="2"/>
  <c r="AT26" i="2"/>
  <c r="AW25" i="2"/>
  <c r="AV25" i="2"/>
  <c r="AU25" i="2"/>
  <c r="AT25" i="2"/>
  <c r="AW24" i="2"/>
  <c r="AV24" i="2"/>
  <c r="AU24" i="2"/>
  <c r="AT24" i="2"/>
  <c r="AW23" i="2"/>
  <c r="AV23" i="2"/>
  <c r="AU23" i="2"/>
  <c r="AT23" i="2"/>
  <c r="AW22" i="2"/>
  <c r="AV22" i="2"/>
  <c r="AU22" i="2"/>
  <c r="AT22" i="2"/>
  <c r="AW21" i="2"/>
  <c r="AV21" i="2"/>
  <c r="AU21" i="2"/>
  <c r="AT21" i="2"/>
  <c r="AW20" i="2"/>
  <c r="AV20" i="2"/>
  <c r="AU20" i="2"/>
  <c r="AT20" i="2"/>
  <c r="AW19" i="2"/>
  <c r="AV19" i="2"/>
  <c r="AU19" i="2"/>
  <c r="AT19" i="2"/>
  <c r="AW18" i="2"/>
  <c r="AV18" i="2"/>
  <c r="AU18" i="2"/>
  <c r="AT18" i="2"/>
  <c r="AW17" i="2"/>
  <c r="AV17" i="2"/>
  <c r="AU17" i="2"/>
  <c r="AT17" i="2"/>
  <c r="AW16" i="2"/>
  <c r="AV16" i="2"/>
  <c r="AU16" i="2"/>
  <c r="AT16" i="2"/>
  <c r="AW15" i="2"/>
  <c r="AV15" i="2"/>
  <c r="AU15" i="2"/>
  <c r="AT15" i="2"/>
  <c r="AW14" i="2"/>
  <c r="AV14" i="2"/>
  <c r="AU14" i="2"/>
  <c r="AT14" i="2"/>
  <c r="AW13" i="2"/>
  <c r="AV13" i="2"/>
  <c r="AU13" i="2"/>
  <c r="AT13" i="2"/>
  <c r="AW12" i="2"/>
  <c r="AV12" i="2"/>
  <c r="AU12" i="2"/>
  <c r="AT12" i="2"/>
  <c r="AW11" i="2"/>
  <c r="AV11" i="2"/>
  <c r="AU11" i="2"/>
  <c r="AT11" i="2"/>
  <c r="AW10" i="2"/>
  <c r="AV10" i="2"/>
  <c r="AU10" i="2"/>
  <c r="AT10" i="2"/>
  <c r="AW9" i="2"/>
  <c r="AV9" i="2"/>
  <c r="AU9" i="2"/>
  <c r="AT9" i="2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J1" i="1"/>
  <c r="AM22" i="21"/>
  <c r="AM22" i="6"/>
  <c r="AM22" i="5"/>
  <c r="AM22" i="4"/>
  <c r="AM22" i="3"/>
  <c r="AM22" i="2"/>
  <c r="AM29" i="1"/>
  <c r="I5" i="20"/>
  <c r="F39" i="25" a="1"/>
  <c r="F39" i="25"/>
  <c r="F38" i="25" a="1"/>
  <c r="F38" i="25"/>
  <c r="F37" i="25" a="1"/>
  <c r="F37" i="25"/>
  <c r="F36" i="25" a="1"/>
  <c r="F36" i="25"/>
  <c r="F35" i="25" a="1"/>
  <c r="F35" i="25"/>
  <c r="F34" i="25" a="1"/>
  <c r="F34" i="25"/>
  <c r="F33" i="25" a="1"/>
  <c r="F33" i="25"/>
  <c r="F32" i="25" a="1"/>
  <c r="F32" i="25"/>
  <c r="F31" i="25" a="1"/>
  <c r="F31" i="25"/>
  <c r="F30" i="25" a="1"/>
  <c r="F30" i="25"/>
  <c r="F29" i="25" a="1"/>
  <c r="F29" i="25"/>
  <c r="G39" i="25" a="1"/>
  <c r="G39" i="25"/>
  <c r="G38" i="25" a="1"/>
  <c r="G38" i="25"/>
  <c r="G37" i="25" a="1"/>
  <c r="G37" i="25"/>
  <c r="G36" i="25" a="1"/>
  <c r="G36" i="25"/>
  <c r="G35" i="25" a="1"/>
  <c r="G35" i="25"/>
  <c r="G34" i="25" a="1"/>
  <c r="G34" i="25"/>
  <c r="G33" i="25" a="1"/>
  <c r="G33" i="25"/>
  <c r="G32" i="25" a="1"/>
  <c r="G32" i="25"/>
  <c r="G31" i="25" a="1"/>
  <c r="G31" i="25"/>
  <c r="G30" i="25" a="1"/>
  <c r="G30" i="25"/>
  <c r="G29" i="25" a="1"/>
  <c r="G29" i="25"/>
  <c r="E39" i="25"/>
  <c r="E38" i="25"/>
  <c r="E37" i="25"/>
  <c r="E36" i="25"/>
  <c r="E35" i="25"/>
  <c r="E34" i="25"/>
  <c r="E33" i="25"/>
  <c r="E32" i="25"/>
  <c r="E31" i="25"/>
  <c r="E30" i="25"/>
  <c r="E29" i="25"/>
  <c r="H29" i="25"/>
  <c r="J25" i="25"/>
  <c r="J24" i="25"/>
  <c r="J23" i="25"/>
  <c r="J21" i="25"/>
  <c r="J20" i="25"/>
  <c r="J19" i="25"/>
  <c r="J17" i="25"/>
  <c r="J16" i="25"/>
  <c r="J15" i="25"/>
  <c r="J13" i="25"/>
  <c r="J12" i="25"/>
  <c r="J11" i="25"/>
  <c r="J9" i="25"/>
  <c r="J8" i="25"/>
  <c r="J7" i="25"/>
  <c r="J5" i="25"/>
  <c r="J4" i="25"/>
  <c r="J3" i="25"/>
  <c r="K2" i="25"/>
  <c r="K9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J26" i="25"/>
  <c r="K6" i="25"/>
  <c r="K26" i="25"/>
  <c r="K18" i="25"/>
  <c r="K25" i="25"/>
  <c r="K3" i="25"/>
  <c r="K10" i="25"/>
  <c r="K17" i="25"/>
  <c r="L2" i="25"/>
  <c r="K19" i="25"/>
  <c r="K11" i="25"/>
  <c r="K20" i="25"/>
  <c r="K12" i="25"/>
  <c r="K4" i="25"/>
  <c r="K13" i="25"/>
  <c r="K21" i="25"/>
  <c r="K22" i="25"/>
  <c r="K14" i="25"/>
  <c r="K23" i="25"/>
  <c r="K15" i="25"/>
  <c r="K7" i="25"/>
  <c r="K24" i="25"/>
  <c r="K16" i="25"/>
  <c r="K8" i="25"/>
  <c r="K5" i="25"/>
  <c r="K27" i="25"/>
  <c r="J6" i="25"/>
  <c r="J14" i="25"/>
  <c r="J22" i="25"/>
  <c r="J10" i="25"/>
  <c r="J18" i="25"/>
  <c r="H30" i="25"/>
  <c r="J27" i="25"/>
  <c r="AT8" i="21" a="1"/>
  <c r="AY8" i="21"/>
  <c r="AT8" i="6" a="1"/>
  <c r="AY8" i="6"/>
  <c r="AT8" i="5" a="1"/>
  <c r="AY8" i="5"/>
  <c r="AT8" i="4" a="1"/>
  <c r="AY8" i="4"/>
  <c r="AT8" i="3" a="1"/>
  <c r="AY8" i="3"/>
  <c r="AZ8" i="1"/>
  <c r="AY8" i="1"/>
  <c r="AW8" i="1"/>
  <c r="AV8" i="1"/>
  <c r="AT8" i="1" a="1"/>
  <c r="BC8" i="1"/>
  <c r="AT8" i="2" a="1"/>
  <c r="AW8" i="2"/>
  <c r="AU8" i="2"/>
  <c r="W60" i="20"/>
  <c r="BC14" i="1" s="1"/>
  <c r="W59" i="20"/>
  <c r="BC23" i="3" s="1"/>
  <c r="W58" i="20"/>
  <c r="BC26" i="4" s="1"/>
  <c r="W57" i="20"/>
  <c r="BC20" i="3" s="1"/>
  <c r="W56" i="20"/>
  <c r="BC37" i="2" s="1"/>
  <c r="W55" i="20"/>
  <c r="BC21" i="2" s="1"/>
  <c r="W54" i="20"/>
  <c r="W53" i="20"/>
  <c r="BC35" i="1" s="1"/>
  <c r="W52" i="20"/>
  <c r="BC18" i="1" s="1"/>
  <c r="W51" i="20"/>
  <c r="BC10" i="1" s="1"/>
  <c r="W50" i="20"/>
  <c r="BC31" i="2" s="1"/>
  <c r="W49" i="20"/>
  <c r="BC58" i="5" s="1"/>
  <c r="W48" i="20"/>
  <c r="W47" i="20"/>
  <c r="W46" i="20"/>
  <c r="BC51" i="21" s="1"/>
  <c r="W45" i="20"/>
  <c r="BC55" i="6" s="1"/>
  <c r="W44" i="20"/>
  <c r="W43" i="20"/>
  <c r="BC54" i="4" s="1"/>
  <c r="W42" i="20"/>
  <c r="BC50" i="21" s="1"/>
  <c r="W41" i="20"/>
  <c r="BC49" i="3" s="1"/>
  <c r="W40" i="20"/>
  <c r="BC48" i="2" s="1"/>
  <c r="W39" i="20"/>
  <c r="BC47" i="21" s="1"/>
  <c r="W38" i="20"/>
  <c r="BC46" i="4" s="1"/>
  <c r="W37" i="20"/>
  <c r="BC45" i="3" s="1"/>
  <c r="W36" i="20"/>
  <c r="W35" i="20"/>
  <c r="BC27" i="3" s="1"/>
  <c r="W34" i="20"/>
  <c r="BC40" i="21" s="1"/>
  <c r="W33" i="20"/>
  <c r="BC38" i="5" s="1"/>
  <c r="W32" i="20"/>
  <c r="BC39" i="2" s="1"/>
  <c r="W31" i="20"/>
  <c r="BC42" i="21" s="1"/>
  <c r="W30" i="20"/>
  <c r="BC50" i="1" s="1"/>
  <c r="W29" i="20"/>
  <c r="BC43" i="3" s="1"/>
  <c r="W28" i="20"/>
  <c r="BC41" i="5" s="1"/>
  <c r="W27" i="20"/>
  <c r="BC28" i="21" s="1"/>
  <c r="W26" i="20"/>
  <c r="BC11" i="1" s="1"/>
  <c r="W25" i="20"/>
  <c r="W24" i="20"/>
  <c r="BC32" i="21" s="1"/>
  <c r="W23" i="20"/>
  <c r="BC52" i="21" s="1"/>
  <c r="W22" i="20"/>
  <c r="BC10" i="2" s="1"/>
  <c r="W21" i="20"/>
  <c r="BC9" i="4" s="1"/>
  <c r="W20" i="20"/>
  <c r="BC11" i="5" s="1"/>
  <c r="W19" i="20"/>
  <c r="BC30" i="3" s="1"/>
  <c r="W18" i="20"/>
  <c r="BC33" i="1" s="1"/>
  <c r="W17" i="20"/>
  <c r="BC24" i="2" s="1"/>
  <c r="W16" i="20"/>
  <c r="BC25" i="2" s="1"/>
  <c r="W15" i="20"/>
  <c r="BC29" i="1" s="1"/>
  <c r="W14" i="20"/>
  <c r="BC13" i="6" s="1"/>
  <c r="W13" i="20"/>
  <c r="W12" i="20"/>
  <c r="BC12" i="1" s="1"/>
  <c r="W11" i="20"/>
  <c r="BC36" i="6" s="1"/>
  <c r="W10" i="20"/>
  <c r="BC14" i="6" s="1"/>
  <c r="W9" i="20"/>
  <c r="BC15" i="21" s="1"/>
  <c r="W8" i="20"/>
  <c r="BC17" i="21" s="1"/>
  <c r="W7" i="20"/>
  <c r="BC9" i="1" s="1"/>
  <c r="W6" i="20"/>
  <c r="W5" i="20"/>
  <c r="W4" i="20"/>
  <c r="BC29" i="6" s="1"/>
  <c r="V60" i="20"/>
  <c r="BB14" i="1" s="1"/>
  <c r="V59" i="20"/>
  <c r="BB25" i="1" s="1"/>
  <c r="V58" i="20"/>
  <c r="BB26" i="21" s="1"/>
  <c r="V57" i="20"/>
  <c r="BB20" i="2" s="1"/>
  <c r="V56" i="20"/>
  <c r="V55" i="20"/>
  <c r="BB21" i="3" s="1"/>
  <c r="V54" i="20"/>
  <c r="BB19" i="2" s="1"/>
  <c r="V53" i="20"/>
  <c r="BB35" i="1" s="1"/>
  <c r="V52" i="20"/>
  <c r="BB16" i="6" s="1"/>
  <c r="V51" i="20"/>
  <c r="BB10" i="1" s="1"/>
  <c r="V50" i="20"/>
  <c r="V49" i="20"/>
  <c r="BB58" i="2" s="1"/>
  <c r="V48" i="20"/>
  <c r="BB57" i="21" s="1"/>
  <c r="V47" i="20"/>
  <c r="V46" i="20"/>
  <c r="V45" i="20"/>
  <c r="BB55" i="3" s="1"/>
  <c r="V44" i="20"/>
  <c r="V43" i="20"/>
  <c r="BB54" i="21" s="1"/>
  <c r="V42" i="20"/>
  <c r="BB50" i="2" s="1"/>
  <c r="V41" i="20"/>
  <c r="V40" i="20"/>
  <c r="BB48" i="4" s="1"/>
  <c r="V39" i="20"/>
  <c r="V38" i="20"/>
  <c r="BB46" i="6" s="1"/>
  <c r="V37" i="20"/>
  <c r="BB45" i="21" s="1"/>
  <c r="V36" i="20"/>
  <c r="BB35" i="6" s="1"/>
  <c r="V35" i="20"/>
  <c r="BB37" i="1" s="1"/>
  <c r="V34" i="20"/>
  <c r="BB40" i="4" s="1"/>
  <c r="V33" i="20"/>
  <c r="BB38" i="3" s="1"/>
  <c r="V32" i="20"/>
  <c r="BB39" i="21" s="1"/>
  <c r="V31" i="20"/>
  <c r="BB42" i="6" s="1"/>
  <c r="V30" i="20"/>
  <c r="BB44" i="6" s="1"/>
  <c r="V29" i="20"/>
  <c r="BB43" i="3" s="1"/>
  <c r="V28" i="20"/>
  <c r="BB41" i="2" s="1"/>
  <c r="V27" i="20"/>
  <c r="V26" i="20"/>
  <c r="BB11" i="1" s="1"/>
  <c r="V25" i="20"/>
  <c r="BB34" i="6" s="1"/>
  <c r="V24" i="20"/>
  <c r="BB32" i="6" s="1"/>
  <c r="V23" i="20"/>
  <c r="BB52" i="3" s="1"/>
  <c r="V22" i="20"/>
  <c r="BB10" i="4" s="1"/>
  <c r="V21" i="20"/>
  <c r="BB9" i="21" s="1"/>
  <c r="V20" i="20"/>
  <c r="V19" i="20"/>
  <c r="V18" i="20"/>
  <c r="V17" i="20"/>
  <c r="BB21" i="1" s="1"/>
  <c r="V16" i="20"/>
  <c r="V15" i="20"/>
  <c r="BB29" i="1" s="1"/>
  <c r="V14" i="20"/>
  <c r="BB13" i="5" s="1"/>
  <c r="V13" i="20"/>
  <c r="BB18" i="4" s="1"/>
  <c r="V12" i="20"/>
  <c r="BB12" i="1" s="1"/>
  <c r="V11" i="20"/>
  <c r="BB36" i="2" s="1"/>
  <c r="V10" i="20"/>
  <c r="BB14" i="5" s="1"/>
  <c r="V9" i="20"/>
  <c r="BB15" i="3" s="1"/>
  <c r="V8" i="20"/>
  <c r="V7" i="20"/>
  <c r="BB9" i="1" s="1"/>
  <c r="V6" i="20"/>
  <c r="BB33" i="3" s="1"/>
  <c r="V5" i="20"/>
  <c r="BB12" i="5" s="1"/>
  <c r="V4" i="20"/>
  <c r="BB29" i="5" s="1"/>
  <c r="U60" i="20"/>
  <c r="BA14" i="1" s="1"/>
  <c r="U59" i="20"/>
  <c r="BA23" i="6" s="1"/>
  <c r="U58" i="20"/>
  <c r="BA26" i="1" s="1"/>
  <c r="U57" i="20"/>
  <c r="BA20" i="21" s="1"/>
  <c r="U56" i="20"/>
  <c r="BA37" i="4" s="1"/>
  <c r="U55" i="20"/>
  <c r="BA21" i="21" s="1"/>
  <c r="U54" i="20"/>
  <c r="BA22" i="1" s="1"/>
  <c r="U53" i="20"/>
  <c r="BA35" i="1" s="1"/>
  <c r="U52" i="20"/>
  <c r="U51" i="20"/>
  <c r="BA10" i="1" s="1"/>
  <c r="U50" i="20"/>
  <c r="U49" i="20"/>
  <c r="BA58" i="2" s="1"/>
  <c r="U48" i="20"/>
  <c r="U47" i="20"/>
  <c r="BA56" i="3" s="1"/>
  <c r="U46" i="20"/>
  <c r="BA51" i="21" s="1"/>
  <c r="U45" i="20"/>
  <c r="U44" i="20"/>
  <c r="U43" i="20"/>
  <c r="BA54" i="3" s="1"/>
  <c r="U42" i="20"/>
  <c r="U41" i="20"/>
  <c r="BA49" i="4" s="1"/>
  <c r="U40" i="20"/>
  <c r="BA48" i="21" s="1"/>
  <c r="U39" i="20"/>
  <c r="BA53" i="1" s="1"/>
  <c r="U38" i="20"/>
  <c r="BA46" i="6" s="1"/>
  <c r="U37" i="20"/>
  <c r="U36" i="20"/>
  <c r="BA35" i="6" s="1"/>
  <c r="U35" i="20"/>
  <c r="U34" i="20"/>
  <c r="BA40" i="4" s="1"/>
  <c r="U33" i="20"/>
  <c r="U32" i="20"/>
  <c r="BA39" i="2" s="1"/>
  <c r="U31" i="20"/>
  <c r="BA42" i="21" s="1"/>
  <c r="U30" i="20"/>
  <c r="BA44" i="6" s="1"/>
  <c r="U29" i="20"/>
  <c r="U28" i="20"/>
  <c r="BA41" i="5" s="1"/>
  <c r="U27" i="20"/>
  <c r="BA36" i="1" s="1"/>
  <c r="U26" i="20"/>
  <c r="BA11" i="1" s="1"/>
  <c r="U25" i="20"/>
  <c r="BA34" i="21" s="1"/>
  <c r="U24" i="20"/>
  <c r="BA32" i="4" s="1"/>
  <c r="U23" i="20"/>
  <c r="BA52" i="4" s="1"/>
  <c r="U22" i="20"/>
  <c r="BA10" i="4" s="1"/>
  <c r="U21" i="20"/>
  <c r="BA9" i="2" s="1"/>
  <c r="U20" i="20"/>
  <c r="U19" i="20"/>
  <c r="BA30" i="4" s="1"/>
  <c r="U18" i="20"/>
  <c r="BA53" i="5" s="1"/>
  <c r="U17" i="20"/>
  <c r="BA24" i="4" s="1"/>
  <c r="U16" i="20"/>
  <c r="BA25" i="21" s="1"/>
  <c r="U15" i="20"/>
  <c r="BA22" i="21" s="1"/>
  <c r="U14" i="20"/>
  <c r="BA13" i="21" s="1"/>
  <c r="U13" i="20"/>
  <c r="BA18" i="6" s="1"/>
  <c r="U12" i="20"/>
  <c r="BA12" i="1" s="1"/>
  <c r="U11" i="20"/>
  <c r="BA36" i="21" s="1"/>
  <c r="U10" i="20"/>
  <c r="U9" i="20"/>
  <c r="BA15" i="6" s="1"/>
  <c r="U8" i="20"/>
  <c r="U7" i="20"/>
  <c r="BA9" i="1" s="1"/>
  <c r="U6" i="20"/>
  <c r="U5" i="20"/>
  <c r="BA12" i="2" s="1"/>
  <c r="U4" i="20"/>
  <c r="BA29" i="21" s="1"/>
  <c r="T60" i="20"/>
  <c r="AZ14" i="1" s="1"/>
  <c r="T59" i="20"/>
  <c r="AZ23" i="6" s="1"/>
  <c r="T58" i="20"/>
  <c r="AZ26" i="21" s="1"/>
  <c r="T57" i="20"/>
  <c r="AZ20" i="4" s="1"/>
  <c r="T56" i="20"/>
  <c r="AZ37" i="6" s="1"/>
  <c r="T55" i="20"/>
  <c r="AZ21" i="2" s="1"/>
  <c r="T54" i="20"/>
  <c r="AZ19" i="21" s="1"/>
  <c r="T53" i="20"/>
  <c r="AZ35" i="1" s="1"/>
  <c r="T52" i="20"/>
  <c r="AZ16" i="2" s="1"/>
  <c r="T51" i="20"/>
  <c r="AZ10" i="1" s="1"/>
  <c r="T50" i="20"/>
  <c r="AZ31" i="3" s="1"/>
  <c r="T49" i="20"/>
  <c r="T48" i="20"/>
  <c r="T47" i="20"/>
  <c r="AZ56" i="2" s="1"/>
  <c r="T46" i="20"/>
  <c r="AZ51" i="3" s="1"/>
  <c r="T45" i="20"/>
  <c r="T44" i="20"/>
  <c r="T43" i="20"/>
  <c r="AZ57" i="1" s="1"/>
  <c r="T42" i="20"/>
  <c r="AZ50" i="3" s="1"/>
  <c r="T41" i="20"/>
  <c r="AZ49" i="3" s="1"/>
  <c r="T40" i="20"/>
  <c r="AZ48" i="21" s="1"/>
  <c r="T39" i="20"/>
  <c r="AZ47" i="6" s="1"/>
  <c r="T38" i="20"/>
  <c r="AZ46" i="2" s="1"/>
  <c r="T37" i="20"/>
  <c r="AZ45" i="5" s="1"/>
  <c r="T36" i="20"/>
  <c r="T35" i="20"/>
  <c r="AZ27" i="5" s="1"/>
  <c r="T34" i="20"/>
  <c r="AZ40" i="5" s="1"/>
  <c r="T33" i="20"/>
  <c r="AZ38" i="5" s="1"/>
  <c r="T32" i="20"/>
  <c r="AZ39" i="21" s="1"/>
  <c r="T31" i="20"/>
  <c r="AZ42" i="5" s="1"/>
  <c r="T30" i="20"/>
  <c r="AZ50" i="1" s="1"/>
  <c r="T29" i="20"/>
  <c r="AZ43" i="5" s="1"/>
  <c r="T28" i="20"/>
  <c r="AZ47" i="1" s="1"/>
  <c r="T27" i="20"/>
  <c r="AZ28" i="2" s="1"/>
  <c r="T26" i="20"/>
  <c r="AZ11" i="1" s="1"/>
  <c r="T25" i="20"/>
  <c r="T24" i="20"/>
  <c r="AZ32" i="2" s="1"/>
  <c r="T23" i="20"/>
  <c r="AZ52" i="5" s="1"/>
  <c r="T22" i="20"/>
  <c r="AZ10" i="2" s="1"/>
  <c r="T21" i="20"/>
  <c r="AZ9" i="3" s="1"/>
  <c r="T20" i="20"/>
  <c r="AZ11" i="5" s="1"/>
  <c r="T19" i="20"/>
  <c r="T18" i="20"/>
  <c r="T17" i="20"/>
  <c r="AZ24" i="4" s="1"/>
  <c r="T16" i="20"/>
  <c r="AZ25" i="21" s="1"/>
  <c r="T15" i="20"/>
  <c r="AZ22" i="3" s="1"/>
  <c r="T14" i="20"/>
  <c r="T13" i="20"/>
  <c r="AZ18" i="5" s="1"/>
  <c r="T12" i="20"/>
  <c r="AZ12" i="1" s="1"/>
  <c r="T11" i="20"/>
  <c r="AZ36" i="6" s="1"/>
  <c r="T10" i="20"/>
  <c r="AZ14" i="4" s="1"/>
  <c r="T9" i="20"/>
  <c r="AZ15" i="5" s="1"/>
  <c r="T8" i="20"/>
  <c r="AZ17" i="21" s="1"/>
  <c r="T7" i="20"/>
  <c r="AZ9" i="1" s="1"/>
  <c r="T6" i="20"/>
  <c r="AZ33" i="4" s="1"/>
  <c r="T5" i="20"/>
  <c r="AZ12" i="3" s="1"/>
  <c r="T4" i="20"/>
  <c r="S60" i="20"/>
  <c r="AY14" i="1" s="1"/>
  <c r="S59" i="20"/>
  <c r="AY23" i="4" s="1"/>
  <c r="S58" i="20"/>
  <c r="AY26" i="1" s="1"/>
  <c r="S57" i="20"/>
  <c r="S56" i="20"/>
  <c r="AY37" i="4" s="1"/>
  <c r="S55" i="20"/>
  <c r="AY21" i="2" s="1"/>
  <c r="S54" i="20"/>
  <c r="AY22" i="1" s="1"/>
  <c r="S53" i="20"/>
  <c r="AY35" i="1" s="1"/>
  <c r="S52" i="20"/>
  <c r="AY16" i="4" s="1"/>
  <c r="S51" i="20"/>
  <c r="AY10" i="1" s="1"/>
  <c r="S50" i="20"/>
  <c r="AY31" i="6" s="1"/>
  <c r="S49" i="20"/>
  <c r="AY58" i="21" s="1"/>
  <c r="S48" i="20"/>
  <c r="AY57" i="3" s="1"/>
  <c r="S47" i="20"/>
  <c r="AY56" i="21" s="1"/>
  <c r="S46" i="20"/>
  <c r="S45" i="20"/>
  <c r="AY55" i="4" s="1"/>
  <c r="S44" i="20"/>
  <c r="S43" i="20"/>
  <c r="S42" i="20"/>
  <c r="AY50" i="4" s="1"/>
  <c r="S41" i="20"/>
  <c r="AY49" i="6" s="1"/>
  <c r="S40" i="20"/>
  <c r="AY48" i="2" s="1"/>
  <c r="S39" i="20"/>
  <c r="S38" i="20"/>
  <c r="S37" i="20"/>
  <c r="AY45" i="6" s="1"/>
  <c r="S36" i="20"/>
  <c r="AY35" i="3" s="1"/>
  <c r="S35" i="20"/>
  <c r="AY27" i="2" s="1"/>
  <c r="S34" i="20"/>
  <c r="AY40" i="21" s="1"/>
  <c r="S33" i="20"/>
  <c r="AY38" i="4" s="1"/>
  <c r="S32" i="20"/>
  <c r="S31" i="20"/>
  <c r="AY42" i="6" s="1"/>
  <c r="S30" i="20"/>
  <c r="S29" i="20"/>
  <c r="S28" i="20"/>
  <c r="AY47" i="1" s="1"/>
  <c r="S27" i="20"/>
  <c r="AY28" i="3" s="1"/>
  <c r="S26" i="20"/>
  <c r="AY11" i="1" s="1"/>
  <c r="S25" i="20"/>
  <c r="AY39" i="1" s="1"/>
  <c r="S24" i="20"/>
  <c r="AY32" i="21" s="1"/>
  <c r="S23" i="20"/>
  <c r="AY52" i="21" s="1"/>
  <c r="S22" i="20"/>
  <c r="AY10" i="2" s="1"/>
  <c r="S21" i="20"/>
  <c r="S20" i="20"/>
  <c r="AY11" i="4" s="1"/>
  <c r="S19" i="20"/>
  <c r="AY30" i="2" s="1"/>
  <c r="S18" i="20"/>
  <c r="AY53" i="21" s="1"/>
  <c r="S17" i="20"/>
  <c r="AY21" i="1" s="1"/>
  <c r="S16" i="20"/>
  <c r="AY25" i="21" s="1"/>
  <c r="S15" i="20"/>
  <c r="AY22" i="21" s="1"/>
  <c r="S14" i="20"/>
  <c r="S13" i="20"/>
  <c r="AY15" i="1" s="1"/>
  <c r="S12" i="20"/>
  <c r="AY12" i="1" s="1"/>
  <c r="S11" i="20"/>
  <c r="AY36" i="4" s="1"/>
  <c r="S10" i="20"/>
  <c r="AY14" i="3" s="1"/>
  <c r="S9" i="20"/>
  <c r="AY19" i="1" s="1"/>
  <c r="S8" i="20"/>
  <c r="S7" i="20"/>
  <c r="AY9" i="1" s="1"/>
  <c r="S6" i="20"/>
  <c r="AY33" i="3" s="1"/>
  <c r="S5" i="20"/>
  <c r="S4" i="20"/>
  <c r="AY29" i="21" s="1"/>
  <c r="R60" i="20"/>
  <c r="AX14" i="1" s="1"/>
  <c r="R59" i="20"/>
  <c r="AX23" i="2" s="1"/>
  <c r="R58" i="20"/>
  <c r="R57" i="20"/>
  <c r="AX20" i="3" s="1"/>
  <c r="R56" i="20"/>
  <c r="AX37" i="21" s="1"/>
  <c r="R55" i="20"/>
  <c r="AX21" i="6" s="1"/>
  <c r="R54" i="20"/>
  <c r="AX19" i="4" s="1"/>
  <c r="R53" i="20"/>
  <c r="AX35" i="1" s="1"/>
  <c r="R52" i="20"/>
  <c r="AX18" i="1" s="1"/>
  <c r="R51" i="20"/>
  <c r="AX10" i="1" s="1"/>
  <c r="R50" i="20"/>
  <c r="AX34" i="1" s="1"/>
  <c r="R49" i="20"/>
  <c r="AX58" i="2" s="1"/>
  <c r="R48" i="20"/>
  <c r="AX57" i="5" s="1"/>
  <c r="R47" i="20"/>
  <c r="AX56" i="6" s="1"/>
  <c r="R46" i="20"/>
  <c r="R45" i="20"/>
  <c r="AX55" i="5" s="1"/>
  <c r="R44" i="20"/>
  <c r="R43" i="20"/>
  <c r="AX54" i="2" s="1"/>
  <c r="R42" i="20"/>
  <c r="AX50" i="21" s="1"/>
  <c r="R41" i="20"/>
  <c r="AX49" i="3" s="1"/>
  <c r="R40" i="20"/>
  <c r="AX48" i="4" s="1"/>
  <c r="R39" i="20"/>
  <c r="AX47" i="21" s="1"/>
  <c r="R38" i="20"/>
  <c r="AX46" i="2" s="1"/>
  <c r="R37" i="20"/>
  <c r="R36" i="20"/>
  <c r="AX35" i="3" s="1"/>
  <c r="R35" i="20"/>
  <c r="AX27" i="4" s="1"/>
  <c r="R34" i="20"/>
  <c r="AX40" i="3" s="1"/>
  <c r="R33" i="20"/>
  <c r="AX38" i="21" s="1"/>
  <c r="R32" i="20"/>
  <c r="AX39" i="2" s="1"/>
  <c r="R31" i="20"/>
  <c r="AX48" i="1" s="1"/>
  <c r="R30" i="20"/>
  <c r="AX44" i="21" s="1"/>
  <c r="R29" i="20"/>
  <c r="AX43" i="2" s="1"/>
  <c r="R28" i="20"/>
  <c r="AX41" i="6" s="1"/>
  <c r="R27" i="20"/>
  <c r="AX28" i="3" s="1"/>
  <c r="R26" i="20"/>
  <c r="AX11" i="1" s="1"/>
  <c r="R25" i="20"/>
  <c r="AX34" i="21" s="1"/>
  <c r="R24" i="20"/>
  <c r="AX32" i="4" s="1"/>
  <c r="R23" i="20"/>
  <c r="AX52" i="2" s="1"/>
  <c r="R22" i="20"/>
  <c r="AX10" i="4" s="1"/>
  <c r="R21" i="20"/>
  <c r="AX9" i="21" s="1"/>
  <c r="R20" i="20"/>
  <c r="AX11" i="5" s="1"/>
  <c r="R19" i="20"/>
  <c r="R18" i="20"/>
  <c r="AX53" i="2" s="1"/>
  <c r="R17" i="20"/>
  <c r="AX24" i="5" s="1"/>
  <c r="R16" i="20"/>
  <c r="R15" i="20"/>
  <c r="AX22" i="3" s="1"/>
  <c r="R14" i="20"/>
  <c r="AX13" i="21" s="1"/>
  <c r="R13" i="20"/>
  <c r="AX18" i="3" s="1"/>
  <c r="R12" i="20"/>
  <c r="AX12" i="1" s="1"/>
  <c r="R11" i="20"/>
  <c r="AX36" i="3" s="1"/>
  <c r="R10" i="20"/>
  <c r="R9" i="20"/>
  <c r="AX15" i="2" s="1"/>
  <c r="R8" i="20"/>
  <c r="R7" i="20"/>
  <c r="AX9" i="1" s="1"/>
  <c r="R6" i="20"/>
  <c r="AX33" i="3" s="1"/>
  <c r="R5" i="20"/>
  <c r="AX12" i="3" s="1"/>
  <c r="R4" i="20"/>
  <c r="AX28" i="1" s="1"/>
  <c r="Q60" i="20"/>
  <c r="Q59" i="20"/>
  <c r="Q58" i="20"/>
  <c r="Q57" i="20"/>
  <c r="Q56" i="20"/>
  <c r="Q55" i="20"/>
  <c r="Q54" i="20"/>
  <c r="Q53" i="20"/>
  <c r="Q52" i="20"/>
  <c r="Q51" i="20"/>
  <c r="Q50" i="20"/>
  <c r="Q49" i="20"/>
  <c r="Q48" i="20"/>
  <c r="Q47" i="20"/>
  <c r="Q46" i="20"/>
  <c r="Q45" i="20"/>
  <c r="Q44" i="20"/>
  <c r="Q43" i="20"/>
  <c r="Q42" i="20"/>
  <c r="Q41" i="20"/>
  <c r="Q40" i="20"/>
  <c r="Q39" i="20"/>
  <c r="Q38" i="20"/>
  <c r="Q37" i="20"/>
  <c r="Q36" i="20"/>
  <c r="Q35" i="20"/>
  <c r="Q34" i="20"/>
  <c r="Q33" i="20"/>
  <c r="Q32" i="20"/>
  <c r="Q31" i="20"/>
  <c r="Q30" i="20"/>
  <c r="Q29" i="20"/>
  <c r="Q28" i="20"/>
  <c r="Q27" i="20"/>
  <c r="Q26" i="20"/>
  <c r="Q25" i="20"/>
  <c r="Q24" i="20"/>
  <c r="Q23" i="20"/>
  <c r="Q22" i="20"/>
  <c r="Q21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Q4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P48" i="20"/>
  <c r="P47" i="20"/>
  <c r="P46" i="20"/>
  <c r="P45" i="20"/>
  <c r="P44" i="20"/>
  <c r="P43" i="20"/>
  <c r="P42" i="20"/>
  <c r="P41" i="20"/>
  <c r="P40" i="20"/>
  <c r="P39" i="20"/>
  <c r="P38" i="20"/>
  <c r="P37" i="20"/>
  <c r="P36" i="20"/>
  <c r="P35" i="20"/>
  <c r="P34" i="20"/>
  <c r="P33" i="20"/>
  <c r="P32" i="20"/>
  <c r="P31" i="20"/>
  <c r="P30" i="20"/>
  <c r="P29" i="20"/>
  <c r="P28" i="20"/>
  <c r="P27" i="20"/>
  <c r="P26" i="20"/>
  <c r="P25" i="20"/>
  <c r="P24" i="20"/>
  <c r="P23" i="20"/>
  <c r="P22" i="20"/>
  <c r="P21" i="20"/>
  <c r="P20" i="20"/>
  <c r="P19" i="20"/>
  <c r="P18" i="20"/>
  <c r="P17" i="20"/>
  <c r="P16" i="20"/>
  <c r="P15" i="20"/>
  <c r="P14" i="20"/>
  <c r="P13" i="20"/>
  <c r="P12" i="20"/>
  <c r="P11" i="20"/>
  <c r="P10" i="20"/>
  <c r="P9" i="20"/>
  <c r="P8" i="20"/>
  <c r="P7" i="20"/>
  <c r="P6" i="20"/>
  <c r="P5" i="20"/>
  <c r="P4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L20" i="25"/>
  <c r="L12" i="25"/>
  <c r="L21" i="25"/>
  <c r="L13" i="25"/>
  <c r="L5" i="25"/>
  <c r="L22" i="25"/>
  <c r="L14" i="25"/>
  <c r="L23" i="25"/>
  <c r="L15" i="25"/>
  <c r="L24" i="25"/>
  <c r="L16" i="25"/>
  <c r="L8" i="25"/>
  <c r="L25" i="25"/>
  <c r="L17" i="25"/>
  <c r="L9" i="25"/>
  <c r="L4" i="25"/>
  <c r="L3" i="25"/>
  <c r="L10" i="25"/>
  <c r="L19" i="25"/>
  <c r="L7" i="25"/>
  <c r="L18" i="25"/>
  <c r="L26" i="25"/>
  <c r="L11" i="25"/>
  <c r="L6" i="25"/>
  <c r="M2" i="25"/>
  <c r="H31" i="25"/>
  <c r="BC8" i="2"/>
  <c r="BB8" i="2"/>
  <c r="AV8" i="2"/>
  <c r="AT8" i="2"/>
  <c r="AX8" i="1"/>
  <c r="AZ8" i="4"/>
  <c r="AZ8" i="5"/>
  <c r="AZ8" i="21"/>
  <c r="AT8" i="21"/>
  <c r="BB8" i="21"/>
  <c r="BA8" i="21"/>
  <c r="AU8" i="21"/>
  <c r="BC8" i="21"/>
  <c r="AV8" i="21"/>
  <c r="AW8" i="21"/>
  <c r="AX8" i="21"/>
  <c r="AZ8" i="6"/>
  <c r="BA8" i="6"/>
  <c r="AT8" i="6"/>
  <c r="BB8" i="6"/>
  <c r="AU8" i="6"/>
  <c r="BC8" i="6"/>
  <c r="AV8" i="6"/>
  <c r="AW8" i="6"/>
  <c r="AX8" i="6"/>
  <c r="AT8" i="5"/>
  <c r="BB8" i="5"/>
  <c r="AU8" i="5"/>
  <c r="BC8" i="5"/>
  <c r="AV8" i="5"/>
  <c r="AW8" i="5"/>
  <c r="AX8" i="5"/>
  <c r="BA8" i="5"/>
  <c r="BA8" i="4"/>
  <c r="AT8" i="4"/>
  <c r="BB8" i="4"/>
  <c r="AU8" i="4"/>
  <c r="BC8" i="4"/>
  <c r="AV8" i="4"/>
  <c r="AW8" i="4"/>
  <c r="AX8" i="4"/>
  <c r="AZ8" i="3"/>
  <c r="AU8" i="3"/>
  <c r="BC8" i="3"/>
  <c r="AT8" i="3"/>
  <c r="AV8" i="3"/>
  <c r="AW8" i="3"/>
  <c r="AX8" i="3"/>
  <c r="BA8" i="3"/>
  <c r="BB8" i="3"/>
  <c r="BA8" i="1"/>
  <c r="AT8" i="1"/>
  <c r="BB8" i="1"/>
  <c r="AU8" i="1"/>
  <c r="BA8" i="2"/>
  <c r="AZ8" i="2"/>
  <c r="AY8" i="2"/>
  <c r="AX8" i="2"/>
  <c r="V43" i="1"/>
  <c r="N2" i="25"/>
  <c r="M21" i="25"/>
  <c r="M13" i="25"/>
  <c r="M22" i="25"/>
  <c r="M14" i="25"/>
  <c r="M6" i="25"/>
  <c r="M23" i="25"/>
  <c r="M15" i="25"/>
  <c r="M24" i="25"/>
  <c r="M16" i="25"/>
  <c r="M25" i="25"/>
  <c r="M17" i="25"/>
  <c r="M9" i="25"/>
  <c r="M26" i="25"/>
  <c r="M18" i="25"/>
  <c r="M10" i="25"/>
  <c r="M4" i="25"/>
  <c r="M20" i="25"/>
  <c r="M3" i="25"/>
  <c r="M27" i="25"/>
  <c r="M8" i="25"/>
  <c r="M19" i="25"/>
  <c r="M5" i="25"/>
  <c r="M12" i="25"/>
  <c r="M11" i="25"/>
  <c r="M7" i="25"/>
  <c r="L27" i="25"/>
  <c r="H32" i="25"/>
  <c r="D4" i="7"/>
  <c r="H4" i="7"/>
  <c r="F4" i="7"/>
  <c r="O2" i="25"/>
  <c r="N22" i="25"/>
  <c r="N14" i="25"/>
  <c r="N23" i="25"/>
  <c r="N15" i="25"/>
  <c r="N7" i="25"/>
  <c r="N24" i="25"/>
  <c r="N16" i="25"/>
  <c r="N25" i="25"/>
  <c r="N17" i="25"/>
  <c r="N9" i="25"/>
  <c r="N26" i="25"/>
  <c r="N18" i="25"/>
  <c r="N10" i="25"/>
  <c r="N19" i="25"/>
  <c r="N11" i="25"/>
  <c r="N3" i="25"/>
  <c r="N20" i="25"/>
  <c r="N13" i="25"/>
  <c r="N8" i="25"/>
  <c r="N12" i="25"/>
  <c r="N4" i="25"/>
  <c r="N21" i="25"/>
  <c r="N6" i="25"/>
  <c r="N5" i="25"/>
  <c r="H33" i="25"/>
  <c r="C4" i="7"/>
  <c r="E4" i="7"/>
  <c r="F2" i="24"/>
  <c r="N27" i="25"/>
  <c r="P2" i="25"/>
  <c r="O23" i="25"/>
  <c r="O15" i="25"/>
  <c r="O24" i="25"/>
  <c r="O16" i="25"/>
  <c r="O8" i="25"/>
  <c r="O25" i="25"/>
  <c r="O17" i="25"/>
  <c r="O26" i="25"/>
  <c r="O18" i="25"/>
  <c r="O10" i="25"/>
  <c r="O19" i="25"/>
  <c r="O11" i="25"/>
  <c r="O20" i="25"/>
  <c r="O12" i="25"/>
  <c r="O4" i="25"/>
  <c r="O13" i="25"/>
  <c r="O9" i="25"/>
  <c r="O3" i="25"/>
  <c r="O21" i="25"/>
  <c r="O14" i="25"/>
  <c r="O6" i="25"/>
  <c r="O22" i="25"/>
  <c r="O7" i="25"/>
  <c r="O5" i="25"/>
  <c r="H34" i="25"/>
  <c r="Z52" i="20"/>
  <c r="Q2" i="25"/>
  <c r="P24" i="25"/>
  <c r="P16" i="25"/>
  <c r="P8" i="25"/>
  <c r="P25" i="25"/>
  <c r="P17" i="25"/>
  <c r="P9" i="25"/>
  <c r="P26" i="25"/>
  <c r="P18" i="25"/>
  <c r="P10" i="25"/>
  <c r="P19" i="25"/>
  <c r="P11" i="25"/>
  <c r="P20" i="25"/>
  <c r="P12" i="25"/>
  <c r="P21" i="25"/>
  <c r="P13" i="25"/>
  <c r="P5" i="25"/>
  <c r="P14" i="25"/>
  <c r="P4" i="25"/>
  <c r="P6" i="25"/>
  <c r="P22" i="25"/>
  <c r="P7" i="25"/>
  <c r="P23" i="25"/>
  <c r="P15" i="25"/>
  <c r="P3" i="25"/>
  <c r="O27" i="25"/>
  <c r="H35" i="25"/>
  <c r="F58" i="21"/>
  <c r="F57" i="21"/>
  <c r="F56" i="21"/>
  <c r="F55" i="21"/>
  <c r="F54" i="21"/>
  <c r="F53" i="21"/>
  <c r="F52" i="21"/>
  <c r="F51" i="21"/>
  <c r="F50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P27" i="25"/>
  <c r="I34" i="25"/>
  <c r="R2" i="25"/>
  <c r="Q25" i="25"/>
  <c r="Q17" i="25"/>
  <c r="Q9" i="25"/>
  <c r="Q26" i="25"/>
  <c r="Q18" i="25"/>
  <c r="Q10" i="25"/>
  <c r="Q19" i="25"/>
  <c r="Q11" i="25"/>
  <c r="Q20" i="25"/>
  <c r="Q12" i="25"/>
  <c r="Q21" i="25"/>
  <c r="Q13" i="25"/>
  <c r="Q22" i="25"/>
  <c r="Q14" i="25"/>
  <c r="Q6" i="25"/>
  <c r="Q8" i="25"/>
  <c r="Q24" i="25"/>
  <c r="Q3" i="25"/>
  <c r="Q7" i="25"/>
  <c r="Q15" i="25"/>
  <c r="Q5" i="25"/>
  <c r="Q4" i="25"/>
  <c r="Q23" i="25"/>
  <c r="Q16" i="25"/>
  <c r="H36" i="25"/>
  <c r="I35" i="25"/>
  <c r="AM14" i="1"/>
  <c r="Q27" i="25"/>
  <c r="S2" i="25"/>
  <c r="R26" i="25"/>
  <c r="R18" i="25"/>
  <c r="R10" i="25"/>
  <c r="R19" i="25"/>
  <c r="R11" i="25"/>
  <c r="R3" i="25"/>
  <c r="R12" i="25"/>
  <c r="R20" i="25"/>
  <c r="R21" i="25"/>
  <c r="R13" i="25"/>
  <c r="R22" i="25"/>
  <c r="R14" i="25"/>
  <c r="R23" i="25"/>
  <c r="R15" i="25"/>
  <c r="R7" i="25"/>
  <c r="R24" i="25"/>
  <c r="R17" i="25"/>
  <c r="R6" i="25"/>
  <c r="R8" i="25"/>
  <c r="R25" i="25"/>
  <c r="R5" i="25"/>
  <c r="R4" i="25"/>
  <c r="R16" i="25"/>
  <c r="R9" i="25"/>
  <c r="H37" i="25"/>
  <c r="I36" i="25"/>
  <c r="Y13" i="1"/>
  <c r="X13" i="1"/>
  <c r="T2" i="25"/>
  <c r="S19" i="25"/>
  <c r="S11" i="25"/>
  <c r="S20" i="25"/>
  <c r="S12" i="25"/>
  <c r="S4" i="25"/>
  <c r="S21" i="25"/>
  <c r="S13" i="25"/>
  <c r="S22" i="25"/>
  <c r="S14" i="25"/>
  <c r="S23" i="25"/>
  <c r="S15" i="25"/>
  <c r="S7" i="25"/>
  <c r="S24" i="25"/>
  <c r="S16" i="25"/>
  <c r="S8" i="25"/>
  <c r="S17" i="25"/>
  <c r="S10" i="25"/>
  <c r="S6" i="25"/>
  <c r="S25" i="25"/>
  <c r="S5" i="25"/>
  <c r="S18" i="25"/>
  <c r="S9" i="25"/>
  <c r="S26" i="25"/>
  <c r="S3" i="25"/>
  <c r="R27" i="25"/>
  <c r="H38" i="25"/>
  <c r="I37" i="25"/>
  <c r="V16" i="21"/>
  <c r="V16" i="6"/>
  <c r="V16" i="5"/>
  <c r="V16" i="4"/>
  <c r="V16" i="3"/>
  <c r="V16" i="2"/>
  <c r="V18" i="1"/>
  <c r="S27" i="25"/>
  <c r="T20" i="25"/>
  <c r="T12" i="25"/>
  <c r="T21" i="25"/>
  <c r="T13" i="25"/>
  <c r="T5" i="25"/>
  <c r="U2" i="25"/>
  <c r="T22" i="25"/>
  <c r="T14" i="25"/>
  <c r="T23" i="25"/>
  <c r="T15" i="25"/>
  <c r="T24" i="25"/>
  <c r="T16" i="25"/>
  <c r="T8" i="25"/>
  <c r="T25" i="25"/>
  <c r="T17" i="25"/>
  <c r="T9" i="25"/>
  <c r="T10" i="25"/>
  <c r="T6" i="25"/>
  <c r="T18" i="25"/>
  <c r="T7" i="25"/>
  <c r="T11" i="25"/>
  <c r="T4" i="25"/>
  <c r="T26" i="25"/>
  <c r="T3" i="25"/>
  <c r="T19" i="25"/>
  <c r="H39" i="25"/>
  <c r="I39" i="25"/>
  <c r="I38" i="25"/>
  <c r="V54" i="21"/>
  <c r="V54" i="6"/>
  <c r="V54" i="5"/>
  <c r="V54" i="4"/>
  <c r="V54" i="3"/>
  <c r="V54" i="2"/>
  <c r="V57" i="1"/>
  <c r="T27" i="25"/>
  <c r="I33" i="25"/>
  <c r="V2" i="25"/>
  <c r="U21" i="25"/>
  <c r="U13" i="25"/>
  <c r="U22" i="25"/>
  <c r="U14" i="25"/>
  <c r="U6" i="25"/>
  <c r="U23" i="25"/>
  <c r="U15" i="25"/>
  <c r="U24" i="25"/>
  <c r="U16" i="25"/>
  <c r="U8" i="25"/>
  <c r="U25" i="25"/>
  <c r="U17" i="25"/>
  <c r="U9" i="25"/>
  <c r="U26" i="25"/>
  <c r="U18" i="25"/>
  <c r="U10" i="25"/>
  <c r="U7" i="25"/>
  <c r="U5" i="25"/>
  <c r="U4" i="25"/>
  <c r="U11" i="25"/>
  <c r="U3" i="25"/>
  <c r="U19" i="25"/>
  <c r="U12" i="25"/>
  <c r="U20" i="25"/>
  <c r="V37" i="2"/>
  <c r="V37" i="3"/>
  <c r="V37" i="4"/>
  <c r="V37" i="5"/>
  <c r="V37" i="6"/>
  <c r="AM37" i="21"/>
  <c r="AM37" i="6"/>
  <c r="AM37" i="5"/>
  <c r="AM37" i="4"/>
  <c r="AM37" i="3"/>
  <c r="AM37" i="2"/>
  <c r="AM43" i="1"/>
  <c r="W2" i="25"/>
  <c r="V22" i="25"/>
  <c r="V14" i="25"/>
  <c r="V23" i="25"/>
  <c r="V15" i="25"/>
  <c r="V7" i="25"/>
  <c r="V24" i="25"/>
  <c r="V16" i="25"/>
  <c r="V25" i="25"/>
  <c r="V17" i="25"/>
  <c r="V9" i="25"/>
  <c r="V26" i="25"/>
  <c r="V18" i="25"/>
  <c r="V10" i="25"/>
  <c r="V19" i="25"/>
  <c r="V11" i="25"/>
  <c r="V3" i="25"/>
  <c r="V5" i="25"/>
  <c r="V21" i="25"/>
  <c r="V4" i="25"/>
  <c r="V8" i="25"/>
  <c r="V6" i="25"/>
  <c r="V12" i="25"/>
  <c r="V20" i="25"/>
  <c r="V13" i="25"/>
  <c r="U27" i="25"/>
  <c r="G25" i="24"/>
  <c r="V27" i="25"/>
  <c r="X2" i="25"/>
  <c r="W23" i="25"/>
  <c r="W15" i="25"/>
  <c r="W7" i="25"/>
  <c r="W24" i="25"/>
  <c r="W16" i="25"/>
  <c r="W8" i="25"/>
  <c r="W25" i="25"/>
  <c r="W17" i="25"/>
  <c r="W9" i="25"/>
  <c r="W26" i="25"/>
  <c r="W18" i="25"/>
  <c r="W10" i="25"/>
  <c r="W19" i="25"/>
  <c r="W11" i="25"/>
  <c r="W20" i="25"/>
  <c r="W12" i="25"/>
  <c r="W4" i="25"/>
  <c r="W21" i="25"/>
  <c r="W14" i="25"/>
  <c r="W3" i="25"/>
  <c r="W6" i="25"/>
  <c r="W22" i="25"/>
  <c r="W5" i="25"/>
  <c r="W13" i="25"/>
  <c r="G26" i="24"/>
  <c r="H27" i="24"/>
  <c r="Z56" i="20"/>
  <c r="AL17" i="1"/>
  <c r="AL29" i="1"/>
  <c r="E2" i="24"/>
  <c r="Y2" i="25"/>
  <c r="X24" i="25"/>
  <c r="X16" i="25"/>
  <c r="X8" i="25"/>
  <c r="X25" i="25"/>
  <c r="X17" i="25"/>
  <c r="X9" i="25"/>
  <c r="X10" i="25"/>
  <c r="X26" i="25"/>
  <c r="X18" i="25"/>
  <c r="X19" i="25"/>
  <c r="X11" i="25"/>
  <c r="X20" i="25"/>
  <c r="X12" i="25"/>
  <c r="X21" i="25"/>
  <c r="X13" i="25"/>
  <c r="X5" i="25"/>
  <c r="X14" i="25"/>
  <c r="X7" i="25"/>
  <c r="X4" i="25"/>
  <c r="X3" i="25"/>
  <c r="X22" i="25"/>
  <c r="X15" i="25"/>
  <c r="X23" i="25"/>
  <c r="X6" i="25"/>
  <c r="W27" i="25"/>
  <c r="AL22" i="2"/>
  <c r="AL22" i="3"/>
  <c r="AL22" i="4"/>
  <c r="AL22" i="5"/>
  <c r="AL22" i="6"/>
  <c r="AL22" i="21"/>
  <c r="V22" i="21"/>
  <c r="V22" i="6"/>
  <c r="V22" i="5"/>
  <c r="V22" i="4"/>
  <c r="V22" i="3"/>
  <c r="V22" i="2"/>
  <c r="V29" i="1"/>
  <c r="X27" i="25"/>
  <c r="Z2" i="25"/>
  <c r="Y25" i="25"/>
  <c r="Y17" i="25"/>
  <c r="Y9" i="25"/>
  <c r="Y26" i="25"/>
  <c r="Y18" i="25"/>
  <c r="Y10" i="25"/>
  <c r="Y19" i="25"/>
  <c r="Y11" i="25"/>
  <c r="Y20" i="25"/>
  <c r="Y12" i="25"/>
  <c r="Y21" i="25"/>
  <c r="Y13" i="25"/>
  <c r="Y22" i="25"/>
  <c r="Y14" i="25"/>
  <c r="Y6" i="25"/>
  <c r="Y3" i="25"/>
  <c r="Y15" i="25"/>
  <c r="Y5" i="25"/>
  <c r="Y24" i="25"/>
  <c r="Y23" i="25"/>
  <c r="Y16" i="25"/>
  <c r="Y8" i="25"/>
  <c r="Y7" i="25"/>
  <c r="Y4" i="25"/>
  <c r="D3" i="24"/>
  <c r="Y27" i="25"/>
  <c r="AA2" i="25"/>
  <c r="Z26" i="25"/>
  <c r="Z18" i="25"/>
  <c r="Z10" i="25"/>
  <c r="Z19" i="25"/>
  <c r="Z11" i="25"/>
  <c r="Z3" i="25"/>
  <c r="Z20" i="25"/>
  <c r="Z12" i="25"/>
  <c r="Z21" i="25"/>
  <c r="Z13" i="25"/>
  <c r="Z22" i="25"/>
  <c r="Z14" i="25"/>
  <c r="Z6" i="25"/>
  <c r="Z23" i="25"/>
  <c r="Z15" i="25"/>
  <c r="Z7" i="25"/>
  <c r="Z25" i="25"/>
  <c r="Z24" i="25"/>
  <c r="Z4" i="25"/>
  <c r="Z16" i="25"/>
  <c r="Z8" i="25"/>
  <c r="Z9" i="25"/>
  <c r="Z5" i="25"/>
  <c r="Z17" i="25"/>
  <c r="E3" i="24"/>
  <c r="F3" i="24"/>
  <c r="D4" i="24"/>
  <c r="AS22" i="21"/>
  <c r="AS22" i="6"/>
  <c r="AS22" i="5"/>
  <c r="AS22" i="4"/>
  <c r="AS22" i="3"/>
  <c r="AS22" i="2"/>
  <c r="AS29" i="1"/>
  <c r="BA15" i="20"/>
  <c r="AT15" i="20"/>
  <c r="Z27" i="25"/>
  <c r="AB2" i="25"/>
  <c r="AA19" i="25"/>
  <c r="AA11" i="25"/>
  <c r="AA20" i="25"/>
  <c r="AA12" i="25"/>
  <c r="AA4" i="25"/>
  <c r="AA13" i="25"/>
  <c r="AA21" i="25"/>
  <c r="AA22" i="25"/>
  <c r="AA14" i="25"/>
  <c r="AA23" i="25"/>
  <c r="AA15" i="25"/>
  <c r="AA7" i="25"/>
  <c r="AA24" i="25"/>
  <c r="AA16" i="25"/>
  <c r="AA8" i="25"/>
  <c r="AA25" i="25"/>
  <c r="AA18" i="25"/>
  <c r="AA26" i="25"/>
  <c r="AA3" i="25"/>
  <c r="AA9" i="25"/>
  <c r="AA6" i="25"/>
  <c r="AA5" i="25"/>
  <c r="AA10" i="25"/>
  <c r="AA17" i="25"/>
  <c r="E4" i="24"/>
  <c r="F4" i="24"/>
  <c r="D5" i="24"/>
  <c r="J1" i="21"/>
  <c r="AA27" i="25"/>
  <c r="AC2" i="25"/>
  <c r="AB20" i="25"/>
  <c r="AB12" i="25"/>
  <c r="AB21" i="25"/>
  <c r="AB13" i="25"/>
  <c r="AB5" i="25"/>
  <c r="AB14" i="25"/>
  <c r="AB22" i="25"/>
  <c r="AB23" i="25"/>
  <c r="AB15" i="25"/>
  <c r="AB24" i="25"/>
  <c r="AB16" i="25"/>
  <c r="AB8" i="25"/>
  <c r="AB25" i="25"/>
  <c r="AB17" i="25"/>
  <c r="AB9" i="25"/>
  <c r="AB18" i="25"/>
  <c r="AB11" i="25"/>
  <c r="AB7" i="25"/>
  <c r="AB26" i="25"/>
  <c r="AB19" i="25"/>
  <c r="AB6" i="25"/>
  <c r="AB4" i="25"/>
  <c r="AB10" i="25"/>
  <c r="AB3" i="25"/>
  <c r="E5" i="24"/>
  <c r="F5" i="24"/>
  <c r="D6" i="24"/>
  <c r="H5" i="7"/>
  <c r="V37" i="21"/>
  <c r="E3" i="7"/>
  <c r="G3" i="7"/>
  <c r="F3" i="7"/>
  <c r="D3" i="7"/>
  <c r="B3" i="7"/>
  <c r="C3" i="7"/>
  <c r="AB27" i="25"/>
  <c r="AD2" i="25"/>
  <c r="AC21" i="25"/>
  <c r="AC13" i="25"/>
  <c r="AC22" i="25"/>
  <c r="AC14" i="25"/>
  <c r="AC6" i="25"/>
  <c r="AC15" i="25"/>
  <c r="AC23" i="25"/>
  <c r="AC24" i="25"/>
  <c r="AC16" i="25"/>
  <c r="AC8" i="25"/>
  <c r="AC25" i="25"/>
  <c r="AC17" i="25"/>
  <c r="AC9" i="25"/>
  <c r="AC26" i="25"/>
  <c r="AC18" i="25"/>
  <c r="AC10" i="25"/>
  <c r="AC11" i="25"/>
  <c r="AC19" i="25"/>
  <c r="AC12" i="25"/>
  <c r="AC5" i="25"/>
  <c r="AC4" i="25"/>
  <c r="AC20" i="25"/>
  <c r="AC7" i="25"/>
  <c r="AC3" i="25"/>
  <c r="E6" i="24"/>
  <c r="F6" i="24"/>
  <c r="D7" i="24"/>
  <c r="N8" i="23"/>
  <c r="M10" i="23"/>
  <c r="M12" i="23"/>
  <c r="J9" i="23"/>
  <c r="J12" i="23"/>
  <c r="H12" i="23"/>
  <c r="I12" i="23"/>
  <c r="N18" i="23"/>
  <c r="M20" i="23"/>
  <c r="M22" i="23"/>
  <c r="J19" i="23"/>
  <c r="J22" i="23"/>
  <c r="H22" i="23"/>
  <c r="I22" i="23"/>
  <c r="AC27" i="25"/>
  <c r="AE2" i="25"/>
  <c r="AD22" i="25"/>
  <c r="AD14" i="25"/>
  <c r="AD23" i="25"/>
  <c r="AD15" i="25"/>
  <c r="AD7" i="25"/>
  <c r="AD24" i="25"/>
  <c r="AD16" i="25"/>
  <c r="AD25" i="25"/>
  <c r="AD17" i="25"/>
  <c r="AD9" i="25"/>
  <c r="AD26" i="25"/>
  <c r="AD18" i="25"/>
  <c r="AD10" i="25"/>
  <c r="AD19" i="25"/>
  <c r="AD11" i="25"/>
  <c r="AD3" i="25"/>
  <c r="AD5" i="25"/>
  <c r="AD12" i="25"/>
  <c r="AD6" i="25"/>
  <c r="AD8" i="25"/>
  <c r="AD4" i="25"/>
  <c r="AD20" i="25"/>
  <c r="AD13" i="25"/>
  <c r="AD21" i="25"/>
  <c r="E7" i="24"/>
  <c r="F7" i="24"/>
  <c r="D8" i="24"/>
  <c r="M24" i="23"/>
  <c r="K12" i="23"/>
  <c r="L12" i="23"/>
  <c r="K22" i="23"/>
  <c r="L22" i="23"/>
  <c r="N22" i="23"/>
  <c r="O22" i="23"/>
  <c r="J1" i="6"/>
  <c r="J1" i="5"/>
  <c r="J1" i="4"/>
  <c r="J1" i="3"/>
  <c r="J1" i="2"/>
  <c r="AD27" i="25"/>
  <c r="AF2" i="25"/>
  <c r="AE23" i="25"/>
  <c r="AE15" i="25"/>
  <c r="AE7" i="25"/>
  <c r="AE24" i="25"/>
  <c r="AE16" i="25"/>
  <c r="AE8" i="25"/>
  <c r="AE9" i="25"/>
  <c r="AE25" i="25"/>
  <c r="AE17" i="25"/>
  <c r="AE26" i="25"/>
  <c r="AE18" i="25"/>
  <c r="AE10" i="25"/>
  <c r="AE19" i="25"/>
  <c r="AE11" i="25"/>
  <c r="AE20" i="25"/>
  <c r="AE12" i="25"/>
  <c r="AE4" i="25"/>
  <c r="AE22" i="25"/>
  <c r="AE6" i="25"/>
  <c r="AE5" i="25"/>
  <c r="AE14" i="25"/>
  <c r="AE13" i="25"/>
  <c r="AE3" i="25"/>
  <c r="AE21" i="25"/>
  <c r="E8" i="24"/>
  <c r="F8" i="24"/>
  <c r="D9" i="24"/>
  <c r="Q12" i="23"/>
  <c r="P13" i="23"/>
  <c r="L13" i="23"/>
  <c r="Q22" i="23"/>
  <c r="P23" i="23"/>
  <c r="L23" i="23"/>
  <c r="N12" i="23"/>
  <c r="O12" i="23"/>
  <c r="F60" i="20"/>
  <c r="F59" i="20"/>
  <c r="F58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AG2" i="25"/>
  <c r="AF24" i="25"/>
  <c r="AF16" i="25"/>
  <c r="AF8" i="25"/>
  <c r="AF25" i="25"/>
  <c r="AF17" i="25"/>
  <c r="AF9" i="25"/>
  <c r="AF10" i="25"/>
  <c r="AF26" i="25"/>
  <c r="AF18" i="25"/>
  <c r="AF19" i="25"/>
  <c r="AF11" i="25"/>
  <c r="AF20" i="25"/>
  <c r="AF12" i="25"/>
  <c r="AF21" i="25"/>
  <c r="AF13" i="25"/>
  <c r="AF5" i="25"/>
  <c r="AF22" i="25"/>
  <c r="AF6" i="25"/>
  <c r="AF15" i="25"/>
  <c r="AF14" i="25"/>
  <c r="AF4" i="25"/>
  <c r="AF23" i="25"/>
  <c r="AF3" i="25"/>
  <c r="AF27" i="25"/>
  <c r="AF7" i="25"/>
  <c r="AE27" i="25"/>
  <c r="E9" i="24"/>
  <c r="F9" i="24"/>
  <c r="D10" i="24"/>
  <c r="I22" i="22"/>
  <c r="H22" i="22"/>
  <c r="J19" i="22"/>
  <c r="J22" i="22"/>
  <c r="N18" i="22"/>
  <c r="M20" i="22"/>
  <c r="M22" i="22"/>
  <c r="I12" i="22"/>
  <c r="H12" i="22"/>
  <c r="J9" i="22"/>
  <c r="J12" i="22"/>
  <c r="N8" i="22"/>
  <c r="M10" i="22"/>
  <c r="M12" i="22"/>
  <c r="AG25" i="25"/>
  <c r="AG17" i="25"/>
  <c r="AG9" i="25"/>
  <c r="AG26" i="25"/>
  <c r="AG18" i="25"/>
  <c r="AG10" i="25"/>
  <c r="AG19" i="25"/>
  <c r="AG11" i="25"/>
  <c r="AG20" i="25"/>
  <c r="AG12" i="25"/>
  <c r="AG21" i="25"/>
  <c r="AG13" i="25"/>
  <c r="AG22" i="25"/>
  <c r="AG14" i="25"/>
  <c r="AG6" i="25"/>
  <c r="AG15" i="25"/>
  <c r="AG5" i="25"/>
  <c r="AG4" i="25"/>
  <c r="AG23" i="25"/>
  <c r="AG8" i="25"/>
  <c r="AG3" i="25"/>
  <c r="AG16" i="25"/>
  <c r="AG7" i="25"/>
  <c r="AG24" i="25"/>
  <c r="I29" i="25"/>
  <c r="I30" i="25"/>
  <c r="I31" i="25"/>
  <c r="I32" i="25"/>
  <c r="E10" i="24"/>
  <c r="F10" i="24"/>
  <c r="D11" i="24"/>
  <c r="M24" i="22"/>
  <c r="K12" i="22"/>
  <c r="L12" i="22"/>
  <c r="K22" i="22"/>
  <c r="L22" i="22"/>
  <c r="AG27" i="25"/>
  <c r="E11" i="24"/>
  <c r="F11" i="24"/>
  <c r="D12" i="24"/>
  <c r="L23" i="22"/>
  <c r="Q22" i="22"/>
  <c r="P23" i="22"/>
  <c r="N22" i="22"/>
  <c r="O22" i="22"/>
  <c r="L13" i="22"/>
  <c r="Q12" i="22"/>
  <c r="P13" i="22"/>
  <c r="N12" i="22"/>
  <c r="O12" i="22"/>
  <c r="L4" i="20"/>
  <c r="L5" i="20"/>
  <c r="L6" i="20"/>
  <c r="L7" i="20"/>
  <c r="L8" i="20"/>
  <c r="L9" i="20"/>
  <c r="L10" i="20"/>
  <c r="L11" i="20"/>
  <c r="L12" i="20"/>
  <c r="L13" i="20"/>
  <c r="L14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8" i="20"/>
  <c r="L59" i="20"/>
  <c r="L60" i="20"/>
  <c r="K4" i="20"/>
  <c r="K5" i="20"/>
  <c r="K6" i="20"/>
  <c r="K7" i="20"/>
  <c r="K8" i="20"/>
  <c r="K9" i="20"/>
  <c r="K10" i="20"/>
  <c r="K11" i="20"/>
  <c r="K12" i="20"/>
  <c r="K13" i="20"/>
  <c r="K14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J4" i="20"/>
  <c r="J5" i="20"/>
  <c r="J6" i="20"/>
  <c r="J7" i="20"/>
  <c r="J8" i="20"/>
  <c r="J9" i="20"/>
  <c r="J10" i="20"/>
  <c r="J11" i="20"/>
  <c r="J12" i="20"/>
  <c r="J13" i="20"/>
  <c r="J14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M37" i="20"/>
  <c r="J38" i="20"/>
  <c r="M38" i="20"/>
  <c r="J39" i="20"/>
  <c r="M39" i="20"/>
  <c r="J40" i="20"/>
  <c r="M40" i="20"/>
  <c r="J41" i="20"/>
  <c r="M41" i="20"/>
  <c r="J42" i="20"/>
  <c r="M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8" i="20"/>
  <c r="J59" i="20"/>
  <c r="J60" i="20"/>
  <c r="E12" i="24"/>
  <c r="F12" i="24"/>
  <c r="X27" i="1"/>
  <c r="X17" i="1"/>
  <c r="J8" i="21" a="1"/>
  <c r="J8" i="21"/>
  <c r="J8" i="6" a="1"/>
  <c r="M8" i="6"/>
  <c r="J8" i="5" a="1"/>
  <c r="K8" i="5"/>
  <c r="J8" i="4" a="1"/>
  <c r="K8" i="4"/>
  <c r="J8" i="3" a="1"/>
  <c r="J8" i="3"/>
  <c r="J8" i="2" a="1"/>
  <c r="Q8" i="2"/>
  <c r="J8" i="1" a="1"/>
  <c r="L8" i="1"/>
  <c r="D37" i="8"/>
  <c r="F37" i="8"/>
  <c r="D36" i="8"/>
  <c r="BZ58" i="21"/>
  <c r="BZ57" i="21"/>
  <c r="BZ56" i="21"/>
  <c r="BZ55" i="21"/>
  <c r="BZ53" i="21"/>
  <c r="BZ52" i="21"/>
  <c r="BZ51" i="21"/>
  <c r="BZ32" i="21"/>
  <c r="BZ31" i="21"/>
  <c r="BZ26" i="21"/>
  <c r="BZ23" i="21"/>
  <c r="BZ9" i="21"/>
  <c r="BZ58" i="6"/>
  <c r="BZ57" i="6"/>
  <c r="BZ56" i="6"/>
  <c r="BZ55" i="6"/>
  <c r="BZ53" i="6"/>
  <c r="BZ52" i="6"/>
  <c r="BZ51" i="6"/>
  <c r="BZ32" i="6"/>
  <c r="BZ31" i="6"/>
  <c r="BZ26" i="6"/>
  <c r="BZ23" i="6"/>
  <c r="BZ9" i="6"/>
  <c r="BZ58" i="5"/>
  <c r="BZ57" i="5"/>
  <c r="BZ56" i="5"/>
  <c r="BZ55" i="5"/>
  <c r="BZ53" i="5"/>
  <c r="BZ52" i="5"/>
  <c r="BZ51" i="5"/>
  <c r="BZ32" i="5"/>
  <c r="BZ31" i="5"/>
  <c r="BZ26" i="5"/>
  <c r="BZ23" i="5"/>
  <c r="BZ9" i="5"/>
  <c r="BZ58" i="4"/>
  <c r="BZ57" i="4"/>
  <c r="BZ56" i="4"/>
  <c r="BZ55" i="4"/>
  <c r="BZ53" i="4"/>
  <c r="BZ52" i="4"/>
  <c r="BZ51" i="4"/>
  <c r="BZ32" i="4"/>
  <c r="BZ31" i="4"/>
  <c r="BZ26" i="4"/>
  <c r="BZ23" i="4"/>
  <c r="BZ9" i="4"/>
  <c r="BZ58" i="3"/>
  <c r="BZ57" i="3"/>
  <c r="BZ56" i="3"/>
  <c r="BZ55" i="3"/>
  <c r="BZ53" i="3"/>
  <c r="BZ52" i="3"/>
  <c r="BZ51" i="3"/>
  <c r="BZ32" i="3"/>
  <c r="BZ31" i="3"/>
  <c r="BZ26" i="3"/>
  <c r="BZ23" i="3"/>
  <c r="BZ9" i="3"/>
  <c r="BZ58" i="1"/>
  <c r="U58" i="1" s="1"/>
  <c r="BZ42" i="1"/>
  <c r="BZ35" i="1"/>
  <c r="BZ34" i="1"/>
  <c r="BZ33" i="1"/>
  <c r="BZ32" i="1"/>
  <c r="BZ31" i="1"/>
  <c r="BZ26" i="1"/>
  <c r="BZ25" i="1"/>
  <c r="BZ58" i="2"/>
  <c r="BZ57" i="2"/>
  <c r="BZ56" i="2"/>
  <c r="BZ55" i="2"/>
  <c r="BZ53" i="2"/>
  <c r="BZ52" i="2"/>
  <c r="BZ51" i="2"/>
  <c r="BZ32" i="2"/>
  <c r="BZ31" i="2"/>
  <c r="BZ26" i="2"/>
  <c r="BZ23" i="2"/>
  <c r="BZ9" i="2"/>
  <c r="D11" i="19"/>
  <c r="J12" i="6"/>
  <c r="D12" i="19"/>
  <c r="J11" i="21"/>
  <c r="BA19" i="20"/>
  <c r="AA30" i="1"/>
  <c r="Y42" i="20"/>
  <c r="AD42" i="20"/>
  <c r="AY42" i="20"/>
  <c r="Z50" i="21"/>
  <c r="AM16" i="21"/>
  <c r="AM13" i="21"/>
  <c r="BF57" i="20"/>
  <c r="AA20" i="21"/>
  <c r="BF35" i="20"/>
  <c r="AA27" i="21"/>
  <c r="AA25" i="21"/>
  <c r="BF14" i="20"/>
  <c r="AA13" i="21"/>
  <c r="AY35" i="20"/>
  <c r="Z27" i="21"/>
  <c r="AY22" i="20"/>
  <c r="Z10" i="21"/>
  <c r="AY20" i="20"/>
  <c r="Z11" i="21"/>
  <c r="AY16" i="20"/>
  <c r="Z25" i="21"/>
  <c r="AY14" i="20"/>
  <c r="Z13" i="21"/>
  <c r="AK59" i="20"/>
  <c r="BF59" i="20"/>
  <c r="AA23" i="21"/>
  <c r="AK56" i="20"/>
  <c r="AK55" i="20"/>
  <c r="Y21" i="21"/>
  <c r="AK54" i="20"/>
  <c r="BF54" i="20"/>
  <c r="AA19" i="21"/>
  <c r="AK52" i="20"/>
  <c r="BF52" i="20"/>
  <c r="AA16" i="21"/>
  <c r="AK50" i="20"/>
  <c r="BF50" i="20"/>
  <c r="AA31" i="21"/>
  <c r="AK49" i="20"/>
  <c r="BF49" i="20"/>
  <c r="AA58" i="21"/>
  <c r="AK48" i="20"/>
  <c r="Y57" i="21"/>
  <c r="AK47" i="20"/>
  <c r="Y56" i="21"/>
  <c r="AK46" i="20"/>
  <c r="Y51" i="21"/>
  <c r="AK45" i="20"/>
  <c r="Y55" i="21"/>
  <c r="AK44" i="20"/>
  <c r="BF44" i="20"/>
  <c r="AK43" i="20"/>
  <c r="BF43" i="20"/>
  <c r="AA54" i="21"/>
  <c r="AK42" i="20"/>
  <c r="BF42" i="20"/>
  <c r="AA50" i="21"/>
  <c r="AK41" i="20"/>
  <c r="BF41" i="20"/>
  <c r="AA49" i="21"/>
  <c r="AK40" i="20"/>
  <c r="Y48" i="21"/>
  <c r="AK39" i="20"/>
  <c r="BF39" i="20"/>
  <c r="AA47" i="21"/>
  <c r="AK38" i="20"/>
  <c r="Y46" i="21"/>
  <c r="AK37" i="20"/>
  <c r="BF37" i="20"/>
  <c r="AA45" i="21"/>
  <c r="AK36" i="20"/>
  <c r="AK34" i="20"/>
  <c r="Y40" i="21"/>
  <c r="AK33" i="20"/>
  <c r="BF33" i="20"/>
  <c r="AA38" i="21"/>
  <c r="AK32" i="20"/>
  <c r="Y39" i="21"/>
  <c r="AK31" i="20"/>
  <c r="Y42" i="21"/>
  <c r="AK30" i="20"/>
  <c r="Y44" i="21"/>
  <c r="AK29" i="20"/>
  <c r="BF29" i="20"/>
  <c r="AA43" i="21"/>
  <c r="AK28" i="20"/>
  <c r="BF28" i="20"/>
  <c r="AA41" i="21"/>
  <c r="AK25" i="20"/>
  <c r="Y34" i="21"/>
  <c r="AK24" i="20"/>
  <c r="BF24" i="20"/>
  <c r="AA32" i="21"/>
  <c r="AK23" i="20"/>
  <c r="BF23" i="20"/>
  <c r="AA52" i="21"/>
  <c r="AK22" i="20"/>
  <c r="Y10" i="21"/>
  <c r="AK21" i="20"/>
  <c r="BF21" i="20"/>
  <c r="AA9" i="21"/>
  <c r="AK20" i="20"/>
  <c r="BF20" i="20"/>
  <c r="AA11" i="21"/>
  <c r="AK18" i="20"/>
  <c r="BF18" i="20"/>
  <c r="AA53" i="21"/>
  <c r="AK17" i="20"/>
  <c r="Y24" i="21"/>
  <c r="AA24" i="21"/>
  <c r="AK15" i="20"/>
  <c r="Y22" i="21"/>
  <c r="AK13" i="20"/>
  <c r="AK11" i="20"/>
  <c r="BF11" i="20"/>
  <c r="AA36" i="21"/>
  <c r="AK10" i="20"/>
  <c r="Y14" i="21"/>
  <c r="AK9" i="20"/>
  <c r="BF9" i="20"/>
  <c r="AA15" i="21"/>
  <c r="AK8" i="20"/>
  <c r="AK6" i="20"/>
  <c r="Y33" i="21"/>
  <c r="AK5" i="20"/>
  <c r="BF5" i="20"/>
  <c r="AA12" i="21"/>
  <c r="AK4" i="20"/>
  <c r="BF4" i="20"/>
  <c r="AA29" i="21"/>
  <c r="AD59" i="20"/>
  <c r="AY59" i="20"/>
  <c r="Z23" i="21"/>
  <c r="AD58" i="20"/>
  <c r="X26" i="21"/>
  <c r="AD57" i="20"/>
  <c r="X20" i="21"/>
  <c r="AD56" i="20"/>
  <c r="AY56" i="20"/>
  <c r="Z37" i="21"/>
  <c r="AD55" i="20"/>
  <c r="AD54" i="20"/>
  <c r="X19" i="21"/>
  <c r="AD52" i="20"/>
  <c r="AY52" i="20"/>
  <c r="Z16" i="21"/>
  <c r="AD50" i="20"/>
  <c r="X31" i="21"/>
  <c r="AD49" i="20"/>
  <c r="AY49" i="20"/>
  <c r="Z58" i="21"/>
  <c r="AD48" i="20"/>
  <c r="AY48" i="20"/>
  <c r="Z57" i="21"/>
  <c r="AD47" i="20"/>
  <c r="AY47" i="20"/>
  <c r="Z56" i="21"/>
  <c r="AD46" i="20"/>
  <c r="AY46" i="20"/>
  <c r="Z51" i="21"/>
  <c r="AD45" i="20"/>
  <c r="X55" i="21"/>
  <c r="AD44" i="20"/>
  <c r="AY44" i="20"/>
  <c r="AD43" i="20"/>
  <c r="X54" i="21"/>
  <c r="AD41" i="20"/>
  <c r="AY41" i="20"/>
  <c r="Z49" i="21"/>
  <c r="AD40" i="20"/>
  <c r="AY40" i="20"/>
  <c r="Z48" i="21"/>
  <c r="AD39" i="20"/>
  <c r="AY39" i="20"/>
  <c r="Z47" i="21"/>
  <c r="AD38" i="20"/>
  <c r="AY38" i="20"/>
  <c r="Z46" i="21"/>
  <c r="AD37" i="20"/>
  <c r="AY37" i="20"/>
  <c r="Z45" i="21"/>
  <c r="AD36" i="20"/>
  <c r="X35" i="21"/>
  <c r="AD34" i="20"/>
  <c r="AY34" i="20"/>
  <c r="Z40" i="21"/>
  <c r="AD33" i="20"/>
  <c r="AY33" i="20"/>
  <c r="Z38" i="21"/>
  <c r="AD32" i="20"/>
  <c r="AY32" i="20"/>
  <c r="Z39" i="21"/>
  <c r="AD31" i="20"/>
  <c r="AY31" i="20"/>
  <c r="Z42" i="21"/>
  <c r="AD30" i="20"/>
  <c r="AY30" i="20"/>
  <c r="Z44" i="21"/>
  <c r="AD29" i="20"/>
  <c r="AY29" i="20"/>
  <c r="Z43" i="21"/>
  <c r="AD28" i="20"/>
  <c r="AY28" i="20"/>
  <c r="Z41" i="21"/>
  <c r="AD27" i="20"/>
  <c r="AD25" i="20"/>
  <c r="X34" i="21"/>
  <c r="AD24" i="20"/>
  <c r="X32" i="21"/>
  <c r="AD23" i="20"/>
  <c r="AY23" i="20"/>
  <c r="Z52" i="21"/>
  <c r="X10" i="21"/>
  <c r="AD21" i="20"/>
  <c r="X9" i="21"/>
  <c r="AD19" i="20"/>
  <c r="X30" i="21"/>
  <c r="Z30" i="21"/>
  <c r="AD18" i="20"/>
  <c r="AY18" i="20"/>
  <c r="Z53" i="21"/>
  <c r="AD17" i="20"/>
  <c r="AY17" i="20"/>
  <c r="Z24" i="21"/>
  <c r="AD15" i="20"/>
  <c r="X13" i="21"/>
  <c r="AD13" i="20"/>
  <c r="AY13" i="20"/>
  <c r="Z18" i="21"/>
  <c r="AD11" i="20"/>
  <c r="X36" i="21"/>
  <c r="AD10" i="20"/>
  <c r="X14" i="21"/>
  <c r="AD9" i="20"/>
  <c r="AY9" i="20"/>
  <c r="Z15" i="21"/>
  <c r="AD8" i="20"/>
  <c r="AY8" i="20"/>
  <c r="Z17" i="21"/>
  <c r="AD6" i="20"/>
  <c r="X33" i="21"/>
  <c r="AD5" i="20"/>
  <c r="AY5" i="20"/>
  <c r="Z12" i="21"/>
  <c r="AD4" i="20"/>
  <c r="X29" i="21"/>
  <c r="AR58" i="21"/>
  <c r="AK58" i="21"/>
  <c r="AJ58" i="21"/>
  <c r="AH58" i="21"/>
  <c r="AG58" i="21"/>
  <c r="AF58" i="21"/>
  <c r="AE58" i="21"/>
  <c r="A58" i="21"/>
  <c r="AR57" i="21"/>
  <c r="AK57" i="21"/>
  <c r="AJ57" i="21"/>
  <c r="AH57" i="21"/>
  <c r="AG57" i="21"/>
  <c r="AF57" i="21"/>
  <c r="AE57" i="21"/>
  <c r="A57" i="21"/>
  <c r="AR56" i="21"/>
  <c r="AK56" i="21"/>
  <c r="AJ56" i="21"/>
  <c r="AH56" i="21"/>
  <c r="AG56" i="21"/>
  <c r="AF56" i="21"/>
  <c r="AE56" i="21"/>
  <c r="A56" i="21"/>
  <c r="AR55" i="21"/>
  <c r="AK55" i="21"/>
  <c r="AJ55" i="21"/>
  <c r="AH55" i="21"/>
  <c r="AG55" i="21"/>
  <c r="AF55" i="21"/>
  <c r="AE55" i="21"/>
  <c r="A55" i="21"/>
  <c r="AR54" i="21"/>
  <c r="AK54" i="21"/>
  <c r="AJ54" i="21"/>
  <c r="AH54" i="21"/>
  <c r="AG54" i="21"/>
  <c r="AF54" i="21"/>
  <c r="AE54" i="21"/>
  <c r="A54" i="21"/>
  <c r="AR53" i="21"/>
  <c r="AK53" i="21"/>
  <c r="AJ53" i="21"/>
  <c r="AH53" i="21"/>
  <c r="AG53" i="21"/>
  <c r="AF53" i="21"/>
  <c r="AE53" i="21"/>
  <c r="A53" i="21"/>
  <c r="AR52" i="21"/>
  <c r="AK52" i="21"/>
  <c r="AJ52" i="21"/>
  <c r="AH52" i="21"/>
  <c r="AG52" i="21"/>
  <c r="AF52" i="21"/>
  <c r="AE52" i="21"/>
  <c r="A52" i="21"/>
  <c r="AR51" i="21"/>
  <c r="AK51" i="21"/>
  <c r="AJ51" i="21"/>
  <c r="AH51" i="21"/>
  <c r="AG51" i="21"/>
  <c r="AF51" i="21"/>
  <c r="AE51" i="21"/>
  <c r="A51" i="21"/>
  <c r="AR50" i="21"/>
  <c r="AK50" i="21"/>
  <c r="AJ50" i="21"/>
  <c r="AH50" i="21"/>
  <c r="AG50" i="21"/>
  <c r="AF50" i="21"/>
  <c r="AE50" i="21"/>
  <c r="A50" i="21"/>
  <c r="AR49" i="21"/>
  <c r="AK49" i="21"/>
  <c r="AJ49" i="21"/>
  <c r="AH49" i="21"/>
  <c r="AG49" i="21"/>
  <c r="AF49" i="21"/>
  <c r="AE49" i="21"/>
  <c r="A49" i="21"/>
  <c r="AR48" i="21"/>
  <c r="AK48" i="21"/>
  <c r="AJ48" i="21"/>
  <c r="AH48" i="21"/>
  <c r="AG48" i="21"/>
  <c r="AF48" i="21"/>
  <c r="AE48" i="21"/>
  <c r="A48" i="21"/>
  <c r="AR47" i="21"/>
  <c r="AK47" i="21"/>
  <c r="AJ47" i="21"/>
  <c r="AH47" i="21"/>
  <c r="AG47" i="21"/>
  <c r="AF47" i="21"/>
  <c r="AE47" i="21"/>
  <c r="A47" i="21"/>
  <c r="AR46" i="21"/>
  <c r="AK46" i="21"/>
  <c r="AJ46" i="21"/>
  <c r="AH46" i="21"/>
  <c r="AG46" i="21"/>
  <c r="AF46" i="21"/>
  <c r="AE46" i="21"/>
  <c r="A46" i="21"/>
  <c r="AR45" i="21"/>
  <c r="AK45" i="21"/>
  <c r="AJ45" i="21"/>
  <c r="AH45" i="21"/>
  <c r="AG45" i="21"/>
  <c r="AF45" i="21"/>
  <c r="AE45" i="21"/>
  <c r="A45" i="21"/>
  <c r="AR44" i="21"/>
  <c r="AK44" i="21"/>
  <c r="AJ44" i="21"/>
  <c r="AH44" i="21"/>
  <c r="AG44" i="21"/>
  <c r="AF44" i="21"/>
  <c r="AE44" i="21"/>
  <c r="A44" i="21"/>
  <c r="AR43" i="21"/>
  <c r="AK43" i="21"/>
  <c r="AJ43" i="21"/>
  <c r="AH43" i="21"/>
  <c r="AG43" i="21"/>
  <c r="AF43" i="21"/>
  <c r="AE43" i="21"/>
  <c r="A43" i="21"/>
  <c r="AR42" i="21"/>
  <c r="AK42" i="21"/>
  <c r="AJ42" i="21"/>
  <c r="AH42" i="21"/>
  <c r="AG42" i="21"/>
  <c r="AF42" i="21"/>
  <c r="AE42" i="21"/>
  <c r="A42" i="21"/>
  <c r="AR41" i="21"/>
  <c r="AK41" i="21"/>
  <c r="AJ41" i="21"/>
  <c r="AH41" i="21"/>
  <c r="AG41" i="21"/>
  <c r="AF41" i="21"/>
  <c r="AE41" i="21"/>
  <c r="A41" i="21"/>
  <c r="AR40" i="21"/>
  <c r="AK40" i="21"/>
  <c r="AJ40" i="21"/>
  <c r="AH40" i="21"/>
  <c r="AG40" i="21"/>
  <c r="AF40" i="21"/>
  <c r="AE40" i="21"/>
  <c r="A40" i="21"/>
  <c r="AR39" i="21"/>
  <c r="AK39" i="21"/>
  <c r="AJ39" i="21"/>
  <c r="AH39" i="21"/>
  <c r="AG39" i="21"/>
  <c r="AF39" i="21"/>
  <c r="AE39" i="21"/>
  <c r="A39" i="21"/>
  <c r="AR38" i="21"/>
  <c r="AK38" i="21"/>
  <c r="AJ38" i="21"/>
  <c r="AH38" i="21"/>
  <c r="AG38" i="21"/>
  <c r="AF38" i="21"/>
  <c r="AE38" i="21"/>
  <c r="A38" i="21"/>
  <c r="AR37" i="21"/>
  <c r="AK37" i="21"/>
  <c r="AJ37" i="21"/>
  <c r="AH37" i="21"/>
  <c r="AG37" i="21"/>
  <c r="AF37" i="21"/>
  <c r="AE37" i="21"/>
  <c r="A37" i="21"/>
  <c r="AR36" i="21"/>
  <c r="AK36" i="21"/>
  <c r="AJ36" i="21"/>
  <c r="AH36" i="21"/>
  <c r="AG36" i="21"/>
  <c r="AF36" i="21"/>
  <c r="AE36" i="21"/>
  <c r="A36" i="21"/>
  <c r="AR35" i="21"/>
  <c r="AK35" i="21"/>
  <c r="AJ35" i="21"/>
  <c r="AH35" i="21"/>
  <c r="AG35" i="21"/>
  <c r="AF35" i="21"/>
  <c r="AE35" i="21"/>
  <c r="A35" i="21"/>
  <c r="AR34" i="21"/>
  <c r="AK34" i="21"/>
  <c r="AJ34" i="21"/>
  <c r="AH34" i="21"/>
  <c r="AG34" i="21"/>
  <c r="AF34" i="21"/>
  <c r="AE34" i="21"/>
  <c r="A34" i="21"/>
  <c r="AR33" i="21"/>
  <c r="AK33" i="21"/>
  <c r="AJ33" i="21"/>
  <c r="AH33" i="21"/>
  <c r="AG33" i="21"/>
  <c r="AF33" i="21"/>
  <c r="AE33" i="21"/>
  <c r="A33" i="21"/>
  <c r="AR32" i="21"/>
  <c r="AK32" i="21"/>
  <c r="AJ32" i="21"/>
  <c r="AH32" i="21"/>
  <c r="AG32" i="21"/>
  <c r="AF32" i="21"/>
  <c r="AE32" i="21"/>
  <c r="A32" i="21"/>
  <c r="AR31" i="21"/>
  <c r="AK31" i="21"/>
  <c r="AJ31" i="21"/>
  <c r="AH31" i="21"/>
  <c r="AG31" i="21"/>
  <c r="AF31" i="21"/>
  <c r="AE31" i="21"/>
  <c r="A31" i="21"/>
  <c r="AR30" i="21"/>
  <c r="AK30" i="21"/>
  <c r="AJ30" i="21"/>
  <c r="AH30" i="21"/>
  <c r="AG30" i="21"/>
  <c r="AF30" i="21"/>
  <c r="AE30" i="21"/>
  <c r="AA30" i="21"/>
  <c r="Y30" i="21"/>
  <c r="A30" i="21"/>
  <c r="AR29" i="21"/>
  <c r="AK29" i="21"/>
  <c r="AJ29" i="21"/>
  <c r="AH29" i="21"/>
  <c r="AG29" i="21"/>
  <c r="AF29" i="21"/>
  <c r="AE29" i="21"/>
  <c r="A29" i="21"/>
  <c r="AR28" i="21"/>
  <c r="AK28" i="21"/>
  <c r="AJ28" i="21"/>
  <c r="AH28" i="21"/>
  <c r="AG28" i="21"/>
  <c r="AF28" i="21"/>
  <c r="AE28" i="21"/>
  <c r="AA28" i="21"/>
  <c r="Z28" i="21"/>
  <c r="Y28" i="21"/>
  <c r="X28" i="21"/>
  <c r="A28" i="21"/>
  <c r="AR27" i="21"/>
  <c r="AK27" i="21"/>
  <c r="AJ27" i="21"/>
  <c r="AH27" i="21"/>
  <c r="AG27" i="21"/>
  <c r="AF27" i="21"/>
  <c r="AE27" i="21"/>
  <c r="Y27" i="21"/>
  <c r="X27" i="21"/>
  <c r="A27" i="21"/>
  <c r="AR26" i="21"/>
  <c r="AK26" i="21"/>
  <c r="AJ26" i="21"/>
  <c r="AH26" i="21"/>
  <c r="AG26" i="21"/>
  <c r="AF26" i="21"/>
  <c r="AE26" i="21"/>
  <c r="AA26" i="21"/>
  <c r="Y26" i="21"/>
  <c r="A26" i="21"/>
  <c r="AR25" i="21"/>
  <c r="AK25" i="21"/>
  <c r="AJ25" i="21"/>
  <c r="AH25" i="21"/>
  <c r="AG25" i="21"/>
  <c r="AF25" i="21"/>
  <c r="AE25" i="21"/>
  <c r="Y25" i="21"/>
  <c r="X25" i="21"/>
  <c r="A25" i="21"/>
  <c r="AR24" i="21"/>
  <c r="AK24" i="21"/>
  <c r="AJ24" i="21"/>
  <c r="AH24" i="21"/>
  <c r="AG24" i="21"/>
  <c r="AF24" i="21"/>
  <c r="AE24" i="21"/>
  <c r="A24" i="21"/>
  <c r="AR23" i="21"/>
  <c r="AK23" i="21"/>
  <c r="AJ23" i="21"/>
  <c r="AH23" i="21"/>
  <c r="AG23" i="21"/>
  <c r="AF23" i="21"/>
  <c r="AE23" i="21"/>
  <c r="A23" i="21"/>
  <c r="AR22" i="21"/>
  <c r="AK22" i="21"/>
  <c r="AJ22" i="21"/>
  <c r="AH22" i="21"/>
  <c r="AG22" i="21"/>
  <c r="AF22" i="21"/>
  <c r="AE22" i="21"/>
  <c r="A22" i="21"/>
  <c r="AR21" i="21"/>
  <c r="AK21" i="21"/>
  <c r="AJ21" i="21"/>
  <c r="AH21" i="21"/>
  <c r="AG21" i="21"/>
  <c r="AF21" i="21"/>
  <c r="AE21" i="21"/>
  <c r="A21" i="21"/>
  <c r="AR20" i="21"/>
  <c r="AK20" i="21"/>
  <c r="AJ20" i="21"/>
  <c r="AH20" i="21"/>
  <c r="AG20" i="21"/>
  <c r="AF20" i="21"/>
  <c r="AE20" i="21"/>
  <c r="Y20" i="21"/>
  <c r="A20" i="21"/>
  <c r="AR19" i="21"/>
  <c r="AK19" i="21"/>
  <c r="AJ19" i="21"/>
  <c r="AH19" i="21"/>
  <c r="AG19" i="21"/>
  <c r="AF19" i="21"/>
  <c r="AE19" i="21"/>
  <c r="A19" i="21"/>
  <c r="AR18" i="21"/>
  <c r="AK18" i="21"/>
  <c r="AJ18" i="21"/>
  <c r="AH18" i="21"/>
  <c r="AG18" i="21"/>
  <c r="AF18" i="21"/>
  <c r="AE18" i="21"/>
  <c r="A18" i="21"/>
  <c r="AR17" i="21"/>
  <c r="AK17" i="21"/>
  <c r="AJ17" i="21"/>
  <c r="AH17" i="21"/>
  <c r="AG17" i="21"/>
  <c r="AF17" i="21"/>
  <c r="AE17" i="21"/>
  <c r="A17" i="21"/>
  <c r="AR16" i="21"/>
  <c r="AK16" i="21"/>
  <c r="AJ16" i="21"/>
  <c r="AH16" i="21"/>
  <c r="AG16" i="21"/>
  <c r="AF16" i="21"/>
  <c r="AE16" i="21"/>
  <c r="A16" i="21"/>
  <c r="AR15" i="21"/>
  <c r="AK15" i="21"/>
  <c r="AJ15" i="21"/>
  <c r="AH15" i="21"/>
  <c r="AG15" i="21"/>
  <c r="AF15" i="21"/>
  <c r="AE15" i="21"/>
  <c r="A15" i="21"/>
  <c r="AR14" i="21"/>
  <c r="AK14" i="21"/>
  <c r="AJ14" i="21"/>
  <c r="AH14" i="21"/>
  <c r="AG14" i="21"/>
  <c r="AF14" i="21"/>
  <c r="AE14" i="21"/>
  <c r="A14" i="21"/>
  <c r="AR13" i="21"/>
  <c r="AK13" i="21"/>
  <c r="AJ13" i="21"/>
  <c r="AH13" i="21"/>
  <c r="AG13" i="21"/>
  <c r="AF13" i="21"/>
  <c r="AE13" i="21"/>
  <c r="Y13" i="21"/>
  <c r="A13" i="21"/>
  <c r="AR12" i="21"/>
  <c r="AK12" i="21"/>
  <c r="AJ12" i="21"/>
  <c r="AH12" i="21"/>
  <c r="AG12" i="21"/>
  <c r="AF12" i="21"/>
  <c r="AE12" i="21"/>
  <c r="A12" i="21"/>
  <c r="AR11" i="21"/>
  <c r="AK11" i="21"/>
  <c r="AJ11" i="21"/>
  <c r="AH11" i="21"/>
  <c r="AG11" i="21"/>
  <c r="AF11" i="21"/>
  <c r="AE11" i="21"/>
  <c r="X11" i="21"/>
  <c r="A11" i="21"/>
  <c r="AR10" i="21"/>
  <c r="AK10" i="21"/>
  <c r="AJ10" i="21"/>
  <c r="AH10" i="21"/>
  <c r="AG10" i="21"/>
  <c r="AF10" i="21"/>
  <c r="AE10" i="21"/>
  <c r="A10" i="21"/>
  <c r="AR9" i="21"/>
  <c r="AK9" i="21"/>
  <c r="AJ9" i="21"/>
  <c r="AH9" i="21"/>
  <c r="AG9" i="21"/>
  <c r="AF9" i="21"/>
  <c r="AE9" i="21"/>
  <c r="A9" i="21"/>
  <c r="F29" i="8"/>
  <c r="F33" i="8"/>
  <c r="BV7" i="2"/>
  <c r="D32" i="8"/>
  <c r="D31" i="8"/>
  <c r="D30" i="8"/>
  <c r="F19" i="8"/>
  <c r="F26" i="8"/>
  <c r="BR7" i="4"/>
  <c r="F9" i="8"/>
  <c r="F12" i="8"/>
  <c r="Z4" i="20"/>
  <c r="AH4" i="20"/>
  <c r="Y29" i="3"/>
  <c r="Z5" i="20"/>
  <c r="AB5" i="20"/>
  <c r="X12" i="5"/>
  <c r="Z6" i="20"/>
  <c r="AA6" i="20"/>
  <c r="X33" i="3"/>
  <c r="DA33" i="3"/>
  <c r="Z8" i="20"/>
  <c r="AH8" i="20"/>
  <c r="Y17" i="3"/>
  <c r="DB17" i="3"/>
  <c r="Z9" i="20"/>
  <c r="X15" i="2"/>
  <c r="Z10" i="20"/>
  <c r="AH10" i="20"/>
  <c r="Y14" i="3"/>
  <c r="Z11" i="20"/>
  <c r="AA11" i="20"/>
  <c r="X36" i="3"/>
  <c r="DA36" i="3"/>
  <c r="Z13" i="20"/>
  <c r="AE13" i="20"/>
  <c r="X18" i="4"/>
  <c r="AB14" i="20"/>
  <c r="X13" i="5"/>
  <c r="Z15" i="20"/>
  <c r="AU15" i="20"/>
  <c r="Z22" i="2"/>
  <c r="Z16" i="20"/>
  <c r="AL16" i="20"/>
  <c r="Y25" i="4"/>
  <c r="AA17" i="20"/>
  <c r="X24" i="3"/>
  <c r="DA24" i="3"/>
  <c r="AB17" i="20"/>
  <c r="X24" i="5"/>
  <c r="AC17" i="20"/>
  <c r="X24" i="6"/>
  <c r="AE17" i="20"/>
  <c r="AH17" i="20"/>
  <c r="Y24" i="3"/>
  <c r="DB24" i="3"/>
  <c r="AI17" i="20"/>
  <c r="Y24" i="5"/>
  <c r="AJ17" i="20"/>
  <c r="Y24" i="6"/>
  <c r="AL17" i="20"/>
  <c r="Y24" i="4"/>
  <c r="Z18" i="20"/>
  <c r="AA18" i="20"/>
  <c r="X53" i="3"/>
  <c r="DA53" i="3"/>
  <c r="AA19" i="20"/>
  <c r="X30" i="3"/>
  <c r="DA30" i="3"/>
  <c r="AB19" i="20"/>
  <c r="X30" i="5"/>
  <c r="AC19" i="20"/>
  <c r="X30" i="6"/>
  <c r="AE19" i="20"/>
  <c r="X30" i="4"/>
  <c r="AH19" i="20"/>
  <c r="Y30" i="3"/>
  <c r="AI19" i="20"/>
  <c r="Y30" i="5"/>
  <c r="AJ19" i="20"/>
  <c r="Y30" i="6"/>
  <c r="AL19" i="20"/>
  <c r="Y30" i="4"/>
  <c r="Z23" i="20"/>
  <c r="AI23" i="20"/>
  <c r="Y52" i="5"/>
  <c r="Z24" i="20"/>
  <c r="AJ24" i="20"/>
  <c r="Y32" i="6"/>
  <c r="Z25" i="20"/>
  <c r="Z27" i="20"/>
  <c r="AB27" i="20"/>
  <c r="X28" i="5"/>
  <c r="Z28" i="20"/>
  <c r="AL28" i="20"/>
  <c r="Y41" i="4"/>
  <c r="Z29" i="20"/>
  <c r="AL29" i="20"/>
  <c r="Y43" i="4"/>
  <c r="Z30" i="20"/>
  <c r="AB30" i="20"/>
  <c r="X44" i="5"/>
  <c r="Z31" i="20"/>
  <c r="AI31" i="20"/>
  <c r="Y42" i="5"/>
  <c r="Z32" i="20"/>
  <c r="AB32" i="20"/>
  <c r="X39" i="5"/>
  <c r="Z33" i="20"/>
  <c r="AI33" i="20"/>
  <c r="Y38" i="5"/>
  <c r="Z34" i="20"/>
  <c r="AE34" i="20"/>
  <c r="X40" i="4"/>
  <c r="Z35" i="20"/>
  <c r="AB35" i="20"/>
  <c r="X27" i="5"/>
  <c r="Z36" i="20"/>
  <c r="AB36" i="20"/>
  <c r="X35" i="5"/>
  <c r="Z37" i="20"/>
  <c r="X45" i="2"/>
  <c r="Z38" i="20"/>
  <c r="AT38" i="20"/>
  <c r="Z52" i="1"/>
  <c r="Z39" i="20"/>
  <c r="AB39" i="20"/>
  <c r="X47" i="5"/>
  <c r="Z40" i="20"/>
  <c r="AA40" i="20"/>
  <c r="AU40" i="20"/>
  <c r="Z41" i="20"/>
  <c r="AE41" i="20"/>
  <c r="X49" i="4"/>
  <c r="Z43" i="20"/>
  <c r="AC43" i="20"/>
  <c r="X54" i="6"/>
  <c r="Z44" i="20"/>
  <c r="AL44" i="20"/>
  <c r="Z45" i="20"/>
  <c r="AL45" i="20"/>
  <c r="Y55" i="4"/>
  <c r="Z46" i="20"/>
  <c r="Z47" i="20"/>
  <c r="AL47" i="20"/>
  <c r="Y56" i="4"/>
  <c r="Z48" i="20"/>
  <c r="X57" i="2"/>
  <c r="Z49" i="20"/>
  <c r="AE49" i="20"/>
  <c r="X58" i="4"/>
  <c r="Z50" i="20"/>
  <c r="AI50" i="20"/>
  <c r="Y31" i="5"/>
  <c r="AH52" i="20"/>
  <c r="Z54" i="20"/>
  <c r="AL54" i="20"/>
  <c r="Y19" i="4"/>
  <c r="Z55" i="20"/>
  <c r="AI55" i="20"/>
  <c r="Y21" i="5"/>
  <c r="AC56" i="20"/>
  <c r="X37" i="6"/>
  <c r="AA57" i="20"/>
  <c r="X20" i="3"/>
  <c r="AB57" i="20"/>
  <c r="X20" i="5"/>
  <c r="AC57" i="20"/>
  <c r="X20" i="6"/>
  <c r="AE57" i="20"/>
  <c r="X20" i="4"/>
  <c r="AH57" i="20"/>
  <c r="Y20" i="3"/>
  <c r="DB20" i="3"/>
  <c r="AI57" i="20"/>
  <c r="Y20" i="5"/>
  <c r="AJ57" i="20"/>
  <c r="Y20" i="6"/>
  <c r="AL57" i="20"/>
  <c r="Y20" i="4"/>
  <c r="Z58" i="20"/>
  <c r="AB58" i="20"/>
  <c r="X26" i="5"/>
  <c r="Z59" i="20"/>
  <c r="AL59" i="20"/>
  <c r="Y23" i="4"/>
  <c r="D6" i="19"/>
  <c r="J56" i="4"/>
  <c r="D7" i="19"/>
  <c r="J30" i="1"/>
  <c r="D8" i="19"/>
  <c r="D9" i="19"/>
  <c r="J17" i="6"/>
  <c r="D10" i="19"/>
  <c r="J16" i="4"/>
  <c r="AL14" i="20"/>
  <c r="Y13" i="4"/>
  <c r="AA14" i="20"/>
  <c r="X13" i="3"/>
  <c r="DA13" i="3"/>
  <c r="AJ14" i="20"/>
  <c r="Y13" i="6"/>
  <c r="AH14" i="20"/>
  <c r="Y13" i="3"/>
  <c r="DB13" i="3"/>
  <c r="AI14" i="20"/>
  <c r="Y13" i="5"/>
  <c r="AE14" i="20"/>
  <c r="X13" i="4"/>
  <c r="AC14" i="20"/>
  <c r="X13" i="6"/>
  <c r="B3" i="13" a="1"/>
  <c r="B16" i="13"/>
  <c r="C3" i="13" a="1"/>
  <c r="D3" i="13" a="1"/>
  <c r="D21" i="13"/>
  <c r="D9" i="12"/>
  <c r="E9" i="12"/>
  <c r="F9" i="12"/>
  <c r="G9" i="12"/>
  <c r="H9" i="12"/>
  <c r="J9" i="12"/>
  <c r="K9" i="12"/>
  <c r="L9" i="12"/>
  <c r="M9" i="12"/>
  <c r="N9" i="12"/>
  <c r="A52" i="12"/>
  <c r="A98" i="12"/>
  <c r="D52" i="12"/>
  <c r="E52" i="12"/>
  <c r="C52" i="12" s="1"/>
  <c r="F52" i="12"/>
  <c r="G52" i="12"/>
  <c r="H52" i="12"/>
  <c r="D98" i="12"/>
  <c r="E98" i="12"/>
  <c r="F98" i="12"/>
  <c r="G98" i="12"/>
  <c r="H98" i="12"/>
  <c r="D176" i="12"/>
  <c r="E176" i="12"/>
  <c r="F176" i="12"/>
  <c r="G176" i="12"/>
  <c r="H176" i="12"/>
  <c r="D210" i="12"/>
  <c r="E210" i="12"/>
  <c r="F210" i="12"/>
  <c r="G210" i="12"/>
  <c r="H210" i="12"/>
  <c r="D244" i="12"/>
  <c r="E244" i="12"/>
  <c r="F244" i="12"/>
  <c r="G244" i="12"/>
  <c r="H244" i="12"/>
  <c r="D278" i="12"/>
  <c r="E278" i="12"/>
  <c r="F278" i="12"/>
  <c r="G278" i="12"/>
  <c r="H278" i="12"/>
  <c r="D8" i="11"/>
  <c r="E8" i="11"/>
  <c r="F8" i="11"/>
  <c r="G8" i="11"/>
  <c r="H8" i="11"/>
  <c r="A42" i="11"/>
  <c r="A76" i="11"/>
  <c r="A110" i="11"/>
  <c r="D42" i="11"/>
  <c r="E42" i="11"/>
  <c r="F42" i="11"/>
  <c r="F246" i="11"/>
  <c r="F212" i="11"/>
  <c r="F178" i="11"/>
  <c r="F144" i="11"/>
  <c r="F110" i="11"/>
  <c r="F76" i="11"/>
  <c r="G42" i="11"/>
  <c r="H42" i="11"/>
  <c r="D76" i="11"/>
  <c r="E76" i="11"/>
  <c r="G76" i="11"/>
  <c r="H76" i="11"/>
  <c r="D110" i="11"/>
  <c r="E110" i="11"/>
  <c r="G110" i="11"/>
  <c r="H110" i="11"/>
  <c r="D144" i="11"/>
  <c r="E144" i="11"/>
  <c r="G144" i="11"/>
  <c r="H144" i="11"/>
  <c r="D178" i="11"/>
  <c r="E178" i="11"/>
  <c r="G178" i="11"/>
  <c r="H178" i="11"/>
  <c r="D212" i="11"/>
  <c r="E212" i="11"/>
  <c r="G212" i="11"/>
  <c r="H212" i="11"/>
  <c r="D246" i="11"/>
  <c r="E246" i="11"/>
  <c r="G246" i="11"/>
  <c r="H246" i="11"/>
  <c r="D8" i="10"/>
  <c r="E8" i="10"/>
  <c r="F8" i="10"/>
  <c r="G8" i="10"/>
  <c r="H8" i="10"/>
  <c r="A42" i="10"/>
  <c r="A76" i="10"/>
  <c r="A110" i="10"/>
  <c r="A144" i="10"/>
  <c r="A178" i="10"/>
  <c r="A212" i="10"/>
  <c r="D42" i="10"/>
  <c r="E42" i="10"/>
  <c r="F42" i="10"/>
  <c r="G42" i="10"/>
  <c r="H42" i="10"/>
  <c r="D76" i="10"/>
  <c r="E76" i="10"/>
  <c r="F76" i="10"/>
  <c r="G76" i="10"/>
  <c r="H76" i="10"/>
  <c r="D110" i="10"/>
  <c r="E110" i="10"/>
  <c r="F110" i="10"/>
  <c r="G110" i="10"/>
  <c r="C110" i="10" s="1"/>
  <c r="H110" i="10"/>
  <c r="D144" i="10"/>
  <c r="E144" i="10"/>
  <c r="F144" i="10"/>
  <c r="G144" i="10"/>
  <c r="H144" i="10"/>
  <c r="D178" i="10"/>
  <c r="E178" i="10"/>
  <c r="F178" i="10"/>
  <c r="G178" i="10"/>
  <c r="H178" i="10"/>
  <c r="D212" i="10"/>
  <c r="E212" i="10"/>
  <c r="F212" i="10"/>
  <c r="G212" i="10"/>
  <c r="H212" i="10"/>
  <c r="D246" i="10"/>
  <c r="E246" i="10"/>
  <c r="F246" i="10"/>
  <c r="G246" i="10"/>
  <c r="H246" i="10"/>
  <c r="D8" i="9"/>
  <c r="E8" i="9"/>
  <c r="F8" i="9"/>
  <c r="G8" i="9"/>
  <c r="H8" i="9"/>
  <c r="A42" i="9"/>
  <c r="A76" i="9"/>
  <c r="A110" i="9"/>
  <c r="A144" i="9"/>
  <c r="A178" i="9"/>
  <c r="A212" i="9"/>
  <c r="A246" i="9"/>
  <c r="D42" i="9"/>
  <c r="E42" i="9"/>
  <c r="F42" i="9"/>
  <c r="G42" i="9"/>
  <c r="H42" i="9"/>
  <c r="D76" i="9"/>
  <c r="E76" i="9"/>
  <c r="F76" i="9"/>
  <c r="G76" i="9"/>
  <c r="H76" i="9"/>
  <c r="D110" i="9"/>
  <c r="E110" i="9"/>
  <c r="F110" i="9"/>
  <c r="G110" i="9"/>
  <c r="H110" i="9"/>
  <c r="D144" i="9"/>
  <c r="E144" i="9"/>
  <c r="F144" i="9"/>
  <c r="G144" i="9"/>
  <c r="G246" i="9"/>
  <c r="G212" i="9"/>
  <c r="G178" i="9"/>
  <c r="H144" i="9"/>
  <c r="D178" i="9"/>
  <c r="E178" i="9"/>
  <c r="F178" i="9"/>
  <c r="H178" i="9"/>
  <c r="D212" i="9"/>
  <c r="E212" i="9"/>
  <c r="F212" i="9"/>
  <c r="H212" i="9"/>
  <c r="D246" i="9"/>
  <c r="E246" i="9"/>
  <c r="F246" i="9"/>
  <c r="H246" i="9"/>
  <c r="D18" i="8"/>
  <c r="F27" i="8"/>
  <c r="D28" i="8"/>
  <c r="F35" i="8"/>
  <c r="BW7" i="4"/>
  <c r="F36" i="8"/>
  <c r="BX7" i="3"/>
  <c r="A9" i="6"/>
  <c r="X9" i="6"/>
  <c r="Y9" i="6"/>
  <c r="Z9" i="6"/>
  <c r="AA9" i="6"/>
  <c r="AE9" i="6"/>
  <c r="AF9" i="6"/>
  <c r="AG9" i="6"/>
  <c r="AH9" i="6"/>
  <c r="AJ9" i="6"/>
  <c r="AK9" i="6"/>
  <c r="AR9" i="6"/>
  <c r="A10" i="6"/>
  <c r="X10" i="6"/>
  <c r="Y10" i="6"/>
  <c r="Z10" i="6"/>
  <c r="AA10" i="6"/>
  <c r="AE10" i="6"/>
  <c r="AF10" i="6"/>
  <c r="AG10" i="6"/>
  <c r="AH10" i="6"/>
  <c r="AJ10" i="6"/>
  <c r="AK10" i="6"/>
  <c r="AR10" i="6"/>
  <c r="A11" i="6"/>
  <c r="X11" i="6"/>
  <c r="Y11" i="6"/>
  <c r="Z11" i="6"/>
  <c r="AA11" i="6"/>
  <c r="AE11" i="6"/>
  <c r="AF11" i="6"/>
  <c r="AG11" i="6"/>
  <c r="AH11" i="6"/>
  <c r="AJ11" i="6"/>
  <c r="AK11" i="6"/>
  <c r="AR11" i="6"/>
  <c r="A12" i="6"/>
  <c r="Z12" i="6"/>
  <c r="AA12" i="6"/>
  <c r="AE12" i="6"/>
  <c r="AF12" i="6"/>
  <c r="AG12" i="6"/>
  <c r="AH12" i="6"/>
  <c r="AJ12" i="6"/>
  <c r="AK12" i="6"/>
  <c r="AR12" i="6"/>
  <c r="A13" i="6"/>
  <c r="Z13" i="6"/>
  <c r="AA13" i="6"/>
  <c r="AE13" i="6"/>
  <c r="AF13" i="6"/>
  <c r="AG13" i="6"/>
  <c r="AH13" i="6"/>
  <c r="AJ13" i="6"/>
  <c r="AK13" i="6"/>
  <c r="AR13" i="6"/>
  <c r="A14" i="6"/>
  <c r="Z14" i="6"/>
  <c r="AA14" i="6"/>
  <c r="AE14" i="6"/>
  <c r="AF14" i="6"/>
  <c r="AG14" i="6"/>
  <c r="AH14" i="6"/>
  <c r="AJ14" i="6"/>
  <c r="AK14" i="6"/>
  <c r="AR14" i="6"/>
  <c r="A15" i="6"/>
  <c r="Z15" i="6"/>
  <c r="AA15" i="6"/>
  <c r="AE15" i="6"/>
  <c r="AF15" i="6"/>
  <c r="AG15" i="6"/>
  <c r="AH15" i="6"/>
  <c r="AJ15" i="6"/>
  <c r="AK15" i="6"/>
  <c r="AR15" i="6"/>
  <c r="A16" i="6"/>
  <c r="Z16" i="6"/>
  <c r="AA16" i="6"/>
  <c r="AE16" i="6"/>
  <c r="AF16" i="6"/>
  <c r="AG16" i="6"/>
  <c r="AH16" i="6"/>
  <c r="AJ16" i="6"/>
  <c r="AK16" i="6"/>
  <c r="AR16" i="6"/>
  <c r="A17" i="6"/>
  <c r="Z17" i="6"/>
  <c r="AA17" i="6"/>
  <c r="AE17" i="6"/>
  <c r="AF17" i="6"/>
  <c r="AG17" i="6"/>
  <c r="AH17" i="6"/>
  <c r="AJ17" i="6"/>
  <c r="AK17" i="6"/>
  <c r="AR17" i="6"/>
  <c r="A18" i="6"/>
  <c r="Z18" i="6"/>
  <c r="AA18" i="6"/>
  <c r="AE18" i="6"/>
  <c r="AF18" i="6"/>
  <c r="AG18" i="6"/>
  <c r="AH18" i="6"/>
  <c r="AJ18" i="6"/>
  <c r="AK18" i="6"/>
  <c r="AR18" i="6"/>
  <c r="A19" i="6"/>
  <c r="Z19" i="6"/>
  <c r="AA19" i="6"/>
  <c r="AE19" i="6"/>
  <c r="AF19" i="6"/>
  <c r="AG19" i="6"/>
  <c r="AH19" i="6"/>
  <c r="AJ19" i="6"/>
  <c r="AK19" i="6"/>
  <c r="AR19" i="6"/>
  <c r="A20" i="6"/>
  <c r="Z20" i="6"/>
  <c r="AA20" i="6"/>
  <c r="AE20" i="6"/>
  <c r="AF20" i="6"/>
  <c r="AG20" i="6"/>
  <c r="AH20" i="6"/>
  <c r="AJ20" i="6"/>
  <c r="AK20" i="6"/>
  <c r="AR20" i="6"/>
  <c r="A21" i="6"/>
  <c r="Z21" i="6"/>
  <c r="AA21" i="6"/>
  <c r="AE21" i="6"/>
  <c r="AF21" i="6"/>
  <c r="AG21" i="6"/>
  <c r="AH21" i="6"/>
  <c r="AJ21" i="6"/>
  <c r="AK21" i="6"/>
  <c r="AR21" i="6"/>
  <c r="A22" i="6"/>
  <c r="AA22" i="6"/>
  <c r="AE22" i="6"/>
  <c r="AF22" i="6"/>
  <c r="AG22" i="6"/>
  <c r="AH22" i="6"/>
  <c r="AJ22" i="6"/>
  <c r="AK22" i="6"/>
  <c r="AR22" i="6"/>
  <c r="A23" i="6"/>
  <c r="Z23" i="6"/>
  <c r="AA23" i="6"/>
  <c r="AE23" i="6"/>
  <c r="AF23" i="6"/>
  <c r="AG23" i="6"/>
  <c r="AH23" i="6"/>
  <c r="AJ23" i="6"/>
  <c r="AK23" i="6"/>
  <c r="AR23" i="6"/>
  <c r="A24" i="6"/>
  <c r="Z24" i="6"/>
  <c r="AA24" i="6"/>
  <c r="AE24" i="6"/>
  <c r="AF24" i="6"/>
  <c r="AG24" i="6"/>
  <c r="AH24" i="6"/>
  <c r="AJ24" i="6"/>
  <c r="AK24" i="6"/>
  <c r="AR24" i="6"/>
  <c r="A25" i="6"/>
  <c r="Z25" i="6"/>
  <c r="AA25" i="6"/>
  <c r="AE25" i="6"/>
  <c r="AF25" i="6"/>
  <c r="AG25" i="6"/>
  <c r="AH25" i="6"/>
  <c r="AJ25" i="6"/>
  <c r="AK25" i="6"/>
  <c r="AR25" i="6"/>
  <c r="A26" i="6"/>
  <c r="Z26" i="6"/>
  <c r="AA26" i="6"/>
  <c r="AE26" i="6"/>
  <c r="AF26" i="6"/>
  <c r="AG26" i="6"/>
  <c r="AH26" i="6"/>
  <c r="AJ26" i="6"/>
  <c r="AK26" i="6"/>
  <c r="AR26" i="6"/>
  <c r="A27" i="6"/>
  <c r="Z27" i="6"/>
  <c r="AA27" i="6"/>
  <c r="AE27" i="6"/>
  <c r="AF27" i="6"/>
  <c r="AG27" i="6"/>
  <c r="AH27" i="6"/>
  <c r="AJ27" i="6"/>
  <c r="AK27" i="6"/>
  <c r="AR27" i="6"/>
  <c r="A28" i="6"/>
  <c r="Z28" i="6"/>
  <c r="AA28" i="6"/>
  <c r="AE28" i="6"/>
  <c r="AF28" i="6"/>
  <c r="AG28" i="6"/>
  <c r="AH28" i="6"/>
  <c r="AJ28" i="6"/>
  <c r="AK28" i="6"/>
  <c r="AR28" i="6"/>
  <c r="A29" i="6"/>
  <c r="Z29" i="6"/>
  <c r="AA29" i="6"/>
  <c r="AE29" i="6"/>
  <c r="AF29" i="6"/>
  <c r="AG29" i="6"/>
  <c r="AH29" i="6"/>
  <c r="AJ29" i="6"/>
  <c r="AK29" i="6"/>
  <c r="AR29" i="6"/>
  <c r="A30" i="6"/>
  <c r="Z30" i="6"/>
  <c r="AA30" i="6"/>
  <c r="AE30" i="6"/>
  <c r="AF30" i="6"/>
  <c r="AG30" i="6"/>
  <c r="AH30" i="6"/>
  <c r="AJ30" i="6"/>
  <c r="AK30" i="6"/>
  <c r="AR30" i="6"/>
  <c r="A31" i="6"/>
  <c r="Z31" i="6"/>
  <c r="AA31" i="6"/>
  <c r="AE31" i="6"/>
  <c r="AF31" i="6"/>
  <c r="AG31" i="6"/>
  <c r="AH31" i="6"/>
  <c r="AJ31" i="6"/>
  <c r="AK31" i="6"/>
  <c r="AR31" i="6"/>
  <c r="A32" i="6"/>
  <c r="Z32" i="6"/>
  <c r="AA32" i="6"/>
  <c r="AE32" i="6"/>
  <c r="AF32" i="6"/>
  <c r="AG32" i="6"/>
  <c r="AH32" i="6"/>
  <c r="AJ32" i="6"/>
  <c r="AK32" i="6"/>
  <c r="AR32" i="6"/>
  <c r="A33" i="6"/>
  <c r="Z33" i="6"/>
  <c r="AA33" i="6"/>
  <c r="AE33" i="6"/>
  <c r="AF33" i="6"/>
  <c r="AG33" i="6"/>
  <c r="AH33" i="6"/>
  <c r="AJ33" i="6"/>
  <c r="AK33" i="6"/>
  <c r="AR33" i="6"/>
  <c r="A34" i="6"/>
  <c r="Z34" i="6"/>
  <c r="AA34" i="6"/>
  <c r="AE34" i="6"/>
  <c r="AF34" i="6"/>
  <c r="AG34" i="6"/>
  <c r="AH34" i="6"/>
  <c r="AJ34" i="6"/>
  <c r="AK34" i="6"/>
  <c r="AR34" i="6"/>
  <c r="A35" i="6"/>
  <c r="Z35" i="6"/>
  <c r="AA35" i="6"/>
  <c r="AE35" i="6"/>
  <c r="AF35" i="6"/>
  <c r="AG35" i="6"/>
  <c r="AH35" i="6"/>
  <c r="AJ35" i="6"/>
  <c r="AK35" i="6"/>
  <c r="AR35" i="6"/>
  <c r="A36" i="6"/>
  <c r="Z36" i="6"/>
  <c r="AA36" i="6"/>
  <c r="AE36" i="6"/>
  <c r="AF36" i="6"/>
  <c r="AG36" i="6"/>
  <c r="AH36" i="6"/>
  <c r="AJ36" i="6"/>
  <c r="AK36" i="6"/>
  <c r="AR36" i="6"/>
  <c r="A37" i="6"/>
  <c r="Z37" i="6"/>
  <c r="AA37" i="6"/>
  <c r="AE37" i="6"/>
  <c r="AF37" i="6"/>
  <c r="AG37" i="6"/>
  <c r="AH37" i="6"/>
  <c r="AJ37" i="6"/>
  <c r="AK37" i="6"/>
  <c r="AR37" i="6"/>
  <c r="A38" i="6"/>
  <c r="Z38" i="6"/>
  <c r="AA38" i="6"/>
  <c r="AE38" i="6"/>
  <c r="AF38" i="6"/>
  <c r="AG38" i="6"/>
  <c r="AH38" i="6"/>
  <c r="AJ38" i="6"/>
  <c r="AK38" i="6"/>
  <c r="AR38" i="6"/>
  <c r="A39" i="6"/>
  <c r="Z39" i="6"/>
  <c r="AA39" i="6"/>
  <c r="AE39" i="6"/>
  <c r="AF39" i="6"/>
  <c r="AG39" i="6"/>
  <c r="AH39" i="6"/>
  <c r="AJ39" i="6"/>
  <c r="AK39" i="6"/>
  <c r="AR39" i="6"/>
  <c r="A40" i="6"/>
  <c r="Z40" i="6"/>
  <c r="AA40" i="6"/>
  <c r="AE40" i="6"/>
  <c r="AF40" i="6"/>
  <c r="AG40" i="6"/>
  <c r="AH40" i="6"/>
  <c r="AJ40" i="6"/>
  <c r="AK40" i="6"/>
  <c r="AR40" i="6"/>
  <c r="A41" i="6"/>
  <c r="Z41" i="6"/>
  <c r="AA41" i="6"/>
  <c r="AE41" i="6"/>
  <c r="AF41" i="6"/>
  <c r="AG41" i="6"/>
  <c r="AH41" i="6"/>
  <c r="AJ41" i="6"/>
  <c r="AK41" i="6"/>
  <c r="AR41" i="6"/>
  <c r="A42" i="6"/>
  <c r="Z42" i="6"/>
  <c r="AA42" i="6"/>
  <c r="AE42" i="6"/>
  <c r="AF42" i="6"/>
  <c r="AG42" i="6"/>
  <c r="AH42" i="6"/>
  <c r="AJ42" i="6"/>
  <c r="AK42" i="6"/>
  <c r="AR42" i="6"/>
  <c r="A43" i="6"/>
  <c r="Z43" i="6"/>
  <c r="AA43" i="6"/>
  <c r="AE43" i="6"/>
  <c r="AF43" i="6"/>
  <c r="AG43" i="6"/>
  <c r="AH43" i="6"/>
  <c r="AJ43" i="6"/>
  <c r="AK43" i="6"/>
  <c r="AR43" i="6"/>
  <c r="A44" i="6"/>
  <c r="Z44" i="6"/>
  <c r="AA44" i="6"/>
  <c r="AE44" i="6"/>
  <c r="AF44" i="6"/>
  <c r="AG44" i="6"/>
  <c r="AH44" i="6"/>
  <c r="AJ44" i="6"/>
  <c r="AK44" i="6"/>
  <c r="AR44" i="6"/>
  <c r="A45" i="6"/>
  <c r="AA45" i="6"/>
  <c r="AE45" i="6"/>
  <c r="AF45" i="6"/>
  <c r="AG45" i="6"/>
  <c r="AH45" i="6"/>
  <c r="AJ45" i="6"/>
  <c r="AK45" i="6"/>
  <c r="AR45" i="6"/>
  <c r="A46" i="6"/>
  <c r="AA46" i="6"/>
  <c r="AE46" i="6"/>
  <c r="AF46" i="6"/>
  <c r="AG46" i="6"/>
  <c r="AH46" i="6"/>
  <c r="AJ46" i="6"/>
  <c r="AK46" i="6"/>
  <c r="AR46" i="6"/>
  <c r="A47" i="6"/>
  <c r="AA47" i="6"/>
  <c r="AE47" i="6"/>
  <c r="AF47" i="6"/>
  <c r="AG47" i="6"/>
  <c r="AH47" i="6"/>
  <c r="AJ47" i="6"/>
  <c r="AK47" i="6"/>
  <c r="AR47" i="6"/>
  <c r="A48" i="6"/>
  <c r="AA48" i="6"/>
  <c r="AE48" i="6"/>
  <c r="AF48" i="6"/>
  <c r="AG48" i="6"/>
  <c r="AH48" i="6"/>
  <c r="AJ48" i="6"/>
  <c r="AK48" i="6"/>
  <c r="AR48" i="6"/>
  <c r="A49" i="6"/>
  <c r="AA49" i="6"/>
  <c r="AE49" i="6"/>
  <c r="AF49" i="6"/>
  <c r="AG49" i="6"/>
  <c r="AH49" i="6"/>
  <c r="AJ49" i="6"/>
  <c r="AK49" i="6"/>
  <c r="AR49" i="6"/>
  <c r="A50" i="6"/>
  <c r="AA50" i="6"/>
  <c r="AE50" i="6"/>
  <c r="AF50" i="6"/>
  <c r="AG50" i="6"/>
  <c r="AH50" i="6"/>
  <c r="AJ50" i="6"/>
  <c r="AK50" i="6"/>
  <c r="AR50" i="6"/>
  <c r="A51" i="6"/>
  <c r="Z51" i="6"/>
  <c r="AA51" i="6"/>
  <c r="AE51" i="6"/>
  <c r="AF51" i="6"/>
  <c r="AG51" i="6"/>
  <c r="AH51" i="6"/>
  <c r="AJ51" i="6"/>
  <c r="AK51" i="6"/>
  <c r="AR51" i="6"/>
  <c r="A52" i="6"/>
  <c r="Z52" i="6"/>
  <c r="AA52" i="6"/>
  <c r="AE52" i="6"/>
  <c r="AF52" i="6"/>
  <c r="AG52" i="6"/>
  <c r="AH52" i="6"/>
  <c r="AJ52" i="6"/>
  <c r="AK52" i="6"/>
  <c r="AR52" i="6"/>
  <c r="A53" i="6"/>
  <c r="Z53" i="6"/>
  <c r="AA53" i="6"/>
  <c r="AE53" i="6"/>
  <c r="AF53" i="6"/>
  <c r="AG53" i="6"/>
  <c r="AH53" i="6"/>
  <c r="AJ53" i="6"/>
  <c r="AK53" i="6"/>
  <c r="AR53" i="6"/>
  <c r="A54" i="6"/>
  <c r="Z54" i="6"/>
  <c r="AA54" i="6"/>
  <c r="AE54" i="6"/>
  <c r="AF54" i="6"/>
  <c r="AG54" i="6"/>
  <c r="AH54" i="6"/>
  <c r="AJ54" i="6"/>
  <c r="AK54" i="6"/>
  <c r="AR54" i="6"/>
  <c r="A55" i="6"/>
  <c r="Z55" i="6"/>
  <c r="AA55" i="6"/>
  <c r="AE55" i="6"/>
  <c r="AF55" i="6"/>
  <c r="AG55" i="6"/>
  <c r="AH55" i="6"/>
  <c r="AJ55" i="6"/>
  <c r="AK55" i="6"/>
  <c r="AR55" i="6"/>
  <c r="A56" i="6"/>
  <c r="Z56" i="6"/>
  <c r="AA56" i="6"/>
  <c r="AE56" i="6"/>
  <c r="AF56" i="6"/>
  <c r="AG56" i="6"/>
  <c r="AH56" i="6"/>
  <c r="AJ56" i="6"/>
  <c r="AK56" i="6"/>
  <c r="AR56" i="6"/>
  <c r="A57" i="6"/>
  <c r="Z57" i="6"/>
  <c r="AA57" i="6"/>
  <c r="AE57" i="6"/>
  <c r="AF57" i="6"/>
  <c r="AG57" i="6"/>
  <c r="AH57" i="6"/>
  <c r="AJ57" i="6"/>
  <c r="AK57" i="6"/>
  <c r="AR57" i="6"/>
  <c r="A58" i="6"/>
  <c r="Z58" i="6"/>
  <c r="AA58" i="6"/>
  <c r="AE58" i="6"/>
  <c r="AF58" i="6"/>
  <c r="AG58" i="6"/>
  <c r="AH58" i="6"/>
  <c r="AJ58" i="6"/>
  <c r="AK58" i="6"/>
  <c r="AR58" i="6"/>
  <c r="A9" i="5"/>
  <c r="X9" i="5"/>
  <c r="Y9" i="5"/>
  <c r="Z9" i="5"/>
  <c r="AA9" i="5"/>
  <c r="AE9" i="5"/>
  <c r="AF9" i="5"/>
  <c r="AG9" i="5"/>
  <c r="AH9" i="5"/>
  <c r="AJ9" i="5"/>
  <c r="AK9" i="5"/>
  <c r="AR9" i="5"/>
  <c r="A10" i="5"/>
  <c r="X10" i="5"/>
  <c r="Y10" i="5"/>
  <c r="Z10" i="5"/>
  <c r="AA10" i="5"/>
  <c r="AE10" i="5"/>
  <c r="AF10" i="5"/>
  <c r="AG10" i="5"/>
  <c r="AH10" i="5"/>
  <c r="AJ10" i="5"/>
  <c r="AK10" i="5"/>
  <c r="AR10" i="5"/>
  <c r="A11" i="5"/>
  <c r="X11" i="5"/>
  <c r="Y11" i="5"/>
  <c r="Z11" i="5"/>
  <c r="AA11" i="5"/>
  <c r="AE11" i="5"/>
  <c r="AF11" i="5"/>
  <c r="AG11" i="5"/>
  <c r="AH11" i="5"/>
  <c r="AJ11" i="5"/>
  <c r="AK11" i="5"/>
  <c r="AR11" i="5"/>
  <c r="A12" i="5"/>
  <c r="Z12" i="5"/>
  <c r="AA12" i="5"/>
  <c r="AE12" i="5"/>
  <c r="AF12" i="5"/>
  <c r="AG12" i="5"/>
  <c r="AH12" i="5"/>
  <c r="AJ12" i="5"/>
  <c r="AK12" i="5"/>
  <c r="AR12" i="5"/>
  <c r="A13" i="5"/>
  <c r="Z13" i="5"/>
  <c r="AA13" i="5"/>
  <c r="AE13" i="5"/>
  <c r="AF13" i="5"/>
  <c r="AG13" i="5"/>
  <c r="AH13" i="5"/>
  <c r="AJ13" i="5"/>
  <c r="AK13" i="5"/>
  <c r="AR13" i="5"/>
  <c r="A14" i="5"/>
  <c r="Z14" i="5"/>
  <c r="AA14" i="5"/>
  <c r="AE14" i="5"/>
  <c r="AF14" i="5"/>
  <c r="AG14" i="5"/>
  <c r="AH14" i="5"/>
  <c r="AJ14" i="5"/>
  <c r="AK14" i="5"/>
  <c r="AR14" i="5"/>
  <c r="A15" i="5"/>
  <c r="Z15" i="5"/>
  <c r="AA15" i="5"/>
  <c r="AE15" i="5"/>
  <c r="AF15" i="5"/>
  <c r="AG15" i="5"/>
  <c r="AH15" i="5"/>
  <c r="AJ15" i="5"/>
  <c r="AK15" i="5"/>
  <c r="AR15" i="5"/>
  <c r="A16" i="5"/>
  <c r="Z16" i="5"/>
  <c r="AA16" i="5"/>
  <c r="AE16" i="5"/>
  <c r="AF16" i="5"/>
  <c r="AG16" i="5"/>
  <c r="AH16" i="5"/>
  <c r="AJ16" i="5"/>
  <c r="AK16" i="5"/>
  <c r="AR16" i="5"/>
  <c r="A17" i="5"/>
  <c r="Z17" i="5"/>
  <c r="AA17" i="5"/>
  <c r="AE17" i="5"/>
  <c r="AF17" i="5"/>
  <c r="AG17" i="5"/>
  <c r="AH17" i="5"/>
  <c r="AJ17" i="5"/>
  <c r="AK17" i="5"/>
  <c r="AR17" i="5"/>
  <c r="A18" i="5"/>
  <c r="Z18" i="5"/>
  <c r="AA18" i="5"/>
  <c r="AE18" i="5"/>
  <c r="AF18" i="5"/>
  <c r="AG18" i="5"/>
  <c r="AH18" i="5"/>
  <c r="AJ18" i="5"/>
  <c r="AK18" i="5"/>
  <c r="AR18" i="5"/>
  <c r="A19" i="5"/>
  <c r="Z19" i="5"/>
  <c r="AA19" i="5"/>
  <c r="AE19" i="5"/>
  <c r="AF19" i="5"/>
  <c r="AG19" i="5"/>
  <c r="AH19" i="5"/>
  <c r="AJ19" i="5"/>
  <c r="AK19" i="5"/>
  <c r="AR19" i="5"/>
  <c r="A20" i="5"/>
  <c r="Z20" i="5"/>
  <c r="AA20" i="5"/>
  <c r="AE20" i="5"/>
  <c r="AF20" i="5"/>
  <c r="AG20" i="5"/>
  <c r="AH20" i="5"/>
  <c r="AJ20" i="5"/>
  <c r="AK20" i="5"/>
  <c r="AR20" i="5"/>
  <c r="A21" i="5"/>
  <c r="Z21" i="5"/>
  <c r="AA21" i="5"/>
  <c r="AE21" i="5"/>
  <c r="AF21" i="5"/>
  <c r="AG21" i="5"/>
  <c r="AH21" i="5"/>
  <c r="AJ21" i="5"/>
  <c r="AK21" i="5"/>
  <c r="AR21" i="5"/>
  <c r="A22" i="5"/>
  <c r="AA22" i="5"/>
  <c r="AE22" i="5"/>
  <c r="AF22" i="5"/>
  <c r="AG22" i="5"/>
  <c r="AH22" i="5"/>
  <c r="AJ22" i="5"/>
  <c r="AK22" i="5"/>
  <c r="AR22" i="5"/>
  <c r="A23" i="5"/>
  <c r="Z23" i="5"/>
  <c r="AA23" i="5"/>
  <c r="AE23" i="5"/>
  <c r="AF23" i="5"/>
  <c r="AG23" i="5"/>
  <c r="AH23" i="5"/>
  <c r="AJ23" i="5"/>
  <c r="AK23" i="5"/>
  <c r="AR23" i="5"/>
  <c r="A24" i="5"/>
  <c r="Z24" i="5"/>
  <c r="AA24" i="5"/>
  <c r="AE24" i="5"/>
  <c r="AF24" i="5"/>
  <c r="AG24" i="5"/>
  <c r="AH24" i="5"/>
  <c r="AJ24" i="5"/>
  <c r="AK24" i="5"/>
  <c r="AR24" i="5"/>
  <c r="A25" i="5"/>
  <c r="Z25" i="5"/>
  <c r="AA25" i="5"/>
  <c r="AE25" i="5"/>
  <c r="AF25" i="5"/>
  <c r="AG25" i="5"/>
  <c r="AH25" i="5"/>
  <c r="AJ25" i="5"/>
  <c r="AK25" i="5"/>
  <c r="AR25" i="5"/>
  <c r="A26" i="5"/>
  <c r="Z26" i="5"/>
  <c r="AA26" i="5"/>
  <c r="AE26" i="5"/>
  <c r="AF26" i="5"/>
  <c r="AG26" i="5"/>
  <c r="AH26" i="5"/>
  <c r="AJ26" i="5"/>
  <c r="AK26" i="5"/>
  <c r="AR26" i="5"/>
  <c r="A27" i="5"/>
  <c r="Z27" i="5"/>
  <c r="AA27" i="5"/>
  <c r="AE27" i="5"/>
  <c r="AF27" i="5"/>
  <c r="AG27" i="5"/>
  <c r="AH27" i="5"/>
  <c r="AJ27" i="5"/>
  <c r="AK27" i="5"/>
  <c r="AR27" i="5"/>
  <c r="A28" i="5"/>
  <c r="Z28" i="5"/>
  <c r="AA28" i="5"/>
  <c r="AE28" i="5"/>
  <c r="AF28" i="5"/>
  <c r="AG28" i="5"/>
  <c r="AH28" i="5"/>
  <c r="AJ28" i="5"/>
  <c r="AK28" i="5"/>
  <c r="AR28" i="5"/>
  <c r="A29" i="5"/>
  <c r="Z29" i="5"/>
  <c r="AA29" i="5"/>
  <c r="AE29" i="5"/>
  <c r="AF29" i="5"/>
  <c r="AG29" i="5"/>
  <c r="AH29" i="5"/>
  <c r="AJ29" i="5"/>
  <c r="AK29" i="5"/>
  <c r="AR29" i="5"/>
  <c r="A30" i="5"/>
  <c r="Z30" i="5"/>
  <c r="AA30" i="5"/>
  <c r="AE30" i="5"/>
  <c r="AF30" i="5"/>
  <c r="AG30" i="5"/>
  <c r="AH30" i="5"/>
  <c r="AJ30" i="5"/>
  <c r="AK30" i="5"/>
  <c r="AR30" i="5"/>
  <c r="A31" i="5"/>
  <c r="Z31" i="5"/>
  <c r="AA31" i="5"/>
  <c r="AE31" i="5"/>
  <c r="AF31" i="5"/>
  <c r="AG31" i="5"/>
  <c r="AH31" i="5"/>
  <c r="AJ31" i="5"/>
  <c r="AK31" i="5"/>
  <c r="AR31" i="5"/>
  <c r="A32" i="5"/>
  <c r="Z32" i="5"/>
  <c r="AA32" i="5"/>
  <c r="AE32" i="5"/>
  <c r="AF32" i="5"/>
  <c r="AG32" i="5"/>
  <c r="AH32" i="5"/>
  <c r="AJ32" i="5"/>
  <c r="AK32" i="5"/>
  <c r="AR32" i="5"/>
  <c r="A33" i="5"/>
  <c r="Z33" i="5"/>
  <c r="AA33" i="5"/>
  <c r="AE33" i="5"/>
  <c r="AF33" i="5"/>
  <c r="AG33" i="5"/>
  <c r="AH33" i="5"/>
  <c r="AJ33" i="5"/>
  <c r="AK33" i="5"/>
  <c r="AR33" i="5"/>
  <c r="A34" i="5"/>
  <c r="Z34" i="5"/>
  <c r="AA34" i="5"/>
  <c r="AE34" i="5"/>
  <c r="AF34" i="5"/>
  <c r="AG34" i="5"/>
  <c r="AH34" i="5"/>
  <c r="AJ34" i="5"/>
  <c r="AK34" i="5"/>
  <c r="AR34" i="5"/>
  <c r="A35" i="5"/>
  <c r="Z35" i="5"/>
  <c r="AA35" i="5"/>
  <c r="AE35" i="5"/>
  <c r="AF35" i="5"/>
  <c r="AG35" i="5"/>
  <c r="AH35" i="5"/>
  <c r="AJ35" i="5"/>
  <c r="AK35" i="5"/>
  <c r="AR35" i="5"/>
  <c r="A36" i="5"/>
  <c r="Z36" i="5"/>
  <c r="AA36" i="5"/>
  <c r="AE36" i="5"/>
  <c r="AF36" i="5"/>
  <c r="AG36" i="5"/>
  <c r="AH36" i="5"/>
  <c r="AJ36" i="5"/>
  <c r="AK36" i="5"/>
  <c r="AR36" i="5"/>
  <c r="A37" i="5"/>
  <c r="Z37" i="5"/>
  <c r="AA37" i="5"/>
  <c r="AE37" i="5"/>
  <c r="AF37" i="5"/>
  <c r="AG37" i="5"/>
  <c r="AH37" i="5"/>
  <c r="AJ37" i="5"/>
  <c r="AK37" i="5"/>
  <c r="AR37" i="5"/>
  <c r="A38" i="5"/>
  <c r="Z38" i="5"/>
  <c r="AA38" i="5"/>
  <c r="AE38" i="5"/>
  <c r="AF38" i="5"/>
  <c r="AG38" i="5"/>
  <c r="AH38" i="5"/>
  <c r="AJ38" i="5"/>
  <c r="AK38" i="5"/>
  <c r="AR38" i="5"/>
  <c r="A39" i="5"/>
  <c r="Z39" i="5"/>
  <c r="AA39" i="5"/>
  <c r="AE39" i="5"/>
  <c r="AF39" i="5"/>
  <c r="AG39" i="5"/>
  <c r="AH39" i="5"/>
  <c r="AJ39" i="5"/>
  <c r="AK39" i="5"/>
  <c r="AR39" i="5"/>
  <c r="A40" i="5"/>
  <c r="Z40" i="5"/>
  <c r="AA40" i="5"/>
  <c r="AE40" i="5"/>
  <c r="AF40" i="5"/>
  <c r="AG40" i="5"/>
  <c r="AH40" i="5"/>
  <c r="AJ40" i="5"/>
  <c r="AK40" i="5"/>
  <c r="AR40" i="5"/>
  <c r="A41" i="5"/>
  <c r="Z41" i="5"/>
  <c r="AA41" i="5"/>
  <c r="AE41" i="5"/>
  <c r="AF41" i="5"/>
  <c r="AG41" i="5"/>
  <c r="AH41" i="5"/>
  <c r="AJ41" i="5"/>
  <c r="AK41" i="5"/>
  <c r="AR41" i="5"/>
  <c r="A42" i="5"/>
  <c r="Z42" i="5"/>
  <c r="AA42" i="5"/>
  <c r="AE42" i="5"/>
  <c r="AF42" i="5"/>
  <c r="AG42" i="5"/>
  <c r="AH42" i="5"/>
  <c r="AJ42" i="5"/>
  <c r="AK42" i="5"/>
  <c r="AR42" i="5"/>
  <c r="A43" i="5"/>
  <c r="Z43" i="5"/>
  <c r="AA43" i="5"/>
  <c r="AE43" i="5"/>
  <c r="AF43" i="5"/>
  <c r="AG43" i="5"/>
  <c r="AH43" i="5"/>
  <c r="AJ43" i="5"/>
  <c r="AK43" i="5"/>
  <c r="AR43" i="5"/>
  <c r="A44" i="5"/>
  <c r="Z44" i="5"/>
  <c r="AA44" i="5"/>
  <c r="AE44" i="5"/>
  <c r="AF44" i="5"/>
  <c r="AG44" i="5"/>
  <c r="AH44" i="5"/>
  <c r="AJ44" i="5"/>
  <c r="AK44" i="5"/>
  <c r="AR44" i="5"/>
  <c r="A45" i="5"/>
  <c r="AA45" i="5"/>
  <c r="AE45" i="5"/>
  <c r="AF45" i="5"/>
  <c r="AG45" i="5"/>
  <c r="AH45" i="5"/>
  <c r="AJ45" i="5"/>
  <c r="AK45" i="5"/>
  <c r="AR45" i="5"/>
  <c r="A46" i="5"/>
  <c r="AA46" i="5"/>
  <c r="AE46" i="5"/>
  <c r="AF46" i="5"/>
  <c r="AG46" i="5"/>
  <c r="AH46" i="5"/>
  <c r="AJ46" i="5"/>
  <c r="AK46" i="5"/>
  <c r="AR46" i="5"/>
  <c r="A47" i="5"/>
  <c r="AA47" i="5"/>
  <c r="AE47" i="5"/>
  <c r="AF47" i="5"/>
  <c r="AG47" i="5"/>
  <c r="AH47" i="5"/>
  <c r="AJ47" i="5"/>
  <c r="AK47" i="5"/>
  <c r="AR47" i="5"/>
  <c r="A48" i="5"/>
  <c r="AA48" i="5"/>
  <c r="AE48" i="5"/>
  <c r="AF48" i="5"/>
  <c r="AG48" i="5"/>
  <c r="AH48" i="5"/>
  <c r="AJ48" i="5"/>
  <c r="AK48" i="5"/>
  <c r="AR48" i="5"/>
  <c r="A49" i="5"/>
  <c r="AA49" i="5"/>
  <c r="AE49" i="5"/>
  <c r="AF49" i="5"/>
  <c r="AG49" i="5"/>
  <c r="AH49" i="5"/>
  <c r="AJ49" i="5"/>
  <c r="AK49" i="5"/>
  <c r="AR49" i="5"/>
  <c r="A50" i="5"/>
  <c r="AA50" i="5"/>
  <c r="AE50" i="5"/>
  <c r="AF50" i="5"/>
  <c r="AG50" i="5"/>
  <c r="AH50" i="5"/>
  <c r="AJ50" i="5"/>
  <c r="AK50" i="5"/>
  <c r="AR50" i="5"/>
  <c r="A51" i="5"/>
  <c r="Z51" i="5"/>
  <c r="AA51" i="5"/>
  <c r="AE51" i="5"/>
  <c r="AF51" i="5"/>
  <c r="AG51" i="5"/>
  <c r="AH51" i="5"/>
  <c r="AJ51" i="5"/>
  <c r="AK51" i="5"/>
  <c r="AR51" i="5"/>
  <c r="A52" i="5"/>
  <c r="Z52" i="5"/>
  <c r="AA52" i="5"/>
  <c r="AE52" i="5"/>
  <c r="AF52" i="5"/>
  <c r="AG52" i="5"/>
  <c r="AH52" i="5"/>
  <c r="AJ52" i="5"/>
  <c r="AK52" i="5"/>
  <c r="AR52" i="5"/>
  <c r="A53" i="5"/>
  <c r="Z53" i="5"/>
  <c r="AA53" i="5"/>
  <c r="AE53" i="5"/>
  <c r="AF53" i="5"/>
  <c r="AG53" i="5"/>
  <c r="AH53" i="5"/>
  <c r="AJ53" i="5"/>
  <c r="AK53" i="5"/>
  <c r="AR53" i="5"/>
  <c r="A54" i="5"/>
  <c r="Z54" i="5"/>
  <c r="AA54" i="5"/>
  <c r="AE54" i="5"/>
  <c r="AF54" i="5"/>
  <c r="AG54" i="5"/>
  <c r="AH54" i="5"/>
  <c r="AJ54" i="5"/>
  <c r="AK54" i="5"/>
  <c r="AR54" i="5"/>
  <c r="A55" i="5"/>
  <c r="Z55" i="5"/>
  <c r="AA55" i="5"/>
  <c r="AE55" i="5"/>
  <c r="AF55" i="5"/>
  <c r="AG55" i="5"/>
  <c r="AH55" i="5"/>
  <c r="AJ55" i="5"/>
  <c r="AK55" i="5"/>
  <c r="AR55" i="5"/>
  <c r="A56" i="5"/>
  <c r="Z56" i="5"/>
  <c r="AA56" i="5"/>
  <c r="AE56" i="5"/>
  <c r="AF56" i="5"/>
  <c r="AG56" i="5"/>
  <c r="AH56" i="5"/>
  <c r="AJ56" i="5"/>
  <c r="AK56" i="5"/>
  <c r="AR56" i="5"/>
  <c r="A57" i="5"/>
  <c r="Z57" i="5"/>
  <c r="AA57" i="5"/>
  <c r="AE57" i="5"/>
  <c r="AF57" i="5"/>
  <c r="AG57" i="5"/>
  <c r="AH57" i="5"/>
  <c r="AJ57" i="5"/>
  <c r="AK57" i="5"/>
  <c r="AR57" i="5"/>
  <c r="A58" i="5"/>
  <c r="Z58" i="5"/>
  <c r="AA58" i="5"/>
  <c r="AE58" i="5"/>
  <c r="AF58" i="5"/>
  <c r="AG58" i="5"/>
  <c r="AH58" i="5"/>
  <c r="AJ58" i="5"/>
  <c r="AK58" i="5"/>
  <c r="AR58" i="5"/>
  <c r="A9" i="4"/>
  <c r="X9" i="4"/>
  <c r="Y9" i="4"/>
  <c r="Z9" i="4"/>
  <c r="AA9" i="4"/>
  <c r="AE9" i="4"/>
  <c r="AF9" i="4"/>
  <c r="AG9" i="4"/>
  <c r="AH9" i="4"/>
  <c r="AJ9" i="4"/>
  <c r="AK9" i="4"/>
  <c r="AR9" i="4"/>
  <c r="A10" i="4"/>
  <c r="X10" i="4"/>
  <c r="Y10" i="4"/>
  <c r="Z10" i="4"/>
  <c r="AA10" i="4"/>
  <c r="AE10" i="4"/>
  <c r="AF10" i="4"/>
  <c r="AG10" i="4"/>
  <c r="AH10" i="4"/>
  <c r="AJ10" i="4"/>
  <c r="AK10" i="4"/>
  <c r="AR10" i="4"/>
  <c r="A11" i="4"/>
  <c r="X11" i="4"/>
  <c r="Y11" i="4"/>
  <c r="Z11" i="4"/>
  <c r="AA11" i="4"/>
  <c r="AE11" i="4"/>
  <c r="AF11" i="4"/>
  <c r="AG11" i="4"/>
  <c r="AH11" i="4"/>
  <c r="AJ11" i="4"/>
  <c r="AK11" i="4"/>
  <c r="AR11" i="4"/>
  <c r="A12" i="4"/>
  <c r="Z12" i="4"/>
  <c r="AA12" i="4"/>
  <c r="AE12" i="4"/>
  <c r="AF12" i="4"/>
  <c r="AG12" i="4"/>
  <c r="AH12" i="4"/>
  <c r="AJ12" i="4"/>
  <c r="AK12" i="4"/>
  <c r="AR12" i="4"/>
  <c r="A13" i="4"/>
  <c r="Z13" i="4"/>
  <c r="AA13" i="4"/>
  <c r="AE13" i="4"/>
  <c r="AF13" i="4"/>
  <c r="AG13" i="4"/>
  <c r="AH13" i="4"/>
  <c r="AJ13" i="4"/>
  <c r="AK13" i="4"/>
  <c r="AR13" i="4"/>
  <c r="A14" i="4"/>
  <c r="Z14" i="4"/>
  <c r="AA14" i="4"/>
  <c r="AE14" i="4"/>
  <c r="AF14" i="4"/>
  <c r="AG14" i="4"/>
  <c r="AH14" i="4"/>
  <c r="AJ14" i="4"/>
  <c r="AK14" i="4"/>
  <c r="AR14" i="4"/>
  <c r="A15" i="4"/>
  <c r="Z15" i="4"/>
  <c r="AA15" i="4"/>
  <c r="AE15" i="4"/>
  <c r="AF15" i="4"/>
  <c r="AG15" i="4"/>
  <c r="AH15" i="4"/>
  <c r="AJ15" i="4"/>
  <c r="AK15" i="4"/>
  <c r="AR15" i="4"/>
  <c r="A16" i="4"/>
  <c r="Z16" i="4"/>
  <c r="AA16" i="4"/>
  <c r="AE16" i="4"/>
  <c r="AF16" i="4"/>
  <c r="AG16" i="4"/>
  <c r="AH16" i="4"/>
  <c r="AJ16" i="4"/>
  <c r="AK16" i="4"/>
  <c r="AR16" i="4"/>
  <c r="A17" i="4"/>
  <c r="Z17" i="4"/>
  <c r="AA17" i="4"/>
  <c r="AE17" i="4"/>
  <c r="AF17" i="4"/>
  <c r="AG17" i="4"/>
  <c r="AH17" i="4"/>
  <c r="AJ17" i="4"/>
  <c r="AK17" i="4"/>
  <c r="AR17" i="4"/>
  <c r="A18" i="4"/>
  <c r="Z18" i="4"/>
  <c r="AA18" i="4"/>
  <c r="AE18" i="4"/>
  <c r="AF18" i="4"/>
  <c r="AG18" i="4"/>
  <c r="AH18" i="4"/>
  <c r="AJ18" i="4"/>
  <c r="AK18" i="4"/>
  <c r="AR18" i="4"/>
  <c r="A19" i="4"/>
  <c r="Z19" i="4"/>
  <c r="AA19" i="4"/>
  <c r="AE19" i="4"/>
  <c r="AF19" i="4"/>
  <c r="AG19" i="4"/>
  <c r="AH19" i="4"/>
  <c r="AJ19" i="4"/>
  <c r="AK19" i="4"/>
  <c r="AR19" i="4"/>
  <c r="A20" i="4"/>
  <c r="Z20" i="4"/>
  <c r="AA20" i="4"/>
  <c r="AE20" i="4"/>
  <c r="AF20" i="4"/>
  <c r="AG20" i="4"/>
  <c r="AH20" i="4"/>
  <c r="AJ20" i="4"/>
  <c r="AK20" i="4"/>
  <c r="AR20" i="4"/>
  <c r="A21" i="4"/>
  <c r="Z21" i="4"/>
  <c r="AA21" i="4"/>
  <c r="AE21" i="4"/>
  <c r="AF21" i="4"/>
  <c r="AG21" i="4"/>
  <c r="AH21" i="4"/>
  <c r="AJ21" i="4"/>
  <c r="AK21" i="4"/>
  <c r="AR21" i="4"/>
  <c r="A22" i="4"/>
  <c r="AA22" i="4"/>
  <c r="AE22" i="4"/>
  <c r="AF22" i="4"/>
  <c r="AG22" i="4"/>
  <c r="AH22" i="4"/>
  <c r="AJ22" i="4"/>
  <c r="AK22" i="4"/>
  <c r="AR22" i="4"/>
  <c r="A23" i="4"/>
  <c r="Z23" i="4"/>
  <c r="AA23" i="4"/>
  <c r="AE23" i="4"/>
  <c r="AF23" i="4"/>
  <c r="AG23" i="4"/>
  <c r="AH23" i="4"/>
  <c r="AJ23" i="4"/>
  <c r="AK23" i="4"/>
  <c r="AR23" i="4"/>
  <c r="A24" i="4"/>
  <c r="X24" i="4"/>
  <c r="Z24" i="4"/>
  <c r="AA24" i="4"/>
  <c r="AE24" i="4"/>
  <c r="AF24" i="4"/>
  <c r="AG24" i="4"/>
  <c r="AH24" i="4"/>
  <c r="AJ24" i="4"/>
  <c r="AK24" i="4"/>
  <c r="AR24" i="4"/>
  <c r="A25" i="4"/>
  <c r="Z25" i="4"/>
  <c r="AA25" i="4"/>
  <c r="AE25" i="4"/>
  <c r="AF25" i="4"/>
  <c r="AG25" i="4"/>
  <c r="AH25" i="4"/>
  <c r="AJ25" i="4"/>
  <c r="AK25" i="4"/>
  <c r="AR25" i="4"/>
  <c r="A26" i="4"/>
  <c r="Z26" i="4"/>
  <c r="AA26" i="4"/>
  <c r="AE26" i="4"/>
  <c r="AF26" i="4"/>
  <c r="AG26" i="4"/>
  <c r="AH26" i="4"/>
  <c r="AJ26" i="4"/>
  <c r="AK26" i="4"/>
  <c r="AR26" i="4"/>
  <c r="A27" i="4"/>
  <c r="Z27" i="4"/>
  <c r="AA27" i="4"/>
  <c r="AE27" i="4"/>
  <c r="AF27" i="4"/>
  <c r="AG27" i="4"/>
  <c r="AH27" i="4"/>
  <c r="AJ27" i="4"/>
  <c r="AK27" i="4"/>
  <c r="AR27" i="4"/>
  <c r="A28" i="4"/>
  <c r="Z28" i="4"/>
  <c r="AA28" i="4"/>
  <c r="AE28" i="4"/>
  <c r="AF28" i="4"/>
  <c r="AG28" i="4"/>
  <c r="AH28" i="4"/>
  <c r="AJ28" i="4"/>
  <c r="AK28" i="4"/>
  <c r="AR28" i="4"/>
  <c r="A29" i="4"/>
  <c r="Z29" i="4"/>
  <c r="AA29" i="4"/>
  <c r="AE29" i="4"/>
  <c r="AF29" i="4"/>
  <c r="AG29" i="4"/>
  <c r="AH29" i="4"/>
  <c r="AJ29" i="4"/>
  <c r="AK29" i="4"/>
  <c r="AR29" i="4"/>
  <c r="A30" i="4"/>
  <c r="Z30" i="4"/>
  <c r="AA30" i="4"/>
  <c r="AE30" i="4"/>
  <c r="AF30" i="4"/>
  <c r="AG30" i="4"/>
  <c r="AH30" i="4"/>
  <c r="AJ30" i="4"/>
  <c r="AK30" i="4"/>
  <c r="AR30" i="4"/>
  <c r="A31" i="4"/>
  <c r="Z31" i="4"/>
  <c r="AA31" i="4"/>
  <c r="AE31" i="4"/>
  <c r="AF31" i="4"/>
  <c r="AG31" i="4"/>
  <c r="AH31" i="4"/>
  <c r="AJ31" i="4"/>
  <c r="AK31" i="4"/>
  <c r="AR31" i="4"/>
  <c r="A32" i="4"/>
  <c r="Z32" i="4"/>
  <c r="AA32" i="4"/>
  <c r="AE32" i="4"/>
  <c r="AF32" i="4"/>
  <c r="AG32" i="4"/>
  <c r="AH32" i="4"/>
  <c r="AJ32" i="4"/>
  <c r="AK32" i="4"/>
  <c r="AR32" i="4"/>
  <c r="A33" i="4"/>
  <c r="Z33" i="4"/>
  <c r="AA33" i="4"/>
  <c r="AE33" i="4"/>
  <c r="AF33" i="4"/>
  <c r="AG33" i="4"/>
  <c r="AH33" i="4"/>
  <c r="AJ33" i="4"/>
  <c r="AK33" i="4"/>
  <c r="AR33" i="4"/>
  <c r="A34" i="4"/>
  <c r="Z34" i="4"/>
  <c r="AA34" i="4"/>
  <c r="AE34" i="4"/>
  <c r="AF34" i="4"/>
  <c r="AG34" i="4"/>
  <c r="AH34" i="4"/>
  <c r="AJ34" i="4"/>
  <c r="AK34" i="4"/>
  <c r="AR34" i="4"/>
  <c r="A35" i="4"/>
  <c r="Z35" i="4"/>
  <c r="AA35" i="4"/>
  <c r="AE35" i="4"/>
  <c r="AF35" i="4"/>
  <c r="AG35" i="4"/>
  <c r="AH35" i="4"/>
  <c r="AJ35" i="4"/>
  <c r="AK35" i="4"/>
  <c r="AR35" i="4"/>
  <c r="A36" i="4"/>
  <c r="Z36" i="4"/>
  <c r="AA36" i="4"/>
  <c r="AE36" i="4"/>
  <c r="AF36" i="4"/>
  <c r="AG36" i="4"/>
  <c r="AH36" i="4"/>
  <c r="AJ36" i="4"/>
  <c r="AK36" i="4"/>
  <c r="AR36" i="4"/>
  <c r="A37" i="4"/>
  <c r="Z37" i="4"/>
  <c r="AA37" i="4"/>
  <c r="AE37" i="4"/>
  <c r="AF37" i="4"/>
  <c r="AG37" i="4"/>
  <c r="AH37" i="4"/>
  <c r="AJ37" i="4"/>
  <c r="AK37" i="4"/>
  <c r="AR37" i="4"/>
  <c r="A38" i="4"/>
  <c r="Z38" i="4"/>
  <c r="AA38" i="4"/>
  <c r="AE38" i="4"/>
  <c r="AF38" i="4"/>
  <c r="AG38" i="4"/>
  <c r="AH38" i="4"/>
  <c r="AJ38" i="4"/>
  <c r="AK38" i="4"/>
  <c r="AR38" i="4"/>
  <c r="A39" i="4"/>
  <c r="Z39" i="4"/>
  <c r="AA39" i="4"/>
  <c r="AE39" i="4"/>
  <c r="AF39" i="4"/>
  <c r="AG39" i="4"/>
  <c r="AH39" i="4"/>
  <c r="AJ39" i="4"/>
  <c r="AK39" i="4"/>
  <c r="AR39" i="4"/>
  <c r="A40" i="4"/>
  <c r="Z40" i="4"/>
  <c r="AA40" i="4"/>
  <c r="AE40" i="4"/>
  <c r="AF40" i="4"/>
  <c r="AG40" i="4"/>
  <c r="AH40" i="4"/>
  <c r="AJ40" i="4"/>
  <c r="AK40" i="4"/>
  <c r="AR40" i="4"/>
  <c r="A41" i="4"/>
  <c r="Z41" i="4"/>
  <c r="AA41" i="4"/>
  <c r="AE41" i="4"/>
  <c r="AF41" i="4"/>
  <c r="AG41" i="4"/>
  <c r="AH41" i="4"/>
  <c r="AJ41" i="4"/>
  <c r="AK41" i="4"/>
  <c r="AR41" i="4"/>
  <c r="A42" i="4"/>
  <c r="Z42" i="4"/>
  <c r="AA42" i="4"/>
  <c r="AE42" i="4"/>
  <c r="AF42" i="4"/>
  <c r="AG42" i="4"/>
  <c r="AH42" i="4"/>
  <c r="AJ42" i="4"/>
  <c r="AK42" i="4"/>
  <c r="AR42" i="4"/>
  <c r="A43" i="4"/>
  <c r="Z43" i="4"/>
  <c r="AA43" i="4"/>
  <c r="AE43" i="4"/>
  <c r="AF43" i="4"/>
  <c r="AG43" i="4"/>
  <c r="AH43" i="4"/>
  <c r="AJ43" i="4"/>
  <c r="AK43" i="4"/>
  <c r="AR43" i="4"/>
  <c r="A44" i="4"/>
  <c r="Z44" i="4"/>
  <c r="AA44" i="4"/>
  <c r="AE44" i="4"/>
  <c r="AF44" i="4"/>
  <c r="AG44" i="4"/>
  <c r="AH44" i="4"/>
  <c r="AJ44" i="4"/>
  <c r="AK44" i="4"/>
  <c r="AR44" i="4"/>
  <c r="A45" i="4"/>
  <c r="AA45" i="4"/>
  <c r="AE45" i="4"/>
  <c r="AF45" i="4"/>
  <c r="AG45" i="4"/>
  <c r="AH45" i="4"/>
  <c r="AJ45" i="4"/>
  <c r="AK45" i="4"/>
  <c r="AR45" i="4"/>
  <c r="A46" i="4"/>
  <c r="AA46" i="4"/>
  <c r="AE46" i="4"/>
  <c r="AF46" i="4"/>
  <c r="AG46" i="4"/>
  <c r="AH46" i="4"/>
  <c r="AJ46" i="4"/>
  <c r="AK46" i="4"/>
  <c r="AR46" i="4"/>
  <c r="A47" i="4"/>
  <c r="AA47" i="4"/>
  <c r="AE47" i="4"/>
  <c r="AF47" i="4"/>
  <c r="AG47" i="4"/>
  <c r="AH47" i="4"/>
  <c r="AJ47" i="4"/>
  <c r="AK47" i="4"/>
  <c r="AR47" i="4"/>
  <c r="A48" i="4"/>
  <c r="AA48" i="4"/>
  <c r="AE48" i="4"/>
  <c r="AF48" i="4"/>
  <c r="AG48" i="4"/>
  <c r="AH48" i="4"/>
  <c r="AJ48" i="4"/>
  <c r="AK48" i="4"/>
  <c r="AR48" i="4"/>
  <c r="A49" i="4"/>
  <c r="AA49" i="4"/>
  <c r="AE49" i="4"/>
  <c r="AF49" i="4"/>
  <c r="AG49" i="4"/>
  <c r="AH49" i="4"/>
  <c r="AJ49" i="4"/>
  <c r="AK49" i="4"/>
  <c r="AR49" i="4"/>
  <c r="A50" i="4"/>
  <c r="AA50" i="4"/>
  <c r="AE50" i="4"/>
  <c r="AF50" i="4"/>
  <c r="AG50" i="4"/>
  <c r="AH50" i="4"/>
  <c r="AJ50" i="4"/>
  <c r="AK50" i="4"/>
  <c r="AR50" i="4"/>
  <c r="A51" i="4"/>
  <c r="Z51" i="4"/>
  <c r="AA51" i="4"/>
  <c r="AE51" i="4"/>
  <c r="AF51" i="4"/>
  <c r="AG51" i="4"/>
  <c r="AH51" i="4"/>
  <c r="AJ51" i="4"/>
  <c r="AK51" i="4"/>
  <c r="AR51" i="4"/>
  <c r="A52" i="4"/>
  <c r="Z52" i="4"/>
  <c r="AA52" i="4"/>
  <c r="AE52" i="4"/>
  <c r="AF52" i="4"/>
  <c r="AG52" i="4"/>
  <c r="AH52" i="4"/>
  <c r="AJ52" i="4"/>
  <c r="AK52" i="4"/>
  <c r="AR52" i="4"/>
  <c r="A53" i="4"/>
  <c r="Z53" i="4"/>
  <c r="AA53" i="4"/>
  <c r="AE53" i="4"/>
  <c r="AF53" i="4"/>
  <c r="AG53" i="4"/>
  <c r="AH53" i="4"/>
  <c r="AJ53" i="4"/>
  <c r="AK53" i="4"/>
  <c r="AR53" i="4"/>
  <c r="A54" i="4"/>
  <c r="Z54" i="4"/>
  <c r="AA54" i="4"/>
  <c r="AE54" i="4"/>
  <c r="AF54" i="4"/>
  <c r="AG54" i="4"/>
  <c r="AH54" i="4"/>
  <c r="AJ54" i="4"/>
  <c r="AK54" i="4"/>
  <c r="AR54" i="4"/>
  <c r="A55" i="4"/>
  <c r="Z55" i="4"/>
  <c r="AA55" i="4"/>
  <c r="AE55" i="4"/>
  <c r="AF55" i="4"/>
  <c r="AG55" i="4"/>
  <c r="AH55" i="4"/>
  <c r="AJ55" i="4"/>
  <c r="AK55" i="4"/>
  <c r="AR55" i="4"/>
  <c r="A56" i="4"/>
  <c r="Z56" i="4"/>
  <c r="AA56" i="4"/>
  <c r="AE56" i="4"/>
  <c r="AF56" i="4"/>
  <c r="AG56" i="4"/>
  <c r="AH56" i="4"/>
  <c r="AJ56" i="4"/>
  <c r="AK56" i="4"/>
  <c r="AR56" i="4"/>
  <c r="A57" i="4"/>
  <c r="Z57" i="4"/>
  <c r="AA57" i="4"/>
  <c r="AE57" i="4"/>
  <c r="AF57" i="4"/>
  <c r="AG57" i="4"/>
  <c r="AH57" i="4"/>
  <c r="AJ57" i="4"/>
  <c r="AK57" i="4"/>
  <c r="AR57" i="4"/>
  <c r="A58" i="4"/>
  <c r="Z58" i="4"/>
  <c r="AA58" i="4"/>
  <c r="AE58" i="4"/>
  <c r="AF58" i="4"/>
  <c r="AG58" i="4"/>
  <c r="AH58" i="4"/>
  <c r="AJ58" i="4"/>
  <c r="AK58" i="4"/>
  <c r="AR58" i="4"/>
  <c r="A9" i="3"/>
  <c r="X9" i="3"/>
  <c r="DA9" i="3"/>
  <c r="Y9" i="3"/>
  <c r="DB9" i="3"/>
  <c r="Z9" i="3"/>
  <c r="AA9" i="3"/>
  <c r="AE9" i="3"/>
  <c r="AF9" i="3"/>
  <c r="AG9" i="3"/>
  <c r="AH9" i="3"/>
  <c r="AJ9" i="3"/>
  <c r="AK9" i="3"/>
  <c r="AR9" i="3"/>
  <c r="A10" i="3"/>
  <c r="X10" i="3"/>
  <c r="DA10" i="3"/>
  <c r="Y10" i="3"/>
  <c r="DB10" i="3"/>
  <c r="Z10" i="3"/>
  <c r="AA10" i="3"/>
  <c r="AE10" i="3"/>
  <c r="AF10" i="3"/>
  <c r="AG10" i="3"/>
  <c r="AH10" i="3"/>
  <c r="AJ10" i="3"/>
  <c r="AK10" i="3"/>
  <c r="AR10" i="3"/>
  <c r="A11" i="3"/>
  <c r="X11" i="3"/>
  <c r="DA11" i="3"/>
  <c r="Y11" i="3"/>
  <c r="DB11" i="3"/>
  <c r="Z11" i="3"/>
  <c r="AA11" i="3"/>
  <c r="AE11" i="3"/>
  <c r="AF11" i="3"/>
  <c r="AG11" i="3"/>
  <c r="AH11" i="3"/>
  <c r="AJ11" i="3"/>
  <c r="AK11" i="3"/>
  <c r="AR11" i="3"/>
  <c r="A12" i="3"/>
  <c r="Z12" i="3"/>
  <c r="AA12" i="3"/>
  <c r="AE12" i="3"/>
  <c r="AF12" i="3"/>
  <c r="AG12" i="3"/>
  <c r="AH12" i="3"/>
  <c r="AJ12" i="3"/>
  <c r="AK12" i="3"/>
  <c r="AR12" i="3"/>
  <c r="A13" i="3"/>
  <c r="Z13" i="3"/>
  <c r="AA13" i="3"/>
  <c r="AE13" i="3"/>
  <c r="AF13" i="3"/>
  <c r="AG13" i="3"/>
  <c r="AH13" i="3"/>
  <c r="AJ13" i="3"/>
  <c r="AK13" i="3"/>
  <c r="AR13" i="3"/>
  <c r="A14" i="3"/>
  <c r="Z14" i="3"/>
  <c r="AA14" i="3"/>
  <c r="AE14" i="3"/>
  <c r="AF14" i="3"/>
  <c r="AG14" i="3"/>
  <c r="AH14" i="3"/>
  <c r="AJ14" i="3"/>
  <c r="AK14" i="3"/>
  <c r="AR14" i="3"/>
  <c r="A15" i="3"/>
  <c r="Z15" i="3"/>
  <c r="AA15" i="3"/>
  <c r="AE15" i="3"/>
  <c r="AF15" i="3"/>
  <c r="AG15" i="3"/>
  <c r="AH15" i="3"/>
  <c r="AJ15" i="3"/>
  <c r="AK15" i="3"/>
  <c r="AR15" i="3"/>
  <c r="A16" i="3"/>
  <c r="Y16" i="3"/>
  <c r="DB16" i="3"/>
  <c r="Z16" i="3"/>
  <c r="AA16" i="3"/>
  <c r="AE16" i="3"/>
  <c r="AF16" i="3"/>
  <c r="AG16" i="3"/>
  <c r="AH16" i="3"/>
  <c r="AJ16" i="3"/>
  <c r="AK16" i="3"/>
  <c r="AR16" i="3"/>
  <c r="A17" i="3"/>
  <c r="Z17" i="3"/>
  <c r="AA17" i="3"/>
  <c r="AE17" i="3"/>
  <c r="AF17" i="3"/>
  <c r="AG17" i="3"/>
  <c r="AH17" i="3"/>
  <c r="AJ17" i="3"/>
  <c r="AK17" i="3"/>
  <c r="AR17" i="3"/>
  <c r="A18" i="3"/>
  <c r="Z18" i="3"/>
  <c r="AA18" i="3"/>
  <c r="AE18" i="3"/>
  <c r="AF18" i="3"/>
  <c r="AG18" i="3"/>
  <c r="AH18" i="3"/>
  <c r="AJ18" i="3"/>
  <c r="AK18" i="3"/>
  <c r="AR18" i="3"/>
  <c r="A19" i="3"/>
  <c r="Z19" i="3"/>
  <c r="AA19" i="3"/>
  <c r="AE19" i="3"/>
  <c r="AF19" i="3"/>
  <c r="AG19" i="3"/>
  <c r="AH19" i="3"/>
  <c r="AJ19" i="3"/>
  <c r="AK19" i="3"/>
  <c r="AR19" i="3"/>
  <c r="A20" i="3"/>
  <c r="Z20" i="3"/>
  <c r="AA20" i="3"/>
  <c r="AE20" i="3"/>
  <c r="AF20" i="3"/>
  <c r="AG20" i="3"/>
  <c r="AH20" i="3"/>
  <c r="AJ20" i="3"/>
  <c r="AK20" i="3"/>
  <c r="AR20" i="3"/>
  <c r="A21" i="3"/>
  <c r="Z21" i="3"/>
  <c r="AA21" i="3"/>
  <c r="AE21" i="3"/>
  <c r="AF21" i="3"/>
  <c r="AG21" i="3"/>
  <c r="AH21" i="3"/>
  <c r="AJ21" i="3"/>
  <c r="AK21" i="3"/>
  <c r="AR21" i="3"/>
  <c r="A22" i="3"/>
  <c r="AA22" i="3"/>
  <c r="AE22" i="3"/>
  <c r="AF22" i="3"/>
  <c r="AG22" i="3"/>
  <c r="AH22" i="3"/>
  <c r="AJ22" i="3"/>
  <c r="AK22" i="3"/>
  <c r="AR22" i="3"/>
  <c r="A23" i="3"/>
  <c r="Z23" i="3"/>
  <c r="AA23" i="3"/>
  <c r="AE23" i="3"/>
  <c r="AF23" i="3"/>
  <c r="AG23" i="3"/>
  <c r="AH23" i="3"/>
  <c r="AJ23" i="3"/>
  <c r="AK23" i="3"/>
  <c r="AR23" i="3"/>
  <c r="A24" i="3"/>
  <c r="Z24" i="3"/>
  <c r="AA24" i="3"/>
  <c r="AE24" i="3"/>
  <c r="AF24" i="3"/>
  <c r="AG24" i="3"/>
  <c r="AH24" i="3"/>
  <c r="AJ24" i="3"/>
  <c r="AK24" i="3"/>
  <c r="AR24" i="3"/>
  <c r="A25" i="3"/>
  <c r="Z25" i="3"/>
  <c r="AA25" i="3"/>
  <c r="AE25" i="3"/>
  <c r="AF25" i="3"/>
  <c r="AG25" i="3"/>
  <c r="AH25" i="3"/>
  <c r="AJ25" i="3"/>
  <c r="AK25" i="3"/>
  <c r="AR25" i="3"/>
  <c r="A26" i="3"/>
  <c r="Z26" i="3"/>
  <c r="AA26" i="3"/>
  <c r="AE26" i="3"/>
  <c r="AF26" i="3"/>
  <c r="AG26" i="3"/>
  <c r="AH26" i="3"/>
  <c r="AJ26" i="3"/>
  <c r="AK26" i="3"/>
  <c r="AR26" i="3"/>
  <c r="A27" i="3"/>
  <c r="Z27" i="3"/>
  <c r="AA27" i="3"/>
  <c r="AE27" i="3"/>
  <c r="AF27" i="3"/>
  <c r="AG27" i="3"/>
  <c r="AH27" i="3"/>
  <c r="AJ27" i="3"/>
  <c r="AK27" i="3"/>
  <c r="AR27" i="3"/>
  <c r="A28" i="3"/>
  <c r="Z28" i="3"/>
  <c r="AA28" i="3"/>
  <c r="AE28" i="3"/>
  <c r="AF28" i="3"/>
  <c r="AG28" i="3"/>
  <c r="AH28" i="3"/>
  <c r="AJ28" i="3"/>
  <c r="AK28" i="3"/>
  <c r="AR28" i="3"/>
  <c r="A29" i="3"/>
  <c r="Z29" i="3"/>
  <c r="AA29" i="3"/>
  <c r="AE29" i="3"/>
  <c r="AF29" i="3"/>
  <c r="AG29" i="3"/>
  <c r="AH29" i="3"/>
  <c r="AJ29" i="3"/>
  <c r="AK29" i="3"/>
  <c r="AR29" i="3"/>
  <c r="A30" i="3"/>
  <c r="Z30" i="3"/>
  <c r="AA30" i="3"/>
  <c r="AE30" i="3"/>
  <c r="AF30" i="3"/>
  <c r="AG30" i="3"/>
  <c r="AH30" i="3"/>
  <c r="AJ30" i="3"/>
  <c r="AK30" i="3"/>
  <c r="AR30" i="3"/>
  <c r="A31" i="3"/>
  <c r="Z31" i="3"/>
  <c r="AA31" i="3"/>
  <c r="AE31" i="3"/>
  <c r="AF31" i="3"/>
  <c r="AG31" i="3"/>
  <c r="AH31" i="3"/>
  <c r="AJ31" i="3"/>
  <c r="AK31" i="3"/>
  <c r="AR31" i="3"/>
  <c r="A32" i="3"/>
  <c r="Z32" i="3"/>
  <c r="AA32" i="3"/>
  <c r="AE32" i="3"/>
  <c r="AF32" i="3"/>
  <c r="AG32" i="3"/>
  <c r="AH32" i="3"/>
  <c r="AJ32" i="3"/>
  <c r="AK32" i="3"/>
  <c r="AR32" i="3"/>
  <c r="A33" i="3"/>
  <c r="Z33" i="3"/>
  <c r="AA33" i="3"/>
  <c r="AE33" i="3"/>
  <c r="AF33" i="3"/>
  <c r="AG33" i="3"/>
  <c r="AH33" i="3"/>
  <c r="AJ33" i="3"/>
  <c r="AK33" i="3"/>
  <c r="AR33" i="3"/>
  <c r="A34" i="3"/>
  <c r="Z34" i="3"/>
  <c r="AA34" i="3"/>
  <c r="AE34" i="3"/>
  <c r="AF34" i="3"/>
  <c r="AG34" i="3"/>
  <c r="AH34" i="3"/>
  <c r="AJ34" i="3"/>
  <c r="AK34" i="3"/>
  <c r="AR34" i="3"/>
  <c r="A35" i="3"/>
  <c r="Z35" i="3"/>
  <c r="AA35" i="3"/>
  <c r="AE35" i="3"/>
  <c r="AF35" i="3"/>
  <c r="AG35" i="3"/>
  <c r="AH35" i="3"/>
  <c r="AJ35" i="3"/>
  <c r="AK35" i="3"/>
  <c r="AR35" i="3"/>
  <c r="A36" i="3"/>
  <c r="Z36" i="3"/>
  <c r="AA36" i="3"/>
  <c r="AE36" i="3"/>
  <c r="AF36" i="3"/>
  <c r="AG36" i="3"/>
  <c r="AH36" i="3"/>
  <c r="AJ36" i="3"/>
  <c r="AK36" i="3"/>
  <c r="AR36" i="3"/>
  <c r="A37" i="3"/>
  <c r="Z37" i="3"/>
  <c r="AA37" i="3"/>
  <c r="AE37" i="3"/>
  <c r="AF37" i="3"/>
  <c r="AG37" i="3"/>
  <c r="AH37" i="3"/>
  <c r="AJ37" i="3"/>
  <c r="AK37" i="3"/>
  <c r="AR37" i="3"/>
  <c r="A38" i="3"/>
  <c r="Z38" i="3"/>
  <c r="AA38" i="3"/>
  <c r="AE38" i="3"/>
  <c r="AF38" i="3"/>
  <c r="AG38" i="3"/>
  <c r="AH38" i="3"/>
  <c r="AJ38" i="3"/>
  <c r="AK38" i="3"/>
  <c r="AR38" i="3"/>
  <c r="A39" i="3"/>
  <c r="Z39" i="3"/>
  <c r="AA39" i="3"/>
  <c r="AE39" i="3"/>
  <c r="AF39" i="3"/>
  <c r="AG39" i="3"/>
  <c r="AH39" i="3"/>
  <c r="AJ39" i="3"/>
  <c r="AK39" i="3"/>
  <c r="AR39" i="3"/>
  <c r="A40" i="3"/>
  <c r="Z40" i="3"/>
  <c r="AA40" i="3"/>
  <c r="AE40" i="3"/>
  <c r="AF40" i="3"/>
  <c r="AG40" i="3"/>
  <c r="AH40" i="3"/>
  <c r="AJ40" i="3"/>
  <c r="AK40" i="3"/>
  <c r="AR40" i="3"/>
  <c r="A41" i="3"/>
  <c r="Z41" i="3"/>
  <c r="AA41" i="3"/>
  <c r="AE41" i="3"/>
  <c r="AF41" i="3"/>
  <c r="AG41" i="3"/>
  <c r="AH41" i="3"/>
  <c r="AJ41" i="3"/>
  <c r="AK41" i="3"/>
  <c r="AR41" i="3"/>
  <c r="A42" i="3"/>
  <c r="Z42" i="3"/>
  <c r="AA42" i="3"/>
  <c r="AE42" i="3"/>
  <c r="AF42" i="3"/>
  <c r="AG42" i="3"/>
  <c r="AH42" i="3"/>
  <c r="AJ42" i="3"/>
  <c r="AK42" i="3"/>
  <c r="AR42" i="3"/>
  <c r="A43" i="3"/>
  <c r="Z43" i="3"/>
  <c r="AA43" i="3"/>
  <c r="AE43" i="3"/>
  <c r="AF43" i="3"/>
  <c r="AG43" i="3"/>
  <c r="AH43" i="3"/>
  <c r="AJ43" i="3"/>
  <c r="AK43" i="3"/>
  <c r="AR43" i="3"/>
  <c r="A44" i="3"/>
  <c r="Z44" i="3"/>
  <c r="AA44" i="3"/>
  <c r="AE44" i="3"/>
  <c r="AF44" i="3"/>
  <c r="AG44" i="3"/>
  <c r="AH44" i="3"/>
  <c r="AJ44" i="3"/>
  <c r="AK44" i="3"/>
  <c r="AR44" i="3"/>
  <c r="A45" i="3"/>
  <c r="AA45" i="3"/>
  <c r="AE45" i="3"/>
  <c r="AF45" i="3"/>
  <c r="AG45" i="3"/>
  <c r="AH45" i="3"/>
  <c r="AJ45" i="3"/>
  <c r="AK45" i="3"/>
  <c r="AR45" i="3"/>
  <c r="A46" i="3"/>
  <c r="AA46" i="3"/>
  <c r="AE46" i="3"/>
  <c r="AF46" i="3"/>
  <c r="AG46" i="3"/>
  <c r="AH46" i="3"/>
  <c r="AJ46" i="3"/>
  <c r="AK46" i="3"/>
  <c r="AR46" i="3"/>
  <c r="A47" i="3"/>
  <c r="AA47" i="3"/>
  <c r="AE47" i="3"/>
  <c r="AF47" i="3"/>
  <c r="AG47" i="3"/>
  <c r="AH47" i="3"/>
  <c r="AJ47" i="3"/>
  <c r="AK47" i="3"/>
  <c r="AR47" i="3"/>
  <c r="A48" i="3"/>
  <c r="AA48" i="3"/>
  <c r="AE48" i="3"/>
  <c r="AF48" i="3"/>
  <c r="AG48" i="3"/>
  <c r="AH48" i="3"/>
  <c r="AJ48" i="3"/>
  <c r="AK48" i="3"/>
  <c r="AR48" i="3"/>
  <c r="A49" i="3"/>
  <c r="AA49" i="3"/>
  <c r="AE49" i="3"/>
  <c r="AF49" i="3"/>
  <c r="AG49" i="3"/>
  <c r="AH49" i="3"/>
  <c r="AJ49" i="3"/>
  <c r="AK49" i="3"/>
  <c r="AR49" i="3"/>
  <c r="A50" i="3"/>
  <c r="AA50" i="3"/>
  <c r="AE50" i="3"/>
  <c r="AF50" i="3"/>
  <c r="AG50" i="3"/>
  <c r="AH50" i="3"/>
  <c r="AJ50" i="3"/>
  <c r="AK50" i="3"/>
  <c r="AR50" i="3"/>
  <c r="A51" i="3"/>
  <c r="Z51" i="3"/>
  <c r="AA51" i="3"/>
  <c r="AE51" i="3"/>
  <c r="AF51" i="3"/>
  <c r="AG51" i="3"/>
  <c r="AH51" i="3"/>
  <c r="AJ51" i="3"/>
  <c r="AK51" i="3"/>
  <c r="AR51" i="3"/>
  <c r="A52" i="3"/>
  <c r="Z52" i="3"/>
  <c r="AA52" i="3"/>
  <c r="AE52" i="3"/>
  <c r="AF52" i="3"/>
  <c r="AG52" i="3"/>
  <c r="AH52" i="3"/>
  <c r="AJ52" i="3"/>
  <c r="AK52" i="3"/>
  <c r="AR52" i="3"/>
  <c r="A53" i="3"/>
  <c r="Z53" i="3"/>
  <c r="AA53" i="3"/>
  <c r="AE53" i="3"/>
  <c r="AF53" i="3"/>
  <c r="AG53" i="3"/>
  <c r="AH53" i="3"/>
  <c r="AJ53" i="3"/>
  <c r="AK53" i="3"/>
  <c r="AR53" i="3"/>
  <c r="A54" i="3"/>
  <c r="Z54" i="3"/>
  <c r="AA54" i="3"/>
  <c r="AE54" i="3"/>
  <c r="AF54" i="3"/>
  <c r="AG54" i="3"/>
  <c r="AH54" i="3"/>
  <c r="AJ54" i="3"/>
  <c r="AK54" i="3"/>
  <c r="AR54" i="3"/>
  <c r="A55" i="3"/>
  <c r="Z55" i="3"/>
  <c r="AA55" i="3"/>
  <c r="AE55" i="3"/>
  <c r="AF55" i="3"/>
  <c r="AG55" i="3"/>
  <c r="AH55" i="3"/>
  <c r="AJ55" i="3"/>
  <c r="AK55" i="3"/>
  <c r="AR55" i="3"/>
  <c r="A56" i="3"/>
  <c r="Z56" i="3"/>
  <c r="AA56" i="3"/>
  <c r="AE56" i="3"/>
  <c r="AF56" i="3"/>
  <c r="AG56" i="3"/>
  <c r="AH56" i="3"/>
  <c r="AJ56" i="3"/>
  <c r="AK56" i="3"/>
  <c r="AR56" i="3"/>
  <c r="A57" i="3"/>
  <c r="Z57" i="3"/>
  <c r="AA57" i="3"/>
  <c r="AE57" i="3"/>
  <c r="AF57" i="3"/>
  <c r="AG57" i="3"/>
  <c r="AH57" i="3"/>
  <c r="AJ57" i="3"/>
  <c r="AK57" i="3"/>
  <c r="AR57" i="3"/>
  <c r="A58" i="3"/>
  <c r="Z58" i="3"/>
  <c r="AA58" i="3"/>
  <c r="AE58" i="3"/>
  <c r="AF58" i="3"/>
  <c r="AG58" i="3"/>
  <c r="AH58" i="3"/>
  <c r="AJ58" i="3"/>
  <c r="AK58" i="3"/>
  <c r="AR58" i="3"/>
  <c r="X9" i="2"/>
  <c r="Y9" i="2"/>
  <c r="Z9" i="2"/>
  <c r="AA9" i="2"/>
  <c r="AE9" i="2"/>
  <c r="AF9" i="2"/>
  <c r="AG9" i="2"/>
  <c r="AH9" i="2"/>
  <c r="AJ9" i="2"/>
  <c r="AK9" i="2"/>
  <c r="AR9" i="2"/>
  <c r="X10" i="2"/>
  <c r="Y10" i="2"/>
  <c r="Z10" i="2"/>
  <c r="AA10" i="2"/>
  <c r="AE10" i="2"/>
  <c r="AF10" i="2"/>
  <c r="AG10" i="2"/>
  <c r="AH10" i="2"/>
  <c r="AJ10" i="2"/>
  <c r="AK10" i="2"/>
  <c r="AR10" i="2"/>
  <c r="X11" i="2"/>
  <c r="Y11" i="2"/>
  <c r="Z11" i="2"/>
  <c r="AA11" i="2"/>
  <c r="AE11" i="2"/>
  <c r="AF11" i="2"/>
  <c r="AG11" i="2"/>
  <c r="AH11" i="2"/>
  <c r="AJ11" i="2"/>
  <c r="AK11" i="2"/>
  <c r="AR11" i="2"/>
  <c r="X12" i="2"/>
  <c r="Y12" i="2"/>
  <c r="Z12" i="2"/>
  <c r="AA12" i="2"/>
  <c r="AE12" i="2"/>
  <c r="AF12" i="2"/>
  <c r="AG12" i="2"/>
  <c r="AH12" i="2"/>
  <c r="AJ12" i="2"/>
  <c r="AK12" i="2"/>
  <c r="AR12" i="2"/>
  <c r="X13" i="2"/>
  <c r="Y13" i="2"/>
  <c r="Z13" i="2"/>
  <c r="AA13" i="2"/>
  <c r="AE13" i="2"/>
  <c r="AF13" i="2"/>
  <c r="AG13" i="2"/>
  <c r="AH13" i="2"/>
  <c r="AJ13" i="2"/>
  <c r="AK13" i="2"/>
  <c r="AR13" i="2"/>
  <c r="Y14" i="2"/>
  <c r="Z14" i="2"/>
  <c r="AA14" i="2"/>
  <c r="AE14" i="2"/>
  <c r="AF14" i="2"/>
  <c r="AG14" i="2"/>
  <c r="AH14" i="2"/>
  <c r="AJ14" i="2"/>
  <c r="AK14" i="2"/>
  <c r="AR14" i="2"/>
  <c r="Y15" i="2"/>
  <c r="Z15" i="2"/>
  <c r="AA15" i="2"/>
  <c r="AE15" i="2"/>
  <c r="AF15" i="2"/>
  <c r="AG15" i="2"/>
  <c r="AH15" i="2"/>
  <c r="AJ15" i="2"/>
  <c r="AK15" i="2"/>
  <c r="AR15" i="2"/>
  <c r="X16" i="2"/>
  <c r="Y16" i="2"/>
  <c r="Z16" i="2"/>
  <c r="AA16" i="2"/>
  <c r="AE16" i="2"/>
  <c r="AF16" i="2"/>
  <c r="AG16" i="2"/>
  <c r="AH16" i="2"/>
  <c r="AJ16" i="2"/>
  <c r="AK16" i="2"/>
  <c r="AR16" i="2"/>
  <c r="Y17" i="2"/>
  <c r="Z17" i="2"/>
  <c r="AA17" i="2"/>
  <c r="AE17" i="2"/>
  <c r="AF17" i="2"/>
  <c r="AG17" i="2"/>
  <c r="AH17" i="2"/>
  <c r="AJ17" i="2"/>
  <c r="AK17" i="2"/>
  <c r="AR17" i="2"/>
  <c r="Y18" i="2"/>
  <c r="Z18" i="2"/>
  <c r="AA18" i="2"/>
  <c r="AE18" i="2"/>
  <c r="AF18" i="2"/>
  <c r="AG18" i="2"/>
  <c r="AH18" i="2"/>
  <c r="AJ18" i="2"/>
  <c r="AK18" i="2"/>
  <c r="AR18" i="2"/>
  <c r="Y19" i="2"/>
  <c r="Z19" i="2"/>
  <c r="AA19" i="2"/>
  <c r="AE19" i="2"/>
  <c r="AF19" i="2"/>
  <c r="AG19" i="2"/>
  <c r="AH19" i="2"/>
  <c r="AJ19" i="2"/>
  <c r="AK19" i="2"/>
  <c r="AR19" i="2"/>
  <c r="X20" i="2"/>
  <c r="Y20" i="2"/>
  <c r="Z20" i="2"/>
  <c r="AA20" i="2"/>
  <c r="AE20" i="2"/>
  <c r="AF20" i="2"/>
  <c r="AG20" i="2"/>
  <c r="AH20" i="2"/>
  <c r="AJ20" i="2"/>
  <c r="AK20" i="2"/>
  <c r="AR20" i="2"/>
  <c r="Y21" i="2"/>
  <c r="Z21" i="2"/>
  <c r="AA21" i="2"/>
  <c r="AE21" i="2"/>
  <c r="AF21" i="2"/>
  <c r="AG21" i="2"/>
  <c r="AH21" i="2"/>
  <c r="AJ21" i="2"/>
  <c r="AK21" i="2"/>
  <c r="AR21" i="2"/>
  <c r="Y22" i="2"/>
  <c r="AA22" i="2"/>
  <c r="AE22" i="2"/>
  <c r="AF22" i="2"/>
  <c r="AG22" i="2"/>
  <c r="AH22" i="2"/>
  <c r="AJ22" i="2"/>
  <c r="AK22" i="2"/>
  <c r="AR22" i="2"/>
  <c r="Y23" i="2"/>
  <c r="Z23" i="2"/>
  <c r="AA23" i="2"/>
  <c r="AE23" i="2"/>
  <c r="AF23" i="2"/>
  <c r="AG23" i="2"/>
  <c r="AH23" i="2"/>
  <c r="AJ23" i="2"/>
  <c r="AK23" i="2"/>
  <c r="AR23" i="2"/>
  <c r="X24" i="2"/>
  <c r="Y24" i="2"/>
  <c r="Z24" i="2"/>
  <c r="AA24" i="2"/>
  <c r="AE24" i="2"/>
  <c r="AF24" i="2"/>
  <c r="AG24" i="2"/>
  <c r="AH24" i="2"/>
  <c r="AJ24" i="2"/>
  <c r="AK24" i="2"/>
  <c r="AR24" i="2"/>
  <c r="Y25" i="2"/>
  <c r="Z25" i="2"/>
  <c r="AA25" i="2"/>
  <c r="AE25" i="2"/>
  <c r="AF25" i="2"/>
  <c r="AG25" i="2"/>
  <c r="AH25" i="2"/>
  <c r="AJ25" i="2"/>
  <c r="AK25" i="2"/>
  <c r="AR25" i="2"/>
  <c r="Y26" i="2"/>
  <c r="Z26" i="2"/>
  <c r="AA26" i="2"/>
  <c r="AE26" i="2"/>
  <c r="AF26" i="2"/>
  <c r="AG26" i="2"/>
  <c r="AH26" i="2"/>
  <c r="AJ26" i="2"/>
  <c r="AK26" i="2"/>
  <c r="AR26" i="2"/>
  <c r="Y27" i="2"/>
  <c r="Z27" i="2"/>
  <c r="AA27" i="2"/>
  <c r="AE27" i="2"/>
  <c r="AF27" i="2"/>
  <c r="AG27" i="2"/>
  <c r="AH27" i="2"/>
  <c r="AJ27" i="2"/>
  <c r="AK27" i="2"/>
  <c r="AR27" i="2"/>
  <c r="Y28" i="2"/>
  <c r="Z28" i="2"/>
  <c r="AA28" i="2"/>
  <c r="AE28" i="2"/>
  <c r="AF28" i="2"/>
  <c r="AG28" i="2"/>
  <c r="AH28" i="2"/>
  <c r="AJ28" i="2"/>
  <c r="AK28" i="2"/>
  <c r="AR28" i="2"/>
  <c r="Y29" i="2"/>
  <c r="Z29" i="2"/>
  <c r="AA29" i="2"/>
  <c r="AE29" i="2"/>
  <c r="AF29" i="2"/>
  <c r="AG29" i="2"/>
  <c r="AH29" i="2"/>
  <c r="AJ29" i="2"/>
  <c r="AK29" i="2"/>
  <c r="AR29" i="2"/>
  <c r="X30" i="2"/>
  <c r="Y30" i="2"/>
  <c r="Z30" i="2"/>
  <c r="AA30" i="2"/>
  <c r="AE30" i="2"/>
  <c r="AF30" i="2"/>
  <c r="AG30" i="2"/>
  <c r="AH30" i="2"/>
  <c r="AJ30" i="2"/>
  <c r="AK30" i="2"/>
  <c r="AR30" i="2"/>
  <c r="Y31" i="2"/>
  <c r="Z31" i="2"/>
  <c r="AA31" i="2"/>
  <c r="AE31" i="2"/>
  <c r="AF31" i="2"/>
  <c r="AG31" i="2"/>
  <c r="AH31" i="2"/>
  <c r="AJ31" i="2"/>
  <c r="AK31" i="2"/>
  <c r="AR31" i="2"/>
  <c r="Y32" i="2"/>
  <c r="Z32" i="2"/>
  <c r="AA32" i="2"/>
  <c r="AE32" i="2"/>
  <c r="AF32" i="2"/>
  <c r="AG32" i="2"/>
  <c r="AH32" i="2"/>
  <c r="AJ32" i="2"/>
  <c r="AK32" i="2"/>
  <c r="AR32" i="2"/>
  <c r="Y33" i="2"/>
  <c r="Z33" i="2"/>
  <c r="AA33" i="2"/>
  <c r="AE33" i="2"/>
  <c r="AF33" i="2"/>
  <c r="AG33" i="2"/>
  <c r="AH33" i="2"/>
  <c r="AJ33" i="2"/>
  <c r="AK33" i="2"/>
  <c r="AR33" i="2"/>
  <c r="X34" i="2"/>
  <c r="Y34" i="2"/>
  <c r="Z34" i="2"/>
  <c r="AA34" i="2"/>
  <c r="AE34" i="2"/>
  <c r="AF34" i="2"/>
  <c r="AG34" i="2"/>
  <c r="AH34" i="2"/>
  <c r="AJ34" i="2"/>
  <c r="AK34" i="2"/>
  <c r="AR34" i="2"/>
  <c r="Y35" i="2"/>
  <c r="Z35" i="2"/>
  <c r="AA35" i="2"/>
  <c r="AE35" i="2"/>
  <c r="AF35" i="2"/>
  <c r="AG35" i="2"/>
  <c r="AH35" i="2"/>
  <c r="AJ35" i="2"/>
  <c r="AK35" i="2"/>
  <c r="AR35" i="2"/>
  <c r="X36" i="2"/>
  <c r="Y36" i="2"/>
  <c r="Z36" i="2"/>
  <c r="AA36" i="2"/>
  <c r="AE36" i="2"/>
  <c r="AF36" i="2"/>
  <c r="AG36" i="2"/>
  <c r="AH36" i="2"/>
  <c r="AJ36" i="2"/>
  <c r="AK36" i="2"/>
  <c r="AR36" i="2"/>
  <c r="X37" i="2"/>
  <c r="Y37" i="2"/>
  <c r="Z37" i="2"/>
  <c r="AA37" i="2"/>
  <c r="AE37" i="2"/>
  <c r="AF37" i="2"/>
  <c r="AG37" i="2"/>
  <c r="AH37" i="2"/>
  <c r="AJ37" i="2"/>
  <c r="AK37" i="2"/>
  <c r="AR37" i="2"/>
  <c r="Y38" i="2"/>
  <c r="Z38" i="2"/>
  <c r="AA38" i="2"/>
  <c r="AE38" i="2"/>
  <c r="AF38" i="2"/>
  <c r="AG38" i="2"/>
  <c r="AH38" i="2"/>
  <c r="AJ38" i="2"/>
  <c r="AK38" i="2"/>
  <c r="AR38" i="2"/>
  <c r="Y39" i="2"/>
  <c r="Z39" i="2"/>
  <c r="AA39" i="2"/>
  <c r="AE39" i="2"/>
  <c r="AF39" i="2"/>
  <c r="AG39" i="2"/>
  <c r="AH39" i="2"/>
  <c r="AJ39" i="2"/>
  <c r="AK39" i="2"/>
  <c r="AR39" i="2"/>
  <c r="X40" i="2"/>
  <c r="Y40" i="2"/>
  <c r="Z40" i="2"/>
  <c r="AA40" i="2"/>
  <c r="AE40" i="2"/>
  <c r="AF40" i="2"/>
  <c r="AG40" i="2"/>
  <c r="AH40" i="2"/>
  <c r="AJ40" i="2"/>
  <c r="AK40" i="2"/>
  <c r="AR40" i="2"/>
  <c r="Y41" i="2"/>
  <c r="Z41" i="2"/>
  <c r="AA41" i="2"/>
  <c r="AE41" i="2"/>
  <c r="AF41" i="2"/>
  <c r="AG41" i="2"/>
  <c r="AH41" i="2"/>
  <c r="AJ41" i="2"/>
  <c r="AK41" i="2"/>
  <c r="AR41" i="2"/>
  <c r="Y42" i="2"/>
  <c r="Z42" i="2"/>
  <c r="AA42" i="2"/>
  <c r="AE42" i="2"/>
  <c r="AF42" i="2"/>
  <c r="AG42" i="2"/>
  <c r="AH42" i="2"/>
  <c r="AJ42" i="2"/>
  <c r="AK42" i="2"/>
  <c r="AR42" i="2"/>
  <c r="Y43" i="2"/>
  <c r="Z43" i="2"/>
  <c r="AA43" i="2"/>
  <c r="AE43" i="2"/>
  <c r="AF43" i="2"/>
  <c r="AG43" i="2"/>
  <c r="AH43" i="2"/>
  <c r="AJ43" i="2"/>
  <c r="AK43" i="2"/>
  <c r="AR43" i="2"/>
  <c r="Y44" i="2"/>
  <c r="Z44" i="2"/>
  <c r="AA44" i="2"/>
  <c r="AE44" i="2"/>
  <c r="AF44" i="2"/>
  <c r="AG44" i="2"/>
  <c r="AH44" i="2"/>
  <c r="AJ44" i="2"/>
  <c r="AK44" i="2"/>
  <c r="AR44" i="2"/>
  <c r="Y45" i="2"/>
  <c r="AA45" i="2"/>
  <c r="AE45" i="2"/>
  <c r="AF45" i="2"/>
  <c r="AG45" i="2"/>
  <c r="AH45" i="2"/>
  <c r="AJ45" i="2"/>
  <c r="AK45" i="2"/>
  <c r="AR45" i="2"/>
  <c r="Y46" i="2"/>
  <c r="AA46" i="2"/>
  <c r="AE46" i="2"/>
  <c r="AF46" i="2"/>
  <c r="AG46" i="2"/>
  <c r="AH46" i="2"/>
  <c r="AJ46" i="2"/>
  <c r="AK46" i="2"/>
  <c r="AR46" i="2"/>
  <c r="Y47" i="2"/>
  <c r="AA47" i="2"/>
  <c r="AE47" i="2"/>
  <c r="AF47" i="2"/>
  <c r="AG47" i="2"/>
  <c r="AH47" i="2"/>
  <c r="AJ47" i="2"/>
  <c r="AK47" i="2"/>
  <c r="AR47" i="2"/>
  <c r="Y48" i="2"/>
  <c r="AA48" i="2"/>
  <c r="AE48" i="2"/>
  <c r="AF48" i="2"/>
  <c r="AG48" i="2"/>
  <c r="AH48" i="2"/>
  <c r="AJ48" i="2"/>
  <c r="AK48" i="2"/>
  <c r="AR48" i="2"/>
  <c r="Y49" i="2"/>
  <c r="AA49" i="2"/>
  <c r="AE49" i="2"/>
  <c r="AF49" i="2"/>
  <c r="AG49" i="2"/>
  <c r="AH49" i="2"/>
  <c r="AJ49" i="2"/>
  <c r="AK49" i="2"/>
  <c r="AR49" i="2"/>
  <c r="Y50" i="2"/>
  <c r="AA50" i="2"/>
  <c r="AE50" i="2"/>
  <c r="AF50" i="2"/>
  <c r="AG50" i="2"/>
  <c r="AH50" i="2"/>
  <c r="AJ50" i="2"/>
  <c r="AK50" i="2"/>
  <c r="AR50" i="2"/>
  <c r="Y51" i="2"/>
  <c r="Z51" i="2"/>
  <c r="AA51" i="2"/>
  <c r="AE51" i="2"/>
  <c r="AF51" i="2"/>
  <c r="AG51" i="2"/>
  <c r="AH51" i="2"/>
  <c r="AJ51" i="2"/>
  <c r="AK51" i="2"/>
  <c r="AR51" i="2"/>
  <c r="Y52" i="2"/>
  <c r="Z52" i="2"/>
  <c r="AA52" i="2"/>
  <c r="AE52" i="2"/>
  <c r="AF52" i="2"/>
  <c r="AG52" i="2"/>
  <c r="AH52" i="2"/>
  <c r="AJ52" i="2"/>
  <c r="AK52" i="2"/>
  <c r="AR52" i="2"/>
  <c r="Y53" i="2"/>
  <c r="Z53" i="2"/>
  <c r="AA53" i="2"/>
  <c r="AE53" i="2"/>
  <c r="AF53" i="2"/>
  <c r="AG53" i="2"/>
  <c r="AH53" i="2"/>
  <c r="AJ53" i="2"/>
  <c r="AK53" i="2"/>
  <c r="AR53" i="2"/>
  <c r="Y54" i="2"/>
  <c r="Z54" i="2"/>
  <c r="AA54" i="2"/>
  <c r="AE54" i="2"/>
  <c r="AF54" i="2"/>
  <c r="AG54" i="2"/>
  <c r="AH54" i="2"/>
  <c r="AJ54" i="2"/>
  <c r="AK54" i="2"/>
  <c r="AR54" i="2"/>
  <c r="Y55" i="2"/>
  <c r="Z55" i="2"/>
  <c r="AA55" i="2"/>
  <c r="AE55" i="2"/>
  <c r="AF55" i="2"/>
  <c r="AG55" i="2"/>
  <c r="AH55" i="2"/>
  <c r="AJ55" i="2"/>
  <c r="AK55" i="2"/>
  <c r="AR55" i="2"/>
  <c r="Y56" i="2"/>
  <c r="Z56" i="2"/>
  <c r="AA56" i="2"/>
  <c r="AE56" i="2"/>
  <c r="AF56" i="2"/>
  <c r="AG56" i="2"/>
  <c r="AH56" i="2"/>
  <c r="AJ56" i="2"/>
  <c r="AK56" i="2"/>
  <c r="AR56" i="2"/>
  <c r="Y57" i="2"/>
  <c r="Z57" i="2"/>
  <c r="AA57" i="2"/>
  <c r="AE57" i="2"/>
  <c r="AF57" i="2"/>
  <c r="AG57" i="2"/>
  <c r="AH57" i="2"/>
  <c r="AJ57" i="2"/>
  <c r="AK57" i="2"/>
  <c r="AR57" i="2"/>
  <c r="Y58" i="2"/>
  <c r="Z58" i="2"/>
  <c r="AA58" i="2"/>
  <c r="AE58" i="2"/>
  <c r="AF58" i="2"/>
  <c r="AG58" i="2"/>
  <c r="AH58" i="2"/>
  <c r="AJ58" i="2"/>
  <c r="AK58" i="2"/>
  <c r="AR58" i="2"/>
  <c r="X9" i="1"/>
  <c r="Y9" i="1"/>
  <c r="Z9" i="1"/>
  <c r="AA9" i="1"/>
  <c r="AF9" i="1"/>
  <c r="AG9" i="1"/>
  <c r="AH9" i="1"/>
  <c r="AJ9" i="1"/>
  <c r="AK9" i="1"/>
  <c r="X10" i="1"/>
  <c r="Y10" i="1"/>
  <c r="Z10" i="1"/>
  <c r="AA10" i="1"/>
  <c r="AF10" i="1"/>
  <c r="AG10" i="1"/>
  <c r="AH10" i="1"/>
  <c r="AJ10" i="1"/>
  <c r="AK10" i="1"/>
  <c r="X11" i="1"/>
  <c r="Y11" i="1"/>
  <c r="Z11" i="1"/>
  <c r="AA11" i="1"/>
  <c r="AF11" i="1"/>
  <c r="AG11" i="1"/>
  <c r="AH11" i="1"/>
  <c r="AJ11" i="1"/>
  <c r="AK11" i="1"/>
  <c r="X12" i="1"/>
  <c r="Y12" i="1"/>
  <c r="Z12" i="1"/>
  <c r="AA12" i="1"/>
  <c r="AF12" i="1"/>
  <c r="AG12" i="1"/>
  <c r="AH12" i="1"/>
  <c r="AJ12" i="1"/>
  <c r="AK12" i="1"/>
  <c r="J13" i="1"/>
  <c r="M13" i="1"/>
  <c r="Z13" i="1"/>
  <c r="AA13" i="1"/>
  <c r="AF13" i="1"/>
  <c r="AG13" i="1"/>
  <c r="AH13" i="1"/>
  <c r="AJ13" i="1"/>
  <c r="AK13" i="1"/>
  <c r="X14" i="1"/>
  <c r="Y14" i="1"/>
  <c r="Z14" i="1"/>
  <c r="AA14" i="1"/>
  <c r="AF14" i="1"/>
  <c r="AG14" i="1"/>
  <c r="AH14" i="1"/>
  <c r="AJ14" i="1"/>
  <c r="AK14" i="1"/>
  <c r="X15" i="1"/>
  <c r="Y15" i="1"/>
  <c r="Z15" i="1"/>
  <c r="AA15" i="1"/>
  <c r="AF15" i="1"/>
  <c r="AG15" i="1"/>
  <c r="AH15" i="1"/>
  <c r="AJ15" i="1"/>
  <c r="AK15" i="1"/>
  <c r="X16" i="1"/>
  <c r="Y16" i="1"/>
  <c r="Z16" i="1"/>
  <c r="AA16" i="1"/>
  <c r="AE16" i="1"/>
  <c r="AF16" i="1"/>
  <c r="AG16" i="1"/>
  <c r="AH16" i="1"/>
  <c r="AJ16" i="1"/>
  <c r="AK16" i="1"/>
  <c r="J17" i="1"/>
  <c r="Y17" i="1"/>
  <c r="Z17" i="1"/>
  <c r="AA17" i="1"/>
  <c r="AE17" i="1"/>
  <c r="AF17" i="1"/>
  <c r="AG17" i="1"/>
  <c r="AH17" i="1"/>
  <c r="AJ17" i="1"/>
  <c r="AK17" i="1"/>
  <c r="J18" i="1"/>
  <c r="X18" i="1"/>
  <c r="Y18" i="1"/>
  <c r="Z18" i="1"/>
  <c r="AA18" i="1"/>
  <c r="AE18" i="1"/>
  <c r="AF18" i="1"/>
  <c r="AG18" i="1"/>
  <c r="AH18" i="1"/>
  <c r="AJ18" i="1"/>
  <c r="AK18" i="1"/>
  <c r="AM18" i="1"/>
  <c r="X19" i="1"/>
  <c r="Y19" i="1"/>
  <c r="Z19" i="1"/>
  <c r="AA19" i="1"/>
  <c r="AE19" i="1"/>
  <c r="AF19" i="1"/>
  <c r="AG19" i="1"/>
  <c r="AH19" i="1"/>
  <c r="AJ19" i="1"/>
  <c r="AK19" i="1"/>
  <c r="X20" i="1"/>
  <c r="Y20" i="1"/>
  <c r="Z20" i="1"/>
  <c r="AA20" i="1"/>
  <c r="AE20" i="1"/>
  <c r="AF20" i="1"/>
  <c r="AG20" i="1"/>
  <c r="AH20" i="1"/>
  <c r="AJ20" i="1"/>
  <c r="AK20" i="1"/>
  <c r="X21" i="1"/>
  <c r="Y21" i="1"/>
  <c r="Z21" i="1"/>
  <c r="AA21" i="1"/>
  <c r="AE21" i="1"/>
  <c r="AF21" i="1"/>
  <c r="AG21" i="1"/>
  <c r="AH21" i="1"/>
  <c r="AJ21" i="1"/>
  <c r="AK21" i="1"/>
  <c r="X22" i="1"/>
  <c r="Y22" i="1"/>
  <c r="Z22" i="1"/>
  <c r="AA22" i="1"/>
  <c r="AE22" i="1"/>
  <c r="AF22" i="1"/>
  <c r="AG22" i="1"/>
  <c r="AH22" i="1"/>
  <c r="AJ22" i="1"/>
  <c r="AK22" i="1"/>
  <c r="X23" i="1"/>
  <c r="Y23" i="1"/>
  <c r="Z23" i="1"/>
  <c r="AA23" i="1"/>
  <c r="AE23" i="1"/>
  <c r="AF23" i="1"/>
  <c r="AG23" i="1"/>
  <c r="AH23" i="1"/>
  <c r="AJ23" i="1"/>
  <c r="AK23" i="1"/>
  <c r="X24" i="1"/>
  <c r="Y24" i="1"/>
  <c r="Z24" i="1"/>
  <c r="AA24" i="1"/>
  <c r="AE24" i="1"/>
  <c r="AF24" i="1"/>
  <c r="AG24" i="1"/>
  <c r="AH24" i="1"/>
  <c r="AJ24" i="1"/>
  <c r="AK24" i="1"/>
  <c r="X25" i="1"/>
  <c r="Y25" i="1"/>
  <c r="Z25" i="1"/>
  <c r="AA25" i="1"/>
  <c r="AE25" i="1"/>
  <c r="AF25" i="1"/>
  <c r="AG25" i="1"/>
  <c r="AH25" i="1"/>
  <c r="AJ25" i="1"/>
  <c r="AK25" i="1"/>
  <c r="X26" i="1"/>
  <c r="Y26" i="1"/>
  <c r="Z26" i="1"/>
  <c r="AA26" i="1"/>
  <c r="AE26" i="1"/>
  <c r="AF26" i="1"/>
  <c r="AG26" i="1"/>
  <c r="AH26" i="1"/>
  <c r="AJ26" i="1"/>
  <c r="AK26" i="1"/>
  <c r="Y27" i="1"/>
  <c r="AM27" i="1"/>
  <c r="Z27" i="1"/>
  <c r="AA27" i="1"/>
  <c r="AE27" i="1"/>
  <c r="AF27" i="1"/>
  <c r="AG27" i="1"/>
  <c r="AH27" i="1"/>
  <c r="AJ27" i="1"/>
  <c r="AK27" i="1"/>
  <c r="X28" i="1"/>
  <c r="Y28" i="1"/>
  <c r="Z28" i="1"/>
  <c r="AA28" i="1"/>
  <c r="AE28" i="1"/>
  <c r="AF28" i="1"/>
  <c r="AG28" i="1"/>
  <c r="AH28" i="1"/>
  <c r="AJ28" i="1"/>
  <c r="AK28" i="1"/>
  <c r="X29" i="1"/>
  <c r="Y29" i="1"/>
  <c r="Z29" i="1"/>
  <c r="AA29" i="1"/>
  <c r="AE29" i="1"/>
  <c r="AF29" i="1"/>
  <c r="AG29" i="1"/>
  <c r="AH29" i="1"/>
  <c r="AJ29" i="1"/>
  <c r="AK29" i="1"/>
  <c r="X30" i="1"/>
  <c r="Y30" i="1"/>
  <c r="Z30" i="1"/>
  <c r="AE30" i="1"/>
  <c r="AF30" i="1"/>
  <c r="AG30" i="1"/>
  <c r="AH30" i="1"/>
  <c r="AJ30" i="1"/>
  <c r="AK30" i="1"/>
  <c r="X31" i="1"/>
  <c r="Y31" i="1"/>
  <c r="Z31" i="1"/>
  <c r="AA31" i="1"/>
  <c r="AE31" i="1"/>
  <c r="AF31" i="1"/>
  <c r="AG31" i="1"/>
  <c r="AH31" i="1"/>
  <c r="AJ31" i="1"/>
  <c r="AK31" i="1"/>
  <c r="X32" i="1"/>
  <c r="Y32" i="1"/>
  <c r="Z32" i="1"/>
  <c r="AA32" i="1"/>
  <c r="AE32" i="1"/>
  <c r="AF32" i="1"/>
  <c r="AG32" i="1"/>
  <c r="AH32" i="1"/>
  <c r="AJ32" i="1"/>
  <c r="AK32" i="1"/>
  <c r="X33" i="1"/>
  <c r="Y33" i="1"/>
  <c r="Z33" i="1"/>
  <c r="AA33" i="1"/>
  <c r="AE33" i="1"/>
  <c r="AF33" i="1"/>
  <c r="AG33" i="1"/>
  <c r="AH33" i="1"/>
  <c r="AJ33" i="1"/>
  <c r="AK33" i="1"/>
  <c r="X34" i="1"/>
  <c r="Y34" i="1"/>
  <c r="Z34" i="1"/>
  <c r="AA34" i="1"/>
  <c r="AE34" i="1"/>
  <c r="AF34" i="1"/>
  <c r="AG34" i="1"/>
  <c r="AH34" i="1"/>
  <c r="AJ34" i="1"/>
  <c r="AK34" i="1"/>
  <c r="X35" i="1"/>
  <c r="Y35" i="1"/>
  <c r="Z35" i="1"/>
  <c r="AA35" i="1"/>
  <c r="AE35" i="1"/>
  <c r="AF35" i="1"/>
  <c r="AG35" i="1"/>
  <c r="AH35" i="1"/>
  <c r="AJ35" i="1"/>
  <c r="AK35" i="1"/>
  <c r="X36" i="1"/>
  <c r="Y36" i="1"/>
  <c r="Z36" i="1"/>
  <c r="AA36" i="1"/>
  <c r="AE36" i="1"/>
  <c r="AF36" i="1"/>
  <c r="AG36" i="1"/>
  <c r="AH36" i="1"/>
  <c r="AJ36" i="1"/>
  <c r="AK36" i="1"/>
  <c r="X37" i="1"/>
  <c r="Y37" i="1"/>
  <c r="Z37" i="1"/>
  <c r="AA37" i="1"/>
  <c r="AE37" i="1"/>
  <c r="AF37" i="1"/>
  <c r="AG37" i="1"/>
  <c r="AH37" i="1"/>
  <c r="AJ37" i="1"/>
  <c r="AK37" i="1"/>
  <c r="Y38" i="1"/>
  <c r="Z38" i="1"/>
  <c r="AA38" i="1"/>
  <c r="AE38" i="1"/>
  <c r="AF38" i="1"/>
  <c r="AG38" i="1"/>
  <c r="AH38" i="1"/>
  <c r="AJ38" i="1"/>
  <c r="AK38" i="1"/>
  <c r="J39" i="1"/>
  <c r="M39" i="1"/>
  <c r="X39" i="1"/>
  <c r="Y39" i="1"/>
  <c r="Z39" i="1"/>
  <c r="AA39" i="1"/>
  <c r="AE39" i="1"/>
  <c r="AF39" i="1"/>
  <c r="AG39" i="1"/>
  <c r="AH39" i="1"/>
  <c r="AJ39" i="1"/>
  <c r="AK39" i="1"/>
  <c r="X40" i="1"/>
  <c r="Y40" i="1"/>
  <c r="Z40" i="1"/>
  <c r="AA40" i="1"/>
  <c r="AE40" i="1"/>
  <c r="AF40" i="1"/>
  <c r="AG40" i="1"/>
  <c r="AH40" i="1"/>
  <c r="AJ40" i="1"/>
  <c r="AK40" i="1"/>
  <c r="X41" i="1"/>
  <c r="Y41" i="1"/>
  <c r="Z41" i="1"/>
  <c r="AA41" i="1"/>
  <c r="AE41" i="1"/>
  <c r="AF41" i="1"/>
  <c r="AG41" i="1"/>
  <c r="AH41" i="1"/>
  <c r="AJ41" i="1"/>
  <c r="AK41" i="1"/>
  <c r="J42" i="1"/>
  <c r="X42" i="1"/>
  <c r="Y42" i="1"/>
  <c r="Z42" i="1"/>
  <c r="AA42" i="1"/>
  <c r="AE42" i="1"/>
  <c r="AF42" i="1"/>
  <c r="AG42" i="1"/>
  <c r="AH42" i="1"/>
  <c r="AJ42" i="1"/>
  <c r="AK42" i="1"/>
  <c r="X43" i="1"/>
  <c r="Y43" i="1"/>
  <c r="Z43" i="1"/>
  <c r="AA43" i="1"/>
  <c r="AE43" i="1"/>
  <c r="AF43" i="1"/>
  <c r="AG43" i="1"/>
  <c r="AH43" i="1"/>
  <c r="AJ43" i="1"/>
  <c r="AK43" i="1"/>
  <c r="X44" i="1"/>
  <c r="Y44" i="1"/>
  <c r="Z44" i="1"/>
  <c r="AA44" i="1"/>
  <c r="AE44" i="1"/>
  <c r="AF44" i="1"/>
  <c r="AG44" i="1"/>
  <c r="AH44" i="1"/>
  <c r="AJ44" i="1"/>
  <c r="AK44" i="1"/>
  <c r="X45" i="1"/>
  <c r="Y45" i="1"/>
  <c r="Z45" i="1"/>
  <c r="AA45" i="1"/>
  <c r="AE45" i="1"/>
  <c r="AF45" i="1"/>
  <c r="AG45" i="1"/>
  <c r="AH45" i="1"/>
  <c r="AJ45" i="1"/>
  <c r="AK45" i="1"/>
  <c r="X46" i="1"/>
  <c r="Y46" i="1"/>
  <c r="Z46" i="1"/>
  <c r="AA46" i="1"/>
  <c r="AE46" i="1"/>
  <c r="AF46" i="1"/>
  <c r="AG46" i="1"/>
  <c r="AH46" i="1"/>
  <c r="AJ46" i="1"/>
  <c r="AK46" i="1"/>
  <c r="X47" i="1"/>
  <c r="Y47" i="1"/>
  <c r="Z47" i="1"/>
  <c r="AA47" i="1"/>
  <c r="AE47" i="1"/>
  <c r="AF47" i="1"/>
  <c r="AG47" i="1"/>
  <c r="AH47" i="1"/>
  <c r="AJ47" i="1"/>
  <c r="AK47" i="1"/>
  <c r="X48" i="1"/>
  <c r="Y48" i="1"/>
  <c r="Z48" i="1"/>
  <c r="AA48" i="1"/>
  <c r="AE48" i="1"/>
  <c r="AF48" i="1"/>
  <c r="AG48" i="1"/>
  <c r="AH48" i="1"/>
  <c r="AJ48" i="1"/>
  <c r="AK48" i="1"/>
  <c r="X49" i="1"/>
  <c r="Y49" i="1"/>
  <c r="Z49" i="1"/>
  <c r="AA49" i="1"/>
  <c r="AE49" i="1"/>
  <c r="AF49" i="1"/>
  <c r="AG49" i="1"/>
  <c r="AH49" i="1"/>
  <c r="AJ49" i="1"/>
  <c r="AK49" i="1"/>
  <c r="X50" i="1"/>
  <c r="Y50" i="1"/>
  <c r="Z50" i="1"/>
  <c r="AA50" i="1"/>
  <c r="AE50" i="1"/>
  <c r="AF50" i="1"/>
  <c r="AG50" i="1"/>
  <c r="AH50" i="1"/>
  <c r="AJ50" i="1"/>
  <c r="AK50" i="1"/>
  <c r="X51" i="1"/>
  <c r="Y51" i="1"/>
  <c r="AA51" i="1"/>
  <c r="AE51" i="1"/>
  <c r="AF51" i="1"/>
  <c r="AG51" i="1"/>
  <c r="AH51" i="1"/>
  <c r="AJ51" i="1"/>
  <c r="AK51" i="1"/>
  <c r="X52" i="1"/>
  <c r="Y52" i="1"/>
  <c r="AA52" i="1"/>
  <c r="AE52" i="1"/>
  <c r="AF52" i="1"/>
  <c r="AG52" i="1"/>
  <c r="AH52" i="1"/>
  <c r="AJ52" i="1"/>
  <c r="AK52" i="1"/>
  <c r="X53" i="1"/>
  <c r="Y53" i="1"/>
  <c r="AA53" i="1"/>
  <c r="AE53" i="1"/>
  <c r="AF53" i="1"/>
  <c r="AG53" i="1"/>
  <c r="AH53" i="1"/>
  <c r="AJ53" i="1"/>
  <c r="AK53" i="1"/>
  <c r="X54" i="1"/>
  <c r="Y54" i="1"/>
  <c r="AA54" i="1"/>
  <c r="AE54" i="1"/>
  <c r="AF54" i="1"/>
  <c r="AG54" i="1"/>
  <c r="AH54" i="1"/>
  <c r="AJ54" i="1"/>
  <c r="AK54" i="1"/>
  <c r="X55" i="1"/>
  <c r="Y55" i="1"/>
  <c r="AA55" i="1"/>
  <c r="AE55" i="1"/>
  <c r="AF55" i="1"/>
  <c r="AG55" i="1"/>
  <c r="AH55" i="1"/>
  <c r="AJ55" i="1"/>
  <c r="AK55" i="1"/>
  <c r="X56" i="1"/>
  <c r="Y56" i="1"/>
  <c r="AA56" i="1"/>
  <c r="AE56" i="1"/>
  <c r="AF56" i="1"/>
  <c r="AG56" i="1"/>
  <c r="AH56" i="1"/>
  <c r="AJ56" i="1"/>
  <c r="AK56" i="1"/>
  <c r="X57" i="1"/>
  <c r="Y57" i="1"/>
  <c r="Z57" i="1"/>
  <c r="AA57" i="1"/>
  <c r="AE57" i="1"/>
  <c r="AF57" i="1"/>
  <c r="AG57" i="1"/>
  <c r="AH57" i="1"/>
  <c r="AJ57" i="1"/>
  <c r="AK57" i="1"/>
  <c r="X58" i="1"/>
  <c r="Y58" i="1"/>
  <c r="Z58" i="1"/>
  <c r="AA58" i="1"/>
  <c r="AE58" i="1"/>
  <c r="AF58" i="1"/>
  <c r="AG58" i="1"/>
  <c r="AH58" i="1"/>
  <c r="AJ58" i="1"/>
  <c r="AK58" i="1"/>
  <c r="J14" i="2"/>
  <c r="J9" i="5"/>
  <c r="J14" i="3"/>
  <c r="J14" i="5"/>
  <c r="J11" i="4"/>
  <c r="J14" i="4"/>
  <c r="J10" i="3"/>
  <c r="J10" i="4"/>
  <c r="J11" i="5"/>
  <c r="J11" i="2"/>
  <c r="J34" i="2"/>
  <c r="AH39" i="20"/>
  <c r="Y47" i="3"/>
  <c r="AJ56" i="20"/>
  <c r="Y37" i="6"/>
  <c r="AY36" i="20"/>
  <c r="Z35" i="21"/>
  <c r="AL30" i="20"/>
  <c r="Y44" i="4"/>
  <c r="AC34" i="20"/>
  <c r="X40" i="6"/>
  <c r="BF10" i="20"/>
  <c r="AA14" i="21"/>
  <c r="BF46" i="20"/>
  <c r="AA51" i="21"/>
  <c r="Y37" i="21"/>
  <c r="BF56" i="20"/>
  <c r="AA37" i="21"/>
  <c r="J33" i="3"/>
  <c r="J33" i="6"/>
  <c r="AC25" i="20"/>
  <c r="X34" i="6"/>
  <c r="AE25" i="20"/>
  <c r="X34" i="4"/>
  <c r="AI25" i="20"/>
  <c r="Y34" i="5"/>
  <c r="AL25" i="20"/>
  <c r="Y34" i="4"/>
  <c r="AJ25" i="20"/>
  <c r="Y34" i="6"/>
  <c r="AH25" i="20"/>
  <c r="Y34" i="3"/>
  <c r="DB34" i="3"/>
  <c r="AA25" i="20"/>
  <c r="X34" i="3"/>
  <c r="AB25" i="20"/>
  <c r="X34" i="5"/>
  <c r="AL5" i="20"/>
  <c r="Y12" i="4"/>
  <c r="AH5" i="20"/>
  <c r="Y12" i="3"/>
  <c r="DB12" i="3"/>
  <c r="J14" i="21"/>
  <c r="J10" i="21"/>
  <c r="J21" i="21"/>
  <c r="J25" i="21"/>
  <c r="Z26" i="21"/>
  <c r="J36" i="3"/>
  <c r="J14" i="6"/>
  <c r="Z54" i="21"/>
  <c r="J37" i="2"/>
  <c r="J13" i="2"/>
  <c r="J9" i="21"/>
  <c r="AY10" i="20"/>
  <c r="Z14" i="21"/>
  <c r="J13" i="21"/>
  <c r="J24" i="21"/>
  <c r="AY45" i="20"/>
  <c r="Z55" i="21"/>
  <c r="X46" i="21"/>
  <c r="AM46" i="21"/>
  <c r="J24" i="5"/>
  <c r="J21" i="3"/>
  <c r="J25" i="3"/>
  <c r="J21" i="5"/>
  <c r="J19" i="2"/>
  <c r="J24" i="4"/>
  <c r="J22" i="1"/>
  <c r="M22" i="1"/>
  <c r="J21" i="2"/>
  <c r="J25" i="4"/>
  <c r="J21" i="6"/>
  <c r="J24" i="2"/>
  <c r="J21" i="4"/>
  <c r="J35" i="2"/>
  <c r="J36" i="2"/>
  <c r="J25" i="6"/>
  <c r="J36" i="5"/>
  <c r="J35" i="4"/>
  <c r="J36" i="4"/>
  <c r="J24" i="6"/>
  <c r="J26" i="2"/>
  <c r="J19" i="6"/>
  <c r="J19" i="3"/>
  <c r="J25" i="5"/>
  <c r="J19" i="5"/>
  <c r="J25" i="2"/>
  <c r="J35" i="6"/>
  <c r="J26" i="3"/>
  <c r="J26" i="6"/>
  <c r="J26" i="5"/>
  <c r="J27" i="1"/>
  <c r="J24" i="1"/>
  <c r="M24" i="1"/>
  <c r="J26" i="1"/>
  <c r="J41" i="1"/>
  <c r="M41" i="1"/>
  <c r="J40" i="1"/>
  <c r="J36" i="21"/>
  <c r="J26" i="4"/>
  <c r="J35" i="21"/>
  <c r="J24" i="3"/>
  <c r="J36" i="6"/>
  <c r="J26" i="21"/>
  <c r="J35" i="5"/>
  <c r="J19" i="21"/>
  <c r="J35" i="3"/>
  <c r="J19" i="4"/>
  <c r="BF8" i="20"/>
  <c r="AA17" i="21"/>
  <c r="Y17" i="21"/>
  <c r="X55" i="2"/>
  <c r="AY55" i="20"/>
  <c r="Z21" i="21"/>
  <c r="X21" i="21"/>
  <c r="BF25" i="20"/>
  <c r="AA34" i="21"/>
  <c r="AH34" i="20"/>
  <c r="Y40" i="3"/>
  <c r="DB40" i="3"/>
  <c r="AL34" i="20"/>
  <c r="Y40" i="4"/>
  <c r="AJ34" i="20"/>
  <c r="Y40" i="6"/>
  <c r="AB34" i="20"/>
  <c r="X40" i="5"/>
  <c r="AA34" i="20"/>
  <c r="X40" i="3"/>
  <c r="AI34" i="20"/>
  <c r="Y40" i="5"/>
  <c r="J9" i="4"/>
  <c r="J9" i="6"/>
  <c r="J9" i="1"/>
  <c r="M9" i="1"/>
  <c r="J12" i="1"/>
  <c r="M12" i="1"/>
  <c r="J11" i="6"/>
  <c r="J15" i="1"/>
  <c r="M15" i="1"/>
  <c r="J9" i="2"/>
  <c r="J10" i="6"/>
  <c r="J10" i="5"/>
  <c r="J14" i="1"/>
  <c r="M14" i="1"/>
  <c r="J9" i="3"/>
  <c r="J10" i="1"/>
  <c r="AE38" i="20"/>
  <c r="X46" i="4"/>
  <c r="AJ38" i="20"/>
  <c r="Y46" i="6"/>
  <c r="AI38" i="20"/>
  <c r="Y46" i="5"/>
  <c r="J16" i="5"/>
  <c r="AL56" i="20"/>
  <c r="Y37" i="4"/>
  <c r="BW7" i="2"/>
  <c r="BU7" i="1"/>
  <c r="C44" i="13"/>
  <c r="B5" i="13"/>
  <c r="C33" i="13"/>
  <c r="C25" i="13"/>
  <c r="B31" i="13"/>
  <c r="B40" i="13"/>
  <c r="B46" i="13"/>
  <c r="C40" i="13"/>
  <c r="B29" i="13"/>
  <c r="B15" i="13"/>
  <c r="B42" i="13"/>
  <c r="D26" i="13"/>
  <c r="C47" i="13"/>
  <c r="C21" i="13"/>
  <c r="C22" i="13"/>
  <c r="B9" i="13"/>
  <c r="C24" i="13"/>
  <c r="B19" i="13"/>
  <c r="B4" i="13"/>
  <c r="B18" i="13"/>
  <c r="B11" i="13"/>
  <c r="C8" i="13"/>
  <c r="C52" i="13"/>
  <c r="B43" i="13"/>
  <c r="C27" i="13"/>
  <c r="C34" i="13"/>
  <c r="B32" i="13"/>
  <c r="C18" i="13"/>
  <c r="C51" i="13"/>
  <c r="C38" i="13"/>
  <c r="C23" i="13"/>
  <c r="C19" i="13"/>
  <c r="B25" i="13"/>
  <c r="C30" i="13"/>
  <c r="B44" i="13"/>
  <c r="C45" i="13"/>
  <c r="C12" i="13"/>
  <c r="B26" i="13"/>
  <c r="C13" i="13"/>
  <c r="B47" i="13"/>
  <c r="B14" i="13"/>
  <c r="C7" i="13"/>
  <c r="C9" i="13"/>
  <c r="B10" i="13"/>
  <c r="B52" i="13"/>
  <c r="B33" i="13"/>
  <c r="B22" i="13"/>
  <c r="C5" i="13"/>
  <c r="C4" i="13"/>
  <c r="B6" i="13"/>
  <c r="C31" i="13"/>
  <c r="C14" i="13"/>
  <c r="C16" i="13"/>
  <c r="B51" i="13"/>
  <c r="B45" i="13"/>
  <c r="C46" i="13"/>
  <c r="B8" i="13"/>
  <c r="B7" i="13"/>
  <c r="B36" i="13"/>
  <c r="B17" i="13"/>
  <c r="C49" i="13"/>
  <c r="B35" i="13"/>
  <c r="C17" i="13"/>
  <c r="B28" i="13"/>
  <c r="B23" i="13"/>
  <c r="C29" i="13"/>
  <c r="B30" i="13"/>
  <c r="B27" i="13"/>
  <c r="B39" i="13"/>
  <c r="B34" i="13"/>
  <c r="B3" i="13"/>
  <c r="C26" i="13"/>
  <c r="B48" i="13"/>
  <c r="C37" i="13"/>
  <c r="B21" i="13"/>
  <c r="B24" i="13"/>
  <c r="C3" i="13"/>
  <c r="C11" i="13"/>
  <c r="B50" i="13"/>
  <c r="C36" i="13"/>
  <c r="C42" i="13"/>
  <c r="B12" i="13"/>
  <c r="C35" i="13"/>
  <c r="B13" i="13"/>
  <c r="B41" i="13"/>
  <c r="C50" i="13"/>
  <c r="B49" i="13"/>
  <c r="C41" i="13"/>
  <c r="C48" i="13"/>
  <c r="B37" i="13"/>
  <c r="AB56" i="20"/>
  <c r="X37" i="5"/>
  <c r="AE56" i="20"/>
  <c r="X37" i="4"/>
  <c r="AA56" i="20"/>
  <c r="X37" i="3"/>
  <c r="AE47" i="20"/>
  <c r="X56" i="4"/>
  <c r="AL15" i="20"/>
  <c r="Y22" i="4"/>
  <c r="B20" i="13"/>
  <c r="C28" i="13"/>
  <c r="B38" i="13"/>
  <c r="AB43" i="20"/>
  <c r="X54" i="5"/>
  <c r="AJ43" i="20"/>
  <c r="Y54" i="6"/>
  <c r="BF15" i="20"/>
  <c r="AA22" i="21"/>
  <c r="AL43" i="20"/>
  <c r="Y54" i="4"/>
  <c r="AH43" i="20"/>
  <c r="Y54" i="3"/>
  <c r="DB54" i="3"/>
  <c r="X38" i="21"/>
  <c r="BF34" i="20"/>
  <c r="AA40" i="21"/>
  <c r="X49" i="21"/>
  <c r="X28" i="2"/>
  <c r="X53" i="21"/>
  <c r="AE18" i="20"/>
  <c r="X53" i="4"/>
  <c r="AI18" i="20"/>
  <c r="Y53" i="5"/>
  <c r="Y43" i="21"/>
  <c r="BF38" i="20"/>
  <c r="AA46" i="21"/>
  <c r="Y32" i="21"/>
  <c r="AM32" i="21"/>
  <c r="AM57" i="1"/>
  <c r="AM10" i="2"/>
  <c r="AM9" i="2"/>
  <c r="AM11" i="2"/>
  <c r="AM54" i="6"/>
  <c r="AA8" i="20"/>
  <c r="X17" i="3"/>
  <c r="AM17" i="3"/>
  <c r="AB18" i="20"/>
  <c r="X53" i="5"/>
  <c r="AM53" i="5"/>
  <c r="AI48" i="20"/>
  <c r="Y57" i="5"/>
  <c r="AA48" i="20"/>
  <c r="X57" i="3"/>
  <c r="DA57" i="3"/>
  <c r="J45" i="3"/>
  <c r="AJ59" i="20"/>
  <c r="Y23" i="6"/>
  <c r="AB48" i="20"/>
  <c r="X57" i="5"/>
  <c r="AC9" i="20"/>
  <c r="X15" i="6"/>
  <c r="AL18" i="20"/>
  <c r="Y53" i="4"/>
  <c r="AM53" i="4"/>
  <c r="AC18" i="20"/>
  <c r="X53" i="6"/>
  <c r="J52" i="3"/>
  <c r="AI8" i="20"/>
  <c r="Y17" i="5"/>
  <c r="AL48" i="20"/>
  <c r="Y57" i="4"/>
  <c r="X47" i="2"/>
  <c r="AM47" i="2"/>
  <c r="J52" i="5"/>
  <c r="J46" i="4"/>
  <c r="J42" i="5"/>
  <c r="AC48" i="20"/>
  <c r="X57" i="6"/>
  <c r="X42" i="2"/>
  <c r="AM42" i="2"/>
  <c r="J44" i="6"/>
  <c r="J31" i="6"/>
  <c r="Y36" i="21"/>
  <c r="AM36" i="21"/>
  <c r="X47" i="21"/>
  <c r="J48" i="2"/>
  <c r="AA39" i="20"/>
  <c r="AU39" i="20"/>
  <c r="AV39" i="20"/>
  <c r="AJ40" i="20"/>
  <c r="Y48" i="6"/>
  <c r="AA49" i="20"/>
  <c r="X58" i="3"/>
  <c r="DA58" i="3"/>
  <c r="AH18" i="20"/>
  <c r="Y53" i="3"/>
  <c r="DB53" i="3"/>
  <c r="X53" i="2"/>
  <c r="AM53" i="2"/>
  <c r="AJ18" i="20"/>
  <c r="Y53" i="6"/>
  <c r="J47" i="5"/>
  <c r="AJ31" i="20"/>
  <c r="Y42" i="6"/>
  <c r="J51" i="21"/>
  <c r="AJ39" i="20"/>
  <c r="Y47" i="6"/>
  <c r="AL9" i="20"/>
  <c r="Y15" i="4"/>
  <c r="AM28" i="2"/>
  <c r="J51" i="4"/>
  <c r="J22" i="3"/>
  <c r="J42" i="21"/>
  <c r="J55" i="21"/>
  <c r="AE39" i="20"/>
  <c r="X47" i="4"/>
  <c r="AI39" i="20"/>
  <c r="Y47" i="5"/>
  <c r="AI32" i="20"/>
  <c r="Y39" i="5"/>
  <c r="AM39" i="5"/>
  <c r="AE9" i="20"/>
  <c r="X15" i="4"/>
  <c r="J58" i="5"/>
  <c r="J44" i="2"/>
  <c r="J47" i="4"/>
  <c r="J31" i="1"/>
  <c r="M31" i="1"/>
  <c r="J52" i="1"/>
  <c r="M52" i="1"/>
  <c r="J45" i="1"/>
  <c r="M45" i="1"/>
  <c r="J49" i="3"/>
  <c r="J38" i="5"/>
  <c r="J53" i="3"/>
  <c r="AL49" i="20"/>
  <c r="Y58" i="4"/>
  <c r="BF47" i="20"/>
  <c r="AA56" i="21"/>
  <c r="J54" i="21"/>
  <c r="BF30" i="20"/>
  <c r="AA44" i="21"/>
  <c r="J46" i="2"/>
  <c r="J45" i="6"/>
  <c r="J45" i="5"/>
  <c r="AT40" i="20"/>
  <c r="Z54" i="1"/>
  <c r="X41" i="21"/>
  <c r="AL32" i="20"/>
  <c r="Y39" i="4"/>
  <c r="J39" i="6"/>
  <c r="J34" i="1"/>
  <c r="M34" i="1"/>
  <c r="J50" i="6"/>
  <c r="J54" i="5"/>
  <c r="J47" i="1"/>
  <c r="M47" i="1"/>
  <c r="J32" i="1"/>
  <c r="M32" i="1"/>
  <c r="J40" i="3"/>
  <c r="J55" i="4"/>
  <c r="J52" i="2"/>
  <c r="J38" i="6"/>
  <c r="X58" i="2"/>
  <c r="AM58" i="2"/>
  <c r="J22" i="4"/>
  <c r="J48" i="21"/>
  <c r="J39" i="21"/>
  <c r="J57" i="21"/>
  <c r="J57" i="5"/>
  <c r="J47" i="2"/>
  <c r="J42" i="3"/>
  <c r="AH40" i="20"/>
  <c r="Y48" i="3"/>
  <c r="J39" i="4"/>
  <c r="J58" i="2"/>
  <c r="J54" i="3"/>
  <c r="X37" i="21"/>
  <c r="AC32" i="20"/>
  <c r="X39" i="6"/>
  <c r="J48" i="3"/>
  <c r="J51" i="5"/>
  <c r="J22" i="21"/>
  <c r="AE40" i="20"/>
  <c r="X48" i="4"/>
  <c r="AA9" i="20"/>
  <c r="X15" i="3"/>
  <c r="AA32" i="20"/>
  <c r="X39" i="3"/>
  <c r="DA39" i="3"/>
  <c r="AJ32" i="20"/>
  <c r="Y39" i="6"/>
  <c r="AH32" i="20"/>
  <c r="Y39" i="3"/>
  <c r="DB39" i="3"/>
  <c r="Y47" i="21"/>
  <c r="J48" i="4"/>
  <c r="J40" i="4"/>
  <c r="J58" i="6"/>
  <c r="J53" i="4"/>
  <c r="J42" i="6"/>
  <c r="J51" i="2"/>
  <c r="J44" i="5"/>
  <c r="J55" i="2"/>
  <c r="J49" i="2"/>
  <c r="J48" i="5"/>
  <c r="AC49" i="20"/>
  <c r="X58" i="6"/>
  <c r="J32" i="21"/>
  <c r="J49" i="21"/>
  <c r="J53" i="2"/>
  <c r="J39" i="3"/>
  <c r="J32" i="2"/>
  <c r="AL40" i="20"/>
  <c r="Y48" i="4"/>
  <c r="Y11" i="21"/>
  <c r="AM11" i="21"/>
  <c r="J43" i="3"/>
  <c r="J46" i="5"/>
  <c r="X39" i="2"/>
  <c r="AM39" i="2"/>
  <c r="AJ9" i="20"/>
  <c r="Y15" i="6"/>
  <c r="J43" i="6"/>
  <c r="J53" i="5"/>
  <c r="J56" i="3"/>
  <c r="J46" i="3"/>
  <c r="J32" i="3"/>
  <c r="J31" i="4"/>
  <c r="J47" i="3"/>
  <c r="J49" i="5"/>
  <c r="J45" i="4"/>
  <c r="BX7" i="4"/>
  <c r="AI49" i="20"/>
  <c r="Y58" i="5"/>
  <c r="J22" i="6"/>
  <c r="J50" i="4"/>
  <c r="J38" i="21"/>
  <c r="J46" i="6"/>
  <c r="J41" i="6"/>
  <c r="J55" i="3"/>
  <c r="J49" i="1"/>
  <c r="M49" i="1"/>
  <c r="J58" i="3"/>
  <c r="J43" i="2"/>
  <c r="J54" i="4"/>
  <c r="J52" i="6"/>
  <c r="AB49" i="20"/>
  <c r="X58" i="5"/>
  <c r="J45" i="21"/>
  <c r="J40" i="21"/>
  <c r="J40" i="5"/>
  <c r="J56" i="5"/>
  <c r="J44" i="4"/>
  <c r="J55" i="1"/>
  <c r="M55" i="1"/>
  <c r="AH9" i="20"/>
  <c r="Y15" i="3"/>
  <c r="DB15" i="3"/>
  <c r="J50" i="2"/>
  <c r="J56" i="2"/>
  <c r="J43" i="5"/>
  <c r="J41" i="5"/>
  <c r="J56" i="6"/>
  <c r="J39" i="2"/>
  <c r="J40" i="6"/>
  <c r="J49" i="4"/>
  <c r="J40" i="2"/>
  <c r="BX7" i="2"/>
  <c r="AH49" i="20"/>
  <c r="Y58" i="3"/>
  <c r="DB58" i="3"/>
  <c r="J22" i="5"/>
  <c r="J58" i="4"/>
  <c r="J52" i="21"/>
  <c r="J45" i="2"/>
  <c r="J56" i="21"/>
  <c r="J57" i="2"/>
  <c r="J38" i="4"/>
  <c r="AC40" i="20"/>
  <c r="X48" i="6"/>
  <c r="X48" i="2"/>
  <c r="AM48" i="2"/>
  <c r="AE32" i="20"/>
  <c r="X39" i="4"/>
  <c r="J49" i="6"/>
  <c r="J53" i="6"/>
  <c r="J52" i="4"/>
  <c r="J54" i="1"/>
  <c r="M54" i="1"/>
  <c r="J39" i="5"/>
  <c r="J31" i="5"/>
  <c r="J32" i="4"/>
  <c r="J42" i="4"/>
  <c r="J55" i="6"/>
  <c r="J54" i="6"/>
  <c r="AJ49" i="20"/>
  <c r="Y58" i="6"/>
  <c r="J22" i="2"/>
  <c r="J43" i="21"/>
  <c r="J58" i="21"/>
  <c r="J41" i="4"/>
  <c r="J41" i="3"/>
  <c r="J57" i="3"/>
  <c r="J57" i="1"/>
  <c r="M57" i="1"/>
  <c r="J51" i="1"/>
  <c r="M51" i="1"/>
  <c r="J48" i="1"/>
  <c r="X52" i="2"/>
  <c r="AM52" i="2"/>
  <c r="AJ23" i="20"/>
  <c r="Y52" i="6"/>
  <c r="AJ5" i="20"/>
  <c r="Y12" i="6"/>
  <c r="AE27" i="20"/>
  <c r="X28" i="4"/>
  <c r="X29" i="2"/>
  <c r="AM29" i="2"/>
  <c r="Y50" i="21"/>
  <c r="AE45" i="20"/>
  <c r="X55" i="4"/>
  <c r="AY11" i="20"/>
  <c r="Z36" i="21"/>
  <c r="J18" i="4"/>
  <c r="AB28" i="20"/>
  <c r="X41" i="5"/>
  <c r="AE15" i="20"/>
  <c r="X22" i="4"/>
  <c r="AC27" i="20"/>
  <c r="X28" i="6"/>
  <c r="AB45" i="20"/>
  <c r="X55" i="5"/>
  <c r="AY4" i="20"/>
  <c r="Z29" i="21"/>
  <c r="AY21" i="20"/>
  <c r="Z9" i="21"/>
  <c r="AJ28" i="20"/>
  <c r="Y41" i="6"/>
  <c r="X18" i="21"/>
  <c r="AI15" i="20"/>
  <c r="Y22" i="5"/>
  <c r="AJ29" i="20"/>
  <c r="Y43" i="6"/>
  <c r="J19" i="1"/>
  <c r="M19" i="1"/>
  <c r="AH45" i="20"/>
  <c r="Y55" i="3"/>
  <c r="DB55" i="3"/>
  <c r="AY50" i="20"/>
  <c r="Z31" i="21"/>
  <c r="X57" i="21"/>
  <c r="J15" i="2"/>
  <c r="AI43" i="20"/>
  <c r="Y54" i="5"/>
  <c r="AM54" i="5"/>
  <c r="X44" i="21"/>
  <c r="AH28" i="20"/>
  <c r="Y41" i="3"/>
  <c r="DB41" i="3"/>
  <c r="Y54" i="21"/>
  <c r="AM54" i="21"/>
  <c r="BF32" i="20"/>
  <c r="AA39" i="21"/>
  <c r="Y16" i="21"/>
  <c r="AA29" i="20"/>
  <c r="X43" i="3"/>
  <c r="DA43" i="3"/>
  <c r="X52" i="21"/>
  <c r="AB4" i="20"/>
  <c r="X29" i="5"/>
  <c r="J20" i="6"/>
  <c r="AC4" i="20"/>
  <c r="X29" i="6"/>
  <c r="AI5" i="20"/>
  <c r="Y12" i="5"/>
  <c r="AM12" i="5"/>
  <c r="AE5" i="20"/>
  <c r="X12" i="4"/>
  <c r="AM12" i="4"/>
  <c r="AA5" i="20"/>
  <c r="X12" i="3"/>
  <c r="AH15" i="20"/>
  <c r="Y22" i="3"/>
  <c r="DB22" i="3"/>
  <c r="AM41" i="1"/>
  <c r="AM15" i="2"/>
  <c r="E280" i="9"/>
  <c r="AL10" i="20"/>
  <c r="Y14" i="4"/>
  <c r="AY24" i="20"/>
  <c r="Z32" i="21"/>
  <c r="BW7" i="6"/>
  <c r="AA45" i="20"/>
  <c r="X55" i="3"/>
  <c r="DA55" i="3"/>
  <c r="J16" i="21"/>
  <c r="AC28" i="20"/>
  <c r="X41" i="6"/>
  <c r="AE23" i="20"/>
  <c r="X52" i="4"/>
  <c r="Y12" i="21"/>
  <c r="AH24" i="20"/>
  <c r="Y32" i="3"/>
  <c r="AC45" i="20"/>
  <c r="X55" i="6"/>
  <c r="AE28" i="20"/>
  <c r="X41" i="4"/>
  <c r="AM41" i="4"/>
  <c r="AE55" i="20"/>
  <c r="X21" i="4"/>
  <c r="J35" i="1"/>
  <c r="M35" i="1"/>
  <c r="AM45" i="2"/>
  <c r="X32" i="2"/>
  <c r="AM32" i="2"/>
  <c r="AI45" i="20"/>
  <c r="Y55" i="5"/>
  <c r="Y19" i="21"/>
  <c r="AI28" i="20"/>
  <c r="Y41" i="5"/>
  <c r="D25" i="13"/>
  <c r="E25" i="13"/>
  <c r="AJ45" i="20"/>
  <c r="Y55" i="6"/>
  <c r="J18" i="21"/>
  <c r="AA28" i="20"/>
  <c r="X41" i="3"/>
  <c r="DA41" i="3"/>
  <c r="X21" i="2"/>
  <c r="AM21" i="2"/>
  <c r="AC5" i="20"/>
  <c r="X12" i="6"/>
  <c r="BY7" i="3"/>
  <c r="BY7" i="5"/>
  <c r="AM40" i="4"/>
  <c r="J33" i="4"/>
  <c r="AC33" i="20"/>
  <c r="X38" i="6"/>
  <c r="G312" i="12"/>
  <c r="AE52" i="20"/>
  <c r="X16" i="4"/>
  <c r="AM20" i="6"/>
  <c r="AM24" i="5"/>
  <c r="Y58" i="21"/>
  <c r="D41" i="13"/>
  <c r="E41" i="13"/>
  <c r="D13" i="13"/>
  <c r="E13" i="13"/>
  <c r="J23" i="4"/>
  <c r="J27" i="6"/>
  <c r="BW7" i="5"/>
  <c r="BW7" i="21"/>
  <c r="X23" i="21"/>
  <c r="J23" i="5"/>
  <c r="Y52" i="21"/>
  <c r="AM37" i="1"/>
  <c r="BR7" i="2"/>
  <c r="AB11" i="20"/>
  <c r="X36" i="5"/>
  <c r="AM33" i="21"/>
  <c r="BW7" i="3"/>
  <c r="X48" i="3"/>
  <c r="DA48" i="3"/>
  <c r="AH50" i="20"/>
  <c r="Y31" i="3"/>
  <c r="DB31" i="3"/>
  <c r="AZ15" i="20"/>
  <c r="Z22" i="4"/>
  <c r="AV15" i="20"/>
  <c r="Z22" i="3"/>
  <c r="AY15" i="20"/>
  <c r="Z22" i="21"/>
  <c r="AW15" i="20"/>
  <c r="Z22" i="5"/>
  <c r="AX15" i="20"/>
  <c r="Z22" i="6"/>
  <c r="D50" i="13"/>
  <c r="D30" i="13"/>
  <c r="BW7" i="1"/>
  <c r="J28" i="5"/>
  <c r="AM20" i="5"/>
  <c r="F13" i="8"/>
  <c r="BG7" i="21"/>
  <c r="C98" i="12"/>
  <c r="E280" i="10"/>
  <c r="C76" i="10"/>
  <c r="C178" i="10"/>
  <c r="AM33" i="1"/>
  <c r="AM30" i="21"/>
  <c r="AM19" i="1"/>
  <c r="AM30" i="2"/>
  <c r="AM20" i="2"/>
  <c r="AM21" i="1"/>
  <c r="AM55" i="21"/>
  <c r="AM10" i="21"/>
  <c r="AM25" i="21"/>
  <c r="AM30" i="5"/>
  <c r="J20" i="1"/>
  <c r="M20" i="1"/>
  <c r="X18" i="2"/>
  <c r="AM18" i="2"/>
  <c r="X42" i="21"/>
  <c r="AM42" i="21"/>
  <c r="AL27" i="20"/>
  <c r="Y28" i="4"/>
  <c r="D36" i="13"/>
  <c r="E36" i="13"/>
  <c r="D4" i="13"/>
  <c r="E4" i="13"/>
  <c r="D44" i="13"/>
  <c r="E44" i="13"/>
  <c r="D9" i="13"/>
  <c r="E9" i="13"/>
  <c r="J37" i="6"/>
  <c r="J17" i="21"/>
  <c r="J17" i="5"/>
  <c r="J37" i="21"/>
  <c r="J23" i="1"/>
  <c r="X27" i="2"/>
  <c r="AM27" i="2"/>
  <c r="D31" i="13"/>
  <c r="E31" i="13"/>
  <c r="D29" i="13"/>
  <c r="E29" i="13"/>
  <c r="D11" i="13"/>
  <c r="E11" i="13"/>
  <c r="D33" i="13"/>
  <c r="E33" i="13"/>
  <c r="AJ27" i="20"/>
  <c r="Y28" i="6"/>
  <c r="D3" i="13"/>
  <c r="E3" i="13"/>
  <c r="D8" i="13"/>
  <c r="D49" i="13"/>
  <c r="D48" i="13"/>
  <c r="E48" i="13"/>
  <c r="D34" i="13"/>
  <c r="E34" i="13"/>
  <c r="D12" i="13"/>
  <c r="D6" i="13"/>
  <c r="J20" i="4"/>
  <c r="J20" i="21"/>
  <c r="J17" i="2"/>
  <c r="J20" i="5"/>
  <c r="J37" i="3"/>
  <c r="C144" i="9"/>
  <c r="C76" i="9"/>
  <c r="C144" i="10"/>
  <c r="H280" i="10"/>
  <c r="H280" i="11"/>
  <c r="C110" i="11"/>
  <c r="I9" i="12"/>
  <c r="C9" i="12"/>
  <c r="D38" i="13"/>
  <c r="E38" i="13"/>
  <c r="AI27" i="20"/>
  <c r="Y28" i="5"/>
  <c r="D35" i="13"/>
  <c r="E35" i="13"/>
  <c r="D10" i="13"/>
  <c r="D15" i="13"/>
  <c r="D16" i="13"/>
  <c r="E16" i="13"/>
  <c r="D40" i="13"/>
  <c r="E40" i="13"/>
  <c r="D18" i="13"/>
  <c r="E18" i="13"/>
  <c r="J37" i="5"/>
  <c r="J20" i="2"/>
  <c r="AM30" i="4"/>
  <c r="D20" i="13"/>
  <c r="D47" i="13"/>
  <c r="D7" i="13"/>
  <c r="E7" i="13"/>
  <c r="D28" i="13"/>
  <c r="E28" i="13"/>
  <c r="X40" i="21"/>
  <c r="AM40" i="21"/>
  <c r="J20" i="3"/>
  <c r="F15" i="8"/>
  <c r="BI7" i="5"/>
  <c r="AM9" i="3"/>
  <c r="D19" i="13"/>
  <c r="E19" i="13"/>
  <c r="D24" i="13"/>
  <c r="D14" i="13"/>
  <c r="E14" i="13"/>
  <c r="D51" i="13"/>
  <c r="E51" i="13"/>
  <c r="AY25" i="20"/>
  <c r="Z34" i="21"/>
  <c r="J37" i="4"/>
  <c r="AY54" i="20"/>
  <c r="Z19" i="21"/>
  <c r="J43" i="1"/>
  <c r="AM12" i="2"/>
  <c r="AM24" i="6"/>
  <c r="D17" i="13"/>
  <c r="E17" i="13"/>
  <c r="D46" i="13"/>
  <c r="E46" i="13"/>
  <c r="D39" i="13"/>
  <c r="D32" i="13"/>
  <c r="D42" i="13"/>
  <c r="D22" i="13"/>
  <c r="E22" i="13"/>
  <c r="J17" i="4"/>
  <c r="AM49" i="1"/>
  <c r="AM32" i="1"/>
  <c r="AM10" i="4"/>
  <c r="AM10" i="5"/>
  <c r="AM11" i="6"/>
  <c r="AM9" i="6"/>
  <c r="H280" i="9"/>
  <c r="C110" i="9"/>
  <c r="C8" i="9"/>
  <c r="D312" i="12"/>
  <c r="AM20" i="21"/>
  <c r="DA20" i="3"/>
  <c r="AM20" i="3"/>
  <c r="X24" i="21"/>
  <c r="AY6" i="20"/>
  <c r="Z33" i="21"/>
  <c r="AA47" i="20"/>
  <c r="X56" i="3"/>
  <c r="X44" i="2"/>
  <c r="AM44" i="2"/>
  <c r="AH38" i="20"/>
  <c r="Y46" i="3"/>
  <c r="DB46" i="3"/>
  <c r="BF48" i="20"/>
  <c r="AA57" i="21"/>
  <c r="J28" i="2"/>
  <c r="J27" i="21"/>
  <c r="J28" i="21"/>
  <c r="AE24" i="20"/>
  <c r="X32" i="4"/>
  <c r="BF6" i="20"/>
  <c r="AA33" i="21"/>
  <c r="AJ33" i="20"/>
  <c r="Y38" i="6"/>
  <c r="AM52" i="1"/>
  <c r="AM45" i="1"/>
  <c r="AM38" i="1"/>
  <c r="J36" i="1"/>
  <c r="AH58" i="20"/>
  <c r="Y26" i="3"/>
  <c r="DB26" i="3"/>
  <c r="AJ4" i="20"/>
  <c r="Y29" i="6"/>
  <c r="AM20" i="4"/>
  <c r="D280" i="10"/>
  <c r="C8" i="11"/>
  <c r="BX7" i="21"/>
  <c r="J28" i="6"/>
  <c r="J34" i="3"/>
  <c r="J33" i="21"/>
  <c r="AA16" i="20"/>
  <c r="X25" i="3"/>
  <c r="DA25" i="3"/>
  <c r="AC30" i="20"/>
  <c r="X44" i="6"/>
  <c r="AA33" i="20"/>
  <c r="X38" i="3"/>
  <c r="DA38" i="3"/>
  <c r="J21" i="1"/>
  <c r="X33" i="2"/>
  <c r="AM33" i="2"/>
  <c r="J17" i="3"/>
  <c r="AI30" i="20"/>
  <c r="Y44" i="5"/>
  <c r="AM44" i="5"/>
  <c r="AL38" i="20"/>
  <c r="Y46" i="4"/>
  <c r="AM46" i="4"/>
  <c r="Y41" i="21"/>
  <c r="F280" i="10"/>
  <c r="BY7" i="4"/>
  <c r="AA30" i="20"/>
  <c r="X44" i="3"/>
  <c r="DA44" i="3"/>
  <c r="AC38" i="20"/>
  <c r="X46" i="6"/>
  <c r="AM46" i="6"/>
  <c r="X43" i="21"/>
  <c r="AM43" i="21"/>
  <c r="BF31" i="20"/>
  <c r="AA42" i="21"/>
  <c r="BF40" i="20"/>
  <c r="AA48" i="21"/>
  <c r="J23" i="2"/>
  <c r="J27" i="4"/>
  <c r="J23" i="21"/>
  <c r="AJ47" i="20"/>
  <c r="Y56" i="6"/>
  <c r="AH30" i="20"/>
  <c r="Y44" i="3"/>
  <c r="DB44" i="3"/>
  <c r="AL50" i="20"/>
  <c r="Y31" i="4"/>
  <c r="AE33" i="20"/>
  <c r="X38" i="4"/>
  <c r="J38" i="1"/>
  <c r="F312" i="12"/>
  <c r="AB10" i="20"/>
  <c r="X14" i="5"/>
  <c r="AE16" i="20"/>
  <c r="X25" i="4"/>
  <c r="AM25" i="4"/>
  <c r="BY7" i="21"/>
  <c r="AA38" i="20"/>
  <c r="AU38" i="20"/>
  <c r="J29" i="1"/>
  <c r="J29" i="5"/>
  <c r="J27" i="3"/>
  <c r="J30" i="6"/>
  <c r="J30" i="21"/>
  <c r="AA24" i="20"/>
  <c r="X32" i="3"/>
  <c r="DA32" i="3"/>
  <c r="AH47" i="20"/>
  <c r="Y56" i="3"/>
  <c r="DB56" i="3"/>
  <c r="AL41" i="20"/>
  <c r="Y49" i="4"/>
  <c r="AM49" i="4"/>
  <c r="AA50" i="20"/>
  <c r="X31" i="3"/>
  <c r="DA31" i="3"/>
  <c r="AB33" i="20"/>
  <c r="X38" i="5"/>
  <c r="AM38" i="5"/>
  <c r="X49" i="2"/>
  <c r="AM49" i="2"/>
  <c r="X38" i="2"/>
  <c r="AM38" i="2"/>
  <c r="F14" i="8"/>
  <c r="BH7" i="6"/>
  <c r="Y9" i="21"/>
  <c r="AM9" i="21"/>
  <c r="J30" i="2"/>
  <c r="C212" i="10"/>
  <c r="BV7" i="1"/>
  <c r="BY7" i="2"/>
  <c r="X46" i="2"/>
  <c r="AM46" i="2"/>
  <c r="AB38" i="20"/>
  <c r="X46" i="5"/>
  <c r="AM46" i="5"/>
  <c r="AM21" i="21"/>
  <c r="J27" i="5"/>
  <c r="J30" i="3"/>
  <c r="J34" i="5"/>
  <c r="AY57" i="20"/>
  <c r="Z20" i="21"/>
  <c r="AI24" i="20"/>
  <c r="Y32" i="5"/>
  <c r="AC24" i="20"/>
  <c r="X32" i="6"/>
  <c r="AM32" i="6"/>
  <c r="AL33" i="20"/>
  <c r="Y38" i="4"/>
  <c r="F280" i="9"/>
  <c r="AM39" i="1"/>
  <c r="J37" i="1"/>
  <c r="AM22" i="1"/>
  <c r="X56" i="2"/>
  <c r="AM56" i="2"/>
  <c r="AE58" i="20"/>
  <c r="X26" i="4"/>
  <c r="AL24" i="20"/>
  <c r="Y32" i="4"/>
  <c r="AB24" i="20"/>
  <c r="X32" i="5"/>
  <c r="AB47" i="20"/>
  <c r="X56" i="5"/>
  <c r="BX7" i="1"/>
  <c r="J34" i="6"/>
  <c r="J29" i="3"/>
  <c r="J33" i="5"/>
  <c r="J23" i="6"/>
  <c r="AH33" i="20"/>
  <c r="Y38" i="3"/>
  <c r="DB38" i="3"/>
  <c r="AM53" i="1"/>
  <c r="X25" i="2"/>
  <c r="AM25" i="2"/>
  <c r="AJ54" i="20"/>
  <c r="Y19" i="6"/>
  <c r="AJ44" i="20"/>
  <c r="E26" i="13"/>
  <c r="E50" i="13"/>
  <c r="AM28" i="1"/>
  <c r="AM34" i="21"/>
  <c r="AM36" i="1"/>
  <c r="AM9" i="5"/>
  <c r="AM24" i="2"/>
  <c r="AM57" i="21"/>
  <c r="DB30" i="3"/>
  <c r="AM30" i="3"/>
  <c r="AI16" i="20"/>
  <c r="Y25" i="5"/>
  <c r="BY7" i="1"/>
  <c r="J11" i="1"/>
  <c r="M11" i="1"/>
  <c r="AM55" i="4"/>
  <c r="BF22" i="20"/>
  <c r="AA10" i="21"/>
  <c r="J29" i="6"/>
  <c r="J28" i="3"/>
  <c r="J23" i="3"/>
  <c r="J29" i="2"/>
  <c r="J10" i="2"/>
  <c r="J28" i="1"/>
  <c r="J25" i="1"/>
  <c r="X41" i="2"/>
  <c r="AM41" i="2"/>
  <c r="AM10" i="3"/>
  <c r="G280" i="11"/>
  <c r="J30" i="5"/>
  <c r="AT39" i="20"/>
  <c r="Z53" i="1"/>
  <c r="AJ58" i="20"/>
  <c r="Y26" i="6"/>
  <c r="AA54" i="20"/>
  <c r="X19" i="3"/>
  <c r="DA19" i="3"/>
  <c r="Y15" i="21"/>
  <c r="Q8" i="4"/>
  <c r="Q28" i="4" s="1"/>
  <c r="J34" i="21"/>
  <c r="J27" i="2"/>
  <c r="J28" i="4"/>
  <c r="J29" i="21"/>
  <c r="X35" i="2"/>
  <c r="AM35" i="2"/>
  <c r="AH13" i="20"/>
  <c r="Y18" i="3"/>
  <c r="DB18" i="3"/>
  <c r="AA23" i="20"/>
  <c r="X52" i="3"/>
  <c r="DA52" i="3"/>
  <c r="AE31" i="20"/>
  <c r="X42" i="4"/>
  <c r="Z42" i="20"/>
  <c r="AT42" i="20"/>
  <c r="Z56" i="1"/>
  <c r="X16" i="21"/>
  <c r="O8" i="4"/>
  <c r="O47" i="4" s="1"/>
  <c r="E47" i="13"/>
  <c r="AM16" i="1"/>
  <c r="AM24" i="3"/>
  <c r="J18" i="3"/>
  <c r="AC39" i="20"/>
  <c r="X47" i="6"/>
  <c r="AI54" i="20"/>
  <c r="Y19" i="5"/>
  <c r="AE54" i="20"/>
  <c r="X19" i="4"/>
  <c r="AM19" i="4"/>
  <c r="AA58" i="20"/>
  <c r="X26" i="3"/>
  <c r="DA26" i="3"/>
  <c r="K43" i="4"/>
  <c r="K39" i="4"/>
  <c r="K35" i="4"/>
  <c r="K31" i="4"/>
  <c r="K27" i="4"/>
  <c r="K23" i="4"/>
  <c r="K44" i="4" s="1"/>
  <c r="K19" i="4"/>
  <c r="K15" i="4"/>
  <c r="K11" i="4"/>
  <c r="K55" i="4"/>
  <c r="K51" i="4"/>
  <c r="K47" i="4"/>
  <c r="K42" i="4"/>
  <c r="K38" i="4"/>
  <c r="K34" i="4"/>
  <c r="K30" i="4"/>
  <c r="K26" i="4"/>
  <c r="K22" i="4"/>
  <c r="K18" i="4"/>
  <c r="K14" i="4"/>
  <c r="K10" i="4"/>
  <c r="K41" i="4"/>
  <c r="K37" i="4"/>
  <c r="K33" i="4"/>
  <c r="K29" i="4"/>
  <c r="K25" i="4"/>
  <c r="K21" i="4"/>
  <c r="K17" i="4"/>
  <c r="K13" i="4"/>
  <c r="K9" i="4"/>
  <c r="K57" i="4"/>
  <c r="K53" i="4"/>
  <c r="K49" i="4"/>
  <c r="K45" i="4"/>
  <c r="K46" i="4"/>
  <c r="K24" i="4"/>
  <c r="K58" i="4"/>
  <c r="K56" i="4"/>
  <c r="K12" i="4"/>
  <c r="K54" i="4"/>
  <c r="K32" i="4"/>
  <c r="K48" i="4"/>
  <c r="K20" i="4"/>
  <c r="K52" i="4"/>
  <c r="K40" i="4"/>
  <c r="K16" i="4"/>
  <c r="K50" i="4"/>
  <c r="K28" i="4"/>
  <c r="K36" i="4"/>
  <c r="AM30" i="6"/>
  <c r="J13" i="5"/>
  <c r="AC47" i="20"/>
  <c r="X56" i="6"/>
  <c r="AH54" i="20"/>
  <c r="Y19" i="3"/>
  <c r="DB19" i="3"/>
  <c r="AJ36" i="20"/>
  <c r="Y35" i="6"/>
  <c r="AH56" i="20"/>
  <c r="Y37" i="3"/>
  <c r="DB37" i="3"/>
  <c r="J8" i="1"/>
  <c r="K58" i="5"/>
  <c r="K54" i="5"/>
  <c r="K50" i="5"/>
  <c r="K46" i="5"/>
  <c r="K41" i="5"/>
  <c r="K37" i="5"/>
  <c r="K33" i="5"/>
  <c r="K29" i="5"/>
  <c r="K25" i="5"/>
  <c r="K21" i="5"/>
  <c r="K17" i="5"/>
  <c r="K13" i="5"/>
  <c r="K9" i="5"/>
  <c r="K57" i="5"/>
  <c r="K53" i="5"/>
  <c r="K49" i="5"/>
  <c r="K45" i="5"/>
  <c r="K56" i="5"/>
  <c r="K52" i="5"/>
  <c r="K48" i="5"/>
  <c r="K43" i="5"/>
  <c r="K39" i="5"/>
  <c r="K35" i="5"/>
  <c r="K31" i="5"/>
  <c r="K27" i="5"/>
  <c r="K23" i="5"/>
  <c r="K44" i="5" s="1"/>
  <c r="K19" i="5"/>
  <c r="K15" i="5"/>
  <c r="K11" i="5"/>
  <c r="K28" i="5"/>
  <c r="K18" i="5"/>
  <c r="K38" i="5"/>
  <c r="K16" i="5"/>
  <c r="K10" i="5"/>
  <c r="K30" i="5"/>
  <c r="K47" i="5"/>
  <c r="K36" i="5"/>
  <c r="K26" i="5"/>
  <c r="K51" i="5"/>
  <c r="K24" i="5"/>
  <c r="K14" i="5"/>
  <c r="K55" i="5"/>
  <c r="K34" i="5"/>
  <c r="K12" i="5"/>
  <c r="K42" i="5"/>
  <c r="K40" i="5"/>
  <c r="K32" i="5"/>
  <c r="K22" i="5"/>
  <c r="K20" i="5"/>
  <c r="AJ16" i="20"/>
  <c r="Y25" i="6"/>
  <c r="AI44" i="20"/>
  <c r="Y23" i="21"/>
  <c r="X48" i="21"/>
  <c r="AM48" i="21"/>
  <c r="L55" i="1"/>
  <c r="L47" i="1"/>
  <c r="L38" i="1"/>
  <c r="L30" i="1"/>
  <c r="L22" i="1"/>
  <c r="L14" i="1"/>
  <c r="L54" i="1"/>
  <c r="L46" i="1"/>
  <c r="L37" i="1"/>
  <c r="L29" i="1"/>
  <c r="L21" i="1"/>
  <c r="L13" i="1"/>
  <c r="L53" i="1"/>
  <c r="L45" i="1"/>
  <c r="L36" i="1"/>
  <c r="L28" i="1"/>
  <c r="L20" i="1"/>
  <c r="L12" i="1"/>
  <c r="L51" i="1"/>
  <c r="L42" i="1"/>
  <c r="L34" i="1"/>
  <c r="L26" i="1"/>
  <c r="L18" i="1"/>
  <c r="L10" i="1"/>
  <c r="L58" i="1"/>
  <c r="L50" i="1"/>
  <c r="L41" i="1"/>
  <c r="L33" i="1"/>
  <c r="L25" i="1"/>
  <c r="L17" i="1"/>
  <c r="L9" i="1"/>
  <c r="L56" i="1"/>
  <c r="L32" i="1"/>
  <c r="L11" i="1"/>
  <c r="L52" i="1"/>
  <c r="L31" i="1"/>
  <c r="L48" i="1"/>
  <c r="L15" i="1"/>
  <c r="L49" i="1"/>
  <c r="L27" i="1"/>
  <c r="L24" i="1"/>
  <c r="L39" i="1"/>
  <c r="L43" i="1"/>
  <c r="L23" i="1"/>
  <c r="L44" i="1"/>
  <c r="L16" i="1"/>
  <c r="L35" i="1"/>
  <c r="L40" i="1"/>
  <c r="L19" i="1"/>
  <c r="L57" i="1"/>
  <c r="Q8" i="6"/>
  <c r="Q42" i="6" s="1"/>
  <c r="X47" i="3"/>
  <c r="DA47" i="3"/>
  <c r="X19" i="2"/>
  <c r="AM19" i="2"/>
  <c r="AM24" i="4"/>
  <c r="J15" i="3"/>
  <c r="AL58" i="20"/>
  <c r="Y26" i="4"/>
  <c r="M8" i="2"/>
  <c r="Z47" i="2"/>
  <c r="E8" i="13"/>
  <c r="M42" i="1"/>
  <c r="AM34" i="1"/>
  <c r="AM30" i="1"/>
  <c r="AM11" i="5"/>
  <c r="BY7" i="6"/>
  <c r="C42" i="9"/>
  <c r="D280" i="11"/>
  <c r="C76" i="11"/>
  <c r="J16" i="6"/>
  <c r="AC36" i="20"/>
  <c r="X35" i="6"/>
  <c r="AI47" i="20"/>
  <c r="Y56" i="5"/>
  <c r="AI56" i="20"/>
  <c r="Y37" i="5"/>
  <c r="AB54" i="20"/>
  <c r="X19" i="5"/>
  <c r="AI59" i="20"/>
  <c r="Y23" i="5"/>
  <c r="X23" i="2"/>
  <c r="AM23" i="2"/>
  <c r="AH59" i="20"/>
  <c r="Y23" i="3"/>
  <c r="DB23" i="3"/>
  <c r="AC59" i="20"/>
  <c r="X23" i="6"/>
  <c r="AM23" i="6"/>
  <c r="AE50" i="20"/>
  <c r="X31" i="4"/>
  <c r="X31" i="2"/>
  <c r="AM31" i="2"/>
  <c r="AC50" i="20"/>
  <c r="X31" i="6"/>
  <c r="AB50" i="20"/>
  <c r="X31" i="5"/>
  <c r="AM31" i="5"/>
  <c r="AB42" i="20"/>
  <c r="X50" i="5"/>
  <c r="AH42" i="20"/>
  <c r="Y50" i="3"/>
  <c r="DB50" i="3"/>
  <c r="Y29" i="21"/>
  <c r="E42" i="13"/>
  <c r="M10" i="1"/>
  <c r="AM54" i="1"/>
  <c r="AM50" i="1"/>
  <c r="BX7" i="5"/>
  <c r="BX7" i="6"/>
  <c r="C246" i="9"/>
  <c r="D280" i="9"/>
  <c r="AC10" i="20"/>
  <c r="X14" i="6"/>
  <c r="AE10" i="20"/>
  <c r="X14" i="4"/>
  <c r="AA10" i="20"/>
  <c r="X14" i="3"/>
  <c r="DA14" i="3"/>
  <c r="AI10" i="20"/>
  <c r="Y14" i="5"/>
  <c r="X14" i="2"/>
  <c r="AM14" i="2"/>
  <c r="AJ10" i="20"/>
  <c r="Y14" i="6"/>
  <c r="BI7" i="21"/>
  <c r="AM10" i="6"/>
  <c r="C212" i="9"/>
  <c r="E280" i="11"/>
  <c r="C42" i="11"/>
  <c r="AJ30" i="20"/>
  <c r="Y44" i="6"/>
  <c r="AE30" i="20"/>
  <c r="X44" i="4"/>
  <c r="AM44" i="4"/>
  <c r="AB9" i="20"/>
  <c r="X15" i="5"/>
  <c r="AI9" i="20"/>
  <c r="Y15" i="5"/>
  <c r="AM40" i="5"/>
  <c r="AM11" i="3"/>
  <c r="AM34" i="5"/>
  <c r="AM51" i="1"/>
  <c r="AM48" i="1"/>
  <c r="J31" i="3"/>
  <c r="J33" i="1"/>
  <c r="M33" i="1"/>
  <c r="J53" i="1"/>
  <c r="M53" i="1"/>
  <c r="J43" i="4"/>
  <c r="J50" i="5"/>
  <c r="J32" i="5"/>
  <c r="J47" i="21"/>
  <c r="J46" i="21"/>
  <c r="J44" i="3"/>
  <c r="J41" i="21"/>
  <c r="J55" i="5"/>
  <c r="J42" i="2"/>
  <c r="J32" i="6"/>
  <c r="J41" i="2"/>
  <c r="J48" i="6"/>
  <c r="J38" i="3"/>
  <c r="J56" i="1"/>
  <c r="M56" i="1"/>
  <c r="J50" i="3"/>
  <c r="J46" i="1"/>
  <c r="J38" i="2"/>
  <c r="J50" i="1"/>
  <c r="J51" i="3"/>
  <c r="J44" i="1"/>
  <c r="J58" i="1"/>
  <c r="M58" i="1"/>
  <c r="J57" i="6"/>
  <c r="J57" i="4"/>
  <c r="J31" i="2"/>
  <c r="J53" i="21"/>
  <c r="J44" i="21"/>
  <c r="J31" i="21"/>
  <c r="J50" i="21"/>
  <c r="J54" i="2"/>
  <c r="J51" i="6"/>
  <c r="J47" i="6"/>
  <c r="AE29" i="20"/>
  <c r="X43" i="4"/>
  <c r="AM43" i="4"/>
  <c r="AH29" i="20"/>
  <c r="Y43" i="3"/>
  <c r="DB43" i="3"/>
  <c r="AB29" i="20"/>
  <c r="X43" i="5"/>
  <c r="X43" i="2"/>
  <c r="AM43" i="2"/>
  <c r="AM44" i="1"/>
  <c r="AA43" i="20"/>
  <c r="X54" i="3"/>
  <c r="X54" i="2"/>
  <c r="AM54" i="2"/>
  <c r="AE43" i="20"/>
  <c r="X54" i="4"/>
  <c r="AM54" i="4"/>
  <c r="AI36" i="20"/>
  <c r="Y35" i="5"/>
  <c r="AM35" i="5"/>
  <c r="AE36" i="20"/>
  <c r="X35" i="4"/>
  <c r="AH36" i="20"/>
  <c r="Y35" i="3"/>
  <c r="AL36" i="20"/>
  <c r="Y35" i="4"/>
  <c r="F16" i="8"/>
  <c r="BJ7" i="2"/>
  <c r="Y53" i="21"/>
  <c r="AM53" i="21"/>
  <c r="X45" i="21"/>
  <c r="M8" i="4"/>
  <c r="AM11" i="4"/>
  <c r="AM9" i="4"/>
  <c r="H312" i="12"/>
  <c r="BR7" i="6"/>
  <c r="F17" i="8"/>
  <c r="BK7" i="5"/>
  <c r="AM27" i="21"/>
  <c r="AM28" i="21"/>
  <c r="Y31" i="21"/>
  <c r="AM31" i="21"/>
  <c r="AM29" i="21"/>
  <c r="S8" i="1"/>
  <c r="X58" i="21"/>
  <c r="AE48" i="20"/>
  <c r="X57" i="4"/>
  <c r="X26" i="2"/>
  <c r="G280" i="9"/>
  <c r="C8" i="10"/>
  <c r="AC58" i="20"/>
  <c r="X26" i="6"/>
  <c r="AI58" i="20"/>
  <c r="Y26" i="5"/>
  <c r="AL39" i="20"/>
  <c r="Y47" i="4"/>
  <c r="J16" i="1"/>
  <c r="R8" i="1"/>
  <c r="R14" i="1" s="1"/>
  <c r="R8" i="5"/>
  <c r="R38" i="5" s="1"/>
  <c r="Q8" i="21"/>
  <c r="Q10" i="21" s="1"/>
  <c r="J12" i="4"/>
  <c r="Q8" i="1"/>
  <c r="Q32" i="1"/>
  <c r="Q8" i="3"/>
  <c r="Q57" i="3"/>
  <c r="Q8" i="5"/>
  <c r="Q21" i="5" s="1"/>
  <c r="P8" i="21"/>
  <c r="P13" i="21" s="1"/>
  <c r="AM56" i="4"/>
  <c r="D27" i="13"/>
  <c r="E27" i="13"/>
  <c r="D52" i="13"/>
  <c r="E52" i="13"/>
  <c r="D45" i="13"/>
  <c r="E45" i="13"/>
  <c r="D43" i="13"/>
  <c r="D37" i="13"/>
  <c r="D23" i="13"/>
  <c r="E23" i="13"/>
  <c r="D5" i="13"/>
  <c r="E5" i="13"/>
  <c r="C178" i="9"/>
  <c r="BP7" i="1"/>
  <c r="AE11" i="20"/>
  <c r="X36" i="4"/>
  <c r="AB23" i="20"/>
  <c r="X52" i="5"/>
  <c r="AM52" i="5"/>
  <c r="F10" i="8"/>
  <c r="F30" i="8"/>
  <c r="BS7" i="21"/>
  <c r="P8" i="1"/>
  <c r="P23" i="1"/>
  <c r="P44" i="1"/>
  <c r="O8" i="5"/>
  <c r="O56" i="5"/>
  <c r="O8" i="21"/>
  <c r="O55" i="21" s="1"/>
  <c r="F31" i="8"/>
  <c r="BT7" i="2"/>
  <c r="Y45" i="21"/>
  <c r="BF45" i="20"/>
  <c r="AA55" i="21"/>
  <c r="K8" i="1"/>
  <c r="S8" i="4"/>
  <c r="J8" i="5"/>
  <c r="N8" i="21"/>
  <c r="M8" i="21"/>
  <c r="DA40" i="3"/>
  <c r="AM40" i="3"/>
  <c r="DB14" i="3"/>
  <c r="AC8" i="20"/>
  <c r="X17" i="6"/>
  <c r="AL8" i="20"/>
  <c r="Y17" i="4"/>
  <c r="AE8" i="20"/>
  <c r="X17" i="4"/>
  <c r="AB8" i="20"/>
  <c r="X17" i="5"/>
  <c r="AM17" i="5"/>
  <c r="AJ8" i="20"/>
  <c r="Y17" i="6"/>
  <c r="X17" i="2"/>
  <c r="AM17" i="2"/>
  <c r="AH46" i="20"/>
  <c r="Y51" i="3"/>
  <c r="DB51" i="3"/>
  <c r="AA46" i="20"/>
  <c r="X51" i="3"/>
  <c r="X51" i="2"/>
  <c r="AM51" i="2"/>
  <c r="AB46" i="20"/>
  <c r="X51" i="5"/>
  <c r="AJ46" i="20"/>
  <c r="Y51" i="6"/>
  <c r="M48" i="1"/>
  <c r="AB15" i="20"/>
  <c r="X22" i="5"/>
  <c r="AJ15" i="20"/>
  <c r="Y22" i="6"/>
  <c r="AA15" i="20"/>
  <c r="X22" i="3"/>
  <c r="DA22" i="3"/>
  <c r="BF7" i="21"/>
  <c r="BF7" i="4"/>
  <c r="BF7" i="3"/>
  <c r="BD7" i="1"/>
  <c r="AC15" i="20"/>
  <c r="X22" i="6"/>
  <c r="AM19" i="21"/>
  <c r="C6" i="13"/>
  <c r="C39" i="13"/>
  <c r="C20" i="13"/>
  <c r="E20" i="13"/>
  <c r="C43" i="13"/>
  <c r="C10" i="13"/>
  <c r="C15" i="13"/>
  <c r="C32" i="13"/>
  <c r="E32" i="13"/>
  <c r="DA17" i="3"/>
  <c r="M40" i="1"/>
  <c r="AM14" i="21"/>
  <c r="BF7" i="2"/>
  <c r="AL46" i="20"/>
  <c r="Y51" i="4"/>
  <c r="AH37" i="20"/>
  <c r="Y45" i="3"/>
  <c r="DB45" i="3"/>
  <c r="AA37" i="20"/>
  <c r="AL37" i="20"/>
  <c r="Y45" i="4"/>
  <c r="E30" i="13"/>
  <c r="G280" i="10"/>
  <c r="BF7" i="6"/>
  <c r="AM40" i="6"/>
  <c r="X22" i="2"/>
  <c r="AI13" i="20"/>
  <c r="Y18" i="5"/>
  <c r="AA41" i="20"/>
  <c r="AL4" i="20"/>
  <c r="Y29" i="4"/>
  <c r="AC44" i="20"/>
  <c r="AE44" i="20"/>
  <c r="AB52" i="20"/>
  <c r="X16" i="5"/>
  <c r="AB41" i="20"/>
  <c r="X49" i="5"/>
  <c r="F32" i="8"/>
  <c r="X50" i="21"/>
  <c r="P8" i="3"/>
  <c r="F280" i="11"/>
  <c r="AL13" i="20"/>
  <c r="Y18" i="4"/>
  <c r="AM18" i="4"/>
  <c r="AC13" i="20"/>
  <c r="X18" i="6"/>
  <c r="AE35" i="20"/>
  <c r="X27" i="4"/>
  <c r="AJ41" i="20"/>
  <c r="Y49" i="6"/>
  <c r="AJ13" i="20"/>
  <c r="Y18" i="6"/>
  <c r="AT41" i="20"/>
  <c r="Z55" i="1"/>
  <c r="AJ52" i="20"/>
  <c r="Y16" i="6"/>
  <c r="BV7" i="4"/>
  <c r="AA52" i="20"/>
  <c r="X16" i="3"/>
  <c r="DA16" i="3"/>
  <c r="AB44" i="20"/>
  <c r="AC41" i="20"/>
  <c r="X49" i="6"/>
  <c r="AA13" i="20"/>
  <c r="X18" i="3"/>
  <c r="X15" i="21"/>
  <c r="O8" i="3"/>
  <c r="P8" i="5"/>
  <c r="X51" i="21"/>
  <c r="AM51" i="21"/>
  <c r="Q56" i="2"/>
  <c r="Q19" i="2"/>
  <c r="Q17" i="2"/>
  <c r="Q15" i="2"/>
  <c r="Q13" i="2"/>
  <c r="Q11" i="2"/>
  <c r="Q9" i="2"/>
  <c r="Q55" i="2"/>
  <c r="Q53" i="2"/>
  <c r="Q51" i="2"/>
  <c r="Q49" i="2"/>
  <c r="Q47" i="2"/>
  <c r="Q45" i="2"/>
  <c r="Q43" i="2"/>
  <c r="Q41" i="2"/>
  <c r="Q39" i="2"/>
  <c r="Q37" i="2"/>
  <c r="Q35" i="2"/>
  <c r="Q33" i="2"/>
  <c r="Q31" i="2"/>
  <c r="Q29" i="2"/>
  <c r="Q27" i="2"/>
  <c r="Q25" i="2"/>
  <c r="Q58" i="2"/>
  <c r="Q21" i="2"/>
  <c r="Q16" i="2"/>
  <c r="Q12" i="2"/>
  <c r="Q57" i="2"/>
  <c r="Q18" i="2"/>
  <c r="Q24" i="2"/>
  <c r="Q14" i="2"/>
  <c r="Q52" i="2"/>
  <c r="Q48" i="2"/>
  <c r="Q44" i="2"/>
  <c r="Q40" i="2"/>
  <c r="Q36" i="2"/>
  <c r="Q32" i="2"/>
  <c r="Q28" i="2"/>
  <c r="Q23" i="2"/>
  <c r="Q10" i="2"/>
  <c r="Q22" i="2"/>
  <c r="Q38" i="2"/>
  <c r="Q30" i="2"/>
  <c r="Q34" i="2"/>
  <c r="Q50" i="2"/>
  <c r="Q46" i="2"/>
  <c r="Q42" i="2"/>
  <c r="Q26" i="2"/>
  <c r="Q54" i="2"/>
  <c r="Q20" i="2"/>
  <c r="N8" i="3"/>
  <c r="BT7" i="1"/>
  <c r="J18" i="6"/>
  <c r="AB13" i="20"/>
  <c r="X18" i="5"/>
  <c r="AC31" i="20"/>
  <c r="X42" i="6"/>
  <c r="AC52" i="20"/>
  <c r="X16" i="6"/>
  <c r="AL23" i="20"/>
  <c r="Y52" i="4"/>
  <c r="AI52" i="20"/>
  <c r="Y16" i="5"/>
  <c r="AH44" i="20"/>
  <c r="AH6" i="20"/>
  <c r="Y33" i="3"/>
  <c r="AA36" i="20"/>
  <c r="X35" i="3"/>
  <c r="DA35" i="3"/>
  <c r="Y38" i="21"/>
  <c r="AM38" i="21"/>
  <c r="O8" i="1"/>
  <c r="M8" i="3"/>
  <c r="N8" i="5"/>
  <c r="L8" i="21"/>
  <c r="J16" i="3"/>
  <c r="J15" i="6"/>
  <c r="AI41" i="20"/>
  <c r="Y49" i="5"/>
  <c r="AB16" i="20"/>
  <c r="X25" i="5"/>
  <c r="AE59" i="20"/>
  <c r="X23" i="4"/>
  <c r="AM23" i="4"/>
  <c r="AI4" i="20"/>
  <c r="Y29" i="5"/>
  <c r="AA55" i="20"/>
  <c r="X21" i="3"/>
  <c r="DA21" i="3"/>
  <c r="AC23" i="20"/>
  <c r="X52" i="6"/>
  <c r="AJ50" i="20"/>
  <c r="Y31" i="6"/>
  <c r="AB31" i="20"/>
  <c r="X42" i="5"/>
  <c r="AM42" i="5"/>
  <c r="BV7" i="6"/>
  <c r="F11" i="8"/>
  <c r="X17" i="21"/>
  <c r="AM17" i="21"/>
  <c r="X39" i="21"/>
  <c r="AM39" i="21"/>
  <c r="N8" i="1"/>
  <c r="L8" i="3"/>
  <c r="M8" i="5"/>
  <c r="S8" i="21"/>
  <c r="K8" i="21"/>
  <c r="E24" i="13"/>
  <c r="X12" i="21"/>
  <c r="AM12" i="21"/>
  <c r="AH41" i="20"/>
  <c r="Y49" i="3"/>
  <c r="DB49" i="3"/>
  <c r="AC16" i="20"/>
  <c r="X25" i="6"/>
  <c r="AH16" i="20"/>
  <c r="Y25" i="3"/>
  <c r="AL52" i="20"/>
  <c r="Y16" i="4"/>
  <c r="AI29" i="20"/>
  <c r="Y43" i="5"/>
  <c r="AA44" i="20"/>
  <c r="AC54" i="20"/>
  <c r="X19" i="6"/>
  <c r="M8" i="1"/>
  <c r="S8" i="3"/>
  <c r="K8" i="3"/>
  <c r="L8" i="5"/>
  <c r="R8" i="21"/>
  <c r="E21" i="13"/>
  <c r="J13" i="4"/>
  <c r="J15" i="5"/>
  <c r="AC29" i="20"/>
  <c r="X43" i="6"/>
  <c r="AH23" i="20"/>
  <c r="Y52" i="3"/>
  <c r="X22" i="21"/>
  <c r="R8" i="3"/>
  <c r="S8" i="5"/>
  <c r="AM47" i="5"/>
  <c r="AM46" i="1"/>
  <c r="AM42" i="1"/>
  <c r="AM25" i="1"/>
  <c r="AM24" i="1"/>
  <c r="AM23" i="1"/>
  <c r="AM20" i="1"/>
  <c r="AM57" i="2"/>
  <c r="AM40" i="2"/>
  <c r="AM36" i="2"/>
  <c r="AM34" i="2"/>
  <c r="AM58" i="4"/>
  <c r="DB29" i="3"/>
  <c r="DA12" i="3"/>
  <c r="AM12" i="3"/>
  <c r="AM53" i="3"/>
  <c r="DA15" i="3"/>
  <c r="AM15" i="3"/>
  <c r="AM19" i="5"/>
  <c r="E39" i="13"/>
  <c r="AM15" i="4"/>
  <c r="AM57" i="5"/>
  <c r="AM23" i="21"/>
  <c r="AM28" i="4"/>
  <c r="AM47" i="4"/>
  <c r="AM14" i="4"/>
  <c r="AM58" i="5"/>
  <c r="AM52" i="21"/>
  <c r="AM41" i="6"/>
  <c r="AM55" i="3"/>
  <c r="AM12" i="6"/>
  <c r="AM15" i="6"/>
  <c r="AM48" i="6"/>
  <c r="AM47" i="6"/>
  <c r="AM53" i="6"/>
  <c r="DA54" i="3"/>
  <c r="AM54" i="3"/>
  <c r="AM50" i="21"/>
  <c r="AM55" i="6"/>
  <c r="AM39" i="6"/>
  <c r="AM39" i="4"/>
  <c r="AM47" i="21"/>
  <c r="AM29" i="6"/>
  <c r="AM52" i="4"/>
  <c r="AM41" i="3"/>
  <c r="AM43" i="6"/>
  <c r="AM42" i="6"/>
  <c r="S13" i="3"/>
  <c r="S31" i="3"/>
  <c r="S28" i="3"/>
  <c r="S26" i="3"/>
  <c r="S12" i="3"/>
  <c r="S42" i="3"/>
  <c r="S29" i="3"/>
  <c r="S24" i="3"/>
  <c r="S11" i="3"/>
  <c r="S33" i="3"/>
  <c r="S19" i="3"/>
  <c r="S16" i="3"/>
  <c r="S10" i="3"/>
  <c r="S50" i="3"/>
  <c r="S37" i="3"/>
  <c r="S58" i="3"/>
  <c r="S9" i="3"/>
  <c r="S49" i="3"/>
  <c r="S46" i="3"/>
  <c r="S57" i="3"/>
  <c r="S39" i="3"/>
  <c r="S21" i="3"/>
  <c r="S56" i="3"/>
  <c r="S45" i="3"/>
  <c r="S55" i="3"/>
  <c r="S51" i="3"/>
  <c r="S20" i="3"/>
  <c r="S54" i="3"/>
  <c r="S43" i="3"/>
  <c r="S53" i="3"/>
  <c r="S52" i="3"/>
  <c r="S34" i="3"/>
  <c r="S17" i="3"/>
  <c r="S48" i="3"/>
  <c r="S36" i="3"/>
  <c r="S32" i="3"/>
  <c r="S30" i="3"/>
  <c r="S15" i="3"/>
  <c r="S47" i="3"/>
  <c r="S41" i="3"/>
  <c r="S38" i="3"/>
  <c r="S35" i="3"/>
  <c r="S27" i="3"/>
  <c r="S22" i="3"/>
  <c r="S40" i="3"/>
  <c r="S25" i="3"/>
  <c r="S18" i="3"/>
  <c r="S23" i="3"/>
  <c r="S44" i="3" s="1"/>
  <c r="S14" i="3"/>
  <c r="S15" i="1"/>
  <c r="S46" i="1"/>
  <c r="S32" i="1"/>
  <c r="S14" i="1"/>
  <c r="S43" i="1"/>
  <c r="S35" i="1"/>
  <c r="S23" i="1"/>
  <c r="S44" i="1"/>
  <c r="S13" i="1"/>
  <c r="S53" i="1"/>
  <c r="S12" i="1"/>
  <c r="S40" i="1"/>
  <c r="S31" i="1"/>
  <c r="S30" i="1"/>
  <c r="S11" i="1"/>
  <c r="S42" i="1"/>
  <c r="S38" i="1"/>
  <c r="S10" i="1"/>
  <c r="S25" i="1"/>
  <c r="S58" i="1"/>
  <c r="S9" i="1"/>
  <c r="S49" i="1"/>
  <c r="S45" i="1"/>
  <c r="S57" i="1"/>
  <c r="S52" i="1"/>
  <c r="S51" i="1"/>
  <c r="S39" i="1"/>
  <c r="S56" i="1"/>
  <c r="S48" i="1"/>
  <c r="S47" i="1"/>
  <c r="S55" i="1"/>
  <c r="S26" i="1"/>
  <c r="S54" i="1"/>
  <c r="S50" i="1"/>
  <c r="S41" i="1"/>
  <c r="S34" i="1"/>
  <c r="S16" i="1"/>
  <c r="S21" i="1"/>
  <c r="S29" i="1"/>
  <c r="S27" i="1"/>
  <c r="S24" i="1"/>
  <c r="S17" i="1"/>
  <c r="S37" i="1"/>
  <c r="S36" i="1"/>
  <c r="S28" i="1"/>
  <c r="S22" i="1"/>
  <c r="S18" i="1"/>
  <c r="S33" i="1"/>
  <c r="S19" i="1"/>
  <c r="S20" i="1"/>
  <c r="S58" i="21"/>
  <c r="S9" i="21"/>
  <c r="S17" i="21"/>
  <c r="S12" i="21"/>
  <c r="S57" i="21"/>
  <c r="S23" i="21"/>
  <c r="S44" i="21" s="1"/>
  <c r="S56" i="21"/>
  <c r="S24" i="21"/>
  <c r="S55" i="21"/>
  <c r="S22" i="21"/>
  <c r="S54" i="21"/>
  <c r="S19" i="21"/>
  <c r="S53" i="21"/>
  <c r="S11" i="21"/>
  <c r="S52" i="21"/>
  <c r="S51" i="21"/>
  <c r="S25" i="21"/>
  <c r="S50" i="21"/>
  <c r="S27" i="21"/>
  <c r="S20" i="21"/>
  <c r="S49" i="21"/>
  <c r="S14" i="21"/>
  <c r="S48" i="21"/>
  <c r="S26" i="21"/>
  <c r="S47" i="21"/>
  <c r="S46" i="21"/>
  <c r="S13" i="21"/>
  <c r="S45" i="21"/>
  <c r="S16" i="21"/>
  <c r="S43" i="21"/>
  <c r="S42" i="2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10" i="21"/>
  <c r="S28" i="21"/>
  <c r="S21" i="21"/>
  <c r="S15" i="21"/>
  <c r="S18" i="21"/>
  <c r="S12" i="4"/>
  <c r="S11" i="4"/>
  <c r="S48" i="4"/>
  <c r="S43" i="4"/>
  <c r="S36" i="4"/>
  <c r="S34" i="4"/>
  <c r="S14" i="4"/>
  <c r="S10" i="4"/>
  <c r="S58" i="4"/>
  <c r="S9" i="4"/>
  <c r="S57" i="4"/>
  <c r="S29" i="4"/>
  <c r="S18" i="4"/>
  <c r="S56" i="4"/>
  <c r="S30" i="4"/>
  <c r="S28" i="4"/>
  <c r="S25" i="4"/>
  <c r="S55" i="4"/>
  <c r="S49" i="4"/>
  <c r="S33" i="4"/>
  <c r="S17" i="4"/>
  <c r="S13" i="4"/>
  <c r="S54" i="4"/>
  <c r="S45" i="4"/>
  <c r="S42" i="4"/>
  <c r="S31" i="4"/>
  <c r="S24" i="4"/>
  <c r="S53" i="4"/>
  <c r="S50" i="4"/>
  <c r="S40" i="4"/>
  <c r="S37" i="4"/>
  <c r="S19" i="4"/>
  <c r="S16" i="4"/>
  <c r="S52" i="4"/>
  <c r="S41" i="4"/>
  <c r="S35" i="4"/>
  <c r="S21" i="4"/>
  <c r="S51" i="4"/>
  <c r="S23" i="4"/>
  <c r="S44" i="4"/>
  <c r="S47" i="4"/>
  <c r="S38" i="4"/>
  <c r="S22" i="4"/>
  <c r="S46" i="4"/>
  <c r="S32" i="4"/>
  <c r="S39" i="4"/>
  <c r="S26" i="4"/>
  <c r="S27" i="4"/>
  <c r="S20" i="4"/>
  <c r="S15" i="4"/>
  <c r="S11" i="5"/>
  <c r="S47" i="5"/>
  <c r="S35" i="5"/>
  <c r="S22" i="5"/>
  <c r="S10" i="5"/>
  <c r="S58" i="5"/>
  <c r="S9" i="5"/>
  <c r="S34" i="5"/>
  <c r="S29" i="5"/>
  <c r="S57" i="5"/>
  <c r="S43" i="5"/>
  <c r="S16" i="5"/>
  <c r="S56" i="5"/>
  <c r="S41" i="5"/>
  <c r="S36" i="5"/>
  <c r="S32" i="5"/>
  <c r="S55" i="5"/>
  <c r="S40" i="5"/>
  <c r="S54" i="5"/>
  <c r="S26" i="5"/>
  <c r="S23" i="5"/>
  <c r="S44" i="5"/>
  <c r="S53" i="5"/>
  <c r="S39" i="5"/>
  <c r="S33" i="5"/>
  <c r="S14" i="5"/>
  <c r="S52" i="5"/>
  <c r="S25" i="5"/>
  <c r="S51" i="5"/>
  <c r="S42" i="5"/>
  <c r="S37" i="5"/>
  <c r="S30" i="5"/>
  <c r="S24" i="5"/>
  <c r="S50" i="5"/>
  <c r="S49" i="5"/>
  <c r="S20" i="5"/>
  <c r="S48" i="5"/>
  <c r="S31" i="5"/>
  <c r="S28" i="5"/>
  <c r="S21" i="5"/>
  <c r="S27" i="5"/>
  <c r="S46" i="5"/>
  <c r="S45" i="5"/>
  <c r="S18" i="5"/>
  <c r="S13" i="5"/>
  <c r="S38" i="5"/>
  <c r="S17" i="5"/>
  <c r="S12" i="5"/>
  <c r="S19" i="5"/>
  <c r="S15" i="5"/>
  <c r="AM41" i="21"/>
  <c r="AM38" i="6"/>
  <c r="AM41" i="5"/>
  <c r="AM55" i="5"/>
  <c r="AM39" i="3"/>
  <c r="AM52" i="6"/>
  <c r="BF7" i="1"/>
  <c r="AM58" i="3"/>
  <c r="BH7" i="2"/>
  <c r="BG7" i="2"/>
  <c r="BH7" i="3"/>
  <c r="BH7" i="4"/>
  <c r="BH7" i="21"/>
  <c r="AM31" i="4"/>
  <c r="BH7" i="1"/>
  <c r="BI7" i="1"/>
  <c r="AM29" i="5"/>
  <c r="BI7" i="2"/>
  <c r="BI7" i="3"/>
  <c r="BG7" i="1"/>
  <c r="AM44" i="3"/>
  <c r="AM58" i="21"/>
  <c r="BS7" i="3"/>
  <c r="Q29" i="3"/>
  <c r="Q41" i="5"/>
  <c r="BG7" i="3"/>
  <c r="AM31" i="3"/>
  <c r="E15" i="13"/>
  <c r="E10" i="13"/>
  <c r="BG7" i="5"/>
  <c r="AI42" i="20"/>
  <c r="Y50" i="5"/>
  <c r="AM50" i="5"/>
  <c r="BE7" i="1"/>
  <c r="C280" i="9"/>
  <c r="D281" i="9" s="1"/>
  <c r="C280" i="10"/>
  <c r="AM15" i="21"/>
  <c r="AM25" i="6"/>
  <c r="AM32" i="5"/>
  <c r="AM38" i="4"/>
  <c r="AM38" i="3"/>
  <c r="AM19" i="6"/>
  <c r="AM32" i="4"/>
  <c r="AM56" i="5"/>
  <c r="E43" i="13"/>
  <c r="P12" i="21"/>
  <c r="P33" i="21"/>
  <c r="P30" i="21"/>
  <c r="P34" i="21"/>
  <c r="P37" i="21"/>
  <c r="P10" i="21"/>
  <c r="P14" i="21"/>
  <c r="P51" i="21"/>
  <c r="P20" i="21"/>
  <c r="P15" i="21"/>
  <c r="P17" i="21"/>
  <c r="Q36" i="3"/>
  <c r="Q42" i="3"/>
  <c r="P50" i="1"/>
  <c r="Q31" i="3"/>
  <c r="BT7" i="4"/>
  <c r="BK7" i="3"/>
  <c r="Q48" i="3"/>
  <c r="Q39" i="3"/>
  <c r="BR7" i="1"/>
  <c r="BQ7" i="1"/>
  <c r="AM25" i="5"/>
  <c r="Q32" i="3"/>
  <c r="Q24" i="3"/>
  <c r="BT7" i="6"/>
  <c r="BS7" i="2"/>
  <c r="AM14" i="5"/>
  <c r="Q19" i="3"/>
  <c r="BS7" i="5"/>
  <c r="Q9" i="3"/>
  <c r="Q22" i="3"/>
  <c r="X46" i="3"/>
  <c r="DA46" i="3"/>
  <c r="AM56" i="6"/>
  <c r="BJ7" i="4"/>
  <c r="Q54" i="3"/>
  <c r="Q40" i="3"/>
  <c r="Q11" i="5"/>
  <c r="Q32" i="5"/>
  <c r="Q58" i="5"/>
  <c r="Q43" i="5"/>
  <c r="Q47" i="5"/>
  <c r="Q45" i="5"/>
  <c r="Q53" i="5"/>
  <c r="Q37" i="3"/>
  <c r="Q55" i="3"/>
  <c r="Q47" i="3"/>
  <c r="P47" i="21"/>
  <c r="Q29" i="5"/>
  <c r="Q31" i="5"/>
  <c r="Q33" i="5"/>
  <c r="Q35" i="5"/>
  <c r="Q37" i="5"/>
  <c r="Q39" i="5"/>
  <c r="Q49" i="5"/>
  <c r="Q51" i="5"/>
  <c r="Q55" i="5"/>
  <c r="Q20" i="4"/>
  <c r="Q43" i="4"/>
  <c r="Q30" i="4"/>
  <c r="Q34" i="4"/>
  <c r="Q36" i="4"/>
  <c r="Q32" i="4"/>
  <c r="O33" i="4"/>
  <c r="O11" i="4"/>
  <c r="O16" i="5"/>
  <c r="P34" i="1"/>
  <c r="O20" i="5"/>
  <c r="O10" i="4"/>
  <c r="P9" i="1"/>
  <c r="Q28" i="5"/>
  <c r="O58" i="5"/>
  <c r="O35" i="5"/>
  <c r="O21" i="4"/>
  <c r="O27" i="5"/>
  <c r="O22" i="4"/>
  <c r="O18" i="5"/>
  <c r="O24" i="4"/>
  <c r="P47" i="1"/>
  <c r="Q26" i="5"/>
  <c r="O9" i="5"/>
  <c r="O12" i="4"/>
  <c r="P22" i="1"/>
  <c r="Q30" i="5"/>
  <c r="O17" i="5"/>
  <c r="O20" i="4"/>
  <c r="P20" i="1"/>
  <c r="Q38" i="5"/>
  <c r="O49" i="4"/>
  <c r="O37" i="4"/>
  <c r="O29" i="5"/>
  <c r="P49" i="1"/>
  <c r="O15" i="5"/>
  <c r="O18" i="4"/>
  <c r="O19" i="5"/>
  <c r="O40" i="4"/>
  <c r="P32" i="1"/>
  <c r="Q40" i="5"/>
  <c r="O54" i="5"/>
  <c r="O11" i="5"/>
  <c r="O16" i="4"/>
  <c r="P12" i="1"/>
  <c r="Q36" i="5"/>
  <c r="O26" i="5"/>
  <c r="O42" i="4"/>
  <c r="P40" i="1"/>
  <c r="Q42" i="5"/>
  <c r="O28" i="5"/>
  <c r="O44" i="4"/>
  <c r="P48" i="1"/>
  <c r="Q44" i="5"/>
  <c r="O24" i="5"/>
  <c r="Q46" i="5"/>
  <c r="P51" i="1"/>
  <c r="P35" i="1"/>
  <c r="Q34" i="5"/>
  <c r="O30" i="5"/>
  <c r="O46" i="4"/>
  <c r="P56" i="1"/>
  <c r="O32" i="5"/>
  <c r="O48" i="4"/>
  <c r="P57" i="1"/>
  <c r="Q48" i="5"/>
  <c r="O34" i="5"/>
  <c r="O50" i="4"/>
  <c r="Q50" i="5"/>
  <c r="O14" i="4"/>
  <c r="O13" i="5"/>
  <c r="O36" i="5"/>
  <c r="O52" i="4"/>
  <c r="Q52" i="5"/>
  <c r="Q20" i="3"/>
  <c r="O57" i="4"/>
  <c r="O47" i="5"/>
  <c r="O15" i="4"/>
  <c r="O38" i="5"/>
  <c r="O54" i="4"/>
  <c r="Q54" i="5"/>
  <c r="O40" i="5"/>
  <c r="O56" i="4"/>
  <c r="Q56" i="5"/>
  <c r="Q16" i="3"/>
  <c r="O51" i="4"/>
  <c r="O17" i="4"/>
  <c r="O44" i="5"/>
  <c r="O39" i="4"/>
  <c r="Q22" i="5"/>
  <c r="Q26" i="3"/>
  <c r="O53" i="4"/>
  <c r="O55" i="4"/>
  <c r="O35" i="4"/>
  <c r="O42" i="5"/>
  <c r="O41" i="4"/>
  <c r="O46" i="5"/>
  <c r="Q24" i="5"/>
  <c r="Q12" i="3"/>
  <c r="O48" i="5"/>
  <c r="O43" i="4"/>
  <c r="Q25" i="5"/>
  <c r="Q23" i="3"/>
  <c r="O58" i="4"/>
  <c r="O50" i="5"/>
  <c r="O45" i="4"/>
  <c r="Q27" i="5"/>
  <c r="Q38" i="3"/>
  <c r="O51" i="5"/>
  <c r="P14" i="1"/>
  <c r="P26" i="1"/>
  <c r="O37" i="5"/>
  <c r="O45" i="5"/>
  <c r="O19" i="4"/>
  <c r="P55" i="1"/>
  <c r="Q23" i="5"/>
  <c r="O39" i="5"/>
  <c r="O23" i="4"/>
  <c r="O25" i="4"/>
  <c r="O53" i="5"/>
  <c r="O31" i="4"/>
  <c r="P31" i="1"/>
  <c r="Q18" i="5"/>
  <c r="O29" i="4"/>
  <c r="O49" i="5"/>
  <c r="O57" i="5"/>
  <c r="O26" i="4"/>
  <c r="P43" i="1"/>
  <c r="Q9" i="5"/>
  <c r="O43" i="5"/>
  <c r="O31" i="5"/>
  <c r="Q20" i="5"/>
  <c r="O41" i="5"/>
  <c r="Q12" i="5"/>
  <c r="P17" i="1"/>
  <c r="Q15" i="5"/>
  <c r="O21" i="5"/>
  <c r="O28" i="4"/>
  <c r="P58" i="1"/>
  <c r="Q16" i="5"/>
  <c r="P28" i="1"/>
  <c r="O25" i="5"/>
  <c r="O30" i="4"/>
  <c r="P41" i="1"/>
  <c r="Q10" i="5"/>
  <c r="O55" i="5"/>
  <c r="O27" i="4"/>
  <c r="P42" i="1"/>
  <c r="O22" i="5"/>
  <c r="O32" i="4"/>
  <c r="P33" i="1"/>
  <c r="Q13" i="5"/>
  <c r="O9" i="4"/>
  <c r="P16" i="1"/>
  <c r="O13" i="4"/>
  <c r="Q19" i="5"/>
  <c r="O10" i="5"/>
  <c r="O34" i="4"/>
  <c r="P52" i="1"/>
  <c r="Q14" i="5"/>
  <c r="O52" i="5"/>
  <c r="O23" i="5"/>
  <c r="O33" i="5"/>
  <c r="Q57" i="5"/>
  <c r="O12" i="5"/>
  <c r="O36" i="4"/>
  <c r="P18" i="1"/>
  <c r="Q17" i="5"/>
  <c r="O14" i="5"/>
  <c r="O38" i="4"/>
  <c r="P19" i="1"/>
  <c r="R48" i="5"/>
  <c r="R46" i="5"/>
  <c r="Q24" i="4"/>
  <c r="Q48" i="4"/>
  <c r="Q13" i="21"/>
  <c r="R44" i="5"/>
  <c r="Q51" i="4"/>
  <c r="Q58" i="4"/>
  <c r="Q45" i="4"/>
  <c r="Q11" i="21"/>
  <c r="R40" i="5"/>
  <c r="Q42" i="4"/>
  <c r="Q20" i="6"/>
  <c r="Q25" i="6"/>
  <c r="Q53" i="6"/>
  <c r="Q57" i="6"/>
  <c r="Q22" i="4"/>
  <c r="Q37" i="6"/>
  <c r="Q49" i="6"/>
  <c r="Q29" i="6"/>
  <c r="R42" i="5"/>
  <c r="Q41" i="6"/>
  <c r="Q21" i="6"/>
  <c r="Q44" i="6"/>
  <c r="P27" i="1"/>
  <c r="Q46" i="6"/>
  <c r="P11" i="1"/>
  <c r="Q48" i="6"/>
  <c r="P25" i="1"/>
  <c r="Q50" i="6"/>
  <c r="P36" i="1"/>
  <c r="Q52" i="6"/>
  <c r="P10" i="1"/>
  <c r="Q54" i="6"/>
  <c r="Q17" i="21"/>
  <c r="P24" i="1"/>
  <c r="Q56" i="6"/>
  <c r="P39" i="1"/>
  <c r="Q58" i="6"/>
  <c r="R50" i="5"/>
  <c r="R52" i="5"/>
  <c r="R54" i="5"/>
  <c r="N35" i="3"/>
  <c r="N14" i="3"/>
  <c r="N34" i="3"/>
  <c r="N9" i="3"/>
  <c r="N33" i="3"/>
  <c r="N30" i="3"/>
  <c r="N32" i="3"/>
  <c r="N31" i="3"/>
  <c r="N17" i="3"/>
  <c r="N10" i="3"/>
  <c r="N18" i="3"/>
  <c r="N58" i="3"/>
  <c r="N52" i="3"/>
  <c r="N50" i="3"/>
  <c r="N47" i="3"/>
  <c r="N49" i="3"/>
  <c r="N29" i="3"/>
  <c r="N53" i="3"/>
  <c r="N46" i="3"/>
  <c r="N41" i="3"/>
  <c r="N28" i="3"/>
  <c r="N24" i="3"/>
  <c r="N22" i="3"/>
  <c r="N21" i="3"/>
  <c r="N11" i="3"/>
  <c r="N27" i="3"/>
  <c r="N43" i="3"/>
  <c r="N26" i="3"/>
  <c r="N23" i="3"/>
  <c r="N44" i="3" s="1"/>
  <c r="N15" i="3"/>
  <c r="N51" i="3"/>
  <c r="N48" i="3"/>
  <c r="N40" i="3"/>
  <c r="N25" i="3"/>
  <c r="N12" i="3"/>
  <c r="N20" i="3"/>
  <c r="N56" i="3"/>
  <c r="N39" i="3"/>
  <c r="N16" i="3"/>
  <c r="N13" i="3"/>
  <c r="N57" i="3"/>
  <c r="N42" i="3"/>
  <c r="N37" i="3"/>
  <c r="N55" i="3"/>
  <c r="N45" i="3"/>
  <c r="N19" i="3"/>
  <c r="N54" i="3"/>
  <c r="N38" i="3"/>
  <c r="N36" i="3"/>
  <c r="R56" i="5"/>
  <c r="R58" i="5"/>
  <c r="R11" i="5"/>
  <c r="R51" i="5"/>
  <c r="R23" i="5"/>
  <c r="R15" i="5"/>
  <c r="R22" i="5"/>
  <c r="R43" i="5"/>
  <c r="Q39" i="21"/>
  <c r="Q51" i="1"/>
  <c r="R12" i="5"/>
  <c r="Q40" i="1"/>
  <c r="R47" i="5"/>
  <c r="R55" i="5"/>
  <c r="Q16" i="4"/>
  <c r="Q18" i="4"/>
  <c r="R35" i="5"/>
  <c r="Q25" i="4"/>
  <c r="Q45" i="6"/>
  <c r="Q35" i="6"/>
  <c r="Q40" i="4"/>
  <c r="R27" i="5"/>
  <c r="Q35" i="21"/>
  <c r="Q22" i="1"/>
  <c r="Q39" i="6"/>
  <c r="Q27" i="4"/>
  <c r="R18" i="5"/>
  <c r="N31" i="21"/>
  <c r="N56" i="21"/>
  <c r="N40" i="21"/>
  <c r="N32" i="21"/>
  <c r="N30" i="21"/>
  <c r="N29" i="21"/>
  <c r="N9" i="21"/>
  <c r="N49" i="21"/>
  <c r="N45" i="21"/>
  <c r="N41" i="21"/>
  <c r="N28" i="21"/>
  <c r="N53" i="21"/>
  <c r="N37" i="21"/>
  <c r="N27" i="21"/>
  <c r="N34" i="21"/>
  <c r="N26" i="21"/>
  <c r="N10" i="21"/>
  <c r="N48" i="21"/>
  <c r="N38" i="21"/>
  <c r="N25" i="21"/>
  <c r="N47" i="21"/>
  <c r="N24" i="21"/>
  <c r="N54" i="21"/>
  <c r="N39" i="21"/>
  <c r="N23" i="21"/>
  <c r="N44" i="21" s="1"/>
  <c r="N22" i="21"/>
  <c r="N58" i="21"/>
  <c r="N21" i="21"/>
  <c r="N43" i="21"/>
  <c r="N20" i="21"/>
  <c r="N11" i="21"/>
  <c r="N57" i="21"/>
  <c r="N42" i="21"/>
  <c r="N19" i="21"/>
  <c r="N18" i="21"/>
  <c r="N17" i="21"/>
  <c r="N16" i="21"/>
  <c r="N50" i="21"/>
  <c r="N15" i="21"/>
  <c r="N33" i="21"/>
  <c r="N14" i="21"/>
  <c r="N55" i="21"/>
  <c r="N51" i="21"/>
  <c r="N13" i="21"/>
  <c r="N12" i="21"/>
  <c r="N46" i="21"/>
  <c r="N36" i="21"/>
  <c r="N52" i="21"/>
  <c r="N35" i="21"/>
  <c r="Q49" i="4"/>
  <c r="Q39" i="4"/>
  <c r="R39" i="5"/>
  <c r="Q32" i="21"/>
  <c r="Q47" i="6"/>
  <c r="Q12" i="4"/>
  <c r="R9" i="5"/>
  <c r="R21" i="5"/>
  <c r="R19" i="5"/>
  <c r="Q22" i="6"/>
  <c r="Q50" i="21"/>
  <c r="Q55" i="6"/>
  <c r="Q56" i="4"/>
  <c r="R16" i="5"/>
  <c r="Q55" i="21"/>
  <c r="Q52" i="1"/>
  <c r="Q23" i="6"/>
  <c r="Q29" i="4"/>
  <c r="R20" i="5"/>
  <c r="R31" i="5"/>
  <c r="Q54" i="21"/>
  <c r="Q24" i="6"/>
  <c r="Q14" i="4"/>
  <c r="R24" i="5"/>
  <c r="Q34" i="21"/>
  <c r="Q31" i="6"/>
  <c r="Q10" i="6"/>
  <c r="Q35" i="4"/>
  <c r="R10" i="5"/>
  <c r="Q43" i="21"/>
  <c r="Q12" i="6"/>
  <c r="Q52" i="4"/>
  <c r="R13" i="5"/>
  <c r="N37" i="1"/>
  <c r="N33" i="1"/>
  <c r="N32" i="1"/>
  <c r="N9" i="1"/>
  <c r="N42" i="1"/>
  <c r="N36" i="1"/>
  <c r="N20" i="1"/>
  <c r="N35" i="1"/>
  <c r="N45" i="1"/>
  <c r="N41" i="1"/>
  <c r="N34" i="1"/>
  <c r="N14" i="1"/>
  <c r="N31" i="1"/>
  <c r="N28" i="1"/>
  <c r="N27" i="1"/>
  <c r="N26" i="1"/>
  <c r="N40" i="1"/>
  <c r="N30" i="1"/>
  <c r="N29" i="1"/>
  <c r="N15" i="1"/>
  <c r="N25" i="1"/>
  <c r="N22" i="1"/>
  <c r="N58" i="1"/>
  <c r="N48" i="1"/>
  <c r="N24" i="1"/>
  <c r="N17" i="1"/>
  <c r="N16" i="1"/>
  <c r="N53" i="1"/>
  <c r="N11" i="1"/>
  <c r="N52" i="1"/>
  <c r="N23" i="1"/>
  <c r="N44" i="1"/>
  <c r="N56" i="1"/>
  <c r="N21" i="1"/>
  <c r="N19" i="1"/>
  <c r="N12" i="1"/>
  <c r="N57" i="1"/>
  <c r="N13" i="1"/>
  <c r="N46" i="1"/>
  <c r="N18" i="1"/>
  <c r="N10" i="1"/>
  <c r="N43" i="1"/>
  <c r="N47" i="1"/>
  <c r="N54" i="1"/>
  <c r="N50" i="1"/>
  <c r="N49" i="1"/>
  <c r="N39" i="1"/>
  <c r="N51" i="1"/>
  <c r="N55" i="1"/>
  <c r="N38" i="1"/>
  <c r="Q21" i="21"/>
  <c r="Q33" i="6"/>
  <c r="Q14" i="21"/>
  <c r="Q14" i="6"/>
  <c r="Q21" i="4"/>
  <c r="R25" i="5"/>
  <c r="Q27" i="21"/>
  <c r="Q43" i="1"/>
  <c r="Q46" i="21"/>
  <c r="Q33" i="4"/>
  <c r="Q16" i="6"/>
  <c r="Q23" i="4"/>
  <c r="R29" i="5"/>
  <c r="Q12" i="21"/>
  <c r="Q18" i="6"/>
  <c r="Q50" i="4"/>
  <c r="R33" i="5"/>
  <c r="Q22" i="21"/>
  <c r="Q51" i="21"/>
  <c r="Q9" i="6"/>
  <c r="Q53" i="4"/>
  <c r="R37" i="5"/>
  <c r="Q11" i="6"/>
  <c r="Q9" i="4"/>
  <c r="R41" i="5"/>
  <c r="Q30" i="21"/>
  <c r="Q13" i="6"/>
  <c r="Q11" i="4"/>
  <c r="R45" i="5"/>
  <c r="P29" i="1"/>
  <c r="Q15" i="6"/>
  <c r="Q13" i="4"/>
  <c r="R49" i="5"/>
  <c r="Q31" i="4"/>
  <c r="P37" i="1"/>
  <c r="Q17" i="6"/>
  <c r="Q15" i="4"/>
  <c r="R53" i="5"/>
  <c r="P45" i="1"/>
  <c r="Q19" i="6"/>
  <c r="Q17" i="4"/>
  <c r="R57" i="5"/>
  <c r="Q48" i="21"/>
  <c r="P53" i="1"/>
  <c r="Q26" i="6"/>
  <c r="Q19" i="4"/>
  <c r="R14" i="5"/>
  <c r="Q55" i="4"/>
  <c r="Q51" i="6"/>
  <c r="P13" i="1"/>
  <c r="Q28" i="6"/>
  <c r="Q44" i="4"/>
  <c r="R17" i="5"/>
  <c r="Q53" i="21"/>
  <c r="P21" i="1"/>
  <c r="Q30" i="6"/>
  <c r="Q47" i="4"/>
  <c r="R26" i="5"/>
  <c r="Q10" i="4"/>
  <c r="Q16" i="21"/>
  <c r="P30" i="1"/>
  <c r="Q32" i="6"/>
  <c r="Q38" i="4"/>
  <c r="R28" i="5"/>
  <c r="Q37" i="21"/>
  <c r="Q38" i="21"/>
  <c r="P38" i="1"/>
  <c r="Q34" i="6"/>
  <c r="Q41" i="4"/>
  <c r="R30" i="5"/>
  <c r="Q37" i="4"/>
  <c r="Q43" i="6"/>
  <c r="N33" i="5"/>
  <c r="N32" i="5"/>
  <c r="N14" i="5"/>
  <c r="N10" i="5"/>
  <c r="N54" i="5"/>
  <c r="N49" i="5"/>
  <c r="N31" i="5"/>
  <c r="N57" i="5"/>
  <c r="N35" i="5"/>
  <c r="N30" i="5"/>
  <c r="N29" i="5"/>
  <c r="N12" i="5"/>
  <c r="N28" i="5"/>
  <c r="N36" i="5"/>
  <c r="N27" i="5"/>
  <c r="N26" i="5"/>
  <c r="N50" i="5"/>
  <c r="N25" i="5"/>
  <c r="N51" i="5"/>
  <c r="N24" i="5"/>
  <c r="N16" i="5"/>
  <c r="N55" i="5"/>
  <c r="N52" i="5"/>
  <c r="N23" i="5"/>
  <c r="N44" i="5" s="1"/>
  <c r="N21" i="5"/>
  <c r="N17" i="5"/>
  <c r="N15" i="5"/>
  <c r="N42" i="5"/>
  <c r="N37" i="5"/>
  <c r="N22" i="5"/>
  <c r="N40" i="5"/>
  <c r="N46" i="5"/>
  <c r="N41" i="5"/>
  <c r="N38" i="5"/>
  <c r="N20" i="5"/>
  <c r="N9" i="5"/>
  <c r="N43" i="5"/>
  <c r="N19" i="5"/>
  <c r="N13" i="5"/>
  <c r="N11" i="5"/>
  <c r="N56" i="5"/>
  <c r="N45" i="5"/>
  <c r="N18" i="5"/>
  <c r="N58" i="5"/>
  <c r="N48" i="5"/>
  <c r="N34" i="5"/>
  <c r="N47" i="5"/>
  <c r="N53" i="5"/>
  <c r="N39" i="5"/>
  <c r="P46" i="1"/>
  <c r="Q36" i="6"/>
  <c r="Q54" i="4"/>
  <c r="R32" i="5"/>
  <c r="Q9" i="1"/>
  <c r="P54" i="1"/>
  <c r="Q38" i="6"/>
  <c r="Q57" i="4"/>
  <c r="R34" i="5"/>
  <c r="P15" i="1"/>
  <c r="Q40" i="6"/>
  <c r="Q26" i="4"/>
  <c r="R36" i="5"/>
  <c r="Q46" i="4"/>
  <c r="Q27" i="6"/>
  <c r="Q20" i="21"/>
  <c r="AM14" i="3"/>
  <c r="AM35" i="4"/>
  <c r="AM35" i="6"/>
  <c r="AM43" i="5"/>
  <c r="L56" i="3"/>
  <c r="L52" i="3"/>
  <c r="L48" i="3"/>
  <c r="L40" i="3"/>
  <c r="L36" i="3"/>
  <c r="L32" i="3"/>
  <c r="L28" i="3"/>
  <c r="L24" i="3"/>
  <c r="L20" i="3"/>
  <c r="L16" i="3"/>
  <c r="L12" i="3"/>
  <c r="L58" i="3"/>
  <c r="L54" i="3"/>
  <c r="L50" i="3"/>
  <c r="L46" i="3"/>
  <c r="L42" i="3"/>
  <c r="L38" i="3"/>
  <c r="L34" i="3"/>
  <c r="L30" i="3"/>
  <c r="L26" i="3"/>
  <c r="L22" i="3"/>
  <c r="L18" i="3"/>
  <c r="L14" i="3"/>
  <c r="L10" i="3"/>
  <c r="L53" i="3"/>
  <c r="L31" i="3"/>
  <c r="L21" i="3"/>
  <c r="L23" i="3"/>
  <c r="L44" i="3" s="1"/>
  <c r="L43" i="3"/>
  <c r="L51" i="3"/>
  <c r="L41" i="3"/>
  <c r="L19" i="3"/>
  <c r="L9" i="3"/>
  <c r="L45" i="3"/>
  <c r="L11" i="3"/>
  <c r="L39" i="3"/>
  <c r="L29" i="3"/>
  <c r="L55" i="3"/>
  <c r="L33" i="3"/>
  <c r="L49" i="3"/>
  <c r="L27" i="3"/>
  <c r="L17" i="3"/>
  <c r="L13" i="3"/>
  <c r="L47" i="3"/>
  <c r="L37" i="3"/>
  <c r="L15" i="3"/>
  <c r="L57" i="3"/>
  <c r="L35" i="3"/>
  <c r="L25" i="3"/>
  <c r="L58" i="21"/>
  <c r="L54" i="21"/>
  <c r="L50" i="21"/>
  <c r="L46" i="21"/>
  <c r="L42" i="21"/>
  <c r="L38" i="21"/>
  <c r="L34" i="21"/>
  <c r="L30" i="21"/>
  <c r="L26" i="21"/>
  <c r="L22" i="21"/>
  <c r="L18" i="21"/>
  <c r="L14" i="21"/>
  <c r="L10" i="21"/>
  <c r="L57" i="21"/>
  <c r="L53" i="21"/>
  <c r="L49" i="21"/>
  <c r="L45" i="21"/>
  <c r="L41" i="21"/>
  <c r="L37" i="21"/>
  <c r="L33" i="21"/>
  <c r="L29" i="21"/>
  <c r="L25" i="21"/>
  <c r="L21" i="21"/>
  <c r="L17" i="21"/>
  <c r="L13" i="21"/>
  <c r="L9" i="21"/>
  <c r="L56" i="21"/>
  <c r="L52" i="21"/>
  <c r="L48" i="21"/>
  <c r="L40" i="21"/>
  <c r="L36" i="21"/>
  <c r="L32" i="21"/>
  <c r="L28" i="21"/>
  <c r="L24" i="21"/>
  <c r="L20" i="21"/>
  <c r="L16" i="21"/>
  <c r="L12" i="21"/>
  <c r="L35" i="21"/>
  <c r="L55" i="21"/>
  <c r="L23" i="21"/>
  <c r="L44" i="21" s="1"/>
  <c r="L43" i="21"/>
  <c r="L11" i="21"/>
  <c r="L27" i="21"/>
  <c r="L31" i="21"/>
  <c r="L15" i="21"/>
  <c r="L51" i="21"/>
  <c r="L19" i="21"/>
  <c r="L39" i="21"/>
  <c r="L47" i="21"/>
  <c r="L41" i="5"/>
  <c r="L37" i="5"/>
  <c r="L33" i="5"/>
  <c r="L29" i="5"/>
  <c r="L25" i="5"/>
  <c r="L21" i="5"/>
  <c r="L17" i="5"/>
  <c r="L13" i="5"/>
  <c r="L9" i="5"/>
  <c r="L57" i="5"/>
  <c r="L53" i="5"/>
  <c r="L49" i="5"/>
  <c r="L45" i="5"/>
  <c r="L40" i="5"/>
  <c r="L36" i="5"/>
  <c r="L32" i="5"/>
  <c r="L28" i="5"/>
  <c r="L24" i="5"/>
  <c r="L20" i="5"/>
  <c r="L16" i="5"/>
  <c r="L12" i="5"/>
  <c r="L43" i="5"/>
  <c r="L39" i="5"/>
  <c r="L35" i="5"/>
  <c r="L31" i="5"/>
  <c r="L27" i="5"/>
  <c r="L23" i="5"/>
  <c r="L44" i="5" s="1"/>
  <c r="L19" i="5"/>
  <c r="L15" i="5"/>
  <c r="L11" i="5"/>
  <c r="L55" i="5"/>
  <c r="L51" i="5"/>
  <c r="L47" i="5"/>
  <c r="L50" i="5"/>
  <c r="L38" i="5"/>
  <c r="L30" i="5"/>
  <c r="L48" i="5"/>
  <c r="L26" i="5"/>
  <c r="L52" i="5"/>
  <c r="L58" i="5"/>
  <c r="L14" i="5"/>
  <c r="L56" i="5"/>
  <c r="L46" i="5"/>
  <c r="L34" i="5"/>
  <c r="L18" i="5"/>
  <c r="L22" i="5"/>
  <c r="L54" i="5"/>
  <c r="L42" i="5"/>
  <c r="L10" i="5"/>
  <c r="AM43" i="3"/>
  <c r="M25" i="1"/>
  <c r="K57" i="3"/>
  <c r="K53" i="3"/>
  <c r="K49" i="3"/>
  <c r="K45" i="3"/>
  <c r="K41" i="3"/>
  <c r="K37" i="3"/>
  <c r="K33" i="3"/>
  <c r="K29" i="3"/>
  <c r="K25" i="3"/>
  <c r="K21" i="3"/>
  <c r="K17" i="3"/>
  <c r="K13" i="3"/>
  <c r="K9" i="3"/>
  <c r="K56" i="3"/>
  <c r="K52" i="3"/>
  <c r="K48" i="3"/>
  <c r="K40" i="3"/>
  <c r="K36" i="3"/>
  <c r="K32" i="3"/>
  <c r="K28" i="3"/>
  <c r="K24" i="3"/>
  <c r="K20" i="3"/>
  <c r="K16" i="3"/>
  <c r="K12" i="3"/>
  <c r="K55" i="3"/>
  <c r="K51" i="3"/>
  <c r="K47" i="3"/>
  <c r="K43" i="3"/>
  <c r="K39" i="3"/>
  <c r="K35" i="3"/>
  <c r="K31" i="3"/>
  <c r="K27" i="3"/>
  <c r="K23" i="3"/>
  <c r="K44" i="3"/>
  <c r="K19" i="3"/>
  <c r="K15" i="3"/>
  <c r="K11" i="3"/>
  <c r="K42" i="3"/>
  <c r="K10" i="3"/>
  <c r="K30" i="3"/>
  <c r="K50" i="3"/>
  <c r="K18" i="3"/>
  <c r="K38" i="3"/>
  <c r="K54" i="3"/>
  <c r="K58" i="3"/>
  <c r="K26" i="3"/>
  <c r="K46" i="3"/>
  <c r="K14" i="3"/>
  <c r="K34" i="3"/>
  <c r="K22" i="3"/>
  <c r="K58" i="21"/>
  <c r="K54" i="21"/>
  <c r="K50" i="21"/>
  <c r="K46" i="21"/>
  <c r="K42" i="21"/>
  <c r="K38" i="21"/>
  <c r="K34" i="21"/>
  <c r="K30" i="21"/>
  <c r="K26" i="21"/>
  <c r="K22" i="21"/>
  <c r="K18" i="21"/>
  <c r="K14" i="21"/>
  <c r="K10" i="21"/>
  <c r="K56" i="21"/>
  <c r="K52" i="21"/>
  <c r="K48" i="21"/>
  <c r="K40" i="21"/>
  <c r="K36" i="21"/>
  <c r="K32" i="21"/>
  <c r="K28" i="21"/>
  <c r="K24" i="21"/>
  <c r="K20" i="21"/>
  <c r="K16" i="21"/>
  <c r="K12" i="21"/>
  <c r="K57" i="21"/>
  <c r="K47" i="21"/>
  <c r="K25" i="21"/>
  <c r="K15" i="21"/>
  <c r="K17" i="21"/>
  <c r="K27" i="21"/>
  <c r="K45" i="21"/>
  <c r="K35" i="21"/>
  <c r="K13" i="21"/>
  <c r="K55" i="21"/>
  <c r="K33" i="21"/>
  <c r="K23" i="21"/>
  <c r="K44" i="21" s="1"/>
  <c r="K53" i="21"/>
  <c r="K43" i="21"/>
  <c r="K21" i="21"/>
  <c r="K11" i="21"/>
  <c r="K41" i="21"/>
  <c r="K31" i="21"/>
  <c r="K9" i="21"/>
  <c r="K49" i="21"/>
  <c r="K37" i="21"/>
  <c r="K51" i="21"/>
  <c r="K29" i="21"/>
  <c r="K19" i="21"/>
  <c r="K39" i="21"/>
  <c r="AJ42" i="20"/>
  <c r="Y50" i="6"/>
  <c r="AA42" i="20"/>
  <c r="AL42" i="20"/>
  <c r="Y50" i="4"/>
  <c r="X50" i="2"/>
  <c r="AM50" i="2"/>
  <c r="AC42" i="20"/>
  <c r="X50" i="6"/>
  <c r="AE42" i="20"/>
  <c r="X50" i="4"/>
  <c r="M28" i="1"/>
  <c r="AM19" i="3"/>
  <c r="AM14" i="6"/>
  <c r="K56" i="1"/>
  <c r="K48" i="1"/>
  <c r="K39" i="1"/>
  <c r="K31" i="1"/>
  <c r="K55" i="1"/>
  <c r="K47" i="1"/>
  <c r="K38" i="1"/>
  <c r="K30" i="1"/>
  <c r="K54" i="1"/>
  <c r="K46" i="1"/>
  <c r="K37" i="1"/>
  <c r="K29" i="1"/>
  <c r="K52" i="1"/>
  <c r="K43" i="1"/>
  <c r="K35" i="1"/>
  <c r="K27" i="1"/>
  <c r="K51" i="1"/>
  <c r="K42" i="1"/>
  <c r="K34" i="1"/>
  <c r="K26" i="1"/>
  <c r="K40" i="1"/>
  <c r="K22" i="1"/>
  <c r="K14" i="1"/>
  <c r="K53" i="1"/>
  <c r="K11" i="1"/>
  <c r="K16" i="1"/>
  <c r="K23" i="1"/>
  <c r="K44" i="1" s="1"/>
  <c r="K58" i="1"/>
  <c r="K36" i="1"/>
  <c r="K21" i="1"/>
  <c r="K13" i="1"/>
  <c r="K20" i="1"/>
  <c r="K19" i="1"/>
  <c r="K24" i="1"/>
  <c r="K57" i="1"/>
  <c r="K33" i="1"/>
  <c r="K12" i="1"/>
  <c r="K32" i="1"/>
  <c r="K41" i="1"/>
  <c r="K15" i="1"/>
  <c r="K50" i="1"/>
  <c r="K28" i="1"/>
  <c r="K18" i="1"/>
  <c r="K10" i="1"/>
  <c r="K9" i="1"/>
  <c r="K49" i="1"/>
  <c r="K25" i="1"/>
  <c r="K17" i="1"/>
  <c r="K45" i="1"/>
  <c r="Q10" i="3"/>
  <c r="Q46" i="3"/>
  <c r="Q43" i="3"/>
  <c r="O24" i="21"/>
  <c r="Q52" i="3"/>
  <c r="Q21" i="3"/>
  <c r="Q28" i="3"/>
  <c r="Q45" i="3"/>
  <c r="Q27" i="3"/>
  <c r="Q53" i="3"/>
  <c r="O21" i="21"/>
  <c r="O50" i="21"/>
  <c r="R20" i="1"/>
  <c r="P32" i="21"/>
  <c r="P41" i="21"/>
  <c r="P38" i="21"/>
  <c r="P18" i="21"/>
  <c r="P55" i="21"/>
  <c r="P19" i="21"/>
  <c r="O15" i="21"/>
  <c r="R33" i="1"/>
  <c r="P25" i="21"/>
  <c r="P44" i="21"/>
  <c r="P45" i="21"/>
  <c r="P42" i="21"/>
  <c r="P27" i="21"/>
  <c r="P21" i="21"/>
  <c r="P22" i="21"/>
  <c r="O20" i="21"/>
  <c r="R25" i="1"/>
  <c r="P16" i="21"/>
  <c r="P56" i="21"/>
  <c r="P49" i="21"/>
  <c r="P46" i="21"/>
  <c r="P31" i="21"/>
  <c r="P23" i="21"/>
  <c r="P24" i="21"/>
  <c r="O41" i="21"/>
  <c r="R42" i="1"/>
  <c r="P28" i="21"/>
  <c r="P36" i="21"/>
  <c r="P53" i="21"/>
  <c r="P50" i="21"/>
  <c r="P35" i="21"/>
  <c r="P9" i="21"/>
  <c r="O57" i="21"/>
  <c r="R51" i="1"/>
  <c r="P40" i="21"/>
  <c r="P48" i="21"/>
  <c r="P57" i="21"/>
  <c r="P54" i="21"/>
  <c r="P39" i="21"/>
  <c r="P11" i="21"/>
  <c r="R22" i="1"/>
  <c r="P52" i="21"/>
  <c r="P29" i="21"/>
  <c r="P26" i="21"/>
  <c r="P58" i="21"/>
  <c r="P43" i="21"/>
  <c r="O52" i="21"/>
  <c r="O25" i="21"/>
  <c r="O54" i="21"/>
  <c r="O17" i="21"/>
  <c r="O27" i="21"/>
  <c r="O43" i="21"/>
  <c r="R16" i="1"/>
  <c r="R24" i="1"/>
  <c r="R41" i="1"/>
  <c r="R50" i="1"/>
  <c r="R13" i="1"/>
  <c r="R30" i="1"/>
  <c r="Q17" i="3"/>
  <c r="Q44" i="3"/>
  <c r="Q56" i="3"/>
  <c r="Q58" i="3"/>
  <c r="Q33" i="3"/>
  <c r="Q49" i="3"/>
  <c r="O32" i="21"/>
  <c r="O26" i="21"/>
  <c r="O58" i="21"/>
  <c r="O19" i="21"/>
  <c r="O29" i="21"/>
  <c r="O45" i="21"/>
  <c r="R36" i="1"/>
  <c r="R40" i="1"/>
  <c r="R12" i="1"/>
  <c r="R58" i="1"/>
  <c r="R21" i="1"/>
  <c r="R38" i="1"/>
  <c r="Q34" i="3"/>
  <c r="Q30" i="3"/>
  <c r="Q13" i="3"/>
  <c r="Q14" i="3"/>
  <c r="Q35" i="3"/>
  <c r="Q51" i="3"/>
  <c r="O36" i="21"/>
  <c r="O30" i="21"/>
  <c r="O22" i="21"/>
  <c r="O10" i="21"/>
  <c r="O31" i="21"/>
  <c r="O47" i="21"/>
  <c r="R52" i="1"/>
  <c r="R56" i="1"/>
  <c r="R28" i="1"/>
  <c r="R11" i="1"/>
  <c r="R29" i="1"/>
  <c r="R46" i="1"/>
  <c r="O44" i="21"/>
  <c r="O34" i="21"/>
  <c r="O23" i="21"/>
  <c r="O12" i="21"/>
  <c r="O33" i="21"/>
  <c r="O49" i="21"/>
  <c r="R31" i="1"/>
  <c r="R23" i="1"/>
  <c r="R44" i="1" s="1"/>
  <c r="R17" i="1"/>
  <c r="R10" i="1"/>
  <c r="R19" i="1"/>
  <c r="R37" i="1"/>
  <c r="R54" i="1"/>
  <c r="O56" i="21"/>
  <c r="O38" i="21"/>
  <c r="O9" i="21"/>
  <c r="O14" i="21"/>
  <c r="O35" i="21"/>
  <c r="O51" i="21"/>
  <c r="R15" i="1"/>
  <c r="R39" i="1"/>
  <c r="R57" i="1"/>
  <c r="R18" i="1"/>
  <c r="R27" i="1"/>
  <c r="R45" i="1"/>
  <c r="Q50" i="3"/>
  <c r="Q15" i="3"/>
  <c r="Q18" i="3"/>
  <c r="Q11" i="3"/>
  <c r="Q25" i="3"/>
  <c r="Q41" i="3"/>
  <c r="O48" i="21"/>
  <c r="O42" i="21"/>
  <c r="O11" i="21"/>
  <c r="O16" i="21"/>
  <c r="O37" i="21"/>
  <c r="O53" i="21"/>
  <c r="R47" i="1"/>
  <c r="R55" i="1"/>
  <c r="R32" i="1"/>
  <c r="R26" i="1"/>
  <c r="R35" i="1"/>
  <c r="R53" i="1"/>
  <c r="O40" i="21"/>
  <c r="O28" i="21"/>
  <c r="O46" i="21"/>
  <c r="O13" i="21"/>
  <c r="O18" i="21"/>
  <c r="O39" i="21"/>
  <c r="R49" i="1"/>
  <c r="R48" i="1"/>
  <c r="R9" i="1"/>
  <c r="R34" i="1"/>
  <c r="R43" i="1"/>
  <c r="M44" i="1"/>
  <c r="Q21" i="1"/>
  <c r="Q31" i="1"/>
  <c r="Q23" i="1"/>
  <c r="Q44" i="1" s="1"/>
  <c r="Q42" i="1"/>
  <c r="Q30" i="1"/>
  <c r="Q39" i="1"/>
  <c r="AM17" i="4"/>
  <c r="M50" i="1"/>
  <c r="Q19" i="21"/>
  <c r="Q25" i="21"/>
  <c r="Q41" i="21"/>
  <c r="Q57" i="21"/>
  <c r="Q36" i="21"/>
  <c r="Q52" i="21"/>
  <c r="Q18" i="21"/>
  <c r="Q16" i="1"/>
  <c r="Q54" i="1"/>
  <c r="Q58" i="1"/>
  <c r="Q46" i="1"/>
  <c r="Q29" i="1"/>
  <c r="Q47" i="1"/>
  <c r="AM45" i="21"/>
  <c r="M46" i="1"/>
  <c r="BD7" i="21"/>
  <c r="BD7" i="2"/>
  <c r="BD7" i="4"/>
  <c r="BD7" i="3"/>
  <c r="BD7" i="6"/>
  <c r="Q38" i="1"/>
  <c r="Q20" i="1"/>
  <c r="Q56" i="1"/>
  <c r="Q34" i="1"/>
  <c r="Q41" i="1"/>
  <c r="Q10" i="1"/>
  <c r="Q19" i="1"/>
  <c r="Q45" i="1"/>
  <c r="Q15" i="1"/>
  <c r="Q13" i="1"/>
  <c r="Q12" i="1"/>
  <c r="Q48" i="1"/>
  <c r="Q45" i="21"/>
  <c r="Q24" i="21"/>
  <c r="Q31" i="21"/>
  <c r="Q47" i="21"/>
  <c r="Q26" i="21"/>
  <c r="Q42" i="21"/>
  <c r="Q58" i="21"/>
  <c r="AM31" i="6"/>
  <c r="Q49" i="1"/>
  <c r="Q57" i="1"/>
  <c r="Q35" i="1"/>
  <c r="Q28" i="1"/>
  <c r="Q53" i="1"/>
  <c r="Q24" i="1"/>
  <c r="BK7" i="21"/>
  <c r="BK7" i="2"/>
  <c r="BJ7" i="21"/>
  <c r="BJ7" i="3"/>
  <c r="BJ7" i="6"/>
  <c r="Q26" i="1"/>
  <c r="Q33" i="1"/>
  <c r="Q25" i="1"/>
  <c r="Q50" i="1"/>
  <c r="Q11" i="1"/>
  <c r="Q37" i="1"/>
  <c r="Q55" i="1"/>
  <c r="Q15" i="21"/>
  <c r="Q29" i="21"/>
  <c r="Q23" i="21"/>
  <c r="Q40" i="21"/>
  <c r="Q56" i="21"/>
  <c r="Q9" i="21"/>
  <c r="Q33" i="21"/>
  <c r="Q49" i="21"/>
  <c r="Q28" i="21"/>
  <c r="Q44" i="21"/>
  <c r="AM18" i="5"/>
  <c r="Q17" i="1"/>
  <c r="Q18" i="1"/>
  <c r="Q27" i="1"/>
  <c r="Q36" i="1"/>
  <c r="Q14" i="1"/>
  <c r="AM15" i="5"/>
  <c r="P58" i="3"/>
  <c r="P56" i="3"/>
  <c r="P54" i="3"/>
  <c r="P52" i="3"/>
  <c r="P50" i="3"/>
  <c r="P48" i="3"/>
  <c r="P46" i="3"/>
  <c r="P44" i="3"/>
  <c r="P42" i="3"/>
  <c r="P40" i="3"/>
  <c r="P38" i="3"/>
  <c r="P36" i="3"/>
  <c r="P34" i="3"/>
  <c r="P32" i="3"/>
  <c r="P30" i="3"/>
  <c r="P28" i="3"/>
  <c r="P26" i="3"/>
  <c r="P23" i="3"/>
  <c r="P21" i="3"/>
  <c r="P57" i="3"/>
  <c r="P55" i="3"/>
  <c r="P53" i="3"/>
  <c r="P43" i="3"/>
  <c r="P17" i="3"/>
  <c r="P9" i="3"/>
  <c r="P49" i="3"/>
  <c r="P33" i="3"/>
  <c r="P14" i="3"/>
  <c r="P45" i="3"/>
  <c r="P27" i="3"/>
  <c r="P16" i="3"/>
  <c r="P51" i="3"/>
  <c r="P35" i="3"/>
  <c r="P24" i="3"/>
  <c r="P13" i="3"/>
  <c r="P19" i="3"/>
  <c r="P15" i="3"/>
  <c r="P41" i="3"/>
  <c r="P29" i="3"/>
  <c r="P18" i="3"/>
  <c r="P10" i="3"/>
  <c r="P47" i="3"/>
  <c r="P12" i="3"/>
  <c r="P39" i="3"/>
  <c r="P22" i="3"/>
  <c r="P11" i="3"/>
  <c r="P20" i="3"/>
  <c r="P37" i="3"/>
  <c r="P31" i="3"/>
  <c r="P25" i="3"/>
  <c r="DB52" i="3"/>
  <c r="AM52" i="3"/>
  <c r="AM18" i="6"/>
  <c r="R24" i="21"/>
  <c r="R22" i="21"/>
  <c r="R20" i="21"/>
  <c r="R57" i="21"/>
  <c r="R55" i="21"/>
  <c r="R53" i="21"/>
  <c r="R51" i="21"/>
  <c r="R49" i="21"/>
  <c r="R47" i="21"/>
  <c r="R45" i="21"/>
  <c r="R43" i="21"/>
  <c r="R41" i="21"/>
  <c r="R39" i="21"/>
  <c r="R37" i="21"/>
  <c r="R35" i="21"/>
  <c r="R33" i="21"/>
  <c r="R31" i="21"/>
  <c r="R29" i="21"/>
  <c r="R27" i="21"/>
  <c r="R25" i="21"/>
  <c r="R18" i="21"/>
  <c r="R14" i="21"/>
  <c r="R10" i="21"/>
  <c r="R58" i="21"/>
  <c r="R54" i="21"/>
  <c r="R50" i="21"/>
  <c r="R46" i="21"/>
  <c r="R42" i="21"/>
  <c r="R38" i="21"/>
  <c r="R34" i="21"/>
  <c r="R30" i="21"/>
  <c r="R26" i="21"/>
  <c r="R17" i="21"/>
  <c r="R13" i="21"/>
  <c r="R9" i="21"/>
  <c r="R21" i="21"/>
  <c r="R16" i="21"/>
  <c r="R12" i="21"/>
  <c r="R36" i="21"/>
  <c r="R15" i="21"/>
  <c r="R56" i="21"/>
  <c r="R32" i="21"/>
  <c r="R23" i="21"/>
  <c r="R11" i="21"/>
  <c r="R52" i="21"/>
  <c r="R28" i="21"/>
  <c r="R48" i="21"/>
  <c r="R40" i="21"/>
  <c r="R44" i="21"/>
  <c r="R19" i="21"/>
  <c r="O24" i="3"/>
  <c r="O22" i="3"/>
  <c r="O58" i="3"/>
  <c r="O56" i="3"/>
  <c r="O54" i="3"/>
  <c r="O52" i="3"/>
  <c r="O50" i="3"/>
  <c r="O48" i="3"/>
  <c r="O46" i="3"/>
  <c r="O44" i="3"/>
  <c r="O42" i="3"/>
  <c r="O40" i="3"/>
  <c r="O38" i="3"/>
  <c r="O36" i="3"/>
  <c r="O34" i="3"/>
  <c r="O19" i="3"/>
  <c r="O17" i="3"/>
  <c r="O15" i="3"/>
  <c r="O13" i="3"/>
  <c r="O11" i="3"/>
  <c r="O9" i="3"/>
  <c r="O53" i="3"/>
  <c r="O37" i="3"/>
  <c r="O31" i="3"/>
  <c r="O20" i="3"/>
  <c r="O12" i="3"/>
  <c r="O43" i="3"/>
  <c r="O28" i="3"/>
  <c r="O25" i="3"/>
  <c r="O39" i="3"/>
  <c r="O30" i="3"/>
  <c r="O45" i="3"/>
  <c r="O27" i="3"/>
  <c r="O16" i="3"/>
  <c r="O57" i="3"/>
  <c r="O49" i="3"/>
  <c r="O14" i="3"/>
  <c r="O51" i="3"/>
  <c r="O21" i="3"/>
  <c r="O55" i="3"/>
  <c r="O35" i="3"/>
  <c r="O41" i="3"/>
  <c r="O29" i="3"/>
  <c r="O18" i="3"/>
  <c r="O47" i="3"/>
  <c r="O23" i="3"/>
  <c r="O10" i="3"/>
  <c r="O33" i="3"/>
  <c r="O32" i="3"/>
  <c r="O26" i="3"/>
  <c r="AU41" i="20"/>
  <c r="X49" i="3"/>
  <c r="AU37" i="20"/>
  <c r="X45" i="3"/>
  <c r="AM17" i="6"/>
  <c r="AM18" i="3"/>
  <c r="DA18" i="3"/>
  <c r="DB25" i="3"/>
  <c r="AM25" i="3"/>
  <c r="BE7" i="21"/>
  <c r="BE7" i="5"/>
  <c r="BE7" i="3"/>
  <c r="BE7" i="2"/>
  <c r="F18" i="8"/>
  <c r="BU7" i="21"/>
  <c r="BU7" i="2"/>
  <c r="BU7" i="5"/>
  <c r="BU7" i="3"/>
  <c r="BS7" i="1"/>
  <c r="DA51" i="3"/>
  <c r="AM51" i="3"/>
  <c r="P23" i="5"/>
  <c r="P21" i="5"/>
  <c r="P20" i="5"/>
  <c r="P18" i="5"/>
  <c r="P16" i="5"/>
  <c r="P14" i="5"/>
  <c r="P12" i="5"/>
  <c r="P10" i="5"/>
  <c r="P24" i="5"/>
  <c r="P22" i="5"/>
  <c r="P58" i="5"/>
  <c r="P54" i="5"/>
  <c r="P50" i="5"/>
  <c r="P46" i="5"/>
  <c r="P42" i="5"/>
  <c r="P38" i="5"/>
  <c r="P34" i="5"/>
  <c r="P30" i="5"/>
  <c r="P26" i="5"/>
  <c r="P11" i="5"/>
  <c r="P57" i="5"/>
  <c r="P53" i="5"/>
  <c r="P49" i="5"/>
  <c r="P45" i="5"/>
  <c r="P41" i="5"/>
  <c r="P37" i="5"/>
  <c r="P33" i="5"/>
  <c r="P29" i="5"/>
  <c r="P17" i="5"/>
  <c r="P56" i="5"/>
  <c r="P52" i="5"/>
  <c r="P48" i="5"/>
  <c r="P44" i="5"/>
  <c r="P40" i="5"/>
  <c r="P36" i="5"/>
  <c r="P32" i="5"/>
  <c r="P28" i="5"/>
  <c r="P13" i="5"/>
  <c r="P51" i="5"/>
  <c r="P39" i="5"/>
  <c r="P9" i="5"/>
  <c r="P47" i="5"/>
  <c r="P35" i="5"/>
  <c r="P15" i="5"/>
  <c r="P27" i="5"/>
  <c r="P55" i="5"/>
  <c r="P43" i="5"/>
  <c r="P19" i="5"/>
  <c r="P31" i="5"/>
  <c r="P25" i="5"/>
  <c r="DB33" i="3"/>
  <c r="AM33" i="3"/>
  <c r="AM49" i="5"/>
  <c r="AM49" i="6"/>
  <c r="R19" i="3"/>
  <c r="R17" i="3"/>
  <c r="R15" i="3"/>
  <c r="R13" i="3"/>
  <c r="R11" i="3"/>
  <c r="R9" i="3"/>
  <c r="R57" i="3"/>
  <c r="R55" i="3"/>
  <c r="R53" i="3"/>
  <c r="R58" i="3"/>
  <c r="R49" i="3"/>
  <c r="R46" i="3"/>
  <c r="R33" i="3"/>
  <c r="R25" i="3"/>
  <c r="R22" i="3"/>
  <c r="R52" i="3"/>
  <c r="R39" i="3"/>
  <c r="R36" i="3"/>
  <c r="R30" i="3"/>
  <c r="R16" i="3"/>
  <c r="R56" i="3"/>
  <c r="R51" i="3"/>
  <c r="R48" i="3"/>
  <c r="R35" i="3"/>
  <c r="R32" i="3"/>
  <c r="R21" i="3"/>
  <c r="R18" i="3"/>
  <c r="R10" i="3"/>
  <c r="R41" i="3"/>
  <c r="R38" i="3"/>
  <c r="R29" i="3"/>
  <c r="R42" i="3"/>
  <c r="R24" i="3"/>
  <c r="R47" i="3"/>
  <c r="R23" i="3"/>
  <c r="R12" i="3"/>
  <c r="R31" i="3"/>
  <c r="R54" i="3"/>
  <c r="R34" i="3"/>
  <c r="R44" i="3"/>
  <c r="R40" i="3"/>
  <c r="R28" i="3"/>
  <c r="R26" i="3"/>
  <c r="R50" i="3"/>
  <c r="R20" i="3"/>
  <c r="R45" i="3"/>
  <c r="R27" i="3"/>
  <c r="R37" i="3"/>
  <c r="R14" i="3"/>
  <c r="R43" i="3"/>
  <c r="O57" i="1"/>
  <c r="O49" i="1"/>
  <c r="O41" i="1"/>
  <c r="O33" i="1"/>
  <c r="O55" i="1"/>
  <c r="O47" i="1"/>
  <c r="O39" i="1"/>
  <c r="O31" i="1"/>
  <c r="O23" i="1"/>
  <c r="O44" i="1" s="1"/>
  <c r="O54" i="1"/>
  <c r="O46" i="1"/>
  <c r="O38" i="1"/>
  <c r="O30" i="1"/>
  <c r="O45" i="1"/>
  <c r="O34" i="1"/>
  <c r="O22" i="1"/>
  <c r="O14" i="1"/>
  <c r="O58" i="1"/>
  <c r="O21" i="1"/>
  <c r="O13" i="1"/>
  <c r="O43" i="1"/>
  <c r="O12" i="1"/>
  <c r="O51" i="1"/>
  <c r="O9" i="1"/>
  <c r="O32" i="1"/>
  <c r="O20" i="1"/>
  <c r="O37" i="1"/>
  <c r="O17" i="1"/>
  <c r="O56" i="1"/>
  <c r="O29" i="1"/>
  <c r="O26" i="1"/>
  <c r="O53" i="1"/>
  <c r="O42" i="1"/>
  <c r="O28" i="1"/>
  <c r="O19" i="1"/>
  <c r="O11" i="1"/>
  <c r="O52" i="1"/>
  <c r="O40" i="1"/>
  <c r="O27" i="1"/>
  <c r="O18" i="1"/>
  <c r="O10" i="1"/>
  <c r="O50" i="1"/>
  <c r="O36" i="1"/>
  <c r="O25" i="1"/>
  <c r="O24" i="1"/>
  <c r="O15" i="1"/>
  <c r="O48" i="1"/>
  <c r="O35" i="1"/>
  <c r="O16" i="1"/>
  <c r="DA56" i="3"/>
  <c r="AM56" i="3"/>
  <c r="Z46" i="2"/>
  <c r="AV38" i="20"/>
  <c r="Z47" i="3"/>
  <c r="AW39" i="20"/>
  <c r="AM34" i="4"/>
  <c r="DB35" i="3"/>
  <c r="AM35" i="3"/>
  <c r="AM44" i="6"/>
  <c r="AV40" i="20"/>
  <c r="Z48" i="2"/>
  <c r="DB48" i="3"/>
  <c r="AM48" i="3"/>
  <c r="DB32" i="3"/>
  <c r="AM32" i="3"/>
  <c r="DA37" i="3"/>
  <c r="AM58" i="6"/>
  <c r="DA34" i="3"/>
  <c r="AM34" i="3"/>
  <c r="AM34" i="6"/>
  <c r="AM47" i="3"/>
  <c r="DB47" i="3"/>
  <c r="AM48" i="4"/>
  <c r="AM57" i="4"/>
  <c r="C280" i="11"/>
  <c r="AM28" i="6"/>
  <c r="AM28" i="5"/>
  <c r="E6" i="13"/>
  <c r="AM55" i="2"/>
  <c r="J34" i="4"/>
  <c r="J29" i="4"/>
  <c r="J33" i="2"/>
  <c r="J30" i="4"/>
  <c r="AC55" i="20"/>
  <c r="X21" i="6"/>
  <c r="AL55" i="20"/>
  <c r="Y21" i="4"/>
  <c r="AM21" i="4"/>
  <c r="AB55" i="20"/>
  <c r="X21" i="5"/>
  <c r="AM21" i="5"/>
  <c r="AJ55" i="20"/>
  <c r="Y21" i="6"/>
  <c r="AH55" i="20"/>
  <c r="Y21" i="3"/>
  <c r="AJ48" i="20"/>
  <c r="Y57" i="6"/>
  <c r="AM57" i="6"/>
  <c r="AH48" i="20"/>
  <c r="Y57" i="3"/>
  <c r="AA31" i="20"/>
  <c r="X42" i="3"/>
  <c r="AH31" i="20"/>
  <c r="Y42" i="3"/>
  <c r="DB42" i="3"/>
  <c r="AL31" i="20"/>
  <c r="Y42" i="4"/>
  <c r="AM42" i="4"/>
  <c r="BR7" i="5"/>
  <c r="BR7" i="3"/>
  <c r="BR7" i="21"/>
  <c r="BV7" i="5"/>
  <c r="BV7" i="3"/>
  <c r="BV7" i="21"/>
  <c r="E49" i="13"/>
  <c r="E37" i="13"/>
  <c r="E12" i="13"/>
  <c r="AM44" i="21"/>
  <c r="AM58" i="1"/>
  <c r="AM56" i="1"/>
  <c r="AM55" i="1"/>
  <c r="AM47" i="1"/>
  <c r="AM40" i="1"/>
  <c r="AM35" i="1"/>
  <c r="AM31" i="1"/>
  <c r="C42" i="10"/>
  <c r="J15" i="21"/>
  <c r="J13" i="6"/>
  <c r="J13" i="3"/>
  <c r="J18" i="5"/>
  <c r="J16" i="2"/>
  <c r="J18" i="2"/>
  <c r="J15" i="4"/>
  <c r="AB59" i="20"/>
  <c r="X23" i="5"/>
  <c r="AM23" i="5"/>
  <c r="AA59" i="20"/>
  <c r="X23" i="3"/>
  <c r="AE46" i="20"/>
  <c r="X51" i="4"/>
  <c r="AM51" i="4"/>
  <c r="AC46" i="20"/>
  <c r="X51" i="6"/>
  <c r="AM51" i="6"/>
  <c r="AI46" i="20"/>
  <c r="Y51" i="5"/>
  <c r="AM51" i="5"/>
  <c r="AB40" i="20"/>
  <c r="X48" i="5"/>
  <c r="AI40" i="20"/>
  <c r="Y48" i="5"/>
  <c r="AJ37" i="20"/>
  <c r="Y45" i="6"/>
  <c r="AI37" i="20"/>
  <c r="Y45" i="5"/>
  <c r="AE37" i="20"/>
  <c r="X45" i="4"/>
  <c r="AM45" i="4"/>
  <c r="AC37" i="20"/>
  <c r="X45" i="6"/>
  <c r="AB37" i="20"/>
  <c r="X45" i="5"/>
  <c r="AT37" i="20"/>
  <c r="Z51" i="1"/>
  <c r="AA35" i="20"/>
  <c r="X27" i="3"/>
  <c r="AJ35" i="20"/>
  <c r="Y27" i="6"/>
  <c r="AL35" i="20"/>
  <c r="Y27" i="4"/>
  <c r="AM27" i="4"/>
  <c r="AI35" i="20"/>
  <c r="Y27" i="5"/>
  <c r="AM27" i="5"/>
  <c r="AH35" i="20"/>
  <c r="Y27" i="3"/>
  <c r="DB27" i="3"/>
  <c r="AC35" i="20"/>
  <c r="X27" i="6"/>
  <c r="AA27" i="20"/>
  <c r="X28" i="3"/>
  <c r="AH27" i="20"/>
  <c r="Y28" i="3"/>
  <c r="DB28" i="3"/>
  <c r="BT7" i="5"/>
  <c r="BT7" i="3"/>
  <c r="BT7" i="21"/>
  <c r="J8" i="2"/>
  <c r="L8" i="2"/>
  <c r="N8" i="2"/>
  <c r="P8" i="2"/>
  <c r="R8" i="2"/>
  <c r="J8" i="6"/>
  <c r="L8" i="6"/>
  <c r="N8" i="6"/>
  <c r="N17" i="6" s="1"/>
  <c r="P8" i="6"/>
  <c r="R8" i="6"/>
  <c r="AE4" i="20"/>
  <c r="X29" i="4"/>
  <c r="AM29" i="4"/>
  <c r="AB6" i="20"/>
  <c r="X33" i="5"/>
  <c r="AE6" i="20"/>
  <c r="X33" i="4"/>
  <c r="AI6" i="20"/>
  <c r="Y33" i="5"/>
  <c r="AC11" i="20"/>
  <c r="X36" i="6"/>
  <c r="AL6" i="20"/>
  <c r="Y33" i="4"/>
  <c r="AH11" i="20"/>
  <c r="Y36" i="3"/>
  <c r="AI11" i="20"/>
  <c r="Y36" i="5"/>
  <c r="AM36" i="5"/>
  <c r="AJ11" i="20"/>
  <c r="Y36" i="6"/>
  <c r="AL11" i="20"/>
  <c r="Y36" i="4"/>
  <c r="AM36" i="4"/>
  <c r="AA4" i="20"/>
  <c r="X29" i="3"/>
  <c r="AC6" i="20"/>
  <c r="X33" i="6"/>
  <c r="AJ6" i="20"/>
  <c r="Y33" i="6"/>
  <c r="BE7" i="6"/>
  <c r="BG7" i="6"/>
  <c r="BI7" i="6"/>
  <c r="BK7" i="6"/>
  <c r="BS7" i="6"/>
  <c r="BU7" i="6"/>
  <c r="BD7" i="5"/>
  <c r="BF7" i="5"/>
  <c r="BH7" i="5"/>
  <c r="BJ7" i="5"/>
  <c r="BE7" i="4"/>
  <c r="BG7" i="4"/>
  <c r="BI7" i="4"/>
  <c r="BK7" i="4"/>
  <c r="BS7" i="4"/>
  <c r="BU7" i="4"/>
  <c r="F20" i="8"/>
  <c r="F21" i="8"/>
  <c r="F22" i="8"/>
  <c r="F23" i="8"/>
  <c r="F24" i="8"/>
  <c r="F25" i="8"/>
  <c r="Y49" i="21"/>
  <c r="AM49" i="21"/>
  <c r="X56" i="21"/>
  <c r="AM56" i="21"/>
  <c r="BF13" i="20"/>
  <c r="AA18" i="21"/>
  <c r="Y18" i="21"/>
  <c r="AM18" i="21"/>
  <c r="BF36" i="20"/>
  <c r="AA35" i="21"/>
  <c r="Y35" i="21"/>
  <c r="AM35" i="21"/>
  <c r="BF55" i="20"/>
  <c r="AA21" i="21"/>
  <c r="J11" i="3"/>
  <c r="J12" i="21"/>
  <c r="J12" i="5"/>
  <c r="J12" i="3"/>
  <c r="J12" i="2"/>
  <c r="S8" i="2"/>
  <c r="S32" i="2" s="1"/>
  <c r="O8" i="2"/>
  <c r="K8" i="2"/>
  <c r="J8" i="4"/>
  <c r="L8" i="4"/>
  <c r="N8" i="4"/>
  <c r="N30" i="4" s="1"/>
  <c r="P8" i="4"/>
  <c r="R8" i="4"/>
  <c r="S8" i="6"/>
  <c r="S46" i="6" s="1"/>
  <c r="O8" i="6"/>
  <c r="K8" i="6"/>
  <c r="S10" i="6"/>
  <c r="S38" i="6"/>
  <c r="S31" i="6"/>
  <c r="S58" i="6"/>
  <c r="S9" i="6"/>
  <c r="S15" i="6"/>
  <c r="S57" i="6"/>
  <c r="S40" i="6"/>
  <c r="S36" i="6"/>
  <c r="S21" i="6"/>
  <c r="S11" i="6"/>
  <c r="S56" i="6"/>
  <c r="S39" i="6"/>
  <c r="S29" i="6"/>
  <c r="S55" i="6"/>
  <c r="S24" i="6"/>
  <c r="S13" i="6"/>
  <c r="S54" i="6"/>
  <c r="S42" i="6"/>
  <c r="S32" i="6"/>
  <c r="S16" i="6"/>
  <c r="S35" i="6"/>
  <c r="S28" i="6"/>
  <c r="S19" i="6"/>
  <c r="S52" i="6"/>
  <c r="S51" i="6"/>
  <c r="S33" i="6"/>
  <c r="S50" i="6"/>
  <c r="S26" i="6"/>
  <c r="S49" i="6"/>
  <c r="S41" i="6"/>
  <c r="S34" i="6"/>
  <c r="S47" i="6"/>
  <c r="S23" i="6"/>
  <c r="S44" i="6" s="1"/>
  <c r="S25" i="6"/>
  <c r="S17" i="6"/>
  <c r="S43" i="6"/>
  <c r="S27" i="6"/>
  <c r="S22" i="6"/>
  <c r="S14" i="6"/>
  <c r="S37" i="6"/>
  <c r="S12" i="6"/>
  <c r="S30" i="6"/>
  <c r="S14" i="2"/>
  <c r="S46" i="2"/>
  <c r="S13" i="2"/>
  <c r="S40" i="2"/>
  <c r="S33" i="2"/>
  <c r="S31" i="2"/>
  <c r="S24" i="2"/>
  <c r="S21" i="2"/>
  <c r="S12" i="2"/>
  <c r="S22" i="2"/>
  <c r="S11" i="2"/>
  <c r="S36" i="2"/>
  <c r="S10" i="2"/>
  <c r="S52" i="2"/>
  <c r="S58" i="2"/>
  <c r="S9" i="2"/>
  <c r="S51" i="2"/>
  <c r="S38" i="2"/>
  <c r="S57" i="2"/>
  <c r="S45" i="2"/>
  <c r="S42" i="2"/>
  <c r="S56" i="2"/>
  <c r="S39" i="2"/>
  <c r="S23" i="2"/>
  <c r="S44" i="2" s="1"/>
  <c r="S19" i="2"/>
  <c r="S49" i="2"/>
  <c r="S34" i="2"/>
  <c r="S54" i="2"/>
  <c r="S35" i="2"/>
  <c r="S53" i="2"/>
  <c r="S43" i="2"/>
  <c r="S41" i="2"/>
  <c r="S29" i="2"/>
  <c r="S28" i="2"/>
  <c r="S50" i="2"/>
  <c r="S17" i="2"/>
  <c r="S18" i="2"/>
  <c r="S48" i="2"/>
  <c r="S37" i="2"/>
  <c r="S30" i="2"/>
  <c r="S26" i="2"/>
  <c r="S25" i="2"/>
  <c r="S20" i="2"/>
  <c r="F281" i="9"/>
  <c r="E281" i="9"/>
  <c r="H281" i="9"/>
  <c r="AM46" i="3"/>
  <c r="G281" i="9"/>
  <c r="AM50" i="6"/>
  <c r="AM50" i="4"/>
  <c r="N32" i="6"/>
  <c r="N13" i="6"/>
  <c r="N47" i="6"/>
  <c r="N31" i="6"/>
  <c r="N11" i="6"/>
  <c r="N30" i="6"/>
  <c r="N16" i="6"/>
  <c r="N12" i="6"/>
  <c r="N29" i="6"/>
  <c r="N28" i="6"/>
  <c r="N49" i="6"/>
  <c r="N40" i="6"/>
  <c r="N27" i="6"/>
  <c r="N52" i="6"/>
  <c r="N26" i="6"/>
  <c r="N14" i="6"/>
  <c r="N9" i="6"/>
  <c r="N25" i="6"/>
  <c r="N56" i="6"/>
  <c r="N23" i="6"/>
  <c r="N44" i="6" s="1"/>
  <c r="N22" i="6"/>
  <c r="N55" i="6"/>
  <c r="N51" i="6"/>
  <c r="N21" i="6"/>
  <c r="N33" i="6"/>
  <c r="N20" i="6"/>
  <c r="N15" i="6"/>
  <c r="N10" i="6"/>
  <c r="N53" i="6"/>
  <c r="N19" i="6"/>
  <c r="N18" i="6"/>
  <c r="N34" i="6"/>
  <c r="N58" i="6"/>
  <c r="N48" i="6"/>
  <c r="N43" i="6"/>
  <c r="N42" i="6"/>
  <c r="N38" i="6"/>
  <c r="N54" i="6"/>
  <c r="N35" i="6"/>
  <c r="N39" i="6"/>
  <c r="N46" i="6"/>
  <c r="N41" i="6"/>
  <c r="N36" i="6"/>
  <c r="N34" i="4"/>
  <c r="N33" i="4"/>
  <c r="N19" i="4"/>
  <c r="N29" i="4"/>
  <c r="N9" i="4"/>
  <c r="N52" i="4"/>
  <c r="N47" i="4"/>
  <c r="N41" i="4"/>
  <c r="N32" i="4"/>
  <c r="N18" i="4"/>
  <c r="N11" i="4"/>
  <c r="N54" i="4"/>
  <c r="N10" i="4"/>
  <c r="N57" i="4"/>
  <c r="N45" i="4"/>
  <c r="N35" i="4"/>
  <c r="N21" i="4"/>
  <c r="N55" i="4"/>
  <c r="N27" i="4"/>
  <c r="N17" i="4"/>
  <c r="N15" i="4"/>
  <c r="N53" i="4"/>
  <c r="N26" i="4"/>
  <c r="N13" i="4"/>
  <c r="N49" i="4"/>
  <c r="N46" i="4"/>
  <c r="N37" i="4"/>
  <c r="N25" i="4"/>
  <c r="N20" i="4"/>
  <c r="N24" i="4"/>
  <c r="N22" i="4"/>
  <c r="N58" i="4"/>
  <c r="N50" i="4"/>
  <c r="N36" i="4"/>
  <c r="N14" i="4"/>
  <c r="N51" i="4"/>
  <c r="N39" i="4"/>
  <c r="N56" i="4"/>
  <c r="N40" i="4"/>
  <c r="N12" i="4"/>
  <c r="N43" i="4"/>
  <c r="N42" i="4"/>
  <c r="N38" i="4"/>
  <c r="N36" i="2"/>
  <c r="N35" i="2"/>
  <c r="N55" i="2"/>
  <c r="N47" i="2"/>
  <c r="N39" i="2"/>
  <c r="N34" i="2"/>
  <c r="N32" i="2"/>
  <c r="N57" i="2"/>
  <c r="N33" i="2"/>
  <c r="N31" i="2"/>
  <c r="N15" i="2"/>
  <c r="N56" i="2"/>
  <c r="N17" i="2"/>
  <c r="N19" i="2"/>
  <c r="N30" i="2"/>
  <c r="N21" i="2"/>
  <c r="N16" i="2"/>
  <c r="N11" i="2"/>
  <c r="N10" i="2"/>
  <c r="N29" i="2"/>
  <c r="N24" i="2"/>
  <c r="N49" i="2"/>
  <c r="N38" i="2"/>
  <c r="N28" i="2"/>
  <c r="N26" i="2"/>
  <c r="N22" i="2"/>
  <c r="N13" i="2"/>
  <c r="N27" i="2"/>
  <c r="N25" i="2"/>
  <c r="N45" i="2"/>
  <c r="N12" i="2"/>
  <c r="N42" i="2"/>
  <c r="N23" i="2"/>
  <c r="N18" i="2"/>
  <c r="N20" i="2"/>
  <c r="N53" i="2"/>
  <c r="N51" i="2"/>
  <c r="N14" i="2"/>
  <c r="N48" i="2"/>
  <c r="N50" i="2"/>
  <c r="N52" i="2"/>
  <c r="N41" i="2"/>
  <c r="N58" i="2"/>
  <c r="N54" i="2"/>
  <c r="N46" i="2"/>
  <c r="N9" i="2"/>
  <c r="N43" i="2"/>
  <c r="N37" i="2"/>
  <c r="N40" i="2"/>
  <c r="L58" i="2"/>
  <c r="L54" i="2"/>
  <c r="L50" i="2"/>
  <c r="L46" i="2"/>
  <c r="L42" i="2"/>
  <c r="L38" i="2"/>
  <c r="L34" i="2"/>
  <c r="L30" i="2"/>
  <c r="L26" i="2"/>
  <c r="L22" i="2"/>
  <c r="L18" i="2"/>
  <c r="L14" i="2"/>
  <c r="L10" i="2"/>
  <c r="L56" i="2"/>
  <c r="L52" i="2"/>
  <c r="L48" i="2"/>
  <c r="L40" i="2"/>
  <c r="L36" i="2"/>
  <c r="L32" i="2"/>
  <c r="L28" i="2"/>
  <c r="L24" i="2"/>
  <c r="L20" i="2"/>
  <c r="L16" i="2"/>
  <c r="L12" i="2"/>
  <c r="L49" i="2"/>
  <c r="L39" i="2"/>
  <c r="L17" i="2"/>
  <c r="L37" i="2"/>
  <c r="L27" i="2"/>
  <c r="L41" i="2"/>
  <c r="L57" i="2"/>
  <c r="L47" i="2"/>
  <c r="L25" i="2"/>
  <c r="L15" i="2"/>
  <c r="L9" i="2"/>
  <c r="L19" i="2"/>
  <c r="L45" i="2"/>
  <c r="L35" i="2"/>
  <c r="L13" i="2"/>
  <c r="L29" i="2"/>
  <c r="L55" i="2"/>
  <c r="L33" i="2"/>
  <c r="L23" i="2"/>
  <c r="L44" i="2" s="1"/>
  <c r="L51" i="2"/>
  <c r="L53" i="2"/>
  <c r="L43" i="2"/>
  <c r="L21" i="2"/>
  <c r="L11" i="2"/>
  <c r="L31" i="2"/>
  <c r="L56" i="6"/>
  <c r="L52" i="6"/>
  <c r="L48" i="6"/>
  <c r="L43" i="6"/>
  <c r="L39" i="6"/>
  <c r="L35" i="6"/>
  <c r="L31" i="6"/>
  <c r="L27" i="6"/>
  <c r="L23" i="6"/>
  <c r="L44" i="6" s="1"/>
  <c r="L19" i="6"/>
  <c r="L15" i="6"/>
  <c r="L11" i="6"/>
  <c r="L55" i="6"/>
  <c r="L51" i="6"/>
  <c r="L47" i="6"/>
  <c r="L58" i="6"/>
  <c r="L54" i="6"/>
  <c r="L50" i="6"/>
  <c r="L46" i="6"/>
  <c r="L41" i="6"/>
  <c r="L37" i="6"/>
  <c r="L33" i="6"/>
  <c r="L29" i="6"/>
  <c r="L25" i="6"/>
  <c r="L21" i="6"/>
  <c r="L17" i="6"/>
  <c r="L13" i="6"/>
  <c r="L9" i="6"/>
  <c r="L53" i="6"/>
  <c r="L42" i="6"/>
  <c r="L32" i="6"/>
  <c r="L10" i="6"/>
  <c r="L24" i="6"/>
  <c r="L22" i="6"/>
  <c r="L30" i="6"/>
  <c r="L20" i="6"/>
  <c r="L34" i="6"/>
  <c r="L40" i="6"/>
  <c r="L18" i="6"/>
  <c r="L49" i="6"/>
  <c r="L38" i="6"/>
  <c r="L28" i="6"/>
  <c r="L45" i="6"/>
  <c r="L26" i="6"/>
  <c r="L16" i="6"/>
  <c r="L57" i="6"/>
  <c r="L36" i="6"/>
  <c r="L14" i="6"/>
  <c r="L12" i="6"/>
  <c r="X50" i="3"/>
  <c r="AU42" i="20"/>
  <c r="K40" i="6"/>
  <c r="K36" i="6"/>
  <c r="K32" i="6"/>
  <c r="K28" i="6"/>
  <c r="K24" i="6"/>
  <c r="K20" i="6"/>
  <c r="K16" i="6"/>
  <c r="K12" i="6"/>
  <c r="K56" i="6"/>
  <c r="K52" i="6"/>
  <c r="K48" i="6"/>
  <c r="K43" i="6"/>
  <c r="K39" i="6"/>
  <c r="K35" i="6"/>
  <c r="K31" i="6"/>
  <c r="K27" i="6"/>
  <c r="K23" i="6"/>
  <c r="K44" i="6" s="1"/>
  <c r="K19" i="6"/>
  <c r="K15" i="6"/>
  <c r="K11" i="6"/>
  <c r="K42" i="6"/>
  <c r="K38" i="6"/>
  <c r="K34" i="6"/>
  <c r="K30" i="6"/>
  <c r="K26" i="6"/>
  <c r="K22" i="6"/>
  <c r="K18" i="6"/>
  <c r="K14" i="6"/>
  <c r="K10" i="6"/>
  <c r="K58" i="6"/>
  <c r="K54" i="6"/>
  <c r="K50" i="6"/>
  <c r="K46" i="6"/>
  <c r="K21" i="6"/>
  <c r="K53" i="6"/>
  <c r="K41" i="6"/>
  <c r="K9" i="6"/>
  <c r="K57" i="6"/>
  <c r="K45" i="6"/>
  <c r="K33" i="6"/>
  <c r="K51" i="6"/>
  <c r="K29" i="6"/>
  <c r="K55" i="6"/>
  <c r="K17" i="6"/>
  <c r="K49" i="6"/>
  <c r="K37" i="6"/>
  <c r="K47" i="6"/>
  <c r="K25" i="6"/>
  <c r="K13" i="6"/>
  <c r="K55" i="2"/>
  <c r="K51" i="2"/>
  <c r="K47" i="2"/>
  <c r="K43" i="2"/>
  <c r="K39" i="2"/>
  <c r="K35" i="2"/>
  <c r="K31" i="2"/>
  <c r="K27" i="2"/>
  <c r="K23" i="2"/>
  <c r="K44" i="2"/>
  <c r="K19" i="2"/>
  <c r="K15" i="2"/>
  <c r="K11" i="2"/>
  <c r="K58" i="2"/>
  <c r="K54" i="2"/>
  <c r="K50" i="2"/>
  <c r="K46" i="2"/>
  <c r="K42" i="2"/>
  <c r="K38" i="2"/>
  <c r="K34" i="2"/>
  <c r="K30" i="2"/>
  <c r="K26" i="2"/>
  <c r="K22" i="2"/>
  <c r="K18" i="2"/>
  <c r="K14" i="2"/>
  <c r="K10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28" i="2"/>
  <c r="K20" i="2"/>
  <c r="K40" i="2"/>
  <c r="K48" i="2"/>
  <c r="K16" i="2"/>
  <c r="K36" i="2"/>
  <c r="K56" i="2"/>
  <c r="K24" i="2"/>
  <c r="K12" i="2"/>
  <c r="K52" i="2"/>
  <c r="K32" i="2"/>
  <c r="L55" i="4"/>
  <c r="L51" i="4"/>
  <c r="L47" i="4"/>
  <c r="L42" i="4"/>
  <c r="L38" i="4"/>
  <c r="L34" i="4"/>
  <c r="L30" i="4"/>
  <c r="L26" i="4"/>
  <c r="L22" i="4"/>
  <c r="L18" i="4"/>
  <c r="L14" i="4"/>
  <c r="L10" i="4"/>
  <c r="L58" i="4"/>
  <c r="L54" i="4"/>
  <c r="L50" i="4"/>
  <c r="L46" i="4"/>
  <c r="L57" i="4"/>
  <c r="L53" i="4"/>
  <c r="L49" i="4"/>
  <c r="L45" i="4"/>
  <c r="L40" i="4"/>
  <c r="L36" i="4"/>
  <c r="L32" i="4"/>
  <c r="L28" i="4"/>
  <c r="L24" i="4"/>
  <c r="L20" i="4"/>
  <c r="L16" i="4"/>
  <c r="L12" i="4"/>
  <c r="L56" i="4"/>
  <c r="L35" i="4"/>
  <c r="L13" i="4"/>
  <c r="L27" i="4"/>
  <c r="L33" i="4"/>
  <c r="L23" i="4"/>
  <c r="L44" i="4" s="1"/>
  <c r="L25" i="4"/>
  <c r="L43" i="4"/>
  <c r="L21" i="4"/>
  <c r="L11" i="4"/>
  <c r="L52" i="4"/>
  <c r="L41" i="4"/>
  <c r="L31" i="4"/>
  <c r="L9" i="4"/>
  <c r="L48" i="4"/>
  <c r="L29" i="4"/>
  <c r="L19" i="4"/>
  <c r="L15" i="4"/>
  <c r="L39" i="4"/>
  <c r="L17" i="4"/>
  <c r="L37" i="4"/>
  <c r="AM27" i="6"/>
  <c r="O57" i="2"/>
  <c r="O24" i="2"/>
  <c r="O22" i="2"/>
  <c r="O54" i="2"/>
  <c r="O52" i="2"/>
  <c r="O50" i="2"/>
  <c r="O48" i="2"/>
  <c r="O46" i="2"/>
  <c r="O44" i="2"/>
  <c r="O42" i="2"/>
  <c r="O40" i="2"/>
  <c r="O38" i="2"/>
  <c r="O36" i="2"/>
  <c r="O34" i="2"/>
  <c r="O32" i="2"/>
  <c r="O30" i="2"/>
  <c r="O28" i="2"/>
  <c r="O26" i="2"/>
  <c r="O19" i="2"/>
  <c r="O17" i="2"/>
  <c r="O15" i="2"/>
  <c r="O13" i="2"/>
  <c r="O11" i="2"/>
  <c r="O9" i="2"/>
  <c r="O58" i="2"/>
  <c r="O25" i="2"/>
  <c r="O23" i="2"/>
  <c r="O21" i="2"/>
  <c r="O45" i="2"/>
  <c r="O29" i="2"/>
  <c r="O51" i="2"/>
  <c r="O53" i="2"/>
  <c r="O49" i="2"/>
  <c r="O41" i="2"/>
  <c r="O37" i="2"/>
  <c r="O33" i="2"/>
  <c r="O43" i="2"/>
  <c r="O47" i="2"/>
  <c r="O35" i="2"/>
  <c r="O20" i="2"/>
  <c r="O16" i="2"/>
  <c r="O12" i="2"/>
  <c r="O39" i="2"/>
  <c r="O27" i="2"/>
  <c r="O56" i="2"/>
  <c r="O55" i="2"/>
  <c r="O31" i="2"/>
  <c r="O14" i="2"/>
  <c r="O18" i="2"/>
  <c r="O10" i="2"/>
  <c r="R23" i="6"/>
  <c r="R21" i="6"/>
  <c r="R18" i="6"/>
  <c r="R16" i="6"/>
  <c r="R14" i="6"/>
  <c r="R12" i="6"/>
  <c r="R10" i="6"/>
  <c r="R24" i="6"/>
  <c r="R22" i="6"/>
  <c r="R20" i="6"/>
  <c r="R56" i="6"/>
  <c r="R52" i="6"/>
  <c r="R48" i="6"/>
  <c r="R44" i="6"/>
  <c r="R40" i="6"/>
  <c r="R36" i="6"/>
  <c r="R32" i="6"/>
  <c r="R28" i="6"/>
  <c r="R19" i="6"/>
  <c r="R15" i="6"/>
  <c r="R11" i="6"/>
  <c r="R55" i="6"/>
  <c r="R51" i="6"/>
  <c r="R47" i="6"/>
  <c r="R43" i="6"/>
  <c r="R39" i="6"/>
  <c r="R35" i="6"/>
  <c r="R31" i="6"/>
  <c r="R27" i="6"/>
  <c r="R58" i="6"/>
  <c r="R54" i="6"/>
  <c r="R50" i="6"/>
  <c r="R46" i="6"/>
  <c r="R42" i="6"/>
  <c r="R38" i="6"/>
  <c r="R34" i="6"/>
  <c r="R30" i="6"/>
  <c r="R26" i="6"/>
  <c r="R33" i="6"/>
  <c r="R53" i="6"/>
  <c r="R9" i="6"/>
  <c r="R29" i="6"/>
  <c r="R17" i="6"/>
  <c r="R49" i="6"/>
  <c r="R41" i="6"/>
  <c r="R37" i="6"/>
  <c r="R57" i="6"/>
  <c r="R13" i="6"/>
  <c r="R25" i="6"/>
  <c r="R45" i="6"/>
  <c r="P24" i="6"/>
  <c r="P22" i="6"/>
  <c r="P57" i="6"/>
  <c r="P55" i="6"/>
  <c r="P53" i="6"/>
  <c r="P51" i="6"/>
  <c r="P49" i="6"/>
  <c r="P47" i="6"/>
  <c r="P45" i="6"/>
  <c r="P43" i="6"/>
  <c r="P41" i="6"/>
  <c r="P39" i="6"/>
  <c r="P37" i="6"/>
  <c r="P35" i="6"/>
  <c r="P33" i="6"/>
  <c r="P31" i="6"/>
  <c r="P29" i="6"/>
  <c r="P27" i="6"/>
  <c r="P20" i="6"/>
  <c r="P16" i="6"/>
  <c r="P12" i="6"/>
  <c r="P56" i="6"/>
  <c r="P52" i="6"/>
  <c r="P48" i="6"/>
  <c r="P44" i="6"/>
  <c r="P40" i="6"/>
  <c r="P36" i="6"/>
  <c r="P32" i="6"/>
  <c r="P28" i="6"/>
  <c r="P19" i="6"/>
  <c r="P15" i="6"/>
  <c r="P11" i="6"/>
  <c r="P23" i="6"/>
  <c r="P18" i="6"/>
  <c r="P14" i="6"/>
  <c r="P10" i="6"/>
  <c r="P54" i="6"/>
  <c r="P42" i="6"/>
  <c r="P50" i="6"/>
  <c r="P38" i="6"/>
  <c r="P17" i="6"/>
  <c r="P21" i="6"/>
  <c r="P58" i="6"/>
  <c r="P26" i="6"/>
  <c r="P34" i="6"/>
  <c r="P13" i="6"/>
  <c r="P46" i="6"/>
  <c r="P30" i="6"/>
  <c r="P9" i="6"/>
  <c r="P25" i="6"/>
  <c r="P58" i="4"/>
  <c r="P56" i="4"/>
  <c r="P54" i="4"/>
  <c r="P52" i="4"/>
  <c r="P50" i="4"/>
  <c r="P48" i="4"/>
  <c r="P46" i="4"/>
  <c r="P44" i="4"/>
  <c r="P42" i="4"/>
  <c r="P40" i="4"/>
  <c r="P38" i="4"/>
  <c r="P55" i="4"/>
  <c r="P39" i="4"/>
  <c r="P20" i="4"/>
  <c r="P18" i="4"/>
  <c r="P16" i="4"/>
  <c r="P14" i="4"/>
  <c r="P12" i="4"/>
  <c r="P10" i="4"/>
  <c r="P45" i="4"/>
  <c r="P24" i="4"/>
  <c r="P22" i="4"/>
  <c r="P51" i="4"/>
  <c r="P36" i="4"/>
  <c r="P34" i="4"/>
  <c r="P32" i="4"/>
  <c r="P30" i="4"/>
  <c r="P28" i="4"/>
  <c r="P26" i="4"/>
  <c r="P57" i="4"/>
  <c r="P41" i="4"/>
  <c r="P47" i="4"/>
  <c r="P19" i="4"/>
  <c r="P17" i="4"/>
  <c r="P15" i="4"/>
  <c r="P13" i="4"/>
  <c r="P11" i="4"/>
  <c r="P9" i="4"/>
  <c r="P43" i="4"/>
  <c r="P35" i="4"/>
  <c r="P49" i="4"/>
  <c r="P33" i="4"/>
  <c r="P29" i="4"/>
  <c r="P27" i="4"/>
  <c r="P53" i="4"/>
  <c r="P37" i="4"/>
  <c r="P21" i="4"/>
  <c r="P23" i="4"/>
  <c r="P31" i="4"/>
  <c r="P25" i="4"/>
  <c r="DA45" i="3"/>
  <c r="AM45" i="3"/>
  <c r="O20" i="6"/>
  <c r="O18" i="6"/>
  <c r="O16" i="6"/>
  <c r="O14" i="6"/>
  <c r="O12" i="6"/>
  <c r="O10" i="6"/>
  <c r="O58" i="6"/>
  <c r="O56" i="6"/>
  <c r="O54" i="6"/>
  <c r="O52" i="6"/>
  <c r="O50" i="6"/>
  <c r="O48" i="6"/>
  <c r="O46" i="6"/>
  <c r="O44" i="6"/>
  <c r="O42" i="6"/>
  <c r="O40" i="6"/>
  <c r="O38" i="6"/>
  <c r="O36" i="6"/>
  <c r="O34" i="6"/>
  <c r="O32" i="6"/>
  <c r="O30" i="6"/>
  <c r="O28" i="6"/>
  <c r="O26" i="6"/>
  <c r="O25" i="6"/>
  <c r="O23" i="6"/>
  <c r="O21" i="6"/>
  <c r="O57" i="6"/>
  <c r="O55" i="6"/>
  <c r="O53" i="6"/>
  <c r="O51" i="6"/>
  <c r="O49" i="6"/>
  <c r="O47" i="6"/>
  <c r="O45" i="6"/>
  <c r="O43" i="6"/>
  <c r="O41" i="6"/>
  <c r="O39" i="6"/>
  <c r="O37" i="6"/>
  <c r="O35" i="6"/>
  <c r="O33" i="6"/>
  <c r="O31" i="6"/>
  <c r="O29" i="6"/>
  <c r="O27" i="6"/>
  <c r="O24" i="6"/>
  <c r="O19" i="6"/>
  <c r="O15" i="6"/>
  <c r="O11" i="6"/>
  <c r="O22" i="6"/>
  <c r="O13" i="6"/>
  <c r="O9" i="6"/>
  <c r="O17" i="6"/>
  <c r="AV37" i="20"/>
  <c r="Z45" i="2"/>
  <c r="DA49" i="3"/>
  <c r="AM49" i="3"/>
  <c r="R51" i="4"/>
  <c r="R48" i="4"/>
  <c r="R36" i="4"/>
  <c r="R34" i="4"/>
  <c r="R32" i="4"/>
  <c r="R30" i="4"/>
  <c r="R28" i="4"/>
  <c r="R26" i="4"/>
  <c r="R57" i="4"/>
  <c r="R54" i="4"/>
  <c r="R41" i="4"/>
  <c r="R38" i="4"/>
  <c r="R47" i="4"/>
  <c r="R44" i="4"/>
  <c r="R19" i="4"/>
  <c r="R17" i="4"/>
  <c r="R15" i="4"/>
  <c r="R13" i="4"/>
  <c r="R11" i="4"/>
  <c r="R9" i="4"/>
  <c r="R53" i="4"/>
  <c r="R50" i="4"/>
  <c r="R23" i="4"/>
  <c r="R21" i="4"/>
  <c r="R56" i="4"/>
  <c r="R43" i="4"/>
  <c r="R40" i="4"/>
  <c r="R37" i="4"/>
  <c r="R35" i="4"/>
  <c r="R33" i="4"/>
  <c r="R31" i="4"/>
  <c r="R29" i="4"/>
  <c r="R27" i="4"/>
  <c r="R25" i="4"/>
  <c r="R49" i="4"/>
  <c r="R42" i="4"/>
  <c r="R24" i="4"/>
  <c r="R18" i="4"/>
  <c r="R39" i="4"/>
  <c r="R55" i="4"/>
  <c r="R46" i="4"/>
  <c r="R22" i="4"/>
  <c r="R16" i="4"/>
  <c r="R58" i="4"/>
  <c r="R10" i="4"/>
  <c r="R52" i="4"/>
  <c r="R14" i="4"/>
  <c r="R12" i="4"/>
  <c r="R45" i="4"/>
  <c r="R20" i="4"/>
  <c r="R57" i="2"/>
  <c r="R55" i="2"/>
  <c r="R19" i="2"/>
  <c r="R17" i="2"/>
  <c r="R15" i="2"/>
  <c r="R13" i="2"/>
  <c r="R11" i="2"/>
  <c r="R9" i="2"/>
  <c r="R58" i="2"/>
  <c r="R23" i="2"/>
  <c r="R21" i="2"/>
  <c r="R18" i="2"/>
  <c r="R16" i="2"/>
  <c r="R14" i="2"/>
  <c r="R12" i="2"/>
  <c r="R10" i="2"/>
  <c r="R53" i="2"/>
  <c r="R49" i="2"/>
  <c r="R45" i="2"/>
  <c r="R41" i="2"/>
  <c r="R37" i="2"/>
  <c r="R33" i="2"/>
  <c r="R29" i="2"/>
  <c r="R25" i="2"/>
  <c r="R20" i="2"/>
  <c r="R22" i="2"/>
  <c r="R42" i="2"/>
  <c r="R26" i="2"/>
  <c r="R24" i="2"/>
  <c r="R54" i="2"/>
  <c r="R34" i="2"/>
  <c r="R52" i="2"/>
  <c r="R48" i="2"/>
  <c r="R44" i="2"/>
  <c r="R40" i="2"/>
  <c r="R36" i="2"/>
  <c r="R32" i="2"/>
  <c r="R28" i="2"/>
  <c r="R46" i="2"/>
  <c r="R30" i="2"/>
  <c r="R56" i="2"/>
  <c r="R47" i="2"/>
  <c r="R35" i="2"/>
  <c r="R27" i="2"/>
  <c r="R38" i="2"/>
  <c r="R51" i="2"/>
  <c r="R43" i="2"/>
  <c r="R39" i="2"/>
  <c r="R31" i="2"/>
  <c r="R50" i="2"/>
  <c r="Z49" i="2"/>
  <c r="AV41" i="20"/>
  <c r="P54" i="2"/>
  <c r="P52" i="2"/>
  <c r="P50" i="2"/>
  <c r="P48" i="2"/>
  <c r="P46" i="2"/>
  <c r="P44" i="2"/>
  <c r="P42" i="2"/>
  <c r="P40" i="2"/>
  <c r="P38" i="2"/>
  <c r="P36" i="2"/>
  <c r="P34" i="2"/>
  <c r="P32" i="2"/>
  <c r="P30" i="2"/>
  <c r="P28" i="2"/>
  <c r="P26" i="2"/>
  <c r="P56" i="2"/>
  <c r="P58" i="2"/>
  <c r="P23" i="2"/>
  <c r="P21" i="2"/>
  <c r="P55" i="2"/>
  <c r="P53" i="2"/>
  <c r="P51" i="2"/>
  <c r="P49" i="2"/>
  <c r="P47" i="2"/>
  <c r="P45" i="2"/>
  <c r="P43" i="2"/>
  <c r="P41" i="2"/>
  <c r="P39" i="2"/>
  <c r="P37" i="2"/>
  <c r="P35" i="2"/>
  <c r="P33" i="2"/>
  <c r="P31" i="2"/>
  <c r="P29" i="2"/>
  <c r="P27" i="2"/>
  <c r="P17" i="2"/>
  <c r="P13" i="2"/>
  <c r="P9" i="2"/>
  <c r="P14" i="2"/>
  <c r="P57" i="2"/>
  <c r="P20" i="2"/>
  <c r="P16" i="2"/>
  <c r="P12" i="2"/>
  <c r="P24" i="2"/>
  <c r="P15" i="2"/>
  <c r="P11" i="2"/>
  <c r="P10" i="2"/>
  <c r="P19" i="2"/>
  <c r="P18" i="2"/>
  <c r="P22" i="2"/>
  <c r="P25" i="2"/>
  <c r="AM33" i="4"/>
  <c r="AM45" i="6"/>
  <c r="AM21" i="6"/>
  <c r="BQ7" i="4"/>
  <c r="BQ7" i="6"/>
  <c r="BQ7" i="21"/>
  <c r="BQ7" i="3"/>
  <c r="BQ7" i="5"/>
  <c r="BQ7" i="2"/>
  <c r="BO7" i="1"/>
  <c r="BO7" i="4"/>
  <c r="BO7" i="6"/>
  <c r="BO7" i="21"/>
  <c r="BO7" i="5"/>
  <c r="BO7" i="3"/>
  <c r="BO7" i="2"/>
  <c r="BM7" i="1"/>
  <c r="BM7" i="4"/>
  <c r="BM7" i="6"/>
  <c r="BM7" i="21"/>
  <c r="BM7" i="3"/>
  <c r="BM7" i="5"/>
  <c r="BM7" i="2"/>
  <c r="BK7" i="1"/>
  <c r="DA29" i="3"/>
  <c r="AM29" i="3"/>
  <c r="DB36" i="3"/>
  <c r="AM36" i="3"/>
  <c r="AM36" i="6"/>
  <c r="DB57" i="3"/>
  <c r="AM57" i="3"/>
  <c r="DB21" i="3"/>
  <c r="AM21" i="3"/>
  <c r="D281" i="11"/>
  <c r="E281" i="11"/>
  <c r="G281" i="11"/>
  <c r="H281" i="11"/>
  <c r="AX39" i="20"/>
  <c r="Z47" i="5"/>
  <c r="Z46" i="3"/>
  <c r="AW38" i="20"/>
  <c r="BP7" i="5"/>
  <c r="BP7" i="3"/>
  <c r="BP7" i="21"/>
  <c r="BP7" i="4"/>
  <c r="BP7" i="2"/>
  <c r="BN7" i="1"/>
  <c r="BP7" i="6"/>
  <c r="BN7" i="5"/>
  <c r="BN7" i="3"/>
  <c r="BN7" i="21"/>
  <c r="BN7" i="6"/>
  <c r="BN7" i="2"/>
  <c r="BL7" i="1"/>
  <c r="BN7" i="4"/>
  <c r="BL7" i="5"/>
  <c r="BL7" i="3"/>
  <c r="BL7" i="21"/>
  <c r="BL7" i="4"/>
  <c r="BL7" i="2"/>
  <c r="BJ7" i="1"/>
  <c r="BL7" i="6"/>
  <c r="F28" i="8"/>
  <c r="AM33" i="6"/>
  <c r="AM33" i="5"/>
  <c r="DA28" i="3"/>
  <c r="AM28" i="3"/>
  <c r="DA27" i="3"/>
  <c r="AM27" i="3"/>
  <c r="AM45" i="5"/>
  <c r="AM48" i="5"/>
  <c r="DA23" i="3"/>
  <c r="AM23" i="3"/>
  <c r="DA42" i="3"/>
  <c r="AM42" i="3"/>
  <c r="F281" i="11"/>
  <c r="AW40" i="20"/>
  <c r="Z48" i="3"/>
  <c r="N44" i="2"/>
  <c r="AV42" i="20"/>
  <c r="Z50" i="2"/>
  <c r="DA50" i="3"/>
  <c r="AM50" i="3"/>
  <c r="AW41" i="20"/>
  <c r="Z49" i="3"/>
  <c r="Z45" i="3"/>
  <c r="AW37" i="20"/>
  <c r="AX38" i="20"/>
  <c r="Z46" i="5"/>
  <c r="Z48" i="5"/>
  <c r="AX40" i="20"/>
  <c r="Z47" i="6"/>
  <c r="AZ39" i="20"/>
  <c r="Z47" i="4"/>
  <c r="Z50" i="3"/>
  <c r="AW42" i="20"/>
  <c r="AX37" i="20"/>
  <c r="Z45" i="5"/>
  <c r="Z49" i="5"/>
  <c r="AX41" i="20"/>
  <c r="AZ38" i="20"/>
  <c r="Z46" i="4"/>
  <c r="Z46" i="6"/>
  <c r="AZ40" i="20"/>
  <c r="Z48" i="4"/>
  <c r="Z48" i="6"/>
  <c r="Z50" i="5"/>
  <c r="AX42" i="20"/>
  <c r="Z49" i="6"/>
  <c r="AZ41" i="20"/>
  <c r="Z49" i="4"/>
  <c r="Z45" i="6"/>
  <c r="AZ37" i="20"/>
  <c r="Z45" i="4"/>
  <c r="AZ42" i="20"/>
  <c r="Z50" i="4"/>
  <c r="Z50" i="6"/>
  <c r="BZ35" i="2"/>
  <c r="BZ42" i="2"/>
  <c r="BZ30" i="2"/>
  <c r="BZ42" i="3"/>
  <c r="BZ30" i="3"/>
  <c r="BZ30" i="4"/>
  <c r="BZ35" i="3"/>
  <c r="BZ35" i="4"/>
  <c r="BZ35" i="5"/>
  <c r="BZ30" i="1"/>
  <c r="BZ48" i="1"/>
  <c r="BZ30" i="6"/>
  <c r="BZ35" i="6"/>
  <c r="BZ42" i="6"/>
  <c r="BZ42" i="4"/>
  <c r="BZ30" i="5"/>
  <c r="BZ42" i="5"/>
  <c r="BZ35" i="21"/>
  <c r="BZ42" i="21"/>
  <c r="BZ30" i="21"/>
  <c r="BZ40" i="1"/>
  <c r="J3" i="13" a="1"/>
  <c r="I3" i="13" a="1"/>
  <c r="H3" i="13" a="1"/>
  <c r="BU40" i="21"/>
  <c r="BL43" i="21"/>
  <c r="BF33" i="21"/>
  <c r="BS30" i="21"/>
  <c r="BF34" i="21"/>
  <c r="BD12" i="21"/>
  <c r="BU12" i="21"/>
  <c r="BG10" i="21"/>
  <c r="BD10" i="21"/>
  <c r="BP29" i="21"/>
  <c r="BW53" i="21"/>
  <c r="BH58" i="21"/>
  <c r="BP53" i="21"/>
  <c r="BH25" i="21"/>
  <c r="BI34" i="21"/>
  <c r="BV35" i="21"/>
  <c r="BG57" i="21"/>
  <c r="BI53" i="21"/>
  <c r="BD11" i="21"/>
  <c r="BP58" i="21"/>
  <c r="BE18" i="21"/>
  <c r="BM21" i="21"/>
  <c r="BM27" i="21"/>
  <c r="BP54" i="21"/>
  <c r="BF22" i="21"/>
  <c r="BN21" i="21"/>
  <c r="BE36" i="21"/>
  <c r="BT47" i="21"/>
  <c r="BD50" i="21"/>
  <c r="BU56" i="21"/>
  <c r="BI56" i="21"/>
  <c r="BG37" i="21"/>
  <c r="BI31" i="21"/>
  <c r="BE31" i="21"/>
  <c r="BV19" i="21"/>
  <c r="BM44" i="21"/>
  <c r="BV43" i="21"/>
  <c r="BK40" i="21"/>
  <c r="BG43" i="21"/>
  <c r="BH42" i="21"/>
  <c r="BI30" i="21"/>
  <c r="BF41" i="21"/>
  <c r="BP35" i="21"/>
  <c r="BU34" i="21"/>
  <c r="BM55" i="21"/>
  <c r="BD44" i="21"/>
  <c r="BU25" i="21"/>
  <c r="BH43" i="21"/>
  <c r="BQ55" i="21"/>
  <c r="BS15" i="21"/>
  <c r="BG42" i="21"/>
  <c r="BH26" i="21"/>
  <c r="BQ27" i="21"/>
  <c r="BE45" i="21"/>
  <c r="BM52" i="21"/>
  <c r="BL40" i="21"/>
  <c r="BE21" i="21"/>
  <c r="BG25" i="21"/>
  <c r="BM38" i="21"/>
  <c r="BS37" i="21"/>
  <c r="BV56" i="21"/>
  <c r="BK42" i="21"/>
  <c r="BH28" i="21"/>
  <c r="BD52" i="21"/>
  <c r="BD37" i="21"/>
  <c r="BT39" i="21"/>
  <c r="BN12" i="21"/>
  <c r="BE51" i="21"/>
  <c r="BI16" i="21"/>
  <c r="BP47" i="21"/>
  <c r="BQ35" i="21"/>
  <c r="BM45" i="21"/>
  <c r="BQ36" i="21"/>
  <c r="BK19" i="21"/>
  <c r="BS19" i="21"/>
  <c r="BL20" i="21"/>
  <c r="BQ50" i="21"/>
  <c r="BS40" i="21"/>
  <c r="BH23" i="21"/>
  <c r="BP17" i="21"/>
  <c r="BE42" i="21"/>
  <c r="BG9" i="21"/>
  <c r="BU18" i="21"/>
  <c r="BM42" i="21"/>
  <c r="BM9" i="21"/>
  <c r="BF9" i="21"/>
  <c r="BW58" i="21"/>
  <c r="BM53" i="21"/>
  <c r="BN30" i="21"/>
  <c r="BN27" i="21"/>
  <c r="BQ41" i="21"/>
  <c r="BP44" i="21"/>
  <c r="BE35" i="21"/>
  <c r="BT56" i="21"/>
  <c r="BN44" i="21"/>
  <c r="BG35" i="21"/>
  <c r="BU24" i="21"/>
  <c r="BS23" i="21"/>
  <c r="BQ18" i="21"/>
  <c r="BH10" i="21"/>
  <c r="BK51" i="21"/>
  <c r="BL28" i="21"/>
  <c r="BP13" i="21"/>
  <c r="BD36" i="21"/>
  <c r="BS12" i="21"/>
  <c r="BF55" i="21"/>
  <c r="BP24" i="21"/>
  <c r="BP42" i="21"/>
  <c r="BI20" i="21"/>
  <c r="BF13" i="21"/>
  <c r="BL17" i="21"/>
  <c r="BT45" i="21"/>
  <c r="BK13" i="21"/>
  <c r="BV12" i="21"/>
  <c r="BN14" i="21"/>
  <c r="BN43" i="21"/>
  <c r="BF10" i="21"/>
  <c r="BU32" i="21"/>
  <c r="BK49" i="21"/>
  <c r="BP23" i="21"/>
  <c r="BU43" i="21"/>
  <c r="BW45" i="21"/>
  <c r="BH32" i="21"/>
  <c r="BN55" i="21"/>
  <c r="BM25" i="21"/>
  <c r="BV54" i="21"/>
  <c r="BS9" i="21"/>
  <c r="BG52" i="21"/>
  <c r="BS52" i="21"/>
  <c r="BH49" i="21"/>
  <c r="BE29" i="21"/>
  <c r="BS57" i="21"/>
  <c r="BL53" i="21"/>
  <c r="BM26" i="21"/>
  <c r="BN46" i="21"/>
  <c r="BF15" i="21"/>
  <c r="BM54" i="21"/>
  <c r="BS26" i="21"/>
  <c r="BQ32" i="21"/>
  <c r="BU17" i="21"/>
  <c r="BI9" i="21"/>
  <c r="BH57" i="21"/>
  <c r="BE28" i="21"/>
  <c r="BQ42" i="21"/>
  <c r="BG54" i="21"/>
  <c r="BN58" i="21"/>
  <c r="BQ44" i="21"/>
  <c r="BS27" i="21"/>
  <c r="BM18" i="21"/>
  <c r="BU55" i="21"/>
  <c r="BQ46" i="21"/>
  <c r="BQ31" i="21"/>
  <c r="BU41" i="21"/>
  <c r="BW35" i="21"/>
  <c r="BK22" i="21"/>
  <c r="BD17" i="21"/>
  <c r="BV46" i="21"/>
  <c r="BI17" i="21"/>
  <c r="BG23" i="21"/>
  <c r="BV26" i="21"/>
  <c r="BP11" i="21"/>
  <c r="BN13" i="21"/>
  <c r="BQ52" i="21"/>
  <c r="BL57" i="21"/>
  <c r="BN39" i="21"/>
  <c r="BT51" i="21"/>
  <c r="BL16" i="21"/>
  <c r="BL51" i="21"/>
  <c r="BF53" i="21"/>
  <c r="BE54" i="21"/>
  <c r="BH37" i="21"/>
  <c r="BL35" i="21"/>
  <c r="BQ43" i="21"/>
  <c r="BV18" i="21"/>
  <c r="BM10" i="21"/>
  <c r="BD39" i="21"/>
  <c r="BT22" i="21"/>
  <c r="BN36" i="21"/>
  <c r="BG14" i="21"/>
  <c r="BW37" i="21"/>
  <c r="BT26" i="21"/>
  <c r="BH18" i="21"/>
  <c r="BG51" i="21"/>
  <c r="BD15" i="21"/>
  <c r="BQ25" i="21"/>
  <c r="BV16" i="21"/>
  <c r="BG44" i="21"/>
  <c r="BT10" i="21"/>
  <c r="BH36" i="21"/>
  <c r="BF43" i="21"/>
  <c r="BF12" i="21"/>
  <c r="BS48" i="21"/>
  <c r="BD42" i="21"/>
  <c r="BF25" i="21"/>
  <c r="BG24" i="21"/>
  <c r="BQ17" i="21"/>
  <c r="BL9" i="21"/>
  <c r="BL19" i="21"/>
  <c r="BE14" i="21"/>
  <c r="BH31" i="21"/>
  <c r="BG31" i="21"/>
  <c r="BK31" i="21"/>
  <c r="BP20" i="21"/>
  <c r="BP14" i="21"/>
  <c r="BH53" i="21"/>
  <c r="BH33" i="21"/>
  <c r="BN48" i="21"/>
  <c r="BS17" i="21"/>
  <c r="BD58" i="21"/>
  <c r="BF18" i="21"/>
  <c r="BE9" i="21"/>
  <c r="BP38" i="21"/>
  <c r="BP16" i="21"/>
  <c r="BG13" i="21"/>
  <c r="BS20" i="21"/>
  <c r="BT34" i="21"/>
  <c r="BM49" i="21"/>
  <c r="BE12" i="21"/>
  <c r="BF38" i="21"/>
  <c r="BV52" i="21"/>
  <c r="BD55" i="21"/>
  <c r="BI51" i="21"/>
  <c r="BP28" i="21"/>
  <c r="BP33" i="21"/>
  <c r="BK28" i="21"/>
  <c r="BL10" i="21"/>
  <c r="BD54" i="21"/>
  <c r="BP10" i="21"/>
  <c r="BQ24" i="21"/>
  <c r="BW17" i="21"/>
  <c r="BS31" i="21"/>
  <c r="BI43" i="21"/>
  <c r="BW56" i="21"/>
  <c r="BP45" i="21"/>
  <c r="BH15" i="21"/>
  <c r="BP26" i="21"/>
  <c r="BG27" i="21"/>
  <c r="BM16" i="21"/>
  <c r="BS13" i="21"/>
  <c r="BS35" i="21"/>
  <c r="BT14" i="21"/>
  <c r="BI47" i="21"/>
  <c r="BV44" i="21"/>
  <c r="BG47" i="21"/>
  <c r="BS10" i="21"/>
  <c r="BG17" i="21"/>
  <c r="BQ37" i="21"/>
  <c r="BU46" i="21"/>
  <c r="BN18" i="21"/>
  <c r="BK46" i="21"/>
  <c r="BF23" i="21"/>
  <c r="BN37" i="21"/>
  <c r="BF24" i="21"/>
  <c r="BK10" i="21"/>
  <c r="BV49" i="21"/>
  <c r="BI54" i="21"/>
  <c r="BV37" i="21"/>
  <c r="BF39" i="21"/>
  <c r="BI36" i="21"/>
  <c r="BQ53" i="21"/>
  <c r="BI39" i="21"/>
  <c r="BH55" i="21"/>
  <c r="BN49" i="21"/>
  <c r="BI11" i="21"/>
  <c r="BT55" i="21"/>
  <c r="BN22" i="21"/>
  <c r="BI50" i="21"/>
  <c r="BI52" i="21"/>
  <c r="BQ9" i="21"/>
  <c r="BS18" i="21"/>
  <c r="BD48" i="21"/>
  <c r="BM15" i="21"/>
  <c r="BI45" i="21"/>
  <c r="BI28" i="21"/>
  <c r="BQ47" i="21"/>
  <c r="BS28" i="21"/>
  <c r="BM29" i="21"/>
  <c r="BW49" i="21"/>
  <c r="BI37" i="21"/>
  <c r="BV11" i="21"/>
  <c r="BG28" i="21"/>
  <c r="BT11" i="21"/>
  <c r="BK47" i="21"/>
  <c r="BI15" i="21"/>
  <c r="BP39" i="21"/>
  <c r="BP31" i="21"/>
  <c r="BG45" i="21"/>
  <c r="BK12" i="21"/>
  <c r="BU30" i="21"/>
  <c r="BS24" i="21"/>
  <c r="BM20" i="21"/>
  <c r="BD26" i="21"/>
  <c r="BU35" i="21"/>
  <c r="BK35" i="21"/>
  <c r="BF16" i="21"/>
  <c r="BN50" i="21"/>
  <c r="BE44" i="21"/>
  <c r="BH11" i="21"/>
  <c r="BU50" i="21"/>
  <c r="BE22" i="21"/>
  <c r="BU21" i="21"/>
  <c r="BN9" i="21"/>
  <c r="BG18" i="21"/>
  <c r="BE52" i="21"/>
  <c r="BE17" i="21"/>
  <c r="BM58" i="21"/>
  <c r="BE34" i="21"/>
  <c r="BE58" i="21"/>
  <c r="BV34" i="21"/>
  <c r="BM50" i="21"/>
  <c r="BP55" i="21"/>
  <c r="BN16" i="21"/>
  <c r="BL31" i="21"/>
  <c r="BF35" i="21"/>
  <c r="BQ22" i="21"/>
  <c r="BV17" i="21"/>
  <c r="BG33" i="21"/>
  <c r="BE26" i="21"/>
  <c r="BN33" i="21"/>
  <c r="BF42" i="21"/>
  <c r="BP36" i="21"/>
  <c r="BQ34" i="21"/>
  <c r="BM37" i="21"/>
  <c r="BQ48" i="21"/>
  <c r="BW54" i="21"/>
  <c r="BS39" i="21"/>
  <c r="BI57" i="21"/>
  <c r="BF32" i="21"/>
  <c r="BD18" i="21"/>
  <c r="BH40" i="21"/>
  <c r="BW38" i="21"/>
  <c r="BW27" i="21"/>
  <c r="BE16" i="21"/>
  <c r="BW18" i="21"/>
  <c r="BW40" i="21"/>
  <c r="BM56" i="21"/>
  <c r="BV20" i="21"/>
  <c r="BQ54" i="21"/>
  <c r="BU39" i="21"/>
  <c r="BF29" i="21"/>
  <c r="BF36" i="21"/>
  <c r="BG20" i="21"/>
  <c r="BK38" i="21"/>
  <c r="BI48" i="21"/>
  <c r="BN19" i="21"/>
  <c r="BD29" i="21"/>
  <c r="BK56" i="21"/>
  <c r="BT41" i="21"/>
  <c r="BN20" i="21"/>
  <c r="BT36" i="21"/>
  <c r="BD47" i="21"/>
  <c r="BV33" i="21"/>
  <c r="BM36" i="21"/>
  <c r="BH46" i="21"/>
  <c r="BP12" i="21"/>
  <c r="BT43" i="21"/>
  <c r="BP43" i="21"/>
  <c r="BQ23" i="21"/>
  <c r="BS41" i="21"/>
  <c r="BV9" i="21"/>
  <c r="BM12" i="21"/>
  <c r="BW33" i="21"/>
  <c r="BK21" i="21"/>
  <c r="BU51" i="21"/>
  <c r="BQ14" i="21"/>
  <c r="BD27" i="21"/>
  <c r="BK9" i="21"/>
  <c r="BU27" i="21"/>
  <c r="BL58" i="21"/>
  <c r="BM28" i="21"/>
  <c r="BH56" i="21"/>
  <c r="BU48" i="21"/>
  <c r="BS43" i="21"/>
  <c r="BE49" i="21"/>
  <c r="BI12" i="21"/>
  <c r="BS33" i="21"/>
  <c r="BD34" i="21"/>
  <c r="BD28" i="21"/>
  <c r="BD9" i="21"/>
  <c r="BD31" i="21"/>
  <c r="BK50" i="21"/>
  <c r="BQ16" i="21"/>
  <c r="BE15" i="21"/>
  <c r="BQ28" i="21"/>
  <c r="BD33" i="21"/>
  <c r="BP19" i="21"/>
  <c r="BQ57" i="21"/>
  <c r="BP34" i="21"/>
  <c r="BN35" i="21"/>
  <c r="BP18" i="21"/>
  <c r="BT19" i="21"/>
  <c r="BL33" i="21"/>
  <c r="BH39" i="21"/>
  <c r="BN56" i="21"/>
  <c r="BS16" i="21"/>
  <c r="BT32" i="21"/>
  <c r="BT31" i="21"/>
  <c r="BN38" i="21"/>
  <c r="BV45" i="21"/>
  <c r="BT38" i="21"/>
  <c r="BP52" i="21"/>
  <c r="BG26" i="21"/>
  <c r="BI23" i="21"/>
  <c r="BS22" i="21"/>
  <c r="BS36" i="21"/>
  <c r="BU44" i="21"/>
  <c r="BD49" i="21"/>
  <c r="BF14" i="21"/>
  <c r="BT27" i="21"/>
  <c r="BS51" i="21"/>
  <c r="BH16" i="21"/>
  <c r="BT50" i="21"/>
  <c r="BL49" i="21"/>
  <c r="BE23" i="21"/>
  <c r="BK33" i="21"/>
  <c r="BU11" i="21"/>
  <c r="BN11" i="21"/>
  <c r="BV22" i="21"/>
  <c r="BU47" i="21"/>
  <c r="BG36" i="21"/>
  <c r="BF51" i="21"/>
  <c r="BP41" i="21"/>
  <c r="BD13" i="21"/>
  <c r="BP32" i="21"/>
  <c r="BI24" i="21"/>
  <c r="BQ40" i="21"/>
  <c r="BH21" i="21"/>
  <c r="BV48" i="21"/>
  <c r="BW24" i="21"/>
  <c r="BF44" i="21"/>
  <c r="BL42" i="21"/>
  <c r="BE41" i="21"/>
  <c r="BW28" i="21"/>
  <c r="BK15" i="21"/>
  <c r="BQ20" i="21"/>
  <c r="BT52" i="21"/>
  <c r="BN28" i="21"/>
  <c r="BM32" i="21"/>
  <c r="BP15" i="21"/>
  <c r="BQ15" i="21"/>
  <c r="BH17" i="21"/>
  <c r="BE46" i="21"/>
  <c r="BF40" i="21"/>
  <c r="BK53" i="21"/>
  <c r="BG22" i="21"/>
  <c r="BE38" i="21"/>
  <c r="BN45" i="21"/>
  <c r="BP49" i="21"/>
  <c r="BH29" i="21"/>
  <c r="BE33" i="21"/>
  <c r="BU14" i="21"/>
  <c r="BS42" i="21"/>
  <c r="BM22" i="21"/>
  <c r="BL15" i="21"/>
  <c r="BD14" i="21"/>
  <c r="BP21" i="21"/>
  <c r="BK55" i="21"/>
  <c r="BW19" i="21"/>
  <c r="BI44" i="21"/>
  <c r="BK44" i="21"/>
  <c r="BU52" i="21"/>
  <c r="BF37" i="21"/>
  <c r="BT9" i="21"/>
  <c r="BP27" i="21"/>
  <c r="BF48" i="21"/>
  <c r="BV14" i="21"/>
  <c r="BV25" i="21"/>
  <c r="BK57" i="21"/>
  <c r="BD25" i="21"/>
  <c r="BV31" i="21"/>
  <c r="BU15" i="21"/>
  <c r="BQ56" i="21"/>
  <c r="BL38" i="21"/>
  <c r="BV29" i="21"/>
  <c r="BG50" i="21"/>
  <c r="BQ12" i="21"/>
  <c r="BD20" i="21"/>
  <c r="BL41" i="21"/>
  <c r="BM40" i="21"/>
  <c r="BT44" i="21"/>
  <c r="BP22" i="21"/>
  <c r="BK11" i="21"/>
  <c r="BK14" i="21"/>
  <c r="BW57" i="21"/>
  <c r="BN51" i="21"/>
  <c r="BP37" i="21"/>
  <c r="BD19" i="21"/>
  <c r="BL52" i="21"/>
  <c r="BT23" i="21"/>
  <c r="BM47" i="21"/>
  <c r="BF26" i="21"/>
  <c r="BV53" i="21"/>
  <c r="BN47" i="21"/>
  <c r="BK23" i="21"/>
  <c r="BD30" i="21"/>
  <c r="BS55" i="21"/>
  <c r="BN32" i="21"/>
  <c r="BS49" i="21"/>
  <c r="BE57" i="21"/>
  <c r="BV50" i="21"/>
  <c r="BU45" i="21"/>
  <c r="BI29" i="21"/>
  <c r="BM48" i="21"/>
  <c r="BH12" i="21"/>
  <c r="BT35" i="21"/>
  <c r="BS25" i="21"/>
  <c r="BL50" i="21"/>
  <c r="BQ51" i="21"/>
  <c r="BL47" i="21"/>
  <c r="BU57" i="21"/>
  <c r="BI41" i="21"/>
  <c r="BE32" i="21"/>
  <c r="BV47" i="21"/>
  <c r="BL45" i="21"/>
  <c r="BS45" i="21"/>
  <c r="BE10" i="21"/>
  <c r="BL23" i="21"/>
  <c r="BL25" i="21"/>
  <c r="BK16" i="21"/>
  <c r="BE48" i="21"/>
  <c r="BH52" i="21"/>
  <c r="BW26" i="21"/>
  <c r="BL54" i="21"/>
  <c r="BS47" i="21"/>
  <c r="BU38" i="21"/>
  <c r="BK18" i="21"/>
  <c r="BW22" i="21"/>
  <c r="BU22" i="21"/>
  <c r="BL30" i="21"/>
  <c r="BP48" i="21"/>
  <c r="BD40" i="21"/>
  <c r="BS29" i="21"/>
  <c r="BI10" i="21"/>
  <c r="BF20" i="21"/>
  <c r="BI35" i="21"/>
  <c r="BD22" i="21"/>
  <c r="BQ30" i="21"/>
  <c r="BK32" i="21"/>
  <c r="BG32" i="21"/>
  <c r="BV55" i="21"/>
  <c r="BK34" i="21"/>
  <c r="BD51" i="21"/>
  <c r="BF47" i="21"/>
  <c r="BH54" i="21"/>
  <c r="BH44" i="21"/>
  <c r="BI38" i="21"/>
  <c r="BN54" i="21"/>
  <c r="BS14" i="21"/>
  <c r="BV10" i="21"/>
  <c r="BU36" i="21"/>
  <c r="BM30" i="21"/>
  <c r="BQ19" i="21"/>
  <c r="BL13" i="21"/>
  <c r="BE13" i="21"/>
  <c r="BM39" i="21"/>
  <c r="BT24" i="21"/>
  <c r="BG58" i="21"/>
  <c r="BF57" i="21"/>
  <c r="BU13" i="21"/>
  <c r="BF21" i="21"/>
  <c r="BN40" i="21"/>
  <c r="BF46" i="21"/>
  <c r="BG29" i="21"/>
  <c r="BI22" i="21"/>
  <c r="BG53" i="21"/>
  <c r="BQ29" i="21"/>
  <c r="BH19" i="21"/>
  <c r="BU20" i="21"/>
  <c r="BV27" i="21"/>
  <c r="BU28" i="21"/>
  <c r="BE56" i="21"/>
  <c r="BV28" i="21"/>
  <c r="BN53" i="21"/>
  <c r="BL44" i="21"/>
  <c r="BM46" i="21"/>
  <c r="BK29" i="21"/>
  <c r="BQ58" i="21"/>
  <c r="BQ26" i="21"/>
  <c r="BD53" i="21"/>
  <c r="BS56" i="21"/>
  <c r="BS38" i="21"/>
  <c r="BG30" i="21"/>
  <c r="BS54" i="21"/>
  <c r="BT13" i="21"/>
  <c r="BT54" i="21"/>
  <c r="BF50" i="21"/>
  <c r="BF54" i="21"/>
  <c r="BT28" i="21"/>
  <c r="BT42" i="21"/>
  <c r="BH20" i="21"/>
  <c r="BE40" i="21"/>
  <c r="BF27" i="21"/>
  <c r="BN23" i="21"/>
  <c r="BH48" i="21"/>
  <c r="BK36" i="21"/>
  <c r="BH27" i="21"/>
  <c r="BF58" i="21"/>
  <c r="BP25" i="21"/>
  <c r="BL37" i="21"/>
  <c r="BW29" i="21"/>
  <c r="BV24" i="21"/>
  <c r="BT20" i="21"/>
  <c r="BD32" i="21"/>
  <c r="BM35" i="21"/>
  <c r="BD21" i="21"/>
  <c r="BV42" i="21"/>
  <c r="BT15" i="21"/>
  <c r="BT37" i="21"/>
  <c r="BV58" i="21"/>
  <c r="BU26" i="21"/>
  <c r="BQ39" i="21"/>
  <c r="BG39" i="21"/>
  <c r="BQ33" i="21"/>
  <c r="BW25" i="21"/>
  <c r="BH24" i="21"/>
  <c r="BM33" i="21"/>
  <c r="BW10" i="21"/>
  <c r="BE39" i="21"/>
  <c r="BF49" i="21"/>
  <c r="BG40" i="21"/>
  <c r="BW23" i="21"/>
  <c r="BW52" i="21"/>
  <c r="BI25" i="21"/>
  <c r="BH51" i="21"/>
  <c r="BK52" i="21"/>
  <c r="BP56" i="21"/>
  <c r="BL46" i="21"/>
  <c r="BW46" i="21"/>
  <c r="BH9" i="21"/>
  <c r="BP51" i="21"/>
  <c r="BK25" i="21"/>
  <c r="BD57" i="21"/>
  <c r="BL11" i="21"/>
  <c r="BK45" i="21"/>
  <c r="BE24" i="21"/>
  <c r="BI55" i="21"/>
  <c r="BU16" i="21"/>
  <c r="BS50" i="21"/>
  <c r="BD45" i="21"/>
  <c r="BG38" i="21"/>
  <c r="BG48" i="21"/>
  <c r="BI32" i="21"/>
  <c r="BE27" i="21"/>
  <c r="BV38" i="21"/>
  <c r="BV40" i="21"/>
  <c r="BN17" i="21"/>
  <c r="BE43" i="21"/>
  <c r="BK30" i="21"/>
  <c r="BS58" i="21"/>
  <c r="BD46" i="21"/>
  <c r="BD56" i="21"/>
  <c r="BT58" i="21"/>
  <c r="BW42" i="21"/>
  <c r="BU33" i="21"/>
  <c r="BV39" i="21"/>
  <c r="BT57" i="21"/>
  <c r="BU9" i="21"/>
  <c r="BG11" i="21"/>
  <c r="BT25" i="21"/>
  <c r="BK43" i="21"/>
  <c r="BP46" i="21"/>
  <c r="BG56" i="21"/>
  <c r="BI13" i="21"/>
  <c r="BS53" i="21"/>
  <c r="BK48" i="21"/>
  <c r="BF30" i="21"/>
  <c r="BH35" i="21"/>
  <c r="BH14" i="21"/>
  <c r="BP57" i="21"/>
  <c r="BT17" i="21"/>
  <c r="BF28" i="21"/>
  <c r="BM41" i="21"/>
  <c r="BN31" i="21"/>
  <c r="BT12" i="21"/>
  <c r="BG34" i="21"/>
  <c r="BP30" i="21"/>
  <c r="BT21" i="21"/>
  <c r="BG46" i="21"/>
  <c r="BK27" i="21"/>
  <c r="BN34" i="21"/>
  <c r="BG16" i="21"/>
  <c r="BH34" i="21"/>
  <c r="BL29" i="21"/>
  <c r="BL34" i="21"/>
  <c r="BF11" i="21"/>
  <c r="BE47" i="21"/>
  <c r="BD35" i="21"/>
  <c r="BE50" i="21"/>
  <c r="BE19" i="21"/>
  <c r="BH13" i="21"/>
  <c r="BK20" i="21"/>
  <c r="BV57" i="21"/>
  <c r="BQ49" i="21"/>
  <c r="BL14" i="21"/>
  <c r="BF56" i="21"/>
  <c r="BI42" i="21"/>
  <c r="BQ10" i="21"/>
  <c r="BG12" i="21"/>
  <c r="BK41" i="21"/>
  <c r="BH22" i="21"/>
  <c r="BM57" i="21"/>
  <c r="BL22" i="21"/>
  <c r="BL36" i="21"/>
  <c r="BL18" i="21"/>
  <c r="BE37" i="21"/>
  <c r="BD43" i="21"/>
  <c r="BM43" i="21"/>
  <c r="BL27" i="21"/>
  <c r="BK17" i="21"/>
  <c r="BM13" i="21"/>
  <c r="BQ45" i="21"/>
  <c r="BT46" i="21"/>
  <c r="BW12" i="21"/>
  <c r="BT16" i="21"/>
  <c r="BE11" i="21"/>
  <c r="BW20" i="21"/>
  <c r="BW50" i="21"/>
  <c r="BV51" i="21"/>
  <c r="BH47" i="21"/>
  <c r="BF52" i="21"/>
  <c r="BN15" i="21"/>
  <c r="BW11" i="21"/>
  <c r="BQ11" i="21"/>
  <c r="BM14" i="21"/>
  <c r="BT40" i="21"/>
  <c r="BU42" i="21"/>
  <c r="BU49" i="21"/>
  <c r="BS32" i="21"/>
  <c r="BV36" i="21"/>
  <c r="BG41" i="21"/>
  <c r="BQ21" i="21"/>
  <c r="BG49" i="21"/>
  <c r="BI18" i="21"/>
  <c r="BL26" i="21"/>
  <c r="BM19" i="21"/>
  <c r="BL56" i="21"/>
  <c r="BT49" i="21"/>
  <c r="BK37" i="21"/>
  <c r="BI49" i="21"/>
  <c r="BK24" i="21"/>
  <c r="BT53" i="21"/>
  <c r="BM11" i="21"/>
  <c r="BN24" i="21"/>
  <c r="BW48" i="21"/>
  <c r="BL42" i="6"/>
  <c r="BU51" i="6"/>
  <c r="BV11" i="6"/>
  <c r="BG34" i="6"/>
  <c r="BH30" i="6"/>
  <c r="BM14" i="6"/>
  <c r="BN18" i="6"/>
  <c r="BH24" i="6"/>
  <c r="BL26" i="6"/>
  <c r="BT43" i="6"/>
  <c r="BH28" i="6"/>
  <c r="BM31" i="6"/>
  <c r="BK11" i="6"/>
  <c r="BK49" i="6"/>
  <c r="BN57" i="6"/>
  <c r="BI50" i="6"/>
  <c r="BS10" i="6"/>
  <c r="BP43" i="6"/>
  <c r="BT42" i="6"/>
  <c r="BV36" i="6"/>
  <c r="BU29" i="6"/>
  <c r="BU56" i="6"/>
  <c r="BH14" i="6"/>
  <c r="BK32" i="6"/>
  <c r="BI33" i="6"/>
  <c r="BI13" i="6"/>
  <c r="BS18" i="6"/>
  <c r="BF41" i="6"/>
  <c r="BD18" i="6"/>
  <c r="BS29" i="6"/>
  <c r="BQ22" i="6"/>
  <c r="BM57" i="6"/>
  <c r="BN41" i="6"/>
  <c r="BE38" i="6"/>
  <c r="BL36" i="6"/>
  <c r="BE35" i="6"/>
  <c r="BP9" i="6"/>
  <c r="BL33" i="6"/>
  <c r="BP53" i="6"/>
  <c r="BV23" i="6"/>
  <c r="BV41" i="6"/>
  <c r="BD32" i="6"/>
  <c r="BP36" i="6"/>
  <c r="BG24" i="6"/>
  <c r="BK40" i="6"/>
  <c r="BV15" i="6"/>
  <c r="BD9" i="6"/>
  <c r="BI12" i="6"/>
  <c r="BG53" i="6"/>
  <c r="BG29" i="6"/>
  <c r="BQ29" i="6"/>
  <c r="BQ26" i="6"/>
  <c r="BG22" i="6"/>
  <c r="BP26" i="6"/>
  <c r="BL25" i="6"/>
  <c r="BN28" i="6"/>
  <c r="BQ30" i="6"/>
  <c r="BK23" i="6"/>
  <c r="BQ31" i="6"/>
  <c r="BD27" i="6"/>
  <c r="BF34" i="6"/>
  <c r="BQ14" i="6"/>
  <c r="BS21" i="6"/>
  <c r="BM11" i="6"/>
  <c r="BP14" i="6"/>
  <c r="BM29" i="6"/>
  <c r="BP37" i="6"/>
  <c r="BH42" i="6"/>
  <c r="BE47" i="6"/>
  <c r="BV37" i="6"/>
  <c r="BQ15" i="6"/>
  <c r="BV18" i="6"/>
  <c r="BK14" i="6"/>
  <c r="BD29" i="6"/>
  <c r="BV20" i="6"/>
  <c r="BD23" i="6"/>
  <c r="BI53" i="6"/>
  <c r="BT28" i="6"/>
  <c r="BK54" i="6"/>
  <c r="BK52" i="6"/>
  <c r="BT54" i="6"/>
  <c r="BE16" i="6"/>
  <c r="BS38" i="6"/>
  <c r="BP15" i="6"/>
  <c r="BE24" i="6"/>
  <c r="BT23" i="6"/>
  <c r="BD16" i="21"/>
  <c r="BH50" i="21"/>
  <c r="BE20" i="21"/>
  <c r="BH38" i="21"/>
  <c r="BL32" i="21"/>
  <c r="BE53" i="21"/>
  <c r="BW36" i="21"/>
  <c r="BI21" i="21"/>
  <c r="BF31" i="21"/>
  <c r="BT18" i="21"/>
  <c r="BU58" i="21"/>
  <c r="BW14" i="21"/>
  <c r="BV30" i="21"/>
  <c r="BW31" i="21"/>
  <c r="BU19" i="21"/>
  <c r="BK20" i="6"/>
  <c r="BP40" i="6"/>
  <c r="BH38" i="6"/>
  <c r="BI39" i="6"/>
  <c r="BE39" i="6"/>
  <c r="BT34" i="6"/>
  <c r="BT30" i="6"/>
  <c r="BG45" i="6"/>
  <c r="BU18" i="6"/>
  <c r="BI54" i="6"/>
  <c r="BP30" i="6"/>
  <c r="BK48" i="6"/>
  <c r="BE56" i="6"/>
  <c r="BH48" i="6"/>
  <c r="BP57" i="6"/>
  <c r="BF11" i="6"/>
  <c r="BV16" i="6"/>
  <c r="BN33" i="6"/>
  <c r="BU31" i="6"/>
  <c r="BE29" i="6"/>
  <c r="BD10" i="6"/>
  <c r="BE37" i="6"/>
  <c r="BS43" i="6"/>
  <c r="BU46" i="6"/>
  <c r="BP22" i="6"/>
  <c r="BG43" i="6"/>
  <c r="BS41" i="6"/>
  <c r="BL20" i="6"/>
  <c r="BS35" i="6"/>
  <c r="BD34" i="6"/>
  <c r="BK35" i="6"/>
  <c r="BP47" i="6"/>
  <c r="BE27" i="6"/>
  <c r="BN31" i="6"/>
  <c r="BT25" i="6"/>
  <c r="BQ51" i="6"/>
  <c r="BK39" i="6"/>
  <c r="BI23" i="6"/>
  <c r="BI21" i="6"/>
  <c r="BE49" i="6"/>
  <c r="BF47" i="6"/>
  <c r="BL57" i="6"/>
  <c r="BS47" i="6"/>
  <c r="BU16" i="6"/>
  <c r="BU21" i="6"/>
  <c r="BD21" i="6"/>
  <c r="BV54" i="6"/>
  <c r="BF44" i="6"/>
  <c r="BD19" i="6"/>
  <c r="BK26" i="21"/>
  <c r="BN57" i="21"/>
  <c r="BG19" i="21"/>
  <c r="BP9" i="21"/>
  <c r="BD38" i="21"/>
  <c r="BL39" i="21"/>
  <c r="BS44" i="21"/>
  <c r="BS11" i="21"/>
  <c r="BQ13" i="21"/>
  <c r="BW47" i="21"/>
  <c r="BW41" i="21"/>
  <c r="BD24" i="21"/>
  <c r="BD41" i="21"/>
  <c r="BS34" i="21"/>
  <c r="BW9" i="21"/>
  <c r="BL22" i="6"/>
  <c r="BF29" i="6"/>
  <c r="BF21" i="6"/>
  <c r="BV45" i="6"/>
  <c r="BQ12" i="6"/>
  <c r="BU30" i="6"/>
  <c r="BL35" i="6"/>
  <c r="BU38" i="6"/>
  <c r="BP27" i="6"/>
  <c r="BM17" i="6"/>
  <c r="BV10" i="6"/>
  <c r="BP24" i="6"/>
  <c r="BN49" i="6"/>
  <c r="BP54" i="6"/>
  <c r="BF42" i="6"/>
  <c r="BF12" i="6"/>
  <c r="BS48" i="6"/>
  <c r="BK15" i="6"/>
  <c r="BV52" i="6"/>
  <c r="BF51" i="6"/>
  <c r="BU57" i="6"/>
  <c r="BI43" i="6"/>
  <c r="BD41" i="6"/>
  <c r="BI55" i="6"/>
  <c r="BN14" i="6"/>
  <c r="BI11" i="6"/>
  <c r="BI19" i="6"/>
  <c r="BP12" i="6"/>
  <c r="BF13" i="6"/>
  <c r="BF23" i="6"/>
  <c r="BV34" i="6"/>
  <c r="BT38" i="6"/>
  <c r="BS54" i="6"/>
  <c r="BG28" i="6"/>
  <c r="BI45" i="6"/>
  <c r="BP50" i="6"/>
  <c r="BM19" i="6"/>
  <c r="BQ24" i="6"/>
  <c r="BN44" i="6"/>
  <c r="BF39" i="6"/>
  <c r="BG40" i="6"/>
  <c r="BU48" i="6"/>
  <c r="BK17" i="6"/>
  <c r="BT39" i="6"/>
  <c r="BW42" i="6"/>
  <c r="BQ32" i="6"/>
  <c r="BG47" i="6"/>
  <c r="BU15" i="6"/>
  <c r="BL14" i="6"/>
  <c r="BH29" i="6"/>
  <c r="BI29" i="6"/>
  <c r="BU37" i="6"/>
  <c r="BU13" i="6"/>
  <c r="BH13" i="6"/>
  <c r="BH37" i="6"/>
  <c r="BE23" i="6"/>
  <c r="BU12" i="6"/>
  <c r="BG14" i="6"/>
  <c r="BM33" i="6"/>
  <c r="BP56" i="6"/>
  <c r="BF56" i="6"/>
  <c r="BI16" i="6"/>
  <c r="BQ46" i="6"/>
  <c r="BN40" i="6"/>
  <c r="BV48" i="6"/>
  <c r="BF50" i="6"/>
  <c r="BT57" i="6"/>
  <c r="BN45" i="6"/>
  <c r="BF18" i="6"/>
  <c r="BQ10" i="6"/>
  <c r="BD46" i="6"/>
  <c r="BQ47" i="6"/>
  <c r="BU26" i="6"/>
  <c r="BM54" i="6"/>
  <c r="BK10" i="6"/>
  <c r="BD12" i="6"/>
  <c r="BG30" i="6"/>
  <c r="BK25" i="6"/>
  <c r="BF40" i="6"/>
  <c r="BH51" i="6"/>
  <c r="BI22" i="6"/>
  <c r="BF35" i="6"/>
  <c r="BW33" i="6"/>
  <c r="BW13" i="6"/>
  <c r="BI30" i="6"/>
  <c r="BL48" i="21"/>
  <c r="BF17" i="21"/>
  <c r="BT33" i="21"/>
  <c r="BV23" i="21"/>
  <c r="BN25" i="21"/>
  <c r="BN52" i="21"/>
  <c r="BW30" i="21"/>
  <c r="BD23" i="21"/>
  <c r="BV32" i="21"/>
  <c r="BP40" i="21"/>
  <c r="BW16" i="21"/>
  <c r="BN10" i="21"/>
  <c r="BW44" i="21"/>
  <c r="BL55" i="21"/>
  <c r="BM34" i="21"/>
  <c r="BN29" i="21"/>
  <c r="BN37" i="6"/>
  <c r="BI10" i="6"/>
  <c r="BE44" i="6"/>
  <c r="BF31" i="6"/>
  <c r="BU39" i="6"/>
  <c r="BL49" i="6"/>
  <c r="BE20" i="6"/>
  <c r="BE52" i="6"/>
  <c r="BP20" i="6"/>
  <c r="BN54" i="6"/>
  <c r="BH44" i="6"/>
  <c r="BV53" i="6"/>
  <c r="BG32" i="6"/>
  <c r="BK34" i="6"/>
  <c r="BE41" i="6"/>
  <c r="BD38" i="6"/>
  <c r="BH27" i="6"/>
  <c r="BS36" i="6"/>
  <c r="BH36" i="6"/>
  <c r="BH56" i="6"/>
  <c r="BI38" i="6"/>
  <c r="BH19" i="6"/>
  <c r="BF53" i="6"/>
  <c r="BI49" i="6"/>
  <c r="BL9" i="6"/>
  <c r="BD50" i="6"/>
  <c r="BS24" i="6"/>
  <c r="BQ48" i="6"/>
  <c r="BS11" i="6"/>
  <c r="BI17" i="6"/>
  <c r="BE31" i="6"/>
  <c r="BD53" i="6"/>
  <c r="BH39" i="6"/>
  <c r="BH35" i="6"/>
  <c r="BG39" i="6"/>
  <c r="BQ20" i="6"/>
  <c r="BM40" i="6"/>
  <c r="BF17" i="6"/>
  <c r="BP58" i="6"/>
  <c r="BT16" i="6"/>
  <c r="BT26" i="6"/>
  <c r="BE22" i="6"/>
  <c r="BM21" i="6"/>
  <c r="BV22" i="6"/>
  <c r="BE30" i="6"/>
  <c r="BT19" i="6"/>
  <c r="BP33" i="6"/>
  <c r="BM39" i="6"/>
  <c r="BK9" i="6"/>
  <c r="BN15" i="6"/>
  <c r="BW38" i="6"/>
  <c r="BF24" i="6"/>
  <c r="BU11" i="6"/>
  <c r="BT31" i="6"/>
  <c r="BL52" i="6"/>
  <c r="BT14" i="6"/>
  <c r="BG56" i="6"/>
  <c r="BE55" i="6"/>
  <c r="BK56" i="6"/>
  <c r="BH16" i="6"/>
  <c r="BS45" i="6"/>
  <c r="BK37" i="6"/>
  <c r="BD11" i="6"/>
  <c r="BM44" i="6"/>
  <c r="BS49" i="6"/>
  <c r="BS27" i="6"/>
  <c r="BD16" i="6"/>
  <c r="BD58" i="6"/>
  <c r="BQ17" i="6"/>
  <c r="BV56" i="6"/>
  <c r="BS55" i="6"/>
  <c r="BD35" i="6"/>
  <c r="BS9" i="6"/>
  <c r="BP46" i="6"/>
  <c r="BM49" i="6"/>
  <c r="BD49" i="6"/>
  <c r="BP19" i="6"/>
  <c r="BF16" i="6"/>
  <c r="BP52" i="6"/>
  <c r="BN32" i="6"/>
  <c r="BV9" i="6"/>
  <c r="BQ36" i="6"/>
  <c r="BG55" i="6"/>
  <c r="BI51" i="6"/>
  <c r="BK27" i="6"/>
  <c r="BN50" i="6"/>
  <c r="BV46" i="6"/>
  <c r="BK58" i="21"/>
  <c r="BQ38" i="21"/>
  <c r="BU23" i="21"/>
  <c r="BI26" i="21"/>
  <c r="BH30" i="21"/>
  <c r="BI19" i="21"/>
  <c r="BI14" i="21"/>
  <c r="BN42" i="21"/>
  <c r="BG55" i="21"/>
  <c r="BW34" i="21"/>
  <c r="BM23" i="21"/>
  <c r="BV13" i="21"/>
  <c r="BM24" i="21"/>
  <c r="BG21" i="21"/>
  <c r="BG44" i="6"/>
  <c r="BN11" i="6"/>
  <c r="BS34" i="6"/>
  <c r="BK58" i="6"/>
  <c r="BP31" i="6"/>
  <c r="BD20" i="6"/>
  <c r="BT32" i="6"/>
  <c r="BH46" i="6"/>
  <c r="BE9" i="6"/>
  <c r="BK33" i="6"/>
  <c r="BT24" i="6"/>
  <c r="BK18" i="6"/>
  <c r="BK24" i="6"/>
  <c r="BV31" i="6"/>
  <c r="BQ9" i="6"/>
  <c r="BH25" i="6"/>
  <c r="BT15" i="6"/>
  <c r="BG41" i="6"/>
  <c r="BG49" i="6"/>
  <c r="BH55" i="6"/>
  <c r="BN48" i="6"/>
  <c r="BU14" i="6"/>
  <c r="BS33" i="6"/>
  <c r="BM51" i="6"/>
  <c r="BV21" i="6"/>
  <c r="BL21" i="6"/>
  <c r="BL19" i="6"/>
  <c r="BV42" i="6"/>
  <c r="BG10" i="6"/>
  <c r="BD54" i="6"/>
  <c r="BE43" i="6"/>
  <c r="BK26" i="6"/>
  <c r="BI14" i="6"/>
  <c r="BI35" i="6"/>
  <c r="BV13" i="6"/>
  <c r="BN42" i="6"/>
  <c r="BH34" i="6"/>
  <c r="BI46" i="6"/>
  <c r="BL48" i="6"/>
  <c r="BE13" i="6"/>
  <c r="BG17" i="6"/>
  <c r="BT37" i="6"/>
  <c r="BU43" i="6"/>
  <c r="BV49" i="6"/>
  <c r="BU28" i="6"/>
  <c r="BD37" i="6"/>
  <c r="BG15" i="6"/>
  <c r="BU9" i="6"/>
  <c r="BN55" i="6"/>
  <c r="BL29" i="6"/>
  <c r="BT58" i="6"/>
  <c r="BI27" i="6"/>
  <c r="BG19" i="6"/>
  <c r="BH41" i="6"/>
  <c r="BK12" i="6"/>
  <c r="BQ19" i="6"/>
  <c r="BI42" i="6"/>
  <c r="BT33" i="6"/>
  <c r="BS51" i="6"/>
  <c r="BL18" i="6"/>
  <c r="BU45" i="6"/>
  <c r="BE14" i="6"/>
  <c r="BF36" i="6"/>
  <c r="BT45" i="6"/>
  <c r="BI32" i="6"/>
  <c r="BN53" i="6"/>
  <c r="BV12" i="6"/>
  <c r="BD24" i="6"/>
  <c r="BU41" i="6"/>
  <c r="BG9" i="6"/>
  <c r="BS40" i="6"/>
  <c r="BH17" i="6"/>
  <c r="BD48" i="6"/>
  <c r="BQ11" i="6"/>
  <c r="BM15" i="6"/>
  <c r="BE53" i="6"/>
  <c r="BT29" i="6"/>
  <c r="BT35" i="6"/>
  <c r="BU47" i="6"/>
  <c r="BM51" i="21"/>
  <c r="BP50" i="21"/>
  <c r="BL12" i="21"/>
  <c r="BU10" i="21"/>
  <c r="BE25" i="21"/>
  <c r="BK54" i="21"/>
  <c r="BT48" i="21"/>
  <c r="BU29" i="21"/>
  <c r="BU53" i="21"/>
  <c r="BW15" i="21"/>
  <c r="BW13" i="21"/>
  <c r="BN26" i="21"/>
  <c r="BI46" i="21"/>
  <c r="BL24" i="21"/>
  <c r="BF45" i="21"/>
  <c r="BV21" i="21"/>
  <c r="BL55" i="6"/>
  <c r="BQ45" i="6"/>
  <c r="BN25" i="6"/>
  <c r="BS31" i="6"/>
  <c r="BK44" i="6"/>
  <c r="BH18" i="6"/>
  <c r="BP45" i="6"/>
  <c r="BN22" i="6"/>
  <c r="BN26" i="6"/>
  <c r="BI31" i="6"/>
  <c r="BL27" i="6"/>
  <c r="BD47" i="6"/>
  <c r="BP25" i="6"/>
  <c r="BK46" i="6"/>
  <c r="BF48" i="6"/>
  <c r="BS17" i="6"/>
  <c r="BE21" i="6"/>
  <c r="BP35" i="6"/>
  <c r="BG33" i="6"/>
  <c r="BN47" i="6"/>
  <c r="BT48" i="6"/>
  <c r="BD44" i="6"/>
  <c r="BI26" i="6"/>
  <c r="BF28" i="6"/>
  <c r="BN43" i="6"/>
  <c r="BT56" i="6"/>
  <c r="BE45" i="6"/>
  <c r="BI9" i="6"/>
  <c r="BU23" i="6"/>
  <c r="BK50" i="6"/>
  <c r="BN9" i="6"/>
  <c r="BN58" i="6"/>
  <c r="BL53" i="6"/>
  <c r="BF46" i="6"/>
  <c r="BV47" i="6"/>
  <c r="BT17" i="6"/>
  <c r="BE40" i="6"/>
  <c r="BP49" i="6"/>
  <c r="BF27" i="6"/>
  <c r="BH15" i="6"/>
  <c r="BN56" i="6"/>
  <c r="BI44" i="6"/>
  <c r="BH57" i="6"/>
  <c r="BL10" i="6"/>
  <c r="BF33" i="6"/>
  <c r="BU50" i="6"/>
  <c r="BI41" i="6"/>
  <c r="BE28" i="6"/>
  <c r="BU33" i="6"/>
  <c r="BU42" i="6"/>
  <c r="BV35" i="6"/>
  <c r="BQ41" i="6"/>
  <c r="BH26" i="6"/>
  <c r="BH11" i="6"/>
  <c r="BS23" i="6"/>
  <c r="BU24" i="6"/>
  <c r="BU10" i="6"/>
  <c r="BI48" i="6"/>
  <c r="BN46" i="6"/>
  <c r="BQ18" i="6"/>
  <c r="BV50" i="6"/>
  <c r="BM50" i="6"/>
  <c r="BF32" i="6"/>
  <c r="BV58" i="6"/>
  <c r="BN36" i="6"/>
  <c r="BU34" i="6"/>
  <c r="BM13" i="6"/>
  <c r="BS46" i="6"/>
  <c r="BV51" i="6"/>
  <c r="BI36" i="6"/>
  <c r="BM58" i="6"/>
  <c r="BM48" i="6"/>
  <c r="BT50" i="6"/>
  <c r="BD33" i="6"/>
  <c r="BG51" i="6"/>
  <c r="BK45" i="6"/>
  <c r="BK43" i="6"/>
  <c r="BH22" i="6"/>
  <c r="BP11" i="6"/>
  <c r="BM22" i="6"/>
  <c r="BK38" i="6"/>
  <c r="BT40" i="6"/>
  <c r="BL47" i="6"/>
  <c r="BV30" i="6"/>
  <c r="BM43" i="6"/>
  <c r="BG46" i="6"/>
  <c r="BQ56" i="6"/>
  <c r="BV41" i="21"/>
  <c r="BL21" i="21"/>
  <c r="BU54" i="21"/>
  <c r="BW55" i="21"/>
  <c r="BI40" i="21"/>
  <c r="BI58" i="21"/>
  <c r="BU31" i="21"/>
  <c r="BS21" i="21"/>
  <c r="BW21" i="21"/>
  <c r="BK39" i="21"/>
  <c r="BW39" i="21"/>
  <c r="BE30" i="21"/>
  <c r="BF19" i="21"/>
  <c r="BW32" i="21"/>
  <c r="BI27" i="21"/>
  <c r="BG26" i="6"/>
  <c r="BL23" i="6"/>
  <c r="BS13" i="6"/>
  <c r="BL44" i="6"/>
  <c r="BG16" i="6"/>
  <c r="BM27" i="6"/>
  <c r="BQ16" i="6"/>
  <c r="BH47" i="6"/>
  <c r="BL30" i="6"/>
  <c r="BI56" i="6"/>
  <c r="BT27" i="6"/>
  <c r="BS20" i="6"/>
  <c r="BN52" i="6"/>
  <c r="BW53" i="6"/>
  <c r="BV17" i="6"/>
  <c r="BN19" i="6"/>
  <c r="BV29" i="6"/>
  <c r="BU25" i="6"/>
  <c r="BE15" i="6"/>
  <c r="BK30" i="6"/>
  <c r="BF38" i="6"/>
  <c r="BE50" i="6"/>
  <c r="BU17" i="6"/>
  <c r="BS26" i="6"/>
  <c r="BD56" i="6"/>
  <c r="BT53" i="6"/>
  <c r="BM28" i="6"/>
  <c r="BT41" i="6"/>
  <c r="BQ44" i="6"/>
  <c r="BU36" i="6"/>
  <c r="BU53" i="6"/>
  <c r="BQ50" i="6"/>
  <c r="BU52" i="6"/>
  <c r="BT9" i="6"/>
  <c r="BG54" i="6"/>
  <c r="BM45" i="6"/>
  <c r="BF45" i="6"/>
  <c r="BH20" i="6"/>
  <c r="BF37" i="6"/>
  <c r="BG13" i="6"/>
  <c r="BT55" i="6"/>
  <c r="BF49" i="6"/>
  <c r="BS15" i="6"/>
  <c r="BN39" i="6"/>
  <c r="BG48" i="6"/>
  <c r="BF20" i="6"/>
  <c r="BM16" i="6"/>
  <c r="BP10" i="6"/>
  <c r="BP48" i="6"/>
  <c r="BQ58" i="6"/>
  <c r="BS56" i="6"/>
  <c r="BL40" i="6"/>
  <c r="BH50" i="6"/>
  <c r="BP41" i="6"/>
  <c r="BN34" i="6"/>
  <c r="BL45" i="6"/>
  <c r="BD26" i="6"/>
  <c r="BL17" i="6"/>
  <c r="BM55" i="6"/>
  <c r="BU22" i="6"/>
  <c r="BQ35" i="6"/>
  <c r="BG35" i="6"/>
  <c r="BT20" i="6"/>
  <c r="BF55" i="6"/>
  <c r="BP28" i="6"/>
  <c r="BT10" i="6"/>
  <c r="BE57" i="6"/>
  <c r="BL41" i="6"/>
  <c r="BV27" i="6"/>
  <c r="BE26" i="6"/>
  <c r="BV26" i="6"/>
  <c r="BN51" i="6"/>
  <c r="BD31" i="6"/>
  <c r="BV15" i="21"/>
  <c r="BT30" i="21"/>
  <c r="BH41" i="21"/>
  <c r="BI33" i="21"/>
  <c r="BS46" i="21"/>
  <c r="BW43" i="21"/>
  <c r="BT29" i="21"/>
  <c r="BW51" i="21"/>
  <c r="BN41" i="21"/>
  <c r="BM17" i="21"/>
  <c r="BE55" i="21"/>
  <c r="BG15" i="21"/>
  <c r="BM31" i="21"/>
  <c r="BU37" i="21"/>
  <c r="BH45" i="21"/>
  <c r="BF58" i="6"/>
  <c r="BF10" i="6"/>
  <c r="BL54" i="6"/>
  <c r="BM36" i="6"/>
  <c r="BE48" i="6"/>
  <c r="BK29" i="6"/>
  <c r="BI37" i="6"/>
  <c r="BS37" i="6"/>
  <c r="BE54" i="6"/>
  <c r="BG18" i="6"/>
  <c r="BK42" i="6"/>
  <c r="BI20" i="6"/>
  <c r="BH40" i="6"/>
  <c r="BP13" i="6"/>
  <c r="BL56" i="6"/>
  <c r="BM41" i="6"/>
  <c r="BL50" i="6"/>
  <c r="BQ39" i="6"/>
  <c r="BQ43" i="6"/>
  <c r="BG36" i="6"/>
  <c r="BS57" i="6"/>
  <c r="BN16" i="6"/>
  <c r="BQ40" i="6"/>
  <c r="BV25" i="6"/>
  <c r="BF30" i="6"/>
  <c r="BE36" i="6"/>
  <c r="BH33" i="6"/>
  <c r="BF52" i="6"/>
  <c r="BG12" i="6"/>
  <c r="BF57" i="6"/>
  <c r="BK16" i="6"/>
  <c r="BE46" i="6"/>
  <c r="BF14" i="6"/>
  <c r="BF43" i="6"/>
  <c r="BU40" i="6"/>
  <c r="BV14" i="6"/>
  <c r="BD14" i="6"/>
  <c r="BT21" i="6"/>
  <c r="BL32" i="6"/>
  <c r="BV24" i="6"/>
  <c r="BM18" i="6"/>
  <c r="BT11" i="6"/>
  <c r="BD57" i="6"/>
  <c r="BT12" i="6"/>
  <c r="BU49" i="6"/>
  <c r="BG31" i="6"/>
  <c r="BU54" i="6"/>
  <c r="BI47" i="6"/>
  <c r="BL16" i="6"/>
  <c r="BU27" i="6"/>
  <c r="BT51" i="6"/>
  <c r="BK41" i="6"/>
  <c r="BK22" i="6"/>
  <c r="BT18" i="6"/>
  <c r="BL39" i="6"/>
  <c r="BM24" i="6"/>
  <c r="BK47" i="6"/>
  <c r="BQ33" i="6"/>
  <c r="BH31" i="6"/>
  <c r="BP17" i="6"/>
  <c r="BS25" i="6"/>
  <c r="BE25" i="6"/>
  <c r="BD40" i="6"/>
  <c r="BU44" i="6"/>
  <c r="BM53" i="6"/>
  <c r="BF22" i="6"/>
  <c r="BF25" i="6"/>
  <c r="BI25" i="6"/>
  <c r="BF9" i="6"/>
  <c r="BE12" i="6"/>
  <c r="BN27" i="6"/>
  <c r="BM26" i="6"/>
  <c r="BH54" i="6"/>
  <c r="BE58" i="6"/>
  <c r="BT36" i="6"/>
  <c r="BN23" i="6"/>
  <c r="BT44" i="6"/>
  <c r="BN29" i="6"/>
  <c r="BE32" i="6"/>
  <c r="BD28" i="6"/>
  <c r="BL13" i="6"/>
  <c r="BU19" i="6"/>
  <c r="BI28" i="6"/>
  <c r="BL34" i="6"/>
  <c r="BW56" i="6"/>
  <c r="BU20" i="6"/>
  <c r="BW16" i="6"/>
  <c r="BD17" i="6"/>
  <c r="BK21" i="6"/>
  <c r="BS12" i="6"/>
  <c r="BP51" i="6"/>
  <c r="BW24" i="6"/>
  <c r="BS42" i="6"/>
  <c r="BD45" i="6"/>
  <c r="BQ28" i="6"/>
  <c r="BW51" i="6"/>
  <c r="BW30" i="6"/>
  <c r="BP29" i="6"/>
  <c r="BQ34" i="6"/>
  <c r="BI24" i="6"/>
  <c r="BW19" i="6"/>
  <c r="BM25" i="6"/>
  <c r="BQ54" i="6"/>
  <c r="BQ27" i="6"/>
  <c r="BD36" i="6"/>
  <c r="BM9" i="6"/>
  <c r="BH12" i="6"/>
  <c r="BW49" i="6"/>
  <c r="BW52" i="6"/>
  <c r="BP16" i="6"/>
  <c r="BL51" i="6"/>
  <c r="BW12" i="6"/>
  <c r="BQ55" i="5"/>
  <c r="BV57" i="5"/>
  <c r="BS39" i="5"/>
  <c r="BK53" i="5"/>
  <c r="BD13" i="5"/>
  <c r="BF53" i="5"/>
  <c r="BD35" i="5"/>
  <c r="BF44" i="5"/>
  <c r="BN33" i="5"/>
  <c r="BL40" i="5"/>
  <c r="BM46" i="5"/>
  <c r="BH52" i="5"/>
  <c r="BP48" i="5"/>
  <c r="BD22" i="5"/>
  <c r="BG17" i="5"/>
  <c r="BM56" i="5"/>
  <c r="BP27" i="5"/>
  <c r="BN23" i="5"/>
  <c r="BH22" i="5"/>
  <c r="BG27" i="5"/>
  <c r="BE29" i="5"/>
  <c r="BD25" i="5"/>
  <c r="BE19" i="5"/>
  <c r="BI40" i="5"/>
  <c r="BD17" i="5"/>
  <c r="BQ48" i="5"/>
  <c r="BS54" i="5"/>
  <c r="BS34" i="5"/>
  <c r="BS18" i="5"/>
  <c r="BT55" i="5"/>
  <c r="BE47" i="5"/>
  <c r="BG52" i="5"/>
  <c r="BK13" i="5"/>
  <c r="BK18" i="5"/>
  <c r="BP14" i="5"/>
  <c r="BS40" i="5"/>
  <c r="BG36" i="5"/>
  <c r="BM9" i="5"/>
  <c r="BE43" i="5"/>
  <c r="BF20" i="5"/>
  <c r="BQ50" i="5"/>
  <c r="BD9" i="5"/>
  <c r="BK10" i="5"/>
  <c r="BG30" i="5"/>
  <c r="BD23" i="5"/>
  <c r="BL46" i="5"/>
  <c r="BN56" i="5"/>
  <c r="BF55" i="5"/>
  <c r="BQ32" i="5"/>
  <c r="BU22" i="5"/>
  <c r="BS30" i="5"/>
  <c r="BI41" i="5"/>
  <c r="BE42" i="5"/>
  <c r="BF32" i="5"/>
  <c r="BI31" i="5"/>
  <c r="BL54" i="5"/>
  <c r="BE50" i="5"/>
  <c r="BS24" i="5"/>
  <c r="BL47" i="5"/>
  <c r="BK35" i="5"/>
  <c r="BG14" i="5"/>
  <c r="BL27" i="5"/>
  <c r="BN12" i="5"/>
  <c r="BU43" i="5"/>
  <c r="BK22" i="5"/>
  <c r="BD51" i="5"/>
  <c r="BT31" i="5"/>
  <c r="BI50" i="5"/>
  <c r="BN58" i="5"/>
  <c r="BE42" i="6"/>
  <c r="BG52" i="6"/>
  <c r="BG25" i="6"/>
  <c r="BM56" i="6"/>
  <c r="BM47" i="6"/>
  <c r="BT46" i="6"/>
  <c r="BN20" i="6"/>
  <c r="BI40" i="6"/>
  <c r="BW9" i="6"/>
  <c r="BW44" i="6"/>
  <c r="BE19" i="6"/>
  <c r="BD22" i="6"/>
  <c r="BD43" i="6"/>
  <c r="BW40" i="6"/>
  <c r="BD39" i="6"/>
  <c r="BP34" i="6"/>
  <c r="BI52" i="6"/>
  <c r="BQ42" i="6"/>
  <c r="BM20" i="6"/>
  <c r="BV43" i="6"/>
  <c r="BG58" i="6"/>
  <c r="BK36" i="6"/>
  <c r="BL24" i="6"/>
  <c r="BL42" i="5"/>
  <c r="BM31" i="5"/>
  <c r="BL26" i="5"/>
  <c r="BM29" i="5"/>
  <c r="BI56" i="5"/>
  <c r="BM43" i="5"/>
  <c r="BG38" i="5"/>
  <c r="BK12" i="5"/>
  <c r="BD18" i="5"/>
  <c r="BH51" i="5"/>
  <c r="BE20" i="5"/>
  <c r="BV35" i="5"/>
  <c r="BE46" i="5"/>
  <c r="BD10" i="5"/>
  <c r="BE58" i="5"/>
  <c r="BF35" i="5"/>
  <c r="BV43" i="5"/>
  <c r="BD27" i="5"/>
  <c r="BI52" i="5"/>
  <c r="BE14" i="5"/>
  <c r="BQ56" i="5"/>
  <c r="BT36" i="5"/>
  <c r="BK25" i="5"/>
  <c r="BH49" i="5"/>
  <c r="BK39" i="5"/>
  <c r="BV44" i="5"/>
  <c r="BM15" i="5"/>
  <c r="BM17" i="5"/>
  <c r="BU54" i="5"/>
  <c r="BQ39" i="5"/>
  <c r="BK9" i="5"/>
  <c r="BU18" i="5"/>
  <c r="BU48" i="5"/>
  <c r="BP40" i="5"/>
  <c r="BN28" i="5"/>
  <c r="BM34" i="5"/>
  <c r="BS46" i="5"/>
  <c r="BK15" i="5"/>
  <c r="BG24" i="5"/>
  <c r="BQ44" i="5"/>
  <c r="BP46" i="5"/>
  <c r="BE31" i="5"/>
  <c r="BN14" i="5"/>
  <c r="BI48" i="5"/>
  <c r="BH16" i="5"/>
  <c r="BF22" i="5"/>
  <c r="BE36" i="5"/>
  <c r="BF13" i="5"/>
  <c r="BN19" i="5"/>
  <c r="BL28" i="5"/>
  <c r="BK40" i="5"/>
  <c r="BL23" i="5"/>
  <c r="BP54" i="5"/>
  <c r="BV37" i="5"/>
  <c r="BI43" i="5"/>
  <c r="BV15" i="5"/>
  <c r="BK30" i="5"/>
  <c r="BF56" i="5"/>
  <c r="BT19" i="5"/>
  <c r="BV25" i="5"/>
  <c r="BG46" i="5"/>
  <c r="BH24" i="5"/>
  <c r="BF37" i="5"/>
  <c r="BE17" i="5"/>
  <c r="BD52" i="5"/>
  <c r="BP21" i="6"/>
  <c r="BG50" i="6"/>
  <c r="BG27" i="6"/>
  <c r="BQ57" i="6"/>
  <c r="BM37" i="6"/>
  <c r="BI18" i="6"/>
  <c r="BE10" i="6"/>
  <c r="BW41" i="6"/>
  <c r="BM32" i="6"/>
  <c r="BP38" i="6"/>
  <c r="BV55" i="6"/>
  <c r="BW43" i="6"/>
  <c r="BW48" i="6"/>
  <c r="BS19" i="6"/>
  <c r="BP18" i="6"/>
  <c r="BF19" i="6"/>
  <c r="BW36" i="6"/>
  <c r="BD42" i="6"/>
  <c r="BQ49" i="6"/>
  <c r="BK53" i="6"/>
  <c r="BD55" i="6"/>
  <c r="BH9" i="6"/>
  <c r="BM10" i="6"/>
  <c r="BW29" i="6"/>
  <c r="BI15" i="6"/>
  <c r="BF15" i="6"/>
  <c r="BG42" i="6"/>
  <c r="BV57" i="6"/>
  <c r="BD15" i="6"/>
  <c r="BS49" i="5"/>
  <c r="BE34" i="5"/>
  <c r="BT57" i="5"/>
  <c r="BP26" i="5"/>
  <c r="BI24" i="5"/>
  <c r="BF50" i="5"/>
  <c r="BK49" i="5"/>
  <c r="BP38" i="5"/>
  <c r="BT39" i="5"/>
  <c r="BM24" i="5"/>
  <c r="BK14" i="5"/>
  <c r="BU55" i="5"/>
  <c r="BP25" i="5"/>
  <c r="BH28" i="5"/>
  <c r="BQ26" i="5"/>
  <c r="BU38" i="5"/>
  <c r="BG41" i="5"/>
  <c r="BT9" i="5"/>
  <c r="BE22" i="5"/>
  <c r="BT46" i="5"/>
  <c r="BH53" i="5"/>
  <c r="BN15" i="5"/>
  <c r="BK56" i="5"/>
  <c r="BL13" i="5"/>
  <c r="BM37" i="5"/>
  <c r="BU52" i="5"/>
  <c r="BI29" i="5"/>
  <c r="BQ11" i="5"/>
  <c r="BG47" i="5"/>
  <c r="BH40" i="5"/>
  <c r="BP51" i="5"/>
  <c r="BK51" i="5"/>
  <c r="BH33" i="5"/>
  <c r="BI12" i="5"/>
  <c r="BK43" i="5"/>
  <c r="BI32" i="5"/>
  <c r="BT45" i="5"/>
  <c r="BM10" i="5"/>
  <c r="BS23" i="5"/>
  <c r="BK48" i="5"/>
  <c r="BS55" i="5"/>
  <c r="BL33" i="5"/>
  <c r="BE52" i="5"/>
  <c r="BN32" i="5"/>
  <c r="BD36" i="5"/>
  <c r="BD20" i="5"/>
  <c r="BU12" i="5"/>
  <c r="BT48" i="5"/>
  <c r="BN57" i="5"/>
  <c r="BE21" i="5"/>
  <c r="BQ37" i="6"/>
  <c r="BQ23" i="6"/>
  <c r="BT49" i="6"/>
  <c r="BF54" i="6"/>
  <c r="BQ21" i="6"/>
  <c r="BP42" i="6"/>
  <c r="BT52" i="6"/>
  <c r="BV39" i="6"/>
  <c r="BV33" i="6"/>
  <c r="BL28" i="6"/>
  <c r="BW14" i="6"/>
  <c r="BW46" i="6"/>
  <c r="BW28" i="6"/>
  <c r="BK28" i="6"/>
  <c r="BI58" i="6"/>
  <c r="BT22" i="6"/>
  <c r="BQ52" i="6"/>
  <c r="BV32" i="6"/>
  <c r="BH53" i="6"/>
  <c r="BW57" i="6"/>
  <c r="BD52" i="6"/>
  <c r="BS44" i="6"/>
  <c r="BG57" i="6"/>
  <c r="BW17" i="6"/>
  <c r="BU58" i="6"/>
  <c r="BK57" i="6"/>
  <c r="BG38" i="6"/>
  <c r="BW35" i="6"/>
  <c r="BW22" i="6"/>
  <c r="BE53" i="5"/>
  <c r="BE11" i="5"/>
  <c r="BS20" i="5"/>
  <c r="BS12" i="5"/>
  <c r="BE13" i="5"/>
  <c r="BM38" i="5"/>
  <c r="BI54" i="5"/>
  <c r="BG44" i="5"/>
  <c r="BQ21" i="5"/>
  <c r="BM40" i="5"/>
  <c r="BS42" i="5"/>
  <c r="BQ19" i="5"/>
  <c r="BU14" i="5"/>
  <c r="BL48" i="5"/>
  <c r="BL57" i="5"/>
  <c r="BV29" i="5"/>
  <c r="BP13" i="5"/>
  <c r="BS22" i="5"/>
  <c r="BF28" i="5"/>
  <c r="BQ16" i="5"/>
  <c r="BS56" i="5"/>
  <c r="BL52" i="5"/>
  <c r="BU13" i="5"/>
  <c r="BD31" i="5"/>
  <c r="BH11" i="5"/>
  <c r="BS9" i="5"/>
  <c r="BK24" i="5"/>
  <c r="BV56" i="5"/>
  <c r="BF19" i="5"/>
  <c r="BQ10" i="5"/>
  <c r="BV13" i="5"/>
  <c r="BQ28" i="5"/>
  <c r="BT16" i="5"/>
  <c r="BT14" i="5"/>
  <c r="BS16" i="5"/>
  <c r="BK16" i="5"/>
  <c r="BD42" i="5"/>
  <c r="BG19" i="5"/>
  <c r="BT18" i="5"/>
  <c r="BF14" i="5"/>
  <c r="BP37" i="5"/>
  <c r="BK55" i="5"/>
  <c r="BG55" i="5"/>
  <c r="BE37" i="5"/>
  <c r="BN21" i="5"/>
  <c r="BP12" i="5"/>
  <c r="BQ52" i="5"/>
  <c r="BH29" i="5"/>
  <c r="BQ36" i="5"/>
  <c r="BG11" i="5"/>
  <c r="BN42" i="5"/>
  <c r="BP34" i="5"/>
  <c r="BH34" i="5"/>
  <c r="BF33" i="5"/>
  <c r="BM34" i="6"/>
  <c r="BS30" i="6"/>
  <c r="BD25" i="6"/>
  <c r="BS22" i="6"/>
  <c r="BP44" i="6"/>
  <c r="BD30" i="6"/>
  <c r="BG11" i="6"/>
  <c r="BN17" i="6"/>
  <c r="BN10" i="6"/>
  <c r="BV38" i="6"/>
  <c r="BM35" i="6"/>
  <c r="BN35" i="6"/>
  <c r="BH45" i="6"/>
  <c r="BW32" i="6"/>
  <c r="BE33" i="6"/>
  <c r="BN30" i="6"/>
  <c r="BK13" i="6"/>
  <c r="BG20" i="6"/>
  <c r="BW45" i="6"/>
  <c r="BH43" i="6"/>
  <c r="BM30" i="6"/>
  <c r="BQ25" i="6"/>
  <c r="BW47" i="6"/>
  <c r="BW11" i="6"/>
  <c r="BD13" i="6"/>
  <c r="BW26" i="6"/>
  <c r="BL37" i="6"/>
  <c r="BL38" i="6"/>
  <c r="BM38" i="6"/>
  <c r="BW23" i="6"/>
  <c r="BW15" i="6"/>
  <c r="BP55" i="6"/>
  <c r="BW25" i="6"/>
  <c r="BP35" i="5"/>
  <c r="BI17" i="5"/>
  <c r="BQ15" i="5"/>
  <c r="BM23" i="5"/>
  <c r="BN41" i="5"/>
  <c r="BH20" i="5"/>
  <c r="BG33" i="5"/>
  <c r="BD54" i="5"/>
  <c r="BG37" i="5"/>
  <c r="BP41" i="5"/>
  <c r="BT21" i="5"/>
  <c r="BQ25" i="5"/>
  <c r="BS37" i="5"/>
  <c r="BI20" i="5"/>
  <c r="BE57" i="5"/>
  <c r="BG35" i="5"/>
  <c r="BM33" i="5"/>
  <c r="BV19" i="5"/>
  <c r="BF26" i="5"/>
  <c r="BN54" i="5"/>
  <c r="BN25" i="5"/>
  <c r="BF45" i="5"/>
  <c r="BD47" i="5"/>
  <c r="BH25" i="5"/>
  <c r="BM36" i="5"/>
  <c r="BP53" i="5"/>
  <c r="BS28" i="5"/>
  <c r="BV16" i="5"/>
  <c r="BH57" i="5"/>
  <c r="BV58" i="5"/>
  <c r="BV17" i="5"/>
  <c r="BN31" i="5"/>
  <c r="BD30" i="5"/>
  <c r="BT20" i="5"/>
  <c r="BK37" i="5"/>
  <c r="BK36" i="5"/>
  <c r="BU42" i="5"/>
  <c r="BM47" i="5"/>
  <c r="BD50" i="5"/>
  <c r="BL36" i="5"/>
  <c r="BU47" i="5"/>
  <c r="BH23" i="5"/>
  <c r="BU41" i="5"/>
  <c r="BK21" i="5"/>
  <c r="BN18" i="5"/>
  <c r="BL14" i="5"/>
  <c r="BP32" i="5"/>
  <c r="BV50" i="5"/>
  <c r="BQ24" i="5"/>
  <c r="BU16" i="5"/>
  <c r="BH48" i="5"/>
  <c r="BL17" i="5"/>
  <c r="BT53" i="5"/>
  <c r="BD53" i="5"/>
  <c r="BE51" i="6"/>
  <c r="BF26" i="6"/>
  <c r="BT13" i="6"/>
  <c r="BV19" i="6"/>
  <c r="BH49" i="6"/>
  <c r="BS28" i="6"/>
  <c r="BK31" i="6"/>
  <c r="BL43" i="6"/>
  <c r="BM23" i="6"/>
  <c r="BK51" i="6"/>
  <c r="BE18" i="6"/>
  <c r="BT47" i="6"/>
  <c r="BN38" i="6"/>
  <c r="BK55" i="6"/>
  <c r="BU32" i="6"/>
  <c r="BM12" i="6"/>
  <c r="BH32" i="6"/>
  <c r="BI34" i="6"/>
  <c r="BH10" i="6"/>
  <c r="BL11" i="6"/>
  <c r="BL58" i="6"/>
  <c r="BN12" i="6"/>
  <c r="BW10" i="6"/>
  <c r="BL31" i="6"/>
  <c r="BW27" i="6"/>
  <c r="BD16" i="5"/>
  <c r="BU56" i="5"/>
  <c r="BV23" i="5"/>
  <c r="BE41" i="5"/>
  <c r="BP19" i="5"/>
  <c r="BI23" i="5"/>
  <c r="BM57" i="5"/>
  <c r="BI33" i="5"/>
  <c r="BT32" i="5"/>
  <c r="BD58" i="5"/>
  <c r="BV26" i="5"/>
  <c r="BL9" i="5"/>
  <c r="BU15" i="5"/>
  <c r="BE10" i="5"/>
  <c r="BP45" i="5"/>
  <c r="BK17" i="5"/>
  <c r="BM49" i="5"/>
  <c r="BK45" i="5"/>
  <c r="BV48" i="5"/>
  <c r="BT25" i="5"/>
  <c r="BE51" i="5"/>
  <c r="BD43" i="5"/>
  <c r="BT41" i="5"/>
  <c r="BD45" i="5"/>
  <c r="BG18" i="5"/>
  <c r="BV52" i="5"/>
  <c r="BV42" i="5"/>
  <c r="BU53" i="5"/>
  <c r="BD56" i="5"/>
  <c r="BV22" i="5"/>
  <c r="BS27" i="5"/>
  <c r="BL19" i="5"/>
  <c r="BK33" i="5"/>
  <c r="BE12" i="5"/>
  <c r="BI25" i="5"/>
  <c r="BN22" i="5"/>
  <c r="BD46" i="5"/>
  <c r="BM51" i="5"/>
  <c r="BN26" i="5"/>
  <c r="BS19" i="5"/>
  <c r="BG54" i="5"/>
  <c r="BV51" i="5"/>
  <c r="BI39" i="5"/>
  <c r="BV55" i="5"/>
  <c r="BT49" i="5"/>
  <c r="BF43" i="5"/>
  <c r="BH21" i="5"/>
  <c r="BT17" i="5"/>
  <c r="BF11" i="5"/>
  <c r="BI15" i="5"/>
  <c r="BE30" i="5"/>
  <c r="BQ38" i="5"/>
  <c r="BS26" i="5"/>
  <c r="BF10" i="5"/>
  <c r="BM30" i="5"/>
  <c r="BI45" i="5"/>
  <c r="BK34" i="5"/>
  <c r="BU24" i="5"/>
  <c r="BF57" i="5"/>
  <c r="BE26" i="5"/>
  <c r="BE56" i="5"/>
  <c r="BN11" i="5"/>
  <c r="BG34" i="5"/>
  <c r="BV46" i="5"/>
  <c r="BU58" i="5"/>
  <c r="BQ40" i="5"/>
  <c r="BT56" i="5"/>
  <c r="BE33" i="5"/>
  <c r="BF25" i="5"/>
  <c r="BN34" i="5"/>
  <c r="BN29" i="5"/>
  <c r="BT13" i="5"/>
  <c r="BQ53" i="5"/>
  <c r="BU23" i="5"/>
  <c r="BV38" i="5"/>
  <c r="BD21" i="5"/>
  <c r="BN16" i="5"/>
  <c r="BD41" i="5"/>
  <c r="BP50" i="5"/>
  <c r="BE11" i="6"/>
  <c r="BP23" i="6"/>
  <c r="BS39" i="6"/>
  <c r="BU35" i="6"/>
  <c r="BH52" i="6"/>
  <c r="BN21" i="6"/>
  <c r="BM42" i="6"/>
  <c r="BL15" i="6"/>
  <c r="BW21" i="6"/>
  <c r="BW58" i="6"/>
  <c r="BM46" i="6"/>
  <c r="BS32" i="6"/>
  <c r="BV40" i="6"/>
  <c r="BW34" i="6"/>
  <c r="BW37" i="6"/>
  <c r="BI57" i="6"/>
  <c r="BN24" i="6"/>
  <c r="BV28" i="6"/>
  <c r="BS16" i="6"/>
  <c r="BH58" i="6"/>
  <c r="BS50" i="6"/>
  <c r="BW39" i="6"/>
  <c r="BL46" i="6"/>
  <c r="BW20" i="6"/>
  <c r="BM52" i="6"/>
  <c r="BS52" i="6"/>
  <c r="BQ38" i="6"/>
  <c r="BW54" i="6"/>
  <c r="BK19" i="6"/>
  <c r="BG50" i="5"/>
  <c r="BG10" i="5"/>
  <c r="BQ51" i="5"/>
  <c r="BD40" i="5"/>
  <c r="BK19" i="5"/>
  <c r="BF40" i="5"/>
  <c r="BL11" i="5"/>
  <c r="BH47" i="5"/>
  <c r="BV11" i="5"/>
  <c r="BT26" i="5"/>
  <c r="BN46" i="5"/>
  <c r="BQ17" i="5"/>
  <c r="BI19" i="5"/>
  <c r="BU28" i="5"/>
  <c r="BF31" i="5"/>
  <c r="BK47" i="5"/>
  <c r="BV12" i="5"/>
  <c r="BF42" i="5"/>
  <c r="BU9" i="5"/>
  <c r="BP18" i="5"/>
  <c r="BE27" i="5"/>
  <c r="BM42" i="5"/>
  <c r="BL25" i="5"/>
  <c r="BN47" i="5"/>
  <c r="BE54" i="5"/>
  <c r="BP42" i="5"/>
  <c r="BU27" i="5"/>
  <c r="BV27" i="5"/>
  <c r="BM50" i="5"/>
  <c r="BG56" i="5"/>
  <c r="BD32" i="5"/>
  <c r="BK28" i="5"/>
  <c r="BH9" i="5"/>
  <c r="BP44" i="5"/>
  <c r="BD38" i="5"/>
  <c r="BH19" i="5"/>
  <c r="BQ54" i="5"/>
  <c r="BF34" i="5"/>
  <c r="BU39" i="5"/>
  <c r="BG28" i="5"/>
  <c r="BQ31" i="5"/>
  <c r="BU31" i="5"/>
  <c r="BL10" i="5"/>
  <c r="BM13" i="5"/>
  <c r="BS48" i="5"/>
  <c r="BP58" i="5"/>
  <c r="BN48" i="5"/>
  <c r="BM41" i="5"/>
  <c r="BU21" i="5"/>
  <c r="BT52" i="5"/>
  <c r="BH15" i="5"/>
  <c r="BH31" i="5"/>
  <c r="BH14" i="5"/>
  <c r="BD12" i="5"/>
  <c r="BQ13" i="5"/>
  <c r="BT10" i="5"/>
  <c r="BN53" i="5"/>
  <c r="BV45" i="5"/>
  <c r="BQ18" i="5"/>
  <c r="BT37" i="5"/>
  <c r="BM54" i="5"/>
  <c r="BH42" i="5"/>
  <c r="BL31" i="5"/>
  <c r="BL12" i="5"/>
  <c r="BI21" i="5"/>
  <c r="BG21" i="6"/>
  <c r="BU55" i="6"/>
  <c r="BL35" i="5"/>
  <c r="BG32" i="5"/>
  <c r="BK57" i="5"/>
  <c r="BG43" i="5"/>
  <c r="BH50" i="5"/>
  <c r="BG29" i="5"/>
  <c r="BU35" i="5"/>
  <c r="BT23" i="5"/>
  <c r="BN35" i="5"/>
  <c r="BK52" i="5"/>
  <c r="BL22" i="5"/>
  <c r="BS50" i="5"/>
  <c r="BL32" i="5"/>
  <c r="BE28" i="5"/>
  <c r="BW42" i="5"/>
  <c r="BS15" i="5"/>
  <c r="BF46" i="5"/>
  <c r="BG42" i="5"/>
  <c r="BV20" i="5"/>
  <c r="BD24" i="5"/>
  <c r="BI26" i="5"/>
  <c r="BF36" i="5"/>
  <c r="BN43" i="5"/>
  <c r="BG45" i="5"/>
  <c r="BP23" i="5"/>
  <c r="BW15" i="5"/>
  <c r="BL45" i="5"/>
  <c r="BV30" i="5"/>
  <c r="BS29" i="5"/>
  <c r="BH56" i="5"/>
  <c r="BW27" i="5"/>
  <c r="BW53" i="5"/>
  <c r="BF38" i="5"/>
  <c r="BI47" i="5"/>
  <c r="BU10" i="5"/>
  <c r="BS13" i="5"/>
  <c r="BW43" i="5"/>
  <c r="BT27" i="5"/>
  <c r="BL15" i="5"/>
  <c r="BG26" i="5"/>
  <c r="BW41" i="5"/>
  <c r="BW44" i="5"/>
  <c r="BH39" i="5"/>
  <c r="BP43" i="5"/>
  <c r="BW45" i="5"/>
  <c r="BH36" i="5"/>
  <c r="BI10" i="5"/>
  <c r="BW46" i="5"/>
  <c r="BW34" i="5"/>
  <c r="BW47" i="5"/>
  <c r="BN29" i="4"/>
  <c r="BK53" i="4"/>
  <c r="BV17" i="4"/>
  <c r="BQ9" i="4"/>
  <c r="BG35" i="4"/>
  <c r="BK24" i="4"/>
  <c r="BL52" i="4"/>
  <c r="BL44" i="4"/>
  <c r="BE23" i="4"/>
  <c r="BM28" i="4"/>
  <c r="BM44" i="4"/>
  <c r="BG13" i="4"/>
  <c r="BU45" i="4"/>
  <c r="BM24" i="4"/>
  <c r="BD37" i="4"/>
  <c r="BU33" i="4"/>
  <c r="BS45" i="4"/>
  <c r="BN14" i="4"/>
  <c r="BE13" i="4"/>
  <c r="BG30" i="4"/>
  <c r="BE47" i="4"/>
  <c r="BE48" i="4"/>
  <c r="BH28" i="4"/>
  <c r="BP29" i="4"/>
  <c r="BK35" i="4"/>
  <c r="BT45" i="4"/>
  <c r="BU21" i="4"/>
  <c r="BN17" i="4"/>
  <c r="BT34" i="4"/>
  <c r="BT36" i="4"/>
  <c r="BM19" i="4"/>
  <c r="BV23" i="4"/>
  <c r="BF32" i="4"/>
  <c r="BE14" i="4"/>
  <c r="BM12" i="4"/>
  <c r="BU43" i="4"/>
  <c r="BI28" i="4"/>
  <c r="BV41" i="4"/>
  <c r="BK25" i="4"/>
  <c r="BT52" i="4"/>
  <c r="BF12" i="4"/>
  <c r="BE27" i="4"/>
  <c r="BP53" i="4"/>
  <c r="BH23" i="6"/>
  <c r="BS53" i="6"/>
  <c r="BG23" i="6"/>
  <c r="BW31" i="6"/>
  <c r="BQ43" i="5"/>
  <c r="BL20" i="5"/>
  <c r="BI14" i="5"/>
  <c r="BG31" i="5"/>
  <c r="BQ42" i="5"/>
  <c r="BN52" i="5"/>
  <c r="BS11" i="5"/>
  <c r="BL34" i="5"/>
  <c r="BE38" i="5"/>
  <c r="BQ46" i="5"/>
  <c r="BN37" i="5"/>
  <c r="BK58" i="5"/>
  <c r="BV34" i="5"/>
  <c r="BH58" i="5"/>
  <c r="BT47" i="5"/>
  <c r="BK50" i="5"/>
  <c r="BM22" i="5"/>
  <c r="BT29" i="5"/>
  <c r="BG16" i="5"/>
  <c r="BS21" i="5"/>
  <c r="BS38" i="5"/>
  <c r="BM26" i="5"/>
  <c r="BL38" i="5"/>
  <c r="BV33" i="5"/>
  <c r="BE44" i="5"/>
  <c r="BD15" i="5"/>
  <c r="BE23" i="5"/>
  <c r="BH26" i="5"/>
  <c r="BS45" i="5"/>
  <c r="BG21" i="5"/>
  <c r="BH35" i="5"/>
  <c r="BP52" i="5"/>
  <c r="BW32" i="5"/>
  <c r="BT43" i="5"/>
  <c r="BS36" i="5"/>
  <c r="BW21" i="5"/>
  <c r="BS17" i="5"/>
  <c r="BV39" i="5"/>
  <c r="BU33" i="5"/>
  <c r="BE32" i="5"/>
  <c r="BV18" i="5"/>
  <c r="BE25" i="5"/>
  <c r="BG15" i="5"/>
  <c r="BN10" i="5"/>
  <c r="BQ45" i="5"/>
  <c r="BN20" i="5"/>
  <c r="BF17" i="5"/>
  <c r="BK54" i="5"/>
  <c r="BW22" i="5"/>
  <c r="BU40" i="5"/>
  <c r="BS33" i="5"/>
  <c r="BT34" i="5"/>
  <c r="BW36" i="5"/>
  <c r="BW39" i="5"/>
  <c r="BK58" i="4"/>
  <c r="BL51" i="4"/>
  <c r="BH38" i="4"/>
  <c r="BP34" i="4"/>
  <c r="BT57" i="4"/>
  <c r="BT21" i="4"/>
  <c r="BE58" i="4"/>
  <c r="BV44" i="4"/>
  <c r="BN48" i="4"/>
  <c r="BP27" i="4"/>
  <c r="BN43" i="4"/>
  <c r="BP16" i="4"/>
  <c r="BH24" i="4"/>
  <c r="BT15" i="4"/>
  <c r="BU15" i="4"/>
  <c r="BM31" i="4"/>
  <c r="BD19" i="4"/>
  <c r="BH27" i="4"/>
  <c r="BM22" i="4"/>
  <c r="BK28" i="4"/>
  <c r="BE41" i="4"/>
  <c r="BE33" i="4"/>
  <c r="BD13" i="4"/>
  <c r="BK50" i="4"/>
  <c r="BU51" i="4"/>
  <c r="BQ42" i="4"/>
  <c r="BP12" i="4"/>
  <c r="BN55" i="4"/>
  <c r="BV43" i="4"/>
  <c r="BK41" i="4"/>
  <c r="BD10" i="4"/>
  <c r="BV32" i="4"/>
  <c r="BP14" i="4"/>
  <c r="BH39" i="4"/>
  <c r="BF25" i="4"/>
  <c r="BG42" i="4"/>
  <c r="BG56" i="4"/>
  <c r="BP33" i="4"/>
  <c r="BI31" i="4"/>
  <c r="BQ53" i="6"/>
  <c r="BQ55" i="6"/>
  <c r="BH21" i="6"/>
  <c r="BE17" i="6"/>
  <c r="BF54" i="5"/>
  <c r="BP24" i="5"/>
  <c r="BE16" i="5"/>
  <c r="BD28" i="5"/>
  <c r="BD11" i="5"/>
  <c r="BK20" i="5"/>
  <c r="BV41" i="5"/>
  <c r="BE45" i="5"/>
  <c r="BI30" i="5"/>
  <c r="BI28" i="5"/>
  <c r="BF58" i="5"/>
  <c r="BT51" i="5"/>
  <c r="BI35" i="5"/>
  <c r="BQ47" i="5"/>
  <c r="BG25" i="5"/>
  <c r="BP28" i="5"/>
  <c r="BF21" i="5"/>
  <c r="BH43" i="5"/>
  <c r="BM27" i="5"/>
  <c r="BE35" i="5"/>
  <c r="BP39" i="5"/>
  <c r="BL43" i="5"/>
  <c r="BI13" i="5"/>
  <c r="BD55" i="5"/>
  <c r="BI11" i="5"/>
  <c r="BQ12" i="5"/>
  <c r="BW50" i="5"/>
  <c r="BN39" i="5"/>
  <c r="BE39" i="5"/>
  <c r="BP47" i="5"/>
  <c r="BW18" i="5"/>
  <c r="BP33" i="5"/>
  <c r="BF52" i="5"/>
  <c r="BS41" i="5"/>
  <c r="BW30" i="5"/>
  <c r="BP10" i="5"/>
  <c r="BS31" i="5"/>
  <c r="BD34" i="5"/>
  <c r="BG53" i="5"/>
  <c r="BP57" i="5"/>
  <c r="BG9" i="5"/>
  <c r="BG48" i="5"/>
  <c r="BS43" i="5"/>
  <c r="BW20" i="5"/>
  <c r="BD44" i="5"/>
  <c r="BQ34" i="5"/>
  <c r="BL16" i="5"/>
  <c r="BS14" i="5"/>
  <c r="BK29" i="5"/>
  <c r="BV12" i="4"/>
  <c r="BG55" i="4"/>
  <c r="BT31" i="4"/>
  <c r="BK47" i="4"/>
  <c r="BF13" i="4"/>
  <c r="BQ23" i="4"/>
  <c r="BV10" i="4"/>
  <c r="BN51" i="4"/>
  <c r="BP9" i="4"/>
  <c r="BU24" i="4"/>
  <c r="BM13" i="4"/>
  <c r="BF10" i="4"/>
  <c r="BG10" i="4"/>
  <c r="BP39" i="6"/>
  <c r="BS58" i="6"/>
  <c r="BN13" i="6"/>
  <c r="BG22" i="5"/>
  <c r="BN30" i="5"/>
  <c r="BN13" i="5"/>
  <c r="BM32" i="5"/>
  <c r="BK32" i="5"/>
  <c r="BT22" i="5"/>
  <c r="BP36" i="5"/>
  <c r="BH54" i="5"/>
  <c r="BN9" i="5"/>
  <c r="BE48" i="5"/>
  <c r="BH46" i="5"/>
  <c r="BU49" i="5"/>
  <c r="BL49" i="5"/>
  <c r="BF12" i="5"/>
  <c r="BI16" i="5"/>
  <c r="BT33" i="5"/>
  <c r="BH10" i="5"/>
  <c r="BU17" i="5"/>
  <c r="BI49" i="5"/>
  <c r="BL44" i="5"/>
  <c r="BE15" i="5"/>
  <c r="BP20" i="5"/>
  <c r="BF9" i="5"/>
  <c r="BE18" i="5"/>
  <c r="BF16" i="5"/>
  <c r="BM14" i="5"/>
  <c r="BG57" i="5"/>
  <c r="BH37" i="5"/>
  <c r="BW52" i="5"/>
  <c r="BW51" i="5"/>
  <c r="BM21" i="5"/>
  <c r="BU26" i="5"/>
  <c r="BM55" i="5"/>
  <c r="BL41" i="5"/>
  <c r="BM45" i="5"/>
  <c r="BN24" i="5"/>
  <c r="BP11" i="5"/>
  <c r="BH30" i="5"/>
  <c r="BS52" i="5"/>
  <c r="BF30" i="5"/>
  <c r="BM53" i="5"/>
  <c r="BG51" i="5"/>
  <c r="BW28" i="5"/>
  <c r="BF24" i="5"/>
  <c r="BU11" i="5"/>
  <c r="BD57" i="5"/>
  <c r="BQ14" i="5"/>
  <c r="BN45" i="5"/>
  <c r="BU25" i="5"/>
  <c r="BN55" i="5"/>
  <c r="BW23" i="5"/>
  <c r="BI26" i="4"/>
  <c r="BU49" i="4"/>
  <c r="BL39" i="4"/>
  <c r="BD40" i="4"/>
  <c r="BK30" i="4"/>
  <c r="BP51" i="4"/>
  <c r="BD35" i="4"/>
  <c r="BK44" i="4"/>
  <c r="BH58" i="4"/>
  <c r="BI19" i="4"/>
  <c r="BI52" i="4"/>
  <c r="BT9" i="4"/>
  <c r="BV48" i="4"/>
  <c r="BT42" i="4"/>
  <c r="BQ15" i="4"/>
  <c r="BI46" i="4"/>
  <c r="BF27" i="4"/>
  <c r="BE54" i="4"/>
  <c r="BG9" i="4"/>
  <c r="BF41" i="4"/>
  <c r="BS58" i="4"/>
  <c r="BE21" i="4"/>
  <c r="BQ45" i="4"/>
  <c r="BQ22" i="4"/>
  <c r="BS28" i="4"/>
  <c r="BV14" i="4"/>
  <c r="BF36" i="4"/>
  <c r="BL20" i="4"/>
  <c r="BT47" i="4"/>
  <c r="BS38" i="4"/>
  <c r="BL28" i="4"/>
  <c r="BE12" i="4"/>
  <c r="BL49" i="4"/>
  <c r="BU12" i="4"/>
  <c r="BH22" i="4"/>
  <c r="BP57" i="4"/>
  <c r="BF30" i="4"/>
  <c r="BP28" i="4"/>
  <c r="BE52" i="4"/>
  <c r="BL42" i="4"/>
  <c r="BQ38" i="4"/>
  <c r="BI22" i="4"/>
  <c r="BV45" i="4"/>
  <c r="BE34" i="6"/>
  <c r="BW50" i="6"/>
  <c r="BS14" i="6"/>
  <c r="BG37" i="6"/>
  <c r="BW55" i="6"/>
  <c r="BH38" i="5"/>
  <c r="BK42" i="5"/>
  <c r="BQ30" i="5"/>
  <c r="BS58" i="5"/>
  <c r="BD19" i="5"/>
  <c r="BF15" i="5"/>
  <c r="BD49" i="5"/>
  <c r="BM12" i="5"/>
  <c r="BM18" i="5"/>
  <c r="BF39" i="5"/>
  <c r="BI18" i="5"/>
  <c r="BK26" i="5"/>
  <c r="BP49" i="5"/>
  <c r="BT15" i="5"/>
  <c r="BM16" i="5"/>
  <c r="BK46" i="5"/>
  <c r="BL56" i="5"/>
  <c r="BH12" i="5"/>
  <c r="BM48" i="5"/>
  <c r="BP29" i="5"/>
  <c r="BD37" i="5"/>
  <c r="BL18" i="5"/>
  <c r="BM58" i="5"/>
  <c r="BU44" i="5"/>
  <c r="BH41" i="5"/>
  <c r="BE55" i="5"/>
  <c r="BT11" i="5"/>
  <c r="BW14" i="5"/>
  <c r="BF48" i="5"/>
  <c r="BD33" i="5"/>
  <c r="BW17" i="5"/>
  <c r="BW48" i="5"/>
  <c r="BW25" i="5"/>
  <c r="BD29" i="5"/>
  <c r="BU50" i="5"/>
  <c r="BN50" i="5"/>
  <c r="BQ57" i="5"/>
  <c r="BT28" i="5"/>
  <c r="BM20" i="5"/>
  <c r="BK23" i="5"/>
  <c r="BS53" i="5"/>
  <c r="BV28" i="5"/>
  <c r="BW24" i="5"/>
  <c r="BV40" i="5"/>
  <c r="BW37" i="5"/>
  <c r="BW54" i="5"/>
  <c r="BQ22" i="5"/>
  <c r="BV36" i="5"/>
  <c r="BT50" i="5"/>
  <c r="BW35" i="5"/>
  <c r="BN38" i="4"/>
  <c r="BG31" i="4"/>
  <c r="BF40" i="4"/>
  <c r="BI25" i="4"/>
  <c r="BI15" i="4"/>
  <c r="BG15" i="4"/>
  <c r="BN13" i="4"/>
  <c r="BL19" i="4"/>
  <c r="BT24" i="4"/>
  <c r="BF33" i="4"/>
  <c r="BU23" i="4"/>
  <c r="BH16" i="4"/>
  <c r="BE32" i="4"/>
  <c r="BS17" i="4"/>
  <c r="BD48" i="4"/>
  <c r="BQ56" i="4"/>
  <c r="BI27" i="4"/>
  <c r="BL30" i="4"/>
  <c r="BS37" i="4"/>
  <c r="BT13" i="4"/>
  <c r="BT58" i="4"/>
  <c r="BP50" i="4"/>
  <c r="BI12" i="4"/>
  <c r="BD22" i="4"/>
  <c r="BU14" i="4"/>
  <c r="BK56" i="4"/>
  <c r="BH51" i="4"/>
  <c r="BM26" i="4"/>
  <c r="BI18" i="4"/>
  <c r="BG20" i="4"/>
  <c r="BL38" i="4"/>
  <c r="BK51" i="4"/>
  <c r="BS20" i="4"/>
  <c r="BL17" i="4"/>
  <c r="BT37" i="4"/>
  <c r="BF22" i="4"/>
  <c r="BV53" i="4"/>
  <c r="BS50" i="4"/>
  <c r="BP32" i="6"/>
  <c r="BW18" i="6"/>
  <c r="BP16" i="5"/>
  <c r="BD26" i="5"/>
  <c r="BU57" i="5"/>
  <c r="BN40" i="5"/>
  <c r="BT35" i="5"/>
  <c r="BS25" i="5"/>
  <c r="BP56" i="5"/>
  <c r="BS47" i="5"/>
  <c r="BV14" i="5"/>
  <c r="BL58" i="5"/>
  <c r="BN27" i="5"/>
  <c r="BM35" i="5"/>
  <c r="BF27" i="5"/>
  <c r="BM19" i="5"/>
  <c r="BG13" i="5"/>
  <c r="BM25" i="5"/>
  <c r="BG20" i="5"/>
  <c r="BT42" i="5"/>
  <c r="BH55" i="5"/>
  <c r="BI36" i="5"/>
  <c r="BM28" i="5"/>
  <c r="BQ29" i="5"/>
  <c r="BM39" i="5"/>
  <c r="BI38" i="5"/>
  <c r="BH18" i="5"/>
  <c r="BL24" i="5"/>
  <c r="BN17" i="5"/>
  <c r="BQ37" i="5"/>
  <c r="BK31" i="5"/>
  <c r="BW9" i="5"/>
  <c r="BL55" i="5"/>
  <c r="BK11" i="5"/>
  <c r="BP22" i="5"/>
  <c r="BV31" i="5"/>
  <c r="BV32" i="5"/>
  <c r="BV24" i="5"/>
  <c r="BL39" i="5"/>
  <c r="BW29" i="5"/>
  <c r="BT54" i="5"/>
  <c r="BH45" i="5"/>
  <c r="BW13" i="5"/>
  <c r="BF51" i="5"/>
  <c r="BU45" i="5"/>
  <c r="BF49" i="5"/>
  <c r="BW58" i="5"/>
  <c r="BW11" i="5"/>
  <c r="BW33" i="5"/>
  <c r="BG52" i="4"/>
  <c r="BM52" i="4"/>
  <c r="BL29" i="4"/>
  <c r="BK13" i="4"/>
  <c r="BS44" i="4"/>
  <c r="BS19" i="4"/>
  <c r="BG29" i="4"/>
  <c r="BL41" i="4"/>
  <c r="BL24" i="4"/>
  <c r="BV39" i="4"/>
  <c r="BV37" i="4"/>
  <c r="BE22" i="4"/>
  <c r="BS11" i="4"/>
  <c r="BH50" i="4"/>
  <c r="BM57" i="4"/>
  <c r="BH33" i="4"/>
  <c r="BD23" i="4"/>
  <c r="BD11" i="4"/>
  <c r="BN18" i="4"/>
  <c r="BE24" i="4"/>
  <c r="BP49" i="4"/>
  <c r="BK45" i="4"/>
  <c r="BN45" i="4"/>
  <c r="BF24" i="4"/>
  <c r="BE20" i="4"/>
  <c r="BL18" i="4"/>
  <c r="BU37" i="4"/>
  <c r="BN52" i="4"/>
  <c r="BI54" i="4"/>
  <c r="BK33" i="4"/>
  <c r="BU52" i="4"/>
  <c r="BE19" i="4"/>
  <c r="BP24" i="4"/>
  <c r="BF48" i="4"/>
  <c r="BU9" i="4"/>
  <c r="BS16" i="4"/>
  <c r="BD29" i="4"/>
  <c r="BS29" i="4"/>
  <c r="BT22" i="4"/>
  <c r="BE56" i="4"/>
  <c r="BP38" i="4"/>
  <c r="BV44" i="6"/>
  <c r="BL12" i="6"/>
  <c r="BQ13" i="6"/>
  <c r="BL53" i="5"/>
  <c r="BS35" i="5"/>
  <c r="BV21" i="5"/>
  <c r="BK44" i="5"/>
  <c r="BF18" i="5"/>
  <c r="BI42" i="5"/>
  <c r="BF29" i="5"/>
  <c r="BP21" i="5"/>
  <c r="BK27" i="5"/>
  <c r="BQ9" i="5"/>
  <c r="BQ27" i="5"/>
  <c r="BL29" i="5"/>
  <c r="BS44" i="5"/>
  <c r="BG39" i="5"/>
  <c r="BT40" i="5"/>
  <c r="BN51" i="5"/>
  <c r="BQ23" i="5"/>
  <c r="BP15" i="5"/>
  <c r="BQ41" i="5"/>
  <c r="BP31" i="5"/>
  <c r="BP9" i="5"/>
  <c r="BG40" i="5"/>
  <c r="BV9" i="5"/>
  <c r="BU34" i="5"/>
  <c r="BV54" i="5"/>
  <c r="BF47" i="5"/>
  <c r="BQ49" i="5"/>
  <c r="BD39" i="5"/>
  <c r="BH27" i="5"/>
  <c r="BQ35" i="5"/>
  <c r="BI55" i="5"/>
  <c r="BI37" i="5"/>
  <c r="BU19" i="5"/>
  <c r="BL21" i="5"/>
  <c r="BV10" i="5"/>
  <c r="BU51" i="5"/>
  <c r="BD48" i="5"/>
  <c r="BT38" i="5"/>
  <c r="BM11" i="5"/>
  <c r="BI46" i="5"/>
  <c r="BL30" i="5"/>
  <c r="BF23" i="5"/>
  <c r="BW49" i="5"/>
  <c r="BW31" i="5"/>
  <c r="BW55" i="5"/>
  <c r="BG23" i="5"/>
  <c r="BT58" i="5"/>
  <c r="BW26" i="5"/>
  <c r="BI34" i="5"/>
  <c r="BM44" i="5"/>
  <c r="BS51" i="5"/>
  <c r="BW38" i="5"/>
  <c r="BW10" i="5"/>
  <c r="BW16" i="5"/>
  <c r="BT32" i="4"/>
  <c r="BI39" i="4"/>
  <c r="BL13" i="4"/>
  <c r="BG21" i="4"/>
  <c r="BK54" i="4"/>
  <c r="BL23" i="4"/>
  <c r="BF28" i="4"/>
  <c r="BH23" i="4"/>
  <c r="BH52" i="4"/>
  <c r="BD33" i="4"/>
  <c r="BK26" i="4"/>
  <c r="BK37" i="4"/>
  <c r="BL12" i="4"/>
  <c r="BH37" i="4"/>
  <c r="BG46" i="4"/>
  <c r="BI41" i="4"/>
  <c r="BF35" i="4"/>
  <c r="BS22" i="4"/>
  <c r="BH13" i="4"/>
  <c r="BM33" i="4"/>
  <c r="BQ25" i="4"/>
  <c r="BD41" i="4"/>
  <c r="BE28" i="4"/>
  <c r="BT16" i="4"/>
  <c r="BL10" i="4"/>
  <c r="BM29" i="4"/>
  <c r="BU17" i="4"/>
  <c r="BV52" i="4"/>
  <c r="BI48" i="4"/>
  <c r="BP47" i="4"/>
  <c r="BQ52" i="4"/>
  <c r="BK57" i="4"/>
  <c r="BD27" i="4"/>
  <c r="BV40" i="4"/>
  <c r="BM50" i="4"/>
  <c r="BU54" i="4"/>
  <c r="BG47" i="4"/>
  <c r="BI53" i="4"/>
  <c r="BD24" i="4"/>
  <c r="BV50" i="4"/>
  <c r="BD17" i="4"/>
  <c r="BQ14" i="4"/>
  <c r="BP13" i="4"/>
  <c r="BI22" i="5"/>
  <c r="BK41" i="5"/>
  <c r="BK38" i="5"/>
  <c r="BL50" i="5"/>
  <c r="BU32" i="5"/>
  <c r="BE24" i="5"/>
  <c r="BT30" i="5"/>
  <c r="BK9" i="4"/>
  <c r="BT19" i="4"/>
  <c r="BG26" i="4"/>
  <c r="BE51" i="4"/>
  <c r="BH44" i="4"/>
  <c r="BU16" i="4"/>
  <c r="BE31" i="4"/>
  <c r="BS14" i="4"/>
  <c r="BK17" i="4"/>
  <c r="BN19" i="4"/>
  <c r="BG36" i="4"/>
  <c r="BH40" i="4"/>
  <c r="BV46" i="4"/>
  <c r="BK55" i="4"/>
  <c r="BU18" i="4"/>
  <c r="BM34" i="4"/>
  <c r="BH34" i="4"/>
  <c r="BV49" i="4"/>
  <c r="BU44" i="4"/>
  <c r="BF43" i="4"/>
  <c r="BD30" i="4"/>
  <c r="BE53" i="4"/>
  <c r="BP32" i="4"/>
  <c r="BI51" i="4"/>
  <c r="BN20" i="4"/>
  <c r="BN10" i="4"/>
  <c r="BM14" i="4"/>
  <c r="BH10" i="4"/>
  <c r="BP18" i="4"/>
  <c r="BQ24" i="4"/>
  <c r="BU50" i="4"/>
  <c r="BG44" i="4"/>
  <c r="BG49" i="4"/>
  <c r="BS36" i="4"/>
  <c r="BL45" i="4"/>
  <c r="BW18" i="4"/>
  <c r="BD55" i="4"/>
  <c r="BU38" i="4"/>
  <c r="BG53" i="4"/>
  <c r="BV11" i="4"/>
  <c r="BV57" i="4"/>
  <c r="BM48" i="4"/>
  <c r="BU42" i="4"/>
  <c r="BW52" i="4"/>
  <c r="BM37" i="4"/>
  <c r="BD43" i="4"/>
  <c r="BS52" i="4"/>
  <c r="BS10" i="4"/>
  <c r="BQ18" i="4"/>
  <c r="BD21" i="4"/>
  <c r="BT41" i="4"/>
  <c r="BP20" i="4"/>
  <c r="BE26" i="4"/>
  <c r="BW47" i="4"/>
  <c r="BW30" i="4"/>
  <c r="BD56" i="4"/>
  <c r="BE18" i="4"/>
  <c r="BW37" i="4"/>
  <c r="BN58" i="4"/>
  <c r="BK21" i="4"/>
  <c r="BL35" i="4"/>
  <c r="BV51" i="4"/>
  <c r="BH21" i="4"/>
  <c r="BD18" i="4"/>
  <c r="BK15" i="4"/>
  <c r="BI55" i="4"/>
  <c r="BM47" i="4"/>
  <c r="BQ46" i="4"/>
  <c r="BW36" i="4"/>
  <c r="BW48" i="4"/>
  <c r="BW27" i="4"/>
  <c r="BD48" i="3"/>
  <c r="BQ36" i="3"/>
  <c r="BS17" i="3"/>
  <c r="BQ47" i="3"/>
  <c r="BM21" i="3"/>
  <c r="BP23" i="3"/>
  <c r="BE18" i="3"/>
  <c r="BF28" i="3"/>
  <c r="BH51" i="3"/>
  <c r="BN22" i="3"/>
  <c r="BL15" i="3"/>
  <c r="BN51" i="3"/>
  <c r="BQ44" i="3"/>
  <c r="BP48" i="3"/>
  <c r="BF45" i="3"/>
  <c r="BD24" i="3"/>
  <c r="BL27" i="3"/>
  <c r="BI57" i="5"/>
  <c r="BG49" i="5"/>
  <c r="BH32" i="5"/>
  <c r="BL37" i="5"/>
  <c r="BQ33" i="5"/>
  <c r="BH44" i="5"/>
  <c r="BN49" i="5"/>
  <c r="BN38" i="5"/>
  <c r="BS9" i="4"/>
  <c r="BM51" i="4"/>
  <c r="BP35" i="4"/>
  <c r="BL53" i="4"/>
  <c r="BD32" i="4"/>
  <c r="BK52" i="4"/>
  <c r="BP42" i="4"/>
  <c r="BK43" i="4"/>
  <c r="BK20" i="4"/>
  <c r="BN24" i="4"/>
  <c r="BS46" i="4"/>
  <c r="BM27" i="4"/>
  <c r="BG22" i="4"/>
  <c r="BS30" i="4"/>
  <c r="BM38" i="4"/>
  <c r="BP46" i="4"/>
  <c r="BQ53" i="4"/>
  <c r="BL47" i="4"/>
  <c r="BU32" i="4"/>
  <c r="BF9" i="4"/>
  <c r="BT55" i="4"/>
  <c r="BU29" i="4"/>
  <c r="BN16" i="4"/>
  <c r="BS53" i="4"/>
  <c r="BL37" i="4"/>
  <c r="BF23" i="4"/>
  <c r="BL34" i="4"/>
  <c r="BK16" i="4"/>
  <c r="BM42" i="4"/>
  <c r="BV22" i="4"/>
  <c r="BQ32" i="4"/>
  <c r="BS12" i="4"/>
  <c r="BV9" i="4"/>
  <c r="BT54" i="4"/>
  <c r="BV31" i="4"/>
  <c r="BF17" i="4"/>
  <c r="BK48" i="4"/>
  <c r="BG48" i="4"/>
  <c r="BI34" i="4"/>
  <c r="BW34" i="4"/>
  <c r="BE50" i="4"/>
  <c r="BU57" i="4"/>
  <c r="BN15" i="4"/>
  <c r="BK49" i="4"/>
  <c r="BT11" i="4"/>
  <c r="BI38" i="4"/>
  <c r="BW9" i="4"/>
  <c r="BW45" i="4"/>
  <c r="BQ12" i="4"/>
  <c r="BT49" i="4"/>
  <c r="BN26" i="4"/>
  <c r="BU58" i="4"/>
  <c r="BL25" i="4"/>
  <c r="BQ55" i="4"/>
  <c r="BF57" i="4"/>
  <c r="BT10" i="4"/>
  <c r="BU35" i="4"/>
  <c r="BP40" i="4"/>
  <c r="BW32" i="4"/>
  <c r="BI57" i="4"/>
  <c r="BG28" i="4"/>
  <c r="BF21" i="4"/>
  <c r="BW53" i="4"/>
  <c r="BW35" i="4"/>
  <c r="BQ16" i="4"/>
  <c r="BH25" i="4"/>
  <c r="BS48" i="4"/>
  <c r="BG17" i="4"/>
  <c r="BT53" i="4"/>
  <c r="BH53" i="4"/>
  <c r="BH35" i="4"/>
  <c r="BL21" i="4"/>
  <c r="BE55" i="4"/>
  <c r="BW23" i="4"/>
  <c r="BW28" i="4"/>
  <c r="BV34" i="4"/>
  <c r="BT39" i="3"/>
  <c r="BT48" i="3"/>
  <c r="BL38" i="3"/>
  <c r="BN42" i="3"/>
  <c r="BM24" i="3"/>
  <c r="BT10" i="3"/>
  <c r="BF46" i="3"/>
  <c r="BK39" i="3"/>
  <c r="BT20" i="3"/>
  <c r="BU42" i="3"/>
  <c r="BL26" i="3"/>
  <c r="BL37" i="3"/>
  <c r="BI28" i="3"/>
  <c r="BS52" i="3"/>
  <c r="BU34" i="3"/>
  <c r="BI36" i="3"/>
  <c r="BD51" i="6"/>
  <c r="BI44" i="5"/>
  <c r="BU29" i="5"/>
  <c r="BU46" i="5"/>
  <c r="BI27" i="5"/>
  <c r="BP30" i="5"/>
  <c r="BG12" i="5"/>
  <c r="BF41" i="5"/>
  <c r="BK22" i="4"/>
  <c r="BQ49" i="4"/>
  <c r="BF15" i="4"/>
  <c r="BI40" i="4"/>
  <c r="BI29" i="4"/>
  <c r="BF51" i="4"/>
  <c r="BD45" i="4"/>
  <c r="BF45" i="4"/>
  <c r="BM43" i="4"/>
  <c r="BI42" i="4"/>
  <c r="BK34" i="4"/>
  <c r="BG12" i="4"/>
  <c r="BH43" i="4"/>
  <c r="BH12" i="4"/>
  <c r="BV30" i="4"/>
  <c r="BN53" i="4"/>
  <c r="BL46" i="4"/>
  <c r="BE15" i="4"/>
  <c r="BF16" i="4"/>
  <c r="BE57" i="4"/>
  <c r="BS54" i="4"/>
  <c r="BV28" i="4"/>
  <c r="BV24" i="4"/>
  <c r="BG19" i="4"/>
  <c r="BU25" i="4"/>
  <c r="BM23" i="4"/>
  <c r="BK12" i="4"/>
  <c r="BT56" i="4"/>
  <c r="BS35" i="4"/>
  <c r="BE16" i="4"/>
  <c r="BQ47" i="4"/>
  <c r="BE37" i="4"/>
  <c r="BK40" i="4"/>
  <c r="BH36" i="4"/>
  <c r="BP15" i="4"/>
  <c r="BK32" i="4"/>
  <c r="BM25" i="4"/>
  <c r="BV26" i="4"/>
  <c r="BN9" i="4"/>
  <c r="BF42" i="4"/>
  <c r="BS57" i="4"/>
  <c r="BH47" i="4"/>
  <c r="BU47" i="4"/>
  <c r="BI21" i="4"/>
  <c r="BF50" i="4"/>
  <c r="BQ10" i="4"/>
  <c r="BP43" i="4"/>
  <c r="BF26" i="4"/>
  <c r="BQ28" i="4"/>
  <c r="BN21" i="4"/>
  <c r="BS39" i="4"/>
  <c r="BG23" i="4"/>
  <c r="BE10" i="4"/>
  <c r="BG51" i="4"/>
  <c r="BU20" i="4"/>
  <c r="BI35" i="4"/>
  <c r="BD46" i="4"/>
  <c r="BP56" i="4"/>
  <c r="BQ13" i="4"/>
  <c r="BN31" i="4"/>
  <c r="BT12" i="5"/>
  <c r="BG58" i="5"/>
  <c r="BP17" i="5"/>
  <c r="BL51" i="5"/>
  <c r="BE49" i="5"/>
  <c r="BW57" i="5"/>
  <c r="BI53" i="5"/>
  <c r="BW40" i="5"/>
  <c r="BP26" i="4"/>
  <c r="BU55" i="4"/>
  <c r="BH15" i="4"/>
  <c r="BI14" i="4"/>
  <c r="BU31" i="4"/>
  <c r="BG11" i="4"/>
  <c r="BK10" i="4"/>
  <c r="BD16" i="4"/>
  <c r="BQ20" i="4"/>
  <c r="BV33" i="4"/>
  <c r="BG58" i="4"/>
  <c r="BI17" i="4"/>
  <c r="BV47" i="4"/>
  <c r="BP22" i="4"/>
  <c r="BL57" i="4"/>
  <c r="BT18" i="4"/>
  <c r="BP54" i="4"/>
  <c r="BF31" i="4"/>
  <c r="BN30" i="4"/>
  <c r="BD36" i="4"/>
  <c r="BI23" i="4"/>
  <c r="BD39" i="4"/>
  <c r="BE34" i="4"/>
  <c r="BT35" i="4"/>
  <c r="BT51" i="4"/>
  <c r="BE38" i="4"/>
  <c r="BH30" i="4"/>
  <c r="BQ11" i="4"/>
  <c r="BS43" i="4"/>
  <c r="BN50" i="4"/>
  <c r="BH26" i="4"/>
  <c r="BU53" i="4"/>
  <c r="BP58" i="4"/>
  <c r="BI58" i="4"/>
  <c r="BP10" i="4"/>
  <c r="BQ27" i="4"/>
  <c r="BS27" i="4"/>
  <c r="BG25" i="4"/>
  <c r="BS56" i="4"/>
  <c r="BM21" i="4"/>
  <c r="BW12" i="4"/>
  <c r="BV35" i="4"/>
  <c r="BL54" i="4"/>
  <c r="BS33" i="4"/>
  <c r="BI47" i="4"/>
  <c r="BT26" i="4"/>
  <c r="BV25" i="4"/>
  <c r="BW33" i="4"/>
  <c r="BP48" i="4"/>
  <c r="BS55" i="4"/>
  <c r="BT28" i="4"/>
  <c r="BK11" i="4"/>
  <c r="BE29" i="4"/>
  <c r="BK42" i="4"/>
  <c r="BK38" i="4"/>
  <c r="BD49" i="4"/>
  <c r="BF49" i="4"/>
  <c r="BE45" i="4"/>
  <c r="BS24" i="4"/>
  <c r="BM55" i="4"/>
  <c r="BW46" i="4"/>
  <c r="BN57" i="4"/>
  <c r="BK36" i="4"/>
  <c r="BV58" i="4"/>
  <c r="BI30" i="4"/>
  <c r="BW38" i="4"/>
  <c r="BS26" i="4"/>
  <c r="BH42" i="4"/>
  <c r="BM58" i="4"/>
  <c r="BS21" i="4"/>
  <c r="BN28" i="4"/>
  <c r="BW25" i="4"/>
  <c r="BW43" i="4"/>
  <c r="BT30" i="3"/>
  <c r="BV35" i="3"/>
  <c r="BL55" i="3"/>
  <c r="BI34" i="3"/>
  <c r="BE33" i="3"/>
  <c r="BQ39" i="3"/>
  <c r="BS16" i="3"/>
  <c r="BG44" i="3"/>
  <c r="BH30" i="3"/>
  <c r="BV41" i="3"/>
  <c r="BU50" i="3"/>
  <c r="BI44" i="3"/>
  <c r="BP33" i="3"/>
  <c r="BS14" i="3"/>
  <c r="BV9" i="3"/>
  <c r="BS30" i="3"/>
  <c r="BD26" i="3"/>
  <c r="BS32" i="5"/>
  <c r="BH13" i="5"/>
  <c r="BU37" i="5"/>
  <c r="BH17" i="5"/>
  <c r="BW56" i="5"/>
  <c r="BV47" i="5"/>
  <c r="BH41" i="4"/>
  <c r="BV16" i="4"/>
  <c r="BD58" i="4"/>
  <c r="BU34" i="4"/>
  <c r="BG54" i="4"/>
  <c r="BT43" i="4"/>
  <c r="BS25" i="4"/>
  <c r="BN37" i="4"/>
  <c r="BQ33" i="4"/>
  <c r="BT48" i="4"/>
  <c r="BS41" i="4"/>
  <c r="BN35" i="4"/>
  <c r="BH55" i="4"/>
  <c r="BD26" i="4"/>
  <c r="BK14" i="4"/>
  <c r="BV55" i="4"/>
  <c r="BI37" i="4"/>
  <c r="BG14" i="4"/>
  <c r="BI50" i="4"/>
  <c r="BD53" i="4"/>
  <c r="BQ31" i="4"/>
  <c r="BT23" i="4"/>
  <c r="BT38" i="4"/>
  <c r="BU10" i="4"/>
  <c r="BE44" i="4"/>
  <c r="BD12" i="4"/>
  <c r="BE30" i="4"/>
  <c r="BP39" i="4"/>
  <c r="BD57" i="4"/>
  <c r="BD47" i="4"/>
  <c r="BU46" i="4"/>
  <c r="BT44" i="4"/>
  <c r="BU27" i="4"/>
  <c r="BG40" i="4"/>
  <c r="BE25" i="4"/>
  <c r="BE35" i="4"/>
  <c r="BM41" i="4"/>
  <c r="BK19" i="4"/>
  <c r="BI33" i="4"/>
  <c r="BH46" i="4"/>
  <c r="BW40" i="4"/>
  <c r="BS15" i="4"/>
  <c r="BP55" i="4"/>
  <c r="BE40" i="4"/>
  <c r="BG50" i="4"/>
  <c r="BT30" i="4"/>
  <c r="BK29" i="4"/>
  <c r="BW14" i="4"/>
  <c r="BL50" i="4"/>
  <c r="BU39" i="4"/>
  <c r="BV42" i="4"/>
  <c r="BI43" i="4"/>
  <c r="BL32" i="4"/>
  <c r="BW51" i="4"/>
  <c r="BD28" i="4"/>
  <c r="BH45" i="4"/>
  <c r="BF56" i="4"/>
  <c r="BW16" i="4"/>
  <c r="BU19" i="4"/>
  <c r="BV18" i="4"/>
  <c r="BE42" i="4"/>
  <c r="BW58" i="4"/>
  <c r="BI56" i="4"/>
  <c r="BH20" i="4"/>
  <c r="BF18" i="4"/>
  <c r="BQ19" i="4"/>
  <c r="BD25" i="4"/>
  <c r="BD42" i="4"/>
  <c r="BP21" i="4"/>
  <c r="BQ43" i="4"/>
  <c r="BS51" i="4"/>
  <c r="BW55" i="4"/>
  <c r="BW39" i="4"/>
  <c r="BF36" i="3"/>
  <c r="BH31" i="3"/>
  <c r="BL12" i="3"/>
  <c r="BF34" i="3"/>
  <c r="BV12" i="3"/>
  <c r="BQ22" i="3"/>
  <c r="BE23" i="3"/>
  <c r="BH41" i="3"/>
  <c r="BG13" i="3"/>
  <c r="BS42" i="3"/>
  <c r="BV16" i="3"/>
  <c r="BH34" i="3"/>
  <c r="BT58" i="3"/>
  <c r="BT19" i="3"/>
  <c r="BI51" i="5"/>
  <c r="BI9" i="5"/>
  <c r="BP55" i="5"/>
  <c r="BQ20" i="5"/>
  <c r="BT44" i="5"/>
  <c r="BI58" i="5"/>
  <c r="BN44" i="5"/>
  <c r="BQ58" i="5"/>
  <c r="BM32" i="4"/>
  <c r="BF39" i="4"/>
  <c r="BU56" i="4"/>
  <c r="BT39" i="4"/>
  <c r="BT14" i="4"/>
  <c r="BV19" i="4"/>
  <c r="BH19" i="4"/>
  <c r="BT33" i="4"/>
  <c r="BV29" i="4"/>
  <c r="BI16" i="4"/>
  <c r="BT27" i="4"/>
  <c r="BN46" i="4"/>
  <c r="BM36" i="4"/>
  <c r="BL33" i="4"/>
  <c r="BI44" i="4"/>
  <c r="BH9" i="4"/>
  <c r="BQ35" i="4"/>
  <c r="BS47" i="4"/>
  <c r="BH17" i="4"/>
  <c r="BD50" i="4"/>
  <c r="BD31" i="4"/>
  <c r="BL15" i="4"/>
  <c r="BH29" i="4"/>
  <c r="BN34" i="4"/>
  <c r="BK39" i="4"/>
  <c r="BM53" i="4"/>
  <c r="BM16" i="4"/>
  <c r="BM20" i="4"/>
  <c r="BS32" i="4"/>
  <c r="BN41" i="4"/>
  <c r="BM45" i="4"/>
  <c r="BE46" i="4"/>
  <c r="BH54" i="4"/>
  <c r="BS23" i="4"/>
  <c r="BL36" i="4"/>
  <c r="BG18" i="4"/>
  <c r="BF14" i="4"/>
  <c r="BG45" i="4"/>
  <c r="BG43" i="4"/>
  <c r="BQ30" i="4"/>
  <c r="BP52" i="4"/>
  <c r="BG32" i="4"/>
  <c r="BU48" i="4"/>
  <c r="BI36" i="4"/>
  <c r="BG24" i="4"/>
  <c r="BT40" i="4"/>
  <c r="BS42" i="4"/>
  <c r="BK18" i="4"/>
  <c r="BW41" i="4"/>
  <c r="BW54" i="4"/>
  <c r="BL56" i="4"/>
  <c r="BS13" i="4"/>
  <c r="BN27" i="4"/>
  <c r="BP25" i="4"/>
  <c r="BP41" i="4"/>
  <c r="BD20" i="4"/>
  <c r="BH11" i="4"/>
  <c r="BD34" i="4"/>
  <c r="BQ17" i="4"/>
  <c r="BW20" i="4"/>
  <c r="BQ57" i="4"/>
  <c r="BW50" i="4"/>
  <c r="BQ50" i="4"/>
  <c r="BM56" i="4"/>
  <c r="BM40" i="4"/>
  <c r="BH49" i="4"/>
  <c r="BV38" i="4"/>
  <c r="BH56" i="4"/>
  <c r="BF58" i="4"/>
  <c r="BK46" i="4"/>
  <c r="BN54" i="4"/>
  <c r="BQ29" i="4"/>
  <c r="BU22" i="4"/>
  <c r="BF53" i="4"/>
  <c r="BK27" i="4"/>
  <c r="BW57" i="4"/>
  <c r="BW22" i="4"/>
  <c r="BW11" i="4"/>
  <c r="BQ9" i="3"/>
  <c r="BM29" i="3"/>
  <c r="BI18" i="3"/>
  <c r="BH24" i="3"/>
  <c r="BN17" i="3"/>
  <c r="BL48" i="3"/>
  <c r="BG57" i="3"/>
  <c r="BQ43" i="3"/>
  <c r="BI32" i="3"/>
  <c r="BI42" i="3"/>
  <c r="BN10" i="3"/>
  <c r="BH52" i="3"/>
  <c r="BS29" i="3"/>
  <c r="BF26" i="3"/>
  <c r="BD47" i="3"/>
  <c r="BU36" i="5"/>
  <c r="BV53" i="5"/>
  <c r="BS57" i="5"/>
  <c r="BV49" i="5"/>
  <c r="BW12" i="5"/>
  <c r="BU30" i="5"/>
  <c r="BS10" i="5"/>
  <c r="BU20" i="5"/>
  <c r="BF19" i="4"/>
  <c r="BV20" i="4"/>
  <c r="BI49" i="4"/>
  <c r="BU26" i="4"/>
  <c r="BI13" i="4"/>
  <c r="BN56" i="4"/>
  <c r="BQ48" i="4"/>
  <c r="BV27" i="4"/>
  <c r="BG39" i="4"/>
  <c r="BM11" i="4"/>
  <c r="BN47" i="4"/>
  <c r="BG57" i="4"/>
  <c r="BD52" i="4"/>
  <c r="BT12" i="4"/>
  <c r="BM17" i="4"/>
  <c r="BG16" i="4"/>
  <c r="BT46" i="4"/>
  <c r="BP23" i="4"/>
  <c r="BH32" i="4"/>
  <c r="BQ44" i="4"/>
  <c r="BT50" i="4"/>
  <c r="BQ40" i="4"/>
  <c r="BT29" i="4"/>
  <c r="BP19" i="4"/>
  <c r="BQ34" i="4"/>
  <c r="BN49" i="4"/>
  <c r="BQ51" i="4"/>
  <c r="BF29" i="4"/>
  <c r="BV13" i="4"/>
  <c r="BM18" i="4"/>
  <c r="BN33" i="4"/>
  <c r="BD54" i="4"/>
  <c r="BT17" i="4"/>
  <c r="BU30" i="4"/>
  <c r="BL58" i="4"/>
  <c r="BG33" i="4"/>
  <c r="BE9" i="4"/>
  <c r="BD9" i="4"/>
  <c r="BG37" i="4"/>
  <c r="BN12" i="4"/>
  <c r="BW24" i="4"/>
  <c r="BT25" i="4"/>
  <c r="BN11" i="4"/>
  <c r="BQ41" i="4"/>
  <c r="BL22" i="4"/>
  <c r="BW31" i="4"/>
  <c r="BW49" i="4"/>
  <c r="BW19" i="4"/>
  <c r="BL55" i="4"/>
  <c r="BF38" i="4"/>
  <c r="BM9" i="4"/>
  <c r="BP44" i="4"/>
  <c r="BF54" i="4"/>
  <c r="BF20" i="4"/>
  <c r="BN40" i="4"/>
  <c r="BE11" i="4"/>
  <c r="BL9" i="4"/>
  <c r="BW29" i="4"/>
  <c r="BL16" i="4"/>
  <c r="BN23" i="4"/>
  <c r="BQ58" i="4"/>
  <c r="BU40" i="4"/>
  <c r="BG27" i="4"/>
  <c r="BM15" i="4"/>
  <c r="BT20" i="4"/>
  <c r="BE49" i="4"/>
  <c r="BS34" i="4"/>
  <c r="BL11" i="4"/>
  <c r="BN39" i="4"/>
  <c r="BW26" i="4"/>
  <c r="BN22" i="4"/>
  <c r="BF47" i="4"/>
  <c r="BI9" i="4"/>
  <c r="BD38" i="4"/>
  <c r="BP17" i="4"/>
  <c r="BW13" i="4"/>
  <c r="BV52" i="3"/>
  <c r="BM17" i="3"/>
  <c r="BP15" i="3"/>
  <c r="BN13" i="3"/>
  <c r="BT36" i="3"/>
  <c r="BU18" i="3"/>
  <c r="BG24" i="3"/>
  <c r="BD28" i="3"/>
  <c r="BV13" i="3"/>
  <c r="BE17" i="3"/>
  <c r="BP44" i="3"/>
  <c r="BN57" i="3"/>
  <c r="BG20" i="3"/>
  <c r="BD38" i="3"/>
  <c r="BI21" i="3"/>
  <c r="BD27" i="3"/>
  <c r="BH19" i="3"/>
  <c r="BE25" i="3"/>
  <c r="BE15" i="3"/>
  <c r="BN36" i="5"/>
  <c r="BD14" i="5"/>
  <c r="BM35" i="4"/>
  <c r="BP36" i="4"/>
  <c r="BQ54" i="4"/>
  <c r="BL26" i="4"/>
  <c r="BQ39" i="4"/>
  <c r="BW42" i="4"/>
  <c r="BF55" i="4"/>
  <c r="BN25" i="4"/>
  <c r="BS49" i="4"/>
  <c r="BU56" i="3"/>
  <c r="BN27" i="3"/>
  <c r="BQ17" i="3"/>
  <c r="BK30" i="3"/>
  <c r="BD51" i="3"/>
  <c r="BE47" i="3"/>
  <c r="BL50" i="3"/>
  <c r="BT47" i="3"/>
  <c r="BL22" i="3"/>
  <c r="BT45" i="3"/>
  <c r="BG50" i="3"/>
  <c r="BE32" i="3"/>
  <c r="BV54" i="3"/>
  <c r="BH28" i="3"/>
  <c r="BM39" i="3"/>
  <c r="BM18" i="3"/>
  <c r="BK18" i="3"/>
  <c r="BE10" i="3"/>
  <c r="BT55" i="3"/>
  <c r="BN23" i="3"/>
  <c r="BQ29" i="3"/>
  <c r="BD52" i="3"/>
  <c r="BU39" i="3"/>
  <c r="BV40" i="3"/>
  <c r="BH13" i="3"/>
  <c r="BT23" i="3"/>
  <c r="BD36" i="3"/>
  <c r="BN44" i="3"/>
  <c r="BE50" i="3"/>
  <c r="BT9" i="3"/>
  <c r="BH11" i="3"/>
  <c r="BM46" i="3"/>
  <c r="BK11" i="3"/>
  <c r="BS44" i="3"/>
  <c r="BN48" i="3"/>
  <c r="BU11" i="3"/>
  <c r="BK54" i="3"/>
  <c r="BM44" i="3"/>
  <c r="BU37" i="3"/>
  <c r="BG47" i="3"/>
  <c r="BP41" i="3"/>
  <c r="BV15" i="3"/>
  <c r="BN28" i="3"/>
  <c r="BU20" i="3"/>
  <c r="BI49" i="3"/>
  <c r="BN49" i="3"/>
  <c r="BV57" i="3"/>
  <c r="BN38" i="3"/>
  <c r="BE56" i="3"/>
  <c r="BG35" i="3"/>
  <c r="BT46" i="3"/>
  <c r="BP24" i="3"/>
  <c r="BE31" i="3"/>
  <c r="BE21" i="3"/>
  <c r="BU52" i="3"/>
  <c r="BM57" i="3"/>
  <c r="BS22" i="3"/>
  <c r="BS25" i="3"/>
  <c r="BK9" i="3"/>
  <c r="BT18" i="3"/>
  <c r="BS13" i="3"/>
  <c r="BU19" i="3"/>
  <c r="BN20" i="3"/>
  <c r="BU43" i="3"/>
  <c r="BT49" i="3"/>
  <c r="BL14" i="3"/>
  <c r="BN40" i="3"/>
  <c r="BW9" i="3"/>
  <c r="BM35" i="3"/>
  <c r="BD10" i="3"/>
  <c r="BM26" i="3"/>
  <c r="BI55" i="3"/>
  <c r="BG14" i="3"/>
  <c r="BF12" i="3"/>
  <c r="BH33" i="3"/>
  <c r="BW52" i="3"/>
  <c r="BE12" i="3"/>
  <c r="BI14" i="3"/>
  <c r="BS53" i="3"/>
  <c r="BS37" i="3"/>
  <c r="BD35" i="3"/>
  <c r="BL9" i="3"/>
  <c r="BD32" i="3"/>
  <c r="BT35" i="3"/>
  <c r="BM9" i="3"/>
  <c r="BI56" i="3"/>
  <c r="BW20" i="3"/>
  <c r="BM52" i="5"/>
  <c r="BM49" i="4"/>
  <c r="BP37" i="4"/>
  <c r="BE39" i="4"/>
  <c r="BF11" i="4"/>
  <c r="BD44" i="4"/>
  <c r="BH31" i="4"/>
  <c r="BL43" i="4"/>
  <c r="BQ36" i="4"/>
  <c r="BM30" i="4"/>
  <c r="BU36" i="4"/>
  <c r="BP45" i="4"/>
  <c r="BI20" i="3"/>
  <c r="BG27" i="3"/>
  <c r="BU31" i="3"/>
  <c r="BQ51" i="3"/>
  <c r="BQ27" i="3"/>
  <c r="BS38" i="3"/>
  <c r="BG45" i="3"/>
  <c r="BI33" i="3"/>
  <c r="BN46" i="3"/>
  <c r="BD21" i="3"/>
  <c r="BH27" i="3"/>
  <c r="BS27" i="3"/>
  <c r="BH36" i="3"/>
  <c r="BU38" i="3"/>
  <c r="BL41" i="3"/>
  <c r="BN54" i="3"/>
  <c r="BV49" i="3"/>
  <c r="BQ55" i="3"/>
  <c r="BP11" i="3"/>
  <c r="BL40" i="3"/>
  <c r="BD57" i="3"/>
  <c r="BV30" i="3"/>
  <c r="BI53" i="3"/>
  <c r="BI47" i="3"/>
  <c r="BQ19" i="3"/>
  <c r="BK40" i="3"/>
  <c r="BV51" i="3"/>
  <c r="BH56" i="3"/>
  <c r="BV28" i="3"/>
  <c r="BU44" i="3"/>
  <c r="BN34" i="3"/>
  <c r="BG55" i="3"/>
  <c r="BD31" i="3"/>
  <c r="BS33" i="3"/>
  <c r="BF58" i="3"/>
  <c r="BI45" i="3"/>
  <c r="BM27" i="3"/>
  <c r="BF52" i="3"/>
  <c r="BT56" i="3"/>
  <c r="BL36" i="3"/>
  <c r="BF50" i="3"/>
  <c r="BI27" i="3"/>
  <c r="BM49" i="3"/>
  <c r="BQ34" i="3"/>
  <c r="BM11" i="3"/>
  <c r="BH50" i="3"/>
  <c r="BF24" i="3"/>
  <c r="BM36" i="3"/>
  <c r="BM23" i="3"/>
  <c r="BQ25" i="3"/>
  <c r="BH46" i="3"/>
  <c r="BH21" i="3"/>
  <c r="BQ14" i="3"/>
  <c r="BV31" i="3"/>
  <c r="BS26" i="3"/>
  <c r="BM37" i="3"/>
  <c r="BM25" i="3"/>
  <c r="BI46" i="3"/>
  <c r="BW38" i="3"/>
  <c r="BW30" i="3"/>
  <c r="BE9" i="5"/>
  <c r="BG41" i="4"/>
  <c r="BK31" i="4"/>
  <c r="BL48" i="4"/>
  <c r="BP31" i="4"/>
  <c r="BI45" i="4"/>
  <c r="BF37" i="4"/>
  <c r="BL31" i="4"/>
  <c r="BW44" i="4"/>
  <c r="BV56" i="4"/>
  <c r="BE43" i="4"/>
  <c r="BU13" i="4"/>
  <c r="BG34" i="4"/>
  <c r="BW17" i="4"/>
  <c r="BU13" i="3"/>
  <c r="BE53" i="3"/>
  <c r="BH38" i="3"/>
  <c r="BF54" i="3"/>
  <c r="BL31" i="3"/>
  <c r="BE45" i="3"/>
  <c r="BK37" i="3"/>
  <c r="BK13" i="3"/>
  <c r="BL35" i="3"/>
  <c r="BH58" i="3"/>
  <c r="BD46" i="3"/>
  <c r="BP55" i="3"/>
  <c r="BG53" i="3"/>
  <c r="BN52" i="3"/>
  <c r="BK10" i="3"/>
  <c r="BG36" i="3"/>
  <c r="BV21" i="3"/>
  <c r="BE9" i="3"/>
  <c r="BH57" i="3"/>
  <c r="BQ31" i="3"/>
  <c r="BT22" i="3"/>
  <c r="BN53" i="3"/>
  <c r="BQ13" i="3"/>
  <c r="BP27" i="3"/>
  <c r="BQ41" i="3"/>
  <c r="BQ46" i="3"/>
  <c r="BT33" i="3"/>
  <c r="BM50" i="3"/>
  <c r="BG52" i="3"/>
  <c r="BE43" i="3"/>
  <c r="BK53" i="3"/>
  <c r="BI26" i="3"/>
  <c r="BF21" i="3"/>
  <c r="BD16" i="3"/>
  <c r="BK49" i="3"/>
  <c r="BS40" i="3"/>
  <c r="BU30" i="3"/>
  <c r="BT26" i="3"/>
  <c r="BK23" i="3"/>
  <c r="BS48" i="3"/>
  <c r="BN31" i="3"/>
  <c r="BE52" i="3"/>
  <c r="BP46" i="3"/>
  <c r="BN36" i="3"/>
  <c r="BM38" i="3"/>
  <c r="BE36" i="3"/>
  <c r="BL29" i="3"/>
  <c r="BN55" i="3"/>
  <c r="BK51" i="3"/>
  <c r="BF23" i="3"/>
  <c r="BT50" i="3"/>
  <c r="BG17" i="3"/>
  <c r="BL53" i="3"/>
  <c r="BW53" i="3"/>
  <c r="BD54" i="3"/>
  <c r="BI15" i="3"/>
  <c r="BW49" i="3"/>
  <c r="BF42" i="3"/>
  <c r="BK56" i="3"/>
  <c r="BD22" i="3"/>
  <c r="BH48" i="3"/>
  <c r="BQ48" i="3"/>
  <c r="BD30" i="3"/>
  <c r="BS49" i="3"/>
  <c r="BF13" i="3"/>
  <c r="BI50" i="3"/>
  <c r="BS41" i="3"/>
  <c r="BL23" i="3"/>
  <c r="BL25" i="3"/>
  <c r="BE37" i="3"/>
  <c r="BN24" i="3"/>
  <c r="BW57" i="3"/>
  <c r="BW54" i="3"/>
  <c r="BW17" i="3"/>
  <c r="BW28" i="3"/>
  <c r="BF47" i="3"/>
  <c r="BQ21" i="3"/>
  <c r="BM13" i="3"/>
  <c r="BN58" i="3"/>
  <c r="BM30" i="3"/>
  <c r="BV29" i="3"/>
  <c r="BL57" i="3"/>
  <c r="BM53" i="3"/>
  <c r="BP45" i="3"/>
  <c r="BT51" i="3"/>
  <c r="BE40" i="5"/>
  <c r="BI24" i="4"/>
  <c r="BV54" i="4"/>
  <c r="BE36" i="4"/>
  <c r="BV15" i="4"/>
  <c r="BF52" i="4"/>
  <c r="BS18" i="4"/>
  <c r="BN44" i="4"/>
  <c r="BU11" i="4"/>
  <c r="BH14" i="4"/>
  <c r="BP30" i="4"/>
  <c r="BW15" i="4"/>
  <c r="BP32" i="3"/>
  <c r="BS34" i="3"/>
  <c r="BV25" i="3"/>
  <c r="BV10" i="3"/>
  <c r="BV23" i="3"/>
  <c r="BD40" i="3"/>
  <c r="BG58" i="3"/>
  <c r="BT11" i="3"/>
  <c r="BU27" i="3"/>
  <c r="BU10" i="3"/>
  <c r="BH25" i="3"/>
  <c r="BM55" i="3"/>
  <c r="BV20" i="3"/>
  <c r="BS31" i="3"/>
  <c r="BP20" i="3"/>
  <c r="BN16" i="3"/>
  <c r="BK32" i="3"/>
  <c r="BT37" i="3"/>
  <c r="BD41" i="3"/>
  <c r="BS19" i="3"/>
  <c r="BL21" i="3"/>
  <c r="BI11" i="3"/>
  <c r="BQ26" i="3"/>
  <c r="BU9" i="3"/>
  <c r="BT41" i="3"/>
  <c r="BF53" i="3"/>
  <c r="BE34" i="3"/>
  <c r="BQ38" i="3"/>
  <c r="BT24" i="3"/>
  <c r="BG42" i="3"/>
  <c r="BE42" i="3"/>
  <c r="BV56" i="3"/>
  <c r="BG11" i="3"/>
  <c r="BS32" i="3"/>
  <c r="BM14" i="3"/>
  <c r="BM41" i="3"/>
  <c r="BG48" i="3"/>
  <c r="BE40" i="3"/>
  <c r="BF14" i="3"/>
  <c r="BU47" i="3"/>
  <c r="BP31" i="3"/>
  <c r="BF48" i="3"/>
  <c r="BV47" i="3"/>
  <c r="BV27" i="3"/>
  <c r="BP54" i="3"/>
  <c r="BU58" i="3"/>
  <c r="BF18" i="3"/>
  <c r="BE38" i="3"/>
  <c r="BF55" i="3"/>
  <c r="BM48" i="3"/>
  <c r="BL58" i="3"/>
  <c r="BG26" i="3"/>
  <c r="BL30" i="3"/>
  <c r="BF43" i="3"/>
  <c r="BU35" i="3"/>
  <c r="BM43" i="3"/>
  <c r="BM10" i="3"/>
  <c r="BD12" i="3"/>
  <c r="BG37" i="3"/>
  <c r="BI29" i="3"/>
  <c r="BQ12" i="3"/>
  <c r="BL45" i="3"/>
  <c r="BW48" i="3"/>
  <c r="BF16" i="3"/>
  <c r="BI24" i="3"/>
  <c r="BS21" i="3"/>
  <c r="BF20" i="3"/>
  <c r="BH40" i="3"/>
  <c r="BK27" i="3"/>
  <c r="BQ50" i="3"/>
  <c r="BL11" i="3"/>
  <c r="BW33" i="3"/>
  <c r="BU53" i="3"/>
  <c r="BG30" i="3"/>
  <c r="BE30" i="3"/>
  <c r="BD44" i="3"/>
  <c r="BU54" i="3"/>
  <c r="BD13" i="3"/>
  <c r="BH49" i="3"/>
  <c r="BP47" i="3"/>
  <c r="BE41" i="3"/>
  <c r="BF39" i="3"/>
  <c r="BW34" i="3"/>
  <c r="BL10" i="3"/>
  <c r="BG22" i="3"/>
  <c r="BK21" i="3"/>
  <c r="BU25" i="3"/>
  <c r="BN50" i="3"/>
  <c r="BT24" i="5"/>
  <c r="BN36" i="4"/>
  <c r="BF46" i="4"/>
  <c r="BF34" i="4"/>
  <c r="BV21" i="4"/>
  <c r="BI10" i="4"/>
  <c r="BM39" i="4"/>
  <c r="BN42" i="4"/>
  <c r="BL14" i="4"/>
  <c r="BD51" i="4"/>
  <c r="BH57" i="4"/>
  <c r="BQ37" i="4"/>
  <c r="BL27" i="4"/>
  <c r="BH18" i="4"/>
  <c r="BM46" i="4"/>
  <c r="BL47" i="3"/>
  <c r="BN30" i="3"/>
  <c r="BD53" i="3"/>
  <c r="BG29" i="3"/>
  <c r="BK46" i="3"/>
  <c r="BL46" i="3"/>
  <c r="BS23" i="3"/>
  <c r="BN41" i="3"/>
  <c r="BM40" i="3"/>
  <c r="BK45" i="3"/>
  <c r="BF38" i="3"/>
  <c r="BG41" i="3"/>
  <c r="BN21" i="3"/>
  <c r="BU40" i="3"/>
  <c r="BV24" i="3"/>
  <c r="BD34" i="3"/>
  <c r="BS46" i="3"/>
  <c r="BQ32" i="3"/>
  <c r="BU17" i="3"/>
  <c r="BI37" i="3"/>
  <c r="BI41" i="3"/>
  <c r="BV22" i="3"/>
  <c r="BL49" i="3"/>
  <c r="BM32" i="3"/>
  <c r="BL33" i="3"/>
  <c r="BV45" i="3"/>
  <c r="BS18" i="3"/>
  <c r="BT28" i="3"/>
  <c r="BF30" i="3"/>
  <c r="BH29" i="3"/>
  <c r="BF19" i="3"/>
  <c r="BF44" i="3"/>
  <c r="BQ54" i="3"/>
  <c r="BF37" i="3"/>
  <c r="BN29" i="3"/>
  <c r="BH53" i="3"/>
  <c r="BI13" i="3"/>
  <c r="BP58" i="3"/>
  <c r="BH55" i="3"/>
  <c r="BH12" i="3"/>
  <c r="BL19" i="3"/>
  <c r="BN18" i="3"/>
  <c r="BS45" i="3"/>
  <c r="BE48" i="3"/>
  <c r="BK20" i="3"/>
  <c r="BH42" i="3"/>
  <c r="BN14" i="3"/>
  <c r="BG10" i="3"/>
  <c r="BU51" i="3"/>
  <c r="BP40" i="3"/>
  <c r="BH20" i="3"/>
  <c r="BE55" i="3"/>
  <c r="BT13" i="3"/>
  <c r="BU15" i="3"/>
  <c r="BG43" i="3"/>
  <c r="BD49" i="3"/>
  <c r="BF56" i="3"/>
  <c r="BG34" i="3"/>
  <c r="BG56" i="3"/>
  <c r="BW43" i="3"/>
  <c r="BW10" i="3"/>
  <c r="BW39" i="3"/>
  <c r="BE46" i="3"/>
  <c r="BU21" i="3"/>
  <c r="BQ57" i="3"/>
  <c r="BQ45" i="3"/>
  <c r="BH47" i="3"/>
  <c r="BM15" i="3"/>
  <c r="BL34" i="3"/>
  <c r="BW31" i="3"/>
  <c r="BI35" i="3"/>
  <c r="BU12" i="3"/>
  <c r="BP56" i="3"/>
  <c r="BS20" i="3"/>
  <c r="BU16" i="3"/>
  <c r="BF22" i="3"/>
  <c r="BW46" i="3"/>
  <c r="BW23" i="3"/>
  <c r="BW19" i="3"/>
  <c r="BH35" i="3"/>
  <c r="BW50" i="3"/>
  <c r="BG25" i="3"/>
  <c r="BE44" i="3"/>
  <c r="BP42" i="3"/>
  <c r="BK42" i="3"/>
  <c r="BK15" i="3"/>
  <c r="BT14" i="3"/>
  <c r="BK19" i="3"/>
  <c r="BF51" i="3"/>
  <c r="BD55" i="3"/>
  <c r="BW19" i="5"/>
  <c r="BQ26" i="4"/>
  <c r="BI20" i="4"/>
  <c r="BS31" i="4"/>
  <c r="BM54" i="4"/>
  <c r="BD15" i="4"/>
  <c r="BE17" i="4"/>
  <c r="BQ21" i="4"/>
  <c r="BE13" i="3"/>
  <c r="BU57" i="3"/>
  <c r="BN39" i="3"/>
  <c r="BH10" i="3"/>
  <c r="BH17" i="3"/>
  <c r="BM45" i="3"/>
  <c r="BU28" i="3"/>
  <c r="BL51" i="3"/>
  <c r="BH9" i="3"/>
  <c r="BN33" i="3"/>
  <c r="BT43" i="3"/>
  <c r="BS11" i="3"/>
  <c r="BD29" i="3"/>
  <c r="BU48" i="3"/>
  <c r="BK33" i="3"/>
  <c r="BK41" i="3"/>
  <c r="BT29" i="3"/>
  <c r="BQ10" i="3"/>
  <c r="BN25" i="3"/>
  <c r="BU23" i="3"/>
  <c r="BP9" i="3"/>
  <c r="BG31" i="3"/>
  <c r="BE24" i="3"/>
  <c r="BG46" i="3"/>
  <c r="BT54" i="3"/>
  <c r="BS58" i="3"/>
  <c r="BK48" i="3"/>
  <c r="BV19" i="3"/>
  <c r="BL54" i="3"/>
  <c r="BU45" i="3"/>
  <c r="BV50" i="3"/>
  <c r="BU41" i="3"/>
  <c r="BM28" i="3"/>
  <c r="BN26" i="3"/>
  <c r="BM58" i="3"/>
  <c r="BD11" i="3"/>
  <c r="BK25" i="3"/>
  <c r="BV58" i="3"/>
  <c r="BL39" i="3"/>
  <c r="BG15" i="3"/>
  <c r="BE58" i="3"/>
  <c r="BV36" i="3"/>
  <c r="BQ53" i="3"/>
  <c r="BN32" i="3"/>
  <c r="BP34" i="3"/>
  <c r="BG54" i="3"/>
  <c r="BP53" i="3"/>
  <c r="BK29" i="3"/>
  <c r="BG23" i="3"/>
  <c r="BG51" i="3"/>
  <c r="BQ30" i="3"/>
  <c r="BD50" i="3"/>
  <c r="BW32" i="3"/>
  <c r="BW22" i="3"/>
  <c r="BW11" i="3"/>
  <c r="BT27" i="3"/>
  <c r="BK58" i="3"/>
  <c r="BS51" i="3"/>
  <c r="BM19" i="3"/>
  <c r="BI40" i="3"/>
  <c r="BE51" i="3"/>
  <c r="BH18" i="3"/>
  <c r="BD25" i="3"/>
  <c r="BE39" i="3"/>
  <c r="BQ24" i="3"/>
  <c r="BF15" i="3"/>
  <c r="BI43" i="3"/>
  <c r="BQ28" i="3"/>
  <c r="BN11" i="3"/>
  <c r="BK47" i="3"/>
  <c r="BW37" i="3"/>
  <c r="BW15" i="3"/>
  <c r="BF35" i="3"/>
  <c r="BD23" i="3"/>
  <c r="BI31" i="3"/>
  <c r="BH14" i="3"/>
  <c r="BE20" i="3"/>
  <c r="BD20" i="3"/>
  <c r="BK12" i="3"/>
  <c r="BG9" i="3"/>
  <c r="BH15" i="3"/>
  <c r="BE49" i="3"/>
  <c r="BP36" i="3"/>
  <c r="BW27" i="3"/>
  <c r="BI32" i="4"/>
  <c r="BS40" i="4"/>
  <c r="BU41" i="4"/>
  <c r="BV36" i="4"/>
  <c r="BN32" i="4"/>
  <c r="BM10" i="4"/>
  <c r="BI11" i="4"/>
  <c r="BW10" i="4"/>
  <c r="BH48" i="4"/>
  <c r="BW56" i="4"/>
  <c r="BE28" i="3"/>
  <c r="BF25" i="3"/>
  <c r="BP51" i="3"/>
  <c r="BD15" i="3"/>
  <c r="BQ15" i="3"/>
  <c r="BP30" i="3"/>
  <c r="BD17" i="3"/>
  <c r="BV17" i="3"/>
  <c r="BD39" i="3"/>
  <c r="BK50" i="3"/>
  <c r="BV42" i="3"/>
  <c r="BL32" i="3"/>
  <c r="BT32" i="3"/>
  <c r="BP39" i="3"/>
  <c r="BU33" i="3"/>
  <c r="BP57" i="3"/>
  <c r="BV32" i="3"/>
  <c r="BV11" i="3"/>
  <c r="BL52" i="3"/>
  <c r="BM54" i="3"/>
  <c r="BT44" i="3"/>
  <c r="BQ40" i="3"/>
  <c r="BP26" i="3"/>
  <c r="BK22" i="3"/>
  <c r="BV48" i="3"/>
  <c r="BD45" i="3"/>
  <c r="BT15" i="3"/>
  <c r="BV39" i="3"/>
  <c r="BQ58" i="3"/>
  <c r="BU55" i="3"/>
  <c r="BM47" i="3"/>
  <c r="BI23" i="3"/>
  <c r="BQ35" i="3"/>
  <c r="BM42" i="3"/>
  <c r="BV34" i="3"/>
  <c r="BK24" i="3"/>
  <c r="BU29" i="3"/>
  <c r="BM34" i="3"/>
  <c r="BM52" i="3"/>
  <c r="BS36" i="3"/>
  <c r="BG38" i="3"/>
  <c r="BK34" i="3"/>
  <c r="BT21" i="3"/>
  <c r="BG40" i="3"/>
  <c r="BN37" i="3"/>
  <c r="BF41" i="3"/>
  <c r="BG49" i="3"/>
  <c r="BW36" i="3"/>
  <c r="BT16" i="3"/>
  <c r="BP38" i="3"/>
  <c r="BT40" i="3"/>
  <c r="BN9" i="3"/>
  <c r="BE54" i="3"/>
  <c r="BI57" i="3"/>
  <c r="BN47" i="3"/>
  <c r="BS35" i="3"/>
  <c r="BV53" i="3"/>
  <c r="BL13" i="3"/>
  <c r="BV38" i="3"/>
  <c r="BG16" i="3"/>
  <c r="BL43" i="3"/>
  <c r="BK44" i="3"/>
  <c r="BT52" i="3"/>
  <c r="BQ16" i="3"/>
  <c r="BH16" i="3"/>
  <c r="BW51" i="3"/>
  <c r="BE57" i="3"/>
  <c r="BH26" i="3"/>
  <c r="BG32" i="3"/>
  <c r="BD43" i="3"/>
  <c r="BS9" i="3"/>
  <c r="BS12" i="3"/>
  <c r="BG28" i="3"/>
  <c r="BF9" i="3"/>
  <c r="BE14" i="3"/>
  <c r="BQ49" i="3"/>
  <c r="BE16" i="3"/>
  <c r="BE29" i="3"/>
  <c r="BP25" i="3"/>
  <c r="BK38" i="3"/>
  <c r="BV26" i="3"/>
  <c r="BE26" i="3"/>
  <c r="BV33" i="3"/>
  <c r="BU49" i="3"/>
  <c r="BQ18" i="3"/>
  <c r="BW45" i="3"/>
  <c r="BU36" i="3"/>
  <c r="BI12" i="3"/>
  <c r="BH45" i="3"/>
  <c r="BN35" i="3"/>
  <c r="BT34" i="3"/>
  <c r="BS47" i="3"/>
  <c r="BS10" i="3"/>
  <c r="BD18" i="3"/>
  <c r="BU24" i="3"/>
  <c r="BI52" i="3"/>
  <c r="BT42" i="3"/>
  <c r="BE35" i="3"/>
  <c r="BP43" i="3"/>
  <c r="BP11" i="4"/>
  <c r="BK23" i="4"/>
  <c r="BL56" i="3"/>
  <c r="BH54" i="3"/>
  <c r="BU32" i="3"/>
  <c r="BH23" i="3"/>
  <c r="BD42" i="3"/>
  <c r="BF33" i="3"/>
  <c r="BW14" i="3"/>
  <c r="BI58" i="3"/>
  <c r="BN15" i="3"/>
  <c r="BW24" i="3"/>
  <c r="BI51" i="3"/>
  <c r="BK14" i="3"/>
  <c r="BH44" i="3"/>
  <c r="BT53" i="3"/>
  <c r="BI54" i="3"/>
  <c r="BP22" i="3"/>
  <c r="BQ56" i="3"/>
  <c r="BM51" i="3"/>
  <c r="BP49" i="3"/>
  <c r="BD9" i="3"/>
  <c r="BF17" i="3"/>
  <c r="BW29" i="3"/>
  <c r="BW41" i="3"/>
  <c r="BK55" i="3"/>
  <c r="BF44" i="4"/>
  <c r="BD14" i="4"/>
  <c r="BP13" i="3"/>
  <c r="BI9" i="3"/>
  <c r="BK36" i="3"/>
  <c r="BE22" i="3"/>
  <c r="BD33" i="3"/>
  <c r="BQ37" i="3"/>
  <c r="BK28" i="3"/>
  <c r="BP17" i="3"/>
  <c r="BT57" i="3"/>
  <c r="BT38" i="3"/>
  <c r="BU14" i="3"/>
  <c r="BQ52" i="3"/>
  <c r="BT25" i="3"/>
  <c r="BF49" i="3"/>
  <c r="BW47" i="3"/>
  <c r="BF57" i="3"/>
  <c r="BP19" i="3"/>
  <c r="BP16" i="3"/>
  <c r="BU46" i="3"/>
  <c r="BP21" i="3"/>
  <c r="BV46" i="3"/>
  <c r="BK16" i="3"/>
  <c r="BK52" i="3"/>
  <c r="BP14" i="3"/>
  <c r="BF29" i="3"/>
  <c r="BI25" i="3"/>
  <c r="BL28" i="3"/>
  <c r="BD56" i="3"/>
  <c r="BN12" i="3"/>
  <c r="BK43" i="3"/>
  <c r="BM33" i="3"/>
  <c r="BS15" i="3"/>
  <c r="BS55" i="3"/>
  <c r="BF32" i="3"/>
  <c r="BL44" i="3"/>
  <c r="BP52" i="3"/>
  <c r="BP12" i="3"/>
  <c r="BV37" i="3"/>
  <c r="BF40" i="3"/>
  <c r="BV18" i="3"/>
  <c r="BS54" i="3"/>
  <c r="BW56" i="3"/>
  <c r="BU28" i="4"/>
  <c r="BS28" i="3"/>
  <c r="BD37" i="3"/>
  <c r="BL17" i="3"/>
  <c r="BP50" i="3"/>
  <c r="BS39" i="3"/>
  <c r="BV43" i="3"/>
  <c r="BT12" i="3"/>
  <c r="BI10" i="3"/>
  <c r="BS43" i="3"/>
  <c r="BW55" i="3"/>
  <c r="BN56" i="3"/>
  <c r="BU26" i="3"/>
  <c r="BQ23" i="3"/>
  <c r="BW26" i="3"/>
  <c r="BE11" i="3"/>
  <c r="BG39" i="3"/>
  <c r="BT31" i="3"/>
  <c r="BG19" i="3"/>
  <c r="BW44" i="3"/>
  <c r="BN43" i="3"/>
  <c r="BW13" i="3"/>
  <c r="BW18" i="3"/>
  <c r="BK26" i="3"/>
  <c r="BG38" i="4"/>
  <c r="BL40" i="4"/>
  <c r="BG33" i="3"/>
  <c r="BQ33" i="3"/>
  <c r="BL42" i="3"/>
  <c r="BI17" i="3"/>
  <c r="BI16" i="3"/>
  <c r="BI48" i="3"/>
  <c r="BV55" i="3"/>
  <c r="BK17" i="3"/>
  <c r="BI39" i="3"/>
  <c r="BI22" i="3"/>
  <c r="BL24" i="3"/>
  <c r="BK35" i="3"/>
  <c r="BP28" i="3"/>
  <c r="BM20" i="3"/>
  <c r="BM56" i="3"/>
  <c r="BW40" i="3"/>
  <c r="BN19" i="3"/>
  <c r="BK31" i="3"/>
  <c r="BH32" i="3"/>
  <c r="BW58" i="3"/>
  <c r="BP35" i="3"/>
  <c r="BL18" i="3"/>
  <c r="BN45" i="3"/>
  <c r="BH43" i="3"/>
  <c r="BP10" i="3"/>
  <c r="BF11" i="3"/>
  <c r="BH37" i="3"/>
  <c r="BS57" i="3"/>
  <c r="BK57" i="3"/>
  <c r="BF10" i="3"/>
  <c r="BS50" i="3"/>
  <c r="BL16" i="3"/>
  <c r="BF31" i="3"/>
  <c r="BD14" i="3"/>
  <c r="BQ11" i="3"/>
  <c r="BM22" i="3"/>
  <c r="BI19" i="3"/>
  <c r="BT17" i="3"/>
  <c r="BW42" i="3"/>
  <c r="BP29" i="3"/>
  <c r="BE19" i="3"/>
  <c r="BG18" i="3"/>
  <c r="BS24" i="3"/>
  <c r="BW16" i="3"/>
  <c r="BW12" i="3"/>
  <c r="BF27" i="3"/>
  <c r="BW25" i="3"/>
  <c r="BM31" i="3"/>
  <c r="BI38" i="3"/>
  <c r="BU52" i="2"/>
  <c r="BT47" i="2"/>
  <c r="BG40" i="2"/>
  <c r="BF19" i="2"/>
  <c r="BF52" i="2"/>
  <c r="BS30" i="2"/>
  <c r="BH33" i="2"/>
  <c r="BQ18" i="2"/>
  <c r="BN53" i="2"/>
  <c r="BF54" i="2"/>
  <c r="BK36" i="2"/>
  <c r="BV34" i="2"/>
  <c r="BI44" i="2"/>
  <c r="BF40" i="2"/>
  <c r="BN50" i="2"/>
  <c r="BP47" i="2"/>
  <c r="BE28" i="2"/>
  <c r="BF24" i="2"/>
  <c r="BV49" i="2"/>
  <c r="BU10" i="2"/>
  <c r="BE43" i="2"/>
  <c r="BT23" i="2"/>
  <c r="BM47" i="2"/>
  <c r="BP23" i="2"/>
  <c r="BD49" i="2"/>
  <c r="BK47" i="2"/>
  <c r="BE47" i="2"/>
  <c r="BD45" i="2"/>
  <c r="BN11" i="2"/>
  <c r="BN55" i="2"/>
  <c r="BI10" i="2"/>
  <c r="BK37" i="2"/>
  <c r="BU17" i="2"/>
  <c r="BF39" i="2"/>
  <c r="BS12" i="2"/>
  <c r="BU40" i="2"/>
  <c r="BN31" i="2"/>
  <c r="BH29" i="2"/>
  <c r="BS9" i="2"/>
  <c r="BK42" i="2"/>
  <c r="BE36" i="2"/>
  <c r="BE17" i="2"/>
  <c r="BN47" i="2"/>
  <c r="BI45" i="2"/>
  <c r="BL40" i="2"/>
  <c r="BI51" i="2"/>
  <c r="BM14" i="2"/>
  <c r="BP9" i="2"/>
  <c r="BL56" i="2"/>
  <c r="BE10" i="2"/>
  <c r="BS22" i="2"/>
  <c r="BF31" i="2"/>
  <c r="BL17" i="2"/>
  <c r="BS16" i="2"/>
  <c r="BM39" i="2"/>
  <c r="BV16" i="2"/>
  <c r="BD36" i="2"/>
  <c r="BL50" i="2"/>
  <c r="BG14" i="2"/>
  <c r="BN22" i="2"/>
  <c r="BG32" i="2"/>
  <c r="BH14" i="2"/>
  <c r="BE55" i="2"/>
  <c r="BF20" i="2"/>
  <c r="BL27" i="2"/>
  <c r="BL10" i="2"/>
  <c r="BT49" i="2"/>
  <c r="BQ36" i="2"/>
  <c r="BK16" i="2"/>
  <c r="BL19" i="2"/>
  <c r="BI12" i="2"/>
  <c r="BQ30" i="2"/>
  <c r="BL53" i="2"/>
  <c r="BS48" i="2"/>
  <c r="BP42" i="2"/>
  <c r="BF21" i="2"/>
  <c r="BL54" i="2"/>
  <c r="BQ43" i="2"/>
  <c r="BU37" i="2"/>
  <c r="BK56" i="2"/>
  <c r="BP56" i="2"/>
  <c r="BW14" i="2"/>
  <c r="BL9" i="2"/>
  <c r="BP14" i="2"/>
  <c r="BL52" i="2"/>
  <c r="BH10" i="2"/>
  <c r="BE34" i="2"/>
  <c r="BG35" i="2"/>
  <c r="BU54" i="2"/>
  <c r="BF51" i="2"/>
  <c r="BM40" i="2"/>
  <c r="BG26" i="2"/>
  <c r="BM48" i="2"/>
  <c r="BW11" i="2"/>
  <c r="BH25" i="2"/>
  <c r="BN37" i="2"/>
  <c r="BG27" i="2"/>
  <c r="BL48" i="2"/>
  <c r="BS37" i="2"/>
  <c r="BV30" i="2"/>
  <c r="BM34" i="2"/>
  <c r="BT50" i="2"/>
  <c r="BS49" i="2"/>
  <c r="BU33" i="2"/>
  <c r="BG19" i="2"/>
  <c r="BE52" i="2"/>
  <c r="BT25" i="2"/>
  <c r="BP29" i="2"/>
  <c r="BW35" i="2"/>
  <c r="BM37" i="2"/>
  <c r="BW51" i="2"/>
  <c r="BI22" i="2"/>
  <c r="BW56" i="2"/>
  <c r="BD38" i="2"/>
  <c r="BT36" i="2"/>
  <c r="BN49" i="2"/>
  <c r="BW26" i="2"/>
  <c r="BM32" i="2"/>
  <c r="BP36" i="2"/>
  <c r="BG11" i="2"/>
  <c r="BF57" i="2"/>
  <c r="BD32" i="2"/>
  <c r="BH48" i="2"/>
  <c r="BI40" i="2"/>
  <c r="BQ55" i="2"/>
  <c r="BK49" i="2"/>
  <c r="BG45" i="2"/>
  <c r="BE56" i="2"/>
  <c r="BQ53" i="2"/>
  <c r="BG51" i="2"/>
  <c r="BP32" i="2"/>
  <c r="BW15" i="2"/>
  <c r="BV37" i="2"/>
  <c r="BF42" i="2"/>
  <c r="BU35" i="2"/>
  <c r="BW21" i="4"/>
  <c r="BH39" i="3"/>
  <c r="BM16" i="3"/>
  <c r="BG33" i="2"/>
  <c r="BV45" i="2"/>
  <c r="BQ11" i="2"/>
  <c r="BK33" i="2"/>
  <c r="BM25" i="2"/>
  <c r="BK28" i="2"/>
  <c r="BL23" i="2"/>
  <c r="BD56" i="2"/>
  <c r="BQ25" i="2"/>
  <c r="BK24" i="2"/>
  <c r="BQ54" i="2"/>
  <c r="BK25" i="2"/>
  <c r="BU27" i="2"/>
  <c r="BH34" i="2"/>
  <c r="BN39" i="2"/>
  <c r="BU12" i="2"/>
  <c r="BE21" i="2"/>
  <c r="BG31" i="2"/>
  <c r="BI34" i="2"/>
  <c r="BT22" i="2"/>
  <c r="BP26" i="2"/>
  <c r="BI54" i="2"/>
  <c r="BL11" i="2"/>
  <c r="BH24" i="2"/>
  <c r="BS23" i="2"/>
  <c r="BE46" i="2"/>
  <c r="BQ12" i="2"/>
  <c r="BS32" i="2"/>
  <c r="BF53" i="2"/>
  <c r="BI56" i="2"/>
  <c r="BF28" i="2"/>
  <c r="BM58" i="2"/>
  <c r="BN17" i="2"/>
  <c r="BS55" i="2"/>
  <c r="BU14" i="2"/>
  <c r="BV17" i="2"/>
  <c r="BK40" i="2"/>
  <c r="BF9" i="2"/>
  <c r="BP57" i="2"/>
  <c r="BE27" i="2"/>
  <c r="BT42" i="2"/>
  <c r="BD35" i="2"/>
  <c r="BT40" i="2"/>
  <c r="BD54" i="2"/>
  <c r="BS13" i="2"/>
  <c r="BN28" i="2"/>
  <c r="BN10" i="2"/>
  <c r="BQ37" i="2"/>
  <c r="BK32" i="2"/>
  <c r="BL41" i="2"/>
  <c r="BL57" i="2"/>
  <c r="BH22" i="2"/>
  <c r="BQ47" i="2"/>
  <c r="BU53" i="2"/>
  <c r="BD27" i="2"/>
  <c r="BU9" i="2"/>
  <c r="BD48" i="2"/>
  <c r="BF36" i="2"/>
  <c r="BP45" i="2"/>
  <c r="BS28" i="2"/>
  <c r="BS27" i="2"/>
  <c r="BF22" i="2"/>
  <c r="BI16" i="2"/>
  <c r="BN12" i="2"/>
  <c r="BS34" i="2"/>
  <c r="BD13" i="2"/>
  <c r="BL38" i="2"/>
  <c r="BS57" i="2"/>
  <c r="BN36" i="2"/>
  <c r="BK11" i="2"/>
  <c r="BS36" i="2"/>
  <c r="BL46" i="2"/>
  <c r="BQ51" i="2"/>
  <c r="BQ29" i="2"/>
  <c r="BW40" i="2"/>
  <c r="BK34" i="2"/>
  <c r="BW44" i="2"/>
  <c r="BI50" i="2"/>
  <c r="BP46" i="2"/>
  <c r="BQ52" i="2"/>
  <c r="BV39" i="2"/>
  <c r="BG34" i="2"/>
  <c r="BW46" i="2"/>
  <c r="BK27" i="2"/>
  <c r="BF47" i="2"/>
  <c r="BG39" i="2"/>
  <c r="BG49" i="2"/>
  <c r="BF49" i="2"/>
  <c r="BQ27" i="2"/>
  <c r="BW24" i="2"/>
  <c r="BH55" i="2"/>
  <c r="BH9" i="2"/>
  <c r="BT58" i="2"/>
  <c r="BW43" i="2"/>
  <c r="BH53" i="2"/>
  <c r="BT38" i="2"/>
  <c r="BW41" i="2"/>
  <c r="BP15" i="2"/>
  <c r="BD12" i="2"/>
  <c r="BM29" i="2"/>
  <c r="BI57" i="2"/>
  <c r="BW33" i="2"/>
  <c r="BE38" i="2"/>
  <c r="BE18" i="2"/>
  <c r="BU45" i="2"/>
  <c r="BE42" i="2"/>
  <c r="BF38" i="2"/>
  <c r="BV46" i="2"/>
  <c r="BH21" i="2"/>
  <c r="BV58" i="2"/>
  <c r="BL42" i="2"/>
  <c r="BS52" i="2"/>
  <c r="BF32" i="2"/>
  <c r="BU26" i="2"/>
  <c r="BM33" i="2"/>
  <c r="BW25" i="2"/>
  <c r="BM27" i="2"/>
  <c r="BW52" i="2"/>
  <c r="BG21" i="3"/>
  <c r="BL20" i="3"/>
  <c r="BI30" i="3"/>
  <c r="BV33" i="2"/>
  <c r="BL25" i="2"/>
  <c r="BT17" i="2"/>
  <c r="BG23" i="2"/>
  <c r="BK13" i="2"/>
  <c r="BF55" i="2"/>
  <c r="BT16" i="2"/>
  <c r="BG10" i="2"/>
  <c r="BS41" i="2"/>
  <c r="BT30" i="2"/>
  <c r="BN14" i="2"/>
  <c r="BL47" i="2"/>
  <c r="BQ39" i="2"/>
  <c r="BL26" i="2"/>
  <c r="BP12" i="2"/>
  <c r="BQ33" i="2"/>
  <c r="BM11" i="2"/>
  <c r="BN41" i="2"/>
  <c r="BG43" i="2"/>
  <c r="BI24" i="2"/>
  <c r="BK54" i="2"/>
  <c r="BV40" i="2"/>
  <c r="BP30" i="2"/>
  <c r="BH58" i="2"/>
  <c r="BF46" i="2"/>
  <c r="BD26" i="2"/>
  <c r="BU58" i="2"/>
  <c r="BU16" i="2"/>
  <c r="BN15" i="2"/>
  <c r="BD29" i="2"/>
  <c r="BS18" i="2"/>
  <c r="BI26" i="2"/>
  <c r="BD15" i="2"/>
  <c r="BP25" i="2"/>
  <c r="BT18" i="2"/>
  <c r="BL24" i="2"/>
  <c r="BN33" i="2"/>
  <c r="BH38" i="2"/>
  <c r="BF26" i="2"/>
  <c r="BV53" i="2"/>
  <c r="BU11" i="2"/>
  <c r="BI53" i="2"/>
  <c r="BN44" i="2"/>
  <c r="BU39" i="2"/>
  <c r="BK14" i="2"/>
  <c r="BK30" i="2"/>
  <c r="BP53" i="2"/>
  <c r="BT45" i="2"/>
  <c r="BD37" i="2"/>
  <c r="BV57" i="2"/>
  <c r="BN25" i="2"/>
  <c r="BM23" i="2"/>
  <c r="BT12" i="2"/>
  <c r="BS29" i="2"/>
  <c r="BK15" i="2"/>
  <c r="BL51" i="2"/>
  <c r="BS47" i="2"/>
  <c r="BT54" i="2"/>
  <c r="BS33" i="2"/>
  <c r="BS20" i="2"/>
  <c r="BP11" i="2"/>
  <c r="BG21" i="2"/>
  <c r="BH31" i="2"/>
  <c r="BT43" i="2"/>
  <c r="BK9" i="2"/>
  <c r="BS14" i="2"/>
  <c r="BS42" i="2"/>
  <c r="BP31" i="2"/>
  <c r="BM43" i="2"/>
  <c r="BE22" i="2"/>
  <c r="BL15" i="2"/>
  <c r="BI52" i="2"/>
  <c r="BI36" i="2"/>
  <c r="BU15" i="2"/>
  <c r="BU23" i="2"/>
  <c r="BG50" i="2"/>
  <c r="BD33" i="2"/>
  <c r="BM38" i="2"/>
  <c r="BV25" i="2"/>
  <c r="BW39" i="2"/>
  <c r="BN30" i="2"/>
  <c r="BP37" i="3"/>
  <c r="BU22" i="3"/>
  <c r="BS56" i="3"/>
  <c r="BV14" i="3"/>
  <c r="BV44" i="2"/>
  <c r="BU22" i="2"/>
  <c r="BM28" i="2"/>
  <c r="BQ48" i="2"/>
  <c r="BS56" i="2"/>
  <c r="BT53" i="2"/>
  <c r="BH49" i="2"/>
  <c r="BN34" i="2"/>
  <c r="BK51" i="2"/>
  <c r="BU48" i="2"/>
  <c r="BN13" i="2"/>
  <c r="BE50" i="2"/>
  <c r="BP21" i="2"/>
  <c r="BV52" i="2"/>
  <c r="BI33" i="2"/>
  <c r="BV55" i="2"/>
  <c r="BM21" i="2"/>
  <c r="BP54" i="2"/>
  <c r="BQ57" i="2"/>
  <c r="BQ32" i="2"/>
  <c r="BV54" i="2"/>
  <c r="BP13" i="2"/>
  <c r="BG48" i="2"/>
  <c r="BM51" i="2"/>
  <c r="BF23" i="2"/>
  <c r="BH35" i="2"/>
  <c r="BV23" i="2"/>
  <c r="BG41" i="2"/>
  <c r="BI41" i="2"/>
  <c r="BH23" i="2"/>
  <c r="BE12" i="2"/>
  <c r="BQ46" i="2"/>
  <c r="BF50" i="2"/>
  <c r="BU21" i="2"/>
  <c r="BD20" i="2"/>
  <c r="BG36" i="2"/>
  <c r="BM41" i="2"/>
  <c r="BM17" i="2"/>
  <c r="BF33" i="2"/>
  <c r="BU25" i="2"/>
  <c r="BK55" i="2"/>
  <c r="BL44" i="2"/>
  <c r="BE58" i="2"/>
  <c r="BG53" i="2"/>
  <c r="BM10" i="2"/>
  <c r="BU47" i="2"/>
  <c r="BD34" i="2"/>
  <c r="BL58" i="2"/>
  <c r="BN9" i="2"/>
  <c r="BP55" i="2"/>
  <c r="BF34" i="2"/>
  <c r="BV10" i="2"/>
  <c r="BV12" i="2"/>
  <c r="BM56" i="2"/>
  <c r="BM18" i="2"/>
  <c r="BV41" i="2"/>
  <c r="BL28" i="2"/>
  <c r="BH11" i="2"/>
  <c r="BM49" i="2"/>
  <c r="BP38" i="2"/>
  <c r="BU44" i="2"/>
  <c r="BK12" i="2"/>
  <c r="BD43" i="2"/>
  <c r="BP37" i="2"/>
  <c r="BF29" i="2"/>
  <c r="BT20" i="2"/>
  <c r="BN38" i="2"/>
  <c r="BD16" i="2"/>
  <c r="BF56" i="2"/>
  <c r="BS11" i="2"/>
  <c r="BF58" i="2"/>
  <c r="BE24" i="2"/>
  <c r="BE41" i="2"/>
  <c r="BL55" i="2"/>
  <c r="BU46" i="2"/>
  <c r="BU29" i="2"/>
  <c r="BP39" i="2"/>
  <c r="BW58" i="2"/>
  <c r="BI48" i="2"/>
  <c r="BS35" i="2"/>
  <c r="BT46" i="2"/>
  <c r="BQ31" i="2"/>
  <c r="BS58" i="2"/>
  <c r="BS53" i="2"/>
  <c r="BL49" i="2"/>
  <c r="BS46" i="2"/>
  <c r="BW20" i="2"/>
  <c r="BW18" i="2"/>
  <c r="BW10" i="2"/>
  <c r="BI35" i="2"/>
  <c r="BF35" i="2"/>
  <c r="BK45" i="2"/>
  <c r="BU19" i="2"/>
  <c r="BV50" i="2"/>
  <c r="BD40" i="2"/>
  <c r="BH41" i="2"/>
  <c r="BT21" i="2"/>
  <c r="BQ9" i="2"/>
  <c r="BD18" i="2"/>
  <c r="BL30" i="2"/>
  <c r="BV13" i="2"/>
  <c r="BS45" i="2"/>
  <c r="BE54" i="2"/>
  <c r="BD58" i="3"/>
  <c r="BV28" i="2"/>
  <c r="BL22" i="2"/>
  <c r="BL31" i="2"/>
  <c r="BI32" i="2"/>
  <c r="BS51" i="2"/>
  <c r="BE32" i="2"/>
  <c r="BL45" i="2"/>
  <c r="BD53" i="2"/>
  <c r="BM45" i="2"/>
  <c r="BL43" i="2"/>
  <c r="BI25" i="2"/>
  <c r="BK44" i="2"/>
  <c r="BW42" i="2"/>
  <c r="BF27" i="2"/>
  <c r="BQ50" i="2"/>
  <c r="BQ44" i="2"/>
  <c r="BW22" i="2"/>
  <c r="BE27" i="3"/>
  <c r="BQ42" i="3"/>
  <c r="BW21" i="3"/>
  <c r="BH22" i="3"/>
  <c r="BH44" i="2"/>
  <c r="BU24" i="2"/>
  <c r="BT29" i="2"/>
  <c r="BH27" i="2"/>
  <c r="BM31" i="2"/>
  <c r="BS17" i="2"/>
  <c r="BT34" i="2"/>
  <c r="BN18" i="2"/>
  <c r="BH18" i="2"/>
  <c r="BQ23" i="2"/>
  <c r="BH57" i="2"/>
  <c r="BT15" i="2"/>
  <c r="BD9" i="2"/>
  <c r="BT32" i="2"/>
  <c r="BK29" i="2"/>
  <c r="BF48" i="2"/>
  <c r="BS54" i="2"/>
  <c r="BQ26" i="2"/>
  <c r="BL36" i="2"/>
  <c r="BV27" i="2"/>
  <c r="BS38" i="2"/>
  <c r="BD51" i="2"/>
  <c r="BL32" i="2"/>
  <c r="BM15" i="2"/>
  <c r="BM44" i="2"/>
  <c r="BQ22" i="2"/>
  <c r="BU57" i="2"/>
  <c r="BE25" i="2"/>
  <c r="BT41" i="2"/>
  <c r="BE39" i="2"/>
  <c r="BG15" i="2"/>
  <c r="BV15" i="2"/>
  <c r="BD19" i="2"/>
  <c r="BQ41" i="2"/>
  <c r="BT56" i="2"/>
  <c r="BQ15" i="2"/>
  <c r="BG9" i="2"/>
  <c r="BP44" i="2"/>
  <c r="BU56" i="2"/>
  <c r="BP24" i="2"/>
  <c r="BK23" i="2"/>
  <c r="BT37" i="2"/>
  <c r="BK18" i="2"/>
  <c r="BF25" i="2"/>
  <c r="BD55" i="2"/>
  <c r="BD11" i="2"/>
  <c r="BN54" i="2"/>
  <c r="BP41" i="2"/>
  <c r="BG24" i="2"/>
  <c r="BD22" i="2"/>
  <c r="BU13" i="2"/>
  <c r="BL16" i="2"/>
  <c r="BM22" i="2"/>
  <c r="BD50" i="2"/>
  <c r="BD24" i="2"/>
  <c r="BK22" i="2"/>
  <c r="BU42" i="2"/>
  <c r="BH47" i="2"/>
  <c r="BF41" i="2"/>
  <c r="BP20" i="2"/>
  <c r="BD25" i="2"/>
  <c r="BU32" i="2"/>
  <c r="BK38" i="2"/>
  <c r="BV56" i="2"/>
  <c r="BQ38" i="2"/>
  <c r="BG13" i="2"/>
  <c r="BH17" i="2"/>
  <c r="BG52" i="2"/>
  <c r="BM19" i="2"/>
  <c r="BV14" i="2"/>
  <c r="BN20" i="2"/>
  <c r="BN57" i="2"/>
  <c r="BW48" i="2"/>
  <c r="BN56" i="2"/>
  <c r="BT28" i="2"/>
  <c r="BD39" i="2"/>
  <c r="BH37" i="2"/>
  <c r="BM36" i="2"/>
  <c r="BW32" i="2"/>
  <c r="BW38" i="2"/>
  <c r="BW36" i="2"/>
  <c r="BS19" i="2"/>
  <c r="BH20" i="2"/>
  <c r="BI11" i="2"/>
  <c r="BU36" i="2"/>
  <c r="BW12" i="2"/>
  <c r="BD21" i="2"/>
  <c r="BN27" i="2"/>
  <c r="BN16" i="2"/>
  <c r="BQ13" i="2"/>
  <c r="BT19" i="2"/>
  <c r="BW49" i="2"/>
  <c r="BW28" i="2"/>
  <c r="BW30" i="2"/>
  <c r="BE40" i="2"/>
  <c r="BP49" i="2"/>
  <c r="BE37" i="2"/>
  <c r="BI49" i="2"/>
  <c r="BQ28" i="2"/>
  <c r="BT13" i="2"/>
  <c r="BK46" i="2"/>
  <c r="BQ16" i="2"/>
  <c r="BN58" i="2"/>
  <c r="BS43" i="2"/>
  <c r="BK48" i="2"/>
  <c r="BG12" i="3"/>
  <c r="BK26" i="2"/>
  <c r="BS39" i="2"/>
  <c r="BF16" i="2"/>
  <c r="BG30" i="2"/>
  <c r="BV47" i="2"/>
  <c r="BU34" i="2"/>
  <c r="BH40" i="2"/>
  <c r="BN21" i="2"/>
  <c r="BN26" i="2"/>
  <c r="BG20" i="2"/>
  <c r="BN29" i="2"/>
  <c r="BM35" i="2"/>
  <c r="BQ17" i="2"/>
  <c r="BV32" i="2"/>
  <c r="BT39" i="2"/>
  <c r="BD19" i="3"/>
  <c r="BW35" i="3"/>
  <c r="BM12" i="3"/>
  <c r="BS24" i="2"/>
  <c r="BS10" i="2"/>
  <c r="BG42" i="2"/>
  <c r="BG12" i="2"/>
  <c r="BL33" i="2"/>
  <c r="BD28" i="2"/>
  <c r="BH45" i="2"/>
  <c r="BT48" i="2"/>
  <c r="BM16" i="2"/>
  <c r="BH13" i="2"/>
  <c r="BN48" i="2"/>
  <c r="BN46" i="2"/>
  <c r="BE49" i="2"/>
  <c r="BG56" i="2"/>
  <c r="BH54" i="2"/>
  <c r="BK41" i="2"/>
  <c r="BH46" i="2"/>
  <c r="BT14" i="2"/>
  <c r="BV43" i="2"/>
  <c r="BD10" i="2"/>
  <c r="BE53" i="2"/>
  <c r="BI47" i="2"/>
  <c r="BU28" i="2"/>
  <c r="BK50" i="2"/>
  <c r="BF10" i="2"/>
  <c r="BI46" i="2"/>
  <c r="BQ10" i="2"/>
  <c r="BF18" i="2"/>
  <c r="BF13" i="2"/>
  <c r="BF12" i="2"/>
  <c r="BH43" i="2"/>
  <c r="BT33" i="2"/>
  <c r="BG22" i="2"/>
  <c r="BK17" i="2"/>
  <c r="BI42" i="2"/>
  <c r="BL21" i="2"/>
  <c r="BU20" i="2"/>
  <c r="BG29" i="2"/>
  <c r="BF43" i="2"/>
  <c r="BD46" i="2"/>
  <c r="BN23" i="2"/>
  <c r="BI17" i="2"/>
  <c r="BQ45" i="2"/>
  <c r="BS21" i="2"/>
  <c r="BD57" i="2"/>
  <c r="BH28" i="2"/>
  <c r="BE23" i="2"/>
  <c r="BU30" i="2"/>
  <c r="BI30" i="2"/>
  <c r="BK53" i="2"/>
  <c r="BS25" i="2"/>
  <c r="BP17" i="2"/>
  <c r="BL35" i="2"/>
  <c r="BD41" i="2"/>
  <c r="BD42" i="2"/>
  <c r="BL37" i="2"/>
  <c r="BQ49" i="2"/>
  <c r="BD58" i="2"/>
  <c r="BE11" i="2"/>
  <c r="BT31" i="2"/>
  <c r="BI14" i="2"/>
  <c r="BM46" i="2"/>
  <c r="BT24" i="2"/>
  <c r="BF37" i="2"/>
  <c r="BQ40" i="2"/>
  <c r="BM13" i="2"/>
  <c r="BH32" i="2"/>
  <c r="BT26" i="2"/>
  <c r="BK52" i="2"/>
  <c r="BM50" i="2"/>
  <c r="BP48" i="2"/>
  <c r="BK19" i="2"/>
  <c r="BE26" i="2"/>
  <c r="BH15" i="2"/>
  <c r="BW29" i="2"/>
  <c r="BW53" i="2"/>
  <c r="BI43" i="2"/>
  <c r="BK35" i="2"/>
  <c r="BW54" i="2"/>
  <c r="BK31" i="2"/>
  <c r="BN52" i="2"/>
  <c r="BQ42" i="2"/>
  <c r="BK20" i="2"/>
  <c r="BW55" i="2"/>
  <c r="BW13" i="2"/>
  <c r="BW50" i="2"/>
  <c r="BH16" i="2"/>
  <c r="BU43" i="2"/>
  <c r="BL34" i="2"/>
  <c r="BE30" i="2"/>
  <c r="BL14" i="2"/>
  <c r="BI18" i="2"/>
  <c r="BI13" i="2"/>
  <c r="BF17" i="2"/>
  <c r="BW27" i="2"/>
  <c r="BW16" i="2"/>
  <c r="BS31" i="2"/>
  <c r="BW31" i="2"/>
  <c r="BE15" i="2"/>
  <c r="BG57" i="2"/>
  <c r="BF44" i="2"/>
  <c r="BE29" i="2"/>
  <c r="BK21" i="2"/>
  <c r="BL29" i="2"/>
  <c r="BQ20" i="2"/>
  <c r="BE45" i="2"/>
  <c r="BW21" i="2"/>
  <c r="BH50" i="2"/>
  <c r="BG28" i="2"/>
  <c r="BL12" i="2"/>
  <c r="BG37" i="2"/>
  <c r="BQ20" i="3"/>
  <c r="BG44" i="2"/>
  <c r="BU50" i="2"/>
  <c r="BG18" i="2"/>
  <c r="BU49" i="2"/>
  <c r="BH51" i="2"/>
  <c r="BE20" i="2"/>
  <c r="BV42" i="2"/>
  <c r="BG16" i="2"/>
  <c r="BM9" i="2"/>
  <c r="BI29" i="2"/>
  <c r="BT10" i="2"/>
  <c r="BI39" i="2"/>
  <c r="BV11" i="2"/>
  <c r="BK57" i="2"/>
  <c r="BP58" i="2"/>
  <c r="BE35" i="2"/>
  <c r="BT52" i="2"/>
  <c r="BT57" i="2"/>
  <c r="BW19" i="2"/>
  <c r="BV44" i="3"/>
  <c r="BP18" i="3"/>
  <c r="BT27" i="2"/>
  <c r="BI31" i="2"/>
  <c r="BU31" i="2"/>
  <c r="BT44" i="2"/>
  <c r="BF45" i="2"/>
  <c r="BV24" i="2"/>
  <c r="BE14" i="2"/>
  <c r="BI37" i="2"/>
  <c r="BD30" i="2"/>
  <c r="BP52" i="2"/>
  <c r="BQ56" i="2"/>
  <c r="BH30" i="2"/>
  <c r="BV48" i="2"/>
  <c r="BV9" i="2"/>
  <c r="BV19" i="2"/>
  <c r="BM54" i="2"/>
  <c r="BG38" i="2"/>
  <c r="BH26" i="2"/>
  <c r="BP19" i="2"/>
  <c r="BH36" i="2"/>
  <c r="BH19" i="2"/>
  <c r="BP22" i="2"/>
  <c r="BD52" i="2"/>
  <c r="BG46" i="2"/>
  <c r="BE33" i="2"/>
  <c r="BP50" i="2"/>
  <c r="BP10" i="2"/>
  <c r="BV29" i="2"/>
  <c r="BE57" i="2"/>
  <c r="BP43" i="2"/>
  <c r="BP16" i="2"/>
  <c r="BG55" i="2"/>
  <c r="BV22" i="2"/>
  <c r="BQ21" i="2"/>
  <c r="BH12" i="2"/>
  <c r="BQ24" i="2"/>
  <c r="BN40" i="2"/>
  <c r="BH56" i="2"/>
  <c r="BM26" i="2"/>
  <c r="BI27" i="2"/>
  <c r="BH52" i="2"/>
  <c r="BK39" i="2"/>
  <c r="BN43" i="2"/>
  <c r="BD31" i="2"/>
  <c r="BD23" i="2"/>
  <c r="BF11" i="2"/>
  <c r="BT55" i="2"/>
  <c r="BE31" i="2"/>
  <c r="BI38" i="2"/>
  <c r="BF14" i="2"/>
  <c r="BI15" i="2"/>
  <c r="BK43" i="2"/>
  <c r="BU38" i="2"/>
  <c r="BK10" i="2"/>
  <c r="BV21" i="2"/>
  <c r="BM30" i="2"/>
  <c r="BS15" i="2"/>
  <c r="BQ19" i="2"/>
  <c r="BV18" i="2"/>
  <c r="BP40" i="2"/>
  <c r="BI19" i="2"/>
  <c r="BU51" i="2"/>
  <c r="BM53" i="2"/>
  <c r="BK58" i="2"/>
  <c r="BI9" i="2"/>
  <c r="BP35" i="2"/>
  <c r="BP51" i="2"/>
  <c r="BP28" i="2"/>
  <c r="BP33" i="2"/>
  <c r="BI20" i="2"/>
  <c r="BM52" i="2"/>
  <c r="BL39" i="2"/>
  <c r="BE16" i="2"/>
  <c r="BM55" i="2"/>
  <c r="BL18" i="2"/>
  <c r="BL13" i="2"/>
  <c r="BV20" i="2"/>
  <c r="BI55" i="2"/>
  <c r="BW23" i="2"/>
  <c r="BT35" i="2"/>
  <c r="BP27" i="2"/>
  <c r="BH42" i="2"/>
  <c r="BE19" i="2"/>
  <c r="BE9" i="2"/>
  <c r="BM12" i="2"/>
  <c r="BW45" i="2"/>
  <c r="BW37" i="2"/>
  <c r="BT51" i="2"/>
  <c r="BH39" i="2"/>
  <c r="BP34" i="2"/>
  <c r="BN51" i="2"/>
  <c r="BV38" i="2"/>
  <c r="BM57" i="2"/>
  <c r="BW9" i="2"/>
  <c r="BG54" i="2"/>
  <c r="BM20" i="2"/>
  <c r="BG17" i="2"/>
  <c r="BS40" i="2"/>
  <c r="BV31" i="2"/>
  <c r="BW17" i="2"/>
  <c r="BW47" i="2"/>
  <c r="BF30" i="2"/>
  <c r="BE44" i="2"/>
  <c r="BG25" i="2"/>
  <c r="BS50" i="2"/>
  <c r="BN32" i="2"/>
  <c r="BN42" i="2"/>
  <c r="BV36" i="2"/>
  <c r="BE51" i="2"/>
  <c r="BM24" i="2"/>
  <c r="BI23" i="2"/>
  <c r="BN19" i="2"/>
  <c r="BI58" i="2"/>
  <c r="BW34" i="2"/>
  <c r="BD17" i="2"/>
  <c r="BV26" i="2"/>
  <c r="BE48" i="2"/>
  <c r="BN35" i="2"/>
  <c r="BI21" i="2"/>
  <c r="BU18" i="2"/>
  <c r="BU41" i="2"/>
  <c r="BN45" i="2"/>
  <c r="BU55" i="2"/>
  <c r="BW57" i="2"/>
  <c r="BI28" i="2"/>
  <c r="BE13" i="2"/>
  <c r="BV51" i="2"/>
  <c r="BQ58" i="2"/>
  <c r="BD47" i="2"/>
  <c r="BN24" i="2"/>
  <c r="BQ34" i="2"/>
  <c r="BG47" i="2"/>
  <c r="BS26" i="2"/>
  <c r="BM42" i="2"/>
  <c r="BQ14" i="2"/>
  <c r="BT11" i="2"/>
  <c r="BG58" i="2"/>
  <c r="BD44" i="2"/>
  <c r="BS44" i="2"/>
  <c r="BL20" i="2"/>
  <c r="BF15" i="2"/>
  <c r="BV35" i="2"/>
  <c r="BQ35" i="2"/>
  <c r="BP18" i="2"/>
  <c r="BD14" i="2"/>
  <c r="BT9" i="2"/>
  <c r="BV14" i="1"/>
  <c r="BU45" i="1"/>
  <c r="BK19" i="1"/>
  <c r="BS52" i="1"/>
  <c r="BE18" i="1"/>
  <c r="BU33" i="1"/>
  <c r="BD43" i="1"/>
  <c r="BI42" i="1"/>
  <c r="BP32" i="1"/>
  <c r="BV11" i="1"/>
  <c r="BG27" i="1"/>
  <c r="BF49" i="1"/>
  <c r="BM43" i="1"/>
  <c r="BD51" i="1"/>
  <c r="BF25" i="1"/>
  <c r="BN26" i="1"/>
  <c r="BF28" i="1"/>
  <c r="BG23" i="1"/>
  <c r="BT33" i="1"/>
  <c r="BL51" i="1"/>
  <c r="BT29" i="1"/>
  <c r="BE34" i="1"/>
  <c r="BK50" i="1"/>
  <c r="BQ52" i="1"/>
  <c r="BV34" i="1"/>
  <c r="BU47" i="1"/>
  <c r="BK38" i="1"/>
  <c r="BK41" i="1"/>
  <c r="BS22" i="1"/>
  <c r="BS9" i="1"/>
  <c r="BU26" i="1"/>
  <c r="BN55" i="1"/>
  <c r="BV56" i="1"/>
  <c r="BV15" i="1"/>
  <c r="BH55" i="1"/>
  <c r="BS51" i="1"/>
  <c r="BE44" i="1"/>
  <c r="BU30" i="1"/>
  <c r="BU51" i="1"/>
  <c r="BG44" i="1"/>
  <c r="BN42" i="1"/>
  <c r="BN44" i="1"/>
  <c r="BM34" i="1"/>
  <c r="BK9" i="1"/>
  <c r="BI9" i="1"/>
  <c r="BD56" i="1"/>
  <c r="BL9" i="1"/>
  <c r="BD44" i="1"/>
  <c r="BM52" i="1"/>
  <c r="BU46" i="1"/>
  <c r="BK52" i="1"/>
  <c r="BV9" i="1"/>
  <c r="BN29" i="1"/>
  <c r="BE26" i="1"/>
  <c r="BD49" i="1"/>
  <c r="BS48" i="1"/>
  <c r="BD17" i="1"/>
  <c r="BL58" i="1"/>
  <c r="BL12" i="1"/>
  <c r="BU21" i="1"/>
  <c r="BH17" i="1"/>
  <c r="BT9" i="1"/>
  <c r="BT23" i="1"/>
  <c r="BK17" i="1"/>
  <c r="BV35" i="1"/>
  <c r="BL56" i="1"/>
  <c r="BG31" i="1"/>
  <c r="BD9" i="1"/>
  <c r="BE46" i="1"/>
  <c r="BD10" i="1"/>
  <c r="BU56" i="1"/>
  <c r="BU50" i="1"/>
  <c r="BS24" i="1"/>
  <c r="BL57" i="1"/>
  <c r="BE23" i="1"/>
  <c r="BK34" i="1"/>
  <c r="BN38" i="1"/>
  <c r="BN47" i="1"/>
  <c r="BH31" i="1"/>
  <c r="BT13" i="1"/>
  <c r="BU58" i="1"/>
  <c r="BL13" i="1"/>
  <c r="BG58" i="1"/>
  <c r="BP47" i="1"/>
  <c r="BT47" i="1"/>
  <c r="BK39" i="1"/>
  <c r="BD40" i="1"/>
  <c r="BQ19" i="1"/>
  <c r="BD53" i="1"/>
  <c r="BN51" i="1"/>
  <c r="BL19" i="1"/>
  <c r="BN9" i="1"/>
  <c r="BG49" i="1"/>
  <c r="BT38" i="1"/>
  <c r="BT12" i="1"/>
  <c r="BD39" i="1"/>
  <c r="BN58" i="1"/>
  <c r="BI27" i="1"/>
  <c r="BF40" i="1"/>
  <c r="BE45" i="1"/>
  <c r="BL23" i="1"/>
  <c r="BG45" i="1"/>
  <c r="BD48" i="1"/>
  <c r="BP56" i="1"/>
  <c r="BS44" i="1"/>
  <c r="BU57" i="1"/>
  <c r="BT17" i="1"/>
  <c r="BF50" i="1"/>
  <c r="BM44" i="1"/>
  <c r="BS14" i="1"/>
  <c r="BP40" i="1"/>
  <c r="BI16" i="1"/>
  <c r="BM14" i="1"/>
  <c r="BP30" i="1"/>
  <c r="BK22" i="1"/>
  <c r="BS20" i="1"/>
  <c r="BF51" i="1"/>
  <c r="BT22" i="1"/>
  <c r="BV42" i="1"/>
  <c r="BV58" i="1"/>
  <c r="BI50" i="1"/>
  <c r="BK40" i="1"/>
  <c r="BM37" i="1"/>
  <c r="BU48" i="1"/>
  <c r="BD41" i="1"/>
  <c r="BT55" i="1"/>
  <c r="BM10" i="1"/>
  <c r="BQ41" i="1"/>
  <c r="BH24" i="1"/>
  <c r="BV38" i="1"/>
  <c r="BG53" i="1"/>
  <c r="BK16" i="1"/>
  <c r="BG47" i="1"/>
  <c r="BS35" i="1"/>
  <c r="BQ18" i="1"/>
  <c r="BE11" i="1"/>
  <c r="BH54" i="1"/>
  <c r="BV19" i="1"/>
  <c r="BI54" i="1"/>
  <c r="BK53" i="1"/>
  <c r="BL18" i="1"/>
  <c r="BQ17" i="1"/>
  <c r="BI48" i="1"/>
  <c r="BG37" i="1"/>
  <c r="BP37" i="1"/>
  <c r="BH41" i="1"/>
  <c r="BK21" i="1"/>
  <c r="BG36" i="1"/>
  <c r="BQ36" i="1"/>
  <c r="BK35" i="1"/>
  <c r="BM55" i="1"/>
  <c r="BF35" i="1"/>
  <c r="BK26" i="1"/>
  <c r="BU52" i="1"/>
  <c r="BV53" i="1"/>
  <c r="BG10" i="1"/>
  <c r="BV18" i="1"/>
  <c r="BK13" i="1"/>
  <c r="BH53" i="1"/>
  <c r="BL41" i="1"/>
  <c r="BG16" i="1"/>
  <c r="BF58" i="1"/>
  <c r="BE37" i="1"/>
  <c r="BN17" i="1"/>
  <c r="BM20" i="1"/>
  <c r="BF38" i="1"/>
  <c r="BU29" i="1"/>
  <c r="BG11" i="1"/>
  <c r="BV32" i="1"/>
  <c r="BS31" i="1"/>
  <c r="BP11" i="1"/>
  <c r="BG41" i="1"/>
  <c r="BG34" i="1"/>
  <c r="BM56" i="1"/>
  <c r="BD16" i="1"/>
  <c r="BK12" i="1"/>
  <c r="BN30" i="1"/>
  <c r="BN12" i="1"/>
  <c r="BP58" i="1"/>
  <c r="BD28" i="1"/>
  <c r="BL10" i="1"/>
  <c r="BU49" i="1"/>
  <c r="BE39" i="1"/>
  <c r="BP19" i="1"/>
  <c r="BD26" i="1"/>
  <c r="BQ46" i="1"/>
  <c r="BT31" i="1"/>
  <c r="BI17" i="1"/>
  <c r="BN15" i="1"/>
  <c r="BF13" i="1"/>
  <c r="BD37" i="1"/>
  <c r="BS55" i="1"/>
  <c r="BG40" i="1"/>
  <c r="BQ27" i="1"/>
  <c r="BH22" i="1"/>
  <c r="BQ15" i="1"/>
  <c r="BN20" i="1"/>
  <c r="BS39" i="1"/>
  <c r="BN45" i="1"/>
  <c r="BT45" i="1"/>
  <c r="BH15" i="1"/>
  <c r="BT42" i="1"/>
  <c r="BV41" i="1"/>
  <c r="BE38" i="1"/>
  <c r="BD34" i="1"/>
  <c r="BQ24" i="1"/>
  <c r="BU14" i="1"/>
  <c r="BN28" i="1"/>
  <c r="BM28" i="1"/>
  <c r="BP15" i="1"/>
  <c r="BV40" i="1"/>
  <c r="BU36" i="1"/>
  <c r="BP18" i="1"/>
  <c r="BN39" i="1"/>
  <c r="BM51" i="1"/>
  <c r="BE25" i="1"/>
  <c r="BI29" i="1"/>
  <c r="BT43" i="1"/>
  <c r="BI41" i="1"/>
  <c r="BS50" i="1"/>
  <c r="BN49" i="1"/>
  <c r="BT46" i="1"/>
  <c r="BM17" i="1"/>
  <c r="BM32" i="1"/>
  <c r="BH33" i="1"/>
  <c r="BP27" i="1"/>
  <c r="BU9" i="1"/>
  <c r="BP31" i="1"/>
  <c r="BV33" i="1"/>
  <c r="BL50" i="1"/>
  <c r="BP41" i="1"/>
  <c r="BI28" i="1"/>
  <c r="BL17" i="1"/>
  <c r="BH32" i="1"/>
  <c r="BM45" i="1"/>
  <c r="BK36" i="1"/>
  <c r="BD12" i="1"/>
  <c r="BV54" i="1"/>
  <c r="BF18" i="1"/>
  <c r="BQ58" i="1"/>
  <c r="BL21" i="1"/>
  <c r="BP25" i="1"/>
  <c r="BS56" i="1"/>
  <c r="BP35" i="1"/>
  <c r="BU53" i="1"/>
  <c r="BS49" i="1"/>
  <c r="BE52" i="1"/>
  <c r="BH58" i="1"/>
  <c r="BV43" i="1"/>
  <c r="BU40" i="1"/>
  <c r="BI33" i="1"/>
  <c r="BM12" i="1"/>
  <c r="BH30" i="1"/>
  <c r="BU43" i="1"/>
  <c r="BT39" i="1"/>
  <c r="BE29" i="1"/>
  <c r="BG48" i="1"/>
  <c r="BE40" i="1"/>
  <c r="BD18" i="1"/>
  <c r="BM13" i="1"/>
  <c r="BH14" i="1"/>
  <c r="BI45" i="1"/>
  <c r="BS40" i="1"/>
  <c r="BK48" i="1"/>
  <c r="BV13" i="1"/>
  <c r="BS13" i="1"/>
  <c r="BG24" i="1"/>
  <c r="BF16" i="1"/>
  <c r="BL27" i="1"/>
  <c r="BK29" i="1"/>
  <c r="BH25" i="1"/>
  <c r="BV47" i="1"/>
  <c r="BP28" i="1"/>
  <c r="BM54" i="1"/>
  <c r="BP54" i="1"/>
  <c r="BP9" i="1"/>
  <c r="BD55" i="1"/>
  <c r="BS11" i="1"/>
  <c r="BE51" i="1"/>
  <c r="BP29" i="1"/>
  <c r="BG46" i="1"/>
  <c r="BT25" i="1"/>
  <c r="BV46" i="1"/>
  <c r="BE53" i="1"/>
  <c r="BI14" i="1"/>
  <c r="BF46" i="1"/>
  <c r="BT32" i="1"/>
  <c r="BS26" i="1"/>
  <c r="BP45" i="1"/>
  <c r="BH42" i="1"/>
  <c r="BV24" i="1"/>
  <c r="BE20" i="1"/>
  <c r="BM31" i="1"/>
  <c r="BM57" i="1"/>
  <c r="BT52" i="1"/>
  <c r="BL40" i="1"/>
  <c r="BU18" i="1"/>
  <c r="BQ35" i="1"/>
  <c r="BP57" i="1"/>
  <c r="BK37" i="1"/>
  <c r="BE14" i="1"/>
  <c r="BM38" i="1"/>
  <c r="BH29" i="1"/>
  <c r="BG22" i="1"/>
  <c r="BT11" i="1"/>
  <c r="BI10" i="1"/>
  <c r="BE55" i="1"/>
  <c r="BL35" i="1"/>
  <c r="BN48" i="1"/>
  <c r="BL16" i="1"/>
  <c r="BP53" i="1"/>
  <c r="BN41" i="1"/>
  <c r="BQ51" i="1"/>
  <c r="BI26" i="1"/>
  <c r="BL47" i="1"/>
  <c r="BT19" i="1"/>
  <c r="BG42" i="1"/>
  <c r="BV10" i="1"/>
  <c r="BK51" i="1"/>
  <c r="BM33" i="1"/>
  <c r="BK49" i="1"/>
  <c r="BP23" i="1"/>
  <c r="BP38" i="1"/>
  <c r="BL52" i="1"/>
  <c r="BF27" i="1"/>
  <c r="BV16" i="1"/>
  <c r="BL34" i="1"/>
  <c r="BK24" i="1"/>
  <c r="BP10" i="1"/>
  <c r="BI40" i="1"/>
  <c r="BE57" i="1"/>
  <c r="BM26" i="1"/>
  <c r="BF56" i="1"/>
  <c r="BU22" i="1"/>
  <c r="BL36" i="1"/>
  <c r="BH52" i="1"/>
  <c r="BG57" i="1"/>
  <c r="BM42" i="1"/>
  <c r="BD50" i="1"/>
  <c r="BL37" i="1"/>
  <c r="BQ12" i="1"/>
  <c r="BS46" i="1"/>
  <c r="BH27" i="1"/>
  <c r="BG29" i="1"/>
  <c r="BU34" i="1"/>
  <c r="BU39" i="1"/>
  <c r="BP50" i="1"/>
  <c r="BL45" i="1"/>
  <c r="BH40" i="1"/>
  <c r="BT50" i="1"/>
  <c r="BS16" i="1"/>
  <c r="BF53" i="1"/>
  <c r="BE10" i="1"/>
  <c r="BL22" i="1"/>
  <c r="BK15" i="1"/>
  <c r="BQ43" i="1"/>
  <c r="BD31" i="1"/>
  <c r="BT57" i="1"/>
  <c r="BV30" i="1"/>
  <c r="BH28" i="1"/>
  <c r="BU17" i="1"/>
  <c r="BL43" i="1"/>
  <c r="BS25" i="1"/>
  <c r="BH45" i="1"/>
  <c r="BT44" i="1"/>
  <c r="BP44" i="1"/>
  <c r="BG19" i="1"/>
  <c r="BQ31" i="1"/>
  <c r="BQ25" i="1"/>
  <c r="BT28" i="1"/>
  <c r="BG38" i="1"/>
  <c r="BF52" i="1"/>
  <c r="BG26" i="1"/>
  <c r="BP36" i="1"/>
  <c r="BQ28" i="1"/>
  <c r="BL48" i="1"/>
  <c r="BG25" i="1"/>
  <c r="BE36" i="1"/>
  <c r="BQ10" i="1"/>
  <c r="BU31" i="1"/>
  <c r="BG14" i="1"/>
  <c r="BS27" i="1"/>
  <c r="BM41" i="1"/>
  <c r="BS41" i="1"/>
  <c r="BS53" i="1"/>
  <c r="BL26" i="1"/>
  <c r="BT27" i="1"/>
  <c r="BP49" i="1"/>
  <c r="BS29" i="1"/>
  <c r="BP17" i="1"/>
  <c r="BI24" i="1"/>
  <c r="BK14" i="1"/>
  <c r="BM9" i="1"/>
  <c r="BG15" i="1"/>
  <c r="BL15" i="1"/>
  <c r="BK58" i="1"/>
  <c r="BD58" i="1"/>
  <c r="BP22" i="1"/>
  <c r="BQ56" i="1"/>
  <c r="BK44" i="1"/>
  <c r="BL24" i="1"/>
  <c r="BT58" i="1"/>
  <c r="BF22" i="1"/>
  <c r="BQ44" i="1"/>
  <c r="BV25" i="1"/>
  <c r="BE13" i="1"/>
  <c r="BN52" i="1"/>
  <c r="BL14" i="1"/>
  <c r="BT40" i="1"/>
  <c r="BH19" i="1"/>
  <c r="BF31" i="1"/>
  <c r="BG32" i="1"/>
  <c r="BD54" i="1"/>
  <c r="BD20" i="1"/>
  <c r="BF48" i="1"/>
  <c r="BM36" i="1"/>
  <c r="BI11" i="1"/>
  <c r="BH23" i="1"/>
  <c r="BG13" i="1"/>
  <c r="BI15" i="1"/>
  <c r="BT41" i="1"/>
  <c r="BU24" i="1"/>
  <c r="BQ11" i="1"/>
  <c r="BD46" i="1"/>
  <c r="BH13" i="1"/>
  <c r="BD14" i="1"/>
  <c r="BN18" i="1"/>
  <c r="BN22" i="1"/>
  <c r="BQ21" i="1"/>
  <c r="BQ13" i="1"/>
  <c r="BF32" i="1"/>
  <c r="BU42" i="1"/>
  <c r="BI13" i="1"/>
  <c r="BF54" i="1"/>
  <c r="BV55" i="1"/>
  <c r="BH38" i="1"/>
  <c r="BI43" i="1"/>
  <c r="BG21" i="1"/>
  <c r="BG30" i="1"/>
  <c r="BV45" i="1"/>
  <c r="BE9" i="1"/>
  <c r="BS54" i="1"/>
  <c r="BN46" i="1"/>
  <c r="BP46" i="1"/>
  <c r="BK20" i="1"/>
  <c r="BN10" i="1"/>
  <c r="BF30" i="1"/>
  <c r="BU16" i="1"/>
  <c r="BN36" i="1"/>
  <c r="BH16" i="1"/>
  <c r="BV57" i="1"/>
  <c r="BE41" i="1"/>
  <c r="BI47" i="1"/>
  <c r="BV23" i="1"/>
  <c r="BT20" i="1"/>
  <c r="BN40" i="1"/>
  <c r="BU12" i="1"/>
  <c r="BF17" i="1"/>
  <c r="BG50" i="1"/>
  <c r="BD24" i="1"/>
  <c r="BK11" i="1"/>
  <c r="BU19" i="1"/>
  <c r="BS38" i="1"/>
  <c r="BF55" i="1"/>
  <c r="BT34" i="1"/>
  <c r="BT48" i="1"/>
  <c r="BK55" i="1"/>
  <c r="BE16" i="1"/>
  <c r="BH36" i="1"/>
  <c r="BL25" i="1"/>
  <c r="BD33" i="1"/>
  <c r="BP14" i="1"/>
  <c r="BE43" i="1"/>
  <c r="BM58" i="1"/>
  <c r="BF19" i="1"/>
  <c r="BD27" i="1"/>
  <c r="BH34" i="1"/>
  <c r="BI18" i="1"/>
  <c r="BQ55" i="1"/>
  <c r="BN25" i="1"/>
  <c r="BM18" i="1"/>
  <c r="BE48" i="1"/>
  <c r="BS23" i="1"/>
  <c r="BQ22" i="1"/>
  <c r="BG39" i="1"/>
  <c r="BG28" i="1"/>
  <c r="BV22" i="1"/>
  <c r="BN32" i="1"/>
  <c r="BN27" i="1"/>
  <c r="BF26" i="1"/>
  <c r="BQ47" i="1"/>
  <c r="BF11" i="1"/>
  <c r="BP52" i="1"/>
  <c r="BG35" i="1"/>
  <c r="BN54" i="1"/>
  <c r="BP16" i="1"/>
  <c r="BG56" i="1"/>
  <c r="BH57" i="1"/>
  <c r="BM48" i="1"/>
  <c r="BU13" i="1"/>
  <c r="BN34" i="1"/>
  <c r="BD13" i="1"/>
  <c r="BS37" i="1"/>
  <c r="BL38" i="1"/>
  <c r="BS57" i="1"/>
  <c r="BT15" i="1"/>
  <c r="BL29" i="1"/>
  <c r="BV39" i="1"/>
  <c r="BM40" i="1"/>
  <c r="BI31" i="1"/>
  <c r="BV27" i="1"/>
  <c r="BM53" i="1"/>
  <c r="BT53" i="1"/>
  <c r="BS58" i="1"/>
  <c r="BM46" i="1"/>
  <c r="BV29" i="1"/>
  <c r="BL28" i="1"/>
  <c r="BN43" i="1"/>
  <c r="BE28" i="1"/>
  <c r="BG33" i="1"/>
  <c r="BK45" i="1"/>
  <c r="BV28" i="1"/>
  <c r="BI44" i="1"/>
  <c r="BN31" i="1"/>
  <c r="BI55" i="1"/>
  <c r="BF44" i="1"/>
  <c r="BF29" i="1"/>
  <c r="BM49" i="1"/>
  <c r="BQ37" i="1"/>
  <c r="BL55" i="1"/>
  <c r="BG12" i="1"/>
  <c r="BH46" i="1"/>
  <c r="BE47" i="1"/>
  <c r="BU27" i="1"/>
  <c r="BE42" i="1"/>
  <c r="BF10" i="1"/>
  <c r="BF43" i="1"/>
  <c r="BS10" i="1"/>
  <c r="BL32" i="1"/>
  <c r="BU55" i="1"/>
  <c r="BH44" i="1"/>
  <c r="BU41" i="1"/>
  <c r="BH20" i="1"/>
  <c r="BK47" i="1"/>
  <c r="BE58" i="1"/>
  <c r="BI35" i="1"/>
  <c r="BV21" i="1"/>
  <c r="BI46" i="1"/>
  <c r="BN23" i="1"/>
  <c r="BQ38" i="1"/>
  <c r="BT21" i="1"/>
  <c r="BU38" i="1"/>
  <c r="BI53" i="1"/>
  <c r="BT30" i="1"/>
  <c r="BQ20" i="1"/>
  <c r="BI37" i="1"/>
  <c r="BN57" i="1"/>
  <c r="BD30" i="1"/>
  <c r="BE21" i="1"/>
  <c r="BP12" i="1"/>
  <c r="BL44" i="1"/>
  <c r="BP39" i="1"/>
  <c r="BS43" i="1"/>
  <c r="BS47" i="1"/>
  <c r="BT18" i="1"/>
  <c r="BE54" i="1"/>
  <c r="BD36" i="1"/>
  <c r="BH11" i="1"/>
  <c r="BH47" i="1"/>
  <c r="BI58" i="1"/>
  <c r="BG17" i="1"/>
  <c r="BL46" i="1"/>
  <c r="BF39" i="1"/>
  <c r="BH49" i="1"/>
  <c r="BH50" i="1"/>
  <c r="BI36" i="1"/>
  <c r="BS15" i="1"/>
  <c r="BN16" i="1"/>
  <c r="BF15" i="1"/>
  <c r="BE35" i="1"/>
  <c r="BF33" i="1"/>
  <c r="BP26" i="1"/>
  <c r="BH56" i="1"/>
  <c r="BH43" i="1"/>
  <c r="BH10" i="1"/>
  <c r="BH26" i="1"/>
  <c r="BN37" i="1"/>
  <c r="BM16" i="1"/>
  <c r="BQ57" i="1"/>
  <c r="BI56" i="1"/>
  <c r="BP24" i="1"/>
  <c r="BM47" i="1"/>
  <c r="BK30" i="1"/>
  <c r="BD11" i="1"/>
  <c r="BL30" i="1"/>
  <c r="BV51" i="1"/>
  <c r="BE30" i="1"/>
  <c r="BU28" i="1"/>
  <c r="BF21" i="1"/>
  <c r="BG18" i="1"/>
  <c r="BP42" i="1"/>
  <c r="BV36" i="1"/>
  <c r="BE15" i="1"/>
  <c r="BN19" i="1"/>
  <c r="BM35" i="1"/>
  <c r="BU32" i="1"/>
  <c r="BP34" i="1"/>
  <c r="BV12" i="1"/>
  <c r="BI52" i="1"/>
  <c r="BE32" i="1"/>
  <c r="BQ49" i="1"/>
  <c r="BQ14" i="1"/>
  <c r="BK32" i="1"/>
  <c r="BE17" i="1"/>
  <c r="BF37" i="1"/>
  <c r="BQ29" i="1"/>
  <c r="BE27" i="1"/>
  <c r="BI25" i="1"/>
  <c r="BV44" i="1"/>
  <c r="BI57" i="1"/>
  <c r="BT26" i="1"/>
  <c r="BS36" i="1"/>
  <c r="BT24" i="1"/>
  <c r="BD52" i="1"/>
  <c r="BS32" i="1"/>
  <c r="BV52" i="1"/>
  <c r="BF41" i="1"/>
  <c r="BP51" i="1"/>
  <c r="BM22" i="1"/>
  <c r="BV49" i="1"/>
  <c r="BQ34" i="1"/>
  <c r="BN53" i="1"/>
  <c r="BL39" i="1"/>
  <c r="BM39" i="1"/>
  <c r="BU15" i="1"/>
  <c r="BS34" i="1"/>
  <c r="BQ32" i="1"/>
  <c r="BD29" i="1"/>
  <c r="BD22" i="1"/>
  <c r="BH48" i="1"/>
  <c r="BD57" i="1"/>
  <c r="BP13" i="1"/>
  <c r="BL33" i="1"/>
  <c r="BQ26" i="1"/>
  <c r="BF24" i="1"/>
  <c r="BT56" i="1"/>
  <c r="BQ30" i="1"/>
  <c r="BK25" i="1"/>
  <c r="BS30" i="1"/>
  <c r="BN33" i="1"/>
  <c r="BN11" i="1"/>
  <c r="BV48" i="1"/>
  <c r="BE50" i="1"/>
  <c r="BS17" i="1"/>
  <c r="BN56" i="1"/>
  <c r="BE31" i="1"/>
  <c r="BV17" i="1"/>
  <c r="BV50" i="1"/>
  <c r="BK33" i="1"/>
  <c r="BK43" i="1"/>
  <c r="BV20" i="1"/>
  <c r="BM19" i="1"/>
  <c r="BH51" i="1"/>
  <c r="BE49" i="1"/>
  <c r="BD45" i="1"/>
  <c r="BM30" i="1"/>
  <c r="BL53" i="1"/>
  <c r="BT10" i="1"/>
  <c r="BF23" i="1"/>
  <c r="BT54" i="1"/>
  <c r="BN21" i="1"/>
  <c r="BG43" i="1"/>
  <c r="BQ16" i="1"/>
  <c r="BE19" i="1"/>
  <c r="BF20" i="1"/>
  <c r="BF36" i="1"/>
  <c r="BQ42" i="1"/>
  <c r="BH12" i="1"/>
  <c r="BD23" i="1"/>
  <c r="BU11" i="1"/>
  <c r="BU20" i="1"/>
  <c r="BL20" i="1"/>
  <c r="BD42" i="1"/>
  <c r="BI23" i="1"/>
  <c r="BP43" i="1"/>
  <c r="BK56" i="1"/>
  <c r="BQ40" i="1"/>
  <c r="BD38" i="1"/>
  <c r="BN35" i="1"/>
  <c r="BK57" i="1"/>
  <c r="BG20" i="1"/>
  <c r="BS42" i="1"/>
  <c r="BH37" i="1"/>
  <c r="BM25" i="1"/>
  <c r="BH21" i="1"/>
  <c r="BE12" i="1"/>
  <c r="BU54" i="1"/>
  <c r="BM23" i="1"/>
  <c r="BG54" i="1"/>
  <c r="BD25" i="1"/>
  <c r="BN13" i="1"/>
  <c r="BP48" i="1"/>
  <c r="BE56" i="1"/>
  <c r="BH9" i="1"/>
  <c r="BF57" i="1"/>
  <c r="BV37" i="1"/>
  <c r="BT49" i="1"/>
  <c r="BT35" i="1"/>
  <c r="BU37" i="1"/>
  <c r="BL54" i="1"/>
  <c r="BN24" i="1"/>
  <c r="BS18" i="1"/>
  <c r="BQ33" i="1"/>
  <c r="BL42" i="1"/>
  <c r="BV31" i="1"/>
  <c r="BE22" i="1"/>
  <c r="BU23" i="1"/>
  <c r="BQ45" i="1"/>
  <c r="BV26" i="1"/>
  <c r="BP21" i="1"/>
  <c r="BD47" i="1"/>
  <c r="BG9" i="1"/>
  <c r="BD21" i="1"/>
  <c r="BE24" i="1"/>
  <c r="BQ23" i="1"/>
  <c r="BL49" i="1"/>
  <c r="BU10" i="1"/>
  <c r="BT51" i="1"/>
  <c r="BK31" i="1"/>
  <c r="BQ53" i="1"/>
  <c r="BQ9" i="1"/>
  <c r="BI49" i="1"/>
  <c r="BE33" i="1"/>
  <c r="BH35" i="1"/>
  <c r="BS19" i="1"/>
  <c r="BS28" i="1"/>
  <c r="BL11" i="1"/>
  <c r="BN50" i="1"/>
  <c r="BI21" i="1"/>
  <c r="BL31" i="1"/>
  <c r="BF9" i="1"/>
  <c r="BK46" i="1"/>
  <c r="BS45" i="1"/>
  <c r="BM29" i="1"/>
  <c r="BI20" i="1"/>
  <c r="BP20" i="1"/>
  <c r="BI39" i="1"/>
  <c r="BT16" i="1"/>
  <c r="BF34" i="1"/>
  <c r="BD35" i="1"/>
  <c r="BI32" i="1"/>
  <c r="BN14" i="1"/>
  <c r="BU25" i="1"/>
  <c r="BQ39" i="1"/>
  <c r="BM27" i="1"/>
  <c r="BU44" i="1"/>
  <c r="BM24" i="1"/>
  <c r="BF12" i="1"/>
  <c r="BS12" i="1"/>
  <c r="BD32" i="1"/>
  <c r="BM15" i="1"/>
  <c r="BT36" i="1"/>
  <c r="BG52" i="1"/>
  <c r="BI51" i="1"/>
  <c r="BI22" i="1"/>
  <c r="BK23" i="1"/>
  <c r="BK27" i="1"/>
  <c r="BK18" i="1"/>
  <c r="BP33" i="1"/>
  <c r="BI30" i="1"/>
  <c r="BF47" i="1"/>
  <c r="BK54" i="1"/>
  <c r="BK28" i="1"/>
  <c r="BI12" i="1"/>
  <c r="BF14" i="1"/>
  <c r="BG55" i="1"/>
  <c r="BS33" i="1"/>
  <c r="BU35" i="1"/>
  <c r="BF45" i="1"/>
  <c r="BK10" i="1"/>
  <c r="BM50" i="1"/>
  <c r="BP55" i="1"/>
  <c r="BQ50" i="1"/>
  <c r="BH39" i="1"/>
  <c r="BI38" i="1"/>
  <c r="BH18" i="1"/>
  <c r="BT37" i="1"/>
  <c r="BM21" i="1"/>
  <c r="BI19" i="1"/>
  <c r="BK42" i="1"/>
  <c r="BT14" i="1"/>
  <c r="BS21" i="1"/>
  <c r="BQ48" i="1"/>
  <c r="BI34" i="1"/>
  <c r="BF42" i="1"/>
  <c r="BD15" i="1"/>
  <c r="BG51" i="1"/>
  <c r="BD19" i="1"/>
  <c r="BM11" i="1"/>
  <c r="BQ54" i="1"/>
  <c r="AD26" i="2"/>
  <c r="AD15" i="2"/>
  <c r="AD28" i="1"/>
  <c r="J22" i="13"/>
  <c r="AD19" i="1"/>
  <c r="AD30" i="1"/>
  <c r="AD48" i="1"/>
  <c r="J42" i="13"/>
  <c r="AD18" i="1"/>
  <c r="J12" i="13"/>
  <c r="AD17" i="1"/>
  <c r="AD31" i="2"/>
  <c r="AD25" i="2"/>
  <c r="AD43" i="2"/>
  <c r="AD21" i="2"/>
  <c r="AD10" i="2"/>
  <c r="AD24" i="2"/>
  <c r="AD44" i="2"/>
  <c r="AD10" i="1"/>
  <c r="J4" i="13"/>
  <c r="AD19" i="2"/>
  <c r="AD54" i="2"/>
  <c r="AD17" i="2"/>
  <c r="AD11" i="1"/>
  <c r="AD51" i="2"/>
  <c r="AD32" i="1"/>
  <c r="J26" i="13"/>
  <c r="AD53" i="2"/>
  <c r="AD58" i="2"/>
  <c r="AD35" i="2"/>
  <c r="AD11" i="2"/>
  <c r="AD56" i="2"/>
  <c r="AD36" i="1"/>
  <c r="AD45" i="1"/>
  <c r="J39" i="13"/>
  <c r="AD56" i="3"/>
  <c r="AD14" i="2"/>
  <c r="AD20" i="2"/>
  <c r="AD38" i="2"/>
  <c r="AD33" i="2"/>
  <c r="AD41" i="2"/>
  <c r="AD29" i="2"/>
  <c r="AD18" i="2"/>
  <c r="AD12" i="1"/>
  <c r="J6" i="13"/>
  <c r="AD52" i="2"/>
  <c r="AD36" i="2"/>
  <c r="AD57" i="2"/>
  <c r="AD34" i="2"/>
  <c r="AD27" i="2"/>
  <c r="AD40" i="2"/>
  <c r="AD28" i="2"/>
  <c r="AD39" i="2"/>
  <c r="AD13" i="2"/>
  <c r="AD55" i="2"/>
  <c r="AD32" i="2"/>
  <c r="AD23" i="2"/>
  <c r="AD24" i="1"/>
  <c r="AD13" i="1"/>
  <c r="J7" i="13"/>
  <c r="AD37" i="2"/>
  <c r="AD16" i="2"/>
  <c r="AD22" i="2"/>
  <c r="AD9" i="2"/>
  <c r="AD12" i="2"/>
  <c r="AD30" i="2"/>
  <c r="AD42" i="2"/>
  <c r="AD58" i="1"/>
  <c r="AD31" i="1"/>
  <c r="AD16" i="1"/>
  <c r="AD40" i="1"/>
  <c r="J34" i="13"/>
  <c r="AD57" i="1"/>
  <c r="AD37" i="1"/>
  <c r="AD46" i="1"/>
  <c r="AD33" i="1"/>
  <c r="AD24" i="3"/>
  <c r="AD44" i="3"/>
  <c r="AD57" i="3"/>
  <c r="AD29" i="1"/>
  <c r="AD23" i="1"/>
  <c r="AD44" i="1"/>
  <c r="AD15" i="1"/>
  <c r="J9" i="13"/>
  <c r="AD28" i="3"/>
  <c r="AD39" i="3"/>
  <c r="AD35" i="1"/>
  <c r="AD41" i="1"/>
  <c r="AD42" i="1"/>
  <c r="J36" i="13"/>
  <c r="AD27" i="1"/>
  <c r="AD49" i="1"/>
  <c r="J43" i="13"/>
  <c r="AD9" i="1"/>
  <c r="AD21" i="1"/>
  <c r="AD50" i="1"/>
  <c r="AD22" i="1"/>
  <c r="J16" i="13"/>
  <c r="AD54" i="3"/>
  <c r="AD55" i="3"/>
  <c r="AD15" i="3"/>
  <c r="AD43" i="1"/>
  <c r="J37" i="13"/>
  <c r="AD38" i="1"/>
  <c r="AD47" i="1"/>
  <c r="AD20" i="1"/>
  <c r="AD14" i="1"/>
  <c r="AD34" i="1"/>
  <c r="AD25" i="1"/>
  <c r="AD26" i="1"/>
  <c r="AD39" i="1"/>
  <c r="AD10" i="3"/>
  <c r="AD12" i="3"/>
  <c r="AD9" i="3"/>
  <c r="AD35" i="3"/>
  <c r="AD36" i="3"/>
  <c r="AD51" i="3"/>
  <c r="AD58" i="3"/>
  <c r="AD11" i="3"/>
  <c r="AD31" i="4"/>
  <c r="AD20" i="3"/>
  <c r="AD38" i="3"/>
  <c r="AD18" i="3"/>
  <c r="AD23" i="3"/>
  <c r="AD21" i="3"/>
  <c r="AD32" i="3"/>
  <c r="AD19" i="3"/>
  <c r="AD31" i="3"/>
  <c r="AD34" i="3"/>
  <c r="AD18" i="4"/>
  <c r="AD26" i="3"/>
  <c r="AD33" i="3"/>
  <c r="AD41" i="3"/>
  <c r="AD27" i="3"/>
  <c r="AD40" i="3"/>
  <c r="AD37" i="3"/>
  <c r="AD53" i="3"/>
  <c r="AD13" i="3"/>
  <c r="AD25" i="3"/>
  <c r="AD43" i="3"/>
  <c r="AD22" i="3"/>
  <c r="AD34" i="4"/>
  <c r="AD10" i="5"/>
  <c r="AD57" i="5"/>
  <c r="AD29" i="3"/>
  <c r="AD13" i="4"/>
  <c r="AD23" i="4"/>
  <c r="AD32" i="4"/>
  <c r="AD51" i="4"/>
  <c r="AD15" i="4"/>
  <c r="AD25" i="4"/>
  <c r="AD43" i="4"/>
  <c r="AD32" i="5"/>
  <c r="AD30" i="3"/>
  <c r="AD42" i="3"/>
  <c r="AD14" i="3"/>
  <c r="AD16" i="3"/>
  <c r="AD21" i="4"/>
  <c r="AD26" i="4"/>
  <c r="AD24" i="4"/>
  <c r="AD44" i="4"/>
  <c r="AD55" i="4"/>
  <c r="AD33" i="4"/>
  <c r="AD41" i="4"/>
  <c r="AD56" i="4"/>
  <c r="AD27" i="4"/>
  <c r="AD40" i="4"/>
  <c r="AD57" i="4"/>
  <c r="AD35" i="4"/>
  <c r="AD54" i="4"/>
  <c r="AD52" i="3"/>
  <c r="AD12" i="4"/>
  <c r="AD53" i="4"/>
  <c r="AD30" i="4"/>
  <c r="AD42" i="4"/>
  <c r="AD9" i="4"/>
  <c r="AD17" i="3"/>
  <c r="AD10" i="4"/>
  <c r="AD52" i="4"/>
  <c r="AD36" i="4"/>
  <c r="AD14" i="4"/>
  <c r="AD22" i="4"/>
  <c r="AD35" i="5"/>
  <c r="AD29" i="4"/>
  <c r="AD16" i="4"/>
  <c r="AD11" i="4"/>
  <c r="AD19" i="4"/>
  <c r="AD25" i="5"/>
  <c r="AD43" i="5"/>
  <c r="AD20" i="4"/>
  <c r="AD38" i="4"/>
  <c r="AD37" i="4"/>
  <c r="AD17" i="4"/>
  <c r="AD53" i="5"/>
  <c r="AD58" i="5"/>
  <c r="AD14" i="6"/>
  <c r="AD28" i="4"/>
  <c r="AD39" i="4"/>
  <c r="AD58" i="4"/>
  <c r="AD52" i="5"/>
  <c r="AD58" i="6"/>
  <c r="AD14" i="5"/>
  <c r="AD31" i="5"/>
  <c r="AD33" i="5"/>
  <c r="AD41" i="5"/>
  <c r="AD17" i="5"/>
  <c r="AD36" i="5"/>
  <c r="AD21" i="5"/>
  <c r="AD11" i="5"/>
  <c r="AD53" i="6"/>
  <c r="AD13" i="5"/>
  <c r="AD29" i="5"/>
  <c r="AD15" i="5"/>
  <c r="AD52" i="6"/>
  <c r="AD16" i="6"/>
  <c r="AD32" i="6"/>
  <c r="AD26" i="5"/>
  <c r="AD19" i="5"/>
  <c r="AD27" i="5"/>
  <c r="AD40" i="5"/>
  <c r="AD28" i="6"/>
  <c r="AD39" i="6"/>
  <c r="AD28" i="5"/>
  <c r="AD39" i="5"/>
  <c r="AD37" i="5"/>
  <c r="AD22" i="6"/>
  <c r="AD30" i="6"/>
  <c r="AD42" i="6"/>
  <c r="AD16" i="5"/>
  <c r="AD9" i="5"/>
  <c r="AD56" i="5"/>
  <c r="AD22" i="5"/>
  <c r="AD12" i="5"/>
  <c r="AD20" i="5"/>
  <c r="AD38" i="5"/>
  <c r="AD55" i="5"/>
  <c r="AD23" i="5"/>
  <c r="AD19" i="6"/>
  <c r="AD24" i="5"/>
  <c r="AD44" i="5"/>
  <c r="AD30" i="5"/>
  <c r="AD42" i="5"/>
  <c r="AD18" i="5"/>
  <c r="AD34" i="5"/>
  <c r="AD54" i="5"/>
  <c r="AD12" i="6"/>
  <c r="AD25" i="6"/>
  <c r="AD43" i="6"/>
  <c r="AD57" i="6"/>
  <c r="AD37" i="6"/>
  <c r="AD56" i="6"/>
  <c r="AD15" i="6"/>
  <c r="AD26" i="6"/>
  <c r="AD20" i="6"/>
  <c r="AD38" i="6"/>
  <c r="AD13" i="6"/>
  <c r="AD21" i="21"/>
  <c r="AD23" i="6"/>
  <c r="AD17" i="6"/>
  <c r="AD31" i="6"/>
  <c r="AD51" i="6"/>
  <c r="AD33" i="6"/>
  <c r="AD41" i="6"/>
  <c r="AD34" i="6"/>
  <c r="AD9" i="6"/>
  <c r="AD55" i="6"/>
  <c r="AD27" i="6"/>
  <c r="AD40" i="6"/>
  <c r="AD11" i="6"/>
  <c r="AD24" i="6"/>
  <c r="AD44" i="6"/>
  <c r="AD36" i="6"/>
  <c r="AD54" i="6"/>
  <c r="AD34" i="21"/>
  <c r="AD11" i="21"/>
  <c r="AD35" i="6"/>
  <c r="AD21" i="6"/>
  <c r="AD29" i="6"/>
  <c r="AD18" i="6"/>
  <c r="AD10" i="6"/>
  <c r="AD32" i="21"/>
  <c r="AD53" i="21"/>
  <c r="AD58" i="21"/>
  <c r="AD54" i="21"/>
  <c r="AD56" i="21"/>
  <c r="AD14" i="21"/>
  <c r="AD29" i="21"/>
  <c r="AD25" i="21"/>
  <c r="AD43" i="21"/>
  <c r="AD55" i="21"/>
  <c r="AD51" i="21"/>
  <c r="AD36" i="21"/>
  <c r="AD22" i="21"/>
  <c r="AD16" i="21"/>
  <c r="AD33" i="21"/>
  <c r="AD41" i="21"/>
  <c r="AD24" i="21"/>
  <c r="AD44" i="21"/>
  <c r="AD28" i="21"/>
  <c r="AD39" i="21"/>
  <c r="AD18" i="21"/>
  <c r="AD10" i="21"/>
  <c r="AD35" i="21"/>
  <c r="AD13" i="21"/>
  <c r="AD31" i="21"/>
  <c r="AD20" i="21"/>
  <c r="AD38" i="21"/>
  <c r="AD17" i="21"/>
  <c r="AD27" i="21"/>
  <c r="AD40" i="21"/>
  <c r="AD26" i="21"/>
  <c r="AD57" i="21"/>
  <c r="AD52" i="21"/>
  <c r="AD9" i="21"/>
  <c r="AD12" i="21"/>
  <c r="AD23" i="21"/>
  <c r="AD19" i="21"/>
  <c r="AD37" i="21"/>
  <c r="AD15" i="21"/>
  <c r="AD30" i="21"/>
  <c r="AD42" i="21"/>
  <c r="H46" i="13"/>
  <c r="H45" i="13"/>
  <c r="H49" i="13"/>
  <c r="H48" i="13"/>
  <c r="H47" i="13"/>
  <c r="H50" i="13"/>
  <c r="I48" i="13"/>
  <c r="I50" i="13"/>
  <c r="K50" i="13" s="1"/>
  <c r="I46" i="13"/>
  <c r="K46" i="13" s="1"/>
  <c r="I49" i="13"/>
  <c r="K49" i="13" s="1"/>
  <c r="I45" i="13"/>
  <c r="I47" i="13"/>
  <c r="K47" i="13" s="1"/>
  <c r="J45" i="13"/>
  <c r="J23" i="13"/>
  <c r="J33" i="13"/>
  <c r="J28" i="13"/>
  <c r="J14" i="13"/>
  <c r="J3" i="13"/>
  <c r="J51" i="13"/>
  <c r="J48" i="13"/>
  <c r="J52" i="13"/>
  <c r="J29" i="13"/>
  <c r="J47" i="13"/>
  <c r="J8" i="13"/>
  <c r="J32" i="13"/>
  <c r="J20" i="13"/>
  <c r="J35" i="13"/>
  <c r="J5" i="13"/>
  <c r="J41" i="13"/>
  <c r="J44" i="13"/>
  <c r="J19" i="13"/>
  <c r="J27" i="13"/>
  <c r="J10" i="13"/>
  <c r="J38" i="13"/>
  <c r="J31" i="13"/>
  <c r="J40" i="13"/>
  <c r="J11" i="13"/>
  <c r="J49" i="13"/>
  <c r="J25" i="13"/>
  <c r="J15" i="13"/>
  <c r="J46" i="13"/>
  <c r="J18" i="13"/>
  <c r="J13" i="13"/>
  <c r="J50" i="13"/>
  <c r="BZ12" i="2"/>
  <c r="J21" i="13"/>
  <c r="J17" i="13"/>
  <c r="K45" i="13"/>
  <c r="J24" i="13"/>
  <c r="J30" i="13"/>
  <c r="K48" i="13"/>
  <c r="BZ12" i="4"/>
  <c r="BZ12" i="5"/>
  <c r="BZ12" i="6"/>
  <c r="BZ12" i="21"/>
  <c r="BZ11" i="1"/>
  <c r="BZ14" i="2"/>
  <c r="BZ12" i="3"/>
  <c r="BZ14" i="3"/>
  <c r="BZ14" i="5"/>
  <c r="BZ14" i="4"/>
  <c r="BZ14" i="21"/>
  <c r="BZ14" i="6"/>
  <c r="BJ48" i="21"/>
  <c r="BJ14" i="21"/>
  <c r="BJ46" i="21"/>
  <c r="BJ12" i="21"/>
  <c r="BJ58" i="21"/>
  <c r="BJ27" i="21"/>
  <c r="BJ41" i="6"/>
  <c r="BJ31" i="6"/>
  <c r="BJ16" i="6"/>
  <c r="BJ47" i="6"/>
  <c r="BJ13" i="6"/>
  <c r="BJ33" i="21"/>
  <c r="BJ44" i="6"/>
  <c r="BJ39" i="5"/>
  <c r="BJ30" i="5"/>
  <c r="BJ15" i="5"/>
  <c r="BJ20" i="5"/>
  <c r="BJ25" i="4"/>
  <c r="BJ16" i="4"/>
  <c r="BJ48" i="5"/>
  <c r="BJ11" i="5"/>
  <c r="BJ57" i="3"/>
  <c r="BJ9" i="4"/>
  <c r="BJ57" i="4"/>
  <c r="BJ45" i="4"/>
  <c r="BJ41" i="3"/>
  <c r="BJ51" i="3"/>
  <c r="BJ42" i="3"/>
  <c r="BJ22" i="4"/>
  <c r="BJ46" i="2"/>
  <c r="BJ52" i="2"/>
  <c r="BJ56" i="2"/>
  <c r="BJ19" i="2"/>
  <c r="BJ48" i="2"/>
  <c r="BJ45" i="1"/>
  <c r="BJ23" i="1"/>
  <c r="BJ36" i="1"/>
  <c r="BJ52" i="1"/>
  <c r="BJ34" i="1"/>
  <c r="BJ31" i="1"/>
  <c r="BJ56" i="1"/>
  <c r="BJ10" i="1"/>
  <c r="BJ41" i="21"/>
  <c r="BJ38" i="21"/>
  <c r="BJ54" i="21"/>
  <c r="BJ50" i="21"/>
  <c r="BJ10" i="21"/>
  <c r="BJ39" i="6"/>
  <c r="BJ52" i="6"/>
  <c r="BJ53" i="21"/>
  <c r="BJ43" i="6"/>
  <c r="BJ33" i="6"/>
  <c r="BJ19" i="5"/>
  <c r="BJ12" i="5"/>
  <c r="BJ45" i="5"/>
  <c r="BJ22" i="5"/>
  <c r="BJ51" i="4"/>
  <c r="BJ38" i="5"/>
  <c r="BJ48" i="4"/>
  <c r="BJ37" i="4"/>
  <c r="BJ9" i="5"/>
  <c r="BJ47" i="4"/>
  <c r="BJ11" i="4"/>
  <c r="BJ50" i="4"/>
  <c r="BJ39" i="4"/>
  <c r="BJ31" i="4"/>
  <c r="BJ38" i="3"/>
  <c r="BJ10" i="3"/>
  <c r="BJ58" i="4"/>
  <c r="BJ20" i="3"/>
  <c r="BJ23" i="3"/>
  <c r="BJ50" i="3"/>
  <c r="BJ39" i="3"/>
  <c r="BJ11" i="3"/>
  <c r="BJ25" i="2"/>
  <c r="BJ47" i="2"/>
  <c r="BJ12" i="2"/>
  <c r="BJ9" i="2"/>
  <c r="BJ39" i="2"/>
  <c r="BJ29" i="2"/>
  <c r="BJ36" i="2"/>
  <c r="BJ35" i="1"/>
  <c r="BJ33" i="1"/>
  <c r="BJ13" i="1"/>
  <c r="BJ30" i="1"/>
  <c r="BJ9" i="1"/>
  <c r="BJ28" i="1"/>
  <c r="BJ18" i="1"/>
  <c r="BJ55" i="21"/>
  <c r="BJ13" i="21"/>
  <c r="BJ31" i="21"/>
  <c r="BJ11" i="21"/>
  <c r="BJ40" i="6"/>
  <c r="BJ18" i="6"/>
  <c r="BJ17" i="5"/>
  <c r="BJ10" i="5"/>
  <c r="BJ13" i="5"/>
  <c r="BJ33" i="5"/>
  <c r="BJ12" i="4"/>
  <c r="BJ35" i="5"/>
  <c r="BJ15" i="4"/>
  <c r="BJ33" i="4"/>
  <c r="BJ25" i="5"/>
  <c r="BJ27" i="4"/>
  <c r="BJ32" i="4"/>
  <c r="BJ34" i="3"/>
  <c r="BJ9" i="3"/>
  <c r="BJ33" i="3"/>
  <c r="BJ26" i="4"/>
  <c r="BJ17" i="3"/>
  <c r="BJ15" i="3"/>
  <c r="BJ58" i="3"/>
  <c r="BJ23" i="2"/>
  <c r="BJ53" i="2"/>
  <c r="BJ50" i="2"/>
  <c r="BJ13" i="2"/>
  <c r="BJ32" i="2"/>
  <c r="BJ41" i="2"/>
  <c r="BJ38" i="2"/>
  <c r="BJ14" i="1"/>
  <c r="BJ57" i="1"/>
  <c r="BJ38" i="1"/>
  <c r="BJ25" i="1"/>
  <c r="BJ32" i="1"/>
  <c r="BJ53" i="1"/>
  <c r="BJ16" i="21"/>
  <c r="BJ9" i="21"/>
  <c r="BJ35" i="21"/>
  <c r="BJ15" i="21"/>
  <c r="BJ39" i="21"/>
  <c r="BJ36" i="6"/>
  <c r="BJ23" i="6"/>
  <c r="BJ17" i="6"/>
  <c r="BJ21" i="6"/>
  <c r="BJ12" i="6"/>
  <c r="BJ58" i="5"/>
  <c r="BJ23" i="5"/>
  <c r="BJ43" i="4"/>
  <c r="BJ29" i="5"/>
  <c r="BJ42" i="4"/>
  <c r="BJ34" i="4"/>
  <c r="BJ30" i="4"/>
  <c r="BJ29" i="3"/>
  <c r="BJ17" i="4"/>
  <c r="BJ10" i="4"/>
  <c r="BJ18" i="4"/>
  <c r="BJ55" i="3"/>
  <c r="BJ16" i="3"/>
  <c r="BJ45" i="3"/>
  <c r="BJ26" i="3"/>
  <c r="BJ46" i="3"/>
  <c r="BJ18" i="2"/>
  <c r="BJ28" i="2"/>
  <c r="BJ34" i="2"/>
  <c r="BJ17" i="1"/>
  <c r="BJ46" i="1"/>
  <c r="BJ20" i="1"/>
  <c r="BJ12" i="1"/>
  <c r="BJ47" i="1"/>
  <c r="BJ45" i="21"/>
  <c r="BJ32" i="21"/>
  <c r="BJ20" i="21"/>
  <c r="BJ21" i="21"/>
  <c r="BJ44" i="21"/>
  <c r="BJ20" i="6"/>
  <c r="BJ54" i="6"/>
  <c r="BJ57" i="6"/>
  <c r="BJ45" i="6"/>
  <c r="BJ49" i="6"/>
  <c r="BJ11" i="6"/>
  <c r="BJ58" i="6"/>
  <c r="BJ36" i="5"/>
  <c r="BJ57" i="5"/>
  <c r="BJ19" i="21"/>
  <c r="BJ51" i="21"/>
  <c r="BJ25" i="21"/>
  <c r="BJ18" i="21"/>
  <c r="BJ28" i="21"/>
  <c r="BJ30" i="21"/>
  <c r="BJ34" i="21"/>
  <c r="BJ29" i="21"/>
  <c r="BJ37" i="6"/>
  <c r="BJ28" i="6"/>
  <c r="BJ48" i="6"/>
  <c r="BJ19" i="6"/>
  <c r="BJ24" i="21"/>
  <c r="BJ42" i="6"/>
  <c r="BJ46" i="5"/>
  <c r="BJ31" i="5"/>
  <c r="BJ14" i="6"/>
  <c r="BJ28" i="5"/>
  <c r="BJ44" i="4"/>
  <c r="BJ49" i="4"/>
  <c r="BJ41" i="4"/>
  <c r="BJ35" i="4"/>
  <c r="BJ46" i="4"/>
  <c r="BJ53" i="3"/>
  <c r="BJ18" i="3"/>
  <c r="BJ56" i="3"/>
  <c r="BJ35" i="3"/>
  <c r="BJ44" i="3"/>
  <c r="BJ14" i="3"/>
  <c r="BJ52" i="3"/>
  <c r="BJ54" i="3"/>
  <c r="BJ44" i="2"/>
  <c r="BJ58" i="2"/>
  <c r="BJ45" i="2"/>
  <c r="BJ15" i="2"/>
  <c r="BJ41" i="1"/>
  <c r="BJ50" i="1"/>
  <c r="BJ49" i="1"/>
  <c r="BJ15" i="1"/>
  <c r="BJ27" i="1"/>
  <c r="BJ55" i="1"/>
  <c r="BJ22" i="1"/>
  <c r="BJ58" i="1"/>
  <c r="BJ44" i="1"/>
  <c r="BJ11" i="1"/>
  <c r="BJ26" i="21"/>
  <c r="BJ56" i="21"/>
  <c r="BJ23" i="21"/>
  <c r="BJ22" i="21"/>
  <c r="BJ36" i="21"/>
  <c r="BJ52" i="21"/>
  <c r="BJ46" i="6"/>
  <c r="BJ56" i="6"/>
  <c r="BJ9" i="6"/>
  <c r="BJ53" i="6"/>
  <c r="BJ24" i="6"/>
  <c r="BJ54" i="5"/>
  <c r="BJ43" i="5"/>
  <c r="BJ37" i="5"/>
  <c r="BJ10" i="6"/>
  <c r="BJ34" i="5"/>
  <c r="BJ14" i="5"/>
  <c r="BJ55" i="6"/>
  <c r="BJ56" i="5"/>
  <c r="BJ52" i="5"/>
  <c r="BJ55" i="4"/>
  <c r="BJ56" i="4"/>
  <c r="BJ13" i="4"/>
  <c r="BJ38" i="4"/>
  <c r="BJ28" i="4"/>
  <c r="BJ14" i="4"/>
  <c r="BJ40" i="4"/>
  <c r="BJ52" i="4"/>
  <c r="BJ19" i="3"/>
  <c r="BJ43" i="3"/>
  <c r="BJ54" i="4"/>
  <c r="BJ22" i="3"/>
  <c r="BJ27" i="3"/>
  <c r="BJ42" i="2"/>
  <c r="BJ37" i="2"/>
  <c r="BJ57" i="2"/>
  <c r="BJ33" i="2"/>
  <c r="BJ49" i="2"/>
  <c r="BJ22" i="2"/>
  <c r="BJ27" i="2"/>
  <c r="BJ14" i="2"/>
  <c r="BJ26" i="1"/>
  <c r="BJ42" i="1"/>
  <c r="BJ48" i="1"/>
  <c r="BJ19" i="1"/>
  <c r="BJ47" i="21"/>
  <c r="BJ26" i="6"/>
  <c r="BJ16" i="5"/>
  <c r="BJ44" i="5"/>
  <c r="BJ32" i="5"/>
  <c r="BJ36" i="4"/>
  <c r="BJ48" i="3"/>
  <c r="BJ53" i="4"/>
  <c r="BJ30" i="3"/>
  <c r="BJ17" i="2"/>
  <c r="BJ24" i="1"/>
  <c r="BJ18" i="5"/>
  <c r="BJ27" i="5"/>
  <c r="BJ19" i="4"/>
  <c r="BJ24" i="5"/>
  <c r="BJ37" i="3"/>
  <c r="BJ40" i="2"/>
  <c r="BJ24" i="2"/>
  <c r="BJ37" i="1"/>
  <c r="BJ16" i="1"/>
  <c r="BJ29" i="1"/>
  <c r="BJ43" i="21"/>
  <c r="BJ15" i="6"/>
  <c r="BJ35" i="6"/>
  <c r="BJ26" i="5"/>
  <c r="BJ47" i="5"/>
  <c r="BJ38" i="6"/>
  <c r="BJ53" i="5"/>
  <c r="BJ49" i="3"/>
  <c r="BJ13" i="3"/>
  <c r="BJ21" i="3"/>
  <c r="BJ31" i="2"/>
  <c r="BJ10" i="2"/>
  <c r="BJ25" i="6"/>
  <c r="BJ41" i="5"/>
  <c r="BJ20" i="4"/>
  <c r="BJ50" i="5"/>
  <c r="BJ36" i="3"/>
  <c r="BJ31" i="3"/>
  <c r="BJ25" i="3"/>
  <c r="BJ43" i="2"/>
  <c r="BJ51" i="2"/>
  <c r="BJ30" i="2"/>
  <c r="BJ54" i="1"/>
  <c r="BJ57" i="21"/>
  <c r="BJ17" i="21"/>
  <c r="BJ37" i="21"/>
  <c r="BJ51" i="6"/>
  <c r="BJ27" i="6"/>
  <c r="BJ34" i="6"/>
  <c r="BJ21" i="4"/>
  <c r="BJ24" i="3"/>
  <c r="BJ43" i="1"/>
  <c r="BJ49" i="21"/>
  <c r="BJ30" i="6"/>
  <c r="BJ23" i="4"/>
  <c r="BJ47" i="3"/>
  <c r="BJ11" i="2"/>
  <c r="BJ39" i="1"/>
  <c r="BJ40" i="1"/>
  <c r="BJ42" i="21"/>
  <c r="BJ29" i="4"/>
  <c r="BJ32" i="3"/>
  <c r="BJ54" i="2"/>
  <c r="BJ20" i="2"/>
  <c r="BJ32" i="6"/>
  <c r="BJ42" i="5"/>
  <c r="BJ49" i="5"/>
  <c r="BJ24" i="4"/>
  <c r="BJ12" i="3"/>
  <c r="BJ28" i="3"/>
  <c r="BJ40" i="5"/>
  <c r="BJ16" i="2"/>
  <c r="BJ21" i="2"/>
  <c r="BJ26" i="2"/>
  <c r="BJ22" i="6"/>
  <c r="BJ29" i="6"/>
  <c r="BJ21" i="5"/>
  <c r="BJ40" i="3"/>
  <c r="BJ51" i="1"/>
  <c r="BJ21" i="1"/>
  <c r="BJ40" i="21"/>
  <c r="BJ50" i="6"/>
  <c r="BJ55" i="5"/>
  <c r="BJ51" i="5"/>
  <c r="BJ55" i="2"/>
  <c r="BJ35" i="2"/>
  <c r="BR41" i="21"/>
  <c r="BR43" i="21"/>
  <c r="BR28" i="6"/>
  <c r="BR57" i="6"/>
  <c r="BR19" i="6"/>
  <c r="BR41" i="6"/>
  <c r="BR29" i="21"/>
  <c r="BR34" i="5"/>
  <c r="BR46" i="4"/>
  <c r="BR21" i="4"/>
  <c r="BR50" i="5"/>
  <c r="BR32" i="5"/>
  <c r="BR53" i="4"/>
  <c r="BR54" i="5"/>
  <c r="BR47" i="4"/>
  <c r="BR9" i="4"/>
  <c r="BR20" i="4"/>
  <c r="BR15" i="4"/>
  <c r="BR24" i="5"/>
  <c r="BR43" i="3"/>
  <c r="BR50" i="3"/>
  <c r="BR31" i="3"/>
  <c r="BR26" i="3"/>
  <c r="BR51" i="3"/>
  <c r="BR23" i="3"/>
  <c r="BR15" i="3"/>
  <c r="BR35" i="4"/>
  <c r="BR39" i="4"/>
  <c r="BR22" i="2"/>
  <c r="BR33" i="2"/>
  <c r="BR42" i="2"/>
  <c r="BR56" i="2"/>
  <c r="BR48" i="2"/>
  <c r="BR46" i="2"/>
  <c r="BR36" i="2"/>
  <c r="BR17" i="2"/>
  <c r="BR9" i="2"/>
  <c r="BR49" i="1"/>
  <c r="BR23" i="1"/>
  <c r="BR13" i="1"/>
  <c r="BR52" i="1"/>
  <c r="BR57" i="1"/>
  <c r="BR40" i="1"/>
  <c r="BR38" i="1"/>
  <c r="BR21" i="1"/>
  <c r="BR54" i="6"/>
  <c r="BR56" i="6"/>
  <c r="BR49" i="6"/>
  <c r="BR10" i="4"/>
  <c r="BR56" i="5"/>
  <c r="BR40" i="5"/>
  <c r="BR12" i="4"/>
  <c r="BR22" i="4"/>
  <c r="BR42" i="3"/>
  <c r="BR55" i="2"/>
  <c r="BR16" i="1"/>
  <c r="BR25" i="1"/>
  <c r="BR15" i="21"/>
  <c r="BR16" i="21"/>
  <c r="BR44" i="21"/>
  <c r="BR24" i="21"/>
  <c r="BR16" i="6"/>
  <c r="BR21" i="6"/>
  <c r="BR40" i="21"/>
  <c r="BR44" i="6"/>
  <c r="BR17" i="21"/>
  <c r="BR23" i="21"/>
  <c r="BR51" i="21"/>
  <c r="BR30" i="6"/>
  <c r="BR36" i="5"/>
  <c r="BR31" i="5"/>
  <c r="BR23" i="5"/>
  <c r="BR37" i="5"/>
  <c r="BR39" i="5"/>
  <c r="BR35" i="5"/>
  <c r="BR29" i="6"/>
  <c r="BR37" i="4"/>
  <c r="BR19" i="5"/>
  <c r="BR30" i="4"/>
  <c r="BR10" i="5"/>
  <c r="BR36" i="4"/>
  <c r="BR48" i="4"/>
  <c r="BR50" i="4"/>
  <c r="BR27" i="4"/>
  <c r="BR58" i="4"/>
  <c r="BR27" i="3"/>
  <c r="BR56" i="4"/>
  <c r="BR35" i="3"/>
  <c r="BR37" i="2"/>
  <c r="BR50" i="2"/>
  <c r="BR13" i="2"/>
  <c r="BR14" i="2"/>
  <c r="BR57" i="2"/>
  <c r="BR44" i="2"/>
  <c r="BR28" i="2"/>
  <c r="BR24" i="2"/>
  <c r="BR48" i="1"/>
  <c r="BR17" i="1"/>
  <c r="BR54" i="1"/>
  <c r="BR27" i="1"/>
  <c r="BR15" i="1"/>
  <c r="BR33" i="1"/>
  <c r="BR43" i="1"/>
  <c r="BR25" i="21"/>
  <c r="BR9" i="21"/>
  <c r="BR53" i="21"/>
  <c r="BR45" i="21"/>
  <c r="BR27" i="21"/>
  <c r="BR21" i="21"/>
  <c r="BR33" i="6"/>
  <c r="BR27" i="6"/>
  <c r="BR18" i="6"/>
  <c r="BR47" i="6"/>
  <c r="BR22" i="6"/>
  <c r="BR45" i="5"/>
  <c r="BR11" i="5"/>
  <c r="BR47" i="5"/>
  <c r="BR27" i="5"/>
  <c r="BR51" i="5"/>
  <c r="BR21" i="5"/>
  <c r="BR18" i="5"/>
  <c r="BR52" i="4"/>
  <c r="BR26" i="5"/>
  <c r="BR49" i="4"/>
  <c r="BR54" i="4"/>
  <c r="BR38" i="4"/>
  <c r="BR41" i="4"/>
  <c r="BR25" i="4"/>
  <c r="BR18" i="3"/>
  <c r="BR38" i="3"/>
  <c r="BR33" i="3"/>
  <c r="BR14" i="3"/>
  <c r="BR31" i="4"/>
  <c r="BR37" i="3"/>
  <c r="BR9" i="3"/>
  <c r="BR56" i="3"/>
  <c r="BR34" i="3"/>
  <c r="BR16" i="3"/>
  <c r="BR32" i="3"/>
  <c r="BR23" i="2"/>
  <c r="BR29" i="2"/>
  <c r="BR49" i="2"/>
  <c r="BR45" i="2"/>
  <c r="BR32" i="1"/>
  <c r="BR37" i="1"/>
  <c r="BR26" i="1"/>
  <c r="BR29" i="1"/>
  <c r="BR31" i="1"/>
  <c r="BR30" i="21"/>
  <c r="BR10" i="21"/>
  <c r="BR9" i="6"/>
  <c r="BR15" i="6"/>
  <c r="BR39" i="6"/>
  <c r="BR58" i="6"/>
  <c r="BR39" i="1"/>
  <c r="BR42" i="21"/>
  <c r="BR12" i="21"/>
  <c r="BR33" i="21"/>
  <c r="BR28" i="21"/>
  <c r="BR18" i="21"/>
  <c r="BR52" i="6"/>
  <c r="BR36" i="6"/>
  <c r="BR50" i="6"/>
  <c r="BR20" i="6"/>
  <c r="BR12" i="6"/>
  <c r="BR53" i="6"/>
  <c r="BR38" i="5"/>
  <c r="BR14" i="5"/>
  <c r="BR48" i="5"/>
  <c r="BR44" i="5"/>
  <c r="BR16" i="4"/>
  <c r="BR25" i="5"/>
  <c r="BR34" i="6"/>
  <c r="BR40" i="4"/>
  <c r="BR51" i="4"/>
  <c r="BR41" i="3"/>
  <c r="BR18" i="4"/>
  <c r="BR57" i="3"/>
  <c r="BR49" i="3"/>
  <c r="BR11" i="3"/>
  <c r="BR30" i="3"/>
  <c r="BR51" i="2"/>
  <c r="BR16" i="2"/>
  <c r="BR53" i="2"/>
  <c r="BR31" i="2"/>
  <c r="BR47" i="2"/>
  <c r="BR40" i="2"/>
  <c r="BR41" i="2"/>
  <c r="BR21" i="2"/>
  <c r="BR12" i="1"/>
  <c r="BR35" i="1"/>
  <c r="BR46" i="1"/>
  <c r="BR51" i="1"/>
  <c r="BR22" i="1"/>
  <c r="BR19" i="1"/>
  <c r="BR45" i="1"/>
  <c r="BR52" i="21"/>
  <c r="BR24" i="6"/>
  <c r="BR17" i="6"/>
  <c r="BR28" i="5"/>
  <c r="BR57" i="5"/>
  <c r="BR46" i="3"/>
  <c r="BR58" i="3"/>
  <c r="BR19" i="3"/>
  <c r="BR11" i="4"/>
  <c r="BR36" i="3"/>
  <c r="BR11" i="1"/>
  <c r="BR19" i="21"/>
  <c r="BR50" i="21"/>
  <c r="BR13" i="21"/>
  <c r="BR26" i="21"/>
  <c r="BR36" i="21"/>
  <c r="BR35" i="21"/>
  <c r="BR11" i="6"/>
  <c r="BR14" i="6"/>
  <c r="BR16" i="5"/>
  <c r="BR12" i="5"/>
  <c r="BR55" i="5"/>
  <c r="BR43" i="5"/>
  <c r="BR30" i="5"/>
  <c r="BR29" i="4"/>
  <c r="BR14" i="4"/>
  <c r="BR17" i="5"/>
  <c r="BR13" i="4"/>
  <c r="BR42" i="4"/>
  <c r="BR34" i="4"/>
  <c r="BR45" i="4"/>
  <c r="BR29" i="3"/>
  <c r="BR55" i="3"/>
  <c r="BR24" i="3"/>
  <c r="BR57" i="4"/>
  <c r="BR43" i="2"/>
  <c r="BR25" i="2"/>
  <c r="BR19" i="2"/>
  <c r="BR54" i="2"/>
  <c r="BR25" i="3"/>
  <c r="BR58" i="2"/>
  <c r="BR10" i="1"/>
  <c r="BR58" i="1"/>
  <c r="BR36" i="1"/>
  <c r="BR50" i="1"/>
  <c r="BR20" i="1"/>
  <c r="BR34" i="21"/>
  <c r="BR10" i="6"/>
  <c r="BR41" i="5"/>
  <c r="BR47" i="3"/>
  <c r="BR21" i="3"/>
  <c r="BR39" i="2"/>
  <c r="BR53" i="1"/>
  <c r="BR32" i="21"/>
  <c r="BR11" i="21"/>
  <c r="BR37" i="21"/>
  <c r="BR58" i="21"/>
  <c r="BR20" i="21"/>
  <c r="BR57" i="21"/>
  <c r="BR46" i="21"/>
  <c r="BR14" i="21"/>
  <c r="BR26" i="6"/>
  <c r="BR38" i="6"/>
  <c r="BR37" i="6"/>
  <c r="BR49" i="21"/>
  <c r="BR25" i="6"/>
  <c r="BR48" i="21"/>
  <c r="BR31" i="6"/>
  <c r="BR35" i="6"/>
  <c r="BR42" i="5"/>
  <c r="BR33" i="5"/>
  <c r="BR13" i="6"/>
  <c r="BR58" i="5"/>
  <c r="BR19" i="4"/>
  <c r="BR13" i="5"/>
  <c r="BR9" i="5"/>
  <c r="BR49" i="5"/>
  <c r="BR28" i="4"/>
  <c r="BR28" i="3"/>
  <c r="BR43" i="4"/>
  <c r="BR53" i="3"/>
  <c r="BR23" i="4"/>
  <c r="BR33" i="4"/>
  <c r="BR17" i="4"/>
  <c r="BR45" i="3"/>
  <c r="BR55" i="4"/>
  <c r="BR48" i="3"/>
  <c r="BR39" i="3"/>
  <c r="BR20" i="2"/>
  <c r="BR27" i="2"/>
  <c r="BR10" i="2"/>
  <c r="BR12" i="2"/>
  <c r="BR34" i="2"/>
  <c r="BR35" i="2"/>
  <c r="BR14" i="1"/>
  <c r="BR56" i="1"/>
  <c r="BR47" i="1"/>
  <c r="BR18" i="1"/>
  <c r="BR30" i="1"/>
  <c r="BR28" i="1"/>
  <c r="BR42" i="1"/>
  <c r="BR9" i="1"/>
  <c r="BR41" i="1"/>
  <c r="BR47" i="21"/>
  <c r="BR48" i="6"/>
  <c r="BR23" i="6"/>
  <c r="BR26" i="4"/>
  <c r="BR44" i="3"/>
  <c r="BR20" i="3"/>
  <c r="BR40" i="3"/>
  <c r="BR44" i="1"/>
  <c r="BR24" i="1"/>
  <c r="BR22" i="21"/>
  <c r="BR38" i="21"/>
  <c r="BR31" i="21"/>
  <c r="BR39" i="21"/>
  <c r="BR54" i="21"/>
  <c r="BR56" i="21"/>
  <c r="BR43" i="6"/>
  <c r="BR55" i="6"/>
  <c r="BR32" i="6"/>
  <c r="BR42" i="6"/>
  <c r="BR40" i="6"/>
  <c r="BR45" i="6"/>
  <c r="BR53" i="5"/>
  <c r="BR29" i="5"/>
  <c r="BR20" i="5"/>
  <c r="BR22" i="5"/>
  <c r="BR46" i="5"/>
  <c r="BR44" i="4"/>
  <c r="BR51" i="6"/>
  <c r="BR32" i="4"/>
  <c r="BR24" i="4"/>
  <c r="BR54" i="3"/>
  <c r="BR17" i="3"/>
  <c r="BR10" i="3"/>
  <c r="BR13" i="3"/>
  <c r="BR22" i="3"/>
  <c r="BR12" i="3"/>
  <c r="BR52" i="2"/>
  <c r="BR26" i="2"/>
  <c r="BR15" i="2"/>
  <c r="BR32" i="2"/>
  <c r="BR18" i="2"/>
  <c r="BR11" i="2"/>
  <c r="BR30" i="2"/>
  <c r="BR38" i="2"/>
  <c r="BR55" i="1"/>
  <c r="BR34" i="1"/>
  <c r="BR55" i="21"/>
  <c r="BR46" i="6"/>
  <c r="BR15" i="5"/>
  <c r="BR52" i="5"/>
  <c r="BR52" i="3"/>
  <c r="BO53" i="21"/>
  <c r="BO47" i="21"/>
  <c r="BO18" i="21"/>
  <c r="BO52" i="21"/>
  <c r="BO22" i="21"/>
  <c r="BO54" i="21"/>
  <c r="BO44" i="21"/>
  <c r="BO20" i="6"/>
  <c r="BO16" i="6"/>
  <c r="BO28" i="6"/>
  <c r="BO18" i="5"/>
  <c r="BO43" i="5"/>
  <c r="BO24" i="5"/>
  <c r="BO33" i="5"/>
  <c r="BO24" i="6"/>
  <c r="BO52" i="5"/>
  <c r="BO18" i="4"/>
  <c r="BO55" i="5"/>
  <c r="BO23" i="4"/>
  <c r="BO37" i="4"/>
  <c r="BO16" i="5"/>
  <c r="BO51" i="5"/>
  <c r="BO25" i="5"/>
  <c r="BO10" i="5"/>
  <c r="BO53" i="3"/>
  <c r="BO25" i="4"/>
  <c r="BO17" i="4"/>
  <c r="BO22" i="3"/>
  <c r="BO52" i="3"/>
  <c r="BO35" i="3"/>
  <c r="BO44" i="3"/>
  <c r="BO17" i="3"/>
  <c r="BO16" i="3"/>
  <c r="BO28" i="3"/>
  <c r="BO48" i="2"/>
  <c r="BO17" i="2"/>
  <c r="BO41" i="2"/>
  <c r="BO53" i="2"/>
  <c r="BO57" i="2"/>
  <c r="BO32" i="2"/>
  <c r="BO22" i="2"/>
  <c r="BO51" i="2"/>
  <c r="BO30" i="2"/>
  <c r="BO37" i="2"/>
  <c r="BO35" i="1"/>
  <c r="BO15" i="1"/>
  <c r="BO46" i="21"/>
  <c r="BO39" i="21"/>
  <c r="BO28" i="21"/>
  <c r="BO27" i="21"/>
  <c r="BO19" i="6"/>
  <c r="BO57" i="6"/>
  <c r="BO54" i="6"/>
  <c r="BO51" i="6"/>
  <c r="BO56" i="6"/>
  <c r="BO43" i="6"/>
  <c r="BO13" i="5"/>
  <c r="BO42" i="5"/>
  <c r="BO27" i="5"/>
  <c r="BO35" i="4"/>
  <c r="BO43" i="4"/>
  <c r="BO57" i="4"/>
  <c r="BO14" i="4"/>
  <c r="BO19" i="3"/>
  <c r="BO39" i="3"/>
  <c r="BO30" i="3"/>
  <c r="BO45" i="3"/>
  <c r="BO27" i="3"/>
  <c r="BO45" i="2"/>
  <c r="BO40" i="2"/>
  <c r="BO38" i="2"/>
  <c r="BO43" i="2"/>
  <c r="BO20" i="2"/>
  <c r="BO13" i="2"/>
  <c r="BO21" i="2"/>
  <c r="BO18" i="2"/>
  <c r="BO37" i="1"/>
  <c r="BO10" i="1"/>
  <c r="BO33" i="1"/>
  <c r="BO12" i="1"/>
  <c r="BO48" i="1"/>
  <c r="BO44" i="1"/>
  <c r="BO40" i="1"/>
  <c r="BO31" i="1"/>
  <c r="BO29" i="1"/>
  <c r="BO32" i="21"/>
  <c r="BO31" i="21"/>
  <c r="BO15" i="21"/>
  <c r="BO25" i="21"/>
  <c r="BO45" i="21"/>
  <c r="BO12" i="6"/>
  <c r="BO48" i="6"/>
  <c r="BO44" i="6"/>
  <c r="BO18" i="6"/>
  <c r="BO22" i="5"/>
  <c r="BO44" i="5"/>
  <c r="BO53" i="5"/>
  <c r="BO14" i="5"/>
  <c r="BO57" i="5"/>
  <c r="BO12" i="5"/>
  <c r="BO26" i="5"/>
  <c r="BO9" i="5"/>
  <c r="BO32" i="5"/>
  <c r="BO32" i="4"/>
  <c r="BO19" i="4"/>
  <c r="BO50" i="4"/>
  <c r="BO48" i="4"/>
  <c r="BO51" i="3"/>
  <c r="BO57" i="3"/>
  <c r="BO14" i="3"/>
  <c r="BO41" i="4"/>
  <c r="BO34" i="3"/>
  <c r="BO38" i="3"/>
  <c r="BO42" i="3"/>
  <c r="BO34" i="2"/>
  <c r="BO33" i="2"/>
  <c r="BO29" i="2"/>
  <c r="BO14" i="2"/>
  <c r="BO47" i="2"/>
  <c r="BO14" i="1"/>
  <c r="BO41" i="1"/>
  <c r="BO56" i="1"/>
  <c r="BO9" i="1"/>
  <c r="BO22" i="1"/>
  <c r="BO40" i="21"/>
  <c r="BO51" i="21"/>
  <c r="BO9" i="21"/>
  <c r="BO13" i="21"/>
  <c r="BO29" i="21"/>
  <c r="BO27" i="6"/>
  <c r="BO45" i="6"/>
  <c r="BO37" i="6"/>
  <c r="BO38" i="6"/>
  <c r="BO38" i="21"/>
  <c r="BO40" i="6"/>
  <c r="BO14" i="6"/>
  <c r="BO47" i="6"/>
  <c r="BO29" i="6"/>
  <c r="BO36" i="5"/>
  <c r="BO41" i="5"/>
  <c r="BO46" i="5"/>
  <c r="BO28" i="4"/>
  <c r="BO31" i="5"/>
  <c r="BO40" i="5"/>
  <c r="BO20" i="4"/>
  <c r="BO48" i="5"/>
  <c r="BO21" i="5"/>
  <c r="BO40" i="4"/>
  <c r="BO29" i="5"/>
  <c r="BO10" i="4"/>
  <c r="BO33" i="4"/>
  <c r="BO11" i="4"/>
  <c r="BO23" i="3"/>
  <c r="BO40" i="3"/>
  <c r="BO41" i="3"/>
  <c r="BO48" i="3"/>
  <c r="BO58" i="3"/>
  <c r="BO18" i="3"/>
  <c r="BO32" i="3"/>
  <c r="BO52" i="4"/>
  <c r="BO29" i="3"/>
  <c r="BO27" i="2"/>
  <c r="BO12" i="2"/>
  <c r="BO50" i="2"/>
  <c r="BO9" i="2"/>
  <c r="BO11" i="2"/>
  <c r="BO42" i="1"/>
  <c r="BO36" i="1"/>
  <c r="BO18" i="1"/>
  <c r="BO17" i="1"/>
  <c r="BO24" i="1"/>
  <c r="BO32" i="1"/>
  <c r="BO49" i="21"/>
  <c r="BO14" i="21"/>
  <c r="BO23" i="21"/>
  <c r="BO20" i="21"/>
  <c r="BO50" i="6"/>
  <c r="BO36" i="21"/>
  <c r="BO33" i="6"/>
  <c r="BO25" i="6"/>
  <c r="BO31" i="6"/>
  <c r="BO11" i="6"/>
  <c r="BO36" i="6"/>
  <c r="BO50" i="5"/>
  <c r="BO55" i="4"/>
  <c r="BO30" i="5"/>
  <c r="BO13" i="4"/>
  <c r="BO39" i="4"/>
  <c r="BO9" i="4"/>
  <c r="BO29" i="4"/>
  <c r="BO22" i="4"/>
  <c r="BO38" i="4"/>
  <c r="BO50" i="3"/>
  <c r="BO15" i="3"/>
  <c r="BO54" i="3"/>
  <c r="BO11" i="3"/>
  <c r="BO33" i="3"/>
  <c r="BO34" i="4"/>
  <c r="BO10" i="3"/>
  <c r="BO44" i="2"/>
  <c r="BO24" i="2"/>
  <c r="BO55" i="2"/>
  <c r="BO10" i="2"/>
  <c r="BO16" i="2"/>
  <c r="BO54" i="2"/>
  <c r="BO28" i="2"/>
  <c r="BO19" i="2"/>
  <c r="BO12" i="3"/>
  <c r="BO52" i="1"/>
  <c r="BO47" i="1"/>
  <c r="BO34" i="1"/>
  <c r="BO57" i="1"/>
  <c r="BO30" i="21"/>
  <c r="BO35" i="21"/>
  <c r="BO16" i="21"/>
  <c r="BO10" i="21"/>
  <c r="BO24" i="21"/>
  <c r="BO17" i="6"/>
  <c r="BO26" i="6"/>
  <c r="BO39" i="6"/>
  <c r="BO49" i="6"/>
  <c r="BO23" i="6"/>
  <c r="BO39" i="5"/>
  <c r="BO49" i="5"/>
  <c r="BO56" i="4"/>
  <c r="BO47" i="5"/>
  <c r="BO19" i="5"/>
  <c r="BO24" i="4"/>
  <c r="BO41" i="6"/>
  <c r="BO11" i="5"/>
  <c r="BO16" i="4"/>
  <c r="BO21" i="4"/>
  <c r="BO42" i="4"/>
  <c r="BO31" i="3"/>
  <c r="BO46" i="4"/>
  <c r="BO20" i="3"/>
  <c r="BO31" i="4"/>
  <c r="BO26" i="3"/>
  <c r="BO46" i="3"/>
  <c r="BO49" i="3"/>
  <c r="BO23" i="2"/>
  <c r="BO46" i="2"/>
  <c r="BO39" i="2"/>
  <c r="BO16" i="1"/>
  <c r="BO23" i="1"/>
  <c r="BO17" i="21"/>
  <c r="BO57" i="21"/>
  <c r="BO26" i="21"/>
  <c r="BO15" i="6"/>
  <c r="BO55" i="6"/>
  <c r="BO21" i="6"/>
  <c r="BO20" i="5"/>
  <c r="BO27" i="4"/>
  <c r="BO31" i="2"/>
  <c r="BO25" i="3"/>
  <c r="BO49" i="2"/>
  <c r="BO21" i="1"/>
  <c r="BO56" i="21"/>
  <c r="BO11" i="21"/>
  <c r="BO46" i="6"/>
  <c r="BO38" i="5"/>
  <c r="BO56" i="5"/>
  <c r="BO58" i="2"/>
  <c r="BO52" i="2"/>
  <c r="BO51" i="1"/>
  <c r="BO55" i="1"/>
  <c r="BO58" i="21"/>
  <c r="BO42" i="6"/>
  <c r="BO22" i="6"/>
  <c r="BO34" i="6"/>
  <c r="BO58" i="6"/>
  <c r="BO9" i="6"/>
  <c r="BO32" i="6"/>
  <c r="BO35" i="5"/>
  <c r="BO45" i="5"/>
  <c r="BO34" i="5"/>
  <c r="BO51" i="4"/>
  <c r="BO47" i="4"/>
  <c r="BO9" i="3"/>
  <c r="BO13" i="3"/>
  <c r="BO36" i="3"/>
  <c r="BO37" i="3"/>
  <c r="BO36" i="2"/>
  <c r="BO43" i="1"/>
  <c r="BO13" i="1"/>
  <c r="BO19" i="1"/>
  <c r="BO39" i="1"/>
  <c r="BO12" i="21"/>
  <c r="BO41" i="21"/>
  <c r="BO55" i="21"/>
  <c r="BO58" i="5"/>
  <c r="BO54" i="5"/>
  <c r="BO37" i="5"/>
  <c r="BO26" i="4"/>
  <c r="BO47" i="3"/>
  <c r="BO56" i="3"/>
  <c r="BO53" i="1"/>
  <c r="BO34" i="21"/>
  <c r="BO33" i="21"/>
  <c r="BO43" i="21"/>
  <c r="BO10" i="6"/>
  <c r="BO42" i="21"/>
  <c r="BO53" i="6"/>
  <c r="BO13" i="6"/>
  <c r="BO45" i="4"/>
  <c r="BO15" i="4"/>
  <c r="BO54" i="4"/>
  <c r="BO58" i="4"/>
  <c r="BO24" i="3"/>
  <c r="BO43" i="3"/>
  <c r="BO21" i="3"/>
  <c r="BO44" i="4"/>
  <c r="BO42" i="2"/>
  <c r="BO58" i="1"/>
  <c r="BO54" i="1"/>
  <c r="BO21" i="21"/>
  <c r="BO26" i="2"/>
  <c r="BO11" i="1"/>
  <c r="BO50" i="1"/>
  <c r="BO45" i="1"/>
  <c r="BO20" i="1"/>
  <c r="BO30" i="4"/>
  <c r="BO27" i="1"/>
  <c r="BO37" i="21"/>
  <c r="BO19" i="21"/>
  <c r="BO48" i="21"/>
  <c r="BO50" i="21"/>
  <c r="BO52" i="6"/>
  <c r="BO15" i="5"/>
  <c r="BO17" i="5"/>
  <c r="BO35" i="6"/>
  <c r="BO30" i="6"/>
  <c r="BO28" i="5"/>
  <c r="BO49" i="4"/>
  <c r="BO53" i="4"/>
  <c r="BO23" i="5"/>
  <c r="BO55" i="3"/>
  <c r="BO25" i="2"/>
  <c r="BO25" i="1"/>
  <c r="BO46" i="1"/>
  <c r="BO49" i="1"/>
  <c r="BO28" i="1"/>
  <c r="BO26" i="1"/>
  <c r="BO38" i="1"/>
  <c r="BO30" i="1"/>
  <c r="BO56" i="2"/>
  <c r="BO35" i="2"/>
  <c r="BO36" i="4"/>
  <c r="BO12" i="4"/>
  <c r="BO15" i="2"/>
  <c r="BY38" i="21"/>
  <c r="BY28" i="21"/>
  <c r="BY20" i="21"/>
  <c r="BY58" i="21"/>
  <c r="BY54" i="6"/>
  <c r="BY51" i="21"/>
  <c r="BY30" i="21"/>
  <c r="BY42" i="6"/>
  <c r="BY10" i="6"/>
  <c r="BY13" i="6"/>
  <c r="BY55" i="6"/>
  <c r="BY48" i="6"/>
  <c r="BY51" i="6"/>
  <c r="BY53" i="5"/>
  <c r="BY49" i="5"/>
  <c r="BY20" i="6"/>
  <c r="BY13" i="5"/>
  <c r="BY26" i="5"/>
  <c r="BY37" i="5"/>
  <c r="BY35" i="5"/>
  <c r="BY30" i="4"/>
  <c r="BY15" i="4"/>
  <c r="BY58" i="4"/>
  <c r="BY28" i="4"/>
  <c r="BY38" i="4"/>
  <c r="BY10" i="4"/>
  <c r="BY16" i="4"/>
  <c r="BY37" i="4"/>
  <c r="BY32" i="4"/>
  <c r="BY54" i="4"/>
  <c r="BY45" i="4"/>
  <c r="BY26" i="4"/>
  <c r="BY22" i="4"/>
  <c r="BY24" i="3"/>
  <c r="BY37" i="3"/>
  <c r="BY19" i="3"/>
  <c r="BY32" i="3"/>
  <c r="BY21" i="3"/>
  <c r="BY39" i="3"/>
  <c r="BY34" i="2"/>
  <c r="BY17" i="2"/>
  <c r="BY36" i="2"/>
  <c r="BY41" i="2"/>
  <c r="BY25" i="2"/>
  <c r="BY46" i="2"/>
  <c r="BY34" i="1"/>
  <c r="BY27" i="1"/>
  <c r="BY41" i="1"/>
  <c r="BY39" i="1"/>
  <c r="BY24" i="1"/>
  <c r="BY22" i="1"/>
  <c r="BY13" i="1"/>
  <c r="BY49" i="21"/>
  <c r="BY32" i="6"/>
  <c r="BY55" i="5"/>
  <c r="BY28" i="5"/>
  <c r="BY50" i="5"/>
  <c r="BY39" i="4"/>
  <c r="BY51" i="4"/>
  <c r="BY52" i="3"/>
  <c r="BY35" i="1"/>
  <c r="BY23" i="1"/>
  <c r="BY28" i="1"/>
  <c r="BY37" i="21"/>
  <c r="BY48" i="21"/>
  <c r="BY12" i="21"/>
  <c r="BY46" i="21"/>
  <c r="BY40" i="21"/>
  <c r="BY18" i="21"/>
  <c r="BY55" i="21"/>
  <c r="BY36" i="21"/>
  <c r="BY17" i="6"/>
  <c r="BY57" i="6"/>
  <c r="BY29" i="6"/>
  <c r="BY33" i="5"/>
  <c r="BY11" i="5"/>
  <c r="BY55" i="4"/>
  <c r="BY24" i="4"/>
  <c r="BY49" i="4"/>
  <c r="BY12" i="6"/>
  <c r="BY43" i="4"/>
  <c r="BY56" i="5"/>
  <c r="BY17" i="4"/>
  <c r="BY49" i="3"/>
  <c r="BY53" i="3"/>
  <c r="BY36" i="3"/>
  <c r="BY40" i="4"/>
  <c r="BY13" i="3"/>
  <c r="BY16" i="3"/>
  <c r="BY28" i="3"/>
  <c r="BY45" i="3"/>
  <c r="BY58" i="3"/>
  <c r="BY16" i="2"/>
  <c r="BY11" i="2"/>
  <c r="BY52" i="2"/>
  <c r="BY45" i="2"/>
  <c r="BY30" i="2"/>
  <c r="BY43" i="2"/>
  <c r="BY50" i="1"/>
  <c r="BY53" i="1"/>
  <c r="BY30" i="1"/>
  <c r="BY32" i="1"/>
  <c r="BY20" i="1"/>
  <c r="BY21" i="1"/>
  <c r="BY25" i="1"/>
  <c r="BY43" i="21"/>
  <c r="BY47" i="21"/>
  <c r="BY27" i="21"/>
  <c r="BY9" i="21"/>
  <c r="BY25" i="21"/>
  <c r="BY24" i="21"/>
  <c r="BY23" i="21"/>
  <c r="BY58" i="6"/>
  <c r="BY32" i="21"/>
  <c r="BY38" i="6"/>
  <c r="BY43" i="6"/>
  <c r="BY16" i="6"/>
  <c r="BY53" i="6"/>
  <c r="BY23" i="6"/>
  <c r="BY31" i="6"/>
  <c r="BY46" i="6"/>
  <c r="BY50" i="6"/>
  <c r="BY44" i="5"/>
  <c r="BY41" i="5"/>
  <c r="BY23" i="5"/>
  <c r="BY39" i="5"/>
  <c r="BY49" i="6"/>
  <c r="BY36" i="5"/>
  <c r="BY10" i="5"/>
  <c r="BY31" i="4"/>
  <c r="BY40" i="5"/>
  <c r="BY29" i="4"/>
  <c r="BY35" i="4"/>
  <c r="BY33" i="4"/>
  <c r="BY43" i="3"/>
  <c r="BY18" i="3"/>
  <c r="BY26" i="3"/>
  <c r="BY46" i="4"/>
  <c r="BY25" i="3"/>
  <c r="BY27" i="3"/>
  <c r="BY50" i="3"/>
  <c r="BY35" i="2"/>
  <c r="BY57" i="2"/>
  <c r="BY18" i="2"/>
  <c r="BY20" i="2"/>
  <c r="BY9" i="2"/>
  <c r="BY23" i="2"/>
  <c r="BY28" i="2"/>
  <c r="BY46" i="1"/>
  <c r="BY51" i="1"/>
  <c r="BY16" i="1"/>
  <c r="BY57" i="21"/>
  <c r="BY11" i="6"/>
  <c r="BY31" i="5"/>
  <c r="BY47" i="4"/>
  <c r="BY21" i="4"/>
  <c r="BY18" i="4"/>
  <c r="BY56" i="3"/>
  <c r="BY14" i="3"/>
  <c r="BY19" i="2"/>
  <c r="BY37" i="1"/>
  <c r="BY56" i="21"/>
  <c r="BY21" i="21"/>
  <c r="BY44" i="21"/>
  <c r="BY19" i="6"/>
  <c r="BY27" i="6"/>
  <c r="BY37" i="6"/>
  <c r="BY18" i="6"/>
  <c r="BY17" i="5"/>
  <c r="BY48" i="5"/>
  <c r="BY52" i="5"/>
  <c r="BY43" i="5"/>
  <c r="BY30" i="5"/>
  <c r="BY20" i="4"/>
  <c r="BY53" i="4"/>
  <c r="BY50" i="4"/>
  <c r="BY57" i="4"/>
  <c r="BY58" i="5"/>
  <c r="BY29" i="3"/>
  <c r="BY20" i="3"/>
  <c r="BY34" i="3"/>
  <c r="BY46" i="3"/>
  <c r="BY9" i="3"/>
  <c r="BY44" i="3"/>
  <c r="BY12" i="4"/>
  <c r="BY15" i="2"/>
  <c r="BY40" i="2"/>
  <c r="BY24" i="2"/>
  <c r="BY47" i="2"/>
  <c r="BY10" i="2"/>
  <c r="BY53" i="2"/>
  <c r="BY42" i="2"/>
  <c r="BY33" i="2"/>
  <c r="BY31" i="2"/>
  <c r="BY26" i="1"/>
  <c r="BY54" i="1"/>
  <c r="BY42" i="1"/>
  <c r="BY26" i="21"/>
  <c r="BY40" i="6"/>
  <c r="BY16" i="5"/>
  <c r="BY42" i="3"/>
  <c r="BY14" i="4"/>
  <c r="BY32" i="2"/>
  <c r="BY48" i="2"/>
  <c r="BY14" i="1"/>
  <c r="BY13" i="21"/>
  <c r="BY15" i="21"/>
  <c r="BY31" i="21"/>
  <c r="BY42" i="21"/>
  <c r="BY35" i="21"/>
  <c r="BY11" i="21"/>
  <c r="BY16" i="21"/>
  <c r="BY52" i="6"/>
  <c r="BY34" i="6"/>
  <c r="BY9" i="6"/>
  <c r="BY45" i="5"/>
  <c r="BY57" i="5"/>
  <c r="BY34" i="5"/>
  <c r="BY46" i="5"/>
  <c r="BY19" i="5"/>
  <c r="BY20" i="5"/>
  <c r="BY24" i="5"/>
  <c r="BY25" i="4"/>
  <c r="BY19" i="4"/>
  <c r="BY48" i="4"/>
  <c r="BY42" i="4"/>
  <c r="BY36" i="4"/>
  <c r="BY35" i="3"/>
  <c r="BY57" i="3"/>
  <c r="BY11" i="3"/>
  <c r="BY39" i="2"/>
  <c r="BY37" i="2"/>
  <c r="BY40" i="1"/>
  <c r="BY17" i="1"/>
  <c r="BY48" i="1"/>
  <c r="BY43" i="1"/>
  <c r="BY11" i="1"/>
  <c r="BY19" i="1"/>
  <c r="BY47" i="1"/>
  <c r="BY56" i="1"/>
  <c r="BY52" i="1"/>
  <c r="BY57" i="1"/>
  <c r="BY50" i="21"/>
  <c r="BY47" i="6"/>
  <c r="BY54" i="5"/>
  <c r="BY9" i="4"/>
  <c r="BY48" i="3"/>
  <c r="BY33" i="3"/>
  <c r="BY12" i="2"/>
  <c r="BY9" i="1"/>
  <c r="BY29" i="21"/>
  <c r="BY53" i="21"/>
  <c r="BY34" i="21"/>
  <c r="BY14" i="21"/>
  <c r="BY54" i="21"/>
  <c r="BY33" i="21"/>
  <c r="BY41" i="21"/>
  <c r="BY45" i="21"/>
  <c r="BY10" i="21"/>
  <c r="BY26" i="6"/>
  <c r="BY19" i="21"/>
  <c r="BY33" i="6"/>
  <c r="BY22" i="6"/>
  <c r="BY39" i="6"/>
  <c r="BY14" i="6"/>
  <c r="BY41" i="6"/>
  <c r="BY44" i="6"/>
  <c r="BY35" i="6"/>
  <c r="BY14" i="5"/>
  <c r="BY28" i="6"/>
  <c r="BY38" i="5"/>
  <c r="BY29" i="5"/>
  <c r="BY9" i="5"/>
  <c r="BY21" i="5"/>
  <c r="BY32" i="5"/>
  <c r="BY18" i="5"/>
  <c r="BY34" i="4"/>
  <c r="BY44" i="4"/>
  <c r="BY13" i="4"/>
  <c r="BY47" i="3"/>
  <c r="BY55" i="3"/>
  <c r="BY10" i="3"/>
  <c r="BY41" i="3"/>
  <c r="BY51" i="3"/>
  <c r="BY15" i="3"/>
  <c r="BY38" i="3"/>
  <c r="BY54" i="2"/>
  <c r="BY58" i="2"/>
  <c r="BY21" i="2"/>
  <c r="BY12" i="3"/>
  <c r="BY55" i="2"/>
  <c r="BY55" i="1"/>
  <c r="BY18" i="1"/>
  <c r="BY10" i="1"/>
  <c r="BY12" i="1"/>
  <c r="BY36" i="1"/>
  <c r="BY29" i="1"/>
  <c r="BY24" i="6"/>
  <c r="BY51" i="5"/>
  <c r="BY41" i="4"/>
  <c r="BY56" i="4"/>
  <c r="BY23" i="3"/>
  <c r="BY14" i="2"/>
  <c r="BY44" i="1"/>
  <c r="BY52" i="21"/>
  <c r="BY17" i="21"/>
  <c r="BY22" i="21"/>
  <c r="BY39" i="21"/>
  <c r="BY25" i="6"/>
  <c r="BY15" i="6"/>
  <c r="BY30" i="6"/>
  <c r="BY45" i="6"/>
  <c r="BY36" i="6"/>
  <c r="BY56" i="6"/>
  <c r="BY25" i="5"/>
  <c r="BY42" i="5"/>
  <c r="BY47" i="5"/>
  <c r="BY15" i="5"/>
  <c r="BY27" i="5"/>
  <c r="BY22" i="5"/>
  <c r="BY11" i="4"/>
  <c r="BY52" i="4"/>
  <c r="BY27" i="4"/>
  <c r="BY23" i="4"/>
  <c r="BY30" i="3"/>
  <c r="BY17" i="3"/>
  <c r="BY22" i="3"/>
  <c r="BY40" i="3"/>
  <c r="BY31" i="3"/>
  <c r="BY50" i="2"/>
  <c r="BY49" i="2"/>
  <c r="BY38" i="2"/>
  <c r="BY44" i="2"/>
  <c r="BY56" i="2"/>
  <c r="BY13" i="2"/>
  <c r="BY26" i="2"/>
  <c r="BY29" i="2"/>
  <c r="BY27" i="2"/>
  <c r="BY45" i="1"/>
  <c r="BY49" i="1"/>
  <c r="BY33" i="1"/>
  <c r="BY31" i="1"/>
  <c r="BY58" i="1"/>
  <c r="BY15" i="1"/>
  <c r="BY21" i="6"/>
  <c r="BY12" i="5"/>
  <c r="BY54" i="3"/>
  <c r="BY51" i="2"/>
  <c r="BY22" i="2"/>
  <c r="BY38" i="1"/>
  <c r="BX16" i="21"/>
  <c r="BX29" i="21"/>
  <c r="BX21" i="21"/>
  <c r="BX24" i="21"/>
  <c r="BX13" i="21"/>
  <c r="BX55" i="21"/>
  <c r="BX26" i="21"/>
  <c r="BX26" i="6"/>
  <c r="BX33" i="6"/>
  <c r="BX53" i="6"/>
  <c r="BX56" i="6"/>
  <c r="BX30" i="6"/>
  <c r="BX55" i="6"/>
  <c r="BX42" i="6"/>
  <c r="BX26" i="5"/>
  <c r="BX49" i="5"/>
  <c r="BX11" i="5"/>
  <c r="BX20" i="5"/>
  <c r="BX9" i="5"/>
  <c r="BX31" i="5"/>
  <c r="BX35" i="4"/>
  <c r="BX33" i="4"/>
  <c r="BX39" i="3"/>
  <c r="BX51" i="3"/>
  <c r="BX45" i="3"/>
  <c r="BX49" i="3"/>
  <c r="BX22" i="3"/>
  <c r="BX39" i="2"/>
  <c r="BX48" i="2"/>
  <c r="BX48" i="1"/>
  <c r="BX12" i="1"/>
  <c r="BX38" i="1"/>
  <c r="BX42" i="1"/>
  <c r="BX17" i="1"/>
  <c r="BX50" i="21"/>
  <c r="BX32" i="21"/>
  <c r="BX44" i="21"/>
  <c r="BX36" i="21"/>
  <c r="BX38" i="21"/>
  <c r="BX40" i="21"/>
  <c r="BX58" i="21"/>
  <c r="BX54" i="21"/>
  <c r="BX57" i="21"/>
  <c r="BX45" i="6"/>
  <c r="BX56" i="5"/>
  <c r="BX9" i="6"/>
  <c r="BX40" i="6"/>
  <c r="BX16" i="5"/>
  <c r="BX46" i="5"/>
  <c r="BX19" i="5"/>
  <c r="BX45" i="4"/>
  <c r="BX12" i="4"/>
  <c r="BX38" i="4"/>
  <c r="BX49" i="4"/>
  <c r="BX19" i="4"/>
  <c r="BX48" i="4"/>
  <c r="BX23" i="4"/>
  <c r="BX16" i="3"/>
  <c r="BX25" i="3"/>
  <c r="BX40" i="3"/>
  <c r="BX12" i="3"/>
  <c r="BX57" i="2"/>
  <c r="BX53" i="2"/>
  <c r="BX15" i="2"/>
  <c r="BX40" i="2"/>
  <c r="BX51" i="1"/>
  <c r="BX56" i="1"/>
  <c r="BX34" i="1"/>
  <c r="BX10" i="1"/>
  <c r="BX50" i="1"/>
  <c r="BX15" i="1"/>
  <c r="BX21" i="1"/>
  <c r="BX25" i="1"/>
  <c r="BX49" i="21"/>
  <c r="BX28" i="21"/>
  <c r="BX56" i="21"/>
  <c r="BX47" i="21"/>
  <c r="BX51" i="6"/>
  <c r="BX44" i="6"/>
  <c r="BX21" i="6"/>
  <c r="BX46" i="6"/>
  <c r="BX54" i="6"/>
  <c r="BX23" i="6"/>
  <c r="BX34" i="6"/>
  <c r="BX36" i="5"/>
  <c r="BX21" i="5"/>
  <c r="BX54" i="5"/>
  <c r="BX57" i="5"/>
  <c r="BX34" i="5"/>
  <c r="BX39" i="5"/>
  <c r="BX27" i="5"/>
  <c r="BX30" i="4"/>
  <c r="BX47" i="4"/>
  <c r="BX53" i="4"/>
  <c r="BX54" i="4"/>
  <c r="BX55" i="4"/>
  <c r="BX10" i="4"/>
  <c r="BX13" i="3"/>
  <c r="BX58" i="3"/>
  <c r="BX20" i="4"/>
  <c r="BX37" i="4"/>
  <c r="BX30" i="3"/>
  <c r="BX54" i="3"/>
  <c r="BX56" i="3"/>
  <c r="BX42" i="3"/>
  <c r="BX27" i="2"/>
  <c r="BX16" i="2"/>
  <c r="BX20" i="2"/>
  <c r="BX42" i="2"/>
  <c r="BX22" i="2"/>
  <c r="BX56" i="2"/>
  <c r="BX49" i="2"/>
  <c r="BX58" i="2"/>
  <c r="BX13" i="2"/>
  <c r="BX44" i="1"/>
  <c r="BX39" i="1"/>
  <c r="BX37" i="1"/>
  <c r="BX18" i="1"/>
  <c r="BX27" i="1"/>
  <c r="BX41" i="1"/>
  <c r="BX25" i="21"/>
  <c r="BX22" i="21"/>
  <c r="BX11" i="21"/>
  <c r="BX34" i="21"/>
  <c r="BX52" i="21"/>
  <c r="BX23" i="21"/>
  <c r="BX43" i="21"/>
  <c r="BX49" i="6"/>
  <c r="BX32" i="6"/>
  <c r="BX38" i="6"/>
  <c r="BX41" i="6"/>
  <c r="BX35" i="6"/>
  <c r="BX14" i="6"/>
  <c r="BX58" i="5"/>
  <c r="BX47" i="5"/>
  <c r="BX45" i="5"/>
  <c r="BX13" i="5"/>
  <c r="BX35" i="5"/>
  <c r="BX51" i="5"/>
  <c r="BX13" i="6"/>
  <c r="BX43" i="4"/>
  <c r="BX39" i="4"/>
  <c r="BX11" i="4"/>
  <c r="BX37" i="5"/>
  <c r="BX58" i="4"/>
  <c r="BX13" i="4"/>
  <c r="BX56" i="4"/>
  <c r="BX9" i="4"/>
  <c r="BX34" i="3"/>
  <c r="BX57" i="3"/>
  <c r="BX21" i="3"/>
  <c r="BX55" i="3"/>
  <c r="BX24" i="3"/>
  <c r="BX52" i="3"/>
  <c r="BX10" i="3"/>
  <c r="BX29" i="3"/>
  <c r="BX43" i="3"/>
  <c r="BX50" i="3"/>
  <c r="BX51" i="2"/>
  <c r="BX24" i="2"/>
  <c r="BX11" i="2"/>
  <c r="BX14" i="2"/>
  <c r="BX32" i="2"/>
  <c r="BX12" i="2"/>
  <c r="BX35" i="2"/>
  <c r="BX33" i="1"/>
  <c r="BX57" i="1"/>
  <c r="BX36" i="1"/>
  <c r="BX20" i="21"/>
  <c r="BX25" i="6"/>
  <c r="BX48" i="21"/>
  <c r="BX27" i="21"/>
  <c r="BX27" i="6"/>
  <c r="BX52" i="6"/>
  <c r="BX11" i="6"/>
  <c r="BX47" i="6"/>
  <c r="BX28" i="5"/>
  <c r="BX52" i="5"/>
  <c r="BX44" i="5"/>
  <c r="BX29" i="5"/>
  <c r="BX18" i="5"/>
  <c r="BX33" i="5"/>
  <c r="BX17" i="4"/>
  <c r="BX29" i="4"/>
  <c r="BX50" i="4"/>
  <c r="BX57" i="4"/>
  <c r="BX26" i="4"/>
  <c r="BX25" i="4"/>
  <c r="BX42" i="4"/>
  <c r="BX32" i="4"/>
  <c r="BX51" i="4"/>
  <c r="BX40" i="4"/>
  <c r="BX44" i="4"/>
  <c r="BX41" i="4"/>
  <c r="BX14" i="3"/>
  <c r="BX28" i="4"/>
  <c r="BX20" i="3"/>
  <c r="BX31" i="3"/>
  <c r="BX46" i="3"/>
  <c r="BX52" i="4"/>
  <c r="BX53" i="3"/>
  <c r="BX43" i="2"/>
  <c r="BX37" i="2"/>
  <c r="BX44" i="2"/>
  <c r="BX34" i="2"/>
  <c r="BX28" i="2"/>
  <c r="BX29" i="2"/>
  <c r="BX9" i="2"/>
  <c r="BX26" i="2"/>
  <c r="BX35" i="1"/>
  <c r="BX49" i="1"/>
  <c r="BX30" i="1"/>
  <c r="BX45" i="1"/>
  <c r="BX22" i="1"/>
  <c r="BX23" i="1"/>
  <c r="BX13" i="1"/>
  <c r="BX10" i="21"/>
  <c r="BX30" i="21"/>
  <c r="BX39" i="21"/>
  <c r="BX18" i="21"/>
  <c r="BX9" i="21"/>
  <c r="BX31" i="21"/>
  <c r="BX33" i="21"/>
  <c r="BX17" i="6"/>
  <c r="BX10" i="6"/>
  <c r="BX19" i="6"/>
  <c r="BX57" i="6"/>
  <c r="BX41" i="5"/>
  <c r="BX15" i="5"/>
  <c r="BX46" i="4"/>
  <c r="BX42" i="5"/>
  <c r="BX31" i="4"/>
  <c r="BX48" i="6"/>
  <c r="BX34" i="4"/>
  <c r="BX16" i="4"/>
  <c r="BX22" i="4"/>
  <c r="BX27" i="4"/>
  <c r="BX35" i="3"/>
  <c r="BX33" i="3"/>
  <c r="BX9" i="3"/>
  <c r="BX19" i="3"/>
  <c r="BX36" i="3"/>
  <c r="BX47" i="3"/>
  <c r="BX11" i="3"/>
  <c r="BX18" i="3"/>
  <c r="BX32" i="3"/>
  <c r="BX37" i="3"/>
  <c r="BX38" i="3"/>
  <c r="BX36" i="2"/>
  <c r="BX54" i="2"/>
  <c r="BX33" i="2"/>
  <c r="BX10" i="2"/>
  <c r="BX18" i="2"/>
  <c r="BX25" i="2"/>
  <c r="BX41" i="2"/>
  <c r="BX38" i="2"/>
  <c r="BX24" i="1"/>
  <c r="BX53" i="1"/>
  <c r="BX54" i="1"/>
  <c r="BX58" i="1"/>
  <c r="BX16" i="1"/>
  <c r="BX43" i="1"/>
  <c r="BX28" i="1"/>
  <c r="BX19" i="1"/>
  <c r="BX51" i="21"/>
  <c r="BX19" i="21"/>
  <c r="BX18" i="6"/>
  <c r="BX12" i="21"/>
  <c r="BX36" i="6"/>
  <c r="BX15" i="6"/>
  <c r="BX12" i="5"/>
  <c r="BX21" i="2"/>
  <c r="BX45" i="2"/>
  <c r="BX29" i="1"/>
  <c r="BX46" i="21"/>
  <c r="BX28" i="6"/>
  <c r="BX39" i="6"/>
  <c r="BX23" i="5"/>
  <c r="BX38" i="5"/>
  <c r="BX40" i="5"/>
  <c r="BX55" i="5"/>
  <c r="BX21" i="4"/>
  <c r="BX27" i="3"/>
  <c r="BX41" i="3"/>
  <c r="BX23" i="2"/>
  <c r="BX50" i="2"/>
  <c r="BX31" i="2"/>
  <c r="BX47" i="2"/>
  <c r="BX55" i="1"/>
  <c r="BX40" i="1"/>
  <c r="BX42" i="21"/>
  <c r="BX20" i="6"/>
  <c r="BX37" i="6"/>
  <c r="BX23" i="3"/>
  <c r="BX44" i="3"/>
  <c r="BX17" i="3"/>
  <c r="BX17" i="2"/>
  <c r="BX52" i="2"/>
  <c r="BX30" i="2"/>
  <c r="BX31" i="1"/>
  <c r="BX11" i="1"/>
  <c r="BX17" i="21"/>
  <c r="BX45" i="21"/>
  <c r="BX31" i="6"/>
  <c r="BX50" i="6"/>
  <c r="BX25" i="5"/>
  <c r="BX24" i="6"/>
  <c r="BX10" i="5"/>
  <c r="BX14" i="5"/>
  <c r="BX46" i="2"/>
  <c r="BX52" i="1"/>
  <c r="BX53" i="21"/>
  <c r="BX58" i="6"/>
  <c r="BX30" i="5"/>
  <c r="BX50" i="5"/>
  <c r="BX16" i="6"/>
  <c r="BX24" i="5"/>
  <c r="BX36" i="4"/>
  <c r="BX28" i="3"/>
  <c r="BX14" i="4"/>
  <c r="BX48" i="5"/>
  <c r="BX47" i="1"/>
  <c r="BX41" i="21"/>
  <c r="BX37" i="21"/>
  <c r="BX12" i="6"/>
  <c r="BX43" i="5"/>
  <c r="BX24" i="4"/>
  <c r="BX18" i="4"/>
  <c r="BX14" i="1"/>
  <c r="BX26" i="1"/>
  <c r="BX20" i="1"/>
  <c r="BX15" i="21"/>
  <c r="BX22" i="6"/>
  <c r="BX43" i="6"/>
  <c r="BX22" i="5"/>
  <c r="BX15" i="3"/>
  <c r="BX26" i="3"/>
  <c r="BX48" i="3"/>
  <c r="BX19" i="2"/>
  <c r="BX46" i="1"/>
  <c r="BX14" i="21"/>
  <c r="BX35" i="21"/>
  <c r="BX29" i="6"/>
  <c r="BX32" i="5"/>
  <c r="BX53" i="5"/>
  <c r="BX17" i="5"/>
  <c r="BX15" i="4"/>
  <c r="BX55" i="2"/>
  <c r="BX9" i="1"/>
  <c r="BX32" i="1"/>
  <c r="BW35" i="1"/>
  <c r="BW12" i="1"/>
  <c r="BW57" i="1"/>
  <c r="BW38" i="1"/>
  <c r="BW42" i="1"/>
  <c r="BW9" i="1"/>
  <c r="BW16" i="1"/>
  <c r="BW49" i="1"/>
  <c r="BW58" i="1"/>
  <c r="BW36" i="1"/>
  <c r="BW39" i="1"/>
  <c r="BW15" i="1"/>
  <c r="BW47" i="1"/>
  <c r="BW37" i="1"/>
  <c r="BW11" i="1"/>
  <c r="BW44" i="1"/>
  <c r="BW29" i="1"/>
  <c r="BW43" i="1"/>
  <c r="BW56" i="1"/>
  <c r="BW53" i="1"/>
  <c r="BW46" i="1"/>
  <c r="BW10" i="1"/>
  <c r="BW27" i="1"/>
  <c r="BW24" i="1"/>
  <c r="BW48" i="1"/>
  <c r="BW14" i="1"/>
  <c r="BW17" i="1"/>
  <c r="BW19" i="1"/>
  <c r="BW28" i="1"/>
  <c r="BW51" i="1"/>
  <c r="BW45" i="1"/>
  <c r="BW33" i="1"/>
  <c r="BW55" i="1"/>
  <c r="BW26" i="1"/>
  <c r="BW41" i="1"/>
  <c r="BW34" i="1"/>
  <c r="BW18" i="1"/>
  <c r="BW54" i="1"/>
  <c r="BW40" i="1"/>
  <c r="BW20" i="1"/>
  <c r="BW31" i="1"/>
  <c r="BW52" i="1"/>
  <c r="BW32" i="1"/>
  <c r="BW21" i="1"/>
  <c r="BW25" i="1"/>
  <c r="BW30" i="1"/>
  <c r="BW13" i="1"/>
  <c r="BW22" i="1"/>
  <c r="BW50" i="1"/>
  <c r="BW23" i="1"/>
  <c r="N48" i="4" l="1"/>
  <c r="N23" i="4"/>
  <c r="N44" i="4" s="1"/>
  <c r="N16" i="4"/>
  <c r="N28" i="4"/>
  <c r="N31" i="4"/>
  <c r="N57" i="6"/>
  <c r="N37" i="6"/>
  <c r="N50" i="6"/>
  <c r="N24" i="6"/>
  <c r="N45" i="6"/>
  <c r="S15" i="2"/>
  <c r="S27" i="2"/>
  <c r="S55" i="2"/>
  <c r="S47" i="2"/>
  <c r="S16" i="2"/>
  <c r="S20" i="6"/>
  <c r="S45" i="6"/>
  <c r="S48" i="6"/>
  <c r="S53" i="6"/>
  <c r="S18" i="6"/>
  <c r="AB35" i="2"/>
  <c r="AB55" i="2"/>
  <c r="AB55" i="5"/>
  <c r="AB21" i="1"/>
  <c r="AB21" i="5"/>
  <c r="AB29" i="6"/>
  <c r="AB22" i="6"/>
  <c r="AB26" i="2"/>
  <c r="AB21" i="2"/>
  <c r="AB16" i="2"/>
  <c r="AB28" i="3"/>
  <c r="AB39" i="3" s="1"/>
  <c r="AB12" i="3"/>
  <c r="AB24" i="4"/>
  <c r="AB44" i="4" s="1"/>
  <c r="AB32" i="6"/>
  <c r="AB20" i="2"/>
  <c r="AB38" i="2" s="1"/>
  <c r="AB54" i="2"/>
  <c r="AB32" i="3"/>
  <c r="AB29" i="4"/>
  <c r="AB40" i="1"/>
  <c r="H34" i="13" s="1"/>
  <c r="AB39" i="1"/>
  <c r="H33" i="13" s="1"/>
  <c r="AB11" i="2"/>
  <c r="AB23" i="4"/>
  <c r="AB30" i="6"/>
  <c r="AB42" i="6" s="1"/>
  <c r="AB43" i="1"/>
  <c r="H37" i="13" s="1"/>
  <c r="AB24" i="3"/>
  <c r="AB44" i="3" s="1"/>
  <c r="AB21" i="4"/>
  <c r="AB34" i="6"/>
  <c r="AB27" i="6"/>
  <c r="AB40" i="6" s="1"/>
  <c r="AB51" i="6"/>
  <c r="AB37" i="21"/>
  <c r="AB17" i="21"/>
  <c r="AB57" i="21"/>
  <c r="AB30" i="2"/>
  <c r="AB42" i="2" s="1"/>
  <c r="AB51" i="2"/>
  <c r="AB25" i="3"/>
  <c r="AB43" i="3" s="1"/>
  <c r="AB31" i="3"/>
  <c r="AB36" i="3"/>
  <c r="AB20" i="4"/>
  <c r="AB38" i="4" s="1"/>
  <c r="AB25" i="6"/>
  <c r="AB43" i="6" s="1"/>
  <c r="AB10" i="2"/>
  <c r="AB31" i="2"/>
  <c r="AB21" i="3"/>
  <c r="AB13" i="3"/>
  <c r="AB53" i="5"/>
  <c r="AB26" i="5"/>
  <c r="AB35" i="6"/>
  <c r="AB15" i="6"/>
  <c r="AB29" i="1"/>
  <c r="H23" i="13" s="1"/>
  <c r="AB16" i="1"/>
  <c r="H10" i="13" s="1"/>
  <c r="AB37" i="1"/>
  <c r="AB24" i="2"/>
  <c r="AB44" i="2" s="1"/>
  <c r="AB37" i="3"/>
  <c r="AB24" i="5"/>
  <c r="AB44" i="5" s="1"/>
  <c r="AB19" i="4"/>
  <c r="AB27" i="5"/>
  <c r="AB40" i="5" s="1"/>
  <c r="AB18" i="5"/>
  <c r="AB24" i="1"/>
  <c r="H18" i="13" s="1"/>
  <c r="AB17" i="2"/>
  <c r="AB30" i="3"/>
  <c r="AB42" i="3" s="1"/>
  <c r="AB53" i="4"/>
  <c r="AB36" i="4"/>
  <c r="AB32" i="5"/>
  <c r="AB16" i="5"/>
  <c r="AB26" i="6"/>
  <c r="AB19" i="1"/>
  <c r="H13" i="13" s="1"/>
  <c r="AB42" i="1"/>
  <c r="H36" i="13" s="1"/>
  <c r="AB26" i="1"/>
  <c r="H20" i="13" s="1"/>
  <c r="AB14" i="2"/>
  <c r="AB27" i="2"/>
  <c r="AB40" i="2" s="1"/>
  <c r="AB22" i="2"/>
  <c r="AB33" i="2"/>
  <c r="AB41" i="2" s="1"/>
  <c r="AB57" i="2"/>
  <c r="AB37" i="2"/>
  <c r="AB27" i="3"/>
  <c r="AB40" i="3" s="1"/>
  <c r="AB22" i="3"/>
  <c r="AB54" i="4"/>
  <c r="AB19" i="3"/>
  <c r="AB52" i="4"/>
  <c r="AB14" i="4"/>
  <c r="AB28" i="4"/>
  <c r="AB39" i="4" s="1"/>
  <c r="AB13" i="4"/>
  <c r="AB56" i="4"/>
  <c r="AB55" i="4"/>
  <c r="AB52" i="5"/>
  <c r="AB56" i="5"/>
  <c r="AB55" i="6"/>
  <c r="AB14" i="5"/>
  <c r="AB34" i="5"/>
  <c r="AB10" i="6"/>
  <c r="AB37" i="5"/>
  <c r="AB54" i="5"/>
  <c r="AB24" i="6"/>
  <c r="AB44" i="6" s="1"/>
  <c r="AB53" i="6"/>
  <c r="AB9" i="6"/>
  <c r="AB56" i="6"/>
  <c r="AB52" i="21"/>
  <c r="AB36" i="21"/>
  <c r="AB22" i="21"/>
  <c r="AB23" i="21"/>
  <c r="AB56" i="21"/>
  <c r="AB26" i="21"/>
  <c r="AB11" i="1"/>
  <c r="H5" i="13" s="1"/>
  <c r="AB58" i="1"/>
  <c r="H52" i="13" s="1"/>
  <c r="AB22" i="1"/>
  <c r="H16" i="13" s="1"/>
  <c r="AB27" i="1"/>
  <c r="AB15" i="1"/>
  <c r="H9" i="13" s="1"/>
  <c r="AB41" i="1"/>
  <c r="H35" i="13" s="1"/>
  <c r="AB15" i="2"/>
  <c r="AB58" i="2"/>
  <c r="AB54" i="3"/>
  <c r="AB52" i="3"/>
  <c r="AB14" i="3"/>
  <c r="AB35" i="3"/>
  <c r="AB56" i="3"/>
  <c r="AB18" i="3"/>
  <c r="AB53" i="3"/>
  <c r="AB35" i="4"/>
  <c r="AB28" i="5"/>
  <c r="AB39" i="5" s="1"/>
  <c r="AB14" i="6"/>
  <c r="AB31" i="5"/>
  <c r="AB24" i="21"/>
  <c r="AB44" i="21" s="1"/>
  <c r="AB19" i="6"/>
  <c r="AB28" i="6"/>
  <c r="AB39" i="6" s="1"/>
  <c r="AB37" i="6"/>
  <c r="AB29" i="21"/>
  <c r="AB34" i="21"/>
  <c r="AB30" i="21"/>
  <c r="AB42" i="21" s="1"/>
  <c r="AB28" i="21"/>
  <c r="AB39" i="21" s="1"/>
  <c r="AB18" i="21"/>
  <c r="AB25" i="21"/>
  <c r="AB43" i="21" s="1"/>
  <c r="AB51" i="21"/>
  <c r="AB19" i="21"/>
  <c r="AB57" i="5"/>
  <c r="AB36" i="5"/>
  <c r="AB58" i="6"/>
  <c r="AB11" i="6"/>
  <c r="AB57" i="6"/>
  <c r="AB54" i="6"/>
  <c r="AB20" i="6"/>
  <c r="AB38" i="6" s="1"/>
  <c r="AB21" i="21"/>
  <c r="AB20" i="21"/>
  <c r="AB38" i="21" s="1"/>
  <c r="AB32" i="21"/>
  <c r="AB12" i="1"/>
  <c r="H6" i="13" s="1"/>
  <c r="AB20" i="1"/>
  <c r="H14" i="13" s="1"/>
  <c r="AB17" i="1"/>
  <c r="H11" i="13" s="1"/>
  <c r="AB34" i="2"/>
  <c r="AB28" i="2"/>
  <c r="AB39" i="2" s="1"/>
  <c r="AB18" i="2"/>
  <c r="AB26" i="3"/>
  <c r="AB16" i="3"/>
  <c r="AB55" i="3"/>
  <c r="AB18" i="4"/>
  <c r="AB10" i="4"/>
  <c r="AB17" i="4"/>
  <c r="AB29" i="3"/>
  <c r="AB30" i="4"/>
  <c r="AB42" i="4" s="1"/>
  <c r="AB34" i="4"/>
  <c r="AB29" i="5"/>
  <c r="AB23" i="5"/>
  <c r="AB58" i="5"/>
  <c r="AB12" i="6"/>
  <c r="AB21" i="6"/>
  <c r="AB17" i="6"/>
  <c r="AB23" i="6"/>
  <c r="AB36" i="6"/>
  <c r="AB15" i="21"/>
  <c r="AB35" i="21"/>
  <c r="AB9" i="21"/>
  <c r="AB16" i="21"/>
  <c r="AB32" i="1"/>
  <c r="H26" i="13" s="1"/>
  <c r="AB25" i="1"/>
  <c r="H19" i="13" s="1"/>
  <c r="AB38" i="1"/>
  <c r="AB57" i="1"/>
  <c r="H51" i="13" s="1"/>
  <c r="AB14" i="1"/>
  <c r="H8" i="13" s="1"/>
  <c r="AB32" i="2"/>
  <c r="AB13" i="2"/>
  <c r="AB53" i="2"/>
  <c r="AB23" i="2"/>
  <c r="AB58" i="3"/>
  <c r="AB15" i="3"/>
  <c r="AB17" i="3"/>
  <c r="AB26" i="4"/>
  <c r="AB33" i="3"/>
  <c r="AB41" i="3" s="1"/>
  <c r="AB9" i="3"/>
  <c r="AB34" i="3"/>
  <c r="AB32" i="4"/>
  <c r="AB27" i="4"/>
  <c r="AB40" i="4" s="1"/>
  <c r="AB25" i="5"/>
  <c r="AB43" i="5" s="1"/>
  <c r="AB33" i="4"/>
  <c r="AB41" i="4" s="1"/>
  <c r="AB15" i="4"/>
  <c r="AB35" i="5"/>
  <c r="AB12" i="4"/>
  <c r="AB33" i="5"/>
  <c r="AB41" i="5" s="1"/>
  <c r="AB13" i="5"/>
  <c r="AB10" i="5"/>
  <c r="AB17" i="5"/>
  <c r="AB18" i="6"/>
  <c r="AB11" i="21"/>
  <c r="AB31" i="21"/>
  <c r="AB13" i="21"/>
  <c r="AB55" i="21"/>
  <c r="AB18" i="1"/>
  <c r="H12" i="13" s="1"/>
  <c r="AB28" i="1"/>
  <c r="H22" i="13" s="1"/>
  <c r="F22" i="13" s="1"/>
  <c r="AB9" i="1"/>
  <c r="H3" i="13" s="1"/>
  <c r="AB30" i="1"/>
  <c r="AB13" i="1"/>
  <c r="H7" i="13" s="1"/>
  <c r="F7" i="13" s="1"/>
  <c r="AB33" i="1"/>
  <c r="H27" i="13" s="1"/>
  <c r="F27" i="13" s="1"/>
  <c r="AB35" i="1"/>
  <c r="H29" i="13" s="1"/>
  <c r="F29" i="13" s="1"/>
  <c r="AB36" i="2"/>
  <c r="AB29" i="2"/>
  <c r="AB9" i="2"/>
  <c r="AB12" i="2"/>
  <c r="AB25" i="2"/>
  <c r="AB43" i="2" s="1"/>
  <c r="AB11" i="3"/>
  <c r="AB23" i="3"/>
  <c r="AB20" i="3"/>
  <c r="AB38" i="3" s="1"/>
  <c r="AB58" i="4"/>
  <c r="AB10" i="3"/>
  <c r="AB31" i="4"/>
  <c r="AB11" i="4"/>
  <c r="AB9" i="5"/>
  <c r="AB37" i="4"/>
  <c r="AB51" i="4"/>
  <c r="AB22" i="5"/>
  <c r="AB12" i="5"/>
  <c r="AB19" i="5"/>
  <c r="AB33" i="6"/>
  <c r="AB41" i="6" s="1"/>
  <c r="AB53" i="21"/>
  <c r="AB52" i="6"/>
  <c r="AB10" i="21"/>
  <c r="AB54" i="21"/>
  <c r="AB10" i="1"/>
  <c r="H4" i="13" s="1"/>
  <c r="F4" i="13" s="1"/>
  <c r="AB31" i="1"/>
  <c r="H25" i="13" s="1"/>
  <c r="F25" i="13" s="1"/>
  <c r="AB34" i="1"/>
  <c r="H28" i="13" s="1"/>
  <c r="F28" i="13" s="1"/>
  <c r="AB36" i="1"/>
  <c r="AB23" i="1"/>
  <c r="AB19" i="2"/>
  <c r="AB56" i="2"/>
  <c r="AB52" i="2"/>
  <c r="AB22" i="4"/>
  <c r="AB51" i="3"/>
  <c r="AB57" i="4"/>
  <c r="AB9" i="4"/>
  <c r="AB57" i="3"/>
  <c r="AB11" i="5"/>
  <c r="AB16" i="4"/>
  <c r="AB25" i="4"/>
  <c r="AB43" i="4" s="1"/>
  <c r="AB20" i="5"/>
  <c r="AB38" i="5" s="1"/>
  <c r="AB15" i="5"/>
  <c r="AB30" i="5"/>
  <c r="AB42" i="5" s="1"/>
  <c r="AB33" i="21"/>
  <c r="AB41" i="21" s="1"/>
  <c r="AB13" i="6"/>
  <c r="AB16" i="6"/>
  <c r="AB31" i="6"/>
  <c r="AB27" i="21"/>
  <c r="AB40" i="21" s="1"/>
  <c r="AB58" i="21"/>
  <c r="AB12" i="21"/>
  <c r="AB14" i="21"/>
  <c r="F45" i="13"/>
  <c r="F50" i="13"/>
  <c r="AC15" i="2"/>
  <c r="AC12" i="4"/>
  <c r="AC36" i="4"/>
  <c r="AC35" i="2"/>
  <c r="AC56" i="2"/>
  <c r="AC30" i="1"/>
  <c r="AC38" i="1"/>
  <c r="AC26" i="1"/>
  <c r="I20" i="13" s="1"/>
  <c r="K20" i="13" s="1"/>
  <c r="AC28" i="1"/>
  <c r="I22" i="13" s="1"/>
  <c r="K22" i="13" s="1"/>
  <c r="AC25" i="1"/>
  <c r="I19" i="13" s="1"/>
  <c r="K19" i="13" s="1"/>
  <c r="AC25" i="2"/>
  <c r="AC43" i="2" s="1"/>
  <c r="AC55" i="3"/>
  <c r="AC23" i="5"/>
  <c r="AC53" i="4"/>
  <c r="AC28" i="5"/>
  <c r="AC39" i="5" s="1"/>
  <c r="AC30" i="6"/>
  <c r="AC42" i="6" s="1"/>
  <c r="AC35" i="6"/>
  <c r="AC17" i="5"/>
  <c r="AC15" i="5"/>
  <c r="AC52" i="6"/>
  <c r="AC19" i="21"/>
  <c r="AC37" i="21"/>
  <c r="AC27" i="1"/>
  <c r="AC30" i="4"/>
  <c r="AC42" i="4" s="1"/>
  <c r="AC20" i="1"/>
  <c r="I14" i="13" s="1"/>
  <c r="K14" i="13" s="1"/>
  <c r="AC11" i="1"/>
  <c r="I5" i="13" s="1"/>
  <c r="K5" i="13" s="1"/>
  <c r="AC26" i="2"/>
  <c r="AC21" i="21"/>
  <c r="AC58" i="1"/>
  <c r="I52" i="13" s="1"/>
  <c r="K52" i="13" s="1"/>
  <c r="AC21" i="3"/>
  <c r="AC24" i="3"/>
  <c r="AC44" i="3" s="1"/>
  <c r="AC58" i="4"/>
  <c r="AC54" i="4"/>
  <c r="AC15" i="4"/>
  <c r="AC13" i="6"/>
  <c r="AC53" i="6"/>
  <c r="AC10" i="6"/>
  <c r="AC33" i="21"/>
  <c r="AC41" i="21" s="1"/>
  <c r="AC34" i="21"/>
  <c r="AC56" i="3"/>
  <c r="AC26" i="4"/>
  <c r="AC37" i="5"/>
  <c r="AC54" i="5"/>
  <c r="AC58" i="5"/>
  <c r="AC55" i="21"/>
  <c r="AC12" i="21"/>
  <c r="AC39" i="1"/>
  <c r="I33" i="13" s="1"/>
  <c r="K33" i="13" s="1"/>
  <c r="AC19" i="1"/>
  <c r="I13" i="13" s="1"/>
  <c r="K13" i="13" s="1"/>
  <c r="AC13" i="1"/>
  <c r="I7" i="13" s="1"/>
  <c r="K7" i="13" s="1"/>
  <c r="AC43" i="1"/>
  <c r="I37" i="13" s="1"/>
  <c r="K37" i="13" s="1"/>
  <c r="AC36" i="2"/>
  <c r="AC37" i="3"/>
  <c r="AC36" i="3"/>
  <c r="AC13" i="3"/>
  <c r="AC9" i="3"/>
  <c r="AC51" i="4"/>
  <c r="AC34" i="5"/>
  <c r="AC35" i="5"/>
  <c r="AC32" i="6"/>
  <c r="AC9" i="6"/>
  <c r="AC58" i="6"/>
  <c r="AC34" i="6"/>
  <c r="AC22" i="6"/>
  <c r="AC58" i="21"/>
  <c r="AC52" i="2"/>
  <c r="AC58" i="2"/>
  <c r="AC56" i="5"/>
  <c r="AC11" i="21"/>
  <c r="AC56" i="21"/>
  <c r="AC21" i="1"/>
  <c r="AC25" i="3"/>
  <c r="AC43" i="3" s="1"/>
  <c r="AC31" i="2"/>
  <c r="AC27" i="4"/>
  <c r="AC40" i="4" s="1"/>
  <c r="AC20" i="5"/>
  <c r="AC38" i="5" s="1"/>
  <c r="AC21" i="6"/>
  <c r="AC55" i="6"/>
  <c r="AC15" i="6"/>
  <c r="AC26" i="21"/>
  <c r="AC57" i="21"/>
  <c r="AC17" i="21"/>
  <c r="AC23" i="1"/>
  <c r="AC16" i="1"/>
  <c r="I10" i="13" s="1"/>
  <c r="K10" i="13" s="1"/>
  <c r="AC23" i="2"/>
  <c r="AC26" i="3"/>
  <c r="AC31" i="4"/>
  <c r="AC20" i="3"/>
  <c r="AC38" i="3" s="1"/>
  <c r="AC31" i="3"/>
  <c r="AC21" i="4"/>
  <c r="AC16" i="4"/>
  <c r="AC11" i="5"/>
  <c r="AC24" i="4"/>
  <c r="AC44" i="4" s="1"/>
  <c r="AC19" i="5"/>
  <c r="AC56" i="4"/>
  <c r="AC23" i="6"/>
  <c r="AC26" i="6"/>
  <c r="AC17" i="6"/>
  <c r="AC24" i="21"/>
  <c r="AC44" i="21" s="1"/>
  <c r="AC10" i="21"/>
  <c r="AC16" i="21"/>
  <c r="AC35" i="21"/>
  <c r="AC30" i="21"/>
  <c r="AC42" i="21" s="1"/>
  <c r="AC57" i="1"/>
  <c r="I51" i="13" s="1"/>
  <c r="K51" i="13" s="1"/>
  <c r="AC34" i="1"/>
  <c r="I28" i="13" s="1"/>
  <c r="K28" i="13" s="1"/>
  <c r="AC12" i="3"/>
  <c r="AC19" i="2"/>
  <c r="AC28" i="2"/>
  <c r="AC39" i="2" s="1"/>
  <c r="AC54" i="2"/>
  <c r="AC16" i="2"/>
  <c r="AC10" i="2"/>
  <c r="AC55" i="2"/>
  <c r="AC24" i="2"/>
  <c r="AC44" i="2" s="1"/>
  <c r="AC10" i="3"/>
  <c r="AC34" i="4"/>
  <c r="AC33" i="3"/>
  <c r="AC41" i="3" s="1"/>
  <c r="AC11" i="3"/>
  <c r="AC54" i="3"/>
  <c r="AC15" i="3"/>
  <c r="AC22" i="4"/>
  <c r="AC29" i="4"/>
  <c r="AC9" i="4"/>
  <c r="AC13" i="4"/>
  <c r="AC30" i="5"/>
  <c r="AC42" i="5" s="1"/>
  <c r="AC55" i="4"/>
  <c r="AC36" i="6"/>
  <c r="AC11" i="6"/>
  <c r="AC31" i="6"/>
  <c r="AC25" i="6"/>
  <c r="AC43" i="6" s="1"/>
  <c r="AC33" i="6"/>
  <c r="AC41" i="6" s="1"/>
  <c r="AC36" i="21"/>
  <c r="AC20" i="21"/>
  <c r="AC38" i="21" s="1"/>
  <c r="AC23" i="21"/>
  <c r="AC14" i="21"/>
  <c r="AC32" i="1"/>
  <c r="I26" i="13" s="1"/>
  <c r="K26" i="13" s="1"/>
  <c r="AC24" i="1"/>
  <c r="I18" i="13" s="1"/>
  <c r="K18" i="13" s="1"/>
  <c r="AC17" i="1"/>
  <c r="I11" i="13" s="1"/>
  <c r="K11" i="13" s="1"/>
  <c r="AC18" i="1"/>
  <c r="I12" i="13" s="1"/>
  <c r="K12" i="13" s="1"/>
  <c r="AC36" i="1"/>
  <c r="AC42" i="1"/>
  <c r="I36" i="13" s="1"/>
  <c r="K36" i="13" s="1"/>
  <c r="AC11" i="2"/>
  <c r="AC9" i="2"/>
  <c r="AC12" i="2"/>
  <c r="AC27" i="2"/>
  <c r="AC40" i="2" s="1"/>
  <c r="AC29" i="3"/>
  <c r="AC52" i="4"/>
  <c r="AC32" i="3"/>
  <c r="AC18" i="3"/>
  <c r="AC58" i="3"/>
  <c r="AC23" i="3"/>
  <c r="AC11" i="4"/>
  <c r="AC33" i="4"/>
  <c r="AC41" i="4" s="1"/>
  <c r="AC10" i="4"/>
  <c r="AC29" i="5"/>
  <c r="AC21" i="5"/>
  <c r="AC20" i="4"/>
  <c r="AC38" i="4" s="1"/>
  <c r="AC31" i="5"/>
  <c r="AC28" i="4"/>
  <c r="AC39" i="4" s="1"/>
  <c r="AC36" i="5"/>
  <c r="AC29" i="6"/>
  <c r="AC14" i="6"/>
  <c r="AC37" i="6"/>
  <c r="AC27" i="6"/>
  <c r="AC40" i="6" s="1"/>
  <c r="AC29" i="21"/>
  <c r="AC13" i="21"/>
  <c r="AC9" i="21"/>
  <c r="AC51" i="21"/>
  <c r="AC22" i="1"/>
  <c r="I16" i="13" s="1"/>
  <c r="K16" i="13" s="1"/>
  <c r="G16" i="13" s="1"/>
  <c r="AC9" i="1"/>
  <c r="I3" i="13" s="1"/>
  <c r="K3" i="13" s="1"/>
  <c r="AC41" i="1"/>
  <c r="I35" i="13" s="1"/>
  <c r="K35" i="13" s="1"/>
  <c r="G35" i="13" s="1"/>
  <c r="AC14" i="1"/>
  <c r="I8" i="13" s="1"/>
  <c r="K8" i="13" s="1"/>
  <c r="G8" i="13" s="1"/>
  <c r="AC14" i="2"/>
  <c r="AC29" i="2"/>
  <c r="AC33" i="2"/>
  <c r="AC41" i="2" s="1"/>
  <c r="AC34" i="2"/>
  <c r="AC34" i="3"/>
  <c r="AC14" i="3"/>
  <c r="AC57" i="3"/>
  <c r="AC51" i="3"/>
  <c r="AC19" i="4"/>
  <c r="AC32" i="4"/>
  <c r="AC32" i="5"/>
  <c r="AC9" i="5"/>
  <c r="AC26" i="5"/>
  <c r="AC12" i="5"/>
  <c r="AC57" i="5"/>
  <c r="AC14" i="5"/>
  <c r="AC53" i="5"/>
  <c r="AC22" i="5"/>
  <c r="AC18" i="6"/>
  <c r="AC12" i="6"/>
  <c r="AC25" i="21"/>
  <c r="AC43" i="21" s="1"/>
  <c r="AC15" i="21"/>
  <c r="AC31" i="21"/>
  <c r="AC32" i="21"/>
  <c r="AC29" i="1"/>
  <c r="I23" i="13" s="1"/>
  <c r="K23" i="13" s="1"/>
  <c r="G23" i="13" s="1"/>
  <c r="AC31" i="1"/>
  <c r="I25" i="13" s="1"/>
  <c r="K25" i="13" s="1"/>
  <c r="G25" i="13" s="1"/>
  <c r="AC40" i="1"/>
  <c r="I34" i="13" s="1"/>
  <c r="K34" i="13" s="1"/>
  <c r="G34" i="13" s="1"/>
  <c r="AC12" i="1"/>
  <c r="I6" i="13" s="1"/>
  <c r="K6" i="13" s="1"/>
  <c r="G6" i="13" s="1"/>
  <c r="AC33" i="1"/>
  <c r="I27" i="13" s="1"/>
  <c r="K27" i="13" s="1"/>
  <c r="G27" i="13" s="1"/>
  <c r="AC10" i="1"/>
  <c r="I4" i="13" s="1"/>
  <c r="K4" i="13" s="1"/>
  <c r="G4" i="13" s="1"/>
  <c r="AC37" i="1"/>
  <c r="AC18" i="2"/>
  <c r="AC21" i="2"/>
  <c r="AC13" i="2"/>
  <c r="AC20" i="2"/>
  <c r="AC38" i="2" s="1"/>
  <c r="AC27" i="3"/>
  <c r="AC40" i="3" s="1"/>
  <c r="AC30" i="3"/>
  <c r="AC42" i="3" s="1"/>
  <c r="AC19" i="3"/>
  <c r="AC14" i="4"/>
  <c r="AC57" i="4"/>
  <c r="AC35" i="4"/>
  <c r="AC27" i="5"/>
  <c r="AC40" i="5" s="1"/>
  <c r="AC13" i="5"/>
  <c r="AC56" i="6"/>
  <c r="AC51" i="6"/>
  <c r="AC54" i="6"/>
  <c r="AC57" i="6"/>
  <c r="AC19" i="6"/>
  <c r="AC27" i="21"/>
  <c r="AC40" i="21" s="1"/>
  <c r="AC28" i="21"/>
  <c r="AC39" i="21" s="1"/>
  <c r="AC15" i="1"/>
  <c r="I9" i="13" s="1"/>
  <c r="K9" i="13" s="1"/>
  <c r="G9" i="13" s="1"/>
  <c r="AC35" i="1"/>
  <c r="I29" i="13" s="1"/>
  <c r="K29" i="13" s="1"/>
  <c r="G29" i="13" s="1"/>
  <c r="AC37" i="2"/>
  <c r="AC30" i="2"/>
  <c r="AC42" i="2" s="1"/>
  <c r="AC51" i="2"/>
  <c r="AC22" i="2"/>
  <c r="AC32" i="2"/>
  <c r="AC57" i="2"/>
  <c r="AC53" i="2"/>
  <c r="AC17" i="2"/>
  <c r="AC28" i="3"/>
  <c r="AC39" i="3" s="1"/>
  <c r="AC16" i="3"/>
  <c r="AC17" i="3"/>
  <c r="AC35" i="3"/>
  <c r="AC52" i="3"/>
  <c r="AC22" i="3"/>
  <c r="AC17" i="4"/>
  <c r="AC25" i="4"/>
  <c r="AC43" i="4" s="1"/>
  <c r="AC53" i="3"/>
  <c r="AC10" i="5"/>
  <c r="AC25" i="5"/>
  <c r="AC43" i="5" s="1"/>
  <c r="AC16" i="5"/>
  <c r="AC37" i="4"/>
  <c r="AC23" i="4"/>
  <c r="AC55" i="5"/>
  <c r="AC18" i="4"/>
  <c r="AC52" i="5"/>
  <c r="AC24" i="6"/>
  <c r="AC44" i="6" s="1"/>
  <c r="AC33" i="5"/>
  <c r="AC41" i="5" s="1"/>
  <c r="AC24" i="5"/>
  <c r="AC44" i="5" s="1"/>
  <c r="AC18" i="5"/>
  <c r="AC28" i="6"/>
  <c r="AC39" i="6" s="1"/>
  <c r="AC16" i="6"/>
  <c r="AC20" i="6"/>
  <c r="AC38" i="6" s="1"/>
  <c r="AC54" i="21"/>
  <c r="AC22" i="21"/>
  <c r="AC52" i="21"/>
  <c r="AC18" i="21"/>
  <c r="AC53" i="21"/>
  <c r="D281" i="10"/>
  <c r="F281" i="10"/>
  <c r="E281" i="10"/>
  <c r="H281" i="10"/>
  <c r="G281" i="10"/>
  <c r="E312" i="12"/>
  <c r="CA55" i="2"/>
  <c r="CA15" i="4"/>
  <c r="CA17" i="5"/>
  <c r="CA53" i="5"/>
  <c r="CA32" i="5"/>
  <c r="CA29" i="6"/>
  <c r="CA35" i="21"/>
  <c r="CA14" i="21"/>
  <c r="CA19" i="2"/>
  <c r="CA48" i="3"/>
  <c r="CA26" i="3"/>
  <c r="CA15" i="3"/>
  <c r="CA22" i="5"/>
  <c r="CA43" i="6"/>
  <c r="CA22" i="6"/>
  <c r="CA15" i="21"/>
  <c r="CA18" i="4"/>
  <c r="CA24" i="4"/>
  <c r="CA43" i="5"/>
  <c r="CA12" i="6"/>
  <c r="CA37" i="21"/>
  <c r="CA41" i="21"/>
  <c r="CA48" i="5"/>
  <c r="CA14" i="4"/>
  <c r="CA28" i="3"/>
  <c r="CA36" i="4"/>
  <c r="CA24" i="5"/>
  <c r="CA16" i="6"/>
  <c r="CA50" i="5"/>
  <c r="CA30" i="5"/>
  <c r="CA58" i="6"/>
  <c r="CA53" i="21"/>
  <c r="CA46" i="2"/>
  <c r="CA14" i="5"/>
  <c r="CA10" i="5"/>
  <c r="CA24" i="6"/>
  <c r="CA25" i="5"/>
  <c r="CA50" i="6"/>
  <c r="CA31" i="6"/>
  <c r="CA45" i="21"/>
  <c r="CA17" i="21"/>
  <c r="CA30" i="2"/>
  <c r="CA52" i="2"/>
  <c r="CA17" i="2"/>
  <c r="CA17" i="3"/>
  <c r="CA44" i="3"/>
  <c r="CA23" i="3"/>
  <c r="CA37" i="6"/>
  <c r="CA20" i="6"/>
  <c r="CA42" i="21"/>
  <c r="CA47" i="2"/>
  <c r="CA31" i="2"/>
  <c r="CA50" i="2"/>
  <c r="CA23" i="2"/>
  <c r="CA41" i="3"/>
  <c r="CA27" i="3"/>
  <c r="CA21" i="4"/>
  <c r="CA55" i="5"/>
  <c r="CA40" i="5"/>
  <c r="CA38" i="5"/>
  <c r="CA23" i="5"/>
  <c r="CA39" i="6"/>
  <c r="CA28" i="6"/>
  <c r="CA46" i="21"/>
  <c r="CA45" i="2"/>
  <c r="CA21" i="2"/>
  <c r="CA12" i="5"/>
  <c r="CA15" i="6"/>
  <c r="CA36" i="6"/>
  <c r="CA12" i="21"/>
  <c r="CA18" i="6"/>
  <c r="CA19" i="21"/>
  <c r="CA51" i="21"/>
  <c r="CA38" i="2"/>
  <c r="CA41" i="2"/>
  <c r="CA25" i="2"/>
  <c r="CA18" i="2"/>
  <c r="CA10" i="2"/>
  <c r="CA33" i="2"/>
  <c r="CA54" i="2"/>
  <c r="CA36" i="2"/>
  <c r="CA38" i="3"/>
  <c r="CA37" i="3"/>
  <c r="CA32" i="3"/>
  <c r="CA18" i="3"/>
  <c r="CA11" i="3"/>
  <c r="CA47" i="3"/>
  <c r="CA36" i="3"/>
  <c r="CA19" i="3"/>
  <c r="CA9" i="3"/>
  <c r="CA33" i="3"/>
  <c r="CA35" i="3"/>
  <c r="CA27" i="4"/>
  <c r="CA22" i="4"/>
  <c r="CA16" i="4"/>
  <c r="CA34" i="4"/>
  <c r="CA48" i="6"/>
  <c r="CA31" i="4"/>
  <c r="CA42" i="5"/>
  <c r="CA46" i="4"/>
  <c r="CA15" i="5"/>
  <c r="CA41" i="5"/>
  <c r="CA57" i="6"/>
  <c r="CA19" i="6"/>
  <c r="CA10" i="6"/>
  <c r="CA17" i="6"/>
  <c r="CA33" i="21"/>
  <c r="CA31" i="21"/>
  <c r="CA9" i="21"/>
  <c r="CA18" i="21"/>
  <c r="CA39" i="21"/>
  <c r="CA30" i="21"/>
  <c r="CA10" i="21"/>
  <c r="CA26" i="2"/>
  <c r="CA9" i="2"/>
  <c r="CA29" i="2"/>
  <c r="CA28" i="2"/>
  <c r="CA34" i="2"/>
  <c r="CA44" i="2"/>
  <c r="CA37" i="2"/>
  <c r="CA43" i="2"/>
  <c r="CA53" i="3"/>
  <c r="CA52" i="4"/>
  <c r="CA46" i="3"/>
  <c r="CA31" i="3"/>
  <c r="CA20" i="3"/>
  <c r="CA28" i="4"/>
  <c r="CA14" i="3"/>
  <c r="CA41" i="4"/>
  <c r="CA44" i="4"/>
  <c r="CA40" i="4"/>
  <c r="CA51" i="4"/>
  <c r="CA32" i="4"/>
  <c r="CA42" i="4"/>
  <c r="CA25" i="4"/>
  <c r="CA26" i="4"/>
  <c r="CA57" i="4"/>
  <c r="CA50" i="4"/>
  <c r="CA29" i="4"/>
  <c r="CA17" i="4"/>
  <c r="CA33" i="5"/>
  <c r="CA18" i="5"/>
  <c r="CA29" i="5"/>
  <c r="CA44" i="5"/>
  <c r="CA52" i="5"/>
  <c r="CA28" i="5"/>
  <c r="CA47" i="6"/>
  <c r="CA11" i="6"/>
  <c r="CA52" i="6"/>
  <c r="CA27" i="6"/>
  <c r="CA27" i="21"/>
  <c r="CA48" i="21"/>
  <c r="CA25" i="6"/>
  <c r="CA20" i="21"/>
  <c r="CA35" i="2"/>
  <c r="CA12" i="2"/>
  <c r="CA32" i="2"/>
  <c r="CA14" i="2"/>
  <c r="CA11" i="2"/>
  <c r="CA24" i="2"/>
  <c r="CA51" i="2"/>
  <c r="CA50" i="3"/>
  <c r="CA43" i="3"/>
  <c r="CA29" i="3"/>
  <c r="CA10" i="3"/>
  <c r="CA52" i="3"/>
  <c r="CA24" i="3"/>
  <c r="CA55" i="3"/>
  <c r="CA21" i="3"/>
  <c r="CA57" i="3"/>
  <c r="CA34" i="3"/>
  <c r="CA9" i="4"/>
  <c r="CA56" i="4"/>
  <c r="CA13" i="4"/>
  <c r="CA58" i="4"/>
  <c r="CA37" i="5"/>
  <c r="CA11" i="4"/>
  <c r="CA39" i="4"/>
  <c r="CA43" i="4"/>
  <c r="CA13" i="6"/>
  <c r="CA51" i="5"/>
  <c r="CA35" i="5"/>
  <c r="CA13" i="5"/>
  <c r="CA45" i="5"/>
  <c r="CA47" i="5"/>
  <c r="CA58" i="5"/>
  <c r="CA14" i="6"/>
  <c r="CA35" i="6"/>
  <c r="CA41" i="6"/>
  <c r="CA38" i="6"/>
  <c r="CA32" i="6"/>
  <c r="CA49" i="6"/>
  <c r="CA43" i="21"/>
  <c r="CA23" i="21"/>
  <c r="CA52" i="21"/>
  <c r="CA34" i="21"/>
  <c r="CA11" i="21"/>
  <c r="CA22" i="21"/>
  <c r="CA25" i="21"/>
  <c r="CA13" i="2"/>
  <c r="CA58" i="2"/>
  <c r="CA49" i="2"/>
  <c r="CA56" i="2"/>
  <c r="CA22" i="2"/>
  <c r="CA42" i="2"/>
  <c r="CA20" i="2"/>
  <c r="CA16" i="2"/>
  <c r="CA27" i="2"/>
  <c r="CA42" i="3"/>
  <c r="CA56" i="3"/>
  <c r="CA54" i="3"/>
  <c r="CA30" i="3"/>
  <c r="CA37" i="4"/>
  <c r="CA20" i="4"/>
  <c r="CA58" i="3"/>
  <c r="CA13" i="3"/>
  <c r="CA10" i="4"/>
  <c r="CA55" i="4"/>
  <c r="CA54" i="4"/>
  <c r="CA53" i="4"/>
  <c r="CA47" i="4"/>
  <c r="CA30" i="4"/>
  <c r="CA27" i="5"/>
  <c r="CA39" i="5"/>
  <c r="CA34" i="5"/>
  <c r="CA57" i="5"/>
  <c r="CA54" i="5"/>
  <c r="CA21" i="5"/>
  <c r="CA36" i="5"/>
  <c r="CA34" i="6"/>
  <c r="CA23" i="6"/>
  <c r="CA54" i="6"/>
  <c r="CA46" i="6"/>
  <c r="CA21" i="6"/>
  <c r="CA44" i="6"/>
  <c r="CA51" i="6"/>
  <c r="CA47" i="21"/>
  <c r="CA56" i="21"/>
  <c r="CA28" i="21"/>
  <c r="CA49" i="21"/>
  <c r="CA40" i="2"/>
  <c r="CA15" i="2"/>
  <c r="CA53" i="2"/>
  <c r="CA57" i="2"/>
  <c r="CA12" i="3"/>
  <c r="CA40" i="3"/>
  <c r="CA25" i="3"/>
  <c r="CA16" i="3"/>
  <c r="CA23" i="4"/>
  <c r="CA48" i="4"/>
  <c r="CA19" i="4"/>
  <c r="CA49" i="4"/>
  <c r="CA38" i="4"/>
  <c r="CA12" i="4"/>
  <c r="CA45" i="4"/>
  <c r="CA19" i="5"/>
  <c r="CA46" i="5"/>
  <c r="CA16" i="5"/>
  <c r="CA40" i="6"/>
  <c r="CA9" i="6"/>
  <c r="CA56" i="5"/>
  <c r="CA45" i="6"/>
  <c r="CA57" i="21"/>
  <c r="CA54" i="21"/>
  <c r="CA58" i="21"/>
  <c r="CA40" i="21"/>
  <c r="CA38" i="21"/>
  <c r="CA36" i="21"/>
  <c r="CA44" i="21"/>
  <c r="CA32" i="21"/>
  <c r="CA50" i="21"/>
  <c r="CA48" i="2"/>
  <c r="CA39" i="2"/>
  <c r="CA22" i="3"/>
  <c r="CA49" i="3"/>
  <c r="CA45" i="3"/>
  <c r="CA51" i="3"/>
  <c r="CA39" i="3"/>
  <c r="CA33" i="4"/>
  <c r="CA35" i="4"/>
  <c r="CA31" i="5"/>
  <c r="CA9" i="5"/>
  <c r="CA20" i="5"/>
  <c r="CA11" i="5"/>
  <c r="CA49" i="5"/>
  <c r="CA26" i="5"/>
  <c r="CA42" i="6"/>
  <c r="CA55" i="6"/>
  <c r="CA30" i="6"/>
  <c r="CA56" i="6"/>
  <c r="CA53" i="6"/>
  <c r="CA33" i="6"/>
  <c r="CA26" i="6"/>
  <c r="CA26" i="21"/>
  <c r="CA55" i="21"/>
  <c r="CA13" i="21"/>
  <c r="CA24" i="21"/>
  <c r="CA21" i="21"/>
  <c r="CA29" i="21"/>
  <c r="CA16" i="21"/>
  <c r="C312" i="12"/>
  <c r="G313" i="12" s="1"/>
  <c r="CA23" i="1"/>
  <c r="CA50" i="1"/>
  <c r="CA22" i="1"/>
  <c r="CA13" i="1"/>
  <c r="CA30" i="1"/>
  <c r="CA25" i="1"/>
  <c r="CA21" i="1"/>
  <c r="CA32" i="1"/>
  <c r="CA52" i="1"/>
  <c r="CA31" i="1"/>
  <c r="CA20" i="1"/>
  <c r="CA40" i="1"/>
  <c r="CA54" i="1"/>
  <c r="CA18" i="1"/>
  <c r="CA34" i="1"/>
  <c r="CA41" i="1"/>
  <c r="CA26" i="1"/>
  <c r="CA55" i="1"/>
  <c r="CA33" i="1"/>
  <c r="CA45" i="1"/>
  <c r="CA51" i="1"/>
  <c r="CA28" i="1"/>
  <c r="CA19" i="1"/>
  <c r="CA17" i="1"/>
  <c r="CA14" i="1"/>
  <c r="CA48" i="1"/>
  <c r="CA24" i="1"/>
  <c r="CA27" i="1"/>
  <c r="CA10" i="1"/>
  <c r="CA46" i="1"/>
  <c r="CA53" i="1"/>
  <c r="CA56" i="1"/>
  <c r="CA43" i="1"/>
  <c r="CA29" i="1"/>
  <c r="CA44" i="1"/>
  <c r="CA11" i="1"/>
  <c r="CA37" i="1"/>
  <c r="CA47" i="1"/>
  <c r="CA15" i="1"/>
  <c r="CA39" i="1"/>
  <c r="CA36" i="1"/>
  <c r="CA58" i="1"/>
  <c r="CA49" i="1"/>
  <c r="CA16" i="1"/>
  <c r="CA9" i="1"/>
  <c r="CA42" i="1"/>
  <c r="CA38" i="1"/>
  <c r="CA57" i="1"/>
  <c r="CA12" i="1"/>
  <c r="CA35" i="1"/>
  <c r="BB12" i="2"/>
  <c r="AZ52" i="2"/>
  <c r="BA46" i="3"/>
  <c r="AY37" i="1"/>
  <c r="AZ52" i="21"/>
  <c r="BC53" i="1"/>
  <c r="BC34" i="1"/>
  <c r="BB12" i="4"/>
  <c r="BA19" i="4"/>
  <c r="AX28" i="2"/>
  <c r="AX27" i="3"/>
  <c r="BC29" i="5"/>
  <c r="AY50" i="5"/>
  <c r="AY34" i="2"/>
  <c r="AZ25" i="3"/>
  <c r="BB12" i="6"/>
  <c r="BC26" i="2"/>
  <c r="AY24" i="2"/>
  <c r="AY34" i="4"/>
  <c r="BB43" i="4"/>
  <c r="BC36" i="1"/>
  <c r="AX36" i="1"/>
  <c r="BC11" i="3"/>
  <c r="AY40" i="6"/>
  <c r="BB42" i="2"/>
  <c r="BC43" i="2"/>
  <c r="AX23" i="6"/>
  <c r="BC27" i="2"/>
  <c r="AZ19" i="1"/>
  <c r="BB13" i="2"/>
  <c r="BC29" i="2"/>
  <c r="AY36" i="3"/>
  <c r="BB44" i="3"/>
  <c r="AX27" i="6"/>
  <c r="AX11" i="21"/>
  <c r="BB38" i="21"/>
  <c r="AY26" i="2"/>
  <c r="BB10" i="6"/>
  <c r="AY31" i="2"/>
  <c r="BA47" i="3"/>
  <c r="BA42" i="6"/>
  <c r="BB23" i="1"/>
  <c r="AY34" i="1"/>
  <c r="BA42" i="2"/>
  <c r="AZ15" i="3"/>
  <c r="BA42" i="4"/>
  <c r="AZ16" i="3"/>
  <c r="BA22" i="6"/>
  <c r="BC37" i="1"/>
  <c r="BA24" i="1"/>
  <c r="BC28" i="1"/>
  <c r="BA47" i="4"/>
  <c r="BC9" i="5"/>
  <c r="BA47" i="2"/>
  <c r="BC23" i="2"/>
  <c r="AX57" i="1"/>
  <c r="BA48" i="1"/>
  <c r="AZ22" i="1"/>
  <c r="AX54" i="4"/>
  <c r="BA42" i="3"/>
  <c r="BB55" i="5"/>
  <c r="AZ39" i="6"/>
  <c r="BC38" i="3"/>
  <c r="AZ51" i="6"/>
  <c r="AZ49" i="2"/>
  <c r="BB18" i="1"/>
  <c r="AZ27" i="1"/>
  <c r="BA19" i="2"/>
  <c r="AY38" i="3"/>
  <c r="BA28" i="4"/>
  <c r="BC31" i="6"/>
  <c r="BB22" i="1"/>
  <c r="AY32" i="2"/>
  <c r="AY28" i="2"/>
  <c r="AX11" i="2"/>
  <c r="AX16" i="2"/>
  <c r="BB15" i="1"/>
  <c r="AY58" i="3"/>
  <c r="BC28" i="4"/>
  <c r="BC30" i="5"/>
  <c r="BZ18" i="5"/>
  <c r="BA55" i="1"/>
  <c r="BA54" i="2"/>
  <c r="AZ41" i="1"/>
  <c r="AX55" i="2"/>
  <c r="BA30" i="1"/>
  <c r="AX12" i="2"/>
  <c r="AY50" i="2"/>
  <c r="BA32" i="1"/>
  <c r="BC45" i="4"/>
  <c r="AZ37" i="3"/>
  <c r="AX21" i="3"/>
  <c r="AX16" i="1"/>
  <c r="AX25" i="1"/>
  <c r="BB50" i="1"/>
  <c r="AZ37" i="2"/>
  <c r="AZ15" i="4"/>
  <c r="BC43" i="4"/>
  <c r="BC27" i="4"/>
  <c r="BA56" i="4"/>
  <c r="BA21" i="6"/>
  <c r="AZ16" i="1"/>
  <c r="BC25" i="1"/>
  <c r="AX27" i="2"/>
  <c r="BB17" i="1"/>
  <c r="AX23" i="3"/>
  <c r="BB13" i="4"/>
  <c r="BA42" i="5"/>
  <c r="AZ46" i="5"/>
  <c r="AY57" i="4"/>
  <c r="AX49" i="6"/>
  <c r="BC38" i="2"/>
  <c r="AX13" i="2"/>
  <c r="AZ27" i="2"/>
  <c r="BA16" i="1"/>
  <c r="AY13" i="1"/>
  <c r="BB16" i="2"/>
  <c r="BA21" i="2"/>
  <c r="AZ25" i="2"/>
  <c r="BC47" i="1"/>
  <c r="AZ42" i="2"/>
  <c r="AY50" i="3"/>
  <c r="BB44" i="4"/>
  <c r="BA22" i="4"/>
  <c r="BC29" i="3"/>
  <c r="AZ52" i="3"/>
  <c r="AZ19" i="4"/>
  <c r="AZ9" i="4"/>
  <c r="AY26" i="6"/>
  <c r="AY24" i="5"/>
  <c r="BC54" i="6"/>
  <c r="AX33" i="6"/>
  <c r="BC19" i="1"/>
  <c r="AY25" i="3"/>
  <c r="BB40" i="1"/>
  <c r="AY44" i="1"/>
  <c r="AY58" i="2"/>
  <c r="AZ25" i="4"/>
  <c r="BB18" i="3"/>
  <c r="BC31" i="4"/>
  <c r="BB18" i="6"/>
  <c r="BB29" i="6"/>
  <c r="AZ51" i="2"/>
  <c r="BA40" i="2"/>
  <c r="AY57" i="2"/>
  <c r="BC56" i="1"/>
  <c r="AZ54" i="2"/>
  <c r="AX56" i="1"/>
  <c r="AX46" i="1"/>
  <c r="BA46" i="2"/>
  <c r="AY34" i="3"/>
  <c r="AZ42" i="4"/>
  <c r="BC36" i="3"/>
  <c r="AX46" i="4"/>
  <c r="AZ25" i="6"/>
  <c r="BA40" i="5"/>
  <c r="BC14" i="5"/>
  <c r="BC55" i="1"/>
  <c r="AX50" i="1"/>
  <c r="BC41" i="1"/>
  <c r="BC13" i="2"/>
  <c r="AY14" i="2"/>
  <c r="BC57" i="1"/>
  <c r="BB38" i="1"/>
  <c r="AX31" i="1"/>
  <c r="AZ53" i="1"/>
  <c r="BC21" i="3"/>
  <c r="AY26" i="3"/>
  <c r="AY24" i="4"/>
  <c r="AZ42" i="3"/>
  <c r="BB29" i="4"/>
  <c r="AX13" i="3"/>
  <c r="AZ50" i="6"/>
  <c r="AY24" i="6"/>
  <c r="AX18" i="21"/>
  <c r="AX18" i="6"/>
  <c r="AX45" i="2"/>
  <c r="AX51" i="1"/>
  <c r="BC53" i="2"/>
  <c r="BC21" i="1"/>
  <c r="AZ56" i="1"/>
  <c r="AZ44" i="2"/>
  <c r="BC9" i="2"/>
  <c r="AY11" i="3"/>
  <c r="BB54" i="3"/>
  <c r="AZ19" i="3"/>
  <c r="AY30" i="5"/>
  <c r="AX10" i="6"/>
  <c r="AX10" i="2"/>
  <c r="AY12" i="21"/>
  <c r="AY12" i="5"/>
  <c r="AY18" i="4"/>
  <c r="AY18" i="2"/>
  <c r="AY18" i="6"/>
  <c r="AY9" i="21"/>
  <c r="AY9" i="2"/>
  <c r="AZ36" i="1"/>
  <c r="AZ28" i="3"/>
  <c r="BA56" i="1"/>
  <c r="BA50" i="2"/>
  <c r="BA31" i="2"/>
  <c r="BA31" i="3"/>
  <c r="BC13" i="1"/>
  <c r="BC15" i="2"/>
  <c r="AZ22" i="2"/>
  <c r="AY11" i="2"/>
  <c r="AY30" i="3"/>
  <c r="BC53" i="3"/>
  <c r="AZ46" i="4"/>
  <c r="AY51" i="4"/>
  <c r="AY51" i="2"/>
  <c r="AZ16" i="5"/>
  <c r="AZ16" i="4"/>
  <c r="BB58" i="21"/>
  <c r="BB58" i="5"/>
  <c r="AX25" i="21"/>
  <c r="AX27" i="1"/>
  <c r="AZ13" i="4"/>
  <c r="AZ13" i="2"/>
  <c r="BB34" i="1"/>
  <c r="BB31" i="2"/>
  <c r="AZ44" i="4"/>
  <c r="AZ44" i="6"/>
  <c r="AZ44" i="3"/>
  <c r="BB11" i="5"/>
  <c r="BB11" i="2"/>
  <c r="BB11" i="4"/>
  <c r="BB11" i="3"/>
  <c r="BC14" i="3"/>
  <c r="BC14" i="2"/>
  <c r="BC20" i="21"/>
  <c r="BC20" i="2"/>
  <c r="AZ9" i="2"/>
  <c r="AX25" i="2"/>
  <c r="BA57" i="1"/>
  <c r="AX17" i="1"/>
  <c r="AX49" i="1"/>
  <c r="BC24" i="1"/>
  <c r="BC58" i="3"/>
  <c r="AX25" i="4"/>
  <c r="BC49" i="4"/>
  <c r="AY19" i="4"/>
  <c r="AY11" i="5"/>
  <c r="BC20" i="6"/>
  <c r="AZ42" i="1"/>
  <c r="BC49" i="2"/>
  <c r="AX38" i="1"/>
  <c r="BA34" i="1"/>
  <c r="AX18" i="2"/>
  <c r="BC47" i="2"/>
  <c r="AY41" i="1"/>
  <c r="AZ20" i="2"/>
  <c r="BB29" i="2"/>
  <c r="BC58" i="2"/>
  <c r="BB22" i="3"/>
  <c r="BB41" i="3"/>
  <c r="BC38" i="4"/>
  <c r="BA31" i="4"/>
  <c r="BA12" i="6"/>
  <c r="BC49" i="5"/>
  <c r="AX45" i="4"/>
  <c r="AX29" i="3"/>
  <c r="AX29" i="2"/>
  <c r="AX35" i="4"/>
  <c r="AX35" i="2"/>
  <c r="AY30" i="21"/>
  <c r="AY30" i="4"/>
  <c r="AY27" i="6"/>
  <c r="AY27" i="4"/>
  <c r="AY25" i="1"/>
  <c r="AY23" i="2"/>
  <c r="BA17" i="3"/>
  <c r="BA17" i="2"/>
  <c r="BA39" i="6"/>
  <c r="BA39" i="4"/>
  <c r="BA45" i="1"/>
  <c r="BA57" i="4"/>
  <c r="BA57" i="2"/>
  <c r="BA37" i="2"/>
  <c r="BA37" i="3"/>
  <c r="BB51" i="3"/>
  <c r="BB58" i="1"/>
  <c r="BB18" i="2"/>
  <c r="AZ32" i="1"/>
  <c r="AZ52" i="4"/>
  <c r="BC28" i="3"/>
  <c r="BB43" i="6"/>
  <c r="AX21" i="5"/>
  <c r="AX21" i="4"/>
  <c r="AX21" i="2"/>
  <c r="BA24" i="21"/>
  <c r="BA24" i="2"/>
  <c r="BA38" i="21"/>
  <c r="BA38" i="3"/>
  <c r="BB20" i="1"/>
  <c r="BB17" i="6"/>
  <c r="BB17" i="2"/>
  <c r="BB25" i="5"/>
  <c r="BB25" i="2"/>
  <c r="BB56" i="4"/>
  <c r="BB56" i="2"/>
  <c r="BC33" i="21"/>
  <c r="BC33" i="2"/>
  <c r="BC33" i="3"/>
  <c r="AY42" i="1"/>
  <c r="BA38" i="2"/>
  <c r="AZ40" i="2"/>
  <c r="BB21" i="2"/>
  <c r="BB56" i="3"/>
  <c r="BA15" i="3"/>
  <c r="AX22" i="5"/>
  <c r="AX17" i="6"/>
  <c r="AX17" i="5"/>
  <c r="AX17" i="4"/>
  <c r="AY46" i="6"/>
  <c r="AY46" i="5"/>
  <c r="AY19" i="2"/>
  <c r="AY19" i="5"/>
  <c r="AZ12" i="21"/>
  <c r="AZ12" i="2"/>
  <c r="AZ54" i="4"/>
  <c r="AZ54" i="3"/>
  <c r="AZ23" i="4"/>
  <c r="AZ23" i="2"/>
  <c r="AZ23" i="3"/>
  <c r="BA14" i="4"/>
  <c r="BA14" i="2"/>
  <c r="BA26" i="3"/>
  <c r="BA26" i="2"/>
  <c r="AZ29" i="21"/>
  <c r="AZ29" i="4"/>
  <c r="AZ29" i="2"/>
  <c r="AX22" i="2"/>
  <c r="BA44" i="1"/>
  <c r="BB24" i="1"/>
  <c r="AX32" i="2"/>
  <c r="AZ31" i="4"/>
  <c r="BA40" i="3"/>
  <c r="AZ54" i="6"/>
  <c r="BA31" i="5"/>
  <c r="AX15" i="21"/>
  <c r="AX15" i="3"/>
  <c r="AX15" i="5"/>
  <c r="AX15" i="4"/>
  <c r="AX19" i="1"/>
  <c r="AY42" i="4"/>
  <c r="AY42" i="2"/>
  <c r="AY47" i="21"/>
  <c r="AY47" i="6"/>
  <c r="AY47" i="4"/>
  <c r="AY56" i="3"/>
  <c r="AY56" i="2"/>
  <c r="AY56" i="4"/>
  <c r="AY21" i="5"/>
  <c r="AY21" i="4"/>
  <c r="AZ13" i="21"/>
  <c r="AZ13" i="5"/>
  <c r="AZ10" i="5"/>
  <c r="AZ10" i="6"/>
  <c r="AZ10" i="3"/>
  <c r="AZ41" i="3"/>
  <c r="AZ41" i="2"/>
  <c r="AZ35" i="6"/>
  <c r="AZ35" i="4"/>
  <c r="BA30" i="3"/>
  <c r="BA30" i="2"/>
  <c r="BA28" i="5"/>
  <c r="BA28" i="6"/>
  <c r="BA28" i="2"/>
  <c r="BB53" i="3"/>
  <c r="BB53" i="4"/>
  <c r="BB49" i="4"/>
  <c r="BB49" i="3"/>
  <c r="BB20" i="3"/>
  <c r="BB20" i="6"/>
  <c r="BC42" i="4"/>
  <c r="BC42" i="5"/>
  <c r="BC56" i="21"/>
  <c r="BC56" i="3"/>
  <c r="AX29" i="1"/>
  <c r="BA39" i="1"/>
  <c r="BB32" i="4"/>
  <c r="AZ50" i="4"/>
  <c r="AZ29" i="3"/>
  <c r="BB21" i="5"/>
  <c r="BA58" i="6"/>
  <c r="AX14" i="5"/>
  <c r="AX14" i="3"/>
  <c r="AX26" i="1"/>
  <c r="AX26" i="6"/>
  <c r="AY15" i="5"/>
  <c r="AY15" i="2"/>
  <c r="AY25" i="5"/>
  <c r="AY25" i="6"/>
  <c r="AY48" i="21"/>
  <c r="AY48" i="3"/>
  <c r="AY54" i="1"/>
  <c r="AY48" i="4"/>
  <c r="AY57" i="5"/>
  <c r="AY57" i="6"/>
  <c r="AY37" i="5"/>
  <c r="AY37" i="3"/>
  <c r="AY43" i="1"/>
  <c r="BA11" i="6"/>
  <c r="BA11" i="5"/>
  <c r="BB36" i="5"/>
  <c r="BB41" i="1"/>
  <c r="BB36" i="3"/>
  <c r="BB28" i="21"/>
  <c r="BB28" i="5"/>
  <c r="BB56" i="1"/>
  <c r="BB50" i="5"/>
  <c r="BB50" i="4"/>
  <c r="BC34" i="21"/>
  <c r="BC34" i="6"/>
  <c r="BC45" i="1"/>
  <c r="BC39" i="3"/>
  <c r="BC39" i="4"/>
  <c r="BC48" i="6"/>
  <c r="BC54" i="1"/>
  <c r="BC57" i="6"/>
  <c r="BC57" i="3"/>
  <c r="BA41" i="2"/>
  <c r="AY52" i="1"/>
  <c r="BB40" i="2"/>
  <c r="AZ18" i="1"/>
  <c r="AY12" i="2"/>
  <c r="BB49" i="2"/>
  <c r="BA46" i="1"/>
  <c r="AY41" i="2"/>
  <c r="BB54" i="1"/>
  <c r="BA15" i="2"/>
  <c r="BB48" i="1"/>
  <c r="AZ38" i="2"/>
  <c r="BB46" i="2"/>
  <c r="AY25" i="2"/>
  <c r="AZ17" i="1"/>
  <c r="BC56" i="2"/>
  <c r="BC55" i="3"/>
  <c r="AX58" i="3"/>
  <c r="BB32" i="3"/>
  <c r="AZ40" i="4"/>
  <c r="AX25" i="3"/>
  <c r="AY42" i="3"/>
  <c r="AY18" i="3"/>
  <c r="AY19" i="3"/>
  <c r="AX58" i="4"/>
  <c r="BB17" i="5"/>
  <c r="AX36" i="5"/>
  <c r="AX36" i="2"/>
  <c r="BA47" i="1"/>
  <c r="AY33" i="2"/>
  <c r="BB46" i="1"/>
  <c r="AZ35" i="2"/>
  <c r="AY47" i="2"/>
  <c r="BB44" i="1"/>
  <c r="BA13" i="1"/>
  <c r="BB32" i="2"/>
  <c r="AZ31" i="2"/>
  <c r="BB52" i="2"/>
  <c r="BC45" i="2"/>
  <c r="BB52" i="1"/>
  <c r="AY27" i="1"/>
  <c r="AZ38" i="1"/>
  <c r="BA38" i="4"/>
  <c r="BC13" i="3"/>
  <c r="AZ38" i="3"/>
  <c r="BB46" i="4"/>
  <c r="AX32" i="3"/>
  <c r="BA41" i="4"/>
  <c r="BC24" i="3"/>
  <c r="AY12" i="3"/>
  <c r="BC48" i="3"/>
  <c r="BA24" i="6"/>
  <c r="BB52" i="5"/>
  <c r="BB38" i="6"/>
  <c r="BA30" i="5"/>
  <c r="AY10" i="6"/>
  <c r="AX42" i="5"/>
  <c r="AX42" i="3"/>
  <c r="AX42" i="2"/>
  <c r="AX42" i="4"/>
  <c r="AZ43" i="2"/>
  <c r="AY38" i="1"/>
  <c r="BB53" i="2"/>
  <c r="AZ40" i="1"/>
  <c r="AX44" i="2"/>
  <c r="AY53" i="1"/>
  <c r="AZ25" i="1"/>
  <c r="BB27" i="1"/>
  <c r="AZ34" i="1"/>
  <c r="BC51" i="1"/>
  <c r="AX55" i="1"/>
  <c r="AX20" i="1"/>
  <c r="AX56" i="3"/>
  <c r="BA34" i="4"/>
  <c r="BC33" i="4"/>
  <c r="BB46" i="3"/>
  <c r="BA41" i="3"/>
  <c r="BB38" i="4"/>
  <c r="AX56" i="5"/>
  <c r="BB22" i="6"/>
  <c r="BC45" i="5"/>
  <c r="BA57" i="6"/>
  <c r="BA15" i="4"/>
  <c r="BA19" i="1"/>
  <c r="AX24" i="1"/>
  <c r="BA49" i="2"/>
  <c r="AZ50" i="2"/>
  <c r="BC44" i="2"/>
  <c r="BC57" i="2"/>
  <c r="AX56" i="2"/>
  <c r="BA34" i="3"/>
  <c r="AX48" i="3"/>
  <c r="AZ43" i="3"/>
  <c r="BB34" i="3"/>
  <c r="BB56" i="5"/>
  <c r="AX56" i="4"/>
  <c r="AZ31" i="5"/>
  <c r="AY9" i="6"/>
  <c r="AX52" i="1"/>
  <c r="AX46" i="3"/>
  <c r="AX19" i="6"/>
  <c r="AX22" i="1"/>
  <c r="AY41" i="21"/>
  <c r="AY41" i="6"/>
  <c r="AY35" i="2"/>
  <c r="AY40" i="1"/>
  <c r="AZ49" i="4"/>
  <c r="AZ49" i="5"/>
  <c r="AZ55" i="1"/>
  <c r="AZ58" i="3"/>
  <c r="AZ58" i="4"/>
  <c r="AZ58" i="2"/>
  <c r="BA37" i="5"/>
  <c r="BA43" i="1"/>
  <c r="BB42" i="3"/>
  <c r="BB42" i="4"/>
  <c r="BB19" i="21"/>
  <c r="BB19" i="3"/>
  <c r="BC16" i="1"/>
  <c r="BC12" i="4"/>
  <c r="BC42" i="1"/>
  <c r="BC9" i="3"/>
  <c r="BC43" i="6"/>
  <c r="BC49" i="1"/>
  <c r="BC35" i="3"/>
  <c r="BC35" i="2"/>
  <c r="BC16" i="21"/>
  <c r="BC16" i="6"/>
  <c r="BC16" i="4"/>
  <c r="BC26" i="1"/>
  <c r="BC28" i="2"/>
  <c r="AX42" i="1"/>
  <c r="BA46" i="4"/>
  <c r="BC28" i="5"/>
  <c r="BA10" i="21"/>
  <c r="BC50" i="2"/>
  <c r="AZ58" i="1"/>
  <c r="BC44" i="1"/>
  <c r="BB35" i="2"/>
  <c r="AX15" i="1"/>
  <c r="AX40" i="1"/>
  <c r="AZ15" i="2"/>
  <c r="BA44" i="2"/>
  <c r="AZ19" i="2"/>
  <c r="BA10" i="2"/>
  <c r="AY49" i="4"/>
  <c r="BA44" i="4"/>
  <c r="BB29" i="3"/>
  <c r="AY43" i="6"/>
  <c r="AY43" i="3"/>
  <c r="AZ30" i="4"/>
  <c r="AZ30" i="6"/>
  <c r="BB24" i="21"/>
  <c r="BB24" i="4"/>
  <c r="BB37" i="21"/>
  <c r="BB43" i="1"/>
  <c r="BB15" i="2"/>
  <c r="AY18" i="1"/>
  <c r="BB24" i="3"/>
  <c r="BB37" i="6"/>
  <c r="AZ39" i="5"/>
  <c r="BA35" i="5"/>
  <c r="AX20" i="6"/>
  <c r="AX20" i="2"/>
  <c r="AY51" i="21"/>
  <c r="AY51" i="3"/>
  <c r="BA33" i="3"/>
  <c r="BA33" i="2"/>
  <c r="BA43" i="6"/>
  <c r="BA49" i="1"/>
  <c r="BB34" i="21"/>
  <c r="BB34" i="5"/>
  <c r="AZ49" i="1"/>
  <c r="AY58" i="1"/>
  <c r="BC23" i="1"/>
  <c r="BB33" i="1"/>
  <c r="AZ28" i="1"/>
  <c r="AY16" i="1"/>
  <c r="AX33" i="2"/>
  <c r="BB55" i="1"/>
  <c r="BB19" i="1"/>
  <c r="AZ37" i="1"/>
  <c r="AX9" i="2"/>
  <c r="BC36" i="2"/>
  <c r="BC42" i="2"/>
  <c r="BB31" i="1"/>
  <c r="BA34" i="2"/>
  <c r="AY30" i="1"/>
  <c r="BA42" i="1"/>
  <c r="BC38" i="1"/>
  <c r="AZ44" i="1"/>
  <c r="AX41" i="1"/>
  <c r="AY52" i="2"/>
  <c r="BA22" i="2"/>
  <c r="AY49" i="2"/>
  <c r="BB43" i="2"/>
  <c r="BA50" i="1"/>
  <c r="AZ48" i="1"/>
  <c r="BA43" i="2"/>
  <c r="AX37" i="2"/>
  <c r="AZ11" i="3"/>
  <c r="AY10" i="3"/>
  <c r="BA11" i="2"/>
  <c r="BC11" i="2"/>
  <c r="BC47" i="4"/>
  <c r="BB25" i="4"/>
  <c r="AY27" i="3"/>
  <c r="AX29" i="4"/>
  <c r="BB21" i="4"/>
  <c r="AY26" i="4"/>
  <c r="BB19" i="4"/>
  <c r="BA21" i="4"/>
  <c r="BA22" i="3"/>
  <c r="AY49" i="3"/>
  <c r="AX17" i="3"/>
  <c r="BA44" i="3"/>
  <c r="AX49" i="4"/>
  <c r="BB35" i="4"/>
  <c r="AZ51" i="4"/>
  <c r="AY46" i="4"/>
  <c r="BA28" i="3"/>
  <c r="AY43" i="4"/>
  <c r="BB20" i="4"/>
  <c r="BA26" i="4"/>
  <c r="AZ27" i="4"/>
  <c r="BC56" i="4"/>
  <c r="AY58" i="5"/>
  <c r="AZ38" i="6"/>
  <c r="AX54" i="5"/>
  <c r="BB38" i="5"/>
  <c r="BA21" i="5"/>
  <c r="BC16" i="5"/>
  <c r="AX49" i="5"/>
  <c r="BC27" i="6"/>
  <c r="AZ19" i="6"/>
  <c r="BA26" i="6"/>
  <c r="BC49" i="6"/>
  <c r="AZ36" i="5"/>
  <c r="AX28" i="6"/>
  <c r="AX28" i="4"/>
  <c r="AY42" i="5"/>
  <c r="AY48" i="1"/>
  <c r="AZ40" i="6"/>
  <c r="AZ46" i="1"/>
  <c r="AZ20" i="21"/>
  <c r="AZ20" i="3"/>
  <c r="AZ23" i="1"/>
  <c r="BA52" i="21"/>
  <c r="BA52" i="5"/>
  <c r="BA52" i="3"/>
  <c r="BA52" i="2"/>
  <c r="BA19" i="3"/>
  <c r="BA19" i="6"/>
  <c r="BB29" i="21"/>
  <c r="BB40" i="21"/>
  <c r="BB40" i="3"/>
  <c r="AY46" i="2"/>
  <c r="AY22" i="2"/>
  <c r="BA23" i="2"/>
  <c r="AY43" i="2"/>
  <c r="BB38" i="2"/>
  <c r="BC48" i="1"/>
  <c r="AX45" i="1"/>
  <c r="BA29" i="1"/>
  <c r="AY55" i="1"/>
  <c r="BA13" i="2"/>
  <c r="AZ11" i="2"/>
  <c r="AX10" i="3"/>
  <c r="BC47" i="3"/>
  <c r="BB17" i="3"/>
  <c r="BA21" i="3"/>
  <c r="AZ37" i="4"/>
  <c r="BA13" i="4"/>
  <c r="AX34" i="4"/>
  <c r="BB35" i="3"/>
  <c r="AY52" i="4"/>
  <c r="AY9" i="4"/>
  <c r="AZ27" i="3"/>
  <c r="BB57" i="4"/>
  <c r="AY58" i="4"/>
  <c r="BC33" i="6"/>
  <c r="BB15" i="6"/>
  <c r="BC41" i="6"/>
  <c r="BA13" i="6"/>
  <c r="BB49" i="6"/>
  <c r="BC28" i="6"/>
  <c r="AZ19" i="5"/>
  <c r="AZ29" i="6"/>
  <c r="BC11" i="21"/>
  <c r="AZ11" i="21"/>
  <c r="AX33" i="21"/>
  <c r="AY34" i="21"/>
  <c r="AY34" i="6"/>
  <c r="AZ41" i="4"/>
  <c r="AZ41" i="6"/>
  <c r="AZ27" i="21"/>
  <c r="BA56" i="6"/>
  <c r="BA56" i="2"/>
  <c r="BB11" i="6"/>
  <c r="BB11" i="21"/>
  <c r="BC53" i="5"/>
  <c r="BC53" i="21"/>
  <c r="BC53" i="6"/>
  <c r="BC53" i="4"/>
  <c r="AY29" i="1"/>
  <c r="BA25" i="1"/>
  <c r="AY49" i="1"/>
  <c r="BC22" i="2"/>
  <c r="AX14" i="2"/>
  <c r="BA17" i="1"/>
  <c r="BC22" i="4"/>
  <c r="BA13" i="3"/>
  <c r="AX34" i="3"/>
  <c r="BC54" i="3"/>
  <c r="AY52" i="3"/>
  <c r="BC11" i="4"/>
  <c r="AX10" i="5"/>
  <c r="AY30" i="6"/>
  <c r="BB15" i="5"/>
  <c r="BA13" i="5"/>
  <c r="BB24" i="6"/>
  <c r="BC26" i="5"/>
  <c r="AY51" i="6"/>
  <c r="AY43" i="5"/>
  <c r="BC56" i="6"/>
  <c r="BC11" i="6"/>
  <c r="AX16" i="21"/>
  <c r="AX16" i="3"/>
  <c r="AY36" i="21"/>
  <c r="AY36" i="2"/>
  <c r="BA24" i="5"/>
  <c r="BA21" i="1"/>
  <c r="BA57" i="21"/>
  <c r="BA57" i="5"/>
  <c r="BA57" i="3"/>
  <c r="BB12" i="21"/>
  <c r="BB12" i="3"/>
  <c r="BB16" i="1"/>
  <c r="BA35" i="2"/>
  <c r="AX48" i="2"/>
  <c r="BB34" i="2"/>
  <c r="AZ30" i="2"/>
  <c r="BC51" i="2"/>
  <c r="AX13" i="1"/>
  <c r="AZ39" i="2"/>
  <c r="BA38" i="1"/>
  <c r="AX34" i="2"/>
  <c r="AZ56" i="3"/>
  <c r="BB37" i="4"/>
  <c r="AZ39" i="4"/>
  <c r="AZ21" i="3"/>
  <c r="AX39" i="3"/>
  <c r="AZ30" i="3"/>
  <c r="AX34" i="6"/>
  <c r="AZ21" i="6"/>
  <c r="BB24" i="5"/>
  <c r="AX55" i="6"/>
  <c r="AX55" i="3"/>
  <c r="BC41" i="21"/>
  <c r="BC41" i="3"/>
  <c r="BC41" i="2"/>
  <c r="BA40" i="1"/>
  <c r="AX54" i="1"/>
  <c r="BB39" i="1"/>
  <c r="AZ30" i="1"/>
  <c r="BB37" i="2"/>
  <c r="BC54" i="2"/>
  <c r="AZ45" i="1"/>
  <c r="AX39" i="1"/>
  <c r="BB57" i="3"/>
  <c r="AX57" i="3"/>
  <c r="BB37" i="3"/>
  <c r="BC46" i="3"/>
  <c r="AY40" i="4"/>
  <c r="AX53" i="4"/>
  <c r="AZ39" i="3"/>
  <c r="BC41" i="4"/>
  <c r="AZ47" i="4"/>
  <c r="AZ36" i="3"/>
  <c r="BA10" i="5"/>
  <c r="BC47" i="6"/>
  <c r="AX39" i="6"/>
  <c r="AX34" i="5"/>
  <c r="BA22" i="5"/>
  <c r="AZ22" i="6"/>
  <c r="BB14" i="6"/>
  <c r="AY27" i="5"/>
  <c r="AY27" i="21"/>
  <c r="AZ42" i="21"/>
  <c r="BB22" i="21"/>
  <c r="BB22" i="5"/>
  <c r="BB22" i="4"/>
  <c r="BB22" i="2"/>
  <c r="BC12" i="21"/>
  <c r="BC12" i="3"/>
  <c r="BC12" i="2"/>
  <c r="BC35" i="21"/>
  <c r="BC35" i="5"/>
  <c r="BB24" i="2"/>
  <c r="AZ36" i="2"/>
  <c r="BB48" i="2"/>
  <c r="AZ47" i="2"/>
  <c r="BB57" i="2"/>
  <c r="AX14" i="4"/>
  <c r="BC29" i="4"/>
  <c r="AZ47" i="3"/>
  <c r="BA9" i="3"/>
  <c r="BA23" i="4"/>
  <c r="BB34" i="4"/>
  <c r="BC47" i="5"/>
  <c r="AX39" i="5"/>
  <c r="AY10" i="21"/>
  <c r="AX58" i="21"/>
  <c r="AY43" i="21"/>
  <c r="AY35" i="21"/>
  <c r="AY35" i="4"/>
  <c r="AY23" i="21"/>
  <c r="AY23" i="3"/>
  <c r="BA12" i="4"/>
  <c r="BA12" i="3"/>
  <c r="BB25" i="21"/>
  <c r="BB25" i="6"/>
  <c r="BB25" i="3"/>
  <c r="BB56" i="6"/>
  <c r="BB56" i="21"/>
  <c r="BC13" i="4"/>
  <c r="BC17" i="1"/>
  <c r="AY44" i="5"/>
  <c r="AY44" i="21"/>
  <c r="BC19" i="21"/>
  <c r="BC19" i="5"/>
  <c r="AZ14" i="2"/>
  <c r="BC58" i="1"/>
  <c r="AY16" i="6"/>
  <c r="AZ24" i="5"/>
  <c r="AX26" i="5"/>
  <c r="AX11" i="6"/>
  <c r="AX33" i="5"/>
  <c r="AX33" i="4"/>
  <c r="AX18" i="4"/>
  <c r="AX18" i="5"/>
  <c r="AX43" i="21"/>
  <c r="AX43" i="3"/>
  <c r="AX27" i="21"/>
  <c r="AX37" i="1"/>
  <c r="AX54" i="21"/>
  <c r="AX54" i="3"/>
  <c r="AX23" i="21"/>
  <c r="AX23" i="5"/>
  <c r="AY14" i="6"/>
  <c r="AY14" i="4"/>
  <c r="AY24" i="21"/>
  <c r="AY24" i="3"/>
  <c r="AY46" i="3"/>
  <c r="AY46" i="21"/>
  <c r="BA49" i="21"/>
  <c r="BA49" i="3"/>
  <c r="BA58" i="4"/>
  <c r="BA58" i="3"/>
  <c r="BB13" i="21"/>
  <c r="BB13" i="3"/>
  <c r="BB43" i="21"/>
  <c r="BB43" i="5"/>
  <c r="BB49" i="1"/>
  <c r="BB35" i="21"/>
  <c r="BB35" i="5"/>
  <c r="BB16" i="21"/>
  <c r="BB16" i="4"/>
  <c r="BC24" i="6"/>
  <c r="BC24" i="4"/>
  <c r="BC42" i="6"/>
  <c r="BC42" i="3"/>
  <c r="AZ13" i="1"/>
  <c r="BC46" i="2"/>
  <c r="BC52" i="4"/>
  <c r="AX26" i="4"/>
  <c r="AX11" i="4"/>
  <c r="BC19" i="6"/>
  <c r="AX31" i="6"/>
  <c r="AX35" i="21"/>
  <c r="AX35" i="6"/>
  <c r="AY19" i="21"/>
  <c r="AY19" i="6"/>
  <c r="AZ56" i="4"/>
  <c r="AZ56" i="5"/>
  <c r="AZ21" i="4"/>
  <c r="AZ24" i="1"/>
  <c r="BA33" i="21"/>
  <c r="BA33" i="5"/>
  <c r="BA30" i="21"/>
  <c r="BA30" i="6"/>
  <c r="BA50" i="21"/>
  <c r="BA50" i="6"/>
  <c r="BA50" i="4"/>
  <c r="BA31" i="21"/>
  <c r="BA31" i="6"/>
  <c r="BB10" i="21"/>
  <c r="BB10" i="5"/>
  <c r="BB10" i="2"/>
  <c r="BB10" i="3"/>
  <c r="BB44" i="21"/>
  <c r="BB44" i="2"/>
  <c r="BB55" i="6"/>
  <c r="BB55" i="4"/>
  <c r="BB55" i="2"/>
  <c r="BC14" i="21"/>
  <c r="BC14" i="4"/>
  <c r="BC37" i="21"/>
  <c r="BC37" i="3"/>
  <c r="BB54" i="2"/>
  <c r="AY44" i="2"/>
  <c r="BB26" i="2"/>
  <c r="BC52" i="2"/>
  <c r="BC52" i="1"/>
  <c r="AY55" i="3"/>
  <c r="BC52" i="3"/>
  <c r="BC19" i="4"/>
  <c r="AX26" i="3"/>
  <c r="AY45" i="3"/>
  <c r="BC52" i="6"/>
  <c r="BC51" i="6"/>
  <c r="AX50" i="5"/>
  <c r="BB54" i="6"/>
  <c r="AX17" i="21"/>
  <c r="AX17" i="2"/>
  <c r="AX22" i="21"/>
  <c r="AX22" i="4"/>
  <c r="AX52" i="21"/>
  <c r="AX52" i="6"/>
  <c r="AX45" i="21"/>
  <c r="AX45" i="5"/>
  <c r="AX45" i="3"/>
  <c r="AY38" i="5"/>
  <c r="AY38" i="6"/>
  <c r="AY38" i="2"/>
  <c r="AZ33" i="5"/>
  <c r="AZ33" i="2"/>
  <c r="AZ11" i="6"/>
  <c r="AZ11" i="4"/>
  <c r="AZ38" i="21"/>
  <c r="AZ38" i="4"/>
  <c r="AZ37" i="21"/>
  <c r="AZ43" i="1"/>
  <c r="BA11" i="21"/>
  <c r="BA11" i="3"/>
  <c r="BA11" i="4"/>
  <c r="BA27" i="21"/>
  <c r="BA27" i="4"/>
  <c r="BA54" i="5"/>
  <c r="BA54" i="4"/>
  <c r="BB17" i="21"/>
  <c r="BB17" i="4"/>
  <c r="BB52" i="21"/>
  <c r="BB52" i="6"/>
  <c r="BB52" i="4"/>
  <c r="BB32" i="1"/>
  <c r="BC38" i="21"/>
  <c r="BC38" i="6"/>
  <c r="AZ14" i="5"/>
  <c r="AZ14" i="3"/>
  <c r="BB41" i="5"/>
  <c r="BB47" i="1"/>
  <c r="BB41" i="21"/>
  <c r="BC25" i="5"/>
  <c r="BC25" i="6"/>
  <c r="BB57" i="1"/>
  <c r="AY50" i="1"/>
  <c r="BB26" i="1"/>
  <c r="BC27" i="1"/>
  <c r="BC32" i="1"/>
  <c r="AZ24" i="2"/>
  <c r="AY55" i="2"/>
  <c r="BC19" i="3"/>
  <c r="AX31" i="4"/>
  <c r="AY44" i="4"/>
  <c r="BB27" i="4"/>
  <c r="BC52" i="5"/>
  <c r="BC51" i="5"/>
  <c r="BB27" i="6"/>
  <c r="AY44" i="6"/>
  <c r="AY37" i="21"/>
  <c r="AY37" i="2"/>
  <c r="AZ28" i="5"/>
  <c r="AZ28" i="4"/>
  <c r="AZ40" i="21"/>
  <c r="AZ40" i="3"/>
  <c r="AZ49" i="21"/>
  <c r="AZ49" i="6"/>
  <c r="BA9" i="5"/>
  <c r="BA9" i="4"/>
  <c r="BB27" i="2"/>
  <c r="BA29" i="2"/>
  <c r="AY45" i="2"/>
  <c r="AX31" i="2"/>
  <c r="BC51" i="4"/>
  <c r="AX31" i="3"/>
  <c r="AY44" i="3"/>
  <c r="BB27" i="3"/>
  <c r="BC46" i="5"/>
  <c r="AX14" i="21"/>
  <c r="AX14" i="6"/>
  <c r="AX39" i="21"/>
  <c r="AX39" i="4"/>
  <c r="AY33" i="5"/>
  <c r="AY33" i="4"/>
  <c r="AY50" i="21"/>
  <c r="AY56" i="1"/>
  <c r="AY31" i="3"/>
  <c r="AY31" i="4"/>
  <c r="AZ13" i="6"/>
  <c r="AZ13" i="3"/>
  <c r="AZ31" i="21"/>
  <c r="AZ31" i="6"/>
  <c r="BA17" i="21"/>
  <c r="BA17" i="4"/>
  <c r="BA20" i="1"/>
  <c r="BA10" i="6"/>
  <c r="BA10" i="3"/>
  <c r="BB48" i="5"/>
  <c r="BB48" i="6"/>
  <c r="BB48" i="3"/>
  <c r="BB21" i="21"/>
  <c r="BB21" i="6"/>
  <c r="BC27" i="5"/>
  <c r="BC27" i="21"/>
  <c r="AZ24" i="21"/>
  <c r="AZ24" i="6"/>
  <c r="AZ24" i="3"/>
  <c r="AZ21" i="1"/>
  <c r="BA28" i="1"/>
  <c r="AY51" i="1"/>
  <c r="BC19" i="2"/>
  <c r="BC51" i="3"/>
  <c r="AX50" i="4"/>
  <c r="BC25" i="4"/>
  <c r="BA29" i="4"/>
  <c r="AX29" i="6"/>
  <c r="AX29" i="5"/>
  <c r="AX36" i="21"/>
  <c r="AX36" i="4"/>
  <c r="AX53" i="5"/>
  <c r="AX53" i="3"/>
  <c r="AX33" i="1"/>
  <c r="AX57" i="6"/>
  <c r="AX57" i="2"/>
  <c r="AY9" i="5"/>
  <c r="AY9" i="3"/>
  <c r="BA46" i="21"/>
  <c r="BA46" i="5"/>
  <c r="BA52" i="1"/>
  <c r="BB53" i="21"/>
  <c r="BB53" i="6"/>
  <c r="BC43" i="21"/>
  <c r="BC43" i="5"/>
  <c r="AX40" i="5"/>
  <c r="AX40" i="4"/>
  <c r="AX26" i="21"/>
  <c r="AX26" i="2"/>
  <c r="AY16" i="2"/>
  <c r="BC22" i="1"/>
  <c r="AX50" i="2"/>
  <c r="AX40" i="2"/>
  <c r="AX11" i="3"/>
  <c r="AX50" i="3"/>
  <c r="BB54" i="4"/>
  <c r="BB41" i="4"/>
  <c r="BC25" i="3"/>
  <c r="AY16" i="3"/>
  <c r="BA29" i="3"/>
  <c r="AX40" i="21"/>
  <c r="AX49" i="21"/>
  <c r="AX49" i="2"/>
  <c r="AX20" i="21"/>
  <c r="AX20" i="4"/>
  <c r="AX23" i="1"/>
  <c r="AZ16" i="6"/>
  <c r="AZ16" i="21"/>
  <c r="BA14" i="5"/>
  <c r="BA14" i="3"/>
  <c r="BC22" i="5"/>
  <c r="BC22" i="6"/>
  <c r="BC22" i="3"/>
  <c r="BC10" i="6"/>
  <c r="BC10" i="3"/>
  <c r="BC44" i="21"/>
  <c r="BC44" i="3"/>
  <c r="BC44" i="4"/>
  <c r="AY26" i="21"/>
  <c r="AY26" i="5"/>
  <c r="AZ22" i="21"/>
  <c r="AZ22" i="4"/>
  <c r="AZ43" i="21"/>
  <c r="AZ43" i="4"/>
  <c r="BC21" i="5"/>
  <c r="BC21" i="21"/>
  <c r="BC21" i="6"/>
  <c r="BB58" i="6"/>
  <c r="BB58" i="4"/>
  <c r="AY32" i="1"/>
  <c r="BC16" i="2"/>
  <c r="AZ29" i="1"/>
  <c r="BB28" i="1"/>
  <c r="BB58" i="3"/>
  <c r="BC21" i="4"/>
  <c r="BA24" i="3"/>
  <c r="AY15" i="3"/>
  <c r="BC16" i="3"/>
  <c r="AY25" i="4"/>
  <c r="BA56" i="5"/>
  <c r="AX46" i="5"/>
  <c r="AX46" i="21"/>
  <c r="AZ46" i="21"/>
  <c r="AZ46" i="3"/>
  <c r="AZ52" i="1"/>
  <c r="BA39" i="5"/>
  <c r="BA39" i="3"/>
  <c r="BB50" i="21"/>
  <c r="BB50" i="3"/>
  <c r="BB20" i="21"/>
  <c r="BB20" i="5"/>
  <c r="BC9" i="21"/>
  <c r="BC9" i="6"/>
  <c r="BC31" i="21"/>
  <c r="BC31" i="5"/>
  <c r="BC31" i="3"/>
  <c r="BC20" i="5"/>
  <c r="BC20" i="4"/>
  <c r="BC23" i="21"/>
  <c r="BC23" i="4"/>
  <c r="BA45" i="21"/>
  <c r="BA45" i="3"/>
  <c r="BA45" i="4"/>
  <c r="BA51" i="1"/>
  <c r="BA45" i="2"/>
  <c r="BA55" i="21"/>
  <c r="BA55" i="4"/>
  <c r="BA55" i="5"/>
  <c r="BA55" i="2"/>
  <c r="BA55" i="3"/>
  <c r="BA55" i="6"/>
  <c r="BB47" i="21"/>
  <c r="BB47" i="5"/>
  <c r="BB53" i="1"/>
  <c r="BB47" i="6"/>
  <c r="BB47" i="2"/>
  <c r="BB47" i="3"/>
  <c r="BB47" i="4"/>
  <c r="AX51" i="21"/>
  <c r="AX51" i="3"/>
  <c r="AX51" i="5"/>
  <c r="AX51" i="4"/>
  <c r="AX58" i="1"/>
  <c r="AX51" i="6"/>
  <c r="AX51" i="2"/>
  <c r="AX19" i="5"/>
  <c r="AX19" i="2"/>
  <c r="AX19" i="3"/>
  <c r="AY39" i="21"/>
  <c r="AY45" i="1"/>
  <c r="AY39" i="2"/>
  <c r="AZ45" i="21"/>
  <c r="AZ45" i="3"/>
  <c r="AZ45" i="6"/>
  <c r="AZ45" i="4"/>
  <c r="AZ51" i="1"/>
  <c r="AZ45" i="2"/>
  <c r="AZ55" i="6"/>
  <c r="AZ55" i="4"/>
  <c r="AZ55" i="5"/>
  <c r="AZ55" i="2"/>
  <c r="AZ55" i="21"/>
  <c r="AZ55" i="3"/>
  <c r="BA32" i="21"/>
  <c r="BA32" i="5"/>
  <c r="BA32" i="6"/>
  <c r="BA31" i="1"/>
  <c r="BA32" i="2"/>
  <c r="BA32" i="3"/>
  <c r="BC30" i="21"/>
  <c r="BC30" i="6"/>
  <c r="BC30" i="4"/>
  <c r="BC30" i="1"/>
  <c r="BC30" i="2"/>
  <c r="AY28" i="21"/>
  <c r="AY28" i="4"/>
  <c r="AY28" i="5"/>
  <c r="AY28" i="6"/>
  <c r="AY36" i="1"/>
  <c r="AZ53" i="5"/>
  <c r="AZ53" i="21"/>
  <c r="AZ33" i="1"/>
  <c r="AZ53" i="3"/>
  <c r="AZ53" i="2"/>
  <c r="AZ53" i="4"/>
  <c r="AZ39" i="1"/>
  <c r="AZ34" i="2"/>
  <c r="AZ34" i="3"/>
  <c r="AZ34" i="6"/>
  <c r="AZ34" i="4"/>
  <c r="BB30" i="5"/>
  <c r="BB30" i="1"/>
  <c r="BB30" i="3"/>
  <c r="BB30" i="2"/>
  <c r="BB30" i="4"/>
  <c r="BC18" i="21"/>
  <c r="BC18" i="2"/>
  <c r="AX30" i="21"/>
  <c r="AX30" i="5"/>
  <c r="AX30" i="1"/>
  <c r="AX30" i="6"/>
  <c r="AX30" i="3"/>
  <c r="AX30" i="2"/>
  <c r="AX30" i="4"/>
  <c r="AY13" i="21"/>
  <c r="AY13" i="5"/>
  <c r="AY13" i="6"/>
  <c r="AY13" i="3"/>
  <c r="AY17" i="1"/>
  <c r="AY13" i="4"/>
  <c r="AY13" i="2"/>
  <c r="BA53" i="21"/>
  <c r="BA53" i="6"/>
  <c r="BA33" i="1"/>
  <c r="BA53" i="3"/>
  <c r="BA53" i="2"/>
  <c r="BA53" i="4"/>
  <c r="BA18" i="21"/>
  <c r="BA18" i="3"/>
  <c r="BA18" i="4"/>
  <c r="BA15" i="1"/>
  <c r="BA18" i="2"/>
  <c r="BA18" i="5"/>
  <c r="BB33" i="21"/>
  <c r="BB33" i="4"/>
  <c r="BB33" i="2"/>
  <c r="BB33" i="5"/>
  <c r="BB33" i="6"/>
  <c r="AY17" i="5"/>
  <c r="AY17" i="6"/>
  <c r="AY17" i="4"/>
  <c r="AY17" i="21"/>
  <c r="AY17" i="3"/>
  <c r="AY20" i="1"/>
  <c r="AY17" i="2"/>
  <c r="BB23" i="21"/>
  <c r="BB23" i="5"/>
  <c r="BB23" i="2"/>
  <c r="BB23" i="3"/>
  <c r="BB23" i="4"/>
  <c r="AY20" i="21"/>
  <c r="AY20" i="5"/>
  <c r="AY23" i="1"/>
  <c r="AY20" i="6"/>
  <c r="AY20" i="3"/>
  <c r="AY20" i="2"/>
  <c r="AY20" i="4"/>
  <c r="AY54" i="21"/>
  <c r="AY54" i="5"/>
  <c r="AY57" i="1"/>
  <c r="AY54" i="3"/>
  <c r="AY54" i="2"/>
  <c r="AY54" i="4"/>
  <c r="AY54" i="6"/>
  <c r="BA16" i="5"/>
  <c r="BA16" i="6"/>
  <c r="BA16" i="4"/>
  <c r="BA16" i="21"/>
  <c r="BA16" i="3"/>
  <c r="BA18" i="1"/>
  <c r="BA16" i="2"/>
  <c r="BB51" i="21"/>
  <c r="BB51" i="5"/>
  <c r="BB51" i="4"/>
  <c r="BB51" i="2"/>
  <c r="BB51" i="6"/>
  <c r="BC40" i="1"/>
  <c r="AX23" i="4"/>
  <c r="BB36" i="4"/>
  <c r="AZ12" i="4"/>
  <c r="BB26" i="3"/>
  <c r="BA50" i="3"/>
  <c r="AX12" i="4"/>
  <c r="BC56" i="5"/>
  <c r="AY23" i="6"/>
  <c r="AX35" i="5"/>
  <c r="AX45" i="6"/>
  <c r="AY50" i="6"/>
  <c r="BB13" i="6"/>
  <c r="BA52" i="6"/>
  <c r="AZ25" i="5"/>
  <c r="AY15" i="6"/>
  <c r="AX15" i="6"/>
  <c r="AX20" i="5"/>
  <c r="BC23" i="5"/>
  <c r="AZ44" i="5"/>
  <c r="BB54" i="5"/>
  <c r="AZ43" i="6"/>
  <c r="BC34" i="5"/>
  <c r="BB55" i="21"/>
  <c r="AX28" i="5"/>
  <c r="AX28" i="21"/>
  <c r="AX21" i="21"/>
  <c r="AY15" i="21"/>
  <c r="AY38" i="21"/>
  <c r="AZ30" i="21"/>
  <c r="AZ30" i="5"/>
  <c r="BB48" i="21"/>
  <c r="BC45" i="21"/>
  <c r="BC45" i="6"/>
  <c r="AY10" i="5"/>
  <c r="AY10" i="4"/>
  <c r="AY16" i="21"/>
  <c r="AY16" i="5"/>
  <c r="AZ47" i="5"/>
  <c r="AZ47" i="21"/>
  <c r="AZ56" i="6"/>
  <c r="AZ56" i="21"/>
  <c r="BA47" i="21"/>
  <c r="BA47" i="6"/>
  <c r="BA23" i="21"/>
  <c r="BA23" i="3"/>
  <c r="BC39" i="6"/>
  <c r="BC39" i="21"/>
  <c r="BC46" i="21"/>
  <c r="BC46" i="6"/>
  <c r="AY15" i="4"/>
  <c r="BA33" i="4"/>
  <c r="BA35" i="3"/>
  <c r="BB16" i="3"/>
  <c r="AZ33" i="3"/>
  <c r="AZ35" i="3"/>
  <c r="BB57" i="5"/>
  <c r="AX57" i="4"/>
  <c r="BB37" i="5"/>
  <c r="AX43" i="6"/>
  <c r="BC33" i="5"/>
  <c r="AX36" i="6"/>
  <c r="AX25" i="6"/>
  <c r="AZ22" i="5"/>
  <c r="BA40" i="6"/>
  <c r="BB16" i="5"/>
  <c r="BA12" i="5"/>
  <c r="AZ12" i="6"/>
  <c r="BB40" i="6"/>
  <c r="AX13" i="6"/>
  <c r="BB57" i="6"/>
  <c r="AY12" i="6"/>
  <c r="AY12" i="4"/>
  <c r="AY47" i="5"/>
  <c r="AY47" i="3"/>
  <c r="AZ15" i="21"/>
  <c r="AZ15" i="6"/>
  <c r="AZ9" i="21"/>
  <c r="AZ9" i="5"/>
  <c r="AZ57" i="2"/>
  <c r="AZ57" i="21"/>
  <c r="BA15" i="21"/>
  <c r="BA15" i="5"/>
  <c r="BA9" i="21"/>
  <c r="BA19" i="21"/>
  <c r="BA19" i="5"/>
  <c r="BC29" i="21"/>
  <c r="AY37" i="6"/>
  <c r="AX32" i="6"/>
  <c r="AZ12" i="5"/>
  <c r="BB40" i="5"/>
  <c r="AX13" i="5"/>
  <c r="AY57" i="21"/>
  <c r="AX29" i="21"/>
  <c r="AX43" i="5"/>
  <c r="AX43" i="4"/>
  <c r="AX31" i="21"/>
  <c r="AX31" i="5"/>
  <c r="AY33" i="21"/>
  <c r="AY52" i="5"/>
  <c r="AY52" i="6"/>
  <c r="AZ14" i="21"/>
  <c r="AZ10" i="21"/>
  <c r="AZ10" i="4"/>
  <c r="AZ41" i="21"/>
  <c r="AZ41" i="5"/>
  <c r="AZ58" i="6"/>
  <c r="AZ58" i="5"/>
  <c r="BA12" i="21"/>
  <c r="BA14" i="21"/>
  <c r="BA40" i="21"/>
  <c r="BA58" i="21"/>
  <c r="BA58" i="5"/>
  <c r="BB15" i="21"/>
  <c r="BB15" i="4"/>
  <c r="BB31" i="21"/>
  <c r="BB31" i="4"/>
  <c r="BC26" i="21"/>
  <c r="BC26" i="3"/>
  <c r="BC34" i="2"/>
  <c r="BC34" i="4"/>
  <c r="AY49" i="5"/>
  <c r="AY49" i="21"/>
  <c r="AZ21" i="21"/>
  <c r="AZ21" i="5"/>
  <c r="BB32" i="5"/>
  <c r="BB32" i="21"/>
  <c r="BC36" i="5"/>
  <c r="BC36" i="4"/>
  <c r="BC48" i="21"/>
  <c r="BC48" i="5"/>
  <c r="BC48" i="4"/>
  <c r="BC39" i="1"/>
  <c r="BC34" i="3"/>
  <c r="AX13" i="4"/>
  <c r="AX54" i="6"/>
  <c r="AX53" i="6"/>
  <c r="BA33" i="6"/>
  <c r="BC39" i="5"/>
  <c r="BA41" i="6"/>
  <c r="AY33" i="6"/>
  <c r="BB53" i="5"/>
  <c r="AX12" i="21"/>
  <c r="AX53" i="21"/>
  <c r="AX44" i="5"/>
  <c r="AX44" i="3"/>
  <c r="AY18" i="5"/>
  <c r="AY18" i="21"/>
  <c r="AY42" i="21"/>
  <c r="AZ33" i="21"/>
  <c r="AZ36" i="21"/>
  <c r="AZ36" i="4"/>
  <c r="AZ44" i="21"/>
  <c r="BA54" i="21"/>
  <c r="BA54" i="6"/>
  <c r="BA37" i="21"/>
  <c r="BB36" i="21"/>
  <c r="BC49" i="21"/>
  <c r="BC35" i="4"/>
  <c r="BC35" i="6"/>
  <c r="AX42" i="21"/>
  <c r="AX42" i="6"/>
  <c r="AY45" i="21"/>
  <c r="AY45" i="4"/>
  <c r="BA35" i="21"/>
  <c r="BA35" i="4"/>
  <c r="BC58" i="6"/>
  <c r="BC58" i="4"/>
  <c r="AZ32" i="21"/>
  <c r="AZ32" i="5"/>
  <c r="AX32" i="1"/>
  <c r="AY24" i="1"/>
  <c r="BC43" i="1"/>
  <c r="BC15" i="1"/>
  <c r="AZ31" i="1"/>
  <c r="AY31" i="1"/>
  <c r="AX43" i="1"/>
  <c r="BC55" i="2"/>
  <c r="AX41" i="4"/>
  <c r="AY40" i="3"/>
  <c r="AY21" i="3"/>
  <c r="BA27" i="3"/>
  <c r="BC17" i="4"/>
  <c r="AZ57" i="5"/>
  <c r="AY40" i="5"/>
  <c r="BB9" i="6"/>
  <c r="AX52" i="5"/>
  <c r="AZ57" i="6"/>
  <c r="AX32" i="21"/>
  <c r="AX32" i="5"/>
  <c r="AX48" i="21"/>
  <c r="AX48" i="5"/>
  <c r="AZ34" i="21"/>
  <c r="AZ34" i="5"/>
  <c r="AZ23" i="21"/>
  <c r="AZ23" i="5"/>
  <c r="BA26" i="21"/>
  <c r="BA26" i="5"/>
  <c r="BB46" i="21"/>
  <c r="BB46" i="5"/>
  <c r="BC13" i="21"/>
  <c r="BC13" i="5"/>
  <c r="BC40" i="2"/>
  <c r="AZ18" i="2"/>
  <c r="BA36" i="2"/>
  <c r="BC17" i="2"/>
  <c r="AZ26" i="2"/>
  <c r="AY40" i="2"/>
  <c r="BB45" i="2"/>
  <c r="AX38" i="2"/>
  <c r="BB39" i="4"/>
  <c r="BA20" i="4"/>
  <c r="AX41" i="3"/>
  <c r="BB28" i="4"/>
  <c r="BA25" i="4"/>
  <c r="AY53" i="4"/>
  <c r="AX52" i="4"/>
  <c r="BC18" i="4"/>
  <c r="AZ32" i="4"/>
  <c r="AX47" i="4"/>
  <c r="BB9" i="4"/>
  <c r="BA51" i="4"/>
  <c r="AX38" i="4"/>
  <c r="AZ18" i="4"/>
  <c r="BB14" i="4"/>
  <c r="BC17" i="3"/>
  <c r="AZ57" i="4"/>
  <c r="AZ26" i="6"/>
  <c r="AY23" i="5"/>
  <c r="AY53" i="6"/>
  <c r="AX27" i="5"/>
  <c r="AX48" i="6"/>
  <c r="BB44" i="5"/>
  <c r="BA47" i="5"/>
  <c r="AZ37" i="5"/>
  <c r="AZ17" i="6"/>
  <c r="AY34" i="5"/>
  <c r="AX50" i="6"/>
  <c r="AX25" i="5"/>
  <c r="BB9" i="5"/>
  <c r="BA50" i="5"/>
  <c r="BC23" i="6"/>
  <c r="AZ46" i="6"/>
  <c r="BC26" i="6"/>
  <c r="BB23" i="6"/>
  <c r="AZ9" i="6"/>
  <c r="AY51" i="5"/>
  <c r="BB50" i="6"/>
  <c r="BA23" i="5"/>
  <c r="BA36" i="6"/>
  <c r="AZ29" i="5"/>
  <c r="AY58" i="6"/>
  <c r="AY14" i="21"/>
  <c r="AY14" i="5"/>
  <c r="AZ35" i="21"/>
  <c r="AZ35" i="5"/>
  <c r="AZ50" i="21"/>
  <c r="AZ50" i="5"/>
  <c r="BA28" i="21"/>
  <c r="BA39" i="21"/>
  <c r="BC22" i="21"/>
  <c r="BC46" i="1"/>
  <c r="AZ15" i="1"/>
  <c r="BA41" i="1"/>
  <c r="BC20" i="1"/>
  <c r="AZ26" i="1"/>
  <c r="AY46" i="1"/>
  <c r="BB51" i="1"/>
  <c r="AX44" i="1"/>
  <c r="BB39" i="3"/>
  <c r="BA20" i="3"/>
  <c r="BB28" i="3"/>
  <c r="BA25" i="3"/>
  <c r="AY53" i="3"/>
  <c r="AX52" i="3"/>
  <c r="BC18" i="3"/>
  <c r="AZ32" i="3"/>
  <c r="AX47" i="3"/>
  <c r="BB9" i="3"/>
  <c r="BA51" i="3"/>
  <c r="AX38" i="3"/>
  <c r="AZ18" i="3"/>
  <c r="BB14" i="3"/>
  <c r="AY29" i="4"/>
  <c r="BC40" i="4"/>
  <c r="BC55" i="5"/>
  <c r="AZ26" i="5"/>
  <c r="AY53" i="5"/>
  <c r="AZ48" i="6"/>
  <c r="AZ17" i="5"/>
  <c r="BA36" i="5"/>
  <c r="AZ54" i="21"/>
  <c r="AZ54" i="5"/>
  <c r="AX47" i="2"/>
  <c r="BA27" i="2"/>
  <c r="BA25" i="2"/>
  <c r="AY53" i="2"/>
  <c r="AZ48" i="2"/>
  <c r="AZ17" i="2"/>
  <c r="BA48" i="4"/>
  <c r="AY29" i="3"/>
  <c r="BC40" i="3"/>
  <c r="BC55" i="4"/>
  <c r="AZ48" i="5"/>
  <c r="BC17" i="6"/>
  <c r="AZ18" i="6"/>
  <c r="AX22" i="6"/>
  <c r="AY45" i="5"/>
  <c r="BA14" i="6"/>
  <c r="BC55" i="21"/>
  <c r="AX58" i="6"/>
  <c r="AX58" i="5"/>
  <c r="AX19" i="21"/>
  <c r="AY56" i="6"/>
  <c r="AY56" i="5"/>
  <c r="AZ28" i="21"/>
  <c r="BA41" i="21"/>
  <c r="BB18" i="21"/>
  <c r="BB18" i="5"/>
  <c r="BB30" i="21"/>
  <c r="BB27" i="21"/>
  <c r="BB27" i="5"/>
  <c r="BC36" i="21"/>
  <c r="BC25" i="21"/>
  <c r="AX41" i="21"/>
  <c r="AX41" i="5"/>
  <c r="AX53" i="1"/>
  <c r="BA37" i="1"/>
  <c r="BA27" i="1"/>
  <c r="AY33" i="1"/>
  <c r="AZ54" i="1"/>
  <c r="AZ20" i="1"/>
  <c r="AX37" i="3"/>
  <c r="BA48" i="3"/>
  <c r="BC32" i="4"/>
  <c r="BA20" i="6"/>
  <c r="BA48" i="6"/>
  <c r="AX47" i="6"/>
  <c r="BB45" i="6"/>
  <c r="AX38" i="6"/>
  <c r="BC17" i="5"/>
  <c r="BC32" i="6"/>
  <c r="BA27" i="6"/>
  <c r="BB49" i="21"/>
  <c r="BB49" i="5"/>
  <c r="BB28" i="2"/>
  <c r="BB14" i="2"/>
  <c r="BC32" i="2"/>
  <c r="AY29" i="2"/>
  <c r="BB39" i="2"/>
  <c r="BA20" i="2"/>
  <c r="AX41" i="2"/>
  <c r="BA48" i="2"/>
  <c r="BB9" i="2"/>
  <c r="BA51" i="2"/>
  <c r="AX24" i="2"/>
  <c r="AZ57" i="3"/>
  <c r="AZ26" i="4"/>
  <c r="AZ48" i="4"/>
  <c r="AZ17" i="4"/>
  <c r="BB45" i="4"/>
  <c r="AX24" i="4"/>
  <c r="BA36" i="4"/>
  <c r="BC32" i="3"/>
  <c r="BB39" i="6"/>
  <c r="BA20" i="5"/>
  <c r="AY29" i="6"/>
  <c r="BA48" i="5"/>
  <c r="AX47" i="5"/>
  <c r="BB45" i="5"/>
  <c r="AX38" i="5"/>
  <c r="BC32" i="5"/>
  <c r="BC37" i="6"/>
  <c r="BA27" i="5"/>
  <c r="AZ51" i="21"/>
  <c r="AZ51" i="5"/>
  <c r="BA43" i="21"/>
  <c r="BA43" i="5"/>
  <c r="BB42" i="21"/>
  <c r="BB42" i="5"/>
  <c r="BC24" i="21"/>
  <c r="BC24" i="5"/>
  <c r="BC54" i="21"/>
  <c r="BC54" i="5"/>
  <c r="BB36" i="1"/>
  <c r="BB13" i="1"/>
  <c r="BC31" i="1"/>
  <c r="AY28" i="1"/>
  <c r="BB45" i="1"/>
  <c r="BA23" i="1"/>
  <c r="AX47" i="1"/>
  <c r="BA54" i="1"/>
  <c r="BB42" i="1"/>
  <c r="BA58" i="1"/>
  <c r="AX21" i="1"/>
  <c r="AZ26" i="3"/>
  <c r="AZ48" i="3"/>
  <c r="AZ17" i="3"/>
  <c r="BB45" i="3"/>
  <c r="AX24" i="3"/>
  <c r="BA36" i="3"/>
  <c r="BC37" i="4"/>
  <c r="BB39" i="5"/>
  <c r="AY29" i="5"/>
  <c r="AZ32" i="6"/>
  <c r="BB28" i="6"/>
  <c r="BC37" i="5"/>
  <c r="AX24" i="21"/>
  <c r="AX55" i="21"/>
  <c r="AX55" i="4"/>
  <c r="AY31" i="21"/>
  <c r="AY31" i="5"/>
  <c r="AY21" i="21"/>
  <c r="AZ18" i="21"/>
  <c r="BA44" i="21"/>
  <c r="BA44" i="5"/>
  <c r="BB14" i="21"/>
  <c r="AY41" i="5"/>
  <c r="AY39" i="4"/>
  <c r="BA43" i="4"/>
  <c r="BC15" i="4"/>
  <c r="BC50" i="4"/>
  <c r="AY41" i="4"/>
  <c r="AX9" i="4"/>
  <c r="BC10" i="5"/>
  <c r="BC57" i="5"/>
  <c r="BA49" i="6"/>
  <c r="AY36" i="6"/>
  <c r="AX12" i="6"/>
  <c r="BC44" i="6"/>
  <c r="BA37" i="6"/>
  <c r="BA25" i="6"/>
  <c r="BC18" i="6"/>
  <c r="AX40" i="6"/>
  <c r="AZ42" i="6"/>
  <c r="AY48" i="6"/>
  <c r="AX24" i="6"/>
  <c r="BB41" i="6"/>
  <c r="BA9" i="6"/>
  <c r="AZ33" i="6"/>
  <c r="BC15" i="6"/>
  <c r="AX46" i="6"/>
  <c r="BA56" i="21"/>
  <c r="AX56" i="21"/>
  <c r="AX57" i="21"/>
  <c r="AY55" i="21"/>
  <c r="AY39" i="3"/>
  <c r="BA43" i="3"/>
  <c r="BC15" i="3"/>
  <c r="BC50" i="3"/>
  <c r="AY41" i="3"/>
  <c r="AX9" i="3"/>
  <c r="BC10" i="4"/>
  <c r="BC57" i="4"/>
  <c r="BA49" i="5"/>
  <c r="AY36" i="5"/>
  <c r="AX12" i="5"/>
  <c r="BC44" i="5"/>
  <c r="BA25" i="5"/>
  <c r="BC18" i="5"/>
  <c r="AY48" i="5"/>
  <c r="BC15" i="5"/>
  <c r="AY55" i="6"/>
  <c r="AX16" i="4"/>
  <c r="AX37" i="4"/>
  <c r="AY32" i="4"/>
  <c r="BB26" i="4"/>
  <c r="AX44" i="4"/>
  <c r="BA38" i="6"/>
  <c r="AZ53" i="6"/>
  <c r="AX16" i="6"/>
  <c r="BA17" i="6"/>
  <c r="BC12" i="6"/>
  <c r="BA51" i="6"/>
  <c r="AZ52" i="6"/>
  <c r="AY39" i="6"/>
  <c r="AY21" i="6"/>
  <c r="AY22" i="6"/>
  <c r="BC50" i="6"/>
  <c r="BB30" i="6"/>
  <c r="BB26" i="6"/>
  <c r="AX44" i="6"/>
  <c r="AZ27" i="6"/>
  <c r="AY11" i="21"/>
  <c r="AZ58" i="21"/>
  <c r="AX10" i="21"/>
  <c r="AY32" i="3"/>
  <c r="BA38" i="5"/>
  <c r="AX16" i="5"/>
  <c r="BA17" i="5"/>
  <c r="BC12" i="5"/>
  <c r="BA51" i="5"/>
  <c r="AY39" i="5"/>
  <c r="AY22" i="5"/>
  <c r="BC50" i="5"/>
  <c r="BB26" i="5"/>
  <c r="AY11" i="6"/>
  <c r="AY22" i="4"/>
  <c r="AY55" i="5"/>
  <c r="BA34" i="6"/>
  <c r="AZ14" i="6"/>
  <c r="AZ20" i="6"/>
  <c r="BB19" i="6"/>
  <c r="AY35" i="6"/>
  <c r="AY32" i="6"/>
  <c r="BA45" i="6"/>
  <c r="AX37" i="6"/>
  <c r="AZ28" i="6"/>
  <c r="BC40" i="6"/>
  <c r="BB36" i="6"/>
  <c r="BA29" i="6"/>
  <c r="AX9" i="6"/>
  <c r="BB31" i="6"/>
  <c r="BC10" i="21"/>
  <c r="BC58" i="21"/>
  <c r="BC57" i="21"/>
  <c r="AY22" i="3"/>
  <c r="BB31" i="3"/>
  <c r="BA34" i="5"/>
  <c r="AZ20" i="5"/>
  <c r="BB19" i="5"/>
  <c r="AY35" i="5"/>
  <c r="AY32" i="5"/>
  <c r="BA45" i="5"/>
  <c r="AX37" i="5"/>
  <c r="BC40" i="5"/>
  <c r="BA29" i="5"/>
  <c r="AX9" i="5"/>
  <c r="BB31" i="5"/>
  <c r="F14" i="13" l="1"/>
  <c r="F16" i="13"/>
  <c r="F23" i="13"/>
  <c r="F37" i="13"/>
  <c r="F51" i="13"/>
  <c r="F8" i="13"/>
  <c r="F5" i="13"/>
  <c r="F11" i="13"/>
  <c r="F6" i="13"/>
  <c r="F52" i="13"/>
  <c r="H24" i="13"/>
  <c r="F24" i="13" s="1"/>
  <c r="AB48" i="1"/>
  <c r="H42" i="13" s="1"/>
  <c r="F42" i="13" s="1"/>
  <c r="AB44" i="1"/>
  <c r="H38" i="13" s="1"/>
  <c r="F38" i="13" s="1"/>
  <c r="H17" i="13"/>
  <c r="F17" i="13" s="1"/>
  <c r="F3" i="13"/>
  <c r="F46" i="13"/>
  <c r="F47" i="13"/>
  <c r="F48" i="13"/>
  <c r="F49" i="13"/>
  <c r="AB47" i="1"/>
  <c r="H41" i="13" s="1"/>
  <c r="F41" i="13" s="1"/>
  <c r="H32" i="13"/>
  <c r="F32" i="13" s="1"/>
  <c r="F33" i="13"/>
  <c r="AB50" i="1"/>
  <c r="H44" i="13" s="1"/>
  <c r="F44" i="13" s="1"/>
  <c r="H15" i="13"/>
  <c r="F15" i="13" s="1"/>
  <c r="H30" i="13"/>
  <c r="F30" i="13" s="1"/>
  <c r="AB45" i="1"/>
  <c r="H39" i="13" s="1"/>
  <c r="F39" i="13" s="1"/>
  <c r="F19" i="13"/>
  <c r="F35" i="13"/>
  <c r="F20" i="13"/>
  <c r="F34" i="13"/>
  <c r="F12" i="13"/>
  <c r="F26" i="13"/>
  <c r="F9" i="13"/>
  <c r="F36" i="13"/>
  <c r="AB46" i="1"/>
  <c r="H40" i="13" s="1"/>
  <c r="F40" i="13" s="1"/>
  <c r="H31" i="13"/>
  <c r="F31" i="13" s="1"/>
  <c r="AB49" i="1"/>
  <c r="H43" i="13" s="1"/>
  <c r="F43" i="13" s="1"/>
  <c r="H21" i="13"/>
  <c r="F21" i="13" s="1"/>
  <c r="F13" i="13"/>
  <c r="F18" i="13"/>
  <c r="F10" i="13"/>
  <c r="G12" i="13"/>
  <c r="G13" i="13"/>
  <c r="G20" i="13"/>
  <c r="G36" i="13"/>
  <c r="G10" i="13"/>
  <c r="G37" i="13"/>
  <c r="G3" i="13"/>
  <c r="G49" i="13"/>
  <c r="G48" i="13"/>
  <c r="G46" i="13"/>
  <c r="G45" i="13"/>
  <c r="G50" i="13"/>
  <c r="G47" i="13"/>
  <c r="G11" i="13"/>
  <c r="G28" i="13"/>
  <c r="G33" i="13"/>
  <c r="I21" i="13"/>
  <c r="K21" i="13" s="1"/>
  <c r="G21" i="13" s="1"/>
  <c r="AC49" i="1"/>
  <c r="I43" i="13" s="1"/>
  <c r="K43" i="13" s="1"/>
  <c r="G43" i="13" s="1"/>
  <c r="AC47" i="1"/>
  <c r="I41" i="13" s="1"/>
  <c r="K41" i="13" s="1"/>
  <c r="G41" i="13" s="1"/>
  <c r="I32" i="13"/>
  <c r="K32" i="13" s="1"/>
  <c r="G32" i="13" s="1"/>
  <c r="G18" i="13"/>
  <c r="G51" i="13"/>
  <c r="AC50" i="1"/>
  <c r="I44" i="13" s="1"/>
  <c r="K44" i="13" s="1"/>
  <c r="G44" i="13" s="1"/>
  <c r="I15" i="13"/>
  <c r="K15" i="13" s="1"/>
  <c r="G15" i="13" s="1"/>
  <c r="AC48" i="1"/>
  <c r="I42" i="13" s="1"/>
  <c r="K42" i="13" s="1"/>
  <c r="G42" i="13" s="1"/>
  <c r="I24" i="13"/>
  <c r="K24" i="13" s="1"/>
  <c r="G24" i="13" s="1"/>
  <c r="G26" i="13"/>
  <c r="G52" i="13"/>
  <c r="AC46" i="1"/>
  <c r="I40" i="13" s="1"/>
  <c r="K40" i="13" s="1"/>
  <c r="G40" i="13" s="1"/>
  <c r="I31" i="13"/>
  <c r="K31" i="13" s="1"/>
  <c r="G31" i="13" s="1"/>
  <c r="G5" i="13"/>
  <c r="G19" i="13"/>
  <c r="AC45" i="1"/>
  <c r="I39" i="13" s="1"/>
  <c r="K39" i="13" s="1"/>
  <c r="G39" i="13" s="1"/>
  <c r="I30" i="13"/>
  <c r="K30" i="13" s="1"/>
  <c r="G30" i="13" s="1"/>
  <c r="I17" i="13"/>
  <c r="K17" i="13" s="1"/>
  <c r="G17" i="13" s="1"/>
  <c r="AC44" i="1"/>
  <c r="I38" i="13" s="1"/>
  <c r="K38" i="13" s="1"/>
  <c r="G38" i="13" s="1"/>
  <c r="G7" i="13"/>
  <c r="G14" i="13"/>
  <c r="G22" i="13"/>
  <c r="CA7" i="2"/>
  <c r="CA7" i="3"/>
  <c r="CB10" i="3" s="1"/>
  <c r="CC10" i="3" s="1"/>
  <c r="CA7" i="5"/>
  <c r="CB45" i="5" s="1"/>
  <c r="CC45" i="5" s="1"/>
  <c r="CA7" i="4"/>
  <c r="CB34" i="4" s="1"/>
  <c r="CC34" i="4" s="1"/>
  <c r="CA7" i="21"/>
  <c r="CB48" i="21" s="1"/>
  <c r="CC48" i="21" s="1"/>
  <c r="CA7" i="6"/>
  <c r="CB37" i="6" s="1"/>
  <c r="CC37" i="6" s="1"/>
  <c r="E313" i="12"/>
  <c r="F313" i="12"/>
  <c r="H313" i="12"/>
  <c r="D313" i="12"/>
  <c r="CA7" i="1"/>
  <c r="CB56" i="1" s="1"/>
  <c r="CC56" i="1" s="1"/>
  <c r="F55" i="13" l="1"/>
  <c r="F57" i="13" s="1"/>
  <c r="F56" i="13"/>
  <c r="F58" i="13" s="1"/>
  <c r="G56" i="13"/>
  <c r="G58" i="13" s="1"/>
  <c r="G55" i="13"/>
  <c r="G57" i="13" s="1"/>
  <c r="CB58" i="5"/>
  <c r="CC58" i="5" s="1"/>
  <c r="CB13" i="21"/>
  <c r="CC13" i="21" s="1"/>
  <c r="CB56" i="2"/>
  <c r="CC56" i="2" s="1"/>
  <c r="CB16" i="2"/>
  <c r="CC16" i="2" s="1"/>
  <c r="CB40" i="2"/>
  <c r="CC40" i="2" s="1"/>
  <c r="CB19" i="2"/>
  <c r="CC19" i="2" s="1"/>
  <c r="CB20" i="2"/>
  <c r="CC20" i="2" s="1"/>
  <c r="CB22" i="2"/>
  <c r="CC22" i="2" s="1"/>
  <c r="CB26" i="2"/>
  <c r="CC26" i="2" s="1"/>
  <c r="CB32" i="2"/>
  <c r="CC32" i="2" s="1"/>
  <c r="CB52" i="2"/>
  <c r="CC52" i="2" s="1"/>
  <c r="CB21" i="2"/>
  <c r="CC21" i="2" s="1"/>
  <c r="CB57" i="2"/>
  <c r="CC57" i="2" s="1"/>
  <c r="CB50" i="2"/>
  <c r="CC50" i="2" s="1"/>
  <c r="CB33" i="2"/>
  <c r="CC33" i="2" s="1"/>
  <c r="CB54" i="2"/>
  <c r="CC54" i="2" s="1"/>
  <c r="CB13" i="2"/>
  <c r="CC13" i="2" s="1"/>
  <c r="CB11" i="2"/>
  <c r="CC11" i="2" s="1"/>
  <c r="CB58" i="2"/>
  <c r="CC58" i="2" s="1"/>
  <c r="CB18" i="2"/>
  <c r="CC18" i="2" s="1"/>
  <c r="CB49" i="2"/>
  <c r="CC49" i="2" s="1"/>
  <c r="CB53" i="2"/>
  <c r="CC53" i="2" s="1"/>
  <c r="CB43" i="2"/>
  <c r="CC43" i="2" s="1"/>
  <c r="CB41" i="2"/>
  <c r="CC41" i="2" s="1"/>
  <c r="CB14" i="2"/>
  <c r="CC14" i="2" s="1"/>
  <c r="CB46" i="2"/>
  <c r="CC46" i="2" s="1"/>
  <c r="CB12" i="2"/>
  <c r="CC12" i="2" s="1"/>
  <c r="CB42" i="2"/>
  <c r="CC42" i="2" s="1"/>
  <c r="CB51" i="2"/>
  <c r="CC51" i="2" s="1"/>
  <c r="CB10" i="2"/>
  <c r="CC10" i="2" s="1"/>
  <c r="CB31" i="2"/>
  <c r="CC31" i="2" s="1"/>
  <c r="CB17" i="2"/>
  <c r="CC17" i="2" s="1"/>
  <c r="CB55" i="2"/>
  <c r="CC55" i="2" s="1"/>
  <c r="CB36" i="2"/>
  <c r="CC36" i="2" s="1"/>
  <c r="CB38" i="2"/>
  <c r="CC38" i="2" s="1"/>
  <c r="CB15" i="2"/>
  <c r="CC15" i="2" s="1"/>
  <c r="CB45" i="2"/>
  <c r="CC45" i="2" s="1"/>
  <c r="CB9" i="2"/>
  <c r="CC9" i="2" s="1"/>
  <c r="CB28" i="2"/>
  <c r="CC28" i="2" s="1"/>
  <c r="CB30" i="2"/>
  <c r="CC30" i="2" s="1"/>
  <c r="CB29" i="2"/>
  <c r="CC29" i="2" s="1"/>
  <c r="CB47" i="2"/>
  <c r="CC47" i="2" s="1"/>
  <c r="CB44" i="2"/>
  <c r="CC44" i="2" s="1"/>
  <c r="CB25" i="2"/>
  <c r="CC25" i="2" s="1"/>
  <c r="CB34" i="2"/>
  <c r="CC34" i="2" s="1"/>
  <c r="CB23" i="2"/>
  <c r="CC23" i="2" s="1"/>
  <c r="CB39" i="2"/>
  <c r="CC39" i="2" s="1"/>
  <c r="CB35" i="2"/>
  <c r="CC35" i="2" s="1"/>
  <c r="CB26" i="21"/>
  <c r="CC26" i="21" s="1"/>
  <c r="CB13" i="5"/>
  <c r="CC13" i="5" s="1"/>
  <c r="CB14" i="21"/>
  <c r="CC14" i="21" s="1"/>
  <c r="CB55" i="3"/>
  <c r="CC55" i="3" s="1"/>
  <c r="CB32" i="4"/>
  <c r="CC32" i="4" s="1"/>
  <c r="CB57" i="4"/>
  <c r="CC57" i="4" s="1"/>
  <c r="CB12" i="4"/>
  <c r="CC12" i="4" s="1"/>
  <c r="CB18" i="4"/>
  <c r="CC18" i="4" s="1"/>
  <c r="CB47" i="4"/>
  <c r="CC47" i="4" s="1"/>
  <c r="CB23" i="4"/>
  <c r="CC23" i="4" s="1"/>
  <c r="CB20" i="4"/>
  <c r="CC20" i="4" s="1"/>
  <c r="CB17" i="4"/>
  <c r="CC17" i="4" s="1"/>
  <c r="CB31" i="4"/>
  <c r="CC31" i="4" s="1"/>
  <c r="CB42" i="4"/>
  <c r="CC42" i="4" s="1"/>
  <c r="CB54" i="4"/>
  <c r="CC54" i="4" s="1"/>
  <c r="CB11" i="4"/>
  <c r="CC11" i="4" s="1"/>
  <c r="CB15" i="4"/>
  <c r="CC15" i="4" s="1"/>
  <c r="CB38" i="4"/>
  <c r="CC38" i="4" s="1"/>
  <c r="CB55" i="4"/>
  <c r="CC55" i="4" s="1"/>
  <c r="CB41" i="4"/>
  <c r="CC41" i="4" s="1"/>
  <c r="CB39" i="4"/>
  <c r="CC39" i="4" s="1"/>
  <c r="CB43" i="4"/>
  <c r="CC43" i="4" s="1"/>
  <c r="CB24" i="4"/>
  <c r="CC24" i="4" s="1"/>
  <c r="CB48" i="4"/>
  <c r="CC48" i="4" s="1"/>
  <c r="CB27" i="4"/>
  <c r="CC27" i="4" s="1"/>
  <c r="CB40" i="4"/>
  <c r="CC40" i="4" s="1"/>
  <c r="CB51" i="4"/>
  <c r="CC51" i="4" s="1"/>
  <c r="CB9" i="4"/>
  <c r="CC9" i="4" s="1"/>
  <c r="CB50" i="4"/>
  <c r="CC50" i="4" s="1"/>
  <c r="CB46" i="4"/>
  <c r="CC46" i="4" s="1"/>
  <c r="CB33" i="4"/>
  <c r="CC33" i="4" s="1"/>
  <c r="CB49" i="4"/>
  <c r="CC49" i="4" s="1"/>
  <c r="CB22" i="4"/>
  <c r="CC22" i="4" s="1"/>
  <c r="CB10" i="4"/>
  <c r="CC10" i="4" s="1"/>
  <c r="CB58" i="4"/>
  <c r="CC58" i="4" s="1"/>
  <c r="CB53" i="4"/>
  <c r="CC53" i="4" s="1"/>
  <c r="CB19" i="4"/>
  <c r="CC19" i="4" s="1"/>
  <c r="CB56" i="4"/>
  <c r="CC56" i="4" s="1"/>
  <c r="CB45" i="4"/>
  <c r="CC45" i="4" s="1"/>
  <c r="CB28" i="4"/>
  <c r="CC28" i="4" s="1"/>
  <c r="CB13" i="4"/>
  <c r="CC13" i="4" s="1"/>
  <c r="CB21" i="4"/>
  <c r="CC21" i="4" s="1"/>
  <c r="CB29" i="4"/>
  <c r="CC29" i="4" s="1"/>
  <c r="CB16" i="4"/>
  <c r="CC16" i="4" s="1"/>
  <c r="CB21" i="6"/>
  <c r="CC21" i="6" s="1"/>
  <c r="CB42" i="5"/>
  <c r="CC42" i="5" s="1"/>
  <c r="CB53" i="5"/>
  <c r="CC53" i="5" s="1"/>
  <c r="CB53" i="21"/>
  <c r="CC53" i="21" s="1"/>
  <c r="CB41" i="5"/>
  <c r="CC41" i="5" s="1"/>
  <c r="CB49" i="6"/>
  <c r="CC49" i="6" s="1"/>
  <c r="CB27" i="5"/>
  <c r="CC27" i="5" s="1"/>
  <c r="CB15" i="21"/>
  <c r="CC15" i="21" s="1"/>
  <c r="CB19" i="6"/>
  <c r="CC19" i="6" s="1"/>
  <c r="CB37" i="5"/>
  <c r="CC37" i="5" s="1"/>
  <c r="CB34" i="5"/>
  <c r="CC34" i="5" s="1"/>
  <c r="CB16" i="5"/>
  <c r="CC16" i="5" s="1"/>
  <c r="CB33" i="21"/>
  <c r="CC33" i="21" s="1"/>
  <c r="CB16" i="6"/>
  <c r="CC16" i="6" s="1"/>
  <c r="CB19" i="21"/>
  <c r="CC19" i="21" s="1"/>
  <c r="CB37" i="4"/>
  <c r="CC37" i="4" s="1"/>
  <c r="CB18" i="21"/>
  <c r="CC18" i="21" s="1"/>
  <c r="CB54" i="21"/>
  <c r="CC54" i="21" s="1"/>
  <c r="CB23" i="6"/>
  <c r="CC23" i="6" s="1"/>
  <c r="CB14" i="4"/>
  <c r="CC14" i="4" s="1"/>
  <c r="CB37" i="2"/>
  <c r="CC37" i="2" s="1"/>
  <c r="CB27" i="2"/>
  <c r="CC27" i="2" s="1"/>
  <c r="CB9" i="3"/>
  <c r="CC9" i="3" s="1"/>
  <c r="CB15" i="3"/>
  <c r="CC15" i="3" s="1"/>
  <c r="CB33" i="3"/>
  <c r="CC33" i="3" s="1"/>
  <c r="CB32" i="3"/>
  <c r="CC32" i="3" s="1"/>
  <c r="CB57" i="3"/>
  <c r="CC57" i="3" s="1"/>
  <c r="CB54" i="3"/>
  <c r="CC54" i="3" s="1"/>
  <c r="CB21" i="3"/>
  <c r="CC21" i="3" s="1"/>
  <c r="CB51" i="3"/>
  <c r="CC51" i="3" s="1"/>
  <c r="CB56" i="3"/>
  <c r="CC56" i="3" s="1"/>
  <c r="CB41" i="3"/>
  <c r="CC41" i="3" s="1"/>
  <c r="CB47" i="3"/>
  <c r="CC47" i="3" s="1"/>
  <c r="CB49" i="3"/>
  <c r="CC49" i="3" s="1"/>
  <c r="CB29" i="3"/>
  <c r="CC29" i="3" s="1"/>
  <c r="CB23" i="3"/>
  <c r="CC23" i="3" s="1"/>
  <c r="CB50" i="3"/>
  <c r="CC50" i="3" s="1"/>
  <c r="CB31" i="3"/>
  <c r="CC31" i="3" s="1"/>
  <c r="CB48" i="3"/>
  <c r="CC48" i="3" s="1"/>
  <c r="CB40" i="3"/>
  <c r="CC40" i="3" s="1"/>
  <c r="CB37" i="3"/>
  <c r="CC37" i="3" s="1"/>
  <c r="CB30" i="3"/>
  <c r="CC30" i="3" s="1"/>
  <c r="CB58" i="3"/>
  <c r="CC58" i="3" s="1"/>
  <c r="CB11" i="3"/>
  <c r="CC11" i="3" s="1"/>
  <c r="CB12" i="3"/>
  <c r="CC12" i="3" s="1"/>
  <c r="CB28" i="3"/>
  <c r="CC28" i="3" s="1"/>
  <c r="CB35" i="3"/>
  <c r="CC35" i="3" s="1"/>
  <c r="CB53" i="3"/>
  <c r="CC53" i="3" s="1"/>
  <c r="CB43" i="3"/>
  <c r="CC43" i="3" s="1"/>
  <c r="CB18" i="3"/>
  <c r="CC18" i="3" s="1"/>
  <c r="CB34" i="3"/>
  <c r="CC34" i="3" s="1"/>
  <c r="CB39" i="3"/>
  <c r="CC39" i="3" s="1"/>
  <c r="CB17" i="3"/>
  <c r="CC17" i="3" s="1"/>
  <c r="CB19" i="3"/>
  <c r="CC19" i="3" s="1"/>
  <c r="CB20" i="3"/>
  <c r="CC20" i="3" s="1"/>
  <c r="CB52" i="3"/>
  <c r="CC52" i="3" s="1"/>
  <c r="CB22" i="3"/>
  <c r="CC22" i="3" s="1"/>
  <c r="CB44" i="3"/>
  <c r="CC44" i="3" s="1"/>
  <c r="CB25" i="3"/>
  <c r="CC25" i="3" s="1"/>
  <c r="CB46" i="3"/>
  <c r="CC46" i="3" s="1"/>
  <c r="CB42" i="3"/>
  <c r="CC42" i="3" s="1"/>
  <c r="CB26" i="3"/>
  <c r="CC26" i="3" s="1"/>
  <c r="CB24" i="3"/>
  <c r="CC24" i="3" s="1"/>
  <c r="CB45" i="3"/>
  <c r="CC45" i="3" s="1"/>
  <c r="CB38" i="3"/>
  <c r="CC38" i="3" s="1"/>
  <c r="CB20" i="6"/>
  <c r="CC20" i="6" s="1"/>
  <c r="CB46" i="5"/>
  <c r="CC46" i="5" s="1"/>
  <c r="CB9" i="5"/>
  <c r="CC9" i="5" s="1"/>
  <c r="CB52" i="4"/>
  <c r="CC52" i="4" s="1"/>
  <c r="CB24" i="6"/>
  <c r="CC24" i="6" s="1"/>
  <c r="CB32" i="5"/>
  <c r="CC32" i="5" s="1"/>
  <c r="CB36" i="5"/>
  <c r="CC36" i="5" s="1"/>
  <c r="CB18" i="5"/>
  <c r="CC18" i="5" s="1"/>
  <c r="CB22" i="6"/>
  <c r="CC22" i="6" s="1"/>
  <c r="CB57" i="21"/>
  <c r="CC57" i="21" s="1"/>
  <c r="CB45" i="21"/>
  <c r="CC45" i="21" s="1"/>
  <c r="CB14" i="3"/>
  <c r="CC14" i="3" s="1"/>
  <c r="CB13" i="3"/>
  <c r="CC13" i="3" s="1"/>
  <c r="CB43" i="21"/>
  <c r="CC43" i="21" s="1"/>
  <c r="CB12" i="5"/>
  <c r="CC12" i="5" s="1"/>
  <c r="CB33" i="6"/>
  <c r="CC33" i="6" s="1"/>
  <c r="CB48" i="6"/>
  <c r="CC48" i="6" s="1"/>
  <c r="CB36" i="4"/>
  <c r="CC36" i="4" s="1"/>
  <c r="CB56" i="6"/>
  <c r="CC56" i="6" s="1"/>
  <c r="CB14" i="6"/>
  <c r="CC14" i="6" s="1"/>
  <c r="CB31" i="21"/>
  <c r="CC31" i="21" s="1"/>
  <c r="CB22" i="5"/>
  <c r="CC22" i="5" s="1"/>
  <c r="CB47" i="21"/>
  <c r="CC47" i="21" s="1"/>
  <c r="CB27" i="6"/>
  <c r="CC27" i="6" s="1"/>
  <c r="CB48" i="5"/>
  <c r="CC48" i="5" s="1"/>
  <c r="CB42" i="6"/>
  <c r="CC42" i="6" s="1"/>
  <c r="CB26" i="4"/>
  <c r="CC26" i="4" s="1"/>
  <c r="CB49" i="21"/>
  <c r="CC49" i="21" s="1"/>
  <c r="CB54" i="6"/>
  <c r="CC54" i="6" s="1"/>
  <c r="CB36" i="6"/>
  <c r="CC36" i="6" s="1"/>
  <c r="CB40" i="6"/>
  <c r="CC40" i="6" s="1"/>
  <c r="CB25" i="6"/>
  <c r="CC25" i="6" s="1"/>
  <c r="CB29" i="6"/>
  <c r="CC29" i="6" s="1"/>
  <c r="CB12" i="6"/>
  <c r="CC12" i="6" s="1"/>
  <c r="CB57" i="6"/>
  <c r="CC57" i="6" s="1"/>
  <c r="CB41" i="6"/>
  <c r="CC41" i="6" s="1"/>
  <c r="CB45" i="6"/>
  <c r="CC45" i="6" s="1"/>
  <c r="CB9" i="6"/>
  <c r="CC9" i="6" s="1"/>
  <c r="CB43" i="6"/>
  <c r="CC43" i="6" s="1"/>
  <c r="CB30" i="6"/>
  <c r="CC30" i="6" s="1"/>
  <c r="CB38" i="6"/>
  <c r="CC38" i="6" s="1"/>
  <c r="CB47" i="6"/>
  <c r="CC47" i="6" s="1"/>
  <c r="CB31" i="6"/>
  <c r="CC31" i="6" s="1"/>
  <c r="CB28" i="6"/>
  <c r="CC28" i="6" s="1"/>
  <c r="CB52" i="6"/>
  <c r="CC52" i="6" s="1"/>
  <c r="CB32" i="6"/>
  <c r="CC32" i="6" s="1"/>
  <c r="CB15" i="6"/>
  <c r="CC15" i="6" s="1"/>
  <c r="CB35" i="6"/>
  <c r="CC35" i="6" s="1"/>
  <c r="CB46" i="6"/>
  <c r="CC46" i="6" s="1"/>
  <c r="CB34" i="6"/>
  <c r="CC34" i="6" s="1"/>
  <c r="CB26" i="6"/>
  <c r="CC26" i="6" s="1"/>
  <c r="CB14" i="5"/>
  <c r="CC14" i="5" s="1"/>
  <c r="CB39" i="5"/>
  <c r="CC39" i="5" s="1"/>
  <c r="CB54" i="5"/>
  <c r="CC54" i="5" s="1"/>
  <c r="CB11" i="6"/>
  <c r="CC11" i="6" s="1"/>
  <c r="CB25" i="5"/>
  <c r="CC25" i="5" s="1"/>
  <c r="CB56" i="5"/>
  <c r="CC56" i="5" s="1"/>
  <c r="CB22" i="21"/>
  <c r="CC22" i="21" s="1"/>
  <c r="CB58" i="6"/>
  <c r="CC58" i="6" s="1"/>
  <c r="CB30" i="21"/>
  <c r="CC30" i="21" s="1"/>
  <c r="CB27" i="3"/>
  <c r="CC27" i="3" s="1"/>
  <c r="CB44" i="5"/>
  <c r="CC44" i="5" s="1"/>
  <c r="CB16" i="3"/>
  <c r="CC16" i="3" s="1"/>
  <c r="CB10" i="6"/>
  <c r="CC10" i="6" s="1"/>
  <c r="CB17" i="6"/>
  <c r="CC17" i="6" s="1"/>
  <c r="CB10" i="5"/>
  <c r="CC10" i="5" s="1"/>
  <c r="CB44" i="6"/>
  <c r="CC44" i="6" s="1"/>
  <c r="CB13" i="6"/>
  <c r="CC13" i="6" s="1"/>
  <c r="CB23" i="5"/>
  <c r="CC23" i="5" s="1"/>
  <c r="CB50" i="6"/>
  <c r="CC50" i="6" s="1"/>
  <c r="CB30" i="4"/>
  <c r="CC30" i="4" s="1"/>
  <c r="CB18" i="6"/>
  <c r="CC18" i="6" s="1"/>
  <c r="CB46" i="21"/>
  <c r="CC46" i="21" s="1"/>
  <c r="CB48" i="2"/>
  <c r="CC48" i="2" s="1"/>
  <c r="CB37" i="21"/>
  <c r="CC37" i="21" s="1"/>
  <c r="CB32" i="21"/>
  <c r="CC32" i="21" s="1"/>
  <c r="CB9" i="21"/>
  <c r="CC9" i="21" s="1"/>
  <c r="CB50" i="21"/>
  <c r="CC50" i="21" s="1"/>
  <c r="CB23" i="21"/>
  <c r="CC23" i="21" s="1"/>
  <c r="CB51" i="21"/>
  <c r="CC51" i="21" s="1"/>
  <c r="CB56" i="21"/>
  <c r="CC56" i="21" s="1"/>
  <c r="CB55" i="21"/>
  <c r="CC55" i="21" s="1"/>
  <c r="CB39" i="21"/>
  <c r="CC39" i="21" s="1"/>
  <c r="CB24" i="21"/>
  <c r="CC24" i="21" s="1"/>
  <c r="CB42" i="21"/>
  <c r="CC42" i="21" s="1"/>
  <c r="CB36" i="21"/>
  <c r="CC36" i="21" s="1"/>
  <c r="CB12" i="21"/>
  <c r="CC12" i="21" s="1"/>
  <c r="CB21" i="21"/>
  <c r="CC21" i="21" s="1"/>
  <c r="CB58" i="21"/>
  <c r="CC58" i="21" s="1"/>
  <c r="CB17" i="21"/>
  <c r="CC17" i="21" s="1"/>
  <c r="CB35" i="21"/>
  <c r="CC35" i="21" s="1"/>
  <c r="CB11" i="21"/>
  <c r="CC11" i="21" s="1"/>
  <c r="CB20" i="21"/>
  <c r="CC20" i="21" s="1"/>
  <c r="CB34" i="21"/>
  <c r="CC34" i="21" s="1"/>
  <c r="CB44" i="21"/>
  <c r="CC44" i="21" s="1"/>
  <c r="CB41" i="21"/>
  <c r="CC41" i="21" s="1"/>
  <c r="CB16" i="21"/>
  <c r="CC16" i="21" s="1"/>
  <c r="CB28" i="21"/>
  <c r="CC28" i="21" s="1"/>
  <c r="CB25" i="21"/>
  <c r="CC25" i="21" s="1"/>
  <c r="CB40" i="21"/>
  <c r="CC40" i="21" s="1"/>
  <c r="CB27" i="21"/>
  <c r="CC27" i="21" s="1"/>
  <c r="CB52" i="21"/>
  <c r="CC52" i="21" s="1"/>
  <c r="CB29" i="21"/>
  <c r="CC29" i="21" s="1"/>
  <c r="CB10" i="21"/>
  <c r="CC10" i="21" s="1"/>
  <c r="CB38" i="21"/>
  <c r="CC38" i="21" s="1"/>
  <c r="CB44" i="4"/>
  <c r="CC44" i="4" s="1"/>
  <c r="CB20" i="5"/>
  <c r="CC20" i="5" s="1"/>
  <c r="CB57" i="5"/>
  <c r="CC57" i="5" s="1"/>
  <c r="CB52" i="5"/>
  <c r="CC52" i="5" s="1"/>
  <c r="CB19" i="5"/>
  <c r="CC19" i="5" s="1"/>
  <c r="CB17" i="5"/>
  <c r="CC17" i="5" s="1"/>
  <c r="CB24" i="5"/>
  <c r="CC24" i="5" s="1"/>
  <c r="CB30" i="5"/>
  <c r="CC30" i="5" s="1"/>
  <c r="CB43" i="5"/>
  <c r="CC43" i="5" s="1"/>
  <c r="CB33" i="5"/>
  <c r="CC33" i="5" s="1"/>
  <c r="CB51" i="5"/>
  <c r="CC51" i="5" s="1"/>
  <c r="CB29" i="5"/>
  <c r="CC29" i="5" s="1"/>
  <c r="CB38" i="5"/>
  <c r="CC38" i="5" s="1"/>
  <c r="CB55" i="5"/>
  <c r="CC55" i="5" s="1"/>
  <c r="CB31" i="5"/>
  <c r="CC31" i="5" s="1"/>
  <c r="CB40" i="5"/>
  <c r="CC40" i="5" s="1"/>
  <c r="CB47" i="5"/>
  <c r="CC47" i="5" s="1"/>
  <c r="CB21" i="5"/>
  <c r="CC21" i="5" s="1"/>
  <c r="CB50" i="5"/>
  <c r="CC50" i="5" s="1"/>
  <c r="CB49" i="5"/>
  <c r="CC49" i="5" s="1"/>
  <c r="CB28" i="5"/>
  <c r="CC28" i="5" s="1"/>
  <c r="CB11" i="5"/>
  <c r="CC11" i="5" s="1"/>
  <c r="CB35" i="5"/>
  <c r="CC35" i="5" s="1"/>
  <c r="CB53" i="6"/>
  <c r="CC53" i="6" s="1"/>
  <c r="CB51" i="6"/>
  <c r="CC51" i="6" s="1"/>
  <c r="CB15" i="5"/>
  <c r="CC15" i="5" s="1"/>
  <c r="CB39" i="6"/>
  <c r="CC39" i="6" s="1"/>
  <c r="CB26" i="5"/>
  <c r="CC26" i="5" s="1"/>
  <c r="CB25" i="4"/>
  <c r="CC25" i="4" s="1"/>
  <c r="CB55" i="6"/>
  <c r="CC55" i="6" s="1"/>
  <c r="CB36" i="3"/>
  <c r="CC36" i="3" s="1"/>
  <c r="CB24" i="2"/>
  <c r="CC24" i="2" s="1"/>
  <c r="CB35" i="4"/>
  <c r="CC35" i="4" s="1"/>
  <c r="CB43" i="1"/>
  <c r="CC43" i="1" s="1"/>
  <c r="CB9" i="1"/>
  <c r="CC9" i="1" s="1"/>
  <c r="CB36" i="1"/>
  <c r="CC36" i="1" s="1"/>
  <c r="CB49" i="1"/>
  <c r="CC49" i="1" s="1"/>
  <c r="CB25" i="1"/>
  <c r="CC25" i="1" s="1"/>
  <c r="CB12" i="1"/>
  <c r="CC12" i="1" s="1"/>
  <c r="CB35" i="1"/>
  <c r="CC35" i="1" s="1"/>
  <c r="CB30" i="1"/>
  <c r="CC30" i="1" s="1"/>
  <c r="CB18" i="1"/>
  <c r="CC18" i="1" s="1"/>
  <c r="CB41" i="1"/>
  <c r="CC41" i="1" s="1"/>
  <c r="CB13" i="1"/>
  <c r="CC13" i="1" s="1"/>
  <c r="CB54" i="1"/>
  <c r="CC54" i="1" s="1"/>
  <c r="CB28" i="1"/>
  <c r="CC28" i="1" s="1"/>
  <c r="CB53" i="1"/>
  <c r="CC53" i="1" s="1"/>
  <c r="CB14" i="1"/>
  <c r="CC14" i="1" s="1"/>
  <c r="CB48" i="1"/>
  <c r="CC48" i="1" s="1"/>
  <c r="CB11" i="1"/>
  <c r="CC11" i="1" s="1"/>
  <c r="CB44" i="1"/>
  <c r="CC44" i="1" s="1"/>
  <c r="CB21" i="1"/>
  <c r="CC21" i="1" s="1"/>
  <c r="CB58" i="1"/>
  <c r="CC58" i="1" s="1"/>
  <c r="CB39" i="1"/>
  <c r="CC39" i="1" s="1"/>
  <c r="CB34" i="1"/>
  <c r="CC34" i="1" s="1"/>
  <c r="CB17" i="1"/>
  <c r="CC17" i="1" s="1"/>
  <c r="CB19" i="1"/>
  <c r="CC19" i="1" s="1"/>
  <c r="CB32" i="1"/>
  <c r="CC32" i="1" s="1"/>
  <c r="CB23" i="1"/>
  <c r="CC23" i="1" s="1"/>
  <c r="CB50" i="1"/>
  <c r="CC50" i="1" s="1"/>
  <c r="CB22" i="1"/>
  <c r="CC22" i="1" s="1"/>
  <c r="CB40" i="1"/>
  <c r="CC40" i="1" s="1"/>
  <c r="CB51" i="1"/>
  <c r="CC51" i="1" s="1"/>
  <c r="CB46" i="1"/>
  <c r="CC46" i="1" s="1"/>
  <c r="CB15" i="1"/>
  <c r="CC15" i="1" s="1"/>
  <c r="CB24" i="1"/>
  <c r="CC24" i="1" s="1"/>
  <c r="CB57" i="1"/>
  <c r="CC57" i="1" s="1"/>
  <c r="CB29" i="1"/>
  <c r="CC29" i="1" s="1"/>
  <c r="CB16" i="1"/>
  <c r="CC16" i="1" s="1"/>
  <c r="CB52" i="1"/>
  <c r="CC52" i="1" s="1"/>
  <c r="CB31" i="1"/>
  <c r="CC31" i="1" s="1"/>
  <c r="CB20" i="1"/>
  <c r="CC20" i="1" s="1"/>
  <c r="CB45" i="1"/>
  <c r="CC45" i="1" s="1"/>
  <c r="CB10" i="1"/>
  <c r="CC10" i="1" s="1"/>
  <c r="CB47" i="1"/>
  <c r="CC47" i="1" s="1"/>
  <c r="CB38" i="1"/>
  <c r="CC38" i="1" s="1"/>
  <c r="CB26" i="1"/>
  <c r="CC26" i="1" s="1"/>
  <c r="CB55" i="1"/>
  <c r="CC55" i="1" s="1"/>
  <c r="CB33" i="1"/>
  <c r="CC33" i="1" s="1"/>
  <c r="CB27" i="1"/>
  <c r="CC27" i="1" s="1"/>
  <c r="CB37" i="1"/>
  <c r="CC37" i="1" s="1"/>
  <c r="CB42" i="1"/>
  <c r="CC42" i="1" s="1"/>
  <c r="BZ18" i="21"/>
  <c r="BZ18" i="6"/>
  <c r="BZ18" i="4"/>
  <c r="BZ18" i="3"/>
  <c r="BZ16" i="2"/>
  <c r="F59" i="13" l="1"/>
  <c r="G59" i="13"/>
  <c r="CC7" i="3"/>
  <c r="BZ46" i="3" s="1"/>
  <c r="CC7" i="5"/>
  <c r="CC7" i="2"/>
  <c r="BZ48" i="2" s="1"/>
  <c r="CC7" i="6"/>
  <c r="BZ10" i="6" s="1"/>
  <c r="CC7" i="21"/>
  <c r="BZ38" i="21" s="1"/>
  <c r="CC7" i="4"/>
  <c r="BZ29" i="4" s="1"/>
  <c r="CC7" i="1"/>
  <c r="BZ56" i="1" s="1"/>
  <c r="BZ29" i="3" l="1"/>
  <c r="BZ17" i="3"/>
  <c r="BZ45" i="3"/>
  <c r="BZ15" i="3"/>
  <c r="BZ37" i="3"/>
  <c r="BZ47" i="3"/>
  <c r="BZ25" i="3"/>
  <c r="BZ13" i="3"/>
  <c r="BZ17" i="21"/>
  <c r="BZ39" i="6"/>
  <c r="BZ40" i="3"/>
  <c r="BZ10" i="3"/>
  <c r="BZ38" i="3"/>
  <c r="BZ48" i="6"/>
  <c r="BZ19" i="6"/>
  <c r="BZ28" i="3"/>
  <c r="BZ34" i="3"/>
  <c r="BZ36" i="3"/>
  <c r="BZ19" i="3"/>
  <c r="BZ38" i="6"/>
  <c r="BZ47" i="4"/>
  <c r="BZ16" i="3"/>
  <c r="BZ27" i="3"/>
  <c r="BZ11" i="3"/>
  <c r="BZ39" i="3"/>
  <c r="BZ22" i="21"/>
  <c r="BZ11" i="21"/>
  <c r="BZ46" i="6"/>
  <c r="BZ22" i="4"/>
  <c r="BZ22" i="3"/>
  <c r="BZ49" i="3"/>
  <c r="BZ54" i="3"/>
  <c r="BZ48" i="3"/>
  <c r="BZ21" i="3"/>
  <c r="BZ43" i="3"/>
  <c r="BZ24" i="3"/>
  <c r="BZ33" i="3"/>
  <c r="BZ41" i="3"/>
  <c r="BZ33" i="4"/>
  <c r="BZ50" i="3"/>
  <c r="BZ20" i="3"/>
  <c r="BZ44" i="3"/>
  <c r="BZ24" i="5"/>
  <c r="BZ10" i="5"/>
  <c r="BZ38" i="5"/>
  <c r="BZ44" i="5"/>
  <c r="BZ50" i="5"/>
  <c r="BZ21" i="5"/>
  <c r="BZ36" i="5"/>
  <c r="BZ45" i="5"/>
  <c r="BZ54" i="5"/>
  <c r="BZ40" i="5"/>
  <c r="BZ16" i="5"/>
  <c r="BZ39" i="5"/>
  <c r="BZ22" i="5"/>
  <c r="BZ34" i="5"/>
  <c r="BZ46" i="5"/>
  <c r="BZ33" i="5"/>
  <c r="BZ20" i="5"/>
  <c r="BZ15" i="5"/>
  <c r="BZ17" i="5"/>
  <c r="BZ37" i="5"/>
  <c r="BZ11" i="5"/>
  <c r="BZ41" i="5"/>
  <c r="BZ29" i="5"/>
  <c r="BZ25" i="5"/>
  <c r="BZ13" i="5"/>
  <c r="BZ19" i="5"/>
  <c r="BZ21" i="4"/>
  <c r="BZ10" i="4"/>
  <c r="BZ54" i="4"/>
  <c r="BZ49" i="4"/>
  <c r="BZ41" i="4"/>
  <c r="BZ36" i="4"/>
  <c r="BZ15" i="4"/>
  <c r="BZ20" i="4"/>
  <c r="BZ34" i="4"/>
  <c r="BZ37" i="4"/>
  <c r="BZ27" i="4"/>
  <c r="BZ48" i="4"/>
  <c r="BZ46" i="4"/>
  <c r="BZ50" i="4"/>
  <c r="BZ11" i="4"/>
  <c r="BZ40" i="4"/>
  <c r="BZ39" i="4"/>
  <c r="BZ28" i="4"/>
  <c r="BZ17" i="4"/>
  <c r="BZ16" i="4"/>
  <c r="BZ38" i="4"/>
  <c r="BZ45" i="4"/>
  <c r="BZ19" i="4"/>
  <c r="BZ13" i="4"/>
  <c r="BZ44" i="4"/>
  <c r="BZ24" i="4"/>
  <c r="BZ43" i="4"/>
  <c r="BZ20" i="2"/>
  <c r="BZ47" i="5"/>
  <c r="BZ49" i="5"/>
  <c r="BZ16" i="21"/>
  <c r="BZ29" i="21"/>
  <c r="BZ43" i="21"/>
  <c r="BZ20" i="21"/>
  <c r="BZ41" i="21"/>
  <c r="BZ10" i="21"/>
  <c r="BZ50" i="21"/>
  <c r="BZ39" i="21"/>
  <c r="BZ45" i="21"/>
  <c r="BZ19" i="21"/>
  <c r="BZ13" i="21"/>
  <c r="BZ28" i="21"/>
  <c r="BZ44" i="21"/>
  <c r="BZ21" i="21"/>
  <c r="BZ47" i="21"/>
  <c r="BZ36" i="21"/>
  <c r="BZ40" i="21"/>
  <c r="BZ25" i="21"/>
  <c r="BZ37" i="21"/>
  <c r="BZ15" i="21"/>
  <c r="BZ48" i="21"/>
  <c r="BZ54" i="21"/>
  <c r="BZ24" i="21"/>
  <c r="BZ46" i="21"/>
  <c r="BZ48" i="5"/>
  <c r="BZ34" i="21"/>
  <c r="BZ27" i="5"/>
  <c r="BZ21" i="6"/>
  <c r="BZ17" i="6"/>
  <c r="BZ54" i="6"/>
  <c r="BZ40" i="6"/>
  <c r="BZ41" i="6"/>
  <c r="BZ20" i="6"/>
  <c r="BZ22" i="6"/>
  <c r="BZ37" i="6"/>
  <c r="BZ24" i="6"/>
  <c r="BZ28" i="6"/>
  <c r="BZ27" i="6"/>
  <c r="BZ50" i="6"/>
  <c r="BZ45" i="6"/>
  <c r="BZ44" i="6"/>
  <c r="BZ36" i="6"/>
  <c r="BZ43" i="6"/>
  <c r="BZ11" i="6"/>
  <c r="BZ15" i="6"/>
  <c r="BZ49" i="6"/>
  <c r="BZ16" i="6"/>
  <c r="BZ13" i="6"/>
  <c r="BZ25" i="6"/>
  <c r="BZ33" i="6"/>
  <c r="BZ34" i="6"/>
  <c r="BZ29" i="6"/>
  <c r="BZ47" i="6"/>
  <c r="BZ25" i="4"/>
  <c r="BZ49" i="21"/>
  <c r="BZ27" i="21"/>
  <c r="BZ11" i="2"/>
  <c r="BZ25" i="2"/>
  <c r="BZ43" i="2"/>
  <c r="BZ27" i="2"/>
  <c r="BZ22" i="2"/>
  <c r="BZ46" i="2"/>
  <c r="BZ47" i="2"/>
  <c r="BZ50" i="2"/>
  <c r="BZ45" i="2"/>
  <c r="BZ18" i="2"/>
  <c r="BZ49" i="2"/>
  <c r="BZ54" i="2"/>
  <c r="BZ41" i="2"/>
  <c r="BZ38" i="2"/>
  <c r="BZ37" i="2"/>
  <c r="BZ21" i="2"/>
  <c r="BZ40" i="2"/>
  <c r="BZ19" i="2"/>
  <c r="BZ39" i="2"/>
  <c r="BZ29" i="2"/>
  <c r="BZ15" i="2"/>
  <c r="BZ36" i="2"/>
  <c r="BZ13" i="2"/>
  <c r="BZ33" i="2"/>
  <c r="BZ44" i="2"/>
  <c r="BZ17" i="2"/>
  <c r="BZ34" i="2"/>
  <c r="BZ28" i="2"/>
  <c r="BZ10" i="2"/>
  <c r="BZ24" i="2"/>
  <c r="BZ43" i="5"/>
  <c r="BZ33" i="21"/>
  <c r="BZ28" i="5"/>
  <c r="BZ9" i="1"/>
  <c r="BZ27" i="1"/>
  <c r="BZ43" i="1"/>
  <c r="BZ15" i="1"/>
  <c r="BZ12" i="1"/>
  <c r="BZ52" i="1"/>
  <c r="BZ28" i="1"/>
  <c r="BZ41" i="1"/>
  <c r="BZ19" i="1"/>
  <c r="BZ13" i="1"/>
  <c r="BZ21" i="1"/>
  <c r="BZ45" i="1"/>
  <c r="BZ10" i="1"/>
  <c r="BZ57" i="1"/>
  <c r="BZ50" i="1"/>
  <c r="BZ53" i="1"/>
  <c r="BZ39" i="1"/>
  <c r="BZ49" i="1"/>
  <c r="BZ17" i="1"/>
  <c r="BZ55" i="1"/>
  <c r="BZ46" i="1"/>
  <c r="BZ24" i="1"/>
  <c r="BZ37" i="1"/>
  <c r="BZ22" i="1"/>
  <c r="BZ47" i="1"/>
  <c r="BZ29" i="1"/>
  <c r="BZ51" i="1"/>
  <c r="BZ36" i="1"/>
  <c r="BZ18" i="1"/>
  <c r="BZ44" i="1"/>
  <c r="BZ23" i="1"/>
  <c r="BZ54" i="1"/>
  <c r="BZ14" i="1"/>
  <c r="BZ16" i="1"/>
  <c r="BZ38" i="1"/>
  <c r="BZ20" i="1"/>
  <c r="BZ7" i="3" l="1"/>
  <c r="U24" i="3" s="1"/>
  <c r="BZ7" i="4"/>
  <c r="U38" i="4" s="1"/>
  <c r="BZ7" i="21"/>
  <c r="U54" i="21" s="1"/>
  <c r="BZ7" i="2"/>
  <c r="U21" i="2" s="1"/>
  <c r="BZ7" i="6"/>
  <c r="U13" i="6" s="1"/>
  <c r="BZ7" i="5"/>
  <c r="U49" i="5" s="1"/>
  <c r="BZ7" i="1"/>
  <c r="U38" i="1" s="1"/>
  <c r="U10" i="3" l="1"/>
  <c r="U9" i="3"/>
  <c r="U18" i="3"/>
  <c r="U53" i="3"/>
  <c r="U16" i="3"/>
  <c r="U56" i="3"/>
  <c r="U29" i="3"/>
  <c r="U33" i="3"/>
  <c r="U11" i="3"/>
  <c r="U50" i="3"/>
  <c r="U13" i="3"/>
  <c r="U52" i="3"/>
  <c r="U17" i="3"/>
  <c r="U27" i="3"/>
  <c r="U12" i="3"/>
  <c r="U31" i="3"/>
  <c r="U14" i="3"/>
  <c r="U9" i="4"/>
  <c r="U49" i="3"/>
  <c r="U45" i="3"/>
  <c r="U54" i="3"/>
  <c r="U34" i="3"/>
  <c r="U21" i="3"/>
  <c r="U51" i="3"/>
  <c r="U30" i="3"/>
  <c r="U48" i="3"/>
  <c r="U55" i="3"/>
  <c r="U35" i="3"/>
  <c r="U37" i="3"/>
  <c r="U44" i="3"/>
  <c r="U42" i="3"/>
  <c r="U40" i="3"/>
  <c r="U55" i="4"/>
  <c r="U39" i="3"/>
  <c r="U47" i="3"/>
  <c r="U15" i="3"/>
  <c r="U46" i="3"/>
  <c r="U41" i="3"/>
  <c r="U43" i="3"/>
  <c r="U19" i="4"/>
  <c r="U35" i="4"/>
  <c r="U26" i="3"/>
  <c r="U58" i="3"/>
  <c r="U38" i="3"/>
  <c r="U19" i="3"/>
  <c r="U20" i="3"/>
  <c r="U22" i="3"/>
  <c r="U32" i="3"/>
  <c r="U28" i="3"/>
  <c r="U23" i="3"/>
  <c r="U57" i="3"/>
  <c r="U36" i="3"/>
  <c r="U39" i="4"/>
  <c r="U49" i="4"/>
  <c r="U11" i="4"/>
  <c r="U28" i="5"/>
  <c r="U29" i="4"/>
  <c r="U56" i="4"/>
  <c r="U25" i="3"/>
  <c r="U13" i="4"/>
  <c r="U44" i="4"/>
  <c r="U27" i="4"/>
  <c r="U46" i="4"/>
  <c r="U33" i="4"/>
  <c r="U53" i="4"/>
  <c r="U42" i="4"/>
  <c r="U15" i="4"/>
  <c r="U47" i="4"/>
  <c r="U58" i="4"/>
  <c r="U40" i="4"/>
  <c r="U26" i="4"/>
  <c r="U23" i="4"/>
  <c r="U17" i="4"/>
  <c r="U10" i="4"/>
  <c r="U39" i="21"/>
  <c r="U32" i="4"/>
  <c r="U51" i="4"/>
  <c r="U16" i="4"/>
  <c r="U14" i="4"/>
  <c r="U22" i="4"/>
  <c r="U57" i="4"/>
  <c r="U25" i="4"/>
  <c r="U48" i="4"/>
  <c r="U24" i="4"/>
  <c r="U31" i="4"/>
  <c r="U54" i="4"/>
  <c r="U12" i="4"/>
  <c r="U36" i="4"/>
  <c r="U50" i="4"/>
  <c r="U45" i="4"/>
  <c r="U34" i="4"/>
  <c r="U30" i="4"/>
  <c r="U18" i="4"/>
  <c r="U28" i="4"/>
  <c r="U20" i="4"/>
  <c r="U21" i="4"/>
  <c r="U20" i="21"/>
  <c r="U36" i="21"/>
  <c r="U37" i="4"/>
  <c r="U37" i="5"/>
  <c r="U52" i="4"/>
  <c r="U43" i="4"/>
  <c r="U41" i="4"/>
  <c r="U25" i="5"/>
  <c r="U10" i="5"/>
  <c r="U38" i="5"/>
  <c r="U50" i="5"/>
  <c r="U27" i="2"/>
  <c r="U28" i="21"/>
  <c r="U19" i="5"/>
  <c r="U31" i="5"/>
  <c r="U32" i="5"/>
  <c r="U52" i="5"/>
  <c r="U55" i="5"/>
  <c r="U18" i="5"/>
  <c r="U42" i="5"/>
  <c r="U53" i="5"/>
  <c r="U12" i="5"/>
  <c r="U51" i="5"/>
  <c r="U23" i="5"/>
  <c r="U9" i="5"/>
  <c r="U35" i="5"/>
  <c r="U30" i="5"/>
  <c r="U14" i="5"/>
  <c r="U56" i="5"/>
  <c r="U26" i="5"/>
  <c r="U57" i="5"/>
  <c r="U58" i="5"/>
  <c r="U49" i="6"/>
  <c r="U37" i="6"/>
  <c r="U30" i="6"/>
  <c r="U52" i="6"/>
  <c r="U15" i="6"/>
  <c r="U19" i="6"/>
  <c r="U57" i="6"/>
  <c r="U14" i="6"/>
  <c r="U26" i="6"/>
  <c r="U9" i="6"/>
  <c r="U28" i="6"/>
  <c r="U43" i="6"/>
  <c r="U25" i="6"/>
  <c r="U12" i="6"/>
  <c r="U17" i="6"/>
  <c r="U34" i="6"/>
  <c r="U20" i="6"/>
  <c r="U54" i="6"/>
  <c r="U56" i="6"/>
  <c r="U53" i="6"/>
  <c r="U48" i="6"/>
  <c r="U10" i="6"/>
  <c r="U31" i="6"/>
  <c r="U29" i="6"/>
  <c r="U33" i="6"/>
  <c r="U11" i="6"/>
  <c r="U23" i="6"/>
  <c r="U35" i="6"/>
  <c r="U22" i="6"/>
  <c r="U18" i="6"/>
  <c r="U39" i="6"/>
  <c r="U38" i="6"/>
  <c r="U24" i="6"/>
  <c r="U58" i="6"/>
  <c r="U55" i="6"/>
  <c r="U32" i="6"/>
  <c r="U36" i="6"/>
  <c r="U27" i="6"/>
  <c r="U47" i="6"/>
  <c r="U46" i="6"/>
  <c r="U51" i="6"/>
  <c r="U42" i="6"/>
  <c r="U40" i="6"/>
  <c r="U44" i="6"/>
  <c r="U16" i="5"/>
  <c r="U22" i="5"/>
  <c r="U21" i="6"/>
  <c r="U50" i="21"/>
  <c r="U24" i="5"/>
  <c r="U40" i="5"/>
  <c r="U17" i="5"/>
  <c r="U11" i="5"/>
  <c r="U36" i="5"/>
  <c r="U45" i="6"/>
  <c r="U47" i="21"/>
  <c r="U54" i="5"/>
  <c r="U15" i="5"/>
  <c r="U27" i="5"/>
  <c r="U13" i="2"/>
  <c r="U40" i="2"/>
  <c r="U56" i="2"/>
  <c r="U30" i="2"/>
  <c r="U39" i="2"/>
  <c r="U41" i="2"/>
  <c r="U26" i="2"/>
  <c r="U52" i="2"/>
  <c r="U49" i="2"/>
  <c r="U24" i="2"/>
  <c r="U31" i="2"/>
  <c r="U14" i="2"/>
  <c r="U15" i="2"/>
  <c r="U46" i="2"/>
  <c r="U48" i="2"/>
  <c r="U23" i="2"/>
  <c r="U44" i="2"/>
  <c r="U35" i="2"/>
  <c r="U57" i="2"/>
  <c r="U51" i="2"/>
  <c r="U42" i="2"/>
  <c r="U53" i="2"/>
  <c r="U16" i="2"/>
  <c r="U10" i="2"/>
  <c r="U11" i="2"/>
  <c r="U38" i="2"/>
  <c r="U28" i="2"/>
  <c r="U9" i="2"/>
  <c r="U36" i="2"/>
  <c r="U18" i="2"/>
  <c r="U58" i="2"/>
  <c r="U32" i="2"/>
  <c r="U22" i="2"/>
  <c r="U19" i="2"/>
  <c r="U12" i="2"/>
  <c r="U43" i="2"/>
  <c r="U17" i="2"/>
  <c r="U45" i="2"/>
  <c r="U34" i="2"/>
  <c r="U20" i="2"/>
  <c r="U54" i="2"/>
  <c r="U25" i="2"/>
  <c r="U55" i="2"/>
  <c r="U29" i="2"/>
  <c r="U29" i="5"/>
  <c r="U21" i="5"/>
  <c r="U37" i="2"/>
  <c r="U49" i="21"/>
  <c r="U24" i="21"/>
  <c r="U20" i="5"/>
  <c r="U47" i="5"/>
  <c r="U34" i="5"/>
  <c r="U46" i="21"/>
  <c r="U33" i="2"/>
  <c r="U16" i="6"/>
  <c r="U13" i="5"/>
  <c r="U44" i="5"/>
  <c r="U43" i="5"/>
  <c r="U41" i="5"/>
  <c r="U46" i="5"/>
  <c r="U50" i="2"/>
  <c r="U47" i="2"/>
  <c r="U48" i="5"/>
  <c r="U33" i="5"/>
  <c r="U45" i="5"/>
  <c r="U39" i="5"/>
  <c r="U25" i="21"/>
  <c r="U22" i="21"/>
  <c r="U19" i="21"/>
  <c r="U51" i="21"/>
  <c r="U52" i="21"/>
  <c r="U34" i="21"/>
  <c r="U30" i="21"/>
  <c r="U58" i="21"/>
  <c r="U56" i="21"/>
  <c r="U37" i="21"/>
  <c r="U32" i="21"/>
  <c r="U12" i="21"/>
  <c r="U57" i="21"/>
  <c r="U11" i="21"/>
  <c r="U29" i="21"/>
  <c r="U45" i="21"/>
  <c r="U43" i="21"/>
  <c r="U35" i="21"/>
  <c r="U23" i="21"/>
  <c r="U16" i="21"/>
  <c r="U42" i="21"/>
  <c r="U14" i="21"/>
  <c r="U41" i="21"/>
  <c r="U17" i="21"/>
  <c r="U38" i="21"/>
  <c r="U26" i="21"/>
  <c r="U31" i="21"/>
  <c r="U13" i="21"/>
  <c r="U48" i="21"/>
  <c r="U33" i="21"/>
  <c r="U10" i="21"/>
  <c r="U21" i="21"/>
  <c r="U40" i="21"/>
  <c r="U55" i="21"/>
  <c r="U53" i="21"/>
  <c r="U18" i="21"/>
  <c r="U15" i="21"/>
  <c r="U44" i="21"/>
  <c r="U9" i="21"/>
  <c r="U41" i="6"/>
  <c r="U50" i="6"/>
  <c r="U27" i="21"/>
  <c r="U54" i="1"/>
  <c r="U21" i="1"/>
  <c r="U10" i="1"/>
  <c r="U17" i="1"/>
  <c r="U24" i="1"/>
  <c r="U51" i="1"/>
  <c r="U28" i="1"/>
  <c r="U16" i="1"/>
  <c r="U29" i="1"/>
  <c r="U15" i="1"/>
  <c r="U14" i="1"/>
  <c r="U45" i="1"/>
  <c r="U9" i="1"/>
  <c r="U36" i="1"/>
  <c r="U55" i="1"/>
  <c r="U20" i="1"/>
  <c r="U11" i="1"/>
  <c r="U34" i="1"/>
  <c r="U40" i="1"/>
  <c r="U26" i="1"/>
  <c r="U35" i="1"/>
  <c r="U25" i="1"/>
  <c r="U30" i="1"/>
  <c r="U48" i="1"/>
  <c r="U31" i="1"/>
  <c r="U42" i="1"/>
  <c r="U32" i="1"/>
  <c r="U33" i="1"/>
  <c r="U56" i="1"/>
  <c r="U23" i="1"/>
  <c r="U18" i="1"/>
  <c r="U46" i="1"/>
  <c r="U12" i="1"/>
  <c r="U19" i="1"/>
  <c r="U27" i="1"/>
  <c r="U44" i="1"/>
  <c r="U57" i="1"/>
  <c r="U52" i="1"/>
  <c r="U39" i="1"/>
  <c r="U13" i="1"/>
  <c r="U53" i="1"/>
  <c r="U50" i="1"/>
  <c r="U37" i="1"/>
  <c r="U47" i="1"/>
  <c r="U49" i="1"/>
  <c r="U43" i="1"/>
  <c r="U22" i="1"/>
  <c r="U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AT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4 yrs of PTE and no Peds</t>
        </r>
      </text>
    </comment>
    <comment ref="AU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Y1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T17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3 yrs PTE and no Peds</t>
        </r>
      </text>
    </comment>
    <comment ref="AU17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Y17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T1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Maria Garcia
without PTE</t>
        </r>
      </text>
    </comment>
    <comment ref="AT27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3yrs PTE and no Peds</t>
        </r>
      </text>
    </comment>
    <comment ref="AU27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Y27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T57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Includes 5 Yrs PTE No Peds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E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E11" authorId="0" shapeId="0" xr:uid="{1DA86B5C-7EDA-40D6-AD86-F5FCD06CD477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  <comment ref="E12" authorId="0" shapeId="0" xr:uid="{B89C96ED-22B8-4BE5-BF7E-A021A7FED9FE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AM2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139.8 JPY
(50% of low dose +50% of high dose)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7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42% of Adjunctively Treated patients are TRD</t>
        </r>
      </text>
    </comment>
  </commentList>
</comments>
</file>

<file path=xl/sharedStrings.xml><?xml version="1.0" encoding="utf-8"?>
<sst xmlns="http://schemas.openxmlformats.org/spreadsheetml/2006/main" count="3756" uniqueCount="321">
  <si>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</si>
  <si>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</si>
  <si>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</si>
  <si>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</si>
  <si>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</si>
  <si>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</si>
  <si>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</si>
  <si>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</si>
  <si>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</si>
  <si>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</si>
  <si>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</si>
  <si>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</si>
  <si>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</si>
  <si>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</si>
  <si>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</si>
  <si>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</si>
  <si>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</si>
  <si>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</si>
  <si>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</si>
  <si>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</si>
  <si>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</si>
  <si>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</si>
  <si>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FAAH Co</t>
  </si>
  <si>
    <t>Other FAAH</t>
  </si>
  <si>
    <t>mGluNAM</t>
  </si>
  <si>
    <t>mGluNAM Co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</si>
  <si>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</si>
  <si>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</si>
  <si>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</si>
  <si>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</si>
  <si>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</si>
  <si>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</si>
  <si>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</si>
  <si>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</si>
  <si>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</si>
  <si>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</si>
  <si>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</si>
  <si>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</si>
  <si>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</si>
  <si>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</si>
  <si>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</si>
  <si>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</si>
  <si>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</si>
  <si>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</si>
  <si>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</si>
  <si>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</si>
  <si>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</si>
  <si>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</si>
  <si>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</si>
  <si>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</si>
  <si>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</si>
  <si>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</si>
  <si>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</si>
  <si>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</si>
  <si>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</si>
  <si>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Acadia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</si>
  <si>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</si>
  <si>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</si>
  <si>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</si>
  <si>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</si>
  <si>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</si>
  <si>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</si>
  <si>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</si>
  <si>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</si>
  <si>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</si>
  <si>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</si>
  <si>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</si>
  <si>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M1,5</t>
  </si>
  <si>
    <t>NR2A</t>
  </si>
  <si>
    <t>AGN241751</t>
  </si>
  <si>
    <t>IL6</t>
  </si>
  <si>
    <t>Sirukumab</t>
  </si>
  <si>
    <t>Takeda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</si>
  <si>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</si>
  <si>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</si>
  <si>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</si>
  <si>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</si>
  <si>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</si>
  <si>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</si>
  <si>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</si>
  <si>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</si>
  <si>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</si>
  <si>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</si>
  <si>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</si>
  <si>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</si>
  <si>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</si>
  <si>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</si>
  <si>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</si>
  <si>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</si>
  <si>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</si>
  <si>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</si>
  <si>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</si>
  <si>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</si>
  <si>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</si>
  <si>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</si>
  <si>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Eli Lilly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</si>
  <si>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</si>
  <si>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</si>
  <si>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</si>
  <si>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</si>
  <si>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</si>
  <si>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</si>
  <si>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</si>
  <si>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</si>
  <si>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</si>
  <si>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</si>
  <si>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</si>
  <si>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</si>
  <si>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</si>
  <si>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</si>
  <si>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</si>
  <si>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</si>
  <si>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</si>
  <si>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</si>
  <si>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</si>
  <si>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</si>
  <si>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</si>
  <si>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</si>
  <si>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</si>
  <si>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</si>
  <si>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</si>
  <si>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</si>
  <si>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</si>
  <si>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</si>
  <si>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</si>
  <si>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</si>
  <si>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</si>
  <si>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</si>
  <si>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</si>
  <si>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</si>
  <si>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</si>
  <si>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</si>
  <si>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</si>
  <si>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</si>
  <si>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</si>
  <si>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</si>
  <si>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</si>
  <si>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</si>
  <si>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</si>
  <si>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</si>
  <si>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</si>
  <si>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</si>
  <si>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</si>
  <si>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</si>
  <si>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</si>
  <si>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</si>
  <si>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</si>
  <si>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</si>
  <si>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</si>
  <si>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</si>
  <si>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</si>
  <si>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</si>
  <si>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</si>
  <si>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</si>
  <si>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</si>
  <si>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</si>
  <si>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</si>
  <si>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</si>
  <si>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</si>
  <si>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</si>
  <si>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</si>
  <si>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</si>
  <si>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</si>
  <si>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</si>
  <si>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</si>
  <si>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</si>
  <si>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</si>
  <si>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</si>
  <si>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</si>
  <si>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</si>
  <si>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</si>
  <si>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</si>
  <si>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</si>
  <si>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</si>
  <si>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</si>
  <si>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</si>
  <si>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</si>
  <si>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</si>
  <si>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</si>
  <si>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</si>
  <si>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</si>
  <si>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</si>
  <si>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PLH5</t>
  </si>
  <si>
    <t>PLH4</t>
  </si>
  <si>
    <t>PLH3</t>
  </si>
  <si>
    <t>PLH2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</si>
  <si>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</si>
  <si>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</si>
  <si>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</si>
  <si>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</si>
  <si>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</si>
  <si>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</si>
  <si>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</si>
  <si>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2018 Adjusted Benchmark Scenario</t>
  </si>
  <si>
    <t>Benchmark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</si>
  <si>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</si>
  <si>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</si>
  <si>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</si>
  <si>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</si>
  <si>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</si>
  <si>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</si>
  <si>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</si>
  <si>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</si>
  <si>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</si>
  <si>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</si>
  <si>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</si>
  <si>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</si>
  <si>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</si>
  <si>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</si>
  <si>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</si>
  <si>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</si>
  <si>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</si>
  <si>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</si>
  <si>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</si>
  <si>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</si>
  <si>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</si>
  <si>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</si>
  <si>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</si>
  <si>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</si>
  <si>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 xml:space="preserve">Long-term efficacy in TRD patients (e.g., effect on depressive symptoms at 52 weeks) </t>
  </si>
  <si>
    <t>Treatment remission rate in TRD patients (e.g., % of TRD patients with MADRS scores of ≤ 12 at end point)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</si>
  <si>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</si>
  <si>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</si>
  <si>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</si>
  <si>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</si>
  <si>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</si>
  <si>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</si>
  <si>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</si>
  <si>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</si>
  <si>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</si>
  <si>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</si>
  <si>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</si>
  <si>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</si>
  <si>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</si>
  <si>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</si>
  <si>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</si>
  <si>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</si>
  <si>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</si>
  <si>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</si>
  <si>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</si>
  <si>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</si>
  <si>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</si>
  <si>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</si>
  <si>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</si>
  <si>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</si>
  <si>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Btrx246040 (OPRL1)</t>
  </si>
  <si>
    <t>NR2B C/N (NR2B)</t>
  </si>
  <si>
    <t>AMPAR (AMPA)</t>
  </si>
  <si>
    <t>P2X7 (P2X7)</t>
  </si>
  <si>
    <t>AGN241751 (NMDA)</t>
  </si>
  <si>
    <t>FAAH in Anxious Distress (FAAH)</t>
  </si>
  <si>
    <t>S-47445 (AMPA)</t>
  </si>
  <si>
    <t>Seltorexant (OX2)</t>
  </si>
  <si>
    <t>REL-1017 (NMDA)</t>
  </si>
  <si>
    <t>JNJ-67953964 (KOR)</t>
  </si>
  <si>
    <t>AV-101 (NMDA)</t>
  </si>
  <si>
    <t>AXS-05 (ATAD)</t>
  </si>
  <si>
    <t>Rapastinel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</si>
  <si>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</si>
  <si>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</si>
  <si>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</si>
  <si>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</si>
  <si>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</si>
  <si>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</si>
  <si>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</si>
  <si>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</si>
  <si>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</si>
  <si>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</si>
  <si>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</si>
  <si>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</si>
  <si>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</si>
  <si>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</si>
  <si>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</si>
  <si>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</si>
  <si>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</si>
  <si>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</si>
  <si>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</si>
  <si>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</si>
  <si>
    <t>NUPLAZID (Pimavanserin)</t>
  </si>
  <si>
    <t>Sunflower</t>
  </si>
  <si>
    <t>SPRAVATO</t>
  </si>
  <si>
    <t>SPRAVATO (NMDA)</t>
  </si>
  <si>
    <t>induction</t>
  </si>
  <si>
    <t>opt</t>
  </si>
  <si>
    <t>maint</t>
  </si>
  <si>
    <t>wks</t>
  </si>
  <si>
    <t>sessions</t>
  </si>
  <si>
    <t>DOT</t>
  </si>
  <si>
    <t>Total</t>
  </si>
  <si>
    <t>Esketamine Clean</t>
  </si>
  <si>
    <t>Esketamine + Seltorexant Clean</t>
  </si>
  <si>
    <t>Esketamine + Selt=0 Faah=0</t>
  </si>
  <si>
    <t>Esketamine + Selt=1 Faah=0</t>
  </si>
  <si>
    <t>Esketamine + Selt=0 Faah=1</t>
  </si>
  <si>
    <t>Esketamine + Selt=1 Faah=1</t>
  </si>
  <si>
    <t>Esketamine OTF</t>
  </si>
  <si>
    <t>Esketamine OTF (NMDA)</t>
  </si>
  <si>
    <t>Orexin1 (OX1)</t>
  </si>
  <si>
    <t>Sunflower (NMDA)</t>
  </si>
  <si>
    <t>Share in PCP vs Share in Psych</t>
  </si>
  <si>
    <t>Scenario Sage217=ON Selt+Faah=OFF</t>
  </si>
  <si>
    <t>Phase Backup</t>
  </si>
  <si>
    <t>EU5</t>
  </si>
  <si>
    <t>Launch Yr</t>
  </si>
  <si>
    <t>PTRS</t>
  </si>
  <si>
    <t>Potential Launches</t>
  </si>
  <si>
    <t>Cumulative Possible Launches</t>
  </si>
  <si>
    <t>Possible Launch Scenarios</t>
  </si>
  <si>
    <t>Probability all of them launching</t>
  </si>
  <si>
    <t>Probability 1 of them launches</t>
  </si>
  <si>
    <t>Scenario Spravato Only</t>
  </si>
  <si>
    <t>Scenario Spravato + Seltorexant</t>
  </si>
  <si>
    <t>Scenario Spravato + FAAHi</t>
  </si>
  <si>
    <t>Scenario Spravato + Seltorexant + FAAHi</t>
  </si>
  <si>
    <t>Scenario Random Iteration 5</t>
  </si>
  <si>
    <t>Sceanario Random Iteration 6</t>
  </si>
  <si>
    <t>Scenario Random Iteration 7</t>
  </si>
  <si>
    <t>Scenario Random Iteration 8</t>
  </si>
  <si>
    <t>Scenario Random Iteration 9</t>
  </si>
  <si>
    <t>Scenario Random Iteration 10</t>
  </si>
  <si>
    <t>Portfolio 190214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</si>
</sst>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  <numFmt numFmtId="179" formatCode="0,,&quot;M&quot;"/>
    <numFmt numFmtId="180" formatCode="0.000000000000000%"/>
    <numFmt numFmtId="181" formatCode="&quot;$&quot;#,##0.00"/>
    <numFmt numFmtId="182" formatCode="_(&quot;$&quot;* #,##0_);_(&quot;$&quot;* \(#,##0\);_(&quot;$&quot;* &quot;-&quot;??_);_(@_)"/>
    <numFmt numFmtId="183" formatCode="_(&quot;$&quot;* #,##0.0_);_(&quot;$&quot;* \(#,##0.0\);_(&quot;$&quot;* &quot;-&quot;??_);_(@_)"/>
    <numFmt numFmtId="184" formatCode="0.000"/>
    <numFmt numFmtId="185" formatCode="_(* #,##0_);_(* \(#,##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15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9" xfId="5" applyNumberFormat="1" applyFont="1" applyFill="1" applyBorder="1" applyAlignment="1">
      <alignment horizontal="center" vertic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0" borderId="21" xfId="5" applyFont="1" applyBorder="1" applyAlignment="1">
      <alignment horizontal="center"/>
    </xf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9" fontId="0" fillId="10" borderId="24" xfId="5" applyFont="1" applyFill="1" applyBorder="1" applyAlignment="1" applyProtection="1">
      <alignment horizontal="center"/>
      <protection locked="0"/>
    </xf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0" borderId="29" xfId="5" applyFont="1" applyBorder="1" applyAlignment="1">
      <alignment horizontal="center"/>
    </xf>
    <xf numFmtId="9" fontId="0" fillId="9" borderId="30" xfId="5" applyFont="1" applyFill="1" applyBorder="1"/>
    <xf numFmtId="9" fontId="0" fillId="10" borderId="30" xfId="5" applyFont="1" applyFill="1" applyBorder="1" applyAlignment="1" applyProtection="1">
      <alignment horizontal="center"/>
      <protection locked="0"/>
    </xf>
    <xf numFmtId="0" fontId="4" fillId="0" borderId="30" xfId="4" applyFill="1" applyBorder="1"/>
    <xf numFmtId="9" fontId="0" fillId="0" borderId="31" xfId="5" applyFont="1" applyBorder="1" applyAlignment="1">
      <alignment horizontal="center"/>
    </xf>
    <xf numFmtId="9" fontId="0" fillId="10" borderId="22" xfId="5" applyNumberFormat="1" applyFont="1" applyFill="1" applyBorder="1" applyAlignment="1" applyProtection="1">
      <alignment horizontal="center"/>
      <protection locked="0"/>
    </xf>
    <xf numFmtId="9" fontId="0" fillId="10" borderId="24" xfId="5" applyNumberFormat="1" applyFont="1" applyFill="1" applyBorder="1" applyAlignment="1" applyProtection="1">
      <alignment horizontal="center"/>
      <protection locked="0"/>
    </xf>
    <xf numFmtId="9" fontId="0" fillId="10" borderId="30" xfId="5" applyNumberFormat="1" applyFont="1" applyFill="1" applyBorder="1" applyAlignment="1" applyProtection="1">
      <alignment horizontal="center"/>
      <protection locked="0"/>
    </xf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0" fontId="0" fillId="0" borderId="0" xfId="0" applyBorder="1"/>
    <xf numFmtId="0" fontId="0" fillId="0" borderId="47" xfId="0" applyBorder="1"/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179" fontId="0" fillId="0" borderId="0" xfId="0" applyNumberFormat="1"/>
    <xf numFmtId="177" fontId="0" fillId="0" borderId="0" xfId="0" applyNumberFormat="1"/>
    <xf numFmtId="180" fontId="0" fillId="0" borderId="0" xfId="0" applyNumberFormat="1"/>
    <xf numFmtId="181" fontId="9" fillId="6" borderId="5" xfId="3" applyNumberFormat="1" applyFont="1" applyFill="1" applyBorder="1" applyAlignment="1" applyProtection="1">
      <alignment horizontal="center" vertical="center"/>
    </xf>
    <xf numFmtId="181" fontId="0" fillId="0" borderId="0" xfId="0" applyNumberFormat="1"/>
    <xf numFmtId="0" fontId="0" fillId="0" borderId="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5" xfId="0" applyNumberFormat="1" applyBorder="1" applyAlignment="1">
      <alignment horizontal="center"/>
    </xf>
    <xf numFmtId="182" fontId="0" fillId="0" borderId="0" xfId="6" applyNumberFormat="1" applyFont="1" applyAlignment="1">
      <alignment horizontal="center"/>
    </xf>
    <xf numFmtId="18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4" fontId="0" fillId="0" borderId="0" xfId="0" applyNumberFormat="1"/>
    <xf numFmtId="1" fontId="0" fillId="0" borderId="0" xfId="0" applyNumberFormat="1" applyAlignment="1">
      <alignment horizontal="center"/>
    </xf>
    <xf numFmtId="184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16" borderId="13" xfId="0" applyFill="1" applyBorder="1"/>
    <xf numFmtId="0" fontId="34" fillId="16" borderId="5" xfId="0" applyFont="1" applyFill="1" applyBorder="1" applyAlignment="1">
      <alignment horizontal="center" vertical="top" wrapText="1"/>
    </xf>
    <xf numFmtId="37" fontId="9" fillId="3" borderId="5" xfId="1" applyNumberFormat="1" applyFont="1" applyFill="1" applyBorder="1" applyAlignment="1" applyProtection="1">
      <alignment horizontal="center" vertical="center"/>
    </xf>
    <xf numFmtId="0" fontId="0" fillId="16" borderId="50" xfId="0" applyFill="1" applyBorder="1"/>
    <xf numFmtId="0" fontId="13" fillId="3" borderId="47" xfId="3" applyFont="1" applyFill="1" applyBorder="1" applyAlignment="1" applyProtection="1">
      <alignment horizontal="center" textRotation="90" wrapText="1"/>
    </xf>
    <xf numFmtId="0" fontId="0" fillId="16" borderId="11" xfId="0" applyFill="1" applyBorder="1"/>
    <xf numFmtId="185" fontId="0" fillId="0" borderId="0" xfId="1" applyNumberFormat="1" applyFont="1"/>
    <xf numFmtId="0" fontId="33" fillId="3" borderId="5" xfId="3" applyFont="1" applyFill="1" applyBorder="1" applyAlignment="1" applyProtection="1">
      <alignment horizontal="center" vertical="center" wrapText="1"/>
    </xf>
    <xf numFmtId="172" fontId="0" fillId="0" borderId="0" xfId="0" applyNumberFormat="1"/>
    <xf numFmtId="164" fontId="3" fillId="3" borderId="5" xfId="2" applyNumberFormat="1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</cellXfs>
  <cellStyles count="7">
    <cellStyle name="Comma" xfId="1" builtinId="3"/>
    <cellStyle name="Currency" xfId="6" builtinId="4"/>
    <cellStyle name="Normal" xfId="0" builtinId="0"/>
    <cellStyle name="Normal 12" xfId="4" xr:uid="{00000000-0005-0000-0000-000003000000}"/>
    <cellStyle name="Normal 13 3 2" xfId="3" xr:uid="{00000000-0005-0000-0000-000004000000}"/>
    <cellStyle name="Percent" xfId="2" builtinId="5"/>
    <cellStyle name="Percent 2" xfId="5" xr:uid="{00000000-0005-0000-0000-000006000000}"/>
  </cellStyles>
  <dxfs count="11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indexed="8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possible Launch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'Launch Scenarios'!$J$2:$AG$2</c:f>
              <c:numCache>
                <c:formatCode>General</c:formatCod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cat>
          <c:val>
            <c:numRef>
              <c:f>'Launch Scenarios'!$J$27:$AG$27</c:f>
              <c:numCache>
                <c:formatCode>_(* #,##0_);_(* \(#,##0\);_(* "-"??_);_(@_)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3-45E8-B694-C30C917F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575104"/>
        <c:axId val="2019870800"/>
      </c:barChart>
      <c:catAx>
        <c:axId val="1883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70800"/>
        <c:crosses val="autoZero"/>
        <c:auto val="1"/>
        <c:lblAlgn val="ctr"/>
        <c:lblOffset val="100"/>
        <c:noMultiLvlLbl val="0"/>
      </c:catAx>
      <c:valAx>
        <c:axId val="20198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What</a:t>
            </a:r>
            <a:r>
              <a:rPr lang="en-US" sz="1100" baseline="0"/>
              <a:t> share in PCPs do we expect for our product</a:t>
            </a:r>
          </a:p>
          <a:p>
            <a:pPr>
              <a:defRPr sz="1100"/>
            </a:pPr>
            <a:r>
              <a:rPr lang="en-US" sz="1100" baseline="0"/>
              <a:t>(as a % of share in Psychiatry)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'PCP Deciles'!$E$1</c:f>
              <c:strCache>
                <c:ptCount val="1"/>
                <c:pt idx="0">
                  <c:v>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'PCP Deciles'!$D$2:$D$12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0.70000000000000007</c:v>
                </c:pt>
                <c:pt idx="4">
                  <c:v>0.60000000000000009</c:v>
                </c:pt>
                <c:pt idx="5">
                  <c:v>0.50000000000000011</c:v>
                </c:pt>
                <c:pt idx="6">
                  <c:v>0.40000000000000013</c:v>
                </c:pt>
                <c:pt idx="7">
                  <c:v>0.30000000000000016</c:v>
                </c:pt>
                <c:pt idx="8">
                  <c:v>0.20000000000000015</c:v>
                </c:pt>
                <c:pt idx="9">
                  <c:v>0.10000000000000014</c:v>
                </c:pt>
                <c:pt idx="10">
                  <c:v>1.3877787807814457E-16</c:v>
                </c:pt>
              </c:numCache>
            </c:numRef>
          </c:xVal>
          <c:yVal>
            <c:numRef>
              <c:f>'PCP Deciles'!$E$2:$E$12</c:f>
              <c:numCache>
                <c:formatCode>0%</c:formatCode>
                <c:ptCount val="11"/>
                <c:pt idx="0">
                  <c:v>1</c:v>
                </c:pt>
                <c:pt idx="1">
                  <c:v>0.95696656064884311</c:v>
                </c:pt>
                <c:pt idx="2">
                  <c:v>0.91393312129768622</c:v>
                </c:pt>
                <c:pt idx="3">
                  <c:v>0.87089968194652934</c:v>
                </c:pt>
                <c:pt idx="4">
                  <c:v>0.82786624259537234</c:v>
                </c:pt>
                <c:pt idx="5">
                  <c:v>0.78483280324421545</c:v>
                </c:pt>
                <c:pt idx="6">
                  <c:v>0.74179936389305856</c:v>
                </c:pt>
                <c:pt idx="7">
                  <c:v>0.69876592454190156</c:v>
                </c:pt>
                <c:pt idx="8">
                  <c:v>0.65573248519074467</c:v>
                </c:pt>
                <c:pt idx="9">
                  <c:v>0.61269904583958779</c:v>
                </c:pt>
                <c:pt idx="10">
                  <c:v>0.5696656064884309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42-46E0-AE81-CD4F8832381D}"/>
            </c:ext>
          </c:extLst>
        </c:ser>
        <c:ser>
          <c:idx val="1"/>
          <c:order val="1"/>
          <c:tx>
            <c:strRef>
              <c:f>'PCP Deciles'!$F$1</c:f>
              <c:strCache>
                <c:ptCount val="1"/>
                <c:pt idx="0">
                  <c:v>EU5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'PCP Deciles'!$D$2:$D$12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0.70000000000000007</c:v>
                </c:pt>
                <c:pt idx="4">
                  <c:v>0.60000000000000009</c:v>
                </c:pt>
                <c:pt idx="5">
                  <c:v>0.50000000000000011</c:v>
                </c:pt>
                <c:pt idx="6">
                  <c:v>0.40000000000000013</c:v>
                </c:pt>
                <c:pt idx="7">
                  <c:v>0.30000000000000016</c:v>
                </c:pt>
                <c:pt idx="8">
                  <c:v>0.20000000000000015</c:v>
                </c:pt>
                <c:pt idx="9">
                  <c:v>0.10000000000000014</c:v>
                </c:pt>
                <c:pt idx="10">
                  <c:v>1.3877787807814457E-16</c:v>
                </c:pt>
              </c:numCache>
            </c:numRef>
          </c:xVal>
          <c:yVal>
            <c:numRef>
              <c:f>'PCP Deciles'!$F$2:$F$12</c:f>
              <c:numCache>
                <c:formatCode>0%</c:formatCode>
                <c:ptCount val="1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0.85000000000000009</c:v>
                </c:pt>
                <c:pt idx="4">
                  <c:v>0.8</c:v>
                </c:pt>
                <c:pt idx="5">
                  <c:v>0.75</c:v>
                </c:pt>
                <c:pt idx="6">
                  <c:v>0.70000000000000007</c:v>
                </c:pt>
                <c:pt idx="7">
                  <c:v>0.65000000000000013</c:v>
                </c:pt>
                <c:pt idx="8">
                  <c:v>0.60000000000000009</c:v>
                </c:pt>
                <c:pt idx="9">
                  <c:v>0.55000000000000004</c:v>
                </c:pt>
                <c:pt idx="10">
                  <c:v>0.50000000000000011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CE-46D4-8709-1932662538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73010896"/>
        <c:axId val="473012816"/>
      </c:scatterChart>
      <c:valAx>
        <c:axId val="4730108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 in PCP as % of </a:t>
                </a:r>
                <a:r>
                  <a:rPr lang="en-US" baseline="0"/>
                  <a:t>Share in Psychiatry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12816"/>
        <c:crosses val="autoZero"/>
        <c:crossBetween val="midCat"/>
        <c:majorUnit val="0.1"/>
      </c:valAx>
      <c:valAx>
        <c:axId val="4730128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1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1.6949152542372881E-2</c:v>
                </c:pt>
                <c:pt idx="1">
                  <c:v>0.10169491525423729</c:v>
                </c:pt>
                <c:pt idx="2">
                  <c:v>0.51864406779661021</c:v>
                </c:pt>
                <c:pt idx="3">
                  <c:v>0.26440677966101694</c:v>
                </c:pt>
                <c:pt idx="4">
                  <c:v>9.8305084745762716E-2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1.9305019305019305E-2</c:v>
                </c:pt>
                <c:pt idx="1">
                  <c:v>0.10424710424710425</c:v>
                </c:pt>
                <c:pt idx="2">
                  <c:v>0.54054054054054057</c:v>
                </c:pt>
                <c:pt idx="3">
                  <c:v>0.21621621621621623</c:v>
                </c:pt>
                <c:pt idx="4">
                  <c:v>0.11969111969111969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4.72972972972973E-2</c:v>
                </c:pt>
                <c:pt idx="1">
                  <c:v>0.12837837837837837</c:v>
                </c:pt>
                <c:pt idx="2">
                  <c:v>0.82432432432432434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Barrier!$D$313:$H$313</c:f>
              <c:numCache>
                <c:formatCode>0%</c:formatCode>
                <c:ptCount val="5"/>
                <c:pt idx="0">
                  <c:v>7.0422535211267609E-2</c:v>
                </c:pt>
                <c:pt idx="1">
                  <c:v>5.6338028169014086E-2</c:v>
                </c:pt>
                <c:pt idx="2">
                  <c:v>0.823943661971831</c:v>
                </c:pt>
                <c:pt idx="3">
                  <c:v>0</c:v>
                </c:pt>
                <c:pt idx="4">
                  <c:v>4.9295774647887321E-2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17871361585419804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layout>
                <c:manualLayout>
                  <c:x val="-7.6085994868618945E-2"/>
                  <c:y val="-2.43161094224924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5.3083252233919551E-3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layout>
                <c:manualLayout>
                  <c:x val="-1.7694417411306732E-3"/>
                  <c:y val="-3.47372991749891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3.874162929770619E-4"/>
                  <c:y val="7.3873268492667941E-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5.3083252233920202E-3"/>
                  <c:y val="5.210594876248308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-6.723878616296558E-2"/>
                  <c:y val="-2.6052974381241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4.2466601787136224E-2"/>
                  <c:y val="-2.6052974381241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layout>
                <c:manualLayout>
                  <c:x val="-3.6540563838163283E-3"/>
                  <c:y val="-1.216172883147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Seltorexant (OX2)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-5.3083252233920202E-3"/>
                  <c:y val="-3.473729917498978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layout>
                <c:manualLayout>
                  <c:x val="-0.19640803326550477"/>
                  <c:y val="-3.473729917498946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6.7528112856826163E-4"/>
                  <c:y val="-1.72740326158688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OTF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layout>
                <c:manualLayout>
                  <c:x val="-3.6540563838164623E-3"/>
                  <c:y val="8.68694916534150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(OX1)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layout>
                <c:manualLayout>
                  <c:x val="-0.12386092187914713"/>
                  <c:y val="-8.68432479374728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5.6622135716181674E-2"/>
                  <c:y val="-2.25792444637429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layout>
                <c:manualLayout>
                  <c:x val="-0.16986640714854467"/>
                  <c:y val="1.38949196699956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6.1930460939573564E-2"/>
                  <c:y val="2.60529743812417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Sunflower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Acceptability'!$F$61:$F$87</c:f>
              <c:numCache>
                <c:formatCode>0%</c:formatCode>
                <c:ptCount val="27"/>
                <c:pt idx="0">
                  <c:v>1</c:v>
                </c:pt>
                <c:pt idx="1">
                  <c:v>0.95987587447087086</c:v>
                </c:pt>
                <c:pt idx="2">
                  <c:v>0.74273332468857101</c:v>
                </c:pt>
                <c:pt idx="3">
                  <c:v>0.91462952015078902</c:v>
                </c:pt>
                <c:pt idx="4">
                  <c:v>1</c:v>
                </c:pt>
                <c:pt idx="5">
                  <c:v>0.69293749160208296</c:v>
                </c:pt>
                <c:pt idx="6">
                  <c:v>1.0169670031081097</c:v>
                </c:pt>
                <c:pt idx="7">
                  <c:v>1.2385328816514092</c:v>
                </c:pt>
                <c:pt idx="8">
                  <c:v>1.401424024346744</c:v>
                </c:pt>
                <c:pt idx="9">
                  <c:v>1</c:v>
                </c:pt>
                <c:pt idx="10">
                  <c:v>1</c:v>
                </c:pt>
                <c:pt idx="11">
                  <c:v>1.1818577649367614</c:v>
                </c:pt>
                <c:pt idx="12">
                  <c:v>1.0893285657331289</c:v>
                </c:pt>
                <c:pt idx="13">
                  <c:v>1.0740193269817806</c:v>
                </c:pt>
                <c:pt idx="14">
                  <c:v>1.2575084110360748</c:v>
                </c:pt>
                <c:pt idx="15">
                  <c:v>1.0990872042465945</c:v>
                </c:pt>
                <c:pt idx="16">
                  <c:v>1.0257182368164959</c:v>
                </c:pt>
                <c:pt idx="17">
                  <c:v>1</c:v>
                </c:pt>
                <c:pt idx="18">
                  <c:v>1.3937608430659409</c:v>
                </c:pt>
                <c:pt idx="19">
                  <c:v>1.2075760017532573</c:v>
                </c:pt>
                <c:pt idx="20">
                  <c:v>1.1906089986451476</c:v>
                </c:pt>
                <c:pt idx="21">
                  <c:v>1.2049667611652422</c:v>
                </c:pt>
                <c:pt idx="22">
                  <c:v>1.3474283696516922</c:v>
                </c:pt>
                <c:pt idx="23">
                  <c:v>1</c:v>
                </c:pt>
                <c:pt idx="24">
                  <c:v>1.2276861907103607</c:v>
                </c:pt>
                <c:pt idx="25">
                  <c:v>1.4786478514658605</c:v>
                </c:pt>
              </c:numCache>
            </c:numRef>
          </c:xVal>
          <c:yVal>
            <c:numRef>
              <c:f>'Efficacy Acceptability'!$G$61:$G$87</c:f>
              <c:numCache>
                <c:formatCode>0%</c:formatCode>
                <c:ptCount val="27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1.1508951768697249</c:v>
                </c:pt>
                <c:pt idx="15">
                  <c:v>0.97008961015802508</c:v>
                </c:pt>
                <c:pt idx="16">
                  <c:v>1.1232530296446974</c:v>
                </c:pt>
                <c:pt idx="17">
                  <c:v>1.0816723707682794</c:v>
                </c:pt>
                <c:pt idx="18">
                  <c:v>1.100501269212764</c:v>
                </c:pt>
                <c:pt idx="19">
                  <c:v>1.1434258751662101</c:v>
                </c:pt>
                <c:pt idx="20">
                  <c:v>1.1434258751662101</c:v>
                </c:pt>
                <c:pt idx="21">
                  <c:v>1.0498590216014663</c:v>
                </c:pt>
                <c:pt idx="22">
                  <c:v>1.0966424483838382</c:v>
                </c:pt>
                <c:pt idx="23">
                  <c:v>1</c:v>
                </c:pt>
                <c:pt idx="24">
                  <c:v>1.0817993603438614</c:v>
                </c:pt>
                <c:pt idx="25">
                  <c:v>1.0816723707682794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in val="0.6500000000000001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crossAx val="1562313775"/>
        <c:crosses val="autoZero"/>
        <c:crossBetween val="midCat"/>
        <c:majorUnit val="9.0000000000000024E-2"/>
      </c:valAx>
      <c:valAx>
        <c:axId val="1562313775"/>
        <c:scaling>
          <c:orientation val="minMax"/>
          <c:max val="1.25"/>
          <c:min val="0.610000000000000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crossAx val="1813135583"/>
        <c:crosses val="autoZero"/>
        <c:crossBetween val="midCat"/>
        <c:majorUnit val="6.4000000000000015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</xdr:colOff>
      <xdr:row>15</xdr:row>
      <xdr:rowOff>6669</xdr:rowOff>
    </xdr:from>
    <xdr:to>
      <xdr:col>19</xdr:col>
      <xdr:colOff>150495</xdr:colOff>
      <xdr:row>27</xdr:row>
      <xdr:rowOff>144781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D12D6D-7935-4A68-96CE-0F20129E8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266942</xdr:colOff>
      <xdr:row>0</xdr:row>
      <xdr:rowOff>249076</xdr:rowOff>
    </xdr:from>
    <xdr:to>
      <xdr:col>12</xdr:col>
      <xdr:colOff>529507</xdr:colOff>
      <xdr:row>14</xdr:row>
      <xdr:rowOff>24268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EB7B25-6A28-4803-975B-649EE6437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9EF076-3322-4ACC-A6BF-63618ADAA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5625A2-8061-4C5B-B371-3E7CF852E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F43CCC-6828-4452-B1C3-74BE41A3B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17F9E4-089A-4D37-8FDB-454406C92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980168-4F3C-4F36-AE1E-7FC32EC6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91FC34-58C4-494E-B9EB-C5ABF81D4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FA323EF-C478-4D7A-BF82-CCCDC06B7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9570CEE-08E2-4484-8638-ED20566CB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A1892-82F3-4360-8524-F33024785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314</xdr:row>
      <xdr:rowOff>127000</xdr:rowOff>
    </xdr:from>
    <xdr:to>
      <xdr:col>7</xdr:col>
      <xdr:colOff>1574800</xdr:colOff>
      <xdr:row>338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608048-F911-4CEE-8079-D9BF751B1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31806</xdr:colOff>
      <xdr:row>0</xdr:row>
      <xdr:rowOff>53089</xdr:rowOff>
    </xdr:from>
    <xdr:to>
      <xdr:col>22</xdr:col>
      <xdr:colOff>301681</xdr:colOff>
      <xdr:row>69</xdr:row>
      <xdr:rowOff>88014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3A4479-3C38-42DB-8EE2-3A56EA458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nijs1_its_jnj_com/Documents/02.%20Disease%20Areas/Mood/Strategy%20Update/aMDD%20MM%20v1.9-U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nijs1_its_jnj_com/Documents/02.%20Disease%20Areas/Mood/Strategy%20Update/SPAIN%20TEST%20FILE%20BASS%20LOE%20CORRECTED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 refreshError="1"/>
      <sheetData sheetId="2" refreshError="1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D11" t="str">
            <v>Esketamine</v>
          </cell>
        </row>
      </sheetData>
      <sheetData sheetId="7" refreshError="1"/>
      <sheetData sheetId="8"/>
      <sheetData sheetId="9" refreshError="1"/>
      <sheetData sheetId="10" refreshError="1"/>
      <sheetData sheetId="11">
        <row r="2">
          <cell r="F2" t="str">
            <v>AAPS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G2:Q24"/>
  <sheetViews>
    <sheetView workbookViewId="0">
      <selection activeCell="O22" sqref="O22"/>
    </sheetView>
  </sheetViews>
  <sheetFormatPr defaultRowHeight="15" x14ac:dyDescent="0.25"/>
  <cols>
    <col min="7" max="8" width="9.140625" customWidth="1"/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75"/>
      <c r="H8" s="175" t="s">
        <v>282</v>
      </c>
      <c r="I8" s="175" t="s">
        <v>283</v>
      </c>
      <c r="J8" s="189" t="s">
        <v>284</v>
      </c>
      <c r="K8" s="189"/>
      <c r="M8" s="165">
        <v>0.75800000000000001</v>
      </c>
      <c r="N8" s="165">
        <f>1-M8</f>
        <v>0.24199999999999999</v>
      </c>
    </row>
    <row r="9" spans="7:17" x14ac:dyDescent="0.25">
      <c r="G9" s="175" t="s">
        <v>285</v>
      </c>
      <c r="H9" s="175">
        <v>4</v>
      </c>
      <c r="I9" s="175">
        <v>4</v>
      </c>
      <c r="J9" s="189">
        <f>52-I9-H9</f>
        <v>44</v>
      </c>
      <c r="K9" s="189"/>
      <c r="M9" s="166">
        <v>3</v>
      </c>
      <c r="N9" s="166">
        <v>2</v>
      </c>
    </row>
    <row r="10" spans="7:17" x14ac:dyDescent="0.25">
      <c r="G10" s="175"/>
      <c r="H10" s="175"/>
      <c r="I10" s="175"/>
      <c r="J10" s="167">
        <v>0.6</v>
      </c>
      <c r="K10" s="167">
        <v>0.4</v>
      </c>
      <c r="M10" s="166">
        <f>M9*M8+N8*N9</f>
        <v>2.758</v>
      </c>
      <c r="N10" s="168">
        <v>378</v>
      </c>
    </row>
    <row r="11" spans="7:17" x14ac:dyDescent="0.25">
      <c r="G11" s="175" t="s">
        <v>286</v>
      </c>
      <c r="H11" s="175">
        <v>2</v>
      </c>
      <c r="I11" s="175">
        <v>1</v>
      </c>
      <c r="J11" s="175">
        <v>0.5</v>
      </c>
      <c r="K11" s="175">
        <v>1</v>
      </c>
      <c r="Q11" s="166" t="s">
        <v>287</v>
      </c>
    </row>
    <row r="12" spans="7:17" x14ac:dyDescent="0.25">
      <c r="G12" s="166" t="s">
        <v>288</v>
      </c>
      <c r="H12" s="166">
        <f>H11*H9</f>
        <v>8</v>
      </c>
      <c r="I12" s="166">
        <f>I11*I9</f>
        <v>4</v>
      </c>
      <c r="J12" s="166">
        <f>J11*J10*J9</f>
        <v>13.2</v>
      </c>
      <c r="K12" s="166">
        <f>K11*K10*J9</f>
        <v>17.600000000000001</v>
      </c>
      <c r="L12">
        <f>SUM(H12:K12)</f>
        <v>42.8</v>
      </c>
      <c r="M12" s="169">
        <f>M10*N10</f>
        <v>1042.5240000000001</v>
      </c>
      <c r="N12" s="170">
        <f>M12*L12</f>
        <v>44620.027200000004</v>
      </c>
      <c r="O12" s="171">
        <f>N12/365</f>
        <v>122.24664986301372</v>
      </c>
      <c r="P12" s="166">
        <v>21.6</v>
      </c>
      <c r="Q12" s="172">
        <f>P12/L12*365</f>
        <v>184.20560747663552</v>
      </c>
    </row>
    <row r="13" spans="7:17" x14ac:dyDescent="0.25">
      <c r="L13" s="173">
        <f>L12/365*M10</f>
        <v>0.32340383561643832</v>
      </c>
      <c r="P13">
        <f>P12/Q12</f>
        <v>0.11726027397260275</v>
      </c>
    </row>
    <row r="18" spans="7:17" x14ac:dyDescent="0.25">
      <c r="G18" s="175"/>
      <c r="H18" s="175" t="s">
        <v>282</v>
      </c>
      <c r="I18" s="175" t="s">
        <v>283</v>
      </c>
      <c r="J18" s="189" t="s">
        <v>284</v>
      </c>
      <c r="K18" s="189"/>
      <c r="M18" s="174">
        <v>0.75800000000000001</v>
      </c>
      <c r="N18" s="174">
        <f>1-M18</f>
        <v>0.24199999999999999</v>
      </c>
    </row>
    <row r="19" spans="7:17" x14ac:dyDescent="0.25">
      <c r="G19" s="175" t="s">
        <v>285</v>
      </c>
      <c r="H19" s="175">
        <v>4</v>
      </c>
      <c r="I19" s="175">
        <v>4</v>
      </c>
      <c r="J19" s="189">
        <f>52-I19-H19</f>
        <v>44</v>
      </c>
      <c r="K19" s="189"/>
      <c r="M19" s="166">
        <v>3</v>
      </c>
      <c r="N19" s="166">
        <v>2</v>
      </c>
    </row>
    <row r="20" spans="7:17" x14ac:dyDescent="0.25">
      <c r="G20" s="175"/>
      <c r="H20" s="175"/>
      <c r="I20" s="175"/>
      <c r="J20" s="167">
        <v>0.6</v>
      </c>
      <c r="K20" s="167">
        <v>0.4</v>
      </c>
      <c r="M20" s="166">
        <f>M19*M18+N18*N19</f>
        <v>2.758</v>
      </c>
      <c r="N20" s="168">
        <v>111.67512690355331</v>
      </c>
    </row>
    <row r="21" spans="7:17" x14ac:dyDescent="0.25">
      <c r="G21" s="175" t="s">
        <v>286</v>
      </c>
      <c r="H21" s="175">
        <v>2</v>
      </c>
      <c r="I21" s="175">
        <v>1</v>
      </c>
      <c r="J21" s="175">
        <v>0.5</v>
      </c>
      <c r="K21" s="175">
        <v>1</v>
      </c>
      <c r="Q21" s="166" t="s">
        <v>287</v>
      </c>
    </row>
    <row r="22" spans="7:17" x14ac:dyDescent="0.25">
      <c r="G22" s="166" t="s">
        <v>288</v>
      </c>
      <c r="H22" s="166">
        <f>H21*H19</f>
        <v>8</v>
      </c>
      <c r="I22" s="166">
        <f>I21*I19</f>
        <v>4</v>
      </c>
      <c r="J22" s="166">
        <f>J21*J20*J19</f>
        <v>13.2</v>
      </c>
      <c r="K22" s="166">
        <f>K21*K20*J19</f>
        <v>17.600000000000001</v>
      </c>
      <c r="L22">
        <f>SUM(H22:K22)</f>
        <v>42.8</v>
      </c>
      <c r="M22" s="169">
        <f>M20*N20</f>
        <v>308</v>
      </c>
      <c r="N22" s="170">
        <f>M22*L22</f>
        <v>13182.4</v>
      </c>
      <c r="O22" s="171">
        <f>N22/365</f>
        <v>36.116164383561646</v>
      </c>
      <c r="P22" s="166">
        <v>21.6</v>
      </c>
      <c r="Q22" s="172">
        <f>P22/L22*365</f>
        <v>184.20560747663552</v>
      </c>
    </row>
    <row r="23" spans="7:17" x14ac:dyDescent="0.25">
      <c r="L23" s="173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71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G2:Q24"/>
  <sheetViews>
    <sheetView workbookViewId="0">
      <selection activeCell="Q22" sqref="Q22"/>
    </sheetView>
  </sheetViews>
  <sheetFormatPr defaultRowHeight="15" x14ac:dyDescent="0.25"/>
  <cols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64"/>
      <c r="H8" s="164" t="s">
        <v>282</v>
      </c>
      <c r="I8" s="164" t="s">
        <v>283</v>
      </c>
      <c r="J8" s="189" t="s">
        <v>284</v>
      </c>
      <c r="K8" s="189"/>
      <c r="M8" s="165">
        <v>0.75800000000000001</v>
      </c>
      <c r="N8" s="165">
        <f>1-M8</f>
        <v>0.24199999999999999</v>
      </c>
    </row>
    <row r="9" spans="7:17" x14ac:dyDescent="0.25">
      <c r="G9" s="164" t="s">
        <v>285</v>
      </c>
      <c r="H9" s="164">
        <v>4</v>
      </c>
      <c r="I9" s="164">
        <v>4</v>
      </c>
      <c r="J9" s="189">
        <f>52-I9-H9</f>
        <v>44</v>
      </c>
      <c r="K9" s="189"/>
      <c r="M9" s="166">
        <v>3</v>
      </c>
      <c r="N9" s="166">
        <v>2</v>
      </c>
    </row>
    <row r="10" spans="7:17" x14ac:dyDescent="0.25">
      <c r="G10" s="164"/>
      <c r="H10" s="164"/>
      <c r="I10" s="164"/>
      <c r="J10" s="167">
        <v>0.6</v>
      </c>
      <c r="K10" s="167">
        <v>0.4</v>
      </c>
      <c r="M10" s="166">
        <f>M9*M8+N8*N9</f>
        <v>2.758</v>
      </c>
      <c r="N10" s="168">
        <v>378</v>
      </c>
    </row>
    <row r="11" spans="7:17" x14ac:dyDescent="0.25">
      <c r="G11" s="164" t="s">
        <v>286</v>
      </c>
      <c r="H11" s="164">
        <v>2</v>
      </c>
      <c r="I11" s="164">
        <v>1</v>
      </c>
      <c r="J11" s="164">
        <v>0.5</v>
      </c>
      <c r="K11" s="164">
        <v>1</v>
      </c>
      <c r="Q11" s="166" t="s">
        <v>287</v>
      </c>
    </row>
    <row r="12" spans="7:17" x14ac:dyDescent="0.25">
      <c r="G12" s="166" t="s">
        <v>288</v>
      </c>
      <c r="H12" s="166">
        <f>H11*H9</f>
        <v>8</v>
      </c>
      <c r="I12" s="166">
        <f>I11*I9</f>
        <v>4</v>
      </c>
      <c r="J12" s="166">
        <f>J11*J10*J9</f>
        <v>13.2</v>
      </c>
      <c r="K12" s="166">
        <f>K11*K10*J9</f>
        <v>17.600000000000001</v>
      </c>
      <c r="L12">
        <f>SUM(H12:K12)</f>
        <v>42.8</v>
      </c>
      <c r="M12" s="169">
        <f>M10*N10</f>
        <v>1042.5240000000001</v>
      </c>
      <c r="N12" s="170">
        <f>M12*L12</f>
        <v>44620.027200000004</v>
      </c>
      <c r="O12" s="171">
        <f>N12/365</f>
        <v>122.24664986301372</v>
      </c>
      <c r="P12" s="166">
        <v>21.6</v>
      </c>
      <c r="Q12" s="172">
        <f>P12/L12*365</f>
        <v>184.20560747663552</v>
      </c>
    </row>
    <row r="13" spans="7:17" x14ac:dyDescent="0.25">
      <c r="L13" s="173">
        <f>L12/365*M10</f>
        <v>0.32340383561643832</v>
      </c>
      <c r="P13">
        <f>P12/Q12</f>
        <v>0.11726027397260275</v>
      </c>
    </row>
    <row r="18" spans="7:17" x14ac:dyDescent="0.25">
      <c r="G18" s="164"/>
      <c r="H18" s="164" t="s">
        <v>282</v>
      </c>
      <c r="I18" s="164" t="s">
        <v>283</v>
      </c>
      <c r="J18" s="189" t="s">
        <v>284</v>
      </c>
      <c r="K18" s="189"/>
      <c r="M18" s="174">
        <v>0.75800000000000001</v>
      </c>
      <c r="N18" s="174">
        <f>1-M18</f>
        <v>0.24199999999999999</v>
      </c>
    </row>
    <row r="19" spans="7:17" x14ac:dyDescent="0.25">
      <c r="G19" s="164" t="s">
        <v>285</v>
      </c>
      <c r="H19" s="164">
        <v>4</v>
      </c>
      <c r="I19" s="164">
        <v>4</v>
      </c>
      <c r="J19" s="189">
        <f>52-I19-H19</f>
        <v>44</v>
      </c>
      <c r="K19" s="189"/>
      <c r="M19" s="166">
        <v>3</v>
      </c>
      <c r="N19" s="166">
        <v>2</v>
      </c>
    </row>
    <row r="20" spans="7:17" x14ac:dyDescent="0.25">
      <c r="G20" s="164"/>
      <c r="H20" s="164"/>
      <c r="I20" s="164"/>
      <c r="J20" s="167">
        <v>0.6</v>
      </c>
      <c r="K20" s="167">
        <v>0.4</v>
      </c>
      <c r="M20" s="166">
        <f>M19*M18+N18*N19</f>
        <v>2.758</v>
      </c>
      <c r="N20" s="168">
        <v>111.67512690355331</v>
      </c>
    </row>
    <row r="21" spans="7:17" x14ac:dyDescent="0.25">
      <c r="G21" s="164" t="s">
        <v>286</v>
      </c>
      <c r="H21" s="164">
        <v>2</v>
      </c>
      <c r="I21" s="164">
        <v>1</v>
      </c>
      <c r="J21" s="164">
        <v>0.5</v>
      </c>
      <c r="K21" s="164">
        <v>1</v>
      </c>
      <c r="Q21" s="166" t="s">
        <v>287</v>
      </c>
    </row>
    <row r="22" spans="7:17" x14ac:dyDescent="0.25">
      <c r="G22" s="166" t="s">
        <v>288</v>
      </c>
      <c r="H22" s="166">
        <f>H21*H19</f>
        <v>8</v>
      </c>
      <c r="I22" s="166">
        <f>I21*I19</f>
        <v>4</v>
      </c>
      <c r="J22" s="166">
        <f>J21*J20*J19</f>
        <v>13.2</v>
      </c>
      <c r="K22" s="166">
        <f>K21*K20*J19</f>
        <v>17.600000000000001</v>
      </c>
      <c r="L22">
        <f>SUM(H22:K22)</f>
        <v>42.8</v>
      </c>
      <c r="M22" s="169">
        <f>M20*N20</f>
        <v>308</v>
      </c>
      <c r="N22" s="170">
        <f>M22*L22</f>
        <v>13182.4</v>
      </c>
      <c r="O22" s="171">
        <f>N22/365</f>
        <v>36.116164383561646</v>
      </c>
      <c r="P22" s="166">
        <v>21.6</v>
      </c>
      <c r="Q22" s="172">
        <f>P22/L22*365</f>
        <v>184.20560747663552</v>
      </c>
    </row>
    <row r="23" spans="7:17" x14ac:dyDescent="0.25">
      <c r="L23" s="173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71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CW61"/>
  <sheetViews>
    <sheetView workbookViewId="0">
      <selection activeCell="D2" sqref="D2:M2"/>
    </sheetView>
  </sheetViews>
  <sheetFormatPr defaultRowHeight="15" x14ac:dyDescent="0.25"/>
  <cols>
    <col min="1" max="1" width="24.28515625" bestFit="1" customWidth="1"/>
    <col min="2" max="3" width="8.42578125" customWidth="1"/>
    <col min="4" max="13" width="5.28515625" bestFit="1" customWidth="1"/>
    <col min="14" max="23" width="5.28515625" customWidth="1"/>
    <col min="24" max="24" width="8.7109375" bestFit="1" customWidth="1"/>
    <col min="25" max="59" width="4.5703125" customWidth="1"/>
    <col min="60" max="60" width="3" bestFit="1" customWidth="1"/>
    <col min="61" max="61" width="3.140625" bestFit="1" customWidth="1"/>
    <col min="62" max="64" width="2.85546875" bestFit="1" customWidth="1"/>
    <col min="65" max="65" width="2.85546875" customWidth="1"/>
    <col min="66" max="66" width="3.140625" bestFit="1" customWidth="1"/>
    <col min="67" max="67" width="4" bestFit="1" customWidth="1"/>
    <col min="68" max="70" width="3.42578125" bestFit="1" customWidth="1"/>
    <col min="71" max="71" width="2.85546875" bestFit="1" customWidth="1"/>
    <col min="72" max="72" width="2.85546875" customWidth="1"/>
    <col min="73" max="73" width="3.42578125" bestFit="1" customWidth="1"/>
    <col min="74" max="78" width="4" bestFit="1" customWidth="1"/>
    <col min="79" max="79" width="4" customWidth="1"/>
    <col min="80" max="85" width="4" bestFit="1" customWidth="1"/>
    <col min="86" max="86" width="4" customWidth="1"/>
    <col min="87" max="87" width="4" bestFit="1" customWidth="1"/>
    <col min="88" max="92" width="3.7109375" bestFit="1" customWidth="1"/>
    <col min="93" max="93" width="3.7109375" customWidth="1"/>
    <col min="94" max="99" width="3.7109375" bestFit="1" customWidth="1"/>
    <col min="100" max="100" width="3.7109375" customWidth="1"/>
    <col min="101" max="101" width="3.7109375" bestFit="1" customWidth="1"/>
  </cols>
  <sheetData>
    <row r="1" spans="1:101" ht="15.75" thickBot="1" x14ac:dyDescent="0.3">
      <c r="A1" s="157"/>
      <c r="B1" s="157"/>
      <c r="C1" s="157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57"/>
      <c r="Y1" s="190" t="s">
        <v>146</v>
      </c>
      <c r="Z1" s="190"/>
      <c r="AA1" s="190"/>
      <c r="AB1" s="190"/>
      <c r="AC1" s="190"/>
      <c r="AD1" s="190"/>
      <c r="AE1" s="190"/>
      <c r="AF1" s="190" t="s">
        <v>145</v>
      </c>
      <c r="AG1" s="190"/>
      <c r="AH1" s="190"/>
      <c r="AI1" s="190"/>
      <c r="AJ1" s="190"/>
      <c r="AK1" s="190"/>
      <c r="AL1" s="190"/>
      <c r="AM1" s="190" t="s">
        <v>277</v>
      </c>
      <c r="AN1" s="190"/>
      <c r="AO1" s="190"/>
      <c r="AP1" s="190"/>
      <c r="AQ1" s="190"/>
      <c r="AR1" s="190"/>
      <c r="AS1" s="190"/>
      <c r="AT1" s="190" t="s">
        <v>144</v>
      </c>
      <c r="AU1" s="190"/>
      <c r="AV1" s="190"/>
      <c r="AW1" s="190"/>
      <c r="AX1" s="190"/>
      <c r="AY1" s="190"/>
      <c r="AZ1" s="190"/>
      <c r="BA1" s="190" t="s">
        <v>143</v>
      </c>
      <c r="BB1" s="190"/>
      <c r="BC1" s="190"/>
      <c r="BD1" s="190"/>
      <c r="BE1" s="190"/>
      <c r="BF1" s="190"/>
      <c r="BG1" s="190"/>
      <c r="BH1" s="190" t="s">
        <v>134</v>
      </c>
      <c r="BI1" s="190"/>
      <c r="BJ1" s="190"/>
      <c r="BK1" s="190"/>
      <c r="BL1" s="190"/>
      <c r="BM1" s="190"/>
      <c r="BN1" s="190"/>
      <c r="BO1" s="190" t="s">
        <v>133</v>
      </c>
      <c r="BP1" s="190"/>
      <c r="BQ1" s="190"/>
      <c r="BR1" s="190"/>
      <c r="BS1" s="190"/>
      <c r="BT1" s="190"/>
      <c r="BU1" s="190"/>
      <c r="BV1" s="190" t="s">
        <v>137</v>
      </c>
      <c r="BW1" s="190"/>
      <c r="BX1" s="190"/>
      <c r="BY1" s="190"/>
      <c r="BZ1" s="190"/>
      <c r="CA1" s="190"/>
      <c r="CB1" s="190"/>
      <c r="CC1" s="190" t="s">
        <v>136</v>
      </c>
      <c r="CD1" s="190"/>
      <c r="CE1" s="190"/>
      <c r="CF1" s="190"/>
      <c r="CG1" s="190"/>
      <c r="CH1" s="190"/>
      <c r="CI1" s="190"/>
      <c r="CJ1" s="190" t="s">
        <v>276</v>
      </c>
      <c r="CK1" s="190"/>
      <c r="CL1" s="190"/>
      <c r="CM1" s="190"/>
      <c r="CN1" s="190"/>
      <c r="CO1" s="190"/>
      <c r="CP1" s="190"/>
      <c r="CQ1" s="190" t="s">
        <v>275</v>
      </c>
      <c r="CR1" s="190"/>
      <c r="CS1" s="190"/>
      <c r="CT1" s="190"/>
      <c r="CU1" s="190"/>
      <c r="CV1" s="190"/>
      <c r="CW1" s="190"/>
    </row>
    <row r="2" spans="1:101" ht="15.75" thickBot="1" x14ac:dyDescent="0.3">
      <c r="A2" s="157"/>
      <c r="B2" s="179"/>
      <c r="C2" s="179"/>
      <c r="D2" s="191" t="s">
        <v>320</v>
      </c>
      <c r="E2" s="192"/>
      <c r="F2" s="192"/>
      <c r="G2" s="192"/>
      <c r="H2" s="192"/>
      <c r="I2" s="192"/>
      <c r="J2" s="192"/>
      <c r="K2" s="192"/>
      <c r="L2" s="192"/>
      <c r="M2" s="193"/>
      <c r="N2" s="191"/>
      <c r="O2" s="192"/>
      <c r="P2" s="192"/>
      <c r="Q2" s="192"/>
      <c r="R2" s="192"/>
      <c r="S2" s="192"/>
      <c r="T2" s="192"/>
      <c r="U2" s="192"/>
      <c r="V2" s="192"/>
      <c r="W2" s="193"/>
      <c r="X2" s="184"/>
      <c r="Y2" s="155"/>
      <c r="Z2" s="155"/>
      <c r="AA2" s="155"/>
      <c r="AB2" s="155"/>
      <c r="AC2" s="155"/>
      <c r="AD2" s="158"/>
      <c r="AE2" s="155"/>
      <c r="AF2" s="155"/>
      <c r="AG2" s="155"/>
      <c r="AH2" s="156">
        <v>12</v>
      </c>
      <c r="AI2" s="156">
        <v>13</v>
      </c>
      <c r="AJ2" s="156">
        <v>13</v>
      </c>
      <c r="AK2" s="156"/>
      <c r="AL2" s="156">
        <v>0</v>
      </c>
      <c r="AM2" s="155"/>
      <c r="AN2" s="155"/>
      <c r="AO2" s="155"/>
      <c r="AP2" s="155"/>
      <c r="AQ2" s="155"/>
      <c r="AR2" s="158"/>
      <c r="AS2" s="155"/>
      <c r="AT2" s="155"/>
      <c r="AU2" s="155"/>
      <c r="AV2" s="155"/>
      <c r="AW2" s="155"/>
      <c r="AX2" s="155"/>
      <c r="AY2" s="158"/>
      <c r="AZ2" s="155"/>
      <c r="BA2" s="155"/>
      <c r="BB2" s="155"/>
      <c r="BC2" s="155"/>
      <c r="BD2" s="155"/>
      <c r="BE2" s="155"/>
      <c r="BF2" s="158"/>
      <c r="BG2" s="155"/>
      <c r="BH2" s="155"/>
      <c r="BI2" s="155"/>
      <c r="BJ2" s="155"/>
      <c r="BK2" s="155"/>
      <c r="BL2" s="155"/>
      <c r="BM2" s="158"/>
      <c r="BN2" s="155"/>
      <c r="BO2" s="155"/>
      <c r="BP2" s="155"/>
      <c r="BQ2" s="155"/>
      <c r="BR2" s="155"/>
      <c r="BS2" s="155"/>
      <c r="BT2" s="158"/>
      <c r="BU2" s="155"/>
      <c r="BV2" s="155"/>
      <c r="BW2" s="155"/>
      <c r="BX2" s="155"/>
      <c r="BY2" s="155"/>
      <c r="BZ2" s="155"/>
      <c r="CA2" s="158"/>
      <c r="CB2" s="155"/>
      <c r="CC2" s="155"/>
      <c r="CD2" s="155"/>
      <c r="CE2" s="155"/>
      <c r="CF2" s="155"/>
      <c r="CG2" s="155"/>
      <c r="CH2" s="158"/>
      <c r="CI2" s="155"/>
      <c r="CJ2" s="155"/>
      <c r="CK2" s="155"/>
      <c r="CL2" s="155"/>
      <c r="CM2" s="155"/>
      <c r="CN2" s="155"/>
      <c r="CO2" s="158"/>
      <c r="CP2" s="155"/>
      <c r="CQ2" s="155"/>
      <c r="CR2" s="155"/>
      <c r="CS2" s="155"/>
      <c r="CT2" s="155"/>
      <c r="CU2" s="155"/>
      <c r="CV2" s="158"/>
      <c r="CW2" s="155"/>
    </row>
    <row r="3" spans="1:101" s="153" customFormat="1" ht="146.44999999999999" customHeight="1" x14ac:dyDescent="0.25">
      <c r="A3" s="154" t="s">
        <v>274</v>
      </c>
      <c r="B3" s="180" t="s">
        <v>301</v>
      </c>
      <c r="C3" s="154" t="s">
        <v>152</v>
      </c>
      <c r="D3" s="183" t="s">
        <v>194</v>
      </c>
      <c r="E3" s="183" t="s">
        <v>289</v>
      </c>
      <c r="F3" s="183" t="s">
        <v>290</v>
      </c>
      <c r="G3" s="183" t="s">
        <v>193</v>
      </c>
      <c r="H3" s="183" t="s">
        <v>320</v>
      </c>
      <c r="I3" s="183" t="s">
        <v>291</v>
      </c>
      <c r="J3" s="183" t="s">
        <v>292</v>
      </c>
      <c r="K3" s="183" t="s">
        <v>293</v>
      </c>
      <c r="L3" s="183" t="s">
        <v>294</v>
      </c>
      <c r="M3" s="183" t="s">
        <v>300</v>
      </c>
      <c r="N3" s="183" t="s">
        <v>310</v>
      </c>
      <c r="O3" s="183" t="s">
        <v>311</v>
      </c>
      <c r="P3" s="183" t="s">
        <v>312</v>
      </c>
      <c r="Q3" s="183" t="s">
        <v>313</v>
      </c>
      <c r="R3" s="183" t="s">
        <v>314</v>
      </c>
      <c r="S3" s="183" t="s">
        <v>315</v>
      </c>
      <c r="T3" s="183" t="s">
        <v>316</v>
      </c>
      <c r="U3" s="183" t="s">
        <v>317</v>
      </c>
      <c r="V3" s="183" t="s">
        <v>318</v>
      </c>
      <c r="W3" s="183" t="s">
        <v>319</v>
      </c>
      <c r="X3" s="154" t="s">
        <v>270</v>
      </c>
      <c r="Y3" s="154" t="s">
        <v>5</v>
      </c>
      <c r="Z3" s="154" t="s">
        <v>178</v>
      </c>
      <c r="AA3" s="154" t="s">
        <v>177</v>
      </c>
      <c r="AB3" s="154" t="s">
        <v>175</v>
      </c>
      <c r="AC3" s="154" t="s">
        <v>176</v>
      </c>
      <c r="AD3" s="154" t="s">
        <v>173</v>
      </c>
      <c r="AE3" s="154" t="s">
        <v>174</v>
      </c>
      <c r="AF3" s="154" t="s">
        <v>5</v>
      </c>
      <c r="AG3" s="154" t="s">
        <v>178</v>
      </c>
      <c r="AH3" s="154" t="s">
        <v>177</v>
      </c>
      <c r="AI3" s="154" t="s">
        <v>175</v>
      </c>
      <c r="AJ3" s="154" t="s">
        <v>176</v>
      </c>
      <c r="AK3" s="154" t="s">
        <v>173</v>
      </c>
      <c r="AL3" s="154" t="s">
        <v>174</v>
      </c>
      <c r="AM3" s="154" t="s">
        <v>5</v>
      </c>
      <c r="AN3" s="154" t="s">
        <v>178</v>
      </c>
      <c r="AO3" s="154" t="s">
        <v>177</v>
      </c>
      <c r="AP3" s="154" t="s">
        <v>175</v>
      </c>
      <c r="AQ3" s="154" t="s">
        <v>176</v>
      </c>
      <c r="AR3" s="154" t="s">
        <v>173</v>
      </c>
      <c r="AS3" s="154" t="s">
        <v>174</v>
      </c>
      <c r="AT3" s="154" t="s">
        <v>5</v>
      </c>
      <c r="AU3" s="154" t="s">
        <v>178</v>
      </c>
      <c r="AV3" s="154" t="s">
        <v>177</v>
      </c>
      <c r="AW3" s="154" t="s">
        <v>175</v>
      </c>
      <c r="AX3" s="154" t="s">
        <v>176</v>
      </c>
      <c r="AY3" s="154" t="s">
        <v>173</v>
      </c>
      <c r="AZ3" s="154" t="s">
        <v>174</v>
      </c>
      <c r="BA3" s="154" t="s">
        <v>5</v>
      </c>
      <c r="BB3" s="154" t="s">
        <v>178</v>
      </c>
      <c r="BC3" s="154" t="s">
        <v>177</v>
      </c>
      <c r="BD3" s="154" t="s">
        <v>175</v>
      </c>
      <c r="BE3" s="154" t="s">
        <v>176</v>
      </c>
      <c r="BF3" s="154" t="s">
        <v>173</v>
      </c>
      <c r="BG3" s="154" t="s">
        <v>174</v>
      </c>
      <c r="BH3" s="154" t="s">
        <v>5</v>
      </c>
      <c r="BI3" s="154" t="s">
        <v>178</v>
      </c>
      <c r="BJ3" s="154" t="s">
        <v>177</v>
      </c>
      <c r="BK3" s="154" t="s">
        <v>175</v>
      </c>
      <c r="BL3" s="154" t="s">
        <v>176</v>
      </c>
      <c r="BM3" s="154" t="s">
        <v>173</v>
      </c>
      <c r="BN3" s="154" t="s">
        <v>174</v>
      </c>
      <c r="BO3" s="154" t="s">
        <v>5</v>
      </c>
      <c r="BP3" s="154" t="s">
        <v>178</v>
      </c>
      <c r="BQ3" s="154" t="s">
        <v>177</v>
      </c>
      <c r="BR3" s="154" t="s">
        <v>175</v>
      </c>
      <c r="BS3" s="154" t="s">
        <v>176</v>
      </c>
      <c r="BT3" s="154" t="s">
        <v>173</v>
      </c>
      <c r="BU3" s="154" t="s">
        <v>174</v>
      </c>
      <c r="BV3" s="154" t="s">
        <v>5</v>
      </c>
      <c r="BW3" s="154" t="s">
        <v>178</v>
      </c>
      <c r="BX3" s="154" t="s">
        <v>177</v>
      </c>
      <c r="BY3" s="154" t="s">
        <v>175</v>
      </c>
      <c r="BZ3" s="154" t="s">
        <v>176</v>
      </c>
      <c r="CA3" s="154" t="s">
        <v>173</v>
      </c>
      <c r="CB3" s="154" t="s">
        <v>174</v>
      </c>
      <c r="CC3" s="154" t="s">
        <v>5</v>
      </c>
      <c r="CD3" s="154" t="s">
        <v>178</v>
      </c>
      <c r="CE3" s="154" t="s">
        <v>177</v>
      </c>
      <c r="CF3" s="154" t="s">
        <v>175</v>
      </c>
      <c r="CG3" s="154" t="s">
        <v>176</v>
      </c>
      <c r="CH3" s="154" t="s">
        <v>173</v>
      </c>
      <c r="CI3" s="154" t="s">
        <v>174</v>
      </c>
      <c r="CJ3" s="154" t="s">
        <v>5</v>
      </c>
      <c r="CK3" s="154" t="s">
        <v>178</v>
      </c>
      <c r="CL3" s="154" t="s">
        <v>177</v>
      </c>
      <c r="CM3" s="154" t="s">
        <v>175</v>
      </c>
      <c r="CN3" s="154" t="s">
        <v>176</v>
      </c>
      <c r="CO3" s="154" t="s">
        <v>173</v>
      </c>
      <c r="CP3" s="154" t="s">
        <v>174</v>
      </c>
      <c r="CQ3" s="154" t="s">
        <v>5</v>
      </c>
      <c r="CR3" s="154" t="s">
        <v>178</v>
      </c>
      <c r="CS3" s="154" t="s">
        <v>177</v>
      </c>
      <c r="CT3" s="154" t="s">
        <v>175</v>
      </c>
      <c r="CU3" s="154" t="s">
        <v>176</v>
      </c>
      <c r="CV3" s="154" t="s">
        <v>173</v>
      </c>
      <c r="CW3" s="154" t="s">
        <v>174</v>
      </c>
    </row>
    <row r="4" spans="1:101" x14ac:dyDescent="0.25">
      <c r="A4" s="9" t="s">
        <v>69</v>
      </c>
      <c r="B4" s="9" t="s">
        <v>58</v>
      </c>
      <c r="C4" s="9" t="s">
        <v>58</v>
      </c>
      <c r="D4" s="9"/>
      <c r="E4" s="57">
        <v>0</v>
      </c>
      <c r="F4" s="57">
        <f t="shared" ref="F4:F60" si="0">E4</f>
        <v>0</v>
      </c>
      <c r="G4" s="9"/>
      <c r="H4" s="57">
        <v>0.13923000000000002</v>
      </c>
      <c r="I4" s="57">
        <v>0.13923000000000002</v>
      </c>
      <c r="J4" s="57">
        <f t="shared" ref="J4:J35" si="1">I4</f>
        <v>0.13923000000000002</v>
      </c>
      <c r="K4" s="17">
        <f t="shared" ref="K4:K35" si="2">I4</f>
        <v>0.13923000000000002</v>
      </c>
      <c r="L4" s="17">
        <f t="shared" ref="L4:L35" si="3">I4</f>
        <v>0.13923000000000002</v>
      </c>
      <c r="M4" s="9">
        <v>0</v>
      </c>
      <c r="N4" s="9">
        <f>IF($H4=1,1,IF($A4="SPRAVATO",1,0))</f>
        <v>0</v>
      </c>
      <c r="O4" s="9">
        <f>IF($H4=1,1,IF(OR($A4="SPRAVATO",$A4="Seltorexant"),1,0))</f>
        <v>0</v>
      </c>
      <c r="P4" s="9">
        <f>IF($H4=1,1,IF(OR($A4="SPRAVATO",$A4="FAAH in Anxious Distress"),1,0))</f>
        <v>0</v>
      </c>
      <c r="Q4" s="9">
        <f>IF($H4=1,1,IF(OR($A4="SPRAVATO",$A4="FAAH in Anxious Distress",$A4="Seltorexant"),1,0))</f>
        <v>0</v>
      </c>
      <c r="R4" s="9">
        <f t="shared" ref="R4:W4" ca="1" si="4">IF($H4=1,1,ROUND(RANDBETWEEN(0,1),0))</f>
        <v>0</v>
      </c>
      <c r="S4" s="9">
        <f t="shared" ca="1" si="4"/>
        <v>1</v>
      </c>
      <c r="T4" s="9">
        <f t="shared" ca="1" si="4"/>
        <v>1</v>
      </c>
      <c r="U4" s="9">
        <f t="shared" ca="1" si="4"/>
        <v>1</v>
      </c>
      <c r="V4" s="9">
        <f t="shared" ca="1" si="4"/>
        <v>1</v>
      </c>
      <c r="W4" s="9">
        <f t="shared" ca="1" si="4"/>
        <v>1</v>
      </c>
      <c r="X4" s="9" t="s">
        <v>62</v>
      </c>
      <c r="Y4" s="151">
        <v>2023</v>
      </c>
      <c r="Z4" s="152">
        <f>Y4+1</f>
        <v>2024</v>
      </c>
      <c r="AA4" s="152">
        <f t="shared" ref="AA4:AC6" si="5">TRUNC($Z4+$AG4/12+AH$2/12)</f>
        <v>2025</v>
      </c>
      <c r="AB4" s="152">
        <f t="shared" si="5"/>
        <v>2025</v>
      </c>
      <c r="AC4" s="152">
        <f t="shared" si="5"/>
        <v>2025</v>
      </c>
      <c r="AD4" s="152">
        <f>Y4+1</f>
        <v>2024</v>
      </c>
      <c r="AE4" s="152">
        <f>TRUNC($Z4+$AG4/12+AL$2/12)</f>
        <v>2024</v>
      </c>
      <c r="AF4" s="151">
        <v>6</v>
      </c>
      <c r="AG4" s="9">
        <v>3</v>
      </c>
      <c r="AH4" s="152">
        <f t="shared" ref="AH4:AJ6" si="6">IF((($Z4+$AG4/12+AH$2/12)-TRUNC($Z4+$AG4/12+AH$2/12))*12=0,1,(($Z4+$AG4/12+AH$2/12)-TRUNC($Z4+$AG4/12+AH$2/12))*12)</f>
        <v>3</v>
      </c>
      <c r="AI4" s="152">
        <f t="shared" si="6"/>
        <v>3.9999999999990905</v>
      </c>
      <c r="AJ4" s="152">
        <f t="shared" si="6"/>
        <v>3.9999999999990905</v>
      </c>
      <c r="AK4" s="152">
        <f>AF4</f>
        <v>6</v>
      </c>
      <c r="AL4" s="152">
        <f>IF((($Z4+$AG4/12+AL$2/12)-TRUNC($Z4+$AG4/12+AL$2/12))*12=0,1,(($Z4+$AG4/12+AL$2/12)-TRUNC($Z4+$AG4/12+AL$2/12))*12)</f>
        <v>3</v>
      </c>
      <c r="AM4" s="9"/>
      <c r="AN4" s="9"/>
      <c r="AO4" s="9"/>
      <c r="AP4" s="9"/>
      <c r="AQ4" s="9"/>
      <c r="AR4" s="9"/>
      <c r="AS4" s="9"/>
      <c r="AT4" s="9">
        <v>2036</v>
      </c>
      <c r="AU4" s="9">
        <v>2037</v>
      </c>
      <c r="AV4" s="9">
        <v>2037</v>
      </c>
      <c r="AW4" s="9">
        <v>2037</v>
      </c>
      <c r="AX4" s="9">
        <v>2037</v>
      </c>
      <c r="AY4" s="9">
        <f>AD4+8</f>
        <v>2032</v>
      </c>
      <c r="AZ4" s="9">
        <v>2037</v>
      </c>
      <c r="BA4" s="9">
        <v>6</v>
      </c>
      <c r="BB4" s="9">
        <v>3</v>
      </c>
      <c r="BC4" s="9">
        <v>3</v>
      </c>
      <c r="BD4" s="9">
        <v>3</v>
      </c>
      <c r="BE4" s="9">
        <v>3</v>
      </c>
      <c r="BF4" s="9">
        <f>AK4</f>
        <v>6</v>
      </c>
      <c r="BG4" s="9">
        <v>3</v>
      </c>
      <c r="BH4" s="150">
        <v>1.2267192541321688</v>
      </c>
      <c r="BI4" s="150">
        <v>2.2612105538192599</v>
      </c>
      <c r="BJ4" s="150">
        <v>2.1252009430760062</v>
      </c>
      <c r="BK4" s="150">
        <v>1.2944496352201866</v>
      </c>
      <c r="BL4" s="150">
        <v>0.32314284341629806</v>
      </c>
      <c r="BM4" s="150">
        <v>0.14000000000000001</v>
      </c>
      <c r="BN4" s="150">
        <v>1.4542000570988298</v>
      </c>
      <c r="BO4" s="150">
        <v>11.984388276878477</v>
      </c>
      <c r="BP4" s="150">
        <v>-1.7475682675103321</v>
      </c>
      <c r="BQ4" s="150">
        <v>-1.7169645793441486</v>
      </c>
      <c r="BR4" s="150">
        <v>-1.4425350046709582</v>
      </c>
      <c r="BS4" s="150">
        <v>0.61768216477991222</v>
      </c>
      <c r="BT4" s="150">
        <v>0.15</v>
      </c>
      <c r="BU4" s="150">
        <v>-0.4950056673809119</v>
      </c>
      <c r="BV4" s="149">
        <v>0.22</v>
      </c>
      <c r="BW4" s="149">
        <v>0.27</v>
      </c>
      <c r="BX4" s="149">
        <v>0.17</v>
      </c>
      <c r="BY4" s="149">
        <v>0.14000000000000001</v>
      </c>
      <c r="BZ4" s="149">
        <v>0.23</v>
      </c>
      <c r="CA4" s="149">
        <v>0.16</v>
      </c>
      <c r="CB4" s="149">
        <v>0.06</v>
      </c>
      <c r="CC4" s="149">
        <v>0.28000000000000003</v>
      </c>
      <c r="CD4" s="149">
        <v>0.23</v>
      </c>
      <c r="CE4" s="149">
        <v>0.33</v>
      </c>
      <c r="CF4" s="149">
        <v>0.36</v>
      </c>
      <c r="CG4" s="149">
        <v>0.27</v>
      </c>
      <c r="CH4" s="149">
        <v>0.34</v>
      </c>
      <c r="CI4" s="149">
        <v>0.45</v>
      </c>
      <c r="CJ4" s="149">
        <v>0.22</v>
      </c>
      <c r="CK4" s="149">
        <v>0.27</v>
      </c>
      <c r="CL4" s="149">
        <v>0.17</v>
      </c>
      <c r="CM4" s="149">
        <v>0.14000000000000001</v>
      </c>
      <c r="CN4" s="149">
        <v>0.23</v>
      </c>
      <c r="CO4" s="149">
        <v>0.16</v>
      </c>
      <c r="CP4" s="149">
        <v>0.06</v>
      </c>
      <c r="CQ4" s="149">
        <v>0.28000000000000003</v>
      </c>
      <c r="CR4" s="149">
        <v>0.23</v>
      </c>
      <c r="CS4" s="149">
        <v>0.33</v>
      </c>
      <c r="CT4" s="149">
        <v>0.36</v>
      </c>
      <c r="CU4" s="149">
        <v>0.27</v>
      </c>
      <c r="CV4" s="149">
        <v>0.34</v>
      </c>
      <c r="CW4" s="149">
        <v>0.45</v>
      </c>
    </row>
    <row r="5" spans="1:101" x14ac:dyDescent="0.25">
      <c r="A5" s="9" t="s">
        <v>86</v>
      </c>
      <c r="B5" s="9" t="s">
        <v>84</v>
      </c>
      <c r="C5" s="9" t="s">
        <v>84</v>
      </c>
      <c r="D5" s="9"/>
      <c r="E5" s="57">
        <v>0</v>
      </c>
      <c r="F5" s="57">
        <f t="shared" si="0"/>
        <v>0</v>
      </c>
      <c r="G5" s="9"/>
      <c r="H5" s="57">
        <v>0.2</v>
      </c>
      <c r="I5" s="57">
        <f>H5</f>
        <v>0.2</v>
      </c>
      <c r="J5" s="57">
        <f t="shared" si="1"/>
        <v>0.2</v>
      </c>
      <c r="K5" s="17">
        <f t="shared" si="2"/>
        <v>0.2</v>
      </c>
      <c r="L5" s="17">
        <f t="shared" si="3"/>
        <v>0.2</v>
      </c>
      <c r="M5" s="9">
        <v>0</v>
      </c>
      <c r="N5" s="9">
        <f t="shared" ref="N5:N60" si="7">IF($H5=1,1,IF($A5="SPRAVATO",1,0))</f>
        <v>0</v>
      </c>
      <c r="O5" s="9">
        <f t="shared" ref="O5:O60" si="8">IF($H5=1,1,IF(OR($A5="SPRAVATO",$A5="Seltorexant"),1,0))</f>
        <v>0</v>
      </c>
      <c r="P5" s="9">
        <f t="shared" ref="P5:P60" si="9">IF($H5=1,1,IF(OR($A5="SPRAVATO",$A5="FAAH in Anxious Distress"),1,0))</f>
        <v>0</v>
      </c>
      <c r="Q5" s="9">
        <f t="shared" ref="Q5:Q60" si="10">IF($H5=1,1,IF(OR($A5="SPRAVATO",$A5="FAAH in Anxious Distress",$A5="Seltorexant"),1,0))</f>
        <v>0</v>
      </c>
      <c r="R5" s="9">
        <f t="shared" ref="R5:V60" ca="1" si="11">IF($H5=1,1,ROUND(RANDBETWEEN(0,1),0))</f>
        <v>1</v>
      </c>
      <c r="S5" s="9">
        <f t="shared" ca="1" si="11"/>
        <v>1</v>
      </c>
      <c r="T5" s="9">
        <f t="shared" ca="1" si="11"/>
        <v>1</v>
      </c>
      <c r="U5" s="9">
        <f t="shared" ca="1" si="11"/>
        <v>0</v>
      </c>
      <c r="V5" s="9">
        <f t="shared" ca="1" si="11"/>
        <v>0</v>
      </c>
      <c r="W5" s="9">
        <f t="shared" ref="W5:W60" ca="1" si="12">IF($H5=1,1,ROUND(RANDBETWEEN(0,1),0))</f>
        <v>0</v>
      </c>
      <c r="X5" s="9" t="s">
        <v>16</v>
      </c>
      <c r="Y5" s="151">
        <v>2022</v>
      </c>
      <c r="Z5" s="152">
        <f>Y5+1</f>
        <v>2023</v>
      </c>
      <c r="AA5" s="152">
        <f t="shared" si="5"/>
        <v>2024</v>
      </c>
      <c r="AB5" s="152">
        <f t="shared" si="5"/>
        <v>2024</v>
      </c>
      <c r="AC5" s="152">
        <f t="shared" si="5"/>
        <v>2024</v>
      </c>
      <c r="AD5" s="152">
        <f>Y5+1</f>
        <v>2023</v>
      </c>
      <c r="AE5" s="152">
        <f>TRUNC($Z5+$AG5/12+AL$2/12)</f>
        <v>2023</v>
      </c>
      <c r="AF5" s="151">
        <v>5</v>
      </c>
      <c r="AG5" s="9">
        <v>7</v>
      </c>
      <c r="AH5" s="152">
        <f t="shared" si="6"/>
        <v>6.9999999999990905</v>
      </c>
      <c r="AI5" s="152">
        <f t="shared" si="6"/>
        <v>7.999999999998181</v>
      </c>
      <c r="AJ5" s="152">
        <f t="shared" si="6"/>
        <v>7.999999999998181</v>
      </c>
      <c r="AK5" s="152">
        <f>AF5</f>
        <v>5</v>
      </c>
      <c r="AL5" s="152">
        <f>IF((($Z5+$AG5/12+AL$2/12)-TRUNC($Z5+$AG5/12+AL$2/12))*12=0,1,(($Z5+$AG5/12+AL$2/12)-TRUNC($Z5+$AG5/12+AL$2/12))*12)</f>
        <v>6.9999999999990905</v>
      </c>
      <c r="AM5" s="9"/>
      <c r="AN5" s="9"/>
      <c r="AO5" s="9"/>
      <c r="AP5" s="9"/>
      <c r="AQ5" s="9"/>
      <c r="AR5" s="9"/>
      <c r="AS5" s="9"/>
      <c r="AT5" s="9">
        <v>2028</v>
      </c>
      <c r="AU5" s="9">
        <v>2029</v>
      </c>
      <c r="AV5" s="9">
        <v>2029</v>
      </c>
      <c r="AW5" s="9">
        <v>2029</v>
      </c>
      <c r="AX5" s="9">
        <v>2029</v>
      </c>
      <c r="AY5" s="9">
        <f>AD5+8</f>
        <v>2031</v>
      </c>
      <c r="AZ5" s="9">
        <v>2029</v>
      </c>
      <c r="BA5" s="9">
        <v>7</v>
      </c>
      <c r="BB5" s="9">
        <v>7</v>
      </c>
      <c r="BC5" s="9">
        <v>7</v>
      </c>
      <c r="BD5" s="9">
        <v>7</v>
      </c>
      <c r="BE5" s="9">
        <v>7</v>
      </c>
      <c r="BF5" s="9">
        <f>AK5</f>
        <v>5</v>
      </c>
      <c r="BG5" s="9">
        <v>7</v>
      </c>
      <c r="BH5" s="150">
        <v>1.2267192541321688</v>
      </c>
      <c r="BI5" s="150">
        <v>2.2612105538192599</v>
      </c>
      <c r="BJ5" s="150">
        <v>2.1252009430760062</v>
      </c>
      <c r="BK5" s="150">
        <v>1.2944496352201866</v>
      </c>
      <c r="BL5" s="150">
        <v>0.32314284341629806</v>
      </c>
      <c r="BM5" s="150">
        <v>0.14000000000000001</v>
      </c>
      <c r="BN5" s="150">
        <v>1.4542000570988298</v>
      </c>
      <c r="BO5" s="150">
        <v>11.984388276878477</v>
      </c>
      <c r="BP5" s="150">
        <v>-1.7475682675103321</v>
      </c>
      <c r="BQ5" s="150">
        <v>-1.7169645793441486</v>
      </c>
      <c r="BR5" s="150">
        <v>-1.4425350046709582</v>
      </c>
      <c r="BS5" s="150">
        <v>0.61768216477991222</v>
      </c>
      <c r="BT5" s="150">
        <v>0.15</v>
      </c>
      <c r="BU5" s="150">
        <v>-0.4950056673809119</v>
      </c>
      <c r="BV5" s="149">
        <v>0.15</v>
      </c>
      <c r="BW5" s="149">
        <v>0.2</v>
      </c>
      <c r="BX5" s="149">
        <v>0.12</v>
      </c>
      <c r="BY5" s="149">
        <v>0.08</v>
      </c>
      <c r="BZ5" s="149">
        <v>0.18</v>
      </c>
      <c r="CA5" s="149">
        <v>0.16</v>
      </c>
      <c r="CB5" s="149">
        <v>0.05</v>
      </c>
      <c r="CC5" s="149">
        <v>0.35</v>
      </c>
      <c r="CD5" s="149">
        <v>0.3</v>
      </c>
      <c r="CE5" s="149">
        <v>0.38</v>
      </c>
      <c r="CF5" s="149">
        <v>0.42</v>
      </c>
      <c r="CG5" s="149">
        <v>0.32</v>
      </c>
      <c r="CH5" s="149">
        <v>0.34</v>
      </c>
      <c r="CI5" s="149">
        <v>0.45</v>
      </c>
      <c r="CJ5" s="149">
        <v>0.15</v>
      </c>
      <c r="CK5" s="149">
        <v>0.2</v>
      </c>
      <c r="CL5" s="149">
        <v>0.12</v>
      </c>
      <c r="CM5" s="149">
        <v>0.08</v>
      </c>
      <c r="CN5" s="149">
        <v>0.18</v>
      </c>
      <c r="CO5" s="149">
        <v>0.16</v>
      </c>
      <c r="CP5" s="149">
        <v>0.05</v>
      </c>
      <c r="CQ5" s="149">
        <v>0.35</v>
      </c>
      <c r="CR5" s="149">
        <v>0.3</v>
      </c>
      <c r="CS5" s="149">
        <v>0.38</v>
      </c>
      <c r="CT5" s="149">
        <v>0.42</v>
      </c>
      <c r="CU5" s="149">
        <v>0.32</v>
      </c>
      <c r="CV5" s="149">
        <v>0.34</v>
      </c>
      <c r="CW5" s="149">
        <v>0.45</v>
      </c>
    </row>
    <row r="6" spans="1:101" x14ac:dyDescent="0.25">
      <c r="A6" s="9" t="s">
        <v>28</v>
      </c>
      <c r="B6" s="9" t="s">
        <v>58</v>
      </c>
      <c r="C6" s="9" t="s">
        <v>58</v>
      </c>
      <c r="D6" s="9"/>
      <c r="E6" s="57">
        <v>0</v>
      </c>
      <c r="F6" s="57">
        <f t="shared" si="0"/>
        <v>0</v>
      </c>
      <c r="G6" s="9"/>
      <c r="H6" s="57">
        <v>0.09</v>
      </c>
      <c r="I6" s="57">
        <v>0.09</v>
      </c>
      <c r="J6" s="57">
        <f t="shared" si="1"/>
        <v>0.09</v>
      </c>
      <c r="K6" s="17">
        <f t="shared" si="2"/>
        <v>0.09</v>
      </c>
      <c r="L6" s="17">
        <f t="shared" si="3"/>
        <v>0.09</v>
      </c>
      <c r="M6" s="9">
        <v>0</v>
      </c>
      <c r="N6" s="9">
        <f t="shared" si="7"/>
        <v>0</v>
      </c>
      <c r="O6" s="9">
        <f t="shared" si="8"/>
        <v>0</v>
      </c>
      <c r="P6" s="9">
        <f t="shared" si="9"/>
        <v>0</v>
      </c>
      <c r="Q6" s="9">
        <f t="shared" si="10"/>
        <v>0</v>
      </c>
      <c r="R6" s="9">
        <f t="shared" ca="1" si="11"/>
        <v>1</v>
      </c>
      <c r="S6" s="9">
        <f t="shared" ca="1" si="11"/>
        <v>1</v>
      </c>
      <c r="T6" s="9">
        <f t="shared" ca="1" si="11"/>
        <v>1</v>
      </c>
      <c r="U6" s="9">
        <f t="shared" ca="1" si="11"/>
        <v>1</v>
      </c>
      <c r="V6" s="9">
        <f t="shared" ca="1" si="11"/>
        <v>1</v>
      </c>
      <c r="W6" s="9">
        <f t="shared" ca="1" si="12"/>
        <v>0</v>
      </c>
      <c r="X6" s="9" t="s">
        <v>27</v>
      </c>
      <c r="Y6" s="151">
        <v>2030</v>
      </c>
      <c r="Z6" s="152">
        <f>Y6+1</f>
        <v>2031</v>
      </c>
      <c r="AA6" s="152">
        <f t="shared" si="5"/>
        <v>2032</v>
      </c>
      <c r="AB6" s="152">
        <f t="shared" si="5"/>
        <v>2032</v>
      </c>
      <c r="AC6" s="152">
        <f t="shared" si="5"/>
        <v>2032</v>
      </c>
      <c r="AD6" s="152">
        <f>Y6+1</f>
        <v>2031</v>
      </c>
      <c r="AE6" s="152">
        <f>TRUNC($Z6+$AG6/12+AL$2/12)</f>
        <v>2031</v>
      </c>
      <c r="AF6" s="151">
        <v>12</v>
      </c>
      <c r="AG6" s="9">
        <v>6</v>
      </c>
      <c r="AH6" s="152">
        <f t="shared" si="6"/>
        <v>6</v>
      </c>
      <c r="AI6" s="152">
        <f t="shared" si="6"/>
        <v>6.9999999999990905</v>
      </c>
      <c r="AJ6" s="152">
        <f t="shared" si="6"/>
        <v>6.9999999999990905</v>
      </c>
      <c r="AK6" s="152">
        <f>AF6</f>
        <v>12</v>
      </c>
      <c r="AL6" s="152">
        <f>IF((($Z6+$AG6/12+AL$2/12)-TRUNC($Z6+$AG6/12+AL$2/12))*12=0,1,(($Z6+$AG6/12+AL$2/12)-TRUNC($Z6+$AG6/12+AL$2/12))*12)</f>
        <v>6</v>
      </c>
      <c r="AM6" s="9"/>
      <c r="AN6" s="9"/>
      <c r="AO6" s="9"/>
      <c r="AP6" s="9"/>
      <c r="AQ6" s="9"/>
      <c r="AR6" s="9"/>
      <c r="AS6" s="9"/>
      <c r="AT6" s="9">
        <v>2040</v>
      </c>
      <c r="AU6" s="9">
        <v>2038</v>
      </c>
      <c r="AV6" s="9">
        <v>2038</v>
      </c>
      <c r="AW6" s="9">
        <v>2038</v>
      </c>
      <c r="AX6" s="9">
        <v>2038</v>
      </c>
      <c r="AY6" s="9">
        <f>AD6+8</f>
        <v>2039</v>
      </c>
      <c r="AZ6" s="9">
        <v>2038</v>
      </c>
      <c r="BA6" s="9">
        <v>9</v>
      </c>
      <c r="BB6" s="9">
        <v>9</v>
      </c>
      <c r="BC6" s="9">
        <v>9</v>
      </c>
      <c r="BD6" s="9">
        <v>9</v>
      </c>
      <c r="BE6" s="9">
        <v>9</v>
      </c>
      <c r="BF6" s="9">
        <f>AK6</f>
        <v>12</v>
      </c>
      <c r="BG6" s="9">
        <v>9</v>
      </c>
      <c r="BH6" s="150">
        <v>1.2267192541321688</v>
      </c>
      <c r="BI6" s="150">
        <v>2.2612105538192599</v>
      </c>
      <c r="BJ6" s="150">
        <v>2.1252009430760062</v>
      </c>
      <c r="BK6" s="150">
        <v>1.2944496352201866</v>
      </c>
      <c r="BL6" s="150">
        <v>0.32314284341629806</v>
      </c>
      <c r="BM6" s="150">
        <v>0.14000000000000001</v>
      </c>
      <c r="BN6" s="150">
        <v>1.4542000570988298</v>
      </c>
      <c r="BO6" s="150">
        <v>11.984388276878477</v>
      </c>
      <c r="BP6" s="150">
        <v>-1.7475682675103321</v>
      </c>
      <c r="BQ6" s="150">
        <v>-1.7169645793441486</v>
      </c>
      <c r="BR6" s="150">
        <v>-1.4425350046709582</v>
      </c>
      <c r="BS6" s="150">
        <v>0.61768216477991222</v>
      </c>
      <c r="BT6" s="150">
        <v>0.15</v>
      </c>
      <c r="BU6" s="150">
        <v>-0.4950056673809119</v>
      </c>
      <c r="BV6" s="149">
        <v>0.15</v>
      </c>
      <c r="BW6" s="149">
        <v>0.2</v>
      </c>
      <c r="BX6" s="149">
        <v>0.12</v>
      </c>
      <c r="BY6" s="149">
        <v>0.08</v>
      </c>
      <c r="BZ6" s="149">
        <v>0.18</v>
      </c>
      <c r="CA6" s="149">
        <v>0.16</v>
      </c>
      <c r="CB6" s="149">
        <v>0.05</v>
      </c>
      <c r="CC6" s="149">
        <v>0.35</v>
      </c>
      <c r="CD6" s="149">
        <v>0.3</v>
      </c>
      <c r="CE6" s="149">
        <v>0.38</v>
      </c>
      <c r="CF6" s="149">
        <v>0.42</v>
      </c>
      <c r="CG6" s="149">
        <v>0.32</v>
      </c>
      <c r="CH6" s="149">
        <v>0.34</v>
      </c>
      <c r="CI6" s="149">
        <v>0.45</v>
      </c>
      <c r="CJ6" s="149">
        <v>0.15</v>
      </c>
      <c r="CK6" s="149">
        <v>0.2</v>
      </c>
      <c r="CL6" s="149">
        <v>0.12</v>
      </c>
      <c r="CM6" s="149">
        <v>0.08</v>
      </c>
      <c r="CN6" s="149">
        <v>0.18</v>
      </c>
      <c r="CO6" s="149">
        <v>0.16</v>
      </c>
      <c r="CP6" s="149">
        <v>0.05</v>
      </c>
      <c r="CQ6" s="149">
        <v>0.35</v>
      </c>
      <c r="CR6" s="149">
        <v>0.3</v>
      </c>
      <c r="CS6" s="149">
        <v>0.38</v>
      </c>
      <c r="CT6" s="149">
        <v>0.42</v>
      </c>
      <c r="CU6" s="149">
        <v>0.32</v>
      </c>
      <c r="CV6" s="149">
        <v>0.34</v>
      </c>
      <c r="CW6" s="149">
        <v>0.45</v>
      </c>
    </row>
    <row r="7" spans="1:101" x14ac:dyDescent="0.25">
      <c r="A7" s="9" t="s">
        <v>98</v>
      </c>
      <c r="B7" s="9" t="s">
        <v>47</v>
      </c>
      <c r="C7" s="9" t="s">
        <v>47</v>
      </c>
      <c r="D7" s="9"/>
      <c r="E7" s="57">
        <v>1</v>
      </c>
      <c r="F7" s="57">
        <f t="shared" si="0"/>
        <v>1</v>
      </c>
      <c r="G7" s="9"/>
      <c r="H7" s="57">
        <v>1</v>
      </c>
      <c r="I7" s="57">
        <v>1</v>
      </c>
      <c r="J7" s="57">
        <f t="shared" si="1"/>
        <v>1</v>
      </c>
      <c r="K7" s="17">
        <f t="shared" si="2"/>
        <v>1</v>
      </c>
      <c r="L7" s="17">
        <f t="shared" si="3"/>
        <v>1</v>
      </c>
      <c r="M7" s="17">
        <v>1</v>
      </c>
      <c r="N7" s="9">
        <f t="shared" si="7"/>
        <v>1</v>
      </c>
      <c r="O7" s="9">
        <f t="shared" si="8"/>
        <v>1</v>
      </c>
      <c r="P7" s="9">
        <f t="shared" si="9"/>
        <v>1</v>
      </c>
      <c r="Q7" s="9">
        <f t="shared" si="10"/>
        <v>1</v>
      </c>
      <c r="R7" s="9">
        <f t="shared" ca="1" si="11"/>
        <v>1</v>
      </c>
      <c r="S7" s="9">
        <f t="shared" ca="1" si="11"/>
        <v>1</v>
      </c>
      <c r="T7" s="9">
        <f t="shared" ca="1" si="11"/>
        <v>1</v>
      </c>
      <c r="U7" s="9">
        <f t="shared" ca="1" si="11"/>
        <v>1</v>
      </c>
      <c r="V7" s="9">
        <f t="shared" ca="1" si="11"/>
        <v>1</v>
      </c>
      <c r="W7" s="9">
        <f t="shared" ca="1" si="12"/>
        <v>1</v>
      </c>
      <c r="X7" s="9" t="s">
        <v>54</v>
      </c>
      <c r="Y7" s="151">
        <v>2002</v>
      </c>
      <c r="Z7" s="9"/>
      <c r="AA7" s="9"/>
      <c r="AB7" s="9"/>
      <c r="AC7" s="9"/>
      <c r="AD7" s="152"/>
      <c r="AE7" s="9"/>
      <c r="AF7" s="151">
        <v>11</v>
      </c>
      <c r="AG7" s="9"/>
      <c r="AH7" s="9"/>
      <c r="AI7" s="9"/>
      <c r="AJ7" s="9"/>
      <c r="AK7" s="9"/>
      <c r="AL7" s="9"/>
      <c r="AM7" s="151"/>
      <c r="AN7" s="9"/>
      <c r="AO7" s="9"/>
      <c r="AP7" s="9"/>
      <c r="AQ7" s="9"/>
      <c r="AR7" s="9"/>
      <c r="AS7" s="9"/>
      <c r="AT7" s="151">
        <v>2015</v>
      </c>
      <c r="AU7" s="9"/>
      <c r="AV7" s="9"/>
      <c r="AW7" s="9"/>
      <c r="AX7" s="9"/>
      <c r="AY7" s="9"/>
      <c r="AZ7" s="9"/>
      <c r="BA7" s="151">
        <v>4</v>
      </c>
      <c r="BB7" s="9"/>
      <c r="BC7" s="9"/>
      <c r="BD7" s="9"/>
      <c r="BE7" s="9"/>
      <c r="BF7" s="9"/>
      <c r="BG7" s="9"/>
      <c r="BH7" s="150">
        <v>1.2267192541321688</v>
      </c>
      <c r="BI7" s="150">
        <v>2.2612105538192599</v>
      </c>
      <c r="BJ7" s="150">
        <v>2.1252009430760062</v>
      </c>
      <c r="BK7" s="150">
        <v>1.2944496352201866</v>
      </c>
      <c r="BL7" s="150">
        <v>0.32314284341629806</v>
      </c>
      <c r="BM7" s="150">
        <v>0.14000000000000001</v>
      </c>
      <c r="BN7" s="150">
        <v>1.4542000570988298</v>
      </c>
      <c r="BO7" s="150">
        <v>11.984388276878477</v>
      </c>
      <c r="BP7" s="150">
        <v>-1.7475682675103321</v>
      </c>
      <c r="BQ7" s="150">
        <v>-1.7169645793441486</v>
      </c>
      <c r="BR7" s="150">
        <v>-1.4425350046709582</v>
      </c>
      <c r="BS7" s="150">
        <v>0.61768216477991222</v>
      </c>
      <c r="BT7" s="150">
        <v>0.15</v>
      </c>
      <c r="BU7" s="150">
        <v>-0.4950056673809119</v>
      </c>
      <c r="BV7" s="149">
        <v>0.15</v>
      </c>
      <c r="BW7" s="149">
        <v>0.2</v>
      </c>
      <c r="BX7" s="149">
        <v>0.12</v>
      </c>
      <c r="BY7" s="149">
        <v>0.08</v>
      </c>
      <c r="BZ7" s="149">
        <v>0.18</v>
      </c>
      <c r="CA7" s="149">
        <v>0.16</v>
      </c>
      <c r="CB7" s="149">
        <v>0.05</v>
      </c>
      <c r="CC7" s="149">
        <v>0.35</v>
      </c>
      <c r="CD7" s="149">
        <v>0.3</v>
      </c>
      <c r="CE7" s="149">
        <v>0.38</v>
      </c>
      <c r="CF7" s="149">
        <v>0.42</v>
      </c>
      <c r="CG7" s="149">
        <v>0.32</v>
      </c>
      <c r="CH7" s="149">
        <v>0.34</v>
      </c>
      <c r="CI7" s="149">
        <v>0.45</v>
      </c>
      <c r="CJ7" s="149">
        <v>0.15</v>
      </c>
      <c r="CK7" s="149">
        <v>0.2</v>
      </c>
      <c r="CL7" s="149">
        <v>0.12</v>
      </c>
      <c r="CM7" s="149">
        <v>0.08</v>
      </c>
      <c r="CN7" s="149">
        <v>0.18</v>
      </c>
      <c r="CO7" s="149">
        <v>0.16</v>
      </c>
      <c r="CP7" s="149">
        <v>0.05</v>
      </c>
      <c r="CQ7" s="149">
        <v>0.35</v>
      </c>
      <c r="CR7" s="149">
        <v>0.3</v>
      </c>
      <c r="CS7" s="149">
        <v>0.38</v>
      </c>
      <c r="CT7" s="149">
        <v>0.42</v>
      </c>
      <c r="CU7" s="149">
        <v>0.32</v>
      </c>
      <c r="CV7" s="149">
        <v>0.34</v>
      </c>
      <c r="CW7" s="149">
        <v>0.45</v>
      </c>
    </row>
    <row r="8" spans="1:101" x14ac:dyDescent="0.25">
      <c r="A8" s="9" t="s">
        <v>79</v>
      </c>
      <c r="B8" s="9" t="s">
        <v>43</v>
      </c>
      <c r="C8" s="9" t="s">
        <v>43</v>
      </c>
      <c r="D8" s="9"/>
      <c r="E8" s="57">
        <v>0</v>
      </c>
      <c r="F8" s="57">
        <f t="shared" si="0"/>
        <v>0</v>
      </c>
      <c r="G8" s="9"/>
      <c r="H8" s="57">
        <v>0.40949999999999998</v>
      </c>
      <c r="I8" s="57">
        <v>0.40949999999999998</v>
      </c>
      <c r="J8" s="57">
        <f t="shared" si="1"/>
        <v>0.40949999999999998</v>
      </c>
      <c r="K8" s="17">
        <f t="shared" si="2"/>
        <v>0.40949999999999998</v>
      </c>
      <c r="L8" s="17">
        <f t="shared" si="3"/>
        <v>0.40949999999999998</v>
      </c>
      <c r="M8" s="9">
        <v>0</v>
      </c>
      <c r="N8" s="9">
        <f t="shared" si="7"/>
        <v>0</v>
      </c>
      <c r="O8" s="9">
        <f t="shared" si="8"/>
        <v>0</v>
      </c>
      <c r="P8" s="9">
        <f t="shared" si="9"/>
        <v>0</v>
      </c>
      <c r="Q8" s="9">
        <f t="shared" si="10"/>
        <v>0</v>
      </c>
      <c r="R8" s="9">
        <f t="shared" ca="1" si="11"/>
        <v>1</v>
      </c>
      <c r="S8" s="9">
        <f t="shared" ca="1" si="11"/>
        <v>0</v>
      </c>
      <c r="T8" s="9">
        <f t="shared" ca="1" si="11"/>
        <v>1</v>
      </c>
      <c r="U8" s="9">
        <f t="shared" ca="1" si="11"/>
        <v>1</v>
      </c>
      <c r="V8" s="9">
        <f t="shared" ca="1" si="11"/>
        <v>1</v>
      </c>
      <c r="W8" s="9">
        <f t="shared" ca="1" si="12"/>
        <v>1</v>
      </c>
      <c r="X8" s="9" t="s">
        <v>62</v>
      </c>
      <c r="Y8" s="151">
        <v>2023</v>
      </c>
      <c r="Z8" s="152">
        <f>Y8+1</f>
        <v>2024</v>
      </c>
      <c r="AA8" s="152">
        <f t="shared" ref="AA8:AC11" si="13">TRUNC($Z8+$AG8/12+AH$2/12)</f>
        <v>2025</v>
      </c>
      <c r="AB8" s="152">
        <f t="shared" si="13"/>
        <v>2025</v>
      </c>
      <c r="AC8" s="152">
        <f t="shared" si="13"/>
        <v>2025</v>
      </c>
      <c r="AD8" s="152">
        <f>Y8+1</f>
        <v>2024</v>
      </c>
      <c r="AE8" s="152">
        <f>TRUNC($Z8+$AG8/12+AL$2/12)</f>
        <v>2024</v>
      </c>
      <c r="AF8" s="151">
        <v>7</v>
      </c>
      <c r="AG8" s="9">
        <v>3</v>
      </c>
      <c r="AH8" s="152">
        <f t="shared" ref="AH8:AJ11" si="14">IF((($Z8+$AG8/12+AH$2/12)-TRUNC($Z8+$AG8/12+AH$2/12))*12=0,1,(($Z8+$AG8/12+AH$2/12)-TRUNC($Z8+$AG8/12+AH$2/12))*12)</f>
        <v>3</v>
      </c>
      <c r="AI8" s="152">
        <f t="shared" si="14"/>
        <v>3.9999999999990905</v>
      </c>
      <c r="AJ8" s="152">
        <f t="shared" si="14"/>
        <v>3.9999999999990905</v>
      </c>
      <c r="AK8" s="152">
        <f>AF8</f>
        <v>7</v>
      </c>
      <c r="AL8" s="152">
        <f>IF((($Z8+$AG8/12+AL$2/12)-TRUNC($Z8+$AG8/12+AL$2/12))*12=0,1,(($Z8+$AG8/12+AL$2/12)-TRUNC($Z8+$AG8/12+AL$2/12))*12)</f>
        <v>3</v>
      </c>
      <c r="AM8" s="9"/>
      <c r="AN8" s="9"/>
      <c r="AO8" s="9"/>
      <c r="AP8" s="9"/>
      <c r="AQ8" s="9"/>
      <c r="AR8" s="9"/>
      <c r="AS8" s="9"/>
      <c r="AT8" s="9">
        <v>2032</v>
      </c>
      <c r="AU8" s="9">
        <v>2033</v>
      </c>
      <c r="AV8" s="9">
        <v>2033</v>
      </c>
      <c r="AW8" s="9">
        <v>2033</v>
      </c>
      <c r="AX8" s="9">
        <v>2033</v>
      </c>
      <c r="AY8" s="9">
        <f>AD8+8</f>
        <v>2032</v>
      </c>
      <c r="AZ8" s="9">
        <v>2033</v>
      </c>
      <c r="BA8" s="9">
        <v>7</v>
      </c>
      <c r="BB8" s="9">
        <v>3</v>
      </c>
      <c r="BC8" s="9">
        <v>3</v>
      </c>
      <c r="BD8" s="9">
        <v>3</v>
      </c>
      <c r="BE8" s="9">
        <v>3</v>
      </c>
      <c r="BF8" s="9">
        <f>AK8</f>
        <v>7</v>
      </c>
      <c r="BG8" s="9">
        <v>3</v>
      </c>
      <c r="BH8" s="150">
        <v>1.2267192541321688</v>
      </c>
      <c r="BI8" s="150">
        <v>2.2612105538192599</v>
      </c>
      <c r="BJ8" s="150">
        <v>2.1252009430760062</v>
      </c>
      <c r="BK8" s="150">
        <v>1.2944496352201866</v>
      </c>
      <c r="BL8" s="150">
        <v>0.32314284341629806</v>
      </c>
      <c r="BM8" s="150">
        <v>0.14000000000000001</v>
      </c>
      <c r="BN8" s="150">
        <v>1.4542000570988298</v>
      </c>
      <c r="BO8" s="150">
        <v>11.984388276878477</v>
      </c>
      <c r="BP8" s="150">
        <v>-1.7475682675103321</v>
      </c>
      <c r="BQ8" s="150">
        <v>-1.7169645793441486</v>
      </c>
      <c r="BR8" s="150">
        <v>-1.4425350046709582</v>
      </c>
      <c r="BS8" s="150">
        <v>0.61768216477991222</v>
      </c>
      <c r="BT8" s="150">
        <v>0.15</v>
      </c>
      <c r="BU8" s="150">
        <v>-0.4950056673809119</v>
      </c>
      <c r="BV8" s="149">
        <v>0.22</v>
      </c>
      <c r="BW8" s="149">
        <v>0.27</v>
      </c>
      <c r="BX8" s="149">
        <v>0.17</v>
      </c>
      <c r="BY8" s="149">
        <v>0.14000000000000001</v>
      </c>
      <c r="BZ8" s="149">
        <v>0.23</v>
      </c>
      <c r="CA8" s="149">
        <v>0.23</v>
      </c>
      <c r="CB8" s="149">
        <v>0.06</v>
      </c>
      <c r="CC8" s="149">
        <v>0.28000000000000003</v>
      </c>
      <c r="CD8" s="149">
        <v>0.23</v>
      </c>
      <c r="CE8" s="149">
        <v>0.33</v>
      </c>
      <c r="CF8" s="149">
        <v>0.36</v>
      </c>
      <c r="CG8" s="149">
        <v>0.27</v>
      </c>
      <c r="CH8" s="149">
        <v>0.27</v>
      </c>
      <c r="CI8" s="149">
        <v>0.45</v>
      </c>
      <c r="CJ8" s="149">
        <v>0.22</v>
      </c>
      <c r="CK8" s="149">
        <v>0.27</v>
      </c>
      <c r="CL8" s="149">
        <v>0.17</v>
      </c>
      <c r="CM8" s="149">
        <v>0.14000000000000001</v>
      </c>
      <c r="CN8" s="149">
        <v>0.23</v>
      </c>
      <c r="CO8" s="149">
        <v>0.23</v>
      </c>
      <c r="CP8" s="149">
        <v>0.06</v>
      </c>
      <c r="CQ8" s="149">
        <v>0.28000000000000003</v>
      </c>
      <c r="CR8" s="149">
        <v>0.23</v>
      </c>
      <c r="CS8" s="149">
        <v>0.33</v>
      </c>
      <c r="CT8" s="149">
        <v>0.36</v>
      </c>
      <c r="CU8" s="149">
        <v>0.27</v>
      </c>
      <c r="CV8" s="149">
        <v>0.27</v>
      </c>
      <c r="CW8" s="149">
        <v>0.45</v>
      </c>
    </row>
    <row r="9" spans="1:101" x14ac:dyDescent="0.25">
      <c r="A9" s="9" t="s">
        <v>82</v>
      </c>
      <c r="B9" s="9" t="s">
        <v>63</v>
      </c>
      <c r="C9" s="9" t="s">
        <v>63</v>
      </c>
      <c r="D9" s="9"/>
      <c r="E9" s="57">
        <v>0</v>
      </c>
      <c r="F9" s="57">
        <f t="shared" si="0"/>
        <v>0</v>
      </c>
      <c r="G9" s="9"/>
      <c r="H9" s="57">
        <v>0.58500000000000008</v>
      </c>
      <c r="I9" s="57">
        <v>0.58500000000000008</v>
      </c>
      <c r="J9" s="57">
        <f t="shared" si="1"/>
        <v>0.58500000000000008</v>
      </c>
      <c r="K9" s="17">
        <f t="shared" si="2"/>
        <v>0.58500000000000008</v>
      </c>
      <c r="L9" s="17">
        <f t="shared" si="3"/>
        <v>0.58500000000000008</v>
      </c>
      <c r="M9" s="9">
        <v>0</v>
      </c>
      <c r="N9" s="9">
        <f t="shared" si="7"/>
        <v>0</v>
      </c>
      <c r="O9" s="9">
        <f t="shared" si="8"/>
        <v>0</v>
      </c>
      <c r="P9" s="9">
        <f t="shared" si="9"/>
        <v>0</v>
      </c>
      <c r="Q9" s="9">
        <f t="shared" si="10"/>
        <v>0</v>
      </c>
      <c r="R9" s="9">
        <f t="shared" ca="1" si="11"/>
        <v>1</v>
      </c>
      <c r="S9" s="9">
        <f t="shared" ca="1" si="11"/>
        <v>0</v>
      </c>
      <c r="T9" s="9">
        <f t="shared" ca="1" si="11"/>
        <v>0</v>
      </c>
      <c r="U9" s="9">
        <f t="shared" ca="1" si="11"/>
        <v>1</v>
      </c>
      <c r="V9" s="9">
        <f t="shared" ca="1" si="11"/>
        <v>0</v>
      </c>
      <c r="W9" s="9">
        <f t="shared" ca="1" si="12"/>
        <v>0</v>
      </c>
      <c r="X9" s="9" t="s">
        <v>80</v>
      </c>
      <c r="Y9" s="151">
        <v>2022</v>
      </c>
      <c r="Z9" s="152">
        <f>Y9+1</f>
        <v>2023</v>
      </c>
      <c r="AA9" s="152">
        <f t="shared" si="13"/>
        <v>2024</v>
      </c>
      <c r="AB9" s="152">
        <f t="shared" si="13"/>
        <v>2024</v>
      </c>
      <c r="AC9" s="152">
        <f t="shared" si="13"/>
        <v>2024</v>
      </c>
      <c r="AD9" s="152">
        <f>Y9+1</f>
        <v>2023</v>
      </c>
      <c r="AE9" s="152">
        <f>TRUNC($Z9+$AG9/12+AL$2/12)</f>
        <v>2023</v>
      </c>
      <c r="AF9" s="9">
        <v>4</v>
      </c>
      <c r="AG9" s="9">
        <v>1</v>
      </c>
      <c r="AH9" s="152">
        <f t="shared" si="14"/>
        <v>0.99999999999909051</v>
      </c>
      <c r="AI9" s="152">
        <f t="shared" si="14"/>
        <v>1.999999999998181</v>
      </c>
      <c r="AJ9" s="152">
        <f t="shared" si="14"/>
        <v>1.999999999998181</v>
      </c>
      <c r="AK9" s="152">
        <f>AF9</f>
        <v>4</v>
      </c>
      <c r="AL9" s="152">
        <f>IF((($Z9+$AG9/12+AL$2/12)-TRUNC($Z9+$AG9/12+AL$2/12))*12=0,1,(($Z9+$AG9/12+AL$2/12)-TRUNC($Z9+$AG9/12+AL$2/12))*12)</f>
        <v>0.99999999999909051</v>
      </c>
      <c r="AM9" s="9"/>
      <c r="AN9" s="9"/>
      <c r="AO9" s="9"/>
      <c r="AP9" s="9"/>
      <c r="AQ9" s="9"/>
      <c r="AR9" s="9"/>
      <c r="AS9" s="9"/>
      <c r="AT9" s="9">
        <v>2029</v>
      </c>
      <c r="AU9" s="9">
        <v>2032</v>
      </c>
      <c r="AV9" s="9">
        <v>2032</v>
      </c>
      <c r="AW9" s="9">
        <v>2032</v>
      </c>
      <c r="AX9" s="9">
        <v>2032</v>
      </c>
      <c r="AY9" s="9">
        <f>AD9+8</f>
        <v>2031</v>
      </c>
      <c r="AZ9" s="9">
        <v>2032</v>
      </c>
      <c r="BA9" s="9">
        <v>7</v>
      </c>
      <c r="BB9" s="9">
        <v>1</v>
      </c>
      <c r="BC9" s="9">
        <v>1</v>
      </c>
      <c r="BD9" s="9">
        <v>1</v>
      </c>
      <c r="BE9" s="9">
        <v>1</v>
      </c>
      <c r="BF9" s="9">
        <f>AK9</f>
        <v>4</v>
      </c>
      <c r="BG9" s="9">
        <v>1</v>
      </c>
      <c r="BH9" s="150">
        <v>1.2267192541321688</v>
      </c>
      <c r="BI9" s="150">
        <v>2.2612105538192599</v>
      </c>
      <c r="BJ9" s="150">
        <v>2.1252009430760062</v>
      </c>
      <c r="BK9" s="150">
        <v>1.2944496352201866</v>
      </c>
      <c r="BL9" s="150">
        <v>0.32314284341629806</v>
      </c>
      <c r="BM9" s="150">
        <v>0.14000000000000001</v>
      </c>
      <c r="BN9" s="150">
        <v>1.4542000570988298</v>
      </c>
      <c r="BO9" s="150">
        <v>11.984388276878477</v>
      </c>
      <c r="BP9" s="150">
        <v>-1.7475682675103321</v>
      </c>
      <c r="BQ9" s="150">
        <v>-1.7169645793441486</v>
      </c>
      <c r="BR9" s="150">
        <v>-1.4425350046709582</v>
      </c>
      <c r="BS9" s="150">
        <v>0.61768216477991222</v>
      </c>
      <c r="BT9" s="150">
        <v>0.15</v>
      </c>
      <c r="BU9" s="150">
        <v>-0.4950056673809119</v>
      </c>
      <c r="BV9" s="149">
        <v>0.15</v>
      </c>
      <c r="BW9" s="149">
        <v>0.2</v>
      </c>
      <c r="BX9" s="149">
        <v>0.12</v>
      </c>
      <c r="BY9" s="149">
        <v>0.08</v>
      </c>
      <c r="BZ9" s="149">
        <v>0.18</v>
      </c>
      <c r="CA9" s="149">
        <v>0.16</v>
      </c>
      <c r="CB9" s="149">
        <v>0.05</v>
      </c>
      <c r="CC9" s="149">
        <v>0.35</v>
      </c>
      <c r="CD9" s="149">
        <v>0.3</v>
      </c>
      <c r="CE9" s="149">
        <v>0.38</v>
      </c>
      <c r="CF9" s="149">
        <v>0.42</v>
      </c>
      <c r="CG9" s="149">
        <v>0.32</v>
      </c>
      <c r="CH9" s="149">
        <v>0.34</v>
      </c>
      <c r="CI9" s="149">
        <v>0.45</v>
      </c>
      <c r="CJ9" s="149">
        <v>0.15</v>
      </c>
      <c r="CK9" s="149">
        <v>0.2</v>
      </c>
      <c r="CL9" s="149">
        <v>0.12</v>
      </c>
      <c r="CM9" s="149">
        <v>0.08</v>
      </c>
      <c r="CN9" s="149">
        <v>0.18</v>
      </c>
      <c r="CO9" s="149">
        <v>0.16</v>
      </c>
      <c r="CP9" s="149">
        <v>0.05</v>
      </c>
      <c r="CQ9" s="149">
        <v>0.35</v>
      </c>
      <c r="CR9" s="149">
        <v>0.3</v>
      </c>
      <c r="CS9" s="149">
        <v>0.38</v>
      </c>
      <c r="CT9" s="149">
        <v>0.42</v>
      </c>
      <c r="CU9" s="149">
        <v>0.32</v>
      </c>
      <c r="CV9" s="149">
        <v>0.34</v>
      </c>
      <c r="CW9" s="149">
        <v>0.45</v>
      </c>
    </row>
    <row r="10" spans="1:101" x14ac:dyDescent="0.25">
      <c r="A10" s="9" t="s">
        <v>92</v>
      </c>
      <c r="B10" s="9" t="s">
        <v>47</v>
      </c>
      <c r="C10" s="9" t="s">
        <v>47</v>
      </c>
      <c r="D10" s="9"/>
      <c r="E10" s="57">
        <v>1</v>
      </c>
      <c r="F10" s="57">
        <f t="shared" si="0"/>
        <v>1</v>
      </c>
      <c r="G10" s="9"/>
      <c r="H10" s="57">
        <v>1</v>
      </c>
      <c r="I10" s="57">
        <v>1</v>
      </c>
      <c r="J10" s="57">
        <f t="shared" si="1"/>
        <v>1</v>
      </c>
      <c r="K10" s="17">
        <f t="shared" si="2"/>
        <v>1</v>
      </c>
      <c r="L10" s="17">
        <f t="shared" si="3"/>
        <v>1</v>
      </c>
      <c r="M10" s="17">
        <v>1</v>
      </c>
      <c r="N10" s="9">
        <f t="shared" si="7"/>
        <v>1</v>
      </c>
      <c r="O10" s="9">
        <f t="shared" si="8"/>
        <v>1</v>
      </c>
      <c r="P10" s="9">
        <f t="shared" si="9"/>
        <v>1</v>
      </c>
      <c r="Q10" s="9">
        <f t="shared" si="10"/>
        <v>1</v>
      </c>
      <c r="R10" s="9">
        <f t="shared" ca="1" si="11"/>
        <v>1</v>
      </c>
      <c r="S10" s="9">
        <f t="shared" ca="1" si="11"/>
        <v>1</v>
      </c>
      <c r="T10" s="9">
        <f t="shared" ca="1" si="11"/>
        <v>1</v>
      </c>
      <c r="U10" s="9">
        <f t="shared" ca="1" si="11"/>
        <v>1</v>
      </c>
      <c r="V10" s="9">
        <f t="shared" ca="1" si="11"/>
        <v>1</v>
      </c>
      <c r="W10" s="9">
        <f t="shared" ca="1" si="12"/>
        <v>1</v>
      </c>
      <c r="X10" s="9" t="s">
        <v>54</v>
      </c>
      <c r="Y10" s="151">
        <v>2015</v>
      </c>
      <c r="Z10" s="152">
        <f>Y10+1</f>
        <v>2016</v>
      </c>
      <c r="AA10" s="152">
        <f t="shared" si="13"/>
        <v>2017</v>
      </c>
      <c r="AB10" s="152">
        <f t="shared" si="13"/>
        <v>2017</v>
      </c>
      <c r="AC10" s="152">
        <f t="shared" si="13"/>
        <v>2017</v>
      </c>
      <c r="AD10" s="152">
        <f>Y10+1</f>
        <v>2016</v>
      </c>
      <c r="AE10" s="152">
        <f>TRUNC($Z10+$AG10/12+AL$2/12)</f>
        <v>2016</v>
      </c>
      <c r="AF10" s="9">
        <v>7</v>
      </c>
      <c r="AG10" s="9">
        <v>7</v>
      </c>
      <c r="AH10" s="152">
        <f t="shared" si="14"/>
        <v>6.9999999999990905</v>
      </c>
      <c r="AI10" s="152">
        <f t="shared" si="14"/>
        <v>7.999999999998181</v>
      </c>
      <c r="AJ10" s="152">
        <f t="shared" si="14"/>
        <v>7.999999999998181</v>
      </c>
      <c r="AK10" s="152">
        <f>AF10</f>
        <v>7</v>
      </c>
      <c r="AL10" s="152">
        <f>IF((($Z10+$AG10/12+AL$2/12)-TRUNC($Z10+$AG10/12+AL$2/12))*12=0,1,(($Z10+$AG10/12+AL$2/12)-TRUNC($Z10+$AG10/12+AL$2/12))*12)</f>
        <v>6.9999999999990905</v>
      </c>
      <c r="AM10" s="151"/>
      <c r="AN10" s="9"/>
      <c r="AO10" s="9"/>
      <c r="AP10" s="9"/>
      <c r="AQ10" s="9"/>
      <c r="AR10" s="9"/>
      <c r="AS10" s="9"/>
      <c r="AT10" s="151">
        <v>2027</v>
      </c>
      <c r="AU10" s="9">
        <v>2027</v>
      </c>
      <c r="AV10" s="9">
        <v>2027</v>
      </c>
      <c r="AW10" s="9">
        <v>2027</v>
      </c>
      <c r="AX10" s="9">
        <v>2027</v>
      </c>
      <c r="AY10" s="9">
        <f>AD10+8</f>
        <v>2024</v>
      </c>
      <c r="AZ10" s="9">
        <v>2027</v>
      </c>
      <c r="BA10" s="9">
        <v>2</v>
      </c>
      <c r="BB10" s="9">
        <v>2</v>
      </c>
      <c r="BC10" s="9">
        <v>2</v>
      </c>
      <c r="BD10" s="9">
        <v>2</v>
      </c>
      <c r="BE10" s="9">
        <v>2</v>
      </c>
      <c r="BF10" s="9">
        <f>AK10</f>
        <v>7</v>
      </c>
      <c r="BG10" s="9">
        <v>2</v>
      </c>
      <c r="BH10" s="150">
        <v>1.2267192541321688</v>
      </c>
      <c r="BI10" s="150">
        <v>2.2612105538192599</v>
      </c>
      <c r="BJ10" s="150">
        <v>2.1252009430760062</v>
      </c>
      <c r="BK10" s="150">
        <v>1.2944496352201866</v>
      </c>
      <c r="BL10" s="150">
        <v>0.32314284341629806</v>
      </c>
      <c r="BM10" s="150">
        <v>0.14000000000000001</v>
      </c>
      <c r="BN10" s="150">
        <v>1.4542000570988298</v>
      </c>
      <c r="BO10" s="150">
        <v>11.984388276878477</v>
      </c>
      <c r="BP10" s="150">
        <v>-1.7475682675103321</v>
      </c>
      <c r="BQ10" s="150">
        <v>-1.7169645793441486</v>
      </c>
      <c r="BR10" s="150">
        <v>-1.4425350046709582</v>
      </c>
      <c r="BS10" s="150">
        <v>0.61768216477991222</v>
      </c>
      <c r="BT10" s="150">
        <v>0.15</v>
      </c>
      <c r="BU10" s="150">
        <v>-0.4950056673809119</v>
      </c>
      <c r="BV10" s="149">
        <v>0.15</v>
      </c>
      <c r="BW10" s="149">
        <v>0.2</v>
      </c>
      <c r="BX10" s="149">
        <v>0.12</v>
      </c>
      <c r="BY10" s="149">
        <v>0.08</v>
      </c>
      <c r="BZ10" s="149">
        <v>0.18</v>
      </c>
      <c r="CA10" s="149">
        <v>0.16</v>
      </c>
      <c r="CB10" s="149">
        <v>0.05</v>
      </c>
      <c r="CC10" s="149">
        <v>0.35</v>
      </c>
      <c r="CD10" s="149">
        <v>0.3</v>
      </c>
      <c r="CE10" s="149">
        <v>0.38</v>
      </c>
      <c r="CF10" s="149">
        <v>0.42</v>
      </c>
      <c r="CG10" s="149">
        <v>0.32</v>
      </c>
      <c r="CH10" s="149">
        <v>0.34</v>
      </c>
      <c r="CI10" s="149">
        <v>0.45</v>
      </c>
      <c r="CJ10" s="149">
        <v>0.15</v>
      </c>
      <c r="CK10" s="149">
        <v>0.2</v>
      </c>
      <c r="CL10" s="149">
        <v>0.12</v>
      </c>
      <c r="CM10" s="149">
        <v>0.08</v>
      </c>
      <c r="CN10" s="149">
        <v>0.18</v>
      </c>
      <c r="CO10" s="149">
        <v>0.16</v>
      </c>
      <c r="CP10" s="149">
        <v>0.05</v>
      </c>
      <c r="CQ10" s="149">
        <v>0.35</v>
      </c>
      <c r="CR10" s="149">
        <v>0.3</v>
      </c>
      <c r="CS10" s="149">
        <v>0.38</v>
      </c>
      <c r="CT10" s="149">
        <v>0.42</v>
      </c>
      <c r="CU10" s="149">
        <v>0.32</v>
      </c>
      <c r="CV10" s="149">
        <v>0.34</v>
      </c>
      <c r="CW10" s="149">
        <v>0.45</v>
      </c>
    </row>
    <row r="11" spans="1:101" x14ac:dyDescent="0.25">
      <c r="A11" s="9" t="s">
        <v>53</v>
      </c>
      <c r="B11" s="9" t="s">
        <v>51</v>
      </c>
      <c r="C11" s="9" t="s">
        <v>51</v>
      </c>
      <c r="D11" s="9"/>
      <c r="E11" s="57">
        <v>0</v>
      </c>
      <c r="F11" s="57">
        <f t="shared" si="0"/>
        <v>0</v>
      </c>
      <c r="G11" s="9"/>
      <c r="H11" s="57">
        <v>0.1638</v>
      </c>
      <c r="I11" s="57">
        <v>0.1638</v>
      </c>
      <c r="J11" s="57">
        <f t="shared" si="1"/>
        <v>0.1638</v>
      </c>
      <c r="K11" s="17">
        <f t="shared" si="2"/>
        <v>0.1638</v>
      </c>
      <c r="L11" s="17">
        <f t="shared" si="3"/>
        <v>0.1638</v>
      </c>
      <c r="M11" s="9">
        <v>0</v>
      </c>
      <c r="N11" s="9">
        <f t="shared" si="7"/>
        <v>0</v>
      </c>
      <c r="O11" s="9">
        <f t="shared" si="8"/>
        <v>0</v>
      </c>
      <c r="P11" s="9">
        <f t="shared" si="9"/>
        <v>0</v>
      </c>
      <c r="Q11" s="9">
        <f t="shared" si="10"/>
        <v>0</v>
      </c>
      <c r="R11" s="9">
        <f t="shared" ca="1" si="11"/>
        <v>0</v>
      </c>
      <c r="S11" s="9">
        <f t="shared" ca="1" si="11"/>
        <v>1</v>
      </c>
      <c r="T11" s="9">
        <f t="shared" ca="1" si="11"/>
        <v>0</v>
      </c>
      <c r="U11" s="9">
        <f t="shared" ca="1" si="11"/>
        <v>1</v>
      </c>
      <c r="V11" s="9">
        <f t="shared" ca="1" si="11"/>
        <v>1</v>
      </c>
      <c r="W11" s="9">
        <f t="shared" ca="1" si="12"/>
        <v>0</v>
      </c>
      <c r="X11" s="9" t="s">
        <v>50</v>
      </c>
      <c r="Y11" s="151">
        <v>2023</v>
      </c>
      <c r="Z11" s="152">
        <f>Y11+1</f>
        <v>2024</v>
      </c>
      <c r="AA11" s="152">
        <f t="shared" si="13"/>
        <v>2025</v>
      </c>
      <c r="AB11" s="152">
        <f t="shared" si="13"/>
        <v>2025</v>
      </c>
      <c r="AC11" s="152">
        <f t="shared" si="13"/>
        <v>2025</v>
      </c>
      <c r="AD11" s="152">
        <f>Y11+1</f>
        <v>2024</v>
      </c>
      <c r="AE11" s="152">
        <f>TRUNC($Z11+$AG11/12+AL$2/12)</f>
        <v>2024</v>
      </c>
      <c r="AF11" s="151">
        <v>6</v>
      </c>
      <c r="AG11" s="9">
        <v>9</v>
      </c>
      <c r="AH11" s="152">
        <f t="shared" si="14"/>
        <v>9</v>
      </c>
      <c r="AI11" s="152">
        <f t="shared" si="14"/>
        <v>9.9999999999990905</v>
      </c>
      <c r="AJ11" s="152">
        <f t="shared" si="14"/>
        <v>9.9999999999990905</v>
      </c>
      <c r="AK11" s="152">
        <f>AF11</f>
        <v>6</v>
      </c>
      <c r="AL11" s="152">
        <f>IF((($Z11+$AG11/12+AL$2/12)-TRUNC($Z11+$AG11/12+AL$2/12))*12=0,1,(($Z11+$AG11/12+AL$2/12)-TRUNC($Z11+$AG11/12+AL$2/12))*12)</f>
        <v>9</v>
      </c>
      <c r="AM11" s="9"/>
      <c r="AN11" s="9"/>
      <c r="AO11" s="9"/>
      <c r="AP11" s="9"/>
      <c r="AQ11" s="9"/>
      <c r="AR11" s="9"/>
      <c r="AS11" s="9"/>
      <c r="AT11" s="9">
        <v>2033</v>
      </c>
      <c r="AU11" s="9">
        <v>2036</v>
      </c>
      <c r="AV11" s="9">
        <v>2036</v>
      </c>
      <c r="AW11" s="9">
        <v>2036</v>
      </c>
      <c r="AX11" s="9">
        <v>2036</v>
      </c>
      <c r="AY11" s="9">
        <f>AD11+8</f>
        <v>2032</v>
      </c>
      <c r="AZ11" s="9">
        <v>2036</v>
      </c>
      <c r="BA11" s="9">
        <v>6</v>
      </c>
      <c r="BB11" s="9">
        <v>9</v>
      </c>
      <c r="BC11" s="9">
        <v>9</v>
      </c>
      <c r="BD11" s="9">
        <v>9</v>
      </c>
      <c r="BE11" s="9">
        <v>9</v>
      </c>
      <c r="BF11" s="9">
        <f>AK11</f>
        <v>6</v>
      </c>
      <c r="BG11" s="9">
        <v>9</v>
      </c>
      <c r="BH11" s="150">
        <v>1.2267192541321688</v>
      </c>
      <c r="BI11" s="150">
        <v>2.2612105538192599</v>
      </c>
      <c r="BJ11" s="150">
        <v>2.1252009430760062</v>
      </c>
      <c r="BK11" s="150">
        <v>1.2944496352201866</v>
      </c>
      <c r="BL11" s="150">
        <v>0.32314284341629806</v>
      </c>
      <c r="BM11" s="150">
        <v>0.14000000000000001</v>
      </c>
      <c r="BN11" s="150">
        <v>1.4542000570988298</v>
      </c>
      <c r="BO11" s="150">
        <v>11.984388276878477</v>
      </c>
      <c r="BP11" s="150">
        <v>-1.7475682675103321</v>
      </c>
      <c r="BQ11" s="150">
        <v>-1.7169645793441486</v>
      </c>
      <c r="BR11" s="150">
        <v>-1.4425350046709582</v>
      </c>
      <c r="BS11" s="150">
        <v>0.61768216477991222</v>
      </c>
      <c r="BT11" s="150">
        <v>0.15</v>
      </c>
      <c r="BU11" s="150">
        <v>-0.4950056673809119</v>
      </c>
      <c r="BV11" s="149">
        <v>0.15</v>
      </c>
      <c r="BW11" s="149">
        <v>0.2</v>
      </c>
      <c r="BX11" s="149">
        <v>0.12</v>
      </c>
      <c r="BY11" s="149">
        <v>0.08</v>
      </c>
      <c r="BZ11" s="149">
        <v>0.18</v>
      </c>
      <c r="CA11" s="149">
        <v>0.16</v>
      </c>
      <c r="CB11" s="149">
        <v>0.05</v>
      </c>
      <c r="CC11" s="149">
        <v>0.35</v>
      </c>
      <c r="CD11" s="149">
        <v>0.3</v>
      </c>
      <c r="CE11" s="149">
        <v>0.38</v>
      </c>
      <c r="CF11" s="149">
        <v>0.42</v>
      </c>
      <c r="CG11" s="149">
        <v>0.32</v>
      </c>
      <c r="CH11" s="149">
        <v>0.34</v>
      </c>
      <c r="CI11" s="149">
        <v>0.45</v>
      </c>
      <c r="CJ11" s="149">
        <v>0.15</v>
      </c>
      <c r="CK11" s="149">
        <v>0.2</v>
      </c>
      <c r="CL11" s="149">
        <v>0.12</v>
      </c>
      <c r="CM11" s="149">
        <v>0.08</v>
      </c>
      <c r="CN11" s="149">
        <v>0.18</v>
      </c>
      <c r="CO11" s="149">
        <v>0.16</v>
      </c>
      <c r="CP11" s="149">
        <v>0.05</v>
      </c>
      <c r="CQ11" s="149">
        <v>0.35</v>
      </c>
      <c r="CR11" s="149">
        <v>0.3</v>
      </c>
      <c r="CS11" s="149">
        <v>0.38</v>
      </c>
      <c r="CT11" s="149">
        <v>0.42</v>
      </c>
      <c r="CU11" s="149">
        <v>0.32</v>
      </c>
      <c r="CV11" s="149">
        <v>0.34</v>
      </c>
      <c r="CW11" s="149">
        <v>0.45</v>
      </c>
    </row>
    <row r="12" spans="1:101" x14ac:dyDescent="0.25">
      <c r="A12" s="9" t="s">
        <v>94</v>
      </c>
      <c r="B12" s="9" t="s">
        <v>47</v>
      </c>
      <c r="C12" s="9" t="s">
        <v>47</v>
      </c>
      <c r="D12" s="9"/>
      <c r="E12" s="57">
        <v>1</v>
      </c>
      <c r="F12" s="57">
        <f t="shared" si="0"/>
        <v>1</v>
      </c>
      <c r="G12" s="9"/>
      <c r="H12" s="57">
        <v>1</v>
      </c>
      <c r="I12" s="57">
        <v>1</v>
      </c>
      <c r="J12" s="57">
        <f t="shared" si="1"/>
        <v>1</v>
      </c>
      <c r="K12" s="17">
        <f t="shared" si="2"/>
        <v>1</v>
      </c>
      <c r="L12" s="17">
        <f t="shared" si="3"/>
        <v>1</v>
      </c>
      <c r="M12" s="17">
        <v>1</v>
      </c>
      <c r="N12" s="9">
        <f t="shared" si="7"/>
        <v>1</v>
      </c>
      <c r="O12" s="9">
        <f t="shared" si="8"/>
        <v>1</v>
      </c>
      <c r="P12" s="9">
        <f t="shared" si="9"/>
        <v>1</v>
      </c>
      <c r="Q12" s="9">
        <f t="shared" si="10"/>
        <v>1</v>
      </c>
      <c r="R12" s="9">
        <f t="shared" ca="1" si="11"/>
        <v>1</v>
      </c>
      <c r="S12" s="9">
        <f t="shared" ca="1" si="11"/>
        <v>1</v>
      </c>
      <c r="T12" s="9">
        <f t="shared" ca="1" si="11"/>
        <v>1</v>
      </c>
      <c r="U12" s="9">
        <f t="shared" ca="1" si="11"/>
        <v>1</v>
      </c>
      <c r="V12" s="9">
        <f t="shared" ca="1" si="11"/>
        <v>1</v>
      </c>
      <c r="W12" s="9">
        <f t="shared" ca="1" si="12"/>
        <v>1</v>
      </c>
      <c r="X12" s="9" t="s">
        <v>80</v>
      </c>
      <c r="Y12" s="151">
        <v>1989</v>
      </c>
      <c r="Z12" s="9"/>
      <c r="AA12" s="9"/>
      <c r="AB12" s="9"/>
      <c r="AC12" s="9"/>
      <c r="AD12" s="152"/>
      <c r="AE12" s="9"/>
      <c r="AF12" s="9">
        <v>12</v>
      </c>
      <c r="AG12" s="9"/>
      <c r="AH12" s="9"/>
      <c r="AI12" s="9"/>
      <c r="AJ12" s="9"/>
      <c r="AK12" s="9"/>
      <c r="AL12" s="9"/>
      <c r="AM12" s="151"/>
      <c r="AN12" s="9"/>
      <c r="AO12" s="9"/>
      <c r="AP12" s="9"/>
      <c r="AQ12" s="9"/>
      <c r="AR12" s="9"/>
      <c r="AS12" s="9"/>
      <c r="AT12" s="151">
        <v>2006</v>
      </c>
      <c r="AU12" s="9"/>
      <c r="AV12" s="9"/>
      <c r="AW12" s="9"/>
      <c r="AX12" s="9"/>
      <c r="AY12" s="9"/>
      <c r="AZ12" s="9"/>
      <c r="BA12" s="151">
        <v>3</v>
      </c>
      <c r="BB12" s="9"/>
      <c r="BC12" s="9"/>
      <c r="BD12" s="9"/>
      <c r="BE12" s="9"/>
      <c r="BF12" s="9"/>
      <c r="BG12" s="9"/>
      <c r="BH12" s="150">
        <v>1.2267192541321688</v>
      </c>
      <c r="BI12" s="150">
        <v>2.2612105538192599</v>
      </c>
      <c r="BJ12" s="150">
        <v>2.1252009430760062</v>
      </c>
      <c r="BK12" s="150">
        <v>1.2944496352201866</v>
      </c>
      <c r="BL12" s="150">
        <v>0.32314284341629806</v>
      </c>
      <c r="BM12" s="150">
        <v>0.14000000000000001</v>
      </c>
      <c r="BN12" s="150">
        <v>1.4542000570988298</v>
      </c>
      <c r="BO12" s="150">
        <v>11.984388276878477</v>
      </c>
      <c r="BP12" s="150">
        <v>-1.7475682675103321</v>
      </c>
      <c r="BQ12" s="150">
        <v>-1.7169645793441486</v>
      </c>
      <c r="BR12" s="150">
        <v>-1.4425350046709582</v>
      </c>
      <c r="BS12" s="150">
        <v>0.61768216477991222</v>
      </c>
      <c r="BT12" s="150">
        <v>0.15</v>
      </c>
      <c r="BU12" s="150">
        <v>-0.4950056673809119</v>
      </c>
      <c r="BV12" s="149">
        <v>0.15</v>
      </c>
      <c r="BW12" s="149">
        <v>0.2</v>
      </c>
      <c r="BX12" s="149">
        <v>0.12</v>
      </c>
      <c r="BY12" s="149">
        <v>0.08</v>
      </c>
      <c r="BZ12" s="149">
        <v>0.18</v>
      </c>
      <c r="CA12" s="149">
        <v>0.16</v>
      </c>
      <c r="CB12" s="149">
        <v>0.05</v>
      </c>
      <c r="CC12" s="149">
        <v>0.35</v>
      </c>
      <c r="CD12" s="149">
        <v>0.3</v>
      </c>
      <c r="CE12" s="149">
        <v>0.38</v>
      </c>
      <c r="CF12" s="149">
        <v>0.42</v>
      </c>
      <c r="CG12" s="149">
        <v>0.32</v>
      </c>
      <c r="CH12" s="149">
        <v>0.34</v>
      </c>
      <c r="CI12" s="149">
        <v>0.45</v>
      </c>
      <c r="CJ12" s="149">
        <v>0.15</v>
      </c>
      <c r="CK12" s="149">
        <v>0.2</v>
      </c>
      <c r="CL12" s="149">
        <v>0.12</v>
      </c>
      <c r="CM12" s="149">
        <v>0.08</v>
      </c>
      <c r="CN12" s="149">
        <v>0.18</v>
      </c>
      <c r="CO12" s="149">
        <v>0.16</v>
      </c>
      <c r="CP12" s="149">
        <v>0.05</v>
      </c>
      <c r="CQ12" s="149">
        <v>0.35</v>
      </c>
      <c r="CR12" s="149">
        <v>0.3</v>
      </c>
      <c r="CS12" s="149">
        <v>0.38</v>
      </c>
      <c r="CT12" s="149">
        <v>0.42</v>
      </c>
      <c r="CU12" s="149">
        <v>0.32</v>
      </c>
      <c r="CV12" s="149">
        <v>0.34</v>
      </c>
      <c r="CW12" s="149">
        <v>0.45</v>
      </c>
    </row>
    <row r="13" spans="1:101" x14ac:dyDescent="0.25">
      <c r="A13" s="9" t="s">
        <v>87</v>
      </c>
      <c r="B13" s="9" t="s">
        <v>47</v>
      </c>
      <c r="C13" s="9" t="s">
        <v>47</v>
      </c>
      <c r="D13" s="9"/>
      <c r="E13" s="57">
        <v>1</v>
      </c>
      <c r="F13" s="57">
        <f t="shared" si="0"/>
        <v>1</v>
      </c>
      <c r="G13" s="9"/>
      <c r="H13" s="57">
        <v>1</v>
      </c>
      <c r="I13" s="57">
        <v>1</v>
      </c>
      <c r="J13" s="57">
        <f t="shared" si="1"/>
        <v>1</v>
      </c>
      <c r="K13" s="17">
        <f t="shared" si="2"/>
        <v>1</v>
      </c>
      <c r="L13" s="17">
        <f t="shared" si="3"/>
        <v>1</v>
      </c>
      <c r="M13" s="17">
        <v>1</v>
      </c>
      <c r="N13" s="9">
        <f t="shared" si="7"/>
        <v>1</v>
      </c>
      <c r="O13" s="9">
        <f t="shared" si="8"/>
        <v>1</v>
      </c>
      <c r="P13" s="9">
        <f t="shared" si="9"/>
        <v>1</v>
      </c>
      <c r="Q13" s="9">
        <f t="shared" si="10"/>
        <v>1</v>
      </c>
      <c r="R13" s="9">
        <f t="shared" ca="1" si="11"/>
        <v>1</v>
      </c>
      <c r="S13" s="9">
        <f t="shared" ca="1" si="11"/>
        <v>1</v>
      </c>
      <c r="T13" s="9">
        <f t="shared" ca="1" si="11"/>
        <v>1</v>
      </c>
      <c r="U13" s="9">
        <f t="shared" ca="1" si="11"/>
        <v>1</v>
      </c>
      <c r="V13" s="9">
        <f t="shared" ca="1" si="11"/>
        <v>1</v>
      </c>
      <c r="W13" s="9">
        <f t="shared" ca="1" si="12"/>
        <v>1</v>
      </c>
      <c r="X13" s="9" t="s">
        <v>54</v>
      </c>
      <c r="Y13" s="151">
        <v>2016</v>
      </c>
      <c r="Z13" s="152">
        <f>Y13+1</f>
        <v>2017</v>
      </c>
      <c r="AA13" s="152">
        <f t="shared" ref="AA13:AC19" si="15">TRUNC($Z13+$AG13/12+AH$2/12)</f>
        <v>2018</v>
      </c>
      <c r="AB13" s="152">
        <f t="shared" si="15"/>
        <v>2018</v>
      </c>
      <c r="AC13" s="152">
        <f t="shared" si="15"/>
        <v>2018</v>
      </c>
      <c r="AD13" s="152">
        <f>Y13+1</f>
        <v>2017</v>
      </c>
      <c r="AE13" s="152">
        <f t="shared" ref="AE13:AE19" si="16">TRUNC($Z13+$AG13/12+AL$2/12)</f>
        <v>2017</v>
      </c>
      <c r="AF13" s="9">
        <v>3</v>
      </c>
      <c r="AG13" s="9">
        <v>3</v>
      </c>
      <c r="AH13" s="152">
        <f t="shared" ref="AH13:AJ19" si="17">IF((($Z13+$AG13/12+AH$2/12)-TRUNC($Z13+$AG13/12+AH$2/12))*12=0,1,(($Z13+$AG13/12+AH$2/12)-TRUNC($Z13+$AG13/12+AH$2/12))*12)</f>
        <v>3</v>
      </c>
      <c r="AI13" s="152">
        <f t="shared" si="17"/>
        <v>3.9999999999990905</v>
      </c>
      <c r="AJ13" s="152">
        <f t="shared" si="17"/>
        <v>3.9999999999990905</v>
      </c>
      <c r="AK13" s="152">
        <f t="shared" ref="AK13:AK25" si="18">AF13</f>
        <v>3</v>
      </c>
      <c r="AL13" s="152">
        <f t="shared" ref="AL13:AL19" si="19">IF((($Z13+$AG13/12+AL$2/12)-TRUNC($Z13+$AG13/12+AL$2/12))*12=0,1,(($Z13+$AG13/12+AL$2/12)-TRUNC($Z13+$AG13/12+AL$2/12))*12)</f>
        <v>3</v>
      </c>
      <c r="AM13" s="151"/>
      <c r="AN13" s="9"/>
      <c r="AO13" s="9"/>
      <c r="AP13" s="9"/>
      <c r="AQ13" s="9"/>
      <c r="AR13" s="9"/>
      <c r="AS13" s="9"/>
      <c r="AT13" s="151">
        <v>2029</v>
      </c>
      <c r="AU13" s="9">
        <v>2033</v>
      </c>
      <c r="AV13" s="9">
        <v>2033</v>
      </c>
      <c r="AW13" s="9">
        <v>2033</v>
      </c>
      <c r="AX13" s="9">
        <v>2033</v>
      </c>
      <c r="AY13" s="9">
        <f t="shared" ref="AY13:AY25" si="20">AD13+8</f>
        <v>2025</v>
      </c>
      <c r="AZ13" s="9">
        <v>2033</v>
      </c>
      <c r="BA13" s="151">
        <v>9</v>
      </c>
      <c r="BB13" s="9">
        <v>11</v>
      </c>
      <c r="BC13" s="9">
        <v>11</v>
      </c>
      <c r="BD13" s="9">
        <v>11</v>
      </c>
      <c r="BE13" s="9">
        <v>11</v>
      </c>
      <c r="BF13" s="9">
        <f t="shared" ref="BF13:BF25" si="21">AK13</f>
        <v>3</v>
      </c>
      <c r="BG13" s="9">
        <v>11</v>
      </c>
      <c r="BH13" s="150">
        <v>1.6</v>
      </c>
      <c r="BI13" s="150">
        <v>2.2612105538192599</v>
      </c>
      <c r="BJ13" s="150">
        <v>2.1252009430760062</v>
      </c>
      <c r="BK13" s="150">
        <v>1.2944496352201866</v>
      </c>
      <c r="BL13" s="150">
        <v>0.32314284341629806</v>
      </c>
      <c r="BM13" s="150">
        <v>0.14000000000000001</v>
      </c>
      <c r="BN13" s="150">
        <v>1.4542000570988298</v>
      </c>
      <c r="BO13" s="150">
        <v>11.984388276878477</v>
      </c>
      <c r="BP13" s="150">
        <v>-1.7475682675103321</v>
      </c>
      <c r="BQ13" s="150">
        <v>-1.7169645793441486</v>
      </c>
      <c r="BR13" s="150">
        <v>-1.4425350046709582</v>
      </c>
      <c r="BS13" s="150">
        <v>0.61768216477991222</v>
      </c>
      <c r="BT13" s="150">
        <v>0.15</v>
      </c>
      <c r="BU13" s="150">
        <v>-0.4950056673809119</v>
      </c>
      <c r="BV13" s="149">
        <v>0.15</v>
      </c>
      <c r="BW13" s="149">
        <v>0.2</v>
      </c>
      <c r="BX13" s="149">
        <v>0.12</v>
      </c>
      <c r="BY13" s="149">
        <v>0.08</v>
      </c>
      <c r="BZ13" s="149">
        <v>0.18</v>
      </c>
      <c r="CA13" s="149">
        <v>0.16</v>
      </c>
      <c r="CB13" s="149">
        <v>0.05</v>
      </c>
      <c r="CC13" s="149">
        <v>0.35</v>
      </c>
      <c r="CD13" s="149">
        <v>0.3</v>
      </c>
      <c r="CE13" s="149">
        <v>0.38</v>
      </c>
      <c r="CF13" s="149">
        <v>0.42</v>
      </c>
      <c r="CG13" s="149">
        <v>0.32</v>
      </c>
      <c r="CH13" s="149">
        <v>0.34</v>
      </c>
      <c r="CI13" s="149">
        <v>0.45</v>
      </c>
      <c r="CJ13" s="149">
        <v>0.15</v>
      </c>
      <c r="CK13" s="149">
        <v>0.2</v>
      </c>
      <c r="CL13" s="149">
        <v>0.12</v>
      </c>
      <c r="CM13" s="149">
        <v>0.08</v>
      </c>
      <c r="CN13" s="149">
        <v>0.18</v>
      </c>
      <c r="CO13" s="149">
        <v>0.16</v>
      </c>
      <c r="CP13" s="149">
        <v>0.05</v>
      </c>
      <c r="CQ13" s="149">
        <v>0.35</v>
      </c>
      <c r="CR13" s="149">
        <v>0.3</v>
      </c>
      <c r="CS13" s="149">
        <v>0.38</v>
      </c>
      <c r="CT13" s="149">
        <v>0.42</v>
      </c>
      <c r="CU13" s="149">
        <v>0.32</v>
      </c>
      <c r="CV13" s="149">
        <v>0.34</v>
      </c>
      <c r="CW13" s="149">
        <v>0.45</v>
      </c>
    </row>
    <row r="14" spans="1:101" x14ac:dyDescent="0.25">
      <c r="A14" s="9" t="s">
        <v>280</v>
      </c>
      <c r="B14" s="9" t="s">
        <v>84</v>
      </c>
      <c r="C14" s="9" t="s">
        <v>84</v>
      </c>
      <c r="D14" s="9"/>
      <c r="E14" s="57">
        <v>1</v>
      </c>
      <c r="F14" s="57">
        <f t="shared" si="0"/>
        <v>1</v>
      </c>
      <c r="G14" s="9"/>
      <c r="H14" s="57">
        <v>1</v>
      </c>
      <c r="I14" s="57">
        <v>1</v>
      </c>
      <c r="J14" s="57">
        <f t="shared" si="1"/>
        <v>1</v>
      </c>
      <c r="K14" s="17">
        <f t="shared" si="2"/>
        <v>1</v>
      </c>
      <c r="L14" s="17">
        <f t="shared" si="3"/>
        <v>1</v>
      </c>
      <c r="M14" s="17">
        <v>1</v>
      </c>
      <c r="N14" s="9">
        <f t="shared" si="7"/>
        <v>1</v>
      </c>
      <c r="O14" s="9">
        <f t="shared" si="8"/>
        <v>1</v>
      </c>
      <c r="P14" s="9">
        <f t="shared" si="9"/>
        <v>1</v>
      </c>
      <c r="Q14" s="9">
        <f t="shared" si="10"/>
        <v>1</v>
      </c>
      <c r="R14" s="9">
        <f t="shared" ca="1" si="11"/>
        <v>1</v>
      </c>
      <c r="S14" s="9">
        <f t="shared" ca="1" si="11"/>
        <v>1</v>
      </c>
      <c r="T14" s="9">
        <f t="shared" ca="1" si="11"/>
        <v>1</v>
      </c>
      <c r="U14" s="9">
        <f t="shared" ca="1" si="11"/>
        <v>1</v>
      </c>
      <c r="V14" s="9">
        <f t="shared" ca="1" si="11"/>
        <v>1</v>
      </c>
      <c r="W14" s="9">
        <f t="shared" ca="1" si="12"/>
        <v>1</v>
      </c>
      <c r="X14" s="9" t="s">
        <v>62</v>
      </c>
      <c r="Y14" s="151">
        <v>2019</v>
      </c>
      <c r="Z14" s="152">
        <v>2019</v>
      </c>
      <c r="AA14" s="152">
        <f t="shared" si="15"/>
        <v>2020</v>
      </c>
      <c r="AB14" s="152">
        <f t="shared" si="15"/>
        <v>2021</v>
      </c>
      <c r="AC14" s="152">
        <f t="shared" si="15"/>
        <v>2021</v>
      </c>
      <c r="AD14" s="152">
        <v>2022</v>
      </c>
      <c r="AE14" s="152">
        <f t="shared" si="16"/>
        <v>2019</v>
      </c>
      <c r="AF14" s="151">
        <v>3</v>
      </c>
      <c r="AG14" s="9">
        <v>11</v>
      </c>
      <c r="AH14" s="152">
        <f t="shared" si="17"/>
        <v>11.000000000000909</v>
      </c>
      <c r="AI14" s="152">
        <f t="shared" si="17"/>
        <v>1</v>
      </c>
      <c r="AJ14" s="152">
        <f t="shared" si="17"/>
        <v>1</v>
      </c>
      <c r="AK14" s="152">
        <v>11</v>
      </c>
      <c r="AL14" s="152">
        <f t="shared" si="19"/>
        <v>11.000000000000909</v>
      </c>
      <c r="AM14" s="9">
        <v>7.5</v>
      </c>
      <c r="AN14" s="9"/>
      <c r="AO14" s="9"/>
      <c r="AP14" s="9"/>
      <c r="AQ14" s="9"/>
      <c r="AR14" s="9"/>
      <c r="AS14" s="9"/>
      <c r="AT14" s="152">
        <v>2026</v>
      </c>
      <c r="AU14" s="9">
        <v>2031</v>
      </c>
      <c r="AV14" s="9">
        <v>2031</v>
      </c>
      <c r="AW14" s="9">
        <v>2031</v>
      </c>
      <c r="AX14" s="9">
        <v>2031</v>
      </c>
      <c r="AY14" s="9">
        <f t="shared" si="20"/>
        <v>2030</v>
      </c>
      <c r="AZ14" s="9">
        <v>2031</v>
      </c>
      <c r="BA14" s="9">
        <v>6</v>
      </c>
      <c r="BB14" s="9">
        <v>1</v>
      </c>
      <c r="BC14" s="9">
        <v>1</v>
      </c>
      <c r="BD14" s="9">
        <v>1</v>
      </c>
      <c r="BE14" s="9">
        <v>1</v>
      </c>
      <c r="BF14" s="9">
        <f t="shared" si="21"/>
        <v>11</v>
      </c>
      <c r="BG14" s="9">
        <v>1</v>
      </c>
      <c r="BH14" s="150">
        <v>1.2267192541321688</v>
      </c>
      <c r="BI14" s="150">
        <v>2.2612105538192599</v>
      </c>
      <c r="BJ14" s="150">
        <v>2.1252009430760062</v>
      </c>
      <c r="BK14" s="150">
        <v>1.2944496352201866</v>
      </c>
      <c r="BL14" s="150">
        <v>0.32314284341629806</v>
      </c>
      <c r="BM14" s="150">
        <v>0.14000000000000001</v>
      </c>
      <c r="BN14" s="150">
        <v>1.4542000570988298</v>
      </c>
      <c r="BO14" s="150">
        <v>-1.8</v>
      </c>
      <c r="BP14" s="150">
        <v>-1.7475682675103321</v>
      </c>
      <c r="BQ14" s="150">
        <v>-1.7169645793441486</v>
      </c>
      <c r="BR14" s="150">
        <v>-1.4425350046709582</v>
      </c>
      <c r="BS14" s="150">
        <v>0.61768216477991222</v>
      </c>
      <c r="BT14" s="150">
        <v>0.15</v>
      </c>
      <c r="BU14" s="150">
        <v>-0.4950056673809119</v>
      </c>
      <c r="BV14" s="149">
        <v>0.22</v>
      </c>
      <c r="BW14" s="149">
        <v>0.27</v>
      </c>
      <c r="BX14" s="149">
        <v>0.17</v>
      </c>
      <c r="BY14" s="149">
        <v>0.14000000000000001</v>
      </c>
      <c r="BZ14" s="149">
        <v>0.23</v>
      </c>
      <c r="CA14" s="149">
        <v>0.23</v>
      </c>
      <c r="CB14" s="149">
        <v>0.06</v>
      </c>
      <c r="CC14" s="149">
        <v>0.28000000000000003</v>
      </c>
      <c r="CD14" s="149">
        <v>0.23</v>
      </c>
      <c r="CE14" s="149">
        <v>0.33</v>
      </c>
      <c r="CF14" s="149">
        <v>0.36</v>
      </c>
      <c r="CG14" s="149">
        <v>0.27</v>
      </c>
      <c r="CH14" s="149">
        <v>0.27</v>
      </c>
      <c r="CI14" s="149">
        <v>0.45</v>
      </c>
      <c r="CJ14" s="149">
        <v>0.22</v>
      </c>
      <c r="CK14" s="149">
        <v>0.27</v>
      </c>
      <c r="CL14" s="149">
        <v>0.17</v>
      </c>
      <c r="CM14" s="149">
        <v>0.14000000000000001</v>
      </c>
      <c r="CN14" s="149">
        <v>0.23</v>
      </c>
      <c r="CO14" s="149">
        <v>0.23</v>
      </c>
      <c r="CP14" s="149">
        <v>0.06</v>
      </c>
      <c r="CQ14" s="149">
        <v>0.28000000000000003</v>
      </c>
      <c r="CR14" s="149">
        <v>0.23</v>
      </c>
      <c r="CS14" s="149">
        <v>0.33</v>
      </c>
      <c r="CT14" s="149">
        <v>0.36</v>
      </c>
      <c r="CU14" s="149">
        <v>0.27</v>
      </c>
      <c r="CV14" s="149">
        <v>0.27</v>
      </c>
      <c r="CW14" s="149">
        <v>0.45</v>
      </c>
    </row>
    <row r="15" spans="1:101" x14ac:dyDescent="0.25">
      <c r="A15" s="9" t="s">
        <v>295</v>
      </c>
      <c r="B15" s="9" t="s">
        <v>1</v>
      </c>
      <c r="C15" s="9" t="s">
        <v>1</v>
      </c>
      <c r="D15" s="9"/>
      <c r="E15" s="57">
        <v>0</v>
      </c>
      <c r="F15" s="57">
        <f t="shared" si="0"/>
        <v>0</v>
      </c>
      <c r="G15" s="17">
        <v>0.16400000000000001</v>
      </c>
      <c r="H15" s="17">
        <v>0.16400000000000001</v>
      </c>
      <c r="I15" s="17">
        <v>0.16400000000000001</v>
      </c>
      <c r="J15" s="17">
        <v>0.16400000000000001</v>
      </c>
      <c r="K15" s="17">
        <v>0.16400000000000001</v>
      </c>
      <c r="L15" s="17">
        <v>0.16400000000000001</v>
      </c>
      <c r="M15" s="9">
        <v>0</v>
      </c>
      <c r="N15" s="9">
        <f t="shared" si="7"/>
        <v>0</v>
      </c>
      <c r="O15" s="9">
        <f t="shared" si="8"/>
        <v>0</v>
      </c>
      <c r="P15" s="9">
        <f t="shared" si="9"/>
        <v>0</v>
      </c>
      <c r="Q15" s="9">
        <f t="shared" si="10"/>
        <v>0</v>
      </c>
      <c r="R15" s="9">
        <f t="shared" ca="1" si="11"/>
        <v>1</v>
      </c>
      <c r="S15" s="9">
        <f t="shared" ca="1" si="11"/>
        <v>0</v>
      </c>
      <c r="T15" s="9">
        <f t="shared" ca="1" si="11"/>
        <v>0</v>
      </c>
      <c r="U15" s="9">
        <f t="shared" ca="1" si="11"/>
        <v>1</v>
      </c>
      <c r="V15" s="9">
        <f t="shared" ca="1" si="11"/>
        <v>0</v>
      </c>
      <c r="W15" s="9">
        <f t="shared" ca="1" si="12"/>
        <v>0</v>
      </c>
      <c r="X15" s="9" t="s">
        <v>62</v>
      </c>
      <c r="Y15" s="9">
        <v>2025</v>
      </c>
      <c r="Z15" s="152">
        <f>Y15+1</f>
        <v>2026</v>
      </c>
      <c r="AA15" s="152">
        <f t="shared" si="15"/>
        <v>2027</v>
      </c>
      <c r="AB15" s="152">
        <f t="shared" si="15"/>
        <v>2027</v>
      </c>
      <c r="AC15" s="152">
        <f t="shared" si="15"/>
        <v>2027</v>
      </c>
      <c r="AD15" s="152">
        <f>Y15+1</f>
        <v>2026</v>
      </c>
      <c r="AE15" s="152">
        <f t="shared" si="16"/>
        <v>2026</v>
      </c>
      <c r="AF15" s="9">
        <v>11</v>
      </c>
      <c r="AG15" s="9">
        <v>9</v>
      </c>
      <c r="AH15" s="152">
        <f t="shared" si="17"/>
        <v>9</v>
      </c>
      <c r="AI15" s="152">
        <f t="shared" si="17"/>
        <v>9.9999999999990905</v>
      </c>
      <c r="AJ15" s="152">
        <f t="shared" si="17"/>
        <v>9.9999999999990905</v>
      </c>
      <c r="AK15" s="152">
        <f t="shared" si="18"/>
        <v>11</v>
      </c>
      <c r="AL15" s="152">
        <f t="shared" si="19"/>
        <v>9</v>
      </c>
      <c r="AM15" s="9"/>
      <c r="AN15" s="9"/>
      <c r="AO15" s="9"/>
      <c r="AP15" s="9"/>
      <c r="AQ15" s="9"/>
      <c r="AR15" s="9"/>
      <c r="AS15" s="9"/>
      <c r="AT15" s="9">
        <f>Y15+20</f>
        <v>2045</v>
      </c>
      <c r="AU15" s="9">
        <f>Z15+20</f>
        <v>2046</v>
      </c>
      <c r="AV15" s="9">
        <f>$AU15</f>
        <v>2046</v>
      </c>
      <c r="AW15" s="9">
        <f>$AU15</f>
        <v>2046</v>
      </c>
      <c r="AX15" s="9">
        <f>$AU15</f>
        <v>2046</v>
      </c>
      <c r="AY15" s="9">
        <f>$AU15</f>
        <v>2046</v>
      </c>
      <c r="AZ15" s="9">
        <f>$AU15</f>
        <v>2046</v>
      </c>
      <c r="BA15" s="9">
        <f>AF15</f>
        <v>11</v>
      </c>
      <c r="BB15" s="9">
        <v>9</v>
      </c>
      <c r="BC15" s="9">
        <v>9</v>
      </c>
      <c r="BD15" s="9">
        <v>9</v>
      </c>
      <c r="BE15" s="9">
        <v>9</v>
      </c>
      <c r="BF15" s="9">
        <f t="shared" si="21"/>
        <v>11</v>
      </c>
      <c r="BG15" s="9">
        <v>9</v>
      </c>
      <c r="BH15" s="150">
        <v>1.2267192541321688</v>
      </c>
      <c r="BI15" s="150">
        <v>2.2612105538192599</v>
      </c>
      <c r="BJ15" s="150">
        <v>2.1252009430760062</v>
      </c>
      <c r="BK15" s="150">
        <v>1.2944496352201866</v>
      </c>
      <c r="BL15" s="150">
        <v>0.32314284341629806</v>
      </c>
      <c r="BM15" s="150">
        <v>0.14000000000000001</v>
      </c>
      <c r="BN15" s="150">
        <v>1.4542000570988298</v>
      </c>
      <c r="BO15" s="150">
        <v>11.984388276878477</v>
      </c>
      <c r="BP15" s="150">
        <v>-1.7475682675103321</v>
      </c>
      <c r="BQ15" s="150">
        <v>-1.7169645793441486</v>
      </c>
      <c r="BR15" s="150">
        <v>-1.4425350046709582</v>
      </c>
      <c r="BS15" s="150">
        <v>0.61768216477991222</v>
      </c>
      <c r="BT15" s="150">
        <v>0.15</v>
      </c>
      <c r="BU15" s="150">
        <v>-0.4950056673809119</v>
      </c>
      <c r="BV15" s="149">
        <v>0.22</v>
      </c>
      <c r="BW15" s="149">
        <v>0.27</v>
      </c>
      <c r="BX15" s="149">
        <v>0.17</v>
      </c>
      <c r="BY15" s="149">
        <v>0.14000000000000001</v>
      </c>
      <c r="BZ15" s="149">
        <v>0.23</v>
      </c>
      <c r="CA15" s="149">
        <v>0.23</v>
      </c>
      <c r="CB15" s="149">
        <v>0.06</v>
      </c>
      <c r="CC15" s="149">
        <v>0.28000000000000003</v>
      </c>
      <c r="CD15" s="149">
        <v>0.23</v>
      </c>
      <c r="CE15" s="149">
        <v>0.33</v>
      </c>
      <c r="CF15" s="149">
        <v>0.36</v>
      </c>
      <c r="CG15" s="149">
        <v>0.27</v>
      </c>
      <c r="CH15" s="149">
        <v>0.34</v>
      </c>
      <c r="CI15" s="149">
        <v>0.45</v>
      </c>
      <c r="CJ15" s="149">
        <v>0.22</v>
      </c>
      <c r="CK15" s="149">
        <v>0.27</v>
      </c>
      <c r="CL15" s="149">
        <v>0.17</v>
      </c>
      <c r="CM15" s="149">
        <v>0.14000000000000001</v>
      </c>
      <c r="CN15" s="149">
        <v>0.23</v>
      </c>
      <c r="CO15" s="149">
        <v>0.23</v>
      </c>
      <c r="CP15" s="149">
        <v>0.06</v>
      </c>
      <c r="CQ15" s="149">
        <v>0.28000000000000003</v>
      </c>
      <c r="CR15" s="149">
        <v>0.23</v>
      </c>
      <c r="CS15" s="149">
        <v>0.33</v>
      </c>
      <c r="CT15" s="149">
        <v>0.36</v>
      </c>
      <c r="CU15" s="149">
        <v>0.27</v>
      </c>
      <c r="CV15" s="149">
        <v>0.27</v>
      </c>
      <c r="CW15" s="149">
        <v>0.45</v>
      </c>
    </row>
    <row r="16" spans="1:101" x14ac:dyDescent="0.25">
      <c r="A16" s="9" t="s">
        <v>21</v>
      </c>
      <c r="B16" s="9" t="s">
        <v>51</v>
      </c>
      <c r="C16" s="9" t="s">
        <v>51</v>
      </c>
      <c r="D16" s="9"/>
      <c r="E16" s="57">
        <v>0</v>
      </c>
      <c r="F16" s="57">
        <f t="shared" si="0"/>
        <v>0</v>
      </c>
      <c r="G16" s="17">
        <v>0.16400000000000001</v>
      </c>
      <c r="H16" s="17">
        <v>0.16400000000000001</v>
      </c>
      <c r="I16" s="57">
        <v>0</v>
      </c>
      <c r="J16" s="57">
        <f t="shared" si="1"/>
        <v>0</v>
      </c>
      <c r="K16" s="17">
        <v>1</v>
      </c>
      <c r="L16" s="17">
        <v>1</v>
      </c>
      <c r="M16" s="17">
        <v>0</v>
      </c>
      <c r="N16" s="9">
        <f t="shared" si="7"/>
        <v>0</v>
      </c>
      <c r="O16" s="9">
        <f t="shared" si="8"/>
        <v>0</v>
      </c>
      <c r="P16" s="9">
        <f t="shared" si="9"/>
        <v>1</v>
      </c>
      <c r="Q16" s="9">
        <f t="shared" si="10"/>
        <v>1</v>
      </c>
      <c r="R16" s="9">
        <f t="shared" ca="1" si="11"/>
        <v>0</v>
      </c>
      <c r="S16" s="9">
        <f t="shared" ca="1" si="11"/>
        <v>0</v>
      </c>
      <c r="T16" s="9">
        <f t="shared" ca="1" si="11"/>
        <v>1</v>
      </c>
      <c r="U16" s="9">
        <f t="shared" ca="1" si="11"/>
        <v>1</v>
      </c>
      <c r="V16" s="9">
        <f t="shared" ca="1" si="11"/>
        <v>0</v>
      </c>
      <c r="W16" s="9">
        <f t="shared" ca="1" si="12"/>
        <v>0</v>
      </c>
      <c r="X16" s="9" t="s">
        <v>20</v>
      </c>
      <c r="Y16" s="151">
        <v>2026</v>
      </c>
      <c r="Z16" s="152">
        <f>Y16+1</f>
        <v>2027</v>
      </c>
      <c r="AA16" s="152">
        <f t="shared" si="15"/>
        <v>2028</v>
      </c>
      <c r="AB16" s="152">
        <f t="shared" si="15"/>
        <v>2028</v>
      </c>
      <c r="AC16" s="152">
        <f t="shared" si="15"/>
        <v>2028</v>
      </c>
      <c r="AD16" s="152">
        <v>2027</v>
      </c>
      <c r="AE16" s="152">
        <f t="shared" si="16"/>
        <v>2027</v>
      </c>
      <c r="AF16" s="151">
        <v>4</v>
      </c>
      <c r="AG16" s="9">
        <v>7</v>
      </c>
      <c r="AH16" s="152">
        <f t="shared" si="17"/>
        <v>6.9999999999990905</v>
      </c>
      <c r="AI16" s="152">
        <f t="shared" si="17"/>
        <v>7.999999999998181</v>
      </c>
      <c r="AJ16" s="152">
        <f t="shared" si="17"/>
        <v>7.999999999998181</v>
      </c>
      <c r="AK16" s="152">
        <v>2</v>
      </c>
      <c r="AL16" s="152">
        <f t="shared" si="19"/>
        <v>6.9999999999990905</v>
      </c>
      <c r="AM16" s="9"/>
      <c r="AN16" s="9"/>
      <c r="AO16" s="9"/>
      <c r="AP16" s="9"/>
      <c r="AQ16" s="9"/>
      <c r="AR16" s="9"/>
      <c r="AS16" s="9"/>
      <c r="AT16" s="9">
        <v>2034</v>
      </c>
      <c r="AU16" s="9">
        <v>2035</v>
      </c>
      <c r="AV16" s="9">
        <v>2035</v>
      </c>
      <c r="AW16" s="9">
        <v>2035</v>
      </c>
      <c r="AX16" s="9">
        <v>2035</v>
      </c>
      <c r="AY16" s="9">
        <f t="shared" si="20"/>
        <v>2035</v>
      </c>
      <c r="AZ16" s="9">
        <v>2035</v>
      </c>
      <c r="BA16" s="9">
        <v>5</v>
      </c>
      <c r="BB16" s="9">
        <v>5</v>
      </c>
      <c r="BC16" s="9">
        <v>5</v>
      </c>
      <c r="BD16" s="9">
        <v>5</v>
      </c>
      <c r="BE16" s="9">
        <v>5</v>
      </c>
      <c r="BF16" s="9">
        <v>5</v>
      </c>
      <c r="BG16" s="9">
        <v>5</v>
      </c>
      <c r="BH16" s="150">
        <v>1.2267192541321688</v>
      </c>
      <c r="BI16" s="150">
        <v>2.2612105538192599</v>
      </c>
      <c r="BJ16" s="150">
        <v>2.1252009430760062</v>
      </c>
      <c r="BK16" s="150">
        <v>1.2944496352201866</v>
      </c>
      <c r="BL16" s="150">
        <v>0.32314284341629806</v>
      </c>
      <c r="BM16" s="150">
        <v>0.14000000000000001</v>
      </c>
      <c r="BN16" s="150">
        <v>1.4542000570988298</v>
      </c>
      <c r="BO16" s="150">
        <v>11.984388276878477</v>
      </c>
      <c r="BP16" s="150">
        <v>-1.7475682675103321</v>
      </c>
      <c r="BQ16" s="150">
        <v>-1.7169645793441486</v>
      </c>
      <c r="BR16" s="150">
        <v>-1.4425350046709582</v>
      </c>
      <c r="BS16" s="150">
        <v>0.61768216477991222</v>
      </c>
      <c r="BT16" s="150">
        <v>0.15</v>
      </c>
      <c r="BU16" s="150">
        <v>-0.4950056673809119</v>
      </c>
      <c r="BV16" s="149">
        <v>0.15</v>
      </c>
      <c r="BW16" s="149">
        <v>0.2</v>
      </c>
      <c r="BX16" s="149">
        <v>0.12</v>
      </c>
      <c r="BY16" s="149">
        <v>0.08</v>
      </c>
      <c r="BZ16" s="149">
        <v>0.18</v>
      </c>
      <c r="CA16" s="149">
        <v>0.16</v>
      </c>
      <c r="CB16" s="149">
        <v>0.05</v>
      </c>
      <c r="CC16" s="149">
        <v>0.35</v>
      </c>
      <c r="CD16" s="149">
        <v>0.3</v>
      </c>
      <c r="CE16" s="149">
        <v>0.38</v>
      </c>
      <c r="CF16" s="149">
        <v>0.42</v>
      </c>
      <c r="CG16" s="149">
        <v>0.32</v>
      </c>
      <c r="CH16" s="149">
        <v>0.34</v>
      </c>
      <c r="CI16" s="149">
        <v>0.45</v>
      </c>
      <c r="CJ16" s="149">
        <v>0.15</v>
      </c>
      <c r="CK16" s="149">
        <v>0.2</v>
      </c>
      <c r="CL16" s="149">
        <v>0.12</v>
      </c>
      <c r="CM16" s="149">
        <v>0.08</v>
      </c>
      <c r="CN16" s="149">
        <v>0.18</v>
      </c>
      <c r="CO16" s="149">
        <v>0.16</v>
      </c>
      <c r="CP16" s="149">
        <v>0.05</v>
      </c>
      <c r="CQ16" s="149">
        <v>0.35</v>
      </c>
      <c r="CR16" s="149">
        <v>0.3</v>
      </c>
      <c r="CS16" s="149">
        <v>0.38</v>
      </c>
      <c r="CT16" s="149">
        <v>0.42</v>
      </c>
      <c r="CU16" s="149">
        <v>0.32</v>
      </c>
      <c r="CV16" s="149">
        <v>0.34</v>
      </c>
      <c r="CW16" s="149">
        <v>0.45</v>
      </c>
    </row>
    <row r="17" spans="1:101" x14ac:dyDescent="0.25">
      <c r="A17" s="9" t="s">
        <v>17</v>
      </c>
      <c r="B17" s="9" t="s">
        <v>58</v>
      </c>
      <c r="C17" s="9" t="s">
        <v>58</v>
      </c>
      <c r="D17" s="9"/>
      <c r="E17" s="57">
        <v>0</v>
      </c>
      <c r="F17" s="57">
        <f t="shared" si="0"/>
        <v>0</v>
      </c>
      <c r="G17" s="9"/>
      <c r="H17" s="57">
        <v>0.25</v>
      </c>
      <c r="I17" s="57">
        <v>0.25</v>
      </c>
      <c r="J17" s="57">
        <f t="shared" si="1"/>
        <v>0.25</v>
      </c>
      <c r="K17" s="17">
        <f t="shared" si="2"/>
        <v>0.25</v>
      </c>
      <c r="L17" s="17">
        <f t="shared" si="3"/>
        <v>0.25</v>
      </c>
      <c r="M17" s="9">
        <v>0</v>
      </c>
      <c r="N17" s="9">
        <f t="shared" si="7"/>
        <v>0</v>
      </c>
      <c r="O17" s="9">
        <f t="shared" si="8"/>
        <v>0</v>
      </c>
      <c r="P17" s="9">
        <f t="shared" si="9"/>
        <v>0</v>
      </c>
      <c r="Q17" s="9">
        <f t="shared" si="10"/>
        <v>0</v>
      </c>
      <c r="R17" s="9">
        <f t="shared" ca="1" si="11"/>
        <v>1</v>
      </c>
      <c r="S17" s="9">
        <f t="shared" ca="1" si="11"/>
        <v>1</v>
      </c>
      <c r="T17" s="9">
        <f t="shared" ca="1" si="11"/>
        <v>1</v>
      </c>
      <c r="U17" s="9">
        <f t="shared" ca="1" si="11"/>
        <v>0</v>
      </c>
      <c r="V17" s="9">
        <f t="shared" ca="1" si="11"/>
        <v>1</v>
      </c>
      <c r="W17" s="9">
        <f t="shared" ca="1" si="12"/>
        <v>0</v>
      </c>
      <c r="X17" s="9" t="s">
        <v>16</v>
      </c>
      <c r="Y17" s="151">
        <v>2026</v>
      </c>
      <c r="Z17" s="151">
        <v>2027</v>
      </c>
      <c r="AA17" s="152">
        <f t="shared" si="15"/>
        <v>2028</v>
      </c>
      <c r="AB17" s="152">
        <f t="shared" si="15"/>
        <v>2028</v>
      </c>
      <c r="AC17" s="152">
        <f t="shared" si="15"/>
        <v>2028</v>
      </c>
      <c r="AD17" s="152">
        <f>Y17+1</f>
        <v>2027</v>
      </c>
      <c r="AE17" s="152">
        <f t="shared" si="16"/>
        <v>2027</v>
      </c>
      <c r="AF17" s="151">
        <v>9</v>
      </c>
      <c r="AG17" s="151">
        <v>1</v>
      </c>
      <c r="AH17" s="152">
        <f t="shared" si="17"/>
        <v>0.99999999999909051</v>
      </c>
      <c r="AI17" s="152">
        <f t="shared" si="17"/>
        <v>1.999999999998181</v>
      </c>
      <c r="AJ17" s="152">
        <f t="shared" si="17"/>
        <v>1.999999999998181</v>
      </c>
      <c r="AK17" s="152">
        <f t="shared" si="18"/>
        <v>9</v>
      </c>
      <c r="AL17" s="152">
        <f t="shared" si="19"/>
        <v>0.99999999999909051</v>
      </c>
      <c r="AM17" s="9"/>
      <c r="AN17" s="9"/>
      <c r="AO17" s="9"/>
      <c r="AP17" s="9"/>
      <c r="AQ17" s="9"/>
      <c r="AR17" s="9"/>
      <c r="AS17" s="9"/>
      <c r="AT17" s="9">
        <v>2032</v>
      </c>
      <c r="AU17" s="9">
        <v>2034</v>
      </c>
      <c r="AV17" s="9">
        <v>2035</v>
      </c>
      <c r="AW17" s="9">
        <v>2035</v>
      </c>
      <c r="AX17" s="9">
        <v>2035</v>
      </c>
      <c r="AY17" s="9">
        <f t="shared" si="20"/>
        <v>2035</v>
      </c>
      <c r="AZ17" s="9">
        <v>2034</v>
      </c>
      <c r="BA17" s="9">
        <v>1</v>
      </c>
      <c r="BB17" s="9">
        <v>1</v>
      </c>
      <c r="BC17" s="9">
        <v>1</v>
      </c>
      <c r="BD17" s="9">
        <v>1</v>
      </c>
      <c r="BE17" s="9">
        <v>1</v>
      </c>
      <c r="BF17" s="9">
        <v>1</v>
      </c>
      <c r="BG17" s="9">
        <v>1</v>
      </c>
      <c r="BH17" s="150">
        <v>1.2267192541321688</v>
      </c>
      <c r="BI17" s="150">
        <v>2.2612105538192599</v>
      </c>
      <c r="BJ17" s="150">
        <v>2.1252009430760062</v>
      </c>
      <c r="BK17" s="150">
        <v>1.2944496352201866</v>
      </c>
      <c r="BL17" s="150">
        <v>0.32314284341629806</v>
      </c>
      <c r="BM17" s="150">
        <v>0.14000000000000001</v>
      </c>
      <c r="BN17" s="150">
        <v>1.4542000570988298</v>
      </c>
      <c r="BO17" s="150">
        <v>11.984388276878477</v>
      </c>
      <c r="BP17" s="150">
        <v>-1.7475682675103321</v>
      </c>
      <c r="BQ17" s="150">
        <v>-1.7169645793441486</v>
      </c>
      <c r="BR17" s="150">
        <v>-1.4425350046709582</v>
      </c>
      <c r="BS17" s="150">
        <v>0.61768216477991222</v>
      </c>
      <c r="BT17" s="150">
        <v>0.15</v>
      </c>
      <c r="BU17" s="150">
        <v>-0.4950056673809119</v>
      </c>
      <c r="BV17" s="149">
        <v>0.15</v>
      </c>
      <c r="BW17" s="149">
        <v>0.2</v>
      </c>
      <c r="BX17" s="149">
        <v>0.12</v>
      </c>
      <c r="BY17" s="149">
        <v>0.08</v>
      </c>
      <c r="BZ17" s="149">
        <v>0.18</v>
      </c>
      <c r="CA17" s="149">
        <v>0.16</v>
      </c>
      <c r="CB17" s="149">
        <v>0.05</v>
      </c>
      <c r="CC17" s="149">
        <v>0.35</v>
      </c>
      <c r="CD17" s="149">
        <v>0.3</v>
      </c>
      <c r="CE17" s="149">
        <v>0.38</v>
      </c>
      <c r="CF17" s="149">
        <v>0.42</v>
      </c>
      <c r="CG17" s="149">
        <v>0.32</v>
      </c>
      <c r="CH17" s="149">
        <v>0.34</v>
      </c>
      <c r="CI17" s="149">
        <v>0.45</v>
      </c>
      <c r="CJ17" s="149">
        <v>0.15</v>
      </c>
      <c r="CK17" s="149">
        <v>0.2</v>
      </c>
      <c r="CL17" s="149">
        <v>0.12</v>
      </c>
      <c r="CM17" s="149">
        <v>0.08</v>
      </c>
      <c r="CN17" s="149">
        <v>0.18</v>
      </c>
      <c r="CO17" s="149">
        <v>0.16</v>
      </c>
      <c r="CP17" s="149">
        <v>0.05</v>
      </c>
      <c r="CQ17" s="149">
        <v>0.35</v>
      </c>
      <c r="CR17" s="149">
        <v>0.3</v>
      </c>
      <c r="CS17" s="149">
        <v>0.38</v>
      </c>
      <c r="CT17" s="149">
        <v>0.42</v>
      </c>
      <c r="CU17" s="149">
        <v>0.32</v>
      </c>
      <c r="CV17" s="149">
        <v>0.34</v>
      </c>
      <c r="CW17" s="149">
        <v>0.45</v>
      </c>
    </row>
    <row r="18" spans="1:101" x14ac:dyDescent="0.25">
      <c r="A18" s="9" t="s">
        <v>67</v>
      </c>
      <c r="B18" s="9" t="s">
        <v>1</v>
      </c>
      <c r="C18" s="9" t="s">
        <v>1</v>
      </c>
      <c r="D18" s="9"/>
      <c r="E18" s="57">
        <v>0</v>
      </c>
      <c r="F18" s="57">
        <f t="shared" si="0"/>
        <v>0</v>
      </c>
      <c r="G18" s="9"/>
      <c r="H18" s="57">
        <v>0.1044225</v>
      </c>
      <c r="I18" s="57">
        <v>0.1044225</v>
      </c>
      <c r="J18" s="57">
        <f t="shared" si="1"/>
        <v>0.1044225</v>
      </c>
      <c r="K18" s="17">
        <f t="shared" si="2"/>
        <v>0.1044225</v>
      </c>
      <c r="L18" s="17">
        <f t="shared" si="3"/>
        <v>0.1044225</v>
      </c>
      <c r="M18" s="9">
        <v>0</v>
      </c>
      <c r="N18" s="9">
        <f t="shared" si="7"/>
        <v>0</v>
      </c>
      <c r="O18" s="9">
        <f t="shared" si="8"/>
        <v>0</v>
      </c>
      <c r="P18" s="9">
        <f t="shared" si="9"/>
        <v>0</v>
      </c>
      <c r="Q18" s="9">
        <f t="shared" si="10"/>
        <v>0</v>
      </c>
      <c r="R18" s="9">
        <f t="shared" ca="1" si="11"/>
        <v>0</v>
      </c>
      <c r="S18" s="9">
        <f t="shared" ca="1" si="11"/>
        <v>0</v>
      </c>
      <c r="T18" s="9">
        <f t="shared" ca="1" si="11"/>
        <v>0</v>
      </c>
      <c r="U18" s="9">
        <f t="shared" ca="1" si="11"/>
        <v>1</v>
      </c>
      <c r="V18" s="9">
        <f t="shared" ca="1" si="11"/>
        <v>0</v>
      </c>
      <c r="W18" s="9">
        <f t="shared" ca="1" si="12"/>
        <v>0</v>
      </c>
      <c r="X18" s="9" t="s">
        <v>67</v>
      </c>
      <c r="Y18" s="9">
        <v>2031</v>
      </c>
      <c r="Z18" s="152">
        <f>Y18+1</f>
        <v>2032</v>
      </c>
      <c r="AA18" s="152">
        <f t="shared" si="15"/>
        <v>2033</v>
      </c>
      <c r="AB18" s="152">
        <f t="shared" si="15"/>
        <v>2033</v>
      </c>
      <c r="AC18" s="152">
        <f t="shared" si="15"/>
        <v>2033</v>
      </c>
      <c r="AD18" s="152">
        <f>Y18+1</f>
        <v>2032</v>
      </c>
      <c r="AE18" s="152">
        <f t="shared" si="16"/>
        <v>2032</v>
      </c>
      <c r="AF18" s="9">
        <v>3</v>
      </c>
      <c r="AG18" s="9">
        <v>3</v>
      </c>
      <c r="AH18" s="152">
        <f t="shared" si="17"/>
        <v>3</v>
      </c>
      <c r="AI18" s="152">
        <f t="shared" si="17"/>
        <v>3.9999999999990905</v>
      </c>
      <c r="AJ18" s="152">
        <f t="shared" si="17"/>
        <v>3.9999999999990905</v>
      </c>
      <c r="AK18" s="152">
        <f t="shared" si="18"/>
        <v>3</v>
      </c>
      <c r="AL18" s="152">
        <f t="shared" si="19"/>
        <v>3</v>
      </c>
      <c r="AM18" s="9"/>
      <c r="AN18" s="9"/>
      <c r="AO18" s="9"/>
      <c r="AP18" s="9"/>
      <c r="AQ18" s="9"/>
      <c r="AR18" s="9"/>
      <c r="AS18" s="9"/>
      <c r="AT18" s="9">
        <v>2041</v>
      </c>
      <c r="AU18" s="9">
        <v>2041</v>
      </c>
      <c r="AV18" s="9">
        <v>2041</v>
      </c>
      <c r="AW18" s="9">
        <v>2041</v>
      </c>
      <c r="AX18" s="9">
        <v>2041</v>
      </c>
      <c r="AY18" s="9">
        <f t="shared" si="20"/>
        <v>2040</v>
      </c>
      <c r="AZ18" s="9">
        <v>2041</v>
      </c>
      <c r="BA18" s="9">
        <v>3</v>
      </c>
      <c r="BB18" s="9">
        <v>3</v>
      </c>
      <c r="BC18" s="9">
        <v>3</v>
      </c>
      <c r="BD18" s="9">
        <v>3</v>
      </c>
      <c r="BE18" s="9">
        <v>3</v>
      </c>
      <c r="BF18" s="9">
        <f t="shared" si="21"/>
        <v>3</v>
      </c>
      <c r="BG18" s="9">
        <v>3</v>
      </c>
      <c r="BH18" s="150">
        <v>1.2267192541321688</v>
      </c>
      <c r="BI18" s="150">
        <v>2.2612105538192599</v>
      </c>
      <c r="BJ18" s="150">
        <v>2.1252009430760062</v>
      </c>
      <c r="BK18" s="150">
        <v>1.2944496352201866</v>
      </c>
      <c r="BL18" s="150">
        <v>0.32314284341629806</v>
      </c>
      <c r="BM18" s="150">
        <v>0.14000000000000001</v>
      </c>
      <c r="BN18" s="150">
        <v>1.4542000570988298</v>
      </c>
      <c r="BO18" s="150">
        <v>11.984388276878477</v>
      </c>
      <c r="BP18" s="150">
        <v>-1.7475682675103321</v>
      </c>
      <c r="BQ18" s="150">
        <v>-1.7169645793441486</v>
      </c>
      <c r="BR18" s="150">
        <v>-1.4425350046709582</v>
      </c>
      <c r="BS18" s="150">
        <v>0.61768216477991222</v>
      </c>
      <c r="BT18" s="150">
        <v>0.15</v>
      </c>
      <c r="BU18" s="150">
        <v>-0.4950056673809119</v>
      </c>
      <c r="BV18" s="149">
        <v>0.15</v>
      </c>
      <c r="BW18" s="149">
        <v>0.2</v>
      </c>
      <c r="BX18" s="149">
        <v>0.12</v>
      </c>
      <c r="BY18" s="149">
        <v>0.08</v>
      </c>
      <c r="BZ18" s="149">
        <v>0.18</v>
      </c>
      <c r="CA18" s="149">
        <v>0.16</v>
      </c>
      <c r="CB18" s="149">
        <v>0.05</v>
      </c>
      <c r="CC18" s="149">
        <v>0.35</v>
      </c>
      <c r="CD18" s="149">
        <v>0.3</v>
      </c>
      <c r="CE18" s="149">
        <v>0.38</v>
      </c>
      <c r="CF18" s="149">
        <v>0.42</v>
      </c>
      <c r="CG18" s="149">
        <v>0.32</v>
      </c>
      <c r="CH18" s="149">
        <v>0.34</v>
      </c>
      <c r="CI18" s="149">
        <v>0.45</v>
      </c>
      <c r="CJ18" s="149">
        <v>0.15</v>
      </c>
      <c r="CK18" s="149">
        <v>0.2</v>
      </c>
      <c r="CL18" s="149">
        <v>0.12</v>
      </c>
      <c r="CM18" s="149">
        <v>0.08</v>
      </c>
      <c r="CN18" s="149">
        <v>0.18</v>
      </c>
      <c r="CO18" s="149">
        <v>0.16</v>
      </c>
      <c r="CP18" s="149">
        <v>0.05</v>
      </c>
      <c r="CQ18" s="149">
        <v>0.35</v>
      </c>
      <c r="CR18" s="149">
        <v>0.3</v>
      </c>
      <c r="CS18" s="149">
        <v>0.38</v>
      </c>
      <c r="CT18" s="149">
        <v>0.42</v>
      </c>
      <c r="CU18" s="149">
        <v>0.32</v>
      </c>
      <c r="CV18" s="149">
        <v>0.34</v>
      </c>
      <c r="CW18" s="149">
        <v>0.45</v>
      </c>
    </row>
    <row r="19" spans="1:101" x14ac:dyDescent="0.25">
      <c r="A19" s="9" t="s">
        <v>24</v>
      </c>
      <c r="B19" s="9" t="s">
        <v>58</v>
      </c>
      <c r="C19" s="9" t="s">
        <v>58</v>
      </c>
      <c r="D19" s="9"/>
      <c r="E19" s="57">
        <v>0</v>
      </c>
      <c r="F19" s="57">
        <f t="shared" si="0"/>
        <v>0</v>
      </c>
      <c r="G19" s="9"/>
      <c r="H19" s="57">
        <v>0.14000000000000001</v>
      </c>
      <c r="I19" s="57">
        <v>0.14000000000000001</v>
      </c>
      <c r="J19" s="57">
        <f t="shared" si="1"/>
        <v>0.14000000000000001</v>
      </c>
      <c r="K19" s="17">
        <f t="shared" si="2"/>
        <v>0.14000000000000001</v>
      </c>
      <c r="L19" s="17">
        <f t="shared" si="3"/>
        <v>0.14000000000000001</v>
      </c>
      <c r="M19" s="9">
        <v>0</v>
      </c>
      <c r="N19" s="9">
        <f t="shared" si="7"/>
        <v>0</v>
      </c>
      <c r="O19" s="9">
        <f t="shared" si="8"/>
        <v>0</v>
      </c>
      <c r="P19" s="9">
        <f t="shared" si="9"/>
        <v>0</v>
      </c>
      <c r="Q19" s="9">
        <f t="shared" si="10"/>
        <v>0</v>
      </c>
      <c r="R19" s="9">
        <f t="shared" ca="1" si="11"/>
        <v>0</v>
      </c>
      <c r="S19" s="9">
        <f t="shared" ca="1" si="11"/>
        <v>0</v>
      </c>
      <c r="T19" s="9">
        <f t="shared" ca="1" si="11"/>
        <v>0</v>
      </c>
      <c r="U19" s="9">
        <f t="shared" ca="1" si="11"/>
        <v>0</v>
      </c>
      <c r="V19" s="9">
        <f t="shared" ca="1" si="11"/>
        <v>1</v>
      </c>
      <c r="W19" s="9">
        <f t="shared" ca="1" si="12"/>
        <v>1</v>
      </c>
      <c r="X19" s="9" t="s">
        <v>24</v>
      </c>
      <c r="Y19" s="151">
        <v>2027</v>
      </c>
      <c r="Z19" s="151">
        <v>2027</v>
      </c>
      <c r="AA19" s="152">
        <f t="shared" si="15"/>
        <v>2028</v>
      </c>
      <c r="AB19" s="152">
        <f t="shared" si="15"/>
        <v>2028</v>
      </c>
      <c r="AC19" s="152">
        <f t="shared" si="15"/>
        <v>2028</v>
      </c>
      <c r="AD19" s="152">
        <f>Y19+1</f>
        <v>2028</v>
      </c>
      <c r="AE19" s="152">
        <f t="shared" si="16"/>
        <v>2027</v>
      </c>
      <c r="AF19" s="151">
        <v>5</v>
      </c>
      <c r="AG19" s="9">
        <v>6</v>
      </c>
      <c r="AH19" s="152">
        <f t="shared" si="17"/>
        <v>6</v>
      </c>
      <c r="AI19" s="152">
        <f t="shared" si="17"/>
        <v>6.9999999999990905</v>
      </c>
      <c r="AJ19" s="152">
        <f t="shared" si="17"/>
        <v>6.9999999999990905</v>
      </c>
      <c r="AK19" s="152">
        <v>1</v>
      </c>
      <c r="AL19" s="152">
        <f t="shared" si="19"/>
        <v>6</v>
      </c>
      <c r="AM19" s="9"/>
      <c r="AN19" s="9"/>
      <c r="AO19" s="9"/>
      <c r="AP19" s="9"/>
      <c r="AQ19" s="9"/>
      <c r="AR19" s="9"/>
      <c r="AS19" s="9"/>
      <c r="AT19" s="9">
        <v>2034</v>
      </c>
      <c r="AU19" s="9">
        <v>2034</v>
      </c>
      <c r="AV19" s="9">
        <v>2034</v>
      </c>
      <c r="AW19" s="9">
        <v>2034</v>
      </c>
      <c r="AX19" s="9">
        <v>2034</v>
      </c>
      <c r="AY19" s="9">
        <v>2034</v>
      </c>
      <c r="AZ19" s="9">
        <v>2034</v>
      </c>
      <c r="BA19" s="9">
        <f>AF19</f>
        <v>5</v>
      </c>
      <c r="BB19" s="9">
        <v>5</v>
      </c>
      <c r="BC19" s="9">
        <v>5</v>
      </c>
      <c r="BD19" s="9">
        <v>5</v>
      </c>
      <c r="BE19" s="9">
        <v>5</v>
      </c>
      <c r="BF19" s="9">
        <v>3</v>
      </c>
      <c r="BG19" s="9">
        <v>5</v>
      </c>
      <c r="BH19" s="150">
        <v>1.2267192541321688</v>
      </c>
      <c r="BI19" s="150">
        <v>2.2612105538192599</v>
      </c>
      <c r="BJ19" s="150">
        <v>2.1252009430760062</v>
      </c>
      <c r="BK19" s="150">
        <v>1.2944496352201866</v>
      </c>
      <c r="BL19" s="150">
        <v>0.32314284341629806</v>
      </c>
      <c r="BM19" s="150">
        <v>0.14000000000000001</v>
      </c>
      <c r="BN19" s="150">
        <v>1.4542000570988298</v>
      </c>
      <c r="BO19" s="150">
        <v>11.984388276878477</v>
      </c>
      <c r="BP19" s="150">
        <v>-1.7475682675103321</v>
      </c>
      <c r="BQ19" s="150">
        <v>-1.7169645793441486</v>
      </c>
      <c r="BR19" s="150">
        <v>-1.4425350046709582</v>
      </c>
      <c r="BS19" s="150">
        <v>0.61768216477991222</v>
      </c>
      <c r="BT19" s="150">
        <v>0.15</v>
      </c>
      <c r="BU19" s="150">
        <v>-0.4950056673809119</v>
      </c>
      <c r="BV19" s="149">
        <v>0.15</v>
      </c>
      <c r="BW19" s="149">
        <v>0.2</v>
      </c>
      <c r="BX19" s="149">
        <v>0.12</v>
      </c>
      <c r="BY19" s="149">
        <v>0.08</v>
      </c>
      <c r="BZ19" s="149">
        <v>0.18</v>
      </c>
      <c r="CA19" s="149">
        <v>0.16</v>
      </c>
      <c r="CB19" s="149">
        <v>0.05</v>
      </c>
      <c r="CC19" s="149">
        <v>0.35</v>
      </c>
      <c r="CD19" s="149">
        <v>0.3</v>
      </c>
      <c r="CE19" s="149">
        <v>0.38</v>
      </c>
      <c r="CF19" s="149">
        <v>0.42</v>
      </c>
      <c r="CG19" s="149">
        <v>0.32</v>
      </c>
      <c r="CH19" s="149">
        <v>0.34</v>
      </c>
      <c r="CI19" s="149">
        <v>0.45</v>
      </c>
      <c r="CJ19" s="149">
        <v>0.15</v>
      </c>
      <c r="CK19" s="149">
        <v>0.2</v>
      </c>
      <c r="CL19" s="149">
        <v>0.12</v>
      </c>
      <c r="CM19" s="149">
        <v>0.08</v>
      </c>
      <c r="CN19" s="149">
        <v>0.18</v>
      </c>
      <c r="CO19" s="149">
        <v>0.16</v>
      </c>
      <c r="CP19" s="149">
        <v>0.05</v>
      </c>
      <c r="CQ19" s="149">
        <v>0.35</v>
      </c>
      <c r="CR19" s="149">
        <v>0.3</v>
      </c>
      <c r="CS19" s="149">
        <v>0.38</v>
      </c>
      <c r="CT19" s="149">
        <v>0.42</v>
      </c>
      <c r="CU19" s="149">
        <v>0.32</v>
      </c>
      <c r="CV19" s="149">
        <v>0.34</v>
      </c>
      <c r="CW19" s="149">
        <v>0.45</v>
      </c>
    </row>
    <row r="20" spans="1:101" x14ac:dyDescent="0.25">
      <c r="A20" s="9" t="s">
        <v>189</v>
      </c>
      <c r="B20" s="9" t="s">
        <v>47</v>
      </c>
      <c r="C20" s="9" t="s">
        <v>47</v>
      </c>
      <c r="D20" s="9"/>
      <c r="E20" s="57">
        <v>1</v>
      </c>
      <c r="F20" s="57">
        <f t="shared" si="0"/>
        <v>1</v>
      </c>
      <c r="G20" s="9"/>
      <c r="H20" s="57">
        <v>1</v>
      </c>
      <c r="I20" s="57">
        <v>1</v>
      </c>
      <c r="J20" s="57">
        <f t="shared" si="1"/>
        <v>1</v>
      </c>
      <c r="K20" s="17">
        <f t="shared" si="2"/>
        <v>1</v>
      </c>
      <c r="L20" s="17">
        <f t="shared" si="3"/>
        <v>1</v>
      </c>
      <c r="M20" s="17">
        <v>1</v>
      </c>
      <c r="N20" s="9">
        <f t="shared" si="7"/>
        <v>1</v>
      </c>
      <c r="O20" s="9">
        <f t="shared" si="8"/>
        <v>1</v>
      </c>
      <c r="P20" s="9">
        <f t="shared" si="9"/>
        <v>1</v>
      </c>
      <c r="Q20" s="9">
        <f t="shared" si="10"/>
        <v>1</v>
      </c>
      <c r="R20" s="9">
        <f t="shared" ca="1" si="11"/>
        <v>1</v>
      </c>
      <c r="S20" s="9">
        <f t="shared" ca="1" si="11"/>
        <v>1</v>
      </c>
      <c r="T20" s="9">
        <f t="shared" ca="1" si="11"/>
        <v>1</v>
      </c>
      <c r="U20" s="9">
        <f t="shared" ca="1" si="11"/>
        <v>1</v>
      </c>
      <c r="V20" s="9">
        <f t="shared" ca="1" si="11"/>
        <v>1</v>
      </c>
      <c r="W20" s="9">
        <f t="shared" ca="1" si="12"/>
        <v>1</v>
      </c>
      <c r="X20" s="9" t="s">
        <v>54</v>
      </c>
      <c r="Y20" s="9"/>
      <c r="Z20" s="151">
        <v>2010</v>
      </c>
      <c r="AA20" s="151">
        <v>2010</v>
      </c>
      <c r="AB20" s="151">
        <v>2010</v>
      </c>
      <c r="AC20" s="151">
        <v>2010</v>
      </c>
      <c r="AD20" s="152">
        <v>2010</v>
      </c>
      <c r="AE20" s="151">
        <v>2012</v>
      </c>
      <c r="AF20" s="9">
        <v>1</v>
      </c>
      <c r="AG20" s="151">
        <v>9</v>
      </c>
      <c r="AH20" s="151">
        <v>9</v>
      </c>
      <c r="AI20" s="151">
        <v>9</v>
      </c>
      <c r="AJ20" s="151">
        <v>9</v>
      </c>
      <c r="AK20" s="152">
        <f t="shared" si="18"/>
        <v>1</v>
      </c>
      <c r="AL20" s="151">
        <v>9</v>
      </c>
      <c r="AM20" s="9"/>
      <c r="AN20" s="151"/>
      <c r="AO20" s="151"/>
      <c r="AP20" s="151"/>
      <c r="AQ20" s="151"/>
      <c r="AR20" s="151"/>
      <c r="AS20" s="151"/>
      <c r="AT20" s="9"/>
      <c r="AU20" s="151">
        <v>2017</v>
      </c>
      <c r="AV20" s="151">
        <v>2017</v>
      </c>
      <c r="AW20" s="151">
        <v>2017</v>
      </c>
      <c r="AX20" s="151">
        <v>2017</v>
      </c>
      <c r="AY20" s="9">
        <f t="shared" si="20"/>
        <v>2018</v>
      </c>
      <c r="AZ20" s="151">
        <v>2017</v>
      </c>
      <c r="BA20" s="9"/>
      <c r="BB20" s="151">
        <v>3</v>
      </c>
      <c r="BC20" s="151">
        <v>3</v>
      </c>
      <c r="BD20" s="151">
        <v>3</v>
      </c>
      <c r="BE20" s="151">
        <v>3</v>
      </c>
      <c r="BF20" s="9">
        <f t="shared" si="21"/>
        <v>1</v>
      </c>
      <c r="BG20" s="151">
        <v>3</v>
      </c>
      <c r="BH20" s="150">
        <v>1.2267192541321688</v>
      </c>
      <c r="BI20" s="150">
        <v>2.2612105538192599</v>
      </c>
      <c r="BJ20" s="150">
        <v>2.1252009430760062</v>
      </c>
      <c r="BK20" s="150">
        <v>1.2944496352201866</v>
      </c>
      <c r="BL20" s="150">
        <v>0.32314284341629806</v>
      </c>
      <c r="BM20" s="150">
        <v>0.14000000000000001</v>
      </c>
      <c r="BN20" s="150">
        <v>1.4542000570988298</v>
      </c>
      <c r="BO20" s="150">
        <v>11.984388276878477</v>
      </c>
      <c r="BP20" s="150">
        <v>-1.7475682675103321</v>
      </c>
      <c r="BQ20" s="150">
        <v>-1.7169645793441486</v>
      </c>
      <c r="BR20" s="150">
        <v>-1.4425350046709582</v>
      </c>
      <c r="BS20" s="150">
        <v>0.61768216477991222</v>
      </c>
      <c r="BT20" s="150">
        <v>0.15</v>
      </c>
      <c r="BU20" s="150">
        <v>-0.4950056673809119</v>
      </c>
      <c r="BV20" s="149">
        <v>0.15</v>
      </c>
      <c r="BW20" s="149">
        <v>0.2</v>
      </c>
      <c r="BX20" s="149">
        <v>0.12</v>
      </c>
      <c r="BY20" s="149">
        <v>0.08</v>
      </c>
      <c r="BZ20" s="149">
        <v>0.18</v>
      </c>
      <c r="CA20" s="149">
        <v>0.16</v>
      </c>
      <c r="CB20" s="149">
        <v>0.05</v>
      </c>
      <c r="CC20" s="149">
        <v>0.35</v>
      </c>
      <c r="CD20" s="149">
        <v>0.3</v>
      </c>
      <c r="CE20" s="149">
        <v>0.38</v>
      </c>
      <c r="CF20" s="149">
        <v>0.42</v>
      </c>
      <c r="CG20" s="149">
        <v>0.32</v>
      </c>
      <c r="CH20" s="149">
        <v>0.34</v>
      </c>
      <c r="CI20" s="149">
        <v>0.45</v>
      </c>
      <c r="CJ20" s="149">
        <v>0.15</v>
      </c>
      <c r="CK20" s="149">
        <v>0.2</v>
      </c>
      <c r="CL20" s="149">
        <v>0.12</v>
      </c>
      <c r="CM20" s="149">
        <v>0.08</v>
      </c>
      <c r="CN20" s="149">
        <v>0.18</v>
      </c>
      <c r="CO20" s="149">
        <v>0.16</v>
      </c>
      <c r="CP20" s="149">
        <v>0.05</v>
      </c>
      <c r="CQ20" s="149">
        <v>0.35</v>
      </c>
      <c r="CR20" s="149">
        <v>0.3</v>
      </c>
      <c r="CS20" s="149">
        <v>0.38</v>
      </c>
      <c r="CT20" s="149">
        <v>0.42</v>
      </c>
      <c r="CU20" s="149">
        <v>0.32</v>
      </c>
      <c r="CV20" s="149">
        <v>0.34</v>
      </c>
      <c r="CW20" s="149">
        <v>0.45</v>
      </c>
    </row>
    <row r="21" spans="1:101" x14ac:dyDescent="0.25">
      <c r="A21" s="9" t="s">
        <v>49</v>
      </c>
      <c r="B21" s="9" t="s">
        <v>47</v>
      </c>
      <c r="C21" s="9" t="s">
        <v>47</v>
      </c>
      <c r="D21" s="9"/>
      <c r="E21" s="57">
        <v>1</v>
      </c>
      <c r="F21" s="57">
        <f t="shared" si="0"/>
        <v>1</v>
      </c>
      <c r="G21" s="9"/>
      <c r="H21" s="57">
        <v>1</v>
      </c>
      <c r="I21" s="57">
        <v>1</v>
      </c>
      <c r="J21" s="57">
        <f t="shared" si="1"/>
        <v>1</v>
      </c>
      <c r="K21" s="17">
        <f t="shared" si="2"/>
        <v>1</v>
      </c>
      <c r="L21" s="17">
        <f t="shared" si="3"/>
        <v>1</v>
      </c>
      <c r="M21" s="17">
        <v>1</v>
      </c>
      <c r="N21" s="9">
        <f t="shared" si="7"/>
        <v>1</v>
      </c>
      <c r="O21" s="9">
        <f t="shared" si="8"/>
        <v>1</v>
      </c>
      <c r="P21" s="9">
        <f t="shared" si="9"/>
        <v>1</v>
      </c>
      <c r="Q21" s="9">
        <f t="shared" si="10"/>
        <v>1</v>
      </c>
      <c r="R21" s="9">
        <f t="shared" ca="1" si="11"/>
        <v>1</v>
      </c>
      <c r="S21" s="9">
        <f t="shared" ca="1" si="11"/>
        <v>1</v>
      </c>
      <c r="T21" s="9">
        <f t="shared" ca="1" si="11"/>
        <v>1</v>
      </c>
      <c r="U21" s="9">
        <f t="shared" ca="1" si="11"/>
        <v>1</v>
      </c>
      <c r="V21" s="9">
        <f t="shared" ca="1" si="11"/>
        <v>1</v>
      </c>
      <c r="W21" s="9">
        <f t="shared" ca="1" si="12"/>
        <v>1</v>
      </c>
      <c r="X21" s="9" t="s">
        <v>46</v>
      </c>
      <c r="Y21" s="9">
        <v>1981</v>
      </c>
      <c r="Z21" s="9">
        <v>1984</v>
      </c>
      <c r="AA21" s="9">
        <v>1984</v>
      </c>
      <c r="AB21" s="9">
        <v>1984</v>
      </c>
      <c r="AC21" s="9">
        <v>1984</v>
      </c>
      <c r="AD21" s="152">
        <f>Y21+1</f>
        <v>1982</v>
      </c>
      <c r="AE21" s="9">
        <v>1986</v>
      </c>
      <c r="AF21" s="9">
        <v>11</v>
      </c>
      <c r="AG21" s="9">
        <v>7</v>
      </c>
      <c r="AH21" s="9">
        <v>7</v>
      </c>
      <c r="AI21" s="9">
        <v>7</v>
      </c>
      <c r="AJ21" s="9">
        <v>7</v>
      </c>
      <c r="AK21" s="152">
        <f t="shared" si="18"/>
        <v>11</v>
      </c>
      <c r="AL21" s="9">
        <v>7</v>
      </c>
      <c r="AM21" s="9"/>
      <c r="AN21" s="9"/>
      <c r="AO21" s="9"/>
      <c r="AP21" s="9"/>
      <c r="AQ21" s="9"/>
      <c r="AR21" s="9"/>
      <c r="AS21" s="9"/>
      <c r="AT21" s="9">
        <v>1991</v>
      </c>
      <c r="AU21" s="9">
        <v>1994</v>
      </c>
      <c r="AV21" s="9">
        <v>1994</v>
      </c>
      <c r="AW21" s="9">
        <v>1994</v>
      </c>
      <c r="AX21" s="9">
        <v>1994</v>
      </c>
      <c r="AY21" s="9">
        <f t="shared" si="20"/>
        <v>1990</v>
      </c>
      <c r="AZ21" s="9">
        <v>1994</v>
      </c>
      <c r="BA21" s="9">
        <v>11</v>
      </c>
      <c r="BB21" s="9">
        <v>7</v>
      </c>
      <c r="BC21" s="9">
        <v>7</v>
      </c>
      <c r="BD21" s="9">
        <v>7</v>
      </c>
      <c r="BE21" s="9">
        <v>7</v>
      </c>
      <c r="BF21" s="9">
        <f t="shared" si="21"/>
        <v>11</v>
      </c>
      <c r="BG21" s="9">
        <v>7</v>
      </c>
      <c r="BH21" s="150">
        <v>1.2267192541321688</v>
      </c>
      <c r="BI21" s="150">
        <v>2.2612105538192599</v>
      </c>
      <c r="BJ21" s="150">
        <v>2.1252009430760062</v>
      </c>
      <c r="BK21" s="150">
        <v>1.2944496352201866</v>
      </c>
      <c r="BL21" s="150">
        <v>0.32314284341629806</v>
      </c>
      <c r="BM21" s="150">
        <v>0.14000000000000001</v>
      </c>
      <c r="BN21" s="150">
        <v>1.4542000570988298</v>
      </c>
      <c r="BO21" s="150">
        <v>11.984388276878477</v>
      </c>
      <c r="BP21" s="150">
        <v>-1.7475682675103321</v>
      </c>
      <c r="BQ21" s="150">
        <v>-1.7169645793441486</v>
      </c>
      <c r="BR21" s="150">
        <v>-1.4425350046709582</v>
      </c>
      <c r="BS21" s="150">
        <v>0.61768216477991222</v>
      </c>
      <c r="BT21" s="150">
        <v>0.15</v>
      </c>
      <c r="BU21" s="150">
        <v>-0.4950056673809119</v>
      </c>
      <c r="BV21" s="149">
        <v>0.15</v>
      </c>
      <c r="BW21" s="149">
        <v>0.2</v>
      </c>
      <c r="BX21" s="149">
        <v>0.12</v>
      </c>
      <c r="BY21" s="149">
        <v>0.08</v>
      </c>
      <c r="BZ21" s="149">
        <v>0.18</v>
      </c>
      <c r="CA21" s="149">
        <v>0.16</v>
      </c>
      <c r="CB21" s="149">
        <v>0.05</v>
      </c>
      <c r="CC21" s="149">
        <v>0.35</v>
      </c>
      <c r="CD21" s="149">
        <v>0.3</v>
      </c>
      <c r="CE21" s="149">
        <v>0.38</v>
      </c>
      <c r="CF21" s="149">
        <v>0.42</v>
      </c>
      <c r="CG21" s="149">
        <v>0.32</v>
      </c>
      <c r="CH21" s="149">
        <v>0.34</v>
      </c>
      <c r="CI21" s="149">
        <v>0.45</v>
      </c>
      <c r="CJ21" s="149">
        <v>0.15</v>
      </c>
      <c r="CK21" s="149">
        <v>0.2</v>
      </c>
      <c r="CL21" s="149">
        <v>0.12</v>
      </c>
      <c r="CM21" s="149">
        <v>0.08</v>
      </c>
      <c r="CN21" s="149">
        <v>0.18</v>
      </c>
      <c r="CO21" s="149">
        <v>0.16</v>
      </c>
      <c r="CP21" s="149">
        <v>0.05</v>
      </c>
      <c r="CQ21" s="149">
        <v>0.35</v>
      </c>
      <c r="CR21" s="149">
        <v>0.3</v>
      </c>
      <c r="CS21" s="149">
        <v>0.38</v>
      </c>
      <c r="CT21" s="149">
        <v>0.42</v>
      </c>
      <c r="CU21" s="149">
        <v>0.32</v>
      </c>
      <c r="CV21" s="149">
        <v>0.34</v>
      </c>
      <c r="CW21" s="149">
        <v>0.45</v>
      </c>
    </row>
    <row r="22" spans="1:101" x14ac:dyDescent="0.25">
      <c r="A22" s="9" t="s">
        <v>190</v>
      </c>
      <c r="B22" s="9" t="s">
        <v>47</v>
      </c>
      <c r="C22" s="9" t="s">
        <v>47</v>
      </c>
      <c r="D22" s="9"/>
      <c r="E22" s="57">
        <v>1</v>
      </c>
      <c r="F22" s="57">
        <f t="shared" si="0"/>
        <v>1</v>
      </c>
      <c r="G22" s="9"/>
      <c r="H22" s="57">
        <v>1</v>
      </c>
      <c r="I22" s="57">
        <v>1</v>
      </c>
      <c r="J22" s="57">
        <f t="shared" si="1"/>
        <v>1</v>
      </c>
      <c r="K22" s="17">
        <f t="shared" si="2"/>
        <v>1</v>
      </c>
      <c r="L22" s="17">
        <f t="shared" si="3"/>
        <v>1</v>
      </c>
      <c r="M22" s="17">
        <v>1</v>
      </c>
      <c r="N22" s="9">
        <f t="shared" si="7"/>
        <v>1</v>
      </c>
      <c r="O22" s="9">
        <f t="shared" si="8"/>
        <v>1</v>
      </c>
      <c r="P22" s="9">
        <f t="shared" si="9"/>
        <v>1</v>
      </c>
      <c r="Q22" s="9">
        <f t="shared" si="10"/>
        <v>1</v>
      </c>
      <c r="R22" s="9">
        <f t="shared" ca="1" si="11"/>
        <v>1</v>
      </c>
      <c r="S22" s="9">
        <f t="shared" ca="1" si="11"/>
        <v>1</v>
      </c>
      <c r="T22" s="9">
        <f t="shared" ca="1" si="11"/>
        <v>1</v>
      </c>
      <c r="U22" s="9">
        <f t="shared" ca="1" si="11"/>
        <v>1</v>
      </c>
      <c r="V22" s="9">
        <f t="shared" ca="1" si="11"/>
        <v>1</v>
      </c>
      <c r="W22" s="9">
        <f t="shared" ca="1" si="12"/>
        <v>1</v>
      </c>
      <c r="X22" s="9" t="s">
        <v>188</v>
      </c>
      <c r="Y22" s="9"/>
      <c r="Z22" s="151">
        <v>1977</v>
      </c>
      <c r="AA22" s="151">
        <v>1980</v>
      </c>
      <c r="AB22" s="151">
        <v>1975</v>
      </c>
      <c r="AC22" s="151">
        <v>1972</v>
      </c>
      <c r="AD22" s="152">
        <v>1980</v>
      </c>
      <c r="AE22" s="151">
        <v>1991</v>
      </c>
      <c r="AF22" s="9">
        <v>7</v>
      </c>
      <c r="AG22" s="9">
        <v>7</v>
      </c>
      <c r="AH22" s="9">
        <v>7</v>
      </c>
      <c r="AI22" s="9">
        <v>7</v>
      </c>
      <c r="AJ22" s="9">
        <v>7</v>
      </c>
      <c r="AK22" s="152">
        <f t="shared" si="18"/>
        <v>7</v>
      </c>
      <c r="AL22" s="9">
        <v>7</v>
      </c>
      <c r="AM22" s="9"/>
      <c r="AN22" s="9"/>
      <c r="AO22" s="9"/>
      <c r="AP22" s="9"/>
      <c r="AQ22" s="9"/>
      <c r="AR22" s="9"/>
      <c r="AS22" s="9"/>
      <c r="AT22" s="9"/>
      <c r="AU22" s="9">
        <v>2001</v>
      </c>
      <c r="AV22" s="9">
        <v>2001</v>
      </c>
      <c r="AW22" s="9">
        <v>2001</v>
      </c>
      <c r="AX22" s="9">
        <v>2001</v>
      </c>
      <c r="AY22" s="9">
        <f t="shared" si="20"/>
        <v>1988</v>
      </c>
      <c r="AZ22" s="9">
        <v>2001</v>
      </c>
      <c r="BA22" s="9"/>
      <c r="BB22" s="9">
        <v>7</v>
      </c>
      <c r="BC22" s="9">
        <v>7</v>
      </c>
      <c r="BD22" s="9">
        <v>7</v>
      </c>
      <c r="BE22" s="9">
        <v>7</v>
      </c>
      <c r="BF22" s="9">
        <f t="shared" si="21"/>
        <v>7</v>
      </c>
      <c r="BG22" s="9">
        <v>7</v>
      </c>
      <c r="BH22" s="150">
        <v>1.2267192541321688</v>
      </c>
      <c r="BI22" s="150">
        <v>2.2612105538192599</v>
      </c>
      <c r="BJ22" s="150">
        <v>2.1252009430760062</v>
      </c>
      <c r="BK22" s="150">
        <v>1.2944496352201866</v>
      </c>
      <c r="BL22" s="150">
        <v>0.32314284341629806</v>
      </c>
      <c r="BM22" s="150">
        <v>0.14000000000000001</v>
      </c>
      <c r="BN22" s="150">
        <v>1.4542000570988298</v>
      </c>
      <c r="BO22" s="150">
        <v>11.984388276878477</v>
      </c>
      <c r="BP22" s="150">
        <v>-1.7475682675103321</v>
      </c>
      <c r="BQ22" s="150">
        <v>-1.7169645793441486</v>
      </c>
      <c r="BR22" s="150">
        <v>-1.4425350046709582</v>
      </c>
      <c r="BS22" s="150">
        <v>0.61768216477991222</v>
      </c>
      <c r="BT22" s="150">
        <v>0.15</v>
      </c>
      <c r="BU22" s="150">
        <v>-0.4950056673809119</v>
      </c>
      <c r="BV22" s="149">
        <v>0.15</v>
      </c>
      <c r="BW22" s="149">
        <v>0.2</v>
      </c>
      <c r="BX22" s="149">
        <v>0.12</v>
      </c>
      <c r="BY22" s="149">
        <v>0.08</v>
      </c>
      <c r="BZ22" s="149">
        <v>0.18</v>
      </c>
      <c r="CA22" s="149">
        <v>0.16</v>
      </c>
      <c r="CB22" s="149">
        <v>0.05</v>
      </c>
      <c r="CC22" s="149">
        <v>0.35</v>
      </c>
      <c r="CD22" s="149">
        <v>0.3</v>
      </c>
      <c r="CE22" s="149">
        <v>0.38</v>
      </c>
      <c r="CF22" s="149">
        <v>0.42</v>
      </c>
      <c r="CG22" s="149">
        <v>0.32</v>
      </c>
      <c r="CH22" s="149">
        <v>0.34</v>
      </c>
      <c r="CI22" s="149">
        <v>0.45</v>
      </c>
      <c r="CJ22" s="149">
        <v>0.15</v>
      </c>
      <c r="CK22" s="149">
        <v>0.2</v>
      </c>
      <c r="CL22" s="149">
        <v>0.12</v>
      </c>
      <c r="CM22" s="149">
        <v>0.08</v>
      </c>
      <c r="CN22" s="149">
        <v>0.18</v>
      </c>
      <c r="CO22" s="149">
        <v>0.16</v>
      </c>
      <c r="CP22" s="149">
        <v>0.05</v>
      </c>
      <c r="CQ22" s="149">
        <v>0.35</v>
      </c>
      <c r="CR22" s="149">
        <v>0.3</v>
      </c>
      <c r="CS22" s="149">
        <v>0.38</v>
      </c>
      <c r="CT22" s="149">
        <v>0.42</v>
      </c>
      <c r="CU22" s="149">
        <v>0.32</v>
      </c>
      <c r="CV22" s="149">
        <v>0.34</v>
      </c>
      <c r="CW22" s="149">
        <v>0.45</v>
      </c>
    </row>
    <row r="23" spans="1:101" x14ac:dyDescent="0.25">
      <c r="A23" s="9" t="s">
        <v>68</v>
      </c>
      <c r="B23" s="9" t="s">
        <v>1</v>
      </c>
      <c r="C23" s="9" t="s">
        <v>1</v>
      </c>
      <c r="D23" s="9"/>
      <c r="E23" s="57">
        <v>0</v>
      </c>
      <c r="F23" s="57">
        <f t="shared" si="0"/>
        <v>0</v>
      </c>
      <c r="G23" s="9"/>
      <c r="H23" s="57">
        <v>0.1044225</v>
      </c>
      <c r="I23" s="57">
        <v>0.1044225</v>
      </c>
      <c r="J23" s="57">
        <f t="shared" si="1"/>
        <v>0.1044225</v>
      </c>
      <c r="K23" s="17">
        <f t="shared" si="2"/>
        <v>0.1044225</v>
      </c>
      <c r="L23" s="17">
        <f t="shared" si="3"/>
        <v>0.1044225</v>
      </c>
      <c r="M23" s="9">
        <v>0</v>
      </c>
      <c r="N23" s="9">
        <f t="shared" si="7"/>
        <v>0</v>
      </c>
      <c r="O23" s="9">
        <f t="shared" si="8"/>
        <v>0</v>
      </c>
      <c r="P23" s="9">
        <f t="shared" si="9"/>
        <v>0</v>
      </c>
      <c r="Q23" s="9">
        <f t="shared" si="10"/>
        <v>0</v>
      </c>
      <c r="R23" s="9">
        <f t="shared" ca="1" si="11"/>
        <v>1</v>
      </c>
      <c r="S23" s="9">
        <f t="shared" ca="1" si="11"/>
        <v>1</v>
      </c>
      <c r="T23" s="9">
        <f t="shared" ca="1" si="11"/>
        <v>1</v>
      </c>
      <c r="U23" s="9">
        <f t="shared" ca="1" si="11"/>
        <v>1</v>
      </c>
      <c r="V23" s="9">
        <f t="shared" ca="1" si="11"/>
        <v>1</v>
      </c>
      <c r="W23" s="9">
        <f t="shared" ca="1" si="12"/>
        <v>1</v>
      </c>
      <c r="X23" s="9" t="s">
        <v>68</v>
      </c>
      <c r="Y23" s="9">
        <v>2031</v>
      </c>
      <c r="Z23" s="152">
        <f>Y23+1</f>
        <v>2032</v>
      </c>
      <c r="AA23" s="152">
        <f t="shared" ref="AA23:AC25" si="22">TRUNC($Z23+$AG23/12+AH$2/12)</f>
        <v>2033</v>
      </c>
      <c r="AB23" s="152">
        <f t="shared" si="22"/>
        <v>2033</v>
      </c>
      <c r="AC23" s="152">
        <f t="shared" si="22"/>
        <v>2033</v>
      </c>
      <c r="AD23" s="152">
        <f>Y23+1</f>
        <v>2032</v>
      </c>
      <c r="AE23" s="152">
        <f>TRUNC($Z23+$AG23/12+AL$2/12)</f>
        <v>2032</v>
      </c>
      <c r="AF23" s="9">
        <v>3</v>
      </c>
      <c r="AG23" s="9">
        <v>3</v>
      </c>
      <c r="AH23" s="152">
        <f t="shared" ref="AH23:AJ25" si="23">IF((($Z23+$AG23/12+AH$2/12)-TRUNC($Z23+$AG23/12+AH$2/12))*12=0,1,(($Z23+$AG23/12+AH$2/12)-TRUNC($Z23+$AG23/12+AH$2/12))*12)</f>
        <v>3</v>
      </c>
      <c r="AI23" s="152">
        <f t="shared" si="23"/>
        <v>3.9999999999990905</v>
      </c>
      <c r="AJ23" s="152">
        <f t="shared" si="23"/>
        <v>3.9999999999990905</v>
      </c>
      <c r="AK23" s="152">
        <f t="shared" si="18"/>
        <v>3</v>
      </c>
      <c r="AL23" s="152">
        <f>IF((($Z23+$AG23/12+AL$2/12)-TRUNC($Z23+$AG23/12+AL$2/12))*12=0,1,(($Z23+$AG23/12+AL$2/12)-TRUNC($Z23+$AG23/12+AL$2/12))*12)</f>
        <v>3</v>
      </c>
      <c r="AM23" s="9"/>
      <c r="AN23" s="9"/>
      <c r="AO23" s="9"/>
      <c r="AP23" s="9"/>
      <c r="AQ23" s="9"/>
      <c r="AR23" s="9"/>
      <c r="AS23" s="9"/>
      <c r="AT23" s="9">
        <v>2041</v>
      </c>
      <c r="AU23" s="9">
        <v>2041</v>
      </c>
      <c r="AV23" s="9">
        <v>2041</v>
      </c>
      <c r="AW23" s="9">
        <v>2041</v>
      </c>
      <c r="AX23" s="9">
        <v>2041</v>
      </c>
      <c r="AY23" s="9">
        <f t="shared" si="20"/>
        <v>2040</v>
      </c>
      <c r="AZ23" s="9">
        <v>2041</v>
      </c>
      <c r="BA23" s="9">
        <v>3</v>
      </c>
      <c r="BB23" s="9">
        <v>3</v>
      </c>
      <c r="BC23" s="9">
        <v>3</v>
      </c>
      <c r="BD23" s="9">
        <v>3</v>
      </c>
      <c r="BE23" s="9">
        <v>3</v>
      </c>
      <c r="BF23" s="9">
        <f t="shared" si="21"/>
        <v>3</v>
      </c>
      <c r="BG23" s="9">
        <v>3</v>
      </c>
      <c r="BH23" s="150">
        <v>1.2267192541321688</v>
      </c>
      <c r="BI23" s="150">
        <v>2.2612105538192599</v>
      </c>
      <c r="BJ23" s="150">
        <v>2.1252009430760062</v>
      </c>
      <c r="BK23" s="150">
        <v>1.2944496352201866</v>
      </c>
      <c r="BL23" s="150">
        <v>0.32314284341629806</v>
      </c>
      <c r="BM23" s="150">
        <v>0.14000000000000001</v>
      </c>
      <c r="BN23" s="150">
        <v>1.4542000570988298</v>
      </c>
      <c r="BO23" s="150">
        <v>11.984388276878477</v>
      </c>
      <c r="BP23" s="150">
        <v>-1.7475682675103321</v>
      </c>
      <c r="BQ23" s="150">
        <v>-1.7169645793441486</v>
      </c>
      <c r="BR23" s="150">
        <v>-1.4425350046709582</v>
      </c>
      <c r="BS23" s="150">
        <v>0.61768216477991222</v>
      </c>
      <c r="BT23" s="150">
        <v>0.15</v>
      </c>
      <c r="BU23" s="150">
        <v>-0.4950056673809119</v>
      </c>
      <c r="BV23" s="149">
        <v>0.15</v>
      </c>
      <c r="BW23" s="149">
        <v>0.2</v>
      </c>
      <c r="BX23" s="149">
        <v>0.12</v>
      </c>
      <c r="BY23" s="149">
        <v>0.08</v>
      </c>
      <c r="BZ23" s="149">
        <v>0.18</v>
      </c>
      <c r="CA23" s="149">
        <v>0.16</v>
      </c>
      <c r="CB23" s="149">
        <v>0.05</v>
      </c>
      <c r="CC23" s="149">
        <v>0.35</v>
      </c>
      <c r="CD23" s="149">
        <v>0.3</v>
      </c>
      <c r="CE23" s="149">
        <v>0.38</v>
      </c>
      <c r="CF23" s="149">
        <v>0.42</v>
      </c>
      <c r="CG23" s="149">
        <v>0.32</v>
      </c>
      <c r="CH23" s="149">
        <v>0.34</v>
      </c>
      <c r="CI23" s="149">
        <v>0.45</v>
      </c>
      <c r="CJ23" s="149">
        <v>0.15</v>
      </c>
      <c r="CK23" s="149">
        <v>0.2</v>
      </c>
      <c r="CL23" s="149">
        <v>0.12</v>
      </c>
      <c r="CM23" s="149">
        <v>0.08</v>
      </c>
      <c r="CN23" s="149">
        <v>0.18</v>
      </c>
      <c r="CO23" s="149">
        <v>0.16</v>
      </c>
      <c r="CP23" s="149">
        <v>0.05</v>
      </c>
      <c r="CQ23" s="149">
        <v>0.35</v>
      </c>
      <c r="CR23" s="149">
        <v>0.3</v>
      </c>
      <c r="CS23" s="149">
        <v>0.38</v>
      </c>
      <c r="CT23" s="149">
        <v>0.42</v>
      </c>
      <c r="CU23" s="149">
        <v>0.32</v>
      </c>
      <c r="CV23" s="149">
        <v>0.34</v>
      </c>
      <c r="CW23" s="149">
        <v>0.45</v>
      </c>
    </row>
    <row r="24" spans="1:101" x14ac:dyDescent="0.25">
      <c r="A24" s="9" t="s">
        <v>57</v>
      </c>
      <c r="B24" s="9" t="s">
        <v>1</v>
      </c>
      <c r="C24" s="9" t="s">
        <v>1</v>
      </c>
      <c r="D24" s="9"/>
      <c r="E24" s="57">
        <v>0</v>
      </c>
      <c r="F24" s="57">
        <f t="shared" si="0"/>
        <v>0</v>
      </c>
      <c r="G24" s="9"/>
      <c r="H24" s="57">
        <v>0.1044225</v>
      </c>
      <c r="I24" s="57">
        <v>0.1044225</v>
      </c>
      <c r="J24" s="57">
        <f t="shared" si="1"/>
        <v>0.1044225</v>
      </c>
      <c r="K24" s="17">
        <f t="shared" si="2"/>
        <v>0.1044225</v>
      </c>
      <c r="L24" s="17">
        <f t="shared" si="3"/>
        <v>0.1044225</v>
      </c>
      <c r="M24" s="9">
        <v>0</v>
      </c>
      <c r="N24" s="9">
        <f t="shared" si="7"/>
        <v>0</v>
      </c>
      <c r="O24" s="9">
        <f t="shared" si="8"/>
        <v>0</v>
      </c>
      <c r="P24" s="9">
        <f t="shared" si="9"/>
        <v>0</v>
      </c>
      <c r="Q24" s="9">
        <f t="shared" si="10"/>
        <v>0</v>
      </c>
      <c r="R24" s="9">
        <f t="shared" ca="1" si="11"/>
        <v>0</v>
      </c>
      <c r="S24" s="9">
        <f t="shared" ca="1" si="11"/>
        <v>1</v>
      </c>
      <c r="T24" s="9">
        <f t="shared" ca="1" si="11"/>
        <v>1</v>
      </c>
      <c r="U24" s="9">
        <f t="shared" ca="1" si="11"/>
        <v>1</v>
      </c>
      <c r="V24" s="9">
        <f t="shared" ca="1" si="11"/>
        <v>1</v>
      </c>
      <c r="W24" s="9">
        <f t="shared" ca="1" si="12"/>
        <v>0</v>
      </c>
      <c r="X24" s="9" t="s">
        <v>62</v>
      </c>
      <c r="Y24" s="9">
        <v>2028</v>
      </c>
      <c r="Z24" s="152">
        <f>Y24+1</f>
        <v>2029</v>
      </c>
      <c r="AA24" s="152">
        <f t="shared" si="22"/>
        <v>2030</v>
      </c>
      <c r="AB24" s="152">
        <f t="shared" si="22"/>
        <v>2030</v>
      </c>
      <c r="AC24" s="152">
        <f t="shared" si="22"/>
        <v>2030</v>
      </c>
      <c r="AD24" s="152">
        <f>Y24+1</f>
        <v>2029</v>
      </c>
      <c r="AE24" s="152">
        <f>TRUNC($Z24+$AG24/12+AL$2/12)</f>
        <v>2029</v>
      </c>
      <c r="AF24" s="9">
        <v>9</v>
      </c>
      <c r="AG24" s="9">
        <v>9</v>
      </c>
      <c r="AH24" s="152">
        <f t="shared" si="23"/>
        <v>9</v>
      </c>
      <c r="AI24" s="152">
        <f t="shared" si="23"/>
        <v>9.9999999999990905</v>
      </c>
      <c r="AJ24" s="152">
        <f t="shared" si="23"/>
        <v>9.9999999999990905</v>
      </c>
      <c r="AK24" s="152">
        <f t="shared" si="18"/>
        <v>9</v>
      </c>
      <c r="AL24" s="152">
        <f>IF((($Z24+$AG24/12+AL$2/12)-TRUNC($Z24+$AG24/12+AL$2/12))*12=0,1,(($Z24+$AG24/12+AL$2/12)-TRUNC($Z24+$AG24/12+AL$2/12))*12)</f>
        <v>9</v>
      </c>
      <c r="AM24" s="9"/>
      <c r="AN24" s="9"/>
      <c r="AO24" s="9"/>
      <c r="AP24" s="9"/>
      <c r="AQ24" s="9"/>
      <c r="AR24" s="9"/>
      <c r="AS24" s="9"/>
      <c r="AT24" s="9">
        <v>2038</v>
      </c>
      <c r="AU24" s="9">
        <v>2038</v>
      </c>
      <c r="AV24" s="9">
        <v>2038</v>
      </c>
      <c r="AW24" s="9">
        <v>2038</v>
      </c>
      <c r="AX24" s="9">
        <v>2038</v>
      </c>
      <c r="AY24" s="9">
        <f t="shared" si="20"/>
        <v>2037</v>
      </c>
      <c r="AZ24" s="9">
        <v>2038</v>
      </c>
      <c r="BA24" s="9">
        <v>9</v>
      </c>
      <c r="BB24" s="9">
        <v>9</v>
      </c>
      <c r="BC24" s="9">
        <v>9</v>
      </c>
      <c r="BD24" s="9">
        <v>9</v>
      </c>
      <c r="BE24" s="9">
        <v>9</v>
      </c>
      <c r="BF24" s="9">
        <f t="shared" si="21"/>
        <v>9</v>
      </c>
      <c r="BG24" s="9">
        <v>9</v>
      </c>
      <c r="BH24" s="150">
        <v>1.2267192541321688</v>
      </c>
      <c r="BI24" s="150">
        <v>2.2612105538192599</v>
      </c>
      <c r="BJ24" s="150">
        <v>2.1252009430760062</v>
      </c>
      <c r="BK24" s="150">
        <v>1.2944496352201866</v>
      </c>
      <c r="BL24" s="150">
        <v>0.32314284341629806</v>
      </c>
      <c r="BM24" s="150">
        <v>0.14000000000000001</v>
      </c>
      <c r="BN24" s="150">
        <v>1.4542000570988298</v>
      </c>
      <c r="BO24" s="150">
        <v>11.984388276878477</v>
      </c>
      <c r="BP24" s="150">
        <v>-1.7475682675103321</v>
      </c>
      <c r="BQ24" s="150">
        <v>-1.7169645793441486</v>
      </c>
      <c r="BR24" s="150">
        <v>-1.4425350046709582</v>
      </c>
      <c r="BS24" s="150">
        <v>0.61768216477991222</v>
      </c>
      <c r="BT24" s="150">
        <v>0.15</v>
      </c>
      <c r="BU24" s="150">
        <v>-0.4950056673809119</v>
      </c>
      <c r="BV24" s="149">
        <v>0.22</v>
      </c>
      <c r="BW24" s="149">
        <v>0.27</v>
      </c>
      <c r="BX24" s="149">
        <v>0.17</v>
      </c>
      <c r="BY24" s="149">
        <v>0.14000000000000001</v>
      </c>
      <c r="BZ24" s="149">
        <v>0.23</v>
      </c>
      <c r="CA24" s="149">
        <v>0.23</v>
      </c>
      <c r="CB24" s="149">
        <v>0.06</v>
      </c>
      <c r="CC24" s="149">
        <v>0.28000000000000003</v>
      </c>
      <c r="CD24" s="149">
        <v>0.23</v>
      </c>
      <c r="CE24" s="149">
        <v>0.33</v>
      </c>
      <c r="CF24" s="149">
        <v>0.36</v>
      </c>
      <c r="CG24" s="149">
        <v>0.27</v>
      </c>
      <c r="CH24" s="149">
        <v>0.27</v>
      </c>
      <c r="CI24" s="149">
        <v>0.45</v>
      </c>
      <c r="CJ24" s="149">
        <v>0.22</v>
      </c>
      <c r="CK24" s="149">
        <v>0.27</v>
      </c>
      <c r="CL24" s="149">
        <v>0.17</v>
      </c>
      <c r="CM24" s="149">
        <v>0.14000000000000001</v>
      </c>
      <c r="CN24" s="149">
        <v>0.23</v>
      </c>
      <c r="CO24" s="149">
        <v>0.23</v>
      </c>
      <c r="CP24" s="149">
        <v>0.06</v>
      </c>
      <c r="CQ24" s="149">
        <v>0.28000000000000003</v>
      </c>
      <c r="CR24" s="149">
        <v>0.23</v>
      </c>
      <c r="CS24" s="149">
        <v>0.33</v>
      </c>
      <c r="CT24" s="149">
        <v>0.36</v>
      </c>
      <c r="CU24" s="149">
        <v>0.27</v>
      </c>
      <c r="CV24" s="149">
        <v>0.27</v>
      </c>
      <c r="CW24" s="149">
        <v>0.45</v>
      </c>
    </row>
    <row r="25" spans="1:101" x14ac:dyDescent="0.25">
      <c r="A25" s="9" t="s">
        <v>61</v>
      </c>
      <c r="B25" s="9" t="s">
        <v>58</v>
      </c>
      <c r="C25" s="9" t="s">
        <v>58</v>
      </c>
      <c r="D25" s="9"/>
      <c r="E25" s="57">
        <v>0</v>
      </c>
      <c r="F25" s="57">
        <f t="shared" si="0"/>
        <v>0</v>
      </c>
      <c r="G25" s="9"/>
      <c r="H25" s="57">
        <v>0.13923000000000002</v>
      </c>
      <c r="I25" s="57">
        <v>0.13923000000000002</v>
      </c>
      <c r="J25" s="57">
        <f t="shared" si="1"/>
        <v>0.13923000000000002</v>
      </c>
      <c r="K25" s="17">
        <f t="shared" si="2"/>
        <v>0.13923000000000002</v>
      </c>
      <c r="L25" s="17">
        <f t="shared" si="3"/>
        <v>0.13923000000000002</v>
      </c>
      <c r="M25" s="9">
        <v>0</v>
      </c>
      <c r="N25" s="9">
        <f t="shared" si="7"/>
        <v>0</v>
      </c>
      <c r="O25" s="9">
        <f t="shared" si="8"/>
        <v>0</v>
      </c>
      <c r="P25" s="9">
        <f t="shared" si="9"/>
        <v>0</v>
      </c>
      <c r="Q25" s="9">
        <f t="shared" si="10"/>
        <v>0</v>
      </c>
      <c r="R25" s="9">
        <f t="shared" ca="1" si="11"/>
        <v>0</v>
      </c>
      <c r="S25" s="9">
        <f t="shared" ca="1" si="11"/>
        <v>1</v>
      </c>
      <c r="T25" s="9">
        <f t="shared" ca="1" si="11"/>
        <v>1</v>
      </c>
      <c r="U25" s="9">
        <f t="shared" ca="1" si="11"/>
        <v>1</v>
      </c>
      <c r="V25" s="9">
        <f t="shared" ca="1" si="11"/>
        <v>1</v>
      </c>
      <c r="W25" s="9">
        <f t="shared" ca="1" si="12"/>
        <v>1</v>
      </c>
      <c r="X25" s="9" t="s">
        <v>62</v>
      </c>
      <c r="Y25" s="9">
        <v>2027</v>
      </c>
      <c r="Z25" s="152">
        <f>Y25+1</f>
        <v>2028</v>
      </c>
      <c r="AA25" s="152">
        <f t="shared" si="22"/>
        <v>2029</v>
      </c>
      <c r="AB25" s="152">
        <f t="shared" si="22"/>
        <v>2029</v>
      </c>
      <c r="AC25" s="152">
        <f t="shared" si="22"/>
        <v>2029</v>
      </c>
      <c r="AD25" s="152">
        <f>Y25+1</f>
        <v>2028</v>
      </c>
      <c r="AE25" s="152">
        <f>TRUNC($Z25+$AG25/12+AL$2/12)</f>
        <v>2028</v>
      </c>
      <c r="AF25" s="9">
        <v>6</v>
      </c>
      <c r="AG25" s="9">
        <v>9</v>
      </c>
      <c r="AH25" s="152">
        <f t="shared" si="23"/>
        <v>9</v>
      </c>
      <c r="AI25" s="152">
        <f t="shared" si="23"/>
        <v>9.9999999999990905</v>
      </c>
      <c r="AJ25" s="152">
        <f t="shared" si="23"/>
        <v>9.9999999999990905</v>
      </c>
      <c r="AK25" s="152">
        <f t="shared" si="18"/>
        <v>6</v>
      </c>
      <c r="AL25" s="152">
        <f>IF((($Z25+$AG25/12+AL$2/12)-TRUNC($Z25+$AG25/12+AL$2/12))*12=0,1,(($Z25+$AG25/12+AL$2/12)-TRUNC($Z25+$AG25/12+AL$2/12))*12)</f>
        <v>9</v>
      </c>
      <c r="AM25" s="9"/>
      <c r="AN25" s="9"/>
      <c r="AO25" s="9"/>
      <c r="AP25" s="9"/>
      <c r="AQ25" s="9"/>
      <c r="AR25" s="9"/>
      <c r="AS25" s="9"/>
      <c r="AT25" s="9">
        <v>2036</v>
      </c>
      <c r="AU25" s="9">
        <v>2036</v>
      </c>
      <c r="AV25" s="9">
        <v>2036</v>
      </c>
      <c r="AW25" s="9">
        <v>2036</v>
      </c>
      <c r="AX25" s="9">
        <v>2036</v>
      </c>
      <c r="AY25" s="9">
        <f t="shared" si="20"/>
        <v>2036</v>
      </c>
      <c r="AZ25" s="9">
        <v>2036</v>
      </c>
      <c r="BA25" s="9">
        <v>9</v>
      </c>
      <c r="BB25" s="9">
        <v>9</v>
      </c>
      <c r="BC25" s="9">
        <v>9</v>
      </c>
      <c r="BD25" s="9">
        <v>9</v>
      </c>
      <c r="BE25" s="9">
        <v>9</v>
      </c>
      <c r="BF25" s="9">
        <f t="shared" si="21"/>
        <v>6</v>
      </c>
      <c r="BG25" s="9">
        <v>9</v>
      </c>
      <c r="BH25" s="150">
        <v>1.2267192541321688</v>
      </c>
      <c r="BI25" s="150">
        <v>2.2612105538192599</v>
      </c>
      <c r="BJ25" s="150">
        <v>2.1252009430760062</v>
      </c>
      <c r="BK25" s="150">
        <v>1.2944496352201866</v>
      </c>
      <c r="BL25" s="150">
        <v>0.32314284341629806</v>
      </c>
      <c r="BM25" s="150">
        <v>0.14000000000000001</v>
      </c>
      <c r="BN25" s="150">
        <v>1.4542000570988298</v>
      </c>
      <c r="BO25" s="150">
        <v>11.984388276878477</v>
      </c>
      <c r="BP25" s="150">
        <v>-1.7475682675103321</v>
      </c>
      <c r="BQ25" s="150">
        <v>-1.7169645793441486</v>
      </c>
      <c r="BR25" s="150">
        <v>-1.4425350046709582</v>
      </c>
      <c r="BS25" s="150">
        <v>0.61768216477991222</v>
      </c>
      <c r="BT25" s="150">
        <v>0.15</v>
      </c>
      <c r="BU25" s="150">
        <v>-0.4950056673809119</v>
      </c>
      <c r="BV25" s="149">
        <v>0.22</v>
      </c>
      <c r="BW25" s="149">
        <v>0.27</v>
      </c>
      <c r="BX25" s="149">
        <v>0.17</v>
      </c>
      <c r="BY25" s="149">
        <v>0.14000000000000001</v>
      </c>
      <c r="BZ25" s="149">
        <v>0.23</v>
      </c>
      <c r="CA25" s="149">
        <v>0.23</v>
      </c>
      <c r="CB25" s="149">
        <v>0.06</v>
      </c>
      <c r="CC25" s="149">
        <v>0.28000000000000003</v>
      </c>
      <c r="CD25" s="149">
        <v>0.23</v>
      </c>
      <c r="CE25" s="149">
        <v>0.33</v>
      </c>
      <c r="CF25" s="149">
        <v>0.36</v>
      </c>
      <c r="CG25" s="149">
        <v>0.27</v>
      </c>
      <c r="CH25" s="149">
        <v>0.27</v>
      </c>
      <c r="CI25" s="149">
        <v>0.45</v>
      </c>
      <c r="CJ25" s="149">
        <v>0.22</v>
      </c>
      <c r="CK25" s="149">
        <v>0.27</v>
      </c>
      <c r="CL25" s="149">
        <v>0.17</v>
      </c>
      <c r="CM25" s="149">
        <v>0.14000000000000001</v>
      </c>
      <c r="CN25" s="149">
        <v>0.23</v>
      </c>
      <c r="CO25" s="149">
        <v>0.23</v>
      </c>
      <c r="CP25" s="149">
        <v>0.06</v>
      </c>
      <c r="CQ25" s="149">
        <v>0.28000000000000003</v>
      </c>
      <c r="CR25" s="149">
        <v>0.23</v>
      </c>
      <c r="CS25" s="149">
        <v>0.33</v>
      </c>
      <c r="CT25" s="149">
        <v>0.36</v>
      </c>
      <c r="CU25" s="149">
        <v>0.27</v>
      </c>
      <c r="CV25" s="149">
        <v>0.27</v>
      </c>
      <c r="CW25" s="149">
        <v>0.45</v>
      </c>
    </row>
    <row r="26" spans="1:101" x14ac:dyDescent="0.25">
      <c r="A26" s="9" t="s">
        <v>96</v>
      </c>
      <c r="B26" s="9" t="s">
        <v>47</v>
      </c>
      <c r="C26" s="9" t="s">
        <v>47</v>
      </c>
      <c r="D26" s="9"/>
      <c r="E26" s="57">
        <v>1</v>
      </c>
      <c r="F26" s="57">
        <f t="shared" si="0"/>
        <v>1</v>
      </c>
      <c r="G26" s="9"/>
      <c r="H26" s="57">
        <v>1</v>
      </c>
      <c r="I26" s="57">
        <v>1</v>
      </c>
      <c r="J26" s="57">
        <f t="shared" si="1"/>
        <v>1</v>
      </c>
      <c r="K26" s="17">
        <f t="shared" si="2"/>
        <v>1</v>
      </c>
      <c r="L26" s="17">
        <f t="shared" si="3"/>
        <v>1</v>
      </c>
      <c r="M26" s="17">
        <v>1</v>
      </c>
      <c r="N26" s="9">
        <f t="shared" si="7"/>
        <v>1</v>
      </c>
      <c r="O26" s="9">
        <f t="shared" si="8"/>
        <v>1</v>
      </c>
      <c r="P26" s="9">
        <f t="shared" si="9"/>
        <v>1</v>
      </c>
      <c r="Q26" s="9">
        <f t="shared" si="10"/>
        <v>1</v>
      </c>
      <c r="R26" s="9">
        <f t="shared" ca="1" si="11"/>
        <v>1</v>
      </c>
      <c r="S26" s="9">
        <f t="shared" ca="1" si="11"/>
        <v>1</v>
      </c>
      <c r="T26" s="9">
        <f t="shared" ca="1" si="11"/>
        <v>1</v>
      </c>
      <c r="U26" s="9">
        <f t="shared" ca="1" si="11"/>
        <v>1</v>
      </c>
      <c r="V26" s="9">
        <f t="shared" ca="1" si="11"/>
        <v>1</v>
      </c>
      <c r="W26" s="9">
        <f t="shared" ca="1" si="12"/>
        <v>1</v>
      </c>
      <c r="X26" s="9" t="s">
        <v>54</v>
      </c>
      <c r="Y26" s="151">
        <v>2009</v>
      </c>
      <c r="Z26" s="9"/>
      <c r="AA26" s="9"/>
      <c r="AB26" s="9"/>
      <c r="AC26" s="9"/>
      <c r="AD26" s="152"/>
      <c r="AE26" s="9"/>
      <c r="AF26" s="9">
        <v>4</v>
      </c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>
        <v>2011</v>
      </c>
      <c r="AU26" s="9"/>
      <c r="AV26" s="9"/>
      <c r="AW26" s="9"/>
      <c r="AX26" s="9"/>
      <c r="AY26" s="9"/>
      <c r="AZ26" s="9"/>
      <c r="BA26" s="9">
        <v>10</v>
      </c>
      <c r="BB26" s="9"/>
      <c r="BC26" s="9"/>
      <c r="BD26" s="9"/>
      <c r="BE26" s="9"/>
      <c r="BF26" s="9"/>
      <c r="BG26" s="9"/>
      <c r="BH26" s="150">
        <v>1.2267192541321688</v>
      </c>
      <c r="BI26" s="150">
        <v>2.2612105538192599</v>
      </c>
      <c r="BJ26" s="150">
        <v>2.1252009430760062</v>
      </c>
      <c r="BK26" s="150">
        <v>1.2944496352201866</v>
      </c>
      <c r="BL26" s="150">
        <v>0.32314284341629806</v>
      </c>
      <c r="BM26" s="150">
        <v>0.14000000000000001</v>
      </c>
      <c r="BN26" s="150">
        <v>1.4542000570988298</v>
      </c>
      <c r="BO26" s="150">
        <v>11.984388276878477</v>
      </c>
      <c r="BP26" s="150">
        <v>-1.7475682675103321</v>
      </c>
      <c r="BQ26" s="150">
        <v>-1.7169645793441486</v>
      </c>
      <c r="BR26" s="150">
        <v>-1.4425350046709582</v>
      </c>
      <c r="BS26" s="150">
        <v>0.61768216477991222</v>
      </c>
      <c r="BT26" s="150">
        <v>0.15</v>
      </c>
      <c r="BU26" s="150">
        <v>-0.4950056673809119</v>
      </c>
      <c r="BV26" s="149">
        <v>0.15</v>
      </c>
      <c r="BW26" s="149">
        <v>0.2</v>
      </c>
      <c r="BX26" s="149">
        <v>0.12</v>
      </c>
      <c r="BY26" s="149">
        <v>0.08</v>
      </c>
      <c r="BZ26" s="149">
        <v>0.18</v>
      </c>
      <c r="CA26" s="149">
        <v>0.16</v>
      </c>
      <c r="CB26" s="149">
        <v>0.05</v>
      </c>
      <c r="CC26" s="149">
        <v>0.35</v>
      </c>
      <c r="CD26" s="149">
        <v>0.3</v>
      </c>
      <c r="CE26" s="149">
        <v>0.38</v>
      </c>
      <c r="CF26" s="149">
        <v>0.42</v>
      </c>
      <c r="CG26" s="149">
        <v>0.32</v>
      </c>
      <c r="CH26" s="149">
        <v>0.34</v>
      </c>
      <c r="CI26" s="149">
        <v>0.45</v>
      </c>
      <c r="CJ26" s="149">
        <v>0.15</v>
      </c>
      <c r="CK26" s="149">
        <v>0.2</v>
      </c>
      <c r="CL26" s="149">
        <v>0.12</v>
      </c>
      <c r="CM26" s="149">
        <v>0.08</v>
      </c>
      <c r="CN26" s="149">
        <v>0.18</v>
      </c>
      <c r="CO26" s="149">
        <v>0.16</v>
      </c>
      <c r="CP26" s="149">
        <v>0.05</v>
      </c>
      <c r="CQ26" s="149">
        <v>0.35</v>
      </c>
      <c r="CR26" s="149">
        <v>0.3</v>
      </c>
      <c r="CS26" s="149">
        <v>0.38</v>
      </c>
      <c r="CT26" s="149">
        <v>0.42</v>
      </c>
      <c r="CU26" s="149">
        <v>0.32</v>
      </c>
      <c r="CV26" s="149">
        <v>0.34</v>
      </c>
      <c r="CW26" s="149">
        <v>0.45</v>
      </c>
    </row>
    <row r="27" spans="1:101" x14ac:dyDescent="0.25">
      <c r="A27" s="9" t="s">
        <v>35</v>
      </c>
      <c r="B27" s="9" t="s">
        <v>58</v>
      </c>
      <c r="C27" s="9" t="s">
        <v>58</v>
      </c>
      <c r="D27" s="9"/>
      <c r="E27" s="57">
        <v>0</v>
      </c>
      <c r="F27" s="57">
        <f t="shared" si="0"/>
        <v>0</v>
      </c>
      <c r="G27" s="9"/>
      <c r="H27" s="57">
        <v>0.14000000000000001</v>
      </c>
      <c r="I27" s="57">
        <v>0.14000000000000001</v>
      </c>
      <c r="J27" s="57">
        <f t="shared" si="1"/>
        <v>0.14000000000000001</v>
      </c>
      <c r="K27" s="17">
        <f t="shared" si="2"/>
        <v>0.14000000000000001</v>
      </c>
      <c r="L27" s="17">
        <f t="shared" si="3"/>
        <v>0.14000000000000001</v>
      </c>
      <c r="M27" s="9">
        <v>0</v>
      </c>
      <c r="N27" s="9">
        <f t="shared" si="7"/>
        <v>0</v>
      </c>
      <c r="O27" s="9">
        <f t="shared" si="8"/>
        <v>0</v>
      </c>
      <c r="P27" s="9">
        <f t="shared" si="9"/>
        <v>0</v>
      </c>
      <c r="Q27" s="9">
        <f t="shared" si="10"/>
        <v>0</v>
      </c>
      <c r="R27" s="9">
        <f t="shared" ca="1" si="11"/>
        <v>0</v>
      </c>
      <c r="S27" s="9">
        <f t="shared" ca="1" si="11"/>
        <v>0</v>
      </c>
      <c r="T27" s="9">
        <f t="shared" ca="1" si="11"/>
        <v>0</v>
      </c>
      <c r="U27" s="9">
        <f t="shared" ca="1" si="11"/>
        <v>0</v>
      </c>
      <c r="V27" s="9">
        <f t="shared" ca="1" si="11"/>
        <v>0</v>
      </c>
      <c r="W27" s="9">
        <f t="shared" ca="1" si="12"/>
        <v>1</v>
      </c>
      <c r="X27" s="9" t="s">
        <v>34</v>
      </c>
      <c r="Y27" s="151">
        <v>2027</v>
      </c>
      <c r="Z27" s="152">
        <f t="shared" ref="Z27:Z50" si="24">Y27+1</f>
        <v>2028</v>
      </c>
      <c r="AA27" s="152">
        <f t="shared" ref="AA27:AA50" si="25">TRUNC($Z27+$AG27/12+AH$2/12)</f>
        <v>2029</v>
      </c>
      <c r="AB27" s="152">
        <f t="shared" ref="AB27:AB50" si="26">TRUNC($Z27+$AG27/12+AI$2/12)</f>
        <v>2029</v>
      </c>
      <c r="AC27" s="152">
        <f t="shared" ref="AC27:AC50" si="27">TRUNC($Z27+$AG27/12+AJ$2/12)</f>
        <v>2029</v>
      </c>
      <c r="AD27" s="152">
        <f t="shared" ref="AD27:AD34" si="28">Y27+1</f>
        <v>2028</v>
      </c>
      <c r="AE27" s="152">
        <f t="shared" ref="AE27:AE50" si="29">TRUNC($Z27+$AG27/12+AL$2/12)</f>
        <v>2028</v>
      </c>
      <c r="AF27" s="151">
        <v>6</v>
      </c>
      <c r="AG27" s="9">
        <v>4</v>
      </c>
      <c r="AH27" s="152">
        <f t="shared" ref="AH27:AJ50" si="30">IF((($Z27+$AG27/12+AH$2/12)-TRUNC($Z27+$AG27/12+AH$2/12))*12=0,1,(($Z27+$AG27/12+AH$2/12)-TRUNC($Z27+$AG27/12+AH$2/12))*12)</f>
        <v>3.9999999999990905</v>
      </c>
      <c r="AI27" s="152">
        <f t="shared" si="30"/>
        <v>4.999999999998181</v>
      </c>
      <c r="AJ27" s="152">
        <f t="shared" si="30"/>
        <v>4.999999999998181</v>
      </c>
      <c r="AK27" s="152">
        <v>2</v>
      </c>
      <c r="AL27" s="152">
        <f t="shared" ref="AL27:AL50" si="31">IF((($Z27+$AG27/12+AL$2/12)-TRUNC($Z27+$AG27/12+AL$2/12))*12=0,1,(($Z27+$AG27/12+AL$2/12)-TRUNC($Z27+$AG27/12+AL$2/12))*12)</f>
        <v>3.9999999999990905</v>
      </c>
      <c r="AM27" s="9"/>
      <c r="AN27" s="9"/>
      <c r="AO27" s="9"/>
      <c r="AP27" s="9"/>
      <c r="AQ27" s="9"/>
      <c r="AR27" s="9"/>
      <c r="AS27" s="9"/>
      <c r="AT27" s="9">
        <v>2037</v>
      </c>
      <c r="AU27" s="9">
        <v>2039</v>
      </c>
      <c r="AV27" s="9">
        <v>2039</v>
      </c>
      <c r="AW27" s="9">
        <v>2039</v>
      </c>
      <c r="AX27" s="9">
        <v>2039</v>
      </c>
      <c r="AY27" s="9">
        <v>2039</v>
      </c>
      <c r="AZ27" s="9">
        <v>2039</v>
      </c>
      <c r="BA27" s="9">
        <v>5</v>
      </c>
      <c r="BB27" s="9">
        <v>3</v>
      </c>
      <c r="BC27" s="9">
        <v>3</v>
      </c>
      <c r="BD27" s="9">
        <v>3</v>
      </c>
      <c r="BE27" s="9">
        <v>3</v>
      </c>
      <c r="BF27" s="9">
        <v>3</v>
      </c>
      <c r="BG27" s="9">
        <v>3</v>
      </c>
      <c r="BH27" s="150">
        <v>1.2267192541321688</v>
      </c>
      <c r="BI27" s="150">
        <v>2.2612105538192599</v>
      </c>
      <c r="BJ27" s="150">
        <v>2.1252009430760062</v>
      </c>
      <c r="BK27" s="150">
        <v>1.2944496352201866</v>
      </c>
      <c r="BL27" s="150">
        <v>0.32314284341629806</v>
      </c>
      <c r="BM27" s="150">
        <v>0.14000000000000001</v>
      </c>
      <c r="BN27" s="150">
        <v>1.4542000570988298</v>
      </c>
      <c r="BO27" s="150">
        <v>11.984388276878477</v>
      </c>
      <c r="BP27" s="150">
        <v>-1.7475682675103321</v>
      </c>
      <c r="BQ27" s="150">
        <v>-1.7169645793441486</v>
      </c>
      <c r="BR27" s="150">
        <v>-1.4425350046709582</v>
      </c>
      <c r="BS27" s="150">
        <v>0.61768216477991222</v>
      </c>
      <c r="BT27" s="150">
        <v>0.15</v>
      </c>
      <c r="BU27" s="150">
        <v>-0.4950056673809119</v>
      </c>
      <c r="BV27" s="149">
        <v>0.15</v>
      </c>
      <c r="BW27" s="149">
        <v>0.2</v>
      </c>
      <c r="BX27" s="149">
        <v>0.12</v>
      </c>
      <c r="BY27" s="149">
        <v>0.08</v>
      </c>
      <c r="BZ27" s="149">
        <v>0.18</v>
      </c>
      <c r="CA27" s="149">
        <v>0.16</v>
      </c>
      <c r="CB27" s="149">
        <v>0.05</v>
      </c>
      <c r="CC27" s="149">
        <v>0.35</v>
      </c>
      <c r="CD27" s="149">
        <v>0.3</v>
      </c>
      <c r="CE27" s="149">
        <v>0.38</v>
      </c>
      <c r="CF27" s="149">
        <v>0.42</v>
      </c>
      <c r="CG27" s="149">
        <v>0.32</v>
      </c>
      <c r="CH27" s="149">
        <v>0.34</v>
      </c>
      <c r="CI27" s="149">
        <v>0.45</v>
      </c>
      <c r="CJ27" s="149">
        <v>0.15</v>
      </c>
      <c r="CK27" s="149">
        <v>0.2</v>
      </c>
      <c r="CL27" s="149">
        <v>0.12</v>
      </c>
      <c r="CM27" s="149">
        <v>0.08</v>
      </c>
      <c r="CN27" s="149">
        <v>0.18</v>
      </c>
      <c r="CO27" s="149">
        <v>0.16</v>
      </c>
      <c r="CP27" s="149">
        <v>0.05</v>
      </c>
      <c r="CQ27" s="149">
        <v>0.35</v>
      </c>
      <c r="CR27" s="149">
        <v>0.3</v>
      </c>
      <c r="CS27" s="149">
        <v>0.38</v>
      </c>
      <c r="CT27" s="149">
        <v>0.42</v>
      </c>
      <c r="CU27" s="149">
        <v>0.32</v>
      </c>
      <c r="CV27" s="149">
        <v>0.34</v>
      </c>
      <c r="CW27" s="149">
        <v>0.45</v>
      </c>
    </row>
    <row r="28" spans="1:101" x14ac:dyDescent="0.25">
      <c r="A28" s="9" t="s">
        <v>30</v>
      </c>
      <c r="B28" s="9" t="s">
        <v>1</v>
      </c>
      <c r="C28" s="9" t="s">
        <v>1</v>
      </c>
      <c r="D28" s="9"/>
      <c r="E28" s="57">
        <v>0</v>
      </c>
      <c r="F28" s="57">
        <f t="shared" si="0"/>
        <v>0</v>
      </c>
      <c r="G28" s="9"/>
      <c r="H28" s="57">
        <v>0.1044225</v>
      </c>
      <c r="I28" s="57">
        <v>0.1044225</v>
      </c>
      <c r="J28" s="57">
        <f t="shared" si="1"/>
        <v>0.1044225</v>
      </c>
      <c r="K28" s="17">
        <f t="shared" si="2"/>
        <v>0.1044225</v>
      </c>
      <c r="L28" s="17">
        <f t="shared" si="3"/>
        <v>0.1044225</v>
      </c>
      <c r="M28" s="9">
        <v>0</v>
      </c>
      <c r="N28" s="9">
        <f t="shared" si="7"/>
        <v>0</v>
      </c>
      <c r="O28" s="9">
        <f t="shared" si="8"/>
        <v>0</v>
      </c>
      <c r="P28" s="9">
        <f t="shared" si="9"/>
        <v>0</v>
      </c>
      <c r="Q28" s="9">
        <f t="shared" si="10"/>
        <v>0</v>
      </c>
      <c r="R28" s="9">
        <f t="shared" ca="1" si="11"/>
        <v>0</v>
      </c>
      <c r="S28" s="9">
        <f t="shared" ca="1" si="11"/>
        <v>0</v>
      </c>
      <c r="T28" s="9">
        <f t="shared" ca="1" si="11"/>
        <v>0</v>
      </c>
      <c r="U28" s="9">
        <f t="shared" ca="1" si="11"/>
        <v>0</v>
      </c>
      <c r="V28" s="9">
        <f t="shared" ca="1" si="11"/>
        <v>0</v>
      </c>
      <c r="W28" s="9">
        <f t="shared" ca="1" si="12"/>
        <v>1</v>
      </c>
      <c r="X28" s="9" t="s">
        <v>27</v>
      </c>
      <c r="Y28" s="9">
        <v>2033</v>
      </c>
      <c r="Z28" s="152">
        <f t="shared" si="24"/>
        <v>2034</v>
      </c>
      <c r="AA28" s="152">
        <f t="shared" si="25"/>
        <v>2035</v>
      </c>
      <c r="AB28" s="152">
        <f t="shared" si="26"/>
        <v>2035</v>
      </c>
      <c r="AC28" s="152">
        <f t="shared" si="27"/>
        <v>2035</v>
      </c>
      <c r="AD28" s="152">
        <f t="shared" si="28"/>
        <v>2034</v>
      </c>
      <c r="AE28" s="152">
        <f t="shared" si="29"/>
        <v>2034</v>
      </c>
      <c r="AF28" s="9">
        <v>9</v>
      </c>
      <c r="AG28" s="9">
        <v>6</v>
      </c>
      <c r="AH28" s="152">
        <f t="shared" si="30"/>
        <v>6</v>
      </c>
      <c r="AI28" s="152">
        <f t="shared" si="30"/>
        <v>6.9999999999990905</v>
      </c>
      <c r="AJ28" s="152">
        <f t="shared" si="30"/>
        <v>6.9999999999990905</v>
      </c>
      <c r="AK28" s="152">
        <f t="shared" ref="AK28:AK50" si="32">AF28</f>
        <v>9</v>
      </c>
      <c r="AL28" s="152">
        <f t="shared" si="31"/>
        <v>6</v>
      </c>
      <c r="AM28" s="9"/>
      <c r="AN28" s="9"/>
      <c r="AO28" s="9"/>
      <c r="AP28" s="9"/>
      <c r="AQ28" s="9"/>
      <c r="AR28" s="9"/>
      <c r="AS28" s="9"/>
      <c r="AT28" s="9">
        <v>2045</v>
      </c>
      <c r="AU28" s="9">
        <v>2044</v>
      </c>
      <c r="AV28" s="9">
        <v>2044</v>
      </c>
      <c r="AW28" s="9">
        <v>2044</v>
      </c>
      <c r="AX28" s="9">
        <v>2044</v>
      </c>
      <c r="AY28" s="9">
        <f t="shared" ref="AY28:AY50" si="33">AD28+8</f>
        <v>2042</v>
      </c>
      <c r="AZ28" s="9">
        <v>2044</v>
      </c>
      <c r="BA28" s="9">
        <v>9</v>
      </c>
      <c r="BB28" s="9">
        <v>6</v>
      </c>
      <c r="BC28" s="9">
        <v>6</v>
      </c>
      <c r="BD28" s="9">
        <v>6</v>
      </c>
      <c r="BE28" s="9">
        <v>6</v>
      </c>
      <c r="BF28" s="9">
        <f t="shared" ref="BF28:BF50" si="34">AK28</f>
        <v>9</v>
      </c>
      <c r="BG28" s="9">
        <v>6</v>
      </c>
      <c r="BH28" s="150">
        <v>1.2267192541321688</v>
      </c>
      <c r="BI28" s="150">
        <v>2.2612105538192599</v>
      </c>
      <c r="BJ28" s="150">
        <v>2.1252009430760062</v>
      </c>
      <c r="BK28" s="150">
        <v>1.2944496352201866</v>
      </c>
      <c r="BL28" s="150">
        <v>0.32314284341629806</v>
      </c>
      <c r="BM28" s="150">
        <v>0.14000000000000001</v>
      </c>
      <c r="BN28" s="150">
        <v>1.4542000570988298</v>
      </c>
      <c r="BO28" s="150">
        <v>11.984388276878477</v>
      </c>
      <c r="BP28" s="150">
        <v>-1.7475682675103321</v>
      </c>
      <c r="BQ28" s="150">
        <v>-1.7169645793441486</v>
      </c>
      <c r="BR28" s="150">
        <v>-1.4425350046709582</v>
      </c>
      <c r="BS28" s="150">
        <v>0.61768216477991222</v>
      </c>
      <c r="BT28" s="150">
        <v>0.15</v>
      </c>
      <c r="BU28" s="150">
        <v>-0.4950056673809119</v>
      </c>
      <c r="BV28" s="149">
        <v>0.15</v>
      </c>
      <c r="BW28" s="149">
        <v>0.2</v>
      </c>
      <c r="BX28" s="149">
        <v>0.12</v>
      </c>
      <c r="BY28" s="149">
        <v>0.08</v>
      </c>
      <c r="BZ28" s="149">
        <v>0.18</v>
      </c>
      <c r="CA28" s="149">
        <v>0.16</v>
      </c>
      <c r="CB28" s="149">
        <v>0.05</v>
      </c>
      <c r="CC28" s="149">
        <v>0.35</v>
      </c>
      <c r="CD28" s="149">
        <v>0.3</v>
      </c>
      <c r="CE28" s="149">
        <v>0.38</v>
      </c>
      <c r="CF28" s="149">
        <v>0.42</v>
      </c>
      <c r="CG28" s="149">
        <v>0.32</v>
      </c>
      <c r="CH28" s="149">
        <v>0.34</v>
      </c>
      <c r="CI28" s="149">
        <v>0.45</v>
      </c>
      <c r="CJ28" s="149">
        <v>0.15</v>
      </c>
      <c r="CK28" s="149">
        <v>0.2</v>
      </c>
      <c r="CL28" s="149">
        <v>0.12</v>
      </c>
      <c r="CM28" s="149">
        <v>0.08</v>
      </c>
      <c r="CN28" s="149">
        <v>0.18</v>
      </c>
      <c r="CO28" s="149">
        <v>0.16</v>
      </c>
      <c r="CP28" s="149">
        <v>0.05</v>
      </c>
      <c r="CQ28" s="149">
        <v>0.35</v>
      </c>
      <c r="CR28" s="149">
        <v>0.3</v>
      </c>
      <c r="CS28" s="149">
        <v>0.38</v>
      </c>
      <c r="CT28" s="149">
        <v>0.42</v>
      </c>
      <c r="CU28" s="149">
        <v>0.32</v>
      </c>
      <c r="CV28" s="149">
        <v>0.34</v>
      </c>
      <c r="CW28" s="149">
        <v>0.45</v>
      </c>
    </row>
    <row r="29" spans="1:101" x14ac:dyDescent="0.25">
      <c r="A29" s="9" t="s">
        <v>23</v>
      </c>
      <c r="B29" s="9" t="s">
        <v>1</v>
      </c>
      <c r="C29" s="9" t="s">
        <v>1</v>
      </c>
      <c r="D29" s="9"/>
      <c r="E29" s="57">
        <v>0</v>
      </c>
      <c r="F29" s="57">
        <f t="shared" si="0"/>
        <v>0</v>
      </c>
      <c r="G29" s="9"/>
      <c r="H29" s="57">
        <v>0.1044225</v>
      </c>
      <c r="I29" s="57">
        <v>0.1044225</v>
      </c>
      <c r="J29" s="57">
        <f t="shared" si="1"/>
        <v>0.1044225</v>
      </c>
      <c r="K29" s="17">
        <f t="shared" si="2"/>
        <v>0.1044225</v>
      </c>
      <c r="L29" s="17">
        <f t="shared" si="3"/>
        <v>0.1044225</v>
      </c>
      <c r="M29" s="9">
        <v>0</v>
      </c>
      <c r="N29" s="9">
        <f t="shared" si="7"/>
        <v>0</v>
      </c>
      <c r="O29" s="9">
        <f t="shared" si="8"/>
        <v>0</v>
      </c>
      <c r="P29" s="9">
        <f t="shared" si="9"/>
        <v>0</v>
      </c>
      <c r="Q29" s="9">
        <f t="shared" si="10"/>
        <v>0</v>
      </c>
      <c r="R29" s="9">
        <f t="shared" ca="1" si="11"/>
        <v>0</v>
      </c>
      <c r="S29" s="9">
        <f t="shared" ca="1" si="11"/>
        <v>0</v>
      </c>
      <c r="T29" s="9">
        <f t="shared" ca="1" si="11"/>
        <v>1</v>
      </c>
      <c r="U29" s="9">
        <f t="shared" ca="1" si="11"/>
        <v>0</v>
      </c>
      <c r="V29" s="9">
        <f t="shared" ca="1" si="11"/>
        <v>0</v>
      </c>
      <c r="W29" s="9">
        <f t="shared" ca="1" si="12"/>
        <v>0</v>
      </c>
      <c r="X29" s="9" t="s">
        <v>20</v>
      </c>
      <c r="Y29" s="9">
        <v>2030</v>
      </c>
      <c r="Z29" s="152">
        <f t="shared" si="24"/>
        <v>2031</v>
      </c>
      <c r="AA29" s="152">
        <f t="shared" si="25"/>
        <v>2032</v>
      </c>
      <c r="AB29" s="152">
        <f t="shared" si="26"/>
        <v>2032</v>
      </c>
      <c r="AC29" s="152">
        <f t="shared" si="27"/>
        <v>2032</v>
      </c>
      <c r="AD29" s="152">
        <f t="shared" si="28"/>
        <v>2031</v>
      </c>
      <c r="AE29" s="152">
        <f t="shared" si="29"/>
        <v>2031</v>
      </c>
      <c r="AF29" s="9">
        <v>6</v>
      </c>
      <c r="AG29" s="9">
        <v>3</v>
      </c>
      <c r="AH29" s="152">
        <f t="shared" si="30"/>
        <v>3</v>
      </c>
      <c r="AI29" s="152">
        <f t="shared" si="30"/>
        <v>3.9999999999990905</v>
      </c>
      <c r="AJ29" s="152">
        <f t="shared" si="30"/>
        <v>3.9999999999990905</v>
      </c>
      <c r="AK29" s="152">
        <f t="shared" si="32"/>
        <v>6</v>
      </c>
      <c r="AL29" s="152">
        <f t="shared" si="31"/>
        <v>3</v>
      </c>
      <c r="AM29" s="9"/>
      <c r="AN29" s="9"/>
      <c r="AO29" s="9"/>
      <c r="AP29" s="9"/>
      <c r="AQ29" s="9"/>
      <c r="AR29" s="9"/>
      <c r="AS29" s="9"/>
      <c r="AT29" s="9">
        <v>2042</v>
      </c>
      <c r="AU29" s="9">
        <v>2041</v>
      </c>
      <c r="AV29" s="9">
        <v>2041</v>
      </c>
      <c r="AW29" s="9">
        <v>2041</v>
      </c>
      <c r="AX29" s="9">
        <v>2041</v>
      </c>
      <c r="AY29" s="9">
        <f t="shared" si="33"/>
        <v>2039</v>
      </c>
      <c r="AZ29" s="9">
        <v>2041</v>
      </c>
      <c r="BA29" s="9">
        <v>6</v>
      </c>
      <c r="BB29" s="9">
        <v>3</v>
      </c>
      <c r="BC29" s="9">
        <v>3</v>
      </c>
      <c r="BD29" s="9">
        <v>3</v>
      </c>
      <c r="BE29" s="9">
        <v>3</v>
      </c>
      <c r="BF29" s="9">
        <f t="shared" si="34"/>
        <v>6</v>
      </c>
      <c r="BG29" s="9">
        <v>3</v>
      </c>
      <c r="BH29" s="150">
        <v>1.2267192541321688</v>
      </c>
      <c r="BI29" s="150">
        <v>2.2612105538192599</v>
      </c>
      <c r="BJ29" s="150">
        <v>2.1252009430760062</v>
      </c>
      <c r="BK29" s="150">
        <v>1.2944496352201866</v>
      </c>
      <c r="BL29" s="150">
        <v>0.32314284341629806</v>
      </c>
      <c r="BM29" s="150">
        <v>0.14000000000000001</v>
      </c>
      <c r="BN29" s="150">
        <v>1.4542000570988298</v>
      </c>
      <c r="BO29" s="150">
        <v>11.984388276878477</v>
      </c>
      <c r="BP29" s="150">
        <v>-1.7475682675103321</v>
      </c>
      <c r="BQ29" s="150">
        <v>-1.7169645793441486</v>
      </c>
      <c r="BR29" s="150">
        <v>-1.4425350046709582</v>
      </c>
      <c r="BS29" s="150">
        <v>0.61768216477991222</v>
      </c>
      <c r="BT29" s="150">
        <v>0.15</v>
      </c>
      <c r="BU29" s="150">
        <v>-0.4950056673809119</v>
      </c>
      <c r="BV29" s="149">
        <v>0.15</v>
      </c>
      <c r="BW29" s="149">
        <v>0.2</v>
      </c>
      <c r="BX29" s="149">
        <v>0.12</v>
      </c>
      <c r="BY29" s="149">
        <v>0.08</v>
      </c>
      <c r="BZ29" s="149">
        <v>0.18</v>
      </c>
      <c r="CA29" s="149">
        <v>0.16</v>
      </c>
      <c r="CB29" s="149">
        <v>0.05</v>
      </c>
      <c r="CC29" s="149">
        <v>0.35</v>
      </c>
      <c r="CD29" s="149">
        <v>0.3</v>
      </c>
      <c r="CE29" s="149">
        <v>0.38</v>
      </c>
      <c r="CF29" s="149">
        <v>0.42</v>
      </c>
      <c r="CG29" s="149">
        <v>0.32</v>
      </c>
      <c r="CH29" s="149">
        <v>0.34</v>
      </c>
      <c r="CI29" s="149">
        <v>0.45</v>
      </c>
      <c r="CJ29" s="149">
        <v>0.15</v>
      </c>
      <c r="CK29" s="149">
        <v>0.2</v>
      </c>
      <c r="CL29" s="149">
        <v>0.12</v>
      </c>
      <c r="CM29" s="149">
        <v>0.08</v>
      </c>
      <c r="CN29" s="149">
        <v>0.18</v>
      </c>
      <c r="CO29" s="149">
        <v>0.16</v>
      </c>
      <c r="CP29" s="149">
        <v>0.05</v>
      </c>
      <c r="CQ29" s="149">
        <v>0.35</v>
      </c>
      <c r="CR29" s="149">
        <v>0.3</v>
      </c>
      <c r="CS29" s="149">
        <v>0.38</v>
      </c>
      <c r="CT29" s="149">
        <v>0.42</v>
      </c>
      <c r="CU29" s="149">
        <v>0.32</v>
      </c>
      <c r="CV29" s="149">
        <v>0.34</v>
      </c>
      <c r="CW29" s="149">
        <v>0.45</v>
      </c>
    </row>
    <row r="30" spans="1:101" x14ac:dyDescent="0.25">
      <c r="A30" s="9" t="s">
        <v>19</v>
      </c>
      <c r="B30" s="9" t="s">
        <v>1</v>
      </c>
      <c r="C30" s="9" t="s">
        <v>1</v>
      </c>
      <c r="D30" s="9"/>
      <c r="E30" s="57">
        <v>0</v>
      </c>
      <c r="F30" s="57">
        <f t="shared" si="0"/>
        <v>0</v>
      </c>
      <c r="G30" s="9"/>
      <c r="H30" s="57">
        <v>0.1044225</v>
      </c>
      <c r="I30" s="57">
        <v>0.1044225</v>
      </c>
      <c r="J30" s="57">
        <f t="shared" si="1"/>
        <v>0.1044225</v>
      </c>
      <c r="K30" s="17">
        <f t="shared" si="2"/>
        <v>0.1044225</v>
      </c>
      <c r="L30" s="17">
        <f t="shared" si="3"/>
        <v>0.1044225</v>
      </c>
      <c r="M30" s="9">
        <v>0</v>
      </c>
      <c r="N30" s="9">
        <f t="shared" si="7"/>
        <v>0</v>
      </c>
      <c r="O30" s="9">
        <f t="shared" si="8"/>
        <v>0</v>
      </c>
      <c r="P30" s="9">
        <f t="shared" si="9"/>
        <v>0</v>
      </c>
      <c r="Q30" s="9">
        <f t="shared" si="10"/>
        <v>0</v>
      </c>
      <c r="R30" s="9">
        <f t="shared" ca="1" si="11"/>
        <v>0</v>
      </c>
      <c r="S30" s="9">
        <f t="shared" ca="1" si="11"/>
        <v>1</v>
      </c>
      <c r="T30" s="9">
        <f t="shared" ca="1" si="11"/>
        <v>0</v>
      </c>
      <c r="U30" s="9">
        <f t="shared" ca="1" si="11"/>
        <v>0</v>
      </c>
      <c r="V30" s="9">
        <f t="shared" ca="1" si="11"/>
        <v>0</v>
      </c>
      <c r="W30" s="9">
        <f t="shared" ca="1" si="12"/>
        <v>1</v>
      </c>
      <c r="X30" s="9" t="s">
        <v>16</v>
      </c>
      <c r="Y30" s="9">
        <v>2029</v>
      </c>
      <c r="Z30" s="152">
        <f t="shared" si="24"/>
        <v>2030</v>
      </c>
      <c r="AA30" s="152">
        <f t="shared" si="25"/>
        <v>2031</v>
      </c>
      <c r="AB30" s="152">
        <f t="shared" si="26"/>
        <v>2031</v>
      </c>
      <c r="AC30" s="152">
        <f t="shared" si="27"/>
        <v>2031</v>
      </c>
      <c r="AD30" s="152">
        <f t="shared" si="28"/>
        <v>2030</v>
      </c>
      <c r="AE30" s="152">
        <f t="shared" si="29"/>
        <v>2030</v>
      </c>
      <c r="AF30" s="9">
        <v>11</v>
      </c>
      <c r="AG30" s="9">
        <v>8</v>
      </c>
      <c r="AH30" s="152">
        <f t="shared" si="30"/>
        <v>8.0000000000009095</v>
      </c>
      <c r="AI30" s="152">
        <f t="shared" si="30"/>
        <v>9</v>
      </c>
      <c r="AJ30" s="152">
        <f t="shared" si="30"/>
        <v>9</v>
      </c>
      <c r="AK30" s="152">
        <f t="shared" si="32"/>
        <v>11</v>
      </c>
      <c r="AL30" s="152">
        <f t="shared" si="31"/>
        <v>8.0000000000009095</v>
      </c>
      <c r="AM30" s="9"/>
      <c r="AN30" s="9"/>
      <c r="AO30" s="9"/>
      <c r="AP30" s="9"/>
      <c r="AQ30" s="9"/>
      <c r="AR30" s="9"/>
      <c r="AS30" s="9"/>
      <c r="AT30" s="9">
        <v>2041</v>
      </c>
      <c r="AU30" s="9">
        <v>2040</v>
      </c>
      <c r="AV30" s="9">
        <v>2040</v>
      </c>
      <c r="AW30" s="9">
        <v>2040</v>
      </c>
      <c r="AX30" s="9">
        <v>2040</v>
      </c>
      <c r="AY30" s="9">
        <f t="shared" si="33"/>
        <v>2038</v>
      </c>
      <c r="AZ30" s="9">
        <v>2040</v>
      </c>
      <c r="BA30" s="9">
        <v>11</v>
      </c>
      <c r="BB30" s="9">
        <v>8</v>
      </c>
      <c r="BC30" s="9">
        <v>8</v>
      </c>
      <c r="BD30" s="9">
        <v>8</v>
      </c>
      <c r="BE30" s="9">
        <v>8</v>
      </c>
      <c r="BF30" s="9">
        <f t="shared" si="34"/>
        <v>11</v>
      </c>
      <c r="BG30" s="9">
        <v>8</v>
      </c>
      <c r="BH30" s="150">
        <v>1.2267192541321688</v>
      </c>
      <c r="BI30" s="150">
        <v>2.2612105538192599</v>
      </c>
      <c r="BJ30" s="150">
        <v>2.1252009430760062</v>
      </c>
      <c r="BK30" s="150">
        <v>1.2944496352201866</v>
      </c>
      <c r="BL30" s="150">
        <v>0.32314284341629806</v>
      </c>
      <c r="BM30" s="150">
        <v>0.14000000000000001</v>
      </c>
      <c r="BN30" s="150">
        <v>1.4542000570988298</v>
      </c>
      <c r="BO30" s="150">
        <v>11.984388276878477</v>
      </c>
      <c r="BP30" s="150">
        <v>-1.7475682675103321</v>
      </c>
      <c r="BQ30" s="150">
        <v>-1.7169645793441486</v>
      </c>
      <c r="BR30" s="150">
        <v>-1.4425350046709582</v>
      </c>
      <c r="BS30" s="150">
        <v>0.61768216477991222</v>
      </c>
      <c r="BT30" s="150">
        <v>0.15</v>
      </c>
      <c r="BU30" s="150">
        <v>-0.4950056673809119</v>
      </c>
      <c r="BV30" s="149">
        <v>0.15</v>
      </c>
      <c r="BW30" s="149">
        <v>0.2</v>
      </c>
      <c r="BX30" s="149">
        <v>0.12</v>
      </c>
      <c r="BY30" s="149">
        <v>0.08</v>
      </c>
      <c r="BZ30" s="149">
        <v>0.18</v>
      </c>
      <c r="CA30" s="149">
        <v>0.16</v>
      </c>
      <c r="CB30" s="149">
        <v>0.05</v>
      </c>
      <c r="CC30" s="149">
        <v>0.35</v>
      </c>
      <c r="CD30" s="149">
        <v>0.3</v>
      </c>
      <c r="CE30" s="149">
        <v>0.38</v>
      </c>
      <c r="CF30" s="149">
        <v>0.42</v>
      </c>
      <c r="CG30" s="149">
        <v>0.32</v>
      </c>
      <c r="CH30" s="149">
        <v>0.34</v>
      </c>
      <c r="CI30" s="149">
        <v>0.45</v>
      </c>
      <c r="CJ30" s="149">
        <v>0.15</v>
      </c>
      <c r="CK30" s="149">
        <v>0.2</v>
      </c>
      <c r="CL30" s="149">
        <v>0.12</v>
      </c>
      <c r="CM30" s="149">
        <v>0.08</v>
      </c>
      <c r="CN30" s="149">
        <v>0.18</v>
      </c>
      <c r="CO30" s="149">
        <v>0.16</v>
      </c>
      <c r="CP30" s="149">
        <v>0.05</v>
      </c>
      <c r="CQ30" s="149">
        <v>0.35</v>
      </c>
      <c r="CR30" s="149">
        <v>0.3</v>
      </c>
      <c r="CS30" s="149">
        <v>0.38</v>
      </c>
      <c r="CT30" s="149">
        <v>0.42</v>
      </c>
      <c r="CU30" s="149">
        <v>0.32</v>
      </c>
      <c r="CV30" s="149">
        <v>0.34</v>
      </c>
      <c r="CW30" s="149">
        <v>0.45</v>
      </c>
    </row>
    <row r="31" spans="1:101" x14ac:dyDescent="0.25">
      <c r="A31" s="9" t="s">
        <v>26</v>
      </c>
      <c r="B31" s="9" t="s">
        <v>1</v>
      </c>
      <c r="C31" s="9" t="s">
        <v>1</v>
      </c>
      <c r="D31" s="9"/>
      <c r="E31" s="57">
        <v>0</v>
      </c>
      <c r="F31" s="57">
        <f t="shared" si="0"/>
        <v>0</v>
      </c>
      <c r="G31" s="9"/>
      <c r="H31" s="57">
        <v>0.1044225</v>
      </c>
      <c r="I31" s="57">
        <v>0.1044225</v>
      </c>
      <c r="J31" s="57">
        <f t="shared" si="1"/>
        <v>0.1044225</v>
      </c>
      <c r="K31" s="17">
        <f t="shared" si="2"/>
        <v>0.1044225</v>
      </c>
      <c r="L31" s="17">
        <f t="shared" si="3"/>
        <v>0.1044225</v>
      </c>
      <c r="M31" s="9">
        <v>0</v>
      </c>
      <c r="N31" s="9">
        <f t="shared" si="7"/>
        <v>0</v>
      </c>
      <c r="O31" s="9">
        <f t="shared" si="8"/>
        <v>0</v>
      </c>
      <c r="P31" s="9">
        <f t="shared" si="9"/>
        <v>0</v>
      </c>
      <c r="Q31" s="9">
        <f t="shared" si="10"/>
        <v>0</v>
      </c>
      <c r="R31" s="9">
        <f t="shared" ca="1" si="11"/>
        <v>0</v>
      </c>
      <c r="S31" s="9">
        <f t="shared" ca="1" si="11"/>
        <v>1</v>
      </c>
      <c r="T31" s="9">
        <f t="shared" ca="1" si="11"/>
        <v>0</v>
      </c>
      <c r="U31" s="9">
        <f t="shared" ca="1" si="11"/>
        <v>1</v>
      </c>
      <c r="V31" s="9">
        <f t="shared" ca="1" si="11"/>
        <v>1</v>
      </c>
      <c r="W31" s="9">
        <f t="shared" ca="1" si="12"/>
        <v>0</v>
      </c>
      <c r="X31" s="9" t="s">
        <v>24</v>
      </c>
      <c r="Y31" s="9">
        <v>2031</v>
      </c>
      <c r="Z31" s="152">
        <f t="shared" si="24"/>
        <v>2032</v>
      </c>
      <c r="AA31" s="152">
        <f t="shared" si="25"/>
        <v>2033</v>
      </c>
      <c r="AB31" s="152">
        <f t="shared" si="26"/>
        <v>2033</v>
      </c>
      <c r="AC31" s="152">
        <f t="shared" si="27"/>
        <v>2033</v>
      </c>
      <c r="AD31" s="152">
        <f t="shared" si="28"/>
        <v>2032</v>
      </c>
      <c r="AE31" s="152">
        <f t="shared" si="29"/>
        <v>2032</v>
      </c>
      <c r="AF31" s="9">
        <v>4</v>
      </c>
      <c r="AG31" s="9">
        <v>2</v>
      </c>
      <c r="AH31" s="152">
        <f t="shared" si="30"/>
        <v>2.0000000000009095</v>
      </c>
      <c r="AI31" s="152">
        <f t="shared" si="30"/>
        <v>3</v>
      </c>
      <c r="AJ31" s="152">
        <f t="shared" si="30"/>
        <v>3</v>
      </c>
      <c r="AK31" s="152">
        <f t="shared" si="32"/>
        <v>4</v>
      </c>
      <c r="AL31" s="152">
        <f t="shared" si="31"/>
        <v>2.0000000000009095</v>
      </c>
      <c r="AM31" s="9"/>
      <c r="AN31" s="9"/>
      <c r="AO31" s="9"/>
      <c r="AP31" s="9"/>
      <c r="AQ31" s="9"/>
      <c r="AR31" s="9"/>
      <c r="AS31" s="9"/>
      <c r="AT31" s="9">
        <v>2043</v>
      </c>
      <c r="AU31" s="9">
        <v>2042</v>
      </c>
      <c r="AV31" s="9">
        <v>2042</v>
      </c>
      <c r="AW31" s="9">
        <v>2042</v>
      </c>
      <c r="AX31" s="9">
        <v>2042</v>
      </c>
      <c r="AY31" s="9">
        <f t="shared" si="33"/>
        <v>2040</v>
      </c>
      <c r="AZ31" s="9">
        <v>2042</v>
      </c>
      <c r="BA31" s="9">
        <v>4</v>
      </c>
      <c r="BB31" s="9">
        <v>2</v>
      </c>
      <c r="BC31" s="9">
        <v>2</v>
      </c>
      <c r="BD31" s="9">
        <v>2</v>
      </c>
      <c r="BE31" s="9">
        <v>2</v>
      </c>
      <c r="BF31" s="9">
        <f t="shared" si="34"/>
        <v>4</v>
      </c>
      <c r="BG31" s="9">
        <v>2</v>
      </c>
      <c r="BH31" s="150">
        <v>1.2267192541321688</v>
      </c>
      <c r="BI31" s="150">
        <v>2.2612105538192599</v>
      </c>
      <c r="BJ31" s="150">
        <v>2.1252009430760062</v>
      </c>
      <c r="BK31" s="150">
        <v>1.2944496352201866</v>
      </c>
      <c r="BL31" s="150">
        <v>0.32314284341629806</v>
      </c>
      <c r="BM31" s="150">
        <v>0.14000000000000001</v>
      </c>
      <c r="BN31" s="150">
        <v>1.4542000570988298</v>
      </c>
      <c r="BO31" s="150">
        <v>11.984388276878477</v>
      </c>
      <c r="BP31" s="150">
        <v>-1.7475682675103321</v>
      </c>
      <c r="BQ31" s="150">
        <v>-1.7169645793441486</v>
      </c>
      <c r="BR31" s="150">
        <v>-1.4425350046709582</v>
      </c>
      <c r="BS31" s="150">
        <v>0.61768216477991222</v>
      </c>
      <c r="BT31" s="150">
        <v>0.15</v>
      </c>
      <c r="BU31" s="150">
        <v>-0.4950056673809119</v>
      </c>
      <c r="BV31" s="149">
        <v>0.15</v>
      </c>
      <c r="BW31" s="149">
        <v>0.2</v>
      </c>
      <c r="BX31" s="149">
        <v>0.12</v>
      </c>
      <c r="BY31" s="149">
        <v>0.08</v>
      </c>
      <c r="BZ31" s="149">
        <v>0.18</v>
      </c>
      <c r="CA31" s="149">
        <v>0.16</v>
      </c>
      <c r="CB31" s="149">
        <v>0.05</v>
      </c>
      <c r="CC31" s="149">
        <v>0.35</v>
      </c>
      <c r="CD31" s="149">
        <v>0.3</v>
      </c>
      <c r="CE31" s="149">
        <v>0.38</v>
      </c>
      <c r="CF31" s="149">
        <v>0.42</v>
      </c>
      <c r="CG31" s="149">
        <v>0.32</v>
      </c>
      <c r="CH31" s="149">
        <v>0.34</v>
      </c>
      <c r="CI31" s="149">
        <v>0.45</v>
      </c>
      <c r="CJ31" s="149">
        <v>0.15</v>
      </c>
      <c r="CK31" s="149">
        <v>0.2</v>
      </c>
      <c r="CL31" s="149">
        <v>0.12</v>
      </c>
      <c r="CM31" s="149">
        <v>0.08</v>
      </c>
      <c r="CN31" s="149">
        <v>0.18</v>
      </c>
      <c r="CO31" s="149">
        <v>0.16</v>
      </c>
      <c r="CP31" s="149">
        <v>0.05</v>
      </c>
      <c r="CQ31" s="149">
        <v>0.35</v>
      </c>
      <c r="CR31" s="149">
        <v>0.3</v>
      </c>
      <c r="CS31" s="149">
        <v>0.38</v>
      </c>
      <c r="CT31" s="149">
        <v>0.42</v>
      </c>
      <c r="CU31" s="149">
        <v>0.32</v>
      </c>
      <c r="CV31" s="149">
        <v>0.34</v>
      </c>
      <c r="CW31" s="149">
        <v>0.45</v>
      </c>
    </row>
    <row r="32" spans="1:101" x14ac:dyDescent="0.25">
      <c r="A32" s="9" t="s">
        <v>37</v>
      </c>
      <c r="B32" s="9" t="s">
        <v>1</v>
      </c>
      <c r="C32" s="9" t="s">
        <v>1</v>
      </c>
      <c r="D32" s="9"/>
      <c r="E32" s="57">
        <v>0</v>
      </c>
      <c r="F32" s="57">
        <f t="shared" si="0"/>
        <v>0</v>
      </c>
      <c r="G32" s="9"/>
      <c r="H32" s="57">
        <v>0.1044225</v>
      </c>
      <c r="I32" s="57">
        <v>0.1044225</v>
      </c>
      <c r="J32" s="57">
        <f t="shared" si="1"/>
        <v>0.1044225</v>
      </c>
      <c r="K32" s="17">
        <f t="shared" si="2"/>
        <v>0.1044225</v>
      </c>
      <c r="L32" s="17">
        <f t="shared" si="3"/>
        <v>0.1044225</v>
      </c>
      <c r="M32" s="9">
        <v>0</v>
      </c>
      <c r="N32" s="9">
        <f t="shared" si="7"/>
        <v>0</v>
      </c>
      <c r="O32" s="9">
        <f t="shared" si="8"/>
        <v>0</v>
      </c>
      <c r="P32" s="9">
        <f t="shared" si="9"/>
        <v>0</v>
      </c>
      <c r="Q32" s="9">
        <f t="shared" si="10"/>
        <v>0</v>
      </c>
      <c r="R32" s="9">
        <f t="shared" ca="1" si="11"/>
        <v>1</v>
      </c>
      <c r="S32" s="9">
        <f t="shared" ca="1" si="11"/>
        <v>1</v>
      </c>
      <c r="T32" s="9">
        <f t="shared" ca="1" si="11"/>
        <v>0</v>
      </c>
      <c r="U32" s="9">
        <f t="shared" ca="1" si="11"/>
        <v>0</v>
      </c>
      <c r="V32" s="9">
        <f t="shared" ca="1" si="11"/>
        <v>0</v>
      </c>
      <c r="W32" s="9">
        <f t="shared" ca="1" si="12"/>
        <v>0</v>
      </c>
      <c r="X32" s="9" t="s">
        <v>34</v>
      </c>
      <c r="Y32" s="9">
        <v>2032</v>
      </c>
      <c r="Z32" s="152">
        <f t="shared" si="24"/>
        <v>2033</v>
      </c>
      <c r="AA32" s="152">
        <f t="shared" si="25"/>
        <v>2034</v>
      </c>
      <c r="AB32" s="152">
        <f t="shared" si="26"/>
        <v>2034</v>
      </c>
      <c r="AC32" s="152">
        <f t="shared" si="27"/>
        <v>2034</v>
      </c>
      <c r="AD32" s="152">
        <f t="shared" si="28"/>
        <v>2033</v>
      </c>
      <c r="AE32" s="152">
        <f t="shared" si="29"/>
        <v>2033</v>
      </c>
      <c r="AF32" s="9">
        <v>6</v>
      </c>
      <c r="AG32" s="9">
        <v>2</v>
      </c>
      <c r="AH32" s="152">
        <f t="shared" si="30"/>
        <v>2.0000000000009095</v>
      </c>
      <c r="AI32" s="152">
        <f t="shared" si="30"/>
        <v>3</v>
      </c>
      <c r="AJ32" s="152">
        <f t="shared" si="30"/>
        <v>3</v>
      </c>
      <c r="AK32" s="152">
        <f t="shared" si="32"/>
        <v>6</v>
      </c>
      <c r="AL32" s="152">
        <f t="shared" si="31"/>
        <v>2.0000000000009095</v>
      </c>
      <c r="AM32" s="9"/>
      <c r="AN32" s="9"/>
      <c r="AO32" s="9"/>
      <c r="AP32" s="9"/>
      <c r="AQ32" s="9"/>
      <c r="AR32" s="9"/>
      <c r="AS32" s="9"/>
      <c r="AT32" s="9">
        <v>2044</v>
      </c>
      <c r="AU32" s="9">
        <v>2043</v>
      </c>
      <c r="AV32" s="9">
        <v>2043</v>
      </c>
      <c r="AW32" s="9">
        <v>2043</v>
      </c>
      <c r="AX32" s="9">
        <v>2043</v>
      </c>
      <c r="AY32" s="9">
        <f t="shared" si="33"/>
        <v>2041</v>
      </c>
      <c r="AZ32" s="9">
        <v>2043</v>
      </c>
      <c r="BA32" s="9">
        <v>6</v>
      </c>
      <c r="BB32" s="9">
        <v>2</v>
      </c>
      <c r="BC32" s="9">
        <v>2</v>
      </c>
      <c r="BD32" s="9">
        <v>2</v>
      </c>
      <c r="BE32" s="9">
        <v>2</v>
      </c>
      <c r="BF32" s="9">
        <f t="shared" si="34"/>
        <v>6</v>
      </c>
      <c r="BG32" s="9">
        <v>2</v>
      </c>
      <c r="BH32" s="150">
        <v>1.2267192541321688</v>
      </c>
      <c r="BI32" s="150">
        <v>2.2612105538192599</v>
      </c>
      <c r="BJ32" s="150">
        <v>2.1252009430760062</v>
      </c>
      <c r="BK32" s="150">
        <v>1.2944496352201866</v>
      </c>
      <c r="BL32" s="150">
        <v>0.32314284341629806</v>
      </c>
      <c r="BM32" s="150">
        <v>0.14000000000000001</v>
      </c>
      <c r="BN32" s="150">
        <v>1.4542000570988298</v>
      </c>
      <c r="BO32" s="150">
        <v>11.984388276878477</v>
      </c>
      <c r="BP32" s="150">
        <v>-1.7475682675103321</v>
      </c>
      <c r="BQ32" s="150">
        <v>-1.7169645793441486</v>
      </c>
      <c r="BR32" s="150">
        <v>-1.4425350046709582</v>
      </c>
      <c r="BS32" s="150">
        <v>0.61768216477991222</v>
      </c>
      <c r="BT32" s="150">
        <v>0.15</v>
      </c>
      <c r="BU32" s="150">
        <v>-0.4950056673809119</v>
      </c>
      <c r="BV32" s="149">
        <v>0.15</v>
      </c>
      <c r="BW32" s="149">
        <v>0.2</v>
      </c>
      <c r="BX32" s="149">
        <v>0.12</v>
      </c>
      <c r="BY32" s="149">
        <v>0.08</v>
      </c>
      <c r="BZ32" s="149">
        <v>0.18</v>
      </c>
      <c r="CA32" s="149">
        <v>0.16</v>
      </c>
      <c r="CB32" s="149">
        <v>0.05</v>
      </c>
      <c r="CC32" s="149">
        <v>0.35</v>
      </c>
      <c r="CD32" s="149">
        <v>0.3</v>
      </c>
      <c r="CE32" s="149">
        <v>0.38</v>
      </c>
      <c r="CF32" s="149">
        <v>0.42</v>
      </c>
      <c r="CG32" s="149">
        <v>0.32</v>
      </c>
      <c r="CH32" s="149">
        <v>0.34</v>
      </c>
      <c r="CI32" s="149">
        <v>0.45</v>
      </c>
      <c r="CJ32" s="149">
        <v>0.15</v>
      </c>
      <c r="CK32" s="149">
        <v>0.2</v>
      </c>
      <c r="CL32" s="149">
        <v>0.12</v>
      </c>
      <c r="CM32" s="149">
        <v>0.08</v>
      </c>
      <c r="CN32" s="149">
        <v>0.18</v>
      </c>
      <c r="CO32" s="149">
        <v>0.16</v>
      </c>
      <c r="CP32" s="149">
        <v>0.05</v>
      </c>
      <c r="CQ32" s="149">
        <v>0.35</v>
      </c>
      <c r="CR32" s="149">
        <v>0.3</v>
      </c>
      <c r="CS32" s="149">
        <v>0.38</v>
      </c>
      <c r="CT32" s="149">
        <v>0.42</v>
      </c>
      <c r="CU32" s="149">
        <v>0.32</v>
      </c>
      <c r="CV32" s="149">
        <v>0.34</v>
      </c>
      <c r="CW32" s="149">
        <v>0.45</v>
      </c>
    </row>
    <row r="33" spans="1:101" x14ac:dyDescent="0.25">
      <c r="A33" s="9" t="s">
        <v>41</v>
      </c>
      <c r="B33" s="9" t="s">
        <v>1</v>
      </c>
      <c r="C33" s="9" t="s">
        <v>1</v>
      </c>
      <c r="D33" s="9"/>
      <c r="E33" s="57">
        <v>0</v>
      </c>
      <c r="F33" s="57">
        <f t="shared" si="0"/>
        <v>0</v>
      </c>
      <c r="G33" s="9"/>
      <c r="H33" s="57">
        <v>0.1044225</v>
      </c>
      <c r="I33" s="57">
        <v>0.1044225</v>
      </c>
      <c r="J33" s="57">
        <f t="shared" si="1"/>
        <v>0.1044225</v>
      </c>
      <c r="K33" s="17">
        <f t="shared" si="2"/>
        <v>0.1044225</v>
      </c>
      <c r="L33" s="17">
        <f t="shared" si="3"/>
        <v>0.1044225</v>
      </c>
      <c r="M33" s="9">
        <v>0</v>
      </c>
      <c r="N33" s="9">
        <f t="shared" si="7"/>
        <v>0</v>
      </c>
      <c r="O33" s="9">
        <f t="shared" si="8"/>
        <v>0</v>
      </c>
      <c r="P33" s="9">
        <f t="shared" si="9"/>
        <v>0</v>
      </c>
      <c r="Q33" s="9">
        <f t="shared" si="10"/>
        <v>0</v>
      </c>
      <c r="R33" s="9">
        <f t="shared" ca="1" si="11"/>
        <v>1</v>
      </c>
      <c r="S33" s="9">
        <f t="shared" ca="1" si="11"/>
        <v>0</v>
      </c>
      <c r="T33" s="9">
        <f t="shared" ca="1" si="11"/>
        <v>1</v>
      </c>
      <c r="U33" s="9">
        <f t="shared" ca="1" si="11"/>
        <v>0</v>
      </c>
      <c r="V33" s="9">
        <f t="shared" ca="1" si="11"/>
        <v>0</v>
      </c>
      <c r="W33" s="9">
        <f t="shared" ca="1" si="12"/>
        <v>0</v>
      </c>
      <c r="X33" s="9" t="s">
        <v>38</v>
      </c>
      <c r="Y33" s="9">
        <v>2027</v>
      </c>
      <c r="Z33" s="152">
        <f t="shared" si="24"/>
        <v>2028</v>
      </c>
      <c r="AA33" s="152">
        <f t="shared" si="25"/>
        <v>2029</v>
      </c>
      <c r="AB33" s="152">
        <f t="shared" si="26"/>
        <v>2029</v>
      </c>
      <c r="AC33" s="152">
        <f t="shared" si="27"/>
        <v>2029</v>
      </c>
      <c r="AD33" s="152">
        <f t="shared" si="28"/>
        <v>2028</v>
      </c>
      <c r="AE33" s="152">
        <f t="shared" si="29"/>
        <v>2028</v>
      </c>
      <c r="AF33" s="9">
        <v>8</v>
      </c>
      <c r="AG33" s="9">
        <v>3</v>
      </c>
      <c r="AH33" s="152">
        <f t="shared" si="30"/>
        <v>3</v>
      </c>
      <c r="AI33" s="152">
        <f t="shared" si="30"/>
        <v>3.9999999999990905</v>
      </c>
      <c r="AJ33" s="152">
        <f t="shared" si="30"/>
        <v>3.9999999999990905</v>
      </c>
      <c r="AK33" s="152">
        <f t="shared" si="32"/>
        <v>8</v>
      </c>
      <c r="AL33" s="152">
        <f t="shared" si="31"/>
        <v>3</v>
      </c>
      <c r="AM33" s="9"/>
      <c r="AN33" s="9"/>
      <c r="AO33" s="9"/>
      <c r="AP33" s="9"/>
      <c r="AQ33" s="9"/>
      <c r="AR33" s="9"/>
      <c r="AS33" s="9"/>
      <c r="AT33" s="9">
        <v>2039</v>
      </c>
      <c r="AU33" s="9">
        <v>2038</v>
      </c>
      <c r="AV33" s="9">
        <v>2038</v>
      </c>
      <c r="AW33" s="9">
        <v>2038</v>
      </c>
      <c r="AX33" s="9">
        <v>2038</v>
      </c>
      <c r="AY33" s="9">
        <f t="shared" si="33"/>
        <v>2036</v>
      </c>
      <c r="AZ33" s="9">
        <v>2038</v>
      </c>
      <c r="BA33" s="9">
        <v>8</v>
      </c>
      <c r="BB33" s="9">
        <v>3</v>
      </c>
      <c r="BC33" s="9">
        <v>3</v>
      </c>
      <c r="BD33" s="9">
        <v>3</v>
      </c>
      <c r="BE33" s="9">
        <v>3</v>
      </c>
      <c r="BF33" s="9">
        <f t="shared" si="34"/>
        <v>8</v>
      </c>
      <c r="BG33" s="9">
        <v>3</v>
      </c>
      <c r="BH33" s="150">
        <v>1.2267192541321688</v>
      </c>
      <c r="BI33" s="150">
        <v>2.2612105538192599</v>
      </c>
      <c r="BJ33" s="150">
        <v>2.1252009430760062</v>
      </c>
      <c r="BK33" s="150">
        <v>1.2944496352201866</v>
      </c>
      <c r="BL33" s="150">
        <v>0.32314284341629806</v>
      </c>
      <c r="BM33" s="150">
        <v>0.14000000000000001</v>
      </c>
      <c r="BN33" s="150">
        <v>1.4542000570988298</v>
      </c>
      <c r="BO33" s="150">
        <v>11.984388276878477</v>
      </c>
      <c r="BP33" s="150">
        <v>-1.7475682675103321</v>
      </c>
      <c r="BQ33" s="150">
        <v>-1.7169645793441486</v>
      </c>
      <c r="BR33" s="150">
        <v>-1.4425350046709582</v>
      </c>
      <c r="BS33" s="150">
        <v>0.61768216477991222</v>
      </c>
      <c r="BT33" s="150">
        <v>0.15</v>
      </c>
      <c r="BU33" s="150">
        <v>-0.4950056673809119</v>
      </c>
      <c r="BV33" s="149">
        <v>0.15</v>
      </c>
      <c r="BW33" s="149">
        <v>0.2</v>
      </c>
      <c r="BX33" s="149">
        <v>0.12</v>
      </c>
      <c r="BY33" s="149">
        <v>0.08</v>
      </c>
      <c r="BZ33" s="149">
        <v>0.18</v>
      </c>
      <c r="CA33" s="149">
        <v>0.16</v>
      </c>
      <c r="CB33" s="149">
        <v>0.05</v>
      </c>
      <c r="CC33" s="149">
        <v>0.35</v>
      </c>
      <c r="CD33" s="149">
        <v>0.3</v>
      </c>
      <c r="CE33" s="149">
        <v>0.38</v>
      </c>
      <c r="CF33" s="149">
        <v>0.42</v>
      </c>
      <c r="CG33" s="149">
        <v>0.32</v>
      </c>
      <c r="CH33" s="149">
        <v>0.34</v>
      </c>
      <c r="CI33" s="149">
        <v>0.45</v>
      </c>
      <c r="CJ33" s="149">
        <v>0.15</v>
      </c>
      <c r="CK33" s="149">
        <v>0.2</v>
      </c>
      <c r="CL33" s="149">
        <v>0.12</v>
      </c>
      <c r="CM33" s="149">
        <v>0.08</v>
      </c>
      <c r="CN33" s="149">
        <v>0.18</v>
      </c>
      <c r="CO33" s="149">
        <v>0.16</v>
      </c>
      <c r="CP33" s="149">
        <v>0.05</v>
      </c>
      <c r="CQ33" s="149">
        <v>0.35</v>
      </c>
      <c r="CR33" s="149">
        <v>0.3</v>
      </c>
      <c r="CS33" s="149">
        <v>0.38</v>
      </c>
      <c r="CT33" s="149">
        <v>0.42</v>
      </c>
      <c r="CU33" s="149">
        <v>0.32</v>
      </c>
      <c r="CV33" s="149">
        <v>0.34</v>
      </c>
      <c r="CW33" s="149">
        <v>0.45</v>
      </c>
    </row>
    <row r="34" spans="1:101" x14ac:dyDescent="0.25">
      <c r="A34" s="9" t="s">
        <v>33</v>
      </c>
      <c r="B34" s="9" t="s">
        <v>1</v>
      </c>
      <c r="C34" s="9" t="s">
        <v>1</v>
      </c>
      <c r="D34" s="9"/>
      <c r="E34" s="57">
        <v>0</v>
      </c>
      <c r="F34" s="57">
        <f t="shared" si="0"/>
        <v>0</v>
      </c>
      <c r="G34" s="9"/>
      <c r="H34" s="57">
        <v>0.1044225</v>
      </c>
      <c r="I34" s="57">
        <v>0.1044225</v>
      </c>
      <c r="J34" s="57">
        <f t="shared" si="1"/>
        <v>0.1044225</v>
      </c>
      <c r="K34" s="17">
        <f t="shared" si="2"/>
        <v>0.1044225</v>
      </c>
      <c r="L34" s="17">
        <f t="shared" si="3"/>
        <v>0.1044225</v>
      </c>
      <c r="M34" s="9">
        <v>0</v>
      </c>
      <c r="N34" s="9">
        <f t="shared" si="7"/>
        <v>0</v>
      </c>
      <c r="O34" s="9">
        <f t="shared" si="8"/>
        <v>0</v>
      </c>
      <c r="P34" s="9">
        <f t="shared" si="9"/>
        <v>0</v>
      </c>
      <c r="Q34" s="9">
        <f t="shared" si="10"/>
        <v>0</v>
      </c>
      <c r="R34" s="9">
        <f t="shared" ca="1" si="11"/>
        <v>1</v>
      </c>
      <c r="S34" s="9">
        <f t="shared" ca="1" si="11"/>
        <v>1</v>
      </c>
      <c r="T34" s="9">
        <f t="shared" ca="1" si="11"/>
        <v>1</v>
      </c>
      <c r="U34" s="9">
        <f t="shared" ca="1" si="11"/>
        <v>0</v>
      </c>
      <c r="V34" s="9">
        <f t="shared" ca="1" si="11"/>
        <v>0</v>
      </c>
      <c r="W34" s="9">
        <f t="shared" ca="1" si="12"/>
        <v>0</v>
      </c>
      <c r="X34" s="9" t="s">
        <v>31</v>
      </c>
      <c r="Y34" s="9">
        <v>2031</v>
      </c>
      <c r="Z34" s="152">
        <f t="shared" si="24"/>
        <v>2032</v>
      </c>
      <c r="AA34" s="152">
        <f t="shared" si="25"/>
        <v>2033</v>
      </c>
      <c r="AB34" s="152">
        <f t="shared" si="26"/>
        <v>2033</v>
      </c>
      <c r="AC34" s="152">
        <f t="shared" si="27"/>
        <v>2033</v>
      </c>
      <c r="AD34" s="152">
        <f t="shared" si="28"/>
        <v>2032</v>
      </c>
      <c r="AE34" s="152">
        <f t="shared" si="29"/>
        <v>2032</v>
      </c>
      <c r="AF34" s="9">
        <v>5</v>
      </c>
      <c r="AG34" s="9">
        <v>2</v>
      </c>
      <c r="AH34" s="152">
        <f t="shared" si="30"/>
        <v>2.0000000000009095</v>
      </c>
      <c r="AI34" s="152">
        <f t="shared" si="30"/>
        <v>3</v>
      </c>
      <c r="AJ34" s="152">
        <f t="shared" si="30"/>
        <v>3</v>
      </c>
      <c r="AK34" s="152">
        <f t="shared" si="32"/>
        <v>5</v>
      </c>
      <c r="AL34" s="152">
        <f t="shared" si="31"/>
        <v>2.0000000000009095</v>
      </c>
      <c r="AM34" s="9"/>
      <c r="AN34" s="9"/>
      <c r="AO34" s="9"/>
      <c r="AP34" s="9"/>
      <c r="AQ34" s="9"/>
      <c r="AR34" s="9"/>
      <c r="AS34" s="9"/>
      <c r="AT34" s="9">
        <v>2043</v>
      </c>
      <c r="AU34" s="9">
        <v>2042</v>
      </c>
      <c r="AV34" s="9">
        <v>2042</v>
      </c>
      <c r="AW34" s="9">
        <v>2042</v>
      </c>
      <c r="AX34" s="9">
        <v>2042</v>
      </c>
      <c r="AY34" s="9">
        <f t="shared" si="33"/>
        <v>2040</v>
      </c>
      <c r="AZ34" s="9">
        <v>2042</v>
      </c>
      <c r="BA34" s="9">
        <v>5</v>
      </c>
      <c r="BB34" s="9">
        <v>2</v>
      </c>
      <c r="BC34" s="9">
        <v>2</v>
      </c>
      <c r="BD34" s="9">
        <v>2</v>
      </c>
      <c r="BE34" s="9">
        <v>2</v>
      </c>
      <c r="BF34" s="9">
        <f t="shared" si="34"/>
        <v>5</v>
      </c>
      <c r="BG34" s="9">
        <v>2</v>
      </c>
      <c r="BH34" s="150">
        <v>1.2267192541321688</v>
      </c>
      <c r="BI34" s="150">
        <v>2.2612105538192599</v>
      </c>
      <c r="BJ34" s="150">
        <v>2.1252009430760062</v>
      </c>
      <c r="BK34" s="150">
        <v>1.2944496352201866</v>
      </c>
      <c r="BL34" s="150">
        <v>0.32314284341629806</v>
      </c>
      <c r="BM34" s="150">
        <v>0.14000000000000001</v>
      </c>
      <c r="BN34" s="150">
        <v>1.4542000570988298</v>
      </c>
      <c r="BO34" s="150">
        <v>11.984388276878477</v>
      </c>
      <c r="BP34" s="150">
        <v>-1.7475682675103321</v>
      </c>
      <c r="BQ34" s="150">
        <v>-1.7169645793441486</v>
      </c>
      <c r="BR34" s="150">
        <v>-1.4425350046709582</v>
      </c>
      <c r="BS34" s="150">
        <v>0.61768216477991222</v>
      </c>
      <c r="BT34" s="150">
        <v>0.15</v>
      </c>
      <c r="BU34" s="150">
        <v>-0.4950056673809119</v>
      </c>
      <c r="BV34" s="149">
        <v>0.15</v>
      </c>
      <c r="BW34" s="149">
        <v>0.2</v>
      </c>
      <c r="BX34" s="149">
        <v>0.12</v>
      </c>
      <c r="BY34" s="149">
        <v>0.08</v>
      </c>
      <c r="BZ34" s="149">
        <v>0.18</v>
      </c>
      <c r="CA34" s="149">
        <v>0.16</v>
      </c>
      <c r="CB34" s="149">
        <v>0.05</v>
      </c>
      <c r="CC34" s="149">
        <v>0.35</v>
      </c>
      <c r="CD34" s="149">
        <v>0.3</v>
      </c>
      <c r="CE34" s="149">
        <v>0.38</v>
      </c>
      <c r="CF34" s="149">
        <v>0.42</v>
      </c>
      <c r="CG34" s="149">
        <v>0.32</v>
      </c>
      <c r="CH34" s="149">
        <v>0.34</v>
      </c>
      <c r="CI34" s="149">
        <v>0.45</v>
      </c>
      <c r="CJ34" s="149">
        <v>0.15</v>
      </c>
      <c r="CK34" s="149">
        <v>0.2</v>
      </c>
      <c r="CL34" s="149">
        <v>0.12</v>
      </c>
      <c r="CM34" s="149">
        <v>0.08</v>
      </c>
      <c r="CN34" s="149">
        <v>0.18</v>
      </c>
      <c r="CO34" s="149">
        <v>0.16</v>
      </c>
      <c r="CP34" s="149">
        <v>0.05</v>
      </c>
      <c r="CQ34" s="149">
        <v>0.35</v>
      </c>
      <c r="CR34" s="149">
        <v>0.3</v>
      </c>
      <c r="CS34" s="149">
        <v>0.38</v>
      </c>
      <c r="CT34" s="149">
        <v>0.42</v>
      </c>
      <c r="CU34" s="149">
        <v>0.32</v>
      </c>
      <c r="CV34" s="149">
        <v>0.34</v>
      </c>
      <c r="CW34" s="149">
        <v>0.45</v>
      </c>
    </row>
    <row r="35" spans="1:101" x14ac:dyDescent="0.25">
      <c r="A35" s="9" t="s">
        <v>31</v>
      </c>
      <c r="B35" s="9" t="s">
        <v>58</v>
      </c>
      <c r="C35" s="9" t="s">
        <v>58</v>
      </c>
      <c r="D35" s="9"/>
      <c r="E35" s="57">
        <v>0</v>
      </c>
      <c r="F35" s="57">
        <f t="shared" si="0"/>
        <v>0</v>
      </c>
      <c r="G35" s="9"/>
      <c r="H35" s="57">
        <v>0.14000000000000001</v>
      </c>
      <c r="I35" s="57">
        <v>0.14000000000000001</v>
      </c>
      <c r="J35" s="57">
        <f t="shared" si="1"/>
        <v>0.14000000000000001</v>
      </c>
      <c r="K35" s="17">
        <f t="shared" si="2"/>
        <v>0.14000000000000001</v>
      </c>
      <c r="L35" s="17">
        <f t="shared" si="3"/>
        <v>0.14000000000000001</v>
      </c>
      <c r="M35" s="9">
        <v>0</v>
      </c>
      <c r="N35" s="9">
        <f t="shared" si="7"/>
        <v>0</v>
      </c>
      <c r="O35" s="9">
        <f t="shared" si="8"/>
        <v>0</v>
      </c>
      <c r="P35" s="9">
        <f t="shared" si="9"/>
        <v>0</v>
      </c>
      <c r="Q35" s="9">
        <f t="shared" si="10"/>
        <v>0</v>
      </c>
      <c r="R35" s="9">
        <f t="shared" ca="1" si="11"/>
        <v>0</v>
      </c>
      <c r="S35" s="9">
        <f t="shared" ca="1" si="11"/>
        <v>0</v>
      </c>
      <c r="T35" s="9">
        <f t="shared" ca="1" si="11"/>
        <v>1</v>
      </c>
      <c r="U35" s="9">
        <f t="shared" ca="1" si="11"/>
        <v>1</v>
      </c>
      <c r="V35" s="9">
        <f t="shared" ca="1" si="11"/>
        <v>0</v>
      </c>
      <c r="W35" s="9">
        <f t="shared" ca="1" si="12"/>
        <v>1</v>
      </c>
      <c r="X35" s="9" t="s">
        <v>31</v>
      </c>
      <c r="Y35" s="151">
        <v>2027</v>
      </c>
      <c r="Z35" s="152">
        <f t="shared" si="24"/>
        <v>2028</v>
      </c>
      <c r="AA35" s="152">
        <f t="shared" si="25"/>
        <v>2029</v>
      </c>
      <c r="AB35" s="152">
        <f t="shared" si="26"/>
        <v>2029</v>
      </c>
      <c r="AC35" s="152">
        <f t="shared" si="27"/>
        <v>2029</v>
      </c>
      <c r="AD35" s="152">
        <v>2027</v>
      </c>
      <c r="AE35" s="152">
        <f t="shared" si="29"/>
        <v>2028</v>
      </c>
      <c r="AF35" s="9">
        <v>2</v>
      </c>
      <c r="AG35" s="9">
        <v>2</v>
      </c>
      <c r="AH35" s="152">
        <f t="shared" si="30"/>
        <v>2.0000000000009095</v>
      </c>
      <c r="AI35" s="152">
        <f t="shared" si="30"/>
        <v>3</v>
      </c>
      <c r="AJ35" s="152">
        <f t="shared" si="30"/>
        <v>3</v>
      </c>
      <c r="AK35" s="152">
        <v>12</v>
      </c>
      <c r="AL35" s="152">
        <f t="shared" si="31"/>
        <v>2.0000000000009095</v>
      </c>
      <c r="AM35" s="9"/>
      <c r="AN35" s="9"/>
      <c r="AO35" s="9"/>
      <c r="AP35" s="9"/>
      <c r="AQ35" s="9"/>
      <c r="AR35" s="9"/>
      <c r="AS35" s="9"/>
      <c r="AT35" s="9">
        <v>2035</v>
      </c>
      <c r="AU35" s="9">
        <v>2037</v>
      </c>
      <c r="AV35" s="9">
        <v>2037</v>
      </c>
      <c r="AW35" s="9">
        <v>2037</v>
      </c>
      <c r="AX35" s="9">
        <v>2037</v>
      </c>
      <c r="AY35" s="9">
        <f t="shared" si="33"/>
        <v>2035</v>
      </c>
      <c r="AZ35" s="9">
        <v>2037</v>
      </c>
      <c r="BA35" s="9">
        <v>5</v>
      </c>
      <c r="BB35" s="9">
        <v>2</v>
      </c>
      <c r="BC35" s="9">
        <v>2</v>
      </c>
      <c r="BD35" s="9">
        <v>2</v>
      </c>
      <c r="BE35" s="9">
        <v>2</v>
      </c>
      <c r="BF35" s="9">
        <f t="shared" si="34"/>
        <v>12</v>
      </c>
      <c r="BG35" s="9">
        <v>2</v>
      </c>
      <c r="BH35" s="150">
        <v>1.2267192541321688</v>
      </c>
      <c r="BI35" s="150">
        <v>2.2612105538192599</v>
      </c>
      <c r="BJ35" s="150">
        <v>2.1252009430760062</v>
      </c>
      <c r="BK35" s="150">
        <v>1.2944496352201866</v>
      </c>
      <c r="BL35" s="150">
        <v>0.32314284341629806</v>
      </c>
      <c r="BM35" s="150">
        <v>0.14000000000000001</v>
      </c>
      <c r="BN35" s="150">
        <v>1.4542000570988298</v>
      </c>
      <c r="BO35" s="150">
        <v>11.984388276878477</v>
      </c>
      <c r="BP35" s="150">
        <v>-1.7475682675103321</v>
      </c>
      <c r="BQ35" s="150">
        <v>-1.7169645793441486</v>
      </c>
      <c r="BR35" s="150">
        <v>-1.4425350046709582</v>
      </c>
      <c r="BS35" s="150">
        <v>0.61768216477991222</v>
      </c>
      <c r="BT35" s="150">
        <v>0.15</v>
      </c>
      <c r="BU35" s="150">
        <v>-0.4950056673809119</v>
      </c>
      <c r="BV35" s="149">
        <v>0.15</v>
      </c>
      <c r="BW35" s="149">
        <v>0.2</v>
      </c>
      <c r="BX35" s="149">
        <v>0.12</v>
      </c>
      <c r="BY35" s="149">
        <v>0.08</v>
      </c>
      <c r="BZ35" s="149">
        <v>0.18</v>
      </c>
      <c r="CA35" s="149">
        <v>0.16</v>
      </c>
      <c r="CB35" s="149">
        <v>0.05</v>
      </c>
      <c r="CC35" s="149">
        <v>0.35</v>
      </c>
      <c r="CD35" s="149">
        <v>0.3</v>
      </c>
      <c r="CE35" s="149">
        <v>0.38</v>
      </c>
      <c r="CF35" s="149">
        <v>0.42</v>
      </c>
      <c r="CG35" s="149">
        <v>0.32</v>
      </c>
      <c r="CH35" s="149">
        <v>0.34</v>
      </c>
      <c r="CI35" s="149">
        <v>0.45</v>
      </c>
      <c r="CJ35" s="149">
        <v>0.15</v>
      </c>
      <c r="CK35" s="149">
        <v>0.2</v>
      </c>
      <c r="CL35" s="149">
        <v>0.12</v>
      </c>
      <c r="CM35" s="149">
        <v>0.08</v>
      </c>
      <c r="CN35" s="149">
        <v>0.18</v>
      </c>
      <c r="CO35" s="149">
        <v>0.16</v>
      </c>
      <c r="CP35" s="149">
        <v>0.05</v>
      </c>
      <c r="CQ35" s="149">
        <v>0.35</v>
      </c>
      <c r="CR35" s="149">
        <v>0.3</v>
      </c>
      <c r="CS35" s="149">
        <v>0.38</v>
      </c>
      <c r="CT35" s="149">
        <v>0.42</v>
      </c>
      <c r="CU35" s="149">
        <v>0.32</v>
      </c>
      <c r="CV35" s="149">
        <v>0.34</v>
      </c>
      <c r="CW35" s="149">
        <v>0.45</v>
      </c>
    </row>
    <row r="36" spans="1:101" x14ac:dyDescent="0.25">
      <c r="A36" s="9" t="s">
        <v>278</v>
      </c>
      <c r="B36" s="9" t="s">
        <v>51</v>
      </c>
      <c r="C36" s="9" t="s">
        <v>51</v>
      </c>
      <c r="D36" s="9"/>
      <c r="E36" s="57">
        <v>0</v>
      </c>
      <c r="F36" s="57">
        <f t="shared" si="0"/>
        <v>0</v>
      </c>
      <c r="G36" s="9"/>
      <c r="H36" s="57">
        <v>0.1638</v>
      </c>
      <c r="I36" s="57">
        <v>0.1638</v>
      </c>
      <c r="J36" s="57">
        <f t="shared" ref="J36:J60" si="35">I36</f>
        <v>0.1638</v>
      </c>
      <c r="K36" s="17">
        <f t="shared" ref="K36:K60" si="36">I36</f>
        <v>0.1638</v>
      </c>
      <c r="L36" s="17">
        <f t="shared" ref="L36:M60" si="37">I36</f>
        <v>0.1638</v>
      </c>
      <c r="M36" s="9">
        <v>0</v>
      </c>
      <c r="N36" s="9">
        <f t="shared" si="7"/>
        <v>0</v>
      </c>
      <c r="O36" s="9">
        <f t="shared" si="8"/>
        <v>0</v>
      </c>
      <c r="P36" s="9">
        <f t="shared" si="9"/>
        <v>0</v>
      </c>
      <c r="Q36" s="9">
        <f t="shared" si="10"/>
        <v>0</v>
      </c>
      <c r="R36" s="9">
        <f t="shared" ca="1" si="11"/>
        <v>0</v>
      </c>
      <c r="S36" s="9">
        <f t="shared" ca="1" si="11"/>
        <v>0</v>
      </c>
      <c r="T36" s="9">
        <f t="shared" ca="1" si="11"/>
        <v>0</v>
      </c>
      <c r="U36" s="9">
        <f t="shared" ca="1" si="11"/>
        <v>1</v>
      </c>
      <c r="V36" s="9">
        <f t="shared" ref="V36:V60" ca="1" si="38">IF($H36=1,1,ROUND(RANDBETWEEN(0,1),0))</f>
        <v>0</v>
      </c>
      <c r="W36" s="9">
        <f t="shared" ca="1" si="12"/>
        <v>1</v>
      </c>
      <c r="X36" s="9" t="s">
        <v>54</v>
      </c>
      <c r="Y36" s="9">
        <v>2022</v>
      </c>
      <c r="Z36" s="152">
        <f t="shared" si="24"/>
        <v>2023</v>
      </c>
      <c r="AA36" s="152">
        <f t="shared" si="25"/>
        <v>2024</v>
      </c>
      <c r="AB36" s="152">
        <f t="shared" si="26"/>
        <v>2024</v>
      </c>
      <c r="AC36" s="152">
        <f t="shared" si="27"/>
        <v>2024</v>
      </c>
      <c r="AD36" s="152">
        <f t="shared" ref="AD36:AD50" si="39">Y36+1</f>
        <v>2023</v>
      </c>
      <c r="AE36" s="152">
        <f t="shared" si="29"/>
        <v>2023</v>
      </c>
      <c r="AF36" s="9">
        <v>6</v>
      </c>
      <c r="AG36" s="9">
        <v>9</v>
      </c>
      <c r="AH36" s="152">
        <f t="shared" si="30"/>
        <v>9</v>
      </c>
      <c r="AI36" s="152">
        <f t="shared" si="30"/>
        <v>9.9999999999990905</v>
      </c>
      <c r="AJ36" s="152">
        <f t="shared" si="30"/>
        <v>9.9999999999990905</v>
      </c>
      <c r="AK36" s="152">
        <f t="shared" si="32"/>
        <v>6</v>
      </c>
      <c r="AL36" s="152">
        <f t="shared" si="31"/>
        <v>9</v>
      </c>
      <c r="AM36" s="9"/>
      <c r="AN36" s="9"/>
      <c r="AO36" s="9"/>
      <c r="AP36" s="9"/>
      <c r="AQ36" s="9"/>
      <c r="AR36" s="9"/>
      <c r="AS36" s="9"/>
      <c r="AT36" s="9">
        <v>2036</v>
      </c>
      <c r="AU36" s="9">
        <v>2036</v>
      </c>
      <c r="AV36" s="9">
        <v>2036</v>
      </c>
      <c r="AW36" s="9">
        <v>2036</v>
      </c>
      <c r="AX36" s="9">
        <v>2036</v>
      </c>
      <c r="AY36" s="9">
        <f t="shared" si="33"/>
        <v>2031</v>
      </c>
      <c r="AZ36" s="9">
        <v>2036</v>
      </c>
      <c r="BA36" s="9">
        <v>9</v>
      </c>
      <c r="BB36" s="9">
        <v>9</v>
      </c>
      <c r="BC36" s="9">
        <v>9</v>
      </c>
      <c r="BD36" s="9">
        <v>9</v>
      </c>
      <c r="BE36" s="9">
        <v>9</v>
      </c>
      <c r="BF36" s="9">
        <f t="shared" si="34"/>
        <v>6</v>
      </c>
      <c r="BG36" s="9">
        <v>9</v>
      </c>
      <c r="BH36" s="150">
        <v>1.2267192541321688</v>
      </c>
      <c r="BI36" s="150">
        <v>2.2612105538192599</v>
      </c>
      <c r="BJ36" s="150">
        <v>2.1252009430760062</v>
      </c>
      <c r="BK36" s="150">
        <v>1.2944496352201866</v>
      </c>
      <c r="BL36" s="150">
        <v>0.32314284341629806</v>
      </c>
      <c r="BM36" s="150">
        <v>0.14000000000000001</v>
      </c>
      <c r="BN36" s="150">
        <v>1.4542000570988298</v>
      </c>
      <c r="BO36" s="150">
        <v>11.984388276878477</v>
      </c>
      <c r="BP36" s="150">
        <v>-1.7475682675103321</v>
      </c>
      <c r="BQ36" s="150">
        <v>-1.7169645793441486</v>
      </c>
      <c r="BR36" s="150">
        <v>-1.4425350046709582</v>
      </c>
      <c r="BS36" s="150">
        <v>0.61768216477991222</v>
      </c>
      <c r="BT36" s="150">
        <v>0.15</v>
      </c>
      <c r="BU36" s="150">
        <v>-0.4950056673809119</v>
      </c>
      <c r="BV36" s="149">
        <v>0.15</v>
      </c>
      <c r="BW36" s="149">
        <v>0.2</v>
      </c>
      <c r="BX36" s="149">
        <v>0.12</v>
      </c>
      <c r="BY36" s="149">
        <v>0.08</v>
      </c>
      <c r="BZ36" s="149">
        <v>0.18</v>
      </c>
      <c r="CA36" s="149">
        <v>0.16</v>
      </c>
      <c r="CB36" s="149">
        <v>0.05</v>
      </c>
      <c r="CC36" s="149">
        <v>0.35</v>
      </c>
      <c r="CD36" s="149">
        <v>0.3</v>
      </c>
      <c r="CE36" s="149">
        <v>0.38</v>
      </c>
      <c r="CF36" s="149">
        <v>0.42</v>
      </c>
      <c r="CG36" s="149">
        <v>0.32</v>
      </c>
      <c r="CH36" s="149">
        <v>0.34</v>
      </c>
      <c r="CI36" s="149">
        <v>0.45</v>
      </c>
      <c r="CJ36" s="149">
        <v>0.15</v>
      </c>
      <c r="CK36" s="149">
        <v>0.2</v>
      </c>
      <c r="CL36" s="149">
        <v>0.12</v>
      </c>
      <c r="CM36" s="149">
        <v>0.08</v>
      </c>
      <c r="CN36" s="149">
        <v>0.18</v>
      </c>
      <c r="CO36" s="149">
        <v>0.16</v>
      </c>
      <c r="CP36" s="149">
        <v>0.05</v>
      </c>
      <c r="CQ36" s="149">
        <v>0.35</v>
      </c>
      <c r="CR36" s="149">
        <v>0.3</v>
      </c>
      <c r="CS36" s="149">
        <v>0.38</v>
      </c>
      <c r="CT36" s="149">
        <v>0.42</v>
      </c>
      <c r="CU36" s="149">
        <v>0.32</v>
      </c>
      <c r="CV36" s="149">
        <v>0.34</v>
      </c>
      <c r="CW36" s="149">
        <v>0.45</v>
      </c>
    </row>
    <row r="37" spans="1:101" x14ac:dyDescent="0.25">
      <c r="A37" s="9" t="s">
        <v>13</v>
      </c>
      <c r="B37" s="9" t="s">
        <v>1</v>
      </c>
      <c r="C37" s="9" t="s">
        <v>1</v>
      </c>
      <c r="D37" s="9"/>
      <c r="E37" s="57">
        <v>0</v>
      </c>
      <c r="F37" s="57">
        <f t="shared" si="0"/>
        <v>0</v>
      </c>
      <c r="G37" s="9"/>
      <c r="H37" s="57">
        <v>1</v>
      </c>
      <c r="I37" s="57">
        <v>1</v>
      </c>
      <c r="J37" s="57">
        <f t="shared" si="35"/>
        <v>1</v>
      </c>
      <c r="K37" s="17">
        <f t="shared" si="36"/>
        <v>1</v>
      </c>
      <c r="L37" s="17">
        <f t="shared" si="37"/>
        <v>1</v>
      </c>
      <c r="M37" s="17">
        <f t="shared" si="37"/>
        <v>1</v>
      </c>
      <c r="N37" s="9">
        <f t="shared" si="7"/>
        <v>1</v>
      </c>
      <c r="O37" s="9">
        <f t="shared" si="8"/>
        <v>1</v>
      </c>
      <c r="P37" s="9">
        <f t="shared" si="9"/>
        <v>1</v>
      </c>
      <c r="Q37" s="9">
        <f t="shared" si="10"/>
        <v>1</v>
      </c>
      <c r="R37" s="9">
        <f t="shared" ca="1" si="11"/>
        <v>1</v>
      </c>
      <c r="S37" s="9">
        <f t="shared" ca="1" si="11"/>
        <v>1</v>
      </c>
      <c r="T37" s="9">
        <f t="shared" ca="1" si="11"/>
        <v>1</v>
      </c>
      <c r="U37" s="9">
        <f t="shared" ca="1" si="11"/>
        <v>1</v>
      </c>
      <c r="V37" s="9">
        <f t="shared" ca="1" si="38"/>
        <v>1</v>
      </c>
      <c r="W37" s="9">
        <f t="shared" ca="1" si="12"/>
        <v>1</v>
      </c>
      <c r="X37" s="9" t="s">
        <v>13</v>
      </c>
      <c r="Y37" s="9">
        <v>2029</v>
      </c>
      <c r="Z37" s="152">
        <f t="shared" si="24"/>
        <v>2030</v>
      </c>
      <c r="AA37" s="152">
        <f t="shared" si="25"/>
        <v>2031</v>
      </c>
      <c r="AB37" s="152">
        <f t="shared" si="26"/>
        <v>2031</v>
      </c>
      <c r="AC37" s="152">
        <f t="shared" si="27"/>
        <v>2031</v>
      </c>
      <c r="AD37" s="152">
        <f t="shared" si="39"/>
        <v>2030</v>
      </c>
      <c r="AE37" s="152">
        <f t="shared" si="29"/>
        <v>2030</v>
      </c>
      <c r="AF37" s="9">
        <v>6</v>
      </c>
      <c r="AG37" s="9">
        <v>6</v>
      </c>
      <c r="AH37" s="152">
        <f t="shared" si="30"/>
        <v>6</v>
      </c>
      <c r="AI37" s="152">
        <f t="shared" si="30"/>
        <v>6.9999999999990905</v>
      </c>
      <c r="AJ37" s="152">
        <f t="shared" si="30"/>
        <v>6.9999999999990905</v>
      </c>
      <c r="AK37" s="152">
        <f t="shared" si="32"/>
        <v>6</v>
      </c>
      <c r="AL37" s="152">
        <f t="shared" si="31"/>
        <v>6</v>
      </c>
      <c r="AM37" s="9">
        <v>12</v>
      </c>
      <c r="AN37" s="9">
        <v>11</v>
      </c>
      <c r="AO37" s="9"/>
      <c r="AP37" s="9"/>
      <c r="AQ37" s="9"/>
      <c r="AR37" s="9"/>
      <c r="AS37" s="9"/>
      <c r="AT37" s="152">
        <f t="shared" ref="AT37:AT42" si="40">Z37+AM37</f>
        <v>2042</v>
      </c>
      <c r="AU37" s="152">
        <f t="shared" ref="AU37:AU42" si="41">AA37+AN37</f>
        <v>2042</v>
      </c>
      <c r="AV37" s="9">
        <f t="shared" ref="AV37:AX42" si="42">AU37</f>
        <v>2042</v>
      </c>
      <c r="AW37" s="9">
        <f t="shared" si="42"/>
        <v>2042</v>
      </c>
      <c r="AX37" s="9">
        <f t="shared" si="42"/>
        <v>2042</v>
      </c>
      <c r="AY37" s="9">
        <f t="shared" si="33"/>
        <v>2038</v>
      </c>
      <c r="AZ37" s="9">
        <f t="shared" ref="AZ37:AZ42" si="43">AX37</f>
        <v>2042</v>
      </c>
      <c r="BA37" s="9">
        <v>6</v>
      </c>
      <c r="BB37" s="9">
        <v>6</v>
      </c>
      <c r="BC37" s="9">
        <v>6</v>
      </c>
      <c r="BD37" s="9">
        <v>6</v>
      </c>
      <c r="BE37" s="9">
        <v>6</v>
      </c>
      <c r="BF37" s="9">
        <f t="shared" si="34"/>
        <v>6</v>
      </c>
      <c r="BG37" s="9">
        <v>6</v>
      </c>
      <c r="BH37" s="150">
        <v>1.2267192541321688</v>
      </c>
      <c r="BI37" s="150">
        <v>2.2612105538192599</v>
      </c>
      <c r="BJ37" s="150">
        <v>2.1252009430760062</v>
      </c>
      <c r="BK37" s="150">
        <v>1.2944496352201866</v>
      </c>
      <c r="BL37" s="150">
        <v>0.32314284341629806</v>
      </c>
      <c r="BM37" s="150">
        <v>0.14000000000000001</v>
      </c>
      <c r="BN37" s="150">
        <v>1.4542000570988298</v>
      </c>
      <c r="BO37" s="150">
        <v>11.984388276878477</v>
      </c>
      <c r="BP37" s="150">
        <v>-1.7475682675103321</v>
      </c>
      <c r="BQ37" s="150">
        <v>-1.7169645793441486</v>
      </c>
      <c r="BR37" s="150">
        <v>-1.4425350046709582</v>
      </c>
      <c r="BS37" s="150">
        <v>0.61768216477991222</v>
      </c>
      <c r="BT37" s="150">
        <v>0.15</v>
      </c>
      <c r="BU37" s="150">
        <v>-0.4950056673809119</v>
      </c>
      <c r="BV37" s="149">
        <v>0.15</v>
      </c>
      <c r="BW37" s="149">
        <v>0.2</v>
      </c>
      <c r="BX37" s="149">
        <v>0.12</v>
      </c>
      <c r="BY37" s="149">
        <v>0.08</v>
      </c>
      <c r="BZ37" s="149">
        <v>0.18</v>
      </c>
      <c r="CA37" s="149">
        <v>0.16</v>
      </c>
      <c r="CB37" s="149">
        <v>0.05</v>
      </c>
      <c r="CC37" s="149">
        <v>0.35</v>
      </c>
      <c r="CD37" s="149">
        <v>0.3</v>
      </c>
      <c r="CE37" s="149">
        <v>0.38</v>
      </c>
      <c r="CF37" s="149">
        <v>0.42</v>
      </c>
      <c r="CG37" s="149">
        <v>0.32</v>
      </c>
      <c r="CH37" s="149">
        <v>0.34</v>
      </c>
      <c r="CI37" s="149">
        <v>0.45</v>
      </c>
      <c r="CJ37" s="149">
        <v>0.15</v>
      </c>
      <c r="CK37" s="149">
        <v>0.2</v>
      </c>
      <c r="CL37" s="149">
        <v>0.12</v>
      </c>
      <c r="CM37" s="149">
        <v>0.08</v>
      </c>
      <c r="CN37" s="149">
        <v>0.18</v>
      </c>
      <c r="CO37" s="149">
        <v>0.16</v>
      </c>
      <c r="CP37" s="149">
        <v>0.05</v>
      </c>
      <c r="CQ37" s="149">
        <v>0.35</v>
      </c>
      <c r="CR37" s="149">
        <v>0.3</v>
      </c>
      <c r="CS37" s="149">
        <v>0.38</v>
      </c>
      <c r="CT37" s="149">
        <v>0.42</v>
      </c>
      <c r="CU37" s="149">
        <v>0.32</v>
      </c>
      <c r="CV37" s="149">
        <v>0.34</v>
      </c>
      <c r="CW37" s="149">
        <v>0.45</v>
      </c>
    </row>
    <row r="38" spans="1:101" x14ac:dyDescent="0.25">
      <c r="A38" s="9" t="s">
        <v>10</v>
      </c>
      <c r="B38" s="9" t="s">
        <v>1</v>
      </c>
      <c r="C38" s="9" t="s">
        <v>1</v>
      </c>
      <c r="D38" s="9"/>
      <c r="E38" s="57">
        <v>0</v>
      </c>
      <c r="F38" s="57">
        <f t="shared" si="0"/>
        <v>0</v>
      </c>
      <c r="G38" s="9"/>
      <c r="H38" s="57">
        <v>1</v>
      </c>
      <c r="I38" s="57">
        <v>1</v>
      </c>
      <c r="J38" s="57">
        <f t="shared" si="35"/>
        <v>1</v>
      </c>
      <c r="K38" s="17">
        <f t="shared" si="36"/>
        <v>1</v>
      </c>
      <c r="L38" s="17">
        <f t="shared" si="37"/>
        <v>1</v>
      </c>
      <c r="M38" s="17">
        <f t="shared" si="37"/>
        <v>1</v>
      </c>
      <c r="N38" s="9">
        <f t="shared" si="7"/>
        <v>1</v>
      </c>
      <c r="O38" s="9">
        <f t="shared" si="8"/>
        <v>1</v>
      </c>
      <c r="P38" s="9">
        <f t="shared" si="9"/>
        <v>1</v>
      </c>
      <c r="Q38" s="9">
        <f t="shared" si="10"/>
        <v>1</v>
      </c>
      <c r="R38" s="9">
        <f t="shared" ca="1" si="11"/>
        <v>1</v>
      </c>
      <c r="S38" s="9">
        <f t="shared" ca="1" si="11"/>
        <v>1</v>
      </c>
      <c r="T38" s="9">
        <f t="shared" ca="1" si="11"/>
        <v>1</v>
      </c>
      <c r="U38" s="9">
        <f t="shared" ca="1" si="11"/>
        <v>1</v>
      </c>
      <c r="V38" s="9">
        <f t="shared" ca="1" si="38"/>
        <v>1</v>
      </c>
      <c r="W38" s="9">
        <f t="shared" ca="1" si="12"/>
        <v>1</v>
      </c>
      <c r="X38" s="9" t="s">
        <v>10</v>
      </c>
      <c r="Y38" s="9">
        <v>2033</v>
      </c>
      <c r="Z38" s="152">
        <f t="shared" si="24"/>
        <v>2034</v>
      </c>
      <c r="AA38" s="152">
        <f t="shared" si="25"/>
        <v>2035</v>
      </c>
      <c r="AB38" s="152">
        <f t="shared" si="26"/>
        <v>2035</v>
      </c>
      <c r="AC38" s="152">
        <f t="shared" si="27"/>
        <v>2035</v>
      </c>
      <c r="AD38" s="152">
        <f t="shared" si="39"/>
        <v>2034</v>
      </c>
      <c r="AE38" s="152">
        <f t="shared" si="29"/>
        <v>2034</v>
      </c>
      <c r="AF38" s="9">
        <v>6</v>
      </c>
      <c r="AG38" s="9">
        <v>6</v>
      </c>
      <c r="AH38" s="152">
        <f t="shared" si="30"/>
        <v>6</v>
      </c>
      <c r="AI38" s="152">
        <f t="shared" si="30"/>
        <v>6.9999999999990905</v>
      </c>
      <c r="AJ38" s="152">
        <f t="shared" si="30"/>
        <v>6.9999999999990905</v>
      </c>
      <c r="AK38" s="152">
        <f t="shared" si="32"/>
        <v>6</v>
      </c>
      <c r="AL38" s="152">
        <f t="shared" si="31"/>
        <v>6</v>
      </c>
      <c r="AM38" s="9">
        <v>12</v>
      </c>
      <c r="AN38" s="9">
        <v>11</v>
      </c>
      <c r="AO38" s="9"/>
      <c r="AP38" s="9"/>
      <c r="AQ38" s="9"/>
      <c r="AR38" s="9"/>
      <c r="AS38" s="9"/>
      <c r="AT38" s="152">
        <f t="shared" si="40"/>
        <v>2046</v>
      </c>
      <c r="AU38" s="152">
        <f t="shared" si="41"/>
        <v>2046</v>
      </c>
      <c r="AV38" s="9">
        <f t="shared" si="42"/>
        <v>2046</v>
      </c>
      <c r="AW38" s="9">
        <f t="shared" si="42"/>
        <v>2046</v>
      </c>
      <c r="AX38" s="9">
        <f t="shared" si="42"/>
        <v>2046</v>
      </c>
      <c r="AY38" s="9">
        <f t="shared" si="33"/>
        <v>2042</v>
      </c>
      <c r="AZ38" s="9">
        <f t="shared" si="43"/>
        <v>2046</v>
      </c>
      <c r="BA38" s="9">
        <v>6</v>
      </c>
      <c r="BB38" s="9">
        <v>6</v>
      </c>
      <c r="BC38" s="9">
        <v>6</v>
      </c>
      <c r="BD38" s="9">
        <v>6</v>
      </c>
      <c r="BE38" s="9">
        <v>6</v>
      </c>
      <c r="BF38" s="9">
        <f t="shared" si="34"/>
        <v>6</v>
      </c>
      <c r="BG38" s="9">
        <v>6</v>
      </c>
      <c r="BH38" s="150">
        <v>1.2267192541321688</v>
      </c>
      <c r="BI38" s="150">
        <v>2.2612105538192599</v>
      </c>
      <c r="BJ38" s="150">
        <v>2.1252009430760062</v>
      </c>
      <c r="BK38" s="150">
        <v>1.2944496352201866</v>
      </c>
      <c r="BL38" s="150">
        <v>0.32314284341629806</v>
      </c>
      <c r="BM38" s="150">
        <v>0.14000000000000001</v>
      </c>
      <c r="BN38" s="150">
        <v>1.4542000570988298</v>
      </c>
      <c r="BO38" s="150">
        <v>11.984388276878477</v>
      </c>
      <c r="BP38" s="150">
        <v>-1.7475682675103321</v>
      </c>
      <c r="BQ38" s="150">
        <v>-1.7169645793441486</v>
      </c>
      <c r="BR38" s="150">
        <v>-1.4425350046709582</v>
      </c>
      <c r="BS38" s="150">
        <v>0.61768216477991222</v>
      </c>
      <c r="BT38" s="150">
        <v>0.15</v>
      </c>
      <c r="BU38" s="150">
        <v>-0.4950056673809119</v>
      </c>
      <c r="BV38" s="149">
        <v>0.15</v>
      </c>
      <c r="BW38" s="149">
        <v>0.2</v>
      </c>
      <c r="BX38" s="149">
        <v>0.12</v>
      </c>
      <c r="BY38" s="149">
        <v>0.08</v>
      </c>
      <c r="BZ38" s="149">
        <v>0.18</v>
      </c>
      <c r="CA38" s="149">
        <v>0.16</v>
      </c>
      <c r="CB38" s="149">
        <v>0.05</v>
      </c>
      <c r="CC38" s="149">
        <v>0.35</v>
      </c>
      <c r="CD38" s="149">
        <v>0.3</v>
      </c>
      <c r="CE38" s="149">
        <v>0.38</v>
      </c>
      <c r="CF38" s="149">
        <v>0.42</v>
      </c>
      <c r="CG38" s="149">
        <v>0.32</v>
      </c>
      <c r="CH38" s="149">
        <v>0.34</v>
      </c>
      <c r="CI38" s="149">
        <v>0.45</v>
      </c>
      <c r="CJ38" s="149">
        <v>0.15</v>
      </c>
      <c r="CK38" s="149">
        <v>0.2</v>
      </c>
      <c r="CL38" s="149">
        <v>0.12</v>
      </c>
      <c r="CM38" s="149">
        <v>0.08</v>
      </c>
      <c r="CN38" s="149">
        <v>0.18</v>
      </c>
      <c r="CO38" s="149">
        <v>0.16</v>
      </c>
      <c r="CP38" s="149">
        <v>0.05</v>
      </c>
      <c r="CQ38" s="149">
        <v>0.35</v>
      </c>
      <c r="CR38" s="149">
        <v>0.3</v>
      </c>
      <c r="CS38" s="149">
        <v>0.38</v>
      </c>
      <c r="CT38" s="149">
        <v>0.42</v>
      </c>
      <c r="CU38" s="149">
        <v>0.32</v>
      </c>
      <c r="CV38" s="149">
        <v>0.34</v>
      </c>
      <c r="CW38" s="149">
        <v>0.45</v>
      </c>
    </row>
    <row r="39" spans="1:101" x14ac:dyDescent="0.25">
      <c r="A39" s="9" t="s">
        <v>7</v>
      </c>
      <c r="B39" s="9" t="s">
        <v>1</v>
      </c>
      <c r="C39" s="9" t="s">
        <v>1</v>
      </c>
      <c r="D39" s="9"/>
      <c r="E39" s="57">
        <v>0</v>
      </c>
      <c r="F39" s="57">
        <f t="shared" si="0"/>
        <v>0</v>
      </c>
      <c r="G39" s="9"/>
      <c r="H39" s="57">
        <v>1</v>
      </c>
      <c r="I39" s="57">
        <v>1</v>
      </c>
      <c r="J39" s="57">
        <f t="shared" si="35"/>
        <v>1</v>
      </c>
      <c r="K39" s="17">
        <f t="shared" si="36"/>
        <v>1</v>
      </c>
      <c r="L39" s="17">
        <f t="shared" si="37"/>
        <v>1</v>
      </c>
      <c r="M39" s="17">
        <f t="shared" si="37"/>
        <v>1</v>
      </c>
      <c r="N39" s="9">
        <f t="shared" si="7"/>
        <v>1</v>
      </c>
      <c r="O39" s="9">
        <f t="shared" si="8"/>
        <v>1</v>
      </c>
      <c r="P39" s="9">
        <f t="shared" si="9"/>
        <v>1</v>
      </c>
      <c r="Q39" s="9">
        <f t="shared" si="10"/>
        <v>1</v>
      </c>
      <c r="R39" s="9">
        <f t="shared" ca="1" si="11"/>
        <v>1</v>
      </c>
      <c r="S39" s="9">
        <f t="shared" ca="1" si="11"/>
        <v>1</v>
      </c>
      <c r="T39" s="9">
        <f t="shared" ca="1" si="11"/>
        <v>1</v>
      </c>
      <c r="U39" s="9">
        <f t="shared" ca="1" si="11"/>
        <v>1</v>
      </c>
      <c r="V39" s="9">
        <f t="shared" ca="1" si="38"/>
        <v>1</v>
      </c>
      <c r="W39" s="9">
        <f t="shared" ca="1" si="12"/>
        <v>1</v>
      </c>
      <c r="X39" s="9" t="s">
        <v>7</v>
      </c>
      <c r="Y39" s="9">
        <v>2037</v>
      </c>
      <c r="Z39" s="152">
        <f t="shared" si="24"/>
        <v>2038</v>
      </c>
      <c r="AA39" s="152">
        <f t="shared" si="25"/>
        <v>2039</v>
      </c>
      <c r="AB39" s="152">
        <f t="shared" si="26"/>
        <v>2039</v>
      </c>
      <c r="AC39" s="152">
        <f t="shared" si="27"/>
        <v>2039</v>
      </c>
      <c r="AD39" s="152">
        <f t="shared" si="39"/>
        <v>2038</v>
      </c>
      <c r="AE39" s="152">
        <f t="shared" si="29"/>
        <v>2038</v>
      </c>
      <c r="AF39" s="9">
        <v>6</v>
      </c>
      <c r="AG39" s="9">
        <v>6</v>
      </c>
      <c r="AH39" s="152">
        <f t="shared" si="30"/>
        <v>6</v>
      </c>
      <c r="AI39" s="152">
        <f t="shared" si="30"/>
        <v>6.9999999999990905</v>
      </c>
      <c r="AJ39" s="152">
        <f t="shared" si="30"/>
        <v>6.9999999999990905</v>
      </c>
      <c r="AK39" s="152">
        <f t="shared" si="32"/>
        <v>6</v>
      </c>
      <c r="AL39" s="152">
        <f t="shared" si="31"/>
        <v>6</v>
      </c>
      <c r="AM39" s="9">
        <v>12</v>
      </c>
      <c r="AN39" s="9">
        <v>11</v>
      </c>
      <c r="AO39" s="9"/>
      <c r="AP39" s="9"/>
      <c r="AQ39" s="9"/>
      <c r="AR39" s="9"/>
      <c r="AS39" s="9"/>
      <c r="AT39" s="152">
        <f t="shared" si="40"/>
        <v>2050</v>
      </c>
      <c r="AU39" s="152">
        <f t="shared" si="41"/>
        <v>2050</v>
      </c>
      <c r="AV39" s="9">
        <f t="shared" si="42"/>
        <v>2050</v>
      </c>
      <c r="AW39" s="9">
        <f t="shared" si="42"/>
        <v>2050</v>
      </c>
      <c r="AX39" s="9">
        <f t="shared" si="42"/>
        <v>2050</v>
      </c>
      <c r="AY39" s="9">
        <f t="shared" si="33"/>
        <v>2046</v>
      </c>
      <c r="AZ39" s="9">
        <f t="shared" si="43"/>
        <v>2050</v>
      </c>
      <c r="BA39" s="9">
        <v>6</v>
      </c>
      <c r="BB39" s="9">
        <v>6</v>
      </c>
      <c r="BC39" s="9">
        <v>6</v>
      </c>
      <c r="BD39" s="9">
        <v>6</v>
      </c>
      <c r="BE39" s="9">
        <v>6</v>
      </c>
      <c r="BF39" s="9">
        <f t="shared" si="34"/>
        <v>6</v>
      </c>
      <c r="BG39" s="9">
        <v>6</v>
      </c>
      <c r="BH39" s="150">
        <v>1.2267192541321688</v>
      </c>
      <c r="BI39" s="150">
        <v>2.2612105538192599</v>
      </c>
      <c r="BJ39" s="150">
        <v>2.1252009430760062</v>
      </c>
      <c r="BK39" s="150">
        <v>1.2944496352201866</v>
      </c>
      <c r="BL39" s="150">
        <v>0.32314284341629806</v>
      </c>
      <c r="BM39" s="150">
        <v>0.14000000000000001</v>
      </c>
      <c r="BN39" s="150">
        <v>1.4542000570988298</v>
      </c>
      <c r="BO39" s="150">
        <v>11.984388276878477</v>
      </c>
      <c r="BP39" s="150">
        <v>-1.7475682675103321</v>
      </c>
      <c r="BQ39" s="150">
        <v>-1.7169645793441486</v>
      </c>
      <c r="BR39" s="150">
        <v>-1.4425350046709582</v>
      </c>
      <c r="BS39" s="150">
        <v>0.61768216477991222</v>
      </c>
      <c r="BT39" s="150">
        <v>0.15</v>
      </c>
      <c r="BU39" s="150">
        <v>-0.4950056673809119</v>
      </c>
      <c r="BV39" s="149">
        <v>0.15</v>
      </c>
      <c r="BW39" s="149">
        <v>0.2</v>
      </c>
      <c r="BX39" s="149">
        <v>0.12</v>
      </c>
      <c r="BY39" s="149">
        <v>0.08</v>
      </c>
      <c r="BZ39" s="149">
        <v>0.18</v>
      </c>
      <c r="CA39" s="149">
        <v>0.16</v>
      </c>
      <c r="CB39" s="149">
        <v>0.05</v>
      </c>
      <c r="CC39" s="149">
        <v>0.35</v>
      </c>
      <c r="CD39" s="149">
        <v>0.3</v>
      </c>
      <c r="CE39" s="149">
        <v>0.38</v>
      </c>
      <c r="CF39" s="149">
        <v>0.42</v>
      </c>
      <c r="CG39" s="149">
        <v>0.32</v>
      </c>
      <c r="CH39" s="149">
        <v>0.34</v>
      </c>
      <c r="CI39" s="149">
        <v>0.45</v>
      </c>
      <c r="CJ39" s="149">
        <v>0.15</v>
      </c>
      <c r="CK39" s="149">
        <v>0.2</v>
      </c>
      <c r="CL39" s="149">
        <v>0.12</v>
      </c>
      <c r="CM39" s="149">
        <v>0.08</v>
      </c>
      <c r="CN39" s="149">
        <v>0.18</v>
      </c>
      <c r="CO39" s="149">
        <v>0.16</v>
      </c>
      <c r="CP39" s="149">
        <v>0.05</v>
      </c>
      <c r="CQ39" s="149">
        <v>0.35</v>
      </c>
      <c r="CR39" s="149">
        <v>0.3</v>
      </c>
      <c r="CS39" s="149">
        <v>0.38</v>
      </c>
      <c r="CT39" s="149">
        <v>0.42</v>
      </c>
      <c r="CU39" s="149">
        <v>0.32</v>
      </c>
      <c r="CV39" s="149">
        <v>0.34</v>
      </c>
      <c r="CW39" s="149">
        <v>0.45</v>
      </c>
    </row>
    <row r="40" spans="1:101" x14ac:dyDescent="0.25">
      <c r="A40" s="9" t="s">
        <v>15</v>
      </c>
      <c r="B40" s="9" t="s">
        <v>1</v>
      </c>
      <c r="C40" s="9" t="s">
        <v>1</v>
      </c>
      <c r="D40" s="9"/>
      <c r="E40" s="57">
        <v>0</v>
      </c>
      <c r="F40" s="57">
        <f t="shared" si="0"/>
        <v>0</v>
      </c>
      <c r="G40" s="9"/>
      <c r="H40" s="57">
        <v>1</v>
      </c>
      <c r="I40" s="57">
        <v>1</v>
      </c>
      <c r="J40" s="57">
        <f t="shared" si="35"/>
        <v>1</v>
      </c>
      <c r="K40" s="17">
        <f t="shared" si="36"/>
        <v>1</v>
      </c>
      <c r="L40" s="17">
        <f t="shared" si="37"/>
        <v>1</v>
      </c>
      <c r="M40" s="17">
        <f t="shared" si="37"/>
        <v>1</v>
      </c>
      <c r="N40" s="9">
        <f t="shared" si="7"/>
        <v>1</v>
      </c>
      <c r="O40" s="9">
        <f t="shared" si="8"/>
        <v>1</v>
      </c>
      <c r="P40" s="9">
        <f t="shared" si="9"/>
        <v>1</v>
      </c>
      <c r="Q40" s="9">
        <f t="shared" si="10"/>
        <v>1</v>
      </c>
      <c r="R40" s="9">
        <f t="shared" ca="1" si="11"/>
        <v>1</v>
      </c>
      <c r="S40" s="9">
        <f t="shared" ca="1" si="11"/>
        <v>1</v>
      </c>
      <c r="T40" s="9">
        <f t="shared" ca="1" si="11"/>
        <v>1</v>
      </c>
      <c r="U40" s="9">
        <f t="shared" ca="1" si="11"/>
        <v>1</v>
      </c>
      <c r="V40" s="9">
        <f t="shared" ca="1" si="38"/>
        <v>1</v>
      </c>
      <c r="W40" s="9">
        <f t="shared" ca="1" si="12"/>
        <v>1</v>
      </c>
      <c r="X40" s="9" t="s">
        <v>13</v>
      </c>
      <c r="Y40" s="9">
        <v>2031</v>
      </c>
      <c r="Z40" s="152">
        <f t="shared" si="24"/>
        <v>2032</v>
      </c>
      <c r="AA40" s="152">
        <f t="shared" si="25"/>
        <v>2033</v>
      </c>
      <c r="AB40" s="152">
        <f t="shared" si="26"/>
        <v>2033</v>
      </c>
      <c r="AC40" s="152">
        <f t="shared" si="27"/>
        <v>2033</v>
      </c>
      <c r="AD40" s="152">
        <f t="shared" si="39"/>
        <v>2032</v>
      </c>
      <c r="AE40" s="152">
        <f t="shared" si="29"/>
        <v>2032</v>
      </c>
      <c r="AF40" s="9">
        <v>6</v>
      </c>
      <c r="AG40" s="9">
        <v>6</v>
      </c>
      <c r="AH40" s="152">
        <f t="shared" si="30"/>
        <v>6</v>
      </c>
      <c r="AI40" s="152">
        <f t="shared" si="30"/>
        <v>6.9999999999990905</v>
      </c>
      <c r="AJ40" s="152">
        <f t="shared" si="30"/>
        <v>6.9999999999990905</v>
      </c>
      <c r="AK40" s="152">
        <f t="shared" si="32"/>
        <v>6</v>
      </c>
      <c r="AL40" s="152">
        <f t="shared" si="31"/>
        <v>6</v>
      </c>
      <c r="AM40" s="9">
        <v>12</v>
      </c>
      <c r="AN40" s="9">
        <v>11</v>
      </c>
      <c r="AO40" s="9"/>
      <c r="AP40" s="9"/>
      <c r="AQ40" s="9"/>
      <c r="AR40" s="9"/>
      <c r="AS40" s="9"/>
      <c r="AT40" s="152">
        <f t="shared" si="40"/>
        <v>2044</v>
      </c>
      <c r="AU40" s="152">
        <f t="shared" si="41"/>
        <v>2044</v>
      </c>
      <c r="AV40" s="9">
        <f t="shared" si="42"/>
        <v>2044</v>
      </c>
      <c r="AW40" s="9">
        <f t="shared" si="42"/>
        <v>2044</v>
      </c>
      <c r="AX40" s="9">
        <f t="shared" si="42"/>
        <v>2044</v>
      </c>
      <c r="AY40" s="9">
        <f t="shared" si="33"/>
        <v>2040</v>
      </c>
      <c r="AZ40" s="9">
        <f t="shared" si="43"/>
        <v>2044</v>
      </c>
      <c r="BA40" s="9">
        <v>6</v>
      </c>
      <c r="BB40" s="9">
        <v>6</v>
      </c>
      <c r="BC40" s="9">
        <v>6</v>
      </c>
      <c r="BD40" s="9">
        <v>6</v>
      </c>
      <c r="BE40" s="9">
        <v>6</v>
      </c>
      <c r="BF40" s="9">
        <f t="shared" si="34"/>
        <v>6</v>
      </c>
      <c r="BG40" s="9">
        <v>6</v>
      </c>
      <c r="BH40" s="150">
        <v>1.2267192541321688</v>
      </c>
      <c r="BI40" s="150">
        <v>2.2612105538192599</v>
      </c>
      <c r="BJ40" s="150">
        <v>2.1252009430760062</v>
      </c>
      <c r="BK40" s="150">
        <v>1.2944496352201866</v>
      </c>
      <c r="BL40" s="150">
        <v>0.32314284341629806</v>
      </c>
      <c r="BM40" s="150">
        <v>0.14000000000000001</v>
      </c>
      <c r="BN40" s="150">
        <v>1.4542000570988298</v>
      </c>
      <c r="BO40" s="150">
        <v>11.984388276878477</v>
      </c>
      <c r="BP40" s="150">
        <v>-1.7475682675103321</v>
      </c>
      <c r="BQ40" s="150">
        <v>-1.7169645793441486</v>
      </c>
      <c r="BR40" s="150">
        <v>-1.4425350046709582</v>
      </c>
      <c r="BS40" s="150">
        <v>0.61768216477991222</v>
      </c>
      <c r="BT40" s="150">
        <v>0.15</v>
      </c>
      <c r="BU40" s="150">
        <v>-0.4950056673809119</v>
      </c>
      <c r="BV40" s="149">
        <v>0.15</v>
      </c>
      <c r="BW40" s="149">
        <v>0.2</v>
      </c>
      <c r="BX40" s="149">
        <v>0.12</v>
      </c>
      <c r="BY40" s="149">
        <v>0.08</v>
      </c>
      <c r="BZ40" s="149">
        <v>0.18</v>
      </c>
      <c r="CA40" s="149">
        <v>0.16</v>
      </c>
      <c r="CB40" s="149">
        <v>0.05</v>
      </c>
      <c r="CC40" s="149">
        <v>0.35</v>
      </c>
      <c r="CD40" s="149">
        <v>0.3</v>
      </c>
      <c r="CE40" s="149">
        <v>0.38</v>
      </c>
      <c r="CF40" s="149">
        <v>0.42</v>
      </c>
      <c r="CG40" s="149">
        <v>0.32</v>
      </c>
      <c r="CH40" s="149">
        <v>0.34</v>
      </c>
      <c r="CI40" s="149">
        <v>0.45</v>
      </c>
      <c r="CJ40" s="149">
        <v>0.15</v>
      </c>
      <c r="CK40" s="149">
        <v>0.2</v>
      </c>
      <c r="CL40" s="149">
        <v>0.12</v>
      </c>
      <c r="CM40" s="149">
        <v>0.08</v>
      </c>
      <c r="CN40" s="149">
        <v>0.18</v>
      </c>
      <c r="CO40" s="149">
        <v>0.16</v>
      </c>
      <c r="CP40" s="149">
        <v>0.05</v>
      </c>
      <c r="CQ40" s="149">
        <v>0.35</v>
      </c>
      <c r="CR40" s="149">
        <v>0.3</v>
      </c>
      <c r="CS40" s="149">
        <v>0.38</v>
      </c>
      <c r="CT40" s="149">
        <v>0.42</v>
      </c>
      <c r="CU40" s="149">
        <v>0.32</v>
      </c>
      <c r="CV40" s="149">
        <v>0.34</v>
      </c>
      <c r="CW40" s="149">
        <v>0.45</v>
      </c>
    </row>
    <row r="41" spans="1:101" x14ac:dyDescent="0.25">
      <c r="A41" s="9" t="s">
        <v>12</v>
      </c>
      <c r="B41" s="9" t="s">
        <v>1</v>
      </c>
      <c r="C41" s="9" t="s">
        <v>1</v>
      </c>
      <c r="D41" s="9"/>
      <c r="E41" s="57">
        <v>0</v>
      </c>
      <c r="F41" s="57">
        <f t="shared" si="0"/>
        <v>0</v>
      </c>
      <c r="G41" s="9"/>
      <c r="H41" s="57">
        <v>1</v>
      </c>
      <c r="I41" s="57">
        <v>1</v>
      </c>
      <c r="J41" s="57">
        <f t="shared" si="35"/>
        <v>1</v>
      </c>
      <c r="K41" s="17">
        <f t="shared" si="36"/>
        <v>1</v>
      </c>
      <c r="L41" s="17">
        <f t="shared" si="37"/>
        <v>1</v>
      </c>
      <c r="M41" s="17">
        <f t="shared" si="37"/>
        <v>1</v>
      </c>
      <c r="N41" s="9">
        <f t="shared" si="7"/>
        <v>1</v>
      </c>
      <c r="O41" s="9">
        <f t="shared" si="8"/>
        <v>1</v>
      </c>
      <c r="P41" s="9">
        <f t="shared" si="9"/>
        <v>1</v>
      </c>
      <c r="Q41" s="9">
        <f t="shared" si="10"/>
        <v>1</v>
      </c>
      <c r="R41" s="9">
        <f t="shared" ca="1" si="11"/>
        <v>1</v>
      </c>
      <c r="S41" s="9">
        <f t="shared" ca="1" si="11"/>
        <v>1</v>
      </c>
      <c r="T41" s="9">
        <f t="shared" ca="1" si="11"/>
        <v>1</v>
      </c>
      <c r="U41" s="9">
        <f t="shared" ca="1" si="11"/>
        <v>1</v>
      </c>
      <c r="V41" s="9">
        <f t="shared" ca="1" si="38"/>
        <v>1</v>
      </c>
      <c r="W41" s="9">
        <f t="shared" ca="1" si="12"/>
        <v>1</v>
      </c>
      <c r="X41" s="9" t="s">
        <v>10</v>
      </c>
      <c r="Y41" s="9">
        <v>2035</v>
      </c>
      <c r="Z41" s="152">
        <f t="shared" si="24"/>
        <v>2036</v>
      </c>
      <c r="AA41" s="152">
        <f t="shared" si="25"/>
        <v>2037</v>
      </c>
      <c r="AB41" s="152">
        <f t="shared" si="26"/>
        <v>2037</v>
      </c>
      <c r="AC41" s="152">
        <f t="shared" si="27"/>
        <v>2037</v>
      </c>
      <c r="AD41" s="152">
        <f t="shared" si="39"/>
        <v>2036</v>
      </c>
      <c r="AE41" s="152">
        <f t="shared" si="29"/>
        <v>2036</v>
      </c>
      <c r="AF41" s="9">
        <v>6</v>
      </c>
      <c r="AG41" s="9">
        <v>6</v>
      </c>
      <c r="AH41" s="152">
        <f t="shared" si="30"/>
        <v>6</v>
      </c>
      <c r="AI41" s="152">
        <f t="shared" si="30"/>
        <v>6.9999999999990905</v>
      </c>
      <c r="AJ41" s="152">
        <f t="shared" si="30"/>
        <v>6.9999999999990905</v>
      </c>
      <c r="AK41" s="152">
        <f t="shared" si="32"/>
        <v>6</v>
      </c>
      <c r="AL41" s="152">
        <f t="shared" si="31"/>
        <v>6</v>
      </c>
      <c r="AM41" s="9">
        <v>12</v>
      </c>
      <c r="AN41" s="9">
        <v>11</v>
      </c>
      <c r="AO41" s="9"/>
      <c r="AP41" s="9"/>
      <c r="AQ41" s="9"/>
      <c r="AR41" s="9"/>
      <c r="AS41" s="9"/>
      <c r="AT41" s="152">
        <f t="shared" si="40"/>
        <v>2048</v>
      </c>
      <c r="AU41" s="152">
        <f t="shared" si="41"/>
        <v>2048</v>
      </c>
      <c r="AV41" s="9">
        <f t="shared" si="42"/>
        <v>2048</v>
      </c>
      <c r="AW41" s="9">
        <f t="shared" si="42"/>
        <v>2048</v>
      </c>
      <c r="AX41" s="9">
        <f t="shared" si="42"/>
        <v>2048</v>
      </c>
      <c r="AY41" s="9">
        <f t="shared" si="33"/>
        <v>2044</v>
      </c>
      <c r="AZ41" s="9">
        <f t="shared" si="43"/>
        <v>2048</v>
      </c>
      <c r="BA41" s="9">
        <v>6</v>
      </c>
      <c r="BB41" s="9">
        <v>6</v>
      </c>
      <c r="BC41" s="9">
        <v>6</v>
      </c>
      <c r="BD41" s="9">
        <v>6</v>
      </c>
      <c r="BE41" s="9">
        <v>6</v>
      </c>
      <c r="BF41" s="9">
        <f t="shared" si="34"/>
        <v>6</v>
      </c>
      <c r="BG41" s="9">
        <v>6</v>
      </c>
      <c r="BH41" s="150">
        <v>1.2267192541321688</v>
      </c>
      <c r="BI41" s="150">
        <v>2.2612105538192599</v>
      </c>
      <c r="BJ41" s="150">
        <v>2.1252009430760062</v>
      </c>
      <c r="BK41" s="150">
        <v>1.2944496352201866</v>
      </c>
      <c r="BL41" s="150">
        <v>0.32314284341629806</v>
      </c>
      <c r="BM41" s="150">
        <v>0.14000000000000001</v>
      </c>
      <c r="BN41" s="150">
        <v>1.4542000570988298</v>
      </c>
      <c r="BO41" s="150">
        <v>11.984388276878477</v>
      </c>
      <c r="BP41" s="150">
        <v>-1.7475682675103321</v>
      </c>
      <c r="BQ41" s="150">
        <v>-1.7169645793441486</v>
      </c>
      <c r="BR41" s="150">
        <v>-1.4425350046709582</v>
      </c>
      <c r="BS41" s="150">
        <v>0.61768216477991222</v>
      </c>
      <c r="BT41" s="150">
        <v>0.15</v>
      </c>
      <c r="BU41" s="150">
        <v>-0.4950056673809119</v>
      </c>
      <c r="BV41" s="149">
        <v>0.15</v>
      </c>
      <c r="BW41" s="149">
        <v>0.2</v>
      </c>
      <c r="BX41" s="149">
        <v>0.12</v>
      </c>
      <c r="BY41" s="149">
        <v>0.08</v>
      </c>
      <c r="BZ41" s="149">
        <v>0.18</v>
      </c>
      <c r="CA41" s="149">
        <v>0.16</v>
      </c>
      <c r="CB41" s="149">
        <v>0.05</v>
      </c>
      <c r="CC41" s="149">
        <v>0.35</v>
      </c>
      <c r="CD41" s="149">
        <v>0.3</v>
      </c>
      <c r="CE41" s="149">
        <v>0.38</v>
      </c>
      <c r="CF41" s="149">
        <v>0.42</v>
      </c>
      <c r="CG41" s="149">
        <v>0.32</v>
      </c>
      <c r="CH41" s="149">
        <v>0.34</v>
      </c>
      <c r="CI41" s="149">
        <v>0.45</v>
      </c>
      <c r="CJ41" s="149">
        <v>0.15</v>
      </c>
      <c r="CK41" s="149">
        <v>0.2</v>
      </c>
      <c r="CL41" s="149">
        <v>0.12</v>
      </c>
      <c r="CM41" s="149">
        <v>0.08</v>
      </c>
      <c r="CN41" s="149">
        <v>0.18</v>
      </c>
      <c r="CO41" s="149">
        <v>0.16</v>
      </c>
      <c r="CP41" s="149">
        <v>0.05</v>
      </c>
      <c r="CQ41" s="149">
        <v>0.35</v>
      </c>
      <c r="CR41" s="149">
        <v>0.3</v>
      </c>
      <c r="CS41" s="149">
        <v>0.38</v>
      </c>
      <c r="CT41" s="149">
        <v>0.42</v>
      </c>
      <c r="CU41" s="149">
        <v>0.32</v>
      </c>
      <c r="CV41" s="149">
        <v>0.34</v>
      </c>
      <c r="CW41" s="149">
        <v>0.45</v>
      </c>
    </row>
    <row r="42" spans="1:101" x14ac:dyDescent="0.25">
      <c r="A42" s="9" t="s">
        <v>9</v>
      </c>
      <c r="B42" s="9" t="s">
        <v>1</v>
      </c>
      <c r="C42" s="9" t="s">
        <v>1</v>
      </c>
      <c r="D42" s="9"/>
      <c r="E42" s="57">
        <v>0</v>
      </c>
      <c r="F42" s="57">
        <f t="shared" si="0"/>
        <v>0</v>
      </c>
      <c r="G42" s="9"/>
      <c r="H42" s="57">
        <v>1</v>
      </c>
      <c r="I42" s="57">
        <v>1</v>
      </c>
      <c r="J42" s="57">
        <f t="shared" si="35"/>
        <v>1</v>
      </c>
      <c r="K42" s="17">
        <f t="shared" si="36"/>
        <v>1</v>
      </c>
      <c r="L42" s="17">
        <f t="shared" si="37"/>
        <v>1</v>
      </c>
      <c r="M42" s="17">
        <f t="shared" si="37"/>
        <v>1</v>
      </c>
      <c r="N42" s="9">
        <f t="shared" si="7"/>
        <v>1</v>
      </c>
      <c r="O42" s="9">
        <f t="shared" si="8"/>
        <v>1</v>
      </c>
      <c r="P42" s="9">
        <f t="shared" si="9"/>
        <v>1</v>
      </c>
      <c r="Q42" s="9">
        <f t="shared" si="10"/>
        <v>1</v>
      </c>
      <c r="R42" s="9">
        <f t="shared" ca="1" si="11"/>
        <v>1</v>
      </c>
      <c r="S42" s="9">
        <f t="shared" ca="1" si="11"/>
        <v>1</v>
      </c>
      <c r="T42" s="9">
        <f t="shared" ca="1" si="11"/>
        <v>1</v>
      </c>
      <c r="U42" s="9">
        <f t="shared" ca="1" si="11"/>
        <v>1</v>
      </c>
      <c r="V42" s="9">
        <f t="shared" ca="1" si="38"/>
        <v>1</v>
      </c>
      <c r="W42" s="9">
        <f t="shared" ca="1" si="12"/>
        <v>1</v>
      </c>
      <c r="X42" s="9" t="s">
        <v>7</v>
      </c>
      <c r="Y42" s="9">
        <f>Y39+3</f>
        <v>2040</v>
      </c>
      <c r="Z42" s="152">
        <f t="shared" si="24"/>
        <v>2041</v>
      </c>
      <c r="AA42" s="152">
        <f t="shared" si="25"/>
        <v>2042</v>
      </c>
      <c r="AB42" s="152">
        <f t="shared" si="26"/>
        <v>2042</v>
      </c>
      <c r="AC42" s="152">
        <f t="shared" si="27"/>
        <v>2042</v>
      </c>
      <c r="AD42" s="152">
        <f t="shared" si="39"/>
        <v>2041</v>
      </c>
      <c r="AE42" s="152">
        <f t="shared" si="29"/>
        <v>2041</v>
      </c>
      <c r="AF42" s="9">
        <v>6</v>
      </c>
      <c r="AG42" s="9">
        <v>6</v>
      </c>
      <c r="AH42" s="152">
        <f t="shared" si="30"/>
        <v>6</v>
      </c>
      <c r="AI42" s="152">
        <f t="shared" si="30"/>
        <v>6.9999999999990905</v>
      </c>
      <c r="AJ42" s="152">
        <f t="shared" si="30"/>
        <v>6.9999999999990905</v>
      </c>
      <c r="AK42" s="152">
        <f t="shared" si="32"/>
        <v>6</v>
      </c>
      <c r="AL42" s="152">
        <f t="shared" si="31"/>
        <v>6</v>
      </c>
      <c r="AM42" s="9">
        <v>12</v>
      </c>
      <c r="AN42" s="9">
        <v>11</v>
      </c>
      <c r="AO42" s="9"/>
      <c r="AP42" s="9"/>
      <c r="AQ42" s="9"/>
      <c r="AR42" s="9"/>
      <c r="AS42" s="9"/>
      <c r="AT42" s="152">
        <f t="shared" si="40"/>
        <v>2053</v>
      </c>
      <c r="AU42" s="152">
        <f t="shared" si="41"/>
        <v>2053</v>
      </c>
      <c r="AV42" s="9">
        <f t="shared" si="42"/>
        <v>2053</v>
      </c>
      <c r="AW42" s="9">
        <f t="shared" si="42"/>
        <v>2053</v>
      </c>
      <c r="AX42" s="9">
        <f t="shared" si="42"/>
        <v>2053</v>
      </c>
      <c r="AY42" s="9">
        <f t="shared" si="33"/>
        <v>2049</v>
      </c>
      <c r="AZ42" s="9">
        <f t="shared" si="43"/>
        <v>2053</v>
      </c>
      <c r="BA42" s="9">
        <v>6</v>
      </c>
      <c r="BB42" s="9">
        <v>6</v>
      </c>
      <c r="BC42" s="9">
        <v>6</v>
      </c>
      <c r="BD42" s="9">
        <v>6</v>
      </c>
      <c r="BE42" s="9">
        <v>6</v>
      </c>
      <c r="BF42" s="9">
        <f t="shared" si="34"/>
        <v>6</v>
      </c>
      <c r="BG42" s="9">
        <v>6</v>
      </c>
      <c r="BH42" s="150">
        <v>1.2267192541321688</v>
      </c>
      <c r="BI42" s="150">
        <v>2.2612105538192599</v>
      </c>
      <c r="BJ42" s="150">
        <v>2.1252009430760062</v>
      </c>
      <c r="BK42" s="150">
        <v>1.2944496352201866</v>
      </c>
      <c r="BL42" s="150">
        <v>0.32314284341629806</v>
      </c>
      <c r="BM42" s="150">
        <v>0.14000000000000001</v>
      </c>
      <c r="BN42" s="150">
        <v>1.4542000570988298</v>
      </c>
      <c r="BO42" s="150">
        <v>11.984388276878477</v>
      </c>
      <c r="BP42" s="150">
        <v>-1.7475682675103321</v>
      </c>
      <c r="BQ42" s="150">
        <v>-1.7169645793441486</v>
      </c>
      <c r="BR42" s="150">
        <v>-1.4425350046709582</v>
      </c>
      <c r="BS42" s="150">
        <v>0.61768216477991222</v>
      </c>
      <c r="BT42" s="150">
        <v>0.15</v>
      </c>
      <c r="BU42" s="150">
        <v>-0.4950056673809119</v>
      </c>
      <c r="BV42" s="149">
        <v>0.15</v>
      </c>
      <c r="BW42" s="149">
        <v>0.2</v>
      </c>
      <c r="BX42" s="149">
        <v>0.12</v>
      </c>
      <c r="BY42" s="149">
        <v>0.08</v>
      </c>
      <c r="BZ42" s="149">
        <v>0.18</v>
      </c>
      <c r="CA42" s="149">
        <v>0.16</v>
      </c>
      <c r="CB42" s="149">
        <v>0.05</v>
      </c>
      <c r="CC42" s="149">
        <v>0.35</v>
      </c>
      <c r="CD42" s="149">
        <v>0.3</v>
      </c>
      <c r="CE42" s="149">
        <v>0.38</v>
      </c>
      <c r="CF42" s="149">
        <v>0.42</v>
      </c>
      <c r="CG42" s="149">
        <v>0.32</v>
      </c>
      <c r="CH42" s="149">
        <v>0.34</v>
      </c>
      <c r="CI42" s="149">
        <v>0.45</v>
      </c>
      <c r="CJ42" s="149">
        <v>0.15</v>
      </c>
      <c r="CK42" s="149">
        <v>0.2</v>
      </c>
      <c r="CL42" s="149">
        <v>0.12</v>
      </c>
      <c r="CM42" s="149">
        <v>0.08</v>
      </c>
      <c r="CN42" s="149">
        <v>0.18</v>
      </c>
      <c r="CO42" s="149">
        <v>0.16</v>
      </c>
      <c r="CP42" s="149">
        <v>0.05</v>
      </c>
      <c r="CQ42" s="149">
        <v>0.35</v>
      </c>
      <c r="CR42" s="149">
        <v>0.3</v>
      </c>
      <c r="CS42" s="149">
        <v>0.38</v>
      </c>
      <c r="CT42" s="149">
        <v>0.42</v>
      </c>
      <c r="CU42" s="149">
        <v>0.32</v>
      </c>
      <c r="CV42" s="149">
        <v>0.34</v>
      </c>
      <c r="CW42" s="149">
        <v>0.45</v>
      </c>
    </row>
    <row r="43" spans="1:101" x14ac:dyDescent="0.25">
      <c r="A43" s="9" t="s">
        <v>279</v>
      </c>
      <c r="B43" s="9" t="s">
        <v>1</v>
      </c>
      <c r="C43" s="9" t="s">
        <v>1</v>
      </c>
      <c r="D43" s="9"/>
      <c r="E43" s="57">
        <v>0</v>
      </c>
      <c r="F43" s="57">
        <f t="shared" si="0"/>
        <v>0</v>
      </c>
      <c r="G43" s="9"/>
      <c r="H43" s="57">
        <v>0.1</v>
      </c>
      <c r="I43" s="57">
        <v>0.1</v>
      </c>
      <c r="J43" s="57">
        <f t="shared" si="35"/>
        <v>0.1</v>
      </c>
      <c r="K43" s="17">
        <f t="shared" si="36"/>
        <v>0.1</v>
      </c>
      <c r="L43" s="17">
        <f t="shared" si="37"/>
        <v>0.1</v>
      </c>
      <c r="M43" s="9">
        <v>0</v>
      </c>
      <c r="N43" s="9">
        <f t="shared" si="7"/>
        <v>0</v>
      </c>
      <c r="O43" s="9">
        <f t="shared" si="8"/>
        <v>0</v>
      </c>
      <c r="P43" s="9">
        <f t="shared" si="9"/>
        <v>0</v>
      </c>
      <c r="Q43" s="9">
        <f t="shared" si="10"/>
        <v>0</v>
      </c>
      <c r="R43" s="9">
        <f t="shared" ca="1" si="11"/>
        <v>0</v>
      </c>
      <c r="S43" s="9">
        <f t="shared" ca="1" si="11"/>
        <v>0</v>
      </c>
      <c r="T43" s="9">
        <f t="shared" ca="1" si="11"/>
        <v>1</v>
      </c>
      <c r="U43" s="9">
        <f t="shared" ca="1" si="11"/>
        <v>0</v>
      </c>
      <c r="V43" s="9">
        <f t="shared" ca="1" si="38"/>
        <v>0</v>
      </c>
      <c r="W43" s="9">
        <f t="shared" ca="1" si="12"/>
        <v>1</v>
      </c>
      <c r="X43" s="9" t="s">
        <v>62</v>
      </c>
      <c r="Y43" s="9">
        <v>2026</v>
      </c>
      <c r="Z43" s="152">
        <f t="shared" si="24"/>
        <v>2027</v>
      </c>
      <c r="AA43" s="152">
        <f t="shared" si="25"/>
        <v>2028</v>
      </c>
      <c r="AB43" s="152">
        <f t="shared" si="26"/>
        <v>2028</v>
      </c>
      <c r="AC43" s="152">
        <f t="shared" si="27"/>
        <v>2028</v>
      </c>
      <c r="AD43" s="152">
        <f t="shared" si="39"/>
        <v>2027</v>
      </c>
      <c r="AE43" s="152">
        <f t="shared" si="29"/>
        <v>2027</v>
      </c>
      <c r="AF43" s="9">
        <v>9</v>
      </c>
      <c r="AG43" s="9">
        <v>6</v>
      </c>
      <c r="AH43" s="152">
        <f t="shared" si="30"/>
        <v>6</v>
      </c>
      <c r="AI43" s="152">
        <f t="shared" si="30"/>
        <v>6.9999999999990905</v>
      </c>
      <c r="AJ43" s="152">
        <f t="shared" si="30"/>
        <v>6.9999999999990905</v>
      </c>
      <c r="AK43" s="152">
        <f t="shared" si="32"/>
        <v>9</v>
      </c>
      <c r="AL43" s="152">
        <f t="shared" si="31"/>
        <v>6</v>
      </c>
      <c r="AM43" s="9"/>
      <c r="AN43" s="9"/>
      <c r="AO43" s="9"/>
      <c r="AP43" s="9"/>
      <c r="AQ43" s="9"/>
      <c r="AR43" s="9"/>
      <c r="AS43" s="9"/>
      <c r="AT43" s="9">
        <v>2036</v>
      </c>
      <c r="AU43" s="9">
        <v>2037</v>
      </c>
      <c r="AV43" s="9">
        <v>2037</v>
      </c>
      <c r="AW43" s="9">
        <v>2037</v>
      </c>
      <c r="AX43" s="9">
        <v>2037</v>
      </c>
      <c r="AY43" s="9">
        <v>2037</v>
      </c>
      <c r="AZ43" s="9">
        <v>2037</v>
      </c>
      <c r="BA43" s="9">
        <v>6</v>
      </c>
      <c r="BB43" s="9">
        <v>6</v>
      </c>
      <c r="BC43" s="9">
        <v>6</v>
      </c>
      <c r="BD43" s="9">
        <v>6</v>
      </c>
      <c r="BE43" s="9">
        <v>6</v>
      </c>
      <c r="BF43" s="9">
        <f t="shared" si="34"/>
        <v>9</v>
      </c>
      <c r="BG43" s="9">
        <v>6</v>
      </c>
      <c r="BH43" s="150">
        <v>1.2267192541321688</v>
      </c>
      <c r="BI43" s="150">
        <v>2.2612105538192599</v>
      </c>
      <c r="BJ43" s="150">
        <v>2.1252009430760062</v>
      </c>
      <c r="BK43" s="150">
        <v>1.2944496352201866</v>
      </c>
      <c r="BL43" s="150">
        <v>0.32314284341629806</v>
      </c>
      <c r="BM43" s="150">
        <v>0.14000000000000001</v>
      </c>
      <c r="BN43" s="150">
        <v>1.4542000570988298</v>
      </c>
      <c r="BO43" s="150">
        <v>11.984388276878477</v>
      </c>
      <c r="BP43" s="150">
        <v>-1.7475682675103321</v>
      </c>
      <c r="BQ43" s="150">
        <v>-1.7169645793441486</v>
      </c>
      <c r="BR43" s="150">
        <v>-1.4425350046709582</v>
      </c>
      <c r="BS43" s="150">
        <v>0.61768216477991222</v>
      </c>
      <c r="BT43" s="150">
        <v>0.15</v>
      </c>
      <c r="BU43" s="150">
        <v>-0.4950056673809119</v>
      </c>
      <c r="BV43" s="149">
        <v>0.15</v>
      </c>
      <c r="BW43" s="149">
        <v>0.2</v>
      </c>
      <c r="BX43" s="149">
        <v>0.12</v>
      </c>
      <c r="BY43" s="149">
        <v>0.08</v>
      </c>
      <c r="BZ43" s="149">
        <v>0.18</v>
      </c>
      <c r="CA43" s="149">
        <v>0.16</v>
      </c>
      <c r="CB43" s="149">
        <v>0.05</v>
      </c>
      <c r="CC43" s="149">
        <v>0.35</v>
      </c>
      <c r="CD43" s="149">
        <v>0.3</v>
      </c>
      <c r="CE43" s="149">
        <v>0.38</v>
      </c>
      <c r="CF43" s="149">
        <v>0.42</v>
      </c>
      <c r="CG43" s="149">
        <v>0.32</v>
      </c>
      <c r="CH43" s="149">
        <v>0.34</v>
      </c>
      <c r="CI43" s="149">
        <v>0.45</v>
      </c>
      <c r="CJ43" s="149">
        <v>0.15</v>
      </c>
      <c r="CK43" s="149">
        <v>0.2</v>
      </c>
      <c r="CL43" s="149">
        <v>0.12</v>
      </c>
      <c r="CM43" s="149">
        <v>0.08</v>
      </c>
      <c r="CN43" s="149">
        <v>0.18</v>
      </c>
      <c r="CO43" s="149">
        <v>0.16</v>
      </c>
      <c r="CP43" s="149">
        <v>0.05</v>
      </c>
      <c r="CQ43" s="149">
        <v>0.35</v>
      </c>
      <c r="CR43" s="149">
        <v>0.3</v>
      </c>
      <c r="CS43" s="149">
        <v>0.38</v>
      </c>
      <c r="CT43" s="149">
        <v>0.42</v>
      </c>
      <c r="CU43" s="149">
        <v>0.32</v>
      </c>
      <c r="CV43" s="149">
        <v>0.34</v>
      </c>
      <c r="CW43" s="149">
        <v>0.45</v>
      </c>
    </row>
    <row r="44" spans="1:101" x14ac:dyDescent="0.25">
      <c r="A44" s="9" t="s">
        <v>6</v>
      </c>
      <c r="B44" s="9" t="s">
        <v>1</v>
      </c>
      <c r="C44" s="9" t="s">
        <v>1</v>
      </c>
      <c r="D44" s="9"/>
      <c r="E44" s="57">
        <v>0</v>
      </c>
      <c r="F44" s="57">
        <f t="shared" si="0"/>
        <v>0</v>
      </c>
      <c r="G44" s="9"/>
      <c r="H44" s="57">
        <v>0</v>
      </c>
      <c r="I44" s="57">
        <v>0</v>
      </c>
      <c r="J44" s="57">
        <f t="shared" si="35"/>
        <v>0</v>
      </c>
      <c r="K44" s="17">
        <f t="shared" si="36"/>
        <v>0</v>
      </c>
      <c r="L44" s="17">
        <f t="shared" si="37"/>
        <v>0</v>
      </c>
      <c r="M44" s="9">
        <v>0</v>
      </c>
      <c r="N44" s="9">
        <f t="shared" si="7"/>
        <v>0</v>
      </c>
      <c r="O44" s="9">
        <f t="shared" si="8"/>
        <v>0</v>
      </c>
      <c r="P44" s="9">
        <f t="shared" si="9"/>
        <v>0</v>
      </c>
      <c r="Q44" s="9">
        <f t="shared" si="10"/>
        <v>0</v>
      </c>
      <c r="R44" s="9">
        <f t="shared" ca="1" si="11"/>
        <v>1</v>
      </c>
      <c r="S44" s="9">
        <f t="shared" ca="1" si="11"/>
        <v>0</v>
      </c>
      <c r="T44" s="9">
        <f t="shared" ca="1" si="11"/>
        <v>0</v>
      </c>
      <c r="U44" s="9">
        <f t="shared" ca="1" si="11"/>
        <v>0</v>
      </c>
      <c r="V44" s="9">
        <f t="shared" ca="1" si="38"/>
        <v>1</v>
      </c>
      <c r="W44" s="9">
        <f t="shared" ca="1" si="12"/>
        <v>0</v>
      </c>
      <c r="X44" s="9" t="s">
        <v>0</v>
      </c>
      <c r="Y44" s="9">
        <v>2050</v>
      </c>
      <c r="Z44" s="152">
        <f t="shared" si="24"/>
        <v>2051</v>
      </c>
      <c r="AA44" s="152">
        <f t="shared" si="25"/>
        <v>2052</v>
      </c>
      <c r="AB44" s="152">
        <f t="shared" si="26"/>
        <v>2052</v>
      </c>
      <c r="AC44" s="152">
        <f t="shared" si="27"/>
        <v>2052</v>
      </c>
      <c r="AD44" s="152">
        <f t="shared" si="39"/>
        <v>2051</v>
      </c>
      <c r="AE44" s="152">
        <f t="shared" si="29"/>
        <v>2051</v>
      </c>
      <c r="AF44" s="9">
        <v>9</v>
      </c>
      <c r="AG44" s="9">
        <v>6</v>
      </c>
      <c r="AH44" s="152">
        <f t="shared" si="30"/>
        <v>6</v>
      </c>
      <c r="AI44" s="152">
        <f t="shared" si="30"/>
        <v>7.000000000001819</v>
      </c>
      <c r="AJ44" s="152">
        <f t="shared" si="30"/>
        <v>7.000000000001819</v>
      </c>
      <c r="AK44" s="152">
        <f t="shared" si="32"/>
        <v>9</v>
      </c>
      <c r="AL44" s="152">
        <f t="shared" si="31"/>
        <v>6</v>
      </c>
      <c r="AM44" s="9"/>
      <c r="AN44" s="9"/>
      <c r="AO44" s="9"/>
      <c r="AP44" s="9"/>
      <c r="AQ44" s="9"/>
      <c r="AR44" s="9"/>
      <c r="AS44" s="9"/>
      <c r="AT44" s="9">
        <v>2060</v>
      </c>
      <c r="AU44" s="9">
        <v>2060</v>
      </c>
      <c r="AV44" s="9">
        <v>2060</v>
      </c>
      <c r="AW44" s="9">
        <v>2060</v>
      </c>
      <c r="AX44" s="9">
        <v>2060</v>
      </c>
      <c r="AY44" s="9">
        <f t="shared" si="33"/>
        <v>2059</v>
      </c>
      <c r="AZ44" s="9">
        <v>2060</v>
      </c>
      <c r="BA44" s="9">
        <v>6</v>
      </c>
      <c r="BB44" s="9">
        <v>6</v>
      </c>
      <c r="BC44" s="9">
        <v>6</v>
      </c>
      <c r="BD44" s="9">
        <v>6</v>
      </c>
      <c r="BE44" s="9">
        <v>6</v>
      </c>
      <c r="BF44" s="9">
        <f t="shared" si="34"/>
        <v>9</v>
      </c>
      <c r="BG44" s="9">
        <v>6</v>
      </c>
      <c r="BH44" s="150">
        <v>1.2267192541321688</v>
      </c>
      <c r="BI44" s="150">
        <v>2.2612105538192599</v>
      </c>
      <c r="BJ44" s="150">
        <v>2.1252009430760062</v>
      </c>
      <c r="BK44" s="150">
        <v>1.2944496352201866</v>
      </c>
      <c r="BL44" s="150">
        <v>0.32314284341629806</v>
      </c>
      <c r="BM44" s="150">
        <v>0.14000000000000001</v>
      </c>
      <c r="BN44" s="150">
        <v>1.4542000570988298</v>
      </c>
      <c r="BO44" s="150">
        <v>11.984388276878477</v>
      </c>
      <c r="BP44" s="150">
        <v>-1.7475682675103321</v>
      </c>
      <c r="BQ44" s="150">
        <v>-1.7169645793441486</v>
      </c>
      <c r="BR44" s="150">
        <v>-1.4425350046709582</v>
      </c>
      <c r="BS44" s="150">
        <v>0.61768216477991222</v>
      </c>
      <c r="BT44" s="150">
        <v>0.15</v>
      </c>
      <c r="BU44" s="150">
        <v>-0.4950056673809119</v>
      </c>
      <c r="BV44" s="149">
        <v>0.15</v>
      </c>
      <c r="BW44" s="149">
        <v>0.2</v>
      </c>
      <c r="BX44" s="149">
        <v>0.12</v>
      </c>
      <c r="BY44" s="149">
        <v>0.08</v>
      </c>
      <c r="BZ44" s="149">
        <v>0.18</v>
      </c>
      <c r="CA44" s="149">
        <v>0.16</v>
      </c>
      <c r="CB44" s="149">
        <v>0.05</v>
      </c>
      <c r="CC44" s="149">
        <v>0.35</v>
      </c>
      <c r="CD44" s="149">
        <v>0.3</v>
      </c>
      <c r="CE44" s="149">
        <v>0.38</v>
      </c>
      <c r="CF44" s="149">
        <v>0.42</v>
      </c>
      <c r="CG44" s="149">
        <v>0.32</v>
      </c>
      <c r="CH44" s="149">
        <v>0.34</v>
      </c>
      <c r="CI44" s="149">
        <v>0.45</v>
      </c>
      <c r="CJ44" s="149">
        <v>0.15</v>
      </c>
      <c r="CK44" s="149">
        <v>0.2</v>
      </c>
      <c r="CL44" s="149">
        <v>0.12</v>
      </c>
      <c r="CM44" s="149">
        <v>0.08</v>
      </c>
      <c r="CN44" s="149">
        <v>0.18</v>
      </c>
      <c r="CO44" s="149">
        <v>0.16</v>
      </c>
      <c r="CP44" s="149">
        <v>0.05</v>
      </c>
      <c r="CQ44" s="149">
        <v>0.35</v>
      </c>
      <c r="CR44" s="149">
        <v>0.3</v>
      </c>
      <c r="CS44" s="149">
        <v>0.38</v>
      </c>
      <c r="CT44" s="149">
        <v>0.42</v>
      </c>
      <c r="CU44" s="149">
        <v>0.32</v>
      </c>
      <c r="CV44" s="149">
        <v>0.34</v>
      </c>
      <c r="CW44" s="149">
        <v>0.45</v>
      </c>
    </row>
    <row r="45" spans="1:101" x14ac:dyDescent="0.25">
      <c r="A45" s="9" t="s">
        <v>185</v>
      </c>
      <c r="B45" s="9" t="s">
        <v>1</v>
      </c>
      <c r="C45" s="9" t="s">
        <v>1</v>
      </c>
      <c r="D45" s="9"/>
      <c r="E45" s="57">
        <v>0</v>
      </c>
      <c r="F45" s="57">
        <f t="shared" si="0"/>
        <v>0</v>
      </c>
      <c r="G45" s="9"/>
      <c r="H45" s="57">
        <v>0</v>
      </c>
      <c r="I45" s="57">
        <v>0</v>
      </c>
      <c r="J45" s="57">
        <f t="shared" si="35"/>
        <v>0</v>
      </c>
      <c r="K45" s="17">
        <f t="shared" si="36"/>
        <v>0</v>
      </c>
      <c r="L45" s="17">
        <f t="shared" si="37"/>
        <v>0</v>
      </c>
      <c r="M45" s="9">
        <v>0</v>
      </c>
      <c r="N45" s="9">
        <f t="shared" si="7"/>
        <v>0</v>
      </c>
      <c r="O45" s="9">
        <f t="shared" si="8"/>
        <v>0</v>
      </c>
      <c r="P45" s="9">
        <f t="shared" si="9"/>
        <v>0</v>
      </c>
      <c r="Q45" s="9">
        <f t="shared" si="10"/>
        <v>0</v>
      </c>
      <c r="R45" s="9">
        <f t="shared" ca="1" si="11"/>
        <v>0</v>
      </c>
      <c r="S45" s="9">
        <f t="shared" ca="1" si="11"/>
        <v>1</v>
      </c>
      <c r="T45" s="9">
        <f t="shared" ca="1" si="11"/>
        <v>0</v>
      </c>
      <c r="U45" s="9">
        <f t="shared" ca="1" si="11"/>
        <v>1</v>
      </c>
      <c r="V45" s="9">
        <f t="shared" ca="1" si="38"/>
        <v>1</v>
      </c>
      <c r="W45" s="9">
        <f t="shared" ca="1" si="12"/>
        <v>0</v>
      </c>
      <c r="X45" s="9" t="s">
        <v>0</v>
      </c>
      <c r="Y45" s="9">
        <v>2050</v>
      </c>
      <c r="Z45" s="152">
        <f t="shared" si="24"/>
        <v>2051</v>
      </c>
      <c r="AA45" s="152">
        <f t="shared" si="25"/>
        <v>2052</v>
      </c>
      <c r="AB45" s="152">
        <f t="shared" si="26"/>
        <v>2052</v>
      </c>
      <c r="AC45" s="152">
        <f t="shared" si="27"/>
        <v>2052</v>
      </c>
      <c r="AD45" s="152">
        <f t="shared" si="39"/>
        <v>2051</v>
      </c>
      <c r="AE45" s="152">
        <f t="shared" si="29"/>
        <v>2051</v>
      </c>
      <c r="AF45" s="9">
        <v>6</v>
      </c>
      <c r="AG45" s="9">
        <v>6</v>
      </c>
      <c r="AH45" s="152">
        <f t="shared" si="30"/>
        <v>6</v>
      </c>
      <c r="AI45" s="152">
        <f t="shared" si="30"/>
        <v>7.000000000001819</v>
      </c>
      <c r="AJ45" s="152">
        <f t="shared" si="30"/>
        <v>7.000000000001819</v>
      </c>
      <c r="AK45" s="152">
        <f t="shared" si="32"/>
        <v>6</v>
      </c>
      <c r="AL45" s="152">
        <f t="shared" si="31"/>
        <v>6</v>
      </c>
      <c r="AM45" s="9"/>
      <c r="AN45" s="9"/>
      <c r="AO45" s="9"/>
      <c r="AP45" s="9"/>
      <c r="AQ45" s="9"/>
      <c r="AR45" s="9"/>
      <c r="AS45" s="9"/>
      <c r="AT45" s="9">
        <v>2060</v>
      </c>
      <c r="AU45" s="9">
        <v>2060</v>
      </c>
      <c r="AV45" s="9">
        <v>2060</v>
      </c>
      <c r="AW45" s="9">
        <v>2060</v>
      </c>
      <c r="AX45" s="9">
        <v>2060</v>
      </c>
      <c r="AY45" s="9">
        <f t="shared" si="33"/>
        <v>2059</v>
      </c>
      <c r="AZ45" s="9">
        <v>2060</v>
      </c>
      <c r="BA45" s="9">
        <v>6</v>
      </c>
      <c r="BB45" s="9">
        <v>6</v>
      </c>
      <c r="BC45" s="9">
        <v>6</v>
      </c>
      <c r="BD45" s="9">
        <v>6</v>
      </c>
      <c r="BE45" s="9">
        <v>6</v>
      </c>
      <c r="BF45" s="9">
        <f t="shared" si="34"/>
        <v>6</v>
      </c>
      <c r="BG45" s="9">
        <v>6</v>
      </c>
      <c r="BH45" s="150">
        <v>1.2267192541321688</v>
      </c>
      <c r="BI45" s="150">
        <v>2.2612105538192599</v>
      </c>
      <c r="BJ45" s="150">
        <v>2.1252009430760062</v>
      </c>
      <c r="BK45" s="150">
        <v>1.2944496352201866</v>
      </c>
      <c r="BL45" s="150">
        <v>0.32314284341629806</v>
      </c>
      <c r="BM45" s="150">
        <v>0.14000000000000001</v>
      </c>
      <c r="BN45" s="150">
        <v>1.4542000570988298</v>
      </c>
      <c r="BO45" s="150">
        <v>11.984388276878477</v>
      </c>
      <c r="BP45" s="150">
        <v>-1.7475682675103321</v>
      </c>
      <c r="BQ45" s="150">
        <v>-1.7169645793441486</v>
      </c>
      <c r="BR45" s="150">
        <v>-1.4425350046709582</v>
      </c>
      <c r="BS45" s="150">
        <v>0.61768216477991222</v>
      </c>
      <c r="BT45" s="150">
        <v>0.15</v>
      </c>
      <c r="BU45" s="150">
        <v>-0.4950056673809119</v>
      </c>
      <c r="BV45" s="149">
        <v>0.15</v>
      </c>
      <c r="BW45" s="149">
        <v>0.2</v>
      </c>
      <c r="BX45" s="149">
        <v>0.12</v>
      </c>
      <c r="BY45" s="149">
        <v>0.08</v>
      </c>
      <c r="BZ45" s="149">
        <v>0.18</v>
      </c>
      <c r="CA45" s="149">
        <v>0.16</v>
      </c>
      <c r="CB45" s="149">
        <v>0.05</v>
      </c>
      <c r="CC45" s="149">
        <v>0.35</v>
      </c>
      <c r="CD45" s="149">
        <v>0.3</v>
      </c>
      <c r="CE45" s="149">
        <v>0.38</v>
      </c>
      <c r="CF45" s="149">
        <v>0.42</v>
      </c>
      <c r="CG45" s="149">
        <v>0.32</v>
      </c>
      <c r="CH45" s="149">
        <v>0.34</v>
      </c>
      <c r="CI45" s="149">
        <v>0.45</v>
      </c>
      <c r="CJ45" s="149">
        <v>0.15</v>
      </c>
      <c r="CK45" s="149">
        <v>0.2</v>
      </c>
      <c r="CL45" s="149">
        <v>0.12</v>
      </c>
      <c r="CM45" s="149">
        <v>0.08</v>
      </c>
      <c r="CN45" s="149">
        <v>0.18</v>
      </c>
      <c r="CO45" s="149">
        <v>0.16</v>
      </c>
      <c r="CP45" s="149">
        <v>0.05</v>
      </c>
      <c r="CQ45" s="149">
        <v>0.35</v>
      </c>
      <c r="CR45" s="149">
        <v>0.3</v>
      </c>
      <c r="CS45" s="149">
        <v>0.38</v>
      </c>
      <c r="CT45" s="149">
        <v>0.42</v>
      </c>
      <c r="CU45" s="149">
        <v>0.32</v>
      </c>
      <c r="CV45" s="149">
        <v>0.34</v>
      </c>
      <c r="CW45" s="149">
        <v>0.45</v>
      </c>
    </row>
    <row r="46" spans="1:101" x14ac:dyDescent="0.25">
      <c r="A46" s="9" t="s">
        <v>4</v>
      </c>
      <c r="B46" s="9" t="s">
        <v>1</v>
      </c>
      <c r="C46" s="9" t="s">
        <v>1</v>
      </c>
      <c r="D46" s="9"/>
      <c r="E46" s="57">
        <v>0</v>
      </c>
      <c r="F46" s="57">
        <f t="shared" si="0"/>
        <v>0</v>
      </c>
      <c r="G46" s="9"/>
      <c r="H46" s="57">
        <v>0</v>
      </c>
      <c r="I46" s="57">
        <v>0</v>
      </c>
      <c r="J46" s="57">
        <f t="shared" si="35"/>
        <v>0</v>
      </c>
      <c r="K46" s="17">
        <f t="shared" si="36"/>
        <v>0</v>
      </c>
      <c r="L46" s="17">
        <f t="shared" si="37"/>
        <v>0</v>
      </c>
      <c r="M46" s="9">
        <v>0</v>
      </c>
      <c r="N46" s="9">
        <f t="shared" si="7"/>
        <v>0</v>
      </c>
      <c r="O46" s="9">
        <f t="shared" si="8"/>
        <v>0</v>
      </c>
      <c r="P46" s="9">
        <f t="shared" si="9"/>
        <v>0</v>
      </c>
      <c r="Q46" s="9">
        <f t="shared" si="10"/>
        <v>0</v>
      </c>
      <c r="R46" s="9">
        <f t="shared" ca="1" si="11"/>
        <v>0</v>
      </c>
      <c r="S46" s="9">
        <f t="shared" ca="1" si="11"/>
        <v>1</v>
      </c>
      <c r="T46" s="9">
        <f t="shared" ca="1" si="11"/>
        <v>0</v>
      </c>
      <c r="U46" s="9">
        <f t="shared" ca="1" si="11"/>
        <v>0</v>
      </c>
      <c r="V46" s="9">
        <f t="shared" ca="1" si="38"/>
        <v>0</v>
      </c>
      <c r="W46" s="9">
        <f t="shared" ca="1" si="12"/>
        <v>0</v>
      </c>
      <c r="X46" s="9" t="s">
        <v>0</v>
      </c>
      <c r="Y46" s="9">
        <v>2050</v>
      </c>
      <c r="Z46" s="152">
        <f t="shared" si="24"/>
        <v>2051</v>
      </c>
      <c r="AA46" s="152">
        <f t="shared" si="25"/>
        <v>2052</v>
      </c>
      <c r="AB46" s="152">
        <f t="shared" si="26"/>
        <v>2052</v>
      </c>
      <c r="AC46" s="152">
        <f t="shared" si="27"/>
        <v>2052</v>
      </c>
      <c r="AD46" s="152">
        <f t="shared" si="39"/>
        <v>2051</v>
      </c>
      <c r="AE46" s="152">
        <f t="shared" si="29"/>
        <v>2051</v>
      </c>
      <c r="AF46" s="9">
        <v>9</v>
      </c>
      <c r="AG46" s="9">
        <v>6</v>
      </c>
      <c r="AH46" s="152">
        <f t="shared" si="30"/>
        <v>6</v>
      </c>
      <c r="AI46" s="152">
        <f t="shared" si="30"/>
        <v>7.000000000001819</v>
      </c>
      <c r="AJ46" s="152">
        <f t="shared" si="30"/>
        <v>7.000000000001819</v>
      </c>
      <c r="AK46" s="152">
        <f t="shared" si="32"/>
        <v>9</v>
      </c>
      <c r="AL46" s="152">
        <f t="shared" si="31"/>
        <v>6</v>
      </c>
      <c r="AM46" s="9"/>
      <c r="AN46" s="9"/>
      <c r="AO46" s="9"/>
      <c r="AP46" s="9"/>
      <c r="AQ46" s="9"/>
      <c r="AR46" s="9"/>
      <c r="AS46" s="9"/>
      <c r="AT46" s="9">
        <v>2060</v>
      </c>
      <c r="AU46" s="9">
        <v>2060</v>
      </c>
      <c r="AV46" s="9">
        <v>2060</v>
      </c>
      <c r="AW46" s="9">
        <v>2060</v>
      </c>
      <c r="AX46" s="9">
        <v>2060</v>
      </c>
      <c r="AY46" s="9">
        <f t="shared" si="33"/>
        <v>2059</v>
      </c>
      <c r="AZ46" s="9">
        <v>2060</v>
      </c>
      <c r="BA46" s="9">
        <v>6</v>
      </c>
      <c r="BB46" s="9">
        <v>6</v>
      </c>
      <c r="BC46" s="9">
        <v>6</v>
      </c>
      <c r="BD46" s="9">
        <v>6</v>
      </c>
      <c r="BE46" s="9">
        <v>6</v>
      </c>
      <c r="BF46" s="9">
        <f t="shared" si="34"/>
        <v>9</v>
      </c>
      <c r="BG46" s="9">
        <v>6</v>
      </c>
      <c r="BH46" s="150">
        <v>1.2267192541321688</v>
      </c>
      <c r="BI46" s="150">
        <v>2.2612105538192599</v>
      </c>
      <c r="BJ46" s="150">
        <v>2.1252009430760062</v>
      </c>
      <c r="BK46" s="150">
        <v>1.2944496352201866</v>
      </c>
      <c r="BL46" s="150">
        <v>0.32314284341629806</v>
      </c>
      <c r="BM46" s="150">
        <v>0.14000000000000001</v>
      </c>
      <c r="BN46" s="150">
        <v>1.4542000570988298</v>
      </c>
      <c r="BO46" s="150">
        <v>11.984388276878477</v>
      </c>
      <c r="BP46" s="150">
        <v>-1.7475682675103321</v>
      </c>
      <c r="BQ46" s="150">
        <v>-1.7169645793441486</v>
      </c>
      <c r="BR46" s="150">
        <v>-1.4425350046709582</v>
      </c>
      <c r="BS46" s="150">
        <v>0.61768216477991222</v>
      </c>
      <c r="BT46" s="150">
        <v>0.15</v>
      </c>
      <c r="BU46" s="150">
        <v>-0.4950056673809119</v>
      </c>
      <c r="BV46" s="149">
        <v>0.15</v>
      </c>
      <c r="BW46" s="149">
        <v>0.2</v>
      </c>
      <c r="BX46" s="149">
        <v>0.12</v>
      </c>
      <c r="BY46" s="149">
        <v>0.08</v>
      </c>
      <c r="BZ46" s="149">
        <v>0.18</v>
      </c>
      <c r="CA46" s="149">
        <v>0.16</v>
      </c>
      <c r="CB46" s="149">
        <v>0.05</v>
      </c>
      <c r="CC46" s="149">
        <v>0.35</v>
      </c>
      <c r="CD46" s="149">
        <v>0.3</v>
      </c>
      <c r="CE46" s="149">
        <v>0.38</v>
      </c>
      <c r="CF46" s="149">
        <v>0.42</v>
      </c>
      <c r="CG46" s="149">
        <v>0.32</v>
      </c>
      <c r="CH46" s="149">
        <v>0.34</v>
      </c>
      <c r="CI46" s="149">
        <v>0.45</v>
      </c>
      <c r="CJ46" s="149">
        <v>0.15</v>
      </c>
      <c r="CK46" s="149">
        <v>0.2</v>
      </c>
      <c r="CL46" s="149">
        <v>0.12</v>
      </c>
      <c r="CM46" s="149">
        <v>0.08</v>
      </c>
      <c r="CN46" s="149">
        <v>0.18</v>
      </c>
      <c r="CO46" s="149">
        <v>0.16</v>
      </c>
      <c r="CP46" s="149">
        <v>0.05</v>
      </c>
      <c r="CQ46" s="149">
        <v>0.35</v>
      </c>
      <c r="CR46" s="149">
        <v>0.3</v>
      </c>
      <c r="CS46" s="149">
        <v>0.38</v>
      </c>
      <c r="CT46" s="149">
        <v>0.42</v>
      </c>
      <c r="CU46" s="149">
        <v>0.32</v>
      </c>
      <c r="CV46" s="149">
        <v>0.34</v>
      </c>
      <c r="CW46" s="149">
        <v>0.45</v>
      </c>
    </row>
    <row r="47" spans="1:101" x14ac:dyDescent="0.25">
      <c r="A47" s="9" t="s">
        <v>184</v>
      </c>
      <c r="B47" s="9" t="s">
        <v>1</v>
      </c>
      <c r="C47" s="9" t="s">
        <v>1</v>
      </c>
      <c r="D47" s="9"/>
      <c r="E47" s="57">
        <v>0</v>
      </c>
      <c r="F47" s="57">
        <f t="shared" si="0"/>
        <v>0</v>
      </c>
      <c r="G47" s="9"/>
      <c r="H47" s="57">
        <v>0</v>
      </c>
      <c r="I47" s="57">
        <v>0</v>
      </c>
      <c r="J47" s="57">
        <f t="shared" si="35"/>
        <v>0</v>
      </c>
      <c r="K47" s="17">
        <f t="shared" si="36"/>
        <v>0</v>
      </c>
      <c r="L47" s="17">
        <f t="shared" si="37"/>
        <v>0</v>
      </c>
      <c r="M47" s="9">
        <v>0</v>
      </c>
      <c r="N47" s="9">
        <f t="shared" si="7"/>
        <v>0</v>
      </c>
      <c r="O47" s="9">
        <f t="shared" si="8"/>
        <v>0</v>
      </c>
      <c r="P47" s="9">
        <f t="shared" si="9"/>
        <v>0</v>
      </c>
      <c r="Q47" s="9">
        <f t="shared" si="10"/>
        <v>0</v>
      </c>
      <c r="R47" s="9">
        <f t="shared" ca="1" si="11"/>
        <v>0</v>
      </c>
      <c r="S47" s="9">
        <f t="shared" ca="1" si="11"/>
        <v>0</v>
      </c>
      <c r="T47" s="9">
        <f t="shared" ca="1" si="11"/>
        <v>0</v>
      </c>
      <c r="U47" s="9">
        <f t="shared" ca="1" si="11"/>
        <v>1</v>
      </c>
      <c r="V47" s="9">
        <f t="shared" ca="1" si="38"/>
        <v>0</v>
      </c>
      <c r="W47" s="9">
        <f t="shared" ca="1" si="12"/>
        <v>1</v>
      </c>
      <c r="X47" s="9" t="s">
        <v>0</v>
      </c>
      <c r="Y47" s="9">
        <v>2050</v>
      </c>
      <c r="Z47" s="152">
        <f t="shared" si="24"/>
        <v>2051</v>
      </c>
      <c r="AA47" s="152">
        <f t="shared" si="25"/>
        <v>2052</v>
      </c>
      <c r="AB47" s="152">
        <f t="shared" si="26"/>
        <v>2052</v>
      </c>
      <c r="AC47" s="152">
        <f t="shared" si="27"/>
        <v>2052</v>
      </c>
      <c r="AD47" s="152">
        <f t="shared" si="39"/>
        <v>2051</v>
      </c>
      <c r="AE47" s="152">
        <f t="shared" si="29"/>
        <v>2051</v>
      </c>
      <c r="AF47" s="9">
        <v>6</v>
      </c>
      <c r="AG47" s="9">
        <v>6</v>
      </c>
      <c r="AH47" s="152">
        <f t="shared" si="30"/>
        <v>6</v>
      </c>
      <c r="AI47" s="152">
        <f t="shared" si="30"/>
        <v>7.000000000001819</v>
      </c>
      <c r="AJ47" s="152">
        <f t="shared" si="30"/>
        <v>7.000000000001819</v>
      </c>
      <c r="AK47" s="152">
        <f t="shared" si="32"/>
        <v>6</v>
      </c>
      <c r="AL47" s="152">
        <f t="shared" si="31"/>
        <v>6</v>
      </c>
      <c r="AM47" s="9"/>
      <c r="AN47" s="9"/>
      <c r="AO47" s="9"/>
      <c r="AP47" s="9"/>
      <c r="AQ47" s="9"/>
      <c r="AR47" s="9"/>
      <c r="AS47" s="9"/>
      <c r="AT47" s="9">
        <v>2060</v>
      </c>
      <c r="AU47" s="9">
        <v>2060</v>
      </c>
      <c r="AV47" s="9">
        <v>2060</v>
      </c>
      <c r="AW47" s="9">
        <v>2060</v>
      </c>
      <c r="AX47" s="9">
        <v>2060</v>
      </c>
      <c r="AY47" s="9">
        <f t="shared" si="33"/>
        <v>2059</v>
      </c>
      <c r="AZ47" s="9">
        <v>2060</v>
      </c>
      <c r="BA47" s="9">
        <v>6</v>
      </c>
      <c r="BB47" s="9">
        <v>6</v>
      </c>
      <c r="BC47" s="9">
        <v>6</v>
      </c>
      <c r="BD47" s="9">
        <v>6</v>
      </c>
      <c r="BE47" s="9">
        <v>6</v>
      </c>
      <c r="BF47" s="9">
        <f t="shared" si="34"/>
        <v>6</v>
      </c>
      <c r="BG47" s="9">
        <v>6</v>
      </c>
      <c r="BH47" s="150">
        <v>1.2267192541321688</v>
      </c>
      <c r="BI47" s="150">
        <v>2.2612105538192599</v>
      </c>
      <c r="BJ47" s="150">
        <v>2.1252009430760062</v>
      </c>
      <c r="BK47" s="150">
        <v>1.2944496352201866</v>
      </c>
      <c r="BL47" s="150">
        <v>0.32314284341629806</v>
      </c>
      <c r="BM47" s="150">
        <v>0.14000000000000001</v>
      </c>
      <c r="BN47" s="150">
        <v>1.4542000570988298</v>
      </c>
      <c r="BO47" s="150">
        <v>11.984388276878477</v>
      </c>
      <c r="BP47" s="150">
        <v>-1.7475682675103321</v>
      </c>
      <c r="BQ47" s="150">
        <v>-1.7169645793441486</v>
      </c>
      <c r="BR47" s="150">
        <v>-1.4425350046709582</v>
      </c>
      <c r="BS47" s="150">
        <v>0.61768216477991222</v>
      </c>
      <c r="BT47" s="150">
        <v>0.15</v>
      </c>
      <c r="BU47" s="150">
        <v>-0.4950056673809119</v>
      </c>
      <c r="BV47" s="149">
        <v>0.15</v>
      </c>
      <c r="BW47" s="149">
        <v>0.2</v>
      </c>
      <c r="BX47" s="149">
        <v>0.12</v>
      </c>
      <c r="BY47" s="149">
        <v>0.08</v>
      </c>
      <c r="BZ47" s="149">
        <v>0.18</v>
      </c>
      <c r="CA47" s="149">
        <v>0.16</v>
      </c>
      <c r="CB47" s="149">
        <v>0.05</v>
      </c>
      <c r="CC47" s="149">
        <v>0.35</v>
      </c>
      <c r="CD47" s="149">
        <v>0.3</v>
      </c>
      <c r="CE47" s="149">
        <v>0.38</v>
      </c>
      <c r="CF47" s="149">
        <v>0.42</v>
      </c>
      <c r="CG47" s="149">
        <v>0.32</v>
      </c>
      <c r="CH47" s="149">
        <v>0.34</v>
      </c>
      <c r="CI47" s="149">
        <v>0.45</v>
      </c>
      <c r="CJ47" s="149">
        <v>0.15</v>
      </c>
      <c r="CK47" s="149">
        <v>0.2</v>
      </c>
      <c r="CL47" s="149">
        <v>0.12</v>
      </c>
      <c r="CM47" s="149">
        <v>0.08</v>
      </c>
      <c r="CN47" s="149">
        <v>0.18</v>
      </c>
      <c r="CO47" s="149">
        <v>0.16</v>
      </c>
      <c r="CP47" s="149">
        <v>0.05</v>
      </c>
      <c r="CQ47" s="149">
        <v>0.35</v>
      </c>
      <c r="CR47" s="149">
        <v>0.3</v>
      </c>
      <c r="CS47" s="149">
        <v>0.38</v>
      </c>
      <c r="CT47" s="149">
        <v>0.42</v>
      </c>
      <c r="CU47" s="149">
        <v>0.32</v>
      </c>
      <c r="CV47" s="149">
        <v>0.34</v>
      </c>
      <c r="CW47" s="149">
        <v>0.45</v>
      </c>
    </row>
    <row r="48" spans="1:101" x14ac:dyDescent="0.25">
      <c r="A48" s="9" t="s">
        <v>183</v>
      </c>
      <c r="B48" s="9" t="s">
        <v>1</v>
      </c>
      <c r="C48" s="9" t="s">
        <v>1</v>
      </c>
      <c r="D48" s="9"/>
      <c r="E48" s="57">
        <v>0</v>
      </c>
      <c r="F48" s="57">
        <f t="shared" si="0"/>
        <v>0</v>
      </c>
      <c r="G48" s="9"/>
      <c r="H48" s="57">
        <v>0</v>
      </c>
      <c r="I48" s="57">
        <v>0</v>
      </c>
      <c r="J48" s="57">
        <f t="shared" si="35"/>
        <v>0</v>
      </c>
      <c r="K48" s="17">
        <f t="shared" si="36"/>
        <v>0</v>
      </c>
      <c r="L48" s="17">
        <f t="shared" si="37"/>
        <v>0</v>
      </c>
      <c r="M48" s="9">
        <v>0</v>
      </c>
      <c r="N48" s="9">
        <f t="shared" si="7"/>
        <v>0</v>
      </c>
      <c r="O48" s="9">
        <f t="shared" si="8"/>
        <v>0</v>
      </c>
      <c r="P48" s="9">
        <f t="shared" si="9"/>
        <v>0</v>
      </c>
      <c r="Q48" s="9">
        <f t="shared" si="10"/>
        <v>0</v>
      </c>
      <c r="R48" s="9">
        <f t="shared" ca="1" si="11"/>
        <v>0</v>
      </c>
      <c r="S48" s="9">
        <f t="shared" ca="1" si="11"/>
        <v>1</v>
      </c>
      <c r="T48" s="9">
        <f t="shared" ca="1" si="11"/>
        <v>1</v>
      </c>
      <c r="U48" s="9">
        <f t="shared" ca="1" si="11"/>
        <v>1</v>
      </c>
      <c r="V48" s="9">
        <f t="shared" ca="1" si="38"/>
        <v>1</v>
      </c>
      <c r="W48" s="9">
        <f t="shared" ca="1" si="12"/>
        <v>0</v>
      </c>
      <c r="X48" s="9" t="s">
        <v>0</v>
      </c>
      <c r="Y48" s="9">
        <v>2050</v>
      </c>
      <c r="Z48" s="152">
        <f t="shared" si="24"/>
        <v>2051</v>
      </c>
      <c r="AA48" s="152">
        <f t="shared" si="25"/>
        <v>2052</v>
      </c>
      <c r="AB48" s="152">
        <f t="shared" si="26"/>
        <v>2052</v>
      </c>
      <c r="AC48" s="152">
        <f t="shared" si="27"/>
        <v>2052</v>
      </c>
      <c r="AD48" s="152">
        <f t="shared" si="39"/>
        <v>2051</v>
      </c>
      <c r="AE48" s="152">
        <f t="shared" si="29"/>
        <v>2051</v>
      </c>
      <c r="AF48" s="9">
        <v>6</v>
      </c>
      <c r="AG48" s="9">
        <v>6</v>
      </c>
      <c r="AH48" s="152">
        <f t="shared" si="30"/>
        <v>6</v>
      </c>
      <c r="AI48" s="152">
        <f t="shared" si="30"/>
        <v>7.000000000001819</v>
      </c>
      <c r="AJ48" s="152">
        <f t="shared" si="30"/>
        <v>7.000000000001819</v>
      </c>
      <c r="AK48" s="152">
        <f t="shared" si="32"/>
        <v>6</v>
      </c>
      <c r="AL48" s="152">
        <f t="shared" si="31"/>
        <v>6</v>
      </c>
      <c r="AM48" s="9"/>
      <c r="AN48" s="9"/>
      <c r="AO48" s="9"/>
      <c r="AP48" s="9"/>
      <c r="AQ48" s="9"/>
      <c r="AR48" s="9"/>
      <c r="AS48" s="9"/>
      <c r="AT48" s="9">
        <v>2060</v>
      </c>
      <c r="AU48" s="9">
        <v>2060</v>
      </c>
      <c r="AV48" s="9">
        <v>2060</v>
      </c>
      <c r="AW48" s="9">
        <v>2060</v>
      </c>
      <c r="AX48" s="9">
        <v>2060</v>
      </c>
      <c r="AY48" s="9">
        <f t="shared" si="33"/>
        <v>2059</v>
      </c>
      <c r="AZ48" s="9">
        <v>2060</v>
      </c>
      <c r="BA48" s="9">
        <v>6</v>
      </c>
      <c r="BB48" s="9">
        <v>6</v>
      </c>
      <c r="BC48" s="9">
        <v>6</v>
      </c>
      <c r="BD48" s="9">
        <v>6</v>
      </c>
      <c r="BE48" s="9">
        <v>6</v>
      </c>
      <c r="BF48" s="9">
        <f t="shared" si="34"/>
        <v>6</v>
      </c>
      <c r="BG48" s="9">
        <v>6</v>
      </c>
      <c r="BH48" s="150">
        <v>1.2267192541321688</v>
      </c>
      <c r="BI48" s="150">
        <v>2.2612105538192599</v>
      </c>
      <c r="BJ48" s="150">
        <v>2.1252009430760062</v>
      </c>
      <c r="BK48" s="150">
        <v>1.2944496352201866</v>
      </c>
      <c r="BL48" s="150">
        <v>0.32314284341629806</v>
      </c>
      <c r="BM48" s="150">
        <v>0.14000000000000001</v>
      </c>
      <c r="BN48" s="150">
        <v>1.4542000570988298</v>
      </c>
      <c r="BO48" s="150">
        <v>11.984388276878477</v>
      </c>
      <c r="BP48" s="150">
        <v>-1.7475682675103321</v>
      </c>
      <c r="BQ48" s="150">
        <v>-1.7169645793441486</v>
      </c>
      <c r="BR48" s="150">
        <v>-1.4425350046709582</v>
      </c>
      <c r="BS48" s="150">
        <v>0.61768216477991222</v>
      </c>
      <c r="BT48" s="150">
        <v>0.15</v>
      </c>
      <c r="BU48" s="150">
        <v>-0.4950056673809119</v>
      </c>
      <c r="BV48" s="149">
        <v>0.15</v>
      </c>
      <c r="BW48" s="149">
        <v>0.2</v>
      </c>
      <c r="BX48" s="149">
        <v>0.12</v>
      </c>
      <c r="BY48" s="149">
        <v>0.08</v>
      </c>
      <c r="BZ48" s="149">
        <v>0.18</v>
      </c>
      <c r="CA48" s="149">
        <v>0.16</v>
      </c>
      <c r="CB48" s="149">
        <v>0.05</v>
      </c>
      <c r="CC48" s="149">
        <v>0.35</v>
      </c>
      <c r="CD48" s="149">
        <v>0.3</v>
      </c>
      <c r="CE48" s="149">
        <v>0.38</v>
      </c>
      <c r="CF48" s="149">
        <v>0.42</v>
      </c>
      <c r="CG48" s="149">
        <v>0.32</v>
      </c>
      <c r="CH48" s="149">
        <v>0.34</v>
      </c>
      <c r="CI48" s="149">
        <v>0.45</v>
      </c>
      <c r="CJ48" s="149">
        <v>0.15</v>
      </c>
      <c r="CK48" s="149">
        <v>0.2</v>
      </c>
      <c r="CL48" s="149">
        <v>0.12</v>
      </c>
      <c r="CM48" s="149">
        <v>0.08</v>
      </c>
      <c r="CN48" s="149">
        <v>0.18</v>
      </c>
      <c r="CO48" s="149">
        <v>0.16</v>
      </c>
      <c r="CP48" s="149">
        <v>0.05</v>
      </c>
      <c r="CQ48" s="149">
        <v>0.35</v>
      </c>
      <c r="CR48" s="149">
        <v>0.3</v>
      </c>
      <c r="CS48" s="149">
        <v>0.38</v>
      </c>
      <c r="CT48" s="149">
        <v>0.42</v>
      </c>
      <c r="CU48" s="149">
        <v>0.32</v>
      </c>
      <c r="CV48" s="149">
        <v>0.34</v>
      </c>
      <c r="CW48" s="149">
        <v>0.45</v>
      </c>
    </row>
    <row r="49" spans="1:101" x14ac:dyDescent="0.25">
      <c r="A49" s="9" t="s">
        <v>182</v>
      </c>
      <c r="B49" s="9" t="s">
        <v>1</v>
      </c>
      <c r="C49" s="9" t="s">
        <v>1</v>
      </c>
      <c r="D49" s="9"/>
      <c r="E49" s="57">
        <v>0</v>
      </c>
      <c r="F49" s="57">
        <f t="shared" si="0"/>
        <v>0</v>
      </c>
      <c r="G49" s="9"/>
      <c r="H49" s="57">
        <v>0</v>
      </c>
      <c r="I49" s="57">
        <v>0</v>
      </c>
      <c r="J49" s="57">
        <f t="shared" si="35"/>
        <v>0</v>
      </c>
      <c r="K49" s="17">
        <f t="shared" si="36"/>
        <v>0</v>
      </c>
      <c r="L49" s="17">
        <f t="shared" si="37"/>
        <v>0</v>
      </c>
      <c r="M49" s="9">
        <v>0</v>
      </c>
      <c r="N49" s="9">
        <f t="shared" si="7"/>
        <v>0</v>
      </c>
      <c r="O49" s="9">
        <f t="shared" si="8"/>
        <v>0</v>
      </c>
      <c r="P49" s="9">
        <f t="shared" si="9"/>
        <v>0</v>
      </c>
      <c r="Q49" s="9">
        <f t="shared" si="10"/>
        <v>0</v>
      </c>
      <c r="R49" s="9">
        <f t="shared" ca="1" si="11"/>
        <v>1</v>
      </c>
      <c r="S49" s="9">
        <f t="shared" ca="1" si="11"/>
        <v>0</v>
      </c>
      <c r="T49" s="9">
        <f t="shared" ca="1" si="11"/>
        <v>0</v>
      </c>
      <c r="U49" s="9">
        <f t="shared" ca="1" si="11"/>
        <v>0</v>
      </c>
      <c r="V49" s="9">
        <f t="shared" ca="1" si="38"/>
        <v>1</v>
      </c>
      <c r="W49" s="9">
        <f t="shared" ca="1" si="12"/>
        <v>0</v>
      </c>
      <c r="X49" s="9" t="s">
        <v>0</v>
      </c>
      <c r="Y49" s="9">
        <v>2050</v>
      </c>
      <c r="Z49" s="152">
        <f t="shared" si="24"/>
        <v>2051</v>
      </c>
      <c r="AA49" s="152">
        <f t="shared" si="25"/>
        <v>2052</v>
      </c>
      <c r="AB49" s="152">
        <f t="shared" si="26"/>
        <v>2052</v>
      </c>
      <c r="AC49" s="152">
        <f t="shared" si="27"/>
        <v>2052</v>
      </c>
      <c r="AD49" s="152">
        <f t="shared" si="39"/>
        <v>2051</v>
      </c>
      <c r="AE49" s="152">
        <f t="shared" si="29"/>
        <v>2051</v>
      </c>
      <c r="AF49" s="9">
        <v>6</v>
      </c>
      <c r="AG49" s="9">
        <v>6</v>
      </c>
      <c r="AH49" s="152">
        <f t="shared" si="30"/>
        <v>6</v>
      </c>
      <c r="AI49" s="152">
        <f t="shared" si="30"/>
        <v>7.000000000001819</v>
      </c>
      <c r="AJ49" s="152">
        <f t="shared" si="30"/>
        <v>7.000000000001819</v>
      </c>
      <c r="AK49" s="152">
        <f t="shared" si="32"/>
        <v>6</v>
      </c>
      <c r="AL49" s="152">
        <f t="shared" si="31"/>
        <v>6</v>
      </c>
      <c r="AM49" s="9"/>
      <c r="AN49" s="9"/>
      <c r="AO49" s="9"/>
      <c r="AP49" s="9"/>
      <c r="AQ49" s="9"/>
      <c r="AR49" s="9"/>
      <c r="AS49" s="9"/>
      <c r="AT49" s="9">
        <v>2060</v>
      </c>
      <c r="AU49" s="9">
        <v>2060</v>
      </c>
      <c r="AV49" s="9">
        <v>2060</v>
      </c>
      <c r="AW49" s="9">
        <v>2060</v>
      </c>
      <c r="AX49" s="9">
        <v>2060</v>
      </c>
      <c r="AY49" s="9">
        <f t="shared" si="33"/>
        <v>2059</v>
      </c>
      <c r="AZ49" s="9">
        <v>2060</v>
      </c>
      <c r="BA49" s="9">
        <v>6</v>
      </c>
      <c r="BB49" s="9">
        <v>6</v>
      </c>
      <c r="BC49" s="9">
        <v>6</v>
      </c>
      <c r="BD49" s="9">
        <v>6</v>
      </c>
      <c r="BE49" s="9">
        <v>6</v>
      </c>
      <c r="BF49" s="9">
        <f t="shared" si="34"/>
        <v>6</v>
      </c>
      <c r="BG49" s="9">
        <v>6</v>
      </c>
      <c r="BH49" s="150">
        <v>1.2267192541321688</v>
      </c>
      <c r="BI49" s="150">
        <v>2.2612105538192599</v>
      </c>
      <c r="BJ49" s="150">
        <v>2.1252009430760062</v>
      </c>
      <c r="BK49" s="150">
        <v>1.2944496352201866</v>
      </c>
      <c r="BL49" s="150">
        <v>0.32314284341629806</v>
      </c>
      <c r="BM49" s="150">
        <v>0.14000000000000001</v>
      </c>
      <c r="BN49" s="150">
        <v>1.4542000570988298</v>
      </c>
      <c r="BO49" s="150">
        <v>11.984388276878477</v>
      </c>
      <c r="BP49" s="150">
        <v>-1.7475682675103321</v>
      </c>
      <c r="BQ49" s="150">
        <v>-1.7169645793441486</v>
      </c>
      <c r="BR49" s="150">
        <v>-1.4425350046709582</v>
      </c>
      <c r="BS49" s="150">
        <v>0.61768216477991222</v>
      </c>
      <c r="BT49" s="150">
        <v>0.15</v>
      </c>
      <c r="BU49" s="150">
        <v>-0.4950056673809119</v>
      </c>
      <c r="BV49" s="149">
        <v>0.15</v>
      </c>
      <c r="BW49" s="149">
        <v>0.2</v>
      </c>
      <c r="BX49" s="149">
        <v>0.12</v>
      </c>
      <c r="BY49" s="149">
        <v>0.08</v>
      </c>
      <c r="BZ49" s="149">
        <v>0.18</v>
      </c>
      <c r="CA49" s="149">
        <v>0.16</v>
      </c>
      <c r="CB49" s="149">
        <v>0.05</v>
      </c>
      <c r="CC49" s="149">
        <v>0.35</v>
      </c>
      <c r="CD49" s="149">
        <v>0.3</v>
      </c>
      <c r="CE49" s="149">
        <v>0.38</v>
      </c>
      <c r="CF49" s="149">
        <v>0.42</v>
      </c>
      <c r="CG49" s="149">
        <v>0.32</v>
      </c>
      <c r="CH49" s="149">
        <v>0.34</v>
      </c>
      <c r="CI49" s="149">
        <v>0.45</v>
      </c>
      <c r="CJ49" s="149">
        <v>0.15</v>
      </c>
      <c r="CK49" s="149">
        <v>0.2</v>
      </c>
      <c r="CL49" s="149">
        <v>0.12</v>
      </c>
      <c r="CM49" s="149">
        <v>0.08</v>
      </c>
      <c r="CN49" s="149">
        <v>0.18</v>
      </c>
      <c r="CO49" s="149">
        <v>0.16</v>
      </c>
      <c r="CP49" s="149">
        <v>0.05</v>
      </c>
      <c r="CQ49" s="149">
        <v>0.35</v>
      </c>
      <c r="CR49" s="149">
        <v>0.3</v>
      </c>
      <c r="CS49" s="149">
        <v>0.38</v>
      </c>
      <c r="CT49" s="149">
        <v>0.42</v>
      </c>
      <c r="CU49" s="149">
        <v>0.32</v>
      </c>
      <c r="CV49" s="149">
        <v>0.34</v>
      </c>
      <c r="CW49" s="149">
        <v>0.45</v>
      </c>
    </row>
    <row r="50" spans="1:101" x14ac:dyDescent="0.25">
      <c r="A50" s="9" t="s">
        <v>66</v>
      </c>
      <c r="B50" s="9" t="s">
        <v>1</v>
      </c>
      <c r="C50" s="9" t="s">
        <v>1</v>
      </c>
      <c r="D50" s="9"/>
      <c r="E50" s="57">
        <v>0</v>
      </c>
      <c r="F50" s="57">
        <f t="shared" si="0"/>
        <v>0</v>
      </c>
      <c r="G50" s="9"/>
      <c r="H50" s="57">
        <v>0</v>
      </c>
      <c r="I50" s="57">
        <v>0</v>
      </c>
      <c r="J50" s="57">
        <f t="shared" si="35"/>
        <v>0</v>
      </c>
      <c r="K50" s="17">
        <f t="shared" si="36"/>
        <v>0</v>
      </c>
      <c r="L50" s="17">
        <f t="shared" si="37"/>
        <v>0</v>
      </c>
      <c r="M50" s="9">
        <v>0</v>
      </c>
      <c r="N50" s="9">
        <f t="shared" si="7"/>
        <v>0</v>
      </c>
      <c r="O50" s="9">
        <f t="shared" si="8"/>
        <v>0</v>
      </c>
      <c r="P50" s="9">
        <f t="shared" si="9"/>
        <v>0</v>
      </c>
      <c r="Q50" s="9">
        <f t="shared" si="10"/>
        <v>0</v>
      </c>
      <c r="R50" s="9">
        <f t="shared" ca="1" si="11"/>
        <v>1</v>
      </c>
      <c r="S50" s="9">
        <f t="shared" ca="1" si="11"/>
        <v>1</v>
      </c>
      <c r="T50" s="9">
        <f t="shared" ca="1" si="11"/>
        <v>1</v>
      </c>
      <c r="U50" s="9">
        <f t="shared" ca="1" si="11"/>
        <v>1</v>
      </c>
      <c r="V50" s="9">
        <f t="shared" ca="1" si="38"/>
        <v>0</v>
      </c>
      <c r="W50" s="9">
        <f t="shared" ca="1" si="12"/>
        <v>1</v>
      </c>
      <c r="X50" s="9" t="s">
        <v>62</v>
      </c>
      <c r="Y50" s="9">
        <v>2028</v>
      </c>
      <c r="Z50" s="152">
        <f t="shared" si="24"/>
        <v>2029</v>
      </c>
      <c r="AA50" s="152">
        <f t="shared" si="25"/>
        <v>2030</v>
      </c>
      <c r="AB50" s="152">
        <f t="shared" si="26"/>
        <v>2030</v>
      </c>
      <c r="AC50" s="152">
        <f t="shared" si="27"/>
        <v>2030</v>
      </c>
      <c r="AD50" s="152">
        <f t="shared" si="39"/>
        <v>2029</v>
      </c>
      <c r="AE50" s="152">
        <f t="shared" si="29"/>
        <v>2029</v>
      </c>
      <c r="AF50" s="9">
        <v>3</v>
      </c>
      <c r="AG50" s="9">
        <v>3</v>
      </c>
      <c r="AH50" s="152">
        <f t="shared" si="30"/>
        <v>3</v>
      </c>
      <c r="AI50" s="152">
        <f t="shared" si="30"/>
        <v>3.9999999999990905</v>
      </c>
      <c r="AJ50" s="152">
        <f t="shared" si="30"/>
        <v>3.9999999999990905</v>
      </c>
      <c r="AK50" s="152">
        <f t="shared" si="32"/>
        <v>3</v>
      </c>
      <c r="AL50" s="152">
        <f t="shared" si="31"/>
        <v>3</v>
      </c>
      <c r="AM50" s="9"/>
      <c r="AN50" s="9"/>
      <c r="AO50" s="9"/>
      <c r="AP50" s="9"/>
      <c r="AQ50" s="9"/>
      <c r="AR50" s="9"/>
      <c r="AS50" s="9"/>
      <c r="AT50" s="9">
        <v>2038</v>
      </c>
      <c r="AU50" s="9">
        <v>2038</v>
      </c>
      <c r="AV50" s="9">
        <v>2038</v>
      </c>
      <c r="AW50" s="9">
        <v>2038</v>
      </c>
      <c r="AX50" s="9">
        <v>2038</v>
      </c>
      <c r="AY50" s="9">
        <f t="shared" si="33"/>
        <v>2037</v>
      </c>
      <c r="AZ50" s="9">
        <v>2038</v>
      </c>
      <c r="BA50" s="9">
        <v>3</v>
      </c>
      <c r="BB50" s="9">
        <v>3</v>
      </c>
      <c r="BC50" s="9">
        <v>3</v>
      </c>
      <c r="BD50" s="9">
        <v>3</v>
      </c>
      <c r="BE50" s="9">
        <v>3</v>
      </c>
      <c r="BF50" s="9">
        <f t="shared" si="34"/>
        <v>3</v>
      </c>
      <c r="BG50" s="9">
        <v>3</v>
      </c>
      <c r="BH50" s="150">
        <v>1.2267192541321688</v>
      </c>
      <c r="BI50" s="150">
        <v>2.2612105538192599</v>
      </c>
      <c r="BJ50" s="150">
        <v>2.1252009430760062</v>
      </c>
      <c r="BK50" s="150">
        <v>1.2944496352201866</v>
      </c>
      <c r="BL50" s="150">
        <v>0.32314284341629806</v>
      </c>
      <c r="BM50" s="150">
        <v>0.14000000000000001</v>
      </c>
      <c r="BN50" s="150">
        <v>1.4542000570988298</v>
      </c>
      <c r="BO50" s="150">
        <v>11.984388276878477</v>
      </c>
      <c r="BP50" s="150">
        <v>-1.7475682675103321</v>
      </c>
      <c r="BQ50" s="150">
        <v>-1.7169645793441486</v>
      </c>
      <c r="BR50" s="150">
        <v>-1.4425350046709582</v>
      </c>
      <c r="BS50" s="150">
        <v>0.61768216477991222</v>
      </c>
      <c r="BT50" s="150">
        <v>0.15</v>
      </c>
      <c r="BU50" s="150">
        <v>-0.4950056673809119</v>
      </c>
      <c r="BV50" s="149">
        <v>0.22</v>
      </c>
      <c r="BW50" s="149">
        <v>0.27</v>
      </c>
      <c r="BX50" s="149">
        <v>0.17</v>
      </c>
      <c r="BY50" s="149">
        <v>0.14000000000000001</v>
      </c>
      <c r="BZ50" s="149">
        <v>0.23</v>
      </c>
      <c r="CA50" s="149">
        <v>0.16</v>
      </c>
      <c r="CB50" s="149">
        <v>0.06</v>
      </c>
      <c r="CC50" s="149">
        <v>0.28000000000000003</v>
      </c>
      <c r="CD50" s="149">
        <v>0.23</v>
      </c>
      <c r="CE50" s="149">
        <v>0.33</v>
      </c>
      <c r="CF50" s="149">
        <v>0.36</v>
      </c>
      <c r="CG50" s="149">
        <v>0.27</v>
      </c>
      <c r="CH50" s="149">
        <v>0.34</v>
      </c>
      <c r="CI50" s="149">
        <v>0.45</v>
      </c>
      <c r="CJ50" s="149">
        <v>0.22</v>
      </c>
      <c r="CK50" s="149">
        <v>0.27</v>
      </c>
      <c r="CL50" s="149">
        <v>0.17</v>
      </c>
      <c r="CM50" s="149">
        <v>0.14000000000000001</v>
      </c>
      <c r="CN50" s="149">
        <v>0.23</v>
      </c>
      <c r="CO50" s="149">
        <v>0.16</v>
      </c>
      <c r="CP50" s="149">
        <v>0.06</v>
      </c>
      <c r="CQ50" s="149">
        <v>0.28000000000000003</v>
      </c>
      <c r="CR50" s="149">
        <v>0.23</v>
      </c>
      <c r="CS50" s="149">
        <v>0.33</v>
      </c>
      <c r="CT50" s="149">
        <v>0.36</v>
      </c>
      <c r="CU50" s="149">
        <v>0.27</v>
      </c>
      <c r="CV50" s="149">
        <v>0.34</v>
      </c>
      <c r="CW50" s="149">
        <v>0.45</v>
      </c>
    </row>
    <row r="51" spans="1:101" x14ac:dyDescent="0.25">
      <c r="A51" s="9" t="s">
        <v>97</v>
      </c>
      <c r="B51" s="9" t="s">
        <v>47</v>
      </c>
      <c r="C51" s="9" t="s">
        <v>47</v>
      </c>
      <c r="D51" s="9"/>
      <c r="E51" s="57">
        <v>1</v>
      </c>
      <c r="F51" s="57">
        <f t="shared" si="0"/>
        <v>1</v>
      </c>
      <c r="G51" s="9"/>
      <c r="H51" s="57">
        <v>1</v>
      </c>
      <c r="I51" s="57">
        <v>1</v>
      </c>
      <c r="J51" s="57">
        <f t="shared" si="35"/>
        <v>1</v>
      </c>
      <c r="K51" s="17">
        <f t="shared" si="36"/>
        <v>1</v>
      </c>
      <c r="L51" s="17">
        <f t="shared" si="37"/>
        <v>1</v>
      </c>
      <c r="M51" s="17">
        <v>1</v>
      </c>
      <c r="N51" s="9">
        <f t="shared" si="7"/>
        <v>1</v>
      </c>
      <c r="O51" s="9">
        <f t="shared" si="8"/>
        <v>1</v>
      </c>
      <c r="P51" s="9">
        <f t="shared" si="9"/>
        <v>1</v>
      </c>
      <c r="Q51" s="9">
        <f t="shared" si="10"/>
        <v>1</v>
      </c>
      <c r="R51" s="9">
        <f t="shared" ca="1" si="11"/>
        <v>1</v>
      </c>
      <c r="S51" s="9">
        <f t="shared" ca="1" si="11"/>
        <v>1</v>
      </c>
      <c r="T51" s="9">
        <f t="shared" ca="1" si="11"/>
        <v>1</v>
      </c>
      <c r="U51" s="9">
        <f t="shared" ca="1" si="11"/>
        <v>1</v>
      </c>
      <c r="V51" s="9">
        <f t="shared" ca="1" si="38"/>
        <v>1</v>
      </c>
      <c r="W51" s="9">
        <f t="shared" ca="1" si="12"/>
        <v>1</v>
      </c>
      <c r="X51" s="9" t="s">
        <v>54</v>
      </c>
      <c r="Y51" s="151">
        <v>1997</v>
      </c>
      <c r="Z51" s="9"/>
      <c r="AA51" s="9"/>
      <c r="AB51" s="9"/>
      <c r="AC51" s="9"/>
      <c r="AD51" s="152"/>
      <c r="AE51" s="9"/>
      <c r="AF51" s="151">
        <v>10</v>
      </c>
      <c r="AG51" s="9"/>
      <c r="AH51" s="9"/>
      <c r="AI51" s="9"/>
      <c r="AJ51" s="9"/>
      <c r="AK51" s="9"/>
      <c r="AL51" s="9"/>
      <c r="AM51" s="151"/>
      <c r="AN51" s="9"/>
      <c r="AO51" s="9"/>
      <c r="AP51" s="9"/>
      <c r="AQ51" s="9"/>
      <c r="AR51" s="9"/>
      <c r="AS51" s="9"/>
      <c r="AT51" s="151">
        <v>2012</v>
      </c>
      <c r="AU51" s="9"/>
      <c r="AV51" s="9"/>
      <c r="AW51" s="9"/>
      <c r="AX51" s="9"/>
      <c r="AY51" s="9"/>
      <c r="AZ51" s="9"/>
      <c r="BA51" s="151">
        <v>3</v>
      </c>
      <c r="BB51" s="9"/>
      <c r="BC51" s="9"/>
      <c r="BD51" s="9"/>
      <c r="BE51" s="9"/>
      <c r="BF51" s="9"/>
      <c r="BG51" s="9"/>
      <c r="BH51" s="150">
        <v>1.2267192541321688</v>
      </c>
      <c r="BI51" s="150">
        <v>2.2612105538192599</v>
      </c>
      <c r="BJ51" s="150">
        <v>2.1252009430760062</v>
      </c>
      <c r="BK51" s="150">
        <v>1.2944496352201866</v>
      </c>
      <c r="BL51" s="150">
        <v>0.32314284341629806</v>
      </c>
      <c r="BM51" s="150">
        <v>0.14000000000000001</v>
      </c>
      <c r="BN51" s="150">
        <v>1.4542000570988298</v>
      </c>
      <c r="BO51" s="150">
        <v>11.984388276878477</v>
      </c>
      <c r="BP51" s="150">
        <v>-1.7475682675103321</v>
      </c>
      <c r="BQ51" s="150">
        <v>-1.7169645793441486</v>
      </c>
      <c r="BR51" s="150">
        <v>-1.4425350046709582</v>
      </c>
      <c r="BS51" s="150">
        <v>0.61768216477991222</v>
      </c>
      <c r="BT51" s="150">
        <v>0.15</v>
      </c>
      <c r="BU51" s="150">
        <v>-0.4950056673809119</v>
      </c>
      <c r="BV51" s="149">
        <v>0.15</v>
      </c>
      <c r="BW51" s="149">
        <v>0.2</v>
      </c>
      <c r="BX51" s="149">
        <v>0.12</v>
      </c>
      <c r="BY51" s="149">
        <v>0.08</v>
      </c>
      <c r="BZ51" s="149">
        <v>0.18</v>
      </c>
      <c r="CA51" s="149">
        <v>0.16</v>
      </c>
      <c r="CB51" s="149">
        <v>0.05</v>
      </c>
      <c r="CC51" s="149">
        <v>0.35</v>
      </c>
      <c r="CD51" s="149">
        <v>0.3</v>
      </c>
      <c r="CE51" s="149">
        <v>0.38</v>
      </c>
      <c r="CF51" s="149">
        <v>0.42</v>
      </c>
      <c r="CG51" s="149">
        <v>0.32</v>
      </c>
      <c r="CH51" s="149">
        <v>0.34</v>
      </c>
      <c r="CI51" s="149">
        <v>0.45</v>
      </c>
      <c r="CJ51" s="149">
        <v>0.15</v>
      </c>
      <c r="CK51" s="149">
        <v>0.2</v>
      </c>
      <c r="CL51" s="149">
        <v>0.12</v>
      </c>
      <c r="CM51" s="149">
        <v>0.08</v>
      </c>
      <c r="CN51" s="149">
        <v>0.18</v>
      </c>
      <c r="CO51" s="149">
        <v>0.16</v>
      </c>
      <c r="CP51" s="149">
        <v>0.05</v>
      </c>
      <c r="CQ51" s="149">
        <v>0.35</v>
      </c>
      <c r="CR51" s="149">
        <v>0.3</v>
      </c>
      <c r="CS51" s="149">
        <v>0.38</v>
      </c>
      <c r="CT51" s="149">
        <v>0.42</v>
      </c>
      <c r="CU51" s="149">
        <v>0.32</v>
      </c>
      <c r="CV51" s="149">
        <v>0.34</v>
      </c>
      <c r="CW51" s="149">
        <v>0.45</v>
      </c>
    </row>
    <row r="52" spans="1:101" x14ac:dyDescent="0.25">
      <c r="A52" s="9" t="s">
        <v>83</v>
      </c>
      <c r="B52" s="9" t="s">
        <v>63</v>
      </c>
      <c r="C52" s="9" t="s">
        <v>63</v>
      </c>
      <c r="D52" s="9"/>
      <c r="E52" s="57">
        <v>0</v>
      </c>
      <c r="F52" s="57">
        <f t="shared" si="0"/>
        <v>0</v>
      </c>
      <c r="G52" s="9"/>
      <c r="H52" s="57">
        <v>0.58500000000000008</v>
      </c>
      <c r="I52" s="57">
        <v>0.58500000000000008</v>
      </c>
      <c r="J52" s="57">
        <f t="shared" si="35"/>
        <v>0.58500000000000008</v>
      </c>
      <c r="K52" s="17">
        <f t="shared" si="36"/>
        <v>0.58500000000000008</v>
      </c>
      <c r="L52" s="17">
        <f t="shared" si="37"/>
        <v>0.58500000000000008</v>
      </c>
      <c r="M52" s="9">
        <v>0</v>
      </c>
      <c r="N52" s="9">
        <f t="shared" si="7"/>
        <v>0</v>
      </c>
      <c r="O52" s="9">
        <f t="shared" si="8"/>
        <v>0</v>
      </c>
      <c r="P52" s="9">
        <f t="shared" si="9"/>
        <v>0</v>
      </c>
      <c r="Q52" s="9">
        <f t="shared" si="10"/>
        <v>0</v>
      </c>
      <c r="R52" s="9">
        <f t="shared" ca="1" si="11"/>
        <v>0</v>
      </c>
      <c r="S52" s="9">
        <f t="shared" ca="1" si="11"/>
        <v>1</v>
      </c>
      <c r="T52" s="9">
        <f t="shared" ca="1" si="11"/>
        <v>0</v>
      </c>
      <c r="U52" s="9">
        <f t="shared" ca="1" si="11"/>
        <v>1</v>
      </c>
      <c r="V52" s="9">
        <f t="shared" ca="1" si="38"/>
        <v>0</v>
      </c>
      <c r="W52" s="9">
        <f t="shared" ca="1" si="12"/>
        <v>0</v>
      </c>
      <c r="X52" s="9" t="s">
        <v>62</v>
      </c>
      <c r="Y52" s="151">
        <v>2021</v>
      </c>
      <c r="Z52" s="152">
        <f>Y52+2</f>
        <v>2023</v>
      </c>
      <c r="AA52" s="152">
        <f>TRUNC($Z52+$AG52/12+AH$2/12)</f>
        <v>2024</v>
      </c>
      <c r="AB52" s="152">
        <f>TRUNC($Z52+$AG52/12+AI$2/12)</f>
        <v>2024</v>
      </c>
      <c r="AC52" s="152">
        <f>TRUNC($Z52+$AG52/12+AJ$2/12)</f>
        <v>2024</v>
      </c>
      <c r="AD52" s="152">
        <f>Y52+1</f>
        <v>2022</v>
      </c>
      <c r="AE52" s="152">
        <f>TRUNC($Z52+$AG52/12+AL$2/12)</f>
        <v>2023</v>
      </c>
      <c r="AF52" s="151">
        <v>2</v>
      </c>
      <c r="AG52" s="9">
        <v>2</v>
      </c>
      <c r="AH52" s="152">
        <f>IF((($Z52+$AG52/12+AH$2/12)-TRUNC($Z52+$AG52/12+AH$2/12))*12=0,1,(($Z52+$AG52/12+AH$2/12)-TRUNC($Z52+$AG52/12+AH$2/12))*12)</f>
        <v>2.0000000000009095</v>
      </c>
      <c r="AI52" s="152">
        <f>IF((($Z52+$AG52/12+AI$2/12)-TRUNC($Z52+$AG52/12+AI$2/12))*12=0,1,(($Z52+$AG52/12+AI$2/12)-TRUNC($Z52+$AG52/12+AI$2/12))*12)</f>
        <v>3</v>
      </c>
      <c r="AJ52" s="152">
        <f>IF((($Z52+$AG52/12+AJ$2/12)-TRUNC($Z52+$AG52/12+AJ$2/12))*12=0,1,(($Z52+$AG52/12+AJ$2/12)-TRUNC($Z52+$AG52/12+AJ$2/12))*12)</f>
        <v>3</v>
      </c>
      <c r="AK52" s="152">
        <f>AF52</f>
        <v>2</v>
      </c>
      <c r="AL52" s="152">
        <f>IF((($Z52+$AG52/12+AL$2/12)-TRUNC($Z52+$AG52/12+AL$2/12))*12=0,1,(($Z52+$AG52/12+AL$2/12)-TRUNC($Z52+$AG52/12+AL$2/12))*12)</f>
        <v>2.0000000000009095</v>
      </c>
      <c r="AM52" s="9"/>
      <c r="AN52" s="9"/>
      <c r="AO52" s="9"/>
      <c r="AP52" s="9"/>
      <c r="AQ52" s="9"/>
      <c r="AR52" s="9"/>
      <c r="AS52" s="9"/>
      <c r="AT52" s="9">
        <v>2031</v>
      </c>
      <c r="AU52" s="9">
        <v>2031</v>
      </c>
      <c r="AV52" s="9">
        <v>2031</v>
      </c>
      <c r="AW52" s="9">
        <v>2031</v>
      </c>
      <c r="AX52" s="9">
        <v>2031</v>
      </c>
      <c r="AY52" s="9">
        <f>AD52+8</f>
        <v>2030</v>
      </c>
      <c r="AZ52" s="9">
        <v>2031</v>
      </c>
      <c r="BA52" s="9">
        <v>7</v>
      </c>
      <c r="BB52" s="9">
        <v>7</v>
      </c>
      <c r="BC52" s="9">
        <v>7</v>
      </c>
      <c r="BD52" s="9">
        <v>7</v>
      </c>
      <c r="BE52" s="9">
        <v>7</v>
      </c>
      <c r="BF52" s="9">
        <f>AK52</f>
        <v>2</v>
      </c>
      <c r="BG52" s="9">
        <v>7</v>
      </c>
      <c r="BH52" s="150">
        <v>1.2267192541321688</v>
      </c>
      <c r="BI52" s="150">
        <v>2.2612105538192599</v>
      </c>
      <c r="BJ52" s="150">
        <v>2.1252009430760062</v>
      </c>
      <c r="BK52" s="150">
        <v>1.2944496352201866</v>
      </c>
      <c r="BL52" s="150">
        <v>0.32314284341629806</v>
      </c>
      <c r="BM52" s="150">
        <v>0.14000000000000001</v>
      </c>
      <c r="BN52" s="150">
        <v>1.4542000570988298</v>
      </c>
      <c r="BO52" s="150">
        <v>11.984388276878477</v>
      </c>
      <c r="BP52" s="150">
        <v>-1.7475682675103321</v>
      </c>
      <c r="BQ52" s="150">
        <v>-1.7169645793441486</v>
      </c>
      <c r="BR52" s="150">
        <v>-1.4425350046709582</v>
      </c>
      <c r="BS52" s="150">
        <v>0.61768216477991222</v>
      </c>
      <c r="BT52" s="150">
        <v>0.15</v>
      </c>
      <c r="BU52" s="150">
        <v>-0.4950056673809119</v>
      </c>
      <c r="BV52" s="149">
        <v>0.22</v>
      </c>
      <c r="BW52" s="149">
        <v>0.27</v>
      </c>
      <c r="BX52" s="149">
        <v>0.17</v>
      </c>
      <c r="BY52" s="149">
        <v>0.14000000000000001</v>
      </c>
      <c r="BZ52" s="149">
        <v>0.23</v>
      </c>
      <c r="CA52" s="149">
        <v>0.23</v>
      </c>
      <c r="CB52" s="149">
        <v>0.06</v>
      </c>
      <c r="CC52" s="149">
        <v>0.28000000000000003</v>
      </c>
      <c r="CD52" s="149">
        <v>0.23</v>
      </c>
      <c r="CE52" s="149">
        <v>0.33</v>
      </c>
      <c r="CF52" s="149">
        <v>0.36</v>
      </c>
      <c r="CG52" s="149">
        <v>0.27</v>
      </c>
      <c r="CH52" s="149">
        <v>0.27</v>
      </c>
      <c r="CI52" s="149">
        <v>0.45</v>
      </c>
      <c r="CJ52" s="149">
        <v>0.22</v>
      </c>
      <c r="CK52" s="149">
        <v>0.27</v>
      </c>
      <c r="CL52" s="149">
        <v>0.17</v>
      </c>
      <c r="CM52" s="149">
        <v>0.14000000000000001</v>
      </c>
      <c r="CN52" s="149">
        <v>0.23</v>
      </c>
      <c r="CO52" s="149">
        <v>0.23</v>
      </c>
      <c r="CP52" s="149">
        <v>0.06</v>
      </c>
      <c r="CQ52" s="149">
        <v>0.28000000000000003</v>
      </c>
      <c r="CR52" s="149">
        <v>0.23</v>
      </c>
      <c r="CS52" s="149">
        <v>0.33</v>
      </c>
      <c r="CT52" s="149">
        <v>0.36</v>
      </c>
      <c r="CU52" s="149">
        <v>0.27</v>
      </c>
      <c r="CV52" s="149">
        <v>0.27</v>
      </c>
      <c r="CW52" s="149">
        <v>0.45</v>
      </c>
    </row>
    <row r="53" spans="1:101" x14ac:dyDescent="0.25">
      <c r="A53" s="9" t="s">
        <v>65</v>
      </c>
      <c r="B53" s="9" t="s">
        <v>63</v>
      </c>
      <c r="C53" s="9" t="s">
        <v>63</v>
      </c>
      <c r="D53" s="9"/>
      <c r="E53" s="57">
        <v>0</v>
      </c>
      <c r="F53" s="57">
        <f t="shared" si="0"/>
        <v>0</v>
      </c>
      <c r="G53" s="9"/>
      <c r="H53" s="57">
        <v>0.58500000000000008</v>
      </c>
      <c r="I53" s="57">
        <v>0.58500000000000008</v>
      </c>
      <c r="J53" s="57">
        <f t="shared" si="35"/>
        <v>0.58500000000000008</v>
      </c>
      <c r="K53" s="17">
        <f t="shared" si="36"/>
        <v>0.58500000000000008</v>
      </c>
      <c r="L53" s="17">
        <f t="shared" si="37"/>
        <v>0.58500000000000008</v>
      </c>
      <c r="M53" s="9">
        <v>0</v>
      </c>
      <c r="N53" s="9">
        <f t="shared" si="7"/>
        <v>0</v>
      </c>
      <c r="O53" s="9">
        <f t="shared" si="8"/>
        <v>0</v>
      </c>
      <c r="P53" s="9">
        <f t="shared" si="9"/>
        <v>0</v>
      </c>
      <c r="Q53" s="9">
        <f t="shared" si="10"/>
        <v>0</v>
      </c>
      <c r="R53" s="9">
        <f t="shared" ca="1" si="11"/>
        <v>1</v>
      </c>
      <c r="S53" s="9">
        <f t="shared" ca="1" si="11"/>
        <v>0</v>
      </c>
      <c r="T53" s="9">
        <f t="shared" ca="1" si="11"/>
        <v>1</v>
      </c>
      <c r="U53" s="9">
        <f t="shared" ca="1" si="11"/>
        <v>1</v>
      </c>
      <c r="V53" s="9">
        <f t="shared" ca="1" si="38"/>
        <v>1</v>
      </c>
      <c r="W53" s="9">
        <f t="shared" ca="1" si="12"/>
        <v>0</v>
      </c>
      <c r="X53" s="9" t="s">
        <v>62</v>
      </c>
      <c r="Y53" s="9">
        <v>2021</v>
      </c>
      <c r="Z53" s="9"/>
      <c r="AA53" s="9"/>
      <c r="AB53" s="9"/>
      <c r="AC53" s="9"/>
      <c r="AD53" s="152"/>
      <c r="AE53" s="9"/>
      <c r="AF53" s="9">
        <v>7</v>
      </c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>
        <v>2031</v>
      </c>
      <c r="AU53" s="9"/>
      <c r="AV53" s="9"/>
      <c r="AW53" s="9"/>
      <c r="AX53" s="9"/>
      <c r="AY53" s="9"/>
      <c r="AZ53" s="9"/>
      <c r="BA53" s="9">
        <v>7</v>
      </c>
      <c r="BB53" s="9"/>
      <c r="BC53" s="9"/>
      <c r="BD53" s="9"/>
      <c r="BE53" s="9"/>
      <c r="BF53" s="9"/>
      <c r="BG53" s="9"/>
      <c r="BH53" s="150">
        <v>1.2267192541321688</v>
      </c>
      <c r="BI53" s="150">
        <v>2.2612105538192599</v>
      </c>
      <c r="BJ53" s="150">
        <v>2.1252009430760062</v>
      </c>
      <c r="BK53" s="150">
        <v>1.2944496352201866</v>
      </c>
      <c r="BL53" s="150">
        <v>0.32314284341629806</v>
      </c>
      <c r="BM53" s="150">
        <v>0.14000000000000001</v>
      </c>
      <c r="BN53" s="150">
        <v>1.4542000570988298</v>
      </c>
      <c r="BO53" s="150">
        <v>11.984388276878477</v>
      </c>
      <c r="BP53" s="150">
        <v>-1.7475682675103321</v>
      </c>
      <c r="BQ53" s="150">
        <v>-1.7169645793441486</v>
      </c>
      <c r="BR53" s="150">
        <v>-1.4425350046709582</v>
      </c>
      <c r="BS53" s="150">
        <v>0.61768216477991222</v>
      </c>
      <c r="BT53" s="150">
        <v>0.15</v>
      </c>
      <c r="BU53" s="150">
        <v>-0.4950056673809119</v>
      </c>
      <c r="BV53" s="149">
        <v>0.22</v>
      </c>
      <c r="BW53" s="149">
        <v>0.27</v>
      </c>
      <c r="BX53" s="149">
        <v>0.17</v>
      </c>
      <c r="BY53" s="149">
        <v>0.14000000000000001</v>
      </c>
      <c r="BZ53" s="149">
        <v>0.23</v>
      </c>
      <c r="CA53" s="149">
        <v>0.23</v>
      </c>
      <c r="CB53" s="149">
        <v>0.06</v>
      </c>
      <c r="CC53" s="149">
        <v>0.28000000000000003</v>
      </c>
      <c r="CD53" s="149">
        <v>0.23</v>
      </c>
      <c r="CE53" s="149">
        <v>0.33</v>
      </c>
      <c r="CF53" s="149">
        <v>0.36</v>
      </c>
      <c r="CG53" s="149">
        <v>0.27</v>
      </c>
      <c r="CH53" s="149">
        <v>0.27</v>
      </c>
      <c r="CI53" s="149">
        <v>0.45</v>
      </c>
      <c r="CJ53" s="149">
        <v>0.22</v>
      </c>
      <c r="CK53" s="149">
        <v>0.27</v>
      </c>
      <c r="CL53" s="149">
        <v>0.17</v>
      </c>
      <c r="CM53" s="149">
        <v>0.14000000000000001</v>
      </c>
      <c r="CN53" s="149">
        <v>0.23</v>
      </c>
      <c r="CO53" s="149">
        <v>0.23</v>
      </c>
      <c r="CP53" s="149">
        <v>0.06</v>
      </c>
      <c r="CQ53" s="149">
        <v>0.28000000000000003</v>
      </c>
      <c r="CR53" s="149">
        <v>0.23</v>
      </c>
      <c r="CS53" s="149">
        <v>0.33</v>
      </c>
      <c r="CT53" s="149">
        <v>0.36</v>
      </c>
      <c r="CU53" s="149">
        <v>0.27</v>
      </c>
      <c r="CV53" s="149">
        <v>0.27</v>
      </c>
      <c r="CW53" s="149">
        <v>0.45</v>
      </c>
    </row>
    <row r="54" spans="1:101" x14ac:dyDescent="0.25">
      <c r="A54" s="9" t="s">
        <v>77</v>
      </c>
      <c r="B54" s="9" t="s">
        <v>51</v>
      </c>
      <c r="C54" s="9" t="s">
        <v>51</v>
      </c>
      <c r="D54" s="9"/>
      <c r="E54" s="57">
        <v>0</v>
      </c>
      <c r="F54" s="57">
        <f t="shared" si="0"/>
        <v>0</v>
      </c>
      <c r="G54" s="9"/>
      <c r="H54" s="57">
        <v>0.1638</v>
      </c>
      <c r="I54" s="57">
        <v>0.1638</v>
      </c>
      <c r="J54" s="57">
        <f t="shared" si="35"/>
        <v>0.1638</v>
      </c>
      <c r="K54" s="17">
        <f t="shared" si="36"/>
        <v>0.1638</v>
      </c>
      <c r="L54" s="17">
        <f t="shared" si="37"/>
        <v>0.1638</v>
      </c>
      <c r="M54" s="17">
        <v>1</v>
      </c>
      <c r="N54" s="9">
        <f t="shared" si="7"/>
        <v>0</v>
      </c>
      <c r="O54" s="9">
        <f t="shared" si="8"/>
        <v>0</v>
      </c>
      <c r="P54" s="9">
        <f t="shared" si="9"/>
        <v>0</v>
      </c>
      <c r="Q54" s="9">
        <f t="shared" si="10"/>
        <v>0</v>
      </c>
      <c r="R54" s="9">
        <f t="shared" ca="1" si="11"/>
        <v>1</v>
      </c>
      <c r="S54" s="9">
        <f t="shared" ca="1" si="11"/>
        <v>0</v>
      </c>
      <c r="T54" s="9">
        <f t="shared" ca="1" si="11"/>
        <v>1</v>
      </c>
      <c r="U54" s="9">
        <f t="shared" ca="1" si="11"/>
        <v>1</v>
      </c>
      <c r="V54" s="9">
        <f t="shared" ca="1" si="38"/>
        <v>0</v>
      </c>
      <c r="W54" s="9">
        <f t="shared" ca="1" si="12"/>
        <v>0</v>
      </c>
      <c r="X54" s="9" t="s">
        <v>62</v>
      </c>
      <c r="Y54" s="151">
        <v>2023</v>
      </c>
      <c r="Z54" s="152">
        <f>Y54+1</f>
        <v>2024</v>
      </c>
      <c r="AA54" s="152">
        <f t="shared" ref="AA54:AC59" si="44">TRUNC($Z54+$AG54/12+AH$2/12)</f>
        <v>2025</v>
      </c>
      <c r="AB54" s="152">
        <f t="shared" si="44"/>
        <v>2025</v>
      </c>
      <c r="AC54" s="152">
        <f t="shared" si="44"/>
        <v>2025</v>
      </c>
      <c r="AD54" s="152">
        <f t="shared" ref="AD54:AD59" si="45">Y54+1</f>
        <v>2024</v>
      </c>
      <c r="AE54" s="152">
        <f t="shared" ref="AE54:AE59" si="46">TRUNC($Z54+$AG54/12+AL$2/12)</f>
        <v>2024</v>
      </c>
      <c r="AF54" s="9">
        <v>10</v>
      </c>
      <c r="AG54" s="9">
        <v>7</v>
      </c>
      <c r="AH54" s="152">
        <f t="shared" ref="AH54:AJ59" si="47">IF((($Z54+$AG54/12+AH$2/12)-TRUNC($Z54+$AG54/12+AH$2/12))*12=0,1,(($Z54+$AG54/12+AH$2/12)-TRUNC($Z54+$AG54/12+AH$2/12))*12)</f>
        <v>6.9999999999990905</v>
      </c>
      <c r="AI54" s="152">
        <f t="shared" si="47"/>
        <v>7.999999999998181</v>
      </c>
      <c r="AJ54" s="152">
        <f t="shared" si="47"/>
        <v>7.999999999998181</v>
      </c>
      <c r="AK54" s="152">
        <f t="shared" ref="AK54:AK59" si="48">AF54</f>
        <v>10</v>
      </c>
      <c r="AL54" s="152">
        <f t="shared" ref="AL54:AL59" si="49">IF((($Z54+$AG54/12+AL$2/12)-TRUNC($Z54+$AG54/12+AL$2/12))*12=0,1,(($Z54+$AG54/12+AL$2/12)-TRUNC($Z54+$AG54/12+AL$2/12))*12)</f>
        <v>6.9999999999990905</v>
      </c>
      <c r="AM54" s="9"/>
      <c r="AN54" s="9"/>
      <c r="AO54" s="9"/>
      <c r="AP54" s="9"/>
      <c r="AQ54" s="9"/>
      <c r="AR54" s="9"/>
      <c r="AS54" s="9"/>
      <c r="AT54" s="9">
        <v>2033</v>
      </c>
      <c r="AU54" s="9">
        <v>2034</v>
      </c>
      <c r="AV54" s="9">
        <v>2034</v>
      </c>
      <c r="AW54" s="9">
        <v>2034</v>
      </c>
      <c r="AX54" s="9">
        <v>2034</v>
      </c>
      <c r="AY54" s="9">
        <f t="shared" ref="AY54:AY59" si="50">AD54+8</f>
        <v>2032</v>
      </c>
      <c r="AZ54" s="9">
        <v>2034</v>
      </c>
      <c r="BA54" s="9">
        <v>7</v>
      </c>
      <c r="BB54" s="9">
        <v>7</v>
      </c>
      <c r="BC54" s="9">
        <v>7</v>
      </c>
      <c r="BD54" s="9">
        <v>7</v>
      </c>
      <c r="BE54" s="9">
        <v>7</v>
      </c>
      <c r="BF54" s="9">
        <f t="shared" ref="BF54:BF59" si="51">AK54</f>
        <v>10</v>
      </c>
      <c r="BG54" s="9">
        <v>7</v>
      </c>
      <c r="BH54" s="150">
        <v>1.2267192541321688</v>
      </c>
      <c r="BI54" s="150">
        <v>2.2612105538192599</v>
      </c>
      <c r="BJ54" s="150">
        <v>2.1252009430760062</v>
      </c>
      <c r="BK54" s="150">
        <v>1.2944496352201866</v>
      </c>
      <c r="BL54" s="150">
        <v>0.32314284341629806</v>
      </c>
      <c r="BM54" s="150">
        <v>0.14000000000000001</v>
      </c>
      <c r="BN54" s="150">
        <v>1.4542000570988298</v>
      </c>
      <c r="BO54" s="150">
        <v>11.984388276878477</v>
      </c>
      <c r="BP54" s="150">
        <v>-1.7475682675103321</v>
      </c>
      <c r="BQ54" s="150">
        <v>-1.7169645793441486</v>
      </c>
      <c r="BR54" s="150">
        <v>-1.4425350046709582</v>
      </c>
      <c r="BS54" s="150">
        <v>0.61768216477991222</v>
      </c>
      <c r="BT54" s="150">
        <v>0.15</v>
      </c>
      <c r="BU54" s="150">
        <v>-0.4950056673809119</v>
      </c>
      <c r="BV54" s="149">
        <v>0.22</v>
      </c>
      <c r="BW54" s="149">
        <v>0.27</v>
      </c>
      <c r="BX54" s="149">
        <v>0.17</v>
      </c>
      <c r="BY54" s="149">
        <v>0.14000000000000001</v>
      </c>
      <c r="BZ54" s="149">
        <v>0.23</v>
      </c>
      <c r="CA54" s="149">
        <v>0.23</v>
      </c>
      <c r="CB54" s="149">
        <v>0.06</v>
      </c>
      <c r="CC54" s="149">
        <v>0.28000000000000003</v>
      </c>
      <c r="CD54" s="149">
        <v>0.23</v>
      </c>
      <c r="CE54" s="149">
        <v>0.33</v>
      </c>
      <c r="CF54" s="149">
        <v>0.36</v>
      </c>
      <c r="CG54" s="149">
        <v>0.27</v>
      </c>
      <c r="CH54" s="149">
        <v>0.27</v>
      </c>
      <c r="CI54" s="149">
        <v>0.45</v>
      </c>
      <c r="CJ54" s="149">
        <v>0.22</v>
      </c>
      <c r="CK54" s="149">
        <v>0.27</v>
      </c>
      <c r="CL54" s="149">
        <v>0.17</v>
      </c>
      <c r="CM54" s="149">
        <v>0.14000000000000001</v>
      </c>
      <c r="CN54" s="149">
        <v>0.23</v>
      </c>
      <c r="CO54" s="149">
        <v>0.23</v>
      </c>
      <c r="CP54" s="149">
        <v>0.06</v>
      </c>
      <c r="CQ54" s="149">
        <v>0.28000000000000003</v>
      </c>
      <c r="CR54" s="149">
        <v>0.23</v>
      </c>
      <c r="CS54" s="149">
        <v>0.33</v>
      </c>
      <c r="CT54" s="149">
        <v>0.36</v>
      </c>
      <c r="CU54" s="149">
        <v>0.27</v>
      </c>
      <c r="CV54" s="149">
        <v>0.27</v>
      </c>
      <c r="CW54" s="149">
        <v>0.45</v>
      </c>
    </row>
    <row r="55" spans="1:101" x14ac:dyDescent="0.25">
      <c r="A55" s="9" t="s">
        <v>75</v>
      </c>
      <c r="B55" s="9" t="s">
        <v>51</v>
      </c>
      <c r="C55" s="9" t="s">
        <v>51</v>
      </c>
      <c r="D55" s="9"/>
      <c r="E55" s="57">
        <v>0</v>
      </c>
      <c r="F55" s="57">
        <f t="shared" si="0"/>
        <v>0</v>
      </c>
      <c r="G55" s="9"/>
      <c r="H55" s="57">
        <v>0.1638</v>
      </c>
      <c r="I55" s="57">
        <v>0.1638</v>
      </c>
      <c r="J55" s="57">
        <f t="shared" si="35"/>
        <v>0.1638</v>
      </c>
      <c r="K55" s="17">
        <f t="shared" si="36"/>
        <v>0.1638</v>
      </c>
      <c r="L55" s="17">
        <f t="shared" si="37"/>
        <v>0.1638</v>
      </c>
      <c r="M55" s="17">
        <v>1</v>
      </c>
      <c r="N55" s="9">
        <f t="shared" si="7"/>
        <v>0</v>
      </c>
      <c r="O55" s="9">
        <f t="shared" si="8"/>
        <v>0</v>
      </c>
      <c r="P55" s="9">
        <f t="shared" si="9"/>
        <v>0</v>
      </c>
      <c r="Q55" s="9">
        <f t="shared" si="10"/>
        <v>0</v>
      </c>
      <c r="R55" s="9">
        <f t="shared" ca="1" si="11"/>
        <v>0</v>
      </c>
      <c r="S55" s="9">
        <f t="shared" ca="1" si="11"/>
        <v>0</v>
      </c>
      <c r="T55" s="9">
        <f t="shared" ca="1" si="11"/>
        <v>0</v>
      </c>
      <c r="U55" s="9">
        <f t="shared" ca="1" si="11"/>
        <v>1</v>
      </c>
      <c r="V55" s="9">
        <f t="shared" ca="1" si="38"/>
        <v>0</v>
      </c>
      <c r="W55" s="9">
        <f t="shared" ca="1" si="12"/>
        <v>1</v>
      </c>
      <c r="X55" s="9" t="s">
        <v>27</v>
      </c>
      <c r="Y55" s="151">
        <v>2023</v>
      </c>
      <c r="Z55" s="152">
        <f>Y55+1</f>
        <v>2024</v>
      </c>
      <c r="AA55" s="152">
        <f t="shared" si="44"/>
        <v>2025</v>
      </c>
      <c r="AB55" s="152">
        <f t="shared" si="44"/>
        <v>2025</v>
      </c>
      <c r="AC55" s="152">
        <f t="shared" si="44"/>
        <v>2025</v>
      </c>
      <c r="AD55" s="152">
        <f t="shared" si="45"/>
        <v>2024</v>
      </c>
      <c r="AE55" s="152">
        <f t="shared" si="46"/>
        <v>2024</v>
      </c>
      <c r="AF55" s="9">
        <v>9</v>
      </c>
      <c r="AG55" s="9">
        <v>6</v>
      </c>
      <c r="AH55" s="152">
        <f t="shared" si="47"/>
        <v>6</v>
      </c>
      <c r="AI55" s="152">
        <f t="shared" si="47"/>
        <v>6.9999999999990905</v>
      </c>
      <c r="AJ55" s="152">
        <f t="shared" si="47"/>
        <v>6.9999999999990905</v>
      </c>
      <c r="AK55" s="152">
        <f t="shared" si="48"/>
        <v>9</v>
      </c>
      <c r="AL55" s="152">
        <f t="shared" si="49"/>
        <v>6</v>
      </c>
      <c r="AM55" s="9"/>
      <c r="AN55" s="9"/>
      <c r="AO55" s="9"/>
      <c r="AP55" s="9"/>
      <c r="AQ55" s="9"/>
      <c r="AR55" s="9"/>
      <c r="AS55" s="9"/>
      <c r="AT55" s="9">
        <v>2033</v>
      </c>
      <c r="AU55" s="9">
        <v>2034</v>
      </c>
      <c r="AV55" s="9">
        <v>2034</v>
      </c>
      <c r="AW55" s="9">
        <v>2034</v>
      </c>
      <c r="AX55" s="9">
        <v>2034</v>
      </c>
      <c r="AY55" s="9">
        <f t="shared" si="50"/>
        <v>2032</v>
      </c>
      <c r="AZ55" s="9">
        <v>2034</v>
      </c>
      <c r="BA55" s="9">
        <v>9</v>
      </c>
      <c r="BB55" s="9">
        <v>6</v>
      </c>
      <c r="BC55" s="9">
        <v>6</v>
      </c>
      <c r="BD55" s="9">
        <v>6</v>
      </c>
      <c r="BE55" s="9">
        <v>6</v>
      </c>
      <c r="BF55" s="9">
        <f t="shared" si="51"/>
        <v>9</v>
      </c>
      <c r="BG55" s="9">
        <v>6</v>
      </c>
      <c r="BH55" s="150">
        <v>1.2267192541321688</v>
      </c>
      <c r="BI55" s="150">
        <v>2.2612105538192599</v>
      </c>
      <c r="BJ55" s="150">
        <v>2.1252009430760062</v>
      </c>
      <c r="BK55" s="150">
        <v>1.2944496352201866</v>
      </c>
      <c r="BL55" s="150">
        <v>0.32314284341629806</v>
      </c>
      <c r="BM55" s="150">
        <v>0.14000000000000001</v>
      </c>
      <c r="BN55" s="150">
        <v>1.4542000570988298</v>
      </c>
      <c r="BO55" s="150">
        <v>11.984388276878477</v>
      </c>
      <c r="BP55" s="150">
        <v>-1.7475682675103321</v>
      </c>
      <c r="BQ55" s="150">
        <v>-1.7169645793441486</v>
      </c>
      <c r="BR55" s="150">
        <v>-1.4425350046709582</v>
      </c>
      <c r="BS55" s="150">
        <v>0.61768216477991222</v>
      </c>
      <c r="BT55" s="150">
        <v>0.15</v>
      </c>
      <c r="BU55" s="150">
        <v>-0.4950056673809119</v>
      </c>
      <c r="BV55" s="149">
        <v>0.15</v>
      </c>
      <c r="BW55" s="149">
        <v>0.2</v>
      </c>
      <c r="BX55" s="149">
        <v>0.12</v>
      </c>
      <c r="BY55" s="149">
        <v>0.08</v>
      </c>
      <c r="BZ55" s="149">
        <v>0.18</v>
      </c>
      <c r="CA55" s="149">
        <v>0.16</v>
      </c>
      <c r="CB55" s="149">
        <v>0.05</v>
      </c>
      <c r="CC55" s="149">
        <v>0.35</v>
      </c>
      <c r="CD55" s="149">
        <v>0.3</v>
      </c>
      <c r="CE55" s="149">
        <v>0.38</v>
      </c>
      <c r="CF55" s="149">
        <v>0.42</v>
      </c>
      <c r="CG55" s="149">
        <v>0.32</v>
      </c>
      <c r="CH55" s="149">
        <v>0.34</v>
      </c>
      <c r="CI55" s="149">
        <v>0.45</v>
      </c>
      <c r="CJ55" s="149">
        <v>0.15</v>
      </c>
      <c r="CK55" s="149">
        <v>0.2</v>
      </c>
      <c r="CL55" s="149">
        <v>0.12</v>
      </c>
      <c r="CM55" s="149">
        <v>0.08</v>
      </c>
      <c r="CN55" s="149">
        <v>0.18</v>
      </c>
      <c r="CO55" s="149">
        <v>0.16</v>
      </c>
      <c r="CP55" s="149">
        <v>0.05</v>
      </c>
      <c r="CQ55" s="149">
        <v>0.35</v>
      </c>
      <c r="CR55" s="149">
        <v>0.3</v>
      </c>
      <c r="CS55" s="149">
        <v>0.38</v>
      </c>
      <c r="CT55" s="149">
        <v>0.42</v>
      </c>
      <c r="CU55" s="149">
        <v>0.32</v>
      </c>
      <c r="CV55" s="149">
        <v>0.34</v>
      </c>
      <c r="CW55" s="149">
        <v>0.45</v>
      </c>
    </row>
    <row r="56" spans="1:101" x14ac:dyDescent="0.25">
      <c r="A56" s="9" t="s">
        <v>45</v>
      </c>
      <c r="B56" s="9" t="s">
        <v>43</v>
      </c>
      <c r="C56" s="9" t="s">
        <v>43</v>
      </c>
      <c r="D56" s="9"/>
      <c r="E56" s="57">
        <v>0</v>
      </c>
      <c r="F56" s="57">
        <f t="shared" si="0"/>
        <v>0</v>
      </c>
      <c r="G56" s="57">
        <v>0.59</v>
      </c>
      <c r="H56" s="57">
        <v>0.59</v>
      </c>
      <c r="I56" s="57">
        <v>0.59</v>
      </c>
      <c r="J56" s="57">
        <f t="shared" si="35"/>
        <v>0.59</v>
      </c>
      <c r="K56" s="17">
        <f t="shared" si="36"/>
        <v>0.59</v>
      </c>
      <c r="L56" s="17">
        <f t="shared" si="37"/>
        <v>0.59</v>
      </c>
      <c r="M56" s="17">
        <v>1</v>
      </c>
      <c r="N56" s="9">
        <f t="shared" si="7"/>
        <v>0</v>
      </c>
      <c r="O56" s="9">
        <f t="shared" si="8"/>
        <v>0</v>
      </c>
      <c r="P56" s="9">
        <f t="shared" si="9"/>
        <v>0</v>
      </c>
      <c r="Q56" s="9">
        <f t="shared" si="10"/>
        <v>0</v>
      </c>
      <c r="R56" s="9">
        <f t="shared" ca="1" si="11"/>
        <v>0</v>
      </c>
      <c r="S56" s="9">
        <f t="shared" ca="1" si="11"/>
        <v>0</v>
      </c>
      <c r="T56" s="9">
        <f t="shared" ca="1" si="11"/>
        <v>0</v>
      </c>
      <c r="U56" s="9">
        <f t="shared" ca="1" si="11"/>
        <v>0</v>
      </c>
      <c r="V56" s="9">
        <f t="shared" ca="1" si="38"/>
        <v>0</v>
      </c>
      <c r="W56" s="9">
        <f t="shared" ca="1" si="12"/>
        <v>1</v>
      </c>
      <c r="X56" s="9" t="s">
        <v>42</v>
      </c>
      <c r="Y56" s="151">
        <v>2021</v>
      </c>
      <c r="Z56" s="152">
        <f>Y56+3</f>
        <v>2024</v>
      </c>
      <c r="AA56" s="152">
        <f t="shared" si="44"/>
        <v>2025</v>
      </c>
      <c r="AB56" s="152">
        <f t="shared" si="44"/>
        <v>2025</v>
      </c>
      <c r="AC56" s="152">
        <f t="shared" si="44"/>
        <v>2025</v>
      </c>
      <c r="AD56" s="152">
        <f t="shared" si="45"/>
        <v>2022</v>
      </c>
      <c r="AE56" s="152">
        <f t="shared" si="46"/>
        <v>2024</v>
      </c>
      <c r="AF56" s="151">
        <v>6</v>
      </c>
      <c r="AG56" s="9">
        <v>1</v>
      </c>
      <c r="AH56" s="152">
        <f t="shared" si="47"/>
        <v>0.99999999999909051</v>
      </c>
      <c r="AI56" s="152">
        <f t="shared" si="47"/>
        <v>1.999999999998181</v>
      </c>
      <c r="AJ56" s="152">
        <f t="shared" si="47"/>
        <v>1.999999999998181</v>
      </c>
      <c r="AK56" s="152">
        <f t="shared" si="48"/>
        <v>6</v>
      </c>
      <c r="AL56" s="152">
        <f t="shared" si="49"/>
        <v>0.99999999999909051</v>
      </c>
      <c r="AM56" s="9"/>
      <c r="AN56" s="9"/>
      <c r="AO56" s="9"/>
      <c r="AP56" s="9"/>
      <c r="AQ56" s="9"/>
      <c r="AR56" s="9"/>
      <c r="AS56" s="9"/>
      <c r="AT56" s="9">
        <v>2034</v>
      </c>
      <c r="AU56" s="9">
        <v>2035</v>
      </c>
      <c r="AV56" s="9">
        <v>2035</v>
      </c>
      <c r="AW56" s="9">
        <v>2035</v>
      </c>
      <c r="AX56" s="9">
        <v>2035</v>
      </c>
      <c r="AY56" s="9">
        <f t="shared" si="50"/>
        <v>2030</v>
      </c>
      <c r="AZ56" s="9">
        <v>2035</v>
      </c>
      <c r="BA56" s="9">
        <v>9</v>
      </c>
      <c r="BB56" s="9">
        <v>1</v>
      </c>
      <c r="BC56" s="9">
        <v>1</v>
      </c>
      <c r="BD56" s="9">
        <v>1</v>
      </c>
      <c r="BE56" s="9">
        <v>1</v>
      </c>
      <c r="BF56" s="9">
        <f t="shared" si="51"/>
        <v>6</v>
      </c>
      <c r="BG56" s="9">
        <v>1</v>
      </c>
      <c r="BH56" s="150">
        <v>1.2267192541321688</v>
      </c>
      <c r="BI56" s="150">
        <v>2.2612105538192599</v>
      </c>
      <c r="BJ56" s="150">
        <v>2.1252009430760062</v>
      </c>
      <c r="BK56" s="150">
        <v>1.2944496352201866</v>
      </c>
      <c r="BL56" s="150">
        <v>0.32314284341629806</v>
      </c>
      <c r="BM56" s="150">
        <v>0.14000000000000001</v>
      </c>
      <c r="BN56" s="150">
        <v>1.4542000570988298</v>
      </c>
      <c r="BO56" s="150">
        <v>11.984388276878477</v>
      </c>
      <c r="BP56" s="150">
        <v>-1.7475682675103321</v>
      </c>
      <c r="BQ56" s="150">
        <v>-1.7169645793441486</v>
      </c>
      <c r="BR56" s="150">
        <v>-1.4425350046709582</v>
      </c>
      <c r="BS56" s="150">
        <v>0.61768216477991222</v>
      </c>
      <c r="BT56" s="150">
        <v>0.15</v>
      </c>
      <c r="BU56" s="150">
        <v>-0.4950056673809119</v>
      </c>
      <c r="BV56" s="149">
        <v>0.15</v>
      </c>
      <c r="BW56" s="149">
        <v>0.2</v>
      </c>
      <c r="BX56" s="149">
        <v>0.12</v>
      </c>
      <c r="BY56" s="149">
        <v>0.08</v>
      </c>
      <c r="BZ56" s="149">
        <v>0.18</v>
      </c>
      <c r="CA56" s="149">
        <v>0.16</v>
      </c>
      <c r="CB56" s="149">
        <v>0.05</v>
      </c>
      <c r="CC56" s="149">
        <v>0.35</v>
      </c>
      <c r="CD56" s="149">
        <v>0.3</v>
      </c>
      <c r="CE56" s="149">
        <v>0.38</v>
      </c>
      <c r="CF56" s="149">
        <v>0.42</v>
      </c>
      <c r="CG56" s="149">
        <v>0.32</v>
      </c>
      <c r="CH56" s="149">
        <v>0.34</v>
      </c>
      <c r="CI56" s="149">
        <v>0.45</v>
      </c>
      <c r="CJ56" s="149">
        <v>0.15</v>
      </c>
      <c r="CK56" s="149">
        <v>0.2</v>
      </c>
      <c r="CL56" s="149">
        <v>0.12</v>
      </c>
      <c r="CM56" s="149">
        <v>0.08</v>
      </c>
      <c r="CN56" s="149">
        <v>0.18</v>
      </c>
      <c r="CO56" s="149">
        <v>0.16</v>
      </c>
      <c r="CP56" s="149">
        <v>0.05</v>
      </c>
      <c r="CQ56" s="149">
        <v>0.35</v>
      </c>
      <c r="CR56" s="149">
        <v>0.3</v>
      </c>
      <c r="CS56" s="149">
        <v>0.38</v>
      </c>
      <c r="CT56" s="149">
        <v>0.42</v>
      </c>
      <c r="CU56" s="149">
        <v>0.32</v>
      </c>
      <c r="CV56" s="149">
        <v>0.34</v>
      </c>
      <c r="CW56" s="149">
        <v>0.45</v>
      </c>
    </row>
    <row r="57" spans="1:101" x14ac:dyDescent="0.25">
      <c r="A57" s="9" t="s">
        <v>39</v>
      </c>
      <c r="B57" s="9" t="s">
        <v>43</v>
      </c>
      <c r="C57" s="9" t="s">
        <v>43</v>
      </c>
      <c r="D57" s="9"/>
      <c r="E57" s="57">
        <v>0</v>
      </c>
      <c r="F57" s="57">
        <v>1</v>
      </c>
      <c r="G57" s="17">
        <v>0.4</v>
      </c>
      <c r="H57" s="17">
        <v>0.4</v>
      </c>
      <c r="I57" s="57">
        <v>0</v>
      </c>
      <c r="J57" s="57">
        <v>1</v>
      </c>
      <c r="K57" s="17">
        <f t="shared" si="36"/>
        <v>0</v>
      </c>
      <c r="L57" s="17">
        <v>1</v>
      </c>
      <c r="M57" s="17">
        <v>0</v>
      </c>
      <c r="N57" s="9">
        <f t="shared" si="7"/>
        <v>0</v>
      </c>
      <c r="O57" s="9">
        <f t="shared" si="8"/>
        <v>1</v>
      </c>
      <c r="P57" s="9">
        <f t="shared" si="9"/>
        <v>0</v>
      </c>
      <c r="Q57" s="9">
        <f t="shared" si="10"/>
        <v>1</v>
      </c>
      <c r="R57" s="9">
        <f t="shared" ca="1" si="11"/>
        <v>0</v>
      </c>
      <c r="S57" s="9">
        <f t="shared" ca="1" si="11"/>
        <v>0</v>
      </c>
      <c r="T57" s="9">
        <f t="shared" ca="1" si="11"/>
        <v>0</v>
      </c>
      <c r="U57" s="9">
        <f t="shared" ca="1" si="11"/>
        <v>1</v>
      </c>
      <c r="V57" s="9">
        <f t="shared" ca="1" si="38"/>
        <v>1</v>
      </c>
      <c r="W57" s="9">
        <f t="shared" ca="1" si="12"/>
        <v>0</v>
      </c>
      <c r="X57" s="9" t="s">
        <v>38</v>
      </c>
      <c r="Y57" s="151">
        <v>2023</v>
      </c>
      <c r="Z57" s="151">
        <v>2023</v>
      </c>
      <c r="AA57" s="152">
        <f t="shared" si="44"/>
        <v>2024</v>
      </c>
      <c r="AB57" s="152">
        <f t="shared" si="44"/>
        <v>2025</v>
      </c>
      <c r="AC57" s="152">
        <f t="shared" si="44"/>
        <v>2025</v>
      </c>
      <c r="AD57" s="152">
        <f t="shared" si="45"/>
        <v>2024</v>
      </c>
      <c r="AE57" s="152">
        <f t="shared" si="46"/>
        <v>2023</v>
      </c>
      <c r="AF57" s="151">
        <v>7</v>
      </c>
      <c r="AG57" s="9">
        <v>11</v>
      </c>
      <c r="AH57" s="152">
        <f t="shared" si="47"/>
        <v>11.000000000000909</v>
      </c>
      <c r="AI57" s="152">
        <f t="shared" si="47"/>
        <v>1</v>
      </c>
      <c r="AJ57" s="152">
        <f t="shared" si="47"/>
        <v>1</v>
      </c>
      <c r="AK57" s="152">
        <v>5</v>
      </c>
      <c r="AL57" s="152">
        <f t="shared" si="49"/>
        <v>11.000000000000909</v>
      </c>
      <c r="AM57" s="9"/>
      <c r="AN57" s="9"/>
      <c r="AO57" s="9"/>
      <c r="AP57" s="9"/>
      <c r="AQ57" s="9"/>
      <c r="AR57" s="9"/>
      <c r="AS57" s="9"/>
      <c r="AT57" s="9">
        <v>2035</v>
      </c>
      <c r="AU57" s="9">
        <v>2034</v>
      </c>
      <c r="AV57" s="9">
        <v>2034</v>
      </c>
      <c r="AW57" s="9">
        <v>2034</v>
      </c>
      <c r="AX57" s="9">
        <v>2034</v>
      </c>
      <c r="AY57" s="9">
        <f t="shared" si="50"/>
        <v>2032</v>
      </c>
      <c r="AZ57" s="9">
        <v>2034</v>
      </c>
      <c r="BA57" s="9">
        <v>10</v>
      </c>
      <c r="BB57" s="9">
        <v>10</v>
      </c>
      <c r="BC57" s="9">
        <v>10</v>
      </c>
      <c r="BD57" s="9">
        <v>10</v>
      </c>
      <c r="BE57" s="9">
        <v>10</v>
      </c>
      <c r="BF57" s="9">
        <f t="shared" si="51"/>
        <v>5</v>
      </c>
      <c r="BG57" s="9">
        <v>10</v>
      </c>
      <c r="BH57" s="150">
        <v>1.2267192541321688</v>
      </c>
      <c r="BI57" s="150">
        <v>2.2612105538192599</v>
      </c>
      <c r="BJ57" s="150">
        <v>2.1252009430760062</v>
      </c>
      <c r="BK57" s="150">
        <v>1.2944496352201866</v>
      </c>
      <c r="BL57" s="150">
        <v>0.32314284341629806</v>
      </c>
      <c r="BM57" s="150">
        <v>0.14000000000000001</v>
      </c>
      <c r="BN57" s="150">
        <v>1.4542000570988298</v>
      </c>
      <c r="BO57" s="150">
        <v>11.984388276878477</v>
      </c>
      <c r="BP57" s="150">
        <v>-1.7475682675103321</v>
      </c>
      <c r="BQ57" s="150">
        <v>-1.7169645793441486</v>
      </c>
      <c r="BR57" s="150">
        <v>-1.4425350046709582</v>
      </c>
      <c r="BS57" s="150">
        <v>0.61768216477991222</v>
      </c>
      <c r="BT57" s="150">
        <v>0.15</v>
      </c>
      <c r="BU57" s="150">
        <v>-0.4950056673809119</v>
      </c>
      <c r="BV57" s="149">
        <v>0.15</v>
      </c>
      <c r="BW57" s="149">
        <v>0.2</v>
      </c>
      <c r="BX57" s="149">
        <v>0.12</v>
      </c>
      <c r="BY57" s="149">
        <v>0.08</v>
      </c>
      <c r="BZ57" s="149">
        <v>0.18</v>
      </c>
      <c r="CA57" s="149">
        <v>0.16</v>
      </c>
      <c r="CB57" s="149">
        <v>0.05</v>
      </c>
      <c r="CC57" s="149">
        <v>0.35</v>
      </c>
      <c r="CD57" s="149">
        <v>0.3</v>
      </c>
      <c r="CE57" s="149">
        <v>0.38</v>
      </c>
      <c r="CF57" s="149">
        <v>0.42</v>
      </c>
      <c r="CG57" s="149">
        <v>0.32</v>
      </c>
      <c r="CH57" s="149">
        <v>0.34</v>
      </c>
      <c r="CI57" s="149">
        <v>0.45</v>
      </c>
      <c r="CJ57" s="149">
        <v>0.15</v>
      </c>
      <c r="CK57" s="149">
        <v>0.2</v>
      </c>
      <c r="CL57" s="149">
        <v>0.12</v>
      </c>
      <c r="CM57" s="149">
        <v>0.08</v>
      </c>
      <c r="CN57" s="149">
        <v>0.18</v>
      </c>
      <c r="CO57" s="149">
        <v>0.16</v>
      </c>
      <c r="CP57" s="149">
        <v>0.05</v>
      </c>
      <c r="CQ57" s="149">
        <v>0.35</v>
      </c>
      <c r="CR57" s="149">
        <v>0.3</v>
      </c>
      <c r="CS57" s="149">
        <v>0.38</v>
      </c>
      <c r="CT57" s="149">
        <v>0.42</v>
      </c>
      <c r="CU57" s="149">
        <v>0.32</v>
      </c>
      <c r="CV57" s="149">
        <v>0.34</v>
      </c>
      <c r="CW57" s="149">
        <v>0.45</v>
      </c>
    </row>
    <row r="58" spans="1:101" x14ac:dyDescent="0.25">
      <c r="A58" s="9" t="s">
        <v>71</v>
      </c>
      <c r="B58" s="9" t="s">
        <v>51</v>
      </c>
      <c r="C58" s="9" t="s">
        <v>51</v>
      </c>
      <c r="D58" s="9"/>
      <c r="E58" s="57">
        <v>0</v>
      </c>
      <c r="F58" s="57">
        <f t="shared" si="0"/>
        <v>0</v>
      </c>
      <c r="G58" s="9"/>
      <c r="H58" s="57">
        <v>0.16400000000000001</v>
      </c>
      <c r="I58" s="57">
        <v>0.1638</v>
      </c>
      <c r="J58" s="57">
        <f t="shared" si="35"/>
        <v>0.1638</v>
      </c>
      <c r="K58" s="17">
        <f t="shared" si="36"/>
        <v>0.1638</v>
      </c>
      <c r="L58" s="17">
        <f t="shared" si="37"/>
        <v>0.1638</v>
      </c>
      <c r="M58" s="9">
        <v>0</v>
      </c>
      <c r="N58" s="9">
        <f t="shared" si="7"/>
        <v>0</v>
      </c>
      <c r="O58" s="9">
        <f t="shared" si="8"/>
        <v>0</v>
      </c>
      <c r="P58" s="9">
        <f t="shared" si="9"/>
        <v>0</v>
      </c>
      <c r="Q58" s="9">
        <f t="shared" si="10"/>
        <v>0</v>
      </c>
      <c r="R58" s="9">
        <f t="shared" ca="1" si="11"/>
        <v>0</v>
      </c>
      <c r="S58" s="9">
        <f t="shared" ca="1" si="11"/>
        <v>1</v>
      </c>
      <c r="T58" s="9">
        <f t="shared" ca="1" si="11"/>
        <v>1</v>
      </c>
      <c r="U58" s="9">
        <f t="shared" ca="1" si="11"/>
        <v>0</v>
      </c>
      <c r="V58" s="9">
        <f t="shared" ca="1" si="38"/>
        <v>1</v>
      </c>
      <c r="W58" s="9">
        <f t="shared" ca="1" si="12"/>
        <v>0</v>
      </c>
      <c r="X58" s="9" t="s">
        <v>70</v>
      </c>
      <c r="Y58" s="151">
        <v>2025</v>
      </c>
      <c r="Z58" s="152">
        <f>Y58+1</f>
        <v>2026</v>
      </c>
      <c r="AA58" s="152">
        <f t="shared" si="44"/>
        <v>2027</v>
      </c>
      <c r="AB58" s="152">
        <f t="shared" si="44"/>
        <v>2027</v>
      </c>
      <c r="AC58" s="152">
        <f t="shared" si="44"/>
        <v>2027</v>
      </c>
      <c r="AD58" s="152">
        <f t="shared" si="45"/>
        <v>2026</v>
      </c>
      <c r="AE58" s="152">
        <f t="shared" si="46"/>
        <v>2026</v>
      </c>
      <c r="AF58" s="9">
        <v>6</v>
      </c>
      <c r="AG58" s="9">
        <v>8</v>
      </c>
      <c r="AH58" s="152">
        <f t="shared" si="47"/>
        <v>8.0000000000009095</v>
      </c>
      <c r="AI58" s="152">
        <f t="shared" si="47"/>
        <v>9</v>
      </c>
      <c r="AJ58" s="152">
        <f t="shared" si="47"/>
        <v>9</v>
      </c>
      <c r="AK58" s="152">
        <v>3</v>
      </c>
      <c r="AL58" s="152">
        <f t="shared" si="49"/>
        <v>8.0000000000009095</v>
      </c>
      <c r="AM58" s="9"/>
      <c r="AN58" s="9"/>
      <c r="AO58" s="9"/>
      <c r="AP58" s="9"/>
      <c r="AQ58" s="9"/>
      <c r="AR58" s="9"/>
      <c r="AS58" s="9"/>
      <c r="AT58" s="9">
        <v>2037</v>
      </c>
      <c r="AU58" s="9">
        <v>2035</v>
      </c>
      <c r="AV58" s="9">
        <v>2035</v>
      </c>
      <c r="AW58" s="9">
        <v>2035</v>
      </c>
      <c r="AX58" s="9">
        <v>2035</v>
      </c>
      <c r="AY58" s="9">
        <v>2033</v>
      </c>
      <c r="AZ58" s="9">
        <v>2035</v>
      </c>
      <c r="BA58" s="9">
        <v>5</v>
      </c>
      <c r="BB58" s="9">
        <v>7</v>
      </c>
      <c r="BC58" s="9">
        <v>7</v>
      </c>
      <c r="BD58" s="9">
        <v>7</v>
      </c>
      <c r="BE58" s="9">
        <v>7</v>
      </c>
      <c r="BF58" s="9">
        <v>12</v>
      </c>
      <c r="BG58" s="9">
        <v>7</v>
      </c>
      <c r="BH58" s="150">
        <v>1.2267192541321688</v>
      </c>
      <c r="BI58" s="150">
        <v>2.2612105538192599</v>
      </c>
      <c r="BJ58" s="150">
        <v>2.1252009430760062</v>
      </c>
      <c r="BK58" s="150">
        <v>1.2944496352201866</v>
      </c>
      <c r="BL58" s="150">
        <v>0.32314284341629806</v>
      </c>
      <c r="BM58" s="150">
        <v>0.14000000000000001</v>
      </c>
      <c r="BN58" s="150">
        <v>1.4542000570988298</v>
      </c>
      <c r="BO58" s="150">
        <v>11.984388276878477</v>
      </c>
      <c r="BP58" s="150">
        <v>-1.7475682675103321</v>
      </c>
      <c r="BQ58" s="150">
        <v>-1.7169645793441486</v>
      </c>
      <c r="BR58" s="150">
        <v>-1.4425350046709582</v>
      </c>
      <c r="BS58" s="150">
        <v>0.61768216477991222</v>
      </c>
      <c r="BT58" s="150">
        <v>0.15</v>
      </c>
      <c r="BU58" s="150">
        <v>-0.4950056673809119</v>
      </c>
      <c r="BV58" s="149">
        <v>0.22</v>
      </c>
      <c r="BW58" s="149">
        <v>0.27</v>
      </c>
      <c r="BX58" s="149">
        <v>0.17</v>
      </c>
      <c r="BY58" s="149">
        <v>0.14000000000000001</v>
      </c>
      <c r="BZ58" s="149">
        <v>0.23</v>
      </c>
      <c r="CA58" s="149">
        <v>0.23</v>
      </c>
      <c r="CB58" s="149">
        <v>0.06</v>
      </c>
      <c r="CC58" s="149">
        <v>0.28000000000000003</v>
      </c>
      <c r="CD58" s="149">
        <v>0.23</v>
      </c>
      <c r="CE58" s="149">
        <v>0.33</v>
      </c>
      <c r="CF58" s="149">
        <v>0.36</v>
      </c>
      <c r="CG58" s="149">
        <v>0.27</v>
      </c>
      <c r="CH58" s="149">
        <v>0.27</v>
      </c>
      <c r="CI58" s="149">
        <v>0.45</v>
      </c>
      <c r="CJ58" s="149">
        <v>0.22</v>
      </c>
      <c r="CK58" s="149">
        <v>0.27</v>
      </c>
      <c r="CL58" s="149">
        <v>0.17</v>
      </c>
      <c r="CM58" s="149">
        <v>0.14000000000000001</v>
      </c>
      <c r="CN58" s="149">
        <v>0.23</v>
      </c>
      <c r="CO58" s="149">
        <v>0.23</v>
      </c>
      <c r="CP58" s="149">
        <v>0.06</v>
      </c>
      <c r="CQ58" s="149">
        <v>0.28000000000000003</v>
      </c>
      <c r="CR58" s="149">
        <v>0.23</v>
      </c>
      <c r="CS58" s="149">
        <v>0.33</v>
      </c>
      <c r="CT58" s="149">
        <v>0.36</v>
      </c>
      <c r="CU58" s="149">
        <v>0.27</v>
      </c>
      <c r="CV58" s="149">
        <v>0.27</v>
      </c>
      <c r="CW58" s="149">
        <v>0.45</v>
      </c>
    </row>
    <row r="59" spans="1:101" x14ac:dyDescent="0.25">
      <c r="A59" s="9" t="s">
        <v>73</v>
      </c>
      <c r="B59" s="9" t="s">
        <v>58</v>
      </c>
      <c r="C59" s="9" t="s">
        <v>58</v>
      </c>
      <c r="D59" s="9"/>
      <c r="E59" s="57">
        <v>0</v>
      </c>
      <c r="F59" s="57">
        <f t="shared" si="0"/>
        <v>0</v>
      </c>
      <c r="G59" s="9"/>
      <c r="H59" s="57">
        <v>0.13923000000000002</v>
      </c>
      <c r="I59" s="57">
        <v>0.13923000000000002</v>
      </c>
      <c r="J59" s="57">
        <f t="shared" si="35"/>
        <v>0.13923000000000002</v>
      </c>
      <c r="K59" s="17">
        <f t="shared" si="36"/>
        <v>0.13923000000000002</v>
      </c>
      <c r="L59" s="17">
        <f t="shared" si="37"/>
        <v>0.13923000000000002</v>
      </c>
      <c r="M59" s="9">
        <v>0</v>
      </c>
      <c r="N59" s="9">
        <f t="shared" si="7"/>
        <v>0</v>
      </c>
      <c r="O59" s="9">
        <f t="shared" si="8"/>
        <v>0</v>
      </c>
      <c r="P59" s="9">
        <f t="shared" si="9"/>
        <v>0</v>
      </c>
      <c r="Q59" s="9">
        <f t="shared" si="10"/>
        <v>0</v>
      </c>
      <c r="R59" s="9">
        <f t="shared" ca="1" si="11"/>
        <v>0</v>
      </c>
      <c r="S59" s="9">
        <f t="shared" ca="1" si="11"/>
        <v>1</v>
      </c>
      <c r="T59" s="9">
        <f t="shared" ca="1" si="11"/>
        <v>1</v>
      </c>
      <c r="U59" s="9">
        <f t="shared" ca="1" si="11"/>
        <v>1</v>
      </c>
      <c r="V59" s="9">
        <f t="shared" ca="1" si="38"/>
        <v>1</v>
      </c>
      <c r="W59" s="9">
        <f t="shared" ca="1" si="12"/>
        <v>1</v>
      </c>
      <c r="X59" s="9" t="s">
        <v>27</v>
      </c>
      <c r="Y59" s="151">
        <v>2025</v>
      </c>
      <c r="Z59" s="152">
        <f>Y59+1</f>
        <v>2026</v>
      </c>
      <c r="AA59" s="152">
        <f t="shared" si="44"/>
        <v>2027</v>
      </c>
      <c r="AB59" s="152">
        <f t="shared" si="44"/>
        <v>2027</v>
      </c>
      <c r="AC59" s="152">
        <f t="shared" si="44"/>
        <v>2027</v>
      </c>
      <c r="AD59" s="152">
        <f t="shared" si="45"/>
        <v>2026</v>
      </c>
      <c r="AE59" s="152">
        <f t="shared" si="46"/>
        <v>2026</v>
      </c>
      <c r="AF59" s="9">
        <v>7</v>
      </c>
      <c r="AG59" s="9">
        <v>3</v>
      </c>
      <c r="AH59" s="152">
        <f t="shared" si="47"/>
        <v>3</v>
      </c>
      <c r="AI59" s="152">
        <f t="shared" si="47"/>
        <v>3.9999999999990905</v>
      </c>
      <c r="AJ59" s="152">
        <f t="shared" si="47"/>
        <v>3.9999999999990905</v>
      </c>
      <c r="AK59" s="152">
        <f t="shared" si="48"/>
        <v>7</v>
      </c>
      <c r="AL59" s="152">
        <f t="shared" si="49"/>
        <v>3</v>
      </c>
      <c r="AM59" s="9"/>
      <c r="AN59" s="9"/>
      <c r="AO59" s="9"/>
      <c r="AP59" s="9"/>
      <c r="AQ59" s="9"/>
      <c r="AR59" s="9"/>
      <c r="AS59" s="9"/>
      <c r="AT59" s="9">
        <v>2034</v>
      </c>
      <c r="AU59" s="9">
        <v>2036</v>
      </c>
      <c r="AV59" s="9">
        <v>2036</v>
      </c>
      <c r="AW59" s="9">
        <v>2036</v>
      </c>
      <c r="AX59" s="9">
        <v>2036</v>
      </c>
      <c r="AY59" s="9">
        <f t="shared" si="50"/>
        <v>2034</v>
      </c>
      <c r="AZ59" s="9">
        <v>2036</v>
      </c>
      <c r="BA59" s="9">
        <v>7</v>
      </c>
      <c r="BB59" s="9">
        <v>3</v>
      </c>
      <c r="BC59" s="9">
        <v>3</v>
      </c>
      <c r="BD59" s="9">
        <v>3</v>
      </c>
      <c r="BE59" s="9">
        <v>3</v>
      </c>
      <c r="BF59" s="9">
        <f t="shared" si="51"/>
        <v>7</v>
      </c>
      <c r="BG59" s="9">
        <v>3</v>
      </c>
      <c r="BH59" s="150">
        <v>1.2267192541321688</v>
      </c>
      <c r="BI59" s="150">
        <v>2.2612105538192599</v>
      </c>
      <c r="BJ59" s="150">
        <v>2.1252009430760062</v>
      </c>
      <c r="BK59" s="150">
        <v>1.2944496352201866</v>
      </c>
      <c r="BL59" s="150">
        <v>0.32314284341629806</v>
      </c>
      <c r="BM59" s="150">
        <v>0.14000000000000001</v>
      </c>
      <c r="BN59" s="150">
        <v>1.4542000570988298</v>
      </c>
      <c r="BO59" s="150">
        <v>11.984388276878477</v>
      </c>
      <c r="BP59" s="150">
        <v>-1.7475682675103321</v>
      </c>
      <c r="BQ59" s="150">
        <v>-1.7169645793441486</v>
      </c>
      <c r="BR59" s="150">
        <v>-1.4425350046709582</v>
      </c>
      <c r="BS59" s="150">
        <v>0.61768216477991222</v>
      </c>
      <c r="BT59" s="150">
        <v>0.15</v>
      </c>
      <c r="BU59" s="150">
        <v>-0.4950056673809119</v>
      </c>
      <c r="BV59" s="149">
        <v>0.15</v>
      </c>
      <c r="BW59" s="149">
        <v>0.2</v>
      </c>
      <c r="BX59" s="149">
        <v>0.12</v>
      </c>
      <c r="BY59" s="149">
        <v>0.08</v>
      </c>
      <c r="BZ59" s="149">
        <v>0.18</v>
      </c>
      <c r="CA59" s="149">
        <v>0.16</v>
      </c>
      <c r="CB59" s="149">
        <v>0.05</v>
      </c>
      <c r="CC59" s="149">
        <v>0.35</v>
      </c>
      <c r="CD59" s="149">
        <v>0.3</v>
      </c>
      <c r="CE59" s="149">
        <v>0.38</v>
      </c>
      <c r="CF59" s="149">
        <v>0.42</v>
      </c>
      <c r="CG59" s="149">
        <v>0.32</v>
      </c>
      <c r="CH59" s="149">
        <v>0.34</v>
      </c>
      <c r="CI59" s="149">
        <v>0.45</v>
      </c>
      <c r="CJ59" s="149">
        <v>0.15</v>
      </c>
      <c r="CK59" s="149">
        <v>0.2</v>
      </c>
      <c r="CL59" s="149">
        <v>0.12</v>
      </c>
      <c r="CM59" s="149">
        <v>0.08</v>
      </c>
      <c r="CN59" s="149">
        <v>0.18</v>
      </c>
      <c r="CO59" s="149">
        <v>0.16</v>
      </c>
      <c r="CP59" s="149">
        <v>0.05</v>
      </c>
      <c r="CQ59" s="149">
        <v>0.35</v>
      </c>
      <c r="CR59" s="149">
        <v>0.3</v>
      </c>
      <c r="CS59" s="149">
        <v>0.38</v>
      </c>
      <c r="CT59" s="149">
        <v>0.42</v>
      </c>
      <c r="CU59" s="149">
        <v>0.32</v>
      </c>
      <c r="CV59" s="149">
        <v>0.34</v>
      </c>
      <c r="CW59" s="149">
        <v>0.45</v>
      </c>
    </row>
    <row r="60" spans="1:101" x14ac:dyDescent="0.25">
      <c r="A60" s="9" t="s">
        <v>89</v>
      </c>
      <c r="B60" s="9" t="s">
        <v>47</v>
      </c>
      <c r="C60" s="9" t="s">
        <v>47</v>
      </c>
      <c r="D60" s="9"/>
      <c r="E60" s="57">
        <v>1</v>
      </c>
      <c r="F60" s="57">
        <f t="shared" si="0"/>
        <v>1</v>
      </c>
      <c r="G60" s="9"/>
      <c r="H60" s="57">
        <v>1</v>
      </c>
      <c r="I60" s="57">
        <v>1</v>
      </c>
      <c r="J60" s="57">
        <f t="shared" si="35"/>
        <v>1</v>
      </c>
      <c r="K60" s="17">
        <f t="shared" si="36"/>
        <v>1</v>
      </c>
      <c r="L60" s="17">
        <f t="shared" si="37"/>
        <v>1</v>
      </c>
      <c r="M60" s="17">
        <v>1</v>
      </c>
      <c r="N60" s="9">
        <f t="shared" si="7"/>
        <v>1</v>
      </c>
      <c r="O60" s="9">
        <f t="shared" si="8"/>
        <v>1</v>
      </c>
      <c r="P60" s="9">
        <f t="shared" si="9"/>
        <v>1</v>
      </c>
      <c r="Q60" s="9">
        <f t="shared" si="10"/>
        <v>1</v>
      </c>
      <c r="R60" s="9">
        <f t="shared" ca="1" si="11"/>
        <v>1</v>
      </c>
      <c r="S60" s="9">
        <f t="shared" ca="1" si="11"/>
        <v>1</v>
      </c>
      <c r="T60" s="9">
        <f t="shared" ca="1" si="11"/>
        <v>1</v>
      </c>
      <c r="U60" s="9">
        <f t="shared" ca="1" si="11"/>
        <v>1</v>
      </c>
      <c r="V60" s="9">
        <f t="shared" ca="1" si="38"/>
        <v>1</v>
      </c>
      <c r="W60" s="9">
        <f t="shared" ca="1" si="12"/>
        <v>1</v>
      </c>
      <c r="X60" s="9" t="s">
        <v>80</v>
      </c>
      <c r="Y60" s="9">
        <v>1981</v>
      </c>
      <c r="Z60" s="9"/>
      <c r="AA60" s="9"/>
      <c r="AB60" s="9"/>
      <c r="AC60" s="9"/>
      <c r="AD60" s="9"/>
      <c r="AE60" s="9"/>
      <c r="AF60" s="9">
        <v>1</v>
      </c>
      <c r="AG60" s="9"/>
      <c r="AH60" s="9"/>
      <c r="AI60" s="9"/>
      <c r="AJ60" s="9"/>
      <c r="AK60" s="9"/>
      <c r="AL60" s="9"/>
      <c r="AM60" s="151"/>
      <c r="AN60" s="9"/>
      <c r="AO60" s="9"/>
      <c r="AP60" s="9"/>
      <c r="AQ60" s="9"/>
      <c r="AR60" s="9"/>
      <c r="AS60" s="9"/>
      <c r="AT60" s="151">
        <v>2020</v>
      </c>
      <c r="AU60" s="9"/>
      <c r="AV60" s="9"/>
      <c r="AW60" s="9"/>
      <c r="AX60" s="9"/>
      <c r="AY60" s="9"/>
      <c r="AZ60" s="9"/>
      <c r="BA60" s="151">
        <v>6</v>
      </c>
      <c r="BB60" s="9"/>
      <c r="BC60" s="9"/>
      <c r="BD60" s="9"/>
      <c r="BE60" s="9"/>
      <c r="BF60" s="9"/>
      <c r="BG60" s="9"/>
      <c r="BH60" s="150">
        <v>1.2267192541321688</v>
      </c>
      <c r="BI60" s="150">
        <v>2.2612105538192599</v>
      </c>
      <c r="BJ60" s="150">
        <v>2.1252009430760062</v>
      </c>
      <c r="BK60" s="150">
        <v>1.2944496352201866</v>
      </c>
      <c r="BL60" s="150">
        <v>0.32314284341629806</v>
      </c>
      <c r="BM60" s="150">
        <v>0.14000000000000001</v>
      </c>
      <c r="BN60" s="150">
        <v>1.4542000570988298</v>
      </c>
      <c r="BO60" s="150">
        <v>11.984388276878477</v>
      </c>
      <c r="BP60" s="150">
        <v>-1.7475682675103321</v>
      </c>
      <c r="BQ60" s="150">
        <v>-1.7169645793441486</v>
      </c>
      <c r="BR60" s="150">
        <v>-1.4425350046709582</v>
      </c>
      <c r="BS60" s="150">
        <v>0.61768216477991222</v>
      </c>
      <c r="BT60" s="150">
        <v>0.15</v>
      </c>
      <c r="BU60" s="150">
        <v>-0.4950056673809119</v>
      </c>
      <c r="BV60" s="149">
        <v>0.15</v>
      </c>
      <c r="BW60" s="149">
        <v>0.2</v>
      </c>
      <c r="BX60" s="149">
        <v>0.12</v>
      </c>
      <c r="BY60" s="149">
        <v>0.08</v>
      </c>
      <c r="BZ60" s="149">
        <v>0.18</v>
      </c>
      <c r="CA60" s="149">
        <v>0.16</v>
      </c>
      <c r="CB60" s="149">
        <v>0.05</v>
      </c>
      <c r="CC60" s="149">
        <v>0.35</v>
      </c>
      <c r="CD60" s="149">
        <v>0.3</v>
      </c>
      <c r="CE60" s="149">
        <v>0.38</v>
      </c>
      <c r="CF60" s="149">
        <v>0.42</v>
      </c>
      <c r="CG60" s="149">
        <v>0.32</v>
      </c>
      <c r="CH60" s="149">
        <v>0.34</v>
      </c>
      <c r="CI60" s="149">
        <v>0.45</v>
      </c>
      <c r="CJ60" s="149">
        <v>0.15</v>
      </c>
      <c r="CK60" s="149">
        <v>0.2</v>
      </c>
      <c r="CL60" s="149">
        <v>0.12</v>
      </c>
      <c r="CM60" s="149">
        <v>0.08</v>
      </c>
      <c r="CN60" s="149">
        <v>0.18</v>
      </c>
      <c r="CO60" s="149">
        <v>0.16</v>
      </c>
      <c r="CP60" s="149">
        <v>0.05</v>
      </c>
      <c r="CQ60" s="149">
        <v>0.35</v>
      </c>
      <c r="CR60" s="149">
        <v>0.3</v>
      </c>
      <c r="CS60" s="149">
        <v>0.38</v>
      </c>
      <c r="CT60" s="149">
        <v>0.42</v>
      </c>
      <c r="CU60" s="149">
        <v>0.32</v>
      </c>
      <c r="CV60" s="149">
        <v>0.34</v>
      </c>
      <c r="CW60" s="149">
        <v>0.45</v>
      </c>
    </row>
    <row r="61" spans="1:101" x14ac:dyDescent="0.25">
      <c r="A61" s="148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</row>
  </sheetData>
  <mergeCells count="13">
    <mergeCell ref="D2:M2"/>
    <mergeCell ref="Y1:AE1"/>
    <mergeCell ref="AF1:AL1"/>
    <mergeCell ref="AT1:AZ1"/>
    <mergeCell ref="BA1:BG1"/>
    <mergeCell ref="AM1:AS1"/>
    <mergeCell ref="N2:W2"/>
    <mergeCell ref="BH1:BN1"/>
    <mergeCell ref="BV1:CB1"/>
    <mergeCell ref="CC1:CI1"/>
    <mergeCell ref="CJ1:CP1"/>
    <mergeCell ref="CQ1:CW1"/>
    <mergeCell ref="BO1:BU1"/>
  </mergeCells>
  <dataValidations count="1">
    <dataValidation type="list" allowBlank="1" showInputMessage="1" showErrorMessage="1" sqref="D2:N2" xr:uid="{00000000-0002-0000-0200-000000000000}">
      <formula1>$D$3:$M$3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AE40D-CC68-44C7-B6AD-BB54EEF2F84C}">
  <dimension ref="D2:AG39"/>
  <sheetViews>
    <sheetView topLeftCell="A4" workbookViewId="0">
      <selection activeCell="J37" sqref="J37"/>
    </sheetView>
  </sheetViews>
  <sheetFormatPr defaultRowHeight="15" x14ac:dyDescent="0.25"/>
  <cols>
    <col min="4" max="4" width="20.140625" bestFit="1" customWidth="1"/>
    <col min="6" max="6" width="9.28515625" customWidth="1"/>
    <col min="8" max="8" width="8.42578125" customWidth="1"/>
    <col min="10" max="10" width="13.85546875" bestFit="1" customWidth="1"/>
    <col min="11" max="14" width="12.85546875" bestFit="1" customWidth="1"/>
    <col min="15" max="17" width="11.28515625" bestFit="1" customWidth="1"/>
    <col min="18" max="20" width="10.28515625" bestFit="1" customWidth="1"/>
    <col min="21" max="24" width="9.28515625" bestFit="1" customWidth="1"/>
    <col min="25" max="33" width="9" bestFit="1" customWidth="1"/>
  </cols>
  <sheetData>
    <row r="2" spans="4:33" x14ac:dyDescent="0.25">
      <c r="D2" s="151" t="s">
        <v>274</v>
      </c>
      <c r="E2" s="151" t="s">
        <v>304</v>
      </c>
      <c r="G2" s="151" t="s">
        <v>303</v>
      </c>
      <c r="J2">
        <v>24</v>
      </c>
      <c r="K2">
        <f>J2-1</f>
        <v>23</v>
      </c>
      <c r="L2">
        <f t="shared" ref="L2:AG2" si="0">K2-1</f>
        <v>22</v>
      </c>
      <c r="M2">
        <f t="shared" si="0"/>
        <v>21</v>
      </c>
      <c r="N2">
        <f t="shared" si="0"/>
        <v>20</v>
      </c>
      <c r="O2">
        <f t="shared" si="0"/>
        <v>19</v>
      </c>
      <c r="P2">
        <f t="shared" si="0"/>
        <v>18</v>
      </c>
      <c r="Q2">
        <f t="shared" si="0"/>
        <v>17</v>
      </c>
      <c r="R2">
        <f t="shared" si="0"/>
        <v>16</v>
      </c>
      <c r="S2">
        <f t="shared" si="0"/>
        <v>15</v>
      </c>
      <c r="T2">
        <f t="shared" si="0"/>
        <v>14</v>
      </c>
      <c r="U2">
        <f t="shared" si="0"/>
        <v>13</v>
      </c>
      <c r="V2">
        <f t="shared" si="0"/>
        <v>12</v>
      </c>
      <c r="W2">
        <f t="shared" si="0"/>
        <v>11</v>
      </c>
      <c r="X2">
        <f t="shared" si="0"/>
        <v>10</v>
      </c>
      <c r="Y2">
        <f t="shared" si="0"/>
        <v>9</v>
      </c>
      <c r="Z2">
        <f t="shared" si="0"/>
        <v>8</v>
      </c>
      <c r="AA2">
        <f t="shared" si="0"/>
        <v>7</v>
      </c>
      <c r="AB2">
        <f t="shared" si="0"/>
        <v>6</v>
      </c>
      <c r="AC2">
        <f t="shared" si="0"/>
        <v>5</v>
      </c>
      <c r="AD2">
        <f t="shared" si="0"/>
        <v>4</v>
      </c>
      <c r="AE2">
        <f t="shared" si="0"/>
        <v>3</v>
      </c>
      <c r="AF2">
        <f t="shared" si="0"/>
        <v>2</v>
      </c>
      <c r="AG2">
        <f t="shared" si="0"/>
        <v>1</v>
      </c>
    </row>
    <row r="3" spans="4:33" x14ac:dyDescent="0.25">
      <c r="D3" s="9" t="s">
        <v>83</v>
      </c>
      <c r="E3" s="17">
        <v>0.58500000000000008</v>
      </c>
      <c r="G3" s="9">
        <v>2021</v>
      </c>
      <c r="I3">
        <v>1</v>
      </c>
      <c r="J3">
        <f>IFERROR(COMBIN( J$2,$I3),0)</f>
        <v>24</v>
      </c>
      <c r="K3">
        <f t="shared" ref="K3:AG14" si="1">IFERROR(COMBIN( K$2,$I3),0)</f>
        <v>23</v>
      </c>
      <c r="L3">
        <f t="shared" si="1"/>
        <v>22</v>
      </c>
      <c r="M3">
        <f t="shared" si="1"/>
        <v>21</v>
      </c>
      <c r="N3">
        <f t="shared" si="1"/>
        <v>20</v>
      </c>
      <c r="O3">
        <f t="shared" si="1"/>
        <v>19</v>
      </c>
      <c r="P3">
        <f t="shared" si="1"/>
        <v>18</v>
      </c>
      <c r="Q3">
        <f t="shared" si="1"/>
        <v>17</v>
      </c>
      <c r="R3">
        <f t="shared" si="1"/>
        <v>16</v>
      </c>
      <c r="S3">
        <f t="shared" si="1"/>
        <v>15</v>
      </c>
      <c r="T3">
        <f t="shared" si="1"/>
        <v>14</v>
      </c>
      <c r="U3">
        <f t="shared" si="1"/>
        <v>13</v>
      </c>
      <c r="V3">
        <f t="shared" si="1"/>
        <v>12</v>
      </c>
      <c r="W3">
        <f t="shared" si="1"/>
        <v>11</v>
      </c>
      <c r="X3">
        <f t="shared" si="1"/>
        <v>10</v>
      </c>
      <c r="Y3">
        <f t="shared" si="1"/>
        <v>9</v>
      </c>
      <c r="Z3">
        <f t="shared" si="1"/>
        <v>8</v>
      </c>
      <c r="AA3">
        <f t="shared" si="1"/>
        <v>7</v>
      </c>
      <c r="AB3">
        <f t="shared" si="1"/>
        <v>6</v>
      </c>
      <c r="AC3">
        <f t="shared" si="1"/>
        <v>5</v>
      </c>
      <c r="AD3">
        <f t="shared" si="1"/>
        <v>4</v>
      </c>
      <c r="AE3">
        <f t="shared" si="1"/>
        <v>3</v>
      </c>
      <c r="AF3">
        <f t="shared" si="1"/>
        <v>2</v>
      </c>
      <c r="AG3">
        <f t="shared" si="1"/>
        <v>1</v>
      </c>
    </row>
    <row r="4" spans="4:33" x14ac:dyDescent="0.25">
      <c r="D4" s="9" t="s">
        <v>45</v>
      </c>
      <c r="E4" s="17">
        <v>0.59</v>
      </c>
      <c r="G4" s="9">
        <v>2021</v>
      </c>
      <c r="I4">
        <f t="shared" ref="I4:I26" si="2">I3+1</f>
        <v>2</v>
      </c>
      <c r="J4">
        <f t="shared" ref="J4:Y26" si="3">IFERROR(COMBIN( J$2,$I4),0)</f>
        <v>276</v>
      </c>
      <c r="K4">
        <f t="shared" si="3"/>
        <v>253</v>
      </c>
      <c r="L4">
        <f t="shared" si="3"/>
        <v>231</v>
      </c>
      <c r="M4">
        <f t="shared" si="3"/>
        <v>210</v>
      </c>
      <c r="N4">
        <f t="shared" si="3"/>
        <v>190</v>
      </c>
      <c r="O4">
        <f t="shared" si="3"/>
        <v>171</v>
      </c>
      <c r="P4">
        <f t="shared" si="3"/>
        <v>153</v>
      </c>
      <c r="Q4">
        <f t="shared" si="3"/>
        <v>136</v>
      </c>
      <c r="R4">
        <f t="shared" si="3"/>
        <v>120</v>
      </c>
      <c r="S4">
        <f t="shared" si="3"/>
        <v>105</v>
      </c>
      <c r="T4">
        <f t="shared" si="3"/>
        <v>91</v>
      </c>
      <c r="U4">
        <f t="shared" si="3"/>
        <v>78</v>
      </c>
      <c r="V4">
        <f t="shared" si="3"/>
        <v>66</v>
      </c>
      <c r="W4">
        <f t="shared" si="3"/>
        <v>55</v>
      </c>
      <c r="X4">
        <f t="shared" si="3"/>
        <v>45</v>
      </c>
      <c r="Y4">
        <f t="shared" si="3"/>
        <v>36</v>
      </c>
      <c r="Z4">
        <f t="shared" si="1"/>
        <v>28</v>
      </c>
      <c r="AA4">
        <f t="shared" si="1"/>
        <v>21</v>
      </c>
      <c r="AB4">
        <f t="shared" si="1"/>
        <v>15</v>
      </c>
      <c r="AC4">
        <f t="shared" si="1"/>
        <v>10</v>
      </c>
      <c r="AD4">
        <f t="shared" si="1"/>
        <v>6</v>
      </c>
      <c r="AE4">
        <f t="shared" si="1"/>
        <v>3</v>
      </c>
      <c r="AF4">
        <f t="shared" si="1"/>
        <v>1</v>
      </c>
      <c r="AG4">
        <f t="shared" si="1"/>
        <v>0</v>
      </c>
    </row>
    <row r="5" spans="4:33" x14ac:dyDescent="0.25">
      <c r="D5" s="9" t="s">
        <v>86</v>
      </c>
      <c r="E5" s="17">
        <v>0.2</v>
      </c>
      <c r="G5" s="9">
        <v>2022</v>
      </c>
      <c r="I5">
        <f t="shared" si="2"/>
        <v>3</v>
      </c>
      <c r="J5">
        <f t="shared" si="3"/>
        <v>2024.0000000000002</v>
      </c>
      <c r="K5">
        <f t="shared" si="1"/>
        <v>1771</v>
      </c>
      <c r="L5">
        <f t="shared" si="1"/>
        <v>1540</v>
      </c>
      <c r="M5">
        <f t="shared" si="1"/>
        <v>1330</v>
      </c>
      <c r="N5">
        <f t="shared" si="1"/>
        <v>1140</v>
      </c>
      <c r="O5">
        <f t="shared" si="1"/>
        <v>969</v>
      </c>
      <c r="P5">
        <f t="shared" si="1"/>
        <v>816</v>
      </c>
      <c r="Q5">
        <f t="shared" si="1"/>
        <v>680</v>
      </c>
      <c r="R5">
        <f t="shared" si="1"/>
        <v>560</v>
      </c>
      <c r="S5">
        <f t="shared" si="1"/>
        <v>455.00000000000006</v>
      </c>
      <c r="T5">
        <f t="shared" si="1"/>
        <v>364</v>
      </c>
      <c r="U5">
        <f t="shared" si="1"/>
        <v>286</v>
      </c>
      <c r="V5">
        <f t="shared" si="1"/>
        <v>220</v>
      </c>
      <c r="W5">
        <f t="shared" si="1"/>
        <v>165</v>
      </c>
      <c r="X5">
        <f t="shared" si="1"/>
        <v>120</v>
      </c>
      <c r="Y5">
        <f t="shared" si="1"/>
        <v>83.999999999999986</v>
      </c>
      <c r="Z5">
        <f t="shared" si="1"/>
        <v>56</v>
      </c>
      <c r="AA5">
        <f t="shared" si="1"/>
        <v>35</v>
      </c>
      <c r="AB5">
        <f t="shared" si="1"/>
        <v>20</v>
      </c>
      <c r="AC5">
        <f t="shared" si="1"/>
        <v>10</v>
      </c>
      <c r="AD5">
        <f t="shared" si="1"/>
        <v>4</v>
      </c>
      <c r="AE5">
        <f t="shared" si="1"/>
        <v>1</v>
      </c>
      <c r="AF5">
        <f t="shared" si="1"/>
        <v>0</v>
      </c>
      <c r="AG5">
        <f t="shared" si="1"/>
        <v>0</v>
      </c>
    </row>
    <row r="6" spans="4:33" x14ac:dyDescent="0.25">
      <c r="D6" s="9" t="s">
        <v>82</v>
      </c>
      <c r="E6" s="17">
        <v>0.58500000000000008</v>
      </c>
      <c r="G6" s="9">
        <v>2022</v>
      </c>
      <c r="I6">
        <f t="shared" si="2"/>
        <v>4</v>
      </c>
      <c r="J6">
        <f t="shared" si="3"/>
        <v>10626</v>
      </c>
      <c r="K6">
        <f t="shared" si="1"/>
        <v>8855</v>
      </c>
      <c r="L6">
        <f t="shared" si="1"/>
        <v>7315</v>
      </c>
      <c r="M6">
        <f t="shared" si="1"/>
        <v>5985</v>
      </c>
      <c r="N6">
        <f t="shared" si="1"/>
        <v>4845</v>
      </c>
      <c r="O6">
        <f t="shared" si="1"/>
        <v>3876</v>
      </c>
      <c r="P6">
        <f t="shared" si="1"/>
        <v>3060</v>
      </c>
      <c r="Q6">
        <f t="shared" si="1"/>
        <v>2380</v>
      </c>
      <c r="R6">
        <f t="shared" si="1"/>
        <v>1820.0000000000002</v>
      </c>
      <c r="S6">
        <f t="shared" si="1"/>
        <v>1365</v>
      </c>
      <c r="T6">
        <f t="shared" si="1"/>
        <v>1001</v>
      </c>
      <c r="U6">
        <f t="shared" si="1"/>
        <v>715</v>
      </c>
      <c r="V6">
        <f t="shared" si="1"/>
        <v>495</v>
      </c>
      <c r="W6">
        <f t="shared" si="1"/>
        <v>330</v>
      </c>
      <c r="X6">
        <f t="shared" si="1"/>
        <v>209.99999999999997</v>
      </c>
      <c r="Y6">
        <f t="shared" si="1"/>
        <v>126</v>
      </c>
      <c r="Z6">
        <f t="shared" si="1"/>
        <v>70</v>
      </c>
      <c r="AA6">
        <f t="shared" si="1"/>
        <v>35</v>
      </c>
      <c r="AB6">
        <f t="shared" si="1"/>
        <v>15</v>
      </c>
      <c r="AC6">
        <f t="shared" si="1"/>
        <v>5</v>
      </c>
      <c r="AD6">
        <f t="shared" si="1"/>
        <v>1</v>
      </c>
      <c r="AE6">
        <f t="shared" si="1"/>
        <v>0</v>
      </c>
      <c r="AF6">
        <f t="shared" si="1"/>
        <v>0</v>
      </c>
      <c r="AG6">
        <f t="shared" si="1"/>
        <v>0</v>
      </c>
    </row>
    <row r="7" spans="4:33" x14ac:dyDescent="0.25">
      <c r="D7" s="9" t="s">
        <v>79</v>
      </c>
      <c r="E7" s="17">
        <v>0.40949999999999998</v>
      </c>
      <c r="G7" s="9">
        <v>2023</v>
      </c>
      <c r="I7">
        <f t="shared" si="2"/>
        <v>5</v>
      </c>
      <c r="J7">
        <f t="shared" si="3"/>
        <v>42503.999999999993</v>
      </c>
      <c r="K7">
        <f t="shared" si="1"/>
        <v>33649.000000000007</v>
      </c>
      <c r="L7">
        <f t="shared" si="1"/>
        <v>26334</v>
      </c>
      <c r="M7">
        <f t="shared" si="1"/>
        <v>20349</v>
      </c>
      <c r="N7">
        <f t="shared" si="1"/>
        <v>15503.999999999998</v>
      </c>
      <c r="O7">
        <f t="shared" si="1"/>
        <v>11628</v>
      </c>
      <c r="P7">
        <f t="shared" si="1"/>
        <v>8568</v>
      </c>
      <c r="Q7">
        <f t="shared" si="1"/>
        <v>6188.0000000000009</v>
      </c>
      <c r="R7">
        <f t="shared" si="1"/>
        <v>4368</v>
      </c>
      <c r="S7">
        <f t="shared" si="1"/>
        <v>3003</v>
      </c>
      <c r="T7">
        <f t="shared" si="1"/>
        <v>2002</v>
      </c>
      <c r="U7">
        <f t="shared" si="1"/>
        <v>1287</v>
      </c>
      <c r="V7">
        <f t="shared" si="1"/>
        <v>792</v>
      </c>
      <c r="W7">
        <f t="shared" si="1"/>
        <v>461.99999999999994</v>
      </c>
      <c r="X7">
        <f t="shared" si="1"/>
        <v>252</v>
      </c>
      <c r="Y7">
        <f t="shared" si="1"/>
        <v>126</v>
      </c>
      <c r="Z7">
        <f t="shared" si="1"/>
        <v>56</v>
      </c>
      <c r="AA7">
        <f t="shared" si="1"/>
        <v>21</v>
      </c>
      <c r="AB7">
        <f t="shared" si="1"/>
        <v>6</v>
      </c>
      <c r="AC7">
        <f t="shared" si="1"/>
        <v>1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</row>
    <row r="8" spans="4:33" x14ac:dyDescent="0.25">
      <c r="D8" s="9" t="s">
        <v>77</v>
      </c>
      <c r="E8" s="17">
        <v>0.1638</v>
      </c>
      <c r="G8" s="9">
        <v>2023</v>
      </c>
      <c r="I8">
        <f t="shared" si="2"/>
        <v>6</v>
      </c>
      <c r="J8">
        <f t="shared" si="3"/>
        <v>134596.00000000003</v>
      </c>
      <c r="K8">
        <f t="shared" si="1"/>
        <v>100947</v>
      </c>
      <c r="L8">
        <f t="shared" si="1"/>
        <v>74613</v>
      </c>
      <c r="M8">
        <f t="shared" si="1"/>
        <v>54264</v>
      </c>
      <c r="N8">
        <f t="shared" si="1"/>
        <v>38760</v>
      </c>
      <c r="O8">
        <f t="shared" si="1"/>
        <v>27132</v>
      </c>
      <c r="P8">
        <f t="shared" si="1"/>
        <v>18564.000000000004</v>
      </c>
      <c r="Q8">
        <f t="shared" si="1"/>
        <v>12376</v>
      </c>
      <c r="R8">
        <f t="shared" si="1"/>
        <v>8008</v>
      </c>
      <c r="S8">
        <f t="shared" si="1"/>
        <v>5005</v>
      </c>
      <c r="T8">
        <f t="shared" si="1"/>
        <v>3002.9999999999995</v>
      </c>
      <c r="U8">
        <f t="shared" si="1"/>
        <v>1716</v>
      </c>
      <c r="V8">
        <f t="shared" si="1"/>
        <v>923.99999999999977</v>
      </c>
      <c r="W8">
        <f t="shared" si="1"/>
        <v>461.99999999999994</v>
      </c>
      <c r="X8">
        <f t="shared" si="1"/>
        <v>209.99999999999997</v>
      </c>
      <c r="Y8">
        <f t="shared" si="1"/>
        <v>83.999999999999986</v>
      </c>
      <c r="Z8">
        <f t="shared" si="1"/>
        <v>28</v>
      </c>
      <c r="AA8">
        <f t="shared" si="1"/>
        <v>7</v>
      </c>
      <c r="AB8">
        <f t="shared" si="1"/>
        <v>1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</row>
    <row r="9" spans="4:33" x14ac:dyDescent="0.25">
      <c r="D9" s="9" t="s">
        <v>39</v>
      </c>
      <c r="E9" s="17">
        <v>0.4</v>
      </c>
      <c r="G9" s="9">
        <v>2023</v>
      </c>
      <c r="I9">
        <f t="shared" si="2"/>
        <v>7</v>
      </c>
      <c r="J9">
        <f t="shared" si="3"/>
        <v>346104</v>
      </c>
      <c r="K9">
        <f t="shared" si="1"/>
        <v>245157</v>
      </c>
      <c r="L9">
        <f t="shared" si="1"/>
        <v>170544</v>
      </c>
      <c r="M9">
        <f t="shared" si="1"/>
        <v>116280</v>
      </c>
      <c r="N9">
        <f t="shared" si="1"/>
        <v>77520</v>
      </c>
      <c r="O9">
        <f t="shared" si="1"/>
        <v>50388.000000000007</v>
      </c>
      <c r="P9">
        <f t="shared" si="1"/>
        <v>31823.999999999996</v>
      </c>
      <c r="Q9">
        <f t="shared" si="1"/>
        <v>19448</v>
      </c>
      <c r="R9">
        <f t="shared" si="1"/>
        <v>11440</v>
      </c>
      <c r="S9">
        <f t="shared" si="1"/>
        <v>6434.9999999999991</v>
      </c>
      <c r="T9">
        <f t="shared" si="1"/>
        <v>3432</v>
      </c>
      <c r="U9">
        <f t="shared" si="1"/>
        <v>1716</v>
      </c>
      <c r="V9">
        <f t="shared" si="1"/>
        <v>792</v>
      </c>
      <c r="W9">
        <f t="shared" si="1"/>
        <v>330</v>
      </c>
      <c r="X9">
        <f t="shared" si="1"/>
        <v>120</v>
      </c>
      <c r="Y9">
        <f t="shared" si="1"/>
        <v>36</v>
      </c>
      <c r="Z9">
        <f t="shared" si="1"/>
        <v>8</v>
      </c>
      <c r="AA9">
        <f t="shared" si="1"/>
        <v>1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</row>
    <row r="10" spans="4:33" x14ac:dyDescent="0.25">
      <c r="D10" s="9" t="s">
        <v>75</v>
      </c>
      <c r="E10" s="17">
        <v>0.1638</v>
      </c>
      <c r="G10" s="9">
        <v>2023</v>
      </c>
      <c r="I10">
        <f t="shared" si="2"/>
        <v>8</v>
      </c>
      <c r="J10">
        <f t="shared" si="3"/>
        <v>735471</v>
      </c>
      <c r="K10">
        <f t="shared" si="1"/>
        <v>490314</v>
      </c>
      <c r="L10">
        <f t="shared" si="1"/>
        <v>319770</v>
      </c>
      <c r="M10">
        <f t="shared" si="1"/>
        <v>203490</v>
      </c>
      <c r="N10">
        <f t="shared" si="1"/>
        <v>125970.00000000001</v>
      </c>
      <c r="O10">
        <f t="shared" si="1"/>
        <v>75581.999999999985</v>
      </c>
      <c r="P10">
        <f t="shared" si="1"/>
        <v>43758</v>
      </c>
      <c r="Q10">
        <f t="shared" si="1"/>
        <v>24310</v>
      </c>
      <c r="R10">
        <f t="shared" si="1"/>
        <v>12869.999999999998</v>
      </c>
      <c r="S10">
        <f t="shared" si="1"/>
        <v>6434.9999999999991</v>
      </c>
      <c r="T10">
        <f t="shared" si="1"/>
        <v>3002.9999999999995</v>
      </c>
      <c r="U10">
        <f t="shared" si="1"/>
        <v>1287</v>
      </c>
      <c r="V10">
        <f t="shared" si="1"/>
        <v>495</v>
      </c>
      <c r="W10">
        <f t="shared" si="1"/>
        <v>165</v>
      </c>
      <c r="X10">
        <f t="shared" si="1"/>
        <v>45</v>
      </c>
      <c r="Y10">
        <f t="shared" si="1"/>
        <v>9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</row>
    <row r="11" spans="4:33" x14ac:dyDescent="0.25">
      <c r="D11" s="9" t="s">
        <v>69</v>
      </c>
      <c r="E11" s="17">
        <v>0.13923000000000002</v>
      </c>
      <c r="G11" s="9">
        <v>2023</v>
      </c>
      <c r="I11">
        <f t="shared" si="2"/>
        <v>9</v>
      </c>
      <c r="J11">
        <f t="shared" si="3"/>
        <v>1307504</v>
      </c>
      <c r="K11">
        <f t="shared" si="1"/>
        <v>817190</v>
      </c>
      <c r="L11">
        <f t="shared" si="1"/>
        <v>497420</v>
      </c>
      <c r="M11">
        <f t="shared" si="1"/>
        <v>293930.00000000006</v>
      </c>
      <c r="N11">
        <f t="shared" si="1"/>
        <v>167960</v>
      </c>
      <c r="O11">
        <f t="shared" si="1"/>
        <v>92378</v>
      </c>
      <c r="P11">
        <f t="shared" si="1"/>
        <v>48619.999999999993</v>
      </c>
      <c r="Q11">
        <f t="shared" si="1"/>
        <v>24310</v>
      </c>
      <c r="R11">
        <f t="shared" si="1"/>
        <v>11440</v>
      </c>
      <c r="S11">
        <f t="shared" si="1"/>
        <v>5005</v>
      </c>
      <c r="T11">
        <f t="shared" si="1"/>
        <v>2002</v>
      </c>
      <c r="U11">
        <f t="shared" si="1"/>
        <v>715</v>
      </c>
      <c r="V11">
        <f t="shared" si="1"/>
        <v>220</v>
      </c>
      <c r="W11">
        <f t="shared" si="1"/>
        <v>55</v>
      </c>
      <c r="X11">
        <f t="shared" si="1"/>
        <v>10</v>
      </c>
      <c r="Y11">
        <f t="shared" si="1"/>
        <v>1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</row>
    <row r="12" spans="4:33" x14ac:dyDescent="0.25">
      <c r="D12" s="9" t="s">
        <v>53</v>
      </c>
      <c r="E12" s="17">
        <v>0.1638</v>
      </c>
      <c r="G12" s="9">
        <v>2023</v>
      </c>
      <c r="I12">
        <f t="shared" si="2"/>
        <v>10</v>
      </c>
      <c r="J12">
        <f t="shared" si="3"/>
        <v>1961256</v>
      </c>
      <c r="K12">
        <f t="shared" si="1"/>
        <v>1144066.0000000002</v>
      </c>
      <c r="L12">
        <f t="shared" si="1"/>
        <v>646646.00000000012</v>
      </c>
      <c r="M12">
        <f t="shared" si="1"/>
        <v>352716</v>
      </c>
      <c r="N12">
        <f t="shared" si="1"/>
        <v>184756</v>
      </c>
      <c r="O12">
        <f t="shared" si="1"/>
        <v>92378</v>
      </c>
      <c r="P12">
        <f t="shared" si="1"/>
        <v>43758</v>
      </c>
      <c r="Q12">
        <f t="shared" si="1"/>
        <v>19448</v>
      </c>
      <c r="R12">
        <f t="shared" si="1"/>
        <v>8008</v>
      </c>
      <c r="S12">
        <f t="shared" si="1"/>
        <v>3003</v>
      </c>
      <c r="T12">
        <f t="shared" si="1"/>
        <v>1001</v>
      </c>
      <c r="U12">
        <f t="shared" si="1"/>
        <v>286</v>
      </c>
      <c r="V12">
        <f t="shared" si="1"/>
        <v>66</v>
      </c>
      <c r="W12">
        <f t="shared" si="1"/>
        <v>11</v>
      </c>
      <c r="X12">
        <f t="shared" si="1"/>
        <v>1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</row>
    <row r="13" spans="4:33" x14ac:dyDescent="0.25">
      <c r="D13" s="9" t="s">
        <v>295</v>
      </c>
      <c r="E13" s="17">
        <v>0.16400000000000001</v>
      </c>
      <c r="G13" s="9">
        <v>2025</v>
      </c>
      <c r="I13">
        <f t="shared" si="2"/>
        <v>11</v>
      </c>
      <c r="J13">
        <f t="shared" si="3"/>
        <v>2496144.0000000005</v>
      </c>
      <c r="K13">
        <f t="shared" si="1"/>
        <v>1352078.0000000002</v>
      </c>
      <c r="L13">
        <f t="shared" si="1"/>
        <v>705432</v>
      </c>
      <c r="M13">
        <f t="shared" si="1"/>
        <v>352716</v>
      </c>
      <c r="N13">
        <f t="shared" si="1"/>
        <v>167960</v>
      </c>
      <c r="O13">
        <f t="shared" si="1"/>
        <v>75581.999999999985</v>
      </c>
      <c r="P13">
        <f t="shared" si="1"/>
        <v>31823.999999999996</v>
      </c>
      <c r="Q13">
        <f t="shared" si="1"/>
        <v>12376</v>
      </c>
      <c r="R13">
        <f t="shared" si="1"/>
        <v>4368</v>
      </c>
      <c r="S13">
        <f t="shared" si="1"/>
        <v>1365</v>
      </c>
      <c r="T13">
        <f t="shared" si="1"/>
        <v>364</v>
      </c>
      <c r="U13">
        <f t="shared" si="1"/>
        <v>78</v>
      </c>
      <c r="V13">
        <f t="shared" si="1"/>
        <v>12</v>
      </c>
      <c r="W13">
        <f t="shared" si="1"/>
        <v>1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</row>
    <row r="14" spans="4:33" x14ac:dyDescent="0.25">
      <c r="D14" s="9" t="s">
        <v>17</v>
      </c>
      <c r="E14" s="17">
        <v>0.25</v>
      </c>
      <c r="G14" s="9">
        <v>2026</v>
      </c>
      <c r="I14">
        <f t="shared" si="2"/>
        <v>12</v>
      </c>
      <c r="J14">
        <f t="shared" si="3"/>
        <v>2704156.0000000009</v>
      </c>
      <c r="K14">
        <f t="shared" si="1"/>
        <v>1352078.0000000002</v>
      </c>
      <c r="L14">
        <f t="shared" si="1"/>
        <v>646646.00000000012</v>
      </c>
      <c r="M14">
        <f t="shared" si="1"/>
        <v>293930.00000000006</v>
      </c>
      <c r="N14">
        <f t="shared" si="1"/>
        <v>125970.00000000001</v>
      </c>
      <c r="O14">
        <f t="shared" si="1"/>
        <v>50388.000000000007</v>
      </c>
      <c r="P14">
        <f t="shared" si="1"/>
        <v>18564.000000000004</v>
      </c>
      <c r="Q14">
        <f t="shared" si="1"/>
        <v>6188.0000000000009</v>
      </c>
      <c r="R14">
        <f t="shared" si="1"/>
        <v>1820.0000000000002</v>
      </c>
      <c r="S14">
        <f t="shared" si="1"/>
        <v>455.00000000000006</v>
      </c>
      <c r="T14">
        <f t="shared" si="1"/>
        <v>91</v>
      </c>
      <c r="U14">
        <f t="shared" si="1"/>
        <v>13</v>
      </c>
      <c r="V14">
        <f t="shared" si="1"/>
        <v>1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ref="K14:AG25" si="4">IFERROR(COMBIN( AB$2,$I14),0)</f>
        <v>0</v>
      </c>
      <c r="AC14">
        <f t="shared" si="4"/>
        <v>0</v>
      </c>
      <c r="AD14">
        <f t="shared" si="4"/>
        <v>0</v>
      </c>
      <c r="AE14">
        <f t="shared" si="4"/>
        <v>0</v>
      </c>
      <c r="AF14">
        <f t="shared" si="4"/>
        <v>0</v>
      </c>
      <c r="AG14">
        <f t="shared" si="4"/>
        <v>0</v>
      </c>
    </row>
    <row r="15" spans="4:33" x14ac:dyDescent="0.25">
      <c r="D15" s="9" t="s">
        <v>21</v>
      </c>
      <c r="E15" s="17">
        <v>0.16400000000000001</v>
      </c>
      <c r="G15" s="9">
        <v>2026</v>
      </c>
      <c r="I15">
        <f t="shared" si="2"/>
        <v>13</v>
      </c>
      <c r="J15">
        <f t="shared" si="3"/>
        <v>2496144.0000000005</v>
      </c>
      <c r="K15">
        <f t="shared" si="4"/>
        <v>1144066.0000000002</v>
      </c>
      <c r="L15">
        <f t="shared" si="4"/>
        <v>497420</v>
      </c>
      <c r="M15">
        <f t="shared" si="4"/>
        <v>203490</v>
      </c>
      <c r="N15">
        <f t="shared" si="4"/>
        <v>77520</v>
      </c>
      <c r="O15">
        <f t="shared" si="4"/>
        <v>27132</v>
      </c>
      <c r="P15">
        <f t="shared" si="4"/>
        <v>8568</v>
      </c>
      <c r="Q15">
        <f t="shared" si="4"/>
        <v>2380</v>
      </c>
      <c r="R15">
        <f t="shared" si="4"/>
        <v>560</v>
      </c>
      <c r="S15">
        <f t="shared" si="4"/>
        <v>105</v>
      </c>
      <c r="T15">
        <f t="shared" si="4"/>
        <v>14</v>
      </c>
      <c r="U15">
        <f t="shared" si="4"/>
        <v>1</v>
      </c>
      <c r="V15">
        <f t="shared" si="4"/>
        <v>0</v>
      </c>
      <c r="W15">
        <f t="shared" si="4"/>
        <v>0</v>
      </c>
      <c r="X15">
        <f t="shared" si="4"/>
        <v>0</v>
      </c>
      <c r="Y15">
        <f t="shared" si="4"/>
        <v>0</v>
      </c>
      <c r="Z15">
        <f t="shared" si="4"/>
        <v>0</v>
      </c>
      <c r="AA15">
        <f t="shared" si="4"/>
        <v>0</v>
      </c>
      <c r="AB15">
        <f t="shared" si="4"/>
        <v>0</v>
      </c>
      <c r="AC15">
        <f t="shared" si="4"/>
        <v>0</v>
      </c>
      <c r="AD15">
        <f t="shared" si="4"/>
        <v>0</v>
      </c>
      <c r="AE15">
        <f t="shared" si="4"/>
        <v>0</v>
      </c>
      <c r="AF15">
        <f t="shared" si="4"/>
        <v>0</v>
      </c>
      <c r="AG15">
        <f t="shared" si="4"/>
        <v>0</v>
      </c>
    </row>
    <row r="16" spans="4:33" x14ac:dyDescent="0.25">
      <c r="D16" s="9" t="s">
        <v>279</v>
      </c>
      <c r="E16" s="17">
        <v>0.1</v>
      </c>
      <c r="G16" s="9">
        <v>2026</v>
      </c>
      <c r="I16">
        <f t="shared" si="2"/>
        <v>14</v>
      </c>
      <c r="J16">
        <f t="shared" si="3"/>
        <v>1961256</v>
      </c>
      <c r="K16">
        <f t="shared" si="4"/>
        <v>817190</v>
      </c>
      <c r="L16">
        <f t="shared" si="4"/>
        <v>319770</v>
      </c>
      <c r="M16">
        <f t="shared" si="4"/>
        <v>116280</v>
      </c>
      <c r="N16">
        <f t="shared" si="4"/>
        <v>38760</v>
      </c>
      <c r="O16">
        <f t="shared" si="4"/>
        <v>11628</v>
      </c>
      <c r="P16">
        <f t="shared" si="4"/>
        <v>3060</v>
      </c>
      <c r="Q16">
        <f t="shared" si="4"/>
        <v>680</v>
      </c>
      <c r="R16">
        <f t="shared" si="4"/>
        <v>120</v>
      </c>
      <c r="S16">
        <f t="shared" si="4"/>
        <v>15</v>
      </c>
      <c r="T16">
        <f t="shared" si="4"/>
        <v>1</v>
      </c>
      <c r="U16">
        <f t="shared" si="4"/>
        <v>0</v>
      </c>
      <c r="V16">
        <f t="shared" si="4"/>
        <v>0</v>
      </c>
      <c r="W16">
        <f t="shared" si="4"/>
        <v>0</v>
      </c>
      <c r="X16">
        <f t="shared" si="4"/>
        <v>0</v>
      </c>
      <c r="Y16">
        <f t="shared" si="4"/>
        <v>0</v>
      </c>
      <c r="Z16">
        <f t="shared" si="4"/>
        <v>0</v>
      </c>
      <c r="AA16">
        <f t="shared" si="4"/>
        <v>0</v>
      </c>
      <c r="AB16">
        <f t="shared" si="4"/>
        <v>0</v>
      </c>
      <c r="AC16">
        <f t="shared" si="4"/>
        <v>0</v>
      </c>
      <c r="AD16">
        <f t="shared" si="4"/>
        <v>0</v>
      </c>
      <c r="AE16">
        <f t="shared" si="4"/>
        <v>0</v>
      </c>
      <c r="AF16">
        <f t="shared" si="4"/>
        <v>0</v>
      </c>
      <c r="AG16">
        <f t="shared" si="4"/>
        <v>0</v>
      </c>
    </row>
    <row r="17" spans="4:33" x14ac:dyDescent="0.25">
      <c r="D17" s="9" t="s">
        <v>35</v>
      </c>
      <c r="E17" s="17">
        <v>0.14000000000000001</v>
      </c>
      <c r="G17" s="9">
        <v>2027</v>
      </c>
      <c r="I17">
        <f t="shared" si="2"/>
        <v>15</v>
      </c>
      <c r="J17">
        <f t="shared" si="3"/>
        <v>1307504</v>
      </c>
      <c r="K17">
        <f t="shared" si="4"/>
        <v>490314</v>
      </c>
      <c r="L17">
        <f t="shared" si="4"/>
        <v>170544</v>
      </c>
      <c r="M17">
        <f t="shared" si="4"/>
        <v>54264</v>
      </c>
      <c r="N17">
        <f t="shared" si="4"/>
        <v>15503.999999999998</v>
      </c>
      <c r="O17">
        <f t="shared" si="4"/>
        <v>3876</v>
      </c>
      <c r="P17">
        <f t="shared" si="4"/>
        <v>816</v>
      </c>
      <c r="Q17">
        <f t="shared" si="4"/>
        <v>136</v>
      </c>
      <c r="R17">
        <f t="shared" si="4"/>
        <v>16</v>
      </c>
      <c r="S17">
        <f t="shared" si="4"/>
        <v>1</v>
      </c>
      <c r="T17">
        <f t="shared" si="4"/>
        <v>0</v>
      </c>
      <c r="U17">
        <f t="shared" si="4"/>
        <v>0</v>
      </c>
      <c r="V17">
        <f t="shared" si="4"/>
        <v>0</v>
      </c>
      <c r="W17">
        <f t="shared" si="4"/>
        <v>0</v>
      </c>
      <c r="X17">
        <f t="shared" si="4"/>
        <v>0</v>
      </c>
      <c r="Y17">
        <f t="shared" si="4"/>
        <v>0</v>
      </c>
      <c r="Z17">
        <f t="shared" si="4"/>
        <v>0</v>
      </c>
      <c r="AA17">
        <f t="shared" si="4"/>
        <v>0</v>
      </c>
      <c r="AB17">
        <f t="shared" si="4"/>
        <v>0</v>
      </c>
      <c r="AC17">
        <f t="shared" si="4"/>
        <v>0</v>
      </c>
      <c r="AD17">
        <f t="shared" si="4"/>
        <v>0</v>
      </c>
      <c r="AE17">
        <f t="shared" si="4"/>
        <v>0</v>
      </c>
      <c r="AF17">
        <f t="shared" si="4"/>
        <v>0</v>
      </c>
      <c r="AG17">
        <f t="shared" si="4"/>
        <v>0</v>
      </c>
    </row>
    <row r="18" spans="4:33" x14ac:dyDescent="0.25">
      <c r="D18" s="9" t="s">
        <v>31</v>
      </c>
      <c r="E18" s="17">
        <v>0.14000000000000001</v>
      </c>
      <c r="G18" s="9">
        <v>2027</v>
      </c>
      <c r="I18">
        <f t="shared" si="2"/>
        <v>16</v>
      </c>
      <c r="J18">
        <f t="shared" si="3"/>
        <v>735471</v>
      </c>
      <c r="K18">
        <f t="shared" si="4"/>
        <v>245157</v>
      </c>
      <c r="L18">
        <f t="shared" si="4"/>
        <v>74613</v>
      </c>
      <c r="M18">
        <f t="shared" si="4"/>
        <v>20349</v>
      </c>
      <c r="N18">
        <f t="shared" si="4"/>
        <v>4845</v>
      </c>
      <c r="O18">
        <f t="shared" si="4"/>
        <v>969</v>
      </c>
      <c r="P18">
        <f t="shared" si="4"/>
        <v>153</v>
      </c>
      <c r="Q18">
        <f t="shared" si="4"/>
        <v>17</v>
      </c>
      <c r="R18">
        <f t="shared" si="4"/>
        <v>1</v>
      </c>
      <c r="S18">
        <f t="shared" si="4"/>
        <v>0</v>
      </c>
      <c r="T18">
        <f t="shared" si="4"/>
        <v>0</v>
      </c>
      <c r="U18">
        <f t="shared" si="4"/>
        <v>0</v>
      </c>
      <c r="V18">
        <f t="shared" si="4"/>
        <v>0</v>
      </c>
      <c r="W18">
        <f t="shared" si="4"/>
        <v>0</v>
      </c>
      <c r="X18">
        <f t="shared" si="4"/>
        <v>0</v>
      </c>
      <c r="Y18">
        <f t="shared" si="4"/>
        <v>0</v>
      </c>
      <c r="Z18">
        <f t="shared" si="4"/>
        <v>0</v>
      </c>
      <c r="AA18">
        <f t="shared" si="4"/>
        <v>0</v>
      </c>
      <c r="AB18">
        <f t="shared" si="4"/>
        <v>0</v>
      </c>
      <c r="AC18">
        <f t="shared" si="4"/>
        <v>0</v>
      </c>
      <c r="AD18">
        <f t="shared" si="4"/>
        <v>0</v>
      </c>
      <c r="AE18">
        <f t="shared" si="4"/>
        <v>0</v>
      </c>
      <c r="AF18">
        <f t="shared" si="4"/>
        <v>0</v>
      </c>
      <c r="AG18">
        <f t="shared" si="4"/>
        <v>0</v>
      </c>
    </row>
    <row r="19" spans="4:33" x14ac:dyDescent="0.25">
      <c r="D19" s="9" t="s">
        <v>61</v>
      </c>
      <c r="E19" s="17">
        <v>0.13923000000000002</v>
      </c>
      <c r="G19" s="9">
        <v>2027</v>
      </c>
      <c r="I19">
        <f t="shared" si="2"/>
        <v>17</v>
      </c>
      <c r="J19">
        <f t="shared" si="3"/>
        <v>346104</v>
      </c>
      <c r="K19">
        <f t="shared" si="4"/>
        <v>100947</v>
      </c>
      <c r="L19">
        <f t="shared" si="4"/>
        <v>26334</v>
      </c>
      <c r="M19">
        <f t="shared" si="4"/>
        <v>5985</v>
      </c>
      <c r="N19">
        <f t="shared" si="4"/>
        <v>1140</v>
      </c>
      <c r="O19">
        <f t="shared" si="4"/>
        <v>171</v>
      </c>
      <c r="P19">
        <f t="shared" si="4"/>
        <v>18</v>
      </c>
      <c r="Q19">
        <f t="shared" si="4"/>
        <v>1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  <c r="V19">
        <f t="shared" si="4"/>
        <v>0</v>
      </c>
      <c r="W19">
        <f t="shared" si="4"/>
        <v>0</v>
      </c>
      <c r="X19">
        <f t="shared" si="4"/>
        <v>0</v>
      </c>
      <c r="Y19">
        <f t="shared" si="4"/>
        <v>0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>
        <f t="shared" si="4"/>
        <v>0</v>
      </c>
    </row>
    <row r="20" spans="4:33" x14ac:dyDescent="0.25">
      <c r="D20" s="9" t="s">
        <v>41</v>
      </c>
      <c r="E20" s="17">
        <v>0.4</v>
      </c>
      <c r="G20" s="9">
        <v>2027</v>
      </c>
      <c r="I20">
        <f t="shared" si="2"/>
        <v>18</v>
      </c>
      <c r="J20">
        <f t="shared" si="3"/>
        <v>134596.00000000003</v>
      </c>
      <c r="K20">
        <f t="shared" si="4"/>
        <v>33649.000000000007</v>
      </c>
      <c r="L20">
        <f t="shared" si="4"/>
        <v>7315</v>
      </c>
      <c r="M20">
        <f t="shared" si="4"/>
        <v>1330</v>
      </c>
      <c r="N20">
        <f t="shared" si="4"/>
        <v>190</v>
      </c>
      <c r="O20">
        <f t="shared" si="4"/>
        <v>19</v>
      </c>
      <c r="P20">
        <f t="shared" si="4"/>
        <v>1</v>
      </c>
      <c r="Q20">
        <f t="shared" si="4"/>
        <v>0</v>
      </c>
      <c r="R20">
        <f t="shared" si="4"/>
        <v>0</v>
      </c>
      <c r="S20">
        <f t="shared" si="4"/>
        <v>0</v>
      </c>
      <c r="T20">
        <f t="shared" si="4"/>
        <v>0</v>
      </c>
      <c r="U20">
        <f t="shared" si="4"/>
        <v>0</v>
      </c>
      <c r="V20">
        <f t="shared" si="4"/>
        <v>0</v>
      </c>
      <c r="W20">
        <f t="shared" si="4"/>
        <v>0</v>
      </c>
      <c r="X20">
        <f t="shared" si="4"/>
        <v>0</v>
      </c>
      <c r="Y20">
        <f t="shared" si="4"/>
        <v>0</v>
      </c>
      <c r="Z20">
        <f t="shared" si="4"/>
        <v>0</v>
      </c>
      <c r="AA20">
        <f t="shared" si="4"/>
        <v>0</v>
      </c>
      <c r="AB20">
        <f t="shared" si="4"/>
        <v>0</v>
      </c>
      <c r="AC20">
        <f t="shared" si="4"/>
        <v>0</v>
      </c>
      <c r="AD20">
        <f t="shared" si="4"/>
        <v>0</v>
      </c>
      <c r="AE20">
        <f t="shared" si="4"/>
        <v>0</v>
      </c>
      <c r="AF20">
        <f t="shared" si="4"/>
        <v>0</v>
      </c>
      <c r="AG20">
        <f t="shared" si="4"/>
        <v>0</v>
      </c>
    </row>
    <row r="21" spans="4:33" x14ac:dyDescent="0.25">
      <c r="D21" s="9" t="s">
        <v>19</v>
      </c>
      <c r="E21" s="17">
        <v>0.1044225</v>
      </c>
      <c r="G21" s="9">
        <v>2029</v>
      </c>
      <c r="I21">
        <f t="shared" si="2"/>
        <v>19</v>
      </c>
      <c r="J21">
        <f t="shared" si="3"/>
        <v>42503.999999999993</v>
      </c>
      <c r="K21">
        <f t="shared" si="4"/>
        <v>8855</v>
      </c>
      <c r="L21">
        <f t="shared" si="4"/>
        <v>1540</v>
      </c>
      <c r="M21">
        <f t="shared" si="4"/>
        <v>210</v>
      </c>
      <c r="N21">
        <f t="shared" si="4"/>
        <v>20</v>
      </c>
      <c r="O21">
        <f t="shared" si="4"/>
        <v>1</v>
      </c>
      <c r="P21">
        <f t="shared" si="4"/>
        <v>0</v>
      </c>
      <c r="Q21">
        <f t="shared" si="4"/>
        <v>0</v>
      </c>
      <c r="R21">
        <f t="shared" si="4"/>
        <v>0</v>
      </c>
      <c r="S21">
        <f t="shared" si="4"/>
        <v>0</v>
      </c>
      <c r="T21">
        <f t="shared" si="4"/>
        <v>0</v>
      </c>
      <c r="U21">
        <f t="shared" si="4"/>
        <v>0</v>
      </c>
      <c r="V21">
        <f t="shared" si="4"/>
        <v>0</v>
      </c>
      <c r="W21">
        <f t="shared" si="4"/>
        <v>0</v>
      </c>
      <c r="X21">
        <f t="shared" si="4"/>
        <v>0</v>
      </c>
      <c r="Y21">
        <f t="shared" si="4"/>
        <v>0</v>
      </c>
      <c r="Z21">
        <f t="shared" si="4"/>
        <v>0</v>
      </c>
      <c r="AA21">
        <f t="shared" si="4"/>
        <v>0</v>
      </c>
      <c r="AB21">
        <f t="shared" si="4"/>
        <v>0</v>
      </c>
      <c r="AC21">
        <f t="shared" si="4"/>
        <v>0</v>
      </c>
      <c r="AD21">
        <f t="shared" si="4"/>
        <v>0</v>
      </c>
      <c r="AE21">
        <f t="shared" si="4"/>
        <v>0</v>
      </c>
      <c r="AF21">
        <f t="shared" si="4"/>
        <v>0</v>
      </c>
      <c r="AG21">
        <f t="shared" si="4"/>
        <v>0</v>
      </c>
    </row>
    <row r="22" spans="4:33" x14ac:dyDescent="0.25">
      <c r="D22" s="9" t="s">
        <v>28</v>
      </c>
      <c r="E22" s="17">
        <v>0.09</v>
      </c>
      <c r="G22" s="9">
        <v>2030</v>
      </c>
      <c r="I22">
        <f t="shared" si="2"/>
        <v>20</v>
      </c>
      <c r="J22">
        <f t="shared" si="3"/>
        <v>10626</v>
      </c>
      <c r="K22">
        <f t="shared" si="4"/>
        <v>1771</v>
      </c>
      <c r="L22">
        <f t="shared" si="4"/>
        <v>231</v>
      </c>
      <c r="M22">
        <f t="shared" si="4"/>
        <v>21</v>
      </c>
      <c r="N22">
        <f t="shared" si="4"/>
        <v>1</v>
      </c>
      <c r="O22">
        <f t="shared" si="4"/>
        <v>0</v>
      </c>
      <c r="P22">
        <f t="shared" si="4"/>
        <v>0</v>
      </c>
      <c r="Q22">
        <f t="shared" si="4"/>
        <v>0</v>
      </c>
      <c r="R22">
        <f t="shared" si="4"/>
        <v>0</v>
      </c>
      <c r="S22">
        <f t="shared" si="4"/>
        <v>0</v>
      </c>
      <c r="T22">
        <f t="shared" si="4"/>
        <v>0</v>
      </c>
      <c r="U22">
        <f t="shared" si="4"/>
        <v>0</v>
      </c>
      <c r="V22">
        <f t="shared" si="4"/>
        <v>0</v>
      </c>
      <c r="W22">
        <f t="shared" si="4"/>
        <v>0</v>
      </c>
      <c r="X22">
        <f t="shared" si="4"/>
        <v>0</v>
      </c>
      <c r="Y22">
        <f t="shared" si="4"/>
        <v>0</v>
      </c>
      <c r="Z22">
        <f t="shared" si="4"/>
        <v>0</v>
      </c>
      <c r="AA22">
        <f t="shared" si="4"/>
        <v>0</v>
      </c>
      <c r="AB22">
        <f t="shared" si="4"/>
        <v>0</v>
      </c>
      <c r="AC22">
        <f t="shared" si="4"/>
        <v>0</v>
      </c>
      <c r="AD22">
        <f t="shared" si="4"/>
        <v>0</v>
      </c>
      <c r="AE22">
        <f t="shared" si="4"/>
        <v>0</v>
      </c>
      <c r="AF22">
        <f t="shared" si="4"/>
        <v>0</v>
      </c>
      <c r="AG22">
        <f t="shared" si="4"/>
        <v>0</v>
      </c>
    </row>
    <row r="23" spans="4:33" x14ac:dyDescent="0.25">
      <c r="D23" s="9" t="s">
        <v>23</v>
      </c>
      <c r="E23" s="17">
        <v>0.1044225</v>
      </c>
      <c r="G23" s="9">
        <v>2030</v>
      </c>
      <c r="I23">
        <f t="shared" si="2"/>
        <v>21</v>
      </c>
      <c r="J23">
        <f t="shared" si="3"/>
        <v>2024.0000000000002</v>
      </c>
      <c r="K23">
        <f t="shared" si="4"/>
        <v>253</v>
      </c>
      <c r="L23">
        <f t="shared" si="4"/>
        <v>22</v>
      </c>
      <c r="M23">
        <f t="shared" si="4"/>
        <v>1</v>
      </c>
      <c r="N23">
        <f t="shared" si="4"/>
        <v>0</v>
      </c>
      <c r="O23">
        <f t="shared" si="4"/>
        <v>0</v>
      </c>
      <c r="P23">
        <f t="shared" si="4"/>
        <v>0</v>
      </c>
      <c r="Q23">
        <f t="shared" si="4"/>
        <v>0</v>
      </c>
      <c r="R23">
        <f t="shared" si="4"/>
        <v>0</v>
      </c>
      <c r="S23">
        <f t="shared" si="4"/>
        <v>0</v>
      </c>
      <c r="T23">
        <f t="shared" si="4"/>
        <v>0</v>
      </c>
      <c r="U23">
        <f t="shared" si="4"/>
        <v>0</v>
      </c>
      <c r="V23">
        <f t="shared" si="4"/>
        <v>0</v>
      </c>
      <c r="W23">
        <f t="shared" si="4"/>
        <v>0</v>
      </c>
      <c r="X23">
        <f t="shared" si="4"/>
        <v>0</v>
      </c>
      <c r="Y23">
        <f t="shared" si="4"/>
        <v>0</v>
      </c>
      <c r="Z23">
        <f t="shared" si="4"/>
        <v>0</v>
      </c>
      <c r="AA23">
        <f t="shared" si="4"/>
        <v>0</v>
      </c>
      <c r="AB23">
        <f t="shared" si="4"/>
        <v>0</v>
      </c>
      <c r="AC23">
        <f t="shared" si="4"/>
        <v>0</v>
      </c>
      <c r="AD23">
        <f t="shared" si="4"/>
        <v>0</v>
      </c>
      <c r="AE23">
        <f t="shared" si="4"/>
        <v>0</v>
      </c>
      <c r="AF23">
        <f t="shared" si="4"/>
        <v>0</v>
      </c>
      <c r="AG23">
        <f t="shared" si="4"/>
        <v>0</v>
      </c>
    </row>
    <row r="24" spans="4:33" x14ac:dyDescent="0.25">
      <c r="D24" s="9" t="s">
        <v>33</v>
      </c>
      <c r="E24" s="17">
        <v>0.1044225</v>
      </c>
      <c r="G24" s="9">
        <v>2031</v>
      </c>
      <c r="I24">
        <f t="shared" si="2"/>
        <v>22</v>
      </c>
      <c r="J24">
        <f t="shared" si="3"/>
        <v>276</v>
      </c>
      <c r="K24">
        <f t="shared" si="4"/>
        <v>23</v>
      </c>
      <c r="L24">
        <f t="shared" si="4"/>
        <v>1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0</v>
      </c>
      <c r="Q24">
        <f t="shared" si="4"/>
        <v>0</v>
      </c>
      <c r="R24">
        <f t="shared" si="4"/>
        <v>0</v>
      </c>
      <c r="S24">
        <f t="shared" si="4"/>
        <v>0</v>
      </c>
      <c r="T24">
        <f t="shared" si="4"/>
        <v>0</v>
      </c>
      <c r="U24">
        <f t="shared" si="4"/>
        <v>0</v>
      </c>
      <c r="V24">
        <f t="shared" si="4"/>
        <v>0</v>
      </c>
      <c r="W24">
        <f t="shared" si="4"/>
        <v>0</v>
      </c>
      <c r="X24">
        <f t="shared" si="4"/>
        <v>0</v>
      </c>
      <c r="Y24">
        <f t="shared" si="4"/>
        <v>0</v>
      </c>
      <c r="Z24">
        <f t="shared" si="4"/>
        <v>0</v>
      </c>
      <c r="AA24">
        <f t="shared" si="4"/>
        <v>0</v>
      </c>
      <c r="AB24">
        <f t="shared" si="4"/>
        <v>0</v>
      </c>
      <c r="AC24">
        <f t="shared" si="4"/>
        <v>0</v>
      </c>
      <c r="AD24">
        <f t="shared" si="4"/>
        <v>0</v>
      </c>
      <c r="AE24">
        <f t="shared" si="4"/>
        <v>0</v>
      </c>
      <c r="AF24">
        <f t="shared" si="4"/>
        <v>0</v>
      </c>
      <c r="AG24">
        <f t="shared" si="4"/>
        <v>0</v>
      </c>
    </row>
    <row r="25" spans="4:33" x14ac:dyDescent="0.25">
      <c r="D25" s="9" t="s">
        <v>37</v>
      </c>
      <c r="E25" s="17">
        <v>0.1044225</v>
      </c>
      <c r="G25" s="9">
        <v>2032</v>
      </c>
      <c r="I25">
        <f t="shared" si="2"/>
        <v>23</v>
      </c>
      <c r="J25">
        <f t="shared" si="3"/>
        <v>24</v>
      </c>
      <c r="K25">
        <f t="shared" si="4"/>
        <v>1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0</v>
      </c>
      <c r="R25">
        <f t="shared" si="4"/>
        <v>0</v>
      </c>
      <c r="S25">
        <f t="shared" si="4"/>
        <v>0</v>
      </c>
      <c r="T25">
        <f t="shared" si="4"/>
        <v>0</v>
      </c>
      <c r="U25">
        <f t="shared" si="4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>
        <f t="shared" si="4"/>
        <v>0</v>
      </c>
      <c r="AA25">
        <f t="shared" si="4"/>
        <v>0</v>
      </c>
      <c r="AB25">
        <f t="shared" si="4"/>
        <v>0</v>
      </c>
      <c r="AC25">
        <f t="shared" si="4"/>
        <v>0</v>
      </c>
      <c r="AD25">
        <f t="shared" ref="K25:AG26" si="5">IFERROR(COMBIN( AD$2,$I25),0)</f>
        <v>0</v>
      </c>
      <c r="AE25">
        <f t="shared" si="5"/>
        <v>0</v>
      </c>
      <c r="AF25">
        <f t="shared" si="5"/>
        <v>0</v>
      </c>
      <c r="AG25">
        <f t="shared" si="5"/>
        <v>0</v>
      </c>
    </row>
    <row r="26" spans="4:33" x14ac:dyDescent="0.25">
      <c r="D26" s="9" t="s">
        <v>30</v>
      </c>
      <c r="E26" s="17">
        <v>0.1044225</v>
      </c>
      <c r="G26" s="9">
        <v>2033</v>
      </c>
      <c r="I26">
        <f t="shared" si="2"/>
        <v>24</v>
      </c>
      <c r="J26">
        <f t="shared" si="3"/>
        <v>1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  <c r="P26">
        <f t="shared" si="5"/>
        <v>0</v>
      </c>
      <c r="Q26">
        <f t="shared" si="5"/>
        <v>0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  <c r="V26">
        <f t="shared" si="5"/>
        <v>0</v>
      </c>
      <c r="W26">
        <f t="shared" si="5"/>
        <v>0</v>
      </c>
      <c r="X26">
        <f t="shared" si="5"/>
        <v>0</v>
      </c>
      <c r="Y26">
        <f t="shared" si="5"/>
        <v>0</v>
      </c>
      <c r="Z26">
        <f t="shared" si="5"/>
        <v>0</v>
      </c>
      <c r="AA26">
        <f t="shared" si="5"/>
        <v>0</v>
      </c>
      <c r="AB26">
        <f t="shared" si="5"/>
        <v>0</v>
      </c>
      <c r="AC26">
        <f t="shared" si="5"/>
        <v>0</v>
      </c>
      <c r="AD26">
        <f t="shared" si="5"/>
        <v>0</v>
      </c>
      <c r="AE26">
        <f t="shared" si="5"/>
        <v>0</v>
      </c>
      <c r="AF26">
        <f t="shared" si="5"/>
        <v>0</v>
      </c>
      <c r="AG26">
        <f t="shared" si="5"/>
        <v>0</v>
      </c>
    </row>
    <row r="27" spans="4:33" x14ac:dyDescent="0.25">
      <c r="J27" s="185">
        <f>SUM(J3:J26)</f>
        <v>16777215</v>
      </c>
      <c r="K27" s="185">
        <f>SUM(K3:K26)</f>
        <v>8388607</v>
      </c>
      <c r="L27" s="185">
        <f t="shared" ref="L27:AG27" si="6">SUM(L3:L26)</f>
        <v>4194303</v>
      </c>
      <c r="M27" s="185">
        <f t="shared" si="6"/>
        <v>2097151</v>
      </c>
      <c r="N27" s="185">
        <f t="shared" si="6"/>
        <v>1048575</v>
      </c>
      <c r="O27" s="185">
        <f t="shared" si="6"/>
        <v>524287</v>
      </c>
      <c r="P27" s="185">
        <f t="shared" si="6"/>
        <v>262143</v>
      </c>
      <c r="Q27" s="185">
        <f t="shared" si="6"/>
        <v>131071</v>
      </c>
      <c r="R27" s="185">
        <f t="shared" si="6"/>
        <v>65535</v>
      </c>
      <c r="S27" s="185">
        <f t="shared" si="6"/>
        <v>32767</v>
      </c>
      <c r="T27" s="185">
        <f t="shared" si="6"/>
        <v>16383</v>
      </c>
      <c r="U27" s="185">
        <f t="shared" si="6"/>
        <v>8191</v>
      </c>
      <c r="V27" s="185">
        <f t="shared" si="6"/>
        <v>4095</v>
      </c>
      <c r="W27" s="185">
        <f t="shared" si="6"/>
        <v>2047</v>
      </c>
      <c r="X27" s="185">
        <f t="shared" si="6"/>
        <v>1023</v>
      </c>
      <c r="Y27" s="185">
        <f t="shared" si="6"/>
        <v>511</v>
      </c>
      <c r="Z27" s="185">
        <f t="shared" si="6"/>
        <v>255</v>
      </c>
      <c r="AA27" s="185">
        <f t="shared" si="6"/>
        <v>127</v>
      </c>
      <c r="AB27" s="185">
        <f t="shared" si="6"/>
        <v>63</v>
      </c>
      <c r="AC27" s="185">
        <f t="shared" si="6"/>
        <v>31</v>
      </c>
      <c r="AD27" s="185">
        <f t="shared" si="6"/>
        <v>15</v>
      </c>
      <c r="AE27" s="185">
        <f t="shared" si="6"/>
        <v>7</v>
      </c>
      <c r="AF27" s="185">
        <f t="shared" si="6"/>
        <v>3</v>
      </c>
      <c r="AG27" s="185">
        <f t="shared" si="6"/>
        <v>1</v>
      </c>
    </row>
    <row r="28" spans="4:33" ht="36" x14ac:dyDescent="0.25">
      <c r="D28" s="186" t="s">
        <v>146</v>
      </c>
      <c r="E28" s="186" t="s">
        <v>305</v>
      </c>
      <c r="F28" s="186" t="s">
        <v>309</v>
      </c>
      <c r="G28" s="186" t="s">
        <v>308</v>
      </c>
      <c r="H28" s="186" t="s">
        <v>306</v>
      </c>
      <c r="I28" s="186" t="s">
        <v>307</v>
      </c>
    </row>
    <row r="29" spans="4:33" x14ac:dyDescent="0.25">
      <c r="D29" s="9">
        <v>2021</v>
      </c>
      <c r="E29" s="9">
        <f>COUNTIF($G$3:$G$26,D29)</f>
        <v>2</v>
      </c>
      <c r="F29" s="57">
        <f t="array" ref="F29">MIN(SUM(IF($G$3:$G$26=$D29,$E$3:$E$26,0)),1)</f>
        <v>1</v>
      </c>
      <c r="G29" s="57">
        <f t="array" ref="G29">PRODUCT(IF($G$3:$G$26=$D29,$E$3:$E$26,1))</f>
        <v>0.34515000000000001</v>
      </c>
      <c r="H29" s="9">
        <f>E29</f>
        <v>2</v>
      </c>
      <c r="I29" s="9">
        <f t="shared" ref="I29:I39" si="7">INDEX($J$27:$AG$27,MATCH(H29,$J$2:$AG$2,0))</f>
        <v>3</v>
      </c>
    </row>
    <row r="30" spans="4:33" x14ac:dyDescent="0.25">
      <c r="D30" s="9">
        <v>2022</v>
      </c>
      <c r="E30" s="9">
        <f t="shared" ref="E30:E39" si="8">COUNTIF($G$3:$G$26,D30)</f>
        <v>2</v>
      </c>
      <c r="F30" s="57">
        <f t="array" ref="F30">MIN(SUM(IF($G$3:$G$26=$D30,$E$3:$E$26,0)),1)</f>
        <v>0.78500000000000014</v>
      </c>
      <c r="G30" s="57">
        <f t="array" ref="G30">PRODUCT(IF($G$3:$G$26=$D30,$E$3:$E$26,1))</f>
        <v>0.11700000000000002</v>
      </c>
      <c r="H30" s="9">
        <f t="shared" ref="H30:H39" si="9">H29+E30</f>
        <v>4</v>
      </c>
      <c r="I30" s="9">
        <f t="shared" si="7"/>
        <v>15</v>
      </c>
    </row>
    <row r="31" spans="4:33" x14ac:dyDescent="0.25">
      <c r="D31" s="9">
        <v>2023</v>
      </c>
      <c r="E31" s="9">
        <f t="shared" si="8"/>
        <v>6</v>
      </c>
      <c r="F31" s="57">
        <f t="array" ref="F31">MIN(SUM(IF($G$3:$G$26=$D31,$E$3:$E$26,0)),1)</f>
        <v>1</v>
      </c>
      <c r="G31" s="57">
        <f t="array" ref="G31">PRODUCT(IF($G$3:$G$26=$D31,$E$3:$E$26,1))</f>
        <v>1.0022784964994693E-4</v>
      </c>
      <c r="H31" s="9">
        <f t="shared" si="9"/>
        <v>10</v>
      </c>
      <c r="I31" s="9">
        <f t="shared" si="7"/>
        <v>1023</v>
      </c>
    </row>
    <row r="32" spans="4:33" x14ac:dyDescent="0.25">
      <c r="D32" s="9">
        <v>2025</v>
      </c>
      <c r="E32" s="9">
        <f t="shared" si="8"/>
        <v>1</v>
      </c>
      <c r="F32" s="57">
        <f t="array" ref="F32">MIN(SUM(IF($G$3:$G$26=$D32,$E$3:$E$26,0)),1)</f>
        <v>0.16400000000000001</v>
      </c>
      <c r="G32" s="57">
        <f t="array" ref="G32">PRODUCT(IF($G$3:$G$26=$D32,$E$3:$E$26,1))</f>
        <v>0.16400000000000001</v>
      </c>
      <c r="H32" s="9">
        <f t="shared" si="9"/>
        <v>11</v>
      </c>
      <c r="I32" s="9">
        <f t="shared" si="7"/>
        <v>2047</v>
      </c>
    </row>
    <row r="33" spans="4:9" x14ac:dyDescent="0.25">
      <c r="D33" s="9">
        <v>2026</v>
      </c>
      <c r="E33" s="9">
        <f t="shared" si="8"/>
        <v>3</v>
      </c>
      <c r="F33" s="57">
        <f t="array" ref="F33">MIN(SUM(IF($G$3:$G$26=$D33,$E$3:$E$26,0)),1)</f>
        <v>0.51400000000000001</v>
      </c>
      <c r="G33" s="57">
        <f t="array" ref="G33">PRODUCT(IF($G$3:$G$26=$D33,$E$3:$E$26,1))</f>
        <v>4.1000000000000003E-3</v>
      </c>
      <c r="H33" s="9">
        <f t="shared" si="9"/>
        <v>14</v>
      </c>
      <c r="I33" s="9">
        <f t="shared" si="7"/>
        <v>16383</v>
      </c>
    </row>
    <row r="34" spans="4:9" x14ac:dyDescent="0.25">
      <c r="D34" s="9">
        <v>2027</v>
      </c>
      <c r="E34" s="9">
        <f t="shared" si="8"/>
        <v>4</v>
      </c>
      <c r="F34" s="57">
        <f t="array" ref="F34">MIN(SUM(IF($G$3:$G$26=$D34,$E$3:$E$26,0)),1)</f>
        <v>0.81923000000000012</v>
      </c>
      <c r="G34" s="57">
        <f t="array" ref="G34">PRODUCT(IF($G$3:$G$26=$D34,$E$3:$E$26,1))</f>
        <v>1.0915632000000003E-3</v>
      </c>
      <c r="H34" s="9">
        <f t="shared" si="9"/>
        <v>18</v>
      </c>
      <c r="I34" s="9">
        <f t="shared" si="7"/>
        <v>262143</v>
      </c>
    </row>
    <row r="35" spans="4:9" x14ac:dyDescent="0.25">
      <c r="D35" s="9">
        <v>2029</v>
      </c>
      <c r="E35" s="9">
        <f t="shared" si="8"/>
        <v>1</v>
      </c>
      <c r="F35" s="57">
        <f t="array" ref="F35">MIN(SUM(IF($G$3:$G$26=$D35,$E$3:$E$26,0)),1)</f>
        <v>0.1044225</v>
      </c>
      <c r="G35" s="57">
        <f t="array" ref="G35">PRODUCT(IF($G$3:$G$26=$D35,$E$3:$E$26,1))</f>
        <v>0.1044225</v>
      </c>
      <c r="H35" s="9">
        <f t="shared" si="9"/>
        <v>19</v>
      </c>
      <c r="I35" s="9">
        <f t="shared" si="7"/>
        <v>524287</v>
      </c>
    </row>
    <row r="36" spans="4:9" x14ac:dyDescent="0.25">
      <c r="D36" s="9">
        <v>2030</v>
      </c>
      <c r="E36" s="9">
        <f t="shared" si="8"/>
        <v>2</v>
      </c>
      <c r="F36" s="57">
        <f t="array" ref="F36">MIN(SUM(IF($G$3:$G$26=$D36,$E$3:$E$26,0)),1)</f>
        <v>0.1944225</v>
      </c>
      <c r="G36" s="57">
        <f t="array" ref="G36">PRODUCT(IF($G$3:$G$26=$D36,$E$3:$E$26,1))</f>
        <v>9.3980249999999991E-3</v>
      </c>
      <c r="H36" s="9">
        <f t="shared" si="9"/>
        <v>21</v>
      </c>
      <c r="I36" s="9">
        <f t="shared" si="7"/>
        <v>2097151</v>
      </c>
    </row>
    <row r="37" spans="4:9" x14ac:dyDescent="0.25">
      <c r="D37" s="9">
        <v>2031</v>
      </c>
      <c r="E37" s="9">
        <f t="shared" si="8"/>
        <v>1</v>
      </c>
      <c r="F37" s="57">
        <f t="array" ref="F37">MIN(SUM(IF($G$3:$G$26=$D37,$E$3:$E$26,0)),1)</f>
        <v>0.1044225</v>
      </c>
      <c r="G37" s="57">
        <f t="array" ref="G37">PRODUCT(IF($G$3:$G$26=$D37,$E$3:$E$26,1))</f>
        <v>0.1044225</v>
      </c>
      <c r="H37" s="9">
        <f t="shared" si="9"/>
        <v>22</v>
      </c>
      <c r="I37" s="9">
        <f t="shared" si="7"/>
        <v>4194303</v>
      </c>
    </row>
    <row r="38" spans="4:9" x14ac:dyDescent="0.25">
      <c r="D38" s="9">
        <v>2032</v>
      </c>
      <c r="E38" s="9">
        <f t="shared" si="8"/>
        <v>1</v>
      </c>
      <c r="F38" s="57">
        <f t="array" ref="F38">MIN(SUM(IF($G$3:$G$26=$D38,$E$3:$E$26,0)),1)</f>
        <v>0.1044225</v>
      </c>
      <c r="G38" s="57">
        <f t="array" ref="G38">PRODUCT(IF($G$3:$G$26=$D38,$E$3:$E$26,1))</f>
        <v>0.1044225</v>
      </c>
      <c r="H38" s="9">
        <f t="shared" si="9"/>
        <v>23</v>
      </c>
      <c r="I38" s="9">
        <f t="shared" si="7"/>
        <v>8388607</v>
      </c>
    </row>
    <row r="39" spans="4:9" x14ac:dyDescent="0.25">
      <c r="D39" s="9">
        <v>2033</v>
      </c>
      <c r="E39" s="9">
        <f t="shared" si="8"/>
        <v>1</v>
      </c>
      <c r="F39" s="57">
        <f t="array" ref="F39">MIN(SUM(IF($G$3:$G$26=$D39,$E$3:$E$26,0)),1)</f>
        <v>0.1044225</v>
      </c>
      <c r="G39" s="57">
        <f t="array" ref="G39">PRODUCT(IF($G$3:$G$26=$D39,$E$3:$E$26,1))</f>
        <v>0.1044225</v>
      </c>
      <c r="H39" s="9">
        <f t="shared" si="9"/>
        <v>24</v>
      </c>
      <c r="I39" s="9">
        <f t="shared" si="7"/>
        <v>16777215</v>
      </c>
    </row>
  </sheetData>
  <sortState ref="D3:G26">
    <sortCondition ref="G3:G26"/>
  </sortState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D1:L27"/>
  <sheetViews>
    <sheetView zoomScale="157" zoomScaleNormal="157" workbookViewId="0">
      <selection activeCell="D8" sqref="D8"/>
    </sheetView>
  </sheetViews>
  <sheetFormatPr defaultRowHeight="15" x14ac:dyDescent="0.25"/>
  <cols>
    <col min="2" max="2" width="11" bestFit="1" customWidth="1"/>
    <col min="3" max="4" width="14" customWidth="1"/>
    <col min="7" max="8" width="12" bestFit="1" customWidth="1"/>
  </cols>
  <sheetData>
    <row r="1" spans="4:6" ht="34.5" customHeight="1" x14ac:dyDescent="0.25">
      <c r="D1" s="178" t="s">
        <v>299</v>
      </c>
      <c r="E1" s="178" t="s">
        <v>5</v>
      </c>
      <c r="F1" s="178" t="s">
        <v>302</v>
      </c>
    </row>
    <row r="2" spans="4:6" x14ac:dyDescent="0.25">
      <c r="D2" s="165">
        <v>1</v>
      </c>
      <c r="E2" s="177">
        <f>162811/285801+(1-162811/285801)*D2</f>
        <v>1</v>
      </c>
      <c r="F2" s="177">
        <f>50%+50%*D2</f>
        <v>1</v>
      </c>
    </row>
    <row r="3" spans="4:6" x14ac:dyDescent="0.25">
      <c r="D3" s="177">
        <f>D2-0.1</f>
        <v>0.9</v>
      </c>
      <c r="E3" s="177">
        <f t="shared" ref="E3:E12" si="0">162811/285801+(1-162811/285801)*D3</f>
        <v>0.95696656064884311</v>
      </c>
      <c r="F3" s="177">
        <f t="shared" ref="F3:F12" si="1">50%+50%*D3</f>
        <v>0.95</v>
      </c>
    </row>
    <row r="4" spans="4:6" x14ac:dyDescent="0.25">
      <c r="D4" s="177">
        <f t="shared" ref="D4:D12" si="2">D3-0.1</f>
        <v>0.8</v>
      </c>
      <c r="E4" s="177">
        <f t="shared" si="0"/>
        <v>0.91393312129768622</v>
      </c>
      <c r="F4" s="177">
        <f t="shared" si="1"/>
        <v>0.9</v>
      </c>
    </row>
    <row r="5" spans="4:6" x14ac:dyDescent="0.25">
      <c r="D5" s="177">
        <f t="shared" si="2"/>
        <v>0.70000000000000007</v>
      </c>
      <c r="E5" s="177">
        <f t="shared" si="0"/>
        <v>0.87089968194652934</v>
      </c>
      <c r="F5" s="177">
        <f t="shared" si="1"/>
        <v>0.85000000000000009</v>
      </c>
    </row>
    <row r="6" spans="4:6" x14ac:dyDescent="0.25">
      <c r="D6" s="177">
        <f t="shared" si="2"/>
        <v>0.60000000000000009</v>
      </c>
      <c r="E6" s="177">
        <f t="shared" si="0"/>
        <v>0.82786624259537234</v>
      </c>
      <c r="F6" s="177">
        <f t="shared" si="1"/>
        <v>0.8</v>
      </c>
    </row>
    <row r="7" spans="4:6" x14ac:dyDescent="0.25">
      <c r="D7" s="177">
        <f t="shared" si="2"/>
        <v>0.50000000000000011</v>
      </c>
      <c r="E7" s="177">
        <f t="shared" si="0"/>
        <v>0.78483280324421545</v>
      </c>
      <c r="F7" s="177">
        <f t="shared" si="1"/>
        <v>0.75</v>
      </c>
    </row>
    <row r="8" spans="4:6" x14ac:dyDescent="0.25">
      <c r="D8" s="177">
        <f t="shared" si="2"/>
        <v>0.40000000000000013</v>
      </c>
      <c r="E8" s="177">
        <f t="shared" si="0"/>
        <v>0.74179936389305856</v>
      </c>
      <c r="F8" s="177">
        <f t="shared" si="1"/>
        <v>0.70000000000000007</v>
      </c>
    </row>
    <row r="9" spans="4:6" x14ac:dyDescent="0.25">
      <c r="D9" s="177">
        <f t="shared" si="2"/>
        <v>0.30000000000000016</v>
      </c>
      <c r="E9" s="177">
        <f t="shared" si="0"/>
        <v>0.69876592454190156</v>
      </c>
      <c r="F9" s="177">
        <f t="shared" si="1"/>
        <v>0.65000000000000013</v>
      </c>
    </row>
    <row r="10" spans="4:6" x14ac:dyDescent="0.25">
      <c r="D10" s="177">
        <f t="shared" si="2"/>
        <v>0.20000000000000015</v>
      </c>
      <c r="E10" s="177">
        <f t="shared" si="0"/>
        <v>0.65573248519074467</v>
      </c>
      <c r="F10" s="177">
        <f t="shared" si="1"/>
        <v>0.60000000000000009</v>
      </c>
    </row>
    <row r="11" spans="4:6" x14ac:dyDescent="0.25">
      <c r="D11" s="177">
        <f t="shared" si="2"/>
        <v>0.10000000000000014</v>
      </c>
      <c r="E11" s="177">
        <f t="shared" si="0"/>
        <v>0.61269904583958779</v>
      </c>
      <c r="F11" s="177">
        <f t="shared" si="1"/>
        <v>0.55000000000000004</v>
      </c>
    </row>
    <row r="12" spans="4:6" x14ac:dyDescent="0.25">
      <c r="D12" s="177">
        <f t="shared" si="2"/>
        <v>1.3877787807814457E-16</v>
      </c>
      <c r="E12" s="177">
        <f t="shared" si="0"/>
        <v>0.5696656064884309</v>
      </c>
      <c r="F12" s="177">
        <f t="shared" si="1"/>
        <v>0.50000000000000011</v>
      </c>
    </row>
    <row r="13" spans="4:6" x14ac:dyDescent="0.25">
      <c r="D13" s="42"/>
    </row>
    <row r="14" spans="4:6" x14ac:dyDescent="0.25">
      <c r="D14" s="42"/>
    </row>
    <row r="25" spans="7:12" x14ac:dyDescent="0.25">
      <c r="G25">
        <f>5*7/161</f>
        <v>0.21739130434782608</v>
      </c>
      <c r="H25" s="42">
        <v>0.2</v>
      </c>
      <c r="L25" s="42"/>
    </row>
    <row r="26" spans="7:12" x14ac:dyDescent="0.25">
      <c r="G26">
        <f>1-G25</f>
        <v>0.78260869565217395</v>
      </c>
      <c r="H26">
        <v>0</v>
      </c>
    </row>
    <row r="27" spans="7:12" x14ac:dyDescent="0.25">
      <c r="H27">
        <f>H25*G25+H26*G26</f>
        <v>4.3478260869565216E-2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5:D13"/>
  <sheetViews>
    <sheetView workbookViewId="0"/>
  </sheetViews>
  <sheetFormatPr defaultColWidth="8.85546875" defaultRowHeight="12" x14ac:dyDescent="0.2"/>
  <cols>
    <col min="1" max="1" width="8.85546875" style="111"/>
    <col min="2" max="2" width="11.85546875" style="111" customWidth="1"/>
    <col min="3" max="3" width="8.85546875" style="111"/>
    <col min="4" max="4" width="9.7109375" style="111" bestFit="1" customWidth="1"/>
    <col min="5" max="16384" width="8.85546875" style="111"/>
  </cols>
  <sheetData>
    <row r="5" spans="2:4" ht="12.75" thickBot="1" x14ac:dyDescent="0.25">
      <c r="C5" s="146" t="s">
        <v>152</v>
      </c>
      <c r="D5" s="146" t="s">
        <v>273</v>
      </c>
    </row>
    <row r="6" spans="2:4" ht="15.75" thickBot="1" x14ac:dyDescent="0.25">
      <c r="B6" s="145" t="s">
        <v>1</v>
      </c>
      <c r="C6" s="144">
        <v>0.75</v>
      </c>
      <c r="D6" s="144">
        <f>PRODUCT(C6:C$11)</f>
        <v>0.1044225</v>
      </c>
    </row>
    <row r="7" spans="2:4" ht="16.5" thickTop="1" thickBot="1" x14ac:dyDescent="0.25">
      <c r="B7" s="145" t="s">
        <v>58</v>
      </c>
      <c r="C7" s="144">
        <v>0.85</v>
      </c>
      <c r="D7" s="144">
        <f>PRODUCT(C7:C$11)</f>
        <v>0.13923000000000002</v>
      </c>
    </row>
    <row r="8" spans="2:4" ht="16.5" thickTop="1" thickBot="1" x14ac:dyDescent="0.25">
      <c r="B8" s="145" t="s">
        <v>51</v>
      </c>
      <c r="C8" s="144">
        <v>0.4</v>
      </c>
      <c r="D8" s="144">
        <f>PRODUCT(C8:C$11)</f>
        <v>0.1638</v>
      </c>
    </row>
    <row r="9" spans="2:4" ht="16.5" thickTop="1" thickBot="1" x14ac:dyDescent="0.25">
      <c r="B9" s="145" t="s">
        <v>43</v>
      </c>
      <c r="C9" s="144">
        <v>0.7</v>
      </c>
      <c r="D9" s="144">
        <f>PRODUCT(C9:C$11)</f>
        <v>0.40949999999999998</v>
      </c>
    </row>
    <row r="10" spans="2:4" ht="16.5" thickTop="1" thickBot="1" x14ac:dyDescent="0.25">
      <c r="B10" s="145" t="s">
        <v>63</v>
      </c>
      <c r="C10" s="144">
        <v>0.65</v>
      </c>
      <c r="D10" s="144">
        <f>PRODUCT(C10:C$11)</f>
        <v>0.58500000000000008</v>
      </c>
    </row>
    <row r="11" spans="2:4" ht="16.5" thickTop="1" thickBot="1" x14ac:dyDescent="0.25">
      <c r="B11" s="145" t="s">
        <v>84</v>
      </c>
      <c r="C11" s="144">
        <v>0.9</v>
      </c>
      <c r="D11" s="144">
        <f>PRODUCT(C11:C$11)</f>
        <v>0.9</v>
      </c>
    </row>
    <row r="12" spans="2:4" ht="16.5" thickTop="1" thickBot="1" x14ac:dyDescent="0.25">
      <c r="B12" s="145" t="s">
        <v>47</v>
      </c>
      <c r="C12" s="144">
        <v>1</v>
      </c>
      <c r="D12" s="144">
        <f>C12</f>
        <v>1</v>
      </c>
    </row>
    <row r="13" spans="2:4" ht="12.75" thickTop="1" x14ac:dyDescent="0.2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1:I74"/>
  <sheetViews>
    <sheetView workbookViewId="0">
      <selection activeCell="D37" sqref="D37"/>
    </sheetView>
  </sheetViews>
  <sheetFormatPr defaultColWidth="8.7109375" defaultRowHeight="12.75" x14ac:dyDescent="0.2"/>
  <cols>
    <col min="1" max="1" width="8.7109375" style="64"/>
    <col min="2" max="2" width="4.5703125" style="64" customWidth="1"/>
    <col min="3" max="3" width="97.28515625" style="64" customWidth="1"/>
    <col min="4" max="4" width="10.42578125" style="65" customWidth="1"/>
    <col min="5" max="5" width="3.5703125" style="64" customWidth="1"/>
    <col min="6" max="6" width="10.28515625" style="65" customWidth="1"/>
    <col min="7" max="7" width="8.7109375" style="64"/>
    <col min="8" max="8" width="2.5703125" style="64" customWidth="1"/>
    <col min="9" max="10" width="51.42578125" style="64" customWidth="1"/>
    <col min="11" max="16384" width="8.7109375" style="64"/>
  </cols>
  <sheetData>
    <row r="1" spans="2:9" ht="13.5" thickBot="1" x14ac:dyDescent="0.25"/>
    <row r="2" spans="2:9" ht="27.75" customHeight="1" thickBot="1" x14ac:dyDescent="0.25">
      <c r="B2" s="110"/>
      <c r="C2" s="109" t="s">
        <v>228</v>
      </c>
      <c r="D2" s="194" t="s">
        <v>227</v>
      </c>
      <c r="E2" s="195"/>
      <c r="F2" s="195"/>
      <c r="G2" s="195"/>
      <c r="H2" s="195"/>
      <c r="I2" s="196"/>
    </row>
    <row r="3" spans="2:9" ht="13.5" thickBot="1" x14ac:dyDescent="0.25"/>
    <row r="4" spans="2:9" ht="27.75" customHeight="1" thickBot="1" x14ac:dyDescent="0.25">
      <c r="B4" s="110"/>
      <c r="C4" s="109" t="s">
        <v>226</v>
      </c>
      <c r="D4" s="194" t="s">
        <v>98</v>
      </c>
      <c r="E4" s="195"/>
      <c r="F4" s="195"/>
      <c r="G4" s="195"/>
      <c r="H4" s="195"/>
      <c r="I4" s="196"/>
    </row>
    <row r="5" spans="2:9" ht="13.5" thickBot="1" x14ac:dyDescent="0.25"/>
    <row r="6" spans="2:9" ht="21" thickBot="1" x14ac:dyDescent="0.35">
      <c r="B6" s="197" t="s">
        <v>225</v>
      </c>
      <c r="C6" s="198"/>
      <c r="D6" s="198"/>
      <c r="E6" s="198"/>
      <c r="F6" s="199"/>
    </row>
    <row r="7" spans="2:9" ht="13.5" thickBot="1" x14ac:dyDescent="0.25">
      <c r="B7" s="108"/>
      <c r="C7" s="106"/>
      <c r="D7" s="107"/>
      <c r="E7" s="106"/>
      <c r="F7" s="105"/>
    </row>
    <row r="8" spans="2:9" ht="51.75" thickBot="1" x14ac:dyDescent="0.25">
      <c r="B8" s="104"/>
      <c r="C8" s="103"/>
      <c r="D8" s="102" t="s">
        <v>224</v>
      </c>
      <c r="E8" s="101"/>
      <c r="F8" s="100" t="s">
        <v>223</v>
      </c>
    </row>
    <row r="9" spans="2:9" ht="15" x14ac:dyDescent="0.25">
      <c r="B9" s="90" t="s">
        <v>142</v>
      </c>
      <c r="C9" s="89"/>
      <c r="D9" s="88">
        <v>0.56200000000000006</v>
      </c>
      <c r="E9" s="87"/>
      <c r="F9" s="86">
        <f>+D9</f>
        <v>0.56200000000000006</v>
      </c>
    </row>
    <row r="10" spans="2:9" ht="15" x14ac:dyDescent="0.25">
      <c r="B10" s="85" t="s">
        <v>117</v>
      </c>
      <c r="C10" s="95" t="s">
        <v>222</v>
      </c>
      <c r="D10" s="99">
        <v>0.15049999999999999</v>
      </c>
      <c r="E10" s="93"/>
      <c r="F10" s="92">
        <f t="shared" ref="F10:F17" si="0">IF(C10&lt;&gt;"[Drug attribute]",D10*$F$9,"")</f>
        <v>8.4581000000000003E-2</v>
      </c>
    </row>
    <row r="11" spans="2:9" ht="15" x14ac:dyDescent="0.25">
      <c r="B11" s="85" t="s">
        <v>116</v>
      </c>
      <c r="C11" s="84" t="s">
        <v>221</v>
      </c>
      <c r="D11" s="98">
        <v>0.14360000000000001</v>
      </c>
      <c r="E11" s="82"/>
      <c r="F11" s="77">
        <f t="shared" si="0"/>
        <v>8.0703200000000017E-2</v>
      </c>
    </row>
    <row r="12" spans="2:9" ht="15" x14ac:dyDescent="0.25">
      <c r="B12" s="85" t="s">
        <v>115</v>
      </c>
      <c r="C12" s="84" t="s">
        <v>220</v>
      </c>
      <c r="D12" s="98">
        <v>0.16919999999999999</v>
      </c>
      <c r="E12" s="82"/>
      <c r="F12" s="77">
        <f t="shared" si="0"/>
        <v>9.5090400000000005E-2</v>
      </c>
    </row>
    <row r="13" spans="2:9" ht="15" x14ac:dyDescent="0.25">
      <c r="B13" s="85" t="s">
        <v>114</v>
      </c>
      <c r="C13" s="84" t="s">
        <v>219</v>
      </c>
      <c r="D13" s="98">
        <v>0.14699999999999999</v>
      </c>
      <c r="E13" s="82"/>
      <c r="F13" s="77">
        <f t="shared" si="0"/>
        <v>8.2614000000000007E-2</v>
      </c>
    </row>
    <row r="14" spans="2:9" ht="15" x14ac:dyDescent="0.25">
      <c r="B14" s="85" t="s">
        <v>113</v>
      </c>
      <c r="C14" s="84" t="s">
        <v>218</v>
      </c>
      <c r="D14" s="98">
        <v>0.1087</v>
      </c>
      <c r="E14" s="82"/>
      <c r="F14" s="77">
        <f t="shared" si="0"/>
        <v>6.1089400000000009E-2</v>
      </c>
    </row>
    <row r="15" spans="2:9" ht="15" x14ac:dyDescent="0.25">
      <c r="B15" s="85" t="s">
        <v>112</v>
      </c>
      <c r="C15" s="84" t="s">
        <v>217</v>
      </c>
      <c r="D15" s="98">
        <v>0.1033</v>
      </c>
      <c r="E15" s="82"/>
      <c r="F15" s="77">
        <f t="shared" si="0"/>
        <v>5.8054600000000005E-2</v>
      </c>
    </row>
    <row r="16" spans="2:9" ht="15" x14ac:dyDescent="0.25">
      <c r="B16" s="85" t="s">
        <v>111</v>
      </c>
      <c r="C16" s="84" t="s">
        <v>216</v>
      </c>
      <c r="D16" s="98">
        <v>6.7699999999999996E-2</v>
      </c>
      <c r="E16" s="82"/>
      <c r="F16" s="77">
        <f t="shared" si="0"/>
        <v>3.8047400000000002E-2</v>
      </c>
    </row>
    <row r="17" spans="2:6" ht="15.75" thickBot="1" x14ac:dyDescent="0.3">
      <c r="B17" s="81" t="s">
        <v>110</v>
      </c>
      <c r="C17" s="80" t="s">
        <v>215</v>
      </c>
      <c r="D17" s="97">
        <v>0.11</v>
      </c>
      <c r="E17" s="78"/>
      <c r="F17" s="96">
        <f t="shared" si="0"/>
        <v>6.1820000000000007E-2</v>
      </c>
    </row>
    <row r="18" spans="2:6" ht="15.75" thickBot="1" x14ac:dyDescent="0.3">
      <c r="B18" s="90"/>
      <c r="C18" s="89"/>
      <c r="D18" s="88">
        <f>+D10+D11+D12+D13+D14+D15+D16+D17</f>
        <v>1</v>
      </c>
      <c r="E18" s="87"/>
      <c r="F18" s="86">
        <f>SUM(F10:F17)</f>
        <v>0.56200000000000006</v>
      </c>
    </row>
    <row r="19" spans="2:6" ht="15" x14ac:dyDescent="0.25">
      <c r="B19" s="90" t="s">
        <v>214</v>
      </c>
      <c r="C19" s="89"/>
      <c r="D19" s="88">
        <v>0.251</v>
      </c>
      <c r="E19" s="87"/>
      <c r="F19" s="86">
        <f>+D19</f>
        <v>0.251</v>
      </c>
    </row>
    <row r="20" spans="2:6" ht="15" x14ac:dyDescent="0.25">
      <c r="B20" s="85" t="s">
        <v>109</v>
      </c>
      <c r="C20" s="95" t="s">
        <v>213</v>
      </c>
      <c r="D20" s="94">
        <v>0.24490000000000001</v>
      </c>
      <c r="E20" s="93"/>
      <c r="F20" s="92">
        <f t="shared" ref="F20:F27" si="1">IF(C20&lt;&gt;"[Drug attribute]",D20*$F$19,"")</f>
        <v>6.1469900000000001E-2</v>
      </c>
    </row>
    <row r="21" spans="2:6" ht="15" x14ac:dyDescent="0.25">
      <c r="B21" s="85" t="s">
        <v>108</v>
      </c>
      <c r="C21" s="84" t="s">
        <v>212</v>
      </c>
      <c r="D21" s="83">
        <v>9.7900000000000001E-2</v>
      </c>
      <c r="E21" s="82"/>
      <c r="F21" s="77">
        <f t="shared" si="1"/>
        <v>2.4572900000000002E-2</v>
      </c>
    </row>
    <row r="22" spans="2:6" ht="12.75" customHeight="1" x14ac:dyDescent="0.25">
      <c r="B22" s="85" t="s">
        <v>107</v>
      </c>
      <c r="C22" s="84" t="s">
        <v>211</v>
      </c>
      <c r="D22" s="83">
        <v>0.1221</v>
      </c>
      <c r="E22" s="82"/>
      <c r="F22" s="77">
        <f t="shared" si="1"/>
        <v>3.06471E-2</v>
      </c>
    </row>
    <row r="23" spans="2:6" ht="12.75" customHeight="1" x14ac:dyDescent="0.25">
      <c r="B23" s="85" t="s">
        <v>106</v>
      </c>
      <c r="C23" s="84" t="s">
        <v>210</v>
      </c>
      <c r="D23" s="83">
        <v>0.13930000000000001</v>
      </c>
      <c r="E23" s="82"/>
      <c r="F23" s="77">
        <f t="shared" si="1"/>
        <v>3.4964300000000004E-2</v>
      </c>
    </row>
    <row r="24" spans="2:6" ht="13.5" customHeight="1" x14ac:dyDescent="0.25">
      <c r="B24" s="85" t="s">
        <v>105</v>
      </c>
      <c r="C24" s="84" t="s">
        <v>209</v>
      </c>
      <c r="D24" s="83">
        <v>0.18329999999999999</v>
      </c>
      <c r="E24" s="82"/>
      <c r="F24" s="77">
        <f t="shared" si="1"/>
        <v>4.6008299999999995E-2</v>
      </c>
    </row>
    <row r="25" spans="2:6" ht="15" x14ac:dyDescent="0.25">
      <c r="B25" s="85" t="s">
        <v>104</v>
      </c>
      <c r="C25" s="84" t="s">
        <v>208</v>
      </c>
      <c r="D25" s="83">
        <v>8.5400000000000004E-2</v>
      </c>
      <c r="E25" s="82"/>
      <c r="F25" s="77">
        <f t="shared" si="1"/>
        <v>2.14354E-2</v>
      </c>
    </row>
    <row r="26" spans="2:6" ht="15" x14ac:dyDescent="0.25">
      <c r="B26" s="85" t="s">
        <v>103</v>
      </c>
      <c r="C26" s="84" t="s">
        <v>207</v>
      </c>
      <c r="D26" s="83">
        <v>0.127</v>
      </c>
      <c r="E26" s="82"/>
      <c r="F26" s="77">
        <f t="shared" si="1"/>
        <v>3.1877000000000003E-2</v>
      </c>
    </row>
    <row r="27" spans="2:6" ht="15.75" thickBot="1" x14ac:dyDescent="0.3">
      <c r="B27" s="81"/>
      <c r="C27" s="80" t="s">
        <v>206</v>
      </c>
      <c r="D27" s="79"/>
      <c r="E27" s="78"/>
      <c r="F27" s="96" t="str">
        <f t="shared" si="1"/>
        <v/>
      </c>
    </row>
    <row r="28" spans="2:6" ht="15.75" thickBot="1" x14ac:dyDescent="0.3">
      <c r="B28" s="90"/>
      <c r="C28" s="89"/>
      <c r="D28" s="88">
        <f>+D20+D21+D22+D23+D24+D25+D26+D27</f>
        <v>0.99990000000000001</v>
      </c>
      <c r="E28" s="87"/>
      <c r="F28" s="86">
        <f>SUM(F20:F27)</f>
        <v>0.2509749</v>
      </c>
    </row>
    <row r="29" spans="2:6" ht="15" x14ac:dyDescent="0.25">
      <c r="B29" s="90" t="s">
        <v>140</v>
      </c>
      <c r="C29" s="89"/>
      <c r="D29" s="88">
        <v>0.187</v>
      </c>
      <c r="E29" s="87"/>
      <c r="F29" s="86">
        <f>+D29</f>
        <v>0.187</v>
      </c>
    </row>
    <row r="30" spans="2:6" ht="15" x14ac:dyDescent="0.25">
      <c r="B30" s="85" t="s">
        <v>102</v>
      </c>
      <c r="C30" s="95" t="s">
        <v>205</v>
      </c>
      <c r="D30" s="94">
        <f>45.21%*(1-$D$33)</f>
        <v>0.31927301999999996</v>
      </c>
      <c r="E30" s="93"/>
      <c r="F30" s="92">
        <f>IF(C30&lt;&gt;"[Drug attribute]",D30*$F$29,"")</f>
        <v>5.9704054739999991E-2</v>
      </c>
    </row>
    <row r="31" spans="2:6" ht="15" x14ac:dyDescent="0.25">
      <c r="B31" s="85" t="s">
        <v>101</v>
      </c>
      <c r="C31" s="84" t="s">
        <v>204</v>
      </c>
      <c r="D31" s="83">
        <f>30.31%*(1-$D$33)</f>
        <v>0.21404921999999996</v>
      </c>
      <c r="E31" s="82"/>
      <c r="F31" s="77">
        <f>IF(C31&lt;&gt;"[Drug attribute]",D31*$F$29,"")</f>
        <v>4.0027204139999994E-2</v>
      </c>
    </row>
    <row r="32" spans="2:6" ht="15" x14ac:dyDescent="0.25">
      <c r="B32" s="85" t="s">
        <v>100</v>
      </c>
      <c r="C32" s="84" t="s">
        <v>203</v>
      </c>
      <c r="D32" s="83">
        <f>24.48%*(1-$D$33)</f>
        <v>0.17287775999999999</v>
      </c>
      <c r="E32" s="82"/>
      <c r="F32" s="77">
        <f>IF(C32&lt;&gt;"[Drug attribute]",D32*$F$29,"")</f>
        <v>3.2328141120000001E-2</v>
      </c>
    </row>
    <row r="33" spans="2:6" ht="15.75" thickBot="1" x14ac:dyDescent="0.3">
      <c r="B33" s="85" t="s">
        <v>99</v>
      </c>
      <c r="C33" s="91" t="s">
        <v>202</v>
      </c>
      <c r="D33" s="83">
        <v>0.29380000000000001</v>
      </c>
      <c r="E33" s="82"/>
      <c r="F33" s="77">
        <f>IF(C33&lt;&gt;"[Drug attribute]",D33*$F$29,"")</f>
        <v>5.4940599999999999E-2</v>
      </c>
    </row>
    <row r="34" spans="2:6" ht="15" x14ac:dyDescent="0.25">
      <c r="B34" s="90" t="s">
        <v>192</v>
      </c>
      <c r="C34" s="89"/>
      <c r="D34" s="88"/>
      <c r="E34" s="87"/>
      <c r="F34" s="86"/>
    </row>
    <row r="35" spans="2:6" ht="15" x14ac:dyDescent="0.25">
      <c r="B35" s="85" t="s">
        <v>121</v>
      </c>
      <c r="C35" s="84" t="s">
        <v>201</v>
      </c>
      <c r="D35" s="83">
        <v>0.2</v>
      </c>
      <c r="E35" s="82"/>
      <c r="F35" s="77">
        <f>D35</f>
        <v>0.2</v>
      </c>
    </row>
    <row r="36" spans="2:6" ht="15" x14ac:dyDescent="0.25">
      <c r="B36" s="85" t="s">
        <v>120</v>
      </c>
      <c r="C36" s="84" t="s">
        <v>200</v>
      </c>
      <c r="D36" s="83">
        <f>(1-$D$35)/2</f>
        <v>0.4</v>
      </c>
      <c r="E36" s="82"/>
      <c r="F36" s="77">
        <f>D36</f>
        <v>0.4</v>
      </c>
    </row>
    <row r="37" spans="2:6" ht="15.75" thickBot="1" x14ac:dyDescent="0.3">
      <c r="B37" s="81" t="s">
        <v>119</v>
      </c>
      <c r="C37" s="80" t="s">
        <v>199</v>
      </c>
      <c r="D37" s="83">
        <f>(1-$D$35)/2</f>
        <v>0.4</v>
      </c>
      <c r="E37" s="78"/>
      <c r="F37" s="77">
        <f>D37</f>
        <v>0.4</v>
      </c>
    </row>
    <row r="38" spans="2:6" ht="15.75" thickBot="1" x14ac:dyDescent="0.3">
      <c r="B38" s="76"/>
      <c r="C38" s="75"/>
      <c r="D38" s="74"/>
      <c r="E38" s="73"/>
      <c r="F38" s="72"/>
    </row>
    <row r="39" spans="2:6" ht="15" x14ac:dyDescent="0.25">
      <c r="B39" s="71"/>
      <c r="C39" s="68"/>
      <c r="D39" s="70"/>
      <c r="E39" s="66"/>
      <c r="F39" s="69"/>
    </row>
    <row r="40" spans="2:6" x14ac:dyDescent="0.2">
      <c r="B40" s="67"/>
      <c r="C40" s="66"/>
      <c r="D40" s="66"/>
      <c r="E40" s="66"/>
      <c r="F40" s="66"/>
    </row>
    <row r="41" spans="2:6" x14ac:dyDescent="0.2">
      <c r="B41" s="67"/>
      <c r="C41" s="68"/>
    </row>
    <row r="42" spans="2:6" x14ac:dyDescent="0.2">
      <c r="B42" s="67"/>
      <c r="C42" s="66"/>
    </row>
    <row r="43" spans="2:6" x14ac:dyDescent="0.2">
      <c r="B43" s="67"/>
      <c r="C43" s="66"/>
    </row>
    <row r="44" spans="2:6" x14ac:dyDescent="0.2">
      <c r="B44" s="67"/>
      <c r="C44" s="66"/>
    </row>
    <row r="45" spans="2:6" x14ac:dyDescent="0.2">
      <c r="B45" s="67"/>
      <c r="C45" s="66"/>
    </row>
    <row r="46" spans="2:6" x14ac:dyDescent="0.2">
      <c r="B46" s="67"/>
      <c r="C46" s="66"/>
    </row>
    <row r="47" spans="2:6" x14ac:dyDescent="0.2">
      <c r="B47" s="67"/>
      <c r="C47" s="66"/>
    </row>
    <row r="48" spans="2:6" x14ac:dyDescent="0.2">
      <c r="B48" s="67"/>
      <c r="C48" s="68"/>
    </row>
    <row r="49" spans="2:3" x14ac:dyDescent="0.2">
      <c r="B49" s="67"/>
      <c r="C49" s="66"/>
    </row>
    <row r="50" spans="2:3" x14ac:dyDescent="0.2">
      <c r="B50" s="67"/>
      <c r="C50" s="68"/>
    </row>
    <row r="51" spans="2:3" x14ac:dyDescent="0.2">
      <c r="B51" s="67"/>
      <c r="C51" s="66"/>
    </row>
    <row r="52" spans="2:3" x14ac:dyDescent="0.2">
      <c r="B52" s="67"/>
      <c r="C52" s="66"/>
    </row>
    <row r="53" spans="2:3" x14ac:dyDescent="0.2">
      <c r="B53" s="67"/>
      <c r="C53" s="66"/>
    </row>
    <row r="54" spans="2:3" x14ac:dyDescent="0.2">
      <c r="B54" s="67"/>
      <c r="C54" s="66"/>
    </row>
    <row r="55" spans="2:3" x14ac:dyDescent="0.2">
      <c r="B55" s="67"/>
      <c r="C55" s="66"/>
    </row>
    <row r="56" spans="2:3" x14ac:dyDescent="0.2">
      <c r="B56" s="67"/>
      <c r="C56" s="66"/>
    </row>
    <row r="57" spans="2:3" x14ac:dyDescent="0.2">
      <c r="B57" s="67"/>
      <c r="C57" s="68"/>
    </row>
    <row r="58" spans="2:3" x14ac:dyDescent="0.2">
      <c r="B58" s="67"/>
      <c r="C58" s="66"/>
    </row>
    <row r="59" spans="2:3" x14ac:dyDescent="0.2">
      <c r="B59" s="67"/>
      <c r="C59" s="68"/>
    </row>
    <row r="60" spans="2:3" x14ac:dyDescent="0.2">
      <c r="B60" s="67"/>
      <c r="C60" s="66"/>
    </row>
    <row r="61" spans="2:3" x14ac:dyDescent="0.2">
      <c r="B61" s="67"/>
      <c r="C61" s="66"/>
    </row>
    <row r="62" spans="2:3" x14ac:dyDescent="0.2">
      <c r="B62" s="67"/>
      <c r="C62" s="66"/>
    </row>
    <row r="63" spans="2:3" x14ac:dyDescent="0.2">
      <c r="B63" s="67"/>
      <c r="C63" s="66"/>
    </row>
    <row r="64" spans="2:3" x14ac:dyDescent="0.2">
      <c r="B64" s="67"/>
      <c r="C64" s="66"/>
    </row>
    <row r="65" spans="2:3" x14ac:dyDescent="0.2">
      <c r="B65" s="67"/>
      <c r="C65" s="66"/>
    </row>
    <row r="66" spans="2:3" x14ac:dyDescent="0.2">
      <c r="B66" s="67"/>
      <c r="C66" s="68"/>
    </row>
    <row r="67" spans="2:3" x14ac:dyDescent="0.2">
      <c r="B67" s="67"/>
      <c r="C67" s="66"/>
    </row>
    <row r="68" spans="2:3" x14ac:dyDescent="0.2">
      <c r="B68" s="67"/>
      <c r="C68" s="68"/>
    </row>
    <row r="69" spans="2:3" x14ac:dyDescent="0.2">
      <c r="B69" s="67"/>
      <c r="C69" s="66"/>
    </row>
    <row r="70" spans="2:3" x14ac:dyDescent="0.2">
      <c r="B70" s="67"/>
      <c r="C70" s="66"/>
    </row>
    <row r="71" spans="2:3" x14ac:dyDescent="0.2">
      <c r="B71" s="67"/>
      <c r="C71" s="66"/>
    </row>
    <row r="72" spans="2:3" x14ac:dyDescent="0.2">
      <c r="B72" s="67"/>
      <c r="C72" s="66"/>
    </row>
    <row r="73" spans="2:3" x14ac:dyDescent="0.2">
      <c r="B73" s="67"/>
      <c r="C73" s="66"/>
    </row>
    <row r="74" spans="2:3" x14ac:dyDescent="0.2">
      <c r="B74" s="67"/>
      <c r="C74" s="66"/>
    </row>
  </sheetData>
  <mergeCells count="3">
    <mergeCell ref="D2:I2"/>
    <mergeCell ref="D4:I4"/>
    <mergeCell ref="B6:F6"/>
  </mergeCells>
  <conditionalFormatting sqref="D10:D17 D20:D27 D30:D33 D35:D37">
    <cfRule type="expression" dxfId="1183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outlinePr summaryBelow="0" summaryRight="0"/>
  </sheetPr>
  <dimension ref="A1:H281"/>
  <sheetViews>
    <sheetView topLeftCell="A244" workbookViewId="0">
      <selection activeCell="G225" sqref="G225"/>
    </sheetView>
  </sheetViews>
  <sheetFormatPr defaultColWidth="8.7109375" defaultRowHeight="12" outlineLevelRow="1" x14ac:dyDescent="0.2"/>
  <cols>
    <col min="1" max="1" width="3.85546875" style="111" customWidth="1"/>
    <col min="2" max="2" width="91.5703125" style="111" customWidth="1"/>
    <col min="3" max="3" width="4.5703125" style="111" customWidth="1"/>
    <col min="4" max="8" width="23" style="111" customWidth="1"/>
    <col min="9" max="16384" width="8.7109375" style="111"/>
  </cols>
  <sheetData>
    <row r="1" spans="1:8" ht="21" x14ac:dyDescent="0.35">
      <c r="D1" s="129">
        <v>1</v>
      </c>
      <c r="E1" s="129">
        <v>2</v>
      </c>
      <c r="F1" s="130" t="s">
        <v>98</v>
      </c>
      <c r="G1" s="129">
        <v>4</v>
      </c>
      <c r="H1" s="129">
        <v>5</v>
      </c>
    </row>
    <row r="2" spans="1:8" x14ac:dyDescent="0.2">
      <c r="D2" s="200" t="s">
        <v>241</v>
      </c>
      <c r="E2" s="200" t="s">
        <v>240</v>
      </c>
      <c r="F2" s="200" t="s">
        <v>239</v>
      </c>
      <c r="G2" s="200" t="s">
        <v>238</v>
      </c>
      <c r="H2" s="200" t="s">
        <v>237</v>
      </c>
    </row>
    <row r="3" spans="1:8" x14ac:dyDescent="0.2">
      <c r="D3" s="201"/>
      <c r="E3" s="201"/>
      <c r="F3" s="201"/>
      <c r="G3" s="201"/>
      <c r="H3" s="201"/>
    </row>
    <row r="4" spans="1:8" x14ac:dyDescent="0.2">
      <c r="D4" s="201"/>
      <c r="E4" s="201"/>
      <c r="F4" s="201"/>
      <c r="G4" s="201"/>
      <c r="H4" s="201"/>
    </row>
    <row r="5" spans="1:8" x14ac:dyDescent="0.2">
      <c r="D5" s="201"/>
      <c r="E5" s="201"/>
      <c r="F5" s="201"/>
      <c r="G5" s="201"/>
      <c r="H5" s="201"/>
    </row>
    <row r="6" spans="1:8" x14ac:dyDescent="0.2">
      <c r="D6" s="201"/>
      <c r="E6" s="201"/>
      <c r="F6" s="201"/>
      <c r="G6" s="201"/>
      <c r="H6" s="201"/>
    </row>
    <row r="7" spans="1:8" ht="12.75" thickBot="1" x14ac:dyDescent="0.25">
      <c r="D7" s="202"/>
      <c r="E7" s="202"/>
      <c r="F7" s="202"/>
      <c r="G7" s="202"/>
      <c r="H7" s="202"/>
    </row>
    <row r="8" spans="1:8" ht="15.6" customHeight="1" thickBot="1" x14ac:dyDescent="0.3">
      <c r="A8" s="125">
        <v>1</v>
      </c>
      <c r="B8" s="124" t="s">
        <v>236</v>
      </c>
      <c r="C8" s="123">
        <f>SUM(D8:H8)</f>
        <v>36</v>
      </c>
      <c r="D8" s="117">
        <f>COUNTA(D9:D41)</f>
        <v>0</v>
      </c>
      <c r="E8" s="117">
        <f>COUNTA(E9:E41)</f>
        <v>5</v>
      </c>
      <c r="F8" s="117">
        <f>COUNTA(F9:F41)</f>
        <v>12</v>
      </c>
      <c r="G8" s="117">
        <f>COUNTA(G9:G41)</f>
        <v>15</v>
      </c>
      <c r="H8" s="117">
        <f>COUNTA(H9:H41)</f>
        <v>4</v>
      </c>
    </row>
    <row r="9" spans="1:8" ht="15.6" customHeight="1" outlineLevel="1" thickTop="1" x14ac:dyDescent="0.25">
      <c r="D9" s="122"/>
      <c r="E9" s="121"/>
      <c r="F9" s="121"/>
      <c r="G9" s="121"/>
      <c r="H9" s="120"/>
    </row>
    <row r="10" spans="1:8" ht="15.6" customHeight="1" outlineLevel="1" x14ac:dyDescent="0.25">
      <c r="D10" s="118"/>
      <c r="E10" s="117" t="s">
        <v>89</v>
      </c>
      <c r="F10" s="117" t="s">
        <v>69</v>
      </c>
      <c r="G10" s="117" t="s">
        <v>28</v>
      </c>
      <c r="H10" s="116"/>
    </row>
    <row r="11" spans="1:8" ht="15.75" outlineLevel="1" x14ac:dyDescent="0.25">
      <c r="D11" s="118"/>
      <c r="E11" s="117" t="s">
        <v>49</v>
      </c>
      <c r="F11" s="117" t="s">
        <v>86</v>
      </c>
      <c r="G11" s="117" t="s">
        <v>79</v>
      </c>
      <c r="H11" s="116"/>
    </row>
    <row r="12" spans="1:8" ht="15.75" outlineLevel="1" x14ac:dyDescent="0.25">
      <c r="D12" s="118"/>
      <c r="E12" s="117" t="s">
        <v>190</v>
      </c>
      <c r="F12" s="117" t="s">
        <v>82</v>
      </c>
      <c r="G12" s="117" t="s">
        <v>67</v>
      </c>
      <c r="H12" s="116"/>
    </row>
    <row r="13" spans="1:8" ht="15.75" outlineLevel="1" x14ac:dyDescent="0.25">
      <c r="D13" s="118"/>
      <c r="F13" s="117" t="s">
        <v>92</v>
      </c>
      <c r="G13" s="117" t="s">
        <v>24</v>
      </c>
      <c r="H13" s="116"/>
    </row>
    <row r="14" spans="1:8" ht="15.75" outlineLevel="1" x14ac:dyDescent="0.25">
      <c r="D14" s="118"/>
      <c r="E14" s="117"/>
      <c r="F14" s="117" t="s">
        <v>53</v>
      </c>
      <c r="G14" s="117" t="s">
        <v>235</v>
      </c>
      <c r="H14" s="116"/>
    </row>
    <row r="15" spans="1:8" ht="15.75" outlineLevel="1" x14ac:dyDescent="0.25">
      <c r="D15" s="118"/>
      <c r="E15" s="117"/>
      <c r="F15" s="117" t="s">
        <v>94</v>
      </c>
      <c r="G15" s="117" t="s">
        <v>57</v>
      </c>
      <c r="H15" s="116"/>
    </row>
    <row r="16" spans="1:8" ht="15.75" outlineLevel="1" x14ac:dyDescent="0.25">
      <c r="D16" s="118"/>
      <c r="E16" s="117"/>
      <c r="F16" s="117" t="s">
        <v>87</v>
      </c>
      <c r="G16" s="117" t="s">
        <v>35</v>
      </c>
      <c r="H16" s="116"/>
    </row>
    <row r="17" spans="4:8" ht="15.75" outlineLevel="1" x14ac:dyDescent="0.25">
      <c r="D17" s="118"/>
      <c r="E17" s="117"/>
      <c r="F17" s="117"/>
      <c r="G17" s="117" t="s">
        <v>31</v>
      </c>
      <c r="H17" s="116"/>
    </row>
    <row r="18" spans="4:8" ht="15.75" outlineLevel="1" x14ac:dyDescent="0.25">
      <c r="D18" s="118"/>
      <c r="E18" s="117"/>
      <c r="F18" s="117"/>
      <c r="G18" s="117" t="s">
        <v>66</v>
      </c>
      <c r="H18" s="116"/>
    </row>
    <row r="19" spans="4:8" ht="15.75" outlineLevel="1" x14ac:dyDescent="0.25">
      <c r="D19" s="118"/>
      <c r="E19" s="117"/>
      <c r="F19" s="117" t="s">
        <v>21</v>
      </c>
      <c r="G19" s="117" t="s">
        <v>45</v>
      </c>
      <c r="H19" s="116"/>
    </row>
    <row r="20" spans="4:8" ht="15.75" outlineLevel="1" x14ac:dyDescent="0.25">
      <c r="D20" s="118"/>
      <c r="E20" s="117"/>
      <c r="F20" s="117"/>
      <c r="G20" s="117" t="s">
        <v>75</v>
      </c>
      <c r="H20" s="116"/>
    </row>
    <row r="21" spans="4:8" ht="15.75" outlineLevel="1" x14ac:dyDescent="0.25">
      <c r="D21" s="118"/>
      <c r="E21" s="117" t="s">
        <v>96</v>
      </c>
      <c r="F21" s="117"/>
      <c r="G21" s="117"/>
      <c r="H21" s="116" t="s">
        <v>71</v>
      </c>
    </row>
    <row r="22" spans="4:8" ht="15.75" outlineLevel="1" x14ac:dyDescent="0.25">
      <c r="D22" s="118"/>
      <c r="E22" s="117" t="s">
        <v>56</v>
      </c>
      <c r="F22" s="117" t="s">
        <v>189</v>
      </c>
      <c r="G22" s="117" t="s">
        <v>73</v>
      </c>
      <c r="H22" s="116"/>
    </row>
    <row r="23" spans="4:8" ht="15.75" outlineLevel="1" x14ac:dyDescent="0.25">
      <c r="D23" s="118"/>
      <c r="E23" s="117"/>
      <c r="F23" s="117" t="s">
        <v>97</v>
      </c>
      <c r="G23" s="119" t="s">
        <v>230</v>
      </c>
      <c r="H23" s="116"/>
    </row>
    <row r="24" spans="4:8" ht="15.75" outlineLevel="1" x14ac:dyDescent="0.25">
      <c r="D24" s="118"/>
      <c r="E24" s="117"/>
      <c r="F24" s="117" t="s">
        <v>83</v>
      </c>
      <c r="G24" s="116"/>
      <c r="H24" s="116" t="s">
        <v>280</v>
      </c>
    </row>
    <row r="25" spans="4:8" ht="15.75" outlineLevel="1" x14ac:dyDescent="0.25">
      <c r="D25" s="118"/>
      <c r="E25" s="117"/>
      <c r="F25" s="117" t="s">
        <v>77</v>
      </c>
      <c r="G25" s="116"/>
      <c r="H25" s="116" t="s">
        <v>295</v>
      </c>
    </row>
    <row r="26" spans="4:8" ht="15.75" outlineLevel="1" x14ac:dyDescent="0.25">
      <c r="D26" s="118"/>
      <c r="E26" s="117"/>
      <c r="F26" s="117"/>
      <c r="G26" s="117" t="s">
        <v>39</v>
      </c>
      <c r="H26" s="116"/>
    </row>
    <row r="27" spans="4:8" ht="15.75" outlineLevel="1" x14ac:dyDescent="0.25">
      <c r="D27" s="118"/>
      <c r="E27" s="119"/>
      <c r="F27" s="117"/>
      <c r="G27" s="117" t="s">
        <v>17</v>
      </c>
      <c r="H27" s="116" t="s">
        <v>279</v>
      </c>
    </row>
    <row r="28" spans="4:8" ht="15.75" outlineLevel="1" x14ac:dyDescent="0.25">
      <c r="D28" s="118"/>
      <c r="E28" s="117"/>
      <c r="F28" s="117"/>
      <c r="G28" s="117"/>
      <c r="H28" s="116"/>
    </row>
    <row r="29" spans="4:8" ht="15.75" outlineLevel="1" x14ac:dyDescent="0.25">
      <c r="D29" s="118"/>
      <c r="E29" s="117"/>
      <c r="F29" s="117"/>
      <c r="G29" s="117"/>
      <c r="H29" s="116"/>
    </row>
    <row r="30" spans="4:8" ht="15.75" outlineLevel="1" x14ac:dyDescent="0.25">
      <c r="D30" s="118"/>
      <c r="E30" s="117"/>
      <c r="F30" s="117"/>
      <c r="G30" s="117"/>
      <c r="H30" s="116"/>
    </row>
    <row r="31" spans="4:8" ht="15.75" outlineLevel="1" x14ac:dyDescent="0.25">
      <c r="D31" s="118"/>
      <c r="E31" s="117"/>
      <c r="F31" s="117"/>
      <c r="G31" s="117"/>
      <c r="H31" s="116"/>
    </row>
    <row r="32" spans="4:8" ht="15.75" outlineLevel="1" x14ac:dyDescent="0.25">
      <c r="D32" s="118"/>
      <c r="E32" s="117"/>
      <c r="F32" s="117"/>
      <c r="G32" s="117"/>
      <c r="H32" s="116"/>
    </row>
    <row r="33" spans="1:8" ht="15.75" outlineLevel="1" x14ac:dyDescent="0.25">
      <c r="D33" s="118"/>
      <c r="E33" s="117"/>
      <c r="F33" s="117"/>
      <c r="G33" s="117"/>
      <c r="H33" s="116"/>
    </row>
    <row r="34" spans="1:8" ht="15.75" outlineLevel="1" x14ac:dyDescent="0.25">
      <c r="D34" s="118"/>
      <c r="E34" s="117"/>
      <c r="F34" s="117"/>
      <c r="G34" s="117"/>
      <c r="H34" s="116"/>
    </row>
    <row r="35" spans="1:8" ht="15.75" outlineLevel="1" x14ac:dyDescent="0.25">
      <c r="D35" s="118"/>
      <c r="E35" s="117"/>
      <c r="F35" s="117"/>
      <c r="G35" s="117"/>
      <c r="H35" s="116"/>
    </row>
    <row r="36" spans="1:8" ht="15.75" outlineLevel="1" x14ac:dyDescent="0.25">
      <c r="D36" s="118"/>
      <c r="E36" s="117"/>
      <c r="F36" s="117"/>
      <c r="G36" s="117"/>
      <c r="H36" s="116"/>
    </row>
    <row r="37" spans="1:8" ht="15.75" outlineLevel="1" x14ac:dyDescent="0.25">
      <c r="D37" s="118"/>
      <c r="E37" s="117"/>
      <c r="F37" s="117"/>
      <c r="G37" s="117"/>
      <c r="H37" s="116"/>
    </row>
    <row r="38" spans="1:8" ht="15.75" outlineLevel="1" x14ac:dyDescent="0.25">
      <c r="D38" s="118"/>
      <c r="E38" s="117"/>
      <c r="F38" s="117"/>
      <c r="G38" s="117"/>
      <c r="H38" s="116"/>
    </row>
    <row r="39" spans="1:8" ht="15.75" outlineLevel="1" x14ac:dyDescent="0.25">
      <c r="D39" s="118"/>
      <c r="E39" s="117"/>
      <c r="F39" s="117"/>
      <c r="G39" s="117"/>
      <c r="H39" s="116"/>
    </row>
    <row r="40" spans="1:8" ht="15.75" outlineLevel="1" x14ac:dyDescent="0.25">
      <c r="D40" s="118"/>
      <c r="E40" s="117"/>
      <c r="F40" s="117"/>
      <c r="G40" s="117"/>
      <c r="H40" s="116"/>
    </row>
    <row r="41" spans="1:8" ht="16.5" outlineLevel="1" thickBot="1" x14ac:dyDescent="0.3">
      <c r="D41" s="128"/>
      <c r="E41" s="127"/>
      <c r="F41" s="127"/>
      <c r="G41" s="127"/>
      <c r="H41" s="126"/>
    </row>
    <row r="42" spans="1:8" ht="25.9" customHeight="1" thickTop="1" thickBot="1" x14ac:dyDescent="0.3">
      <c r="A42" s="125">
        <f>A8+1</f>
        <v>2</v>
      </c>
      <c r="B42" s="124" t="s">
        <v>234</v>
      </c>
      <c r="C42" s="123">
        <f>SUM(D42:H42)</f>
        <v>37</v>
      </c>
      <c r="D42" s="117">
        <f>COUNTA(D43:D75)</f>
        <v>1</v>
      </c>
      <c r="E42" s="117">
        <f>COUNTA(E43:E75)</f>
        <v>3</v>
      </c>
      <c r="F42" s="117">
        <f>COUNTA(F43:F75)</f>
        <v>18</v>
      </c>
      <c r="G42" s="117">
        <f>COUNTA(G43:G75)</f>
        <v>9</v>
      </c>
      <c r="H42" s="117">
        <f>COUNTA(H43:H75)</f>
        <v>6</v>
      </c>
    </row>
    <row r="43" spans="1:8" ht="15.6" customHeight="1" outlineLevel="1" thickTop="1" x14ac:dyDescent="0.25">
      <c r="D43" s="122"/>
      <c r="E43" s="121"/>
      <c r="F43" s="121"/>
      <c r="G43" s="121"/>
      <c r="H43" s="120"/>
    </row>
    <row r="44" spans="1:8" ht="15.6" customHeight="1" outlineLevel="1" x14ac:dyDescent="0.25">
      <c r="D44" s="118"/>
      <c r="E44" s="117" t="s">
        <v>97</v>
      </c>
      <c r="F44" s="117" t="s">
        <v>69</v>
      </c>
      <c r="G44" s="117" t="s">
        <v>28</v>
      </c>
      <c r="H44" s="116"/>
    </row>
    <row r="45" spans="1:8" ht="15.75" outlineLevel="1" x14ac:dyDescent="0.25">
      <c r="D45" s="118"/>
      <c r="E45" s="117" t="s">
        <v>89</v>
      </c>
      <c r="F45" s="117" t="s">
        <v>82</v>
      </c>
      <c r="G45" s="117"/>
      <c r="H45" s="116"/>
    </row>
    <row r="46" spans="1:8" ht="15.75" outlineLevel="1" x14ac:dyDescent="0.25">
      <c r="D46" s="118"/>
      <c r="E46" s="117" t="s">
        <v>96</v>
      </c>
      <c r="F46" s="117" t="s">
        <v>92</v>
      </c>
      <c r="G46" s="117"/>
      <c r="H46" s="116"/>
    </row>
    <row r="47" spans="1:8" ht="15.75" outlineLevel="1" x14ac:dyDescent="0.25">
      <c r="D47" s="118" t="s">
        <v>49</v>
      </c>
      <c r="E47" s="117"/>
      <c r="F47" s="117" t="s">
        <v>53</v>
      </c>
      <c r="G47" s="117"/>
      <c r="H47" s="116"/>
    </row>
    <row r="48" spans="1:8" ht="15.75" outlineLevel="1" x14ac:dyDescent="0.25">
      <c r="D48" s="118"/>
      <c r="E48" s="117"/>
      <c r="F48" s="117" t="s">
        <v>94</v>
      </c>
      <c r="G48" s="117"/>
      <c r="H48" s="116"/>
    </row>
    <row r="49" spans="4:8" ht="15.75" outlineLevel="1" x14ac:dyDescent="0.25">
      <c r="D49" s="118"/>
      <c r="E49" s="117"/>
      <c r="F49" s="117" t="s">
        <v>21</v>
      </c>
      <c r="G49" s="117"/>
      <c r="H49" s="116"/>
    </row>
    <row r="50" spans="4:8" ht="15.75" outlineLevel="1" x14ac:dyDescent="0.25">
      <c r="D50" s="118"/>
      <c r="E50" s="117"/>
      <c r="F50" s="117" t="s">
        <v>17</v>
      </c>
      <c r="G50" s="117" t="s">
        <v>71</v>
      </c>
      <c r="H50" s="116"/>
    </row>
    <row r="51" spans="4:8" ht="15.75" outlineLevel="1" x14ac:dyDescent="0.25">
      <c r="D51" s="118"/>
      <c r="E51" s="117"/>
      <c r="F51" s="117" t="s">
        <v>56</v>
      </c>
      <c r="G51" s="117" t="s">
        <v>45</v>
      </c>
      <c r="H51" s="116"/>
    </row>
    <row r="52" spans="4:8" ht="15.75" outlineLevel="1" x14ac:dyDescent="0.25">
      <c r="D52" s="118"/>
      <c r="E52" s="117"/>
      <c r="F52" s="117" t="s">
        <v>83</v>
      </c>
      <c r="G52" s="117"/>
      <c r="H52" s="116" t="s">
        <v>86</v>
      </c>
    </row>
    <row r="53" spans="4:8" ht="15.75" outlineLevel="1" x14ac:dyDescent="0.25">
      <c r="D53" s="118"/>
      <c r="E53" s="117"/>
      <c r="F53" s="117" t="s">
        <v>77</v>
      </c>
      <c r="G53" s="117"/>
      <c r="H53" s="116" t="s">
        <v>280</v>
      </c>
    </row>
    <row r="54" spans="4:8" ht="15.75" outlineLevel="1" x14ac:dyDescent="0.25">
      <c r="D54" s="118"/>
      <c r="E54" s="117"/>
      <c r="F54" s="117" t="s">
        <v>75</v>
      </c>
      <c r="G54" s="117"/>
      <c r="H54" s="116" t="s">
        <v>295</v>
      </c>
    </row>
    <row r="55" spans="4:8" ht="15.75" outlineLevel="1" x14ac:dyDescent="0.25">
      <c r="D55" s="118"/>
      <c r="E55" s="117"/>
      <c r="F55" s="117" t="s">
        <v>190</v>
      </c>
      <c r="G55" s="117" t="s">
        <v>67</v>
      </c>
      <c r="H55" s="116" t="s">
        <v>279</v>
      </c>
    </row>
    <row r="56" spans="4:8" ht="15.75" outlineLevel="1" x14ac:dyDescent="0.25">
      <c r="D56" s="118"/>
      <c r="E56" s="117"/>
      <c r="F56" s="119" t="s">
        <v>35</v>
      </c>
      <c r="G56" s="117" t="s">
        <v>24</v>
      </c>
      <c r="H56" s="116"/>
    </row>
    <row r="57" spans="4:8" ht="15.75" outlineLevel="1" x14ac:dyDescent="0.25">
      <c r="D57" s="118"/>
      <c r="E57" s="117"/>
      <c r="F57" s="117" t="s">
        <v>31</v>
      </c>
      <c r="G57" s="119" t="s">
        <v>68</v>
      </c>
      <c r="H57" s="116"/>
    </row>
    <row r="58" spans="4:8" ht="15.75" outlineLevel="1" x14ac:dyDescent="0.25">
      <c r="D58" s="118"/>
      <c r="E58" s="117"/>
      <c r="F58" s="117" t="s">
        <v>73</v>
      </c>
      <c r="G58" s="119"/>
      <c r="H58" s="116" t="s">
        <v>57</v>
      </c>
    </row>
    <row r="59" spans="4:8" ht="15.75" outlineLevel="1" x14ac:dyDescent="0.25">
      <c r="D59" s="118"/>
      <c r="E59" s="117"/>
      <c r="F59" s="117" t="s">
        <v>87</v>
      </c>
      <c r="G59" s="117" t="s">
        <v>66</v>
      </c>
      <c r="H59" s="116"/>
    </row>
    <row r="60" spans="4:8" ht="15.75" outlineLevel="1" x14ac:dyDescent="0.25">
      <c r="D60" s="118"/>
      <c r="E60" s="117"/>
      <c r="F60" s="117" t="s">
        <v>79</v>
      </c>
      <c r="G60" s="117" t="s">
        <v>65</v>
      </c>
      <c r="H60" s="116"/>
    </row>
    <row r="61" spans="4:8" ht="15.75" outlineLevel="1" x14ac:dyDescent="0.25">
      <c r="D61" s="118"/>
      <c r="E61" s="119"/>
      <c r="F61" s="117" t="s">
        <v>189</v>
      </c>
      <c r="G61" s="117"/>
      <c r="H61" s="116" t="s">
        <v>230</v>
      </c>
    </row>
    <row r="62" spans="4:8" ht="15.75" outlineLevel="1" x14ac:dyDescent="0.25">
      <c r="D62" s="118"/>
      <c r="E62" s="117"/>
      <c r="F62" s="117"/>
      <c r="G62" s="117" t="s">
        <v>39</v>
      </c>
      <c r="H62" s="116"/>
    </row>
    <row r="63" spans="4:8" ht="15.75" outlineLevel="1" x14ac:dyDescent="0.25">
      <c r="D63" s="118"/>
      <c r="E63" s="117"/>
      <c r="F63" s="117"/>
      <c r="G63" s="117"/>
      <c r="H63" s="116"/>
    </row>
    <row r="64" spans="4:8" ht="15.75" outlineLevel="1" x14ac:dyDescent="0.25">
      <c r="D64" s="118"/>
      <c r="E64" s="117"/>
      <c r="F64" s="117"/>
      <c r="G64" s="117"/>
      <c r="H64" s="116"/>
    </row>
    <row r="65" spans="1:8" ht="15.75" outlineLevel="1" x14ac:dyDescent="0.25">
      <c r="D65" s="118"/>
      <c r="E65" s="117"/>
      <c r="F65" s="117"/>
      <c r="G65" s="117"/>
      <c r="H65" s="116"/>
    </row>
    <row r="66" spans="1:8" ht="15.75" outlineLevel="1" x14ac:dyDescent="0.25">
      <c r="D66" s="118"/>
      <c r="E66" s="117"/>
      <c r="F66" s="117"/>
      <c r="G66" s="117"/>
      <c r="H66" s="116"/>
    </row>
    <row r="67" spans="1:8" ht="15.75" outlineLevel="1" x14ac:dyDescent="0.25">
      <c r="D67" s="118"/>
      <c r="E67" s="117"/>
      <c r="F67" s="117"/>
      <c r="G67" s="117"/>
      <c r="H67" s="116"/>
    </row>
    <row r="68" spans="1:8" ht="15.75" outlineLevel="1" x14ac:dyDescent="0.25">
      <c r="D68" s="118"/>
      <c r="E68" s="117"/>
      <c r="F68" s="117"/>
      <c r="G68" s="117"/>
      <c r="H68" s="116"/>
    </row>
    <row r="69" spans="1:8" ht="15.75" outlineLevel="1" x14ac:dyDescent="0.25">
      <c r="D69" s="118"/>
      <c r="E69" s="117"/>
      <c r="F69" s="117"/>
      <c r="G69" s="117"/>
      <c r="H69" s="116"/>
    </row>
    <row r="70" spans="1:8" ht="15.75" outlineLevel="1" x14ac:dyDescent="0.25">
      <c r="D70" s="118"/>
      <c r="E70" s="117"/>
      <c r="F70" s="117"/>
      <c r="G70" s="117"/>
      <c r="H70" s="116"/>
    </row>
    <row r="71" spans="1:8" ht="15.75" outlineLevel="1" x14ac:dyDescent="0.25">
      <c r="D71" s="118"/>
      <c r="E71" s="117"/>
      <c r="F71" s="117"/>
      <c r="G71" s="117"/>
      <c r="H71" s="116"/>
    </row>
    <row r="72" spans="1:8" ht="15.75" outlineLevel="1" x14ac:dyDescent="0.25">
      <c r="D72" s="118"/>
      <c r="E72" s="117"/>
      <c r="F72" s="117"/>
      <c r="G72" s="117"/>
      <c r="H72" s="116"/>
    </row>
    <row r="73" spans="1:8" ht="15.75" outlineLevel="1" x14ac:dyDescent="0.25">
      <c r="D73" s="118"/>
      <c r="E73" s="117"/>
      <c r="F73" s="117"/>
      <c r="G73" s="117"/>
      <c r="H73" s="116"/>
    </row>
    <row r="74" spans="1:8" ht="15.75" outlineLevel="1" x14ac:dyDescent="0.25">
      <c r="D74" s="118"/>
      <c r="E74" s="117"/>
      <c r="F74" s="117"/>
      <c r="G74" s="117"/>
      <c r="H74" s="116"/>
    </row>
    <row r="75" spans="1:8" ht="16.5" outlineLevel="1" thickBot="1" x14ac:dyDescent="0.3">
      <c r="D75" s="128"/>
      <c r="E75" s="127"/>
      <c r="F75" s="127"/>
      <c r="G75" s="127"/>
      <c r="H75" s="126"/>
    </row>
    <row r="76" spans="1:8" ht="15.6" customHeight="1" thickTop="1" thickBot="1" x14ac:dyDescent="0.3">
      <c r="A76" s="125">
        <f>A42+1</f>
        <v>3</v>
      </c>
      <c r="B76" s="124" t="s">
        <v>233</v>
      </c>
      <c r="C76" s="123">
        <f>SUM(D76:H76)</f>
        <v>37</v>
      </c>
      <c r="D76" s="117">
        <f>COUNTA(D77:D109)</f>
        <v>1</v>
      </c>
      <c r="E76" s="117">
        <f>COUNTA(E77:E109)</f>
        <v>3</v>
      </c>
      <c r="F76" s="117">
        <f>COUNTA(F77:F109)</f>
        <v>13</v>
      </c>
      <c r="G76" s="117">
        <f>COUNTA(G77:G109)</f>
        <v>14</v>
      </c>
      <c r="H76" s="117">
        <f>COUNTA(H77:H109)</f>
        <v>6</v>
      </c>
    </row>
    <row r="77" spans="1:8" ht="15.6" customHeight="1" outlineLevel="1" thickTop="1" x14ac:dyDescent="0.25">
      <c r="D77" s="122"/>
      <c r="E77" s="121" t="s">
        <v>89</v>
      </c>
      <c r="F77" s="121" t="s">
        <v>69</v>
      </c>
      <c r="G77" s="121" t="s">
        <v>28</v>
      </c>
      <c r="H77" s="120"/>
    </row>
    <row r="78" spans="1:8" ht="15.6" customHeight="1" outlineLevel="1" x14ac:dyDescent="0.25">
      <c r="D78" s="118"/>
      <c r="E78" s="117" t="s">
        <v>96</v>
      </c>
      <c r="F78" s="117" t="s">
        <v>82</v>
      </c>
      <c r="G78" s="117" t="s">
        <v>79</v>
      </c>
      <c r="H78" s="116"/>
    </row>
    <row r="79" spans="1:8" ht="15.75" outlineLevel="1" x14ac:dyDescent="0.25">
      <c r="D79" s="118" t="s">
        <v>49</v>
      </c>
      <c r="E79" s="117"/>
      <c r="F79" s="117" t="s">
        <v>92</v>
      </c>
      <c r="G79" s="117" t="s">
        <v>71</v>
      </c>
      <c r="H79" s="116"/>
    </row>
    <row r="80" spans="1:8" ht="15.75" outlineLevel="1" x14ac:dyDescent="0.25">
      <c r="D80" s="118"/>
      <c r="E80" s="117"/>
      <c r="F80" s="117" t="s">
        <v>53</v>
      </c>
      <c r="G80" s="117" t="s">
        <v>35</v>
      </c>
      <c r="H80" s="116"/>
    </row>
    <row r="81" spans="4:8" ht="15.75" outlineLevel="1" x14ac:dyDescent="0.25">
      <c r="D81" s="118"/>
      <c r="E81" s="117"/>
      <c r="F81" s="117" t="s">
        <v>94</v>
      </c>
      <c r="G81" s="117" t="s">
        <v>75</v>
      </c>
      <c r="H81" s="116"/>
    </row>
    <row r="82" spans="4:8" ht="15.75" outlineLevel="1" x14ac:dyDescent="0.25">
      <c r="D82" s="118"/>
      <c r="F82" s="117" t="s">
        <v>87</v>
      </c>
      <c r="G82" s="117" t="s">
        <v>31</v>
      </c>
      <c r="H82" s="116"/>
    </row>
    <row r="83" spans="4:8" ht="15.75" outlineLevel="1" x14ac:dyDescent="0.25">
      <c r="D83" s="118"/>
      <c r="E83" s="117"/>
      <c r="F83" s="117" t="s">
        <v>21</v>
      </c>
      <c r="G83" s="117" t="s">
        <v>73</v>
      </c>
      <c r="H83" s="116"/>
    </row>
    <row r="84" spans="4:8" ht="15.75" outlineLevel="1" x14ac:dyDescent="0.25">
      <c r="D84" s="118"/>
      <c r="E84" s="117"/>
      <c r="F84" s="117" t="s">
        <v>17</v>
      </c>
      <c r="G84" s="117" t="s">
        <v>45</v>
      </c>
      <c r="H84" s="116" t="s">
        <v>86</v>
      </c>
    </row>
    <row r="85" spans="4:8" ht="15.75" outlineLevel="1" x14ac:dyDescent="0.25">
      <c r="D85" s="118"/>
      <c r="E85" s="117"/>
      <c r="F85" s="117" t="s">
        <v>56</v>
      </c>
      <c r="G85" s="117"/>
      <c r="H85" s="116" t="s">
        <v>280</v>
      </c>
    </row>
    <row r="86" spans="4:8" ht="15.75" outlineLevel="1" x14ac:dyDescent="0.25">
      <c r="D86" s="118"/>
      <c r="E86" s="117" t="s">
        <v>97</v>
      </c>
      <c r="F86" s="117"/>
      <c r="G86" s="117"/>
      <c r="H86" s="116" t="s">
        <v>295</v>
      </c>
    </row>
    <row r="87" spans="4:8" ht="15.75" outlineLevel="1" x14ac:dyDescent="0.25">
      <c r="D87" s="118"/>
      <c r="E87" s="117"/>
      <c r="F87" s="117" t="s">
        <v>83</v>
      </c>
      <c r="G87" s="117" t="s">
        <v>67</v>
      </c>
      <c r="H87" s="116" t="s">
        <v>279</v>
      </c>
    </row>
    <row r="88" spans="4:8" ht="15.75" outlineLevel="1" x14ac:dyDescent="0.25">
      <c r="D88" s="118"/>
      <c r="E88" s="117"/>
      <c r="F88" s="117" t="s">
        <v>232</v>
      </c>
      <c r="G88" s="117" t="s">
        <v>24</v>
      </c>
      <c r="H88" s="116"/>
    </row>
    <row r="89" spans="4:8" ht="15.75" outlineLevel="1" x14ac:dyDescent="0.25">
      <c r="D89" s="118"/>
      <c r="E89" s="117"/>
      <c r="F89" s="117"/>
      <c r="G89" s="117" t="s">
        <v>68</v>
      </c>
      <c r="H89" s="116"/>
    </row>
    <row r="90" spans="4:8" ht="15.75" outlineLevel="1" x14ac:dyDescent="0.25">
      <c r="D90" s="118"/>
      <c r="E90" s="117"/>
      <c r="F90" s="119" t="s">
        <v>189</v>
      </c>
      <c r="G90" s="117" t="s">
        <v>39</v>
      </c>
      <c r="H90" s="116" t="s">
        <v>57</v>
      </c>
    </row>
    <row r="91" spans="4:8" ht="15.75" outlineLevel="1" x14ac:dyDescent="0.25">
      <c r="D91" s="118"/>
      <c r="E91" s="117"/>
      <c r="F91" s="117" t="s">
        <v>190</v>
      </c>
      <c r="G91" s="119" t="s">
        <v>66</v>
      </c>
      <c r="H91" s="116"/>
    </row>
    <row r="92" spans="4:8" ht="15.75" outlineLevel="1" x14ac:dyDescent="0.25">
      <c r="D92" s="118"/>
      <c r="E92" s="117"/>
      <c r="F92" s="117"/>
      <c r="G92" s="119" t="s">
        <v>65</v>
      </c>
      <c r="H92" s="116"/>
    </row>
    <row r="93" spans="4:8" ht="15.75" outlineLevel="1" x14ac:dyDescent="0.25">
      <c r="D93" s="118"/>
      <c r="E93" s="117"/>
      <c r="F93" s="117"/>
      <c r="G93" s="117"/>
      <c r="H93" s="116" t="s">
        <v>230</v>
      </c>
    </row>
    <row r="94" spans="4:8" ht="15.75" outlineLevel="1" x14ac:dyDescent="0.25">
      <c r="D94" s="118"/>
      <c r="E94" s="117"/>
      <c r="F94" s="117"/>
      <c r="G94" s="117"/>
      <c r="H94" s="116"/>
    </row>
    <row r="95" spans="4:8" ht="15.75" outlineLevel="1" x14ac:dyDescent="0.25">
      <c r="D95" s="118"/>
      <c r="E95" s="119"/>
      <c r="F95" s="117"/>
      <c r="G95" s="117"/>
      <c r="H95" s="116"/>
    </row>
    <row r="96" spans="4:8" ht="15.75" outlineLevel="1" x14ac:dyDescent="0.25">
      <c r="D96" s="118"/>
      <c r="E96" s="117"/>
      <c r="F96" s="117"/>
      <c r="G96" s="117"/>
      <c r="H96" s="116"/>
    </row>
    <row r="97" spans="1:8" ht="15.75" outlineLevel="1" x14ac:dyDescent="0.25">
      <c r="D97" s="118"/>
      <c r="E97" s="117"/>
      <c r="F97" s="117"/>
      <c r="G97" s="117"/>
      <c r="H97" s="116"/>
    </row>
    <row r="98" spans="1:8" ht="15.75" outlineLevel="1" x14ac:dyDescent="0.25">
      <c r="D98" s="118"/>
      <c r="E98" s="117"/>
      <c r="F98" s="117"/>
      <c r="G98" s="117"/>
      <c r="H98" s="116"/>
    </row>
    <row r="99" spans="1:8" ht="15.75" outlineLevel="1" x14ac:dyDescent="0.25">
      <c r="D99" s="118"/>
      <c r="E99" s="117"/>
      <c r="F99" s="117"/>
      <c r="G99" s="117"/>
      <c r="H99" s="116"/>
    </row>
    <row r="100" spans="1:8" ht="15.75" outlineLevel="1" x14ac:dyDescent="0.25">
      <c r="D100" s="118"/>
      <c r="E100" s="117"/>
      <c r="F100" s="117"/>
      <c r="G100" s="117"/>
      <c r="H100" s="116"/>
    </row>
    <row r="101" spans="1:8" ht="15.75" outlineLevel="1" x14ac:dyDescent="0.25">
      <c r="D101" s="118"/>
      <c r="E101" s="117"/>
      <c r="F101" s="117"/>
      <c r="G101" s="117"/>
      <c r="H101" s="116"/>
    </row>
    <row r="102" spans="1:8" ht="15.75" outlineLevel="1" x14ac:dyDescent="0.25">
      <c r="D102" s="118"/>
      <c r="E102" s="117"/>
      <c r="F102" s="117"/>
      <c r="G102" s="117"/>
      <c r="H102" s="116"/>
    </row>
    <row r="103" spans="1:8" ht="15.75" outlineLevel="1" x14ac:dyDescent="0.25">
      <c r="D103" s="118"/>
      <c r="E103" s="117"/>
      <c r="F103" s="117"/>
      <c r="G103" s="117"/>
      <c r="H103" s="116"/>
    </row>
    <row r="104" spans="1:8" ht="15.75" outlineLevel="1" x14ac:dyDescent="0.25">
      <c r="D104" s="118"/>
      <c r="E104" s="117"/>
      <c r="F104" s="117"/>
      <c r="G104" s="117"/>
      <c r="H104" s="116"/>
    </row>
    <row r="105" spans="1:8" ht="15.75" outlineLevel="1" x14ac:dyDescent="0.25">
      <c r="D105" s="118"/>
      <c r="E105" s="117"/>
      <c r="F105" s="117"/>
      <c r="G105" s="117"/>
      <c r="H105" s="116"/>
    </row>
    <row r="106" spans="1:8" ht="15.75" outlineLevel="1" x14ac:dyDescent="0.25">
      <c r="D106" s="118"/>
      <c r="E106" s="117"/>
      <c r="F106" s="117"/>
      <c r="G106" s="117"/>
      <c r="H106" s="116"/>
    </row>
    <row r="107" spans="1:8" ht="15.75" outlineLevel="1" x14ac:dyDescent="0.25">
      <c r="D107" s="118"/>
      <c r="E107" s="117"/>
      <c r="F107" s="117"/>
      <c r="G107" s="117"/>
      <c r="H107" s="116"/>
    </row>
    <row r="108" spans="1:8" ht="15.75" outlineLevel="1" x14ac:dyDescent="0.25">
      <c r="D108" s="118"/>
      <c r="E108" s="117"/>
      <c r="F108" s="117"/>
      <c r="G108" s="117"/>
      <c r="H108" s="116"/>
    </row>
    <row r="109" spans="1:8" ht="16.5" outlineLevel="1" thickBot="1" x14ac:dyDescent="0.3">
      <c r="D109" s="128"/>
      <c r="E109" s="127"/>
      <c r="F109" s="127"/>
      <c r="G109" s="127"/>
      <c r="H109" s="126"/>
    </row>
    <row r="110" spans="1:8" ht="15.6" customHeight="1" thickTop="1" thickBot="1" x14ac:dyDescent="0.3">
      <c r="A110" s="125">
        <f>A76+1</f>
        <v>4</v>
      </c>
      <c r="B110" s="124" t="s">
        <v>231</v>
      </c>
      <c r="C110" s="123">
        <f>SUM(D110:H110)</f>
        <v>37</v>
      </c>
      <c r="D110" s="117">
        <f>COUNTA(D111:D143)</f>
        <v>0</v>
      </c>
      <c r="E110" s="117">
        <f>COUNTA(E111:E143)</f>
        <v>4</v>
      </c>
      <c r="F110" s="117">
        <f>COUNTA(F111:F143)</f>
        <v>15</v>
      </c>
      <c r="G110" s="117">
        <f>COUNTA(G111:G143)</f>
        <v>15</v>
      </c>
      <c r="H110" s="117">
        <f>COUNTA(H111:H143)</f>
        <v>3</v>
      </c>
    </row>
    <row r="111" spans="1:8" ht="15.6" customHeight="1" outlineLevel="1" thickTop="1" x14ac:dyDescent="0.25">
      <c r="D111" s="122"/>
      <c r="E111" s="121" t="s">
        <v>89</v>
      </c>
      <c r="F111" s="121" t="s">
        <v>69</v>
      </c>
      <c r="G111" s="121" t="s">
        <v>86</v>
      </c>
      <c r="H111" s="120" t="s">
        <v>280</v>
      </c>
    </row>
    <row r="112" spans="1:8" ht="15.6" customHeight="1" outlineLevel="1" x14ac:dyDescent="0.25">
      <c r="D112" s="118"/>
      <c r="E112" s="117" t="s">
        <v>96</v>
      </c>
      <c r="F112" s="117" t="s">
        <v>82</v>
      </c>
      <c r="G112" s="117" t="s">
        <v>28</v>
      </c>
      <c r="H112" s="116" t="s">
        <v>295</v>
      </c>
    </row>
    <row r="113" spans="4:8" ht="15.75" outlineLevel="1" x14ac:dyDescent="0.25">
      <c r="D113" s="118"/>
      <c r="E113" s="117" t="s">
        <v>49</v>
      </c>
      <c r="F113" s="117" t="s">
        <v>92</v>
      </c>
      <c r="G113" s="117" t="s">
        <v>79</v>
      </c>
      <c r="H113" s="116" t="s">
        <v>279</v>
      </c>
    </row>
    <row r="114" spans="4:8" ht="15.75" outlineLevel="1" x14ac:dyDescent="0.25">
      <c r="D114" s="118"/>
      <c r="E114" s="117" t="s">
        <v>45</v>
      </c>
      <c r="F114" s="117" t="s">
        <v>53</v>
      </c>
      <c r="G114" s="117" t="s">
        <v>17</v>
      </c>
      <c r="H114" s="116"/>
    </row>
    <row r="115" spans="4:8" ht="15.75" outlineLevel="1" x14ac:dyDescent="0.25">
      <c r="D115" s="118"/>
      <c r="E115" s="117"/>
      <c r="F115" s="117" t="s">
        <v>94</v>
      </c>
      <c r="G115" s="117"/>
      <c r="H115" s="116"/>
    </row>
    <row r="116" spans="4:8" ht="15.75" outlineLevel="1" x14ac:dyDescent="0.25">
      <c r="D116" s="118"/>
      <c r="F116" s="117" t="s">
        <v>87</v>
      </c>
      <c r="G116" s="117"/>
      <c r="H116" s="116"/>
    </row>
    <row r="117" spans="4:8" ht="15.75" outlineLevel="1" x14ac:dyDescent="0.25">
      <c r="D117" s="118"/>
      <c r="E117" s="117"/>
      <c r="F117" s="117" t="s">
        <v>21</v>
      </c>
      <c r="G117" s="117" t="s">
        <v>67</v>
      </c>
      <c r="H117" s="116"/>
    </row>
    <row r="118" spans="4:8" ht="15.75" outlineLevel="1" x14ac:dyDescent="0.25">
      <c r="D118" s="118"/>
      <c r="E118" s="117"/>
      <c r="F118" s="117" t="s">
        <v>56</v>
      </c>
      <c r="G118" s="117" t="s">
        <v>24</v>
      </c>
      <c r="H118" s="116"/>
    </row>
    <row r="119" spans="4:8" ht="15.75" outlineLevel="1" x14ac:dyDescent="0.25">
      <c r="D119" s="118"/>
      <c r="E119" s="117"/>
      <c r="F119" s="117" t="s">
        <v>97</v>
      </c>
      <c r="G119" s="117" t="s">
        <v>68</v>
      </c>
      <c r="H119" s="116"/>
    </row>
    <row r="120" spans="4:8" ht="15.75" outlineLevel="1" x14ac:dyDescent="0.25">
      <c r="D120" s="118"/>
      <c r="E120" s="117"/>
      <c r="F120" s="117" t="s">
        <v>83</v>
      </c>
      <c r="G120" s="117" t="s">
        <v>57</v>
      </c>
      <c r="H120" s="116"/>
    </row>
    <row r="121" spans="4:8" ht="15.75" outlineLevel="1" x14ac:dyDescent="0.25">
      <c r="D121" s="118"/>
      <c r="E121" s="117"/>
      <c r="F121" s="117" t="s">
        <v>75</v>
      </c>
      <c r="G121" s="117" t="s">
        <v>35</v>
      </c>
      <c r="H121" s="116"/>
    </row>
    <row r="122" spans="4:8" ht="15.75" outlineLevel="1" x14ac:dyDescent="0.25">
      <c r="D122" s="118"/>
      <c r="E122" s="117"/>
      <c r="F122" s="117" t="s">
        <v>71</v>
      </c>
      <c r="G122" s="117" t="s">
        <v>31</v>
      </c>
      <c r="H122" s="116"/>
    </row>
    <row r="123" spans="4:8" ht="15.75" outlineLevel="1" x14ac:dyDescent="0.25">
      <c r="D123" s="118"/>
      <c r="E123" s="117"/>
      <c r="F123" s="117" t="s">
        <v>73</v>
      </c>
      <c r="G123" s="117" t="s">
        <v>66</v>
      </c>
      <c r="H123" s="116"/>
    </row>
    <row r="124" spans="4:8" ht="15.75" outlineLevel="1" x14ac:dyDescent="0.25">
      <c r="D124" s="118"/>
      <c r="E124" s="117"/>
      <c r="F124" s="119" t="s">
        <v>189</v>
      </c>
      <c r="G124" s="117" t="s">
        <v>65</v>
      </c>
      <c r="H124" s="116"/>
    </row>
    <row r="125" spans="4:8" ht="15.75" outlineLevel="1" x14ac:dyDescent="0.25">
      <c r="D125" s="118"/>
      <c r="E125" s="117"/>
      <c r="F125" s="117" t="s">
        <v>190</v>
      </c>
      <c r="G125" s="119" t="s">
        <v>77</v>
      </c>
      <c r="H125" s="116"/>
    </row>
    <row r="126" spans="4:8" ht="15.75" outlineLevel="1" x14ac:dyDescent="0.25">
      <c r="D126" s="118"/>
      <c r="E126" s="117"/>
      <c r="F126" s="117"/>
      <c r="G126" s="119" t="s">
        <v>39</v>
      </c>
      <c r="H126" s="116"/>
    </row>
    <row r="127" spans="4:8" ht="15.75" outlineLevel="1" x14ac:dyDescent="0.25">
      <c r="D127" s="118"/>
      <c r="E127" s="117"/>
      <c r="F127" s="117"/>
      <c r="G127" s="117" t="s">
        <v>230</v>
      </c>
      <c r="H127" s="116"/>
    </row>
    <row r="128" spans="4:8" ht="15.75" outlineLevel="1" x14ac:dyDescent="0.25">
      <c r="D128" s="118"/>
      <c r="E128" s="117"/>
      <c r="F128" s="117"/>
      <c r="G128" s="117"/>
      <c r="H128" s="116"/>
    </row>
    <row r="129" spans="1:8" ht="15.75" outlineLevel="1" x14ac:dyDescent="0.25">
      <c r="D129" s="118"/>
      <c r="E129" s="119"/>
      <c r="F129" s="117"/>
      <c r="G129" s="117"/>
      <c r="H129" s="116"/>
    </row>
    <row r="130" spans="1:8" ht="15.75" outlineLevel="1" x14ac:dyDescent="0.25">
      <c r="D130" s="118"/>
      <c r="E130" s="117"/>
      <c r="F130" s="117"/>
      <c r="G130" s="117"/>
      <c r="H130" s="116"/>
    </row>
    <row r="131" spans="1:8" ht="15.75" outlineLevel="1" x14ac:dyDescent="0.25">
      <c r="D131" s="118"/>
      <c r="E131" s="117"/>
      <c r="F131" s="117"/>
      <c r="G131" s="117"/>
      <c r="H131" s="116"/>
    </row>
    <row r="132" spans="1:8" ht="15.75" outlineLevel="1" x14ac:dyDescent="0.25">
      <c r="D132" s="118"/>
      <c r="E132" s="117"/>
      <c r="F132" s="117"/>
      <c r="G132" s="117"/>
      <c r="H132" s="116"/>
    </row>
    <row r="133" spans="1:8" ht="15.75" outlineLevel="1" x14ac:dyDescent="0.25">
      <c r="D133" s="118"/>
      <c r="E133" s="117"/>
      <c r="F133" s="117"/>
      <c r="G133" s="117"/>
      <c r="H133" s="116"/>
    </row>
    <row r="134" spans="1:8" ht="15.75" outlineLevel="1" x14ac:dyDescent="0.25">
      <c r="D134" s="118"/>
      <c r="E134" s="117"/>
      <c r="F134" s="117"/>
      <c r="G134" s="117"/>
      <c r="H134" s="116"/>
    </row>
    <row r="135" spans="1:8" ht="15.75" outlineLevel="1" x14ac:dyDescent="0.25">
      <c r="D135" s="118"/>
      <c r="E135" s="117"/>
      <c r="F135" s="117"/>
      <c r="G135" s="117"/>
      <c r="H135" s="116"/>
    </row>
    <row r="136" spans="1:8" ht="15.75" outlineLevel="1" x14ac:dyDescent="0.25">
      <c r="D136" s="118"/>
      <c r="E136" s="117"/>
      <c r="F136" s="117"/>
      <c r="G136" s="117"/>
      <c r="H136" s="116"/>
    </row>
    <row r="137" spans="1:8" ht="15.75" outlineLevel="1" x14ac:dyDescent="0.25">
      <c r="D137" s="118"/>
      <c r="E137" s="117"/>
      <c r="F137" s="117"/>
      <c r="G137" s="117"/>
      <c r="H137" s="116"/>
    </row>
    <row r="138" spans="1:8" ht="15.75" outlineLevel="1" x14ac:dyDescent="0.25">
      <c r="D138" s="118"/>
      <c r="E138" s="117"/>
      <c r="F138" s="117"/>
      <c r="G138" s="117"/>
      <c r="H138" s="116"/>
    </row>
    <row r="139" spans="1:8" ht="15.75" outlineLevel="1" x14ac:dyDescent="0.25">
      <c r="D139" s="118"/>
      <c r="E139" s="117"/>
      <c r="F139" s="117"/>
      <c r="G139" s="117"/>
      <c r="H139" s="116"/>
    </row>
    <row r="140" spans="1:8" ht="15.75" outlineLevel="1" x14ac:dyDescent="0.25">
      <c r="D140" s="118"/>
      <c r="E140" s="117"/>
      <c r="F140" s="117"/>
      <c r="G140" s="117"/>
      <c r="H140" s="116"/>
    </row>
    <row r="141" spans="1:8" ht="15.75" outlineLevel="1" x14ac:dyDescent="0.25">
      <c r="D141" s="118"/>
      <c r="E141" s="117"/>
      <c r="F141" s="117"/>
      <c r="G141" s="117"/>
      <c r="H141" s="116"/>
    </row>
    <row r="142" spans="1:8" ht="15.75" outlineLevel="1" x14ac:dyDescent="0.25">
      <c r="D142" s="118"/>
      <c r="E142" s="117"/>
      <c r="F142" s="117"/>
      <c r="G142" s="117"/>
      <c r="H142" s="116"/>
    </row>
    <row r="143" spans="1:8" ht="16.5" outlineLevel="1" thickBot="1" x14ac:dyDescent="0.3">
      <c r="D143" s="128"/>
      <c r="E143" s="127"/>
      <c r="F143" s="127"/>
      <c r="G143" s="127"/>
      <c r="H143" s="126"/>
    </row>
    <row r="144" spans="1:8" ht="15.6" customHeight="1" thickTop="1" thickBot="1" x14ac:dyDescent="0.3">
      <c r="A144" s="125">
        <f>A110+1</f>
        <v>5</v>
      </c>
      <c r="B144" s="124" t="s">
        <v>218</v>
      </c>
      <c r="C144" s="123">
        <f>SUM(D144:H144)</f>
        <v>37</v>
      </c>
      <c r="D144" s="117">
        <f>COUNTA(D145:D177)</f>
        <v>1</v>
      </c>
      <c r="E144" s="117">
        <f>COUNTA(E145:E177)</f>
        <v>1</v>
      </c>
      <c r="F144" s="117">
        <f>COUNTA(F145:F177)</f>
        <v>24</v>
      </c>
      <c r="G144" s="117">
        <f>COUNTA(G145:G177)</f>
        <v>10</v>
      </c>
      <c r="H144" s="117">
        <f>COUNTA(H145:H177)</f>
        <v>1</v>
      </c>
    </row>
    <row r="145" spans="4:8" ht="15.6" customHeight="1" outlineLevel="1" thickTop="1" x14ac:dyDescent="0.25">
      <c r="D145" s="122" t="s">
        <v>96</v>
      </c>
      <c r="E145" s="121" t="s">
        <v>97</v>
      </c>
      <c r="F145" s="121" t="s">
        <v>69</v>
      </c>
      <c r="G145" s="121" t="s">
        <v>67</v>
      </c>
      <c r="H145" s="120"/>
    </row>
    <row r="146" spans="4:8" ht="15.6" customHeight="1" outlineLevel="1" x14ac:dyDescent="0.25">
      <c r="D146" s="118"/>
      <c r="E146" s="117"/>
      <c r="F146" s="117" t="s">
        <v>86</v>
      </c>
      <c r="G146" s="117" t="s">
        <v>24</v>
      </c>
      <c r="H146" s="116"/>
    </row>
    <row r="147" spans="4:8" ht="15.75" outlineLevel="1" x14ac:dyDescent="0.25">
      <c r="D147" s="118"/>
      <c r="E147" s="117"/>
      <c r="F147" s="117" t="s">
        <v>28</v>
      </c>
      <c r="G147" s="117" t="s">
        <v>68</v>
      </c>
      <c r="H147" s="116"/>
    </row>
    <row r="148" spans="4:8" ht="15.75" outlineLevel="1" x14ac:dyDescent="0.25">
      <c r="D148" s="118"/>
      <c r="E148" s="117"/>
      <c r="F148" s="117" t="s">
        <v>79</v>
      </c>
      <c r="G148" s="117" t="s">
        <v>57</v>
      </c>
      <c r="H148" s="116"/>
    </row>
    <row r="149" spans="4:8" ht="15.75" outlineLevel="1" x14ac:dyDescent="0.25">
      <c r="D149" s="118"/>
      <c r="E149" s="117"/>
      <c r="F149" s="117" t="s">
        <v>82</v>
      </c>
      <c r="G149" s="117" t="s">
        <v>66</v>
      </c>
      <c r="H149" s="116"/>
    </row>
    <row r="150" spans="4:8" ht="15.75" outlineLevel="1" x14ac:dyDescent="0.25">
      <c r="D150" s="118"/>
      <c r="F150" s="117" t="s">
        <v>92</v>
      </c>
      <c r="G150" s="117" t="s">
        <v>230</v>
      </c>
      <c r="H150" s="116"/>
    </row>
    <row r="151" spans="4:8" ht="15.75" outlineLevel="1" x14ac:dyDescent="0.25">
      <c r="D151" s="118"/>
      <c r="E151" s="117"/>
      <c r="F151" s="117" t="s">
        <v>94</v>
      </c>
      <c r="G151" s="117" t="s">
        <v>45</v>
      </c>
      <c r="H151" s="116"/>
    </row>
    <row r="152" spans="4:8" ht="15.75" outlineLevel="1" x14ac:dyDescent="0.25">
      <c r="D152" s="118"/>
      <c r="E152" s="117"/>
      <c r="F152" s="117" t="s">
        <v>87</v>
      </c>
      <c r="G152" s="117"/>
      <c r="H152" s="116"/>
    </row>
    <row r="153" spans="4:8" ht="15.75" outlineLevel="1" x14ac:dyDescent="0.25">
      <c r="D153" s="118"/>
      <c r="E153" s="117"/>
      <c r="F153" s="117" t="s">
        <v>49</v>
      </c>
      <c r="G153" s="117" t="s">
        <v>17</v>
      </c>
      <c r="H153" s="116"/>
    </row>
    <row r="154" spans="4:8" ht="15.75" outlineLevel="1" x14ac:dyDescent="0.25">
      <c r="D154" s="118"/>
      <c r="E154" s="117"/>
      <c r="F154" s="117" t="s">
        <v>280</v>
      </c>
      <c r="G154" s="116" t="s">
        <v>279</v>
      </c>
      <c r="H154" s="116"/>
    </row>
    <row r="155" spans="4:8" ht="15.75" outlineLevel="1" x14ac:dyDescent="0.25">
      <c r="D155" s="118"/>
      <c r="E155" s="117"/>
      <c r="F155" s="117"/>
      <c r="G155" s="117" t="s">
        <v>295</v>
      </c>
      <c r="H155" s="116"/>
    </row>
    <row r="156" spans="4:8" ht="15.75" outlineLevel="1" x14ac:dyDescent="0.25">
      <c r="D156" s="118"/>
      <c r="E156" s="117"/>
      <c r="F156" s="117" t="s">
        <v>21</v>
      </c>
      <c r="G156" s="117"/>
      <c r="H156" s="116"/>
    </row>
    <row r="157" spans="4:8" ht="15.75" outlineLevel="1" x14ac:dyDescent="0.25">
      <c r="D157" s="118"/>
      <c r="E157" s="117"/>
      <c r="F157" s="117" t="s">
        <v>35</v>
      </c>
      <c r="G157" s="117"/>
      <c r="H157" s="116"/>
    </row>
    <row r="158" spans="4:8" ht="15.75" outlineLevel="1" x14ac:dyDescent="0.25">
      <c r="D158" s="118"/>
      <c r="E158" s="117"/>
      <c r="F158" s="119" t="s">
        <v>31</v>
      </c>
      <c r="G158" s="117"/>
      <c r="H158" s="116"/>
    </row>
    <row r="159" spans="4:8" ht="15.75" outlineLevel="1" x14ac:dyDescent="0.25">
      <c r="D159" s="118"/>
      <c r="E159" s="117"/>
      <c r="F159" s="117" t="s">
        <v>83</v>
      </c>
      <c r="G159" s="119"/>
      <c r="H159" s="116"/>
    </row>
    <row r="160" spans="4:8" ht="15.75" outlineLevel="1" x14ac:dyDescent="0.25">
      <c r="D160" s="118"/>
      <c r="E160" s="117"/>
      <c r="F160" s="117" t="s">
        <v>65</v>
      </c>
      <c r="G160" s="119"/>
      <c r="H160" s="116"/>
    </row>
    <row r="161" spans="4:8" ht="15.75" outlineLevel="1" x14ac:dyDescent="0.25">
      <c r="D161" s="118"/>
      <c r="E161" s="117"/>
      <c r="F161" s="117" t="s">
        <v>77</v>
      </c>
      <c r="G161" s="117"/>
      <c r="H161" s="116"/>
    </row>
    <row r="162" spans="4:8" ht="15.75" outlineLevel="1" x14ac:dyDescent="0.25">
      <c r="D162" s="118"/>
      <c r="E162" s="117"/>
      <c r="F162" s="117" t="s">
        <v>75</v>
      </c>
      <c r="G162" s="117"/>
      <c r="H162" s="116"/>
    </row>
    <row r="163" spans="4:8" ht="15.75" outlineLevel="1" x14ac:dyDescent="0.25">
      <c r="D163" s="118"/>
      <c r="E163" s="119"/>
      <c r="F163" s="117" t="s">
        <v>189</v>
      </c>
      <c r="G163" s="117"/>
      <c r="H163" s="116" t="s">
        <v>39</v>
      </c>
    </row>
    <row r="164" spans="4:8" ht="15.75" outlineLevel="1" x14ac:dyDescent="0.25">
      <c r="D164" s="118"/>
      <c r="E164" s="117"/>
      <c r="F164" s="117" t="s">
        <v>71</v>
      </c>
      <c r="G164" s="117"/>
      <c r="H164" s="116"/>
    </row>
    <row r="165" spans="4:8" ht="15.75" outlineLevel="1" x14ac:dyDescent="0.25">
      <c r="D165" s="118"/>
      <c r="E165" s="117"/>
      <c r="F165" s="117" t="s">
        <v>73</v>
      </c>
      <c r="G165" s="117"/>
      <c r="H165" s="116"/>
    </row>
    <row r="166" spans="4:8" ht="15.75" outlineLevel="1" x14ac:dyDescent="0.25">
      <c r="D166" s="118"/>
      <c r="E166" s="117"/>
      <c r="F166" s="117" t="s">
        <v>89</v>
      </c>
      <c r="G166" s="117"/>
      <c r="H166" s="116"/>
    </row>
    <row r="167" spans="4:8" ht="15.75" outlineLevel="1" x14ac:dyDescent="0.25">
      <c r="D167" s="118"/>
      <c r="E167" s="117"/>
      <c r="F167" s="117" t="s">
        <v>56</v>
      </c>
      <c r="G167" s="117"/>
      <c r="H167" s="116"/>
    </row>
    <row r="168" spans="4:8" ht="15.75" outlineLevel="1" x14ac:dyDescent="0.25">
      <c r="D168" s="118"/>
      <c r="E168" s="117"/>
      <c r="F168" s="117" t="s">
        <v>53</v>
      </c>
      <c r="G168" s="117"/>
      <c r="H168" s="116"/>
    </row>
    <row r="169" spans="4:8" ht="15.75" outlineLevel="1" x14ac:dyDescent="0.25">
      <c r="D169" s="118"/>
      <c r="E169" s="117"/>
      <c r="F169" s="117" t="s">
        <v>190</v>
      </c>
      <c r="G169" s="117"/>
      <c r="H169" s="116"/>
    </row>
    <row r="170" spans="4:8" ht="15.75" outlineLevel="1" x14ac:dyDescent="0.25">
      <c r="D170" s="118"/>
      <c r="E170" s="117"/>
      <c r="F170" s="117"/>
      <c r="G170" s="117"/>
      <c r="H170" s="116"/>
    </row>
    <row r="171" spans="4:8" ht="15.75" outlineLevel="1" x14ac:dyDescent="0.25">
      <c r="D171" s="118"/>
      <c r="E171" s="117"/>
      <c r="F171" s="117"/>
      <c r="G171" s="117"/>
      <c r="H171" s="116"/>
    </row>
    <row r="172" spans="4:8" ht="15.75" outlineLevel="1" x14ac:dyDescent="0.25">
      <c r="D172" s="118"/>
      <c r="E172" s="117"/>
      <c r="F172" s="117"/>
      <c r="G172" s="117"/>
      <c r="H172" s="116"/>
    </row>
    <row r="173" spans="4:8" ht="15.75" outlineLevel="1" x14ac:dyDescent="0.25">
      <c r="D173" s="118"/>
      <c r="E173" s="117"/>
      <c r="F173" s="117"/>
      <c r="G173" s="117"/>
      <c r="H173" s="116"/>
    </row>
    <row r="174" spans="4:8" ht="15.75" outlineLevel="1" x14ac:dyDescent="0.25">
      <c r="D174" s="118"/>
      <c r="E174" s="117"/>
      <c r="F174" s="117"/>
      <c r="G174" s="117"/>
      <c r="H174" s="116"/>
    </row>
    <row r="175" spans="4:8" ht="15.75" outlineLevel="1" x14ac:dyDescent="0.25">
      <c r="D175" s="118"/>
      <c r="E175" s="117"/>
      <c r="F175" s="117"/>
      <c r="G175" s="117"/>
      <c r="H175" s="116"/>
    </row>
    <row r="176" spans="4:8" ht="15.75" outlineLevel="1" x14ac:dyDescent="0.25">
      <c r="D176" s="118"/>
      <c r="E176" s="117"/>
      <c r="F176" s="117"/>
      <c r="G176" s="117"/>
      <c r="H176" s="116"/>
    </row>
    <row r="177" spans="1:8" ht="16.5" outlineLevel="1" thickBot="1" x14ac:dyDescent="0.3">
      <c r="D177" s="128"/>
      <c r="E177" s="127"/>
      <c r="F177" s="127"/>
      <c r="G177" s="127"/>
      <c r="H177" s="126"/>
    </row>
    <row r="178" spans="1:8" ht="15.6" customHeight="1" thickTop="1" thickBot="1" x14ac:dyDescent="0.3">
      <c r="A178" s="125">
        <f>A144+1</f>
        <v>6</v>
      </c>
      <c r="B178" s="124" t="s">
        <v>217</v>
      </c>
      <c r="C178" s="123">
        <f>SUM(D178:H178)</f>
        <v>37</v>
      </c>
      <c r="D178" s="117">
        <f>COUNTA(D179:D211)</f>
        <v>2</v>
      </c>
      <c r="E178" s="117">
        <f>COUNTA(E179:E211)</f>
        <v>5</v>
      </c>
      <c r="F178" s="117">
        <f>COUNTA(F179:F211)</f>
        <v>23</v>
      </c>
      <c r="G178" s="117">
        <f>COUNTA(G179:G211)</f>
        <v>5</v>
      </c>
      <c r="H178" s="117">
        <f>COUNTA(H179:H211)</f>
        <v>2</v>
      </c>
    </row>
    <row r="179" spans="1:8" ht="15.6" customHeight="1" outlineLevel="1" thickTop="1" x14ac:dyDescent="0.25">
      <c r="D179" s="122"/>
      <c r="E179" s="121"/>
      <c r="F179" s="121"/>
      <c r="G179" s="121"/>
      <c r="H179" s="120"/>
    </row>
    <row r="180" spans="1:8" ht="15.6" customHeight="1" outlineLevel="1" x14ac:dyDescent="0.25">
      <c r="D180" s="118" t="s">
        <v>94</v>
      </c>
      <c r="E180" s="117" t="s">
        <v>17</v>
      </c>
      <c r="F180" s="117" t="s">
        <v>69</v>
      </c>
      <c r="G180" s="117" t="s">
        <v>21</v>
      </c>
      <c r="H180" s="116" t="s">
        <v>97</v>
      </c>
    </row>
    <row r="181" spans="1:8" ht="15.75" outlineLevel="1" x14ac:dyDescent="0.25">
      <c r="D181" s="118" t="s">
        <v>190</v>
      </c>
      <c r="E181" s="117" t="s">
        <v>75</v>
      </c>
      <c r="F181" s="117" t="s">
        <v>86</v>
      </c>
      <c r="G181" s="117" t="s">
        <v>96</v>
      </c>
      <c r="H181" s="116" t="s">
        <v>49</v>
      </c>
    </row>
    <row r="182" spans="1:8" ht="15.75" outlineLevel="1" x14ac:dyDescent="0.25">
      <c r="D182" s="118"/>
      <c r="E182" s="117"/>
      <c r="F182" s="117" t="s">
        <v>28</v>
      </c>
      <c r="G182" s="117" t="s">
        <v>31</v>
      </c>
      <c r="H182" s="116"/>
    </row>
    <row r="183" spans="1:8" ht="15.75" outlineLevel="1" x14ac:dyDescent="0.25">
      <c r="D183" s="118"/>
      <c r="E183" s="117" t="s">
        <v>71</v>
      </c>
      <c r="F183" s="117" t="s">
        <v>79</v>
      </c>
      <c r="G183" s="117"/>
      <c r="H183" s="116"/>
    </row>
    <row r="184" spans="1:8" ht="15.75" outlineLevel="1" x14ac:dyDescent="0.25">
      <c r="D184" s="118"/>
      <c r="E184" s="117" t="s">
        <v>73</v>
      </c>
      <c r="F184" s="117" t="s">
        <v>82</v>
      </c>
      <c r="G184" s="117" t="s">
        <v>45</v>
      </c>
      <c r="H184" s="116"/>
    </row>
    <row r="185" spans="1:8" ht="15.75" outlineLevel="1" x14ac:dyDescent="0.25">
      <c r="D185" s="118"/>
      <c r="E185" s="117" t="s">
        <v>89</v>
      </c>
      <c r="F185" s="117" t="s">
        <v>92</v>
      </c>
      <c r="G185" s="117"/>
      <c r="H185" s="116"/>
    </row>
    <row r="186" spans="1:8" ht="15.75" outlineLevel="1" x14ac:dyDescent="0.25">
      <c r="D186" s="118"/>
      <c r="E186" s="117"/>
      <c r="F186" s="117" t="s">
        <v>87</v>
      </c>
      <c r="G186" s="117"/>
      <c r="H186" s="116"/>
    </row>
    <row r="187" spans="1:8" ht="15.75" outlineLevel="1" x14ac:dyDescent="0.25">
      <c r="D187" s="118"/>
      <c r="E187" s="117"/>
      <c r="F187" s="117" t="s">
        <v>280</v>
      </c>
      <c r="G187" s="117"/>
      <c r="H187" s="116"/>
    </row>
    <row r="188" spans="1:8" ht="15.75" outlineLevel="1" x14ac:dyDescent="0.25">
      <c r="D188" s="118"/>
      <c r="E188" s="117"/>
      <c r="F188" s="117" t="s">
        <v>295</v>
      </c>
      <c r="G188" s="117"/>
      <c r="H188" s="116"/>
    </row>
    <row r="189" spans="1:8" ht="15.75" outlineLevel="1" x14ac:dyDescent="0.25">
      <c r="D189" s="118"/>
      <c r="E189" s="117"/>
      <c r="F189" s="117" t="s">
        <v>67</v>
      </c>
      <c r="G189" s="117"/>
      <c r="H189" s="116"/>
    </row>
    <row r="190" spans="1:8" ht="15.75" outlineLevel="1" x14ac:dyDescent="0.25">
      <c r="D190" s="118"/>
      <c r="E190" s="117"/>
      <c r="F190" s="117" t="s">
        <v>24</v>
      </c>
      <c r="G190" s="117"/>
      <c r="H190" s="116"/>
    </row>
    <row r="191" spans="1:8" ht="15.75" outlineLevel="1" x14ac:dyDescent="0.25">
      <c r="D191" s="118"/>
      <c r="E191" s="117"/>
      <c r="F191" s="117" t="s">
        <v>68</v>
      </c>
      <c r="G191" s="117"/>
      <c r="H191" s="116"/>
    </row>
    <row r="192" spans="1:8" ht="15.75" outlineLevel="1" x14ac:dyDescent="0.25">
      <c r="D192" s="118"/>
      <c r="E192" s="117"/>
      <c r="F192" s="119" t="s">
        <v>57</v>
      </c>
      <c r="G192" s="117"/>
      <c r="H192" s="116"/>
    </row>
    <row r="193" spans="4:8" ht="15.75" outlineLevel="1" x14ac:dyDescent="0.25">
      <c r="D193" s="118"/>
      <c r="E193" s="117"/>
      <c r="F193" s="117" t="s">
        <v>189</v>
      </c>
      <c r="G193" s="119" t="s">
        <v>35</v>
      </c>
      <c r="H193" s="116"/>
    </row>
    <row r="194" spans="4:8" ht="15.75" outlineLevel="1" x14ac:dyDescent="0.25">
      <c r="D194" s="118"/>
      <c r="E194" s="117"/>
      <c r="F194" s="117" t="s">
        <v>66</v>
      </c>
      <c r="G194" s="119"/>
      <c r="H194" s="116"/>
    </row>
    <row r="195" spans="4:8" ht="15.75" outlineLevel="1" x14ac:dyDescent="0.25">
      <c r="D195" s="118"/>
      <c r="E195" s="117"/>
      <c r="F195" s="117" t="s">
        <v>83</v>
      </c>
      <c r="G195" s="117"/>
      <c r="H195" s="116"/>
    </row>
    <row r="196" spans="4:8" ht="15.75" outlineLevel="1" x14ac:dyDescent="0.25">
      <c r="D196" s="118"/>
      <c r="E196" s="117"/>
      <c r="F196" s="117" t="s">
        <v>65</v>
      </c>
      <c r="G196" s="117"/>
      <c r="H196" s="116"/>
    </row>
    <row r="197" spans="4:8" ht="15.75" outlineLevel="1" x14ac:dyDescent="0.25">
      <c r="D197" s="118"/>
      <c r="E197" s="119"/>
      <c r="F197" s="117" t="s">
        <v>77</v>
      </c>
      <c r="G197" s="117"/>
      <c r="H197" s="116"/>
    </row>
    <row r="198" spans="4:8" ht="15.75" outlineLevel="1" x14ac:dyDescent="0.25">
      <c r="D198" s="118"/>
      <c r="E198" s="117"/>
      <c r="F198" s="117" t="s">
        <v>230</v>
      </c>
      <c r="G198" s="117"/>
      <c r="H198" s="116"/>
    </row>
    <row r="199" spans="4:8" ht="15.75" outlineLevel="1" x14ac:dyDescent="0.25">
      <c r="D199" s="118"/>
      <c r="E199" s="117"/>
      <c r="F199" s="117" t="s">
        <v>56</v>
      </c>
      <c r="G199" s="117"/>
      <c r="H199" s="116"/>
    </row>
    <row r="200" spans="4:8" ht="15.75" outlineLevel="1" x14ac:dyDescent="0.25">
      <c r="D200" s="118"/>
      <c r="E200" s="117"/>
      <c r="F200" s="117" t="s">
        <v>53</v>
      </c>
      <c r="G200" s="117"/>
      <c r="H200" s="116"/>
    </row>
    <row r="201" spans="4:8" ht="15.75" outlineLevel="1" x14ac:dyDescent="0.25">
      <c r="D201" s="118"/>
      <c r="E201" s="117"/>
      <c r="F201" s="117" t="s">
        <v>39</v>
      </c>
      <c r="G201" s="117"/>
      <c r="H201" s="116"/>
    </row>
    <row r="202" spans="4:8" ht="15.75" outlineLevel="1" x14ac:dyDescent="0.25">
      <c r="D202" s="118"/>
      <c r="E202" s="117"/>
      <c r="F202" s="116" t="s">
        <v>279</v>
      </c>
      <c r="G202" s="117"/>
      <c r="H202" s="116"/>
    </row>
    <row r="203" spans="4:8" ht="15.75" outlineLevel="1" x14ac:dyDescent="0.25">
      <c r="D203" s="118"/>
      <c r="E203" s="117"/>
      <c r="F203" s="117"/>
      <c r="G203" s="117"/>
      <c r="H203" s="116"/>
    </row>
    <row r="204" spans="4:8" ht="15.75" outlineLevel="1" x14ac:dyDescent="0.25">
      <c r="D204" s="118"/>
      <c r="E204" s="117"/>
      <c r="F204" s="117"/>
      <c r="G204" s="117"/>
      <c r="H204" s="116"/>
    </row>
    <row r="205" spans="4:8" ht="15.75" outlineLevel="1" x14ac:dyDescent="0.25">
      <c r="D205" s="118"/>
      <c r="E205" s="117"/>
      <c r="F205" s="117"/>
      <c r="G205" s="117"/>
      <c r="H205" s="116"/>
    </row>
    <row r="206" spans="4:8" ht="15.75" outlineLevel="1" x14ac:dyDescent="0.25">
      <c r="D206" s="118"/>
      <c r="E206" s="117"/>
      <c r="F206" s="117"/>
      <c r="G206" s="117"/>
      <c r="H206" s="116"/>
    </row>
    <row r="207" spans="4:8" ht="15.75" outlineLevel="1" x14ac:dyDescent="0.25">
      <c r="D207" s="118"/>
      <c r="E207" s="117"/>
      <c r="F207" s="117"/>
      <c r="G207" s="117"/>
      <c r="H207" s="116"/>
    </row>
    <row r="208" spans="4:8" ht="15.75" outlineLevel="1" x14ac:dyDescent="0.25">
      <c r="D208" s="118"/>
      <c r="E208" s="117"/>
      <c r="F208" s="117"/>
      <c r="G208" s="117"/>
      <c r="H208" s="116"/>
    </row>
    <row r="209" spans="1:8" ht="15.75" outlineLevel="1" x14ac:dyDescent="0.25">
      <c r="D209" s="118"/>
      <c r="E209" s="117"/>
      <c r="F209" s="117"/>
      <c r="G209" s="117"/>
      <c r="H209" s="116"/>
    </row>
    <row r="210" spans="1:8" ht="15.75" outlineLevel="1" x14ac:dyDescent="0.25">
      <c r="D210" s="118"/>
      <c r="E210" s="117"/>
      <c r="F210" s="117"/>
      <c r="G210" s="117"/>
      <c r="H210" s="116"/>
    </row>
    <row r="211" spans="1:8" ht="16.5" outlineLevel="1" thickBot="1" x14ac:dyDescent="0.3">
      <c r="D211" s="128"/>
      <c r="E211" s="127"/>
      <c r="F211" s="127"/>
      <c r="G211" s="127"/>
      <c r="H211" s="126"/>
    </row>
    <row r="212" spans="1:8" ht="15.6" customHeight="1" thickTop="1" thickBot="1" x14ac:dyDescent="0.3">
      <c r="A212" s="125">
        <f>A178+1</f>
        <v>7</v>
      </c>
      <c r="B212" s="124" t="s">
        <v>216</v>
      </c>
      <c r="C212" s="123">
        <f>SUM(D212:H212)</f>
        <v>37</v>
      </c>
      <c r="D212" s="117">
        <f>COUNTA(D213:D245)</f>
        <v>0</v>
      </c>
      <c r="E212" s="117">
        <f>COUNTA(E213:E245)</f>
        <v>5</v>
      </c>
      <c r="F212" s="117">
        <f>COUNTA(F213:F245)</f>
        <v>31</v>
      </c>
      <c r="G212" s="117">
        <f>COUNTA(G213:G245)</f>
        <v>1</v>
      </c>
      <c r="H212" s="117">
        <f>COUNTA(H213:H245)</f>
        <v>0</v>
      </c>
    </row>
    <row r="213" spans="1:8" ht="15.6" customHeight="1" outlineLevel="1" thickTop="1" x14ac:dyDescent="0.25">
      <c r="D213" s="122"/>
      <c r="E213" s="121"/>
      <c r="F213" s="121"/>
      <c r="G213" s="121"/>
      <c r="H213" s="120"/>
    </row>
    <row r="214" spans="1:8" ht="15.6" customHeight="1" outlineLevel="1" x14ac:dyDescent="0.25">
      <c r="D214" s="118"/>
      <c r="E214" s="117" t="s">
        <v>89</v>
      </c>
      <c r="F214" s="117" t="s">
        <v>69</v>
      </c>
      <c r="G214" s="117"/>
      <c r="H214" s="116"/>
    </row>
    <row r="215" spans="1:8" ht="15.75" outlineLevel="1" x14ac:dyDescent="0.25">
      <c r="D215" s="118"/>
      <c r="E215" s="117" t="s">
        <v>96</v>
      </c>
      <c r="F215" s="117" t="s">
        <v>86</v>
      </c>
      <c r="G215" s="117"/>
      <c r="H215" s="116"/>
    </row>
    <row r="216" spans="1:8" ht="15.75" outlineLevel="1" x14ac:dyDescent="0.25">
      <c r="D216" s="118"/>
      <c r="E216" s="117" t="s">
        <v>49</v>
      </c>
      <c r="F216" s="117" t="s">
        <v>28</v>
      </c>
      <c r="G216" s="117"/>
      <c r="H216" s="116"/>
    </row>
    <row r="217" spans="1:8" ht="15.75" outlineLevel="1" x14ac:dyDescent="0.25">
      <c r="D217" s="118"/>
      <c r="E217" s="117"/>
      <c r="F217" s="117" t="s">
        <v>79</v>
      </c>
      <c r="G217" s="117"/>
      <c r="H217" s="116"/>
    </row>
    <row r="218" spans="1:8" ht="15.75" outlineLevel="1" x14ac:dyDescent="0.25">
      <c r="D218" s="118"/>
      <c r="F218" s="117" t="s">
        <v>82</v>
      </c>
      <c r="G218" s="117"/>
      <c r="H218" s="116"/>
    </row>
    <row r="219" spans="1:8" ht="15.75" outlineLevel="1" x14ac:dyDescent="0.25">
      <c r="D219" s="118"/>
      <c r="E219" s="117"/>
      <c r="F219" s="117" t="s">
        <v>92</v>
      </c>
      <c r="G219" s="117"/>
      <c r="H219" s="116"/>
    </row>
    <row r="220" spans="1:8" ht="15.75" outlineLevel="1" x14ac:dyDescent="0.25">
      <c r="D220" s="118"/>
      <c r="E220" s="117"/>
      <c r="F220" s="117" t="s">
        <v>53</v>
      </c>
      <c r="G220" s="117"/>
      <c r="H220" s="116"/>
    </row>
    <row r="221" spans="1:8" ht="15.75" outlineLevel="1" x14ac:dyDescent="0.25">
      <c r="D221" s="118"/>
      <c r="E221" s="117"/>
      <c r="F221" s="117" t="s">
        <v>94</v>
      </c>
      <c r="G221" s="117"/>
      <c r="H221" s="116"/>
    </row>
    <row r="222" spans="1:8" ht="15.75" outlineLevel="1" x14ac:dyDescent="0.25">
      <c r="D222" s="118"/>
      <c r="E222" s="117"/>
      <c r="F222" s="117" t="s">
        <v>87</v>
      </c>
      <c r="G222" s="117"/>
      <c r="H222" s="116"/>
    </row>
    <row r="223" spans="1:8" ht="15.75" outlineLevel="1" x14ac:dyDescent="0.25">
      <c r="D223" s="118"/>
      <c r="E223" s="117" t="s">
        <v>280</v>
      </c>
      <c r="F223" s="117" t="s">
        <v>31</v>
      </c>
      <c r="G223" s="117"/>
      <c r="H223" s="116"/>
    </row>
    <row r="224" spans="1:8" ht="15.75" outlineLevel="1" x14ac:dyDescent="0.25">
      <c r="D224" s="118"/>
      <c r="E224" s="117"/>
      <c r="F224" s="117"/>
      <c r="G224" s="116" t="s">
        <v>279</v>
      </c>
      <c r="H224" s="116"/>
    </row>
    <row r="225" spans="4:8" ht="15.75" outlineLevel="1" x14ac:dyDescent="0.25">
      <c r="D225" s="118"/>
      <c r="E225" s="117" t="s">
        <v>295</v>
      </c>
      <c r="F225" s="119" t="s">
        <v>21</v>
      </c>
      <c r="G225" s="117"/>
      <c r="H225" s="116"/>
    </row>
    <row r="226" spans="4:8" ht="15.75" outlineLevel="1" x14ac:dyDescent="0.25">
      <c r="D226" s="118"/>
      <c r="E226" s="117"/>
      <c r="F226" s="117" t="s">
        <v>17</v>
      </c>
      <c r="G226" s="117"/>
      <c r="H226" s="116"/>
    </row>
    <row r="227" spans="4:8" ht="15.75" outlineLevel="1" x14ac:dyDescent="0.25">
      <c r="D227" s="118"/>
      <c r="E227" s="117"/>
      <c r="F227" s="117" t="s">
        <v>67</v>
      </c>
      <c r="G227" s="119"/>
      <c r="H227" s="116"/>
    </row>
    <row r="228" spans="4:8" ht="15.75" outlineLevel="1" x14ac:dyDescent="0.25">
      <c r="D228" s="118"/>
      <c r="E228" s="117"/>
      <c r="F228" s="117" t="s">
        <v>24</v>
      </c>
      <c r="G228" s="119"/>
      <c r="H228" s="116"/>
    </row>
    <row r="229" spans="4:8" ht="15.75" outlineLevel="1" x14ac:dyDescent="0.25">
      <c r="D229" s="118"/>
      <c r="E229" s="117"/>
      <c r="F229" s="117" t="s">
        <v>68</v>
      </c>
      <c r="G229" s="117"/>
      <c r="H229" s="116"/>
    </row>
    <row r="230" spans="4:8" ht="15.75" outlineLevel="1" x14ac:dyDescent="0.25">
      <c r="D230" s="118"/>
      <c r="E230" s="117"/>
      <c r="F230" s="117" t="s">
        <v>57</v>
      </c>
      <c r="G230" s="117"/>
      <c r="H230" s="116"/>
    </row>
    <row r="231" spans="4:8" ht="15.75" outlineLevel="1" x14ac:dyDescent="0.25">
      <c r="D231" s="118"/>
      <c r="E231" s="119"/>
      <c r="F231" s="117" t="s">
        <v>230</v>
      </c>
      <c r="G231" s="117"/>
      <c r="H231" s="116"/>
    </row>
    <row r="232" spans="4:8" ht="15.75" outlineLevel="1" x14ac:dyDescent="0.25">
      <c r="D232" s="118"/>
      <c r="E232" s="117"/>
      <c r="F232" s="117" t="s">
        <v>35</v>
      </c>
      <c r="G232" s="117"/>
      <c r="H232" s="116"/>
    </row>
    <row r="233" spans="4:8" ht="15.75" outlineLevel="1" x14ac:dyDescent="0.25">
      <c r="D233" s="118"/>
      <c r="E233" s="117"/>
      <c r="F233" s="117" t="s">
        <v>56</v>
      </c>
      <c r="G233" s="117"/>
      <c r="H233" s="116"/>
    </row>
    <row r="234" spans="4:8" ht="15.75" outlineLevel="1" x14ac:dyDescent="0.25">
      <c r="D234" s="118"/>
      <c r="E234" s="117"/>
      <c r="F234" s="117" t="s">
        <v>66</v>
      </c>
      <c r="G234" s="117"/>
      <c r="H234" s="116"/>
    </row>
    <row r="235" spans="4:8" ht="15.75" outlineLevel="1" x14ac:dyDescent="0.25">
      <c r="D235" s="118"/>
      <c r="E235" s="117"/>
      <c r="F235" s="117" t="s">
        <v>97</v>
      </c>
      <c r="G235" s="117"/>
      <c r="H235" s="116"/>
    </row>
    <row r="236" spans="4:8" ht="15.75" outlineLevel="1" x14ac:dyDescent="0.25">
      <c r="D236" s="118"/>
      <c r="E236" s="117"/>
      <c r="F236" s="117" t="s">
        <v>83</v>
      </c>
      <c r="G236" s="117"/>
      <c r="H236" s="116"/>
    </row>
    <row r="237" spans="4:8" ht="15.75" outlineLevel="1" x14ac:dyDescent="0.25">
      <c r="D237" s="118"/>
      <c r="E237" s="117"/>
      <c r="F237" s="117" t="s">
        <v>65</v>
      </c>
      <c r="G237" s="117"/>
      <c r="H237" s="116"/>
    </row>
    <row r="238" spans="4:8" ht="15.75" outlineLevel="1" x14ac:dyDescent="0.25">
      <c r="D238" s="118"/>
      <c r="E238" s="117"/>
      <c r="F238" s="117" t="s">
        <v>77</v>
      </c>
      <c r="G238" s="117"/>
      <c r="H238" s="116"/>
    </row>
    <row r="239" spans="4:8" ht="15.75" outlineLevel="1" x14ac:dyDescent="0.25">
      <c r="D239" s="118"/>
      <c r="E239" s="117"/>
      <c r="F239" s="117" t="s">
        <v>75</v>
      </c>
      <c r="G239" s="117"/>
      <c r="H239" s="116"/>
    </row>
    <row r="240" spans="4:8" ht="15.75" outlineLevel="1" x14ac:dyDescent="0.25">
      <c r="D240" s="118"/>
      <c r="E240" s="117"/>
      <c r="F240" s="117" t="s">
        <v>39</v>
      </c>
      <c r="G240" s="117"/>
      <c r="H240" s="116"/>
    </row>
    <row r="241" spans="1:8" ht="15.75" outlineLevel="1" x14ac:dyDescent="0.25">
      <c r="D241" s="118"/>
      <c r="E241" s="117"/>
      <c r="F241" s="117" t="s">
        <v>71</v>
      </c>
      <c r="G241" s="117"/>
      <c r="H241" s="116"/>
    </row>
    <row r="242" spans="1:8" ht="15.75" outlineLevel="1" x14ac:dyDescent="0.25">
      <c r="D242" s="118"/>
      <c r="E242" s="117"/>
      <c r="F242" s="117" t="s">
        <v>73</v>
      </c>
      <c r="G242" s="117"/>
      <c r="H242" s="116"/>
    </row>
    <row r="243" spans="1:8" ht="15.75" outlineLevel="1" x14ac:dyDescent="0.25">
      <c r="D243" s="118"/>
      <c r="E243" s="117"/>
      <c r="F243" s="117" t="s">
        <v>189</v>
      </c>
      <c r="G243" s="117"/>
      <c r="H243" s="116"/>
    </row>
    <row r="244" spans="1:8" ht="15.75" outlineLevel="1" x14ac:dyDescent="0.25">
      <c r="D244" s="118"/>
      <c r="E244" s="117"/>
      <c r="F244" s="117" t="s">
        <v>190</v>
      </c>
      <c r="G244" s="117"/>
      <c r="H244" s="116"/>
    </row>
    <row r="245" spans="1:8" ht="16.5" outlineLevel="1" thickBot="1" x14ac:dyDescent="0.3">
      <c r="D245" s="128"/>
      <c r="E245" s="127"/>
      <c r="F245" s="127" t="s">
        <v>45</v>
      </c>
      <c r="G245" s="127"/>
      <c r="H245" s="126"/>
    </row>
    <row r="246" spans="1:8" ht="15.6" customHeight="1" thickTop="1" thickBot="1" x14ac:dyDescent="0.3">
      <c r="A246" s="125">
        <f>A212+1</f>
        <v>8</v>
      </c>
      <c r="B246" s="124" t="s">
        <v>215</v>
      </c>
      <c r="C246" s="123">
        <f>SUM(D246:H246)</f>
        <v>37</v>
      </c>
      <c r="D246" s="117">
        <f>COUNTA(D247:D279)</f>
        <v>0</v>
      </c>
      <c r="E246" s="117">
        <f>COUNTA(E247:E279)</f>
        <v>4</v>
      </c>
      <c r="F246" s="117">
        <f>COUNTA(F247:F279)</f>
        <v>17</v>
      </c>
      <c r="G246" s="117">
        <f>COUNTA(G247:G279)</f>
        <v>9</v>
      </c>
      <c r="H246" s="117">
        <f>COUNTA(H247:H279)</f>
        <v>7</v>
      </c>
    </row>
    <row r="247" spans="1:8" ht="15.6" customHeight="1" outlineLevel="1" thickTop="1" x14ac:dyDescent="0.25">
      <c r="D247" s="122"/>
      <c r="E247" s="121"/>
      <c r="F247" s="121"/>
      <c r="G247" s="121"/>
      <c r="H247" s="120"/>
    </row>
    <row r="248" spans="1:8" ht="15.6" customHeight="1" outlineLevel="1" x14ac:dyDescent="0.25">
      <c r="D248" s="118"/>
      <c r="E248" s="117" t="s">
        <v>229</v>
      </c>
      <c r="F248" s="117" t="s">
        <v>69</v>
      </c>
      <c r="G248" s="117" t="s">
        <v>87</v>
      </c>
      <c r="H248" s="116" t="s">
        <v>79</v>
      </c>
    </row>
    <row r="249" spans="1:8" ht="15.75" outlineLevel="1" x14ac:dyDescent="0.25">
      <c r="D249" s="118"/>
      <c r="E249" s="117" t="s">
        <v>89</v>
      </c>
      <c r="F249" s="117" t="s">
        <v>86</v>
      </c>
      <c r="G249" s="117"/>
      <c r="H249" s="116" t="s">
        <v>65</v>
      </c>
    </row>
    <row r="250" spans="1:8" ht="15.75" outlineLevel="1" x14ac:dyDescent="0.25">
      <c r="D250" s="118"/>
      <c r="E250" s="117" t="s">
        <v>71</v>
      </c>
      <c r="F250" s="117" t="s">
        <v>28</v>
      </c>
      <c r="G250" s="117"/>
      <c r="H250" s="116" t="s">
        <v>77</v>
      </c>
    </row>
    <row r="251" spans="1:8" ht="15.75" outlineLevel="1" x14ac:dyDescent="0.25">
      <c r="D251" s="118"/>
      <c r="E251" s="117"/>
      <c r="F251" s="117" t="s">
        <v>82</v>
      </c>
      <c r="G251" s="117" t="s">
        <v>67</v>
      </c>
      <c r="H251" s="116" t="s">
        <v>75</v>
      </c>
    </row>
    <row r="252" spans="1:8" ht="15.75" outlineLevel="1" x14ac:dyDescent="0.25">
      <c r="D252" s="118"/>
      <c r="F252" s="117" t="s">
        <v>92</v>
      </c>
      <c r="G252" s="117" t="s">
        <v>24</v>
      </c>
      <c r="H252" s="116" t="s">
        <v>73</v>
      </c>
    </row>
    <row r="253" spans="1:8" ht="15.75" outlineLevel="1" x14ac:dyDescent="0.25">
      <c r="D253" s="118"/>
      <c r="E253" s="117"/>
      <c r="F253" s="117" t="s">
        <v>94</v>
      </c>
      <c r="G253" s="117" t="s">
        <v>68</v>
      </c>
      <c r="H253" s="116" t="s">
        <v>280</v>
      </c>
    </row>
    <row r="254" spans="1:8" ht="15.75" outlineLevel="1" x14ac:dyDescent="0.25">
      <c r="D254" s="118"/>
      <c r="E254" s="117"/>
      <c r="F254" s="117" t="s">
        <v>17</v>
      </c>
      <c r="G254" s="117" t="s">
        <v>57</v>
      </c>
      <c r="H254" s="116"/>
    </row>
    <row r="255" spans="1:8" ht="15.75" outlineLevel="1" x14ac:dyDescent="0.25">
      <c r="D255" s="118"/>
      <c r="E255" s="117"/>
      <c r="F255" s="117" t="s">
        <v>96</v>
      </c>
      <c r="G255" s="117" t="s">
        <v>35</v>
      </c>
      <c r="H255" s="116" t="s">
        <v>45</v>
      </c>
    </row>
    <row r="256" spans="1:8" ht="15.75" outlineLevel="1" x14ac:dyDescent="0.25">
      <c r="D256" s="118"/>
      <c r="E256" s="117"/>
      <c r="F256" s="117" t="s">
        <v>31</v>
      </c>
      <c r="G256" s="117" t="s">
        <v>66</v>
      </c>
      <c r="H256" s="116"/>
    </row>
    <row r="257" spans="4:8" ht="15.75" outlineLevel="1" x14ac:dyDescent="0.25">
      <c r="D257" s="118"/>
      <c r="E257" s="117"/>
      <c r="F257" s="117" t="s">
        <v>97</v>
      </c>
      <c r="G257" s="117" t="s">
        <v>61</v>
      </c>
      <c r="H257" s="116"/>
    </row>
    <row r="258" spans="4:8" ht="15.75" outlineLevel="1" x14ac:dyDescent="0.25">
      <c r="D258" s="118"/>
      <c r="E258" s="117"/>
      <c r="F258" s="117" t="s">
        <v>83</v>
      </c>
      <c r="G258" s="117" t="s">
        <v>49</v>
      </c>
      <c r="H258" s="116"/>
    </row>
    <row r="259" spans="4:8" ht="15.75" outlineLevel="1" x14ac:dyDescent="0.25">
      <c r="D259" s="118"/>
      <c r="E259" s="117"/>
      <c r="F259" s="117" t="s">
        <v>39</v>
      </c>
      <c r="G259" s="117"/>
      <c r="H259" s="116"/>
    </row>
    <row r="260" spans="4:8" ht="15.75" outlineLevel="1" x14ac:dyDescent="0.25">
      <c r="D260" s="118"/>
      <c r="E260" s="117"/>
      <c r="F260" s="119" t="s">
        <v>56</v>
      </c>
      <c r="G260" s="117"/>
      <c r="H260" s="116"/>
    </row>
    <row r="261" spans="4:8" ht="15.75" outlineLevel="1" x14ac:dyDescent="0.25">
      <c r="D261" s="118"/>
      <c r="E261" s="117"/>
      <c r="F261" s="117" t="s">
        <v>53</v>
      </c>
      <c r="G261" s="119"/>
      <c r="H261" s="116"/>
    </row>
    <row r="262" spans="4:8" ht="15.75" outlineLevel="1" x14ac:dyDescent="0.25">
      <c r="D262" s="118"/>
      <c r="E262" s="117"/>
      <c r="F262" s="117" t="s">
        <v>189</v>
      </c>
      <c r="G262" s="119"/>
      <c r="H262" s="116"/>
    </row>
    <row r="263" spans="4:8" ht="15.75" outlineLevel="1" x14ac:dyDescent="0.25">
      <c r="D263" s="118"/>
      <c r="E263" s="117" t="s">
        <v>190</v>
      </c>
      <c r="F263" s="117" t="s">
        <v>279</v>
      </c>
      <c r="G263" s="117"/>
      <c r="H263" s="116"/>
    </row>
    <row r="264" spans="4:8" ht="15.75" outlineLevel="1" x14ac:dyDescent="0.25">
      <c r="D264" s="118"/>
      <c r="E264" s="117"/>
      <c r="F264" s="116" t="s">
        <v>295</v>
      </c>
      <c r="G264" s="117"/>
      <c r="H264" s="116"/>
    </row>
    <row r="265" spans="4:8" ht="15.75" outlineLevel="1" x14ac:dyDescent="0.25">
      <c r="D265" s="118"/>
      <c r="E265" s="119"/>
      <c r="F265" s="117"/>
      <c r="G265" s="117"/>
      <c r="H265" s="116"/>
    </row>
    <row r="266" spans="4:8" ht="15.75" outlineLevel="1" x14ac:dyDescent="0.25">
      <c r="D266" s="118"/>
      <c r="E266" s="117"/>
      <c r="F266" s="117"/>
      <c r="G266" s="117"/>
      <c r="H266" s="116"/>
    </row>
    <row r="267" spans="4:8" ht="15.75" outlineLevel="1" x14ac:dyDescent="0.25">
      <c r="D267" s="118"/>
      <c r="E267" s="117"/>
      <c r="F267" s="117"/>
      <c r="G267" s="117"/>
      <c r="H267" s="116"/>
    </row>
    <row r="268" spans="4:8" ht="15.75" outlineLevel="1" x14ac:dyDescent="0.25">
      <c r="D268" s="118"/>
      <c r="E268" s="117"/>
      <c r="F268" s="117"/>
      <c r="G268" s="117"/>
      <c r="H268" s="116"/>
    </row>
    <row r="269" spans="4:8" ht="15.75" outlineLevel="1" x14ac:dyDescent="0.25">
      <c r="D269" s="118"/>
      <c r="E269" s="117"/>
      <c r="F269" s="117"/>
      <c r="G269" s="117"/>
      <c r="H269" s="116"/>
    </row>
    <row r="270" spans="4:8" ht="15.75" outlineLevel="1" x14ac:dyDescent="0.25">
      <c r="D270" s="118"/>
      <c r="E270" s="117"/>
      <c r="F270" s="117"/>
      <c r="G270" s="117"/>
      <c r="H270" s="116"/>
    </row>
    <row r="271" spans="4:8" ht="15.75" outlineLevel="1" x14ac:dyDescent="0.25">
      <c r="D271" s="118"/>
      <c r="E271" s="117"/>
      <c r="F271" s="117"/>
      <c r="G271" s="117"/>
      <c r="H271" s="116"/>
    </row>
    <row r="272" spans="4:8" ht="15.75" outlineLevel="1" x14ac:dyDescent="0.25">
      <c r="D272" s="118"/>
      <c r="E272" s="117"/>
      <c r="F272" s="117"/>
      <c r="G272" s="117"/>
      <c r="H272" s="116"/>
    </row>
    <row r="273" spans="3:8" ht="15.75" outlineLevel="1" x14ac:dyDescent="0.25">
      <c r="D273" s="118"/>
      <c r="E273" s="117"/>
      <c r="F273" s="117"/>
      <c r="G273" s="117"/>
      <c r="H273" s="116"/>
    </row>
    <row r="274" spans="3:8" ht="15.75" outlineLevel="1" x14ac:dyDescent="0.25">
      <c r="D274" s="118"/>
      <c r="E274" s="117"/>
      <c r="F274" s="117"/>
      <c r="G274" s="117"/>
      <c r="H274" s="116"/>
    </row>
    <row r="275" spans="3:8" ht="15.75" outlineLevel="1" x14ac:dyDescent="0.25">
      <c r="D275" s="118"/>
      <c r="E275" s="117"/>
      <c r="F275" s="117"/>
      <c r="G275" s="117"/>
      <c r="H275" s="116"/>
    </row>
    <row r="276" spans="3:8" ht="15.75" outlineLevel="1" x14ac:dyDescent="0.25">
      <c r="D276" s="118"/>
      <c r="E276" s="117"/>
      <c r="F276" s="117"/>
      <c r="G276" s="117"/>
      <c r="H276" s="116"/>
    </row>
    <row r="277" spans="3:8" ht="15.75" outlineLevel="1" x14ac:dyDescent="0.25">
      <c r="D277" s="118"/>
      <c r="E277" s="117"/>
      <c r="F277" s="117"/>
      <c r="G277" s="117"/>
      <c r="H277" s="116"/>
    </row>
    <row r="278" spans="3:8" ht="15.75" outlineLevel="1" x14ac:dyDescent="0.25">
      <c r="D278" s="118"/>
      <c r="E278" s="117"/>
      <c r="F278" s="117"/>
      <c r="G278" s="117"/>
      <c r="H278" s="116"/>
    </row>
    <row r="279" spans="3:8" ht="15.75" outlineLevel="1" x14ac:dyDescent="0.25">
      <c r="D279" s="118"/>
      <c r="E279" s="117"/>
      <c r="F279" s="117"/>
      <c r="G279" s="117"/>
      <c r="H279" s="116"/>
    </row>
    <row r="280" spans="3:8" ht="15" customHeight="1" x14ac:dyDescent="0.25">
      <c r="C280" s="115">
        <f>SUM(D280:H280)</f>
        <v>295</v>
      </c>
      <c r="D280" s="114">
        <f>D246+D212+D178+D144+D110+D76+D42+D8</f>
        <v>5</v>
      </c>
      <c r="E280" s="114">
        <f>E246+E212+E178+E144+E110+E76+E42+E8</f>
        <v>30</v>
      </c>
      <c r="F280" s="114">
        <f>F246+F212+F178+F144+F110+F76+F42+F8</f>
        <v>153</v>
      </c>
      <c r="G280" s="114">
        <f>G246+G212+G178+G144+G110+G76+G42+G8</f>
        <v>78</v>
      </c>
      <c r="H280" s="114">
        <f>H246+H212+H178+H144+H110+H76+H42+H8</f>
        <v>29</v>
      </c>
    </row>
    <row r="281" spans="3:8" ht="15.75" x14ac:dyDescent="0.25">
      <c r="C281" s="113"/>
      <c r="D281" s="112">
        <f>D280/$C$280</f>
        <v>1.6949152542372881E-2</v>
      </c>
      <c r="E281" s="112">
        <f>E280/$C$280</f>
        <v>0.10169491525423729</v>
      </c>
      <c r="F281" s="112">
        <f>F280/$C$280</f>
        <v>0.51864406779661021</v>
      </c>
      <c r="G281" s="112">
        <f>G280/$C$280</f>
        <v>0.26440677966101694</v>
      </c>
      <c r="H281" s="112">
        <f>H280/$C$280</f>
        <v>9.8305084745762716E-2</v>
      </c>
    </row>
  </sheetData>
  <mergeCells count="5">
    <mergeCell ref="H2:H7"/>
    <mergeCell ref="G2:G7"/>
    <mergeCell ref="F2:F7"/>
    <mergeCell ref="E2:E7"/>
    <mergeCell ref="D2:D7"/>
  </mergeCells>
  <conditionalFormatting sqref="D77:H78 D80:H86 D79 F79:H79 D88:H109 D87:G87">
    <cfRule type="duplicateValues" dxfId="1182" priority="315"/>
    <cfRule type="duplicateValues" dxfId="1181" priority="322"/>
    <cfRule type="duplicateValues" dxfId="1180" priority="329"/>
    <cfRule type="duplicateValues" dxfId="1179" priority="336"/>
    <cfRule type="duplicateValues" dxfId="1178" priority="343"/>
    <cfRule type="duplicateValues" dxfId="1177" priority="350"/>
    <cfRule type="duplicateValues" dxfId="1176" priority="357"/>
    <cfRule type="duplicateValues" dxfId="1175" priority="364"/>
    <cfRule type="duplicateValues" dxfId="1174" priority="371"/>
    <cfRule type="duplicateValues" dxfId="1173" priority="378"/>
    <cfRule type="duplicateValues" dxfId="1172" priority="385"/>
    <cfRule type="duplicateValues" dxfId="1171" priority="392"/>
    <cfRule type="duplicateValues" dxfId="1170" priority="399"/>
    <cfRule type="duplicateValues" dxfId="1169" priority="405"/>
    <cfRule type="duplicateValues" dxfId="1168" priority="410"/>
    <cfRule type="duplicateValues" dxfId="1167" priority="414"/>
    <cfRule type="duplicateValues" dxfId="1166" priority="417"/>
    <cfRule type="duplicateValues" dxfId="1165" priority="427"/>
  </conditionalFormatting>
  <conditionalFormatting sqref="D43:H54 D56:H75 D55:G55">
    <cfRule type="duplicateValues" dxfId="1164" priority="316"/>
    <cfRule type="duplicateValues" dxfId="1163" priority="323"/>
    <cfRule type="duplicateValues" dxfId="1162" priority="330"/>
    <cfRule type="duplicateValues" dxfId="1161" priority="337"/>
    <cfRule type="duplicateValues" dxfId="1160" priority="344"/>
    <cfRule type="duplicateValues" dxfId="1159" priority="351"/>
    <cfRule type="duplicateValues" dxfId="1158" priority="358"/>
    <cfRule type="duplicateValues" dxfId="1157" priority="365"/>
    <cfRule type="duplicateValues" dxfId="1156" priority="372"/>
    <cfRule type="duplicateValues" dxfId="1155" priority="379"/>
    <cfRule type="duplicateValues" dxfId="1154" priority="386"/>
    <cfRule type="duplicateValues" dxfId="1153" priority="393"/>
    <cfRule type="duplicateValues" dxfId="1152" priority="400"/>
    <cfRule type="duplicateValues" dxfId="1151" priority="406"/>
    <cfRule type="duplicateValues" dxfId="1150" priority="411"/>
    <cfRule type="duplicateValues" dxfId="1149" priority="415"/>
    <cfRule type="duplicateValues" dxfId="1148" priority="418"/>
    <cfRule type="duplicateValues" dxfId="1147" priority="419"/>
    <cfRule type="duplicateValues" dxfId="1146" priority="420"/>
    <cfRule type="duplicateValues" dxfId="1145" priority="426"/>
  </conditionalFormatting>
  <conditionalFormatting sqref="D111:H112 D114:H143 D113 F113:G113">
    <cfRule type="duplicateValues" dxfId="1144" priority="314"/>
    <cfRule type="duplicateValues" dxfId="1143" priority="321"/>
    <cfRule type="duplicateValues" dxfId="1142" priority="328"/>
    <cfRule type="duplicateValues" dxfId="1141" priority="335"/>
    <cfRule type="duplicateValues" dxfId="1140" priority="342"/>
    <cfRule type="duplicateValues" dxfId="1139" priority="349"/>
    <cfRule type="duplicateValues" dxfId="1138" priority="356"/>
    <cfRule type="duplicateValues" dxfId="1137" priority="363"/>
    <cfRule type="duplicateValues" dxfId="1136" priority="370"/>
    <cfRule type="duplicateValues" dxfId="1135" priority="377"/>
    <cfRule type="duplicateValues" dxfId="1134" priority="384"/>
    <cfRule type="duplicateValues" dxfId="1133" priority="391"/>
    <cfRule type="duplicateValues" dxfId="1132" priority="398"/>
    <cfRule type="duplicateValues" dxfId="1131" priority="404"/>
    <cfRule type="duplicateValues" dxfId="1130" priority="409"/>
    <cfRule type="duplicateValues" dxfId="1129" priority="413"/>
    <cfRule type="duplicateValues" dxfId="1128" priority="416"/>
    <cfRule type="duplicateValues" dxfId="1127" priority="425"/>
  </conditionalFormatting>
  <conditionalFormatting sqref="D145:H145 D147:H153 D146 F146:H146 D154:F154 H154 D155:H177">
    <cfRule type="duplicateValues" dxfId="1126" priority="313"/>
    <cfRule type="duplicateValues" dxfId="1125" priority="320"/>
    <cfRule type="duplicateValues" dxfId="1124" priority="327"/>
    <cfRule type="duplicateValues" dxfId="1123" priority="334"/>
    <cfRule type="duplicateValues" dxfId="1122" priority="341"/>
    <cfRule type="duplicateValues" dxfId="1121" priority="348"/>
    <cfRule type="duplicateValues" dxfId="1120" priority="355"/>
    <cfRule type="duplicateValues" dxfId="1119" priority="362"/>
    <cfRule type="duplicateValues" dxfId="1118" priority="369"/>
    <cfRule type="duplicateValues" dxfId="1117" priority="376"/>
    <cfRule type="duplicateValues" dxfId="1116" priority="383"/>
    <cfRule type="duplicateValues" dxfId="1115" priority="390"/>
    <cfRule type="duplicateValues" dxfId="1114" priority="397"/>
    <cfRule type="duplicateValues" dxfId="1113" priority="403"/>
    <cfRule type="duplicateValues" dxfId="1112" priority="408"/>
    <cfRule type="duplicateValues" dxfId="1111" priority="412"/>
    <cfRule type="duplicateValues" dxfId="1110" priority="424"/>
  </conditionalFormatting>
  <conditionalFormatting sqref="D179:H185 D187:H201 D186 F186:H186 D203:H211 D202:E202 G202:H202">
    <cfRule type="duplicateValues" dxfId="1109" priority="312"/>
    <cfRule type="duplicateValues" dxfId="1108" priority="319"/>
    <cfRule type="duplicateValues" dxfId="1107" priority="326"/>
    <cfRule type="duplicateValues" dxfId="1106" priority="333"/>
    <cfRule type="duplicateValues" dxfId="1105" priority="340"/>
    <cfRule type="duplicateValues" dxfId="1104" priority="347"/>
    <cfRule type="duplicateValues" dxfId="1103" priority="354"/>
    <cfRule type="duplicateValues" dxfId="1102" priority="361"/>
    <cfRule type="duplicateValues" dxfId="1101" priority="368"/>
    <cfRule type="duplicateValues" dxfId="1100" priority="375"/>
    <cfRule type="duplicateValues" dxfId="1099" priority="382"/>
    <cfRule type="duplicateValues" dxfId="1098" priority="389"/>
    <cfRule type="duplicateValues" dxfId="1097" priority="396"/>
    <cfRule type="duplicateValues" dxfId="1096" priority="402"/>
    <cfRule type="duplicateValues" dxfId="1095" priority="407"/>
    <cfRule type="duplicateValues" dxfId="1094" priority="423"/>
  </conditionalFormatting>
  <conditionalFormatting sqref="D213:H215 D242:H245 G217:H223 F217:F240 D216 F216:H216 H224 G225:H241 D217:E241">
    <cfRule type="duplicateValues" dxfId="1093" priority="422"/>
  </conditionalFormatting>
  <conditionalFormatting sqref="D247:H254 D259:H262 D258:F258 H258 D256:H257 D255:G255 D263:E263 G263:H263 D264:H279">
    <cfRule type="duplicateValues" dxfId="1092" priority="310"/>
    <cfRule type="duplicateValues" dxfId="1091" priority="317"/>
    <cfRule type="duplicateValues" dxfId="1090" priority="324"/>
    <cfRule type="duplicateValues" dxfId="1089" priority="331"/>
    <cfRule type="duplicateValues" dxfId="1088" priority="338"/>
    <cfRule type="duplicateValues" dxfId="1087" priority="345"/>
    <cfRule type="duplicateValues" dxfId="1086" priority="352"/>
    <cfRule type="duplicateValues" dxfId="1085" priority="359"/>
    <cfRule type="duplicateValues" dxfId="1084" priority="366"/>
    <cfRule type="duplicateValues" dxfId="1083" priority="373"/>
    <cfRule type="duplicateValues" dxfId="1082" priority="380"/>
    <cfRule type="duplicateValues" dxfId="1081" priority="387"/>
    <cfRule type="duplicateValues" dxfId="1080" priority="394"/>
    <cfRule type="duplicateValues" dxfId="1079" priority="421"/>
  </conditionalFormatting>
  <conditionalFormatting sqref="D213:H215 D216 F216:H216 D224:F224 H224 D217:H223 D225:H245">
    <cfRule type="duplicateValues" dxfId="1078" priority="311"/>
    <cfRule type="duplicateValues" dxfId="1077" priority="318"/>
    <cfRule type="duplicateValues" dxfId="1076" priority="325"/>
    <cfRule type="duplicateValues" dxfId="1075" priority="332"/>
    <cfRule type="duplicateValues" dxfId="1074" priority="339"/>
    <cfRule type="duplicateValues" dxfId="1073" priority="346"/>
    <cfRule type="duplicateValues" dxfId="1072" priority="353"/>
    <cfRule type="duplicateValues" dxfId="1071" priority="360"/>
    <cfRule type="duplicateValues" dxfId="1070" priority="367"/>
    <cfRule type="duplicateValues" dxfId="1069" priority="374"/>
    <cfRule type="duplicateValues" dxfId="1068" priority="381"/>
    <cfRule type="duplicateValues" dxfId="1067" priority="388"/>
    <cfRule type="duplicateValues" dxfId="1066" priority="395"/>
    <cfRule type="duplicateValues" dxfId="1065" priority="401"/>
  </conditionalFormatting>
  <conditionalFormatting sqref="F241">
    <cfRule type="duplicateValues" dxfId="1064" priority="309"/>
  </conditionalFormatting>
  <conditionalFormatting sqref="D13 F13:H13 D14:H41 D9:H12">
    <cfRule type="duplicateValues" dxfId="1063" priority="428"/>
    <cfRule type="duplicateValues" dxfId="1062" priority="429"/>
    <cfRule type="duplicateValues" dxfId="1061" priority="430"/>
    <cfRule type="duplicateValues" dxfId="1060" priority="431"/>
    <cfRule type="duplicateValues" dxfId="1059" priority="432"/>
    <cfRule type="duplicateValues" dxfId="1058" priority="433"/>
    <cfRule type="duplicateValues" dxfId="1057" priority="434"/>
    <cfRule type="duplicateValues" dxfId="1056" priority="435"/>
    <cfRule type="duplicateValues" dxfId="1055" priority="436"/>
    <cfRule type="duplicateValues" dxfId="1054" priority="437"/>
    <cfRule type="duplicateValues" dxfId="1053" priority="438"/>
    <cfRule type="duplicateValues" dxfId="1052" priority="439"/>
    <cfRule type="duplicateValues" dxfId="1051" priority="440"/>
    <cfRule type="duplicateValues" dxfId="1050" priority="441"/>
    <cfRule type="duplicateValues" dxfId="1049" priority="442"/>
    <cfRule type="duplicateValues" dxfId="1048" priority="443"/>
    <cfRule type="duplicateValues" dxfId="1047" priority="444"/>
    <cfRule type="duplicateValues" dxfId="1046" priority="445"/>
    <cfRule type="duplicateValues" dxfId="1045" priority="446"/>
    <cfRule type="duplicateValues" dxfId="1044" priority="447"/>
    <cfRule type="duplicateValues" dxfId="1043" priority="448"/>
  </conditionalFormatting>
  <conditionalFormatting sqref="E79">
    <cfRule type="duplicateValues" dxfId="1042" priority="288"/>
    <cfRule type="duplicateValues" dxfId="1041" priority="289"/>
    <cfRule type="duplicateValues" dxfId="1040" priority="290"/>
    <cfRule type="duplicateValues" dxfId="1039" priority="291"/>
    <cfRule type="duplicateValues" dxfId="1038" priority="292"/>
    <cfRule type="duplicateValues" dxfId="1037" priority="293"/>
    <cfRule type="duplicateValues" dxfId="1036" priority="294"/>
    <cfRule type="duplicateValues" dxfId="1035" priority="295"/>
    <cfRule type="duplicateValues" dxfId="1034" priority="296"/>
    <cfRule type="duplicateValues" dxfId="1033" priority="297"/>
    <cfRule type="duplicateValues" dxfId="1032" priority="298"/>
    <cfRule type="duplicateValues" dxfId="1031" priority="299"/>
    <cfRule type="duplicateValues" dxfId="1030" priority="300"/>
    <cfRule type="duplicateValues" dxfId="1029" priority="301"/>
    <cfRule type="duplicateValues" dxfId="1028" priority="302"/>
    <cfRule type="duplicateValues" dxfId="1027" priority="303"/>
    <cfRule type="duplicateValues" dxfId="1026" priority="304"/>
    <cfRule type="duplicateValues" dxfId="1025" priority="305"/>
    <cfRule type="duplicateValues" dxfId="1024" priority="306"/>
    <cfRule type="duplicateValues" dxfId="1023" priority="307"/>
    <cfRule type="duplicateValues" dxfId="1022" priority="308"/>
  </conditionalFormatting>
  <conditionalFormatting sqref="E113">
    <cfRule type="duplicateValues" dxfId="1021" priority="267"/>
    <cfRule type="duplicateValues" dxfId="1020" priority="268"/>
    <cfRule type="duplicateValues" dxfId="1019" priority="269"/>
    <cfRule type="duplicateValues" dxfId="1018" priority="270"/>
    <cfRule type="duplicateValues" dxfId="1017" priority="271"/>
    <cfRule type="duplicateValues" dxfId="1016" priority="272"/>
    <cfRule type="duplicateValues" dxfId="1015" priority="273"/>
    <cfRule type="duplicateValues" dxfId="1014" priority="274"/>
    <cfRule type="duplicateValues" dxfId="1013" priority="275"/>
    <cfRule type="duplicateValues" dxfId="1012" priority="276"/>
    <cfRule type="duplicateValues" dxfId="1011" priority="277"/>
    <cfRule type="duplicateValues" dxfId="1010" priority="278"/>
    <cfRule type="duplicateValues" dxfId="1009" priority="279"/>
    <cfRule type="duplicateValues" dxfId="1008" priority="280"/>
    <cfRule type="duplicateValues" dxfId="1007" priority="281"/>
    <cfRule type="duplicateValues" dxfId="1006" priority="282"/>
    <cfRule type="duplicateValues" dxfId="1005" priority="283"/>
    <cfRule type="duplicateValues" dxfId="1004" priority="284"/>
    <cfRule type="duplicateValues" dxfId="1003" priority="285"/>
    <cfRule type="duplicateValues" dxfId="1002" priority="286"/>
    <cfRule type="duplicateValues" dxfId="1001" priority="287"/>
  </conditionalFormatting>
  <conditionalFormatting sqref="E146">
    <cfRule type="duplicateValues" dxfId="1000" priority="246"/>
    <cfRule type="duplicateValues" dxfId="999" priority="247"/>
    <cfRule type="duplicateValues" dxfId="998" priority="248"/>
    <cfRule type="duplicateValues" dxfId="997" priority="249"/>
    <cfRule type="duplicateValues" dxfId="996" priority="250"/>
    <cfRule type="duplicateValues" dxfId="995" priority="251"/>
    <cfRule type="duplicateValues" dxfId="994" priority="252"/>
    <cfRule type="duplicateValues" dxfId="993" priority="253"/>
    <cfRule type="duplicateValues" dxfId="992" priority="254"/>
    <cfRule type="duplicateValues" dxfId="991" priority="255"/>
    <cfRule type="duplicateValues" dxfId="990" priority="256"/>
    <cfRule type="duplicateValues" dxfId="989" priority="257"/>
    <cfRule type="duplicateValues" dxfId="988" priority="258"/>
    <cfRule type="duplicateValues" dxfId="987" priority="259"/>
    <cfRule type="duplicateValues" dxfId="986" priority="260"/>
    <cfRule type="duplicateValues" dxfId="985" priority="261"/>
    <cfRule type="duplicateValues" dxfId="984" priority="262"/>
    <cfRule type="duplicateValues" dxfId="983" priority="263"/>
    <cfRule type="duplicateValues" dxfId="982" priority="264"/>
    <cfRule type="duplicateValues" dxfId="981" priority="265"/>
    <cfRule type="duplicateValues" dxfId="980" priority="266"/>
  </conditionalFormatting>
  <conditionalFormatting sqref="E186">
    <cfRule type="duplicateValues" dxfId="979" priority="225"/>
    <cfRule type="duplicateValues" dxfId="978" priority="226"/>
    <cfRule type="duplicateValues" dxfId="977" priority="227"/>
    <cfRule type="duplicateValues" dxfId="976" priority="228"/>
    <cfRule type="duplicateValues" dxfId="975" priority="229"/>
    <cfRule type="duplicateValues" dxfId="974" priority="230"/>
    <cfRule type="duplicateValues" dxfId="973" priority="231"/>
    <cfRule type="duplicateValues" dxfId="972" priority="232"/>
    <cfRule type="duplicateValues" dxfId="971" priority="233"/>
    <cfRule type="duplicateValues" dxfId="970" priority="234"/>
    <cfRule type="duplicateValues" dxfId="969" priority="235"/>
    <cfRule type="duplicateValues" dxfId="968" priority="236"/>
    <cfRule type="duplicateValues" dxfId="967" priority="237"/>
    <cfRule type="duplicateValues" dxfId="966" priority="238"/>
    <cfRule type="duplicateValues" dxfId="965" priority="239"/>
    <cfRule type="duplicateValues" dxfId="964" priority="240"/>
    <cfRule type="duplicateValues" dxfId="963" priority="241"/>
    <cfRule type="duplicateValues" dxfId="962" priority="242"/>
    <cfRule type="duplicateValues" dxfId="961" priority="243"/>
    <cfRule type="duplicateValues" dxfId="960" priority="244"/>
    <cfRule type="duplicateValues" dxfId="959" priority="245"/>
  </conditionalFormatting>
  <conditionalFormatting sqref="E216">
    <cfRule type="duplicateValues" dxfId="958" priority="204"/>
    <cfRule type="duplicateValues" dxfId="957" priority="205"/>
    <cfRule type="duplicateValues" dxfId="956" priority="206"/>
    <cfRule type="duplicateValues" dxfId="955" priority="207"/>
    <cfRule type="duplicateValues" dxfId="954" priority="208"/>
    <cfRule type="duplicateValues" dxfId="953" priority="209"/>
    <cfRule type="duplicateValues" dxfId="952" priority="210"/>
    <cfRule type="duplicateValues" dxfId="951" priority="211"/>
    <cfRule type="duplicateValues" dxfId="950" priority="212"/>
    <cfRule type="duplicateValues" dxfId="949" priority="213"/>
    <cfRule type="duplicateValues" dxfId="948" priority="214"/>
    <cfRule type="duplicateValues" dxfId="947" priority="215"/>
    <cfRule type="duplicateValues" dxfId="946" priority="216"/>
    <cfRule type="duplicateValues" dxfId="945" priority="217"/>
    <cfRule type="duplicateValues" dxfId="944" priority="218"/>
    <cfRule type="duplicateValues" dxfId="943" priority="219"/>
    <cfRule type="duplicateValues" dxfId="942" priority="220"/>
    <cfRule type="duplicateValues" dxfId="941" priority="221"/>
    <cfRule type="duplicateValues" dxfId="940" priority="222"/>
    <cfRule type="duplicateValues" dxfId="939" priority="223"/>
    <cfRule type="duplicateValues" dxfId="938" priority="224"/>
  </conditionalFormatting>
  <conditionalFormatting sqref="G258">
    <cfRule type="duplicateValues" dxfId="937" priority="183"/>
    <cfRule type="duplicateValues" dxfId="936" priority="184"/>
    <cfRule type="duplicateValues" dxfId="935" priority="185"/>
    <cfRule type="duplicateValues" dxfId="934" priority="186"/>
    <cfRule type="duplicateValues" dxfId="933" priority="187"/>
    <cfRule type="duplicateValues" dxfId="932" priority="188"/>
    <cfRule type="duplicateValues" dxfId="931" priority="189"/>
    <cfRule type="duplicateValues" dxfId="930" priority="190"/>
    <cfRule type="duplicateValues" dxfId="929" priority="191"/>
    <cfRule type="duplicateValues" dxfId="928" priority="192"/>
    <cfRule type="duplicateValues" dxfId="927" priority="193"/>
    <cfRule type="duplicateValues" dxfId="926" priority="194"/>
    <cfRule type="duplicateValues" dxfId="925" priority="195"/>
    <cfRule type="duplicateValues" dxfId="924" priority="196"/>
    <cfRule type="duplicateValues" dxfId="923" priority="197"/>
    <cfRule type="duplicateValues" dxfId="922" priority="198"/>
    <cfRule type="duplicateValues" dxfId="921" priority="199"/>
    <cfRule type="duplicateValues" dxfId="920" priority="200"/>
    <cfRule type="duplicateValues" dxfId="919" priority="201"/>
    <cfRule type="duplicateValues" dxfId="918" priority="202"/>
    <cfRule type="duplicateValues" dxfId="917" priority="203"/>
  </conditionalFormatting>
  <conditionalFormatting sqref="H55">
    <cfRule type="duplicateValues" dxfId="916" priority="162"/>
    <cfRule type="duplicateValues" dxfId="915" priority="163"/>
    <cfRule type="duplicateValues" dxfId="914" priority="164"/>
    <cfRule type="duplicateValues" dxfId="913" priority="165"/>
    <cfRule type="duplicateValues" dxfId="912" priority="166"/>
    <cfRule type="duplicateValues" dxfId="911" priority="167"/>
    <cfRule type="duplicateValues" dxfId="910" priority="168"/>
    <cfRule type="duplicateValues" dxfId="909" priority="169"/>
    <cfRule type="duplicateValues" dxfId="908" priority="170"/>
    <cfRule type="duplicateValues" dxfId="907" priority="171"/>
    <cfRule type="duplicateValues" dxfId="906" priority="172"/>
    <cfRule type="duplicateValues" dxfId="905" priority="173"/>
    <cfRule type="duplicateValues" dxfId="904" priority="174"/>
    <cfRule type="duplicateValues" dxfId="903" priority="175"/>
    <cfRule type="duplicateValues" dxfId="902" priority="176"/>
    <cfRule type="duplicateValues" dxfId="901" priority="177"/>
    <cfRule type="duplicateValues" dxfId="900" priority="178"/>
    <cfRule type="duplicateValues" dxfId="899" priority="179"/>
    <cfRule type="duplicateValues" dxfId="898" priority="180"/>
    <cfRule type="duplicateValues" dxfId="897" priority="181"/>
    <cfRule type="duplicateValues" dxfId="896" priority="182"/>
  </conditionalFormatting>
  <conditionalFormatting sqref="H87">
    <cfRule type="duplicateValues" dxfId="895" priority="141"/>
    <cfRule type="duplicateValues" dxfId="894" priority="142"/>
    <cfRule type="duplicateValues" dxfId="893" priority="143"/>
    <cfRule type="duplicateValues" dxfId="892" priority="144"/>
    <cfRule type="duplicateValues" dxfId="891" priority="145"/>
    <cfRule type="duplicateValues" dxfId="890" priority="146"/>
    <cfRule type="duplicateValues" dxfId="889" priority="147"/>
    <cfRule type="duplicateValues" dxfId="888" priority="148"/>
    <cfRule type="duplicateValues" dxfId="887" priority="149"/>
    <cfRule type="duplicateValues" dxfId="886" priority="150"/>
    <cfRule type="duplicateValues" dxfId="885" priority="151"/>
    <cfRule type="duplicateValues" dxfId="884" priority="152"/>
    <cfRule type="duplicateValues" dxfId="883" priority="153"/>
    <cfRule type="duplicateValues" dxfId="882" priority="154"/>
    <cfRule type="duplicateValues" dxfId="881" priority="155"/>
    <cfRule type="duplicateValues" dxfId="880" priority="156"/>
    <cfRule type="duplicateValues" dxfId="879" priority="157"/>
    <cfRule type="duplicateValues" dxfId="878" priority="158"/>
    <cfRule type="duplicateValues" dxfId="877" priority="159"/>
    <cfRule type="duplicateValues" dxfId="876" priority="160"/>
    <cfRule type="duplicateValues" dxfId="875" priority="161"/>
  </conditionalFormatting>
  <conditionalFormatting sqref="H113">
    <cfRule type="duplicateValues" dxfId="874" priority="120"/>
    <cfRule type="duplicateValues" dxfId="873" priority="121"/>
    <cfRule type="duplicateValues" dxfId="872" priority="122"/>
    <cfRule type="duplicateValues" dxfId="871" priority="123"/>
    <cfRule type="duplicateValues" dxfId="870" priority="124"/>
    <cfRule type="duplicateValues" dxfId="869" priority="125"/>
    <cfRule type="duplicateValues" dxfId="868" priority="126"/>
    <cfRule type="duplicateValues" dxfId="867" priority="127"/>
    <cfRule type="duplicateValues" dxfId="866" priority="128"/>
    <cfRule type="duplicateValues" dxfId="865" priority="129"/>
    <cfRule type="duplicateValues" dxfId="864" priority="130"/>
    <cfRule type="duplicateValues" dxfId="863" priority="131"/>
    <cfRule type="duplicateValues" dxfId="862" priority="132"/>
    <cfRule type="duplicateValues" dxfId="861" priority="133"/>
    <cfRule type="duplicateValues" dxfId="860" priority="134"/>
    <cfRule type="duplicateValues" dxfId="859" priority="135"/>
    <cfRule type="duplicateValues" dxfId="858" priority="136"/>
    <cfRule type="duplicateValues" dxfId="857" priority="137"/>
    <cfRule type="duplicateValues" dxfId="856" priority="138"/>
    <cfRule type="duplicateValues" dxfId="855" priority="139"/>
    <cfRule type="duplicateValues" dxfId="854" priority="140"/>
  </conditionalFormatting>
  <conditionalFormatting sqref="G154">
    <cfRule type="duplicateValues" dxfId="853" priority="99"/>
    <cfRule type="duplicateValues" dxfId="852" priority="100"/>
    <cfRule type="duplicateValues" dxfId="851" priority="101"/>
    <cfRule type="duplicateValues" dxfId="850" priority="102"/>
    <cfRule type="duplicateValues" dxfId="849" priority="103"/>
    <cfRule type="duplicateValues" dxfId="848" priority="104"/>
    <cfRule type="duplicateValues" dxfId="847" priority="105"/>
    <cfRule type="duplicateValues" dxfId="846" priority="106"/>
    <cfRule type="duplicateValues" dxfId="845" priority="107"/>
    <cfRule type="duplicateValues" dxfId="844" priority="108"/>
    <cfRule type="duplicateValues" dxfId="843" priority="109"/>
    <cfRule type="duplicateValues" dxfId="842" priority="110"/>
    <cfRule type="duplicateValues" dxfId="841" priority="111"/>
    <cfRule type="duplicateValues" dxfId="840" priority="112"/>
    <cfRule type="duplicateValues" dxfId="839" priority="113"/>
    <cfRule type="duplicateValues" dxfId="838" priority="114"/>
    <cfRule type="duplicateValues" dxfId="837" priority="115"/>
    <cfRule type="duplicateValues" dxfId="836" priority="116"/>
    <cfRule type="duplicateValues" dxfId="835" priority="117"/>
    <cfRule type="duplicateValues" dxfId="834" priority="118"/>
    <cfRule type="duplicateValues" dxfId="833" priority="119"/>
  </conditionalFormatting>
  <conditionalFormatting sqref="F202">
    <cfRule type="duplicateValues" dxfId="832" priority="78"/>
    <cfRule type="duplicateValues" dxfId="831" priority="79"/>
    <cfRule type="duplicateValues" dxfId="830" priority="80"/>
    <cfRule type="duplicateValues" dxfId="829" priority="81"/>
    <cfRule type="duplicateValues" dxfId="828" priority="82"/>
    <cfRule type="duplicateValues" dxfId="827" priority="83"/>
    <cfRule type="duplicateValues" dxfId="826" priority="84"/>
    <cfRule type="duplicateValues" dxfId="825" priority="85"/>
    <cfRule type="duplicateValues" dxfId="824" priority="86"/>
    <cfRule type="duplicateValues" dxfId="823" priority="87"/>
    <cfRule type="duplicateValues" dxfId="822" priority="88"/>
    <cfRule type="duplicateValues" dxfId="821" priority="89"/>
    <cfRule type="duplicateValues" dxfId="820" priority="90"/>
    <cfRule type="duplicateValues" dxfId="819" priority="91"/>
    <cfRule type="duplicateValues" dxfId="818" priority="92"/>
    <cfRule type="duplicateValues" dxfId="817" priority="93"/>
    <cfRule type="duplicateValues" dxfId="816" priority="94"/>
    <cfRule type="duplicateValues" dxfId="815" priority="95"/>
    <cfRule type="duplicateValues" dxfId="814" priority="96"/>
    <cfRule type="duplicateValues" dxfId="813" priority="97"/>
    <cfRule type="duplicateValues" dxfId="812" priority="98"/>
  </conditionalFormatting>
  <conditionalFormatting sqref="G224">
    <cfRule type="duplicateValues" dxfId="811" priority="57"/>
    <cfRule type="duplicateValues" dxfId="810" priority="58"/>
    <cfRule type="duplicateValues" dxfId="809" priority="59"/>
    <cfRule type="duplicateValues" dxfId="808" priority="60"/>
    <cfRule type="duplicateValues" dxfId="807" priority="61"/>
    <cfRule type="duplicateValues" dxfId="806" priority="62"/>
    <cfRule type="duplicateValues" dxfId="805" priority="63"/>
    <cfRule type="duplicateValues" dxfId="804" priority="64"/>
    <cfRule type="duplicateValues" dxfId="803" priority="65"/>
    <cfRule type="duplicateValues" dxfId="802" priority="66"/>
    <cfRule type="duplicateValues" dxfId="801" priority="67"/>
    <cfRule type="duplicateValues" dxfId="800" priority="68"/>
    <cfRule type="duplicateValues" dxfId="799" priority="69"/>
    <cfRule type="duplicateValues" dxfId="798" priority="70"/>
    <cfRule type="duplicateValues" dxfId="797" priority="71"/>
    <cfRule type="duplicateValues" dxfId="796" priority="72"/>
    <cfRule type="duplicateValues" dxfId="795" priority="73"/>
    <cfRule type="duplicateValues" dxfId="794" priority="74"/>
    <cfRule type="duplicateValues" dxfId="793" priority="75"/>
    <cfRule type="duplicateValues" dxfId="792" priority="76"/>
    <cfRule type="duplicateValues" dxfId="791" priority="77"/>
  </conditionalFormatting>
  <conditionalFormatting sqref="H255">
    <cfRule type="duplicateValues" dxfId="790" priority="36"/>
    <cfRule type="duplicateValues" dxfId="789" priority="37"/>
    <cfRule type="duplicateValues" dxfId="788" priority="38"/>
    <cfRule type="duplicateValues" dxfId="787" priority="39"/>
    <cfRule type="duplicateValues" dxfId="786" priority="40"/>
    <cfRule type="duplicateValues" dxfId="785" priority="41"/>
    <cfRule type="duplicateValues" dxfId="784" priority="42"/>
    <cfRule type="duplicateValues" dxfId="783" priority="43"/>
    <cfRule type="duplicateValues" dxfId="782" priority="44"/>
    <cfRule type="duplicateValues" dxfId="781" priority="45"/>
    <cfRule type="duplicateValues" dxfId="780" priority="46"/>
    <cfRule type="duplicateValues" dxfId="779" priority="47"/>
    <cfRule type="duplicateValues" dxfId="778" priority="48"/>
    <cfRule type="duplicateValues" dxfId="777" priority="49"/>
    <cfRule type="duplicateValues" dxfId="776" priority="50"/>
    <cfRule type="duplicateValues" dxfId="775" priority="51"/>
    <cfRule type="duplicateValues" dxfId="774" priority="52"/>
    <cfRule type="duplicateValues" dxfId="773" priority="53"/>
    <cfRule type="duplicateValues" dxfId="772" priority="54"/>
    <cfRule type="duplicateValues" dxfId="771" priority="55"/>
    <cfRule type="duplicateValues" dxfId="770" priority="56"/>
  </conditionalFormatting>
  <conditionalFormatting sqref="F263">
    <cfRule type="duplicateValues" dxfId="769" priority="1"/>
    <cfRule type="duplicateValues" dxfId="768" priority="2"/>
    <cfRule type="duplicateValues" dxfId="767" priority="3"/>
    <cfRule type="duplicateValues" dxfId="766" priority="4"/>
    <cfRule type="duplicateValues" dxfId="765" priority="5"/>
    <cfRule type="duplicateValues" dxfId="764" priority="6"/>
    <cfRule type="duplicateValues" dxfId="763" priority="7"/>
    <cfRule type="duplicateValues" dxfId="762" priority="8"/>
    <cfRule type="duplicateValues" dxfId="761" priority="9"/>
    <cfRule type="duplicateValues" dxfId="760" priority="10"/>
    <cfRule type="duplicateValues" dxfId="759" priority="11"/>
    <cfRule type="duplicateValues" dxfId="758" priority="12"/>
    <cfRule type="duplicateValues" dxfId="757" priority="13"/>
    <cfRule type="duplicateValues" dxfId="756" priority="14"/>
  </conditionalFormatting>
  <dataValidations count="1">
    <dataValidation type="list" allowBlank="1" showInputMessage="1" showErrorMessage="1" sqref="F1 D13 D8:H12 F13:H13 D14:H280" xr:uid="{00000000-0002-0000-05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outlinePr summaryBelow="0" summaryRight="0"/>
  </sheetPr>
  <dimension ref="A1:H281"/>
  <sheetViews>
    <sheetView topLeftCell="A211" workbookViewId="0">
      <selection activeCell="F233" sqref="F233"/>
    </sheetView>
  </sheetViews>
  <sheetFormatPr defaultColWidth="8.7109375" defaultRowHeight="12" outlineLevelRow="1" x14ac:dyDescent="0.2"/>
  <cols>
    <col min="1" max="1" width="3.85546875" style="111" customWidth="1"/>
    <col min="2" max="2" width="94" style="111" customWidth="1"/>
    <col min="3" max="3" width="3.85546875" style="111" customWidth="1"/>
    <col min="4" max="4" width="23" style="111" customWidth="1"/>
    <col min="5" max="6" width="24.7109375" style="111" bestFit="1" customWidth="1"/>
    <col min="7" max="8" width="23" style="111" customWidth="1"/>
    <col min="9" max="16384" width="8.7109375" style="111"/>
  </cols>
  <sheetData>
    <row r="1" spans="1:8" ht="21" x14ac:dyDescent="0.35">
      <c r="D1" s="129">
        <v>1</v>
      </c>
      <c r="E1" s="129">
        <v>2</v>
      </c>
      <c r="F1" s="130" t="s">
        <v>98</v>
      </c>
      <c r="G1" s="129">
        <v>4</v>
      </c>
      <c r="H1" s="129">
        <v>5</v>
      </c>
    </row>
    <row r="2" spans="1:8" x14ac:dyDescent="0.2">
      <c r="D2" s="200" t="s">
        <v>241</v>
      </c>
      <c r="E2" s="200" t="s">
        <v>240</v>
      </c>
      <c r="F2" s="200" t="s">
        <v>239</v>
      </c>
      <c r="G2" s="200" t="s">
        <v>238</v>
      </c>
      <c r="H2" s="200" t="s">
        <v>237</v>
      </c>
    </row>
    <row r="3" spans="1:8" x14ac:dyDescent="0.2">
      <c r="D3" s="201"/>
      <c r="E3" s="201"/>
      <c r="F3" s="201"/>
      <c r="G3" s="201"/>
      <c r="H3" s="201"/>
    </row>
    <row r="4" spans="1:8" x14ac:dyDescent="0.2">
      <c r="D4" s="201"/>
      <c r="E4" s="201"/>
      <c r="F4" s="201"/>
      <c r="G4" s="201"/>
      <c r="H4" s="201"/>
    </row>
    <row r="5" spans="1:8" x14ac:dyDescent="0.2">
      <c r="D5" s="201"/>
      <c r="E5" s="201"/>
      <c r="F5" s="201"/>
      <c r="G5" s="201"/>
      <c r="H5" s="201"/>
    </row>
    <row r="6" spans="1:8" x14ac:dyDescent="0.2">
      <c r="D6" s="201"/>
      <c r="E6" s="201"/>
      <c r="F6" s="201"/>
      <c r="G6" s="201"/>
      <c r="H6" s="201"/>
    </row>
    <row r="7" spans="1:8" ht="12.75" thickBot="1" x14ac:dyDescent="0.25">
      <c r="D7" s="202"/>
      <c r="E7" s="202"/>
      <c r="F7" s="202"/>
      <c r="G7" s="202"/>
      <c r="H7" s="202"/>
    </row>
    <row r="8" spans="1:8" ht="15.6" customHeight="1" thickBot="1" x14ac:dyDescent="0.3">
      <c r="A8" s="131">
        <v>1</v>
      </c>
      <c r="B8" s="124" t="s">
        <v>213</v>
      </c>
      <c r="C8" s="123">
        <f>SUM(D8:H8)</f>
        <v>37</v>
      </c>
      <c r="D8" s="117">
        <f>COUNTA(D9:D41)</f>
        <v>1</v>
      </c>
      <c r="E8" s="117">
        <f>COUNTA(E9:E41)</f>
        <v>3</v>
      </c>
      <c r="F8" s="117">
        <f>COUNTA(F9:F41)</f>
        <v>11</v>
      </c>
      <c r="G8" s="117">
        <f>COUNTA(G9:G41)</f>
        <v>22</v>
      </c>
      <c r="H8" s="117">
        <f>COUNTA(H9:H41)</f>
        <v>0</v>
      </c>
    </row>
    <row r="9" spans="1:8" ht="15.6" customHeight="1" outlineLevel="1" thickTop="1" x14ac:dyDescent="0.25">
      <c r="D9" s="122"/>
      <c r="E9" s="121"/>
      <c r="F9" s="121"/>
      <c r="G9" s="121"/>
      <c r="H9" s="120"/>
    </row>
    <row r="10" spans="1:8" ht="15.6" customHeight="1" outlineLevel="1" x14ac:dyDescent="0.25">
      <c r="D10" s="118"/>
      <c r="E10" s="117" t="s">
        <v>28</v>
      </c>
      <c r="F10" s="117"/>
      <c r="G10" s="117"/>
      <c r="H10" s="116"/>
    </row>
    <row r="11" spans="1:8" ht="15.75" outlineLevel="1" x14ac:dyDescent="0.25">
      <c r="D11" s="118"/>
      <c r="E11" s="117"/>
      <c r="F11" s="117" t="s">
        <v>92</v>
      </c>
      <c r="G11" s="117" t="s">
        <v>79</v>
      </c>
      <c r="H11" s="116"/>
    </row>
    <row r="12" spans="1:8" ht="15.75" outlineLevel="1" x14ac:dyDescent="0.25">
      <c r="D12" s="118"/>
      <c r="E12" s="117"/>
      <c r="F12" s="117" t="s">
        <v>53</v>
      </c>
      <c r="G12" s="117" t="s">
        <v>94</v>
      </c>
      <c r="H12" s="116"/>
    </row>
    <row r="13" spans="1:8" ht="15.75" outlineLevel="1" x14ac:dyDescent="0.25">
      <c r="D13" s="118"/>
      <c r="E13" s="117"/>
      <c r="F13" s="117" t="s">
        <v>87</v>
      </c>
      <c r="G13" s="117" t="s">
        <v>17</v>
      </c>
      <c r="H13" s="116"/>
    </row>
    <row r="14" spans="1:8" ht="15.75" outlineLevel="1" x14ac:dyDescent="0.25">
      <c r="D14" s="118"/>
      <c r="E14" s="117" t="s">
        <v>96</v>
      </c>
      <c r="F14" s="117" t="s">
        <v>21</v>
      </c>
      <c r="G14" s="117" t="s">
        <v>280</v>
      </c>
      <c r="H14" s="116"/>
    </row>
    <row r="15" spans="1:8" ht="15.75" outlineLevel="1" x14ac:dyDescent="0.25">
      <c r="D15" s="118"/>
      <c r="E15" s="117"/>
      <c r="F15" s="117" t="s">
        <v>56</v>
      </c>
      <c r="G15" s="117" t="s">
        <v>35</v>
      </c>
      <c r="H15" s="116"/>
    </row>
    <row r="16" spans="1:8" ht="15.75" outlineLevel="1" x14ac:dyDescent="0.25">
      <c r="D16" s="118"/>
      <c r="E16" s="117"/>
      <c r="F16" s="117" t="s">
        <v>97</v>
      </c>
      <c r="G16" s="117" t="s">
        <v>31</v>
      </c>
      <c r="H16" s="116"/>
    </row>
    <row r="17" spans="4:8" ht="15.75" outlineLevel="1" x14ac:dyDescent="0.25">
      <c r="D17" s="118"/>
      <c r="E17" s="117"/>
      <c r="F17" s="117" t="s">
        <v>83</v>
      </c>
      <c r="G17" s="117" t="s">
        <v>77</v>
      </c>
      <c r="H17" s="116"/>
    </row>
    <row r="18" spans="4:8" ht="15.75" outlineLevel="1" x14ac:dyDescent="0.25">
      <c r="D18" s="118" t="s">
        <v>71</v>
      </c>
      <c r="E18" s="117"/>
      <c r="F18" s="117" t="s">
        <v>75</v>
      </c>
      <c r="G18" s="117"/>
      <c r="H18" s="116"/>
    </row>
    <row r="19" spans="4:8" ht="15.75" outlineLevel="1" x14ac:dyDescent="0.25">
      <c r="D19" s="118"/>
      <c r="E19" s="117"/>
      <c r="F19" s="117" t="s">
        <v>49</v>
      </c>
      <c r="G19" s="117" t="s">
        <v>39</v>
      </c>
      <c r="H19" s="116"/>
    </row>
    <row r="20" spans="4:8" ht="15.75" outlineLevel="1" x14ac:dyDescent="0.25">
      <c r="D20" s="118"/>
      <c r="E20" s="117"/>
      <c r="F20" s="117" t="s">
        <v>189</v>
      </c>
      <c r="G20" s="117"/>
      <c r="H20" s="116"/>
    </row>
    <row r="21" spans="4:8" ht="15.75" outlineLevel="1" x14ac:dyDescent="0.25">
      <c r="D21" s="118"/>
      <c r="E21" s="117" t="s">
        <v>73</v>
      </c>
      <c r="F21" s="117"/>
      <c r="G21" s="117" t="s">
        <v>190</v>
      </c>
      <c r="H21" s="116"/>
    </row>
    <row r="22" spans="4:8" ht="15.75" outlineLevel="1" x14ac:dyDescent="0.25">
      <c r="D22" s="118"/>
      <c r="E22" s="117"/>
      <c r="F22" s="117" t="s">
        <v>230</v>
      </c>
      <c r="G22" s="116" t="s">
        <v>69</v>
      </c>
      <c r="H22" s="116"/>
    </row>
    <row r="23" spans="4:8" ht="15.75" outlineLevel="1" x14ac:dyDescent="0.25">
      <c r="D23" s="118"/>
      <c r="E23" s="117"/>
      <c r="F23" s="117"/>
      <c r="G23" s="116" t="s">
        <v>86</v>
      </c>
      <c r="H23" s="116"/>
    </row>
    <row r="24" spans="4:8" ht="15.75" outlineLevel="1" x14ac:dyDescent="0.25">
      <c r="D24" s="118"/>
      <c r="E24" s="117"/>
      <c r="F24" s="117"/>
      <c r="G24" s="116" t="s">
        <v>82</v>
      </c>
      <c r="H24" s="116"/>
    </row>
    <row r="25" spans="4:8" ht="15.75" outlineLevel="1" x14ac:dyDescent="0.25">
      <c r="D25" s="118"/>
      <c r="E25" s="117"/>
      <c r="F25" s="117"/>
      <c r="G25" s="116" t="s">
        <v>295</v>
      </c>
      <c r="H25" s="116"/>
    </row>
    <row r="26" spans="4:8" ht="15.75" outlineLevel="1" x14ac:dyDescent="0.25">
      <c r="D26" s="118"/>
      <c r="E26" s="117"/>
      <c r="F26" s="117"/>
      <c r="G26" s="116" t="s">
        <v>67</v>
      </c>
      <c r="H26" s="116"/>
    </row>
    <row r="27" spans="4:8" ht="15.75" outlineLevel="1" x14ac:dyDescent="0.25">
      <c r="D27" s="118"/>
      <c r="E27" s="119"/>
      <c r="F27" s="117"/>
      <c r="G27" s="116" t="s">
        <v>24</v>
      </c>
      <c r="H27" s="116"/>
    </row>
    <row r="28" spans="4:8" ht="15.75" outlineLevel="1" x14ac:dyDescent="0.25">
      <c r="D28" s="118"/>
      <c r="E28" s="117"/>
      <c r="F28" s="117"/>
      <c r="G28" s="116" t="s">
        <v>68</v>
      </c>
      <c r="H28" s="116"/>
    </row>
    <row r="29" spans="4:8" ht="15.75" outlineLevel="1" x14ac:dyDescent="0.25">
      <c r="D29" s="118"/>
      <c r="E29" s="117"/>
      <c r="F29" s="117"/>
      <c r="G29" s="116" t="s">
        <v>57</v>
      </c>
      <c r="H29" s="116"/>
    </row>
    <row r="30" spans="4:8" ht="15.75" outlineLevel="1" x14ac:dyDescent="0.25">
      <c r="D30" s="118"/>
      <c r="E30" s="117"/>
      <c r="F30" s="117"/>
      <c r="G30" s="116" t="s">
        <v>66</v>
      </c>
      <c r="H30" s="116"/>
    </row>
    <row r="31" spans="4:8" ht="15.75" outlineLevel="1" x14ac:dyDescent="0.25">
      <c r="D31" s="118"/>
      <c r="E31" s="117"/>
      <c r="F31" s="117"/>
      <c r="G31" s="116" t="s">
        <v>65</v>
      </c>
      <c r="H31" s="116"/>
    </row>
    <row r="32" spans="4:8" ht="15.75" outlineLevel="1" x14ac:dyDescent="0.25">
      <c r="D32" s="118"/>
      <c r="E32" s="117"/>
      <c r="F32" s="117"/>
      <c r="G32" s="116" t="s">
        <v>89</v>
      </c>
      <c r="H32" s="116"/>
    </row>
    <row r="33" spans="1:8" ht="15.75" outlineLevel="1" x14ac:dyDescent="0.25">
      <c r="D33" s="118"/>
      <c r="E33" s="117"/>
      <c r="F33" s="117"/>
      <c r="G33" s="116" t="s">
        <v>279</v>
      </c>
      <c r="H33" s="116"/>
    </row>
    <row r="34" spans="1:8" ht="15.75" outlineLevel="1" x14ac:dyDescent="0.25">
      <c r="D34" s="118"/>
      <c r="E34" s="117"/>
      <c r="F34" s="117"/>
      <c r="G34" s="117" t="s">
        <v>45</v>
      </c>
      <c r="H34" s="116"/>
    </row>
    <row r="35" spans="1:8" ht="15.75" outlineLevel="1" x14ac:dyDescent="0.25">
      <c r="D35" s="118"/>
      <c r="E35" s="117"/>
      <c r="F35" s="117"/>
      <c r="G35" s="117"/>
      <c r="H35" s="116"/>
    </row>
    <row r="36" spans="1:8" ht="15.75" outlineLevel="1" x14ac:dyDescent="0.25">
      <c r="D36" s="118"/>
      <c r="E36" s="117"/>
      <c r="F36" s="117"/>
      <c r="G36" s="117"/>
      <c r="H36" s="116"/>
    </row>
    <row r="37" spans="1:8" ht="15.75" outlineLevel="1" x14ac:dyDescent="0.25">
      <c r="D37" s="118"/>
      <c r="E37" s="117"/>
      <c r="F37" s="117"/>
      <c r="G37" s="117"/>
      <c r="H37" s="116"/>
    </row>
    <row r="38" spans="1:8" ht="15.75" outlineLevel="1" x14ac:dyDescent="0.25">
      <c r="D38" s="118"/>
      <c r="E38" s="117"/>
      <c r="F38" s="117"/>
      <c r="G38" s="117"/>
      <c r="H38" s="116"/>
    </row>
    <row r="39" spans="1:8" ht="15.75" outlineLevel="1" x14ac:dyDescent="0.25">
      <c r="D39" s="118"/>
      <c r="E39" s="117"/>
      <c r="F39" s="117"/>
      <c r="G39" s="117"/>
      <c r="H39" s="116"/>
    </row>
    <row r="40" spans="1:8" ht="15.75" outlineLevel="1" x14ac:dyDescent="0.25">
      <c r="D40" s="118"/>
      <c r="E40" s="117"/>
      <c r="F40" s="117"/>
      <c r="G40" s="117"/>
      <c r="H40" s="116"/>
    </row>
    <row r="41" spans="1:8" ht="16.5" outlineLevel="1" thickBot="1" x14ac:dyDescent="0.3">
      <c r="D41" s="128"/>
      <c r="E41" s="127"/>
      <c r="F41" s="127"/>
      <c r="G41" s="127"/>
      <c r="H41" s="126"/>
    </row>
    <row r="42" spans="1:8" ht="15.6" customHeight="1" thickTop="1" thickBot="1" x14ac:dyDescent="0.3">
      <c r="A42" s="131">
        <f>A8+1</f>
        <v>2</v>
      </c>
      <c r="B42" s="124" t="s">
        <v>212</v>
      </c>
      <c r="C42" s="123">
        <f>SUM(D42:H42)</f>
        <v>37</v>
      </c>
      <c r="D42" s="117">
        <f>COUNTA(D43:D75)</f>
        <v>2</v>
      </c>
      <c r="E42" s="117">
        <f>COUNTA(E43:E75)</f>
        <v>2</v>
      </c>
      <c r="F42" s="117">
        <f>COUNTA(F43:F75)</f>
        <v>28</v>
      </c>
      <c r="G42" s="117">
        <f>COUNTA(G43:G75)</f>
        <v>4</v>
      </c>
      <c r="H42" s="117">
        <f>COUNTA(H43:H75)</f>
        <v>1</v>
      </c>
    </row>
    <row r="43" spans="1:8" ht="15.6" customHeight="1" outlineLevel="1" thickTop="1" x14ac:dyDescent="0.25">
      <c r="D43" s="122"/>
      <c r="E43" s="121"/>
      <c r="F43" s="121"/>
      <c r="G43" s="121"/>
      <c r="H43" s="120"/>
    </row>
    <row r="44" spans="1:8" ht="15.6" customHeight="1" outlineLevel="1" x14ac:dyDescent="0.25">
      <c r="D44" s="118" t="s">
        <v>96</v>
      </c>
      <c r="E44" s="117" t="s">
        <v>89</v>
      </c>
      <c r="F44" s="117" t="s">
        <v>69</v>
      </c>
      <c r="G44" s="117" t="s">
        <v>21</v>
      </c>
      <c r="H44" s="116" t="s">
        <v>94</v>
      </c>
    </row>
    <row r="45" spans="1:8" ht="15.75" outlineLevel="1" x14ac:dyDescent="0.25">
      <c r="D45" s="118" t="s">
        <v>97</v>
      </c>
      <c r="E45" s="117" t="s">
        <v>49</v>
      </c>
      <c r="F45" s="117" t="s">
        <v>86</v>
      </c>
      <c r="G45" s="117" t="s">
        <v>39</v>
      </c>
      <c r="H45" s="116"/>
    </row>
    <row r="46" spans="1:8" ht="15.75" outlineLevel="1" x14ac:dyDescent="0.25">
      <c r="D46" s="118"/>
      <c r="E46" s="117"/>
      <c r="F46" s="117" t="s">
        <v>28</v>
      </c>
      <c r="G46" s="117" t="s">
        <v>71</v>
      </c>
      <c r="H46" s="116"/>
    </row>
    <row r="47" spans="1:8" ht="15.75" outlineLevel="1" x14ac:dyDescent="0.25">
      <c r="D47" s="118"/>
      <c r="E47" s="117"/>
      <c r="F47" s="117" t="s">
        <v>79</v>
      </c>
      <c r="G47" s="117"/>
      <c r="H47" s="116"/>
    </row>
    <row r="48" spans="1:8" ht="15.75" outlineLevel="1" x14ac:dyDescent="0.25">
      <c r="D48" s="118"/>
      <c r="F48" s="117" t="s">
        <v>82</v>
      </c>
      <c r="G48" s="117"/>
      <c r="H48" s="116"/>
    </row>
    <row r="49" spans="4:8" ht="15.75" outlineLevel="1" x14ac:dyDescent="0.25">
      <c r="D49" s="118"/>
      <c r="E49" s="117"/>
      <c r="F49" s="117" t="s">
        <v>92</v>
      </c>
      <c r="G49" s="117"/>
      <c r="H49" s="116"/>
    </row>
    <row r="50" spans="4:8" ht="15.75" outlineLevel="1" x14ac:dyDescent="0.25">
      <c r="D50" s="118"/>
      <c r="E50" s="117"/>
      <c r="F50" s="117" t="s">
        <v>87</v>
      </c>
      <c r="G50" s="117"/>
      <c r="H50" s="116"/>
    </row>
    <row r="51" spans="4:8" ht="15.75" outlineLevel="1" x14ac:dyDescent="0.25">
      <c r="D51" s="118"/>
      <c r="E51" s="117"/>
      <c r="F51" s="116" t="s">
        <v>279</v>
      </c>
      <c r="G51" s="117" t="s">
        <v>17</v>
      </c>
      <c r="H51" s="116"/>
    </row>
    <row r="52" spans="4:8" ht="15.75" outlineLevel="1" x14ac:dyDescent="0.25">
      <c r="D52" s="118"/>
      <c r="E52" s="117"/>
      <c r="F52" s="117" t="s">
        <v>280</v>
      </c>
      <c r="G52" s="117"/>
      <c r="H52" s="116"/>
    </row>
    <row r="53" spans="4:8" ht="15.75" outlineLevel="1" x14ac:dyDescent="0.25">
      <c r="D53" s="118"/>
      <c r="E53" s="117"/>
      <c r="F53" s="117" t="s">
        <v>295</v>
      </c>
      <c r="G53" s="117"/>
      <c r="H53" s="116"/>
    </row>
    <row r="54" spans="4:8" ht="15.75" outlineLevel="1" x14ac:dyDescent="0.25">
      <c r="D54" s="118"/>
      <c r="E54" s="117"/>
      <c r="F54" s="117" t="s">
        <v>67</v>
      </c>
      <c r="G54" s="117"/>
      <c r="H54" s="116"/>
    </row>
    <row r="55" spans="4:8" ht="15.75" outlineLevel="1" x14ac:dyDescent="0.25">
      <c r="D55" s="118"/>
      <c r="E55" s="117"/>
      <c r="F55" s="119" t="s">
        <v>24</v>
      </c>
      <c r="G55" s="117"/>
      <c r="H55" s="116"/>
    </row>
    <row r="56" spans="4:8" ht="15.75" outlineLevel="1" x14ac:dyDescent="0.25">
      <c r="D56" s="118"/>
      <c r="E56" s="117"/>
      <c r="F56" s="117" t="s">
        <v>68</v>
      </c>
      <c r="G56" s="117"/>
      <c r="H56" s="116"/>
    </row>
    <row r="57" spans="4:8" ht="15.75" outlineLevel="1" x14ac:dyDescent="0.25">
      <c r="D57" s="118"/>
      <c r="E57" s="117"/>
      <c r="F57" s="117" t="s">
        <v>57</v>
      </c>
      <c r="G57" s="119"/>
      <c r="H57" s="116"/>
    </row>
    <row r="58" spans="4:8" ht="15.75" outlineLevel="1" x14ac:dyDescent="0.25">
      <c r="D58" s="118"/>
      <c r="E58" s="117"/>
      <c r="F58" s="117" t="s">
        <v>35</v>
      </c>
      <c r="G58" s="119"/>
      <c r="H58" s="116"/>
    </row>
    <row r="59" spans="4:8" ht="15.75" outlineLevel="1" x14ac:dyDescent="0.25">
      <c r="D59" s="118"/>
      <c r="E59" s="117"/>
      <c r="F59" s="117" t="s">
        <v>31</v>
      </c>
      <c r="G59" s="117"/>
      <c r="H59" s="116"/>
    </row>
    <row r="60" spans="4:8" ht="15.75" outlineLevel="1" x14ac:dyDescent="0.25">
      <c r="D60" s="118"/>
      <c r="E60" s="117"/>
      <c r="F60" s="117" t="s">
        <v>66</v>
      </c>
      <c r="G60" s="117"/>
      <c r="H60" s="116"/>
    </row>
    <row r="61" spans="4:8" ht="15.75" outlineLevel="1" x14ac:dyDescent="0.25">
      <c r="D61" s="118"/>
      <c r="E61" s="119"/>
      <c r="F61" s="117" t="s">
        <v>83</v>
      </c>
      <c r="G61" s="117"/>
      <c r="H61" s="116"/>
    </row>
    <row r="62" spans="4:8" ht="15.75" outlineLevel="1" x14ac:dyDescent="0.25">
      <c r="D62" s="118"/>
      <c r="E62" s="117"/>
      <c r="F62" s="117" t="s">
        <v>65</v>
      </c>
      <c r="G62" s="117"/>
      <c r="H62" s="116"/>
    </row>
    <row r="63" spans="4:8" ht="15.75" outlineLevel="1" x14ac:dyDescent="0.25">
      <c r="D63" s="118"/>
      <c r="E63" s="117"/>
      <c r="F63" s="117" t="s">
        <v>77</v>
      </c>
      <c r="G63" s="117"/>
      <c r="H63" s="116"/>
    </row>
    <row r="64" spans="4:8" ht="15.75" outlineLevel="1" x14ac:dyDescent="0.25">
      <c r="D64" s="118"/>
      <c r="E64" s="117"/>
      <c r="F64" s="117" t="s">
        <v>75</v>
      </c>
      <c r="G64" s="117"/>
      <c r="H64" s="116"/>
    </row>
    <row r="65" spans="1:8" ht="15.75" outlineLevel="1" x14ac:dyDescent="0.25">
      <c r="D65" s="118"/>
      <c r="E65" s="117"/>
      <c r="F65" s="117" t="s">
        <v>73</v>
      </c>
      <c r="G65" s="117"/>
      <c r="H65" s="116"/>
    </row>
    <row r="66" spans="1:8" ht="15.75" outlineLevel="1" x14ac:dyDescent="0.25">
      <c r="D66" s="118"/>
      <c r="E66" s="117"/>
      <c r="F66" s="117" t="s">
        <v>230</v>
      </c>
      <c r="G66" s="117"/>
      <c r="H66" s="116"/>
    </row>
    <row r="67" spans="1:8" ht="15.75" outlineLevel="1" x14ac:dyDescent="0.25">
      <c r="D67" s="118"/>
      <c r="E67" s="117"/>
      <c r="F67" s="117" t="s">
        <v>56</v>
      </c>
      <c r="G67" s="117"/>
      <c r="H67" s="116"/>
    </row>
    <row r="68" spans="1:8" ht="15.75" outlineLevel="1" x14ac:dyDescent="0.25">
      <c r="D68" s="118"/>
      <c r="E68" s="117"/>
      <c r="F68" s="117" t="s">
        <v>53</v>
      </c>
      <c r="G68" s="117"/>
      <c r="H68" s="116"/>
    </row>
    <row r="69" spans="1:8" ht="15.75" outlineLevel="1" x14ac:dyDescent="0.25">
      <c r="D69" s="118"/>
      <c r="E69" s="117"/>
      <c r="F69" s="118" t="s">
        <v>189</v>
      </c>
      <c r="G69" s="117"/>
      <c r="H69" s="116"/>
    </row>
    <row r="70" spans="1:8" ht="15.75" outlineLevel="1" x14ac:dyDescent="0.25">
      <c r="D70" s="118"/>
      <c r="E70" s="117"/>
      <c r="F70" s="116" t="s">
        <v>190</v>
      </c>
      <c r="G70" s="117"/>
      <c r="H70" s="116"/>
    </row>
    <row r="71" spans="1:8" ht="15.75" outlineLevel="1" x14ac:dyDescent="0.25">
      <c r="D71" s="118"/>
      <c r="E71" s="117"/>
      <c r="F71" s="117" t="s">
        <v>45</v>
      </c>
      <c r="G71" s="117"/>
      <c r="H71" s="116"/>
    </row>
    <row r="72" spans="1:8" ht="15.75" outlineLevel="1" x14ac:dyDescent="0.25">
      <c r="D72" s="118"/>
      <c r="E72" s="117"/>
      <c r="F72" s="117"/>
      <c r="G72" s="117"/>
      <c r="H72" s="116"/>
    </row>
    <row r="73" spans="1:8" ht="15.75" outlineLevel="1" x14ac:dyDescent="0.25">
      <c r="D73" s="118"/>
      <c r="E73" s="117"/>
      <c r="F73" s="117"/>
      <c r="G73" s="117"/>
      <c r="H73" s="116"/>
    </row>
    <row r="74" spans="1:8" ht="15.75" outlineLevel="1" x14ac:dyDescent="0.25">
      <c r="D74" s="118"/>
      <c r="E74" s="117"/>
      <c r="F74" s="117"/>
      <c r="G74" s="117"/>
      <c r="H74" s="116"/>
    </row>
    <row r="75" spans="1:8" ht="16.5" outlineLevel="1" thickBot="1" x14ac:dyDescent="0.3">
      <c r="D75" s="128"/>
      <c r="E75" s="127"/>
      <c r="F75" s="127"/>
      <c r="G75" s="127"/>
      <c r="H75" s="126"/>
    </row>
    <row r="76" spans="1:8" ht="15.6" customHeight="1" thickTop="1" thickBot="1" x14ac:dyDescent="0.3">
      <c r="A76" s="131">
        <f>A42+1</f>
        <v>3</v>
      </c>
      <c r="B76" s="124" t="s">
        <v>211</v>
      </c>
      <c r="C76" s="123">
        <f>SUM(D76:H76)</f>
        <v>37</v>
      </c>
      <c r="D76" s="117">
        <f>COUNTA(D77:D109)</f>
        <v>0</v>
      </c>
      <c r="E76" s="117">
        <f>COUNTA(E77:E109)</f>
        <v>3</v>
      </c>
      <c r="F76" s="117">
        <f>COUNTA(F77:F109)</f>
        <v>31</v>
      </c>
      <c r="G76" s="117">
        <f>COUNTA(G77:G109)</f>
        <v>3</v>
      </c>
      <c r="H76" s="117">
        <f>COUNTA(H77:H109)</f>
        <v>0</v>
      </c>
    </row>
    <row r="77" spans="1:8" ht="15.6" customHeight="1" outlineLevel="1" thickTop="1" x14ac:dyDescent="0.25">
      <c r="D77" s="122"/>
      <c r="E77" s="121"/>
      <c r="F77" s="121"/>
      <c r="G77" s="121"/>
      <c r="H77" s="120"/>
    </row>
    <row r="78" spans="1:8" ht="15.6" customHeight="1" outlineLevel="1" x14ac:dyDescent="0.25">
      <c r="D78" s="118"/>
      <c r="E78" s="117"/>
      <c r="F78" s="117" t="s">
        <v>69</v>
      </c>
      <c r="G78" s="117" t="s">
        <v>94</v>
      </c>
      <c r="H78" s="116"/>
    </row>
    <row r="79" spans="1:8" ht="15.75" outlineLevel="1" x14ac:dyDescent="0.25">
      <c r="D79" s="118"/>
      <c r="E79" s="117" t="s">
        <v>89</v>
      </c>
      <c r="F79" s="117" t="s">
        <v>86</v>
      </c>
      <c r="G79" s="117"/>
      <c r="H79" s="116"/>
    </row>
    <row r="80" spans="1:8" ht="15.75" outlineLevel="1" x14ac:dyDescent="0.25">
      <c r="D80" s="118"/>
      <c r="E80" s="117" t="s">
        <v>96</v>
      </c>
      <c r="F80" s="117" t="s">
        <v>28</v>
      </c>
      <c r="G80" s="117"/>
      <c r="H80" s="116"/>
    </row>
    <row r="81" spans="4:8" ht="15.75" outlineLevel="1" x14ac:dyDescent="0.25">
      <c r="D81" s="118"/>
      <c r="E81" s="117"/>
      <c r="F81" s="117" t="s">
        <v>79</v>
      </c>
      <c r="G81" s="117"/>
      <c r="H81" s="116"/>
    </row>
    <row r="82" spans="4:8" ht="15.75" outlineLevel="1" x14ac:dyDescent="0.25">
      <c r="D82" s="118"/>
      <c r="F82" s="117" t="s">
        <v>82</v>
      </c>
      <c r="G82" s="117"/>
      <c r="H82" s="116"/>
    </row>
    <row r="83" spans="4:8" ht="15.75" outlineLevel="1" x14ac:dyDescent="0.25">
      <c r="D83" s="118"/>
      <c r="E83" s="117"/>
      <c r="F83" s="117" t="s">
        <v>92</v>
      </c>
      <c r="G83" s="117"/>
      <c r="H83" s="116"/>
    </row>
    <row r="84" spans="4:8" ht="15.75" outlineLevel="1" x14ac:dyDescent="0.25">
      <c r="D84" s="118"/>
      <c r="E84" s="117"/>
      <c r="F84" s="117" t="s">
        <v>87</v>
      </c>
      <c r="G84" s="117"/>
      <c r="H84" s="116"/>
    </row>
    <row r="85" spans="4:8" ht="15.75" outlineLevel="1" x14ac:dyDescent="0.25">
      <c r="D85" s="118"/>
      <c r="E85" s="117"/>
      <c r="F85" s="117" t="s">
        <v>17</v>
      </c>
      <c r="G85" s="117"/>
      <c r="H85" s="116"/>
    </row>
    <row r="86" spans="4:8" ht="15.75" outlineLevel="1" x14ac:dyDescent="0.25">
      <c r="D86" s="118"/>
      <c r="E86" s="117"/>
      <c r="F86" s="117" t="s">
        <v>280</v>
      </c>
      <c r="G86" s="117"/>
      <c r="H86" s="116"/>
    </row>
    <row r="87" spans="4:8" ht="15.75" outlineLevel="1" x14ac:dyDescent="0.25">
      <c r="D87" s="118"/>
      <c r="E87" s="117"/>
      <c r="F87" s="117" t="s">
        <v>295</v>
      </c>
      <c r="G87" s="117"/>
      <c r="H87" s="116"/>
    </row>
    <row r="88" spans="4:8" ht="15.75" outlineLevel="1" x14ac:dyDescent="0.25">
      <c r="D88" s="118"/>
      <c r="E88" s="117"/>
      <c r="F88" s="117" t="s">
        <v>67</v>
      </c>
      <c r="G88" s="117"/>
      <c r="H88" s="116"/>
    </row>
    <row r="89" spans="4:8" ht="15.75" outlineLevel="1" x14ac:dyDescent="0.25">
      <c r="D89" s="118"/>
      <c r="E89" s="117"/>
      <c r="F89" s="119" t="s">
        <v>24</v>
      </c>
      <c r="G89" s="117"/>
      <c r="H89" s="116"/>
    </row>
    <row r="90" spans="4:8" ht="15.75" outlineLevel="1" x14ac:dyDescent="0.25">
      <c r="D90" s="118"/>
      <c r="E90" s="117"/>
      <c r="F90" s="117" t="s">
        <v>68</v>
      </c>
      <c r="G90" s="117"/>
      <c r="H90" s="116"/>
    </row>
    <row r="91" spans="4:8" ht="15.75" outlineLevel="1" x14ac:dyDescent="0.25">
      <c r="D91" s="118"/>
      <c r="E91" s="117"/>
      <c r="F91" s="117" t="s">
        <v>57</v>
      </c>
      <c r="G91" s="119"/>
      <c r="H91" s="116"/>
    </row>
    <row r="92" spans="4:8" ht="15.75" outlineLevel="1" x14ac:dyDescent="0.25">
      <c r="D92" s="118"/>
      <c r="E92" s="117"/>
      <c r="F92" s="117" t="s">
        <v>35</v>
      </c>
      <c r="G92" s="119"/>
      <c r="H92" s="116"/>
    </row>
    <row r="93" spans="4:8" ht="15.75" outlineLevel="1" x14ac:dyDescent="0.25">
      <c r="D93" s="118"/>
      <c r="E93" s="117"/>
      <c r="F93" s="117" t="s">
        <v>31</v>
      </c>
      <c r="G93" s="117"/>
      <c r="H93" s="116"/>
    </row>
    <row r="94" spans="4:8" ht="15.75" outlineLevel="1" x14ac:dyDescent="0.25">
      <c r="D94" s="118"/>
      <c r="E94" s="117"/>
      <c r="F94" s="117" t="s">
        <v>66</v>
      </c>
      <c r="G94" s="117"/>
      <c r="H94" s="116"/>
    </row>
    <row r="95" spans="4:8" ht="15.75" outlineLevel="1" x14ac:dyDescent="0.25">
      <c r="D95" s="118"/>
      <c r="E95" s="119"/>
      <c r="F95" s="117" t="s">
        <v>97</v>
      </c>
      <c r="G95" s="117"/>
      <c r="H95" s="116"/>
    </row>
    <row r="96" spans="4:8" ht="15.75" outlineLevel="1" x14ac:dyDescent="0.25">
      <c r="D96" s="118"/>
      <c r="E96" s="117"/>
      <c r="F96" s="117" t="s">
        <v>83</v>
      </c>
      <c r="G96" s="117"/>
      <c r="H96" s="116"/>
    </row>
    <row r="97" spans="1:8" ht="15.75" outlineLevel="1" x14ac:dyDescent="0.25">
      <c r="D97" s="118"/>
      <c r="E97" s="117"/>
      <c r="F97" s="117" t="s">
        <v>65</v>
      </c>
      <c r="G97" s="117"/>
      <c r="H97" s="116"/>
    </row>
    <row r="98" spans="1:8" ht="15.75" outlineLevel="1" x14ac:dyDescent="0.25">
      <c r="D98" s="118"/>
      <c r="E98" s="117"/>
      <c r="F98" s="117" t="s">
        <v>77</v>
      </c>
      <c r="G98" s="117"/>
      <c r="H98" s="116"/>
    </row>
    <row r="99" spans="1:8" ht="15.75" outlineLevel="1" x14ac:dyDescent="0.25">
      <c r="D99" s="118"/>
      <c r="E99" s="117"/>
      <c r="F99" s="117" t="s">
        <v>75</v>
      </c>
      <c r="G99" s="117"/>
      <c r="H99" s="116"/>
    </row>
    <row r="100" spans="1:8" ht="15.75" outlineLevel="1" x14ac:dyDescent="0.25">
      <c r="D100" s="118"/>
      <c r="E100" s="117"/>
      <c r="F100" s="117" t="s">
        <v>190</v>
      </c>
      <c r="G100" s="117" t="s">
        <v>39</v>
      </c>
      <c r="H100" s="116"/>
    </row>
    <row r="101" spans="1:8" ht="15.75" outlineLevel="1" x14ac:dyDescent="0.25">
      <c r="D101" s="118"/>
      <c r="E101" s="117"/>
      <c r="F101" s="116" t="s">
        <v>279</v>
      </c>
      <c r="G101" s="117" t="s">
        <v>71</v>
      </c>
      <c r="H101" s="116"/>
    </row>
    <row r="102" spans="1:8" ht="15.75" outlineLevel="1" x14ac:dyDescent="0.25">
      <c r="D102" s="118"/>
      <c r="E102" s="117"/>
      <c r="F102" s="117" t="s">
        <v>73</v>
      </c>
      <c r="G102" s="117"/>
      <c r="H102" s="116"/>
    </row>
    <row r="103" spans="1:8" ht="15.75" outlineLevel="1" x14ac:dyDescent="0.25">
      <c r="D103" s="118"/>
      <c r="E103" s="117"/>
      <c r="F103" s="117" t="s">
        <v>230</v>
      </c>
      <c r="G103" s="117"/>
      <c r="H103" s="116"/>
    </row>
    <row r="104" spans="1:8" ht="15.75" outlineLevel="1" x14ac:dyDescent="0.25">
      <c r="D104" s="118"/>
      <c r="E104" s="117"/>
      <c r="F104" s="117" t="s">
        <v>56</v>
      </c>
      <c r="G104" s="117"/>
      <c r="H104" s="116"/>
    </row>
    <row r="105" spans="1:8" ht="15.75" outlineLevel="1" x14ac:dyDescent="0.25">
      <c r="D105" s="118"/>
      <c r="E105" s="117"/>
      <c r="F105" s="117" t="s">
        <v>53</v>
      </c>
      <c r="G105" s="117"/>
      <c r="H105" s="116"/>
    </row>
    <row r="106" spans="1:8" ht="15.75" outlineLevel="1" x14ac:dyDescent="0.25">
      <c r="D106" s="118"/>
      <c r="E106" s="117" t="s">
        <v>49</v>
      </c>
      <c r="F106" s="117" t="s">
        <v>45</v>
      </c>
      <c r="G106" s="117"/>
      <c r="H106" s="116"/>
    </row>
    <row r="107" spans="1:8" ht="15.75" outlineLevel="1" x14ac:dyDescent="0.25">
      <c r="D107" s="118"/>
      <c r="E107" s="117"/>
      <c r="F107" s="117" t="s">
        <v>189</v>
      </c>
      <c r="G107" s="117"/>
      <c r="H107" s="116"/>
    </row>
    <row r="108" spans="1:8" ht="15.75" outlineLevel="1" x14ac:dyDescent="0.25">
      <c r="D108" s="118"/>
      <c r="E108" s="117"/>
      <c r="F108" s="117" t="s">
        <v>21</v>
      </c>
      <c r="G108" s="117"/>
      <c r="H108" s="116"/>
    </row>
    <row r="109" spans="1:8" ht="16.5" outlineLevel="1" thickBot="1" x14ac:dyDescent="0.3">
      <c r="D109" s="128"/>
      <c r="E109" s="127"/>
      <c r="F109" s="127"/>
      <c r="G109" s="127"/>
      <c r="H109" s="126"/>
    </row>
    <row r="110" spans="1:8" ht="24" customHeight="1" thickTop="1" thickBot="1" x14ac:dyDescent="0.3">
      <c r="A110" s="131">
        <f>A76+1</f>
        <v>4</v>
      </c>
      <c r="B110" s="124" t="s">
        <v>210</v>
      </c>
      <c r="C110" s="123">
        <f>SUM(D110:H110)</f>
        <v>37</v>
      </c>
      <c r="D110" s="117">
        <f>COUNTA(D111:D143)</f>
        <v>0</v>
      </c>
      <c r="E110" s="117">
        <f>COUNTA(E111:E143)</f>
        <v>0</v>
      </c>
      <c r="F110" s="117">
        <f>COUNTA(F111:F143)</f>
        <v>14</v>
      </c>
      <c r="G110" s="117">
        <f>COUNTA(G111:G143)</f>
        <v>19</v>
      </c>
      <c r="H110" s="117">
        <f>COUNTA(H111:H143)</f>
        <v>4</v>
      </c>
    </row>
    <row r="111" spans="1:8" ht="15.6" customHeight="1" outlineLevel="1" thickTop="1" x14ac:dyDescent="0.25">
      <c r="D111" s="122"/>
      <c r="E111" s="121"/>
      <c r="F111" s="121"/>
      <c r="G111" s="121"/>
      <c r="H111" s="120"/>
    </row>
    <row r="112" spans="1:8" ht="15.6" customHeight="1" outlineLevel="1" x14ac:dyDescent="0.25">
      <c r="D112" s="118"/>
      <c r="E112" s="117"/>
      <c r="F112" s="117"/>
      <c r="G112" s="117"/>
      <c r="H112" s="116"/>
    </row>
    <row r="113" spans="4:8" ht="15.75" outlineLevel="1" x14ac:dyDescent="0.25">
      <c r="D113" s="118"/>
      <c r="E113" s="117"/>
      <c r="F113" s="117" t="s">
        <v>79</v>
      </c>
      <c r="G113" s="117" t="s">
        <v>69</v>
      </c>
      <c r="H113" s="116" t="s">
        <v>21</v>
      </c>
    </row>
    <row r="114" spans="4:8" ht="15.75" outlineLevel="1" x14ac:dyDescent="0.25">
      <c r="D114" s="118"/>
      <c r="E114" s="117"/>
      <c r="F114" s="117" t="s">
        <v>87</v>
      </c>
      <c r="G114" s="117" t="s">
        <v>86</v>
      </c>
      <c r="H114" s="116" t="s">
        <v>71</v>
      </c>
    </row>
    <row r="115" spans="4:8" ht="15.75" outlineLevel="1" x14ac:dyDescent="0.25">
      <c r="D115" s="118"/>
      <c r="E115" s="117"/>
      <c r="F115" s="117"/>
      <c r="G115" s="117" t="s">
        <v>28</v>
      </c>
      <c r="H115" s="116"/>
    </row>
    <row r="116" spans="4:8" ht="15.75" outlineLevel="1" x14ac:dyDescent="0.25">
      <c r="D116" s="118"/>
      <c r="F116" s="117"/>
      <c r="G116" s="117" t="s">
        <v>82</v>
      </c>
      <c r="H116" s="116"/>
    </row>
    <row r="117" spans="4:8" ht="15.75" outlineLevel="1" x14ac:dyDescent="0.25">
      <c r="D117" s="118"/>
      <c r="E117" s="117"/>
      <c r="F117" s="117" t="s">
        <v>96</v>
      </c>
      <c r="G117" s="117" t="s">
        <v>92</v>
      </c>
      <c r="H117" s="116"/>
    </row>
    <row r="118" spans="4:8" ht="15.75" outlineLevel="1" x14ac:dyDescent="0.25">
      <c r="D118" s="118"/>
      <c r="E118" s="117"/>
      <c r="F118" s="117" t="s">
        <v>97</v>
      </c>
      <c r="G118" s="117"/>
      <c r="H118" s="116" t="s">
        <v>94</v>
      </c>
    </row>
    <row r="119" spans="4:8" ht="15.75" outlineLevel="1" x14ac:dyDescent="0.25">
      <c r="D119" s="118"/>
      <c r="E119" s="117"/>
      <c r="F119" s="117" t="s">
        <v>83</v>
      </c>
      <c r="G119" s="117" t="s">
        <v>190</v>
      </c>
      <c r="H119" s="116"/>
    </row>
    <row r="120" spans="4:8" ht="15.75" outlineLevel="1" x14ac:dyDescent="0.25">
      <c r="D120" s="118"/>
      <c r="E120" s="117"/>
      <c r="F120" s="117" t="s">
        <v>77</v>
      </c>
      <c r="G120" s="117" t="s">
        <v>67</v>
      </c>
      <c r="H120" s="116"/>
    </row>
    <row r="121" spans="4:8" ht="15.75" outlineLevel="1" x14ac:dyDescent="0.25">
      <c r="D121" s="118"/>
      <c r="E121" s="117"/>
      <c r="F121" s="117" t="s">
        <v>75</v>
      </c>
      <c r="G121" s="117" t="s">
        <v>24</v>
      </c>
      <c r="H121" s="116"/>
    </row>
    <row r="122" spans="4:8" ht="15.75" outlineLevel="1" x14ac:dyDescent="0.25">
      <c r="D122" s="118"/>
      <c r="E122" s="117"/>
      <c r="F122" s="117" t="s">
        <v>73</v>
      </c>
      <c r="G122" s="117" t="s">
        <v>68</v>
      </c>
      <c r="H122" s="116"/>
    </row>
    <row r="123" spans="4:8" ht="15.75" outlineLevel="1" x14ac:dyDescent="0.25">
      <c r="D123" s="118"/>
      <c r="E123" s="117"/>
      <c r="F123" s="117"/>
      <c r="G123" s="117" t="s">
        <v>57</v>
      </c>
      <c r="H123" s="116"/>
    </row>
    <row r="124" spans="4:8" ht="15.75" outlineLevel="1" x14ac:dyDescent="0.25">
      <c r="D124" s="118"/>
      <c r="E124" s="117"/>
      <c r="F124" s="119" t="s">
        <v>53</v>
      </c>
      <c r="G124" s="117" t="s">
        <v>35</v>
      </c>
      <c r="H124" s="116"/>
    </row>
    <row r="125" spans="4:8" ht="15.75" outlineLevel="1" x14ac:dyDescent="0.25">
      <c r="D125" s="118"/>
      <c r="E125" s="117"/>
      <c r="F125" s="117" t="s">
        <v>49</v>
      </c>
      <c r="G125" s="119" t="s">
        <v>31</v>
      </c>
      <c r="H125" s="116"/>
    </row>
    <row r="126" spans="4:8" ht="15.75" outlineLevel="1" x14ac:dyDescent="0.25">
      <c r="D126" s="118"/>
      <c r="E126" s="117"/>
      <c r="F126" s="117" t="s">
        <v>189</v>
      </c>
      <c r="G126" s="119" t="s">
        <v>66</v>
      </c>
      <c r="H126" s="116"/>
    </row>
    <row r="127" spans="4:8" ht="15.75" outlineLevel="1" x14ac:dyDescent="0.25">
      <c r="D127" s="118"/>
      <c r="E127" s="117"/>
      <c r="F127" s="117" t="s">
        <v>39</v>
      </c>
      <c r="G127" s="117" t="s">
        <v>65</v>
      </c>
      <c r="H127" s="116"/>
    </row>
    <row r="128" spans="4:8" ht="15.75" outlineLevel="1" x14ac:dyDescent="0.25">
      <c r="D128" s="118"/>
      <c r="E128" s="117"/>
      <c r="F128" s="117" t="s">
        <v>45</v>
      </c>
      <c r="G128" s="117"/>
      <c r="H128" s="116"/>
    </row>
    <row r="129" spans="1:8" ht="15.75" outlineLevel="1" x14ac:dyDescent="0.25">
      <c r="D129" s="118"/>
      <c r="E129" s="119"/>
      <c r="F129" s="117"/>
      <c r="G129" s="117" t="s">
        <v>89</v>
      </c>
      <c r="H129" s="116"/>
    </row>
    <row r="130" spans="1:8" ht="15.75" outlineLevel="1" x14ac:dyDescent="0.25">
      <c r="D130" s="118"/>
      <c r="E130" s="117"/>
      <c r="F130" s="117" t="s">
        <v>295</v>
      </c>
      <c r="G130" s="117" t="s">
        <v>230</v>
      </c>
      <c r="H130" s="116"/>
    </row>
    <row r="131" spans="1:8" ht="15.75" outlineLevel="1" x14ac:dyDescent="0.25">
      <c r="D131" s="118"/>
      <c r="E131" s="117"/>
      <c r="F131" s="117"/>
      <c r="G131" s="117" t="s">
        <v>56</v>
      </c>
      <c r="H131" s="116"/>
    </row>
    <row r="132" spans="1:8" ht="15.75" outlineLevel="1" x14ac:dyDescent="0.25">
      <c r="D132" s="118"/>
      <c r="E132" s="117"/>
      <c r="F132" s="117"/>
      <c r="G132" s="117"/>
      <c r="H132" s="116"/>
    </row>
    <row r="133" spans="1:8" ht="15.75" outlineLevel="1" x14ac:dyDescent="0.25">
      <c r="D133" s="118"/>
      <c r="E133" s="117"/>
      <c r="F133" s="117"/>
      <c r="G133" s="117" t="s">
        <v>280</v>
      </c>
      <c r="H133" s="116"/>
    </row>
    <row r="134" spans="1:8" ht="15.75" outlineLevel="1" x14ac:dyDescent="0.25">
      <c r="D134" s="118"/>
      <c r="E134" s="117"/>
      <c r="F134" s="117"/>
      <c r="G134" s="116" t="s">
        <v>279</v>
      </c>
      <c r="H134" s="116" t="s">
        <v>17</v>
      </c>
    </row>
    <row r="135" spans="1:8" ht="15.75" outlineLevel="1" x14ac:dyDescent="0.25">
      <c r="D135" s="118"/>
      <c r="E135" s="117"/>
      <c r="F135" s="117"/>
      <c r="G135" s="117"/>
      <c r="H135" s="116"/>
    </row>
    <row r="136" spans="1:8" ht="15.75" outlineLevel="1" x14ac:dyDescent="0.25">
      <c r="D136" s="118"/>
      <c r="E136" s="117"/>
      <c r="F136" s="117"/>
      <c r="G136" s="117"/>
      <c r="H136" s="116"/>
    </row>
    <row r="137" spans="1:8" ht="15.75" outlineLevel="1" x14ac:dyDescent="0.25">
      <c r="D137" s="118"/>
      <c r="E137" s="117"/>
      <c r="F137" s="117"/>
      <c r="G137" s="117"/>
      <c r="H137" s="116"/>
    </row>
    <row r="138" spans="1:8" ht="15.75" outlineLevel="1" x14ac:dyDescent="0.25">
      <c r="D138" s="118"/>
      <c r="E138" s="117"/>
      <c r="F138" s="117"/>
      <c r="G138" s="117"/>
      <c r="H138" s="116"/>
    </row>
    <row r="139" spans="1:8" ht="15.75" outlineLevel="1" x14ac:dyDescent="0.25">
      <c r="D139" s="118"/>
      <c r="E139" s="117"/>
      <c r="F139" s="117"/>
      <c r="G139" s="117"/>
      <c r="H139" s="116"/>
    </row>
    <row r="140" spans="1:8" ht="15.75" outlineLevel="1" x14ac:dyDescent="0.25">
      <c r="D140" s="118"/>
      <c r="E140" s="117"/>
      <c r="F140" s="117"/>
      <c r="G140" s="117"/>
      <c r="H140" s="116"/>
    </row>
    <row r="141" spans="1:8" ht="15.75" outlineLevel="1" x14ac:dyDescent="0.25">
      <c r="D141" s="118"/>
      <c r="E141" s="117"/>
      <c r="F141" s="117"/>
      <c r="G141" s="117"/>
      <c r="H141" s="116"/>
    </row>
    <row r="142" spans="1:8" ht="15.75" outlineLevel="1" x14ac:dyDescent="0.25">
      <c r="D142" s="118"/>
      <c r="E142" s="117"/>
      <c r="F142" s="117"/>
      <c r="G142" s="117"/>
      <c r="H142" s="116"/>
    </row>
    <row r="143" spans="1:8" ht="16.5" outlineLevel="1" thickBot="1" x14ac:dyDescent="0.3">
      <c r="D143" s="128"/>
      <c r="E143" s="127"/>
      <c r="F143" s="127"/>
      <c r="G143" s="127"/>
      <c r="H143" s="126"/>
    </row>
    <row r="144" spans="1:8" ht="22.15" customHeight="1" thickTop="1" thickBot="1" x14ac:dyDescent="0.3">
      <c r="A144" s="131">
        <f>A110+1</f>
        <v>5</v>
      </c>
      <c r="B144" s="124" t="s">
        <v>209</v>
      </c>
      <c r="C144" s="123">
        <f>SUM(D144:H144)</f>
        <v>37</v>
      </c>
      <c r="D144" s="117">
        <f>COUNTA(D145:D177)</f>
        <v>1</v>
      </c>
      <c r="E144" s="117">
        <f>COUNTA(E145:E177)</f>
        <v>2</v>
      </c>
      <c r="F144" s="117">
        <f>COUNTA(F145:F177)</f>
        <v>5</v>
      </c>
      <c r="G144" s="117">
        <f>COUNTA(G145:G177)</f>
        <v>3</v>
      </c>
      <c r="H144" s="117">
        <f>COUNTA(H145:H177)</f>
        <v>26</v>
      </c>
    </row>
    <row r="145" spans="4:8" ht="15.6" customHeight="1" outlineLevel="1" thickTop="1" x14ac:dyDescent="0.25">
      <c r="D145" s="122"/>
      <c r="E145" s="121"/>
      <c r="F145" s="121"/>
      <c r="G145" s="121"/>
      <c r="H145" s="120"/>
    </row>
    <row r="146" spans="4:8" ht="15.6" customHeight="1" outlineLevel="1" x14ac:dyDescent="0.25">
      <c r="D146" s="118" t="s">
        <v>96</v>
      </c>
      <c r="E146" s="117" t="s">
        <v>97</v>
      </c>
      <c r="F146" s="117" t="s">
        <v>92</v>
      </c>
      <c r="G146" s="117" t="s">
        <v>21</v>
      </c>
      <c r="H146" s="116" t="s">
        <v>69</v>
      </c>
    </row>
    <row r="147" spans="4:8" ht="15.75" outlineLevel="1" x14ac:dyDescent="0.25">
      <c r="D147" s="118"/>
      <c r="E147" s="117" t="s">
        <v>189</v>
      </c>
      <c r="F147" s="117" t="s">
        <v>83</v>
      </c>
      <c r="G147" s="117" t="s">
        <v>89</v>
      </c>
      <c r="H147" s="116" t="s">
        <v>86</v>
      </c>
    </row>
    <row r="148" spans="4:8" ht="15.75" outlineLevel="1" x14ac:dyDescent="0.25">
      <c r="D148" s="118"/>
      <c r="E148" s="117"/>
      <c r="F148" s="117" t="s">
        <v>56</v>
      </c>
      <c r="G148" s="117" t="s">
        <v>45</v>
      </c>
      <c r="H148" s="116" t="s">
        <v>28</v>
      </c>
    </row>
    <row r="149" spans="4:8" ht="15.75" outlineLevel="1" x14ac:dyDescent="0.25">
      <c r="D149" s="118"/>
      <c r="E149" s="117"/>
      <c r="F149" s="117" t="s">
        <v>53</v>
      </c>
      <c r="G149" s="117"/>
      <c r="H149" s="116" t="s">
        <v>79</v>
      </c>
    </row>
    <row r="150" spans="4:8" ht="15.75" outlineLevel="1" x14ac:dyDescent="0.25">
      <c r="D150" s="118"/>
      <c r="F150" s="117" t="s">
        <v>49</v>
      </c>
      <c r="G150" s="117"/>
      <c r="H150" s="116" t="s">
        <v>82</v>
      </c>
    </row>
    <row r="151" spans="4:8" ht="15.75" outlineLevel="1" x14ac:dyDescent="0.25">
      <c r="D151" s="118"/>
      <c r="E151" s="117"/>
      <c r="F151" s="117"/>
      <c r="G151" s="117"/>
      <c r="H151" s="116" t="s">
        <v>94</v>
      </c>
    </row>
    <row r="152" spans="4:8" ht="15.75" outlineLevel="1" x14ac:dyDescent="0.25">
      <c r="D152" s="118"/>
      <c r="E152" s="117"/>
      <c r="F152" s="117"/>
      <c r="G152" s="117"/>
      <c r="H152" s="116" t="s">
        <v>87</v>
      </c>
    </row>
    <row r="153" spans="4:8" ht="15.75" outlineLevel="1" x14ac:dyDescent="0.25">
      <c r="D153" s="118"/>
      <c r="E153" s="117"/>
      <c r="F153" s="117"/>
      <c r="G153" s="117"/>
      <c r="H153" s="116" t="s">
        <v>17</v>
      </c>
    </row>
    <row r="154" spans="4:8" ht="15.75" outlineLevel="1" x14ac:dyDescent="0.25">
      <c r="D154" s="118"/>
      <c r="E154" s="117"/>
      <c r="F154" s="117"/>
      <c r="G154" s="117"/>
      <c r="H154" s="116" t="s">
        <v>280</v>
      </c>
    </row>
    <row r="155" spans="4:8" ht="15.75" outlineLevel="1" x14ac:dyDescent="0.25">
      <c r="D155" s="118"/>
      <c r="E155" s="117"/>
      <c r="F155" s="117"/>
      <c r="G155" s="117"/>
      <c r="H155" s="116" t="s">
        <v>295</v>
      </c>
    </row>
    <row r="156" spans="4:8" ht="15.75" outlineLevel="1" x14ac:dyDescent="0.25">
      <c r="D156" s="118"/>
      <c r="E156" s="117"/>
      <c r="F156" s="117"/>
      <c r="G156" s="117"/>
      <c r="H156" s="116" t="s">
        <v>67</v>
      </c>
    </row>
    <row r="157" spans="4:8" ht="15.75" outlineLevel="1" x14ac:dyDescent="0.25">
      <c r="D157" s="118"/>
      <c r="E157" s="117"/>
      <c r="F157" s="117"/>
      <c r="G157" s="117"/>
      <c r="H157" s="116" t="s">
        <v>24</v>
      </c>
    </row>
    <row r="158" spans="4:8" ht="15.75" outlineLevel="1" x14ac:dyDescent="0.25">
      <c r="D158" s="118"/>
      <c r="E158" s="117"/>
      <c r="F158" s="119"/>
      <c r="G158" s="117"/>
      <c r="H158" s="116" t="s">
        <v>68</v>
      </c>
    </row>
    <row r="159" spans="4:8" ht="15.75" outlineLevel="1" x14ac:dyDescent="0.25">
      <c r="D159" s="118"/>
      <c r="E159" s="117"/>
      <c r="F159" s="117"/>
      <c r="G159" s="119"/>
      <c r="H159" s="116" t="s">
        <v>57</v>
      </c>
    </row>
    <row r="160" spans="4:8" ht="15.75" outlineLevel="1" x14ac:dyDescent="0.25">
      <c r="D160" s="118"/>
      <c r="E160" s="117"/>
      <c r="F160" s="117"/>
      <c r="G160" s="119"/>
      <c r="H160" s="116" t="s">
        <v>35</v>
      </c>
    </row>
    <row r="161" spans="4:8" ht="15.75" outlineLevel="1" x14ac:dyDescent="0.25">
      <c r="D161" s="118"/>
      <c r="E161" s="117"/>
      <c r="F161" s="117"/>
      <c r="G161" s="117"/>
      <c r="H161" s="116" t="s">
        <v>31</v>
      </c>
    </row>
    <row r="162" spans="4:8" ht="15.75" outlineLevel="1" x14ac:dyDescent="0.25">
      <c r="D162" s="118"/>
      <c r="E162" s="117"/>
      <c r="F162" s="117"/>
      <c r="G162" s="117"/>
      <c r="H162" s="116" t="s">
        <v>66</v>
      </c>
    </row>
    <row r="163" spans="4:8" ht="15.75" outlineLevel="1" x14ac:dyDescent="0.25">
      <c r="D163" s="118"/>
      <c r="E163" s="119"/>
      <c r="F163" s="117"/>
      <c r="G163" s="117"/>
      <c r="H163" s="116" t="s">
        <v>65</v>
      </c>
    </row>
    <row r="164" spans="4:8" ht="15.75" outlineLevel="1" x14ac:dyDescent="0.25">
      <c r="D164" s="118"/>
      <c r="E164" s="117"/>
      <c r="F164" s="117"/>
      <c r="G164" s="117"/>
      <c r="H164" s="116" t="s">
        <v>77</v>
      </c>
    </row>
    <row r="165" spans="4:8" ht="15.75" outlineLevel="1" x14ac:dyDescent="0.25">
      <c r="D165" s="118"/>
      <c r="E165" s="117"/>
      <c r="F165" s="117"/>
      <c r="G165" s="117"/>
      <c r="H165" s="116" t="s">
        <v>75</v>
      </c>
    </row>
    <row r="166" spans="4:8" ht="15.75" outlineLevel="1" x14ac:dyDescent="0.25">
      <c r="D166" s="118"/>
      <c r="E166" s="117"/>
      <c r="F166" s="117"/>
      <c r="G166" s="117"/>
      <c r="H166" s="116" t="s">
        <v>39</v>
      </c>
    </row>
    <row r="167" spans="4:8" ht="15.75" outlineLevel="1" x14ac:dyDescent="0.25">
      <c r="D167" s="118"/>
      <c r="E167" s="117"/>
      <c r="F167" s="117"/>
      <c r="G167" s="117"/>
      <c r="H167" s="116" t="s">
        <v>71</v>
      </c>
    </row>
    <row r="168" spans="4:8" ht="15.75" outlineLevel="1" x14ac:dyDescent="0.25">
      <c r="D168" s="118"/>
      <c r="E168" s="117"/>
      <c r="F168" s="117"/>
      <c r="G168" s="117"/>
      <c r="H168" s="116" t="s">
        <v>73</v>
      </c>
    </row>
    <row r="169" spans="4:8" ht="15.75" outlineLevel="1" x14ac:dyDescent="0.25">
      <c r="D169" s="118"/>
      <c r="E169" s="117"/>
      <c r="F169" s="117"/>
      <c r="G169" s="117"/>
      <c r="H169" s="116" t="s">
        <v>230</v>
      </c>
    </row>
    <row r="170" spans="4:8" ht="15.75" outlineLevel="1" x14ac:dyDescent="0.25">
      <c r="D170" s="118"/>
      <c r="E170" s="117"/>
      <c r="F170" s="117"/>
      <c r="G170" s="117"/>
      <c r="H170" s="116" t="s">
        <v>190</v>
      </c>
    </row>
    <row r="171" spans="4:8" ht="15.75" outlineLevel="1" x14ac:dyDescent="0.25">
      <c r="D171" s="118"/>
      <c r="E171" s="117"/>
      <c r="F171" s="117"/>
      <c r="G171" s="117"/>
      <c r="H171" s="116" t="s">
        <v>279</v>
      </c>
    </row>
    <row r="172" spans="4:8" ht="15.75" outlineLevel="1" x14ac:dyDescent="0.25">
      <c r="D172" s="118"/>
      <c r="E172" s="117"/>
      <c r="F172" s="117"/>
      <c r="G172" s="117"/>
      <c r="H172" s="116"/>
    </row>
    <row r="173" spans="4:8" ht="15.75" outlineLevel="1" x14ac:dyDescent="0.25">
      <c r="D173" s="118"/>
      <c r="E173" s="117"/>
      <c r="F173" s="117"/>
      <c r="G173" s="117"/>
      <c r="H173" s="116"/>
    </row>
    <row r="174" spans="4:8" ht="15.75" outlineLevel="1" x14ac:dyDescent="0.25">
      <c r="D174" s="118"/>
      <c r="E174" s="117"/>
      <c r="F174" s="117"/>
      <c r="G174" s="117"/>
      <c r="H174" s="116"/>
    </row>
    <row r="175" spans="4:8" ht="15.75" outlineLevel="1" x14ac:dyDescent="0.25">
      <c r="D175" s="118"/>
      <c r="E175" s="117"/>
      <c r="F175" s="117"/>
      <c r="G175" s="117"/>
      <c r="H175" s="116"/>
    </row>
    <row r="176" spans="4:8" ht="15.75" outlineLevel="1" x14ac:dyDescent="0.25">
      <c r="D176" s="118"/>
      <c r="E176" s="117"/>
      <c r="F176" s="117"/>
      <c r="G176" s="117"/>
      <c r="H176" s="116"/>
    </row>
    <row r="177" spans="1:8" ht="16.5" outlineLevel="1" thickBot="1" x14ac:dyDescent="0.3">
      <c r="D177" s="128"/>
      <c r="E177" s="127"/>
      <c r="F177" s="127"/>
      <c r="G177" s="127"/>
      <c r="H177" s="126"/>
    </row>
    <row r="178" spans="1:8" ht="15.6" customHeight="1" thickTop="1" thickBot="1" x14ac:dyDescent="0.3">
      <c r="A178" s="131">
        <f>A144+1</f>
        <v>6</v>
      </c>
      <c r="B178" s="124" t="s">
        <v>208</v>
      </c>
      <c r="C178" s="123">
        <f>SUM(D178:H178)</f>
        <v>37</v>
      </c>
      <c r="D178" s="117">
        <f>COUNTA(D179:D211)</f>
        <v>0</v>
      </c>
      <c r="E178" s="117">
        <f>COUNTA(E179:E211)</f>
        <v>15</v>
      </c>
      <c r="F178" s="117">
        <f>COUNTA(F179:F211)</f>
        <v>19</v>
      </c>
      <c r="G178" s="117">
        <f>COUNTA(G179:G211)</f>
        <v>3</v>
      </c>
      <c r="H178" s="117">
        <f>COUNTA(H179:H211)</f>
        <v>0</v>
      </c>
    </row>
    <row r="179" spans="1:8" ht="15.6" customHeight="1" outlineLevel="1" thickTop="1" x14ac:dyDescent="0.25">
      <c r="D179" s="122"/>
      <c r="E179" s="121"/>
      <c r="F179" s="121"/>
      <c r="G179" s="121"/>
      <c r="H179" s="120"/>
    </row>
    <row r="180" spans="1:8" ht="15.6" customHeight="1" outlineLevel="1" x14ac:dyDescent="0.25">
      <c r="D180" s="118"/>
      <c r="E180" s="117" t="s">
        <v>69</v>
      </c>
      <c r="F180" s="117" t="s">
        <v>28</v>
      </c>
      <c r="G180" s="117"/>
      <c r="H180" s="116"/>
    </row>
    <row r="181" spans="1:8" ht="15.75" outlineLevel="1" x14ac:dyDescent="0.25">
      <c r="D181" s="118"/>
      <c r="E181" s="117" t="s">
        <v>86</v>
      </c>
      <c r="F181" s="117" t="s">
        <v>82</v>
      </c>
      <c r="G181" s="117"/>
      <c r="H181" s="116"/>
    </row>
    <row r="182" spans="1:8" ht="15.75" outlineLevel="1" x14ac:dyDescent="0.25">
      <c r="D182" s="118"/>
      <c r="E182" s="117" t="s">
        <v>79</v>
      </c>
      <c r="F182" s="117" t="s">
        <v>92</v>
      </c>
      <c r="G182" s="117"/>
      <c r="H182" s="116"/>
    </row>
    <row r="183" spans="1:8" ht="15.75" outlineLevel="1" x14ac:dyDescent="0.25">
      <c r="D183" s="118"/>
      <c r="E183" s="117"/>
      <c r="F183" s="117" t="s">
        <v>45</v>
      </c>
      <c r="G183" s="117" t="s">
        <v>21</v>
      </c>
      <c r="H183" s="116"/>
    </row>
    <row r="184" spans="1:8" ht="15.75" outlineLevel="1" x14ac:dyDescent="0.25">
      <c r="D184" s="118"/>
      <c r="E184" s="117" t="s">
        <v>87</v>
      </c>
      <c r="F184" s="117" t="s">
        <v>67</v>
      </c>
      <c r="G184" s="117"/>
      <c r="H184" s="116"/>
    </row>
    <row r="185" spans="1:8" ht="15.75" outlineLevel="1" x14ac:dyDescent="0.25">
      <c r="D185" s="118"/>
      <c r="E185" s="117" t="s">
        <v>17</v>
      </c>
      <c r="F185" s="117" t="s">
        <v>24</v>
      </c>
      <c r="G185" s="117"/>
      <c r="H185" s="116"/>
    </row>
    <row r="186" spans="1:8" ht="15.75" outlineLevel="1" x14ac:dyDescent="0.25">
      <c r="D186" s="118"/>
      <c r="E186" s="117" t="s">
        <v>280</v>
      </c>
      <c r="F186" s="117" t="s">
        <v>68</v>
      </c>
      <c r="G186" s="117"/>
      <c r="H186" s="116"/>
    </row>
    <row r="187" spans="1:8" ht="15.75" outlineLevel="1" x14ac:dyDescent="0.25">
      <c r="D187" s="118"/>
      <c r="E187" s="117" t="s">
        <v>295</v>
      </c>
      <c r="F187" s="117" t="s">
        <v>57</v>
      </c>
      <c r="G187" s="117"/>
      <c r="H187" s="116"/>
    </row>
    <row r="188" spans="1:8" ht="15.75" outlineLevel="1" x14ac:dyDescent="0.25">
      <c r="D188" s="118"/>
      <c r="E188" s="117" t="s">
        <v>83</v>
      </c>
      <c r="F188" s="117" t="s">
        <v>96</v>
      </c>
      <c r="G188" s="117"/>
      <c r="H188" s="116"/>
    </row>
    <row r="189" spans="1:8" ht="15.75" outlineLevel="1" x14ac:dyDescent="0.25">
      <c r="D189" s="118"/>
      <c r="E189" s="117" t="s">
        <v>77</v>
      </c>
      <c r="F189" s="117" t="s">
        <v>35</v>
      </c>
      <c r="G189" s="117"/>
      <c r="H189" s="116"/>
    </row>
    <row r="190" spans="1:8" ht="15.75" outlineLevel="1" x14ac:dyDescent="0.25">
      <c r="D190" s="118"/>
      <c r="E190" s="117" t="s">
        <v>75</v>
      </c>
      <c r="F190" s="117" t="s">
        <v>31</v>
      </c>
      <c r="G190" s="117"/>
      <c r="H190" s="116"/>
    </row>
    <row r="191" spans="1:8" ht="15.75" outlineLevel="1" x14ac:dyDescent="0.25">
      <c r="D191" s="118"/>
      <c r="E191" s="116" t="s">
        <v>279</v>
      </c>
      <c r="F191" s="119" t="s">
        <v>66</v>
      </c>
      <c r="G191" s="117"/>
      <c r="H191" s="116"/>
    </row>
    <row r="192" spans="1:8" ht="15.75" outlineLevel="1" x14ac:dyDescent="0.25">
      <c r="D192" s="118"/>
      <c r="E192" s="117" t="s">
        <v>71</v>
      </c>
      <c r="F192" s="117" t="s">
        <v>97</v>
      </c>
      <c r="G192" s="117"/>
      <c r="H192" s="116"/>
    </row>
    <row r="193" spans="4:8" ht="15.75" outlineLevel="1" x14ac:dyDescent="0.25">
      <c r="D193" s="118"/>
      <c r="E193" s="117" t="s">
        <v>73</v>
      </c>
      <c r="F193" s="117" t="s">
        <v>65</v>
      </c>
      <c r="G193" s="119"/>
      <c r="H193" s="116"/>
    </row>
    <row r="194" spans="4:8" ht="15.75" outlineLevel="1" x14ac:dyDescent="0.25">
      <c r="D194" s="118"/>
      <c r="E194" s="117" t="s">
        <v>89</v>
      </c>
      <c r="F194" s="117" t="s">
        <v>230</v>
      </c>
      <c r="G194" s="119"/>
      <c r="H194" s="116"/>
    </row>
    <row r="195" spans="4:8" ht="15.75" outlineLevel="1" x14ac:dyDescent="0.25">
      <c r="D195" s="118"/>
      <c r="E195" s="117" t="s">
        <v>190</v>
      </c>
      <c r="F195" s="117" t="s">
        <v>56</v>
      </c>
      <c r="G195" s="117"/>
      <c r="H195" s="116"/>
    </row>
    <row r="196" spans="4:8" ht="15.75" outlineLevel="1" x14ac:dyDescent="0.25">
      <c r="D196" s="118"/>
      <c r="E196" s="117"/>
      <c r="F196" s="117" t="s">
        <v>53</v>
      </c>
      <c r="G196" s="117"/>
      <c r="H196" s="116"/>
    </row>
    <row r="197" spans="4:8" ht="15.75" outlineLevel="1" x14ac:dyDescent="0.25">
      <c r="D197" s="118"/>
      <c r="E197" s="119"/>
      <c r="F197" s="117" t="s">
        <v>49</v>
      </c>
      <c r="G197" s="117"/>
      <c r="H197" s="116"/>
    </row>
    <row r="198" spans="4:8" ht="15.75" outlineLevel="1" x14ac:dyDescent="0.25">
      <c r="D198" s="118"/>
      <c r="E198" s="117"/>
      <c r="F198" s="117" t="s">
        <v>189</v>
      </c>
      <c r="G198" s="117"/>
      <c r="H198" s="116"/>
    </row>
    <row r="199" spans="4:8" ht="15.75" outlineLevel="1" x14ac:dyDescent="0.25">
      <c r="D199" s="118"/>
      <c r="E199" s="117"/>
      <c r="F199" s="117"/>
      <c r="G199" s="117" t="s">
        <v>94</v>
      </c>
      <c r="H199" s="116"/>
    </row>
    <row r="200" spans="4:8" ht="15.75" outlineLevel="1" x14ac:dyDescent="0.25">
      <c r="D200" s="118"/>
      <c r="E200" s="117"/>
      <c r="F200" s="117"/>
      <c r="G200" s="117" t="s">
        <v>39</v>
      </c>
      <c r="H200" s="116"/>
    </row>
    <row r="201" spans="4:8" ht="15.75" outlineLevel="1" x14ac:dyDescent="0.25">
      <c r="D201" s="118"/>
      <c r="E201" s="117"/>
      <c r="F201" s="117"/>
      <c r="G201" s="117"/>
      <c r="H201" s="116"/>
    </row>
    <row r="202" spans="4:8" ht="15.75" outlineLevel="1" x14ac:dyDescent="0.25">
      <c r="D202" s="118"/>
      <c r="E202" s="117"/>
      <c r="F202" s="117"/>
      <c r="G202" s="117"/>
      <c r="H202" s="116"/>
    </row>
    <row r="203" spans="4:8" ht="15.75" outlineLevel="1" x14ac:dyDescent="0.25">
      <c r="D203" s="118"/>
      <c r="E203" s="117"/>
      <c r="F203" s="117"/>
      <c r="G203" s="117"/>
      <c r="H203" s="116"/>
    </row>
    <row r="204" spans="4:8" ht="15.75" outlineLevel="1" x14ac:dyDescent="0.25">
      <c r="D204" s="118"/>
      <c r="E204" s="117"/>
      <c r="F204" s="117"/>
      <c r="G204" s="117"/>
      <c r="H204" s="116"/>
    </row>
    <row r="205" spans="4:8" ht="15.75" outlineLevel="1" x14ac:dyDescent="0.25">
      <c r="D205" s="118"/>
      <c r="E205" s="117"/>
      <c r="F205" s="117"/>
      <c r="G205" s="117"/>
      <c r="H205" s="116"/>
    </row>
    <row r="206" spans="4:8" ht="15.75" outlineLevel="1" x14ac:dyDescent="0.25">
      <c r="D206" s="118"/>
      <c r="E206" s="117"/>
      <c r="F206" s="117"/>
      <c r="G206" s="117"/>
      <c r="H206" s="116"/>
    </row>
    <row r="207" spans="4:8" ht="15.75" outlineLevel="1" x14ac:dyDescent="0.25">
      <c r="D207" s="118"/>
      <c r="E207" s="117"/>
      <c r="F207" s="117"/>
      <c r="G207" s="117"/>
      <c r="H207" s="116"/>
    </row>
    <row r="208" spans="4:8" ht="15.75" outlineLevel="1" x14ac:dyDescent="0.25">
      <c r="D208" s="118"/>
      <c r="E208" s="117"/>
      <c r="F208" s="117"/>
      <c r="G208" s="117"/>
      <c r="H208" s="116"/>
    </row>
    <row r="209" spans="1:8" ht="15.75" outlineLevel="1" x14ac:dyDescent="0.25">
      <c r="D209" s="118"/>
      <c r="E209" s="117"/>
      <c r="F209" s="117"/>
      <c r="G209" s="117"/>
      <c r="H209" s="116"/>
    </row>
    <row r="210" spans="1:8" ht="15.75" outlineLevel="1" x14ac:dyDescent="0.25">
      <c r="D210" s="118"/>
      <c r="E210" s="117"/>
      <c r="F210" s="117"/>
      <c r="G210" s="117"/>
      <c r="H210" s="116"/>
    </row>
    <row r="211" spans="1:8" ht="16.5" outlineLevel="1" thickBot="1" x14ac:dyDescent="0.3">
      <c r="D211" s="128"/>
      <c r="E211" s="127"/>
      <c r="F211" s="127"/>
      <c r="G211" s="127"/>
      <c r="H211" s="126"/>
    </row>
    <row r="212" spans="1:8" ht="15.6" customHeight="1" thickTop="1" thickBot="1" x14ac:dyDescent="0.3">
      <c r="A212" s="131">
        <f>A178+1</f>
        <v>7</v>
      </c>
      <c r="B212" s="124" t="s">
        <v>207</v>
      </c>
      <c r="C212" s="123">
        <f>SUM(D212:H212)</f>
        <v>37</v>
      </c>
      <c r="D212" s="117">
        <f>COUNTA(D213:D245)</f>
        <v>1</v>
      </c>
      <c r="E212" s="117">
        <f>COUNTA(E213:E245)</f>
        <v>2</v>
      </c>
      <c r="F212" s="117">
        <f>COUNTA(F213:F245)</f>
        <v>32</v>
      </c>
      <c r="G212" s="117">
        <f>COUNTA(G213:G245)</f>
        <v>2</v>
      </c>
      <c r="H212" s="117">
        <f>COUNTA(H213:H245)</f>
        <v>0</v>
      </c>
    </row>
    <row r="213" spans="1:8" ht="15.6" customHeight="1" outlineLevel="1" thickTop="1" x14ac:dyDescent="0.25">
      <c r="D213" s="122"/>
      <c r="E213" s="121"/>
      <c r="F213" s="121" t="s">
        <v>45</v>
      </c>
      <c r="G213" s="121"/>
      <c r="H213" s="120"/>
    </row>
    <row r="214" spans="1:8" ht="15.6" customHeight="1" outlineLevel="1" x14ac:dyDescent="0.25">
      <c r="D214" s="118" t="s">
        <v>96</v>
      </c>
      <c r="E214" s="117" t="s">
        <v>89</v>
      </c>
      <c r="F214" s="117" t="s">
        <v>69</v>
      </c>
      <c r="G214" s="117"/>
      <c r="H214" s="116"/>
    </row>
    <row r="215" spans="1:8" ht="15.75" outlineLevel="1" x14ac:dyDescent="0.25">
      <c r="D215" s="118"/>
      <c r="E215" s="117"/>
      <c r="F215" s="117" t="s">
        <v>86</v>
      </c>
      <c r="G215" s="117" t="s">
        <v>82</v>
      </c>
      <c r="H215" s="116"/>
    </row>
    <row r="216" spans="1:8" ht="15.75" outlineLevel="1" x14ac:dyDescent="0.25">
      <c r="D216" s="118"/>
      <c r="E216" s="117"/>
      <c r="F216" s="117" t="s">
        <v>79</v>
      </c>
      <c r="G216" s="117"/>
      <c r="H216" s="116"/>
    </row>
    <row r="217" spans="1:8" ht="15.75" outlineLevel="1" x14ac:dyDescent="0.25">
      <c r="D217" s="118"/>
      <c r="E217" s="117"/>
      <c r="F217" s="117" t="s">
        <v>92</v>
      </c>
      <c r="G217" s="117"/>
      <c r="H217" s="116"/>
    </row>
    <row r="218" spans="1:8" ht="15.75" outlineLevel="1" x14ac:dyDescent="0.25">
      <c r="D218" s="118"/>
      <c r="F218" s="117" t="s">
        <v>94</v>
      </c>
      <c r="G218" s="117"/>
      <c r="H218" s="116"/>
    </row>
    <row r="219" spans="1:8" ht="15.75" outlineLevel="1" x14ac:dyDescent="0.25">
      <c r="D219" s="118"/>
      <c r="E219" s="117"/>
      <c r="F219" s="117" t="s">
        <v>87</v>
      </c>
      <c r="G219" s="117" t="s">
        <v>71</v>
      </c>
      <c r="H219" s="116"/>
    </row>
    <row r="220" spans="1:8" ht="15.75" outlineLevel="1" x14ac:dyDescent="0.25">
      <c r="D220" s="118"/>
      <c r="E220" s="117"/>
      <c r="F220" s="117" t="s">
        <v>17</v>
      </c>
      <c r="G220" s="117"/>
      <c r="H220" s="116"/>
    </row>
    <row r="221" spans="1:8" ht="15.75" outlineLevel="1" x14ac:dyDescent="0.25">
      <c r="D221" s="118"/>
      <c r="E221" s="117"/>
      <c r="F221" s="117" t="s">
        <v>280</v>
      </c>
      <c r="G221" s="117"/>
      <c r="H221" s="116"/>
    </row>
    <row r="222" spans="1:8" ht="15.75" outlineLevel="1" x14ac:dyDescent="0.25">
      <c r="D222" s="118"/>
      <c r="E222" s="117"/>
      <c r="F222" s="117" t="s">
        <v>295</v>
      </c>
      <c r="G222" s="117"/>
      <c r="H222" s="116"/>
    </row>
    <row r="223" spans="1:8" ht="15.75" outlineLevel="1" x14ac:dyDescent="0.25">
      <c r="D223" s="118"/>
      <c r="E223" s="117"/>
      <c r="F223" s="117" t="s">
        <v>21</v>
      </c>
      <c r="G223" s="117"/>
      <c r="H223" s="116"/>
    </row>
    <row r="224" spans="1:8" ht="15.75" outlineLevel="1" x14ac:dyDescent="0.25">
      <c r="D224" s="118"/>
      <c r="E224" s="117"/>
      <c r="F224" s="119" t="s">
        <v>67</v>
      </c>
      <c r="G224" s="117"/>
      <c r="H224" s="116"/>
    </row>
    <row r="225" spans="4:8" ht="15.75" outlineLevel="1" x14ac:dyDescent="0.25">
      <c r="D225" s="118"/>
      <c r="E225" s="117"/>
      <c r="F225" s="117" t="s">
        <v>24</v>
      </c>
      <c r="G225" s="117"/>
      <c r="H225" s="116"/>
    </row>
    <row r="226" spans="4:8" ht="15.75" outlineLevel="1" x14ac:dyDescent="0.25">
      <c r="D226" s="118"/>
      <c r="E226" s="117"/>
      <c r="F226" s="117" t="s">
        <v>68</v>
      </c>
      <c r="G226" s="117"/>
      <c r="H226" s="116"/>
    </row>
    <row r="227" spans="4:8" ht="15.75" outlineLevel="1" x14ac:dyDescent="0.25">
      <c r="D227" s="118"/>
      <c r="E227" s="117"/>
      <c r="F227" s="117" t="s">
        <v>57</v>
      </c>
      <c r="G227" s="119"/>
      <c r="H227" s="116"/>
    </row>
    <row r="228" spans="4:8" ht="15.75" outlineLevel="1" x14ac:dyDescent="0.25">
      <c r="D228" s="118"/>
      <c r="E228" s="117"/>
      <c r="F228" s="117" t="s">
        <v>66</v>
      </c>
      <c r="G228" s="119"/>
      <c r="H228" s="116"/>
    </row>
    <row r="229" spans="4:8" ht="15.75" outlineLevel="1" x14ac:dyDescent="0.25">
      <c r="D229" s="118"/>
      <c r="E229" s="117"/>
      <c r="F229" s="117" t="s">
        <v>97</v>
      </c>
      <c r="G229" s="117"/>
      <c r="H229" s="116"/>
    </row>
    <row r="230" spans="4:8" ht="15.75" outlineLevel="1" x14ac:dyDescent="0.25">
      <c r="D230" s="118"/>
      <c r="E230" s="117"/>
      <c r="F230" s="117" t="s">
        <v>83</v>
      </c>
      <c r="G230" s="117"/>
      <c r="H230" s="116"/>
    </row>
    <row r="231" spans="4:8" ht="15.75" outlineLevel="1" x14ac:dyDescent="0.25">
      <c r="D231" s="118"/>
      <c r="E231" s="119"/>
      <c r="F231" s="117" t="s">
        <v>77</v>
      </c>
      <c r="G231" s="117"/>
      <c r="H231" s="116"/>
    </row>
    <row r="232" spans="4:8" ht="15.75" outlineLevel="1" x14ac:dyDescent="0.25">
      <c r="D232" s="118"/>
      <c r="E232" s="117"/>
      <c r="F232" s="117" t="s">
        <v>75</v>
      </c>
      <c r="G232" s="117"/>
      <c r="H232" s="116"/>
    </row>
    <row r="233" spans="4:8" ht="15.75" outlineLevel="1" x14ac:dyDescent="0.25">
      <c r="D233" s="118"/>
      <c r="E233" s="117" t="s">
        <v>39</v>
      </c>
      <c r="F233" s="117"/>
      <c r="G233" s="117"/>
      <c r="H233" s="116"/>
    </row>
    <row r="234" spans="4:8" ht="15.75" outlineLevel="1" x14ac:dyDescent="0.25">
      <c r="D234" s="118"/>
      <c r="E234" s="117"/>
      <c r="F234" s="117" t="s">
        <v>73</v>
      </c>
      <c r="G234" s="117"/>
      <c r="H234" s="116"/>
    </row>
    <row r="235" spans="4:8" ht="15.75" outlineLevel="1" x14ac:dyDescent="0.25">
      <c r="D235" s="118"/>
      <c r="E235" s="117"/>
      <c r="F235" s="117" t="s">
        <v>230</v>
      </c>
      <c r="G235" s="117"/>
      <c r="H235" s="116"/>
    </row>
    <row r="236" spans="4:8" ht="15.75" outlineLevel="1" x14ac:dyDescent="0.25">
      <c r="D236" s="118"/>
      <c r="E236" s="117"/>
      <c r="F236" s="117" t="s">
        <v>56</v>
      </c>
      <c r="G236" s="117"/>
      <c r="H236" s="116"/>
    </row>
    <row r="237" spans="4:8" ht="15.75" outlineLevel="1" x14ac:dyDescent="0.25">
      <c r="D237" s="118"/>
      <c r="E237" s="117"/>
      <c r="F237" s="117" t="s">
        <v>53</v>
      </c>
      <c r="G237" s="117"/>
      <c r="H237" s="116"/>
    </row>
    <row r="238" spans="4:8" ht="15.75" outlineLevel="1" x14ac:dyDescent="0.25">
      <c r="D238" s="118"/>
      <c r="E238" s="117"/>
      <c r="F238" s="117" t="s">
        <v>49</v>
      </c>
      <c r="G238" s="117"/>
      <c r="H238" s="116"/>
    </row>
    <row r="239" spans="4:8" ht="15.75" outlineLevel="1" x14ac:dyDescent="0.25">
      <c r="D239" s="118"/>
      <c r="E239" s="117"/>
      <c r="F239" s="117" t="s">
        <v>189</v>
      </c>
      <c r="G239" s="117"/>
      <c r="H239" s="116"/>
    </row>
    <row r="240" spans="4:8" ht="15.75" outlineLevel="1" x14ac:dyDescent="0.25">
      <c r="D240" s="118"/>
      <c r="E240" s="117"/>
      <c r="F240" s="117" t="s">
        <v>190</v>
      </c>
      <c r="G240" s="117"/>
      <c r="H240" s="116"/>
    </row>
    <row r="241" spans="1:8" ht="15.75" outlineLevel="1" x14ac:dyDescent="0.25">
      <c r="D241" s="118"/>
      <c r="E241" s="117"/>
      <c r="F241" s="117" t="s">
        <v>35</v>
      </c>
      <c r="G241" s="117"/>
      <c r="H241" s="116"/>
    </row>
    <row r="242" spans="1:8" ht="15.75" outlineLevel="1" x14ac:dyDescent="0.25">
      <c r="D242" s="118"/>
      <c r="E242" s="117"/>
      <c r="F242" s="117" t="s">
        <v>31</v>
      </c>
      <c r="G242" s="117"/>
      <c r="H242" s="116"/>
    </row>
    <row r="243" spans="1:8" ht="15.75" outlineLevel="1" x14ac:dyDescent="0.25">
      <c r="D243" s="118"/>
      <c r="E243" s="117"/>
      <c r="F243" s="117" t="s">
        <v>65</v>
      </c>
      <c r="G243" s="117"/>
      <c r="H243" s="116"/>
    </row>
    <row r="244" spans="1:8" ht="15.75" outlineLevel="1" x14ac:dyDescent="0.25">
      <c r="D244" s="118"/>
      <c r="E244" s="117"/>
      <c r="F244" s="117" t="s">
        <v>28</v>
      </c>
      <c r="G244" s="117"/>
      <c r="H244" s="116"/>
    </row>
    <row r="245" spans="1:8" ht="16.5" outlineLevel="1" thickBot="1" x14ac:dyDescent="0.3">
      <c r="D245" s="128"/>
      <c r="E245" s="127"/>
      <c r="F245" s="116" t="s">
        <v>279</v>
      </c>
      <c r="G245" s="127"/>
      <c r="H245" s="126"/>
    </row>
    <row r="246" spans="1:8" ht="15.6" customHeight="1" thickTop="1" thickBot="1" x14ac:dyDescent="0.3">
      <c r="A246" s="125"/>
      <c r="B246" s="124"/>
      <c r="C246" s="123"/>
      <c r="D246" s="117">
        <f>COUNTA(D247:D279)</f>
        <v>0</v>
      </c>
      <c r="E246" s="117">
        <f>COUNTA(E247:E279)</f>
        <v>0</v>
      </c>
      <c r="F246" s="117">
        <f>COUNTA(F247:F279)</f>
        <v>0</v>
      </c>
      <c r="G246" s="117">
        <f>COUNTA(G247:G279)</f>
        <v>0</v>
      </c>
      <c r="H246" s="117">
        <f>COUNTA(H247:H279)</f>
        <v>0</v>
      </c>
    </row>
    <row r="247" spans="1:8" ht="15.6" customHeight="1" outlineLevel="1" thickTop="1" x14ac:dyDescent="0.25">
      <c r="D247" s="122"/>
      <c r="E247" s="121"/>
      <c r="F247" s="121"/>
      <c r="G247" s="121"/>
      <c r="H247" s="120"/>
    </row>
    <row r="248" spans="1:8" ht="15.6" customHeight="1" outlineLevel="1" x14ac:dyDescent="0.25">
      <c r="D248" s="118"/>
      <c r="E248" s="117"/>
      <c r="F248" s="117"/>
      <c r="G248" s="117"/>
      <c r="H248" s="116"/>
    </row>
    <row r="249" spans="1:8" ht="15.75" outlineLevel="1" x14ac:dyDescent="0.25">
      <c r="D249" s="118"/>
      <c r="E249" s="117"/>
      <c r="F249" s="117"/>
      <c r="G249" s="117"/>
      <c r="H249" s="116"/>
    </row>
    <row r="250" spans="1:8" ht="15.75" outlineLevel="1" x14ac:dyDescent="0.25">
      <c r="D250" s="118"/>
      <c r="E250" s="117"/>
      <c r="F250" s="117"/>
      <c r="G250" s="117"/>
      <c r="H250" s="116"/>
    </row>
    <row r="251" spans="1:8" ht="15.75" outlineLevel="1" x14ac:dyDescent="0.25">
      <c r="D251" s="118"/>
      <c r="E251" s="117"/>
      <c r="F251" s="117"/>
      <c r="G251" s="117"/>
      <c r="H251" s="116"/>
    </row>
    <row r="252" spans="1:8" ht="15.75" outlineLevel="1" x14ac:dyDescent="0.25">
      <c r="D252" s="118"/>
      <c r="F252" s="117"/>
      <c r="G252" s="117"/>
      <c r="H252" s="116"/>
    </row>
    <row r="253" spans="1:8" ht="15.75" outlineLevel="1" x14ac:dyDescent="0.25">
      <c r="D253" s="118"/>
      <c r="E253" s="117"/>
      <c r="F253" s="117"/>
      <c r="G253" s="117"/>
      <c r="H253" s="116"/>
    </row>
    <row r="254" spans="1:8" ht="15.75" outlineLevel="1" x14ac:dyDescent="0.25">
      <c r="D254" s="118"/>
      <c r="E254" s="117"/>
      <c r="F254" s="117"/>
      <c r="G254" s="117"/>
      <c r="H254" s="116"/>
    </row>
    <row r="255" spans="1:8" ht="15.75" outlineLevel="1" x14ac:dyDescent="0.25">
      <c r="D255" s="118"/>
      <c r="E255" s="117"/>
      <c r="F255" s="117"/>
      <c r="G255" s="117"/>
      <c r="H255" s="116"/>
    </row>
    <row r="256" spans="1:8" ht="15.75" outlineLevel="1" x14ac:dyDescent="0.25">
      <c r="D256" s="118"/>
      <c r="E256" s="117"/>
      <c r="F256" s="117"/>
      <c r="G256" s="117"/>
      <c r="H256" s="116"/>
    </row>
    <row r="257" spans="4:8" ht="15.75" outlineLevel="1" x14ac:dyDescent="0.25">
      <c r="D257" s="118"/>
      <c r="E257" s="117"/>
      <c r="F257" s="117"/>
      <c r="G257" s="117"/>
      <c r="H257" s="116"/>
    </row>
    <row r="258" spans="4:8" ht="15.75" outlineLevel="1" x14ac:dyDescent="0.25">
      <c r="D258" s="118"/>
      <c r="E258" s="117"/>
      <c r="F258" s="117"/>
      <c r="G258" s="117"/>
      <c r="H258" s="116"/>
    </row>
    <row r="259" spans="4:8" ht="15.75" outlineLevel="1" x14ac:dyDescent="0.25">
      <c r="D259" s="118"/>
      <c r="E259" s="117"/>
      <c r="F259" s="117"/>
      <c r="G259" s="117"/>
      <c r="H259" s="116"/>
    </row>
    <row r="260" spans="4:8" ht="15.75" outlineLevel="1" x14ac:dyDescent="0.25">
      <c r="D260" s="118"/>
      <c r="E260" s="117"/>
      <c r="F260" s="119"/>
      <c r="G260" s="117"/>
      <c r="H260" s="116"/>
    </row>
    <row r="261" spans="4:8" ht="15.75" outlineLevel="1" x14ac:dyDescent="0.25">
      <c r="D261" s="118"/>
      <c r="E261" s="117"/>
      <c r="F261" s="117"/>
      <c r="G261" s="119"/>
      <c r="H261" s="116"/>
    </row>
    <row r="262" spans="4:8" ht="15.75" outlineLevel="1" x14ac:dyDescent="0.25">
      <c r="D262" s="118"/>
      <c r="E262" s="117"/>
      <c r="F262" s="117"/>
      <c r="G262" s="119"/>
      <c r="H262" s="116"/>
    </row>
    <row r="263" spans="4:8" ht="15.75" outlineLevel="1" x14ac:dyDescent="0.25">
      <c r="D263" s="118"/>
      <c r="E263" s="117"/>
      <c r="F263" s="117"/>
      <c r="G263" s="117"/>
      <c r="H263" s="116"/>
    </row>
    <row r="264" spans="4:8" ht="15.75" outlineLevel="1" x14ac:dyDescent="0.25">
      <c r="D264" s="118"/>
      <c r="E264" s="117"/>
      <c r="F264" s="117"/>
      <c r="G264" s="117"/>
      <c r="H264" s="116"/>
    </row>
    <row r="265" spans="4:8" ht="15.75" outlineLevel="1" x14ac:dyDescent="0.25">
      <c r="D265" s="118"/>
      <c r="E265" s="119"/>
      <c r="F265" s="117"/>
      <c r="G265" s="117"/>
      <c r="H265" s="116"/>
    </row>
    <row r="266" spans="4:8" ht="15.75" outlineLevel="1" x14ac:dyDescent="0.25">
      <c r="D266" s="118"/>
      <c r="E266" s="117"/>
      <c r="F266" s="117"/>
      <c r="G266" s="117"/>
      <c r="H266" s="116"/>
    </row>
    <row r="267" spans="4:8" ht="15.75" outlineLevel="1" x14ac:dyDescent="0.25">
      <c r="D267" s="118"/>
      <c r="E267" s="117"/>
      <c r="F267" s="117"/>
      <c r="G267" s="117"/>
      <c r="H267" s="116"/>
    </row>
    <row r="268" spans="4:8" ht="15.75" outlineLevel="1" x14ac:dyDescent="0.25">
      <c r="D268" s="118"/>
      <c r="E268" s="117"/>
      <c r="F268" s="117"/>
      <c r="G268" s="117"/>
      <c r="H268" s="116"/>
    </row>
    <row r="269" spans="4:8" ht="15.75" outlineLevel="1" x14ac:dyDescent="0.25">
      <c r="D269" s="118"/>
      <c r="E269" s="117"/>
      <c r="F269" s="117"/>
      <c r="G269" s="117"/>
      <c r="H269" s="116"/>
    </row>
    <row r="270" spans="4:8" ht="15.75" outlineLevel="1" x14ac:dyDescent="0.25">
      <c r="D270" s="118"/>
      <c r="E270" s="117"/>
      <c r="F270" s="117"/>
      <c r="G270" s="117"/>
      <c r="H270" s="116"/>
    </row>
    <row r="271" spans="4:8" ht="15.75" outlineLevel="1" x14ac:dyDescent="0.25">
      <c r="D271" s="118"/>
      <c r="E271" s="117"/>
      <c r="F271" s="117"/>
      <c r="G271" s="117"/>
      <c r="H271" s="116"/>
    </row>
    <row r="272" spans="4:8" ht="15.75" outlineLevel="1" x14ac:dyDescent="0.25">
      <c r="D272" s="118"/>
      <c r="E272" s="117"/>
      <c r="F272" s="117"/>
      <c r="G272" s="117"/>
      <c r="H272" s="116"/>
    </row>
    <row r="273" spans="3:8" ht="15.75" outlineLevel="1" x14ac:dyDescent="0.25">
      <c r="D273" s="118"/>
      <c r="E273" s="117"/>
      <c r="F273" s="117"/>
      <c r="G273" s="117"/>
      <c r="H273" s="116"/>
    </row>
    <row r="274" spans="3:8" ht="15.75" outlineLevel="1" x14ac:dyDescent="0.25">
      <c r="D274" s="118"/>
      <c r="E274" s="117"/>
      <c r="F274" s="117"/>
      <c r="G274" s="117"/>
      <c r="H274" s="116"/>
    </row>
    <row r="275" spans="3:8" ht="15.75" outlineLevel="1" x14ac:dyDescent="0.25">
      <c r="D275" s="118"/>
      <c r="E275" s="117"/>
      <c r="F275" s="117"/>
      <c r="G275" s="117"/>
      <c r="H275" s="116"/>
    </row>
    <row r="276" spans="3:8" ht="15.75" outlineLevel="1" x14ac:dyDescent="0.25">
      <c r="D276" s="118"/>
      <c r="E276" s="117"/>
      <c r="F276" s="117"/>
      <c r="G276" s="117"/>
      <c r="H276" s="116"/>
    </row>
    <row r="277" spans="3:8" ht="15.75" outlineLevel="1" x14ac:dyDescent="0.25">
      <c r="D277" s="118"/>
      <c r="E277" s="117"/>
      <c r="F277" s="117"/>
      <c r="G277" s="117"/>
      <c r="H277" s="116"/>
    </row>
    <row r="278" spans="3:8" ht="15.75" outlineLevel="1" x14ac:dyDescent="0.25">
      <c r="D278" s="118"/>
      <c r="E278" s="117"/>
      <c r="F278" s="117"/>
      <c r="G278" s="117"/>
      <c r="H278" s="116"/>
    </row>
    <row r="279" spans="3:8" ht="15.75" outlineLevel="1" x14ac:dyDescent="0.25">
      <c r="D279" s="118"/>
      <c r="E279" s="117"/>
      <c r="F279" s="117"/>
      <c r="G279" s="117"/>
      <c r="H279" s="116"/>
    </row>
    <row r="280" spans="3:8" ht="15" customHeight="1" x14ac:dyDescent="0.25">
      <c r="C280" s="115">
        <f>SUM(D280:H280)</f>
        <v>259</v>
      </c>
      <c r="D280" s="114">
        <f>D246+D212+D178+D144+D110+D76+D42+D8</f>
        <v>5</v>
      </c>
      <c r="E280" s="114">
        <f>E246+E212+E178+E144+E110+E76+E42+E8</f>
        <v>27</v>
      </c>
      <c r="F280" s="114">
        <f>F246+F212+F178+F144+F110+F76+F42+F8</f>
        <v>140</v>
      </c>
      <c r="G280" s="114">
        <f>G246+G212+G178+G144+G110+G76+G42+G8</f>
        <v>56</v>
      </c>
      <c r="H280" s="114">
        <f>H246+H212+H178+H144+H110+H76+H42+H8</f>
        <v>31</v>
      </c>
    </row>
    <row r="281" spans="3:8" ht="15.75" x14ac:dyDescent="0.25">
      <c r="C281" s="113"/>
      <c r="D281" s="112">
        <f>D280/$C$280</f>
        <v>1.9305019305019305E-2</v>
      </c>
      <c r="E281" s="112">
        <f>E280/$C$280</f>
        <v>0.10424710424710425</v>
      </c>
      <c r="F281" s="112">
        <f>F280/$C$280</f>
        <v>0.54054054054054057</v>
      </c>
      <c r="G281" s="112">
        <f>G280/$C$280</f>
        <v>0.21621621621621623</v>
      </c>
      <c r="H281" s="112">
        <f>H280/$C$280</f>
        <v>0.11969111969111969</v>
      </c>
    </row>
  </sheetData>
  <mergeCells count="5">
    <mergeCell ref="D2:D7"/>
    <mergeCell ref="E2:E7"/>
    <mergeCell ref="F2:F7"/>
    <mergeCell ref="G2:G7"/>
    <mergeCell ref="H2:H7"/>
  </mergeCells>
  <conditionalFormatting sqref="D77:H100 D107:H109 D106:E106 G106:H106 D102:H105 D101:E101 G101:H101">
    <cfRule type="duplicateValues" dxfId="755" priority="315"/>
    <cfRule type="duplicateValues" dxfId="754" priority="323"/>
    <cfRule type="duplicateValues" dxfId="753" priority="331"/>
    <cfRule type="duplicateValues" dxfId="752" priority="339"/>
    <cfRule type="duplicateValues" dxfId="751" priority="347"/>
    <cfRule type="duplicateValues" dxfId="750" priority="355"/>
    <cfRule type="duplicateValues" dxfId="749" priority="363"/>
    <cfRule type="duplicateValues" dxfId="748" priority="370"/>
    <cfRule type="duplicateValues" dxfId="747" priority="376"/>
    <cfRule type="duplicateValues" dxfId="746" priority="381"/>
    <cfRule type="duplicateValues" dxfId="745" priority="384"/>
    <cfRule type="duplicateValues" dxfId="744" priority="397"/>
  </conditionalFormatting>
  <conditionalFormatting sqref="D43:H44 D47:E66 G47:H66 F47:F50 D46:H46 D45 F45:H45 D67:H75 F52:F65">
    <cfRule type="duplicateValues" dxfId="743" priority="396"/>
  </conditionalFormatting>
  <conditionalFormatting sqref="D9:H18 D20:H21 D19:E19 G19:H19 D34:H41 D22:F33 H22:H33">
    <cfRule type="duplicateValues" dxfId="742" priority="317"/>
    <cfRule type="duplicateValues" dxfId="741" priority="325"/>
    <cfRule type="duplicateValues" dxfId="740" priority="333"/>
    <cfRule type="duplicateValues" dxfId="739" priority="341"/>
    <cfRule type="duplicateValues" dxfId="738" priority="349"/>
    <cfRule type="duplicateValues" dxfId="737" priority="357"/>
    <cfRule type="duplicateValues" dxfId="736" priority="365"/>
    <cfRule type="duplicateValues" dxfId="735" priority="372"/>
    <cfRule type="duplicateValues" dxfId="734" priority="378"/>
    <cfRule type="duplicateValues" dxfId="733" priority="383"/>
    <cfRule type="duplicateValues" dxfId="732" priority="386"/>
    <cfRule type="duplicateValues" dxfId="731" priority="388"/>
    <cfRule type="duplicateValues" dxfId="730" priority="389"/>
    <cfRule type="duplicateValues" dxfId="729" priority="395"/>
  </conditionalFormatting>
  <conditionalFormatting sqref="D125:E125 G125:H125 D111:H124 D135:H143 D134:F134 H134 D126:H133">
    <cfRule type="duplicateValues" dxfId="728" priority="314"/>
    <cfRule type="duplicateValues" dxfId="727" priority="322"/>
    <cfRule type="duplicateValues" dxfId="726" priority="330"/>
    <cfRule type="duplicateValues" dxfId="725" priority="338"/>
    <cfRule type="duplicateValues" dxfId="724" priority="346"/>
    <cfRule type="duplicateValues" dxfId="723" priority="354"/>
    <cfRule type="duplicateValues" dxfId="722" priority="362"/>
    <cfRule type="duplicateValues" dxfId="721" priority="369"/>
    <cfRule type="duplicateValues" dxfId="720" priority="375"/>
    <cfRule type="duplicateValues" dxfId="719" priority="380"/>
    <cfRule type="duplicateValues" dxfId="718" priority="394"/>
  </conditionalFormatting>
  <conditionalFormatting sqref="D145:H149 D151:H170 D150:E150 G150:H150 D172:H177 D171:G171">
    <cfRule type="duplicateValues" dxfId="717" priority="313"/>
    <cfRule type="duplicateValues" dxfId="716" priority="321"/>
    <cfRule type="duplicateValues" dxfId="715" priority="329"/>
    <cfRule type="duplicateValues" dxfId="714" priority="337"/>
    <cfRule type="duplicateValues" dxfId="713" priority="345"/>
    <cfRule type="duplicateValues" dxfId="712" priority="353"/>
    <cfRule type="duplicateValues" dxfId="711" priority="361"/>
    <cfRule type="duplicateValues" dxfId="710" priority="368"/>
    <cfRule type="duplicateValues" dxfId="709" priority="374"/>
    <cfRule type="duplicateValues" dxfId="708" priority="379"/>
    <cfRule type="duplicateValues" dxfId="707" priority="393"/>
  </conditionalFormatting>
  <conditionalFormatting sqref="D179:H190 D198:H211 D197:E197 G197:H197 D192:H196 D191 F191:H191">
    <cfRule type="duplicateValues" dxfId="706" priority="312"/>
    <cfRule type="duplicateValues" dxfId="705" priority="320"/>
    <cfRule type="duplicateValues" dxfId="704" priority="328"/>
    <cfRule type="duplicateValues" dxfId="703" priority="336"/>
    <cfRule type="duplicateValues" dxfId="702" priority="344"/>
    <cfRule type="duplicateValues" dxfId="701" priority="352"/>
    <cfRule type="duplicateValues" dxfId="700" priority="360"/>
    <cfRule type="duplicateValues" dxfId="699" priority="367"/>
    <cfRule type="duplicateValues" dxfId="698" priority="373"/>
    <cfRule type="duplicateValues" dxfId="697" priority="392"/>
  </conditionalFormatting>
  <conditionalFormatting sqref="D247:H279">
    <cfRule type="duplicateValues" dxfId="696" priority="310"/>
    <cfRule type="duplicateValues" dxfId="695" priority="318"/>
    <cfRule type="duplicateValues" dxfId="694" priority="326"/>
    <cfRule type="duplicateValues" dxfId="693" priority="334"/>
    <cfRule type="duplicateValues" dxfId="692" priority="342"/>
    <cfRule type="duplicateValues" dxfId="691" priority="350"/>
    <cfRule type="duplicateValues" dxfId="690" priority="358"/>
    <cfRule type="duplicateValues" dxfId="689" priority="391"/>
  </conditionalFormatting>
  <conditionalFormatting sqref="D238:E238 G238:H238 D239:H244 D245:E245 G245:H245 D213:H237">
    <cfRule type="duplicateValues" dxfId="688" priority="311"/>
    <cfRule type="duplicateValues" dxfId="687" priority="319"/>
    <cfRule type="duplicateValues" dxfId="686" priority="327"/>
    <cfRule type="duplicateValues" dxfId="685" priority="335"/>
    <cfRule type="duplicateValues" dxfId="684" priority="343"/>
    <cfRule type="duplicateValues" dxfId="683" priority="351"/>
    <cfRule type="duplicateValues" dxfId="682" priority="359"/>
    <cfRule type="duplicateValues" dxfId="681" priority="366"/>
    <cfRule type="duplicateValues" dxfId="680" priority="390"/>
  </conditionalFormatting>
  <conditionalFormatting sqref="D43:H44 D45 F45:H45 D46:H50 D52:H75 D51:E51 G51:H51">
    <cfRule type="duplicateValues" dxfId="679" priority="316"/>
    <cfRule type="duplicateValues" dxfId="678" priority="324"/>
    <cfRule type="duplicateValues" dxfId="677" priority="332"/>
    <cfRule type="duplicateValues" dxfId="676" priority="340"/>
    <cfRule type="duplicateValues" dxfId="675" priority="348"/>
    <cfRule type="duplicateValues" dxfId="674" priority="356"/>
    <cfRule type="duplicateValues" dxfId="673" priority="364"/>
    <cfRule type="duplicateValues" dxfId="672" priority="371"/>
    <cfRule type="duplicateValues" dxfId="671" priority="377"/>
    <cfRule type="duplicateValues" dxfId="670" priority="382"/>
    <cfRule type="duplicateValues" dxfId="669" priority="385"/>
    <cfRule type="duplicateValues" dxfId="668" priority="387"/>
  </conditionalFormatting>
  <conditionalFormatting sqref="F66">
    <cfRule type="duplicateValues" dxfId="667" priority="309"/>
  </conditionalFormatting>
  <conditionalFormatting sqref="F19">
    <cfRule type="duplicateValues" dxfId="666" priority="288"/>
    <cfRule type="duplicateValues" dxfId="665" priority="289"/>
    <cfRule type="duplicateValues" dxfId="664" priority="290"/>
    <cfRule type="duplicateValues" dxfId="663" priority="291"/>
    <cfRule type="duplicateValues" dxfId="662" priority="292"/>
    <cfRule type="duplicateValues" dxfId="661" priority="293"/>
    <cfRule type="duplicateValues" dxfId="660" priority="294"/>
    <cfRule type="duplicateValues" dxfId="659" priority="295"/>
    <cfRule type="duplicateValues" dxfId="658" priority="296"/>
    <cfRule type="duplicateValues" dxfId="657" priority="297"/>
    <cfRule type="duplicateValues" dxfId="656" priority="298"/>
    <cfRule type="duplicateValues" dxfId="655" priority="299"/>
    <cfRule type="duplicateValues" dxfId="654" priority="300"/>
    <cfRule type="duplicateValues" dxfId="653" priority="301"/>
    <cfRule type="duplicateValues" dxfId="652" priority="302"/>
    <cfRule type="duplicateValues" dxfId="651" priority="303"/>
    <cfRule type="duplicateValues" dxfId="650" priority="304"/>
    <cfRule type="duplicateValues" dxfId="649" priority="305"/>
    <cfRule type="duplicateValues" dxfId="648" priority="306"/>
    <cfRule type="duplicateValues" dxfId="647" priority="307"/>
    <cfRule type="duplicateValues" dxfId="646" priority="308"/>
  </conditionalFormatting>
  <conditionalFormatting sqref="E45">
    <cfRule type="duplicateValues" dxfId="645" priority="267"/>
    <cfRule type="duplicateValues" dxfId="644" priority="268"/>
    <cfRule type="duplicateValues" dxfId="643" priority="269"/>
    <cfRule type="duplicateValues" dxfId="642" priority="270"/>
    <cfRule type="duplicateValues" dxfId="641" priority="271"/>
    <cfRule type="duplicateValues" dxfId="640" priority="272"/>
    <cfRule type="duplicateValues" dxfId="639" priority="273"/>
    <cfRule type="duplicateValues" dxfId="638" priority="274"/>
    <cfRule type="duplicateValues" dxfId="637" priority="275"/>
    <cfRule type="duplicateValues" dxfId="636" priority="276"/>
    <cfRule type="duplicateValues" dxfId="635" priority="277"/>
    <cfRule type="duplicateValues" dxfId="634" priority="278"/>
    <cfRule type="duplicateValues" dxfId="633" priority="279"/>
    <cfRule type="duplicateValues" dxfId="632" priority="280"/>
    <cfRule type="duplicateValues" dxfId="631" priority="281"/>
    <cfRule type="duplicateValues" dxfId="630" priority="282"/>
    <cfRule type="duplicateValues" dxfId="629" priority="283"/>
    <cfRule type="duplicateValues" dxfId="628" priority="284"/>
    <cfRule type="duplicateValues" dxfId="627" priority="285"/>
    <cfRule type="duplicateValues" dxfId="626" priority="286"/>
    <cfRule type="duplicateValues" dxfId="625" priority="287"/>
  </conditionalFormatting>
  <conditionalFormatting sqref="F106">
    <cfRule type="duplicateValues" dxfId="624" priority="246"/>
    <cfRule type="duplicateValues" dxfId="623" priority="247"/>
    <cfRule type="duplicateValues" dxfId="622" priority="248"/>
    <cfRule type="duplicateValues" dxfId="621" priority="249"/>
    <cfRule type="duplicateValues" dxfId="620" priority="250"/>
    <cfRule type="duplicateValues" dxfId="619" priority="251"/>
    <cfRule type="duplicateValues" dxfId="618" priority="252"/>
    <cfRule type="duplicateValues" dxfId="617" priority="253"/>
    <cfRule type="duplicateValues" dxfId="616" priority="254"/>
    <cfRule type="duplicateValues" dxfId="615" priority="255"/>
    <cfRule type="duplicateValues" dxfId="614" priority="256"/>
    <cfRule type="duplicateValues" dxfId="613" priority="257"/>
    <cfRule type="duplicateValues" dxfId="612" priority="258"/>
    <cfRule type="duplicateValues" dxfId="611" priority="259"/>
    <cfRule type="duplicateValues" dxfId="610" priority="260"/>
    <cfRule type="duplicateValues" dxfId="609" priority="261"/>
    <cfRule type="duplicateValues" dxfId="608" priority="262"/>
    <cfRule type="duplicateValues" dxfId="607" priority="263"/>
    <cfRule type="duplicateValues" dxfId="606" priority="264"/>
    <cfRule type="duplicateValues" dxfId="605" priority="265"/>
    <cfRule type="duplicateValues" dxfId="604" priority="266"/>
  </conditionalFormatting>
  <conditionalFormatting sqref="F125">
    <cfRule type="duplicateValues" dxfId="603" priority="225"/>
    <cfRule type="duplicateValues" dxfId="602" priority="226"/>
    <cfRule type="duplicateValues" dxfId="601" priority="227"/>
    <cfRule type="duplicateValues" dxfId="600" priority="228"/>
    <cfRule type="duplicateValues" dxfId="599" priority="229"/>
    <cfRule type="duplicateValues" dxfId="598" priority="230"/>
    <cfRule type="duplicateValues" dxfId="597" priority="231"/>
    <cfRule type="duplicateValues" dxfId="596" priority="232"/>
    <cfRule type="duplicateValues" dxfId="595" priority="233"/>
    <cfRule type="duplicateValues" dxfId="594" priority="234"/>
    <cfRule type="duplicateValues" dxfId="593" priority="235"/>
    <cfRule type="duplicateValues" dxfId="592" priority="236"/>
    <cfRule type="duplicateValues" dxfId="591" priority="237"/>
    <cfRule type="duplicateValues" dxfId="590" priority="238"/>
    <cfRule type="duplicateValues" dxfId="589" priority="239"/>
    <cfRule type="duplicateValues" dxfId="588" priority="240"/>
    <cfRule type="duplicateValues" dxfId="587" priority="241"/>
    <cfRule type="duplicateValues" dxfId="586" priority="242"/>
    <cfRule type="duplicateValues" dxfId="585" priority="243"/>
    <cfRule type="duplicateValues" dxfId="584" priority="244"/>
    <cfRule type="duplicateValues" dxfId="583" priority="245"/>
  </conditionalFormatting>
  <conditionalFormatting sqref="F150">
    <cfRule type="duplicateValues" dxfId="582" priority="204"/>
    <cfRule type="duplicateValues" dxfId="581" priority="205"/>
    <cfRule type="duplicateValues" dxfId="580" priority="206"/>
    <cfRule type="duplicateValues" dxfId="579" priority="207"/>
    <cfRule type="duplicateValues" dxfId="578" priority="208"/>
    <cfRule type="duplicateValues" dxfId="577" priority="209"/>
    <cfRule type="duplicateValues" dxfId="576" priority="210"/>
    <cfRule type="duplicateValues" dxfId="575" priority="211"/>
    <cfRule type="duplicateValues" dxfId="574" priority="212"/>
    <cfRule type="duplicateValues" dxfId="573" priority="213"/>
    <cfRule type="duplicateValues" dxfId="572" priority="214"/>
    <cfRule type="duplicateValues" dxfId="571" priority="215"/>
    <cfRule type="duplicateValues" dxfId="570" priority="216"/>
    <cfRule type="duplicateValues" dxfId="569" priority="217"/>
    <cfRule type="duplicateValues" dxfId="568" priority="218"/>
    <cfRule type="duplicateValues" dxfId="567" priority="219"/>
    <cfRule type="duplicateValues" dxfId="566" priority="220"/>
    <cfRule type="duplicateValues" dxfId="565" priority="221"/>
    <cfRule type="duplicateValues" dxfId="564" priority="222"/>
    <cfRule type="duplicateValues" dxfId="563" priority="223"/>
    <cfRule type="duplicateValues" dxfId="562" priority="224"/>
  </conditionalFormatting>
  <conditionalFormatting sqref="F197">
    <cfRule type="duplicateValues" dxfId="561" priority="183"/>
    <cfRule type="duplicateValues" dxfId="560" priority="184"/>
    <cfRule type="duplicateValues" dxfId="559" priority="185"/>
    <cfRule type="duplicateValues" dxfId="558" priority="186"/>
    <cfRule type="duplicateValues" dxfId="557" priority="187"/>
    <cfRule type="duplicateValues" dxfId="556" priority="188"/>
    <cfRule type="duplicateValues" dxfId="555" priority="189"/>
    <cfRule type="duplicateValues" dxfId="554" priority="190"/>
    <cfRule type="duplicateValues" dxfId="553" priority="191"/>
    <cfRule type="duplicateValues" dxfId="552" priority="192"/>
    <cfRule type="duplicateValues" dxfId="551" priority="193"/>
    <cfRule type="duplicateValues" dxfId="550" priority="194"/>
    <cfRule type="duplicateValues" dxfId="549" priority="195"/>
    <cfRule type="duplicateValues" dxfId="548" priority="196"/>
    <cfRule type="duplicateValues" dxfId="547" priority="197"/>
    <cfRule type="duplicateValues" dxfId="546" priority="198"/>
    <cfRule type="duplicateValues" dxfId="545" priority="199"/>
    <cfRule type="duplicateValues" dxfId="544" priority="200"/>
    <cfRule type="duplicateValues" dxfId="543" priority="201"/>
    <cfRule type="duplicateValues" dxfId="542" priority="202"/>
    <cfRule type="duplicateValues" dxfId="541" priority="203"/>
  </conditionalFormatting>
  <conditionalFormatting sqref="F238">
    <cfRule type="duplicateValues" dxfId="540" priority="162"/>
    <cfRule type="duplicateValues" dxfId="539" priority="163"/>
    <cfRule type="duplicateValues" dxfId="538" priority="164"/>
    <cfRule type="duplicateValues" dxfId="537" priority="165"/>
    <cfRule type="duplicateValues" dxfId="536" priority="166"/>
    <cfRule type="duplicateValues" dxfId="535" priority="167"/>
    <cfRule type="duplicateValues" dxfId="534" priority="168"/>
    <cfRule type="duplicateValues" dxfId="533" priority="169"/>
    <cfRule type="duplicateValues" dxfId="532" priority="170"/>
    <cfRule type="duplicateValues" dxfId="531" priority="171"/>
    <cfRule type="duplicateValues" dxfId="530" priority="172"/>
    <cfRule type="duplicateValues" dxfId="529" priority="173"/>
    <cfRule type="duplicateValues" dxfId="528" priority="174"/>
    <cfRule type="duplicateValues" dxfId="527" priority="175"/>
    <cfRule type="duplicateValues" dxfId="526" priority="176"/>
    <cfRule type="duplicateValues" dxfId="525" priority="177"/>
    <cfRule type="duplicateValues" dxfId="524" priority="178"/>
    <cfRule type="duplicateValues" dxfId="523" priority="179"/>
    <cfRule type="duplicateValues" dxfId="522" priority="180"/>
    <cfRule type="duplicateValues" dxfId="521" priority="181"/>
    <cfRule type="duplicateValues" dxfId="520" priority="182"/>
  </conditionalFormatting>
  <conditionalFormatting sqref="G22:G32">
    <cfRule type="duplicateValues" dxfId="519" priority="148"/>
    <cfRule type="duplicateValues" dxfId="518" priority="149"/>
    <cfRule type="duplicateValues" dxfId="517" priority="150"/>
    <cfRule type="duplicateValues" dxfId="516" priority="151"/>
    <cfRule type="duplicateValues" dxfId="515" priority="152"/>
    <cfRule type="duplicateValues" dxfId="514" priority="153"/>
    <cfRule type="duplicateValues" dxfId="513" priority="154"/>
    <cfRule type="duplicateValues" dxfId="512" priority="155"/>
    <cfRule type="duplicateValues" dxfId="511" priority="156"/>
    <cfRule type="duplicateValues" dxfId="510" priority="157"/>
    <cfRule type="duplicateValues" dxfId="509" priority="158"/>
    <cfRule type="duplicateValues" dxfId="508" priority="159"/>
    <cfRule type="duplicateValues" dxfId="507" priority="160"/>
    <cfRule type="duplicateValues" dxfId="506" priority="161"/>
  </conditionalFormatting>
  <conditionalFormatting sqref="G33">
    <cfRule type="duplicateValues" dxfId="505" priority="127"/>
    <cfRule type="duplicateValues" dxfId="504" priority="128"/>
    <cfRule type="duplicateValues" dxfId="503" priority="129"/>
    <cfRule type="duplicateValues" dxfId="502" priority="130"/>
    <cfRule type="duplicateValues" dxfId="501" priority="131"/>
    <cfRule type="duplicateValues" dxfId="500" priority="132"/>
    <cfRule type="duplicateValues" dxfId="499" priority="133"/>
    <cfRule type="duplicateValues" dxfId="498" priority="134"/>
    <cfRule type="duplicateValues" dxfId="497" priority="135"/>
    <cfRule type="duplicateValues" dxfId="496" priority="136"/>
    <cfRule type="duplicateValues" dxfId="495" priority="137"/>
    <cfRule type="duplicateValues" dxfId="494" priority="138"/>
    <cfRule type="duplicateValues" dxfId="493" priority="139"/>
    <cfRule type="duplicateValues" dxfId="492" priority="140"/>
    <cfRule type="duplicateValues" dxfId="491" priority="141"/>
    <cfRule type="duplicateValues" dxfId="490" priority="142"/>
    <cfRule type="duplicateValues" dxfId="489" priority="143"/>
    <cfRule type="duplicateValues" dxfId="488" priority="144"/>
    <cfRule type="duplicateValues" dxfId="487" priority="145"/>
    <cfRule type="duplicateValues" dxfId="486" priority="146"/>
    <cfRule type="duplicateValues" dxfId="485" priority="147"/>
  </conditionalFormatting>
  <conditionalFormatting sqref="F51">
    <cfRule type="duplicateValues" dxfId="484" priority="106"/>
    <cfRule type="duplicateValues" dxfId="483" priority="107"/>
    <cfRule type="duplicateValues" dxfId="482" priority="108"/>
    <cfRule type="duplicateValues" dxfId="481" priority="109"/>
    <cfRule type="duplicateValues" dxfId="480" priority="110"/>
    <cfRule type="duplicateValues" dxfId="479" priority="111"/>
    <cfRule type="duplicateValues" dxfId="478" priority="112"/>
    <cfRule type="duplicateValues" dxfId="477" priority="113"/>
    <cfRule type="duplicateValues" dxfId="476" priority="114"/>
    <cfRule type="duplicateValues" dxfId="475" priority="115"/>
    <cfRule type="duplicateValues" dxfId="474" priority="116"/>
    <cfRule type="duplicateValues" dxfId="473" priority="117"/>
    <cfRule type="duplicateValues" dxfId="472" priority="118"/>
    <cfRule type="duplicateValues" dxfId="471" priority="119"/>
    <cfRule type="duplicateValues" dxfId="470" priority="120"/>
    <cfRule type="duplicateValues" dxfId="469" priority="121"/>
    <cfRule type="duplicateValues" dxfId="468" priority="122"/>
    <cfRule type="duplicateValues" dxfId="467" priority="123"/>
    <cfRule type="duplicateValues" dxfId="466" priority="124"/>
    <cfRule type="duplicateValues" dxfId="465" priority="125"/>
    <cfRule type="duplicateValues" dxfId="464" priority="126"/>
  </conditionalFormatting>
  <conditionalFormatting sqref="F101">
    <cfRule type="duplicateValues" dxfId="463" priority="85"/>
    <cfRule type="duplicateValues" dxfId="462" priority="86"/>
    <cfRule type="duplicateValues" dxfId="461" priority="87"/>
    <cfRule type="duplicateValues" dxfId="460" priority="88"/>
    <cfRule type="duplicateValues" dxfId="459" priority="89"/>
    <cfRule type="duplicateValues" dxfId="458" priority="90"/>
    <cfRule type="duplicateValues" dxfId="457" priority="91"/>
    <cfRule type="duplicateValues" dxfId="456" priority="92"/>
    <cfRule type="duplicateValues" dxfId="455" priority="93"/>
    <cfRule type="duplicateValues" dxfId="454" priority="94"/>
    <cfRule type="duplicateValues" dxfId="453" priority="95"/>
    <cfRule type="duplicateValues" dxfId="452" priority="96"/>
    <cfRule type="duplicateValues" dxfId="451" priority="97"/>
    <cfRule type="duplicateValues" dxfId="450" priority="98"/>
    <cfRule type="duplicateValues" dxfId="449" priority="99"/>
    <cfRule type="duplicateValues" dxfId="448" priority="100"/>
    <cfRule type="duplicateValues" dxfId="447" priority="101"/>
    <cfRule type="duplicateValues" dxfId="446" priority="102"/>
    <cfRule type="duplicateValues" dxfId="445" priority="103"/>
    <cfRule type="duplicateValues" dxfId="444" priority="104"/>
    <cfRule type="duplicateValues" dxfId="443" priority="105"/>
  </conditionalFormatting>
  <conditionalFormatting sqref="G134">
    <cfRule type="duplicateValues" dxfId="442" priority="64"/>
    <cfRule type="duplicateValues" dxfId="441" priority="65"/>
    <cfRule type="duplicateValues" dxfId="440" priority="66"/>
    <cfRule type="duplicateValues" dxfId="439" priority="67"/>
    <cfRule type="duplicateValues" dxfId="438" priority="68"/>
    <cfRule type="duplicateValues" dxfId="437" priority="69"/>
    <cfRule type="duplicateValues" dxfId="436" priority="70"/>
    <cfRule type="duplicateValues" dxfId="435" priority="71"/>
    <cfRule type="duplicateValues" dxfId="434" priority="72"/>
    <cfRule type="duplicateValues" dxfId="433" priority="73"/>
    <cfRule type="duplicateValues" dxfId="432" priority="74"/>
    <cfRule type="duplicateValues" dxfId="431" priority="75"/>
    <cfRule type="duplicateValues" dxfId="430" priority="76"/>
    <cfRule type="duplicateValues" dxfId="429" priority="77"/>
    <cfRule type="duplicateValues" dxfId="428" priority="78"/>
    <cfRule type="duplicateValues" dxfId="427" priority="79"/>
    <cfRule type="duplicateValues" dxfId="426" priority="80"/>
    <cfRule type="duplicateValues" dxfId="425" priority="81"/>
    <cfRule type="duplicateValues" dxfId="424" priority="82"/>
    <cfRule type="duplicateValues" dxfId="423" priority="83"/>
    <cfRule type="duplicateValues" dxfId="422" priority="84"/>
  </conditionalFormatting>
  <conditionalFormatting sqref="H171">
    <cfRule type="duplicateValues" dxfId="421" priority="43"/>
    <cfRule type="duplicateValues" dxfId="420" priority="44"/>
    <cfRule type="duplicateValues" dxfId="419" priority="45"/>
    <cfRule type="duplicateValues" dxfId="418" priority="46"/>
    <cfRule type="duplicateValues" dxfId="417" priority="47"/>
    <cfRule type="duplicateValues" dxfId="416" priority="48"/>
    <cfRule type="duplicateValues" dxfId="415" priority="49"/>
    <cfRule type="duplicateValues" dxfId="414" priority="50"/>
    <cfRule type="duplicateValues" dxfId="413" priority="51"/>
    <cfRule type="duplicateValues" dxfId="412" priority="52"/>
    <cfRule type="duplicateValues" dxfId="411" priority="53"/>
    <cfRule type="duplicateValues" dxfId="410" priority="54"/>
    <cfRule type="duplicateValues" dxfId="409" priority="55"/>
    <cfRule type="duplicateValues" dxfId="408" priority="56"/>
    <cfRule type="duplicateValues" dxfId="407" priority="57"/>
    <cfRule type="duplicateValues" dxfId="406" priority="58"/>
    <cfRule type="duplicateValues" dxfId="405" priority="59"/>
    <cfRule type="duplicateValues" dxfId="404" priority="60"/>
    <cfRule type="duplicateValues" dxfId="403" priority="61"/>
    <cfRule type="duplicateValues" dxfId="402" priority="62"/>
    <cfRule type="duplicateValues" dxfId="401" priority="63"/>
  </conditionalFormatting>
  <conditionalFormatting sqref="E191">
    <cfRule type="duplicateValues" dxfId="400" priority="22"/>
    <cfRule type="duplicateValues" dxfId="399" priority="23"/>
    <cfRule type="duplicateValues" dxfId="398" priority="24"/>
    <cfRule type="duplicateValues" dxfId="397" priority="25"/>
    <cfRule type="duplicateValues" dxfId="396" priority="26"/>
    <cfRule type="duplicateValues" dxfId="395" priority="27"/>
    <cfRule type="duplicateValues" dxfId="394" priority="28"/>
    <cfRule type="duplicateValues" dxfId="393" priority="29"/>
    <cfRule type="duplicateValues" dxfId="392" priority="30"/>
    <cfRule type="duplicateValues" dxfId="391" priority="31"/>
    <cfRule type="duplicateValues" dxfId="390" priority="32"/>
    <cfRule type="duplicateValues" dxfId="389" priority="33"/>
    <cfRule type="duplicateValues" dxfId="388" priority="34"/>
    <cfRule type="duplicateValues" dxfId="387" priority="35"/>
    <cfRule type="duplicateValues" dxfId="386" priority="36"/>
    <cfRule type="duplicateValues" dxfId="385" priority="37"/>
    <cfRule type="duplicateValues" dxfId="384" priority="38"/>
    <cfRule type="duplicateValues" dxfId="383" priority="39"/>
    <cfRule type="duplicateValues" dxfId="382" priority="40"/>
    <cfRule type="duplicateValues" dxfId="381" priority="41"/>
    <cfRule type="duplicateValues" dxfId="380" priority="42"/>
  </conditionalFormatting>
  <conditionalFormatting sqref="F245">
    <cfRule type="duplicateValues" dxfId="379" priority="1"/>
    <cfRule type="duplicateValues" dxfId="378" priority="2"/>
    <cfRule type="duplicateValues" dxfId="377" priority="3"/>
    <cfRule type="duplicateValues" dxfId="376" priority="4"/>
    <cfRule type="duplicateValues" dxfId="375" priority="5"/>
    <cfRule type="duplicateValues" dxfId="374" priority="6"/>
    <cfRule type="duplicateValues" dxfId="373" priority="7"/>
    <cfRule type="duplicateValues" dxfId="372" priority="8"/>
    <cfRule type="duplicateValues" dxfId="371" priority="9"/>
    <cfRule type="duplicateValues" dxfId="370" priority="10"/>
    <cfRule type="duplicateValues" dxfId="369" priority="11"/>
    <cfRule type="duplicateValues" dxfId="368" priority="12"/>
    <cfRule type="duplicateValues" dxfId="367" priority="13"/>
    <cfRule type="duplicateValues" dxfId="366" priority="14"/>
    <cfRule type="duplicateValues" dxfId="365" priority="15"/>
    <cfRule type="duplicateValues" dxfId="364" priority="16"/>
    <cfRule type="duplicateValues" dxfId="363" priority="17"/>
    <cfRule type="duplicateValues" dxfId="362" priority="18"/>
    <cfRule type="duplicateValues" dxfId="361" priority="19"/>
    <cfRule type="duplicateValues" dxfId="360" priority="20"/>
    <cfRule type="duplicateValues" dxfId="359" priority="21"/>
  </conditionalFormatting>
  <dataValidations count="1">
    <dataValidation type="list" allowBlank="1" showInputMessage="1" showErrorMessage="1" sqref="F1 D8:H280" xr:uid="{00000000-0002-0000-06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11" customWidth="1"/>
    <col min="2" max="2" width="100.42578125" style="111" bestFit="1" customWidth="1"/>
    <col min="3" max="3" width="3.85546875" style="111" customWidth="1"/>
    <col min="4" max="8" width="23" style="111" customWidth="1"/>
    <col min="9" max="16384" width="8.7109375" style="111"/>
  </cols>
  <sheetData>
    <row r="1" spans="1:8" ht="21" x14ac:dyDescent="0.35">
      <c r="D1" s="129">
        <v>1</v>
      </c>
      <c r="E1" s="129">
        <v>2</v>
      </c>
      <c r="F1" s="130" t="s">
        <v>98</v>
      </c>
      <c r="G1" s="129">
        <v>4</v>
      </c>
      <c r="H1" s="129">
        <v>5</v>
      </c>
    </row>
    <row r="2" spans="1:8" x14ac:dyDescent="0.2">
      <c r="D2" s="200" t="s">
        <v>241</v>
      </c>
      <c r="E2" s="200" t="s">
        <v>240</v>
      </c>
      <c r="F2" s="200" t="s">
        <v>239</v>
      </c>
      <c r="G2" s="200" t="s">
        <v>238</v>
      </c>
      <c r="H2" s="200" t="s">
        <v>237</v>
      </c>
    </row>
    <row r="3" spans="1:8" x14ac:dyDescent="0.2">
      <c r="D3" s="201"/>
      <c r="E3" s="201"/>
      <c r="F3" s="201"/>
      <c r="G3" s="201"/>
      <c r="H3" s="201"/>
    </row>
    <row r="4" spans="1:8" x14ac:dyDescent="0.2">
      <c r="D4" s="201"/>
      <c r="E4" s="201"/>
      <c r="F4" s="201"/>
      <c r="G4" s="201"/>
      <c r="H4" s="201"/>
    </row>
    <row r="5" spans="1:8" x14ac:dyDescent="0.2">
      <c r="D5" s="201"/>
      <c r="E5" s="201"/>
      <c r="F5" s="201"/>
      <c r="G5" s="201"/>
      <c r="H5" s="201"/>
    </row>
    <row r="6" spans="1:8" x14ac:dyDescent="0.2">
      <c r="D6" s="201"/>
      <c r="E6" s="201"/>
      <c r="F6" s="201"/>
      <c r="G6" s="201"/>
      <c r="H6" s="201"/>
    </row>
    <row r="7" spans="1:8" ht="12.75" thickBot="1" x14ac:dyDescent="0.25">
      <c r="D7" s="202"/>
      <c r="E7" s="202"/>
      <c r="F7" s="202"/>
      <c r="G7" s="202"/>
      <c r="H7" s="202"/>
    </row>
    <row r="8" spans="1:8" ht="15.6" customHeight="1" thickBot="1" x14ac:dyDescent="0.3">
      <c r="A8" s="132">
        <v>1</v>
      </c>
      <c r="B8" s="124" t="s">
        <v>205</v>
      </c>
      <c r="C8" s="123">
        <f>SUM(D8:H8)</f>
        <v>37</v>
      </c>
      <c r="D8" s="117">
        <f>COUNTA(D9:D41)</f>
        <v>0</v>
      </c>
      <c r="E8" s="117">
        <f>COUNTA(E9:E41)</f>
        <v>9</v>
      </c>
      <c r="F8" s="117">
        <f>COUNTA(F9:F41)</f>
        <v>28</v>
      </c>
      <c r="G8" s="117">
        <f>COUNTA(G9:G41)</f>
        <v>0</v>
      </c>
      <c r="H8" s="117">
        <f>COUNTA(H9:H41)</f>
        <v>0</v>
      </c>
    </row>
    <row r="9" spans="1:8" ht="15.6" customHeight="1" outlineLevel="1" thickTop="1" x14ac:dyDescent="0.25">
      <c r="D9" s="122"/>
      <c r="E9" s="121"/>
      <c r="F9" s="121"/>
      <c r="G9" s="121"/>
      <c r="H9" s="120"/>
    </row>
    <row r="10" spans="1:8" ht="15.6" customHeight="1" outlineLevel="1" x14ac:dyDescent="0.25">
      <c r="D10" s="118"/>
      <c r="E10" s="117" t="s">
        <v>69</v>
      </c>
      <c r="F10" s="117" t="s">
        <v>28</v>
      </c>
      <c r="G10" s="117"/>
      <c r="H10" s="116"/>
    </row>
    <row r="11" spans="1:8" ht="15.75" outlineLevel="1" x14ac:dyDescent="0.25">
      <c r="D11" s="118"/>
      <c r="E11" s="117" t="s">
        <v>86</v>
      </c>
      <c r="F11" s="117" t="s">
        <v>79</v>
      </c>
      <c r="G11" s="117"/>
      <c r="H11" s="116"/>
    </row>
    <row r="12" spans="1:8" ht="15.75" outlineLevel="1" x14ac:dyDescent="0.25">
      <c r="D12" s="118"/>
      <c r="E12" s="117" t="s">
        <v>82</v>
      </c>
      <c r="F12" s="117" t="s">
        <v>92</v>
      </c>
      <c r="G12" s="117"/>
      <c r="H12" s="116"/>
    </row>
    <row r="13" spans="1:8" ht="15.75" outlineLevel="1" x14ac:dyDescent="0.25">
      <c r="D13" s="118"/>
      <c r="E13" s="117" t="s">
        <v>94</v>
      </c>
      <c r="F13" s="117" t="s">
        <v>53</v>
      </c>
      <c r="G13" s="117"/>
      <c r="H13" s="116"/>
    </row>
    <row r="14" spans="1:8" ht="15.75" outlineLevel="1" x14ac:dyDescent="0.25">
      <c r="D14" s="118"/>
      <c r="E14" s="117" t="s">
        <v>280</v>
      </c>
      <c r="F14" s="117" t="s">
        <v>87</v>
      </c>
      <c r="G14" s="117"/>
      <c r="H14" s="116"/>
    </row>
    <row r="15" spans="1:8" ht="15.75" outlineLevel="1" x14ac:dyDescent="0.25">
      <c r="D15" s="118"/>
      <c r="E15" s="117"/>
      <c r="F15" s="117" t="s">
        <v>21</v>
      </c>
      <c r="G15" s="117"/>
      <c r="H15" s="116"/>
    </row>
    <row r="16" spans="1:8" ht="15.75" outlineLevel="1" x14ac:dyDescent="0.25">
      <c r="D16" s="118"/>
      <c r="E16" s="117" t="s">
        <v>65</v>
      </c>
      <c r="F16" s="117" t="s">
        <v>17</v>
      </c>
      <c r="G16" s="117"/>
      <c r="H16" s="116"/>
    </row>
    <row r="17" spans="4:8" ht="15.75" outlineLevel="1" x14ac:dyDescent="0.25">
      <c r="D17" s="118"/>
      <c r="E17" s="117" t="s">
        <v>71</v>
      </c>
      <c r="F17" s="117" t="s">
        <v>67</v>
      </c>
      <c r="G17" s="117"/>
      <c r="H17" s="116"/>
    </row>
    <row r="18" spans="4:8" ht="15.75" outlineLevel="1" x14ac:dyDescent="0.25">
      <c r="D18" s="118"/>
      <c r="E18" s="117" t="s">
        <v>190</v>
      </c>
      <c r="F18" s="117" t="s">
        <v>24</v>
      </c>
      <c r="G18" s="117"/>
      <c r="H18" s="116"/>
    </row>
    <row r="19" spans="4:8" ht="15.75" outlineLevel="1" x14ac:dyDescent="0.25">
      <c r="D19" s="118"/>
      <c r="E19" s="116" t="s">
        <v>279</v>
      </c>
      <c r="F19" s="117" t="s">
        <v>68</v>
      </c>
      <c r="G19" s="117"/>
      <c r="H19" s="116"/>
    </row>
    <row r="20" spans="4:8" ht="15.75" outlineLevel="1" x14ac:dyDescent="0.25">
      <c r="D20" s="118"/>
      <c r="E20" s="117"/>
      <c r="F20" s="117" t="s">
        <v>57</v>
      </c>
      <c r="G20" s="117"/>
      <c r="H20" s="116"/>
    </row>
    <row r="21" spans="4:8" ht="15.75" outlineLevel="1" x14ac:dyDescent="0.25">
      <c r="D21" s="118"/>
      <c r="E21" s="117"/>
      <c r="F21" s="117" t="s">
        <v>230</v>
      </c>
      <c r="G21" s="117"/>
      <c r="H21" s="116"/>
    </row>
    <row r="22" spans="4:8" ht="15.75" outlineLevel="1" x14ac:dyDescent="0.25">
      <c r="D22" s="118"/>
      <c r="E22" s="117"/>
      <c r="F22" s="119" t="s">
        <v>96</v>
      </c>
      <c r="G22" s="117"/>
      <c r="H22" s="116"/>
    </row>
    <row r="23" spans="4:8" ht="15.75" outlineLevel="1" x14ac:dyDescent="0.25">
      <c r="D23" s="118"/>
      <c r="E23" s="117"/>
      <c r="F23" s="117" t="s">
        <v>35</v>
      </c>
      <c r="G23" s="119"/>
      <c r="H23" s="116"/>
    </row>
    <row r="24" spans="4:8" ht="15.75" outlineLevel="1" x14ac:dyDescent="0.25">
      <c r="D24" s="118"/>
      <c r="E24" s="117"/>
      <c r="F24" s="117" t="s">
        <v>31</v>
      </c>
      <c r="G24" s="119"/>
      <c r="H24" s="116"/>
    </row>
    <row r="25" spans="4:8" ht="15.75" outlineLevel="1" x14ac:dyDescent="0.25">
      <c r="D25" s="118"/>
      <c r="E25" s="117"/>
      <c r="F25" s="117" t="s">
        <v>56</v>
      </c>
      <c r="G25" s="117"/>
      <c r="H25" s="116"/>
    </row>
    <row r="26" spans="4:8" ht="15.75" outlineLevel="1" x14ac:dyDescent="0.25">
      <c r="D26" s="118"/>
      <c r="E26" s="117"/>
      <c r="F26" s="117" t="s">
        <v>66</v>
      </c>
      <c r="G26" s="117"/>
      <c r="H26" s="116"/>
    </row>
    <row r="27" spans="4:8" ht="15.75" outlineLevel="1" x14ac:dyDescent="0.25">
      <c r="D27" s="118"/>
      <c r="E27" s="119"/>
      <c r="F27" s="117" t="s">
        <v>97</v>
      </c>
      <c r="G27" s="117"/>
      <c r="H27" s="116"/>
    </row>
    <row r="28" spans="4:8" ht="15.75" outlineLevel="1" x14ac:dyDescent="0.25">
      <c r="D28" s="118"/>
      <c r="E28" s="117"/>
      <c r="F28" s="117" t="s">
        <v>83</v>
      </c>
      <c r="G28" s="117"/>
      <c r="H28" s="116"/>
    </row>
    <row r="29" spans="4:8" ht="15.75" outlineLevel="1" x14ac:dyDescent="0.25">
      <c r="D29" s="118"/>
      <c r="E29" s="117"/>
      <c r="F29" s="117" t="s">
        <v>77</v>
      </c>
      <c r="G29" s="117"/>
      <c r="H29" s="116"/>
    </row>
    <row r="30" spans="4:8" ht="15.75" outlineLevel="1" x14ac:dyDescent="0.25">
      <c r="D30" s="118"/>
      <c r="E30" s="117"/>
      <c r="F30" s="117" t="s">
        <v>75</v>
      </c>
      <c r="G30" s="117"/>
      <c r="H30" s="116"/>
    </row>
    <row r="31" spans="4:8" ht="15.75" outlineLevel="1" x14ac:dyDescent="0.25">
      <c r="D31" s="118"/>
      <c r="E31" s="117"/>
      <c r="F31" s="117" t="s">
        <v>39</v>
      </c>
      <c r="G31" s="117"/>
      <c r="H31" s="116"/>
    </row>
    <row r="32" spans="4:8" ht="15.75" outlineLevel="1" x14ac:dyDescent="0.25">
      <c r="D32" s="118"/>
      <c r="E32" s="117"/>
      <c r="F32" s="117" t="s">
        <v>73</v>
      </c>
      <c r="G32" s="117"/>
      <c r="H32" s="116"/>
    </row>
    <row r="33" spans="1:8" ht="15.75" outlineLevel="1" x14ac:dyDescent="0.25">
      <c r="D33" s="118"/>
      <c r="E33" s="117"/>
      <c r="F33" s="117" t="s">
        <v>89</v>
      </c>
      <c r="G33" s="117"/>
      <c r="H33" s="116"/>
    </row>
    <row r="34" spans="1:8" ht="15.75" outlineLevel="1" x14ac:dyDescent="0.25">
      <c r="D34" s="118"/>
      <c r="E34" s="117"/>
      <c r="F34" s="117" t="s">
        <v>49</v>
      </c>
      <c r="G34" s="117"/>
      <c r="H34" s="116"/>
    </row>
    <row r="35" spans="1:8" ht="15.75" outlineLevel="1" x14ac:dyDescent="0.25">
      <c r="D35" s="118"/>
      <c r="E35" s="117"/>
      <c r="F35" s="117" t="s">
        <v>189</v>
      </c>
      <c r="G35" s="117"/>
      <c r="H35" s="116"/>
    </row>
    <row r="36" spans="1:8" ht="15.75" outlineLevel="1" x14ac:dyDescent="0.25">
      <c r="D36" s="118"/>
      <c r="E36" s="117"/>
      <c r="F36" s="117" t="s">
        <v>45</v>
      </c>
      <c r="G36" s="117"/>
      <c r="H36" s="116"/>
    </row>
    <row r="37" spans="1:8" ht="15.75" outlineLevel="1" x14ac:dyDescent="0.25">
      <c r="D37" s="118"/>
      <c r="E37" s="117"/>
      <c r="F37" s="117" t="s">
        <v>295</v>
      </c>
      <c r="G37" s="117"/>
      <c r="H37" s="116"/>
    </row>
    <row r="38" spans="1:8" ht="15.75" outlineLevel="1" x14ac:dyDescent="0.25">
      <c r="D38" s="118"/>
      <c r="E38" s="117"/>
      <c r="F38" s="117"/>
      <c r="G38" s="117"/>
      <c r="H38" s="116"/>
    </row>
    <row r="39" spans="1:8" ht="15.75" outlineLevel="1" x14ac:dyDescent="0.25">
      <c r="D39" s="118"/>
      <c r="E39" s="117"/>
      <c r="F39" s="117"/>
      <c r="G39" s="117"/>
      <c r="H39" s="116"/>
    </row>
    <row r="40" spans="1:8" ht="15.75" outlineLevel="1" x14ac:dyDescent="0.25">
      <c r="D40" s="118"/>
      <c r="E40" s="117"/>
      <c r="F40" s="117"/>
      <c r="G40" s="117"/>
      <c r="H40" s="116"/>
    </row>
    <row r="41" spans="1:8" ht="16.5" outlineLevel="1" thickBot="1" x14ac:dyDescent="0.3">
      <c r="D41" s="128"/>
      <c r="E41" s="127"/>
      <c r="F41" s="127"/>
      <c r="G41" s="127"/>
      <c r="H41" s="126"/>
    </row>
    <row r="42" spans="1:8" ht="15.6" customHeight="1" thickTop="1" thickBot="1" x14ac:dyDescent="0.3">
      <c r="A42" s="132">
        <f>A8+1</f>
        <v>2</v>
      </c>
      <c r="B42" s="124" t="s">
        <v>204</v>
      </c>
      <c r="C42" s="123">
        <f>SUM(D42:H42)</f>
        <v>37</v>
      </c>
      <c r="D42" s="117">
        <f>COUNTA(D43:D75)</f>
        <v>1</v>
      </c>
      <c r="E42" s="117">
        <f>COUNTA(E43:E75)</f>
        <v>4</v>
      </c>
      <c r="F42" s="117">
        <f>COUNTA(F43:F75)</f>
        <v>32</v>
      </c>
      <c r="G42" s="117">
        <f>COUNTA(G43:G75)</f>
        <v>0</v>
      </c>
      <c r="H42" s="117">
        <f>COUNTA(H43:H75)</f>
        <v>0</v>
      </c>
    </row>
    <row r="43" spans="1:8" ht="15.6" customHeight="1" outlineLevel="1" thickTop="1" x14ac:dyDescent="0.25">
      <c r="D43" s="122"/>
      <c r="E43" s="121"/>
      <c r="F43" s="121"/>
      <c r="G43" s="121"/>
      <c r="H43" s="120"/>
    </row>
    <row r="44" spans="1:8" ht="15.6" customHeight="1" outlineLevel="1" x14ac:dyDescent="0.25">
      <c r="D44" s="118" t="s">
        <v>96</v>
      </c>
      <c r="E44" s="117" t="s">
        <v>86</v>
      </c>
      <c r="F44" s="117" t="s">
        <v>69</v>
      </c>
      <c r="G44" s="117"/>
      <c r="H44" s="116"/>
    </row>
    <row r="45" spans="1:8" ht="15.75" outlineLevel="1" x14ac:dyDescent="0.25">
      <c r="D45" s="118"/>
      <c r="E45" s="117" t="s">
        <v>94</v>
      </c>
      <c r="F45" s="117" t="s">
        <v>28</v>
      </c>
      <c r="G45" s="117"/>
      <c r="H45" s="116"/>
    </row>
    <row r="46" spans="1:8" ht="15.75" outlineLevel="1" x14ac:dyDescent="0.25">
      <c r="D46" s="118"/>
      <c r="E46" s="117" t="s">
        <v>87</v>
      </c>
      <c r="F46" s="117" t="s">
        <v>79</v>
      </c>
      <c r="G46" s="117"/>
      <c r="H46" s="116"/>
    </row>
    <row r="47" spans="1:8" ht="15.75" outlineLevel="1" x14ac:dyDescent="0.25">
      <c r="D47" s="118"/>
      <c r="E47" s="117" t="s">
        <v>97</v>
      </c>
      <c r="F47" s="117" t="s">
        <v>82</v>
      </c>
      <c r="G47" s="117"/>
      <c r="H47" s="116"/>
    </row>
    <row r="48" spans="1:8" ht="15.75" outlineLevel="1" x14ac:dyDescent="0.25">
      <c r="D48" s="118"/>
      <c r="E48" s="117"/>
      <c r="F48" s="117" t="s">
        <v>92</v>
      </c>
      <c r="G48" s="117"/>
      <c r="H48" s="116"/>
    </row>
    <row r="49" spans="4:8" ht="15.75" outlineLevel="1" x14ac:dyDescent="0.25">
      <c r="D49" s="118"/>
      <c r="E49" s="117"/>
      <c r="F49" s="117" t="s">
        <v>17</v>
      </c>
      <c r="G49" s="117"/>
      <c r="H49" s="116"/>
    </row>
    <row r="50" spans="4:8" ht="15.75" outlineLevel="1" x14ac:dyDescent="0.25">
      <c r="D50" s="118"/>
      <c r="E50" s="117"/>
      <c r="F50" s="117" t="s">
        <v>280</v>
      </c>
      <c r="G50" s="117"/>
      <c r="H50" s="116"/>
    </row>
    <row r="51" spans="4:8" ht="15.75" outlineLevel="1" x14ac:dyDescent="0.25">
      <c r="D51" s="118"/>
      <c r="E51" s="117"/>
      <c r="F51" s="117" t="s">
        <v>21</v>
      </c>
      <c r="G51" s="117"/>
      <c r="H51" s="116"/>
    </row>
    <row r="52" spans="4:8" ht="15.75" outlineLevel="1" x14ac:dyDescent="0.25">
      <c r="D52" s="118"/>
      <c r="E52" s="117"/>
      <c r="F52" s="117" t="s">
        <v>67</v>
      </c>
      <c r="G52" s="117"/>
      <c r="H52" s="116"/>
    </row>
    <row r="53" spans="4:8" ht="15.75" outlineLevel="1" x14ac:dyDescent="0.25">
      <c r="D53" s="118"/>
      <c r="E53" s="117"/>
      <c r="F53" s="117" t="s">
        <v>24</v>
      </c>
      <c r="G53" s="117"/>
      <c r="H53" s="116"/>
    </row>
    <row r="54" spans="4:8" ht="15.75" outlineLevel="1" x14ac:dyDescent="0.25">
      <c r="D54" s="118"/>
      <c r="E54" s="117"/>
      <c r="F54" s="119" t="s">
        <v>68</v>
      </c>
      <c r="G54" s="117"/>
      <c r="H54" s="116"/>
    </row>
    <row r="55" spans="4:8" ht="15.75" outlineLevel="1" x14ac:dyDescent="0.25">
      <c r="D55" s="118"/>
      <c r="E55" s="117"/>
      <c r="F55" s="117" t="s">
        <v>57</v>
      </c>
      <c r="G55" s="117"/>
      <c r="H55" s="116"/>
    </row>
    <row r="56" spans="4:8" ht="15.75" outlineLevel="1" x14ac:dyDescent="0.25">
      <c r="D56" s="118"/>
      <c r="E56" s="117"/>
      <c r="F56" s="117" t="s">
        <v>35</v>
      </c>
      <c r="G56" s="117"/>
      <c r="H56" s="116"/>
    </row>
    <row r="57" spans="4:8" ht="15.75" outlineLevel="1" x14ac:dyDescent="0.25">
      <c r="D57" s="118"/>
      <c r="E57" s="117"/>
      <c r="F57" s="117" t="s">
        <v>31</v>
      </c>
      <c r="G57" s="119"/>
      <c r="H57" s="116"/>
    </row>
    <row r="58" spans="4:8" ht="15.75" outlineLevel="1" x14ac:dyDescent="0.25">
      <c r="D58" s="118"/>
      <c r="E58" s="117"/>
      <c r="F58" s="117" t="s">
        <v>66</v>
      </c>
      <c r="G58" s="119"/>
      <c r="H58" s="116"/>
    </row>
    <row r="59" spans="4:8" ht="15.75" outlineLevel="1" x14ac:dyDescent="0.25">
      <c r="D59" s="118"/>
      <c r="E59" s="117"/>
      <c r="F59" s="117" t="s">
        <v>83</v>
      </c>
      <c r="G59" s="117"/>
      <c r="H59" s="116"/>
    </row>
    <row r="60" spans="4:8" ht="15.75" outlineLevel="1" x14ac:dyDescent="0.25">
      <c r="D60" s="118"/>
      <c r="E60" s="117"/>
      <c r="F60" s="117" t="s">
        <v>65</v>
      </c>
      <c r="G60" s="117"/>
      <c r="H60" s="116"/>
    </row>
    <row r="61" spans="4:8" ht="15.75" outlineLevel="1" x14ac:dyDescent="0.25">
      <c r="D61" s="118"/>
      <c r="E61" s="119"/>
      <c r="F61" s="117" t="s">
        <v>77</v>
      </c>
      <c r="G61" s="117"/>
      <c r="H61" s="116"/>
    </row>
    <row r="62" spans="4:8" ht="15.75" outlineLevel="1" x14ac:dyDescent="0.25">
      <c r="D62" s="118"/>
      <c r="E62" s="117"/>
      <c r="F62" s="117" t="s">
        <v>75</v>
      </c>
      <c r="G62" s="117"/>
      <c r="H62" s="116"/>
    </row>
    <row r="63" spans="4:8" ht="15.75" outlineLevel="1" x14ac:dyDescent="0.25">
      <c r="D63" s="118"/>
      <c r="E63" s="117"/>
      <c r="F63" s="117" t="s">
        <v>71</v>
      </c>
      <c r="G63" s="117"/>
      <c r="H63" s="116"/>
    </row>
    <row r="64" spans="4:8" ht="15.75" outlineLevel="1" x14ac:dyDescent="0.25">
      <c r="D64" s="118"/>
      <c r="E64" s="117"/>
      <c r="F64" s="117" t="s">
        <v>73</v>
      </c>
      <c r="G64" s="117"/>
      <c r="H64" s="116"/>
    </row>
    <row r="65" spans="1:8" ht="15.75" outlineLevel="1" x14ac:dyDescent="0.25">
      <c r="D65" s="118"/>
      <c r="E65" s="117"/>
      <c r="F65" s="117" t="s">
        <v>89</v>
      </c>
      <c r="G65" s="117"/>
      <c r="H65" s="116"/>
    </row>
    <row r="66" spans="1:8" ht="15.75" outlineLevel="1" x14ac:dyDescent="0.25">
      <c r="D66" s="118"/>
      <c r="E66" s="117"/>
      <c r="F66" s="117" t="s">
        <v>295</v>
      </c>
      <c r="G66" s="117"/>
      <c r="H66" s="116"/>
    </row>
    <row r="67" spans="1:8" ht="15.75" outlineLevel="1" x14ac:dyDescent="0.25">
      <c r="D67" s="118"/>
      <c r="E67" s="117"/>
      <c r="F67" s="117" t="s">
        <v>230</v>
      </c>
      <c r="G67" s="117"/>
      <c r="H67" s="116"/>
    </row>
    <row r="68" spans="1:8" ht="15.75" outlineLevel="1" x14ac:dyDescent="0.25">
      <c r="D68" s="118"/>
      <c r="E68" s="117"/>
      <c r="F68" s="117" t="s">
        <v>56</v>
      </c>
      <c r="G68" s="117"/>
      <c r="H68" s="116"/>
    </row>
    <row r="69" spans="1:8" ht="15.75" outlineLevel="1" x14ac:dyDescent="0.25">
      <c r="D69" s="118"/>
      <c r="E69" s="117"/>
      <c r="F69" s="117" t="s">
        <v>53</v>
      </c>
      <c r="G69" s="117"/>
      <c r="H69" s="116"/>
    </row>
    <row r="70" spans="1:8" ht="15.75" outlineLevel="1" x14ac:dyDescent="0.25">
      <c r="D70" s="118"/>
      <c r="E70" s="117"/>
      <c r="F70" s="117" t="s">
        <v>49</v>
      </c>
      <c r="G70" s="117"/>
      <c r="H70" s="116"/>
    </row>
    <row r="71" spans="1:8" ht="15.75" outlineLevel="1" x14ac:dyDescent="0.25">
      <c r="D71" s="118"/>
      <c r="E71" s="117"/>
      <c r="F71" s="117" t="s">
        <v>39</v>
      </c>
      <c r="G71" s="117"/>
      <c r="H71" s="116"/>
    </row>
    <row r="72" spans="1:8" ht="15.75" outlineLevel="1" x14ac:dyDescent="0.25">
      <c r="D72" s="118"/>
      <c r="E72" s="117"/>
      <c r="F72" s="117" t="s">
        <v>189</v>
      </c>
      <c r="G72" s="117"/>
      <c r="H72" s="116"/>
    </row>
    <row r="73" spans="1:8" ht="15.75" outlineLevel="1" x14ac:dyDescent="0.25">
      <c r="D73" s="118"/>
      <c r="E73" s="117"/>
      <c r="F73" s="117" t="s">
        <v>190</v>
      </c>
      <c r="G73" s="117"/>
      <c r="H73" s="116"/>
    </row>
    <row r="74" spans="1:8" ht="15.75" outlineLevel="1" x14ac:dyDescent="0.25">
      <c r="D74" s="118"/>
      <c r="E74" s="117"/>
      <c r="F74" s="116" t="s">
        <v>279</v>
      </c>
      <c r="G74" s="117"/>
      <c r="H74" s="116"/>
    </row>
    <row r="75" spans="1:8" ht="16.5" outlineLevel="1" thickBot="1" x14ac:dyDescent="0.3">
      <c r="D75" s="128"/>
      <c r="E75" s="127"/>
      <c r="F75" s="127" t="s">
        <v>45</v>
      </c>
      <c r="G75" s="127"/>
      <c r="H75" s="126"/>
    </row>
    <row r="76" spans="1:8" ht="15.6" customHeight="1" thickTop="1" thickBot="1" x14ac:dyDescent="0.3">
      <c r="A76" s="132">
        <f>A42+1</f>
        <v>3</v>
      </c>
      <c r="B76" s="124" t="s">
        <v>203</v>
      </c>
      <c r="C76" s="123">
        <f>SUM(D76:H76)</f>
        <v>37</v>
      </c>
      <c r="D76" s="117">
        <f>COUNTA(D77:D109)</f>
        <v>2</v>
      </c>
      <c r="E76" s="117">
        <f>COUNTA(E77:E109)</f>
        <v>4</v>
      </c>
      <c r="F76" s="117">
        <f>COUNTA(F77:F109)</f>
        <v>31</v>
      </c>
      <c r="G76" s="117">
        <f>COUNTA(G77:G109)</f>
        <v>0</v>
      </c>
      <c r="H76" s="117">
        <f>COUNTA(H77:H109)</f>
        <v>0</v>
      </c>
    </row>
    <row r="77" spans="1:8" ht="15.6" customHeight="1" outlineLevel="1" thickTop="1" x14ac:dyDescent="0.25">
      <c r="D77" s="122"/>
      <c r="E77" s="121"/>
      <c r="F77" s="121"/>
      <c r="G77" s="121"/>
      <c r="H77" s="120"/>
    </row>
    <row r="78" spans="1:8" ht="15.6" customHeight="1" outlineLevel="1" x14ac:dyDescent="0.25">
      <c r="D78" s="118" t="s">
        <v>82</v>
      </c>
      <c r="E78" s="117" t="s">
        <v>86</v>
      </c>
      <c r="F78" s="117" t="s">
        <v>69</v>
      </c>
      <c r="G78" s="117"/>
      <c r="H78" s="116"/>
    </row>
    <row r="79" spans="1:8" ht="15.75" outlineLevel="1" x14ac:dyDescent="0.25">
      <c r="D79" s="118"/>
      <c r="E79" s="117" t="s">
        <v>71</v>
      </c>
      <c r="F79" s="117" t="s">
        <v>28</v>
      </c>
      <c r="G79" s="117"/>
      <c r="H79" s="116"/>
    </row>
    <row r="80" spans="1:8" ht="15.75" outlineLevel="1" x14ac:dyDescent="0.25">
      <c r="D80" s="118" t="s">
        <v>96</v>
      </c>
      <c r="E80" s="117"/>
      <c r="F80" s="117" t="s">
        <v>79</v>
      </c>
      <c r="G80" s="117"/>
      <c r="H80" s="116"/>
    </row>
    <row r="81" spans="4:8" ht="15.75" outlineLevel="1" x14ac:dyDescent="0.25">
      <c r="D81" s="118"/>
      <c r="E81" s="117"/>
      <c r="F81" s="117" t="s">
        <v>92</v>
      </c>
      <c r="G81" s="117"/>
      <c r="H81" s="116"/>
    </row>
    <row r="82" spans="4:8" ht="15.75" outlineLevel="1" x14ac:dyDescent="0.25">
      <c r="D82" s="118"/>
      <c r="F82" s="117" t="s">
        <v>94</v>
      </c>
      <c r="G82" s="117"/>
      <c r="H82" s="116"/>
    </row>
    <row r="83" spans="4:8" ht="15.75" outlineLevel="1" x14ac:dyDescent="0.25">
      <c r="D83" s="118"/>
      <c r="E83" s="117"/>
      <c r="F83" s="117" t="s">
        <v>87</v>
      </c>
      <c r="G83" s="117"/>
      <c r="H83" s="116"/>
    </row>
    <row r="84" spans="4:8" ht="15.75" outlineLevel="1" x14ac:dyDescent="0.25">
      <c r="D84" s="118"/>
      <c r="E84" s="117"/>
      <c r="F84" s="117" t="s">
        <v>17</v>
      </c>
      <c r="G84" s="117"/>
      <c r="H84" s="117"/>
    </row>
    <row r="85" spans="4:8" ht="15.75" outlineLevel="1" x14ac:dyDescent="0.25">
      <c r="D85" s="118"/>
      <c r="E85" s="117" t="s">
        <v>280</v>
      </c>
      <c r="F85" s="117" t="s">
        <v>65</v>
      </c>
      <c r="G85" s="117"/>
      <c r="H85" s="116"/>
    </row>
    <row r="86" spans="4:8" ht="15.75" outlineLevel="1" x14ac:dyDescent="0.25">
      <c r="D86" s="118"/>
      <c r="E86" s="117"/>
      <c r="F86" s="117" t="s">
        <v>295</v>
      </c>
      <c r="G86" s="117"/>
      <c r="H86" s="116"/>
    </row>
    <row r="87" spans="4:8" ht="15.75" outlineLevel="1" x14ac:dyDescent="0.25">
      <c r="D87" s="118"/>
      <c r="E87" s="117"/>
      <c r="F87" s="117" t="s">
        <v>21</v>
      </c>
      <c r="G87" s="117"/>
      <c r="H87" s="116"/>
    </row>
    <row r="88" spans="4:8" ht="15.75" outlineLevel="1" x14ac:dyDescent="0.25">
      <c r="D88" s="118"/>
      <c r="E88" s="117"/>
      <c r="F88" s="119" t="s">
        <v>67</v>
      </c>
      <c r="G88" s="117"/>
      <c r="H88" s="116"/>
    </row>
    <row r="89" spans="4:8" ht="15.75" outlineLevel="1" x14ac:dyDescent="0.25">
      <c r="D89" s="118"/>
      <c r="E89" s="117"/>
      <c r="F89" s="117" t="s">
        <v>24</v>
      </c>
      <c r="G89" s="117"/>
      <c r="H89" s="116"/>
    </row>
    <row r="90" spans="4:8" ht="15.75" outlineLevel="1" x14ac:dyDescent="0.25">
      <c r="D90" s="118"/>
      <c r="E90" s="117"/>
      <c r="F90" s="117" t="s">
        <v>68</v>
      </c>
      <c r="G90" s="117"/>
      <c r="H90" s="116"/>
    </row>
    <row r="91" spans="4:8" ht="15.75" outlineLevel="1" x14ac:dyDescent="0.25">
      <c r="D91" s="118"/>
      <c r="E91" s="117"/>
      <c r="F91" s="117" t="s">
        <v>57</v>
      </c>
      <c r="G91" s="119"/>
      <c r="H91" s="116"/>
    </row>
    <row r="92" spans="4:8" ht="15.75" outlineLevel="1" x14ac:dyDescent="0.25">
      <c r="D92" s="118"/>
      <c r="E92" s="117"/>
      <c r="F92" s="117" t="s">
        <v>35</v>
      </c>
      <c r="G92" s="119"/>
      <c r="H92" s="116"/>
    </row>
    <row r="93" spans="4:8" ht="15.75" outlineLevel="1" x14ac:dyDescent="0.25">
      <c r="D93" s="118"/>
      <c r="E93" s="117"/>
      <c r="F93" s="117" t="s">
        <v>31</v>
      </c>
      <c r="G93" s="117"/>
      <c r="H93" s="116"/>
    </row>
    <row r="94" spans="4:8" ht="15.75" outlineLevel="1" x14ac:dyDescent="0.25">
      <c r="D94" s="118"/>
      <c r="E94" s="117"/>
      <c r="F94" s="117" t="s">
        <v>66</v>
      </c>
      <c r="G94" s="117"/>
      <c r="H94" s="116"/>
    </row>
    <row r="95" spans="4:8" ht="15.75" outlineLevel="1" x14ac:dyDescent="0.25">
      <c r="D95" s="118"/>
      <c r="E95" s="119"/>
      <c r="F95" s="117" t="s">
        <v>97</v>
      </c>
      <c r="G95" s="117"/>
      <c r="H95" s="116"/>
    </row>
    <row r="96" spans="4:8" ht="15.75" outlineLevel="1" x14ac:dyDescent="0.25">
      <c r="D96" s="118"/>
      <c r="E96" s="117" t="s">
        <v>83</v>
      </c>
      <c r="F96" s="116" t="s">
        <v>279</v>
      </c>
      <c r="G96" s="117"/>
      <c r="H96" s="116"/>
    </row>
    <row r="97" spans="1:8" ht="15.75" outlineLevel="1" x14ac:dyDescent="0.25">
      <c r="D97" s="118"/>
      <c r="E97" s="117"/>
      <c r="F97" s="117" t="s">
        <v>77</v>
      </c>
      <c r="G97" s="117"/>
      <c r="H97" s="116"/>
    </row>
    <row r="98" spans="1:8" ht="15.75" outlineLevel="1" x14ac:dyDescent="0.25">
      <c r="D98" s="118"/>
      <c r="E98" s="117"/>
      <c r="F98" s="117" t="s">
        <v>75</v>
      </c>
      <c r="G98" s="117"/>
      <c r="H98" s="116"/>
    </row>
    <row r="99" spans="1:8" ht="15.75" outlineLevel="1" x14ac:dyDescent="0.25">
      <c r="D99" s="118"/>
      <c r="E99" s="117"/>
      <c r="F99" s="117" t="s">
        <v>39</v>
      </c>
      <c r="G99" s="117"/>
      <c r="H99" s="116"/>
    </row>
    <row r="100" spans="1:8" ht="15.75" outlineLevel="1" x14ac:dyDescent="0.25">
      <c r="D100" s="118"/>
      <c r="E100" s="117"/>
      <c r="F100" s="117" t="s">
        <v>73</v>
      </c>
      <c r="G100" s="117"/>
      <c r="H100" s="116"/>
    </row>
    <row r="101" spans="1:8" ht="15.75" outlineLevel="1" x14ac:dyDescent="0.25">
      <c r="D101" s="118"/>
      <c r="E101" s="117"/>
      <c r="F101" s="117" t="s">
        <v>89</v>
      </c>
      <c r="G101" s="117"/>
      <c r="H101" s="116"/>
    </row>
    <row r="102" spans="1:8" ht="15.75" outlineLevel="1" x14ac:dyDescent="0.25">
      <c r="D102" s="118"/>
      <c r="E102" s="117"/>
      <c r="F102" s="117" t="s">
        <v>230</v>
      </c>
      <c r="G102" s="117"/>
      <c r="H102" s="116"/>
    </row>
    <row r="103" spans="1:8" ht="15.75" outlineLevel="1" x14ac:dyDescent="0.25">
      <c r="D103" s="118"/>
      <c r="E103" s="117"/>
      <c r="F103" s="117" t="s">
        <v>56</v>
      </c>
      <c r="G103" s="117"/>
      <c r="H103" s="116"/>
    </row>
    <row r="104" spans="1:8" ht="15.75" outlineLevel="1" x14ac:dyDescent="0.25">
      <c r="D104" s="118"/>
      <c r="E104" s="117"/>
      <c r="F104" s="117" t="s">
        <v>53</v>
      </c>
      <c r="G104" s="117"/>
      <c r="H104" s="116"/>
    </row>
    <row r="105" spans="1:8" ht="15.75" outlineLevel="1" x14ac:dyDescent="0.25">
      <c r="D105" s="118"/>
      <c r="E105" s="117"/>
      <c r="F105" s="117" t="s">
        <v>49</v>
      </c>
      <c r="G105" s="117"/>
      <c r="H105" s="116"/>
    </row>
    <row r="106" spans="1:8" ht="15.75" outlineLevel="1" x14ac:dyDescent="0.25">
      <c r="D106" s="118"/>
      <c r="E106" s="117"/>
      <c r="F106" s="117" t="s">
        <v>189</v>
      </c>
      <c r="G106" s="117"/>
      <c r="H106" s="116"/>
    </row>
    <row r="107" spans="1:8" ht="15.75" outlineLevel="1" x14ac:dyDescent="0.25">
      <c r="D107" s="118"/>
      <c r="E107" s="117"/>
      <c r="F107" s="117" t="s">
        <v>190</v>
      </c>
      <c r="G107" s="117"/>
      <c r="H107" s="116"/>
    </row>
    <row r="108" spans="1:8" ht="15.75" outlineLevel="1" x14ac:dyDescent="0.25">
      <c r="D108" s="118"/>
      <c r="E108" s="117"/>
      <c r="F108" s="117" t="s">
        <v>45</v>
      </c>
      <c r="G108" s="117"/>
      <c r="H108" s="116"/>
    </row>
    <row r="109" spans="1:8" ht="16.5" outlineLevel="1" thickBot="1" x14ac:dyDescent="0.3">
      <c r="D109" s="128"/>
      <c r="E109" s="127"/>
      <c r="F109" s="127"/>
      <c r="G109" s="127"/>
      <c r="H109" s="126"/>
    </row>
    <row r="110" spans="1:8" ht="15.6" customHeight="1" thickTop="1" thickBot="1" x14ac:dyDescent="0.3">
      <c r="A110" s="132">
        <f>A76+1</f>
        <v>4</v>
      </c>
      <c r="B110" s="124" t="s">
        <v>202</v>
      </c>
      <c r="C110" s="123">
        <f>SUM(D110:H110)</f>
        <v>37</v>
      </c>
      <c r="D110" s="117">
        <f>COUNTA(D111:D143)</f>
        <v>4</v>
      </c>
      <c r="E110" s="117">
        <f>COUNTA(E111:E143)</f>
        <v>2</v>
      </c>
      <c r="F110" s="117">
        <f>COUNTA(F111:F143)</f>
        <v>31</v>
      </c>
      <c r="G110" s="117">
        <f>COUNTA(G111:G143)</f>
        <v>0</v>
      </c>
      <c r="H110" s="117">
        <f>COUNTA(H111:H143)</f>
        <v>0</v>
      </c>
    </row>
    <row r="111" spans="1:8" ht="15.6" customHeight="1" outlineLevel="1" thickTop="1" x14ac:dyDescent="0.25">
      <c r="D111" s="122"/>
      <c r="E111" s="121"/>
      <c r="F111" s="121"/>
      <c r="G111" s="121"/>
      <c r="H111" s="120"/>
    </row>
    <row r="112" spans="1:8" ht="15.6" customHeight="1" outlineLevel="1" x14ac:dyDescent="0.25">
      <c r="D112" s="118" t="s">
        <v>86</v>
      </c>
      <c r="E112" s="117" t="s">
        <v>82</v>
      </c>
      <c r="F112" s="117" t="s">
        <v>69</v>
      </c>
      <c r="G112" s="117"/>
      <c r="H112" s="116"/>
    </row>
    <row r="113" spans="4:8" ht="15.75" outlineLevel="1" x14ac:dyDescent="0.25">
      <c r="D113" s="118"/>
      <c r="E113" s="117" t="s">
        <v>71</v>
      </c>
      <c r="F113" s="117" t="s">
        <v>28</v>
      </c>
      <c r="G113" s="117"/>
      <c r="H113" s="116"/>
    </row>
    <row r="114" spans="4:8" ht="15.75" outlineLevel="1" x14ac:dyDescent="0.25">
      <c r="D114" s="118" t="s">
        <v>280</v>
      </c>
      <c r="E114" s="117"/>
      <c r="F114" s="117" t="s">
        <v>79</v>
      </c>
      <c r="G114" s="117"/>
      <c r="H114" s="116"/>
    </row>
    <row r="115" spans="4:8" ht="15.75" outlineLevel="1" x14ac:dyDescent="0.25">
      <c r="D115" s="118"/>
      <c r="E115" s="117"/>
      <c r="F115" s="117" t="s">
        <v>92</v>
      </c>
      <c r="G115" s="117"/>
      <c r="H115" s="116"/>
    </row>
    <row r="116" spans="4:8" ht="15.75" outlineLevel="1" x14ac:dyDescent="0.25">
      <c r="D116" s="118"/>
      <c r="F116" s="117" t="s">
        <v>94</v>
      </c>
      <c r="G116" s="117"/>
      <c r="H116" s="116"/>
    </row>
    <row r="117" spans="4:8" ht="15.75" outlineLevel="1" x14ac:dyDescent="0.25">
      <c r="D117" s="118"/>
      <c r="E117" s="117"/>
      <c r="F117" s="117" t="s">
        <v>87</v>
      </c>
      <c r="G117" s="117"/>
      <c r="H117" s="116"/>
    </row>
    <row r="118" spans="4:8" ht="15.75" outlineLevel="1" x14ac:dyDescent="0.25">
      <c r="D118" s="118"/>
      <c r="E118" s="117"/>
      <c r="F118" s="117" t="s">
        <v>17</v>
      </c>
      <c r="G118" s="117"/>
      <c r="H118" s="116"/>
    </row>
    <row r="119" spans="4:8" ht="15.75" outlineLevel="1" x14ac:dyDescent="0.25">
      <c r="D119" s="118"/>
      <c r="E119" s="117"/>
      <c r="F119" s="117" t="s">
        <v>21</v>
      </c>
      <c r="G119" s="117"/>
      <c r="H119" s="116"/>
    </row>
    <row r="120" spans="4:8" ht="15.75" outlineLevel="1" x14ac:dyDescent="0.25">
      <c r="D120" s="118"/>
      <c r="E120" s="117"/>
      <c r="F120" s="117" t="s">
        <v>67</v>
      </c>
      <c r="G120" s="117"/>
      <c r="H120" s="116"/>
    </row>
    <row r="121" spans="4:8" ht="15.75" outlineLevel="1" x14ac:dyDescent="0.25">
      <c r="D121" s="118"/>
      <c r="E121" s="117"/>
      <c r="F121" s="117" t="s">
        <v>24</v>
      </c>
      <c r="G121" s="117"/>
      <c r="H121" s="116"/>
    </row>
    <row r="122" spans="4:8" ht="15.75" outlineLevel="1" x14ac:dyDescent="0.25">
      <c r="D122" s="118"/>
      <c r="E122" s="117"/>
      <c r="F122" s="117" t="s">
        <v>68</v>
      </c>
      <c r="G122" s="117"/>
      <c r="H122" s="116"/>
    </row>
    <row r="123" spans="4:8" ht="15.75" outlineLevel="1" x14ac:dyDescent="0.25">
      <c r="D123" s="118"/>
      <c r="E123" s="117"/>
      <c r="F123" s="117" t="s">
        <v>57</v>
      </c>
      <c r="G123" s="117"/>
      <c r="H123" s="116"/>
    </row>
    <row r="124" spans="4:8" ht="15.75" outlineLevel="1" x14ac:dyDescent="0.25">
      <c r="D124" s="118"/>
      <c r="E124" s="117"/>
      <c r="F124" s="119" t="s">
        <v>96</v>
      </c>
      <c r="G124" s="117"/>
      <c r="H124" s="116"/>
    </row>
    <row r="125" spans="4:8" ht="15.75" outlineLevel="1" x14ac:dyDescent="0.25">
      <c r="D125" s="118"/>
      <c r="E125" s="117"/>
      <c r="F125" s="117" t="s">
        <v>35</v>
      </c>
      <c r="G125" s="119"/>
      <c r="H125" s="116"/>
    </row>
    <row r="126" spans="4:8" ht="15.75" outlineLevel="1" x14ac:dyDescent="0.25">
      <c r="D126" s="118"/>
      <c r="E126" s="117"/>
      <c r="F126" s="117" t="s">
        <v>31</v>
      </c>
      <c r="G126" s="119"/>
      <c r="H126" s="116"/>
    </row>
    <row r="127" spans="4:8" ht="15.75" outlineLevel="1" x14ac:dyDescent="0.25">
      <c r="D127" s="118"/>
      <c r="E127" s="117"/>
      <c r="F127" s="117" t="s">
        <v>66</v>
      </c>
      <c r="G127" s="117"/>
      <c r="H127" s="116"/>
    </row>
    <row r="128" spans="4:8" ht="15.75" outlineLevel="1" x14ac:dyDescent="0.25">
      <c r="D128" s="118"/>
      <c r="E128" s="117"/>
      <c r="F128" s="117" t="s">
        <v>97</v>
      </c>
      <c r="G128" s="117"/>
      <c r="H128" s="116"/>
    </row>
    <row r="129" spans="1:8" ht="15.75" outlineLevel="1" x14ac:dyDescent="0.25">
      <c r="D129" s="118"/>
      <c r="E129" s="119"/>
      <c r="F129" s="117" t="s">
        <v>83</v>
      </c>
      <c r="G129" s="117"/>
      <c r="H129" s="116"/>
    </row>
    <row r="130" spans="1:8" ht="15.75" outlineLevel="1" x14ac:dyDescent="0.25">
      <c r="D130" s="118"/>
      <c r="E130" s="117"/>
      <c r="F130" s="117" t="s">
        <v>65</v>
      </c>
      <c r="G130" s="117"/>
      <c r="H130" s="116"/>
    </row>
    <row r="131" spans="1:8" ht="15.75" outlineLevel="1" x14ac:dyDescent="0.25">
      <c r="D131" s="118"/>
      <c r="E131" s="117"/>
      <c r="F131" s="117" t="s">
        <v>77</v>
      </c>
      <c r="G131" s="117"/>
      <c r="H131" s="116"/>
    </row>
    <row r="132" spans="1:8" ht="15.75" outlineLevel="1" x14ac:dyDescent="0.25">
      <c r="D132" s="118" t="s">
        <v>75</v>
      </c>
      <c r="E132" s="117"/>
      <c r="F132" s="116" t="s">
        <v>279</v>
      </c>
      <c r="G132" s="117"/>
      <c r="H132" s="116"/>
    </row>
    <row r="133" spans="1:8" ht="15.75" outlineLevel="1" x14ac:dyDescent="0.25">
      <c r="D133" s="118"/>
      <c r="E133" s="117"/>
      <c r="F133" s="117" t="s">
        <v>39</v>
      </c>
      <c r="G133" s="117"/>
      <c r="H133" s="116"/>
    </row>
    <row r="134" spans="1:8" ht="15.75" outlineLevel="1" x14ac:dyDescent="0.25">
      <c r="D134" s="118" t="s">
        <v>73</v>
      </c>
      <c r="E134" s="117"/>
      <c r="F134" s="117" t="s">
        <v>45</v>
      </c>
      <c r="G134" s="117"/>
      <c r="H134" s="116"/>
    </row>
    <row r="135" spans="1:8" ht="15.75" outlineLevel="1" x14ac:dyDescent="0.25">
      <c r="D135" s="118"/>
      <c r="E135" s="117"/>
      <c r="F135" s="117" t="s">
        <v>89</v>
      </c>
      <c r="G135" s="117"/>
      <c r="H135" s="116"/>
    </row>
    <row r="136" spans="1:8" ht="15.75" outlineLevel="1" x14ac:dyDescent="0.25">
      <c r="D136" s="118"/>
      <c r="E136" s="117"/>
      <c r="F136" s="117" t="s">
        <v>230</v>
      </c>
      <c r="G136" s="117"/>
      <c r="H136" s="116"/>
    </row>
    <row r="137" spans="1:8" ht="15.75" outlineLevel="1" x14ac:dyDescent="0.25">
      <c r="D137" s="118"/>
      <c r="E137" s="117"/>
      <c r="F137" s="117" t="s">
        <v>56</v>
      </c>
      <c r="G137" s="117"/>
      <c r="H137" s="116"/>
    </row>
    <row r="138" spans="1:8" ht="15.75" outlineLevel="1" x14ac:dyDescent="0.25">
      <c r="D138" s="118"/>
      <c r="E138" s="117"/>
      <c r="F138" s="117" t="s">
        <v>53</v>
      </c>
      <c r="G138" s="117"/>
      <c r="H138" s="116"/>
    </row>
    <row r="139" spans="1:8" ht="15.75" outlineLevel="1" x14ac:dyDescent="0.25">
      <c r="D139" s="118"/>
      <c r="E139" s="117"/>
      <c r="F139" s="117" t="s">
        <v>49</v>
      </c>
      <c r="G139" s="117"/>
      <c r="H139" s="116"/>
    </row>
    <row r="140" spans="1:8" ht="15.75" outlineLevel="1" x14ac:dyDescent="0.25">
      <c r="D140" s="118"/>
      <c r="E140" s="117"/>
      <c r="F140" s="117" t="s">
        <v>189</v>
      </c>
      <c r="G140" s="117"/>
      <c r="H140" s="116"/>
    </row>
    <row r="141" spans="1:8" ht="15.75" outlineLevel="1" x14ac:dyDescent="0.25">
      <c r="D141" s="118"/>
      <c r="E141" s="117"/>
      <c r="F141" s="117" t="s">
        <v>190</v>
      </c>
      <c r="G141" s="117"/>
      <c r="H141" s="116"/>
    </row>
    <row r="142" spans="1:8" ht="15.75" outlineLevel="1" x14ac:dyDescent="0.25">
      <c r="D142" s="118"/>
      <c r="E142" s="117"/>
      <c r="F142" s="117" t="s">
        <v>295</v>
      </c>
      <c r="G142" s="117"/>
      <c r="H142" s="116"/>
    </row>
    <row r="143" spans="1:8" ht="16.5" outlineLevel="1" thickBot="1" x14ac:dyDescent="0.3">
      <c r="D143" s="128"/>
      <c r="E143" s="127"/>
      <c r="F143" s="127"/>
      <c r="G143" s="127"/>
      <c r="H143" s="126"/>
    </row>
    <row r="144" spans="1:8" ht="15.6" customHeight="1" thickTop="1" thickBot="1" x14ac:dyDescent="0.3">
      <c r="A144" s="132"/>
      <c r="B144" s="124"/>
      <c r="C144" s="123"/>
      <c r="D144" s="117">
        <f>COUNTA(D145:D177)</f>
        <v>0</v>
      </c>
      <c r="E144" s="117">
        <f>COUNTA(E145:E177)</f>
        <v>0</v>
      </c>
      <c r="F144" s="117">
        <f>COUNTA(F145:F177)</f>
        <v>0</v>
      </c>
      <c r="G144" s="117">
        <f>COUNTA(G145:G177)</f>
        <v>0</v>
      </c>
      <c r="H144" s="117">
        <f>COUNTA(H145:H177)</f>
        <v>0</v>
      </c>
    </row>
    <row r="145" spans="4:8" ht="15.6" customHeight="1" outlineLevel="1" thickTop="1" x14ac:dyDescent="0.25">
      <c r="D145" s="122"/>
      <c r="E145" s="121"/>
      <c r="F145" s="121"/>
      <c r="G145" s="121"/>
      <c r="H145" s="120"/>
    </row>
    <row r="146" spans="4:8" ht="15.6" customHeight="1" outlineLevel="1" x14ac:dyDescent="0.25">
      <c r="D146" s="118"/>
      <c r="E146" s="117"/>
      <c r="F146" s="117"/>
      <c r="G146" s="117"/>
      <c r="H146" s="116"/>
    </row>
    <row r="147" spans="4:8" ht="15.75" outlineLevel="1" x14ac:dyDescent="0.25">
      <c r="D147" s="118"/>
      <c r="E147" s="117"/>
      <c r="F147" s="117"/>
      <c r="G147" s="117"/>
      <c r="H147" s="116"/>
    </row>
    <row r="148" spans="4:8" ht="15.75" outlineLevel="1" x14ac:dyDescent="0.25">
      <c r="D148" s="118"/>
      <c r="E148" s="117"/>
      <c r="F148" s="117"/>
      <c r="G148" s="117"/>
      <c r="H148" s="116"/>
    </row>
    <row r="149" spans="4:8" ht="15.75" outlineLevel="1" x14ac:dyDescent="0.25">
      <c r="D149" s="118"/>
      <c r="E149" s="117"/>
      <c r="F149" s="117"/>
      <c r="G149" s="117"/>
      <c r="H149" s="116"/>
    </row>
    <row r="150" spans="4:8" ht="15.75" outlineLevel="1" x14ac:dyDescent="0.25">
      <c r="D150" s="118"/>
      <c r="F150" s="117"/>
      <c r="G150" s="117"/>
      <c r="H150" s="116"/>
    </row>
    <row r="151" spans="4:8" ht="15.75" outlineLevel="1" x14ac:dyDescent="0.25">
      <c r="D151" s="118"/>
      <c r="E151" s="117"/>
      <c r="F151" s="117"/>
      <c r="G151" s="117"/>
      <c r="H151" s="116"/>
    </row>
    <row r="152" spans="4:8" ht="15.75" outlineLevel="1" x14ac:dyDescent="0.25">
      <c r="D152" s="118"/>
      <c r="E152" s="117"/>
      <c r="F152" s="117"/>
      <c r="G152" s="117"/>
      <c r="H152" s="116"/>
    </row>
    <row r="153" spans="4:8" ht="15.75" outlineLevel="1" x14ac:dyDescent="0.25">
      <c r="D153" s="118"/>
      <c r="E153" s="117"/>
      <c r="F153" s="117"/>
      <c r="G153" s="117"/>
      <c r="H153" s="116"/>
    </row>
    <row r="154" spans="4:8" ht="15.75" outlineLevel="1" x14ac:dyDescent="0.25">
      <c r="D154" s="118"/>
      <c r="E154" s="117"/>
      <c r="F154" s="117"/>
      <c r="G154" s="117"/>
      <c r="H154" s="116"/>
    </row>
    <row r="155" spans="4:8" ht="15.75" outlineLevel="1" x14ac:dyDescent="0.25">
      <c r="D155" s="118"/>
      <c r="E155" s="117"/>
      <c r="F155" s="117"/>
      <c r="G155" s="117"/>
      <c r="H155" s="116"/>
    </row>
    <row r="156" spans="4:8" ht="15.75" outlineLevel="1" x14ac:dyDescent="0.25">
      <c r="D156" s="118"/>
      <c r="E156" s="117"/>
      <c r="F156" s="117"/>
      <c r="G156" s="117"/>
      <c r="H156" s="116"/>
    </row>
    <row r="157" spans="4:8" ht="15.75" outlineLevel="1" x14ac:dyDescent="0.25">
      <c r="D157" s="118"/>
      <c r="E157" s="117"/>
      <c r="F157" s="117"/>
      <c r="G157" s="117"/>
      <c r="H157" s="116"/>
    </row>
    <row r="158" spans="4:8" ht="15.75" outlineLevel="1" x14ac:dyDescent="0.25">
      <c r="D158" s="118"/>
      <c r="E158" s="117"/>
      <c r="F158" s="119"/>
      <c r="G158" s="117"/>
      <c r="H158" s="116"/>
    </row>
    <row r="159" spans="4:8" ht="15.75" outlineLevel="1" x14ac:dyDescent="0.25">
      <c r="D159" s="118"/>
      <c r="E159" s="117"/>
      <c r="F159" s="117"/>
      <c r="G159" s="119"/>
      <c r="H159" s="116"/>
    </row>
    <row r="160" spans="4:8" ht="15.75" outlineLevel="1" x14ac:dyDescent="0.25">
      <c r="D160" s="118"/>
      <c r="E160" s="117"/>
      <c r="F160" s="117"/>
      <c r="G160" s="119"/>
      <c r="H160" s="116"/>
    </row>
    <row r="161" spans="4:8" ht="15.75" outlineLevel="1" x14ac:dyDescent="0.25">
      <c r="D161" s="118"/>
      <c r="E161" s="117"/>
      <c r="F161" s="117"/>
      <c r="G161" s="117"/>
      <c r="H161" s="116"/>
    </row>
    <row r="162" spans="4:8" ht="15.75" outlineLevel="1" x14ac:dyDescent="0.25">
      <c r="D162" s="118"/>
      <c r="E162" s="117"/>
      <c r="F162" s="117"/>
      <c r="G162" s="117"/>
      <c r="H162" s="116"/>
    </row>
    <row r="163" spans="4:8" ht="15.75" outlineLevel="1" x14ac:dyDescent="0.25">
      <c r="D163" s="118"/>
      <c r="E163" s="119"/>
      <c r="F163" s="117"/>
      <c r="G163" s="117"/>
      <c r="H163" s="116"/>
    </row>
    <row r="164" spans="4:8" ht="15.75" outlineLevel="1" x14ac:dyDescent="0.25">
      <c r="D164" s="118"/>
      <c r="E164" s="117"/>
      <c r="F164" s="117"/>
      <c r="G164" s="117"/>
      <c r="H164" s="116"/>
    </row>
    <row r="165" spans="4:8" ht="15.75" outlineLevel="1" x14ac:dyDescent="0.25">
      <c r="D165" s="118"/>
      <c r="E165" s="117"/>
      <c r="F165" s="117"/>
      <c r="G165" s="117"/>
      <c r="H165" s="116"/>
    </row>
    <row r="166" spans="4:8" ht="15.75" outlineLevel="1" x14ac:dyDescent="0.25">
      <c r="D166" s="118"/>
      <c r="E166" s="117"/>
      <c r="F166" s="117"/>
      <c r="G166" s="117"/>
      <c r="H166" s="116"/>
    </row>
    <row r="167" spans="4:8" ht="15.75" outlineLevel="1" x14ac:dyDescent="0.25">
      <c r="D167" s="118"/>
      <c r="E167" s="117"/>
      <c r="F167" s="117"/>
      <c r="G167" s="117"/>
      <c r="H167" s="116"/>
    </row>
    <row r="168" spans="4:8" ht="15.75" outlineLevel="1" x14ac:dyDescent="0.25">
      <c r="D168" s="118"/>
      <c r="E168" s="117"/>
      <c r="F168" s="117"/>
      <c r="G168" s="117"/>
      <c r="H168" s="116"/>
    </row>
    <row r="169" spans="4:8" ht="15.75" outlineLevel="1" x14ac:dyDescent="0.25">
      <c r="D169" s="118"/>
      <c r="E169" s="117"/>
      <c r="F169" s="117"/>
      <c r="G169" s="117"/>
      <c r="H169" s="116"/>
    </row>
    <row r="170" spans="4:8" ht="15.75" outlineLevel="1" x14ac:dyDescent="0.25">
      <c r="D170" s="118"/>
      <c r="E170" s="117"/>
      <c r="F170" s="117"/>
      <c r="G170" s="117"/>
      <c r="H170" s="116"/>
    </row>
    <row r="171" spans="4:8" ht="15.75" outlineLevel="1" x14ac:dyDescent="0.25">
      <c r="D171" s="118"/>
      <c r="E171" s="117"/>
      <c r="F171" s="117"/>
      <c r="G171" s="117"/>
      <c r="H171" s="116"/>
    </row>
    <row r="172" spans="4:8" ht="15.75" outlineLevel="1" x14ac:dyDescent="0.25">
      <c r="D172" s="118"/>
      <c r="E172" s="117"/>
      <c r="F172" s="117"/>
      <c r="G172" s="117"/>
      <c r="H172" s="116"/>
    </row>
    <row r="173" spans="4:8" ht="15.75" outlineLevel="1" x14ac:dyDescent="0.25">
      <c r="D173" s="118"/>
      <c r="E173" s="117"/>
      <c r="F173" s="117"/>
      <c r="G173" s="117"/>
      <c r="H173" s="116"/>
    </row>
    <row r="174" spans="4:8" ht="15.75" outlineLevel="1" x14ac:dyDescent="0.25">
      <c r="D174" s="118"/>
      <c r="E174" s="117"/>
      <c r="F174" s="117"/>
      <c r="G174" s="117"/>
      <c r="H174" s="116"/>
    </row>
    <row r="175" spans="4:8" ht="15.75" outlineLevel="1" x14ac:dyDescent="0.25">
      <c r="D175" s="118"/>
      <c r="E175" s="117"/>
      <c r="F175" s="117"/>
      <c r="G175" s="117"/>
      <c r="H175" s="116"/>
    </row>
    <row r="176" spans="4:8" ht="15.75" outlineLevel="1" x14ac:dyDescent="0.25">
      <c r="D176" s="118"/>
      <c r="E176" s="117"/>
      <c r="F176" s="117"/>
      <c r="G176" s="117"/>
      <c r="H176" s="116"/>
    </row>
    <row r="177" spans="1:8" ht="16.5" outlineLevel="1" thickBot="1" x14ac:dyDescent="0.3">
      <c r="D177" s="128"/>
      <c r="E177" s="127"/>
      <c r="F177" s="127"/>
      <c r="G177" s="127"/>
      <c r="H177" s="126"/>
    </row>
    <row r="178" spans="1:8" ht="15.6" customHeight="1" thickTop="1" thickBot="1" x14ac:dyDescent="0.3">
      <c r="A178" s="132"/>
      <c r="B178" s="124"/>
      <c r="C178" s="123"/>
      <c r="D178" s="117">
        <f>COUNTA(D179:D211)</f>
        <v>0</v>
      </c>
      <c r="E178" s="117">
        <f>COUNTA(E179:E211)</f>
        <v>0</v>
      </c>
      <c r="F178" s="117">
        <f>COUNTA(F179:F211)</f>
        <v>0</v>
      </c>
      <c r="G178" s="117">
        <f>COUNTA(G179:G211)</f>
        <v>0</v>
      </c>
      <c r="H178" s="117">
        <f>COUNTA(H179:H211)</f>
        <v>0</v>
      </c>
    </row>
    <row r="179" spans="1:8" ht="15.6" customHeight="1" outlineLevel="1" thickTop="1" x14ac:dyDescent="0.25">
      <c r="D179" s="122"/>
      <c r="E179" s="121"/>
      <c r="F179" s="121"/>
      <c r="G179" s="121"/>
      <c r="H179" s="120"/>
    </row>
    <row r="180" spans="1:8" ht="15.6" customHeight="1" outlineLevel="1" x14ac:dyDescent="0.25">
      <c r="D180" s="118"/>
      <c r="E180" s="117"/>
      <c r="F180" s="117"/>
      <c r="G180" s="117"/>
      <c r="H180" s="116"/>
    </row>
    <row r="181" spans="1:8" ht="15.75" outlineLevel="1" x14ac:dyDescent="0.25">
      <c r="D181" s="118"/>
      <c r="E181" s="117"/>
      <c r="F181" s="117"/>
      <c r="G181" s="117"/>
      <c r="H181" s="116"/>
    </row>
    <row r="182" spans="1:8" ht="15.75" outlineLevel="1" x14ac:dyDescent="0.25">
      <c r="D182" s="118"/>
      <c r="E182" s="117"/>
      <c r="F182" s="117"/>
      <c r="G182" s="117"/>
      <c r="H182" s="116"/>
    </row>
    <row r="183" spans="1:8" ht="15.75" outlineLevel="1" x14ac:dyDescent="0.25">
      <c r="D183" s="118"/>
      <c r="E183" s="117"/>
      <c r="F183" s="117"/>
      <c r="G183" s="117"/>
      <c r="H183" s="116"/>
    </row>
    <row r="184" spans="1:8" ht="15.75" outlineLevel="1" x14ac:dyDescent="0.25">
      <c r="D184" s="118"/>
      <c r="E184" s="117"/>
      <c r="F184" s="117"/>
      <c r="G184" s="117"/>
      <c r="H184" s="116"/>
    </row>
    <row r="185" spans="1:8" ht="15.75" outlineLevel="1" x14ac:dyDescent="0.25">
      <c r="D185" s="118"/>
      <c r="E185" s="117"/>
      <c r="F185" s="117"/>
      <c r="G185" s="117"/>
      <c r="H185" s="116"/>
    </row>
    <row r="186" spans="1:8" ht="15.75" outlineLevel="1" x14ac:dyDescent="0.25">
      <c r="D186" s="118"/>
      <c r="E186" s="117"/>
      <c r="F186" s="117"/>
      <c r="G186" s="117"/>
      <c r="H186" s="116"/>
    </row>
    <row r="187" spans="1:8" ht="15.75" outlineLevel="1" x14ac:dyDescent="0.25">
      <c r="D187" s="118"/>
      <c r="E187" s="117"/>
      <c r="F187" s="117"/>
      <c r="G187" s="117"/>
      <c r="H187" s="116"/>
    </row>
    <row r="188" spans="1:8" ht="15.75" outlineLevel="1" x14ac:dyDescent="0.25">
      <c r="D188" s="118"/>
      <c r="E188" s="117"/>
      <c r="F188" s="117"/>
      <c r="G188" s="117"/>
      <c r="H188" s="116"/>
    </row>
    <row r="189" spans="1:8" ht="15.75" outlineLevel="1" x14ac:dyDescent="0.25">
      <c r="D189" s="118"/>
      <c r="E189" s="117"/>
      <c r="F189" s="117"/>
      <c r="G189" s="117"/>
      <c r="H189" s="116"/>
    </row>
    <row r="190" spans="1:8" ht="15.75" outlineLevel="1" x14ac:dyDescent="0.25">
      <c r="D190" s="118"/>
      <c r="E190" s="117"/>
      <c r="F190" s="117"/>
      <c r="G190" s="117"/>
      <c r="H190" s="116"/>
    </row>
    <row r="191" spans="1:8" ht="15.75" outlineLevel="1" x14ac:dyDescent="0.25">
      <c r="D191" s="118"/>
      <c r="E191" s="117"/>
      <c r="F191" s="119"/>
      <c r="G191" s="117"/>
      <c r="H191" s="116"/>
    </row>
    <row r="192" spans="1:8" ht="15.75" outlineLevel="1" x14ac:dyDescent="0.25">
      <c r="D192" s="118"/>
      <c r="E192" s="117"/>
      <c r="F192" s="117"/>
      <c r="G192" s="117"/>
      <c r="H192" s="116"/>
    </row>
    <row r="193" spans="4:8" ht="15.75" outlineLevel="1" x14ac:dyDescent="0.25">
      <c r="D193" s="118"/>
      <c r="E193" s="117"/>
      <c r="F193" s="117"/>
      <c r="G193" s="119"/>
      <c r="H193" s="116"/>
    </row>
    <row r="194" spans="4:8" ht="15.75" outlineLevel="1" x14ac:dyDescent="0.25">
      <c r="D194" s="118"/>
      <c r="E194" s="117"/>
      <c r="F194" s="117"/>
      <c r="G194" s="119"/>
      <c r="H194" s="116"/>
    </row>
    <row r="195" spans="4:8" ht="15.75" outlineLevel="1" x14ac:dyDescent="0.25">
      <c r="D195" s="118"/>
      <c r="E195" s="117"/>
      <c r="F195" s="117"/>
      <c r="G195" s="117"/>
      <c r="H195" s="116"/>
    </row>
    <row r="196" spans="4:8" ht="15.75" outlineLevel="1" x14ac:dyDescent="0.25">
      <c r="D196" s="118"/>
      <c r="E196" s="117"/>
      <c r="F196" s="117"/>
      <c r="G196" s="117"/>
      <c r="H196" s="116"/>
    </row>
    <row r="197" spans="4:8" ht="15.75" outlineLevel="1" x14ac:dyDescent="0.25">
      <c r="D197" s="118"/>
      <c r="E197" s="119"/>
      <c r="F197" s="117"/>
      <c r="G197" s="117"/>
      <c r="H197" s="116"/>
    </row>
    <row r="198" spans="4:8" ht="15.75" outlineLevel="1" x14ac:dyDescent="0.25">
      <c r="D198" s="118"/>
      <c r="E198" s="117"/>
      <c r="F198" s="117"/>
      <c r="G198" s="117"/>
      <c r="H198" s="116"/>
    </row>
    <row r="199" spans="4:8" ht="15.75" outlineLevel="1" x14ac:dyDescent="0.25">
      <c r="D199" s="118"/>
      <c r="E199" s="117"/>
      <c r="F199" s="117"/>
      <c r="G199" s="117"/>
      <c r="H199" s="116"/>
    </row>
    <row r="200" spans="4:8" ht="15.75" outlineLevel="1" x14ac:dyDescent="0.25">
      <c r="D200" s="118"/>
      <c r="E200" s="117"/>
      <c r="F200" s="117"/>
      <c r="G200" s="117"/>
      <c r="H200" s="116"/>
    </row>
    <row r="201" spans="4:8" ht="15.75" outlineLevel="1" x14ac:dyDescent="0.25">
      <c r="D201" s="118"/>
      <c r="E201" s="117"/>
      <c r="F201" s="117"/>
      <c r="G201" s="117"/>
      <c r="H201" s="116"/>
    </row>
    <row r="202" spans="4:8" ht="15.75" outlineLevel="1" x14ac:dyDescent="0.25">
      <c r="D202" s="118"/>
      <c r="E202" s="117"/>
      <c r="F202" s="117"/>
      <c r="G202" s="117"/>
      <c r="H202" s="116"/>
    </row>
    <row r="203" spans="4:8" ht="15.75" outlineLevel="1" x14ac:dyDescent="0.25">
      <c r="D203" s="118"/>
      <c r="E203" s="117"/>
      <c r="F203" s="117"/>
      <c r="G203" s="117"/>
      <c r="H203" s="116"/>
    </row>
    <row r="204" spans="4:8" ht="15.75" outlineLevel="1" x14ac:dyDescent="0.25">
      <c r="D204" s="118"/>
      <c r="E204" s="117"/>
      <c r="F204" s="117"/>
      <c r="G204" s="117"/>
      <c r="H204" s="116"/>
    </row>
    <row r="205" spans="4:8" ht="15.75" outlineLevel="1" x14ac:dyDescent="0.25">
      <c r="D205" s="118"/>
      <c r="E205" s="117"/>
      <c r="F205" s="117"/>
      <c r="G205" s="117"/>
      <c r="H205" s="116"/>
    </row>
    <row r="206" spans="4:8" ht="15.75" outlineLevel="1" x14ac:dyDescent="0.25">
      <c r="D206" s="118"/>
      <c r="E206" s="117"/>
      <c r="F206" s="117"/>
      <c r="G206" s="117"/>
      <c r="H206" s="116"/>
    </row>
    <row r="207" spans="4:8" ht="15.75" outlineLevel="1" x14ac:dyDescent="0.25">
      <c r="D207" s="118"/>
      <c r="E207" s="117"/>
      <c r="F207" s="117"/>
      <c r="G207" s="117"/>
      <c r="H207" s="116"/>
    </row>
    <row r="208" spans="4:8" ht="15.75" outlineLevel="1" x14ac:dyDescent="0.25">
      <c r="D208" s="118"/>
      <c r="E208" s="117"/>
      <c r="F208" s="117"/>
      <c r="G208" s="117"/>
      <c r="H208" s="116"/>
    </row>
    <row r="209" spans="1:8" ht="15.75" outlineLevel="1" x14ac:dyDescent="0.25">
      <c r="D209" s="118"/>
      <c r="E209" s="117"/>
      <c r="F209" s="117"/>
      <c r="G209" s="117"/>
      <c r="H209" s="116"/>
    </row>
    <row r="210" spans="1:8" ht="15.75" outlineLevel="1" x14ac:dyDescent="0.25">
      <c r="D210" s="118"/>
      <c r="E210" s="117"/>
      <c r="F210" s="117"/>
      <c r="G210" s="117"/>
      <c r="H210" s="116"/>
    </row>
    <row r="211" spans="1:8" ht="16.5" outlineLevel="1" thickBot="1" x14ac:dyDescent="0.3">
      <c r="D211" s="128"/>
      <c r="E211" s="127"/>
      <c r="F211" s="127"/>
      <c r="G211" s="127"/>
      <c r="H211" s="126"/>
    </row>
    <row r="212" spans="1:8" ht="15.6" customHeight="1" thickTop="1" thickBot="1" x14ac:dyDescent="0.3">
      <c r="A212" s="132"/>
      <c r="B212" s="124"/>
      <c r="C212" s="123"/>
      <c r="D212" s="117">
        <f>COUNTA(D213:D245)</f>
        <v>0</v>
      </c>
      <c r="E212" s="117">
        <f>COUNTA(E213:E245)</f>
        <v>0</v>
      </c>
      <c r="F212" s="117">
        <f>COUNTA(F213:F245)</f>
        <v>0</v>
      </c>
      <c r="G212" s="117">
        <f>COUNTA(G213:G245)</f>
        <v>0</v>
      </c>
      <c r="H212" s="117">
        <f>COUNTA(H213:H245)</f>
        <v>0</v>
      </c>
    </row>
    <row r="213" spans="1:8" ht="15.6" customHeight="1" outlineLevel="1" thickTop="1" x14ac:dyDescent="0.25">
      <c r="D213" s="122"/>
      <c r="E213" s="121"/>
      <c r="F213" s="121"/>
      <c r="G213" s="121"/>
      <c r="H213" s="120"/>
    </row>
    <row r="214" spans="1:8" ht="15.6" customHeight="1" outlineLevel="1" x14ac:dyDescent="0.25">
      <c r="D214" s="118"/>
      <c r="E214" s="117"/>
      <c r="F214" s="117"/>
      <c r="G214" s="117"/>
      <c r="H214" s="116"/>
    </row>
    <row r="215" spans="1:8" ht="15.75" outlineLevel="1" x14ac:dyDescent="0.25">
      <c r="D215" s="118"/>
      <c r="E215" s="117"/>
      <c r="F215" s="117"/>
      <c r="G215" s="117"/>
      <c r="H215" s="116"/>
    </row>
    <row r="216" spans="1:8" ht="15.75" outlineLevel="1" x14ac:dyDescent="0.25">
      <c r="D216" s="118"/>
      <c r="E216" s="117"/>
      <c r="F216" s="117"/>
      <c r="G216" s="117"/>
      <c r="H216" s="116"/>
    </row>
    <row r="217" spans="1:8" ht="15.75" outlineLevel="1" x14ac:dyDescent="0.25">
      <c r="D217" s="118"/>
      <c r="E217" s="117"/>
      <c r="F217" s="117"/>
      <c r="G217" s="117"/>
      <c r="H217" s="116"/>
    </row>
    <row r="218" spans="1:8" ht="15.75" outlineLevel="1" x14ac:dyDescent="0.25">
      <c r="D218" s="118"/>
      <c r="F218" s="117"/>
      <c r="G218" s="117"/>
      <c r="H218" s="116"/>
    </row>
    <row r="219" spans="1:8" ht="15.75" outlineLevel="1" x14ac:dyDescent="0.25">
      <c r="D219" s="118"/>
      <c r="E219" s="117"/>
      <c r="F219" s="117"/>
      <c r="G219" s="117"/>
      <c r="H219" s="116"/>
    </row>
    <row r="220" spans="1:8" ht="15.75" outlineLevel="1" x14ac:dyDescent="0.25">
      <c r="D220" s="118"/>
      <c r="E220" s="117"/>
      <c r="F220" s="117"/>
      <c r="G220" s="117"/>
      <c r="H220" s="116"/>
    </row>
    <row r="221" spans="1:8" ht="15.75" outlineLevel="1" x14ac:dyDescent="0.25">
      <c r="D221" s="118"/>
      <c r="E221" s="117"/>
      <c r="F221" s="117"/>
      <c r="G221" s="117"/>
      <c r="H221" s="116"/>
    </row>
    <row r="222" spans="1:8" ht="15.75" outlineLevel="1" x14ac:dyDescent="0.25">
      <c r="D222" s="118"/>
      <c r="E222" s="117"/>
      <c r="F222" s="117"/>
      <c r="G222" s="117"/>
      <c r="H222" s="116"/>
    </row>
    <row r="223" spans="1:8" ht="15.75" outlineLevel="1" x14ac:dyDescent="0.25">
      <c r="D223" s="118"/>
      <c r="E223" s="117"/>
      <c r="F223" s="117"/>
      <c r="G223" s="117"/>
      <c r="H223" s="116"/>
    </row>
    <row r="224" spans="1:8" ht="15.75" outlineLevel="1" x14ac:dyDescent="0.25">
      <c r="D224" s="118"/>
      <c r="E224" s="117"/>
      <c r="F224" s="119"/>
      <c r="G224" s="117"/>
      <c r="H224" s="116"/>
    </row>
    <row r="225" spans="4:8" ht="15.75" outlineLevel="1" x14ac:dyDescent="0.25">
      <c r="D225" s="118"/>
      <c r="E225" s="117"/>
      <c r="F225" s="117"/>
      <c r="G225" s="117"/>
      <c r="H225" s="116"/>
    </row>
    <row r="226" spans="4:8" ht="15.75" outlineLevel="1" x14ac:dyDescent="0.25">
      <c r="D226" s="118"/>
      <c r="E226" s="117"/>
      <c r="F226" s="117"/>
      <c r="G226" s="117"/>
      <c r="H226" s="116"/>
    </row>
    <row r="227" spans="4:8" ht="15.75" outlineLevel="1" x14ac:dyDescent="0.25">
      <c r="D227" s="118"/>
      <c r="E227" s="117"/>
      <c r="F227" s="117"/>
      <c r="G227" s="119"/>
      <c r="H227" s="116"/>
    </row>
    <row r="228" spans="4:8" ht="15.75" outlineLevel="1" x14ac:dyDescent="0.25">
      <c r="D228" s="118"/>
      <c r="E228" s="117"/>
      <c r="F228" s="117"/>
      <c r="G228" s="119"/>
      <c r="H228" s="116"/>
    </row>
    <row r="229" spans="4:8" ht="15.75" outlineLevel="1" x14ac:dyDescent="0.25">
      <c r="D229" s="118"/>
      <c r="E229" s="117"/>
      <c r="F229" s="117"/>
      <c r="G229" s="117"/>
      <c r="H229" s="116"/>
    </row>
    <row r="230" spans="4:8" ht="15.75" outlineLevel="1" x14ac:dyDescent="0.25">
      <c r="D230" s="118"/>
      <c r="E230" s="117"/>
      <c r="F230" s="117"/>
      <c r="G230" s="117"/>
      <c r="H230" s="116"/>
    </row>
    <row r="231" spans="4:8" ht="15.75" outlineLevel="1" x14ac:dyDescent="0.25">
      <c r="D231" s="118"/>
      <c r="E231" s="119"/>
      <c r="F231" s="117"/>
      <c r="G231" s="117"/>
      <c r="H231" s="116"/>
    </row>
    <row r="232" spans="4:8" ht="15.75" outlineLevel="1" x14ac:dyDescent="0.25">
      <c r="D232" s="118"/>
      <c r="E232" s="117"/>
      <c r="F232" s="117"/>
      <c r="G232" s="117"/>
      <c r="H232" s="116"/>
    </row>
    <row r="233" spans="4:8" ht="15.75" outlineLevel="1" x14ac:dyDescent="0.25">
      <c r="D233" s="118"/>
      <c r="E233" s="117"/>
      <c r="F233" s="117"/>
      <c r="G233" s="117"/>
      <c r="H233" s="116"/>
    </row>
    <row r="234" spans="4:8" ht="15.75" outlineLevel="1" x14ac:dyDescent="0.25">
      <c r="D234" s="118"/>
      <c r="E234" s="117"/>
      <c r="F234" s="117"/>
      <c r="G234" s="117"/>
      <c r="H234" s="116"/>
    </row>
    <row r="235" spans="4:8" ht="15.75" outlineLevel="1" x14ac:dyDescent="0.25">
      <c r="D235" s="118"/>
      <c r="E235" s="117"/>
      <c r="F235" s="117"/>
      <c r="G235" s="117"/>
      <c r="H235" s="116"/>
    </row>
    <row r="236" spans="4:8" ht="15.75" outlineLevel="1" x14ac:dyDescent="0.25">
      <c r="D236" s="118"/>
      <c r="E236" s="117"/>
      <c r="F236" s="117"/>
      <c r="G236" s="117"/>
      <c r="H236" s="116"/>
    </row>
    <row r="237" spans="4:8" ht="15.75" outlineLevel="1" x14ac:dyDescent="0.25">
      <c r="D237" s="118"/>
      <c r="E237" s="117"/>
      <c r="F237" s="117"/>
      <c r="G237" s="117"/>
      <c r="H237" s="116"/>
    </row>
    <row r="238" spans="4:8" ht="15.75" outlineLevel="1" x14ac:dyDescent="0.25">
      <c r="D238" s="118"/>
      <c r="E238" s="117"/>
      <c r="F238" s="117"/>
      <c r="G238" s="117"/>
      <c r="H238" s="116"/>
    </row>
    <row r="239" spans="4:8" ht="15.75" outlineLevel="1" x14ac:dyDescent="0.25">
      <c r="D239" s="118"/>
      <c r="E239" s="117"/>
      <c r="F239" s="117"/>
      <c r="G239" s="117"/>
      <c r="H239" s="116"/>
    </row>
    <row r="240" spans="4:8" ht="15.75" outlineLevel="1" x14ac:dyDescent="0.25">
      <c r="D240" s="118"/>
      <c r="E240" s="117"/>
      <c r="F240" s="117"/>
      <c r="G240" s="117"/>
      <c r="H240" s="116"/>
    </row>
    <row r="241" spans="1:8" ht="15.75" outlineLevel="1" x14ac:dyDescent="0.25">
      <c r="D241" s="118"/>
      <c r="E241" s="117"/>
      <c r="G241" s="117"/>
      <c r="H241" s="116"/>
    </row>
    <row r="242" spans="1:8" ht="15.75" outlineLevel="1" x14ac:dyDescent="0.25">
      <c r="D242" s="118"/>
      <c r="E242" s="117"/>
      <c r="F242" s="117"/>
      <c r="G242" s="117"/>
      <c r="H242" s="116"/>
    </row>
    <row r="243" spans="1:8" ht="15.75" outlineLevel="1" x14ac:dyDescent="0.25">
      <c r="D243" s="118"/>
      <c r="E243" s="117"/>
      <c r="F243" s="117"/>
      <c r="G243" s="117"/>
      <c r="H243" s="116"/>
    </row>
    <row r="244" spans="1:8" ht="15.75" outlineLevel="1" x14ac:dyDescent="0.25">
      <c r="D244" s="118"/>
      <c r="E244" s="117"/>
      <c r="F244" s="117"/>
      <c r="G244" s="117"/>
      <c r="H244" s="116"/>
    </row>
    <row r="245" spans="1:8" ht="16.5" outlineLevel="1" thickBot="1" x14ac:dyDescent="0.3">
      <c r="D245" s="128"/>
      <c r="E245" s="127"/>
      <c r="F245" s="127"/>
      <c r="G245" s="127"/>
      <c r="H245" s="126"/>
    </row>
    <row r="246" spans="1:8" ht="15.6" customHeight="1" thickTop="1" thickBot="1" x14ac:dyDescent="0.3">
      <c r="A246" s="132"/>
      <c r="B246" s="124"/>
      <c r="C246" s="123"/>
      <c r="D246" s="117">
        <f>COUNTA(D247:D279)</f>
        <v>0</v>
      </c>
      <c r="E246" s="117">
        <f>COUNTA(E247:E279)</f>
        <v>0</v>
      </c>
      <c r="F246" s="117">
        <f>COUNTA(F247:F279)</f>
        <v>0</v>
      </c>
      <c r="G246" s="117">
        <f>COUNTA(G247:G279)</f>
        <v>0</v>
      </c>
      <c r="H246" s="117">
        <f>COUNTA(H247:H279)</f>
        <v>0</v>
      </c>
    </row>
    <row r="247" spans="1:8" ht="15.6" customHeight="1" outlineLevel="1" thickTop="1" x14ac:dyDescent="0.25">
      <c r="D247" s="122"/>
      <c r="E247" s="121"/>
      <c r="F247" s="121"/>
      <c r="G247" s="121"/>
      <c r="H247" s="120"/>
    </row>
    <row r="248" spans="1:8" ht="15.6" customHeight="1" outlineLevel="1" x14ac:dyDescent="0.25">
      <c r="D248" s="118"/>
      <c r="E248" s="117"/>
      <c r="F248" s="117"/>
      <c r="G248" s="117"/>
      <c r="H248" s="116"/>
    </row>
    <row r="249" spans="1:8" ht="15.75" outlineLevel="1" x14ac:dyDescent="0.25">
      <c r="D249" s="118"/>
      <c r="E249" s="117"/>
      <c r="F249" s="117"/>
      <c r="G249" s="117"/>
      <c r="H249" s="116"/>
    </row>
    <row r="250" spans="1:8" ht="15.75" outlineLevel="1" x14ac:dyDescent="0.25">
      <c r="D250" s="118"/>
      <c r="E250" s="117"/>
      <c r="F250" s="117"/>
      <c r="G250" s="117"/>
      <c r="H250" s="116"/>
    </row>
    <row r="251" spans="1:8" ht="15.75" outlineLevel="1" x14ac:dyDescent="0.25">
      <c r="D251" s="118"/>
      <c r="E251" s="117"/>
      <c r="F251" s="117"/>
      <c r="G251" s="117"/>
      <c r="H251" s="116"/>
    </row>
    <row r="252" spans="1:8" ht="15.75" outlineLevel="1" x14ac:dyDescent="0.25">
      <c r="D252" s="118"/>
      <c r="F252" s="117"/>
      <c r="G252" s="117"/>
      <c r="H252" s="116"/>
    </row>
    <row r="253" spans="1:8" ht="15.75" outlineLevel="1" x14ac:dyDescent="0.25">
      <c r="D253" s="118"/>
      <c r="E253" s="117"/>
      <c r="F253" s="117"/>
      <c r="G253" s="117"/>
      <c r="H253" s="116"/>
    </row>
    <row r="254" spans="1:8" ht="15.75" outlineLevel="1" x14ac:dyDescent="0.25">
      <c r="D254" s="118"/>
      <c r="E254" s="117"/>
      <c r="F254" s="117"/>
      <c r="G254" s="117"/>
      <c r="H254" s="116"/>
    </row>
    <row r="255" spans="1:8" ht="15.75" outlineLevel="1" x14ac:dyDescent="0.25">
      <c r="D255" s="118"/>
      <c r="E255" s="117"/>
      <c r="F255" s="117"/>
      <c r="G255" s="117"/>
      <c r="H255" s="116"/>
    </row>
    <row r="256" spans="1:8" ht="15.75" outlineLevel="1" x14ac:dyDescent="0.25">
      <c r="D256" s="118"/>
      <c r="E256" s="117"/>
      <c r="F256" s="117"/>
      <c r="G256" s="117"/>
      <c r="H256" s="116"/>
    </row>
    <row r="257" spans="4:8" ht="15.75" outlineLevel="1" x14ac:dyDescent="0.25">
      <c r="D257" s="118"/>
      <c r="E257" s="117"/>
      <c r="F257" s="117"/>
      <c r="G257" s="117"/>
      <c r="H257" s="116"/>
    </row>
    <row r="258" spans="4:8" ht="15.75" outlineLevel="1" x14ac:dyDescent="0.25">
      <c r="D258" s="118"/>
      <c r="E258" s="117"/>
      <c r="F258" s="117"/>
      <c r="G258" s="117"/>
      <c r="H258" s="116"/>
    </row>
    <row r="259" spans="4:8" ht="15.75" outlineLevel="1" x14ac:dyDescent="0.25">
      <c r="D259" s="118"/>
      <c r="E259" s="117"/>
      <c r="F259" s="117"/>
      <c r="G259" s="117"/>
      <c r="H259" s="116"/>
    </row>
    <row r="260" spans="4:8" ht="15.75" outlineLevel="1" x14ac:dyDescent="0.25">
      <c r="D260" s="118"/>
      <c r="E260" s="117"/>
      <c r="F260" s="119"/>
      <c r="G260" s="117"/>
      <c r="H260" s="116"/>
    </row>
    <row r="261" spans="4:8" ht="15.75" outlineLevel="1" x14ac:dyDescent="0.25">
      <c r="D261" s="118"/>
      <c r="E261" s="117"/>
      <c r="F261" s="117"/>
      <c r="G261" s="119"/>
      <c r="H261" s="116"/>
    </row>
    <row r="262" spans="4:8" ht="15.75" outlineLevel="1" x14ac:dyDescent="0.25">
      <c r="D262" s="118"/>
      <c r="E262" s="117"/>
      <c r="F262" s="117"/>
      <c r="G262" s="119"/>
      <c r="H262" s="116"/>
    </row>
    <row r="263" spans="4:8" ht="15.75" outlineLevel="1" x14ac:dyDescent="0.25">
      <c r="D263" s="118"/>
      <c r="E263" s="117"/>
      <c r="F263" s="117"/>
      <c r="G263" s="117"/>
      <c r="H263" s="116"/>
    </row>
    <row r="264" spans="4:8" ht="15.75" outlineLevel="1" x14ac:dyDescent="0.25">
      <c r="D264" s="118"/>
      <c r="E264" s="117"/>
      <c r="F264" s="117"/>
      <c r="G264" s="117"/>
      <c r="H264" s="116"/>
    </row>
    <row r="265" spans="4:8" ht="15.75" outlineLevel="1" x14ac:dyDescent="0.25">
      <c r="D265" s="118"/>
      <c r="E265" s="119"/>
      <c r="F265" s="117"/>
      <c r="G265" s="117"/>
      <c r="H265" s="116"/>
    </row>
    <row r="266" spans="4:8" ht="15.75" outlineLevel="1" x14ac:dyDescent="0.25">
      <c r="D266" s="118"/>
      <c r="E266" s="117"/>
      <c r="F266" s="117"/>
      <c r="G266" s="117"/>
      <c r="H266" s="116"/>
    </row>
    <row r="267" spans="4:8" ht="15.75" outlineLevel="1" x14ac:dyDescent="0.25">
      <c r="D267" s="118"/>
      <c r="E267" s="117"/>
      <c r="F267" s="117"/>
      <c r="G267" s="117"/>
      <c r="H267" s="116"/>
    </row>
    <row r="268" spans="4:8" ht="15.75" outlineLevel="1" x14ac:dyDescent="0.25">
      <c r="D268" s="118"/>
      <c r="E268" s="117"/>
      <c r="F268" s="117"/>
      <c r="G268" s="117"/>
      <c r="H268" s="116"/>
    </row>
    <row r="269" spans="4:8" ht="15.75" outlineLevel="1" x14ac:dyDescent="0.25">
      <c r="D269" s="118"/>
      <c r="E269" s="117"/>
      <c r="F269" s="117"/>
      <c r="G269" s="117"/>
      <c r="H269" s="116"/>
    </row>
    <row r="270" spans="4:8" ht="15.75" outlineLevel="1" x14ac:dyDescent="0.25">
      <c r="D270" s="118"/>
      <c r="E270" s="117"/>
      <c r="F270" s="117"/>
      <c r="G270" s="117"/>
      <c r="H270" s="116"/>
    </row>
    <row r="271" spans="4:8" ht="15.75" outlineLevel="1" x14ac:dyDescent="0.25">
      <c r="D271" s="118"/>
      <c r="E271" s="117"/>
      <c r="F271" s="117"/>
      <c r="G271" s="117"/>
      <c r="H271" s="116"/>
    </row>
    <row r="272" spans="4:8" ht="15.75" outlineLevel="1" x14ac:dyDescent="0.25">
      <c r="D272" s="118"/>
      <c r="E272" s="117"/>
      <c r="F272" s="117"/>
      <c r="G272" s="117"/>
      <c r="H272" s="116"/>
    </row>
    <row r="273" spans="3:8" ht="15.75" outlineLevel="1" x14ac:dyDescent="0.25">
      <c r="D273" s="118"/>
      <c r="E273" s="117"/>
      <c r="F273" s="117"/>
      <c r="G273" s="117"/>
      <c r="H273" s="116"/>
    </row>
    <row r="274" spans="3:8" ht="15.75" outlineLevel="1" x14ac:dyDescent="0.25">
      <c r="D274" s="118"/>
      <c r="E274" s="117"/>
      <c r="F274" s="117"/>
      <c r="G274" s="117"/>
      <c r="H274" s="116"/>
    </row>
    <row r="275" spans="3:8" ht="15.75" outlineLevel="1" x14ac:dyDescent="0.25">
      <c r="D275" s="118"/>
      <c r="E275" s="117"/>
      <c r="F275" s="117"/>
      <c r="G275" s="117"/>
      <c r="H275" s="116"/>
    </row>
    <row r="276" spans="3:8" ht="15.75" outlineLevel="1" x14ac:dyDescent="0.25">
      <c r="D276" s="118"/>
      <c r="E276" s="117"/>
      <c r="F276" s="117"/>
      <c r="G276" s="117"/>
      <c r="H276" s="116"/>
    </row>
    <row r="277" spans="3:8" ht="15.75" outlineLevel="1" x14ac:dyDescent="0.25">
      <c r="D277" s="118"/>
      <c r="E277" s="117"/>
      <c r="F277" s="117"/>
      <c r="G277" s="117"/>
      <c r="H277" s="116"/>
    </row>
    <row r="278" spans="3:8" ht="15.75" outlineLevel="1" x14ac:dyDescent="0.25">
      <c r="D278" s="118"/>
      <c r="E278" s="117"/>
      <c r="F278" s="117"/>
      <c r="G278" s="117"/>
      <c r="H278" s="116"/>
    </row>
    <row r="279" spans="3:8" ht="15.75" outlineLevel="1" x14ac:dyDescent="0.25">
      <c r="D279" s="118"/>
      <c r="E279" s="117"/>
      <c r="F279" s="117"/>
      <c r="G279" s="117"/>
      <c r="H279" s="116"/>
    </row>
    <row r="280" spans="3:8" ht="15" customHeight="1" x14ac:dyDescent="0.25">
      <c r="C280" s="115">
        <f>SUM(D280:H280)</f>
        <v>148</v>
      </c>
      <c r="D280" s="114">
        <f>D246+D212+D178+D144+D110+D76+D42+D8</f>
        <v>7</v>
      </c>
      <c r="E280" s="114">
        <f>E246+E212+E178+E144+E110+E76+E42+E8</f>
        <v>19</v>
      </c>
      <c r="F280" s="114">
        <f>F246+F212+F178+F144+F110+F76+F42+F8</f>
        <v>122</v>
      </c>
      <c r="G280" s="114">
        <f>G246+G212+G178+G144+G110+G76+G42+G8</f>
        <v>0</v>
      </c>
      <c r="H280" s="114">
        <f>H246+H212+H178+H144+H110+H76+H42+H8</f>
        <v>0</v>
      </c>
    </row>
    <row r="281" spans="3:8" ht="15.75" x14ac:dyDescent="0.25">
      <c r="C281" s="113"/>
      <c r="D281" s="112">
        <f>D280/$C$280</f>
        <v>4.72972972972973E-2</v>
      </c>
      <c r="E281" s="112">
        <f>E280/$C$280</f>
        <v>0.12837837837837837</v>
      </c>
      <c r="F281" s="112">
        <f>F280/$C$280</f>
        <v>0.82432432432432434</v>
      </c>
      <c r="G281" s="112">
        <f>G280/$C$280</f>
        <v>0</v>
      </c>
      <c r="H281" s="112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9 D96:E96 G96:H96 D77:H95">
    <cfRule type="duplicateValues" dxfId="358" priority="137"/>
  </conditionalFormatting>
  <conditionalFormatting sqref="D9:H10 D33:H41 D11:E18 G11:H32 F11:F31 D20:E32 D19">
    <cfRule type="duplicateValues" dxfId="357" priority="136"/>
  </conditionalFormatting>
  <conditionalFormatting sqref="D111:H131 D133:H143 D132:E132 G132:H132">
    <cfRule type="duplicateValues" dxfId="356" priority="135"/>
  </conditionalFormatting>
  <conditionalFormatting sqref="D145:H177">
    <cfRule type="duplicateValues" dxfId="355" priority="134"/>
  </conditionalFormatting>
  <conditionalFormatting sqref="D179:H211">
    <cfRule type="duplicateValues" dxfId="354" priority="133"/>
  </conditionalFormatting>
  <conditionalFormatting sqref="D247:H279">
    <cfRule type="duplicateValues" dxfId="353" priority="132"/>
  </conditionalFormatting>
  <conditionalFormatting sqref="D213:H245">
    <cfRule type="duplicateValues" dxfId="352" priority="131"/>
  </conditionalFormatting>
  <conditionalFormatting sqref="F32">
    <cfRule type="duplicateValues" dxfId="351" priority="130"/>
  </conditionalFormatting>
  <conditionalFormatting sqref="D9:H18 D20:H41 D19 F19:H19">
    <cfRule type="duplicateValues" dxfId="350" priority="92"/>
    <cfRule type="duplicateValues" dxfId="349" priority="100"/>
    <cfRule type="duplicateValues" dxfId="348" priority="107"/>
    <cfRule type="duplicateValues" dxfId="347" priority="113"/>
    <cfRule type="duplicateValues" dxfId="346" priority="118"/>
    <cfRule type="duplicateValues" dxfId="345" priority="121"/>
    <cfRule type="duplicateValues" dxfId="344" priority="123"/>
    <cfRule type="duplicateValues" dxfId="343" priority="124"/>
    <cfRule type="duplicateValues" dxfId="342" priority="129"/>
  </conditionalFormatting>
  <conditionalFormatting sqref="F32">
    <cfRule type="duplicateValues" dxfId="341" priority="128"/>
  </conditionalFormatting>
  <conditionalFormatting sqref="D43:H45 D67:H73 G46:H66 F46:F65 D46:E66 D75:H75 D74:E74 G74:H74">
    <cfRule type="duplicateValues" dxfId="340" priority="127"/>
  </conditionalFormatting>
  <conditionalFormatting sqref="D43:H73 D75:H75 D74:E74 G74:H74">
    <cfRule type="duplicateValues" dxfId="339" priority="126"/>
  </conditionalFormatting>
  <conditionalFormatting sqref="F66">
    <cfRule type="duplicateValues" dxfId="338" priority="125"/>
  </conditionalFormatting>
  <conditionalFormatting sqref="D43:H73 D75:H75 D74:E74 G74:H74">
    <cfRule type="duplicateValues" dxfId="337" priority="106"/>
    <cfRule type="duplicateValues" dxfId="336" priority="122"/>
  </conditionalFormatting>
  <conditionalFormatting sqref="D43:H73 D75:H75 D74:E74 G74:H74">
    <cfRule type="duplicateValues" dxfId="335" priority="120"/>
  </conditionalFormatting>
  <conditionalFormatting sqref="D97:H109 D96:E96 G96:H96 D77:H95">
    <cfRule type="duplicateValues" dxfId="334" priority="119"/>
  </conditionalFormatting>
  <conditionalFormatting sqref="D43:H73 D75:H75 D74:E74 G74:H74">
    <cfRule type="duplicateValues" dxfId="333" priority="117"/>
  </conditionalFormatting>
  <conditionalFormatting sqref="D97:H109 D96:E96 G96:H96 D77:H95">
    <cfRule type="duplicateValues" dxfId="332" priority="116"/>
  </conditionalFormatting>
  <conditionalFormatting sqref="D111:H131 D133:H143 D132:E132 G132:H132">
    <cfRule type="duplicateValues" dxfId="331" priority="115"/>
  </conditionalFormatting>
  <conditionalFormatting sqref="D145:H177">
    <cfRule type="duplicateValues" dxfId="330" priority="114"/>
  </conditionalFormatting>
  <conditionalFormatting sqref="D43:H73 D75:H75 D74:E74 G74:H74">
    <cfRule type="duplicateValues" dxfId="329" priority="91"/>
    <cfRule type="duplicateValues" dxfId="328" priority="99"/>
    <cfRule type="duplicateValues" dxfId="327" priority="112"/>
  </conditionalFormatting>
  <conditionalFormatting sqref="D97:H109 D96:E96 G96:H96 D77:H95">
    <cfRule type="duplicateValues" dxfId="326" priority="111"/>
  </conditionalFormatting>
  <conditionalFormatting sqref="D111:H131 D133:H143 D132:E132 G132:H132">
    <cfRule type="duplicateValues" dxfId="325" priority="110"/>
  </conditionalFormatting>
  <conditionalFormatting sqref="D145:H177">
    <cfRule type="duplicateValues" dxfId="324" priority="109"/>
  </conditionalFormatting>
  <conditionalFormatting sqref="D179:H211">
    <cfRule type="duplicateValues" dxfId="323" priority="108"/>
  </conditionalFormatting>
  <conditionalFormatting sqref="D97:H109 D96:E96 G96:H96 D77:H95">
    <cfRule type="duplicateValues" dxfId="322" priority="105"/>
  </conditionalFormatting>
  <conditionalFormatting sqref="D111:H131 D133:H143 D132:E132 G132:H132">
    <cfRule type="duplicateValues" dxfId="321" priority="104"/>
  </conditionalFormatting>
  <conditionalFormatting sqref="D145:H177">
    <cfRule type="duplicateValues" dxfId="320" priority="103"/>
  </conditionalFormatting>
  <conditionalFormatting sqref="D179:H211">
    <cfRule type="duplicateValues" dxfId="319" priority="102"/>
  </conditionalFormatting>
  <conditionalFormatting sqref="D213:H245">
    <cfRule type="duplicateValues" dxfId="318" priority="101"/>
  </conditionalFormatting>
  <conditionalFormatting sqref="D97:H109 D96:E96 G96:H96 D77:H95">
    <cfRule type="duplicateValues" dxfId="317" priority="98"/>
  </conditionalFormatting>
  <conditionalFormatting sqref="D111:H131 D133:H143 D132:E132 G132:H132">
    <cfRule type="duplicateValues" dxfId="316" priority="97"/>
  </conditionalFormatting>
  <conditionalFormatting sqref="D145:H177">
    <cfRule type="duplicateValues" dxfId="315" priority="96"/>
  </conditionalFormatting>
  <conditionalFormatting sqref="D179:H211">
    <cfRule type="duplicateValues" dxfId="314" priority="95"/>
  </conditionalFormatting>
  <conditionalFormatting sqref="D213:H245">
    <cfRule type="duplicateValues" dxfId="313" priority="94"/>
  </conditionalFormatting>
  <conditionalFormatting sqref="D247:H279">
    <cfRule type="duplicateValues" dxfId="312" priority="93"/>
  </conditionalFormatting>
  <conditionalFormatting sqref="D97:H109 D96:E96 G96:H96 D77:H95">
    <cfRule type="duplicateValues" dxfId="311" priority="90"/>
  </conditionalFormatting>
  <conditionalFormatting sqref="D111:H131 D133:H143 D132:E132 G132:H132">
    <cfRule type="duplicateValues" dxfId="310" priority="89"/>
  </conditionalFormatting>
  <conditionalFormatting sqref="D145:H177">
    <cfRule type="duplicateValues" dxfId="309" priority="88"/>
  </conditionalFormatting>
  <conditionalFormatting sqref="D179:H211">
    <cfRule type="duplicateValues" dxfId="308" priority="87"/>
  </conditionalFormatting>
  <conditionalFormatting sqref="D213:H245">
    <cfRule type="duplicateValues" dxfId="307" priority="86"/>
  </conditionalFormatting>
  <conditionalFormatting sqref="D247:H279">
    <cfRule type="duplicateValues" dxfId="306" priority="85"/>
  </conditionalFormatting>
  <conditionalFormatting sqref="E19">
    <cfRule type="duplicateValues" dxfId="305" priority="64"/>
    <cfRule type="duplicateValues" dxfId="304" priority="65"/>
    <cfRule type="duplicateValues" dxfId="303" priority="66"/>
    <cfRule type="duplicateValues" dxfId="302" priority="67"/>
    <cfRule type="duplicateValues" dxfId="301" priority="68"/>
    <cfRule type="duplicateValues" dxfId="300" priority="69"/>
    <cfRule type="duplicateValues" dxfId="299" priority="70"/>
    <cfRule type="duplicateValues" dxfId="298" priority="71"/>
    <cfRule type="duplicateValues" dxfId="297" priority="72"/>
    <cfRule type="duplicateValues" dxfId="296" priority="73"/>
    <cfRule type="duplicateValues" dxfId="295" priority="74"/>
    <cfRule type="duplicateValues" dxfId="294" priority="75"/>
    <cfRule type="duplicateValues" dxfId="293" priority="76"/>
    <cfRule type="duplicateValues" dxfId="292" priority="77"/>
    <cfRule type="duplicateValues" dxfId="291" priority="78"/>
    <cfRule type="duplicateValues" dxfId="290" priority="79"/>
    <cfRule type="duplicateValues" dxfId="289" priority="80"/>
    <cfRule type="duplicateValues" dxfId="288" priority="81"/>
    <cfRule type="duplicateValues" dxfId="287" priority="82"/>
    <cfRule type="duplicateValues" dxfId="286" priority="83"/>
    <cfRule type="duplicateValues" dxfId="285" priority="84"/>
  </conditionalFormatting>
  <conditionalFormatting sqref="F74">
    <cfRule type="duplicateValues" dxfId="284" priority="43"/>
    <cfRule type="duplicateValues" dxfId="283" priority="44"/>
    <cfRule type="duplicateValues" dxfId="282" priority="45"/>
    <cfRule type="duplicateValues" dxfId="281" priority="46"/>
    <cfRule type="duplicateValues" dxfId="280" priority="47"/>
    <cfRule type="duplicateValues" dxfId="279" priority="48"/>
    <cfRule type="duplicateValues" dxfId="278" priority="49"/>
    <cfRule type="duplicateValues" dxfId="277" priority="50"/>
    <cfRule type="duplicateValues" dxfId="276" priority="51"/>
    <cfRule type="duplicateValues" dxfId="275" priority="52"/>
    <cfRule type="duplicateValues" dxfId="274" priority="53"/>
    <cfRule type="duplicateValues" dxfId="273" priority="54"/>
    <cfRule type="duplicateValues" dxfId="272" priority="55"/>
    <cfRule type="duplicateValues" dxfId="271" priority="56"/>
    <cfRule type="duplicateValues" dxfId="270" priority="57"/>
    <cfRule type="duplicateValues" dxfId="269" priority="58"/>
    <cfRule type="duplicateValues" dxfId="268" priority="59"/>
    <cfRule type="duplicateValues" dxfId="267" priority="60"/>
    <cfRule type="duplicateValues" dxfId="266" priority="61"/>
    <cfRule type="duplicateValues" dxfId="265" priority="62"/>
    <cfRule type="duplicateValues" dxfId="264" priority="63"/>
  </conditionalFormatting>
  <conditionalFormatting sqref="F96">
    <cfRule type="duplicateValues" dxfId="263" priority="22"/>
    <cfRule type="duplicateValues" dxfId="262" priority="23"/>
    <cfRule type="duplicateValues" dxfId="261" priority="24"/>
    <cfRule type="duplicateValues" dxfId="260" priority="25"/>
    <cfRule type="duplicateValues" dxfId="259" priority="26"/>
    <cfRule type="duplicateValues" dxfId="258" priority="27"/>
    <cfRule type="duplicateValues" dxfId="257" priority="28"/>
    <cfRule type="duplicateValues" dxfId="256" priority="29"/>
    <cfRule type="duplicateValues" dxfId="255" priority="30"/>
    <cfRule type="duplicateValues" dxfId="254" priority="31"/>
    <cfRule type="duplicateValues" dxfId="253" priority="32"/>
    <cfRule type="duplicateValues" dxfId="252" priority="33"/>
    <cfRule type="duplicateValues" dxfId="251" priority="34"/>
    <cfRule type="duplicateValues" dxfId="250" priority="35"/>
    <cfRule type="duplicateValues" dxfId="249" priority="36"/>
    <cfRule type="duplicateValues" dxfId="248" priority="37"/>
    <cfRule type="duplicateValues" dxfId="247" priority="38"/>
    <cfRule type="duplicateValues" dxfId="246" priority="39"/>
    <cfRule type="duplicateValues" dxfId="245" priority="40"/>
    <cfRule type="duplicateValues" dxfId="244" priority="41"/>
    <cfRule type="duplicateValues" dxfId="243" priority="42"/>
  </conditionalFormatting>
  <conditionalFormatting sqref="F132">
    <cfRule type="duplicateValues" dxfId="242" priority="1"/>
    <cfRule type="duplicateValues" dxfId="241" priority="2"/>
    <cfRule type="duplicateValues" dxfId="240" priority="3"/>
    <cfRule type="duplicateValues" dxfId="239" priority="4"/>
    <cfRule type="duplicateValues" dxfId="238" priority="5"/>
    <cfRule type="duplicateValues" dxfId="237" priority="6"/>
    <cfRule type="duplicateValues" dxfId="236" priority="7"/>
    <cfRule type="duplicateValues" dxfId="235" priority="8"/>
    <cfRule type="duplicateValues" dxfId="234" priority="9"/>
    <cfRule type="duplicateValues" dxfId="233" priority="10"/>
    <cfRule type="duplicateValues" dxfId="232" priority="11"/>
    <cfRule type="duplicateValues" dxfId="231" priority="12"/>
    <cfRule type="duplicateValues" dxfId="230" priority="13"/>
    <cfRule type="duplicateValues" dxfId="229" priority="14"/>
    <cfRule type="duplicateValues" dxfId="228" priority="15"/>
    <cfRule type="duplicateValues" dxfId="227" priority="16"/>
    <cfRule type="duplicateValues" dxfId="226" priority="17"/>
    <cfRule type="duplicateValues" dxfId="225" priority="18"/>
    <cfRule type="duplicateValues" dxfId="224" priority="19"/>
    <cfRule type="duplicateValues" dxfId="223" priority="20"/>
    <cfRule type="duplicateValues" dxfId="222" priority="21"/>
  </conditionalFormatting>
  <dataValidations count="1">
    <dataValidation type="list" allowBlank="1" showInputMessage="1" showErrorMessage="1" sqref="F1 D8:H280" xr:uid="{00000000-0002-0000-07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2">
    <outlinePr summaryBelow="0" summaryRight="0"/>
  </sheetPr>
  <dimension ref="A1:N313"/>
  <sheetViews>
    <sheetView topLeftCell="A4" workbookViewId="0">
      <selection activeCell="F18" sqref="F18"/>
    </sheetView>
  </sheetViews>
  <sheetFormatPr defaultColWidth="8.7109375" defaultRowHeight="12" outlineLevelRow="1" x14ac:dyDescent="0.2"/>
  <cols>
    <col min="1" max="1" width="3.85546875" style="111" customWidth="1"/>
    <col min="2" max="2" width="87.7109375" style="111" customWidth="1"/>
    <col min="3" max="3" width="3.85546875" style="111" customWidth="1"/>
    <col min="4" max="8" width="26.85546875" style="111" customWidth="1"/>
    <col min="9" max="9" width="3.85546875" style="111" customWidth="1"/>
    <col min="10" max="11" width="26.85546875" style="111" customWidth="1"/>
    <col min="12" max="12" width="28.7109375" style="111" customWidth="1"/>
    <col min="13" max="14" width="26.85546875" style="111" customWidth="1"/>
    <col min="15" max="16384" width="8.7109375" style="111"/>
  </cols>
  <sheetData>
    <row r="1" spans="1:14" ht="29.25" thickBot="1" x14ac:dyDescent="0.5">
      <c r="D1" s="203" t="s">
        <v>243</v>
      </c>
      <c r="E1" s="204"/>
      <c r="F1" s="204"/>
      <c r="G1" s="204"/>
      <c r="H1" s="205"/>
      <c r="J1" s="203" t="s">
        <v>242</v>
      </c>
      <c r="K1" s="204"/>
      <c r="L1" s="204"/>
      <c r="M1" s="204"/>
      <c r="N1" s="205"/>
    </row>
    <row r="2" spans="1:14" ht="21" x14ac:dyDescent="0.35">
      <c r="D2" s="134">
        <v>1</v>
      </c>
      <c r="E2" s="134">
        <v>2</v>
      </c>
      <c r="F2" s="130" t="s">
        <v>92</v>
      </c>
      <c r="G2" s="134">
        <v>4</v>
      </c>
      <c r="H2" s="134">
        <v>5</v>
      </c>
      <c r="J2" s="134">
        <v>1</v>
      </c>
      <c r="K2" s="134">
        <v>2</v>
      </c>
      <c r="L2" s="130" t="s">
        <v>97</v>
      </c>
      <c r="M2" s="134">
        <v>4</v>
      </c>
      <c r="N2" s="134">
        <v>5</v>
      </c>
    </row>
    <row r="3" spans="1:14" x14ac:dyDescent="0.2">
      <c r="D3" s="200" t="s">
        <v>241</v>
      </c>
      <c r="E3" s="200" t="s">
        <v>240</v>
      </c>
      <c r="F3" s="200" t="s">
        <v>239</v>
      </c>
      <c r="G3" s="200" t="s">
        <v>238</v>
      </c>
      <c r="H3" s="200" t="s">
        <v>237</v>
      </c>
      <c r="J3" s="200" t="s">
        <v>241</v>
      </c>
      <c r="K3" s="200" t="s">
        <v>240</v>
      </c>
      <c r="L3" s="200" t="s">
        <v>239</v>
      </c>
      <c r="M3" s="200" t="s">
        <v>238</v>
      </c>
      <c r="N3" s="200" t="s">
        <v>237</v>
      </c>
    </row>
    <row r="4" spans="1:14" x14ac:dyDescent="0.2">
      <c r="D4" s="201"/>
      <c r="E4" s="201"/>
      <c r="F4" s="201"/>
      <c r="G4" s="201"/>
      <c r="H4" s="201"/>
      <c r="J4" s="201"/>
      <c r="K4" s="201"/>
      <c r="L4" s="201"/>
      <c r="M4" s="201"/>
      <c r="N4" s="201"/>
    </row>
    <row r="5" spans="1:14" x14ac:dyDescent="0.2">
      <c r="D5" s="201"/>
      <c r="E5" s="201"/>
      <c r="F5" s="201"/>
      <c r="G5" s="201"/>
      <c r="H5" s="201"/>
      <c r="J5" s="201"/>
      <c r="K5" s="201"/>
      <c r="L5" s="201"/>
      <c r="M5" s="201"/>
      <c r="N5" s="201"/>
    </row>
    <row r="6" spans="1:14" x14ac:dyDescent="0.2">
      <c r="D6" s="201"/>
      <c r="E6" s="201"/>
      <c r="F6" s="201"/>
      <c r="G6" s="201"/>
      <c r="H6" s="201"/>
      <c r="J6" s="201"/>
      <c r="K6" s="201"/>
      <c r="L6" s="201"/>
      <c r="M6" s="201"/>
      <c r="N6" s="201"/>
    </row>
    <row r="7" spans="1:14" x14ac:dyDescent="0.2">
      <c r="D7" s="201"/>
      <c r="E7" s="201"/>
      <c r="F7" s="201"/>
      <c r="G7" s="201"/>
      <c r="H7" s="201"/>
      <c r="J7" s="201"/>
      <c r="K7" s="201"/>
      <c r="L7" s="201"/>
      <c r="M7" s="201"/>
      <c r="N7" s="201"/>
    </row>
    <row r="8" spans="1:14" ht="12.75" thickBot="1" x14ac:dyDescent="0.25">
      <c r="D8" s="202"/>
      <c r="E8" s="202"/>
      <c r="F8" s="202"/>
      <c r="G8" s="202"/>
      <c r="H8" s="202"/>
      <c r="J8" s="202"/>
      <c r="K8" s="202"/>
      <c r="L8" s="202"/>
      <c r="M8" s="202"/>
      <c r="N8" s="202"/>
    </row>
    <row r="9" spans="1:14" ht="15.6" customHeight="1" thickBot="1" x14ac:dyDescent="0.3">
      <c r="A9" s="133">
        <v>1</v>
      </c>
      <c r="B9" s="124" t="s">
        <v>201</v>
      </c>
      <c r="C9" s="123">
        <f>SUM(D9:H9)</f>
        <v>49</v>
      </c>
      <c r="D9" s="117">
        <f>COUNTA(D10:D51)</f>
        <v>1</v>
      </c>
      <c r="E9" s="117">
        <f>COUNTA(E10:E51)</f>
        <v>6</v>
      </c>
      <c r="F9" s="117">
        <f>COUNTA(F10:F51)</f>
        <v>35</v>
      </c>
      <c r="G9" s="117">
        <f>COUNTA(G10:G51)</f>
        <v>0</v>
      </c>
      <c r="H9" s="117">
        <f>COUNTA(H10:H51)</f>
        <v>7</v>
      </c>
      <c r="I9" s="123">
        <f>SUM(J9:N9)</f>
        <v>49</v>
      </c>
      <c r="J9" s="117">
        <f>COUNTA(J10:J51)</f>
        <v>6</v>
      </c>
      <c r="K9" s="117">
        <f>COUNTA(K10:K51)</f>
        <v>36</v>
      </c>
      <c r="L9" s="117">
        <f>COUNTA(L10:L51)</f>
        <v>7</v>
      </c>
      <c r="M9" s="117">
        <f>COUNTA(M10:M51)</f>
        <v>0</v>
      </c>
      <c r="N9" s="117">
        <f>COUNTA(N10:N51)</f>
        <v>0</v>
      </c>
    </row>
    <row r="10" spans="1:14" ht="15.6" customHeight="1" outlineLevel="1" thickTop="1" x14ac:dyDescent="0.25">
      <c r="D10" s="122"/>
      <c r="E10" s="121"/>
      <c r="F10" s="121"/>
      <c r="G10" s="121"/>
      <c r="H10" s="120"/>
      <c r="J10" s="122"/>
      <c r="K10" s="121"/>
      <c r="L10" s="121"/>
      <c r="M10" s="121"/>
      <c r="N10" s="120"/>
    </row>
    <row r="11" spans="1:14" ht="15.6" customHeight="1" outlineLevel="1" x14ac:dyDescent="0.25">
      <c r="D11" s="118"/>
      <c r="E11" s="118" t="s">
        <v>280</v>
      </c>
      <c r="F11" s="117" t="s">
        <v>69</v>
      </c>
      <c r="G11" s="117"/>
      <c r="H11" s="116" t="s">
        <v>98</v>
      </c>
      <c r="J11" s="118" t="s">
        <v>280</v>
      </c>
      <c r="K11" s="117" t="s">
        <v>21</v>
      </c>
      <c r="L11" s="117"/>
      <c r="M11" s="117"/>
      <c r="N11" s="116"/>
    </row>
    <row r="12" spans="1:14" ht="15.75" outlineLevel="1" x14ac:dyDescent="0.25">
      <c r="D12" s="118"/>
      <c r="E12" s="118" t="s">
        <v>295</v>
      </c>
      <c r="F12" s="117" t="s">
        <v>86</v>
      </c>
      <c r="G12" s="117"/>
      <c r="H12" s="116" t="s">
        <v>94</v>
      </c>
      <c r="J12" s="118" t="s">
        <v>295</v>
      </c>
      <c r="K12" s="117" t="s">
        <v>35</v>
      </c>
      <c r="L12" s="117"/>
      <c r="M12" s="117"/>
      <c r="N12" s="116"/>
    </row>
    <row r="13" spans="1:14" ht="15.75" outlineLevel="1" x14ac:dyDescent="0.25">
      <c r="D13" s="118"/>
      <c r="E13" s="118" t="s">
        <v>83</v>
      </c>
      <c r="F13" s="117" t="s">
        <v>28</v>
      </c>
      <c r="G13" s="117"/>
      <c r="H13" s="116" t="s">
        <v>97</v>
      </c>
      <c r="J13" s="118" t="s">
        <v>279</v>
      </c>
      <c r="K13" s="117" t="s">
        <v>31</v>
      </c>
      <c r="L13" s="117" t="s">
        <v>189</v>
      </c>
      <c r="M13" s="117"/>
      <c r="N13" s="116"/>
    </row>
    <row r="14" spans="1:14" ht="15.75" outlineLevel="1" x14ac:dyDescent="0.25">
      <c r="D14" s="118"/>
      <c r="E14" s="118" t="s">
        <v>65</v>
      </c>
      <c r="F14" s="117" t="s">
        <v>79</v>
      </c>
      <c r="G14" s="117"/>
      <c r="H14" s="116" t="s">
        <v>89</v>
      </c>
      <c r="J14" s="118" t="s">
        <v>83</v>
      </c>
      <c r="K14" s="117" t="s">
        <v>39</v>
      </c>
      <c r="L14" s="117" t="s">
        <v>98</v>
      </c>
      <c r="M14" s="117"/>
      <c r="N14" s="116"/>
    </row>
    <row r="15" spans="1:14" ht="15.75" outlineLevel="1" x14ac:dyDescent="0.25">
      <c r="D15" s="116"/>
      <c r="E15" s="116" t="s">
        <v>279</v>
      </c>
      <c r="F15" s="117" t="s">
        <v>82</v>
      </c>
      <c r="G15" s="117"/>
      <c r="H15" s="116" t="s">
        <v>96</v>
      </c>
      <c r="J15" s="118" t="s">
        <v>65</v>
      </c>
      <c r="K15" s="117" t="s">
        <v>17</v>
      </c>
      <c r="L15" s="117" t="s">
        <v>94</v>
      </c>
      <c r="M15" s="117"/>
      <c r="N15" s="116"/>
    </row>
    <row r="16" spans="1:14" ht="15.75" outlineLevel="1" x14ac:dyDescent="0.25">
      <c r="D16" s="117" t="s">
        <v>45</v>
      </c>
      <c r="E16" s="117"/>
      <c r="F16" s="117" t="s">
        <v>87</v>
      </c>
      <c r="G16" s="117"/>
      <c r="H16" s="116" t="s">
        <v>189</v>
      </c>
      <c r="J16" s="118" t="s">
        <v>45</v>
      </c>
      <c r="K16" s="117" t="s">
        <v>77</v>
      </c>
      <c r="L16" s="117" t="s">
        <v>96</v>
      </c>
      <c r="M16" s="117"/>
      <c r="N16" s="116"/>
    </row>
    <row r="17" spans="4:14" ht="15.75" outlineLevel="1" x14ac:dyDescent="0.25">
      <c r="D17" s="118"/>
      <c r="E17" s="117"/>
      <c r="F17" s="117" t="s">
        <v>21</v>
      </c>
      <c r="G17" s="117"/>
      <c r="H17" s="116" t="s">
        <v>190</v>
      </c>
      <c r="J17" s="118"/>
      <c r="K17" s="117" t="s">
        <v>87</v>
      </c>
      <c r="L17" s="117" t="s">
        <v>49</v>
      </c>
      <c r="M17" s="117"/>
      <c r="N17" s="116"/>
    </row>
    <row r="18" spans="4:14" ht="15.75" outlineLevel="1" x14ac:dyDescent="0.25">
      <c r="D18" s="118"/>
      <c r="E18" s="117"/>
      <c r="F18" s="117" t="s">
        <v>17</v>
      </c>
      <c r="G18" s="117"/>
      <c r="H18" s="116"/>
      <c r="J18" s="118"/>
      <c r="K18" s="117" t="s">
        <v>82</v>
      </c>
      <c r="L18" s="117" t="s">
        <v>89</v>
      </c>
      <c r="M18" s="117"/>
      <c r="N18" s="116"/>
    </row>
    <row r="19" spans="4:14" ht="15.75" outlineLevel="1" x14ac:dyDescent="0.25">
      <c r="D19" s="118"/>
      <c r="E19" s="117"/>
      <c r="F19" s="117" t="s">
        <v>67</v>
      </c>
      <c r="G19" s="117"/>
      <c r="H19" s="116"/>
      <c r="J19" s="118"/>
      <c r="K19" s="117" t="s">
        <v>79</v>
      </c>
      <c r="L19" s="117" t="s">
        <v>190</v>
      </c>
      <c r="M19" s="117"/>
      <c r="N19" s="116"/>
    </row>
    <row r="20" spans="4:14" ht="15.75" outlineLevel="1" x14ac:dyDescent="0.25">
      <c r="D20" s="118"/>
      <c r="E20" s="117"/>
      <c r="F20" s="117" t="s">
        <v>24</v>
      </c>
      <c r="G20" s="117"/>
      <c r="H20" s="116"/>
      <c r="J20" s="118"/>
      <c r="K20" s="117" t="s">
        <v>28</v>
      </c>
      <c r="L20" s="117"/>
      <c r="M20" s="117"/>
      <c r="N20" s="116"/>
    </row>
    <row r="21" spans="4:14" ht="15.75" outlineLevel="1" x14ac:dyDescent="0.25">
      <c r="D21" s="118"/>
      <c r="E21" s="117"/>
      <c r="F21" s="117" t="s">
        <v>68</v>
      </c>
      <c r="G21" s="117"/>
      <c r="H21" s="116"/>
      <c r="J21" s="118"/>
      <c r="K21" s="117" t="s">
        <v>69</v>
      </c>
      <c r="L21" s="117"/>
      <c r="M21" s="117"/>
      <c r="N21" s="116"/>
    </row>
    <row r="22" spans="4:14" ht="15.75" outlineLevel="1" x14ac:dyDescent="0.25">
      <c r="D22" s="118"/>
      <c r="E22" s="117"/>
      <c r="F22" s="117" t="s">
        <v>57</v>
      </c>
      <c r="G22" s="117"/>
      <c r="H22" s="116"/>
      <c r="J22" s="118"/>
      <c r="K22" s="117" t="s">
        <v>86</v>
      </c>
      <c r="L22" s="117"/>
      <c r="M22" s="117"/>
      <c r="N22" s="116"/>
    </row>
    <row r="23" spans="4:14" ht="15.75" outlineLevel="1" x14ac:dyDescent="0.25">
      <c r="D23" s="118"/>
      <c r="E23" s="117"/>
      <c r="F23" s="119" t="s">
        <v>230</v>
      </c>
      <c r="G23" s="117"/>
      <c r="H23" s="116"/>
      <c r="J23" s="118"/>
      <c r="K23" s="117" t="s">
        <v>67</v>
      </c>
      <c r="L23" s="119"/>
      <c r="M23" s="117"/>
      <c r="N23" s="116"/>
    </row>
    <row r="24" spans="4:14" ht="15.75" outlineLevel="1" x14ac:dyDescent="0.25">
      <c r="D24" s="118"/>
      <c r="E24" s="117"/>
      <c r="F24" s="117" t="s">
        <v>35</v>
      </c>
      <c r="G24" s="119"/>
      <c r="H24" s="116"/>
      <c r="J24" s="118"/>
      <c r="K24" s="117" t="s">
        <v>24</v>
      </c>
      <c r="L24" s="117"/>
      <c r="M24" s="119"/>
      <c r="N24" s="116"/>
    </row>
    <row r="25" spans="4:14" ht="15.75" outlineLevel="1" x14ac:dyDescent="0.25">
      <c r="D25" s="118"/>
      <c r="E25" s="117"/>
      <c r="F25" s="117" t="s">
        <v>31</v>
      </c>
      <c r="G25" s="119"/>
      <c r="H25" s="116"/>
      <c r="J25" s="118"/>
      <c r="K25" s="117" t="s">
        <v>68</v>
      </c>
      <c r="L25" s="117"/>
      <c r="M25" s="119"/>
      <c r="N25" s="116"/>
    </row>
    <row r="26" spans="4:14" ht="15.75" outlineLevel="1" x14ac:dyDescent="0.25">
      <c r="D26" s="118"/>
      <c r="E26" s="117"/>
      <c r="F26" s="117" t="s">
        <v>56</v>
      </c>
      <c r="G26" s="117"/>
      <c r="H26" s="116"/>
      <c r="J26" s="118"/>
      <c r="K26" s="117" t="s">
        <v>57</v>
      </c>
      <c r="L26" s="117"/>
      <c r="M26" s="117"/>
      <c r="N26" s="116"/>
    </row>
    <row r="27" spans="4:14" ht="15.75" outlineLevel="1" x14ac:dyDescent="0.25">
      <c r="D27" s="118"/>
      <c r="E27" s="117"/>
      <c r="F27" s="117" t="s">
        <v>66</v>
      </c>
      <c r="G27" s="117"/>
      <c r="H27" s="116"/>
      <c r="J27" s="118"/>
      <c r="K27" s="117" t="s">
        <v>230</v>
      </c>
      <c r="L27" s="117"/>
      <c r="M27" s="117"/>
      <c r="N27" s="116"/>
    </row>
    <row r="28" spans="4:14" ht="15.75" outlineLevel="1" x14ac:dyDescent="0.25">
      <c r="D28" s="118"/>
      <c r="E28" s="119"/>
      <c r="F28" s="117" t="s">
        <v>77</v>
      </c>
      <c r="G28" s="117"/>
      <c r="H28" s="116"/>
      <c r="J28" s="118"/>
      <c r="K28" s="119" t="s">
        <v>56</v>
      </c>
      <c r="L28" s="117"/>
      <c r="M28" s="117"/>
      <c r="N28" s="116"/>
    </row>
    <row r="29" spans="4:14" ht="15.75" outlineLevel="1" x14ac:dyDescent="0.25">
      <c r="D29" s="118"/>
      <c r="E29" s="117"/>
      <c r="F29" s="117" t="s">
        <v>75</v>
      </c>
      <c r="G29" s="117"/>
      <c r="H29" s="116"/>
      <c r="J29" s="118"/>
      <c r="K29" s="117" t="s">
        <v>66</v>
      </c>
      <c r="L29" s="117"/>
      <c r="M29" s="117"/>
      <c r="N29" s="116"/>
    </row>
    <row r="30" spans="4:14" ht="15.75" outlineLevel="1" x14ac:dyDescent="0.25">
      <c r="D30" s="118"/>
      <c r="E30" s="117" t="s">
        <v>39</v>
      </c>
      <c r="F30" s="117"/>
      <c r="G30" s="117"/>
      <c r="H30" s="116"/>
      <c r="J30" s="118"/>
      <c r="K30" s="117" t="s">
        <v>75</v>
      </c>
      <c r="L30" s="117"/>
      <c r="M30" s="117"/>
      <c r="N30" s="116"/>
    </row>
    <row r="31" spans="4:14" ht="15.75" outlineLevel="1" x14ac:dyDescent="0.25">
      <c r="D31" s="118"/>
      <c r="E31" s="117"/>
      <c r="F31" s="117" t="s">
        <v>73</v>
      </c>
      <c r="G31" s="117"/>
      <c r="H31" s="116"/>
      <c r="J31" s="118"/>
      <c r="K31" s="117" t="s">
        <v>13</v>
      </c>
      <c r="L31" s="117"/>
      <c r="M31" s="117"/>
      <c r="N31" s="116"/>
    </row>
    <row r="32" spans="4:14" ht="15.75" outlineLevel="1" x14ac:dyDescent="0.25">
      <c r="D32" s="118"/>
      <c r="E32" s="117"/>
      <c r="F32" s="117" t="s">
        <v>53</v>
      </c>
      <c r="G32" s="117"/>
      <c r="H32" s="116"/>
      <c r="J32" s="118"/>
      <c r="K32" s="117" t="s">
        <v>10</v>
      </c>
      <c r="L32" s="117"/>
      <c r="M32" s="117"/>
      <c r="N32" s="116"/>
    </row>
    <row r="33" spans="4:14" ht="15.75" outlineLevel="1" x14ac:dyDescent="0.25">
      <c r="D33" s="118"/>
      <c r="E33" s="117"/>
      <c r="F33" s="117" t="s">
        <v>49</v>
      </c>
      <c r="G33" s="117"/>
      <c r="H33" s="116"/>
      <c r="J33" s="118"/>
      <c r="K33" s="117" t="s">
        <v>7</v>
      </c>
      <c r="L33" s="117"/>
      <c r="M33" s="117"/>
      <c r="N33" s="116"/>
    </row>
    <row r="34" spans="4:14" ht="15.75" outlineLevel="1" x14ac:dyDescent="0.25">
      <c r="D34" s="118"/>
      <c r="E34" s="117"/>
      <c r="F34" s="117" t="s">
        <v>41</v>
      </c>
      <c r="G34" s="117"/>
      <c r="H34" s="116"/>
      <c r="J34" s="118"/>
      <c r="K34" s="117" t="s">
        <v>15</v>
      </c>
      <c r="L34" s="117"/>
      <c r="M34" s="117"/>
      <c r="N34" s="116"/>
    </row>
    <row r="35" spans="4:14" ht="15.75" outlineLevel="1" x14ac:dyDescent="0.25">
      <c r="D35" s="118"/>
      <c r="E35" s="117"/>
      <c r="F35" s="117" t="s">
        <v>37</v>
      </c>
      <c r="G35" s="117"/>
      <c r="H35" s="116"/>
      <c r="J35" s="118"/>
      <c r="K35" s="117" t="s">
        <v>12</v>
      </c>
      <c r="L35" s="117"/>
      <c r="M35" s="117"/>
      <c r="N35" s="116"/>
    </row>
    <row r="36" spans="4:14" ht="15.75" outlineLevel="1" x14ac:dyDescent="0.25">
      <c r="D36" s="118"/>
      <c r="E36" s="117"/>
      <c r="F36" s="117" t="s">
        <v>33</v>
      </c>
      <c r="G36" s="117"/>
      <c r="H36" s="116"/>
      <c r="J36" s="118"/>
      <c r="K36" s="117" t="s">
        <v>9</v>
      </c>
      <c r="L36" s="117"/>
      <c r="M36" s="117"/>
      <c r="N36" s="116"/>
    </row>
    <row r="37" spans="4:14" ht="15.75" outlineLevel="1" x14ac:dyDescent="0.25">
      <c r="D37" s="118"/>
      <c r="E37" s="117"/>
      <c r="F37" s="117" t="s">
        <v>26</v>
      </c>
      <c r="G37" s="117"/>
      <c r="H37" s="116"/>
      <c r="J37" s="118"/>
      <c r="K37" s="117" t="s">
        <v>37</v>
      </c>
      <c r="L37" s="117"/>
      <c r="M37" s="117"/>
      <c r="N37" s="116"/>
    </row>
    <row r="38" spans="4:14" ht="15.75" outlineLevel="1" x14ac:dyDescent="0.25">
      <c r="D38" s="118"/>
      <c r="E38" s="117"/>
      <c r="F38" s="117" t="s">
        <v>19</v>
      </c>
      <c r="G38" s="117"/>
      <c r="H38" s="116"/>
      <c r="J38" s="118"/>
      <c r="K38" s="117" t="s">
        <v>41</v>
      </c>
      <c r="L38" s="117"/>
      <c r="M38" s="117"/>
      <c r="N38" s="116"/>
    </row>
    <row r="39" spans="4:14" ht="15.75" outlineLevel="1" x14ac:dyDescent="0.25">
      <c r="D39" s="118"/>
      <c r="E39" s="117"/>
      <c r="F39" s="117" t="s">
        <v>23</v>
      </c>
      <c r="G39" s="117"/>
      <c r="H39" s="116"/>
      <c r="J39" s="118"/>
      <c r="K39" s="117" t="s">
        <v>33</v>
      </c>
      <c r="L39" s="117"/>
      <c r="M39" s="117"/>
      <c r="N39" s="116"/>
    </row>
    <row r="40" spans="4:14" ht="15.75" outlineLevel="1" x14ac:dyDescent="0.25">
      <c r="D40" s="118"/>
      <c r="E40" s="117"/>
      <c r="F40" s="117" t="s">
        <v>30</v>
      </c>
      <c r="G40" s="117"/>
      <c r="H40" s="116"/>
      <c r="J40" s="118"/>
      <c r="K40" s="117" t="s">
        <v>73</v>
      </c>
      <c r="L40" s="117"/>
      <c r="M40" s="117"/>
      <c r="N40" s="116"/>
    </row>
    <row r="41" spans="4:14" ht="15.75" outlineLevel="1" x14ac:dyDescent="0.25">
      <c r="D41" s="118"/>
      <c r="E41" s="117"/>
      <c r="F41" s="117" t="s">
        <v>13</v>
      </c>
      <c r="G41" s="117"/>
      <c r="H41" s="116"/>
      <c r="J41" s="118"/>
      <c r="K41" s="117" t="s">
        <v>53</v>
      </c>
      <c r="L41" s="117"/>
      <c r="M41" s="117"/>
      <c r="N41" s="116"/>
    </row>
    <row r="42" spans="4:14" ht="15.75" outlineLevel="1" x14ac:dyDescent="0.25">
      <c r="D42" s="118"/>
      <c r="E42" s="117"/>
      <c r="F42" s="117" t="s">
        <v>10</v>
      </c>
      <c r="G42" s="117"/>
      <c r="H42" s="116"/>
      <c r="J42" s="118"/>
      <c r="K42" s="117" t="s">
        <v>92</v>
      </c>
      <c r="L42" s="117"/>
      <c r="M42" s="117"/>
      <c r="N42" s="116"/>
    </row>
    <row r="43" spans="4:14" ht="15.75" outlineLevel="1" x14ac:dyDescent="0.25">
      <c r="D43" s="118"/>
      <c r="E43" s="117"/>
      <c r="F43" s="117" t="s">
        <v>7</v>
      </c>
      <c r="G43" s="117"/>
      <c r="H43" s="116"/>
      <c r="J43" s="118"/>
      <c r="K43" s="117" t="s">
        <v>26</v>
      </c>
      <c r="L43" s="117"/>
      <c r="M43" s="117"/>
      <c r="N43" s="116"/>
    </row>
    <row r="44" spans="4:14" ht="15.75" outlineLevel="1" x14ac:dyDescent="0.25">
      <c r="D44" s="118"/>
      <c r="E44" s="117"/>
      <c r="F44" s="117" t="s">
        <v>15</v>
      </c>
      <c r="G44" s="117"/>
      <c r="H44" s="116"/>
      <c r="J44" s="118"/>
      <c r="K44" s="117" t="s">
        <v>19</v>
      </c>
      <c r="L44" s="117"/>
      <c r="M44" s="117"/>
      <c r="N44" s="116"/>
    </row>
    <row r="45" spans="4:14" ht="15.75" outlineLevel="1" x14ac:dyDescent="0.25">
      <c r="D45" s="118"/>
      <c r="E45" s="117"/>
      <c r="F45" s="117" t="s">
        <v>12</v>
      </c>
      <c r="G45" s="117"/>
      <c r="H45" s="116"/>
      <c r="J45" s="118"/>
      <c r="K45" s="117" t="s">
        <v>23</v>
      </c>
      <c r="L45" s="117"/>
      <c r="M45" s="117"/>
      <c r="N45" s="116"/>
    </row>
    <row r="46" spans="4:14" ht="15.75" outlineLevel="1" x14ac:dyDescent="0.25">
      <c r="D46" s="118"/>
      <c r="E46" s="117"/>
      <c r="F46" s="117" t="s">
        <v>9</v>
      </c>
      <c r="G46" s="117"/>
      <c r="H46" s="116"/>
      <c r="J46" s="118"/>
      <c r="K46" s="117" t="s">
        <v>30</v>
      </c>
      <c r="L46" s="117"/>
      <c r="M46" s="117"/>
      <c r="N46" s="116"/>
    </row>
    <row r="47" spans="4:14" ht="15.75" outlineLevel="1" x14ac:dyDescent="0.25">
      <c r="D47" s="118"/>
      <c r="E47" s="117"/>
      <c r="F47" s="117"/>
      <c r="G47" s="117"/>
      <c r="H47" s="116"/>
      <c r="J47" s="118"/>
      <c r="K47" s="117"/>
      <c r="L47" s="117"/>
      <c r="M47" s="117"/>
      <c r="N47" s="116"/>
    </row>
    <row r="48" spans="4:14" ht="15.75" outlineLevel="1" x14ac:dyDescent="0.25">
      <c r="D48" s="118"/>
      <c r="E48" s="117"/>
      <c r="F48" s="117"/>
      <c r="G48" s="117"/>
      <c r="H48" s="116"/>
      <c r="J48" s="118"/>
      <c r="K48" s="117"/>
      <c r="L48" s="117"/>
      <c r="M48" s="117"/>
      <c r="N48" s="116"/>
    </row>
    <row r="49" spans="1:14" ht="15.75" outlineLevel="1" x14ac:dyDescent="0.25">
      <c r="D49" s="118"/>
      <c r="E49" s="117"/>
      <c r="F49" s="117"/>
      <c r="G49" s="117"/>
      <c r="H49" s="116"/>
      <c r="J49" s="118"/>
      <c r="K49" s="117"/>
      <c r="L49" s="117"/>
      <c r="M49" s="117"/>
      <c r="N49" s="116"/>
    </row>
    <row r="50" spans="1:14" ht="15.75" outlineLevel="1" x14ac:dyDescent="0.25">
      <c r="D50" s="118"/>
      <c r="E50" s="117"/>
      <c r="F50" s="117"/>
      <c r="G50" s="117"/>
      <c r="H50" s="116"/>
      <c r="J50" s="118"/>
      <c r="K50" s="117"/>
      <c r="L50" s="117"/>
      <c r="M50" s="117"/>
      <c r="N50" s="116"/>
    </row>
    <row r="51" spans="1:14" ht="16.5" outlineLevel="1" thickBot="1" x14ac:dyDescent="0.3">
      <c r="D51" s="128"/>
      <c r="E51" s="127"/>
      <c r="F51" s="127"/>
      <c r="G51" s="127"/>
      <c r="H51" s="126"/>
      <c r="J51" s="128"/>
      <c r="K51" s="127"/>
      <c r="L51" s="127"/>
      <c r="M51" s="127"/>
      <c r="N51" s="126"/>
    </row>
    <row r="52" spans="1:14" ht="15.6" customHeight="1" thickTop="1" thickBot="1" x14ac:dyDescent="0.3">
      <c r="A52" s="133">
        <f>A9+1</f>
        <v>2</v>
      </c>
      <c r="B52" s="124" t="s">
        <v>200</v>
      </c>
      <c r="C52" s="123">
        <f>SUM(D52:H52)</f>
        <v>47</v>
      </c>
      <c r="D52" s="117">
        <f>COUNTA(D53:D97)</f>
        <v>4</v>
      </c>
      <c r="E52" s="117">
        <f>COUNTA(E53:E97)</f>
        <v>1</v>
      </c>
      <c r="F52" s="117">
        <f>COUNTA(F53:F97)</f>
        <v>42</v>
      </c>
      <c r="G52" s="117">
        <f>COUNTA(G53:G97)</f>
        <v>0</v>
      </c>
      <c r="H52" s="117">
        <f>COUNTA(H53:H97)</f>
        <v>0</v>
      </c>
    </row>
    <row r="53" spans="1:14" ht="15.6" customHeight="1" outlineLevel="1" thickTop="1" x14ac:dyDescent="0.25">
      <c r="D53" s="122"/>
      <c r="E53" s="121"/>
      <c r="F53" s="121"/>
      <c r="G53" s="121"/>
      <c r="H53" s="120"/>
    </row>
    <row r="54" spans="1:14" ht="15.6" customHeight="1" outlineLevel="1" x14ac:dyDescent="0.25">
      <c r="D54" s="118"/>
      <c r="E54" s="117"/>
      <c r="F54" s="117" t="s">
        <v>189</v>
      </c>
      <c r="G54" s="117"/>
      <c r="H54" s="116"/>
    </row>
    <row r="55" spans="1:14" ht="15.75" outlineLevel="1" x14ac:dyDescent="0.25">
      <c r="D55" s="118" t="s">
        <v>280</v>
      </c>
      <c r="E55" s="118"/>
      <c r="F55" s="117" t="s">
        <v>69</v>
      </c>
      <c r="G55" s="117"/>
      <c r="H55" s="116"/>
    </row>
    <row r="56" spans="1:14" ht="15.75" outlineLevel="1" x14ac:dyDescent="0.25">
      <c r="D56" s="118"/>
      <c r="E56" s="117"/>
      <c r="F56" s="117" t="s">
        <v>28</v>
      </c>
      <c r="G56" s="117"/>
      <c r="H56" s="116"/>
    </row>
    <row r="57" spans="1:14" ht="15.75" outlineLevel="1" x14ac:dyDescent="0.25">
      <c r="D57" s="118" t="s">
        <v>86</v>
      </c>
      <c r="E57" s="117"/>
      <c r="F57" s="117" t="s">
        <v>98</v>
      </c>
      <c r="G57" s="117"/>
      <c r="H57" s="116"/>
    </row>
    <row r="58" spans="1:14" ht="15.75" outlineLevel="1" x14ac:dyDescent="0.25">
      <c r="D58" s="118" t="s">
        <v>83</v>
      </c>
      <c r="E58" s="118"/>
      <c r="F58" s="117" t="s">
        <v>79</v>
      </c>
      <c r="G58" s="117"/>
      <c r="H58" s="116"/>
    </row>
    <row r="59" spans="1:14" ht="15.75" outlineLevel="1" x14ac:dyDescent="0.25">
      <c r="D59" s="118" t="s">
        <v>65</v>
      </c>
      <c r="E59" s="118"/>
      <c r="F59" s="117" t="s">
        <v>82</v>
      </c>
      <c r="G59" s="117"/>
      <c r="H59" s="116"/>
    </row>
    <row r="60" spans="1:14" ht="15.75" outlineLevel="1" x14ac:dyDescent="0.25">
      <c r="D60" s="118"/>
      <c r="E60" s="117"/>
      <c r="F60" s="117" t="s">
        <v>94</v>
      </c>
      <c r="G60" s="117"/>
      <c r="H60" s="116"/>
    </row>
    <row r="61" spans="1:14" ht="15.75" outlineLevel="1" x14ac:dyDescent="0.25">
      <c r="D61" s="118"/>
      <c r="E61" s="117"/>
      <c r="F61" s="117" t="s">
        <v>87</v>
      </c>
      <c r="G61" s="117"/>
      <c r="H61" s="116"/>
    </row>
    <row r="62" spans="1:14" ht="15.75" outlineLevel="1" x14ac:dyDescent="0.25">
      <c r="D62" s="118"/>
      <c r="E62" s="117"/>
      <c r="F62" s="117" t="s">
        <v>21</v>
      </c>
      <c r="G62" s="117"/>
      <c r="H62" s="116"/>
    </row>
    <row r="63" spans="1:14" ht="15.75" outlineLevel="1" x14ac:dyDescent="0.25">
      <c r="D63" s="118"/>
      <c r="E63" s="117"/>
      <c r="F63" s="117" t="s">
        <v>17</v>
      </c>
      <c r="G63" s="117"/>
      <c r="H63" s="116"/>
    </row>
    <row r="64" spans="1:14" ht="15.75" outlineLevel="1" x14ac:dyDescent="0.25">
      <c r="D64" s="118"/>
      <c r="E64" s="117"/>
      <c r="F64" s="119" t="s">
        <v>67</v>
      </c>
      <c r="G64" s="117"/>
      <c r="H64" s="116"/>
    </row>
    <row r="65" spans="4:8" ht="15.75" outlineLevel="1" x14ac:dyDescent="0.25">
      <c r="D65" s="118"/>
      <c r="E65" s="117"/>
      <c r="F65" s="117"/>
      <c r="G65" s="117"/>
      <c r="H65" s="116"/>
    </row>
    <row r="66" spans="4:8" ht="15.75" outlineLevel="1" x14ac:dyDescent="0.25">
      <c r="D66" s="118"/>
      <c r="E66" s="117"/>
      <c r="F66" s="117" t="s">
        <v>68</v>
      </c>
      <c r="G66" s="117"/>
      <c r="H66" s="116"/>
    </row>
    <row r="67" spans="4:8" ht="15.75" outlineLevel="1" x14ac:dyDescent="0.25">
      <c r="D67" s="118"/>
      <c r="E67" s="117"/>
      <c r="F67" s="117" t="s">
        <v>57</v>
      </c>
      <c r="G67" s="119"/>
      <c r="H67" s="116"/>
    </row>
    <row r="68" spans="4:8" ht="15.75" outlineLevel="1" x14ac:dyDescent="0.25">
      <c r="D68" s="118"/>
      <c r="E68" s="117"/>
      <c r="F68" s="117" t="s">
        <v>230</v>
      </c>
      <c r="G68" s="119"/>
      <c r="H68" s="116"/>
    </row>
    <row r="69" spans="4:8" ht="15.75" outlineLevel="1" x14ac:dyDescent="0.25">
      <c r="D69" s="118"/>
      <c r="E69" s="117"/>
      <c r="F69" s="117" t="s">
        <v>96</v>
      </c>
      <c r="G69" s="117"/>
      <c r="H69" s="116"/>
    </row>
    <row r="70" spans="4:8" ht="15.75" outlineLevel="1" x14ac:dyDescent="0.25">
      <c r="D70" s="118"/>
      <c r="E70" s="117"/>
      <c r="F70" s="117" t="s">
        <v>35</v>
      </c>
      <c r="G70" s="117"/>
      <c r="H70" s="116"/>
    </row>
    <row r="71" spans="4:8" ht="15.75" outlineLevel="1" x14ac:dyDescent="0.25">
      <c r="D71" s="118"/>
      <c r="E71" s="119"/>
      <c r="F71" s="117" t="s">
        <v>31</v>
      </c>
      <c r="G71" s="117"/>
      <c r="H71" s="116"/>
    </row>
    <row r="72" spans="4:8" ht="15.75" outlineLevel="1" x14ac:dyDescent="0.25">
      <c r="D72" s="118"/>
      <c r="E72" s="117"/>
      <c r="F72" s="117" t="s">
        <v>56</v>
      </c>
      <c r="G72" s="117"/>
      <c r="H72" s="116"/>
    </row>
    <row r="73" spans="4:8" ht="15.75" outlineLevel="1" x14ac:dyDescent="0.25">
      <c r="D73" s="118"/>
      <c r="E73" s="117"/>
      <c r="F73" s="117" t="s">
        <v>66</v>
      </c>
      <c r="G73" s="117"/>
      <c r="H73" s="116"/>
    </row>
    <row r="74" spans="4:8" ht="15.75" outlineLevel="1" x14ac:dyDescent="0.25">
      <c r="D74" s="118"/>
      <c r="E74" s="117"/>
      <c r="F74" s="117" t="s">
        <v>45</v>
      </c>
      <c r="G74" s="117"/>
      <c r="H74" s="116"/>
    </row>
    <row r="75" spans="4:8" ht="15.75" outlineLevel="1" x14ac:dyDescent="0.25">
      <c r="D75" s="118"/>
      <c r="E75" s="117"/>
      <c r="F75" s="117" t="s">
        <v>37</v>
      </c>
      <c r="G75" s="117"/>
      <c r="H75" s="116"/>
    </row>
    <row r="76" spans="4:8" ht="15.75" outlineLevel="1" x14ac:dyDescent="0.25">
      <c r="D76" s="118"/>
      <c r="E76" s="117"/>
      <c r="F76" s="117" t="s">
        <v>19</v>
      </c>
      <c r="G76" s="117"/>
      <c r="H76" s="116"/>
    </row>
    <row r="77" spans="4:8" ht="15.75" outlineLevel="1" x14ac:dyDescent="0.25">
      <c r="D77" s="118"/>
      <c r="E77" s="117"/>
      <c r="F77" s="117" t="s">
        <v>97</v>
      </c>
      <c r="G77" s="117"/>
      <c r="H77" s="116"/>
    </row>
    <row r="78" spans="4:8" ht="15.75" outlineLevel="1" x14ac:dyDescent="0.25">
      <c r="D78" s="118"/>
      <c r="E78" s="117"/>
      <c r="F78" s="117" t="s">
        <v>77</v>
      </c>
      <c r="G78" s="117"/>
      <c r="H78" s="116"/>
    </row>
    <row r="79" spans="4:8" ht="15.75" outlineLevel="1" x14ac:dyDescent="0.25">
      <c r="D79" s="118"/>
      <c r="E79" s="117"/>
      <c r="F79" s="117" t="s">
        <v>75</v>
      </c>
      <c r="G79" s="117"/>
      <c r="H79" s="116"/>
    </row>
    <row r="80" spans="4:8" ht="15.75" outlineLevel="1" x14ac:dyDescent="0.25">
      <c r="D80" s="118"/>
      <c r="E80" s="117" t="s">
        <v>39</v>
      </c>
      <c r="F80" s="117"/>
      <c r="G80" s="117"/>
      <c r="H80" s="116"/>
    </row>
    <row r="81" spans="4:8" ht="15.75" outlineLevel="1" x14ac:dyDescent="0.25">
      <c r="D81" s="118"/>
      <c r="E81" s="117"/>
      <c r="F81" s="117" t="s">
        <v>41</v>
      </c>
      <c r="G81" s="117"/>
      <c r="H81" s="116"/>
    </row>
    <row r="82" spans="4:8" ht="15.75" outlineLevel="1" x14ac:dyDescent="0.25">
      <c r="D82" s="118"/>
      <c r="E82" s="117"/>
      <c r="F82" s="117" t="s">
        <v>73</v>
      </c>
      <c r="G82" s="117"/>
      <c r="H82" s="116"/>
    </row>
    <row r="83" spans="4:8" ht="15.75" outlineLevel="1" x14ac:dyDescent="0.25">
      <c r="D83" s="118"/>
      <c r="E83" s="117"/>
      <c r="F83" s="117" t="s">
        <v>89</v>
      </c>
      <c r="G83" s="117"/>
      <c r="H83" s="116"/>
    </row>
    <row r="84" spans="4:8" ht="15.75" outlineLevel="1" x14ac:dyDescent="0.25">
      <c r="D84" s="118"/>
      <c r="E84" s="117"/>
      <c r="F84" s="117" t="s">
        <v>53</v>
      </c>
      <c r="G84" s="117"/>
      <c r="H84" s="116"/>
    </row>
    <row r="85" spans="4:8" ht="15.75" outlineLevel="1" x14ac:dyDescent="0.25">
      <c r="D85" s="118"/>
      <c r="E85" s="117"/>
      <c r="F85" s="117" t="s">
        <v>49</v>
      </c>
      <c r="G85" s="117"/>
      <c r="H85" s="116"/>
    </row>
    <row r="86" spans="4:8" ht="15.75" outlineLevel="1" x14ac:dyDescent="0.25">
      <c r="D86" s="118"/>
      <c r="E86" s="117"/>
      <c r="F86" s="117" t="s">
        <v>190</v>
      </c>
      <c r="G86" s="117"/>
      <c r="H86" s="116"/>
    </row>
    <row r="87" spans="4:8" ht="15.75" outlineLevel="1" x14ac:dyDescent="0.25">
      <c r="D87" s="118"/>
      <c r="E87" s="117"/>
      <c r="F87" s="117" t="s">
        <v>295</v>
      </c>
      <c r="G87" s="117"/>
      <c r="H87" s="116"/>
    </row>
    <row r="88" spans="4:8" ht="15.75" outlineLevel="1" x14ac:dyDescent="0.25">
      <c r="D88" s="118"/>
      <c r="E88" s="117"/>
      <c r="F88" s="117" t="s">
        <v>33</v>
      </c>
      <c r="G88" s="117"/>
      <c r="H88" s="116"/>
    </row>
    <row r="89" spans="4:8" ht="15.75" outlineLevel="1" x14ac:dyDescent="0.25">
      <c r="D89" s="118"/>
      <c r="E89" s="117"/>
      <c r="F89" s="117" t="s">
        <v>30</v>
      </c>
      <c r="G89" s="117"/>
      <c r="H89" s="116"/>
    </row>
    <row r="90" spans="4:8" ht="15.75" outlineLevel="1" x14ac:dyDescent="0.25">
      <c r="D90" s="118"/>
      <c r="E90" s="117"/>
      <c r="F90" s="117" t="s">
        <v>13</v>
      </c>
      <c r="G90" s="117"/>
      <c r="H90" s="116"/>
    </row>
    <row r="91" spans="4:8" ht="15.75" outlineLevel="1" x14ac:dyDescent="0.25">
      <c r="D91" s="118"/>
      <c r="E91" s="117"/>
      <c r="F91" s="117" t="s">
        <v>10</v>
      </c>
      <c r="G91" s="117"/>
      <c r="H91" s="116"/>
    </row>
    <row r="92" spans="4:8" ht="15.75" outlineLevel="1" x14ac:dyDescent="0.25">
      <c r="D92" s="118"/>
      <c r="E92" s="117"/>
      <c r="F92" s="117" t="s">
        <v>7</v>
      </c>
      <c r="G92" s="117"/>
      <c r="H92" s="116"/>
    </row>
    <row r="93" spans="4:8" ht="15.75" outlineLevel="1" x14ac:dyDescent="0.25">
      <c r="D93" s="118"/>
      <c r="E93" s="117"/>
      <c r="F93" s="117" t="s">
        <v>15</v>
      </c>
      <c r="G93" s="117"/>
      <c r="H93" s="116"/>
    </row>
    <row r="94" spans="4:8" ht="15.75" outlineLevel="1" x14ac:dyDescent="0.25">
      <c r="D94" s="118"/>
      <c r="E94" s="117"/>
      <c r="F94" s="117" t="s">
        <v>12</v>
      </c>
      <c r="G94" s="117"/>
      <c r="H94" s="116"/>
    </row>
    <row r="95" spans="4:8" ht="15.75" outlineLevel="1" x14ac:dyDescent="0.25">
      <c r="D95" s="118"/>
      <c r="E95" s="117"/>
      <c r="F95" s="117" t="s">
        <v>9</v>
      </c>
      <c r="G95" s="117"/>
      <c r="H95" s="116"/>
    </row>
    <row r="96" spans="4:8" ht="15.75" outlineLevel="1" x14ac:dyDescent="0.25">
      <c r="D96" s="118"/>
      <c r="E96" s="117"/>
      <c r="F96" s="117" t="s">
        <v>23</v>
      </c>
      <c r="G96" s="117"/>
      <c r="H96" s="116"/>
    </row>
    <row r="97" spans="1:8" ht="16.5" outlineLevel="1" thickBot="1" x14ac:dyDescent="0.3">
      <c r="D97" s="128"/>
      <c r="E97" s="127"/>
      <c r="F97" s="116" t="s">
        <v>279</v>
      </c>
      <c r="G97" s="127"/>
      <c r="H97" s="126"/>
    </row>
    <row r="98" spans="1:8" ht="15.6" customHeight="1" thickTop="1" thickBot="1" x14ac:dyDescent="0.3">
      <c r="A98" s="133">
        <f>A52+1</f>
        <v>3</v>
      </c>
      <c r="B98" s="124" t="s">
        <v>199</v>
      </c>
      <c r="C98" s="123">
        <f>SUM(D98:H98)</f>
        <v>46</v>
      </c>
      <c r="D98" s="117">
        <f>COUNTA(D99:D141)</f>
        <v>5</v>
      </c>
      <c r="E98" s="117">
        <f>COUNTA(E99:E141)</f>
        <v>1</v>
      </c>
      <c r="F98" s="117">
        <f>COUNTA(F99:F141)</f>
        <v>40</v>
      </c>
      <c r="G98" s="117">
        <f>COUNTA(G99:G141)</f>
        <v>0</v>
      </c>
      <c r="H98" s="117">
        <f>COUNTA(H99:H141)</f>
        <v>0</v>
      </c>
    </row>
    <row r="99" spans="1:8" ht="15.6" customHeight="1" outlineLevel="1" thickTop="1" x14ac:dyDescent="0.25">
      <c r="D99" s="122"/>
      <c r="E99" s="121"/>
      <c r="F99" s="116" t="s">
        <v>279</v>
      </c>
      <c r="G99" s="121"/>
      <c r="H99" s="120"/>
    </row>
    <row r="100" spans="1:8" ht="15.6" customHeight="1" outlineLevel="1" x14ac:dyDescent="0.25">
      <c r="D100" s="118" t="s">
        <v>86</v>
      </c>
      <c r="E100" s="117"/>
      <c r="F100" s="117" t="s">
        <v>69</v>
      </c>
      <c r="G100" s="117"/>
      <c r="H100" s="116"/>
    </row>
    <row r="101" spans="1:8" ht="15.75" outlineLevel="1" x14ac:dyDescent="0.25">
      <c r="D101" s="118" t="s">
        <v>280</v>
      </c>
      <c r="E101" s="118"/>
      <c r="F101" s="117" t="s">
        <v>28</v>
      </c>
      <c r="G101" s="117"/>
      <c r="H101" s="116"/>
    </row>
    <row r="102" spans="1:8" ht="15.75" outlineLevel="1" x14ac:dyDescent="0.25">
      <c r="D102" s="118"/>
      <c r="E102" s="117"/>
      <c r="F102" s="117" t="s">
        <v>98</v>
      </c>
      <c r="G102" s="117"/>
      <c r="H102" s="116"/>
    </row>
    <row r="103" spans="1:8" ht="15.75" outlineLevel="1" x14ac:dyDescent="0.25">
      <c r="D103" s="118" t="s">
        <v>83</v>
      </c>
      <c r="E103" s="118"/>
      <c r="F103" s="117" t="s">
        <v>79</v>
      </c>
      <c r="G103" s="117"/>
      <c r="H103" s="116"/>
    </row>
    <row r="104" spans="1:8" ht="15.75" outlineLevel="1" x14ac:dyDescent="0.25">
      <c r="D104" s="118" t="s">
        <v>65</v>
      </c>
      <c r="E104" s="118"/>
      <c r="F104" s="117" t="s">
        <v>82</v>
      </c>
      <c r="G104" s="117"/>
      <c r="H104" s="116"/>
    </row>
    <row r="105" spans="1:8" ht="15.75" outlineLevel="1" x14ac:dyDescent="0.25">
      <c r="D105" s="118"/>
      <c r="E105" s="117"/>
      <c r="F105" s="117" t="s">
        <v>92</v>
      </c>
      <c r="G105" s="117"/>
      <c r="H105" s="116"/>
    </row>
    <row r="106" spans="1:8" ht="15.75" outlineLevel="1" x14ac:dyDescent="0.25">
      <c r="D106" s="118"/>
      <c r="E106" s="117"/>
      <c r="F106" s="117" t="s">
        <v>53</v>
      </c>
      <c r="G106" s="117"/>
      <c r="H106" s="116"/>
    </row>
    <row r="107" spans="1:8" ht="15.75" outlineLevel="1" x14ac:dyDescent="0.25">
      <c r="D107" s="118"/>
      <c r="E107" s="117"/>
      <c r="F107" s="117" t="s">
        <v>94</v>
      </c>
      <c r="G107" s="117"/>
      <c r="H107" s="116"/>
    </row>
    <row r="108" spans="1:8" ht="15.75" outlineLevel="1" x14ac:dyDescent="0.25">
      <c r="D108" s="118"/>
      <c r="E108" s="117"/>
      <c r="F108" s="117" t="s">
        <v>87</v>
      </c>
      <c r="G108" s="117"/>
      <c r="H108" s="116"/>
    </row>
    <row r="109" spans="1:8" ht="15.75" outlineLevel="1" x14ac:dyDescent="0.25">
      <c r="D109" s="118"/>
      <c r="E109" s="117"/>
      <c r="F109" s="117" t="s">
        <v>21</v>
      </c>
      <c r="G109" s="117"/>
      <c r="H109" s="116"/>
    </row>
    <row r="110" spans="1:8" ht="15.75" outlineLevel="1" x14ac:dyDescent="0.25">
      <c r="D110" s="118"/>
      <c r="E110" s="117"/>
      <c r="F110" s="119" t="s">
        <v>17</v>
      </c>
      <c r="G110" s="117"/>
      <c r="H110" s="116"/>
    </row>
    <row r="111" spans="1:8" ht="15.75" outlineLevel="1" x14ac:dyDescent="0.25">
      <c r="D111" s="118"/>
      <c r="E111" s="117"/>
      <c r="F111" s="117" t="s">
        <v>67</v>
      </c>
      <c r="G111" s="117"/>
      <c r="H111" s="116"/>
    </row>
    <row r="112" spans="1:8" ht="15.75" outlineLevel="1" x14ac:dyDescent="0.25">
      <c r="D112" s="118"/>
      <c r="E112" s="117"/>
      <c r="F112" s="117"/>
      <c r="G112" s="117"/>
      <c r="H112" s="116"/>
    </row>
    <row r="113" spans="4:8" ht="15.75" outlineLevel="1" x14ac:dyDescent="0.25">
      <c r="D113" s="118"/>
      <c r="E113" s="117"/>
      <c r="F113" s="117" t="s">
        <v>68</v>
      </c>
      <c r="G113" s="119"/>
      <c r="H113" s="116"/>
    </row>
    <row r="114" spans="4:8" ht="15.75" outlineLevel="1" x14ac:dyDescent="0.25">
      <c r="D114" s="118"/>
      <c r="E114" s="117"/>
      <c r="F114" s="117" t="s">
        <v>57</v>
      </c>
      <c r="G114" s="119"/>
      <c r="H114" s="116"/>
    </row>
    <row r="115" spans="4:8" ht="15.75" outlineLevel="1" x14ac:dyDescent="0.25">
      <c r="D115" s="118"/>
      <c r="E115" s="117"/>
      <c r="F115" s="117" t="s">
        <v>230</v>
      </c>
      <c r="G115" s="117"/>
      <c r="H115" s="116"/>
    </row>
    <row r="116" spans="4:8" ht="15.75" outlineLevel="1" x14ac:dyDescent="0.25">
      <c r="D116" s="118"/>
      <c r="E116" s="117"/>
      <c r="F116" s="117" t="s">
        <v>35</v>
      </c>
      <c r="G116" s="117"/>
      <c r="H116" s="116"/>
    </row>
    <row r="117" spans="4:8" ht="15.75" outlineLevel="1" x14ac:dyDescent="0.25">
      <c r="D117" s="118"/>
      <c r="E117" s="119"/>
      <c r="F117" s="117" t="s">
        <v>31</v>
      </c>
      <c r="G117" s="117"/>
      <c r="H117" s="116"/>
    </row>
    <row r="118" spans="4:8" ht="15.75" outlineLevel="1" x14ac:dyDescent="0.25">
      <c r="D118" s="118"/>
      <c r="E118" s="119"/>
      <c r="F118" s="117" t="s">
        <v>33</v>
      </c>
      <c r="G118" s="117"/>
      <c r="H118" s="116"/>
    </row>
    <row r="119" spans="4:8" ht="15.75" outlineLevel="1" x14ac:dyDescent="0.25">
      <c r="D119" s="118"/>
      <c r="E119" s="119"/>
      <c r="F119" s="117" t="s">
        <v>41</v>
      </c>
      <c r="G119" s="117"/>
      <c r="H119" s="116"/>
    </row>
    <row r="120" spans="4:8" ht="15.75" outlineLevel="1" x14ac:dyDescent="0.25">
      <c r="D120" s="118"/>
      <c r="E120" s="119"/>
      <c r="F120" s="117" t="s">
        <v>37</v>
      </c>
      <c r="G120" s="117"/>
      <c r="H120" s="116"/>
    </row>
    <row r="121" spans="4:8" ht="15.75" outlineLevel="1" x14ac:dyDescent="0.25">
      <c r="D121" s="118"/>
      <c r="E121" s="117"/>
      <c r="F121" s="117" t="s">
        <v>295</v>
      </c>
      <c r="G121" s="117"/>
      <c r="H121" s="116"/>
    </row>
    <row r="122" spans="4:8" ht="15.75" outlineLevel="1" x14ac:dyDescent="0.25">
      <c r="D122" s="118"/>
      <c r="E122" s="119"/>
      <c r="F122" s="117" t="s">
        <v>56</v>
      </c>
      <c r="G122" s="117"/>
      <c r="H122" s="116"/>
    </row>
    <row r="123" spans="4:8" ht="15.75" outlineLevel="1" x14ac:dyDescent="0.25">
      <c r="D123" s="118"/>
      <c r="E123" s="119"/>
      <c r="F123" s="117" t="s">
        <v>66</v>
      </c>
      <c r="G123" s="117"/>
      <c r="H123" s="116"/>
    </row>
    <row r="124" spans="4:8" ht="15.75" outlineLevel="1" x14ac:dyDescent="0.25">
      <c r="D124" s="118"/>
      <c r="E124" s="119"/>
      <c r="F124" s="116" t="s">
        <v>189</v>
      </c>
      <c r="G124" s="117"/>
      <c r="H124" s="116"/>
    </row>
    <row r="125" spans="4:8" ht="15.75" outlineLevel="1" x14ac:dyDescent="0.25">
      <c r="D125" s="118"/>
      <c r="E125" s="119"/>
      <c r="F125" s="116" t="s">
        <v>190</v>
      </c>
      <c r="G125" s="117"/>
      <c r="H125" s="116"/>
    </row>
    <row r="126" spans="4:8" ht="15.75" outlineLevel="1" x14ac:dyDescent="0.25">
      <c r="D126" s="118"/>
      <c r="E126" s="119"/>
      <c r="F126" s="117" t="s">
        <v>97</v>
      </c>
      <c r="G126" s="117"/>
      <c r="H126" s="116"/>
    </row>
    <row r="127" spans="4:8" ht="15.75" outlineLevel="1" x14ac:dyDescent="0.25">
      <c r="D127" s="118"/>
      <c r="E127" s="119"/>
      <c r="F127" s="117" t="s">
        <v>77</v>
      </c>
      <c r="G127" s="117"/>
      <c r="H127" s="116"/>
    </row>
    <row r="128" spans="4:8" ht="15.75" outlineLevel="1" x14ac:dyDescent="0.25">
      <c r="D128" s="118"/>
      <c r="E128" s="117"/>
      <c r="F128" s="117" t="s">
        <v>75</v>
      </c>
      <c r="G128" s="117"/>
      <c r="H128" s="116"/>
    </row>
    <row r="129" spans="1:8" ht="15.75" outlineLevel="1" x14ac:dyDescent="0.25">
      <c r="D129" s="118"/>
      <c r="E129" s="117" t="s">
        <v>39</v>
      </c>
      <c r="F129" s="117"/>
      <c r="G129" s="117"/>
      <c r="H129" s="116"/>
    </row>
    <row r="130" spans="1:8" ht="15.75" outlineLevel="1" x14ac:dyDescent="0.25">
      <c r="D130" s="117" t="s">
        <v>96</v>
      </c>
      <c r="E130" s="117"/>
      <c r="F130" s="117"/>
      <c r="G130" s="117"/>
      <c r="H130" s="116"/>
    </row>
    <row r="131" spans="1:8" ht="15.75" outlineLevel="1" x14ac:dyDescent="0.25">
      <c r="D131" s="118"/>
      <c r="E131" s="117"/>
      <c r="F131" s="117" t="s">
        <v>45</v>
      </c>
      <c r="G131" s="117"/>
      <c r="H131" s="116"/>
    </row>
    <row r="132" spans="1:8" ht="15.75" outlineLevel="1" x14ac:dyDescent="0.25">
      <c r="D132" s="118"/>
      <c r="E132" s="117"/>
      <c r="F132" s="117" t="s">
        <v>89</v>
      </c>
      <c r="G132" s="117"/>
      <c r="H132" s="116"/>
    </row>
    <row r="133" spans="1:8" ht="15.75" outlineLevel="1" x14ac:dyDescent="0.25">
      <c r="D133" s="118"/>
      <c r="E133" s="117"/>
      <c r="F133" s="117" t="s">
        <v>30</v>
      </c>
      <c r="G133" s="117"/>
      <c r="H133" s="116"/>
    </row>
    <row r="134" spans="1:8" ht="15.75" outlineLevel="1" x14ac:dyDescent="0.25">
      <c r="D134" s="118"/>
      <c r="E134" s="117"/>
      <c r="F134" s="117" t="s">
        <v>13</v>
      </c>
      <c r="G134" s="117"/>
      <c r="H134" s="116"/>
    </row>
    <row r="135" spans="1:8" ht="15.75" outlineLevel="1" x14ac:dyDescent="0.25">
      <c r="D135" s="118"/>
      <c r="E135" s="117"/>
      <c r="F135" s="117" t="s">
        <v>10</v>
      </c>
      <c r="G135" s="117"/>
      <c r="H135" s="116"/>
    </row>
    <row r="136" spans="1:8" ht="15.75" outlineLevel="1" x14ac:dyDescent="0.25">
      <c r="D136" s="118"/>
      <c r="E136" s="117"/>
      <c r="F136" s="117" t="s">
        <v>7</v>
      </c>
      <c r="G136" s="117"/>
      <c r="H136" s="116"/>
    </row>
    <row r="137" spans="1:8" ht="15.75" outlineLevel="1" x14ac:dyDescent="0.25">
      <c r="D137" s="118"/>
      <c r="E137" s="117"/>
      <c r="F137" s="117" t="s">
        <v>15</v>
      </c>
      <c r="G137" s="117"/>
      <c r="H137" s="116"/>
    </row>
    <row r="138" spans="1:8" ht="15.75" outlineLevel="1" x14ac:dyDescent="0.25">
      <c r="D138" s="118"/>
      <c r="E138" s="117"/>
      <c r="F138" s="117" t="s">
        <v>12</v>
      </c>
      <c r="G138" s="117"/>
      <c r="H138" s="116"/>
    </row>
    <row r="139" spans="1:8" ht="15.75" outlineLevel="1" x14ac:dyDescent="0.25">
      <c r="D139" s="118"/>
      <c r="E139" s="117"/>
      <c r="F139" s="117" t="s">
        <v>9</v>
      </c>
      <c r="G139" s="117"/>
      <c r="H139" s="116"/>
    </row>
    <row r="140" spans="1:8" ht="15.75" outlineLevel="1" x14ac:dyDescent="0.25">
      <c r="D140" s="118"/>
      <c r="E140" s="117"/>
      <c r="F140" s="117" t="s">
        <v>19</v>
      </c>
      <c r="G140" s="117"/>
      <c r="H140" s="116"/>
    </row>
    <row r="141" spans="1:8" ht="16.5" outlineLevel="1" thickBot="1" x14ac:dyDescent="0.3">
      <c r="D141" s="128"/>
      <c r="E141" s="127"/>
      <c r="F141" s="117" t="s">
        <v>23</v>
      </c>
      <c r="G141" s="127"/>
      <c r="H141" s="126"/>
    </row>
    <row r="142" spans="1:8" ht="15.6" customHeight="1" thickTop="1" thickBot="1" x14ac:dyDescent="0.3">
      <c r="A142" s="132"/>
      <c r="B142" s="124"/>
      <c r="C142" s="123"/>
      <c r="D142" s="117"/>
      <c r="E142" s="117"/>
      <c r="F142" s="117"/>
      <c r="G142" s="117"/>
      <c r="H142" s="117"/>
    </row>
    <row r="143" spans="1:8" ht="15.6" customHeight="1" outlineLevel="1" thickTop="1" x14ac:dyDescent="0.25">
      <c r="D143" s="122"/>
      <c r="E143" s="121"/>
      <c r="F143" s="121"/>
      <c r="G143" s="121"/>
      <c r="H143" s="120"/>
    </row>
    <row r="144" spans="1:8" ht="15.6" customHeight="1" outlineLevel="1" x14ac:dyDescent="0.25">
      <c r="D144" s="118"/>
      <c r="E144" s="117"/>
      <c r="F144" s="117"/>
      <c r="G144" s="117"/>
      <c r="H144" s="116"/>
    </row>
    <row r="145" spans="4:8" ht="15.75" outlineLevel="1" x14ac:dyDescent="0.25">
      <c r="D145" s="118"/>
      <c r="E145" s="117"/>
      <c r="F145" s="117"/>
      <c r="G145" s="117"/>
      <c r="H145" s="116"/>
    </row>
    <row r="146" spans="4:8" ht="15.75" outlineLevel="1" x14ac:dyDescent="0.25">
      <c r="D146" s="118"/>
      <c r="E146" s="117"/>
      <c r="F146" s="117"/>
      <c r="G146" s="117"/>
      <c r="H146" s="116"/>
    </row>
    <row r="147" spans="4:8" ht="15.75" outlineLevel="1" x14ac:dyDescent="0.25">
      <c r="D147" s="118"/>
      <c r="E147" s="117"/>
      <c r="F147" s="117"/>
      <c r="G147" s="117"/>
      <c r="H147" s="116"/>
    </row>
    <row r="148" spans="4:8" ht="15.75" outlineLevel="1" x14ac:dyDescent="0.25">
      <c r="D148" s="118"/>
      <c r="F148" s="117"/>
      <c r="G148" s="117"/>
      <c r="H148" s="116"/>
    </row>
    <row r="149" spans="4:8" ht="15.75" outlineLevel="1" x14ac:dyDescent="0.25">
      <c r="D149" s="118"/>
      <c r="E149" s="117"/>
      <c r="F149" s="117"/>
      <c r="G149" s="117"/>
      <c r="H149" s="116"/>
    </row>
    <row r="150" spans="4:8" ht="15.75" outlineLevel="1" x14ac:dyDescent="0.25">
      <c r="D150" s="118"/>
      <c r="E150" s="117"/>
      <c r="F150" s="117"/>
      <c r="G150" s="117"/>
      <c r="H150" s="116"/>
    </row>
    <row r="151" spans="4:8" ht="15.75" outlineLevel="1" x14ac:dyDescent="0.25">
      <c r="D151" s="118"/>
      <c r="E151" s="117"/>
      <c r="F151" s="117"/>
      <c r="G151" s="117"/>
      <c r="H151" s="116"/>
    </row>
    <row r="152" spans="4:8" ht="15.75" outlineLevel="1" x14ac:dyDescent="0.25">
      <c r="D152" s="118"/>
      <c r="E152" s="117"/>
      <c r="F152" s="117"/>
      <c r="G152" s="117"/>
      <c r="H152" s="116"/>
    </row>
    <row r="153" spans="4:8" ht="15.75" outlineLevel="1" x14ac:dyDescent="0.25">
      <c r="D153" s="118"/>
      <c r="E153" s="117"/>
      <c r="F153" s="117"/>
      <c r="G153" s="117"/>
      <c r="H153" s="116"/>
    </row>
    <row r="154" spans="4:8" ht="15.75" outlineLevel="1" x14ac:dyDescent="0.25">
      <c r="D154" s="118"/>
      <c r="E154" s="117"/>
      <c r="F154" s="117"/>
      <c r="G154" s="117"/>
      <c r="H154" s="116"/>
    </row>
    <row r="155" spans="4:8" ht="15.75" outlineLevel="1" x14ac:dyDescent="0.25">
      <c r="D155" s="118"/>
      <c r="E155" s="117"/>
      <c r="F155" s="117"/>
      <c r="G155" s="117"/>
      <c r="H155" s="116"/>
    </row>
    <row r="156" spans="4:8" ht="15.75" outlineLevel="1" x14ac:dyDescent="0.25">
      <c r="D156" s="118"/>
      <c r="E156" s="117"/>
      <c r="F156" s="119"/>
      <c r="G156" s="117"/>
      <c r="H156" s="116"/>
    </row>
    <row r="157" spans="4:8" ht="15.75" outlineLevel="1" x14ac:dyDescent="0.25">
      <c r="D157" s="118"/>
      <c r="E157" s="117"/>
      <c r="F157" s="117"/>
      <c r="G157" s="119"/>
      <c r="H157" s="116"/>
    </row>
    <row r="158" spans="4:8" ht="15.75" outlineLevel="1" x14ac:dyDescent="0.25">
      <c r="D158" s="118"/>
      <c r="E158" s="117"/>
      <c r="F158" s="117"/>
      <c r="G158" s="119"/>
      <c r="H158" s="116"/>
    </row>
    <row r="159" spans="4:8" ht="15.75" outlineLevel="1" x14ac:dyDescent="0.25">
      <c r="D159" s="118"/>
      <c r="E159" s="117"/>
      <c r="F159" s="117"/>
      <c r="G159" s="117"/>
      <c r="H159" s="116"/>
    </row>
    <row r="160" spans="4:8" ht="15.75" outlineLevel="1" x14ac:dyDescent="0.25">
      <c r="D160" s="118"/>
      <c r="E160" s="117"/>
      <c r="F160" s="117"/>
      <c r="G160" s="117"/>
      <c r="H160" s="116"/>
    </row>
    <row r="161" spans="1:8" ht="15.75" outlineLevel="1" x14ac:dyDescent="0.25">
      <c r="D161" s="118"/>
      <c r="E161" s="119"/>
      <c r="F161" s="117"/>
      <c r="G161" s="117"/>
      <c r="H161" s="116"/>
    </row>
    <row r="162" spans="1:8" ht="15.75" outlineLevel="1" x14ac:dyDescent="0.25">
      <c r="D162" s="118"/>
      <c r="E162" s="117"/>
      <c r="F162" s="117"/>
      <c r="G162" s="117"/>
      <c r="H162" s="116"/>
    </row>
    <row r="163" spans="1:8" ht="15.75" outlineLevel="1" x14ac:dyDescent="0.25">
      <c r="D163" s="118"/>
      <c r="E163" s="117"/>
      <c r="F163" s="117"/>
      <c r="G163" s="117"/>
      <c r="H163" s="116"/>
    </row>
    <row r="164" spans="1:8" ht="15.75" outlineLevel="1" x14ac:dyDescent="0.25">
      <c r="D164" s="118"/>
      <c r="E164" s="117"/>
      <c r="F164" s="117"/>
      <c r="G164" s="117"/>
      <c r="H164" s="116"/>
    </row>
    <row r="165" spans="1:8" ht="15.75" outlineLevel="1" x14ac:dyDescent="0.25">
      <c r="D165" s="118"/>
      <c r="E165" s="117"/>
      <c r="F165" s="117"/>
      <c r="G165" s="117"/>
      <c r="H165" s="116"/>
    </row>
    <row r="166" spans="1:8" ht="15.75" outlineLevel="1" x14ac:dyDescent="0.25">
      <c r="D166" s="118"/>
      <c r="E166" s="117"/>
      <c r="F166" s="117"/>
      <c r="G166" s="117"/>
      <c r="H166" s="116"/>
    </row>
    <row r="167" spans="1:8" ht="15.75" outlineLevel="1" x14ac:dyDescent="0.25">
      <c r="D167" s="118"/>
      <c r="E167" s="117"/>
      <c r="F167" s="117"/>
      <c r="G167" s="117"/>
      <c r="H167" s="116"/>
    </row>
    <row r="168" spans="1:8" ht="15.75" outlineLevel="1" x14ac:dyDescent="0.25">
      <c r="D168" s="118"/>
      <c r="E168" s="117"/>
      <c r="F168" s="117"/>
      <c r="G168" s="117"/>
      <c r="H168" s="116"/>
    </row>
    <row r="169" spans="1:8" ht="15.75" outlineLevel="1" x14ac:dyDescent="0.25">
      <c r="D169" s="118"/>
      <c r="E169" s="117"/>
      <c r="F169" s="117"/>
      <c r="G169" s="117"/>
      <c r="H169" s="116"/>
    </row>
    <row r="170" spans="1:8" ht="15.75" outlineLevel="1" x14ac:dyDescent="0.25">
      <c r="D170" s="118"/>
      <c r="E170" s="117"/>
      <c r="F170" s="117"/>
      <c r="G170" s="117"/>
      <c r="H170" s="116"/>
    </row>
    <row r="171" spans="1:8" ht="15.75" outlineLevel="1" x14ac:dyDescent="0.25">
      <c r="D171" s="118"/>
      <c r="E171" s="117"/>
      <c r="F171" s="117"/>
      <c r="G171" s="117"/>
      <c r="H171" s="116"/>
    </row>
    <row r="172" spans="1:8" ht="15.75" outlineLevel="1" x14ac:dyDescent="0.25">
      <c r="D172" s="118"/>
      <c r="E172" s="117"/>
      <c r="F172" s="117"/>
      <c r="G172" s="117"/>
      <c r="H172" s="116"/>
    </row>
    <row r="173" spans="1:8" ht="15.75" outlineLevel="1" x14ac:dyDescent="0.25">
      <c r="D173" s="118"/>
      <c r="E173" s="117"/>
      <c r="F173" s="117"/>
      <c r="G173" s="117"/>
      <c r="H173" s="116"/>
    </row>
    <row r="174" spans="1:8" ht="15.75" outlineLevel="1" x14ac:dyDescent="0.25">
      <c r="D174" s="118"/>
      <c r="E174" s="117"/>
      <c r="F174" s="117"/>
      <c r="G174" s="117"/>
      <c r="H174" s="116"/>
    </row>
    <row r="175" spans="1:8" ht="16.5" outlineLevel="1" thickBot="1" x14ac:dyDescent="0.3">
      <c r="D175" s="128"/>
      <c r="E175" s="127"/>
      <c r="F175" s="127"/>
      <c r="G175" s="127"/>
      <c r="H175" s="126"/>
    </row>
    <row r="176" spans="1:8" ht="15.6" customHeight="1" thickTop="1" thickBot="1" x14ac:dyDescent="0.3">
      <c r="A176" s="132"/>
      <c r="B176" s="124"/>
      <c r="C176" s="123"/>
      <c r="D176" s="117">
        <f>COUNTA(D177:D209)</f>
        <v>0</v>
      </c>
      <c r="E176" s="117">
        <f>COUNTA(E177:E209)</f>
        <v>0</v>
      </c>
      <c r="F176" s="117">
        <f>COUNTA(F177:F209)</f>
        <v>0</v>
      </c>
      <c r="G176" s="117">
        <f>COUNTA(G177:G209)</f>
        <v>0</v>
      </c>
      <c r="H176" s="117">
        <f>COUNTA(H177:H209)</f>
        <v>0</v>
      </c>
    </row>
    <row r="177" spans="4:8" ht="15.6" customHeight="1" outlineLevel="1" thickTop="1" x14ac:dyDescent="0.25">
      <c r="D177" s="122"/>
      <c r="E177" s="121"/>
      <c r="F177" s="121"/>
      <c r="G177" s="121"/>
      <c r="H177" s="120"/>
    </row>
    <row r="178" spans="4:8" ht="15.6" customHeight="1" outlineLevel="1" x14ac:dyDescent="0.25">
      <c r="D178" s="118"/>
      <c r="E178" s="117"/>
      <c r="F178" s="117"/>
      <c r="G178" s="117"/>
      <c r="H178" s="116"/>
    </row>
    <row r="179" spans="4:8" ht="15.75" outlineLevel="1" x14ac:dyDescent="0.25">
      <c r="D179" s="118"/>
      <c r="E179" s="117"/>
      <c r="F179" s="117"/>
      <c r="G179" s="117"/>
      <c r="H179" s="116"/>
    </row>
    <row r="180" spans="4:8" ht="15.75" outlineLevel="1" x14ac:dyDescent="0.25">
      <c r="D180" s="118"/>
      <c r="E180" s="117"/>
      <c r="F180" s="117"/>
      <c r="G180" s="117"/>
      <c r="H180" s="116"/>
    </row>
    <row r="181" spans="4:8" ht="15.75" outlineLevel="1" x14ac:dyDescent="0.25">
      <c r="D181" s="118"/>
      <c r="E181" s="117"/>
      <c r="F181" s="117"/>
      <c r="G181" s="117"/>
      <c r="H181" s="116"/>
    </row>
    <row r="182" spans="4:8" ht="15.75" outlineLevel="1" x14ac:dyDescent="0.25">
      <c r="D182" s="118"/>
      <c r="F182" s="117"/>
      <c r="G182" s="117"/>
      <c r="H182" s="116"/>
    </row>
    <row r="183" spans="4:8" ht="15.75" outlineLevel="1" x14ac:dyDescent="0.25">
      <c r="D183" s="118"/>
      <c r="E183" s="117"/>
      <c r="F183" s="117"/>
      <c r="G183" s="117"/>
      <c r="H183" s="116"/>
    </row>
    <row r="184" spans="4:8" ht="15.75" outlineLevel="1" x14ac:dyDescent="0.25">
      <c r="D184" s="118"/>
      <c r="E184" s="117"/>
      <c r="F184" s="117"/>
      <c r="G184" s="117"/>
      <c r="H184" s="116"/>
    </row>
    <row r="185" spans="4:8" ht="15.75" outlineLevel="1" x14ac:dyDescent="0.25">
      <c r="D185" s="118"/>
      <c r="E185" s="117"/>
      <c r="F185" s="117"/>
      <c r="G185" s="117"/>
      <c r="H185" s="116"/>
    </row>
    <row r="186" spans="4:8" ht="15.75" outlineLevel="1" x14ac:dyDescent="0.25">
      <c r="D186" s="118"/>
      <c r="E186" s="117"/>
      <c r="F186" s="117"/>
      <c r="G186" s="117"/>
      <c r="H186" s="116"/>
    </row>
    <row r="187" spans="4:8" ht="15.75" outlineLevel="1" x14ac:dyDescent="0.25">
      <c r="D187" s="118"/>
      <c r="E187" s="117"/>
      <c r="F187" s="117"/>
      <c r="G187" s="117"/>
      <c r="H187" s="116"/>
    </row>
    <row r="188" spans="4:8" ht="15.75" outlineLevel="1" x14ac:dyDescent="0.25">
      <c r="D188" s="118"/>
      <c r="E188" s="117"/>
      <c r="F188" s="117"/>
      <c r="G188" s="117"/>
      <c r="H188" s="116"/>
    </row>
    <row r="189" spans="4:8" ht="15.75" outlineLevel="1" x14ac:dyDescent="0.25">
      <c r="D189" s="118"/>
      <c r="E189" s="117"/>
      <c r="F189" s="117"/>
      <c r="G189" s="117"/>
      <c r="H189" s="116"/>
    </row>
    <row r="190" spans="4:8" ht="15.75" outlineLevel="1" x14ac:dyDescent="0.25">
      <c r="D190" s="118"/>
      <c r="E190" s="117"/>
      <c r="F190" s="119"/>
      <c r="G190" s="117"/>
      <c r="H190" s="116"/>
    </row>
    <row r="191" spans="4:8" ht="15.75" outlineLevel="1" x14ac:dyDescent="0.25">
      <c r="D191" s="118"/>
      <c r="E191" s="117"/>
      <c r="F191" s="117"/>
      <c r="G191" s="119"/>
      <c r="H191" s="116"/>
    </row>
    <row r="192" spans="4:8" ht="15.75" outlineLevel="1" x14ac:dyDescent="0.25">
      <c r="D192" s="118"/>
      <c r="E192" s="117"/>
      <c r="F192" s="117"/>
      <c r="G192" s="119"/>
      <c r="H192" s="116"/>
    </row>
    <row r="193" spans="4:8" ht="15.75" outlineLevel="1" x14ac:dyDescent="0.25">
      <c r="D193" s="118"/>
      <c r="E193" s="117"/>
      <c r="F193" s="117"/>
      <c r="G193" s="117"/>
      <c r="H193" s="116"/>
    </row>
    <row r="194" spans="4:8" ht="15.75" outlineLevel="1" x14ac:dyDescent="0.25">
      <c r="D194" s="118"/>
      <c r="E194" s="117"/>
      <c r="F194" s="117"/>
      <c r="G194" s="117"/>
      <c r="H194" s="116"/>
    </row>
    <row r="195" spans="4:8" ht="15.75" outlineLevel="1" x14ac:dyDescent="0.25">
      <c r="D195" s="118"/>
      <c r="E195" s="119"/>
      <c r="F195" s="117"/>
      <c r="G195" s="117"/>
      <c r="H195" s="116"/>
    </row>
    <row r="196" spans="4:8" ht="15.75" outlineLevel="1" x14ac:dyDescent="0.25">
      <c r="D196" s="118"/>
      <c r="E196" s="117"/>
      <c r="F196" s="117"/>
      <c r="G196" s="117"/>
      <c r="H196" s="116"/>
    </row>
    <row r="197" spans="4:8" ht="15.75" outlineLevel="1" x14ac:dyDescent="0.25">
      <c r="D197" s="118"/>
      <c r="E197" s="117"/>
      <c r="F197" s="117"/>
      <c r="G197" s="117"/>
      <c r="H197" s="116"/>
    </row>
    <row r="198" spans="4:8" ht="15.75" outlineLevel="1" x14ac:dyDescent="0.25">
      <c r="D198" s="118"/>
      <c r="E198" s="117"/>
      <c r="F198" s="117"/>
      <c r="G198" s="117"/>
      <c r="H198" s="116"/>
    </row>
    <row r="199" spans="4:8" ht="15.75" outlineLevel="1" x14ac:dyDescent="0.25">
      <c r="D199" s="118"/>
      <c r="E199" s="117"/>
      <c r="F199" s="117"/>
      <c r="G199" s="117"/>
      <c r="H199" s="116"/>
    </row>
    <row r="200" spans="4:8" ht="15.75" outlineLevel="1" x14ac:dyDescent="0.25">
      <c r="D200" s="118"/>
      <c r="E200" s="117"/>
      <c r="F200" s="117"/>
      <c r="G200" s="117"/>
      <c r="H200" s="116"/>
    </row>
    <row r="201" spans="4:8" ht="15.75" outlineLevel="1" x14ac:dyDescent="0.25">
      <c r="D201" s="118"/>
      <c r="E201" s="117"/>
      <c r="F201" s="117"/>
      <c r="G201" s="117"/>
      <c r="H201" s="116"/>
    </row>
    <row r="202" spans="4:8" ht="15.75" outlineLevel="1" x14ac:dyDescent="0.25">
      <c r="D202" s="118"/>
      <c r="E202" s="117"/>
      <c r="F202" s="117"/>
      <c r="G202" s="117"/>
      <c r="H202" s="116"/>
    </row>
    <row r="203" spans="4:8" ht="15.75" outlineLevel="1" x14ac:dyDescent="0.25">
      <c r="D203" s="118"/>
      <c r="E203" s="117"/>
      <c r="F203" s="117"/>
      <c r="G203" s="117"/>
      <c r="H203" s="116"/>
    </row>
    <row r="204" spans="4:8" ht="15.75" outlineLevel="1" x14ac:dyDescent="0.25">
      <c r="D204" s="118"/>
      <c r="E204" s="117"/>
      <c r="F204" s="117"/>
      <c r="G204" s="117"/>
      <c r="H204" s="116"/>
    </row>
    <row r="205" spans="4:8" ht="15.75" outlineLevel="1" x14ac:dyDescent="0.25">
      <c r="D205" s="118"/>
      <c r="E205" s="117"/>
      <c r="F205" s="117"/>
      <c r="G205" s="117"/>
      <c r="H205" s="116"/>
    </row>
    <row r="206" spans="4:8" ht="15.75" outlineLevel="1" x14ac:dyDescent="0.25">
      <c r="D206" s="118"/>
      <c r="E206" s="117"/>
      <c r="F206" s="117"/>
      <c r="G206" s="117"/>
      <c r="H206" s="116"/>
    </row>
    <row r="207" spans="4:8" ht="15.75" outlineLevel="1" x14ac:dyDescent="0.25">
      <c r="D207" s="118"/>
      <c r="E207" s="117"/>
      <c r="F207" s="117"/>
      <c r="G207" s="117"/>
      <c r="H207" s="116"/>
    </row>
    <row r="208" spans="4:8" ht="15.75" outlineLevel="1" x14ac:dyDescent="0.25">
      <c r="D208" s="118"/>
      <c r="E208" s="117"/>
      <c r="F208" s="117"/>
      <c r="G208" s="117"/>
      <c r="H208" s="116"/>
    </row>
    <row r="209" spans="1:8" ht="16.5" outlineLevel="1" thickBot="1" x14ac:dyDescent="0.3">
      <c r="D209" s="128"/>
      <c r="E209" s="127"/>
      <c r="F209" s="127"/>
      <c r="G209" s="127"/>
      <c r="H209" s="126"/>
    </row>
    <row r="210" spans="1:8" ht="15.6" customHeight="1" thickTop="1" thickBot="1" x14ac:dyDescent="0.3">
      <c r="A210" s="132"/>
      <c r="B210" s="124"/>
      <c r="C210" s="123"/>
      <c r="D210" s="117">
        <f>COUNTA(D211:D243)</f>
        <v>0</v>
      </c>
      <c r="E210" s="117">
        <f>COUNTA(E211:E243)</f>
        <v>0</v>
      </c>
      <c r="F210" s="117">
        <f>COUNTA(F211:F243)</f>
        <v>0</v>
      </c>
      <c r="G210" s="117">
        <f>COUNTA(G211:G243)</f>
        <v>0</v>
      </c>
      <c r="H210" s="117">
        <f>COUNTA(H211:H243)</f>
        <v>0</v>
      </c>
    </row>
    <row r="211" spans="1:8" ht="15.6" customHeight="1" outlineLevel="1" thickTop="1" x14ac:dyDescent="0.25">
      <c r="D211" s="122"/>
      <c r="E211" s="121"/>
      <c r="F211" s="121"/>
      <c r="G211" s="121"/>
      <c r="H211" s="120"/>
    </row>
    <row r="212" spans="1:8" ht="15.6" customHeight="1" outlineLevel="1" x14ac:dyDescent="0.25">
      <c r="D212" s="118"/>
      <c r="E212" s="117"/>
      <c r="F212" s="117"/>
      <c r="G212" s="117"/>
      <c r="H212" s="116"/>
    </row>
    <row r="213" spans="1:8" ht="15.75" outlineLevel="1" x14ac:dyDescent="0.25">
      <c r="D213" s="118"/>
      <c r="E213" s="117"/>
      <c r="F213" s="117"/>
      <c r="G213" s="117"/>
      <c r="H213" s="116"/>
    </row>
    <row r="214" spans="1:8" ht="15.75" outlineLevel="1" x14ac:dyDescent="0.25">
      <c r="D214" s="118"/>
      <c r="E214" s="117"/>
      <c r="F214" s="117"/>
      <c r="G214" s="117"/>
      <c r="H214" s="116"/>
    </row>
    <row r="215" spans="1:8" ht="15.75" outlineLevel="1" x14ac:dyDescent="0.25">
      <c r="D215" s="118"/>
      <c r="E215" s="117"/>
      <c r="F215" s="117"/>
      <c r="G215" s="117"/>
      <c r="H215" s="116"/>
    </row>
    <row r="216" spans="1:8" ht="15.75" outlineLevel="1" x14ac:dyDescent="0.25">
      <c r="D216" s="118"/>
      <c r="E216" s="117"/>
      <c r="F216" s="117"/>
      <c r="G216" s="117"/>
      <c r="H216" s="116"/>
    </row>
    <row r="217" spans="1:8" ht="15.75" outlineLevel="1" x14ac:dyDescent="0.25">
      <c r="D217" s="118"/>
      <c r="E217" s="117"/>
      <c r="F217" s="117"/>
      <c r="G217" s="117"/>
      <c r="H217" s="116"/>
    </row>
    <row r="218" spans="1:8" ht="15.75" outlineLevel="1" x14ac:dyDescent="0.25">
      <c r="D218" s="118"/>
      <c r="E218" s="117"/>
      <c r="F218" s="117"/>
      <c r="G218" s="117"/>
      <c r="H218" s="116"/>
    </row>
    <row r="219" spans="1:8" ht="15.75" outlineLevel="1" x14ac:dyDescent="0.25">
      <c r="D219" s="118"/>
      <c r="E219" s="117"/>
      <c r="F219" s="117"/>
      <c r="G219" s="117"/>
      <c r="H219" s="116"/>
    </row>
    <row r="220" spans="1:8" ht="15.75" outlineLevel="1" x14ac:dyDescent="0.25">
      <c r="D220" s="118"/>
      <c r="E220" s="117"/>
      <c r="F220" s="117"/>
      <c r="G220" s="117"/>
      <c r="H220" s="116"/>
    </row>
    <row r="221" spans="1:8" ht="15.75" outlineLevel="1" x14ac:dyDescent="0.25">
      <c r="D221" s="118"/>
      <c r="E221" s="117"/>
      <c r="F221" s="117"/>
      <c r="G221" s="117"/>
      <c r="H221" s="116"/>
    </row>
    <row r="222" spans="1:8" ht="15.75" outlineLevel="1" x14ac:dyDescent="0.25">
      <c r="D222" s="118"/>
      <c r="E222" s="117"/>
      <c r="F222" s="117"/>
      <c r="G222" s="117"/>
      <c r="H222" s="116"/>
    </row>
    <row r="223" spans="1:8" ht="15.75" outlineLevel="1" x14ac:dyDescent="0.25">
      <c r="D223" s="118"/>
      <c r="E223" s="117"/>
      <c r="F223" s="119"/>
      <c r="G223" s="117"/>
      <c r="H223" s="116"/>
    </row>
    <row r="224" spans="1:8" ht="15.75" outlineLevel="1" x14ac:dyDescent="0.25">
      <c r="D224" s="118"/>
      <c r="E224" s="117"/>
      <c r="F224" s="117"/>
      <c r="G224" s="117"/>
      <c r="H224" s="116"/>
    </row>
    <row r="225" spans="4:8" ht="15.75" outlineLevel="1" x14ac:dyDescent="0.25">
      <c r="D225" s="118"/>
      <c r="E225" s="117"/>
      <c r="F225" s="117"/>
      <c r="G225" s="119"/>
      <c r="H225" s="116"/>
    </row>
    <row r="226" spans="4:8" ht="15.75" outlineLevel="1" x14ac:dyDescent="0.25">
      <c r="D226" s="118"/>
      <c r="E226" s="117"/>
      <c r="F226" s="117"/>
      <c r="G226" s="119"/>
      <c r="H226" s="116"/>
    </row>
    <row r="227" spans="4:8" ht="15.75" outlineLevel="1" x14ac:dyDescent="0.25">
      <c r="D227" s="118"/>
      <c r="E227" s="117"/>
      <c r="F227" s="117"/>
      <c r="G227" s="117"/>
      <c r="H227" s="116"/>
    </row>
    <row r="228" spans="4:8" ht="15.75" outlineLevel="1" x14ac:dyDescent="0.25">
      <c r="D228" s="118"/>
      <c r="E228" s="117"/>
      <c r="F228" s="117"/>
      <c r="G228" s="117"/>
      <c r="H228" s="116"/>
    </row>
    <row r="229" spans="4:8" ht="15.75" outlineLevel="1" x14ac:dyDescent="0.25">
      <c r="D229" s="118"/>
      <c r="E229" s="119"/>
      <c r="F229" s="117"/>
      <c r="G229" s="117"/>
      <c r="H229" s="116"/>
    </row>
    <row r="230" spans="4:8" ht="15.75" outlineLevel="1" x14ac:dyDescent="0.25">
      <c r="D230" s="118"/>
      <c r="E230" s="117"/>
      <c r="F230" s="117"/>
      <c r="G230" s="117"/>
      <c r="H230" s="116"/>
    </row>
    <row r="231" spans="4:8" ht="15.75" outlineLevel="1" x14ac:dyDescent="0.25">
      <c r="D231" s="118"/>
      <c r="E231" s="117"/>
      <c r="F231" s="117"/>
      <c r="G231" s="117"/>
      <c r="H231" s="116"/>
    </row>
    <row r="232" spans="4:8" ht="15.75" outlineLevel="1" x14ac:dyDescent="0.25">
      <c r="D232" s="118"/>
      <c r="E232" s="117"/>
      <c r="F232" s="117"/>
      <c r="G232" s="117"/>
      <c r="H232" s="116"/>
    </row>
    <row r="233" spans="4:8" ht="15.75" outlineLevel="1" x14ac:dyDescent="0.25">
      <c r="D233" s="118"/>
      <c r="E233" s="117"/>
      <c r="F233" s="117"/>
      <c r="G233" s="117"/>
      <c r="H233" s="116"/>
    </row>
    <row r="234" spans="4:8" ht="15.75" outlineLevel="1" x14ac:dyDescent="0.25">
      <c r="D234" s="118"/>
      <c r="E234" s="117"/>
      <c r="F234" s="117"/>
      <c r="G234" s="117"/>
      <c r="H234" s="116"/>
    </row>
    <row r="235" spans="4:8" ht="15.75" outlineLevel="1" x14ac:dyDescent="0.25">
      <c r="D235" s="118"/>
      <c r="E235" s="117"/>
      <c r="F235" s="117"/>
      <c r="G235" s="117"/>
      <c r="H235" s="116"/>
    </row>
    <row r="236" spans="4:8" ht="15.75" outlineLevel="1" x14ac:dyDescent="0.25">
      <c r="D236" s="118"/>
      <c r="E236" s="117"/>
      <c r="F236" s="117"/>
      <c r="G236" s="117"/>
      <c r="H236" s="116"/>
    </row>
    <row r="237" spans="4:8" ht="15.75" outlineLevel="1" x14ac:dyDescent="0.25">
      <c r="D237" s="118"/>
      <c r="E237" s="117"/>
      <c r="F237" s="117"/>
      <c r="G237" s="117"/>
      <c r="H237" s="116"/>
    </row>
    <row r="238" spans="4:8" ht="15.75" outlineLevel="1" x14ac:dyDescent="0.25">
      <c r="D238" s="118"/>
      <c r="E238" s="117"/>
      <c r="F238" s="117"/>
      <c r="G238" s="117"/>
      <c r="H238" s="116"/>
    </row>
    <row r="239" spans="4:8" ht="15.75" outlineLevel="1" x14ac:dyDescent="0.25">
      <c r="D239" s="118"/>
      <c r="E239" s="117"/>
      <c r="F239" s="117"/>
      <c r="G239" s="117"/>
      <c r="H239" s="116"/>
    </row>
    <row r="240" spans="4:8" ht="15.75" outlineLevel="1" x14ac:dyDescent="0.25">
      <c r="D240" s="118"/>
      <c r="E240" s="117"/>
      <c r="F240" s="117"/>
      <c r="G240" s="117"/>
      <c r="H240" s="116"/>
    </row>
    <row r="241" spans="1:8" ht="15.75" outlineLevel="1" x14ac:dyDescent="0.25">
      <c r="D241" s="118"/>
      <c r="E241" s="117"/>
      <c r="F241" s="117"/>
      <c r="G241" s="117"/>
      <c r="H241" s="116"/>
    </row>
    <row r="242" spans="1:8" ht="15.75" outlineLevel="1" x14ac:dyDescent="0.25">
      <c r="D242" s="118"/>
      <c r="E242" s="117"/>
      <c r="F242" s="117"/>
      <c r="G242" s="117"/>
      <c r="H242" s="116"/>
    </row>
    <row r="243" spans="1:8" ht="16.5" outlineLevel="1" thickBot="1" x14ac:dyDescent="0.3">
      <c r="D243" s="128"/>
      <c r="E243" s="127"/>
      <c r="F243" s="127"/>
      <c r="G243" s="127"/>
      <c r="H243" s="126"/>
    </row>
    <row r="244" spans="1:8" ht="15.6" customHeight="1" thickTop="1" thickBot="1" x14ac:dyDescent="0.3">
      <c r="A244" s="132"/>
      <c r="B244" s="124"/>
      <c r="C244" s="123"/>
      <c r="D244" s="117">
        <f>COUNTA(D245:D277)</f>
        <v>0</v>
      </c>
      <c r="E244" s="117">
        <f>COUNTA(E245:E277)</f>
        <v>0</v>
      </c>
      <c r="F244" s="117">
        <f>COUNTA(F245:F277)</f>
        <v>0</v>
      </c>
      <c r="G244" s="117">
        <f>COUNTA(G245:G277)</f>
        <v>0</v>
      </c>
      <c r="H244" s="117">
        <f>COUNTA(H245:H277)</f>
        <v>0</v>
      </c>
    </row>
    <row r="245" spans="1:8" ht="15.6" customHeight="1" outlineLevel="1" thickTop="1" x14ac:dyDescent="0.25">
      <c r="D245" s="122"/>
      <c r="E245" s="121"/>
      <c r="F245" s="121"/>
      <c r="G245" s="121"/>
      <c r="H245" s="120"/>
    </row>
    <row r="246" spans="1:8" ht="15.6" customHeight="1" outlineLevel="1" x14ac:dyDescent="0.25">
      <c r="D246" s="118"/>
      <c r="E246" s="117"/>
      <c r="F246" s="117"/>
      <c r="G246" s="117"/>
      <c r="H246" s="116"/>
    </row>
    <row r="247" spans="1:8" ht="15.75" outlineLevel="1" x14ac:dyDescent="0.25">
      <c r="D247" s="118"/>
      <c r="E247" s="117"/>
      <c r="F247" s="117"/>
      <c r="G247" s="117"/>
      <c r="H247" s="116"/>
    </row>
    <row r="248" spans="1:8" ht="15.75" outlineLevel="1" x14ac:dyDescent="0.25">
      <c r="D248" s="118"/>
      <c r="E248" s="117"/>
      <c r="F248" s="117"/>
      <c r="G248" s="117"/>
      <c r="H248" s="116"/>
    </row>
    <row r="249" spans="1:8" ht="15.75" outlineLevel="1" x14ac:dyDescent="0.25">
      <c r="D249" s="118"/>
      <c r="E249" s="117"/>
      <c r="F249" s="117"/>
      <c r="G249" s="117"/>
      <c r="H249" s="116"/>
    </row>
    <row r="250" spans="1:8" ht="15.75" outlineLevel="1" x14ac:dyDescent="0.25">
      <c r="D250" s="118"/>
      <c r="F250" s="117"/>
      <c r="G250" s="117"/>
      <c r="H250" s="116"/>
    </row>
    <row r="251" spans="1:8" ht="15.75" outlineLevel="1" x14ac:dyDescent="0.25">
      <c r="D251" s="118"/>
      <c r="E251" s="117"/>
      <c r="F251" s="117"/>
      <c r="G251" s="117"/>
      <c r="H251" s="116"/>
    </row>
    <row r="252" spans="1:8" ht="15.75" outlineLevel="1" x14ac:dyDescent="0.25">
      <c r="D252" s="118"/>
      <c r="E252" s="117"/>
      <c r="F252" s="117"/>
      <c r="G252" s="117"/>
      <c r="H252" s="116"/>
    </row>
    <row r="253" spans="1:8" ht="15.75" outlineLevel="1" x14ac:dyDescent="0.25">
      <c r="D253" s="118"/>
      <c r="E253" s="117"/>
      <c r="F253" s="117"/>
      <c r="G253" s="117"/>
      <c r="H253" s="116"/>
    </row>
    <row r="254" spans="1:8" ht="15.75" outlineLevel="1" x14ac:dyDescent="0.25">
      <c r="D254" s="118"/>
      <c r="E254" s="117"/>
      <c r="F254" s="117"/>
      <c r="G254" s="117"/>
      <c r="H254" s="116"/>
    </row>
    <row r="255" spans="1:8" ht="15.75" outlineLevel="1" x14ac:dyDescent="0.25">
      <c r="D255" s="118"/>
      <c r="E255" s="117"/>
      <c r="F255" s="117"/>
      <c r="G255" s="117"/>
      <c r="H255" s="116"/>
    </row>
    <row r="256" spans="1:8" ht="15.75" outlineLevel="1" x14ac:dyDescent="0.25">
      <c r="D256" s="118"/>
      <c r="E256" s="117"/>
      <c r="F256" s="119"/>
      <c r="G256" s="117"/>
      <c r="H256" s="116"/>
    </row>
    <row r="257" spans="4:8" ht="15.75" outlineLevel="1" x14ac:dyDescent="0.25">
      <c r="D257" s="118"/>
      <c r="E257" s="117"/>
      <c r="F257" s="117"/>
      <c r="G257" s="117"/>
      <c r="H257" s="116"/>
    </row>
    <row r="258" spans="4:8" ht="15.75" outlineLevel="1" x14ac:dyDescent="0.25">
      <c r="D258" s="118"/>
      <c r="E258" s="117"/>
      <c r="F258" s="117"/>
      <c r="G258" s="117"/>
      <c r="H258" s="116"/>
    </row>
    <row r="259" spans="4:8" ht="15.75" outlineLevel="1" x14ac:dyDescent="0.25">
      <c r="D259" s="118"/>
      <c r="E259" s="117"/>
      <c r="F259" s="117"/>
      <c r="G259" s="119"/>
      <c r="H259" s="116"/>
    </row>
    <row r="260" spans="4:8" ht="15.75" outlineLevel="1" x14ac:dyDescent="0.25">
      <c r="D260" s="118"/>
      <c r="E260" s="117"/>
      <c r="F260" s="117"/>
      <c r="G260" s="119"/>
      <c r="H260" s="116"/>
    </row>
    <row r="261" spans="4:8" ht="15.75" outlineLevel="1" x14ac:dyDescent="0.25">
      <c r="D261" s="118"/>
      <c r="E261" s="117"/>
      <c r="F261" s="117"/>
      <c r="G261" s="117"/>
      <c r="H261" s="116"/>
    </row>
    <row r="262" spans="4:8" ht="15.75" outlineLevel="1" x14ac:dyDescent="0.25">
      <c r="D262" s="118"/>
      <c r="E262" s="117"/>
      <c r="F262" s="117"/>
      <c r="G262" s="117"/>
      <c r="H262" s="116"/>
    </row>
    <row r="263" spans="4:8" ht="15.75" outlineLevel="1" x14ac:dyDescent="0.25">
      <c r="D263" s="118"/>
      <c r="E263" s="119"/>
      <c r="F263" s="117"/>
      <c r="G263" s="117"/>
      <c r="H263" s="116"/>
    </row>
    <row r="264" spans="4:8" ht="15.75" outlineLevel="1" x14ac:dyDescent="0.25">
      <c r="D264" s="118"/>
      <c r="E264" s="117"/>
      <c r="F264" s="117"/>
      <c r="G264" s="117"/>
      <c r="H264" s="116"/>
    </row>
    <row r="265" spans="4:8" ht="15.75" outlineLevel="1" x14ac:dyDescent="0.25">
      <c r="D265" s="118"/>
      <c r="E265" s="117"/>
      <c r="F265" s="117"/>
      <c r="G265" s="117"/>
      <c r="H265" s="116"/>
    </row>
    <row r="266" spans="4:8" ht="15.75" outlineLevel="1" x14ac:dyDescent="0.25">
      <c r="D266" s="118"/>
      <c r="E266" s="117"/>
      <c r="F266" s="117"/>
      <c r="G266" s="117"/>
      <c r="H266" s="116"/>
    </row>
    <row r="267" spans="4:8" ht="15.75" outlineLevel="1" x14ac:dyDescent="0.25">
      <c r="D267" s="118"/>
      <c r="E267" s="117"/>
      <c r="F267" s="117"/>
      <c r="G267" s="117"/>
      <c r="H267" s="116"/>
    </row>
    <row r="268" spans="4:8" ht="15.75" outlineLevel="1" x14ac:dyDescent="0.25">
      <c r="D268" s="118"/>
      <c r="E268" s="117"/>
      <c r="F268" s="117"/>
      <c r="G268" s="117"/>
      <c r="H268" s="116"/>
    </row>
    <row r="269" spans="4:8" ht="15.75" outlineLevel="1" x14ac:dyDescent="0.25">
      <c r="D269" s="118"/>
      <c r="E269" s="117"/>
      <c r="F269" s="117"/>
      <c r="G269" s="117"/>
      <c r="H269" s="116"/>
    </row>
    <row r="270" spans="4:8" ht="15.75" outlineLevel="1" x14ac:dyDescent="0.25">
      <c r="D270" s="118"/>
      <c r="E270" s="117"/>
      <c r="F270" s="117"/>
      <c r="G270" s="117"/>
      <c r="H270" s="116"/>
    </row>
    <row r="271" spans="4:8" ht="15.75" outlineLevel="1" x14ac:dyDescent="0.25">
      <c r="D271" s="118"/>
      <c r="E271" s="117"/>
      <c r="F271" s="117"/>
      <c r="G271" s="117"/>
      <c r="H271" s="116"/>
    </row>
    <row r="272" spans="4:8" ht="15.75" outlineLevel="1" x14ac:dyDescent="0.25">
      <c r="D272" s="118"/>
      <c r="E272" s="117"/>
      <c r="F272" s="117"/>
      <c r="G272" s="117"/>
      <c r="H272" s="116"/>
    </row>
    <row r="273" spans="1:8" ht="15.75" outlineLevel="1" x14ac:dyDescent="0.25">
      <c r="D273" s="118"/>
      <c r="E273" s="117"/>
      <c r="G273" s="117"/>
      <c r="H273" s="116"/>
    </row>
    <row r="274" spans="1:8" ht="15.75" outlineLevel="1" x14ac:dyDescent="0.25">
      <c r="D274" s="118"/>
      <c r="E274" s="117"/>
      <c r="F274" s="117"/>
      <c r="G274" s="117"/>
      <c r="H274" s="116"/>
    </row>
    <row r="275" spans="1:8" ht="15.75" outlineLevel="1" x14ac:dyDescent="0.25">
      <c r="D275" s="118"/>
      <c r="E275" s="117"/>
      <c r="F275" s="117"/>
      <c r="G275" s="117"/>
      <c r="H275" s="116"/>
    </row>
    <row r="276" spans="1:8" ht="15.75" outlineLevel="1" x14ac:dyDescent="0.25">
      <c r="D276" s="118"/>
      <c r="E276" s="117"/>
      <c r="F276" s="117"/>
      <c r="G276" s="117"/>
      <c r="H276" s="116"/>
    </row>
    <row r="277" spans="1:8" ht="16.5" outlineLevel="1" thickBot="1" x14ac:dyDescent="0.3">
      <c r="D277" s="128"/>
      <c r="E277" s="127"/>
      <c r="F277" s="127"/>
      <c r="G277" s="127"/>
      <c r="H277" s="126"/>
    </row>
    <row r="278" spans="1:8" ht="15.6" customHeight="1" thickTop="1" thickBot="1" x14ac:dyDescent="0.3">
      <c r="A278" s="132"/>
      <c r="B278" s="124"/>
      <c r="C278" s="123"/>
      <c r="D278" s="117">
        <f>COUNTA(D279:D311)</f>
        <v>0</v>
      </c>
      <c r="E278" s="117">
        <f>COUNTA(E279:E311)</f>
        <v>0</v>
      </c>
      <c r="F278" s="117">
        <f>COUNTA(F279:F311)</f>
        <v>0</v>
      </c>
      <c r="G278" s="117">
        <f>COUNTA(G279:G311)</f>
        <v>0</v>
      </c>
      <c r="H278" s="117">
        <f>COUNTA(H279:H311)</f>
        <v>0</v>
      </c>
    </row>
    <row r="279" spans="1:8" ht="15.6" customHeight="1" outlineLevel="1" thickTop="1" x14ac:dyDescent="0.25">
      <c r="D279" s="122"/>
      <c r="E279" s="121"/>
      <c r="F279" s="121"/>
      <c r="G279" s="121"/>
      <c r="H279" s="120"/>
    </row>
    <row r="280" spans="1:8" ht="15.6" customHeight="1" outlineLevel="1" x14ac:dyDescent="0.25">
      <c r="D280" s="118"/>
      <c r="E280" s="117"/>
      <c r="F280" s="117"/>
      <c r="G280" s="117"/>
      <c r="H280" s="116"/>
    </row>
    <row r="281" spans="1:8" ht="15.75" outlineLevel="1" x14ac:dyDescent="0.25">
      <c r="D281" s="118"/>
      <c r="E281" s="117"/>
      <c r="F281" s="117"/>
      <c r="G281" s="117"/>
      <c r="H281" s="116"/>
    </row>
    <row r="282" spans="1:8" ht="15.75" outlineLevel="1" x14ac:dyDescent="0.25">
      <c r="D282" s="118"/>
      <c r="E282" s="117"/>
      <c r="F282" s="117"/>
      <c r="G282" s="117"/>
      <c r="H282" s="116"/>
    </row>
    <row r="283" spans="1:8" ht="15.75" outlineLevel="1" x14ac:dyDescent="0.25">
      <c r="D283" s="118"/>
      <c r="E283" s="117"/>
      <c r="F283" s="117"/>
      <c r="G283" s="117"/>
      <c r="H283" s="116"/>
    </row>
    <row r="284" spans="1:8" ht="15.75" outlineLevel="1" x14ac:dyDescent="0.25">
      <c r="D284" s="118"/>
      <c r="F284" s="117"/>
      <c r="G284" s="117"/>
      <c r="H284" s="116"/>
    </row>
    <row r="285" spans="1:8" ht="15.75" outlineLevel="1" x14ac:dyDescent="0.25">
      <c r="D285" s="118"/>
      <c r="E285" s="117"/>
      <c r="F285" s="117"/>
      <c r="G285" s="117"/>
      <c r="H285" s="116"/>
    </row>
    <row r="286" spans="1:8" ht="15.75" outlineLevel="1" x14ac:dyDescent="0.25">
      <c r="D286" s="118"/>
      <c r="E286" s="117"/>
      <c r="F286" s="117"/>
      <c r="G286" s="117"/>
      <c r="H286" s="116"/>
    </row>
    <row r="287" spans="1:8" ht="15.75" outlineLevel="1" x14ac:dyDescent="0.25">
      <c r="D287" s="118"/>
      <c r="E287" s="117"/>
      <c r="F287" s="117"/>
      <c r="G287" s="117"/>
      <c r="H287" s="116"/>
    </row>
    <row r="288" spans="1:8" ht="15.75" outlineLevel="1" x14ac:dyDescent="0.25">
      <c r="D288" s="118"/>
      <c r="E288" s="117"/>
      <c r="F288" s="117"/>
      <c r="G288" s="117"/>
      <c r="H288" s="116"/>
    </row>
    <row r="289" spans="4:8" ht="15.75" outlineLevel="1" x14ac:dyDescent="0.25">
      <c r="D289" s="118"/>
      <c r="E289" s="117"/>
      <c r="F289" s="117"/>
      <c r="G289" s="117"/>
      <c r="H289" s="116"/>
    </row>
    <row r="290" spans="4:8" ht="15.75" outlineLevel="1" x14ac:dyDescent="0.25">
      <c r="D290" s="118"/>
      <c r="E290" s="117"/>
      <c r="F290" s="117"/>
      <c r="G290" s="117"/>
      <c r="H290" s="116"/>
    </row>
    <row r="291" spans="4:8" ht="15.75" outlineLevel="1" x14ac:dyDescent="0.25">
      <c r="D291" s="118"/>
      <c r="E291" s="117"/>
      <c r="F291" s="117"/>
      <c r="G291" s="117"/>
      <c r="H291" s="116"/>
    </row>
    <row r="292" spans="4:8" ht="15.75" outlineLevel="1" x14ac:dyDescent="0.25">
      <c r="D292" s="118"/>
      <c r="E292" s="117"/>
      <c r="F292" s="119"/>
      <c r="G292" s="117"/>
      <c r="H292" s="116"/>
    </row>
    <row r="293" spans="4:8" ht="15.75" outlineLevel="1" x14ac:dyDescent="0.25">
      <c r="D293" s="118"/>
      <c r="E293" s="117"/>
      <c r="F293" s="117"/>
      <c r="G293" s="119"/>
      <c r="H293" s="116"/>
    </row>
    <row r="294" spans="4:8" ht="15.75" outlineLevel="1" x14ac:dyDescent="0.25">
      <c r="D294" s="118"/>
      <c r="E294" s="117"/>
      <c r="F294" s="117"/>
      <c r="G294" s="119"/>
      <c r="H294" s="116"/>
    </row>
    <row r="295" spans="4:8" ht="15.75" outlineLevel="1" x14ac:dyDescent="0.25">
      <c r="D295" s="118"/>
      <c r="E295" s="117"/>
      <c r="F295" s="117"/>
      <c r="G295" s="117"/>
      <c r="H295" s="116"/>
    </row>
    <row r="296" spans="4:8" ht="15.75" outlineLevel="1" x14ac:dyDescent="0.25">
      <c r="D296" s="118"/>
      <c r="E296" s="117"/>
      <c r="F296" s="117"/>
      <c r="G296" s="117"/>
      <c r="H296" s="116"/>
    </row>
    <row r="297" spans="4:8" ht="15.75" outlineLevel="1" x14ac:dyDescent="0.25">
      <c r="D297" s="118"/>
      <c r="E297" s="119"/>
      <c r="F297" s="117"/>
      <c r="G297" s="117"/>
      <c r="H297" s="116"/>
    </row>
    <row r="298" spans="4:8" ht="15.75" outlineLevel="1" x14ac:dyDescent="0.25">
      <c r="D298" s="118"/>
      <c r="E298" s="117"/>
      <c r="F298" s="117"/>
      <c r="G298" s="117"/>
      <c r="H298" s="116"/>
    </row>
    <row r="299" spans="4:8" ht="15.75" outlineLevel="1" x14ac:dyDescent="0.25">
      <c r="D299" s="118"/>
      <c r="E299" s="117"/>
      <c r="F299" s="117"/>
      <c r="G299" s="117"/>
      <c r="H299" s="116"/>
    </row>
    <row r="300" spans="4:8" ht="15.75" outlineLevel="1" x14ac:dyDescent="0.25">
      <c r="D300" s="118"/>
      <c r="E300" s="117"/>
      <c r="F300" s="117"/>
      <c r="G300" s="117"/>
      <c r="H300" s="116"/>
    </row>
    <row r="301" spans="4:8" ht="15.75" outlineLevel="1" x14ac:dyDescent="0.25">
      <c r="D301" s="118"/>
      <c r="E301" s="117"/>
      <c r="F301" s="117"/>
      <c r="G301" s="117"/>
      <c r="H301" s="116"/>
    </row>
    <row r="302" spans="4:8" ht="15.75" outlineLevel="1" x14ac:dyDescent="0.25">
      <c r="D302" s="118"/>
      <c r="E302" s="117"/>
      <c r="F302" s="117"/>
      <c r="G302" s="117"/>
      <c r="H302" s="116"/>
    </row>
    <row r="303" spans="4:8" ht="15.75" outlineLevel="1" x14ac:dyDescent="0.25">
      <c r="D303" s="118"/>
      <c r="E303" s="117"/>
      <c r="F303" s="117"/>
      <c r="G303" s="117"/>
      <c r="H303" s="116"/>
    </row>
    <row r="304" spans="4:8" ht="15.75" outlineLevel="1" x14ac:dyDescent="0.25">
      <c r="D304" s="118"/>
      <c r="E304" s="117"/>
      <c r="F304" s="117"/>
      <c r="G304" s="117"/>
      <c r="H304" s="116"/>
    </row>
    <row r="305" spans="3:8" ht="15.75" outlineLevel="1" x14ac:dyDescent="0.25">
      <c r="D305" s="118"/>
      <c r="E305" s="117"/>
      <c r="F305" s="117"/>
      <c r="G305" s="117"/>
      <c r="H305" s="116"/>
    </row>
    <row r="306" spans="3:8" ht="15.75" outlineLevel="1" x14ac:dyDescent="0.25">
      <c r="D306" s="118"/>
      <c r="E306" s="117"/>
      <c r="F306" s="117"/>
      <c r="G306" s="117"/>
      <c r="H306" s="116"/>
    </row>
    <row r="307" spans="3:8" ht="15.75" outlineLevel="1" x14ac:dyDescent="0.25">
      <c r="D307" s="118"/>
      <c r="E307" s="117"/>
      <c r="F307" s="117"/>
      <c r="G307" s="117"/>
      <c r="H307" s="116"/>
    </row>
    <row r="308" spans="3:8" ht="15.75" outlineLevel="1" x14ac:dyDescent="0.25">
      <c r="D308" s="118"/>
      <c r="E308" s="117"/>
      <c r="F308" s="117"/>
      <c r="G308" s="117"/>
      <c r="H308" s="116"/>
    </row>
    <row r="309" spans="3:8" ht="15.75" outlineLevel="1" x14ac:dyDescent="0.25">
      <c r="D309" s="118"/>
      <c r="E309" s="117"/>
      <c r="F309" s="117"/>
      <c r="G309" s="117"/>
      <c r="H309" s="116"/>
    </row>
    <row r="310" spans="3:8" ht="15.75" outlineLevel="1" x14ac:dyDescent="0.25">
      <c r="D310" s="118"/>
      <c r="E310" s="117"/>
      <c r="F310" s="117"/>
      <c r="G310" s="117"/>
      <c r="H310" s="116"/>
    </row>
    <row r="311" spans="3:8" ht="15.75" outlineLevel="1" x14ac:dyDescent="0.25">
      <c r="D311" s="118"/>
      <c r="E311" s="117"/>
      <c r="F311" s="117"/>
      <c r="G311" s="117"/>
      <c r="H311" s="116"/>
    </row>
    <row r="312" spans="3:8" ht="15" customHeight="1" x14ac:dyDescent="0.25">
      <c r="C312" s="115">
        <f>SUM(D312:H312)</f>
        <v>142</v>
      </c>
      <c r="D312" s="114">
        <f>D278+D244+D210+D176+D142+D98+D52+D9</f>
        <v>10</v>
      </c>
      <c r="E312" s="114">
        <f>E278+E244+E210+E176+E142+E98+E52+E9</f>
        <v>8</v>
      </c>
      <c r="F312" s="114">
        <f>F278+F244+F210+F176+F142+F98+F52+F9</f>
        <v>117</v>
      </c>
      <c r="G312" s="114">
        <f>G278+G244+G210+G176+G142+G98+G52+G9</f>
        <v>0</v>
      </c>
      <c r="H312" s="114">
        <f>H278+H244+H210+H176+H142+H98+H52+H9</f>
        <v>7</v>
      </c>
    </row>
    <row r="313" spans="3:8" ht="15.75" x14ac:dyDescent="0.25">
      <c r="C313" s="113"/>
      <c r="D313" s="112">
        <f>D312/$C$312</f>
        <v>7.0422535211267609E-2</v>
      </c>
      <c r="E313" s="112">
        <f>E312/$C$312</f>
        <v>5.6338028169014086E-2</v>
      </c>
      <c r="F313" s="112">
        <f>F312/$C$312</f>
        <v>0.823943661971831</v>
      </c>
      <c r="G313" s="112">
        <f>G312/$C$312</f>
        <v>0</v>
      </c>
      <c r="H313" s="112">
        <f>H312/$C$312</f>
        <v>4.9295774647887321E-2</v>
      </c>
    </row>
  </sheetData>
  <mergeCells count="12">
    <mergeCell ref="J1:N1"/>
    <mergeCell ref="J3:J8"/>
    <mergeCell ref="K3:K8"/>
    <mergeCell ref="L3:L8"/>
    <mergeCell ref="M3:M8"/>
    <mergeCell ref="N3:N8"/>
    <mergeCell ref="D1:H1"/>
    <mergeCell ref="D3:D8"/>
    <mergeCell ref="E3:E8"/>
    <mergeCell ref="F3:F8"/>
    <mergeCell ref="G3:G8"/>
    <mergeCell ref="H3:H8"/>
  </mergeCells>
  <conditionalFormatting sqref="D134:E139 G134:H139 D140:H140 D141:E141 G141:H141 D124:E125 G124:H125 D99:E99 G99:H99 D100:H123 D126:H133">
    <cfRule type="duplicateValues" dxfId="221" priority="222"/>
  </conditionalFormatting>
  <conditionalFormatting sqref="G12:H42 F12:F41 D43:H51 D10:H11 D12:E14 D16:E42">
    <cfRule type="duplicateValues" dxfId="220" priority="221"/>
  </conditionalFormatting>
  <conditionalFormatting sqref="D143:H175">
    <cfRule type="duplicateValues" dxfId="219" priority="220"/>
  </conditionalFormatting>
  <conditionalFormatting sqref="D177:H209">
    <cfRule type="duplicateValues" dxfId="218" priority="219"/>
  </conditionalFormatting>
  <conditionalFormatting sqref="D211:H243">
    <cfRule type="duplicateValues" dxfId="217" priority="218"/>
  </conditionalFormatting>
  <conditionalFormatting sqref="D279:H311">
    <cfRule type="duplicateValues" dxfId="216" priority="217"/>
  </conditionalFormatting>
  <conditionalFormatting sqref="D245:H277">
    <cfRule type="duplicateValues" dxfId="215" priority="216"/>
  </conditionalFormatting>
  <conditionalFormatting sqref="F42">
    <cfRule type="duplicateValues" dxfId="214" priority="215"/>
  </conditionalFormatting>
  <conditionalFormatting sqref="F15:H15 D10:H14 D16:H51">
    <cfRule type="duplicateValues" dxfId="213" priority="177"/>
    <cfRule type="duplicateValues" dxfId="212" priority="185"/>
    <cfRule type="duplicateValues" dxfId="211" priority="192"/>
    <cfRule type="duplicateValues" dxfId="210" priority="198"/>
    <cfRule type="duplicateValues" dxfId="209" priority="203"/>
    <cfRule type="duplicateValues" dxfId="208" priority="206"/>
    <cfRule type="duplicateValues" dxfId="207" priority="208"/>
    <cfRule type="duplicateValues" dxfId="206" priority="209"/>
    <cfRule type="duplicateValues" dxfId="205" priority="214"/>
  </conditionalFormatting>
  <conditionalFormatting sqref="F42">
    <cfRule type="duplicateValues" dxfId="204" priority="213"/>
  </conditionalFormatting>
  <conditionalFormatting sqref="D90:E97 G90:H97 D53:H89">
    <cfRule type="duplicateValues" dxfId="203" priority="212"/>
  </conditionalFormatting>
  <conditionalFormatting sqref="D90:E97 G90:H97 D53:H89">
    <cfRule type="duplicateValues" dxfId="202" priority="211"/>
  </conditionalFormatting>
  <conditionalFormatting sqref="F88">
    <cfRule type="duplicateValues" dxfId="201" priority="210"/>
  </conditionalFormatting>
  <conditionalFormatting sqref="D90:E97 G90:H97 D53:H89">
    <cfRule type="duplicateValues" dxfId="200" priority="191"/>
    <cfRule type="duplicateValues" dxfId="199" priority="207"/>
  </conditionalFormatting>
  <conditionalFormatting sqref="D90:E97 G90:H97 D53:H89">
    <cfRule type="duplicateValues" dxfId="198" priority="205"/>
  </conditionalFormatting>
  <conditionalFormatting sqref="D134:E139 G134:H139 D140:H140 D141:E141 G141:H141 D124:E125 G124:H125 D99:E99 G99:H99 D100:H123 D126:H133">
    <cfRule type="duplicateValues" dxfId="197" priority="204"/>
  </conditionalFormatting>
  <conditionalFormatting sqref="D90:E97 G90:H97 D53:H89">
    <cfRule type="duplicateValues" dxfId="196" priority="202"/>
  </conditionalFormatting>
  <conditionalFormatting sqref="D124:E125 G124:H125 D99:E99 G99:H99 D100:H123 D126:H133">
    <cfRule type="duplicateValues" dxfId="195" priority="201"/>
  </conditionalFormatting>
  <conditionalFormatting sqref="D143:H175">
    <cfRule type="duplicateValues" dxfId="194" priority="200"/>
  </conditionalFormatting>
  <conditionalFormatting sqref="D177:H209">
    <cfRule type="duplicateValues" dxfId="193" priority="199"/>
  </conditionalFormatting>
  <conditionalFormatting sqref="D90:E97 G90:H97 D53:H89">
    <cfRule type="duplicateValues" dxfId="192" priority="176"/>
    <cfRule type="duplicateValues" dxfId="191" priority="184"/>
    <cfRule type="duplicateValues" dxfId="190" priority="197"/>
  </conditionalFormatting>
  <conditionalFormatting sqref="D124:E125 G124:H125 D99:E99 G99:H99 D100:H123 D126:H133">
    <cfRule type="duplicateValues" dxfId="189" priority="196"/>
  </conditionalFormatting>
  <conditionalFormatting sqref="D143:H175">
    <cfRule type="duplicateValues" dxfId="188" priority="195"/>
  </conditionalFormatting>
  <conditionalFormatting sqref="D177:H209">
    <cfRule type="duplicateValues" dxfId="187" priority="194"/>
  </conditionalFormatting>
  <conditionalFormatting sqref="D211:H243">
    <cfRule type="duplicateValues" dxfId="186" priority="193"/>
  </conditionalFormatting>
  <conditionalFormatting sqref="D124:E125 G124:H125 D99:E99 G99:H99 D100:H123 D126:H133">
    <cfRule type="duplicateValues" dxfId="185" priority="190"/>
  </conditionalFormatting>
  <conditionalFormatting sqref="D143:H175">
    <cfRule type="duplicateValues" dxfId="184" priority="189"/>
  </conditionalFormatting>
  <conditionalFormatting sqref="D177:H209">
    <cfRule type="duplicateValues" dxfId="183" priority="188"/>
  </conditionalFormatting>
  <conditionalFormatting sqref="D211:H243">
    <cfRule type="duplicateValues" dxfId="182" priority="187"/>
  </conditionalFormatting>
  <conditionalFormatting sqref="D245:H277">
    <cfRule type="duplicateValues" dxfId="181" priority="186"/>
  </conditionalFormatting>
  <conditionalFormatting sqref="D124:E125 G124:H125 D99:E99 G99:H99 D100:H123 D126:H133">
    <cfRule type="duplicateValues" dxfId="180" priority="183"/>
  </conditionalFormatting>
  <conditionalFormatting sqref="D143:H175">
    <cfRule type="duplicateValues" dxfId="179" priority="182"/>
  </conditionalFormatting>
  <conditionalFormatting sqref="D177:H209">
    <cfRule type="duplicateValues" dxfId="178" priority="181"/>
  </conditionalFormatting>
  <conditionalFormatting sqref="D211:H243">
    <cfRule type="duplicateValues" dxfId="177" priority="180"/>
  </conditionalFormatting>
  <conditionalFormatting sqref="D245:H277">
    <cfRule type="duplicateValues" dxfId="176" priority="179"/>
  </conditionalFormatting>
  <conditionalFormatting sqref="D279:H311">
    <cfRule type="duplicateValues" dxfId="175" priority="178"/>
  </conditionalFormatting>
  <conditionalFormatting sqref="D124:E125 G124:H125 D99:E99 G99:H99 D100:H123 D126:H133">
    <cfRule type="duplicateValues" dxfId="174" priority="175"/>
  </conditionalFormatting>
  <conditionalFormatting sqref="D143:H175">
    <cfRule type="duplicateValues" dxfId="173" priority="174"/>
  </conditionalFormatting>
  <conditionalFormatting sqref="D177:H209">
    <cfRule type="duplicateValues" dxfId="172" priority="173"/>
  </conditionalFormatting>
  <conditionalFormatting sqref="D211:H243">
    <cfRule type="duplicateValues" dxfId="171" priority="172"/>
  </conditionalFormatting>
  <conditionalFormatting sqref="D245:H277">
    <cfRule type="duplicateValues" dxfId="170" priority="171"/>
  </conditionalFormatting>
  <conditionalFormatting sqref="D279:H311">
    <cfRule type="duplicateValues" dxfId="169" priority="170"/>
  </conditionalFormatting>
  <conditionalFormatting sqref="J10:N11 J43:N51 J12:K30 M12:N42 L12:L41 J37:K42 J31:J36">
    <cfRule type="duplicateValues" dxfId="168" priority="169"/>
  </conditionalFormatting>
  <conditionalFormatting sqref="L42">
    <cfRule type="duplicateValues" dxfId="167" priority="168"/>
  </conditionalFormatting>
  <conditionalFormatting sqref="J10:N30 J37:N51 J31:J36 L31:N36">
    <cfRule type="duplicateValues" dxfId="166" priority="158"/>
    <cfRule type="duplicateValues" dxfId="165" priority="159"/>
    <cfRule type="duplicateValues" dxfId="164" priority="160"/>
    <cfRule type="duplicateValues" dxfId="163" priority="161"/>
    <cfRule type="duplicateValues" dxfId="162" priority="162"/>
    <cfRule type="duplicateValues" dxfId="161" priority="163"/>
    <cfRule type="duplicateValues" dxfId="160" priority="164"/>
    <cfRule type="duplicateValues" dxfId="159" priority="165"/>
    <cfRule type="duplicateValues" dxfId="158" priority="167"/>
  </conditionalFormatting>
  <conditionalFormatting sqref="L42">
    <cfRule type="duplicateValues" dxfId="157" priority="166"/>
  </conditionalFormatting>
  <conditionalFormatting sqref="F79">
    <cfRule type="duplicateValues" dxfId="156" priority="157"/>
  </conditionalFormatting>
  <conditionalFormatting sqref="F33">
    <cfRule type="duplicateValues" dxfId="155" priority="156"/>
  </conditionalFormatting>
  <conditionalFormatting sqref="F33">
    <cfRule type="duplicateValues" dxfId="154" priority="155"/>
  </conditionalFormatting>
  <conditionalFormatting sqref="F42">
    <cfRule type="duplicateValues" dxfId="153" priority="154"/>
  </conditionalFormatting>
  <conditionalFormatting sqref="F90 F92:F95">
    <cfRule type="duplicateValues" dxfId="152" priority="153"/>
  </conditionalFormatting>
  <conditionalFormatting sqref="F91">
    <cfRule type="duplicateValues" dxfId="151" priority="152"/>
  </conditionalFormatting>
  <conditionalFormatting sqref="F90:F95">
    <cfRule type="duplicateValues" dxfId="150" priority="142"/>
    <cfRule type="duplicateValues" dxfId="149" priority="143"/>
    <cfRule type="duplicateValues" dxfId="148" priority="144"/>
    <cfRule type="duplicateValues" dxfId="147" priority="145"/>
    <cfRule type="duplicateValues" dxfId="146" priority="146"/>
    <cfRule type="duplicateValues" dxfId="145" priority="147"/>
    <cfRule type="duplicateValues" dxfId="144" priority="148"/>
    <cfRule type="duplicateValues" dxfId="143" priority="149"/>
    <cfRule type="duplicateValues" dxfId="142" priority="151"/>
  </conditionalFormatting>
  <conditionalFormatting sqref="F91">
    <cfRule type="duplicateValues" dxfId="141" priority="150"/>
  </conditionalFormatting>
  <conditionalFormatting sqref="F91">
    <cfRule type="duplicateValues" dxfId="140" priority="141"/>
  </conditionalFormatting>
  <conditionalFormatting sqref="F134 F136:F139">
    <cfRule type="duplicateValues" dxfId="139" priority="140"/>
  </conditionalFormatting>
  <conditionalFormatting sqref="F135">
    <cfRule type="duplicateValues" dxfId="138" priority="139"/>
  </conditionalFormatting>
  <conditionalFormatting sqref="F134:F139">
    <cfRule type="duplicateValues" dxfId="137" priority="129"/>
    <cfRule type="duplicateValues" dxfId="136" priority="130"/>
    <cfRule type="duplicateValues" dxfId="135" priority="131"/>
    <cfRule type="duplicateValues" dxfId="134" priority="132"/>
    <cfRule type="duplicateValues" dxfId="133" priority="133"/>
    <cfRule type="duplicateValues" dxfId="132" priority="134"/>
    <cfRule type="duplicateValues" dxfId="131" priority="135"/>
    <cfRule type="duplicateValues" dxfId="130" priority="136"/>
    <cfRule type="duplicateValues" dxfId="129" priority="138"/>
  </conditionalFormatting>
  <conditionalFormatting sqref="F135">
    <cfRule type="duplicateValues" dxfId="128" priority="137"/>
  </conditionalFormatting>
  <conditionalFormatting sqref="F135">
    <cfRule type="duplicateValues" dxfId="127" priority="128"/>
  </conditionalFormatting>
  <conditionalFormatting sqref="K31 K33:K36">
    <cfRule type="duplicateValues" dxfId="126" priority="127"/>
  </conditionalFormatting>
  <conditionalFormatting sqref="K32">
    <cfRule type="duplicateValues" dxfId="125" priority="126"/>
  </conditionalFormatting>
  <conditionalFormatting sqref="K31:K36">
    <cfRule type="duplicateValues" dxfId="124" priority="116"/>
    <cfRule type="duplicateValues" dxfId="123" priority="117"/>
    <cfRule type="duplicateValues" dxfId="122" priority="118"/>
    <cfRule type="duplicateValues" dxfId="121" priority="119"/>
    <cfRule type="duplicateValues" dxfId="120" priority="120"/>
    <cfRule type="duplicateValues" dxfId="119" priority="121"/>
    <cfRule type="duplicateValues" dxfId="118" priority="122"/>
    <cfRule type="duplicateValues" dxfId="117" priority="123"/>
    <cfRule type="duplicateValues" dxfId="116" priority="125"/>
  </conditionalFormatting>
  <conditionalFormatting sqref="K32">
    <cfRule type="duplicateValues" dxfId="115" priority="124"/>
  </conditionalFormatting>
  <conditionalFormatting sqref="K32">
    <cfRule type="duplicateValues" dxfId="114" priority="115"/>
  </conditionalFormatting>
  <conditionalFormatting sqref="F96">
    <cfRule type="duplicateValues" dxfId="113" priority="114"/>
  </conditionalFormatting>
  <conditionalFormatting sqref="F96">
    <cfRule type="duplicateValues" dxfId="112" priority="105"/>
    <cfRule type="duplicateValues" dxfId="111" priority="106"/>
    <cfRule type="duplicateValues" dxfId="110" priority="107"/>
    <cfRule type="duplicateValues" dxfId="109" priority="108"/>
    <cfRule type="duplicateValues" dxfId="108" priority="109"/>
    <cfRule type="duplicateValues" dxfId="107" priority="110"/>
    <cfRule type="duplicateValues" dxfId="106" priority="111"/>
    <cfRule type="duplicateValues" dxfId="105" priority="112"/>
    <cfRule type="duplicateValues" dxfId="104" priority="113"/>
  </conditionalFormatting>
  <conditionalFormatting sqref="F141">
    <cfRule type="duplicateValues" dxfId="103" priority="104"/>
  </conditionalFormatting>
  <conditionalFormatting sqref="F141">
    <cfRule type="duplicateValues" dxfId="102" priority="95"/>
    <cfRule type="duplicateValues" dxfId="101" priority="96"/>
    <cfRule type="duplicateValues" dxfId="100" priority="97"/>
    <cfRule type="duplicateValues" dxfId="99" priority="98"/>
    <cfRule type="duplicateValues" dxfId="98" priority="99"/>
    <cfRule type="duplicateValues" dxfId="97" priority="100"/>
    <cfRule type="duplicateValues" dxfId="96" priority="101"/>
    <cfRule type="duplicateValues" dxfId="95" priority="102"/>
    <cfRule type="duplicateValues" dxfId="94" priority="103"/>
  </conditionalFormatting>
  <conditionalFormatting sqref="F124:F125">
    <cfRule type="duplicateValues" dxfId="93" priority="94"/>
  </conditionalFormatting>
  <conditionalFormatting sqref="F124:F125">
    <cfRule type="duplicateValues" dxfId="92" priority="85"/>
    <cfRule type="duplicateValues" dxfId="91" priority="86"/>
    <cfRule type="duplicateValues" dxfId="90" priority="87"/>
    <cfRule type="duplicateValues" dxfId="89" priority="88"/>
    <cfRule type="duplicateValues" dxfId="88" priority="89"/>
    <cfRule type="duplicateValues" dxfId="87" priority="90"/>
    <cfRule type="duplicateValues" dxfId="86" priority="91"/>
    <cfRule type="duplicateValues" dxfId="85" priority="92"/>
    <cfRule type="duplicateValues" dxfId="84" priority="93"/>
  </conditionalFormatting>
  <conditionalFormatting sqref="D15">
    <cfRule type="duplicateValues" dxfId="83" priority="64"/>
    <cfRule type="duplicateValues" dxfId="82" priority="65"/>
    <cfRule type="duplicateValues" dxfId="81" priority="66"/>
    <cfRule type="duplicateValues" dxfId="80" priority="67"/>
    <cfRule type="duplicateValues" dxfId="79" priority="68"/>
    <cfRule type="duplicateValues" dxfId="78" priority="69"/>
    <cfRule type="duplicateValues" dxfId="77" priority="70"/>
    <cfRule type="duplicateValues" dxfId="76" priority="71"/>
    <cfRule type="duplicateValues" dxfId="75" priority="72"/>
    <cfRule type="duplicateValues" dxfId="74" priority="73"/>
    <cfRule type="duplicateValues" dxfId="73" priority="74"/>
    <cfRule type="duplicateValues" dxfId="72" priority="75"/>
    <cfRule type="duplicateValues" dxfId="71" priority="76"/>
    <cfRule type="duplicateValues" dxfId="70" priority="77"/>
    <cfRule type="duplicateValues" dxfId="69" priority="78"/>
    <cfRule type="duplicateValues" dxfId="68" priority="79"/>
    <cfRule type="duplicateValues" dxfId="67" priority="80"/>
    <cfRule type="duplicateValues" dxfId="66" priority="81"/>
    <cfRule type="duplicateValues" dxfId="65" priority="82"/>
    <cfRule type="duplicateValues" dxfId="64" priority="83"/>
    <cfRule type="duplicateValues" dxfId="63" priority="84"/>
  </conditionalFormatting>
  <conditionalFormatting sqref="F97">
    <cfRule type="duplicateValues" dxfId="62" priority="43"/>
    <cfRule type="duplicateValues" dxfId="61" priority="44"/>
    <cfRule type="duplicateValues" dxfId="60" priority="45"/>
    <cfRule type="duplicateValues" dxfId="59" priority="46"/>
    <cfRule type="duplicateValues" dxfId="58" priority="47"/>
    <cfRule type="duplicateValues" dxfId="57" priority="48"/>
    <cfRule type="duplicateValues" dxfId="56" priority="49"/>
    <cfRule type="duplicateValues" dxfId="55" priority="50"/>
    <cfRule type="duplicateValues" dxfId="54" priority="51"/>
    <cfRule type="duplicateValues" dxfId="53" priority="52"/>
    <cfRule type="duplicateValues" dxfId="52" priority="53"/>
    <cfRule type="duplicateValues" dxfId="51" priority="54"/>
    <cfRule type="duplicateValues" dxfId="50" priority="55"/>
    <cfRule type="duplicateValues" dxfId="49" priority="56"/>
    <cfRule type="duplicateValues" dxfId="48" priority="57"/>
    <cfRule type="duplicateValues" dxfId="47" priority="58"/>
    <cfRule type="duplicateValues" dxfId="46" priority="59"/>
    <cfRule type="duplicateValues" dxfId="45" priority="60"/>
    <cfRule type="duplicateValues" dxfId="44" priority="61"/>
    <cfRule type="duplicateValues" dxfId="43" priority="62"/>
    <cfRule type="duplicateValues" dxfId="42" priority="63"/>
  </conditionalFormatting>
  <conditionalFormatting sqref="F99">
    <cfRule type="duplicateValues" dxfId="41" priority="22"/>
    <cfRule type="duplicateValues" dxfId="40" priority="23"/>
    <cfRule type="duplicateValues" dxfId="39" priority="24"/>
    <cfRule type="duplicateValues" dxfId="38" priority="25"/>
    <cfRule type="duplicateValues" dxfId="37" priority="26"/>
    <cfRule type="duplicateValues" dxfId="36" priority="27"/>
    <cfRule type="duplicateValues" dxfId="35" priority="28"/>
    <cfRule type="duplicateValues" dxfId="34" priority="29"/>
    <cfRule type="duplicateValues" dxfId="33" priority="30"/>
    <cfRule type="duplicateValues" dxfId="32" priority="31"/>
    <cfRule type="duplicateValues" dxfId="31" priority="32"/>
    <cfRule type="duplicateValues" dxfId="30" priority="33"/>
    <cfRule type="duplicateValues" dxfId="29" priority="34"/>
    <cfRule type="duplicateValues" dxfId="28" priority="35"/>
    <cfRule type="duplicateValues" dxfId="27" priority="36"/>
    <cfRule type="duplicateValues" dxfId="26" priority="37"/>
    <cfRule type="duplicateValues" dxfId="25" priority="38"/>
    <cfRule type="duplicateValues" dxfId="24" priority="39"/>
    <cfRule type="duplicateValues" dxfId="23" priority="40"/>
    <cfRule type="duplicateValues" dxfId="22" priority="41"/>
    <cfRule type="duplicateValues" dxfId="21" priority="42"/>
  </conditionalFormatting>
  <conditionalFormatting sqref="E15">
    <cfRule type="duplicateValues" dxfId="20" priority="1"/>
    <cfRule type="duplicateValues" dxfId="19" priority="2"/>
    <cfRule type="duplicateValues" dxfId="18" priority="3"/>
    <cfRule type="duplicateValues" dxfId="17" priority="4"/>
    <cfRule type="duplicateValues" dxfId="16" priority="5"/>
    <cfRule type="duplicateValues" dxfId="15" priority="6"/>
    <cfRule type="duplicateValues" dxfId="14" priority="7"/>
    <cfRule type="duplicateValues" dxfId="13" priority="8"/>
    <cfRule type="duplicateValues" dxfId="12" priority="9"/>
    <cfRule type="duplicateValues" dxfId="11" priority="10"/>
    <cfRule type="duplicateValues" dxfId="10" priority="11"/>
    <cfRule type="duplicateValues" dxfId="9" priority="12"/>
    <cfRule type="duplicateValues" dxfId="8" priority="13"/>
    <cfRule type="duplicateValues" dxfId="7" priority="14"/>
    <cfRule type="duplicateValues" dxfId="6" priority="15"/>
    <cfRule type="duplicateValues" dxfId="5" priority="16"/>
    <cfRule type="duplicateValues" dxfId="4" priority="17"/>
    <cfRule type="duplicateValues" dxfId="3" priority="18"/>
    <cfRule type="duplicateValues" dxfId="2" priority="19"/>
    <cfRule type="duplicateValues" dxfId="1" priority="20"/>
    <cfRule type="duplicateValues" dxfId="0" priority="21"/>
  </conditionalFormatting>
  <dataValidations count="1">
    <dataValidation type="list" allowBlank="1" showInputMessage="1" showErrorMessage="1" sqref="F2 J9:N51 L2 D9:H312" xr:uid="{00000000-0002-0000-08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 filterMode="1"/>
  <dimension ref="B1:K90"/>
  <sheetViews>
    <sheetView zoomScale="138" zoomScaleNormal="138" workbookViewId="0"/>
  </sheetViews>
  <sheetFormatPr defaultColWidth="9.140625" defaultRowHeight="12" x14ac:dyDescent="0.2"/>
  <cols>
    <col min="1" max="2" width="9.140625" style="111"/>
    <col min="3" max="3" width="8.7109375" style="111" bestFit="1" customWidth="1"/>
    <col min="4" max="4" width="16.85546875" style="111" bestFit="1" customWidth="1"/>
    <col min="5" max="5" width="21.85546875" style="111" bestFit="1" customWidth="1"/>
    <col min="6" max="7" width="12.7109375" style="111" customWidth="1"/>
    <col min="8" max="11" width="11" style="111" customWidth="1"/>
    <col min="12" max="16384" width="9.140625" style="111"/>
  </cols>
  <sheetData>
    <row r="1" spans="2:11" ht="23.25" customHeight="1" x14ac:dyDescent="0.2">
      <c r="F1" s="206" t="s">
        <v>268</v>
      </c>
      <c r="G1" s="207"/>
      <c r="H1" s="207"/>
      <c r="I1" s="207"/>
      <c r="J1" s="207"/>
      <c r="K1" s="208"/>
    </row>
    <row r="2" spans="2:11" ht="35.25" customHeight="1" x14ac:dyDescent="0.2">
      <c r="B2" s="142" t="s">
        <v>269</v>
      </c>
      <c r="C2" s="142" t="s">
        <v>270</v>
      </c>
      <c r="D2" s="142" t="s">
        <v>271</v>
      </c>
      <c r="E2" s="142" t="s">
        <v>272</v>
      </c>
      <c r="F2" s="142" t="s">
        <v>142</v>
      </c>
      <c r="G2" s="142" t="s">
        <v>266</v>
      </c>
      <c r="H2" s="142" t="s">
        <v>142</v>
      </c>
      <c r="I2" s="142" t="s">
        <v>267</v>
      </c>
      <c r="J2" s="142" t="s">
        <v>140</v>
      </c>
      <c r="K2" s="142" t="s">
        <v>266</v>
      </c>
    </row>
    <row r="3" spans="2:11" x14ac:dyDescent="0.2">
      <c r="B3" s="143">
        <f t="array" ref="B3:B52">'1'!C9:C58</f>
        <v>0</v>
      </c>
      <c r="C3" s="136" t="str">
        <f t="array" ref="C3:C52">'1'!W9:W58</f>
        <v>AAPS</v>
      </c>
      <c r="D3" s="141" t="str">
        <f t="array" ref="D3:D52">'1'!B9:B58</f>
        <v>Aripiprazole</v>
      </c>
      <c r="E3" s="136" t="str">
        <f t="shared" ref="E3:E34" si="0">D3&amp;" ("&amp;C3&amp;")"</f>
        <v>Aripiprazole (AAPS)</v>
      </c>
      <c r="F3" s="135">
        <f t="shared" ref="F3:F34" si="1">H3/$H$3</f>
        <v>1</v>
      </c>
      <c r="G3" s="135">
        <f t="shared" ref="G3:G34" si="2">K3/$K$3</f>
        <v>1</v>
      </c>
      <c r="H3" s="140">
        <f t="array" ref="H3:H52">'1'!AB9:AB58</f>
        <v>1.4482758</v>
      </c>
      <c r="I3" s="140">
        <f t="array" ref="I3:I52">'1'!AC9:AC58</f>
        <v>0.7529247</v>
      </c>
      <c r="J3" s="140">
        <f t="array" ref="J3:J52">'1'!AD9:AD58</f>
        <v>0.56099999999999994</v>
      </c>
      <c r="K3" s="140">
        <f t="shared" ref="K3:K34" si="3">J3+I3</f>
        <v>1.3139246999999998</v>
      </c>
    </row>
    <row r="4" spans="2:11" x14ac:dyDescent="0.2">
      <c r="B4" s="143">
        <v>0</v>
      </c>
      <c r="C4" s="136" t="str">
        <v>AAPS</v>
      </c>
      <c r="D4" s="141" t="str">
        <v>Quetiapine</v>
      </c>
      <c r="E4" s="136" t="str">
        <f t="shared" si="0"/>
        <v>Quetiapine (AAPS)</v>
      </c>
      <c r="F4" s="135">
        <f t="shared" si="1"/>
        <v>0.95987587447087086</v>
      </c>
      <c r="G4" s="135">
        <f t="shared" si="2"/>
        <v>0.89711639933399556</v>
      </c>
      <c r="H4" s="140">
        <v>1.3901650000000001</v>
      </c>
      <c r="I4" s="140">
        <v>0.65777060000000009</v>
      </c>
      <c r="J4" s="140">
        <v>0.52097279586</v>
      </c>
      <c r="K4" s="140">
        <f t="shared" si="3"/>
        <v>1.1787433958600002</v>
      </c>
    </row>
    <row r="5" spans="2:11" x14ac:dyDescent="0.2">
      <c r="B5" s="143" t="str">
        <v>OFF</v>
      </c>
      <c r="C5" s="136" t="str">
        <v>AAPS</v>
      </c>
      <c r="D5" s="141" t="str">
        <v>Olanzapine / Fluoxetine</v>
      </c>
      <c r="E5" s="136" t="str">
        <f t="shared" si="0"/>
        <v>Olanzapine / Fluoxetine (AAPS)</v>
      </c>
      <c r="F5" s="135">
        <f t="shared" si="1"/>
        <v>0.74273332468857101</v>
      </c>
      <c r="G5" s="135">
        <f t="shared" si="2"/>
        <v>0.66379801633990143</v>
      </c>
      <c r="H5" s="140">
        <v>1.0756827</v>
      </c>
      <c r="I5" s="140">
        <v>0.45589129999999994</v>
      </c>
      <c r="J5" s="140">
        <v>0.41628930947999998</v>
      </c>
      <c r="K5" s="140">
        <f t="shared" si="3"/>
        <v>0.87218060947999998</v>
      </c>
    </row>
    <row r="6" spans="2:11" x14ac:dyDescent="0.2">
      <c r="B6" s="143">
        <v>0</v>
      </c>
      <c r="C6" s="136" t="str">
        <v>ATAD</v>
      </c>
      <c r="D6" s="141" t="str">
        <v>Bupropion</v>
      </c>
      <c r="E6" s="136" t="str">
        <f t="shared" si="0"/>
        <v>Bupropion (ATAD)</v>
      </c>
      <c r="F6" s="135">
        <f t="shared" si="1"/>
        <v>0.91462952015078902</v>
      </c>
      <c r="G6" s="135">
        <f t="shared" si="2"/>
        <v>1.171175822419656</v>
      </c>
      <c r="H6" s="140">
        <v>1.3246358</v>
      </c>
      <c r="I6" s="140">
        <v>1.0775680999999999</v>
      </c>
      <c r="J6" s="140">
        <v>0.46126874111999994</v>
      </c>
      <c r="K6" s="140">
        <f t="shared" si="3"/>
        <v>1.5388368411199997</v>
      </c>
    </row>
    <row r="7" spans="2:11" x14ac:dyDescent="0.2">
      <c r="B7" s="143">
        <v>0</v>
      </c>
      <c r="C7" s="136" t="str">
        <v>AAPS</v>
      </c>
      <c r="D7" s="141" t="str">
        <v>Brexpiprazole</v>
      </c>
      <c r="E7" s="136" t="str">
        <f t="shared" si="0"/>
        <v>Brexpiprazole (AAPS)</v>
      </c>
      <c r="F7" s="135">
        <f t="shared" si="1"/>
        <v>1</v>
      </c>
      <c r="G7" s="135">
        <f t="shared" si="2"/>
        <v>1.0266105812608592</v>
      </c>
      <c r="H7" s="140">
        <v>1.4482758</v>
      </c>
      <c r="I7" s="140">
        <v>0.78788900000000006</v>
      </c>
      <c r="J7" s="140">
        <v>0.56099999999999994</v>
      </c>
      <c r="K7" s="140">
        <f t="shared" si="3"/>
        <v>1.348889</v>
      </c>
    </row>
    <row r="8" spans="2:11" x14ac:dyDescent="0.2">
      <c r="B8" s="143">
        <v>0</v>
      </c>
      <c r="C8" s="136" t="str">
        <v>ATAD</v>
      </c>
      <c r="D8" s="141" t="str">
        <v>Trazodone</v>
      </c>
      <c r="E8" s="136" t="str">
        <f t="shared" si="0"/>
        <v>Trazodone (ATAD)</v>
      </c>
      <c r="F8" s="135">
        <f t="shared" si="1"/>
        <v>0.69293749160208296</v>
      </c>
      <c r="G8" s="135">
        <f t="shared" si="2"/>
        <v>1.0258082521776171</v>
      </c>
      <c r="H8" s="140">
        <v>1.0035646</v>
      </c>
      <c r="I8" s="140">
        <v>0.78683479999999995</v>
      </c>
      <c r="J8" s="140">
        <v>0.56099999999999994</v>
      </c>
      <c r="K8" s="140">
        <f t="shared" si="3"/>
        <v>1.3478347999999998</v>
      </c>
    </row>
    <row r="9" spans="2:11" x14ac:dyDescent="0.2">
      <c r="B9" s="143">
        <v>0</v>
      </c>
      <c r="C9" s="136" t="str">
        <v>AAPS</v>
      </c>
      <c r="D9" s="141" t="str">
        <v>Cariprazine</v>
      </c>
      <c r="E9" s="136" t="str">
        <f t="shared" si="0"/>
        <v>Cariprazine (AAPS)</v>
      </c>
      <c r="F9" s="135">
        <f t="shared" si="1"/>
        <v>1.0169670031081097</v>
      </c>
      <c r="G9" s="135">
        <f t="shared" si="2"/>
        <v>1.0232539930636817</v>
      </c>
      <c r="H9" s="140">
        <v>1.4728487000000001</v>
      </c>
      <c r="I9" s="140">
        <v>0.82350590000000001</v>
      </c>
      <c r="J9" s="140">
        <v>0.52097279586</v>
      </c>
      <c r="K9" s="140">
        <f t="shared" si="3"/>
        <v>1.3444786958599999</v>
      </c>
    </row>
    <row r="10" spans="2:11" x14ac:dyDescent="0.2">
      <c r="B10" s="143">
        <v>0</v>
      </c>
      <c r="C10" s="136" t="str">
        <v>KOR</v>
      </c>
      <c r="D10" s="141" t="str">
        <v>ALKS-5461</v>
      </c>
      <c r="E10" s="136" t="str">
        <f t="shared" si="0"/>
        <v>ALKS-5461 (KOR)</v>
      </c>
      <c r="F10" s="135">
        <f t="shared" si="1"/>
        <v>1.2385328816514092</v>
      </c>
      <c r="G10" s="135">
        <f t="shared" si="2"/>
        <v>0.94297603203593039</v>
      </c>
      <c r="H10" s="140">
        <v>1.7937372</v>
      </c>
      <c r="I10" s="140">
        <v>0.91994010000000004</v>
      </c>
      <c r="J10" s="140">
        <v>0.31905939999999999</v>
      </c>
      <c r="K10" s="140">
        <f t="shared" si="3"/>
        <v>1.2389995</v>
      </c>
    </row>
    <row r="11" spans="2:11" x14ac:dyDescent="0.2">
      <c r="B11" s="143">
        <v>0</v>
      </c>
      <c r="C11" s="136" t="str">
        <v>NMDA</v>
      </c>
      <c r="D11" s="141" t="str">
        <v>SPRAVATO</v>
      </c>
      <c r="E11" s="136" t="str">
        <f t="shared" si="0"/>
        <v>SPRAVATO (NMDA)</v>
      </c>
      <c r="F11" s="135">
        <f t="shared" si="1"/>
        <v>1.401424024346744</v>
      </c>
      <c r="G11" s="135">
        <f t="shared" si="2"/>
        <v>0.97343988140264071</v>
      </c>
      <c r="H11" s="140">
        <v>2.0296485</v>
      </c>
      <c r="I11" s="140">
        <v>0.91994010000000004</v>
      </c>
      <c r="J11" s="140">
        <v>0.35908660413999993</v>
      </c>
      <c r="K11" s="140">
        <f t="shared" si="3"/>
        <v>1.2790267041400001</v>
      </c>
    </row>
    <row r="12" spans="2:11" x14ac:dyDescent="0.2">
      <c r="B12" s="143">
        <v>0</v>
      </c>
      <c r="C12" s="136" t="str">
        <v>NMDA</v>
      </c>
      <c r="D12" s="141" t="str">
        <v>Rapastinel</v>
      </c>
      <c r="E12" s="136" t="str">
        <f t="shared" si="0"/>
        <v>Rapastinel (NMDA)</v>
      </c>
      <c r="F12" s="135">
        <f t="shared" si="1"/>
        <v>1</v>
      </c>
      <c r="G12" s="135">
        <f t="shared" si="2"/>
        <v>0.95908171821414123</v>
      </c>
      <c r="H12" s="140">
        <v>1.4482758</v>
      </c>
      <c r="I12" s="140">
        <v>0.73148930000000001</v>
      </c>
      <c r="J12" s="140">
        <v>0.52867185888000001</v>
      </c>
      <c r="K12" s="140">
        <f t="shared" si="3"/>
        <v>1.2601611588799999</v>
      </c>
    </row>
    <row r="13" spans="2:11" x14ac:dyDescent="0.2">
      <c r="B13" s="143">
        <v>0</v>
      </c>
      <c r="C13" s="136" t="str">
        <v>ATAD</v>
      </c>
      <c r="D13" s="141" t="str">
        <v>AXS-05</v>
      </c>
      <c r="E13" s="136" t="str">
        <f t="shared" si="0"/>
        <v>AXS-05 (ATAD)</v>
      </c>
      <c r="F13" s="135">
        <f t="shared" si="1"/>
        <v>1</v>
      </c>
      <c r="G13" s="135">
        <f t="shared" si="2"/>
        <v>1.0312246683695041</v>
      </c>
      <c r="H13" s="140">
        <v>1.4482758</v>
      </c>
      <c r="I13" s="140">
        <v>0.97325250000000008</v>
      </c>
      <c r="J13" s="140">
        <v>0.38169906301999995</v>
      </c>
      <c r="K13" s="140">
        <f t="shared" si="3"/>
        <v>1.35495156302</v>
      </c>
    </row>
    <row r="14" spans="2:11" x14ac:dyDescent="0.2">
      <c r="B14" s="143">
        <v>0</v>
      </c>
      <c r="C14" s="136" t="str">
        <v>NMDA</v>
      </c>
      <c r="D14" s="141" t="str">
        <v>AV-101</v>
      </c>
      <c r="E14" s="136" t="str">
        <f t="shared" si="0"/>
        <v>AV-101 (NMDA)</v>
      </c>
      <c r="F14" s="135">
        <f t="shared" si="1"/>
        <v>1.1818577649367614</v>
      </c>
      <c r="G14" s="135">
        <f t="shared" si="2"/>
        <v>1.100501269212764</v>
      </c>
      <c r="H14" s="140">
        <v>1.7116560000000001</v>
      </c>
      <c r="I14" s="140">
        <v>0.88497580000000009</v>
      </c>
      <c r="J14" s="140">
        <v>0.56099999999999994</v>
      </c>
      <c r="K14" s="140">
        <f t="shared" si="3"/>
        <v>1.4459758</v>
      </c>
    </row>
    <row r="15" spans="2:11" x14ac:dyDescent="0.2">
      <c r="B15" s="143">
        <v>0</v>
      </c>
      <c r="C15" s="136" t="str">
        <v>KOR</v>
      </c>
      <c r="D15" s="141" t="str">
        <v>JNJ-67953964</v>
      </c>
      <c r="E15" s="136" t="str">
        <f t="shared" si="0"/>
        <v>JNJ-67953964 (KOR)</v>
      </c>
      <c r="F15" s="135">
        <f t="shared" si="1"/>
        <v>1.0893285657331289</v>
      </c>
      <c r="G15" s="135">
        <f t="shared" si="2"/>
        <v>1.1724243406033847</v>
      </c>
      <c r="H15" s="140">
        <v>1.5776481999999998</v>
      </c>
      <c r="I15" s="140">
        <v>0.97947730000000011</v>
      </c>
      <c r="J15" s="140">
        <v>0.56099999999999994</v>
      </c>
      <c r="K15" s="140">
        <f t="shared" si="3"/>
        <v>1.5404773</v>
      </c>
    </row>
    <row r="16" spans="2:11" x14ac:dyDescent="0.2">
      <c r="B16" s="143">
        <v>0</v>
      </c>
      <c r="C16" s="136" t="str">
        <v>NMDA</v>
      </c>
      <c r="D16" s="141" t="str">
        <v>REL-1017</v>
      </c>
      <c r="E16" s="136" t="str">
        <f t="shared" si="0"/>
        <v>REL-1017 (NMDA)</v>
      </c>
      <c r="F16" s="135">
        <f t="shared" si="1"/>
        <v>1.0740193269817806</v>
      </c>
      <c r="G16" s="135">
        <f t="shared" si="2"/>
        <v>1.100501269212764</v>
      </c>
      <c r="H16" s="140">
        <v>1.5554762</v>
      </c>
      <c r="I16" s="140">
        <v>0.88497580000000009</v>
      </c>
      <c r="J16" s="140">
        <v>0.56099999999999994</v>
      </c>
      <c r="K16" s="140">
        <f t="shared" si="3"/>
        <v>1.4459758</v>
      </c>
    </row>
    <row r="17" spans="2:11" x14ac:dyDescent="0.2">
      <c r="B17" s="143">
        <v>0</v>
      </c>
      <c r="C17" s="136" t="str">
        <v>OX2</v>
      </c>
      <c r="D17" s="141" t="str">
        <v>Seltorexant</v>
      </c>
      <c r="E17" s="136" t="str">
        <f t="shared" si="0"/>
        <v>Seltorexant (OX2)</v>
      </c>
      <c r="F17" s="135">
        <f t="shared" si="1"/>
        <v>1.2575084110360748</v>
      </c>
      <c r="G17" s="135">
        <f t="shared" si="2"/>
        <v>1.1508951768697249</v>
      </c>
      <c r="H17" s="140">
        <v>1.8212189999999999</v>
      </c>
      <c r="I17" s="140">
        <v>0.95118959999999997</v>
      </c>
      <c r="J17" s="140">
        <v>0.56099999999999994</v>
      </c>
      <c r="K17" s="140">
        <f t="shared" si="3"/>
        <v>1.5121895999999999</v>
      </c>
    </row>
    <row r="18" spans="2:11" x14ac:dyDescent="0.2">
      <c r="B18" s="143">
        <v>0</v>
      </c>
      <c r="C18" s="136" t="str">
        <v>AMPA</v>
      </c>
      <c r="D18" s="141" t="str">
        <v>S-47445</v>
      </c>
      <c r="E18" s="136" t="str">
        <f t="shared" si="0"/>
        <v>S-47445 (AMPA)</v>
      </c>
      <c r="F18" s="135">
        <f t="shared" si="1"/>
        <v>1.0990872042465945</v>
      </c>
      <c r="G18" s="135">
        <f t="shared" si="2"/>
        <v>0.97008961015802508</v>
      </c>
      <c r="H18" s="140">
        <v>1.5917814000000001</v>
      </c>
      <c r="I18" s="140">
        <v>0.82350590000000001</v>
      </c>
      <c r="J18" s="140">
        <v>0.45111879999999999</v>
      </c>
      <c r="K18" s="140">
        <f t="shared" si="3"/>
        <v>1.2746246999999999</v>
      </c>
    </row>
    <row r="19" spans="2:11" hidden="1" x14ac:dyDescent="0.2">
      <c r="B19" s="143" t="str">
        <v>OFF</v>
      </c>
      <c r="C19" s="136" t="str">
        <v>AMPA</v>
      </c>
      <c r="D19" s="141" t="str">
        <v>TAK-653</v>
      </c>
      <c r="E19" s="136" t="str">
        <f t="shared" si="0"/>
        <v>TAK-653 (AMPA)</v>
      </c>
      <c r="F19" s="135">
        <f t="shared" si="1"/>
        <v>1.0990872042465945</v>
      </c>
      <c r="G19" s="135">
        <f t="shared" si="2"/>
        <v>0.92330618337565329</v>
      </c>
      <c r="H19" s="140">
        <v>1.5917814000000001</v>
      </c>
      <c r="I19" s="140">
        <v>0.76203600000000005</v>
      </c>
      <c r="J19" s="140">
        <v>0.45111879999999999</v>
      </c>
      <c r="K19" s="140">
        <f t="shared" si="3"/>
        <v>1.2131548000000001</v>
      </c>
    </row>
    <row r="20" spans="2:11" hidden="1" x14ac:dyDescent="0.2">
      <c r="B20" s="143" t="str">
        <v>OFF</v>
      </c>
      <c r="C20" s="136" t="str">
        <v>IL6</v>
      </c>
      <c r="D20" s="141" t="str">
        <v>Sirukumab</v>
      </c>
      <c r="E20" s="136" t="str">
        <f t="shared" si="0"/>
        <v>Sirukumab (IL6)</v>
      </c>
      <c r="F20" s="135">
        <f t="shared" si="1"/>
        <v>1.1708868573237228</v>
      </c>
      <c r="G20" s="135">
        <f t="shared" si="2"/>
        <v>0.96780196318708378</v>
      </c>
      <c r="H20" s="140">
        <v>1.6957671000000003</v>
      </c>
      <c r="I20" s="140">
        <v>0.85759169999999996</v>
      </c>
      <c r="J20" s="140">
        <v>0.41402720413999994</v>
      </c>
      <c r="K20" s="140">
        <f t="shared" si="3"/>
        <v>1.2716189041399999</v>
      </c>
    </row>
    <row r="21" spans="2:11" x14ac:dyDescent="0.2">
      <c r="B21" s="143">
        <v>0</v>
      </c>
      <c r="C21" s="136" t="str">
        <v>FAAH</v>
      </c>
      <c r="D21" s="141" t="str">
        <v>FAAH in Anxious Distress</v>
      </c>
      <c r="E21" s="136" t="str">
        <f t="shared" si="0"/>
        <v>FAAH in Anxious Distress (FAAH)</v>
      </c>
      <c r="F21" s="135">
        <f t="shared" si="1"/>
        <v>1.0257182368164959</v>
      </c>
      <c r="G21" s="135">
        <f t="shared" si="2"/>
        <v>1.1232530296446974</v>
      </c>
      <c r="H21" s="140">
        <v>1.4855229000000001</v>
      </c>
      <c r="I21" s="140">
        <v>0.91486990000000001</v>
      </c>
      <c r="J21" s="140">
        <v>0.56099999999999994</v>
      </c>
      <c r="K21" s="140">
        <f t="shared" si="3"/>
        <v>1.4758699</v>
      </c>
    </row>
    <row r="22" spans="2:11" x14ac:dyDescent="0.2">
      <c r="B22" s="143">
        <v>0</v>
      </c>
      <c r="C22" s="136" t="str">
        <v>NMDA</v>
      </c>
      <c r="D22" s="141" t="str">
        <v>AGN241751</v>
      </c>
      <c r="E22" s="136" t="str">
        <f t="shared" si="0"/>
        <v>AGN241751 (NMDA)</v>
      </c>
      <c r="F22" s="135">
        <f t="shared" si="1"/>
        <v>1</v>
      </c>
      <c r="G22" s="135">
        <f t="shared" si="2"/>
        <v>1.0816723707682794</v>
      </c>
      <c r="H22" s="140">
        <v>1.4482758</v>
      </c>
      <c r="I22" s="140">
        <v>0.91994010000000004</v>
      </c>
      <c r="J22" s="140">
        <v>0.50129594525999999</v>
      </c>
      <c r="K22" s="140">
        <f t="shared" si="3"/>
        <v>1.4212360452600001</v>
      </c>
    </row>
    <row r="23" spans="2:11" x14ac:dyDescent="0.2">
      <c r="B23" s="143">
        <v>0</v>
      </c>
      <c r="C23" s="136" t="str">
        <v>NMDA</v>
      </c>
      <c r="D23" s="141" t="str">
        <v>Esketamine OTF</v>
      </c>
      <c r="E23" s="136" t="str">
        <f t="shared" si="0"/>
        <v>Esketamine OTF (NMDA)</v>
      </c>
      <c r="F23" s="135">
        <f t="shared" si="1"/>
        <v>1.3937608430659409</v>
      </c>
      <c r="G23" s="135">
        <f t="shared" si="2"/>
        <v>1.100501269212764</v>
      </c>
      <c r="H23" s="140">
        <v>2.0185501000000001</v>
      </c>
      <c r="I23" s="140">
        <v>0.88497580000000009</v>
      </c>
      <c r="J23" s="140">
        <v>0.56099999999999994</v>
      </c>
      <c r="K23" s="140">
        <f t="shared" si="3"/>
        <v>1.4459758</v>
      </c>
    </row>
    <row r="24" spans="2:11" hidden="1" x14ac:dyDescent="0.2">
      <c r="B24" s="143" t="str">
        <v>OFF</v>
      </c>
      <c r="C24" s="136" t="str">
        <v>mGluNAM</v>
      </c>
      <c r="D24" s="141" t="str">
        <v>mGluNAM</v>
      </c>
      <c r="E24" s="136" t="str">
        <f t="shared" si="0"/>
        <v>mGluNAM (mGluNAM)</v>
      </c>
      <c r="F24" s="135">
        <f t="shared" si="1"/>
        <v>1.2482045892087681</v>
      </c>
      <c r="G24" s="135">
        <f t="shared" si="2"/>
        <v>1.1434258751662101</v>
      </c>
      <c r="H24" s="140">
        <v>1.8077445000000001</v>
      </c>
      <c r="I24" s="140">
        <v>0.94137550000000003</v>
      </c>
      <c r="J24" s="140">
        <v>0.56099999999999994</v>
      </c>
      <c r="K24" s="140">
        <f t="shared" si="3"/>
        <v>1.5023754999999999</v>
      </c>
    </row>
    <row r="25" spans="2:11" hidden="1" x14ac:dyDescent="0.2">
      <c r="B25" s="143" t="str">
        <v>OFF</v>
      </c>
      <c r="C25" s="136" t="str">
        <v>NR2B</v>
      </c>
      <c r="D25" s="141" t="str">
        <v>NR2B</v>
      </c>
      <c r="E25" s="136" t="str">
        <f t="shared" si="0"/>
        <v>NR2B (NR2B)</v>
      </c>
      <c r="F25" s="135">
        <f t="shared" si="1"/>
        <v>1.3474283696516922</v>
      </c>
      <c r="G25" s="135">
        <f t="shared" si="2"/>
        <v>1.1434258751662101</v>
      </c>
      <c r="H25" s="140">
        <v>1.9514479000000002</v>
      </c>
      <c r="I25" s="140">
        <v>0.94137550000000003</v>
      </c>
      <c r="J25" s="140">
        <v>0.56099999999999994</v>
      </c>
      <c r="K25" s="140">
        <f t="shared" si="3"/>
        <v>1.5023754999999999</v>
      </c>
    </row>
    <row r="26" spans="2:11" hidden="1" x14ac:dyDescent="0.2">
      <c r="B26" s="143" t="str">
        <v>OFF</v>
      </c>
      <c r="C26" s="136" t="str">
        <v>NR2A</v>
      </c>
      <c r="D26" s="141" t="str">
        <v>NR2A</v>
      </c>
      <c r="E26" s="136" t="str">
        <f t="shared" si="0"/>
        <v>NR2A (NR2A)</v>
      </c>
      <c r="F26" s="135">
        <f t="shared" si="1"/>
        <v>1.2482045892087681</v>
      </c>
      <c r="G26" s="135">
        <f t="shared" si="2"/>
        <v>1.1434258751662101</v>
      </c>
      <c r="H26" s="140">
        <v>1.8077445000000001</v>
      </c>
      <c r="I26" s="140">
        <v>0.94137550000000003</v>
      </c>
      <c r="J26" s="140">
        <v>0.56099999999999994</v>
      </c>
      <c r="K26" s="140">
        <f t="shared" si="3"/>
        <v>1.5023754999999999</v>
      </c>
    </row>
    <row r="27" spans="2:11" hidden="1" x14ac:dyDescent="0.2">
      <c r="B27" s="143" t="str">
        <v>OFF</v>
      </c>
      <c r="C27" s="136" t="str">
        <v>M1,5</v>
      </c>
      <c r="D27" s="141" t="str">
        <v>M1,5</v>
      </c>
      <c r="E27" s="136" t="str">
        <f t="shared" si="0"/>
        <v>M1,5 (M1,5)</v>
      </c>
      <c r="F27" s="135">
        <f t="shared" si="1"/>
        <v>1.2482045892087681</v>
      </c>
      <c r="G27" s="135">
        <f t="shared" si="2"/>
        <v>1.1434258751662101</v>
      </c>
      <c r="H27" s="140">
        <v>1.8077445000000001</v>
      </c>
      <c r="I27" s="140">
        <v>0.94137550000000003</v>
      </c>
      <c r="J27" s="140">
        <v>0.56099999999999994</v>
      </c>
      <c r="K27" s="140">
        <f t="shared" si="3"/>
        <v>1.5023754999999999</v>
      </c>
    </row>
    <row r="28" spans="2:11" hidden="1" x14ac:dyDescent="0.2">
      <c r="B28" s="143" t="str">
        <v>OFF</v>
      </c>
      <c r="C28" s="136" t="str">
        <v>NMDA</v>
      </c>
      <c r="D28" s="141" t="str">
        <v>PRIME</v>
      </c>
      <c r="E28" s="136" t="str">
        <f t="shared" si="0"/>
        <v>PRIME (NMDA)</v>
      </c>
      <c r="F28" s="135">
        <f t="shared" si="1"/>
        <v>1.2482045892087681</v>
      </c>
      <c r="G28" s="135">
        <f t="shared" si="2"/>
        <v>1.1434258751662101</v>
      </c>
      <c r="H28" s="140">
        <v>1.8077445000000001</v>
      </c>
      <c r="I28" s="140">
        <v>0.94137550000000003</v>
      </c>
      <c r="J28" s="140">
        <v>0.56099999999999994</v>
      </c>
      <c r="K28" s="140">
        <f t="shared" si="3"/>
        <v>1.5023754999999999</v>
      </c>
    </row>
    <row r="29" spans="2:11" hidden="1" x14ac:dyDescent="0.2">
      <c r="B29" s="143" t="str">
        <v>OFF</v>
      </c>
      <c r="C29" s="136" t="str">
        <v>NMDA</v>
      </c>
      <c r="D29" s="141" t="str">
        <v>Rapastinel +</v>
      </c>
      <c r="E29" s="136" t="str">
        <f t="shared" si="0"/>
        <v>Rapastinel + (NMDA)</v>
      </c>
      <c r="F29" s="135">
        <f t="shared" si="1"/>
        <v>0.97627012755443399</v>
      </c>
      <c r="G29" s="135">
        <f t="shared" si="2"/>
        <v>1.0979863954608664</v>
      </c>
      <c r="H29" s="140">
        <v>1.4139084</v>
      </c>
      <c r="I29" s="140">
        <v>0.94137550000000003</v>
      </c>
      <c r="J29" s="140">
        <v>0.50129594525999999</v>
      </c>
      <c r="K29" s="140">
        <f t="shared" si="3"/>
        <v>1.44267144526</v>
      </c>
    </row>
    <row r="30" spans="2:11" x14ac:dyDescent="0.2">
      <c r="B30" s="143">
        <v>0</v>
      </c>
      <c r="C30" s="136" t="str">
        <v>OX1</v>
      </c>
      <c r="D30" s="141" t="str">
        <v>Orexin1</v>
      </c>
      <c r="E30" s="136" t="str">
        <f t="shared" si="0"/>
        <v>Orexin1 (OX1)</v>
      </c>
      <c r="F30" s="135">
        <f t="shared" si="1"/>
        <v>1.2075760017532573</v>
      </c>
      <c r="G30" s="135">
        <f t="shared" si="2"/>
        <v>1.1434258751662101</v>
      </c>
      <c r="H30" s="140">
        <v>1.7489031000000002</v>
      </c>
      <c r="I30" s="140">
        <v>0.94137550000000003</v>
      </c>
      <c r="J30" s="140">
        <v>0.56099999999999994</v>
      </c>
      <c r="K30" s="140">
        <f t="shared" si="3"/>
        <v>1.5023754999999999</v>
      </c>
    </row>
    <row r="31" spans="2:11" x14ac:dyDescent="0.2">
      <c r="B31" s="143">
        <v>0</v>
      </c>
      <c r="C31" s="136" t="str">
        <v>P2X7</v>
      </c>
      <c r="D31" s="141" t="str">
        <v>P2X7</v>
      </c>
      <c r="E31" s="136" t="str">
        <f t="shared" si="0"/>
        <v>P2X7 (P2X7)</v>
      </c>
      <c r="F31" s="135">
        <f t="shared" si="1"/>
        <v>1.1906089986451476</v>
      </c>
      <c r="G31" s="135">
        <f t="shared" si="2"/>
        <v>1.1434258751662101</v>
      </c>
      <c r="H31" s="140">
        <v>1.7243302</v>
      </c>
      <c r="I31" s="140">
        <v>0.94137550000000003</v>
      </c>
      <c r="J31" s="140">
        <v>0.56099999999999994</v>
      </c>
      <c r="K31" s="140">
        <f t="shared" si="3"/>
        <v>1.5023754999999999</v>
      </c>
    </row>
    <row r="32" spans="2:11" x14ac:dyDescent="0.2">
      <c r="B32" s="143">
        <v>0</v>
      </c>
      <c r="C32" s="136" t="str">
        <v>AMPA</v>
      </c>
      <c r="D32" s="141" t="str">
        <v>AMPAR</v>
      </c>
      <c r="E32" s="136" t="str">
        <f t="shared" si="0"/>
        <v>AMPAR (AMPA)</v>
      </c>
      <c r="F32" s="135">
        <f t="shared" si="1"/>
        <v>1.2049667611652422</v>
      </c>
      <c r="G32" s="135">
        <f t="shared" si="2"/>
        <v>1.0498590216014663</v>
      </c>
      <c r="H32" s="140">
        <v>1.7451242</v>
      </c>
      <c r="I32" s="140">
        <v>0.81843569999999999</v>
      </c>
      <c r="J32" s="140">
        <v>0.56099999999999994</v>
      </c>
      <c r="K32" s="140">
        <f t="shared" si="3"/>
        <v>1.3794356999999999</v>
      </c>
    </row>
    <row r="33" spans="2:11" x14ac:dyDescent="0.2">
      <c r="B33" s="143">
        <v>0</v>
      </c>
      <c r="C33" s="136" t="str">
        <v>NR2B</v>
      </c>
      <c r="D33" s="141" t="str">
        <v>NR2B C/N</v>
      </c>
      <c r="E33" s="136" t="str">
        <f t="shared" si="0"/>
        <v>NR2B C/N (NR2B)</v>
      </c>
      <c r="F33" s="135">
        <f t="shared" si="1"/>
        <v>1.3474283696516922</v>
      </c>
      <c r="G33" s="135">
        <f t="shared" si="2"/>
        <v>1.0966424483838382</v>
      </c>
      <c r="H33" s="140">
        <v>1.9514479000000002</v>
      </c>
      <c r="I33" s="140">
        <v>0.87990560000000007</v>
      </c>
      <c r="J33" s="140">
        <v>0.56099999999999994</v>
      </c>
      <c r="K33" s="140">
        <f t="shared" si="3"/>
        <v>1.4409056</v>
      </c>
    </row>
    <row r="34" spans="2:11" hidden="1" x14ac:dyDescent="0.2">
      <c r="B34" s="143" t="str">
        <v>OFF</v>
      </c>
      <c r="C34" s="136" t="str">
        <v>AAPS</v>
      </c>
      <c r="D34" s="141" t="str">
        <v>NUPLAZID (Pimavanserin)</v>
      </c>
      <c r="E34" s="136" t="str">
        <f t="shared" si="0"/>
        <v>NUPLAZID (Pimavanserin) (AAPS)</v>
      </c>
      <c r="F34" s="135">
        <f t="shared" si="1"/>
        <v>0</v>
      </c>
      <c r="G34" s="135">
        <f t="shared" si="2"/>
        <v>0</v>
      </c>
      <c r="H34" s="140">
        <v>0</v>
      </c>
      <c r="I34" s="140">
        <v>0</v>
      </c>
      <c r="J34" s="140">
        <v>0</v>
      </c>
      <c r="K34" s="140">
        <f t="shared" si="3"/>
        <v>0</v>
      </c>
    </row>
    <row r="35" spans="2:11" x14ac:dyDescent="0.2">
      <c r="B35" s="143">
        <v>0</v>
      </c>
      <c r="C35" s="136" t="str">
        <v>OPRL1</v>
      </c>
      <c r="D35" s="141" t="str">
        <v>Btrx246040</v>
      </c>
      <c r="E35" s="136" t="str">
        <f t="shared" ref="E35:E52" si="4">D35&amp;" ("&amp;C35&amp;")"</f>
        <v>Btrx246040 (OPRL1)</v>
      </c>
      <c r="F35" s="135">
        <f t="shared" ref="F35:F52" si="5">H35/$H$3</f>
        <v>1</v>
      </c>
      <c r="G35" s="135">
        <f t="shared" ref="G35:G52" si="6">K35/$K$3</f>
        <v>1</v>
      </c>
      <c r="H35" s="140">
        <v>1.4482758</v>
      </c>
      <c r="I35" s="140">
        <v>0.7529247</v>
      </c>
      <c r="J35" s="140">
        <v>0.56099999999999994</v>
      </c>
      <c r="K35" s="140">
        <f t="shared" ref="K35:K52" si="7">J35+I35</f>
        <v>1.3139246999999998</v>
      </c>
    </row>
    <row r="36" spans="2:11" hidden="1" x14ac:dyDescent="0.2">
      <c r="B36" s="143" t="str">
        <v>OFF</v>
      </c>
      <c r="C36" s="136" t="str">
        <v>TRANQ</v>
      </c>
      <c r="D36" s="141" t="str">
        <v>N05C0 Tranquillisers</v>
      </c>
      <c r="E36" s="136" t="str">
        <f t="shared" si="4"/>
        <v>N05C0 Tranquillisers (TRANQ)</v>
      </c>
      <c r="F36" s="135">
        <f t="shared" si="5"/>
        <v>0.75570343714919497</v>
      </c>
      <c r="G36" s="135">
        <f t="shared" si="6"/>
        <v>0.95797323849684857</v>
      </c>
      <c r="H36" s="140">
        <v>1.0944670000000001</v>
      </c>
      <c r="I36" s="140">
        <v>0.69770470000000007</v>
      </c>
      <c r="J36" s="140">
        <v>0.56099999999999994</v>
      </c>
      <c r="K36" s="140">
        <f t="shared" si="7"/>
        <v>1.2587047</v>
      </c>
    </row>
    <row r="37" spans="2:11" x14ac:dyDescent="0.2">
      <c r="B37" s="143">
        <v>0</v>
      </c>
      <c r="C37" s="136" t="str">
        <v>GABAA</v>
      </c>
      <c r="D37" s="141" t="str">
        <v>Sage217</v>
      </c>
      <c r="E37" s="136" t="str">
        <f t="shared" si="4"/>
        <v>Sage217 (GABAA)</v>
      </c>
      <c r="F37" s="135">
        <f t="shared" si="5"/>
        <v>1.2276861907103607</v>
      </c>
      <c r="G37" s="135">
        <f t="shared" si="6"/>
        <v>1.0817993603438614</v>
      </c>
      <c r="H37" s="140">
        <v>1.7780282000000001</v>
      </c>
      <c r="I37" s="140">
        <v>0.86040290000000008</v>
      </c>
      <c r="J37" s="140">
        <v>0.56099999999999994</v>
      </c>
      <c r="K37" s="140">
        <f t="shared" si="7"/>
        <v>1.4214028999999999</v>
      </c>
    </row>
    <row r="38" spans="2:11" hidden="1" x14ac:dyDescent="0.2">
      <c r="B38" s="143">
        <v>0</v>
      </c>
      <c r="C38" s="136" t="str">
        <v>OX2</v>
      </c>
      <c r="D38" s="141" t="str">
        <v>Other OX2</v>
      </c>
      <c r="E38" s="136" t="str">
        <f t="shared" si="4"/>
        <v>Other OX2 (OX2)</v>
      </c>
      <c r="F38" s="135">
        <f t="shared" si="5"/>
        <v>1.2575084110360748</v>
      </c>
      <c r="G38" s="135">
        <f t="shared" si="6"/>
        <v>1.1508951768697249</v>
      </c>
      <c r="H38" s="140">
        <v>1.8212189999999999</v>
      </c>
      <c r="I38" s="140">
        <v>0.95118959999999997</v>
      </c>
      <c r="J38" s="140">
        <v>0.56099999999999994</v>
      </c>
      <c r="K38" s="140">
        <f t="shared" si="7"/>
        <v>1.5121895999999999</v>
      </c>
    </row>
    <row r="39" spans="2:11" hidden="1" x14ac:dyDescent="0.2">
      <c r="B39" s="143">
        <v>0</v>
      </c>
      <c r="C39" s="136" t="str">
        <v>OX1</v>
      </c>
      <c r="D39" s="141" t="str">
        <v>Other OX1</v>
      </c>
      <c r="E39" s="136" t="str">
        <f t="shared" si="4"/>
        <v>Other OX1 (OX1)</v>
      </c>
      <c r="F39" s="135">
        <f t="shared" si="5"/>
        <v>1.2075760017532573</v>
      </c>
      <c r="G39" s="135">
        <f t="shared" si="6"/>
        <v>1.1434258751662101</v>
      </c>
      <c r="H39" s="140">
        <v>1.7489031000000002</v>
      </c>
      <c r="I39" s="140">
        <v>0.94137550000000003</v>
      </c>
      <c r="J39" s="140">
        <v>0.56099999999999994</v>
      </c>
      <c r="K39" s="140">
        <f t="shared" si="7"/>
        <v>1.5023754999999999</v>
      </c>
    </row>
    <row r="40" spans="2:11" hidden="1" x14ac:dyDescent="0.2">
      <c r="B40" s="143">
        <v>0</v>
      </c>
      <c r="C40" s="136" t="str">
        <v>P2X7</v>
      </c>
      <c r="D40" s="141" t="str">
        <v>Other P2X7</v>
      </c>
      <c r="E40" s="136" t="str">
        <f t="shared" si="4"/>
        <v>Other P2X7 (P2X7)</v>
      </c>
      <c r="F40" s="135">
        <f t="shared" si="5"/>
        <v>1.1906089986451476</v>
      </c>
      <c r="G40" s="135">
        <f t="shared" si="6"/>
        <v>1.1434258751662101</v>
      </c>
      <c r="H40" s="140">
        <v>1.7243302</v>
      </c>
      <c r="I40" s="140">
        <v>0.94137550000000003</v>
      </c>
      <c r="J40" s="140">
        <v>0.56099999999999994</v>
      </c>
      <c r="K40" s="140">
        <f t="shared" si="7"/>
        <v>1.5023754999999999</v>
      </c>
    </row>
    <row r="41" spans="2:11" hidden="1" x14ac:dyDescent="0.2">
      <c r="B41" s="143">
        <v>0</v>
      </c>
      <c r="C41" s="136" t="str">
        <v>AMPA</v>
      </c>
      <c r="D41" s="141" t="str">
        <v>Other AMPA</v>
      </c>
      <c r="E41" s="136" t="str">
        <f t="shared" si="4"/>
        <v>Other AMPA (AMPA)</v>
      </c>
      <c r="F41" s="135">
        <f t="shared" si="5"/>
        <v>1.2049667611652422</v>
      </c>
      <c r="G41" s="135">
        <f t="shared" si="6"/>
        <v>1.0498590216014663</v>
      </c>
      <c r="H41" s="140">
        <v>1.7451242</v>
      </c>
      <c r="I41" s="140">
        <v>0.81843569999999999</v>
      </c>
      <c r="J41" s="140">
        <v>0.56099999999999994</v>
      </c>
      <c r="K41" s="140">
        <f t="shared" si="7"/>
        <v>1.3794356999999999</v>
      </c>
    </row>
    <row r="42" spans="2:11" hidden="1" x14ac:dyDescent="0.2">
      <c r="B42" s="143" t="str">
        <v>OFF</v>
      </c>
      <c r="C42" s="136" t="str">
        <v>mGluNAM</v>
      </c>
      <c r="D42" s="141" t="str">
        <v>Other mGluNAM</v>
      </c>
      <c r="E42" s="136" t="str">
        <f t="shared" si="4"/>
        <v>Other mGluNAM (mGluNAM)</v>
      </c>
      <c r="F42" s="135">
        <f t="shared" si="5"/>
        <v>1.2482045892087681</v>
      </c>
      <c r="G42" s="135">
        <f t="shared" si="6"/>
        <v>1.1434258751662101</v>
      </c>
      <c r="H42" s="140">
        <v>1.8077445000000001</v>
      </c>
      <c r="I42" s="140">
        <v>0.94137550000000003</v>
      </c>
      <c r="J42" s="140">
        <v>0.56099999999999994</v>
      </c>
      <c r="K42" s="140">
        <f t="shared" si="7"/>
        <v>1.5023754999999999</v>
      </c>
    </row>
    <row r="43" spans="2:11" hidden="1" x14ac:dyDescent="0.2">
      <c r="B43" s="143">
        <v>0</v>
      </c>
      <c r="C43" s="136" t="str">
        <v>FAAH</v>
      </c>
      <c r="D43" s="141" t="str">
        <v>Other FAAH</v>
      </c>
      <c r="E43" s="136" t="str">
        <f t="shared" si="4"/>
        <v>Other FAAH (FAAH)</v>
      </c>
      <c r="F43" s="135">
        <f t="shared" si="5"/>
        <v>1.0257182368164959</v>
      </c>
      <c r="G43" s="135">
        <f t="shared" si="6"/>
        <v>1.1232530296446974</v>
      </c>
      <c r="H43" s="140">
        <v>1.4855229000000001</v>
      </c>
      <c r="I43" s="140">
        <v>0.91486990000000001</v>
      </c>
      <c r="J43" s="140">
        <v>0.56099999999999994</v>
      </c>
      <c r="K43" s="140">
        <f t="shared" si="7"/>
        <v>1.4758699</v>
      </c>
    </row>
    <row r="44" spans="2:11" hidden="1" x14ac:dyDescent="0.2">
      <c r="B44" s="143">
        <v>0</v>
      </c>
      <c r="C44" s="136" t="str">
        <v>KOR</v>
      </c>
      <c r="D44" s="141" t="str">
        <v>Other KOR</v>
      </c>
      <c r="E44" s="136" t="str">
        <f t="shared" si="4"/>
        <v>Other KOR (KOR)</v>
      </c>
      <c r="F44" s="135">
        <f t="shared" si="5"/>
        <v>1.0893285657331289</v>
      </c>
      <c r="G44" s="135">
        <f t="shared" si="6"/>
        <v>1.1724243406033847</v>
      </c>
      <c r="H44" s="140">
        <v>1.5776481999999998</v>
      </c>
      <c r="I44" s="140">
        <v>0.97947730000000011</v>
      </c>
      <c r="J44" s="140">
        <v>0.56099999999999994</v>
      </c>
      <c r="K44" s="140">
        <f t="shared" si="7"/>
        <v>1.5404773</v>
      </c>
    </row>
    <row r="45" spans="2:11" hidden="1" x14ac:dyDescent="0.2">
      <c r="B45" s="143">
        <v>0</v>
      </c>
      <c r="C45" s="136" t="str">
        <v>NME1</v>
      </c>
      <c r="D45" s="141" t="str">
        <v>NME1</v>
      </c>
      <c r="E45" s="136" t="str">
        <f t="shared" si="4"/>
        <v>NME1 (NME1)</v>
      </c>
      <c r="F45" s="135">
        <f t="shared" si="5"/>
        <v>1.6072156974521015</v>
      </c>
      <c r="G45" s="135">
        <f t="shared" si="6"/>
        <v>1.0966424483838382</v>
      </c>
      <c r="H45" s="140">
        <v>2.3276916000000001</v>
      </c>
      <c r="I45" s="140">
        <v>0.87990560000000007</v>
      </c>
      <c r="J45" s="140">
        <v>0.56099999999999994</v>
      </c>
      <c r="K45" s="140">
        <f t="shared" si="7"/>
        <v>1.4409056</v>
      </c>
    </row>
    <row r="46" spans="2:11" hidden="1" x14ac:dyDescent="0.2">
      <c r="B46" s="143">
        <v>0</v>
      </c>
      <c r="C46" s="136" t="str">
        <v>NME2</v>
      </c>
      <c r="D46" s="141" t="str">
        <v>NME2</v>
      </c>
      <c r="E46" s="136" t="str">
        <f t="shared" si="4"/>
        <v>NME2 (NME2)</v>
      </c>
      <c r="F46" s="135">
        <f t="shared" si="5"/>
        <v>1.6072156974521015</v>
      </c>
      <c r="G46" s="135">
        <f t="shared" si="6"/>
        <v>1.0966424483838382</v>
      </c>
      <c r="H46" s="140">
        <v>2.3276916000000001</v>
      </c>
      <c r="I46" s="140">
        <v>0.87990560000000007</v>
      </c>
      <c r="J46" s="140">
        <v>0.56099999999999994</v>
      </c>
      <c r="K46" s="140">
        <f t="shared" si="7"/>
        <v>1.4409056</v>
      </c>
    </row>
    <row r="47" spans="2:11" hidden="1" x14ac:dyDescent="0.2">
      <c r="B47" s="143">
        <v>0</v>
      </c>
      <c r="C47" s="136" t="str">
        <v>NME3</v>
      </c>
      <c r="D47" s="141" t="str">
        <v>NME3</v>
      </c>
      <c r="E47" s="136" t="str">
        <f t="shared" si="4"/>
        <v>NME3 (NME3)</v>
      </c>
      <c r="F47" s="135">
        <f t="shared" si="5"/>
        <v>1.6072156974521015</v>
      </c>
      <c r="G47" s="135">
        <f t="shared" si="6"/>
        <v>1.0966424483838382</v>
      </c>
      <c r="H47" s="140">
        <v>2.3276916000000001</v>
      </c>
      <c r="I47" s="140">
        <v>0.87990560000000007</v>
      </c>
      <c r="J47" s="140">
        <v>0.56099999999999994</v>
      </c>
      <c r="K47" s="140">
        <f t="shared" si="7"/>
        <v>1.4409056</v>
      </c>
    </row>
    <row r="48" spans="2:11" hidden="1" x14ac:dyDescent="0.2">
      <c r="B48" s="143">
        <v>0</v>
      </c>
      <c r="C48" s="136" t="str">
        <v>NME1</v>
      </c>
      <c r="D48" s="141" t="str">
        <v>NME1 FO</v>
      </c>
      <c r="E48" s="136" t="str">
        <f t="shared" si="4"/>
        <v>NME1 FO (NME1)</v>
      </c>
      <c r="F48" s="135">
        <f t="shared" si="5"/>
        <v>1.6072156974521015</v>
      </c>
      <c r="G48" s="135">
        <f t="shared" si="6"/>
        <v>1.0966424483838382</v>
      </c>
      <c r="H48" s="140">
        <v>2.3276916000000001</v>
      </c>
      <c r="I48" s="140">
        <v>0.87990560000000007</v>
      </c>
      <c r="J48" s="140">
        <v>0.56099999999999994</v>
      </c>
      <c r="K48" s="140">
        <f t="shared" si="7"/>
        <v>1.4409056</v>
      </c>
    </row>
    <row r="49" spans="2:11" hidden="1" x14ac:dyDescent="0.2">
      <c r="B49" s="143">
        <v>0</v>
      </c>
      <c r="C49" s="136" t="str">
        <v>NME2</v>
      </c>
      <c r="D49" s="141" t="str">
        <v>NME2 FO</v>
      </c>
      <c r="E49" s="136" t="str">
        <f t="shared" si="4"/>
        <v>NME2 FO (NME2)</v>
      </c>
      <c r="F49" s="135">
        <f t="shared" si="5"/>
        <v>1.6072156974521015</v>
      </c>
      <c r="G49" s="135">
        <f t="shared" si="6"/>
        <v>1.0966424483838382</v>
      </c>
      <c r="H49" s="140">
        <v>2.3276916000000001</v>
      </c>
      <c r="I49" s="140">
        <v>0.87990560000000007</v>
      </c>
      <c r="J49" s="140">
        <v>0.56099999999999994</v>
      </c>
      <c r="K49" s="140">
        <f t="shared" si="7"/>
        <v>1.4409056</v>
      </c>
    </row>
    <row r="50" spans="2:11" ht="12" hidden="1" customHeight="1" x14ac:dyDescent="0.2">
      <c r="B50" s="143">
        <v>0</v>
      </c>
      <c r="C50" s="136" t="str">
        <v>NME3</v>
      </c>
      <c r="D50" s="141" t="str">
        <v>NME3 FO</v>
      </c>
      <c r="E50" s="136" t="str">
        <f t="shared" si="4"/>
        <v>NME3 FO (NME3)</v>
      </c>
      <c r="F50" s="135">
        <f t="shared" si="5"/>
        <v>1.6072156974521015</v>
      </c>
      <c r="G50" s="135">
        <f t="shared" si="6"/>
        <v>1.0966424483838382</v>
      </c>
      <c r="H50" s="140">
        <v>2.3276916000000001</v>
      </c>
      <c r="I50" s="140">
        <v>0.87990560000000007</v>
      </c>
      <c r="J50" s="140">
        <v>0.56099999999999994</v>
      </c>
      <c r="K50" s="140">
        <f t="shared" si="7"/>
        <v>1.4409056</v>
      </c>
    </row>
    <row r="51" spans="2:11" ht="12" customHeight="1" x14ac:dyDescent="0.2">
      <c r="B51" s="143">
        <v>0</v>
      </c>
      <c r="C51" s="136" t="str">
        <v>NMDA</v>
      </c>
      <c r="D51" s="141" t="str">
        <v>Sunflower</v>
      </c>
      <c r="E51" s="136" t="str">
        <f t="shared" si="4"/>
        <v>Sunflower (NMDA)</v>
      </c>
      <c r="F51" s="135">
        <f t="shared" si="5"/>
        <v>1.4786478514658605</v>
      </c>
      <c r="G51" s="135">
        <f t="shared" si="6"/>
        <v>1.0816723707682794</v>
      </c>
      <c r="H51" s="140">
        <v>2.1414899000000003</v>
      </c>
      <c r="I51" s="140">
        <v>0.91994010000000004</v>
      </c>
      <c r="J51" s="140">
        <v>0.50129594525999999</v>
      </c>
      <c r="K51" s="140">
        <f t="shared" si="7"/>
        <v>1.4212360452600001</v>
      </c>
    </row>
    <row r="52" spans="2:11" ht="12" hidden="1" customHeight="1" x14ac:dyDescent="0.2">
      <c r="B52" s="143" t="str">
        <v>OFF</v>
      </c>
      <c r="C52" s="136" t="str">
        <v>PLH</v>
      </c>
      <c r="D52" s="141" t="str">
        <v>PLH20</v>
      </c>
      <c r="E52" s="136" t="str">
        <f t="shared" si="4"/>
        <v>PLH20 (PLH)</v>
      </c>
      <c r="F52" s="135">
        <f t="shared" si="5"/>
        <v>0</v>
      </c>
      <c r="G52" s="135">
        <f t="shared" si="6"/>
        <v>0</v>
      </c>
      <c r="H52" s="140">
        <v>0</v>
      </c>
      <c r="I52" s="140">
        <v>0</v>
      </c>
      <c r="J52" s="140">
        <v>0</v>
      </c>
      <c r="K52" s="140">
        <f t="shared" si="7"/>
        <v>0</v>
      </c>
    </row>
    <row r="53" spans="2:11" ht="12" customHeight="1" x14ac:dyDescent="0.2"/>
    <row r="55" spans="2:11" x14ac:dyDescent="0.2">
      <c r="F55" s="139">
        <f>MIN(F3:F35)</f>
        <v>0</v>
      </c>
      <c r="G55" s="139">
        <f>MIN(G3:G35)</f>
        <v>0</v>
      </c>
    </row>
    <row r="56" spans="2:11" x14ac:dyDescent="0.2">
      <c r="F56" s="139">
        <f>MAX(F3:F28)</f>
        <v>1.401424024346744</v>
      </c>
      <c r="G56" s="139">
        <f>MAX(G3:G28)</f>
        <v>1.1724243406033847</v>
      </c>
    </row>
    <row r="57" spans="2:11" x14ac:dyDescent="0.2">
      <c r="F57" s="139">
        <f>ROUND((F55-5%)*100,0)/100</f>
        <v>-0.05</v>
      </c>
      <c r="G57" s="139">
        <f>ROUND((G55-5%)*100,0)/100</f>
        <v>-0.05</v>
      </c>
    </row>
    <row r="58" spans="2:11" x14ac:dyDescent="0.2">
      <c r="F58" s="139">
        <f>ROUND((F56+5%)*100,0)/100</f>
        <v>1.45</v>
      </c>
      <c r="G58" s="139">
        <f>ROUND((G56+5%)*100,0)/100</f>
        <v>1.22</v>
      </c>
    </row>
    <row r="59" spans="2:11" x14ac:dyDescent="0.2">
      <c r="E59" s="137"/>
      <c r="F59" s="138">
        <f>(F58-F57)/10</f>
        <v>0.15</v>
      </c>
      <c r="G59" s="138">
        <f>(G58-G57)/10</f>
        <v>0.127</v>
      </c>
    </row>
    <row r="60" spans="2:11" x14ac:dyDescent="0.2">
      <c r="E60" s="137"/>
    </row>
    <row r="61" spans="2:11" x14ac:dyDescent="0.2">
      <c r="E61" s="136" t="s">
        <v>265</v>
      </c>
      <c r="F61" s="135">
        <v>1</v>
      </c>
      <c r="G61" s="135">
        <v>1</v>
      </c>
    </row>
    <row r="62" spans="2:11" x14ac:dyDescent="0.2">
      <c r="E62" s="136" t="s">
        <v>264</v>
      </c>
      <c r="F62" s="135">
        <v>0.95987587447087086</v>
      </c>
      <c r="G62" s="135">
        <v>0.89711639933399556</v>
      </c>
    </row>
    <row r="63" spans="2:11" x14ac:dyDescent="0.2">
      <c r="E63" s="136" t="s">
        <v>263</v>
      </c>
      <c r="F63" s="135">
        <v>0.74273332468857101</v>
      </c>
      <c r="G63" s="135">
        <v>0.66379801633990143</v>
      </c>
    </row>
    <row r="64" spans="2:11" x14ac:dyDescent="0.2">
      <c r="E64" s="136" t="s">
        <v>262</v>
      </c>
      <c r="F64" s="135">
        <v>0.91462952015078902</v>
      </c>
      <c r="G64" s="135">
        <v>1.171175822419656</v>
      </c>
    </row>
    <row r="65" spans="5:7" x14ac:dyDescent="0.2">
      <c r="E65" s="136" t="s">
        <v>261</v>
      </c>
      <c r="F65" s="135">
        <v>1</v>
      </c>
      <c r="G65" s="135">
        <v>1.0266105812608592</v>
      </c>
    </row>
    <row r="66" spans="5:7" x14ac:dyDescent="0.2">
      <c r="E66" s="136" t="s">
        <v>260</v>
      </c>
      <c r="F66" s="135">
        <v>0.69293749160208296</v>
      </c>
      <c r="G66" s="135">
        <v>1.0258082521776171</v>
      </c>
    </row>
    <row r="67" spans="5:7" x14ac:dyDescent="0.2">
      <c r="E67" s="136" t="s">
        <v>259</v>
      </c>
      <c r="F67" s="135">
        <v>1.0169670031081097</v>
      </c>
      <c r="G67" s="135">
        <v>1.0232539930636817</v>
      </c>
    </row>
    <row r="68" spans="5:7" x14ac:dyDescent="0.2">
      <c r="E68" s="136" t="s">
        <v>258</v>
      </c>
      <c r="F68" s="135">
        <v>1.2385328816514092</v>
      </c>
      <c r="G68" s="135">
        <v>0.94297603203593039</v>
      </c>
    </row>
    <row r="69" spans="5:7" x14ac:dyDescent="0.2">
      <c r="E69" s="136" t="s">
        <v>281</v>
      </c>
      <c r="F69" s="135">
        <v>1.401424024346744</v>
      </c>
      <c r="G69" s="135">
        <v>0.97343988140264071</v>
      </c>
    </row>
    <row r="70" spans="5:7" x14ac:dyDescent="0.2">
      <c r="E70" s="136" t="s">
        <v>257</v>
      </c>
      <c r="F70" s="135">
        <v>1</v>
      </c>
      <c r="G70" s="135">
        <v>0.95908171821414123</v>
      </c>
    </row>
    <row r="71" spans="5:7" x14ac:dyDescent="0.2">
      <c r="E71" s="136" t="s">
        <v>256</v>
      </c>
      <c r="F71" s="135">
        <v>1</v>
      </c>
      <c r="G71" s="135">
        <v>1.0312246683695041</v>
      </c>
    </row>
    <row r="72" spans="5:7" x14ac:dyDescent="0.2">
      <c r="E72" s="136" t="s">
        <v>255</v>
      </c>
      <c r="F72" s="135">
        <v>1.1818577649367614</v>
      </c>
      <c r="G72" s="135">
        <v>1.100501269212764</v>
      </c>
    </row>
    <row r="73" spans="5:7" x14ac:dyDescent="0.2">
      <c r="E73" s="136" t="s">
        <v>254</v>
      </c>
      <c r="F73" s="135">
        <v>1.0893285657331289</v>
      </c>
      <c r="G73" s="135">
        <v>1.1724243406033847</v>
      </c>
    </row>
    <row r="74" spans="5:7" x14ac:dyDescent="0.2">
      <c r="E74" s="136" t="s">
        <v>253</v>
      </c>
      <c r="F74" s="135">
        <v>1.0740193269817806</v>
      </c>
      <c r="G74" s="135">
        <v>1.100501269212764</v>
      </c>
    </row>
    <row r="75" spans="5:7" x14ac:dyDescent="0.2">
      <c r="E75" s="136" t="s">
        <v>252</v>
      </c>
      <c r="F75" s="135">
        <v>1.2575084110360748</v>
      </c>
      <c r="G75" s="135">
        <v>1.1508951768697249</v>
      </c>
    </row>
    <row r="76" spans="5:7" x14ac:dyDescent="0.2">
      <c r="E76" s="136" t="s">
        <v>251</v>
      </c>
      <c r="F76" s="135">
        <v>1.0990872042465945</v>
      </c>
      <c r="G76" s="135">
        <v>0.97008961015802508</v>
      </c>
    </row>
    <row r="77" spans="5:7" x14ac:dyDescent="0.2">
      <c r="E77" s="136" t="s">
        <v>250</v>
      </c>
      <c r="F77" s="135">
        <v>1.0257182368164959</v>
      </c>
      <c r="G77" s="135">
        <v>1.1232530296446974</v>
      </c>
    </row>
    <row r="78" spans="5:7" x14ac:dyDescent="0.2">
      <c r="E78" s="136" t="s">
        <v>249</v>
      </c>
      <c r="F78" s="135">
        <v>1</v>
      </c>
      <c r="G78" s="135">
        <v>1.0816723707682794</v>
      </c>
    </row>
    <row r="79" spans="5:7" x14ac:dyDescent="0.2">
      <c r="E79" s="136" t="s">
        <v>296</v>
      </c>
      <c r="F79" s="135">
        <v>1.3937608430659409</v>
      </c>
      <c r="G79" s="135">
        <v>1.100501269212764</v>
      </c>
    </row>
    <row r="80" spans="5:7" x14ac:dyDescent="0.2">
      <c r="E80" s="136" t="s">
        <v>297</v>
      </c>
      <c r="F80" s="135">
        <v>1.2075760017532573</v>
      </c>
      <c r="G80" s="135">
        <v>1.1434258751662101</v>
      </c>
    </row>
    <row r="81" spans="5:7" x14ac:dyDescent="0.2">
      <c r="E81" s="136" t="s">
        <v>248</v>
      </c>
      <c r="F81" s="135">
        <v>1.1906089986451476</v>
      </c>
      <c r="G81" s="135">
        <v>1.1434258751662101</v>
      </c>
    </row>
    <row r="82" spans="5:7" x14ac:dyDescent="0.2">
      <c r="E82" s="136" t="s">
        <v>247</v>
      </c>
      <c r="F82" s="135">
        <v>1.2049667611652422</v>
      </c>
      <c r="G82" s="135">
        <v>1.0498590216014663</v>
      </c>
    </row>
    <row r="83" spans="5:7" x14ac:dyDescent="0.2">
      <c r="E83" s="136" t="s">
        <v>246</v>
      </c>
      <c r="F83" s="135">
        <v>1.3474283696516922</v>
      </c>
      <c r="G83" s="135">
        <v>1.0966424483838382</v>
      </c>
    </row>
    <row r="84" spans="5:7" x14ac:dyDescent="0.2">
      <c r="E84" s="136" t="s">
        <v>245</v>
      </c>
      <c r="F84" s="135">
        <v>1</v>
      </c>
      <c r="G84" s="135">
        <v>1</v>
      </c>
    </row>
    <row r="85" spans="5:7" x14ac:dyDescent="0.2">
      <c r="E85" s="136" t="s">
        <v>244</v>
      </c>
      <c r="F85" s="135">
        <v>1.2276861907103607</v>
      </c>
      <c r="G85" s="135">
        <v>1.0817993603438614</v>
      </c>
    </row>
    <row r="86" spans="5:7" x14ac:dyDescent="0.2">
      <c r="E86" s="136" t="s">
        <v>298</v>
      </c>
      <c r="F86" s="135">
        <v>1.4786478514658605</v>
      </c>
      <c r="G86" s="135">
        <v>1.0816723707682794</v>
      </c>
    </row>
    <row r="87" spans="5:7" x14ac:dyDescent="0.2">
      <c r="E87" s="136"/>
      <c r="F87" s="135"/>
      <c r="G87" s="135"/>
    </row>
    <row r="88" spans="5:7" x14ac:dyDescent="0.2">
      <c r="E88" s="136"/>
      <c r="F88" s="135"/>
      <c r="G88" s="135"/>
    </row>
    <row r="89" spans="5:7" x14ac:dyDescent="0.2">
      <c r="E89" s="136"/>
      <c r="F89" s="135"/>
      <c r="G89" s="135"/>
    </row>
    <row r="90" spans="5:7" x14ac:dyDescent="0.2">
      <c r="E90" s="136"/>
      <c r="F90" s="135"/>
      <c r="G90" s="135"/>
    </row>
  </sheetData>
  <autoFilter ref="B2:K52" xr:uid="{00000000-0009-0000-0000-000009000000}">
    <filterColumn colId="0">
      <filters>
        <filter val="0"/>
      </filters>
    </filterColumn>
    <filterColumn colId="3">
      <filters>
        <filter val="AGN241751 (NMDA)"/>
        <filter val="ALKS-5461 (KOR)"/>
        <filter val="AMPAR (AMPA)"/>
        <filter val="Aripiprazole (AAPS)"/>
        <filter val="AV-101 (NMDA)"/>
        <filter val="AXS-05 (ATAD)"/>
        <filter val="Brexpiprazole (AAPS)"/>
        <filter val="Btrx246040 (OPRL1)"/>
        <filter val="Bupropion (ATAD)"/>
        <filter val="Cariprazine (AAPS)"/>
        <filter val="Esketamine OTF (NMDA)"/>
        <filter val="FAAH in Anxious Distress (FAAH)"/>
        <filter val="JNJ-67953964 (KOR)"/>
        <filter val="NR2B C/N (NR2B)"/>
        <filter val="NUPLAZID (Pimavanserin) (AAPS)"/>
        <filter val="Olanzapine / Fluoxetine (AAPS)"/>
        <filter val="Orexin1 (OX1)"/>
        <filter val="P2X7 (P2X7)"/>
        <filter val="Quetiapine (AAPS)"/>
        <filter val="Rapastinel (NMDA)"/>
        <filter val="REL-1017 (NMDA)"/>
        <filter val="S-47445 (AMPA)"/>
        <filter val="Sage217 (GABAA)"/>
        <filter val="Seltorexant (OX2)"/>
        <filter val="SPRAVATO (NMDA)"/>
        <filter val="Sunflower (NMDA)"/>
        <filter val="Trazodone (ATAD)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R19"/>
  <sheetViews>
    <sheetView tabSelected="1" workbookViewId="0">
      <selection activeCell="C10" sqref="C10"/>
    </sheetView>
  </sheetViews>
  <sheetFormatPr defaultRowHeight="15" x14ac:dyDescent="0.25"/>
  <cols>
    <col min="1" max="1" width="28" customWidth="1"/>
    <col min="2" max="2" width="5.85546875" bestFit="1" customWidth="1"/>
    <col min="3" max="8" width="5" bestFit="1" customWidth="1"/>
  </cols>
  <sheetData>
    <row r="1" spans="1:18" x14ac:dyDescent="0.25">
      <c r="A1" s="54"/>
      <c r="B1" s="53" t="s">
        <v>5</v>
      </c>
      <c r="C1" s="53" t="s">
        <v>178</v>
      </c>
      <c r="D1" s="53" t="s">
        <v>177</v>
      </c>
      <c r="E1" s="53" t="s">
        <v>176</v>
      </c>
      <c r="F1" s="53" t="s">
        <v>175</v>
      </c>
      <c r="G1" s="53" t="s">
        <v>174</v>
      </c>
      <c r="H1" s="52" t="s">
        <v>173</v>
      </c>
      <c r="I1" s="60"/>
    </row>
    <row r="2" spans="1:18" x14ac:dyDescent="0.25">
      <c r="A2" s="41" t="s">
        <v>167</v>
      </c>
      <c r="B2" s="50">
        <v>14683499.098594461</v>
      </c>
      <c r="C2" s="50">
        <v>2080568</v>
      </c>
      <c r="D2" s="50">
        <v>2455875</v>
      </c>
      <c r="E2" s="50">
        <v>1455066</v>
      </c>
      <c r="F2" s="50">
        <v>1055350</v>
      </c>
      <c r="G2" s="50">
        <v>1843890</v>
      </c>
      <c r="H2" s="49">
        <v>1912918</v>
      </c>
      <c r="J2" s="187"/>
      <c r="K2" s="187"/>
      <c r="L2" s="187"/>
      <c r="M2" s="187"/>
      <c r="N2" s="187"/>
      <c r="O2" s="187"/>
      <c r="P2" s="187"/>
    </row>
    <row r="3" spans="1:18" x14ac:dyDescent="0.25">
      <c r="A3" s="41" t="s">
        <v>164</v>
      </c>
      <c r="B3" s="17">
        <f>162811/251860</f>
        <v>0.64643452711824034</v>
      </c>
      <c r="C3" s="17">
        <f>6025/16672</f>
        <v>0.36138435700575816</v>
      </c>
      <c r="D3" s="17">
        <f>3729/12196</f>
        <v>0.30575598556903905</v>
      </c>
      <c r="E3" s="17">
        <f>658/1530</f>
        <v>0.43006535947712421</v>
      </c>
      <c r="F3" s="17">
        <f>541/1173</f>
        <v>0.46121057118499575</v>
      </c>
      <c r="G3" s="17">
        <f>1637/3468</f>
        <v>0.4720299884659746</v>
      </c>
      <c r="H3" s="46">
        <v>0.24136663835179753</v>
      </c>
    </row>
    <row r="4" spans="1:18" x14ac:dyDescent="0.25">
      <c r="A4" s="41" t="s">
        <v>161</v>
      </c>
      <c r="B4" s="17">
        <v>0.87330362000106232</v>
      </c>
      <c r="C4" s="17">
        <f>($D4+$F4)/2</f>
        <v>0.72</v>
      </c>
      <c r="D4" s="17">
        <f>0.5+0.5*0.34</f>
        <v>0.67</v>
      </c>
      <c r="E4" s="17">
        <f>($D4+$F4)/2</f>
        <v>0.72</v>
      </c>
      <c r="F4" s="17">
        <f>0.5+0.5*0.54</f>
        <v>0.77</v>
      </c>
      <c r="G4" s="17">
        <v>1</v>
      </c>
      <c r="H4" s="46">
        <f>($D4+$F4)/2</f>
        <v>0.72</v>
      </c>
    </row>
    <row r="5" spans="1:18" x14ac:dyDescent="0.25">
      <c r="A5" s="41" t="s">
        <v>159</v>
      </c>
      <c r="B5" s="40">
        <v>161</v>
      </c>
      <c r="C5" s="40">
        <v>186</v>
      </c>
      <c r="D5" s="40">
        <v>175</v>
      </c>
      <c r="E5" s="40">
        <v>180</v>
      </c>
      <c r="F5" s="40">
        <v>196</v>
      </c>
      <c r="G5" s="40">
        <v>196</v>
      </c>
      <c r="H5" s="39">
        <f>AVERAGE(B5,C5,D5,E5,F5,G5)</f>
        <v>182.33333333333334</v>
      </c>
    </row>
    <row r="6" spans="1:18" ht="15.75" thickBot="1" x14ac:dyDescent="0.3">
      <c r="A6" s="38" t="s">
        <v>158</v>
      </c>
      <c r="B6" s="37">
        <v>15</v>
      </c>
      <c r="C6" s="37">
        <v>3.5</v>
      </c>
      <c r="D6" s="37">
        <v>3.5</v>
      </c>
      <c r="E6" s="37">
        <v>3.5</v>
      </c>
      <c r="F6" s="37">
        <v>3.5</v>
      </c>
      <c r="G6" s="37">
        <v>3.5</v>
      </c>
      <c r="H6" s="36">
        <v>0.75</v>
      </c>
    </row>
    <row r="8" spans="1:18" x14ac:dyDescent="0.25">
      <c r="A8" s="61" t="s">
        <v>195</v>
      </c>
      <c r="B8" s="62">
        <v>0.5</v>
      </c>
    </row>
    <row r="9" spans="1:18" x14ac:dyDescent="0.25">
      <c r="A9" s="61" t="s">
        <v>196</v>
      </c>
      <c r="B9" s="62">
        <v>0.3</v>
      </c>
    </row>
    <row r="10" spans="1:18" x14ac:dyDescent="0.25">
      <c r="A10" s="61" t="s">
        <v>197</v>
      </c>
      <c r="B10" s="63">
        <v>0.15</v>
      </c>
      <c r="Q10" s="166"/>
      <c r="R10" s="166"/>
    </row>
    <row r="11" spans="1:18" x14ac:dyDescent="0.25">
      <c r="A11" s="61" t="s">
        <v>198</v>
      </c>
      <c r="B11" s="63">
        <v>0.15</v>
      </c>
      <c r="Q11" s="165"/>
      <c r="R11" s="165"/>
    </row>
    <row r="12" spans="1:18" x14ac:dyDescent="0.25">
      <c r="Q12" s="165"/>
      <c r="R12" s="165"/>
    </row>
    <row r="13" spans="1:18" x14ac:dyDescent="0.25">
      <c r="Q13" s="165"/>
      <c r="R13" s="165"/>
    </row>
    <row r="14" spans="1:18" x14ac:dyDescent="0.25">
      <c r="J14" s="176"/>
      <c r="Q14" s="165"/>
      <c r="R14" s="165"/>
    </row>
    <row r="15" spans="1:18" x14ac:dyDescent="0.25">
      <c r="B15" s="176"/>
      <c r="Q15" s="177"/>
      <c r="R15" s="177"/>
    </row>
    <row r="18" spans="2:2" x14ac:dyDescent="0.25">
      <c r="B18" s="159"/>
    </row>
    <row r="19" spans="2:2" x14ac:dyDescent="0.25">
      <c r="B19" s="159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outlinePr summaryBelow="0" summaryRight="0"/>
  </sheetPr>
  <dimension ref="A1:DA58"/>
  <sheetViews>
    <sheetView workbookViewId="0">
      <selection activeCell="C19" sqref="C19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7109375" bestFit="1" customWidth="1"/>
    <col min="25" max="25" width="3.140625" bestFit="1" customWidth="1"/>
    <col min="26" max="26" width="5.7109375" bestFit="1" customWidth="1"/>
    <col min="27" max="34" width="5" bestFit="1" customWidth="1"/>
    <col min="35" max="35" width="4.42578125" bestFit="1" customWidth="1"/>
    <col min="36" max="36" width="4.5703125" bestFit="1" customWidth="1"/>
    <col min="37" max="37" width="4.42578125" bestFit="1" customWidth="1"/>
    <col min="38" max="38" width="3.5703125" style="2" bestFit="1" customWidth="1"/>
    <col min="39" max="39" width="5.7109375" style="2" bestFit="1" customWidth="1"/>
    <col min="40" max="40" width="5" style="2" bestFit="1" customWidth="1"/>
    <col min="41" max="41" width="4.42578125" style="2" bestFit="1" customWidth="1"/>
    <col min="42" max="42" width="4.57031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bestFit="1" customWidth="1"/>
    <col min="57" max="57" width="3.5703125" bestFit="1" customWidth="1"/>
    <col min="58" max="58" width="4.5703125" bestFit="1" customWidth="1"/>
    <col min="59" max="74" width="3.5703125" bestFit="1" customWidth="1"/>
    <col min="75" max="77" width="4.28515625" customWidth="1"/>
    <col min="78" max="81" width="7.7109375" style="1" bestFit="1" customWidth="1"/>
    <col min="82" max="83" width="3.5703125" bestFit="1" customWidth="1"/>
    <col min="84" max="84" width="4.5703125" bestFit="1" customWidth="1"/>
    <col min="85" max="101" width="3.5703125" bestFit="1" customWidth="1"/>
    <col min="102" max="103" width="4.5703125" bestFit="1" customWidth="1"/>
    <col min="104" max="104" width="5.140625" style="1" bestFit="1" customWidth="1"/>
  </cols>
  <sheetData>
    <row r="1" spans="1:105" x14ac:dyDescent="0.25">
      <c r="A1" s="209" t="s">
        <v>181</v>
      </c>
      <c r="B1" s="211"/>
      <c r="C1" s="56" t="s">
        <v>173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L1"/>
      <c r="AM1"/>
      <c r="AN1"/>
      <c r="AO1"/>
      <c r="AQ1"/>
      <c r="CA1" s="35"/>
    </row>
    <row r="2" spans="1:105" x14ac:dyDescent="0.25">
      <c r="B2" t="s">
        <v>172</v>
      </c>
      <c r="C2" s="48">
        <v>3</v>
      </c>
      <c r="T2" s="209" t="s">
        <v>168</v>
      </c>
      <c r="U2" s="210"/>
      <c r="V2" s="210"/>
      <c r="W2" s="211"/>
      <c r="X2" s="47">
        <v>0.2</v>
      </c>
      <c r="AL2"/>
      <c r="AM2"/>
      <c r="AN2"/>
      <c r="AO2"/>
      <c r="AQ2"/>
      <c r="CA2" s="35"/>
    </row>
    <row r="3" spans="1:105" x14ac:dyDescent="0.25">
      <c r="B3" t="s">
        <v>166</v>
      </c>
      <c r="C3" s="48">
        <v>2</v>
      </c>
      <c r="T3" s="209" t="s">
        <v>165</v>
      </c>
      <c r="U3" s="210"/>
      <c r="V3" s="210"/>
      <c r="W3" s="211"/>
      <c r="X3" s="47">
        <v>-0.5</v>
      </c>
      <c r="AL3" s="163"/>
      <c r="AM3"/>
      <c r="AN3"/>
      <c r="AO3"/>
      <c r="AQ3"/>
      <c r="CA3" s="35"/>
    </row>
    <row r="4" spans="1:105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1.5</v>
      </c>
      <c r="AL4"/>
      <c r="AM4"/>
      <c r="AN4"/>
      <c r="AO4"/>
      <c r="AQ4"/>
      <c r="CA4" s="35"/>
    </row>
    <row r="5" spans="1:105" x14ac:dyDescent="0.25">
      <c r="B5" t="s">
        <v>160</v>
      </c>
      <c r="C5" s="45" t="s">
        <v>3</v>
      </c>
      <c r="D5" s="44"/>
      <c r="U5" s="43"/>
      <c r="V5" s="42"/>
      <c r="AL5"/>
      <c r="AM5"/>
      <c r="AN5"/>
      <c r="AO5"/>
      <c r="AQ5"/>
      <c r="CA5" s="35"/>
    </row>
    <row r="6" spans="1:105" x14ac:dyDescent="0.25">
      <c r="AL6"/>
      <c r="AM6"/>
      <c r="AN6"/>
      <c r="AO6"/>
      <c r="AQ6"/>
      <c r="CA6" s="35"/>
    </row>
    <row r="7" spans="1:105" x14ac:dyDescent="0.25">
      <c r="AL7"/>
      <c r="AM7"/>
      <c r="AN7"/>
      <c r="AO7"/>
      <c r="AQ7"/>
      <c r="BD7" s="27">
        <f>IF($C$5="ON",CD7,INDEX(Conjoint!$F$9:$F$33,MATCH(BD8,Conjoint!$B$9:$B$33,0)))</f>
        <v>8.4581000000000003E-2</v>
      </c>
      <c r="BE7" s="27">
        <f>IF($C$5="ON",CE7,INDEX(Conjoint!$F$9:$F$33,MATCH(BE8,Conjoint!$B$9:$B$33,0)))</f>
        <v>8.0703200000000017E-2</v>
      </c>
      <c r="BF7" s="27">
        <f>IF($C$5="ON",CF7,INDEX(Conjoint!$F$9:$F$33,MATCH(BF8,Conjoint!$B$9:$B$33,0)))</f>
        <v>9.5090400000000005E-2</v>
      </c>
      <c r="BG7" s="27">
        <f>IF($C$5="ON",CG7,INDEX(Conjoint!$F$9:$F$33,MATCH(BG8,Conjoint!$B$9:$B$33,0)))</f>
        <v>8.2614000000000007E-2</v>
      </c>
      <c r="BH7" s="27">
        <f>IF($C$5="ON",CH7,INDEX(Conjoint!$F$9:$F$33,MATCH(BH8,Conjoint!$B$9:$B$33,0)))</f>
        <v>6.1089400000000009E-2</v>
      </c>
      <c r="BI7" s="27">
        <f>IF($C$5="ON",CI7,INDEX(Conjoint!$F$9:$F$33,MATCH(BI8,Conjoint!$B$9:$B$33,0)))</f>
        <v>5.8054600000000005E-2</v>
      </c>
      <c r="BJ7" s="27">
        <f>IF($C$5="ON",CJ7,INDEX(Conjoint!$F$9:$F$33,MATCH(BJ8,Conjoint!$B$9:$B$33,0)))</f>
        <v>3.8047400000000002E-2</v>
      </c>
      <c r="BK7" s="27">
        <f>IF($C$5="ON",CK7,INDEX(Conjoint!$F$9:$F$33,MATCH(BK8,Conjoint!$B$9:$B$33,0)))</f>
        <v>6.1820000000000007E-2</v>
      </c>
      <c r="BL7" s="27">
        <f>IF($C$5="ON",CL7,INDEX(Conjoint!$F$9:$F$33,MATCH(BL8,Conjoint!$B$9:$B$33,0)))</f>
        <v>6.1469900000000001E-2</v>
      </c>
      <c r="BM7" s="27">
        <f>IF($C$5="ON",CM7,INDEX(Conjoint!$F$9:$F$33,MATCH(BM8,Conjoint!$B$9:$B$33,0)))</f>
        <v>2.4572900000000002E-2</v>
      </c>
      <c r="BN7" s="27">
        <f>IF($C$5="ON",CN7,INDEX(Conjoint!$F$9:$F$33,MATCH(BN8,Conjoint!$B$9:$B$33,0)))</f>
        <v>3.06471E-2</v>
      </c>
      <c r="BO7" s="27">
        <f>IF($C$5="ON",CO7,INDEX(Conjoint!$F$9:$F$33,MATCH(BO8,Conjoint!$B$9:$B$33,0)))</f>
        <v>3.4964300000000004E-2</v>
      </c>
      <c r="BP7" s="27">
        <f>IF($C$5="ON",CP7,INDEX(Conjoint!$F$9:$F$33,MATCH(BP8,Conjoint!$B$9:$B$33,0)))</f>
        <v>4.6008299999999995E-2</v>
      </c>
      <c r="BQ7" s="27">
        <f>IF($C$5="ON",CQ7,INDEX(Conjoint!$F$9:$F$33,MATCH(BQ8,Conjoint!$B$9:$B$33,0)))</f>
        <v>2.14354E-2</v>
      </c>
      <c r="BR7" s="27">
        <f>IF($C$5="ON",CR7,INDEX(Conjoint!$F$9:$F$33,MATCH(BR8,Conjoint!$B$9:$B$33,0)))</f>
        <v>3.1877000000000003E-2</v>
      </c>
      <c r="BS7" s="27">
        <f>IF($C$5="ON",CS7,INDEX(Conjoint!$F$9:$F$33,MATCH(BS8,Conjoint!$B$9:$B$33,0)))</f>
        <v>5.9704054739999991E-2</v>
      </c>
      <c r="BT7" s="27">
        <f>IF($C$5="ON",CT7,INDEX(Conjoint!$F$9:$F$33,MATCH(BT8,Conjoint!$B$9:$B$33,0)))</f>
        <v>4.0027204139999994E-2</v>
      </c>
      <c r="BU7" s="27">
        <f>IF($C$5="ON",CU7,INDEX(Conjoint!$F$9:$F$33,MATCH(BU8,Conjoint!$B$9:$B$33,0)))</f>
        <v>3.2328141120000001E-2</v>
      </c>
      <c r="BV7" s="27">
        <f>IF($C$5="ON",CV7,INDEX(Conjoint!$F$9:$F$33,MATCH(BV8,Conjoint!$B$9:$B$33,0)))</f>
        <v>5.4940599999999999E-2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3.7050546148312331E-2</v>
      </c>
      <c r="CA7" s="34">
        <f>SUMIF($C$9:$C$58,"",CA9:CA58)</f>
        <v>84.999999999999957</v>
      </c>
      <c r="CB7" s="33"/>
      <c r="CC7" s="32">
        <f>SUMIF($C$9:$C$58,"",CC9:CC58)</f>
        <v>0.17896119842226979</v>
      </c>
      <c r="CD7" s="27">
        <v>8.4581000000000003E-2</v>
      </c>
      <c r="CE7" s="27">
        <v>8.0703200000000017E-2</v>
      </c>
      <c r="CF7" s="27">
        <v>9.5090400000000005E-2</v>
      </c>
      <c r="CG7" s="27">
        <v>8.2614000000000007E-2</v>
      </c>
      <c r="CH7" s="27">
        <v>6.1089400000000009E-2</v>
      </c>
      <c r="CI7" s="27">
        <v>5.8054600000000005E-2</v>
      </c>
      <c r="CJ7" s="27">
        <v>3.8047400000000002E-2</v>
      </c>
      <c r="CK7" s="27">
        <v>6.1820000000000007E-2</v>
      </c>
      <c r="CL7" s="27">
        <v>6.1469900000000001E-2</v>
      </c>
      <c r="CM7" s="27">
        <v>2.4572900000000002E-2</v>
      </c>
      <c r="CN7" s="27">
        <v>3.06471E-2</v>
      </c>
      <c r="CO7" s="27">
        <v>3.4964300000000004E-2</v>
      </c>
      <c r="CP7" s="27">
        <v>4.6008299999999995E-2</v>
      </c>
      <c r="CQ7" s="27">
        <v>2.14354E-2</v>
      </c>
      <c r="CR7" s="27">
        <v>3.1877000000000003E-2</v>
      </c>
      <c r="CS7" s="27">
        <v>5.9704054739999991E-2</v>
      </c>
      <c r="CT7" s="27">
        <v>4.0027204139999994E-2</v>
      </c>
      <c r="CU7" s="27">
        <v>3.2328141120000001E-2</v>
      </c>
      <c r="CV7" s="27">
        <v>5.4940599999999999E-2</v>
      </c>
      <c r="CW7" s="27">
        <v>0.05</v>
      </c>
      <c r="CX7" s="27">
        <v>0.47499999999999998</v>
      </c>
      <c r="CY7" s="26">
        <v>0.47499999999999998</v>
      </c>
      <c r="CZ7" s="31">
        <v>5.3883834849545127E-2</v>
      </c>
    </row>
    <row r="8" spans="1:105" ht="104.25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 t="s">
        <v>118</v>
      </c>
    </row>
    <row r="9" spans="1:105" x14ac:dyDescent="0.25">
      <c r="A9" s="9" t="str">
        <f t="shared" ref="A9:A58" si="0">$C$1</f>
        <v>JP</v>
      </c>
      <c r="B9" s="9" t="s">
        <v>49</v>
      </c>
      <c r="C9" s="20" t="s">
        <v>3</v>
      </c>
      <c r="D9" s="9" t="s">
        <v>48</v>
      </c>
      <c r="E9" s="9" t="s">
        <v>186</v>
      </c>
      <c r="F9" s="9" t="str">
        <f>INDEX('Unique Asset List'!$C$4:$C$60,MATCH(B9,_CompoundList,0))</f>
        <v>Launched</v>
      </c>
      <c r="G9" s="19">
        <v>0</v>
      </c>
      <c r="H9" s="9">
        <v>2014</v>
      </c>
      <c r="I9" s="9">
        <v>6</v>
      </c>
      <c r="J9" s="18">
        <f>INDEX(PTRS!$D$6:$D$12,MATCH('7'!$F9,PTRS!$B$6:$B$12,0))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58" si="1">BZ9/$BZ$7</f>
        <v>0</v>
      </c>
      <c r="V9" s="17">
        <v>1</v>
      </c>
      <c r="W9" s="9" t="s">
        <v>46</v>
      </c>
      <c r="X9" s="9">
        <f>INDEX('Unique Asset List'!$Y$4:$AE$60,MATCH('7'!$B9,'Unique Asset List'!$A$4:$A$60,0),MATCH('7'!$C$1,'Unique Asset List'!$Y$3:$AE$3,0))</f>
        <v>1982</v>
      </c>
      <c r="Y9" s="9">
        <f>INDEX('Unique Asset List'!$AF$4:$AL$60,MATCH('7'!$B9,'Unique Asset List'!$A$4:$A$60,0),MATCH('7'!$C$1,'Unique Asset List'!$AF$3:$AL$3,0))</f>
        <v>11</v>
      </c>
      <c r="Z9" s="9">
        <f>INDEX('Unique Asset List'!$AT$4:$AZ$60,MATCH('7'!$B9,'Unique Asset List'!$A$4:$A$60,0),MATCH('7'!$C$1,'Unique Asset List'!$AT$3:$AZ$3,0))</f>
        <v>1990</v>
      </c>
      <c r="AA9" s="9">
        <f>INDEX('Unique Asset List'!$BA$4:$BG$60,MATCH('7'!$B9,'Unique Asset List'!$A$4:$A$60,0),MATCH('7'!$C$1,'Unique Asset List'!$BA$3:$BG$3,0))</f>
        <v>11</v>
      </c>
      <c r="AB9" s="16">
        <f t="shared" ref="AB9:AB37" si="2">SUMPRODUCT($BD9:$BK9,$BD$7:$BK$7)</f>
        <v>1.3070995999999999</v>
      </c>
      <c r="AC9" s="16">
        <f t="shared" ref="AC9:AC37" si="3">SUMPRODUCT($BL9:$BR9,$BL$7:$BR$7)</f>
        <v>0.69770470000000007</v>
      </c>
      <c r="AD9" s="16">
        <f t="shared" ref="AD9:AD37" si="4">SUMPRODUCT($BS9:$BV9,$BS$7:$BV$7)</f>
        <v>0.56099999999999994</v>
      </c>
      <c r="AE9" s="15">
        <f>INDEX('Unique Asset List'!$CJ$4:$CP$60,MATCH('7'!$B9,'Unique Asset List'!$A$4:$A$60,0),MATCH('7'!$C$1,'Unique Asset List'!$CJ$3:$CP$3,0))</f>
        <v>0.16</v>
      </c>
      <c r="AF9" s="15">
        <f>INDEX('Unique Asset List'!$CQ$4:$CW$60,MATCH('7'!$B9,'Unique Asset List'!$A$4:$A$60,0),MATCH('7'!$C$1,'Unique Asset List'!$CQ$3:$CW$3,0))</f>
        <v>0.34</v>
      </c>
      <c r="AG9" s="15">
        <f>INDEX('Unique Asset List'!$BV$4:$CB$60,MATCH('7'!$B9,'Unique Asset List'!$A$4:$A$60,0),MATCH('7'!$C$1,'Unique Asset List'!$BV$3:$CB$3,0))</f>
        <v>0.16</v>
      </c>
      <c r="AH9" s="15">
        <f>INDEX('Unique Asset List'!$CC$4:$CI$60,MATCH('7'!$B9,'Unique Asset List'!$A$4:$A$60,0),MATCH('7'!$C$1,'Unique Asset List'!$CC$3:$CI$3,0))</f>
        <v>0.34</v>
      </c>
      <c r="AI9" s="11">
        <v>0.7</v>
      </c>
      <c r="AJ9" s="15">
        <f>INDEX('Unique Asset List'!$BH$4:$BN$60,MATCH('7'!$B9,'Unique Asset List'!$A$4:$A$60,0),MATCH('7'!$C$1,'Unique Asset List'!$BH$3:$BN$3,0))</f>
        <v>0.14000000000000001</v>
      </c>
      <c r="AK9" s="15">
        <f>INDEX('Unique Asset List'!$BO$4:$BU$60,MATCH('7'!$B9,'Unique Asset List'!$A$4:$A$60,0),MATCH('7'!$C$1,'Unique Asset List'!$BO$3:$BU$3,0))</f>
        <v>0.15</v>
      </c>
      <c r="AL9" s="40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58" si="5">AP9</f>
        <v>1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2</v>
      </c>
      <c r="BE9" s="3">
        <f>IF($C$5="ON",CE9,MyRating(_E2,$B9,Efficacy!$F$1))</f>
        <v>1</v>
      </c>
      <c r="BF9" s="3">
        <f>IF($C$5="ON",CF9,MyRating(_E3,$B9,Efficacy!$F$1))</f>
        <v>1</v>
      </c>
      <c r="BG9" s="3">
        <f>IF($C$5="ON",CG9,MyRating(_E4,$B9,Efficacy!$F$1))</f>
        <v>2</v>
      </c>
      <c r="BH9" s="3">
        <f>IF($C$5="ON",CH9,MyRating(_E5,$B9,Efficacy!$F$1))</f>
        <v>3</v>
      </c>
      <c r="BI9" s="3">
        <f>IF($C$5="ON",CI9,MyRating(_E6,$B9,Efficacy!$F$1))</f>
        <v>5</v>
      </c>
      <c r="BJ9" s="3">
        <f>IF($C$5="ON",CJ9,MyRating(_E7,$B9,Efficacy!$F$1))</f>
        <v>2</v>
      </c>
      <c r="BK9" s="3">
        <f>IF($C$5="ON",CK9,MyRating(_E8,$B9,Efficacy!$F$1))</f>
        <v>4</v>
      </c>
      <c r="BL9" s="3">
        <f>IF($C$5="ON",CL9,MyRating(_S1,$B9,Efficacy!$F$1))</f>
        <v>3</v>
      </c>
      <c r="BM9" s="3">
        <f>IF($C$5="ON",CM9,MyRating(_S2,$B9,Efficacy!$F$1))</f>
        <v>2</v>
      </c>
      <c r="BN9" s="3">
        <f>IF($C$5="ON",CN9,MyRating(_S3,$B9,Efficacy!$F$1))</f>
        <v>2</v>
      </c>
      <c r="BO9" s="3">
        <f>IF($C$5="ON",CO9,MyRating(_S4,$B9,Efficacy!$F$1))</f>
        <v>3</v>
      </c>
      <c r="BP9" s="3">
        <f>IF($C$5="ON",CP9,MyRating(_S5,$B9,Efficacy!$F$1))</f>
        <v>3</v>
      </c>
      <c r="BQ9" s="3">
        <f>IF($C$5="ON",CQ9,MyRating(_S6,$B9,Efficacy!$F$1))</f>
        <v>3</v>
      </c>
      <c r="BR9" s="3">
        <f>IF($C$5="ON",CR9,MyRating(_S7,$B9,Efficacy!$F$1))</f>
        <v>3</v>
      </c>
      <c r="BS9" s="3">
        <f>IF($C$5="ON",CS9,MyRating(_D1,$B9,Efficacy!$F$1))</f>
        <v>3</v>
      </c>
      <c r="BT9" s="3">
        <f>IF($C$5="ON",CT9,MyRating(_D2,$B9,Efficacy!$F$1))</f>
        <v>3</v>
      </c>
      <c r="BU9" s="3">
        <f>IF($C$5="ON",CU9,MyRating(_D3,$B9,Efficacy!$F$1))</f>
        <v>3</v>
      </c>
      <c r="BV9" s="3">
        <f>IF($C$5="ON",CV9,MyRating(_D4,$B9,Efficacy!$F$1))</f>
        <v>3</v>
      </c>
      <c r="BW9" s="3">
        <f>IF($C$5="ON",CW9,MyRating(_B1G5,$B9,Barrier!$L$2))</f>
        <v>3</v>
      </c>
      <c r="BX9" s="3">
        <f>IF($C$5="ON",CX9,MyRating(_B2,$B9,Barrier!$F$2))</f>
        <v>3</v>
      </c>
      <c r="BY9" s="6">
        <f>IF($C$5="ON",CY9,MyRating(_B3,$B9,Barrier!$F$2))</f>
        <v>0</v>
      </c>
      <c r="BZ9" s="5">
        <f>IF(C9="",CC9/$CC$7,0)</f>
        <v>0</v>
      </c>
      <c r="CA9" s="8">
        <f t="shared" ref="CA9:CA58" si="6">SUMPRODUCT($BW9:$BY9,$BW$7:$BY$7)</f>
        <v>1.8000000000000003</v>
      </c>
      <c r="CB9" s="5">
        <f t="shared" ref="CB9:CB58" si="7">CA9/$CA$7</f>
        <v>2.1176470588235307E-2</v>
      </c>
      <c r="CC9" s="7">
        <f t="shared" ref="CC9:CC58" si="8">CB9^$X$4</f>
        <v>3.081629118108704E-3</v>
      </c>
      <c r="CD9" s="4">
        <v>2</v>
      </c>
      <c r="CE9" s="3">
        <v>2</v>
      </c>
      <c r="CF9" s="3">
        <v>2</v>
      </c>
      <c r="CG9" s="3">
        <v>2</v>
      </c>
      <c r="CH9" s="3">
        <v>2</v>
      </c>
      <c r="CI9" s="3">
        <v>5</v>
      </c>
      <c r="CJ9" s="3">
        <v>2</v>
      </c>
      <c r="CK9" s="3">
        <v>4</v>
      </c>
      <c r="CL9" s="3">
        <v>3</v>
      </c>
      <c r="CM9" s="3">
        <v>2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3</v>
      </c>
      <c r="CY9" s="6">
        <v>3</v>
      </c>
      <c r="CZ9" s="5">
        <v>3.7014903427878103E-2</v>
      </c>
      <c r="DA9" s="59"/>
    </row>
    <row r="10" spans="1:105" x14ac:dyDescent="0.25">
      <c r="A10" s="9" t="str">
        <f t="shared" si="0"/>
        <v>JP</v>
      </c>
      <c r="B10" s="9" t="s">
        <v>190</v>
      </c>
      <c r="C10" s="20"/>
      <c r="D10" s="9" t="s">
        <v>48</v>
      </c>
      <c r="E10" s="9" t="s">
        <v>186</v>
      </c>
      <c r="F10" s="9" t="str">
        <f>INDEX('Unique Asset List'!$C$4:$C$60,MATCH(B10,_CompoundList,0))</f>
        <v>Launched</v>
      </c>
      <c r="G10" s="19">
        <v>0.84683030455944985</v>
      </c>
      <c r="H10" s="9">
        <v>2014</v>
      </c>
      <c r="I10" s="9">
        <v>6</v>
      </c>
      <c r="J10" s="18">
        <f>INDEX(PTRS!$D$6:$D$12,MATCH('7'!$F10,PTRS!$B$6:$B$12,0))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1"/>
        <v>1</v>
      </c>
      <c r="V10" s="17">
        <v>1</v>
      </c>
      <c r="W10" s="9" t="s">
        <v>188</v>
      </c>
      <c r="X10" s="9">
        <f>INDEX('Unique Asset List'!$Y$4:$AE$60,MATCH('7'!$B10,'Unique Asset List'!$A$4:$A$60,0),MATCH('7'!$C$1,'Unique Asset List'!$Y$3:$AE$3,0))</f>
        <v>1980</v>
      </c>
      <c r="Y10" s="9">
        <f>INDEX('Unique Asset List'!$AF$4:$AL$60,MATCH('7'!$B10,'Unique Asset List'!$A$4:$A$60,0),MATCH('7'!$C$1,'Unique Asset List'!$AF$3:$AL$3,0))</f>
        <v>7</v>
      </c>
      <c r="Z10" s="9">
        <f>INDEX('Unique Asset List'!$AT$4:$AZ$60,MATCH('7'!$B10,'Unique Asset List'!$A$4:$A$60,0),MATCH('7'!$C$1,'Unique Asset List'!$AT$3:$AZ$3,0))</f>
        <v>1988</v>
      </c>
      <c r="AA10" s="9">
        <f>INDEX('Unique Asset List'!$BA$4:$BG$60,MATCH('7'!$B10,'Unique Asset List'!$A$4:$A$60,0),MATCH('7'!$C$1,'Unique Asset List'!$BA$3:$BG$3,0))</f>
        <v>7</v>
      </c>
      <c r="AB10" s="16">
        <f t="shared" si="2"/>
        <v>1.4234898</v>
      </c>
      <c r="AC10" s="16">
        <f t="shared" si="3"/>
        <v>0.91994010000000004</v>
      </c>
      <c r="AD10" s="16">
        <f t="shared" si="4"/>
        <v>0.50129594525999999</v>
      </c>
      <c r="AE10" s="15">
        <f>INDEX('Unique Asset List'!$CJ$4:$CP$60,MATCH('7'!$B10,'Unique Asset List'!$A$4:$A$60,0),MATCH('7'!$C$1,'Unique Asset List'!$CJ$3:$CP$3,0))</f>
        <v>0.16</v>
      </c>
      <c r="AF10" s="15">
        <f>INDEX('Unique Asset List'!$CQ$4:$CW$60,MATCH('7'!$B10,'Unique Asset List'!$A$4:$A$60,0),MATCH('7'!$C$1,'Unique Asset List'!$CQ$3:$CW$3,0))</f>
        <v>0.34</v>
      </c>
      <c r="AG10" s="15">
        <f>INDEX('Unique Asset List'!$BV$4:$CB$60,MATCH('7'!$B10,'Unique Asset List'!$A$4:$A$60,0),MATCH('7'!$C$1,'Unique Asset List'!$BV$3:$CB$3,0))</f>
        <v>0.16</v>
      </c>
      <c r="AH10" s="15">
        <f>INDEX('Unique Asset List'!$CC$4:$CI$60,MATCH('7'!$B10,'Unique Asset List'!$A$4:$A$60,0),MATCH('7'!$C$1,'Unique Asset List'!$CC$3:$CI$3,0))</f>
        <v>0.34</v>
      </c>
      <c r="AI10" s="11">
        <v>0.7</v>
      </c>
      <c r="AJ10" s="15">
        <f>INDEX('Unique Asset List'!$BH$4:$BN$60,MATCH('7'!$B10,'Unique Asset List'!$A$4:$A$60,0),MATCH('7'!$C$1,'Unique Asset List'!$BH$3:$BN$3,0))</f>
        <v>0.14000000000000001</v>
      </c>
      <c r="AK10" s="15">
        <f>INDEX('Unique Asset List'!$BO$4:$BU$60,MATCH('7'!$B10,'Unique Asset List'!$A$4:$A$60,0),MATCH('7'!$C$1,'Unique Asset List'!$BO$3:$BU$3,0))</f>
        <v>0.15</v>
      </c>
      <c r="AL10" s="40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2</v>
      </c>
      <c r="BE10" s="3">
        <f>IF($C$5="ON",CE10,MyRating(_E2,$B10,Efficacy!$F$1))</f>
        <v>3</v>
      </c>
      <c r="BF10" s="3">
        <f>IF($C$5="ON",CF10,MyRating(_E3,$B10,Efficacy!$F$1))</f>
        <v>3</v>
      </c>
      <c r="BG10" s="3">
        <f>IF($C$5="ON",CG10,MyRating(_E4,$B10,Efficacy!$F$1))</f>
        <v>3</v>
      </c>
      <c r="BH10" s="3">
        <f>IF($C$5="ON",CH10,MyRating(_E5,$B10,Efficacy!$F$1))</f>
        <v>3</v>
      </c>
      <c r="BI10" s="3">
        <f>IF($C$5="ON",CI10,MyRating(_E6,$B10,Efficacy!$F$1))</f>
        <v>1</v>
      </c>
      <c r="BJ10" s="3">
        <f>IF($C$5="ON",CJ10,MyRating(_E7,$B10,Efficacy!$F$1))</f>
        <v>3</v>
      </c>
      <c r="BK10" s="3">
        <f>IF($C$5="ON",CK10,MyRating(_E8,$B10,Efficacy!$F$1))</f>
        <v>2</v>
      </c>
      <c r="BL10" s="3">
        <f>IF($C$5="ON",CL10,MyRating(_S1,$B10,Efficacy!$F$1))</f>
        <v>4</v>
      </c>
      <c r="BM10" s="3">
        <f>IF($C$5="ON",CM10,MyRating(_S2,$B10,Efficacy!$F$1))</f>
        <v>3</v>
      </c>
      <c r="BN10" s="3">
        <f>IF($C$5="ON",CN10,MyRating(_S3,$B10,Efficacy!$F$1))</f>
        <v>3</v>
      </c>
      <c r="BO10" s="3">
        <f>IF($C$5="ON",CO10,MyRating(_S4,$B10,Efficacy!$F$1))</f>
        <v>4</v>
      </c>
      <c r="BP10" s="3">
        <f>IF($C$5="ON",CP10,MyRating(_S5,$B10,Efficacy!$F$1))</f>
        <v>5</v>
      </c>
      <c r="BQ10" s="3">
        <f>IF($C$5="ON",CQ10,MyRating(_S6,$B10,Efficacy!$F$1))</f>
        <v>2</v>
      </c>
      <c r="BR10" s="3">
        <f>IF($C$5="ON",CR10,MyRating(_S7,$B10,Efficacy!$F$1))</f>
        <v>3</v>
      </c>
      <c r="BS10" s="3">
        <f>IF($C$5="ON",CS10,MyRating(_D1,$B10,Efficacy!$F$1))</f>
        <v>2</v>
      </c>
      <c r="BT10" s="3">
        <f>IF($C$5="ON",CT10,MyRating(_D2,$B10,Efficacy!$F$1))</f>
        <v>3</v>
      </c>
      <c r="BU10" s="3">
        <f>IF($C$5="ON",CU10,MyRating(_D3,$B10,Efficacy!$F$1))</f>
        <v>3</v>
      </c>
      <c r="BV10" s="3">
        <f>IF($C$5="ON",CV10,MyRating(_D4,$B10,Efficacy!$F$1))</f>
        <v>3</v>
      </c>
      <c r="BW10" s="3">
        <f>IF($C$5="ON",CW10,MyRating(_B1G5,$B10,Barrier!$L$2))</f>
        <v>3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9">IF(C10="",CC10/$CC$7,0)</f>
        <v>3.7050546148312331E-2</v>
      </c>
      <c r="CA10" s="8">
        <f t="shared" si="6"/>
        <v>3.0000000000000004</v>
      </c>
      <c r="CB10" s="5">
        <f t="shared" si="7"/>
        <v>3.5294117647058844E-2</v>
      </c>
      <c r="CC10" s="7">
        <f t="shared" si="8"/>
        <v>6.6306101409015867E-3</v>
      </c>
      <c r="CD10" s="4">
        <v>3</v>
      </c>
      <c r="CE10" s="3">
        <v>3</v>
      </c>
      <c r="CF10" s="3">
        <v>3</v>
      </c>
      <c r="CG10" s="3">
        <v>3</v>
      </c>
      <c r="CH10" s="3">
        <v>3</v>
      </c>
      <c r="CI10" s="3">
        <v>1</v>
      </c>
      <c r="CJ10" s="3">
        <v>3</v>
      </c>
      <c r="CK10" s="3">
        <v>3</v>
      </c>
      <c r="CL10" s="3">
        <v>4</v>
      </c>
      <c r="CM10" s="3">
        <v>5</v>
      </c>
      <c r="CN10" s="3">
        <v>4</v>
      </c>
      <c r="CO10" s="3">
        <v>4</v>
      </c>
      <c r="CP10" s="3">
        <v>5</v>
      </c>
      <c r="CQ10" s="3">
        <v>2</v>
      </c>
      <c r="CR10" s="3">
        <v>3</v>
      </c>
      <c r="CS10" s="3">
        <v>2</v>
      </c>
      <c r="CT10" s="3">
        <v>2</v>
      </c>
      <c r="CU10" s="3">
        <v>3</v>
      </c>
      <c r="CV10" s="3">
        <v>3</v>
      </c>
      <c r="CW10" s="3">
        <v>3</v>
      </c>
      <c r="CX10" s="3">
        <v>3</v>
      </c>
      <c r="CY10" s="6">
        <v>3</v>
      </c>
      <c r="CZ10" s="5">
        <v>3.7014903427878103E-2</v>
      </c>
      <c r="DA10" s="59"/>
    </row>
    <row r="11" spans="1:105" x14ac:dyDescent="0.25">
      <c r="A11" s="9" t="str">
        <f t="shared" si="0"/>
        <v>JP</v>
      </c>
      <c r="B11" s="9" t="s">
        <v>189</v>
      </c>
      <c r="C11" s="20"/>
      <c r="D11" s="9" t="s">
        <v>88</v>
      </c>
      <c r="E11" s="9" t="s">
        <v>186</v>
      </c>
      <c r="F11" s="9" t="str">
        <f>INDEX('Unique Asset List'!$C$4:$C$60,MATCH(B11,_CompoundList,0))</f>
        <v>Launched</v>
      </c>
      <c r="G11" s="19">
        <v>0.15316969544055004</v>
      </c>
      <c r="H11" s="9">
        <v>2014</v>
      </c>
      <c r="I11" s="9">
        <v>6</v>
      </c>
      <c r="J11" s="18">
        <f>INDEX(PTRS!$D$6:$D$12,MATCH('7'!$F11,PTRS!$B$6:$B$12,0))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1"/>
        <v>1</v>
      </c>
      <c r="V11" s="17">
        <v>1</v>
      </c>
      <c r="W11" s="9" t="s">
        <v>54</v>
      </c>
      <c r="X11" s="9">
        <f>INDEX('Unique Asset List'!$Y$4:$AE$60,MATCH('7'!$B11,'Unique Asset List'!$A$4:$A$60,0),MATCH('7'!$C$1,'Unique Asset List'!$Y$3:$AE$3,0))</f>
        <v>2010</v>
      </c>
      <c r="Y11" s="9">
        <f>INDEX('Unique Asset List'!$AF$4:$AL$60,MATCH('7'!$B11,'Unique Asset List'!$A$4:$A$60,0),MATCH('7'!$C$1,'Unique Asset List'!$AF$3:$AL$3,0))</f>
        <v>1</v>
      </c>
      <c r="Z11" s="9">
        <f>INDEX('Unique Asset List'!$AT$4:$AZ$60,MATCH('7'!$B11,'Unique Asset List'!$A$4:$A$60,0),MATCH('7'!$C$1,'Unique Asset List'!$AT$3:$AZ$3,0))</f>
        <v>2018</v>
      </c>
      <c r="AA11" s="9">
        <f>INDEX('Unique Asset List'!$BA$4:$BG$60,MATCH('7'!$B11,'Unique Asset List'!$A$4:$A$60,0),MATCH('7'!$C$1,'Unique Asset List'!$BA$3:$BG$3,0))</f>
        <v>1</v>
      </c>
      <c r="AB11" s="16">
        <f t="shared" si="2"/>
        <v>1.6860000000000002</v>
      </c>
      <c r="AC11" s="16">
        <f t="shared" si="3"/>
        <v>0.7069164</v>
      </c>
      <c r="AD11" s="16">
        <f t="shared" si="4"/>
        <v>0.56099999999999994</v>
      </c>
      <c r="AE11" s="15">
        <f>INDEX('Unique Asset List'!$CJ$4:$CP$60,MATCH('7'!$B11,'Unique Asset List'!$A$4:$A$60,0),MATCH('7'!$C$1,'Unique Asset List'!$CJ$3:$CP$3,0))</f>
        <v>0.16</v>
      </c>
      <c r="AF11" s="15">
        <f>INDEX('Unique Asset List'!$CQ$4:$CW$60,MATCH('7'!$B11,'Unique Asset List'!$A$4:$A$60,0),MATCH('7'!$C$1,'Unique Asset List'!$CQ$3:$CW$3,0))</f>
        <v>0.34</v>
      </c>
      <c r="AG11" s="15">
        <f>INDEX('Unique Asset List'!$BV$4:$CB$60,MATCH('7'!$B11,'Unique Asset List'!$A$4:$A$60,0),MATCH('7'!$C$1,'Unique Asset List'!$BV$3:$CB$3,0))</f>
        <v>0.16</v>
      </c>
      <c r="AH11" s="15">
        <f>INDEX('Unique Asset List'!$CC$4:$CI$60,MATCH('7'!$B11,'Unique Asset List'!$A$4:$A$60,0),MATCH('7'!$C$1,'Unique Asset List'!$CC$3:$CI$3,0))</f>
        <v>0.34</v>
      </c>
      <c r="AI11" s="11">
        <v>0.7</v>
      </c>
      <c r="AJ11" s="15">
        <f>INDEX('Unique Asset List'!$BH$4:$BN$60,MATCH('7'!$B11,'Unique Asset List'!$A$4:$A$60,0),MATCH('7'!$C$1,'Unique Asset List'!$BH$3:$BN$3,0))</f>
        <v>0.14000000000000001</v>
      </c>
      <c r="AK11" s="15">
        <f>INDEX('Unique Asset List'!$BO$4:$BU$60,MATCH('7'!$B11,'Unique Asset List'!$A$4:$A$60,0),MATCH('7'!$C$1,'Unique Asset List'!$BO$3:$BU$3,0))</f>
        <v>0.15</v>
      </c>
      <c r="AL11" s="40">
        <v>169</v>
      </c>
      <c r="AM11" s="14">
        <f>INDEX(Simulation!$B$6:$H$6,MATCH($A11,Simulation!$B$1:$H$1,0))*(1+AN11)^((DATE(X11,Y11,15)-DATE(2017,1,15))/365.5)</f>
        <v>0.75</v>
      </c>
      <c r="AN11" s="12">
        <v>0</v>
      </c>
      <c r="AO11" s="13">
        <v>0.1</v>
      </c>
      <c r="AP11" s="11">
        <v>1</v>
      </c>
      <c r="AQ11" s="12">
        <v>0</v>
      </c>
      <c r="AR11" s="11">
        <f t="shared" si="5"/>
        <v>1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3</v>
      </c>
      <c r="BE11" s="3">
        <f>IF($C$5="ON",CE11,MyRating(_E2,$B11,Efficacy!$F$1))</f>
        <v>3</v>
      </c>
      <c r="BF11" s="3">
        <f>IF($C$5="ON",CF11,MyRating(_E3,$B11,Efficacy!$F$1))</f>
        <v>3</v>
      </c>
      <c r="BG11" s="3">
        <f>IF($C$5="ON",CG11,MyRating(_E4,$B11,Efficacy!$F$1))</f>
        <v>3</v>
      </c>
      <c r="BH11" s="3">
        <f>IF($C$5="ON",CH11,MyRating(_E5,$B11,Efficacy!$F$1))</f>
        <v>3</v>
      </c>
      <c r="BI11" s="3">
        <f>IF($C$5="ON",CI11,MyRating(_E6,$B11,Efficacy!$F$1))</f>
        <v>3</v>
      </c>
      <c r="BJ11" s="3">
        <f>IF($C$5="ON",CJ11,MyRating(_E7,$B11,Efficacy!$F$1))</f>
        <v>3</v>
      </c>
      <c r="BK11" s="3">
        <f>IF($C$5="ON",CK11,MyRating(_E8,$B11,Efficacy!$F$1))</f>
        <v>3</v>
      </c>
      <c r="BL11" s="3">
        <f>IF($C$5="ON",CL11,MyRating(_S1,$B11,Efficacy!$F$1))</f>
        <v>3</v>
      </c>
      <c r="BM11" s="3">
        <f>IF($C$5="ON",CM11,MyRating(_S2,$B11,Efficacy!$F$1))</f>
        <v>3</v>
      </c>
      <c r="BN11" s="3">
        <f>IF($C$5="ON",CN11,MyRating(_S3,$B11,Efficacy!$F$1))</f>
        <v>3</v>
      </c>
      <c r="BO11" s="3">
        <f>IF($C$5="ON",CO11,MyRating(_S4,$B11,Efficacy!$F$1))</f>
        <v>3</v>
      </c>
      <c r="BP11" s="3">
        <f>IF($C$5="ON",CP11,MyRating(_S5,$B11,Efficacy!$F$1))</f>
        <v>2</v>
      </c>
      <c r="BQ11" s="3">
        <f>IF($C$5="ON",CQ11,MyRating(_S6,$B11,Efficacy!$F$1))</f>
        <v>3</v>
      </c>
      <c r="BR11" s="3">
        <f>IF($C$5="ON",CR11,MyRating(_S7,$B11,Efficacy!$F$1))</f>
        <v>3</v>
      </c>
      <c r="BS11" s="3">
        <f>IF($C$5="ON",CS11,MyRating(_D1,$B11,Efficacy!$F$1))</f>
        <v>3</v>
      </c>
      <c r="BT11" s="3">
        <f>IF($C$5="ON",CT11,MyRating(_D2,$B11,Efficacy!$F$1))</f>
        <v>3</v>
      </c>
      <c r="BU11" s="3">
        <f>IF($C$5="ON",CU11,MyRating(_D3,$B11,Efficacy!$F$1))</f>
        <v>3</v>
      </c>
      <c r="BV11" s="3">
        <f>IF($C$5="ON",CV11,MyRating(_D4,$B11,Efficacy!$F$1))</f>
        <v>3</v>
      </c>
      <c r="BW11" s="3">
        <f>IF($C$5="ON",CW11,MyRating(_B1G5,$B11,Barrier!$L$2))</f>
        <v>3</v>
      </c>
      <c r="BX11" s="3">
        <f>IF($C$5="ON",CX11,MyRating(_B2,$B11,Barrier!$F$2))</f>
        <v>3</v>
      </c>
      <c r="BY11" s="6">
        <f>IF($C$5="ON",CY11,MyRating(_B3,$B11,Barrier!$F$2))</f>
        <v>3</v>
      </c>
      <c r="BZ11" s="5">
        <f t="shared" si="9"/>
        <v>3.7050546148312331E-2</v>
      </c>
      <c r="CA11" s="8">
        <f t="shared" si="6"/>
        <v>3.0000000000000004</v>
      </c>
      <c r="CB11" s="5">
        <f t="shared" si="7"/>
        <v>3.5294117647058844E-2</v>
      </c>
      <c r="CC11" s="7">
        <f t="shared" si="8"/>
        <v>6.6306101409015867E-3</v>
      </c>
      <c r="CD11" s="4">
        <v>3</v>
      </c>
      <c r="CE11" s="3">
        <v>2</v>
      </c>
      <c r="CF11" s="3">
        <v>3</v>
      </c>
      <c r="CG11" s="3">
        <v>3</v>
      </c>
      <c r="CH11" s="3">
        <v>2</v>
      </c>
      <c r="CI11" s="3">
        <v>5</v>
      </c>
      <c r="CJ11" s="3">
        <v>3</v>
      </c>
      <c r="CK11" s="3">
        <v>3</v>
      </c>
      <c r="CL11" s="3">
        <v>3</v>
      </c>
      <c r="CM11" s="3">
        <v>1</v>
      </c>
      <c r="CN11" s="3">
        <v>3</v>
      </c>
      <c r="CO11" s="3">
        <v>3</v>
      </c>
      <c r="CP11" s="3">
        <v>2</v>
      </c>
      <c r="CQ11" s="3">
        <v>3</v>
      </c>
      <c r="CR11" s="3">
        <v>3</v>
      </c>
      <c r="CS11" s="3">
        <v>3</v>
      </c>
      <c r="CT11" s="3">
        <v>2</v>
      </c>
      <c r="CU11" s="3">
        <v>3</v>
      </c>
      <c r="CV11" s="3">
        <v>3</v>
      </c>
      <c r="CW11" s="3">
        <v>3</v>
      </c>
      <c r="CX11" s="3">
        <v>3</v>
      </c>
      <c r="CY11" s="6">
        <v>3</v>
      </c>
      <c r="CZ11" s="5">
        <v>3.7014903427878103E-2</v>
      </c>
      <c r="DA11" s="59"/>
    </row>
    <row r="12" spans="1:105" x14ac:dyDescent="0.25">
      <c r="A12" s="9" t="str">
        <f t="shared" si="0"/>
        <v>JP</v>
      </c>
      <c r="B12" s="9" t="s">
        <v>86</v>
      </c>
      <c r="C12" s="20" t="s">
        <v>3</v>
      </c>
      <c r="D12" s="9" t="s">
        <v>85</v>
      </c>
      <c r="E12" s="9" t="s">
        <v>186</v>
      </c>
      <c r="F12" s="9" t="str">
        <f>INDEX('Unique Asset List'!$C$4:$C$60,MATCH(B12,_CompoundList,0))</f>
        <v>REG</v>
      </c>
      <c r="G12" s="19">
        <v>0</v>
      </c>
      <c r="H12" s="9">
        <v>2014</v>
      </c>
      <c r="I12" s="9">
        <v>6</v>
      </c>
      <c r="J12" s="18">
        <f>INDEX(PTRS!$D$6:$D$12,MATCH('7'!$F12,PTRS!$B$6:$B$12,0))</f>
        <v>0.9</v>
      </c>
      <c r="K12" s="17">
        <f>INDEX('Unique Asset List'!$D$4:$M$60,MATCH($B12,'Unique Asset List'!$A$4:$A$60,0),MATCH(K$8,'Unique Asset List'!$D$3:$M$3,0))</f>
        <v>0</v>
      </c>
      <c r="L12" s="17">
        <f>INDEX('Unique Asset List'!$D$4:$M$60,MATCH($B12,'Unique Asset List'!$A$4:$A$60,0),MATCH(L$8,'Unique Asset List'!$D$3:$M$3,0))</f>
        <v>0</v>
      </c>
      <c r="M12" s="17">
        <v>0.5</v>
      </c>
      <c r="N12" s="17">
        <f>INDEX('Unique Asset List'!$D$4:$M$60,MATCH($B12,'Unique Asset List'!$A$4:$A$60,0),MATCH(N$8,'Unique Asset List'!$D$3:$M$3,0))</f>
        <v>0.2</v>
      </c>
      <c r="O12" s="17">
        <f>INDEX('Unique Asset List'!$D$4:$M$60,MATCH($B12,'Unique Asset List'!$A$4:$A$60,0),MATCH(O$8,'Unique Asset List'!$D$3:$M$3,0))</f>
        <v>0.2</v>
      </c>
      <c r="P12" s="17">
        <f>INDEX('Unique Asset List'!$D$4:$M$60,MATCH($B12,'Unique Asset List'!$A$4:$A$60,0),MATCH(P$8,'Unique Asset List'!$D$3:$M$3,0))</f>
        <v>0.2</v>
      </c>
      <c r="Q12" s="17">
        <f>INDEX('Unique Asset List'!$D$4:$M$60,MATCH($B12,'Unique Asset List'!$A$4:$A$60,0),MATCH(Q$8,'Unique Asset List'!$D$3:$M$3,0))</f>
        <v>0.2</v>
      </c>
      <c r="R12" s="17">
        <f>INDEX('Unique Asset List'!$D$4:$M$60,MATCH($B12,'Unique Asset List'!$A$4:$A$60,0),MATCH(R$8,'Unique Asset List'!$D$3:$M$3,0))</f>
        <v>0.2</v>
      </c>
      <c r="S12" s="17">
        <f>INDEX('Unique Asset List'!$D$4:$M$60,MATCH($B12,'Unique Asset List'!$A$4:$A$60,0),MATCH(S$8,'Unique Asset List'!$D$3:$M$3,0))</f>
        <v>0</v>
      </c>
      <c r="T12" s="17"/>
      <c r="U12" s="17">
        <f t="shared" si="1"/>
        <v>0</v>
      </c>
      <c r="V12" s="17">
        <v>1</v>
      </c>
      <c r="W12" s="9" t="s">
        <v>16</v>
      </c>
      <c r="X12" s="9">
        <f>INDEX('Unique Asset List'!$Y$4:$AE$60,MATCH('7'!$B12,'Unique Asset List'!$A$4:$A$60,0),MATCH('7'!$C$1,'Unique Asset List'!$Y$3:$AE$3,0))</f>
        <v>2023</v>
      </c>
      <c r="Y12" s="9">
        <f>INDEX('Unique Asset List'!$AF$4:$AL$60,MATCH('7'!$B12,'Unique Asset List'!$A$4:$A$60,0),MATCH('7'!$C$1,'Unique Asset List'!$AF$3:$AL$3,0))</f>
        <v>5</v>
      </c>
      <c r="Z12" s="9">
        <f>INDEX('Unique Asset List'!$AT$4:$AZ$60,MATCH('7'!$B12,'Unique Asset List'!$A$4:$A$60,0),MATCH('7'!$C$1,'Unique Asset List'!$AT$3:$AZ$3,0))</f>
        <v>2031</v>
      </c>
      <c r="AA12" s="9">
        <f>INDEX('Unique Asset List'!$BA$4:$BG$60,MATCH('7'!$B12,'Unique Asset List'!$A$4:$A$60,0),MATCH('7'!$C$1,'Unique Asset List'!$BA$3:$BG$3,0))</f>
        <v>5</v>
      </c>
      <c r="AB12" s="16">
        <f t="shared" si="2"/>
        <v>2.1202012000000003</v>
      </c>
      <c r="AC12" s="16">
        <f t="shared" si="3"/>
        <v>0.91994010000000004</v>
      </c>
      <c r="AD12" s="16">
        <f t="shared" si="4"/>
        <v>0.31905939999999999</v>
      </c>
      <c r="AE12" s="15">
        <f>INDEX('Unique Asset List'!$CJ$4:$CP$60,MATCH('7'!$B12,'Unique Asset List'!$A$4:$A$60,0),MATCH('7'!$C$1,'Unique Asset List'!$CJ$3:$CP$3,0))</f>
        <v>0.16</v>
      </c>
      <c r="AF12" s="15">
        <f>INDEX('Unique Asset List'!$CQ$4:$CW$60,MATCH('7'!$B12,'Unique Asset List'!$A$4:$A$60,0),MATCH('7'!$C$1,'Unique Asset List'!$CQ$3:$CW$3,0))</f>
        <v>0.34</v>
      </c>
      <c r="AG12" s="15">
        <f>INDEX('Unique Asset List'!$BV$4:$CB$60,MATCH('7'!$B12,'Unique Asset List'!$A$4:$A$60,0),MATCH('7'!$C$1,'Unique Asset List'!$BV$3:$CB$3,0))</f>
        <v>0.16</v>
      </c>
      <c r="AH12" s="15">
        <f>INDEX('Unique Asset List'!$CC$4:$CI$60,MATCH('7'!$B12,'Unique Asset List'!$A$4:$A$60,0),MATCH('7'!$C$1,'Unique Asset List'!$CC$3:$CI$3,0))</f>
        <v>0.34</v>
      </c>
      <c r="AI12" s="11">
        <v>0.7</v>
      </c>
      <c r="AJ12" s="15">
        <f>INDEX('Unique Asset List'!$BH$4:$BN$60,MATCH('7'!$B12,'Unique Asset List'!$A$4:$A$60,0),MATCH('7'!$C$1,'Unique Asset List'!$BH$3:$BN$3,0))</f>
        <v>0.14000000000000001</v>
      </c>
      <c r="AK12" s="15">
        <f>INDEX('Unique Asset List'!$BO$4:$BU$60,MATCH('7'!$B12,'Unique Asset List'!$A$4:$A$60,0),MATCH('7'!$C$1,'Unique Asset List'!$BO$3:$BU$3,0))</f>
        <v>0.15</v>
      </c>
      <c r="AL12" s="40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81">
        <f>INDEX('Unique Asset List'!N$4:N$60,MATCH($B12,_CompoundList,0))</f>
        <v>0</v>
      </c>
      <c r="AU12" s="181">
        <f>INDEX('Unique Asset List'!O$4:O$60,MATCH($B12,_CompoundList,0))</f>
        <v>0</v>
      </c>
      <c r="AV12" s="181">
        <f>INDEX('Unique Asset List'!P$4:P$60,MATCH($B12,_CompoundList,0))</f>
        <v>0</v>
      </c>
      <c r="AW12" s="181">
        <f>INDEX('Unique Asset List'!Q$4:Q$60,MATCH($B12,_CompoundList,0))</f>
        <v>0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0</v>
      </c>
      <c r="BB12" s="181">
        <f ca="1">INDEX('Unique Asset List'!V$4:V$60,MATCH($B12,_CompoundList,0))</f>
        <v>0</v>
      </c>
      <c r="BC12" s="181">
        <f ca="1">INDEX('Unique Asset List'!W$4:W$60,MATCH($B12,_CompoundList,0))</f>
        <v>0</v>
      </c>
      <c r="BD12" s="4">
        <f>IF($C$5="ON",CD12,MyRating(_E1,$B12,Efficacy!$F$1))</f>
        <v>3</v>
      </c>
      <c r="BE12" s="3">
        <f>IF($C$5="ON",CE12,MyRating(_E2,$B12,Efficacy!$F$1))</f>
        <v>5</v>
      </c>
      <c r="BF12" s="3">
        <f>IF($C$5="ON",CF12,MyRating(_E3,$B12,Efficacy!$F$1))</f>
        <v>5</v>
      </c>
      <c r="BG12" s="3">
        <f>IF($C$5="ON",CG12,MyRating(_E4,$B12,Efficacy!$F$1))</f>
        <v>4</v>
      </c>
      <c r="BH12" s="3">
        <f>IF($C$5="ON",CH12,MyRating(_E5,$B12,Efficacy!$F$1))</f>
        <v>3</v>
      </c>
      <c r="BI12" s="3">
        <f>IF($C$5="ON",CI12,MyRating(_E6,$B12,Efficacy!$F$1))</f>
        <v>3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IF($C$5="ON",CL12,MyRating(_S1,$B12,Efficacy!$F$1))</f>
        <v>4</v>
      </c>
      <c r="BM12" s="3">
        <f>IF($C$5="ON",CM12,MyRating(_S2,$B12,Efficacy!$F$1))</f>
        <v>3</v>
      </c>
      <c r="BN12" s="3">
        <f>IF($C$5="ON",CN12,MyRating(_S3,$B12,Efficacy!$F$1))</f>
        <v>3</v>
      </c>
      <c r="BO12" s="3">
        <f>IF($C$5="ON",CO12,MyRating(_S4,$B12,Efficacy!$F$1))</f>
        <v>4</v>
      </c>
      <c r="BP12" s="3">
        <f>IF($C$5="ON",CP12,MyRating(_S5,$B12,Efficacy!$F$1))</f>
        <v>5</v>
      </c>
      <c r="BQ12" s="3">
        <f>IF($C$5="ON",CQ12,MyRating(_S6,$B12,Efficacy!$F$1))</f>
        <v>2</v>
      </c>
      <c r="BR12" s="3">
        <f>IF($C$5="ON",CR12,MyRating(_S7,$B12,Efficacy!$F$1))</f>
        <v>3</v>
      </c>
      <c r="BS12" s="3">
        <f>IF($C$5="ON",CS12,MyRating(_D1,$B12,Efficacy!$F$1))</f>
        <v>2</v>
      </c>
      <c r="BT12" s="3">
        <f>IF($C$5="ON",CT12,MyRating(_D2,$B12,Efficacy!$F$1))</f>
        <v>2</v>
      </c>
      <c r="BU12" s="3">
        <f>IF($C$5="ON",CU12,MyRating(_D3,$B12,Efficacy!$F$1))</f>
        <v>2</v>
      </c>
      <c r="BV12" s="3">
        <f>IF($C$5="ON",CV12,MyRating(_D4,$B12,Efficacy!$F$1))</f>
        <v>1</v>
      </c>
      <c r="BW12" s="3">
        <f>IF($C$5="ON",CW12,MyRating(_B1G5,$B12,Barrier!$L$2))</f>
        <v>2</v>
      </c>
      <c r="BX12" s="3">
        <f>IF($C$5="ON",CX12,MyRating(_B2,$B12,Barrier!$F$2))</f>
        <v>1</v>
      </c>
      <c r="BY12" s="6">
        <f>IF($C$5="ON",CY12,MyRating(_B3,$B12,Barrier!$F$2))</f>
        <v>1</v>
      </c>
      <c r="BZ12" s="5">
        <f t="shared" si="9"/>
        <v>0</v>
      </c>
      <c r="CA12" s="8">
        <f t="shared" si="6"/>
        <v>1.2000000000000002</v>
      </c>
      <c r="CB12" s="5">
        <f t="shared" si="7"/>
        <v>1.4117647058823539E-2</v>
      </c>
      <c r="CC12" s="7">
        <f t="shared" si="8"/>
        <v>1.6774264257487204E-3</v>
      </c>
      <c r="CD12" s="4">
        <v>3</v>
      </c>
      <c r="CE12" s="3">
        <v>5</v>
      </c>
      <c r="CF12" s="3">
        <v>5</v>
      </c>
      <c r="CG12" s="3">
        <v>4</v>
      </c>
      <c r="CH12" s="3">
        <v>3</v>
      </c>
      <c r="CI12" s="3">
        <v>3</v>
      </c>
      <c r="CJ12" s="3">
        <v>3</v>
      </c>
      <c r="CK12" s="3">
        <v>3</v>
      </c>
      <c r="CL12" s="3">
        <v>5</v>
      </c>
      <c r="CM12" s="3">
        <v>3</v>
      </c>
      <c r="CN12" s="3">
        <v>3</v>
      </c>
      <c r="CO12" s="3">
        <v>4</v>
      </c>
      <c r="CP12" s="3">
        <v>5</v>
      </c>
      <c r="CQ12" s="3">
        <v>2</v>
      </c>
      <c r="CR12" s="3">
        <v>3</v>
      </c>
      <c r="CS12" s="3">
        <v>2</v>
      </c>
      <c r="CT12" s="3">
        <v>2</v>
      </c>
      <c r="CU12" s="3">
        <v>2</v>
      </c>
      <c r="CV12" s="3">
        <v>1</v>
      </c>
      <c r="CW12" s="3">
        <v>2</v>
      </c>
      <c r="CX12" s="3">
        <v>1</v>
      </c>
      <c r="CY12" s="6">
        <v>1</v>
      </c>
      <c r="CZ12" s="5">
        <v>1.0501667745898752E-2</v>
      </c>
      <c r="DA12" s="59"/>
    </row>
    <row r="13" spans="1:105" x14ac:dyDescent="0.25">
      <c r="A13" s="9" t="str">
        <f t="shared" si="0"/>
        <v>JP</v>
      </c>
      <c r="B13" s="9" t="s">
        <v>280</v>
      </c>
      <c r="C13" s="20"/>
      <c r="D13" s="9" t="s">
        <v>2</v>
      </c>
      <c r="E13" s="9" t="s">
        <v>186</v>
      </c>
      <c r="F13" s="9" t="str">
        <f>INDEX('Unique Asset List'!$C$4:$C$60,MATCH(B13,_CompoundList,0))</f>
        <v>REG</v>
      </c>
      <c r="G13" s="19">
        <v>0</v>
      </c>
      <c r="H13" s="9">
        <v>2014</v>
      </c>
      <c r="I13" s="9">
        <v>6</v>
      </c>
      <c r="J13" s="18">
        <f>INDEX(PTRS!$D$6:$D$12,MATCH('7'!$F13,PTRS!$B$6:$B$12,0))</f>
        <v>0.9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v>0.58500000000000008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1"/>
        <v>0.19245008972987526</v>
      </c>
      <c r="V13" s="17">
        <v>0.42</v>
      </c>
      <c r="W13" s="9" t="s">
        <v>62</v>
      </c>
      <c r="X13" s="9">
        <f>INDEX('Unique Asset List'!$Y$4:$AE$60,MATCH('7'!$B13,'Unique Asset List'!$A$4:$A$60,0),MATCH('7'!$C$1,'Unique Asset List'!$Y$3:$AE$3,0))</f>
        <v>2022</v>
      </c>
      <c r="Y13" s="9">
        <f>INDEX('Unique Asset List'!$AF$4:$AL$60,MATCH('7'!$B13,'Unique Asset List'!$A$4:$A$60,0),MATCH('7'!$C$1,'Unique Asset List'!$AF$3:$AL$3,0))</f>
        <v>11</v>
      </c>
      <c r="Z13" s="9">
        <f>INDEX('Unique Asset List'!$AT$4:$AZ$60,MATCH('7'!$B13,'Unique Asset List'!$A$4:$A$60,0),MATCH('7'!$C$1,'Unique Asset List'!$AT$3:$AZ$3,0))</f>
        <v>2030</v>
      </c>
      <c r="AA13" s="9">
        <f>INDEX('Unique Asset List'!$BA$4:$BG$60,MATCH('7'!$B13,'Unique Asset List'!$A$4:$A$60,0),MATCH('7'!$C$1,'Unique Asset List'!$BA$3:$BG$3,0))</f>
        <v>11</v>
      </c>
      <c r="AB13" s="16">
        <f t="shared" si="2"/>
        <v>2.4575697999999999</v>
      </c>
      <c r="AC13" s="16">
        <f t="shared" si="3"/>
        <v>0.91994010000000004</v>
      </c>
      <c r="AD13" s="16">
        <f t="shared" si="4"/>
        <v>0.35908660413999993</v>
      </c>
      <c r="AE13" s="15">
        <f>INDEX('Unique Asset List'!$CJ$4:$CP$60,MATCH('7'!$B13,'Unique Asset List'!$A$4:$A$60,0),MATCH('7'!$C$1,'Unique Asset List'!$CJ$3:$CP$3,0))</f>
        <v>0.23</v>
      </c>
      <c r="AF13" s="15">
        <f>INDEX('Unique Asset List'!$CQ$4:$CW$60,MATCH('7'!$B13,'Unique Asset List'!$A$4:$A$60,0),MATCH('7'!$C$1,'Unique Asset List'!$CQ$3:$CW$3,0))</f>
        <v>0.27</v>
      </c>
      <c r="AG13" s="15">
        <f>INDEX('Unique Asset List'!$BV$4:$CB$60,MATCH('7'!$B13,'Unique Asset List'!$A$4:$A$60,0),MATCH('7'!$C$1,'Unique Asset List'!$BV$3:$CB$3,0))</f>
        <v>0.23</v>
      </c>
      <c r="AH13" s="15">
        <f>INDEX('Unique Asset List'!$CC$4:$CI$60,MATCH('7'!$B13,'Unique Asset List'!$A$4:$A$60,0),MATCH('7'!$C$1,'Unique Asset List'!$CC$3:$CI$3,0))</f>
        <v>0.27</v>
      </c>
      <c r="AI13" s="11">
        <v>0.7</v>
      </c>
      <c r="AJ13" s="15">
        <f>INDEX('Unique Asset List'!$BH$4:$BN$60,MATCH('7'!$B13,'Unique Asset List'!$A$4:$A$60,0),MATCH('7'!$C$1,'Unique Asset List'!$BH$3:$BN$3,0))</f>
        <v>0.14000000000000001</v>
      </c>
      <c r="AK13" s="15">
        <f>INDEX('Unique Asset List'!$BO$4:$BU$60,MATCH('7'!$B13,'Unique Asset List'!$A$4:$A$60,0),MATCH('7'!$C$1,'Unique Asset List'!$BO$3:$BU$3,0))</f>
        <v>0.15</v>
      </c>
      <c r="AL13" s="40">
        <v>184.20560747663552</v>
      </c>
      <c r="AM13" s="14">
        <f>5365/365</f>
        <v>14.698630136986301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0.32340383561643832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5</v>
      </c>
      <c r="BE13" s="3">
        <f>IF($C$5="ON",CE13,MyRating(_E2,$B13,Efficacy!$F$1))</f>
        <v>5</v>
      </c>
      <c r="BF13" s="3">
        <f>IF($C$5="ON",CF13,MyRating(_E3,$B13,Efficacy!$F$1))</f>
        <v>5</v>
      </c>
      <c r="BG13" s="3">
        <f>IF($C$5="ON",CG13,MyRating(_E4,$B13,Efficacy!$F$1))</f>
        <v>5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2</v>
      </c>
      <c r="BK13" s="3">
        <f>IF($C$5="ON",CK13,MyRating(_E8,$B13,Efficacy!$F$1))</f>
        <v>5</v>
      </c>
      <c r="BL13" s="3">
        <f>IF($C$5="ON",CL13,MyRating(_S1,$B13,Efficacy!$F$1))</f>
        <v>4</v>
      </c>
      <c r="BM13" s="3">
        <f>IF($C$5="ON",CM13,MyRating(_S2,$B13,Efficacy!$F$1))</f>
        <v>3</v>
      </c>
      <c r="BN13" s="3">
        <f>IF($C$5="ON",CN13,MyRating(_S3,$B13,Efficacy!$F$1))</f>
        <v>3</v>
      </c>
      <c r="BO13" s="3">
        <f>IF($C$5="ON",CO13,MyRating(_S4,$B13,Efficacy!$F$1))</f>
        <v>4</v>
      </c>
      <c r="BP13" s="3">
        <f>IF($C$5="ON",CP13,MyRating(_S5,$B13,Efficacy!$F$1))</f>
        <v>5</v>
      </c>
      <c r="BQ13" s="3">
        <f>IF($C$5="ON",CQ13,MyRating(_S6,$B13,Efficacy!$F$1))</f>
        <v>2</v>
      </c>
      <c r="BR13" s="3">
        <f>IF($C$5="ON",CR13,MyRating(_S7,$B13,Efficacy!$F$1))</f>
        <v>3</v>
      </c>
      <c r="BS13" s="3">
        <f>IF($C$5="ON",CS13,MyRating(_D1,$B13,Efficacy!$F$1))</f>
        <v>2</v>
      </c>
      <c r="BT13" s="3">
        <f>IF($C$5="ON",CT13,MyRating(_D2,$B13,Efficacy!$F$1))</f>
        <v>3</v>
      </c>
      <c r="BU13" s="3">
        <f>IF($C$5="ON",CU13,MyRating(_D3,$B13,Efficacy!$F$1))</f>
        <v>2</v>
      </c>
      <c r="BV13" s="3">
        <f>IF($C$5="ON",CV13,MyRating(_D4,$B13,Efficacy!$F$1))</f>
        <v>1</v>
      </c>
      <c r="BW13" s="3">
        <f>IF($C$5="ON",CW13,MyRating(_B1G5,$B13,Barrier!$L$2))</f>
        <v>1</v>
      </c>
      <c r="BX13" s="3">
        <f>IF($C$5="ON",CX13,MyRating(_B2,$B13,Barrier!$F$2))</f>
        <v>1</v>
      </c>
      <c r="BY13" s="6">
        <f>IF($C$5="ON",CY13,MyRating(_B3,$B13,Barrier!$F$2))</f>
        <v>1</v>
      </c>
      <c r="BZ13" s="5">
        <f t="shared" si="9"/>
        <v>7.1303809307835921E-3</v>
      </c>
      <c r="CA13" s="8">
        <f t="shared" si="6"/>
        <v>1</v>
      </c>
      <c r="CB13" s="5">
        <f t="shared" si="7"/>
        <v>1.1764705882352946E-2</v>
      </c>
      <c r="CC13" s="7">
        <f t="shared" si="8"/>
        <v>1.2760615165803312E-3</v>
      </c>
      <c r="CD13" s="4">
        <v>5</v>
      </c>
      <c r="CE13" s="3">
        <v>5</v>
      </c>
      <c r="CF13" s="3">
        <v>5</v>
      </c>
      <c r="CG13" s="3">
        <v>4</v>
      </c>
      <c r="CH13" s="3">
        <v>3</v>
      </c>
      <c r="CI13" s="3">
        <v>3</v>
      </c>
      <c r="CJ13" s="3">
        <v>3</v>
      </c>
      <c r="CK13" s="3">
        <v>4</v>
      </c>
      <c r="CL13" s="3">
        <v>4</v>
      </c>
      <c r="CM13" s="3">
        <v>3</v>
      </c>
      <c r="CN13" s="3">
        <v>3</v>
      </c>
      <c r="CO13" s="3">
        <v>3</v>
      </c>
      <c r="CP13" s="3">
        <v>5</v>
      </c>
      <c r="CQ13" s="3">
        <v>2</v>
      </c>
      <c r="CR13" s="3">
        <v>3</v>
      </c>
      <c r="CS13" s="3">
        <v>2</v>
      </c>
      <c r="CT13" s="3">
        <v>3</v>
      </c>
      <c r="CU13" s="3">
        <v>3</v>
      </c>
      <c r="CV13" s="3">
        <v>1</v>
      </c>
      <c r="CW13" s="3">
        <v>1</v>
      </c>
      <c r="CX13" s="3">
        <v>1</v>
      </c>
      <c r="CY13" s="6">
        <v>1</v>
      </c>
      <c r="CZ13" s="5">
        <v>9.9044671286996639E-3</v>
      </c>
      <c r="DA13" s="59"/>
    </row>
    <row r="14" spans="1:105" x14ac:dyDescent="0.25">
      <c r="A14" s="9" t="str">
        <f t="shared" si="0"/>
        <v>JP</v>
      </c>
      <c r="B14" s="9" t="s">
        <v>92</v>
      </c>
      <c r="C14" s="20" t="s">
        <v>3</v>
      </c>
      <c r="D14" s="9" t="s">
        <v>91</v>
      </c>
      <c r="E14" s="9" t="s">
        <v>90</v>
      </c>
      <c r="F14" s="9" t="str">
        <f>INDEX('Unique Asset List'!$C$4:$C$60,MATCH(B14,_CompoundList,0))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INDEX(PTRS!$D$6:$D$12,MATCH('7'!$F14,PTRS!$B$6:$B$12,0))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1"/>
        <v>0</v>
      </c>
      <c r="V14" s="17">
        <v>1</v>
      </c>
      <c r="W14" s="9" t="s">
        <v>54</v>
      </c>
      <c r="X14" s="9">
        <f>INDEX('Unique Asset List'!$Y$4:$AE$60,MATCH('7'!$B14,'Unique Asset List'!$A$4:$A$60,0),MATCH('7'!$C$1,'Unique Asset List'!$Y$3:$AE$3,0))</f>
        <v>2016</v>
      </c>
      <c r="Y14" s="9">
        <f>INDEX('Unique Asset List'!$AF$4:$AL$60,MATCH('7'!$B14,'Unique Asset List'!$A$4:$A$60,0),MATCH('7'!$C$1,'Unique Asset List'!$AF$3:$AL$3,0))</f>
        <v>7</v>
      </c>
      <c r="Z14" s="9">
        <f>INDEX('Unique Asset List'!$AT$4:$AZ$60,MATCH('7'!$B14,'Unique Asset List'!$A$4:$A$60,0),MATCH('7'!$C$1,'Unique Asset List'!$AT$3:$AZ$3,0))</f>
        <v>2024</v>
      </c>
      <c r="AA14" s="9">
        <f>INDEX('Unique Asset List'!$BA$4:$BG$60,MATCH('7'!$B14,'Unique Asset List'!$A$4:$A$60,0),MATCH('7'!$C$1,'Unique Asset List'!$BA$3:$BG$3,0))</f>
        <v>7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List'!$CJ$4:$CP$60,MATCH('7'!$B14,'Unique Asset List'!$A$4:$A$60,0),MATCH('7'!$C$1,'Unique Asset List'!$CJ$3:$CP$3,0))</f>
        <v>0.16</v>
      </c>
      <c r="AF14" s="15">
        <f>INDEX('Unique Asset List'!$CQ$4:$CW$60,MATCH('7'!$B14,'Unique Asset List'!$A$4:$A$60,0),MATCH('7'!$C$1,'Unique Asset List'!$CQ$3:$CW$3,0))</f>
        <v>0.34</v>
      </c>
      <c r="AG14" s="15">
        <f>INDEX('Unique Asset List'!$BV$4:$CB$60,MATCH('7'!$B14,'Unique Asset List'!$A$4:$A$60,0),MATCH('7'!$C$1,'Unique Asset List'!$BV$3:$CB$3,0))</f>
        <v>0.16</v>
      </c>
      <c r="AH14" s="15">
        <f>INDEX('Unique Asset List'!$CC$4:$CI$60,MATCH('7'!$B14,'Unique Asset List'!$A$4:$A$60,0),MATCH('7'!$C$1,'Unique Asset List'!$CC$3:$CI$3,0))</f>
        <v>0.34</v>
      </c>
      <c r="AI14" s="11">
        <v>0.7</v>
      </c>
      <c r="AJ14" s="15">
        <f>INDEX('Unique Asset List'!$BH$4:$BN$60,MATCH('7'!$B14,'Unique Asset List'!$A$4:$A$60,0),MATCH('7'!$C$1,'Unique Asset List'!$BH$3:$BN$3,0))</f>
        <v>0.14000000000000001</v>
      </c>
      <c r="AK14" s="15">
        <f>INDEX('Unique Asset List'!$BO$4:$BU$60,MATCH('7'!$B14,'Unique Asset List'!$A$4:$A$60,0),MATCH('7'!$C$1,'Unique Asset List'!$BO$3:$BU$3,0))</f>
        <v>0.15</v>
      </c>
      <c r="AL14" s="40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1</v>
      </c>
      <c r="AQ14" s="12">
        <v>0</v>
      </c>
      <c r="AR14" s="11">
        <f t="shared" si="5"/>
        <v>1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3</v>
      </c>
      <c r="BE14" s="3">
        <f>IF($C$5="ON",CE14,MyRating(_E2,$B14,Efficacy!$F$1))</f>
        <v>3</v>
      </c>
      <c r="BF14" s="3">
        <f>IF($C$5="ON",CF14,MyRating(_E3,$B14,Efficacy!$F$1))</f>
        <v>3</v>
      </c>
      <c r="BG14" s="3">
        <f>IF($C$5="ON",CG14,MyRating(_E4,$B14,Efficacy!$F$1))</f>
        <v>3</v>
      </c>
      <c r="BH14" s="3">
        <f>IF($C$5="ON",CH14,MyRating(_E5,$B14,Efficacy!$F$1))</f>
        <v>3</v>
      </c>
      <c r="BI14" s="3">
        <f>IF($C$5="ON",CI14,MyRating(_E6,$B14,Efficacy!$F$1))</f>
        <v>3</v>
      </c>
      <c r="BJ14" s="3">
        <f>IF($C$5="ON",CJ14,MyRating(_E7,$B14,Efficacy!$F$1))</f>
        <v>3</v>
      </c>
      <c r="BK14" s="3">
        <f>IF($C$5="ON",CK14,MyRating(_E8,$B14,Efficacy!$F$1))</f>
        <v>3</v>
      </c>
      <c r="BL14" s="3">
        <f>IF($C$5="ON",CL14,MyRating(_S1,$B14,Efficacy!$F$1))</f>
        <v>3</v>
      </c>
      <c r="BM14" s="3">
        <f>IF($C$5="ON",CM14,MyRating(_S2,$B14,Efficacy!$F$1))</f>
        <v>3</v>
      </c>
      <c r="BN14" s="3">
        <f>IF($C$5="ON",CN14,MyRating(_S3,$B14,Efficacy!$F$1))</f>
        <v>3</v>
      </c>
      <c r="BO14" s="3">
        <f>IF($C$5="ON",CO14,MyRating(_S4,$B14,Efficacy!$F$1))</f>
        <v>4</v>
      </c>
      <c r="BP14" s="3">
        <f>IF($C$5="ON",CP14,MyRating(_S5,$B14,Efficacy!$F$1))</f>
        <v>3</v>
      </c>
      <c r="BQ14" s="3">
        <f>IF($C$5="ON",CQ14,MyRating(_S6,$B14,Efficacy!$F$1))</f>
        <v>3</v>
      </c>
      <c r="BR14" s="3">
        <f>IF($C$5="ON",CR14,MyRating(_S7,$B14,Efficacy!$F$1))</f>
        <v>3</v>
      </c>
      <c r="BS14" s="3">
        <f>IF($C$5="ON",CS14,MyRating(_D1,$B14,Efficacy!$F$1))</f>
        <v>3</v>
      </c>
      <c r="BT14" s="3">
        <f>IF($C$5="ON",CT14,MyRating(_D2,$B14,Efficacy!$F$1))</f>
        <v>3</v>
      </c>
      <c r="BU14" s="3">
        <f>IF($C$5="ON",CU14,MyRating(_D3,$B14,Efficacy!$F$1))</f>
        <v>3</v>
      </c>
      <c r="BV14" s="3">
        <f>IF($C$5="ON",CV14,MyRating(_D4,$B14,Efficacy!$F$1))</f>
        <v>3</v>
      </c>
      <c r="BW14" s="3">
        <f>IF($C$5="ON",CW14,MyRating(_B1G5,$B14,Barrier!$L$2))</f>
        <v>2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9"/>
        <v>0</v>
      </c>
      <c r="CA14" s="8">
        <f t="shared" si="6"/>
        <v>2.8000000000000003</v>
      </c>
      <c r="CB14" s="5">
        <f t="shared" si="7"/>
        <v>3.2941176470588251E-2</v>
      </c>
      <c r="CC14" s="7">
        <f t="shared" si="8"/>
        <v>5.9787261089987885E-3</v>
      </c>
      <c r="CD14" s="4">
        <v>3</v>
      </c>
      <c r="CE14" s="3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4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3</v>
      </c>
      <c r="CY14" s="6">
        <v>3</v>
      </c>
      <c r="CZ14" s="5">
        <v>3.7014903427878103E-2</v>
      </c>
      <c r="DA14" s="59"/>
    </row>
    <row r="15" spans="1:105" x14ac:dyDescent="0.25">
      <c r="A15" s="9" t="str">
        <f t="shared" si="0"/>
        <v>JP</v>
      </c>
      <c r="B15" s="9" t="s">
        <v>82</v>
      </c>
      <c r="C15" s="20"/>
      <c r="D15" s="9" t="s">
        <v>81</v>
      </c>
      <c r="E15" s="9" t="s">
        <v>186</v>
      </c>
      <c r="F15" s="9" t="str">
        <f>INDEX('Unique Asset List'!$C$4:$C$60,MATCH(B15,_CompoundList,0))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INDEX(PTRS!$D$6:$D$12,MATCH('7'!$F15,PTRS!$B$6:$B$12,0))</f>
        <v>0.58500000000000008</v>
      </c>
      <c r="K15" s="17">
        <f>INDEX('Unique Asset List'!$D$4:$M$60,MATCH($B15,'Unique Asset List'!$A$4:$A$60,0),MATCH(K$8,'Unique Asset List'!$D$3:$M$3,0))</f>
        <v>0</v>
      </c>
      <c r="L15" s="17">
        <f>INDEX('Unique Asset List'!$D$4:$M$60,MATCH($B15,'Unique Asset List'!$A$4:$A$60,0),MATCH(L$8,'Unique Asset List'!$D$3:$M$3,0))</f>
        <v>0</v>
      </c>
      <c r="M15" s="17">
        <v>0.19500000000000003</v>
      </c>
      <c r="N15" s="17">
        <f>INDEX('Unique Asset List'!$D$4:$M$60,MATCH($B15,'Unique Asset List'!$A$4:$A$60,0),MATCH(N$8,'Unique Asset List'!$D$3:$M$3,0))</f>
        <v>0.58500000000000008</v>
      </c>
      <c r="O15" s="17">
        <f>INDEX('Unique Asset List'!$D$4:$M$60,MATCH($B15,'Unique Asset List'!$A$4:$A$60,0),MATCH(O$8,'Unique Asset List'!$D$3:$M$3,0))</f>
        <v>0.58500000000000008</v>
      </c>
      <c r="P15" s="17">
        <f>INDEX('Unique Asset List'!$D$4:$M$60,MATCH($B15,'Unique Asset List'!$A$4:$A$60,0),MATCH(P$8,'Unique Asset List'!$D$3:$M$3,0))</f>
        <v>0.58500000000000008</v>
      </c>
      <c r="Q15" s="17">
        <f>INDEX('Unique Asset List'!$D$4:$M$60,MATCH($B15,'Unique Asset List'!$A$4:$A$60,0),MATCH(Q$8,'Unique Asset List'!$D$3:$M$3,0))</f>
        <v>0.58500000000000008</v>
      </c>
      <c r="R15" s="17">
        <f>INDEX('Unique Asset List'!$D$4:$M$60,MATCH($B15,'Unique Asset List'!$A$4:$A$60,0),MATCH(R$8,'Unique Asset List'!$D$3:$M$3,0))</f>
        <v>0.58500000000000008</v>
      </c>
      <c r="S15" s="17">
        <f>INDEX('Unique Asset List'!$D$4:$M$60,MATCH($B15,'Unique Asset List'!$A$4:$A$60,0),MATCH(S$8,'Unique Asset List'!$D$3:$M$3,0))</f>
        <v>0</v>
      </c>
      <c r="T15" s="17"/>
      <c r="U15" s="17">
        <f t="shared" si="1"/>
        <v>0.90168566420734264</v>
      </c>
      <c r="V15" s="17">
        <v>1</v>
      </c>
      <c r="W15" s="9" t="s">
        <v>188</v>
      </c>
      <c r="X15" s="9">
        <f>INDEX('Unique Asset List'!$Y$4:$AE$60,MATCH('7'!$B15,'Unique Asset List'!$A$4:$A$60,0),MATCH('7'!$C$1,'Unique Asset List'!$Y$3:$AE$3,0))</f>
        <v>2023</v>
      </c>
      <c r="Y15" s="9">
        <f>INDEX('Unique Asset List'!$AF$4:$AL$60,MATCH('7'!$B15,'Unique Asset List'!$A$4:$A$60,0),MATCH('7'!$C$1,'Unique Asset List'!$AF$3:$AL$3,0))</f>
        <v>4</v>
      </c>
      <c r="Z15" s="9">
        <f>INDEX('Unique Asset List'!$AT$4:$AZ$60,MATCH('7'!$B15,'Unique Asset List'!$A$4:$A$60,0),MATCH('7'!$C$1,'Unique Asset List'!$AT$3:$AZ$3,0))</f>
        <v>2031</v>
      </c>
      <c r="AA15" s="9">
        <f>INDEX('Unique Asset List'!$BA$4:$BG$60,MATCH('7'!$B15,'Unique Asset List'!$A$4:$A$60,0),MATCH('7'!$C$1,'Unique Asset List'!$BA$3:$BG$3,0))</f>
        <v>4</v>
      </c>
      <c r="AB15" s="16">
        <f t="shared" si="2"/>
        <v>1.6860000000000002</v>
      </c>
      <c r="AC15" s="16">
        <f t="shared" si="3"/>
        <v>0.97325250000000008</v>
      </c>
      <c r="AD15" s="16">
        <f t="shared" si="4"/>
        <v>0.38169906301999995</v>
      </c>
      <c r="AE15" s="15">
        <f>INDEX('Unique Asset List'!$CJ$4:$CP$60,MATCH('7'!$B15,'Unique Asset List'!$A$4:$A$60,0),MATCH('7'!$C$1,'Unique Asset List'!$CJ$3:$CP$3,0))</f>
        <v>0.16</v>
      </c>
      <c r="AF15" s="15">
        <f>INDEX('Unique Asset List'!$CQ$4:$CW$60,MATCH('7'!$B15,'Unique Asset List'!$A$4:$A$60,0),MATCH('7'!$C$1,'Unique Asset List'!$CQ$3:$CW$3,0))</f>
        <v>0.34</v>
      </c>
      <c r="AG15" s="15">
        <f>INDEX('Unique Asset List'!$BV$4:$CB$60,MATCH('7'!$B15,'Unique Asset List'!$A$4:$A$60,0),MATCH('7'!$C$1,'Unique Asset List'!$BV$3:$CB$3,0))</f>
        <v>0.16</v>
      </c>
      <c r="AH15" s="15">
        <f>INDEX('Unique Asset List'!$CC$4:$CI$60,MATCH('7'!$B15,'Unique Asset List'!$A$4:$A$60,0),MATCH('7'!$C$1,'Unique Asset List'!$CC$3:$CI$3,0))</f>
        <v>0.34</v>
      </c>
      <c r="AI15" s="11">
        <v>0.7</v>
      </c>
      <c r="AJ15" s="15">
        <f>INDEX('Unique Asset List'!$BH$4:$BN$60,MATCH('7'!$B15,'Unique Asset List'!$A$4:$A$60,0),MATCH('7'!$C$1,'Unique Asset List'!$BH$3:$BN$3,0))</f>
        <v>0.14000000000000001</v>
      </c>
      <c r="AK15" s="15">
        <f>INDEX('Unique Asset List'!$BO$4:$BU$60,MATCH('7'!$B15,'Unique Asset List'!$A$4:$A$60,0),MATCH('7'!$C$1,'Unique Asset List'!$BO$3:$BU$3,0))</f>
        <v>0.15</v>
      </c>
      <c r="AL15" s="40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81">
        <f>INDEX('Unique Asset List'!N$4:N$60,MATCH($B15,_CompoundList,0))</f>
        <v>0</v>
      </c>
      <c r="AU15" s="181">
        <f>INDEX('Unique Asset List'!O$4:O$60,MATCH($B15,_CompoundList,0))</f>
        <v>0</v>
      </c>
      <c r="AV15" s="181">
        <f>INDEX('Unique Asset List'!P$4:P$60,MATCH($B15,_CompoundList,0))</f>
        <v>0</v>
      </c>
      <c r="AW15" s="181">
        <f>INDEX('Unique Asset List'!Q$4:Q$60,MATCH($B15,_CompoundList,0))</f>
        <v>0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0</v>
      </c>
      <c r="AZ15" s="181">
        <f ca="1">INDEX('Unique Asset List'!T$4:T$60,MATCH($B15,_CompoundList,0))</f>
        <v>0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0</v>
      </c>
      <c r="BC15" s="181">
        <f ca="1">INDEX('Unique Asset List'!W$4:W$60,MATCH($B15,_CompoundList,0))</f>
        <v>0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3</v>
      </c>
      <c r="BL15" s="3">
        <f>IF($C$5="ON",CL15,MyRating(_S1,$B15,Efficacy!$F$1))</f>
        <v>4</v>
      </c>
      <c r="BM15" s="3">
        <f>IF($C$5="ON",CM15,MyRating(_S2,$B15,Efficacy!$F$1))</f>
        <v>3</v>
      </c>
      <c r="BN15" s="3">
        <f>IF($C$5="ON",CN15,MyRating(_S3,$B15,Efficacy!$F$1))</f>
        <v>3</v>
      </c>
      <c r="BO15" s="3">
        <f>IF($C$5="ON",CO15,MyRating(_S4,$B15,Efficacy!$F$1))</f>
        <v>4</v>
      </c>
      <c r="BP15" s="3">
        <f>IF($C$5="ON",CP15,MyRating(_S5,$B15,Efficacy!$F$1))</f>
        <v>5</v>
      </c>
      <c r="BQ15" s="3">
        <f>IF($C$5="ON",CQ15,MyRating(_S6,$B15,Efficacy!$F$1))</f>
        <v>3</v>
      </c>
      <c r="BR15" s="3">
        <f>IF($C$5="ON",CR15,MyRating(_S7,$B15,Efficacy!$F$1))</f>
        <v>4</v>
      </c>
      <c r="BS15" s="3">
        <f>IF($C$5="ON",CS15,MyRating(_D1,$B15,Efficacy!$F$1))</f>
        <v>2</v>
      </c>
      <c r="BT15" s="3">
        <f>IF($C$5="ON",CT15,MyRating(_D2,$B15,Efficacy!$F$1))</f>
        <v>3</v>
      </c>
      <c r="BU15" s="3">
        <f>IF($C$5="ON",CU15,MyRating(_D3,$B15,Efficacy!$F$1))</f>
        <v>1</v>
      </c>
      <c r="BV15" s="3">
        <f>IF($C$5="ON",CV15,MyRating(_D4,$B15,Efficacy!$F$1))</f>
        <v>2</v>
      </c>
      <c r="BW15" s="3">
        <f>IF($C$5="ON",CW15,MyRating(_B1G5,$B15,Barrier!$L$2))</f>
        <v>2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9"/>
        <v>3.3407946312985805E-2</v>
      </c>
      <c r="CA15" s="8">
        <f t="shared" si="6"/>
        <v>2.8000000000000003</v>
      </c>
      <c r="CB15" s="5">
        <f t="shared" si="7"/>
        <v>3.2941176470588251E-2</v>
      </c>
      <c r="CC15" s="7">
        <f t="shared" si="8"/>
        <v>5.9787261089987885E-3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5</v>
      </c>
      <c r="CM15" s="3">
        <v>3</v>
      </c>
      <c r="CN15" s="3">
        <v>3</v>
      </c>
      <c r="CO15" s="3">
        <v>4</v>
      </c>
      <c r="CP15" s="3">
        <v>5</v>
      </c>
      <c r="CQ15" s="3">
        <v>3</v>
      </c>
      <c r="CR15" s="3">
        <v>4</v>
      </c>
      <c r="CS15" s="3">
        <v>2</v>
      </c>
      <c r="CT15" s="3">
        <v>3</v>
      </c>
      <c r="CU15" s="3">
        <v>1</v>
      </c>
      <c r="CV15" s="3">
        <v>2</v>
      </c>
      <c r="CW15" s="3">
        <v>2</v>
      </c>
      <c r="CX15" s="3">
        <v>3</v>
      </c>
      <c r="CY15" s="6">
        <v>3</v>
      </c>
      <c r="CZ15" s="5">
        <v>3.6275844714639842E-2</v>
      </c>
      <c r="DA15" s="59"/>
    </row>
    <row r="16" spans="1:105" x14ac:dyDescent="0.25">
      <c r="A16" s="9" t="str">
        <f t="shared" si="0"/>
        <v>JP</v>
      </c>
      <c r="B16" s="9" t="s">
        <v>83</v>
      </c>
      <c r="C16" s="20"/>
      <c r="D16" s="9" t="s">
        <v>64</v>
      </c>
      <c r="E16" s="9" t="s">
        <v>186</v>
      </c>
      <c r="F16" s="9" t="str">
        <f>INDEX('Unique Asset List'!$C$4:$C$60,MATCH(B16,_CompoundList,0))</f>
        <v>Ph3</v>
      </c>
      <c r="G16" s="19">
        <v>0</v>
      </c>
      <c r="H16" s="9">
        <v>2014</v>
      </c>
      <c r="I16" s="9">
        <v>6</v>
      </c>
      <c r="J16" s="18">
        <f>INDEX(PTRS!$D$6:$D$12,MATCH('7'!$F16,PTRS!$B$6:$B$12,0))</f>
        <v>0.58500000000000008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7">
        <v>0.19500000000000003</v>
      </c>
      <c r="N16" s="17">
        <f>INDEX('Unique Asset List'!$D$4:$M$60,MATCH($B16,'Unique Asset List'!$A$4:$A$60,0),MATCH(N$8,'Unique Asset List'!$D$3:$M$3,0))</f>
        <v>0.58500000000000008</v>
      </c>
      <c r="O16" s="17">
        <f>INDEX('Unique Asset List'!$D$4:$M$60,MATCH($B16,'Unique Asset List'!$A$4:$A$60,0),MATCH(O$8,'Unique Asset List'!$D$3:$M$3,0))</f>
        <v>0.58500000000000008</v>
      </c>
      <c r="P16" s="17">
        <f>INDEX('Unique Asset List'!$D$4:$M$60,MATCH($B16,'Unique Asset List'!$A$4:$A$60,0),MATCH(P$8,'Unique Asset List'!$D$3:$M$3,0))</f>
        <v>0.58500000000000008</v>
      </c>
      <c r="Q16" s="17">
        <f>INDEX('Unique Asset List'!$D$4:$M$60,MATCH($B16,'Unique Asset List'!$A$4:$A$60,0),MATCH(Q$8,'Unique Asset List'!$D$3:$M$3,0))</f>
        <v>0.58500000000000008</v>
      </c>
      <c r="R16" s="17">
        <f>INDEX('Unique Asset List'!$D$4:$M$60,MATCH($B16,'Unique Asset List'!$A$4:$A$60,0),MATCH(R$8,'Unique Asset List'!$D$3:$M$3,0))</f>
        <v>0.58500000000000008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1"/>
        <v>0.19245008972987526</v>
      </c>
      <c r="V16" s="17">
        <f>V13</f>
        <v>0.42</v>
      </c>
      <c r="W16" s="9" t="s">
        <v>62</v>
      </c>
      <c r="X16" s="9">
        <f>INDEX('Unique Asset List'!$Y$4:$AE$60,MATCH('7'!$B16,'Unique Asset List'!$A$4:$A$60,0),MATCH('7'!$C$1,'Unique Asset List'!$Y$3:$AE$3,0))</f>
        <v>2022</v>
      </c>
      <c r="Y16" s="9">
        <f>INDEX('Unique Asset List'!$AF$4:$AL$60,MATCH('7'!$B16,'Unique Asset List'!$A$4:$A$60,0),MATCH('7'!$C$1,'Unique Asset List'!$AF$3:$AL$3,0))</f>
        <v>2</v>
      </c>
      <c r="Z16" s="9">
        <f>INDEX('Unique Asset List'!$AT$4:$AZ$60,MATCH('7'!$B16,'Unique Asset List'!$A$4:$A$60,0),MATCH('7'!$C$1,'Unique Asset List'!$AT$3:$AZ$3,0))</f>
        <v>2030</v>
      </c>
      <c r="AA16" s="9">
        <f>INDEX('Unique Asset List'!$BA$4:$BG$60,MATCH('7'!$B16,'Unique Asset List'!$A$4:$A$60,0),MATCH('7'!$C$1,'Unique Asset List'!$BA$3:$BG$3,0))</f>
        <v>2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0.52867185888000001</v>
      </c>
      <c r="AE16" s="15">
        <f>INDEX('Unique Asset List'!$CJ$4:$CP$60,MATCH('7'!$B16,'Unique Asset List'!$A$4:$A$60,0),MATCH('7'!$C$1,'Unique Asset List'!$CJ$3:$CP$3,0))</f>
        <v>0.23</v>
      </c>
      <c r="AF16" s="15">
        <f>INDEX('Unique Asset List'!$CQ$4:$CW$60,MATCH('7'!$B16,'Unique Asset List'!$A$4:$A$60,0),MATCH('7'!$C$1,'Unique Asset List'!$CQ$3:$CW$3,0))</f>
        <v>0.27</v>
      </c>
      <c r="AG16" s="15">
        <f>INDEX('Unique Asset List'!$BV$4:$CB$60,MATCH('7'!$B16,'Unique Asset List'!$A$4:$A$60,0),MATCH('7'!$C$1,'Unique Asset List'!$BV$3:$CB$3,0))</f>
        <v>0.23</v>
      </c>
      <c r="AH16" s="15">
        <f>INDEX('Unique Asset List'!$CC$4:$CI$60,MATCH('7'!$B16,'Unique Asset List'!$A$4:$A$60,0),MATCH('7'!$C$1,'Unique Asset List'!$CC$3:$CI$3,0))</f>
        <v>0.27</v>
      </c>
      <c r="AI16" s="11">
        <v>0.7</v>
      </c>
      <c r="AJ16" s="15">
        <f>INDEX('Unique Asset List'!$BH$4:$BN$60,MATCH('7'!$B16,'Unique Asset List'!$A$4:$A$60,0),MATCH('7'!$C$1,'Unique Asset List'!$BH$3:$BN$3,0))</f>
        <v>0.14000000000000001</v>
      </c>
      <c r="AK16" s="15">
        <f>INDEX('Unique Asset List'!$BO$4:$BU$60,MATCH('7'!$B16,'Unique Asset List'!$A$4:$A$60,0),MATCH('7'!$C$1,'Unique Asset List'!$BO$3:$BU$3,0))</f>
        <v>0.15</v>
      </c>
      <c r="AL16" s="40">
        <v>169</v>
      </c>
      <c r="AM16" s="14">
        <f>5365/365</f>
        <v>14.698630136986301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0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0</v>
      </c>
      <c r="BA16" s="181">
        <f ca="1">INDEX('Unique Asset List'!U$4:U$60,MATCH($B16,_CompoundList,0))</f>
        <v>1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3</v>
      </c>
      <c r="BF16" s="3">
        <f>IF($C$5="ON",CF16,MyRating(_E3,$B16,Efficacy!$F$1))</f>
        <v>3</v>
      </c>
      <c r="BG16" s="3">
        <f>IF($C$5="ON",CG16,MyRating(_E4,$B16,Efficacy!$F$1))</f>
        <v>3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IF($C$5="ON",CL16,MyRating(_S1,$B16,Efficacy!$F$1))</f>
        <v>3</v>
      </c>
      <c r="BM16" s="3">
        <f>IF($C$5="ON",CM16,MyRating(_S2,$B16,Efficacy!$F$1))</f>
        <v>3</v>
      </c>
      <c r="BN16" s="3">
        <f>IF($C$5="ON",CN16,MyRating(_S3,$B16,Efficacy!$F$1))</f>
        <v>3</v>
      </c>
      <c r="BO16" s="3">
        <f>IF($C$5="ON",CO16,MyRating(_S4,$B16,Efficacy!$F$1))</f>
        <v>3</v>
      </c>
      <c r="BP16" s="3">
        <f>IF($C$5="ON",CP16,MyRating(_S5,$B16,Efficacy!$F$1))</f>
        <v>3</v>
      </c>
      <c r="BQ16" s="3">
        <f>IF($C$5="ON",CQ16,MyRating(_S6,$B16,Efficacy!$F$1))</f>
        <v>2</v>
      </c>
      <c r="BR16" s="3">
        <f>IF($C$5="ON",CR16,MyRating(_S7,$B16,Efficacy!$F$1))</f>
        <v>3</v>
      </c>
      <c r="BS16" s="3">
        <f>IF($C$5="ON",CS16,MyRating(_D1,$B16,Efficacy!$F$1))</f>
        <v>3</v>
      </c>
      <c r="BT16" s="3">
        <f>IF($C$5="ON",CT16,MyRating(_D2,$B16,Efficacy!$F$1))</f>
        <v>3</v>
      </c>
      <c r="BU16" s="3">
        <f>IF($C$5="ON",CU16,MyRating(_D3,$B16,Efficacy!$F$1))</f>
        <v>2</v>
      </c>
      <c r="BV16" s="3">
        <f>IF($C$5="ON",CV16,MyRating(_D4,$B16,Efficacy!$F$1))</f>
        <v>3</v>
      </c>
      <c r="BW16" s="3">
        <f>IF($C$5="ON",CW16,MyRating(_B1G5,$B16,Barrier!$L$2))</f>
        <v>1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9"/>
        <v>7.1303809307835921E-3</v>
      </c>
      <c r="CA16" s="8">
        <f t="shared" si="6"/>
        <v>1</v>
      </c>
      <c r="CB16" s="5">
        <f t="shared" si="7"/>
        <v>1.1764705882352946E-2</v>
      </c>
      <c r="CC16" s="7">
        <f t="shared" si="8"/>
        <v>1.2760615165803312E-3</v>
      </c>
      <c r="CD16" s="4">
        <v>3</v>
      </c>
      <c r="CE16" s="3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2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1</v>
      </c>
      <c r="CX16" s="3">
        <v>1</v>
      </c>
      <c r="CY16" s="6">
        <v>1</v>
      </c>
      <c r="CZ16" s="5">
        <v>9.9044671286996639E-3</v>
      </c>
      <c r="DA16" s="59"/>
    </row>
    <row r="17" spans="1:105" x14ac:dyDescent="0.25">
      <c r="A17" s="9" t="str">
        <f t="shared" si="0"/>
        <v>JP</v>
      </c>
      <c r="B17" s="9" t="s">
        <v>79</v>
      </c>
      <c r="C17" s="20"/>
      <c r="D17" s="9" t="s">
        <v>78</v>
      </c>
      <c r="E17" s="9" t="s">
        <v>186</v>
      </c>
      <c r="F17" s="9" t="str">
        <f>INDEX('Unique Asset List'!$C$4:$C$60,MATCH(B17,_CompoundList,0))</f>
        <v>Ph2b</v>
      </c>
      <c r="G17" s="19">
        <v>0</v>
      </c>
      <c r="H17" s="9">
        <v>2014</v>
      </c>
      <c r="I17" s="9">
        <v>6</v>
      </c>
      <c r="J17" s="18">
        <f>INDEX(PTRS!$D$6:$D$12,MATCH('7'!$F17,PTRS!$B$6:$B$12,0))</f>
        <v>0.40949999999999998</v>
      </c>
      <c r="K17" s="17">
        <f>INDEX('Unique Asset List'!$D$4:$M$60,MATCH($B17,'Unique Asset List'!$A$4:$A$60,0),MATCH(K$8,'Unique Asset List'!$D$3:$M$3,0))</f>
        <v>0</v>
      </c>
      <c r="L17" s="17">
        <f>INDEX('Unique Asset List'!$D$4:$M$60,MATCH($B17,'Unique Asset List'!$A$4:$A$60,0),MATCH(L$8,'Unique Asset List'!$D$3:$M$3,0))</f>
        <v>0</v>
      </c>
      <c r="M17" s="17">
        <v>0.13649999999999998</v>
      </c>
      <c r="N17" s="17">
        <f>INDEX('Unique Asset List'!$D$4:$M$60,MATCH($B17,'Unique Asset List'!$A$4:$A$60,0),MATCH(N$8,'Unique Asset List'!$D$3:$M$3,0))</f>
        <v>0.40949999999999998</v>
      </c>
      <c r="O17" s="17">
        <f>INDEX('Unique Asset List'!$D$4:$M$60,MATCH($B17,'Unique Asset List'!$A$4:$A$60,0),MATCH(O$8,'Unique Asset List'!$D$3:$M$3,0))</f>
        <v>0.40949999999999998</v>
      </c>
      <c r="P17" s="17">
        <f>INDEX('Unique Asset List'!$D$4:$M$60,MATCH($B17,'Unique Asset List'!$A$4:$A$60,0),MATCH(P$8,'Unique Asset List'!$D$3:$M$3,0))</f>
        <v>0.40949999999999998</v>
      </c>
      <c r="Q17" s="17">
        <f>INDEX('Unique Asset List'!$D$4:$M$60,MATCH($B17,'Unique Asset List'!$A$4:$A$60,0),MATCH(Q$8,'Unique Asset List'!$D$3:$M$3,0))</f>
        <v>0.40949999999999998</v>
      </c>
      <c r="R17" s="17">
        <f>INDEX('Unique Asset List'!$D$4:$M$60,MATCH($B17,'Unique Asset List'!$A$4:$A$60,0),MATCH(R$8,'Unique Asset List'!$D$3:$M$3,0))</f>
        <v>0.40949999999999998</v>
      </c>
      <c r="S17" s="17">
        <f>INDEX('Unique Asset List'!$D$4:$M$60,MATCH($B17,'Unique Asset List'!$A$4:$A$60,0),MATCH(S$8,'Unique Asset List'!$D$3:$M$3,0))</f>
        <v>0</v>
      </c>
      <c r="T17" s="17"/>
      <c r="U17" s="17">
        <f t="shared" si="1"/>
        <v>0.90168566420734264</v>
      </c>
      <c r="V17" s="17">
        <v>1</v>
      </c>
      <c r="W17" s="9" t="s">
        <v>62</v>
      </c>
      <c r="X17" s="9">
        <f>INDEX('Unique Asset List'!$Y$4:$AE$60,MATCH('7'!$B17,'Unique Asset List'!$A$4:$A$60,0),MATCH('7'!$C$1,'Unique Asset List'!$Y$3:$AE$3,0))</f>
        <v>2024</v>
      </c>
      <c r="Y17" s="9">
        <f>INDEX('Unique Asset List'!$AF$4:$AL$60,MATCH('7'!$B17,'Unique Asset List'!$A$4:$A$60,0),MATCH('7'!$C$1,'Unique Asset List'!$AF$3:$AL$3,0))</f>
        <v>7</v>
      </c>
      <c r="Z17" s="9">
        <f>INDEX('Unique Asset List'!$AT$4:$AZ$60,MATCH('7'!$B17,'Unique Asset List'!$A$4:$A$60,0),MATCH('7'!$C$1,'Unique Asset List'!$AT$3:$AZ$3,0))</f>
        <v>2032</v>
      </c>
      <c r="AA17" s="9">
        <f>INDEX('Unique Asset List'!$BA$4:$BG$60,MATCH('7'!$B17,'Unique Asset List'!$A$4:$A$60,0),MATCH('7'!$C$1,'Unique Asset List'!$BA$3:$BG$3,0))</f>
        <v>7</v>
      </c>
      <c r="AB17" s="16">
        <f t="shared" si="2"/>
        <v>2.0719254000000005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List'!$CJ$4:$CP$60,MATCH('7'!$B17,'Unique Asset List'!$A$4:$A$60,0),MATCH('7'!$C$1,'Unique Asset List'!$CJ$3:$CP$3,0))</f>
        <v>0.23</v>
      </c>
      <c r="AF17" s="15">
        <f>INDEX('Unique Asset List'!$CQ$4:$CW$60,MATCH('7'!$B17,'Unique Asset List'!$A$4:$A$60,0),MATCH('7'!$C$1,'Unique Asset List'!$CQ$3:$CW$3,0))</f>
        <v>0.27</v>
      </c>
      <c r="AG17" s="15">
        <f>INDEX('Unique Asset List'!$BV$4:$CB$60,MATCH('7'!$B17,'Unique Asset List'!$A$4:$A$60,0),MATCH('7'!$C$1,'Unique Asset List'!$BV$3:$CB$3,0))</f>
        <v>0.23</v>
      </c>
      <c r="AH17" s="15">
        <f>INDEX('Unique Asset List'!$CC$4:$CI$60,MATCH('7'!$B17,'Unique Asset List'!$A$4:$A$60,0),MATCH('7'!$C$1,'Unique Asset List'!$CC$3:$CI$3,0))</f>
        <v>0.27</v>
      </c>
      <c r="AI17" s="11">
        <v>0.7</v>
      </c>
      <c r="AJ17" s="15">
        <f>INDEX('Unique Asset List'!$BH$4:$BN$60,MATCH('7'!$B17,'Unique Asset List'!$A$4:$A$60,0),MATCH('7'!$C$1,'Unique Asset List'!$BH$3:$BN$3,0))</f>
        <v>0.14000000000000001</v>
      </c>
      <c r="AK17" s="15">
        <f>INDEX('Unique Asset List'!$BO$4:$BU$60,MATCH('7'!$B17,'Unique Asset List'!$A$4:$A$60,0),MATCH('7'!$C$1,'Unique Asset List'!$BO$3:$BU$3,0))</f>
        <v>0.15</v>
      </c>
      <c r="AL17" s="40">
        <v>169</v>
      </c>
      <c r="AM17" s="14">
        <f>INDEX(Simulation!$B$6:$H$6,MATCH($A17,Simulation!$B$1:$H$1,0))*(1+AN17)^((DATE(X17,Y17,15)-DATE(2017,1,15))/365.5)</f>
        <v>0.75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81">
        <f>INDEX('Unique Asset List'!N$4:N$60,MATCH($B17,_CompoundList,0))</f>
        <v>0</v>
      </c>
      <c r="AU17" s="181">
        <f>INDEX('Unique Asset List'!O$4:O$60,MATCH($B17,_CompoundList,0))</f>
        <v>0</v>
      </c>
      <c r="AV17" s="181">
        <f>INDEX('Unique Asset List'!P$4:P$60,MATCH($B17,_CompoundList,0))</f>
        <v>0</v>
      </c>
      <c r="AW17" s="181">
        <f>INDEX('Unique Asset List'!Q$4:Q$60,MATCH($B17,_CompoundList,0))</f>
        <v>0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0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4</v>
      </c>
      <c r="BE17" s="3">
        <f>IF($C$5="ON",CE17,MyRating(_E2,$B17,Efficacy!$F$1))</f>
        <v>3</v>
      </c>
      <c r="BF17" s="3">
        <f>IF($C$5="ON",CF17,MyRating(_E3,$B17,Efficacy!$F$1))</f>
        <v>4</v>
      </c>
      <c r="BG17" s="3">
        <f>IF($C$5="ON",CG17,MyRating(_E4,$B17,Efficacy!$F$1))</f>
        <v>4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3</v>
      </c>
      <c r="BK17" s="3">
        <f>IF($C$5="ON",CK17,MyRating(_E8,$B17,Efficacy!$F$1))</f>
        <v>5</v>
      </c>
      <c r="BL17" s="3">
        <f>IF($C$5="ON",CL17,MyRating(_S1,$B17,Efficacy!$F$1))</f>
        <v>4</v>
      </c>
      <c r="BM17" s="3">
        <f>IF($C$5="ON",CM17,MyRating(_S2,$B17,Efficacy!$F$1))</f>
        <v>3</v>
      </c>
      <c r="BN17" s="3">
        <f>IF($C$5="ON",CN17,MyRating(_S3,$B17,Efficacy!$F$1))</f>
        <v>3</v>
      </c>
      <c r="BO17" s="3">
        <f>IF($C$5="ON",CO17,MyRating(_S4,$B17,Efficacy!$F$1))</f>
        <v>3</v>
      </c>
      <c r="BP17" s="3">
        <f>IF($C$5="ON",CP17,MyRating(_S5,$B17,Efficacy!$F$1))</f>
        <v>5</v>
      </c>
      <c r="BQ17" s="3">
        <f>IF($C$5="ON",CQ17,MyRating(_S6,$B17,Efficacy!$F$1))</f>
        <v>2</v>
      </c>
      <c r="BR17" s="3">
        <f>IF($C$5="ON",CR17,MyRating(_S7,$B17,Efficacy!$F$1))</f>
        <v>3</v>
      </c>
      <c r="BS17" s="3">
        <f>IF($C$5="ON",CS17,MyRating(_D1,$B17,Efficacy!$F$1))</f>
        <v>3</v>
      </c>
      <c r="BT17" s="3">
        <f>IF($C$5="ON",CT17,MyRating(_D2,$B17,Efficacy!$F$1))</f>
        <v>3</v>
      </c>
      <c r="BU17" s="3">
        <f>IF($C$5="ON",CU17,MyRating(_D3,$B17,Efficacy!$F$1))</f>
        <v>3</v>
      </c>
      <c r="BV17" s="3">
        <f>IF($C$5="ON",CV17,MyRating(_D4,$B17,Efficacy!$F$1))</f>
        <v>3</v>
      </c>
      <c r="BW17" s="3">
        <f>IF($C$5="ON",CW17,MyRating(_B1G5,$B17,Barrier!$L$2))</f>
        <v>2</v>
      </c>
      <c r="BX17" s="3">
        <f>IF($C$5="ON",CX17,MyRating(_B2,$B17,Barrier!$F$2))</f>
        <v>3</v>
      </c>
      <c r="BY17" s="6">
        <f>IF($C$5="ON",CY17,MyRating(_B3,$B17,Barrier!$F$2))</f>
        <v>3</v>
      </c>
      <c r="BZ17" s="5">
        <f t="shared" si="9"/>
        <v>3.3407946312985805E-2</v>
      </c>
      <c r="CA17" s="8">
        <f t="shared" si="6"/>
        <v>2.8000000000000003</v>
      </c>
      <c r="CB17" s="5">
        <f t="shared" si="7"/>
        <v>3.2941176470588251E-2</v>
      </c>
      <c r="CC17" s="7">
        <f t="shared" si="8"/>
        <v>5.9787261089987885E-3</v>
      </c>
      <c r="CD17" s="4">
        <v>4</v>
      </c>
      <c r="CE17" s="3">
        <v>4</v>
      </c>
      <c r="CF17" s="3">
        <v>4</v>
      </c>
      <c r="CG17" s="3">
        <v>4</v>
      </c>
      <c r="CH17" s="3">
        <v>3</v>
      </c>
      <c r="CI17" s="3">
        <v>3</v>
      </c>
      <c r="CJ17" s="3">
        <v>3</v>
      </c>
      <c r="CK17" s="3">
        <v>5</v>
      </c>
      <c r="CL17" s="3">
        <v>4</v>
      </c>
      <c r="CM17" s="3">
        <v>3</v>
      </c>
      <c r="CN17" s="3">
        <v>3</v>
      </c>
      <c r="CO17" s="3">
        <v>3</v>
      </c>
      <c r="CP17" s="3">
        <v>5</v>
      </c>
      <c r="CQ17" s="3">
        <v>2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2</v>
      </c>
      <c r="CX17" s="3">
        <v>3</v>
      </c>
      <c r="CY17" s="6">
        <v>3</v>
      </c>
      <c r="CZ17" s="5">
        <v>3.6275844714639842E-2</v>
      </c>
      <c r="DA17" s="59"/>
    </row>
    <row r="18" spans="1:105" x14ac:dyDescent="0.25">
      <c r="A18" s="9" t="str">
        <f t="shared" si="0"/>
        <v>JP</v>
      </c>
      <c r="B18" s="9" t="s">
        <v>87</v>
      </c>
      <c r="C18" s="20" t="s">
        <v>3</v>
      </c>
      <c r="D18" s="9" t="s">
        <v>64</v>
      </c>
      <c r="E18" s="9" t="s">
        <v>186</v>
      </c>
      <c r="F18" s="9" t="str">
        <f>INDEX('Unique Asset List'!$C$4:$C$60,MATCH(B18,_CompoundList,0))</f>
        <v>Launched</v>
      </c>
      <c r="G18" s="19">
        <v>0</v>
      </c>
      <c r="H18" s="9">
        <v>2014</v>
      </c>
      <c r="I18" s="9">
        <v>6</v>
      </c>
      <c r="J18" s="18">
        <f>INDEX(PTRS!$D$6:$D$12,MATCH('7'!$F18,PTRS!$B$6:$B$12,0))</f>
        <v>1</v>
      </c>
      <c r="K18" s="17">
        <f>INDEX('Unique Asset List'!$D$4:$M$60,MATCH($B18,'Unique Asset List'!$A$4:$A$60,0),MATCH(K$8,'Unique Asset List'!$D$3:$M$3,0))</f>
        <v>1</v>
      </c>
      <c r="L18" s="17">
        <f>INDEX('Unique Asset List'!$D$4:$M$60,MATCH($B18,'Unique Asset List'!$A$4:$A$60,0),MATCH(L$8,'Unique Asset List'!$D$3:$M$3,0))</f>
        <v>1</v>
      </c>
      <c r="M18" s="17">
        <v>1</v>
      </c>
      <c r="N18" s="17">
        <f>INDEX('Unique Asset List'!$D$4:$M$60,MATCH($B18,'Unique Asset List'!$A$4:$A$60,0),MATCH(N$8,'Unique Asset List'!$D$3:$M$3,0))</f>
        <v>1</v>
      </c>
      <c r="O18" s="17">
        <f>INDEX('Unique Asset List'!$D$4:$M$60,MATCH($B18,'Unique Asset List'!$A$4:$A$60,0),MATCH(O$8,'Unique Asset List'!$D$3:$M$3,0))</f>
        <v>1</v>
      </c>
      <c r="P18" s="17">
        <f>INDEX('Unique Asset List'!$D$4:$M$60,MATCH($B18,'Unique Asset List'!$A$4:$A$60,0),MATCH(P$8,'Unique Asset List'!$D$3:$M$3,0))</f>
        <v>1</v>
      </c>
      <c r="Q18" s="17">
        <f>INDEX('Unique Asset List'!$D$4:$M$60,MATCH($B18,'Unique Asset List'!$A$4:$A$60,0),MATCH(Q$8,'Unique Asset List'!$D$3:$M$3,0))</f>
        <v>1</v>
      </c>
      <c r="R18" s="17">
        <f>INDEX('Unique Asset List'!$D$4:$M$60,MATCH($B18,'Unique Asset List'!$A$4:$A$60,0),MATCH(R$8,'Unique Asset List'!$D$3:$M$3,0))</f>
        <v>1</v>
      </c>
      <c r="S18" s="17">
        <f>INDEX('Unique Asset List'!$D$4:$M$60,MATCH($B18,'Unique Asset List'!$A$4:$A$60,0),MATCH(S$8,'Unique Asset List'!$D$3:$M$3,0))</f>
        <v>1</v>
      </c>
      <c r="T18" s="17"/>
      <c r="U18" s="17">
        <f t="shared" si="1"/>
        <v>0</v>
      </c>
      <c r="V18" s="17">
        <v>1</v>
      </c>
      <c r="W18" s="9" t="s">
        <v>54</v>
      </c>
      <c r="X18" s="9">
        <f>INDEX('Unique Asset List'!$Y$4:$AE$60,MATCH('7'!$B18,'Unique Asset List'!$A$4:$A$60,0),MATCH('7'!$C$1,'Unique Asset List'!$Y$3:$AE$3,0))</f>
        <v>2017</v>
      </c>
      <c r="Y18" s="9">
        <f>INDEX('Unique Asset List'!$AF$4:$AL$60,MATCH('7'!$B18,'Unique Asset List'!$A$4:$A$60,0),MATCH('7'!$C$1,'Unique Asset List'!$AF$3:$AL$3,0))</f>
        <v>3</v>
      </c>
      <c r="Z18" s="9">
        <f>INDEX('Unique Asset List'!$AT$4:$AZ$60,MATCH('7'!$B18,'Unique Asset List'!$A$4:$A$60,0),MATCH('7'!$C$1,'Unique Asset List'!$AT$3:$AZ$3,0))</f>
        <v>2025</v>
      </c>
      <c r="AA18" s="9">
        <f>INDEX('Unique Asset List'!$BA$4:$BG$60,MATCH('7'!$B18,'Unique Asset List'!$A$4:$A$60,0),MATCH('7'!$C$1,'Unique Asset List'!$BA$3:$BG$3,0))</f>
        <v>3</v>
      </c>
      <c r="AB18" s="16">
        <f t="shared" si="2"/>
        <v>1.7478200000000002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List'!$CJ$4:$CP$60,MATCH('7'!$B18,'Unique Asset List'!$A$4:$A$60,0),MATCH('7'!$C$1,'Unique Asset List'!$CJ$3:$CP$3,0))</f>
        <v>0.16</v>
      </c>
      <c r="AF18" s="15">
        <f>INDEX('Unique Asset List'!$CQ$4:$CW$60,MATCH('7'!$B18,'Unique Asset List'!$A$4:$A$60,0),MATCH('7'!$C$1,'Unique Asset List'!$CQ$3:$CW$3,0))</f>
        <v>0.34</v>
      </c>
      <c r="AG18" s="15">
        <f>INDEX('Unique Asset List'!$BV$4:$CB$60,MATCH('7'!$B18,'Unique Asset List'!$A$4:$A$60,0),MATCH('7'!$C$1,'Unique Asset List'!$BV$3:$CB$3,0))</f>
        <v>0.16</v>
      </c>
      <c r="AH18" s="15">
        <f>INDEX('Unique Asset List'!$CC$4:$CI$60,MATCH('7'!$B18,'Unique Asset List'!$A$4:$A$60,0),MATCH('7'!$C$1,'Unique Asset List'!$CC$3:$CI$3,0))</f>
        <v>0.34</v>
      </c>
      <c r="AI18" s="11">
        <v>0.7</v>
      </c>
      <c r="AJ18" s="15">
        <f>INDEX('Unique Asset List'!$BH$4:$BN$60,MATCH('7'!$B18,'Unique Asset List'!$A$4:$A$60,0),MATCH('7'!$C$1,'Unique Asset List'!$BH$3:$BN$3,0))</f>
        <v>0.14000000000000001</v>
      </c>
      <c r="AK18" s="15">
        <f>INDEX('Unique Asset List'!$BO$4:$BU$60,MATCH('7'!$B18,'Unique Asset List'!$A$4:$A$60,0),MATCH('7'!$C$1,'Unique Asset List'!$BO$3:$BU$3,0))</f>
        <v>0.15</v>
      </c>
      <c r="AL18" s="40">
        <v>169</v>
      </c>
      <c r="AM18" s="14">
        <f>INDEX(Simulation!$B$6:$H$6,MATCH($A18,Simulation!$B$1:$H$1,0))*(1+AN18)^((DATE(X18,Y18,15)-DATE(2017,1,15))/365.5)</f>
        <v>0.75</v>
      </c>
      <c r="AN18" s="12">
        <v>0</v>
      </c>
      <c r="AO18" s="13">
        <v>0.1</v>
      </c>
      <c r="AP18" s="11">
        <v>1</v>
      </c>
      <c r="AQ18" s="12">
        <v>0</v>
      </c>
      <c r="AR18" s="11">
        <f t="shared" si="5"/>
        <v>1</v>
      </c>
      <c r="AS18" s="10">
        <v>1</v>
      </c>
      <c r="AT18" s="181">
        <f>INDEX('Unique Asset List'!N$4:N$60,MATCH($B18,_CompoundList,0))</f>
        <v>1</v>
      </c>
      <c r="AU18" s="181">
        <f>INDEX('Unique Asset List'!O$4:O$60,MATCH($B18,_CompoundList,0))</f>
        <v>1</v>
      </c>
      <c r="AV18" s="181">
        <f>INDEX('Unique Asset List'!P$4:P$60,MATCH($B18,_CompoundList,0))</f>
        <v>1</v>
      </c>
      <c r="AW18" s="181">
        <f>INDEX('Unique Asset List'!Q$4:Q$60,MATCH($B18,_CompoundList,0))</f>
        <v>1</v>
      </c>
      <c r="AX18" s="181">
        <f ca="1">INDEX('Unique Asset List'!R$4:R$60,MATCH($B18,_CompoundList,0))</f>
        <v>1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1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1</v>
      </c>
      <c r="BC18" s="181">
        <f ca="1">INDEX('Unique Asset List'!W$4:W$60,MATCH($B18,_CompoundList,0))</f>
        <v>1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4</v>
      </c>
      <c r="BL18" s="3">
        <f>IF($C$5="ON",CL18,MyRating(_S1,$B18,Efficacy!$F$1))</f>
        <v>3</v>
      </c>
      <c r="BM18" s="3">
        <f>IF($C$5="ON",CM18,MyRating(_S2,$B18,Efficacy!$F$1))</f>
        <v>3</v>
      </c>
      <c r="BN18" s="3">
        <f>IF($C$5="ON",CN18,MyRating(_S3,$B18,Efficacy!$F$1))</f>
        <v>3</v>
      </c>
      <c r="BO18" s="3">
        <f>IF($C$5="ON",CO18,MyRating(_S4,$B18,Efficacy!$F$1))</f>
        <v>3</v>
      </c>
      <c r="BP18" s="3">
        <f>IF($C$5="ON",CP18,MyRating(_S5,$B18,Efficacy!$F$1))</f>
        <v>5</v>
      </c>
      <c r="BQ18" s="3">
        <f>IF($C$5="ON",CQ18,MyRating(_S6,$B18,Efficacy!$F$1))</f>
        <v>2</v>
      </c>
      <c r="BR18" s="3">
        <f>IF($C$5="ON",CR18,MyRating(_S7,$B18,Efficacy!$F$1))</f>
        <v>3</v>
      </c>
      <c r="BS18" s="3">
        <f>IF($C$5="ON",CS18,MyRating(_D1,$B18,Efficacy!$F$1))</f>
        <v>3</v>
      </c>
      <c r="BT18" s="3">
        <f>IF($C$5="ON",CT18,MyRating(_D2,$B18,Efficacy!$F$1))</f>
        <v>2</v>
      </c>
      <c r="BU18" s="3">
        <f>IF($C$5="ON",CU18,MyRating(_D3,$B18,Efficacy!$F$1))</f>
        <v>3</v>
      </c>
      <c r="BV18" s="3">
        <f>IF($C$5="ON",CV18,MyRating(_D4,$B18,Efficacy!$F$1))</f>
        <v>3</v>
      </c>
      <c r="BW18" s="3">
        <f>IF($C$5="ON",CW18,MyRating(_B1G5,$B18,Barrier!$L$2))</f>
        <v>2</v>
      </c>
      <c r="BX18" s="3">
        <f>IF($C$5="ON",CX18,MyRating(_B2,$B18,Barrier!$F$2))</f>
        <v>3</v>
      </c>
      <c r="BY18" s="6">
        <f>IF($C$5="ON",CY18,MyRating(_B3,$B18,Barrier!$F$2))</f>
        <v>3</v>
      </c>
      <c r="BZ18" s="5">
        <f t="shared" si="9"/>
        <v>0</v>
      </c>
      <c r="CA18" s="8">
        <f t="shared" si="6"/>
        <v>2.8000000000000003</v>
      </c>
      <c r="CB18" s="5">
        <f t="shared" si="7"/>
        <v>3.2941176470588251E-2</v>
      </c>
      <c r="CC18" s="7">
        <f t="shared" si="8"/>
        <v>5.9787261089987885E-3</v>
      </c>
      <c r="CD18" s="4">
        <v>3</v>
      </c>
      <c r="CE18" s="3">
        <v>4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4</v>
      </c>
      <c r="CL18" s="3">
        <v>3</v>
      </c>
      <c r="CM18" s="3">
        <v>3</v>
      </c>
      <c r="CN18" s="3">
        <v>3</v>
      </c>
      <c r="CO18" s="3">
        <v>3</v>
      </c>
      <c r="CP18" s="3">
        <v>5</v>
      </c>
      <c r="CQ18" s="3">
        <v>2</v>
      </c>
      <c r="CR18" s="3">
        <v>3</v>
      </c>
      <c r="CS18" s="3">
        <v>3</v>
      </c>
      <c r="CT18" s="3">
        <v>2</v>
      </c>
      <c r="CU18" s="3">
        <v>3</v>
      </c>
      <c r="CV18" s="3">
        <v>3</v>
      </c>
      <c r="CW18" s="3">
        <v>2</v>
      </c>
      <c r="CX18" s="3">
        <v>3</v>
      </c>
      <c r="CY18" s="6">
        <v>3</v>
      </c>
      <c r="CZ18" s="5">
        <v>3.6275844714639842E-2</v>
      </c>
      <c r="DA18" s="59"/>
    </row>
    <row r="19" spans="1:105" x14ac:dyDescent="0.25">
      <c r="A19" s="9" t="str">
        <f t="shared" si="0"/>
        <v>JP</v>
      </c>
      <c r="B19" s="9" t="s">
        <v>77</v>
      </c>
      <c r="C19" s="20"/>
      <c r="D19" s="9" t="s">
        <v>76</v>
      </c>
      <c r="E19" s="9" t="s">
        <v>186</v>
      </c>
      <c r="F19" s="9" t="str">
        <f>INDEX('Unique Asset List'!$C$4:$C$60,MATCH(B19,_CompoundList,0))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INDEX(PTRS!$D$6:$D$12,MATCH('7'!$F19,PTRS!$B$6:$B$12,0))</f>
        <v>0.1638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7">
        <v>5.4600000000000003E-2</v>
      </c>
      <c r="N19" s="17">
        <f>INDEX('Unique Asset List'!$D$4:$M$60,MATCH($B19,'Unique Asset List'!$A$4:$A$60,0),MATCH(N$8,'Unique Asset List'!$D$3:$M$3,0))</f>
        <v>0.1638</v>
      </c>
      <c r="O19" s="17">
        <f>INDEX('Unique Asset List'!$D$4:$M$60,MATCH($B19,'Unique Asset List'!$A$4:$A$60,0),MATCH(O$8,'Unique Asset List'!$D$3:$M$3,0))</f>
        <v>0.1638</v>
      </c>
      <c r="P19" s="17">
        <f>INDEX('Unique Asset List'!$D$4:$M$60,MATCH($B19,'Unique Asset List'!$A$4:$A$60,0),MATCH(P$8,'Unique Asset List'!$D$3:$M$3,0))</f>
        <v>0.1638</v>
      </c>
      <c r="Q19" s="17">
        <f>INDEX('Unique Asset List'!$D$4:$M$60,MATCH($B19,'Unique Asset List'!$A$4:$A$60,0),MATCH(Q$8,'Unique Asset List'!$D$3:$M$3,0))</f>
        <v>0.1638</v>
      </c>
      <c r="R19" s="17">
        <f>INDEX('Unique Asset List'!$D$4:$M$60,MATCH($B19,'Unique Asset List'!$A$4:$A$60,0),MATCH(R$8,'Unique Asset List'!$D$3:$M$3,0))</f>
        <v>0.1638</v>
      </c>
      <c r="S19" s="17">
        <f>INDEX('Unique Asset List'!$D$4:$M$60,MATCH($B19,'Unique Asset List'!$A$4:$A$60,0),MATCH(S$8,'Unique Asset List'!$D$3:$M$3,0))</f>
        <v>1</v>
      </c>
      <c r="T19" s="17"/>
      <c r="U19" s="17">
        <f t="shared" si="1"/>
        <v>0.90168566420734264</v>
      </c>
      <c r="V19" s="17">
        <v>1</v>
      </c>
      <c r="W19" s="9" t="s">
        <v>62</v>
      </c>
      <c r="X19" s="9">
        <f>INDEX('Unique Asset List'!$Y$4:$AE$60,MATCH('7'!$B19,'Unique Asset List'!$A$4:$A$60,0),MATCH('7'!$C$1,'Unique Asset List'!$Y$3:$AE$3,0))</f>
        <v>2024</v>
      </c>
      <c r="Y19" s="9">
        <f>INDEX('Unique Asset List'!$AF$4:$AL$60,MATCH('7'!$B19,'Unique Asset List'!$A$4:$A$60,0),MATCH('7'!$C$1,'Unique Asset List'!$AF$3:$AL$3,0))</f>
        <v>10</v>
      </c>
      <c r="Z19" s="9">
        <f>INDEX('Unique Asset List'!$AT$4:$AZ$60,MATCH('7'!$B19,'Unique Asset List'!$A$4:$A$60,0),MATCH('7'!$C$1,'Unique Asset List'!$AT$3:$AZ$3,0))</f>
        <v>2032</v>
      </c>
      <c r="AA19" s="9">
        <f>INDEX('Unique Asset List'!$BA$4:$BG$60,MATCH('7'!$B19,'Unique Asset List'!$A$4:$A$60,0),MATCH('7'!$C$1,'Unique Asset List'!$BA$3:$BG$3,0))</f>
        <v>10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List'!$CJ$4:$CP$60,MATCH('7'!$B19,'Unique Asset List'!$A$4:$A$60,0),MATCH('7'!$C$1,'Unique Asset List'!$CJ$3:$CP$3,0))</f>
        <v>0.23</v>
      </c>
      <c r="AF19" s="15">
        <f>INDEX('Unique Asset List'!$CQ$4:$CW$60,MATCH('7'!$B19,'Unique Asset List'!$A$4:$A$60,0),MATCH('7'!$C$1,'Unique Asset List'!$CQ$3:$CW$3,0))</f>
        <v>0.27</v>
      </c>
      <c r="AG19" s="15">
        <f>INDEX('Unique Asset List'!$BV$4:$CB$60,MATCH('7'!$B19,'Unique Asset List'!$A$4:$A$60,0),MATCH('7'!$C$1,'Unique Asset List'!$BV$3:$CB$3,0))</f>
        <v>0.23</v>
      </c>
      <c r="AH19" s="15">
        <f>INDEX('Unique Asset List'!$CC$4:$CI$60,MATCH('7'!$B19,'Unique Asset List'!$A$4:$A$60,0),MATCH('7'!$C$1,'Unique Asset List'!$CC$3:$CI$3,0))</f>
        <v>0.27</v>
      </c>
      <c r="AI19" s="11">
        <v>0.7</v>
      </c>
      <c r="AJ19" s="15">
        <f>INDEX('Unique Asset List'!$BH$4:$BN$60,MATCH('7'!$B19,'Unique Asset List'!$A$4:$A$60,0),MATCH('7'!$C$1,'Unique Asset List'!$BH$3:$BN$3,0))</f>
        <v>0.14000000000000001</v>
      </c>
      <c r="AK19" s="15">
        <f>INDEX('Unique Asset List'!$BO$4:$BU$60,MATCH('7'!$B19,'Unique Asset List'!$A$4:$A$60,0),MATCH('7'!$C$1,'Unique Asset List'!$BO$3:$BU$3,0))</f>
        <v>0.15</v>
      </c>
      <c r="AL19" s="40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1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4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5</v>
      </c>
      <c r="BL19" s="3">
        <f>IF($C$5="ON",CL19,MyRating(_S1,$B19,Efficacy!$F$1))</f>
        <v>4</v>
      </c>
      <c r="BM19" s="3">
        <f>IF($C$5="ON",CM19,MyRating(_S2,$B19,Efficacy!$F$1))</f>
        <v>3</v>
      </c>
      <c r="BN19" s="3">
        <f>IF($C$5="ON",CN19,MyRating(_S3,$B19,Efficacy!$F$1))</f>
        <v>3</v>
      </c>
      <c r="BO19" s="3">
        <f>IF($C$5="ON",CO19,MyRating(_S4,$B19,Efficacy!$F$1))</f>
        <v>3</v>
      </c>
      <c r="BP19" s="3">
        <f>IF($C$5="ON",CP19,MyRating(_S5,$B19,Efficacy!$F$1))</f>
        <v>5</v>
      </c>
      <c r="BQ19" s="3">
        <f>IF($C$5="ON",CQ19,MyRating(_S6,$B19,Efficacy!$F$1))</f>
        <v>2</v>
      </c>
      <c r="BR19" s="3">
        <f>IF($C$5="ON",CR19,MyRating(_S7,$B19,Efficacy!$F$1))</f>
        <v>3</v>
      </c>
      <c r="BS19" s="3">
        <f>IF($C$5="ON",CS19,MyRating(_D1,$B19,Efficacy!$F$1))</f>
        <v>3</v>
      </c>
      <c r="BT19" s="3">
        <f>IF($C$5="ON",CT19,MyRating(_D2,$B19,Efficacy!$F$1))</f>
        <v>3</v>
      </c>
      <c r="BU19" s="3">
        <f>IF($C$5="ON",CU19,MyRating(_D3,$B19,Efficacy!$F$1))</f>
        <v>3</v>
      </c>
      <c r="BV19" s="3">
        <f>IF($C$5="ON",CV19,MyRating(_D4,$B19,Efficacy!$F$1))</f>
        <v>3</v>
      </c>
      <c r="BW19" s="3">
        <f>IF($C$5="ON",CW19,MyRating(_B1G5,$B19,Barrier!$L$2))</f>
        <v>2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9"/>
        <v>3.3407946312985805E-2</v>
      </c>
      <c r="CA19" s="8">
        <f t="shared" si="6"/>
        <v>2.8000000000000003</v>
      </c>
      <c r="CB19" s="5">
        <f t="shared" si="7"/>
        <v>3.2941176470588251E-2</v>
      </c>
      <c r="CC19" s="7">
        <f t="shared" si="8"/>
        <v>5.9787261089987885E-3</v>
      </c>
      <c r="CD19" s="4">
        <v>3</v>
      </c>
      <c r="CE19" s="3">
        <v>3</v>
      </c>
      <c r="CF19" s="3">
        <v>3</v>
      </c>
      <c r="CG19" s="3">
        <v>4</v>
      </c>
      <c r="CH19" s="3">
        <v>3</v>
      </c>
      <c r="CI19" s="3">
        <v>3</v>
      </c>
      <c r="CJ19" s="3">
        <v>3</v>
      </c>
      <c r="CK19" s="3">
        <v>5</v>
      </c>
      <c r="CL19" s="3">
        <v>4</v>
      </c>
      <c r="CM19" s="3">
        <v>3</v>
      </c>
      <c r="CN19" s="3">
        <v>3</v>
      </c>
      <c r="CO19" s="3">
        <v>3</v>
      </c>
      <c r="CP19" s="3">
        <v>5</v>
      </c>
      <c r="CQ19" s="3">
        <v>2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2</v>
      </c>
      <c r="CX19" s="3">
        <v>3</v>
      </c>
      <c r="CY19" s="6">
        <v>3</v>
      </c>
      <c r="CZ19" s="5">
        <v>3.6275844714639842E-2</v>
      </c>
      <c r="DA19" s="59"/>
    </row>
    <row r="20" spans="1:105" x14ac:dyDescent="0.25">
      <c r="A20" s="9" t="str">
        <f t="shared" si="0"/>
        <v>JP</v>
      </c>
      <c r="B20" s="9" t="s">
        <v>39</v>
      </c>
      <c r="C20" s="20"/>
      <c r="D20" s="9" t="s">
        <v>2</v>
      </c>
      <c r="E20" s="9" t="s">
        <v>186</v>
      </c>
      <c r="F20" s="9" t="str">
        <f>INDEX('Unique Asset List'!$C$4:$C$60,MATCH(B20,_CompoundList,0))</f>
        <v>Ph2b</v>
      </c>
      <c r="G20" s="19">
        <v>0</v>
      </c>
      <c r="H20" s="9">
        <v>2014</v>
      </c>
      <c r="I20" s="9">
        <v>6</v>
      </c>
      <c r="J20" s="18">
        <f>INDEX(PTRS!$D$6:$D$12,MATCH('7'!$F20,PTRS!$B$6:$B$12,0))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1</v>
      </c>
      <c r="M20" s="17">
        <v>0.40949999999999998</v>
      </c>
      <c r="N20" s="17">
        <f>INDEX('Unique Asset List'!$D$4:$M$60,MATCH($B20,'Unique Asset List'!$A$4:$A$60,0),MATCH(N$8,'Unique Asset List'!$D$3:$M$3,0))</f>
        <v>0.4</v>
      </c>
      <c r="O20" s="17">
        <f>INDEX('Unique Asset List'!$D$4:$M$60,MATCH($B20,'Unique Asset List'!$A$4:$A$60,0),MATCH(O$8,'Unique Asset List'!$D$3:$M$3,0))</f>
        <v>0</v>
      </c>
      <c r="P20" s="17">
        <f>INDEX('Unique Asset List'!$D$4:$M$60,MATCH($B20,'Unique Asset List'!$A$4:$A$60,0),MATCH(P$8,'Unique Asset List'!$D$3:$M$3,0))</f>
        <v>1</v>
      </c>
      <c r="Q20" s="17">
        <f>INDEX('Unique Asset List'!$D$4:$M$60,MATCH($B20,'Unique Asset List'!$A$4:$A$60,0),MATCH(Q$8,'Unique Asset List'!$D$3:$M$3,0))</f>
        <v>0</v>
      </c>
      <c r="R20" s="17">
        <f>INDEX('Unique Asset List'!$D$4:$M$60,MATCH($B20,'Unique Asset List'!$A$4:$A$60,0),MATCH(R$8,'Unique Asset List'!$D$3:$M$3,0))</f>
        <v>1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1"/>
        <v>0.54433105395181736</v>
      </c>
      <c r="V20" s="17">
        <v>1</v>
      </c>
      <c r="W20" s="9" t="s">
        <v>38</v>
      </c>
      <c r="X20" s="9">
        <f>INDEX('Unique Asset List'!$Y$4:$AE$60,MATCH('7'!$B20,'Unique Asset List'!$A$4:$A$60,0),MATCH('7'!$C$1,'Unique Asset List'!$Y$3:$AE$3,0))</f>
        <v>2024</v>
      </c>
      <c r="Y20" s="9">
        <f>INDEX('Unique Asset List'!$AF$4:$AL$60,MATCH('7'!$B20,'Unique Asset List'!$A$4:$A$60,0),MATCH('7'!$C$1,'Unique Asset List'!$AF$3:$AL$3,0))</f>
        <v>5</v>
      </c>
      <c r="Z20" s="9">
        <f>INDEX('Unique Asset List'!$AT$4:$AZ$60,MATCH('7'!$B20,'Unique Asset List'!$A$4:$A$60,0),MATCH('7'!$C$1,'Unique Asset List'!$AT$3:$AZ$3,0))</f>
        <v>2032</v>
      </c>
      <c r="AA20" s="9">
        <f>INDEX('Unique Asset List'!$BA$4:$BG$60,MATCH('7'!$B20,'Unique Asset List'!$A$4:$A$60,0),MATCH('7'!$C$1,'Unique Asset List'!$BA$3:$BG$3,0))</f>
        <v>5</v>
      </c>
      <c r="AB20" s="16">
        <f t="shared" si="2"/>
        <v>2.1511674000000003</v>
      </c>
      <c r="AC20" s="16">
        <f t="shared" si="3"/>
        <v>0.95118959999999997</v>
      </c>
      <c r="AD20" s="16">
        <f t="shared" si="4"/>
        <v>0.56099999999999994</v>
      </c>
      <c r="AE20" s="15">
        <f>INDEX('Unique Asset List'!$CJ$4:$CP$60,MATCH('7'!$B20,'Unique Asset List'!$A$4:$A$60,0),MATCH('7'!$C$1,'Unique Asset List'!$CJ$3:$CP$3,0))</f>
        <v>0.16</v>
      </c>
      <c r="AF20" s="15">
        <f>INDEX('Unique Asset List'!$CQ$4:$CW$60,MATCH('7'!$B20,'Unique Asset List'!$A$4:$A$60,0),MATCH('7'!$C$1,'Unique Asset List'!$CQ$3:$CW$3,0))</f>
        <v>0.34</v>
      </c>
      <c r="AG20" s="15">
        <f>INDEX('Unique Asset List'!$BV$4:$CB$60,MATCH('7'!$B20,'Unique Asset List'!$A$4:$A$60,0),MATCH('7'!$C$1,'Unique Asset List'!$BV$3:$CB$3,0))</f>
        <v>0.16</v>
      </c>
      <c r="AH20" s="15">
        <f>INDEX('Unique Asset List'!$CC$4:$CI$60,MATCH('7'!$B20,'Unique Asset List'!$A$4:$A$60,0),MATCH('7'!$C$1,'Unique Asset List'!$CC$3:$CI$3,0))</f>
        <v>0.34</v>
      </c>
      <c r="AI20" s="11">
        <v>0.7</v>
      </c>
      <c r="AJ20" s="15">
        <f>INDEX('Unique Asset List'!$BH$4:$BN$60,MATCH('7'!$B20,'Unique Asset List'!$A$4:$A$60,0),MATCH('7'!$C$1,'Unique Asset List'!$BH$3:$BN$3,0))</f>
        <v>0.14000000000000001</v>
      </c>
      <c r="AK20" s="15">
        <f>INDEX('Unique Asset List'!$BO$4:$BU$60,MATCH('7'!$B20,'Unique Asset List'!$A$4:$A$60,0),MATCH('7'!$C$1,'Unique Asset List'!$BO$3:$BU$3,0))</f>
        <v>0.15</v>
      </c>
      <c r="AL20" s="40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1</v>
      </c>
      <c r="AV20" s="181">
        <f>INDEX('Unique Asset List'!P$4:P$60,MATCH($B20,_CompoundList,0))</f>
        <v>0</v>
      </c>
      <c r="AW20" s="181">
        <f>INDEX('Unique Asset List'!Q$4:Q$60,MATCH($B20,_CompoundList,0))</f>
        <v>1</v>
      </c>
      <c r="AX20" s="181">
        <f ca="1">INDEX('Unique Asset List'!R$4:R$60,MATCH($B20,_CompoundList,0))</f>
        <v>0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0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0</v>
      </c>
      <c r="BD20" s="4">
        <f>IF($C$5="ON",CD20,MyRating(_E1,$B20,Efficacy!$F$1))</f>
        <v>4</v>
      </c>
      <c r="BE20" s="3">
        <f>IF($C$5="ON",CE20,MyRating(_E2,$B20,Efficacy!$F$1))</f>
        <v>4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5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3</v>
      </c>
      <c r="BL20" s="3">
        <f>IF($C$5="ON",CL20,MyRating(_S1,$B20,Efficacy!$F$1))</f>
        <v>4</v>
      </c>
      <c r="BM20" s="3">
        <f>IF($C$5="ON",CM20,MyRating(_S2,$B20,Efficacy!$F$1))</f>
        <v>4</v>
      </c>
      <c r="BN20" s="3">
        <f>IF($C$5="ON",CN20,MyRating(_S3,$B20,Efficacy!$F$1))</f>
        <v>4</v>
      </c>
      <c r="BO20" s="3">
        <f>IF($C$5="ON",CO20,MyRating(_S4,$B20,Efficacy!$F$1))</f>
        <v>3</v>
      </c>
      <c r="BP20" s="3">
        <f>IF($C$5="ON",CP20,MyRating(_S5,$B20,Efficacy!$F$1))</f>
        <v>5</v>
      </c>
      <c r="BQ20" s="3">
        <f>IF($C$5="ON",CQ20,MyRating(_S6,$B20,Efficacy!$F$1))</f>
        <v>4</v>
      </c>
      <c r="BR20" s="3">
        <f>IF($C$5="ON",CR20,MyRating(_S7,$B20,Efficacy!$F$1))</f>
        <v>2</v>
      </c>
      <c r="BS20" s="3">
        <f>IF($C$5="ON",CS20,MyRating(_D1,$B20,Efficacy!$F$1))</f>
        <v>3</v>
      </c>
      <c r="BT20" s="3">
        <f>IF($C$5="ON",CT20,MyRating(_D2,$B20,Efficacy!$F$1))</f>
        <v>3</v>
      </c>
      <c r="BU20" s="3">
        <f>IF($C$5="ON",CU20,MyRating(_D3,$B20,Efficacy!$F$1))</f>
        <v>3</v>
      </c>
      <c r="BV20" s="3">
        <f>IF($C$5="ON",CV20,MyRating(_D4,$B20,Efficacy!$F$1))</f>
        <v>3</v>
      </c>
      <c r="BW20" s="3">
        <f>IF($C$5="ON",CW20,MyRating(_B1G5,$B20,Barrier!$L$2))</f>
        <v>2</v>
      </c>
      <c r="BX20" s="3">
        <f>IF($C$5="ON",CX20,MyRating(_B2,$B20,Barrier!$F$2))</f>
        <v>2</v>
      </c>
      <c r="BY20" s="6">
        <f>IF($C$5="ON",CY20,MyRating(_B3,$B20,Barrier!$F$2))</f>
        <v>2</v>
      </c>
      <c r="BZ20" s="5">
        <f t="shared" si="9"/>
        <v>2.01677628344013E-2</v>
      </c>
      <c r="CA20" s="8">
        <f t="shared" si="6"/>
        <v>2</v>
      </c>
      <c r="CB20" s="5">
        <f t="shared" si="7"/>
        <v>2.3529411764705892E-2</v>
      </c>
      <c r="CC20" s="7">
        <f t="shared" si="8"/>
        <v>3.6092470063405695E-3</v>
      </c>
      <c r="CD20" s="4">
        <v>4</v>
      </c>
      <c r="CE20" s="3">
        <v>3</v>
      </c>
      <c r="CF20" s="3">
        <v>3</v>
      </c>
      <c r="CG20" s="3">
        <v>4</v>
      </c>
      <c r="CH20" s="3">
        <v>3</v>
      </c>
      <c r="CI20" s="3">
        <v>2</v>
      </c>
      <c r="CJ20" s="3">
        <v>3</v>
      </c>
      <c r="CK20" s="3">
        <v>3</v>
      </c>
      <c r="CL20" s="3">
        <v>4</v>
      </c>
      <c r="CM20" s="3">
        <v>4</v>
      </c>
      <c r="CN20" s="3">
        <v>3</v>
      </c>
      <c r="CO20" s="3">
        <v>4</v>
      </c>
      <c r="CP20" s="3">
        <v>5</v>
      </c>
      <c r="CQ20" s="3">
        <v>2</v>
      </c>
      <c r="CR20" s="3">
        <v>3</v>
      </c>
      <c r="CS20" s="3">
        <v>3</v>
      </c>
      <c r="CT20" s="3">
        <v>2</v>
      </c>
      <c r="CU20" s="3">
        <v>3</v>
      </c>
      <c r="CV20" s="3">
        <v>3</v>
      </c>
      <c r="CW20" s="3">
        <v>2</v>
      </c>
      <c r="CX20" s="3">
        <v>3</v>
      </c>
      <c r="CY20" s="6">
        <v>3</v>
      </c>
      <c r="CZ20" s="5">
        <v>3.6275844714639842E-2</v>
      </c>
      <c r="DA20" s="59"/>
    </row>
    <row r="21" spans="1:105" x14ac:dyDescent="0.25">
      <c r="A21" s="9" t="str">
        <f t="shared" si="0"/>
        <v>JP</v>
      </c>
      <c r="B21" s="9" t="s">
        <v>75</v>
      </c>
      <c r="C21" s="20"/>
      <c r="D21" s="9" t="s">
        <v>74</v>
      </c>
      <c r="E21" s="9" t="s">
        <v>186</v>
      </c>
      <c r="F21" s="9" t="str">
        <f>INDEX('Unique Asset List'!$C$4:$C$60,MATCH(B21,_CompoundList,0))</f>
        <v>Ph2a</v>
      </c>
      <c r="G21" s="19">
        <v>0</v>
      </c>
      <c r="H21" s="9">
        <v>2014</v>
      </c>
      <c r="I21" s="9">
        <v>6</v>
      </c>
      <c r="J21" s="18">
        <f>INDEX(PTRS!$D$6:$D$12,MATCH('7'!$F21,PTRS!$B$6:$B$12,0))</f>
        <v>0.1638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7">
        <v>0.1638</v>
      </c>
      <c r="N21" s="17">
        <f>INDEX('Unique Asset List'!$D$4:$M$60,MATCH($B21,'Unique Asset List'!$A$4:$A$60,0),MATCH(N$8,'Unique Asset List'!$D$3:$M$3,0))</f>
        <v>0.1638</v>
      </c>
      <c r="O21" s="17">
        <f>INDEX('Unique Asset List'!$D$4:$M$60,MATCH($B21,'Unique Asset List'!$A$4:$A$60,0),MATCH(O$8,'Unique Asset List'!$D$3:$M$3,0))</f>
        <v>0.1638</v>
      </c>
      <c r="P21" s="17">
        <f>INDEX('Unique Asset List'!$D$4:$M$60,MATCH($B21,'Unique Asset List'!$A$4:$A$60,0),MATCH(P$8,'Unique Asset List'!$D$3:$M$3,0))</f>
        <v>0.1638</v>
      </c>
      <c r="Q21" s="17">
        <f>INDEX('Unique Asset List'!$D$4:$M$60,MATCH($B21,'Unique Asset List'!$A$4:$A$60,0),MATCH(Q$8,'Unique Asset List'!$D$3:$M$3,0))</f>
        <v>0.1638</v>
      </c>
      <c r="R21" s="17">
        <f>INDEX('Unique Asset List'!$D$4:$M$60,MATCH($B21,'Unique Asset List'!$A$4:$A$60,0),MATCH(R$8,'Unique Asset List'!$D$3:$M$3,0))</f>
        <v>0.1638</v>
      </c>
      <c r="S21" s="17">
        <f>INDEX('Unique Asset List'!$D$4:$M$60,MATCH($B21,'Unique Asset List'!$A$4:$A$60,0),MATCH(S$8,'Unique Asset List'!$D$3:$M$3,0))</f>
        <v>1</v>
      </c>
      <c r="T21" s="17"/>
      <c r="U21" s="17">
        <f t="shared" si="1"/>
        <v>0.90168566420734264</v>
      </c>
      <c r="V21" s="17">
        <v>1</v>
      </c>
      <c r="W21" s="9" t="s">
        <v>27</v>
      </c>
      <c r="X21" s="9">
        <f>INDEX('Unique Asset List'!$Y$4:$AE$60,MATCH('7'!$B21,'Unique Asset List'!$A$4:$A$60,0),MATCH('7'!$C$1,'Unique Asset List'!$Y$3:$AE$3,0))</f>
        <v>2024</v>
      </c>
      <c r="Y21" s="9">
        <f>INDEX('Unique Asset List'!$AF$4:$AL$60,MATCH('7'!$B21,'Unique Asset List'!$A$4:$A$60,0),MATCH('7'!$C$1,'Unique Asset List'!$AF$3:$AL$3,0))</f>
        <v>9</v>
      </c>
      <c r="Z21" s="9">
        <f>INDEX('Unique Asset List'!$AT$4:$AZ$60,MATCH('7'!$B21,'Unique Asset List'!$A$4:$A$60,0),MATCH('7'!$C$1,'Unique Asset List'!$AT$3:$AZ$3,0))</f>
        <v>2032</v>
      </c>
      <c r="AA21" s="9">
        <f>INDEX('Unique Asset List'!$BA$4:$BG$60,MATCH('7'!$B21,'Unique Asset List'!$A$4:$A$60,0),MATCH('7'!$C$1,'Unique Asset List'!$BA$3:$BG$3,0))</f>
        <v>9</v>
      </c>
      <c r="AB21" s="16">
        <f t="shared" si="2"/>
        <v>1.9312568000000003</v>
      </c>
      <c r="AC21" s="16">
        <f t="shared" si="3"/>
        <v>0.82350590000000001</v>
      </c>
      <c r="AD21" s="16">
        <f t="shared" si="4"/>
        <v>0.45111879999999999</v>
      </c>
      <c r="AE21" s="15">
        <f>INDEX('Unique Asset List'!$CJ$4:$CP$60,MATCH('7'!$B21,'Unique Asset List'!$A$4:$A$60,0),MATCH('7'!$C$1,'Unique Asset List'!$CJ$3:$CP$3,0))</f>
        <v>0.16</v>
      </c>
      <c r="AF21" s="15">
        <f>INDEX('Unique Asset List'!$CQ$4:$CW$60,MATCH('7'!$B21,'Unique Asset List'!$A$4:$A$60,0),MATCH('7'!$C$1,'Unique Asset List'!$CQ$3:$CW$3,0))</f>
        <v>0.34</v>
      </c>
      <c r="AG21" s="15">
        <f>INDEX('Unique Asset List'!$BV$4:$CB$60,MATCH('7'!$B21,'Unique Asset List'!$A$4:$A$60,0),MATCH('7'!$C$1,'Unique Asset List'!$BV$3:$CB$3,0))</f>
        <v>0.16</v>
      </c>
      <c r="AH21" s="15">
        <f>INDEX('Unique Asset List'!$CC$4:$CI$60,MATCH('7'!$B21,'Unique Asset List'!$A$4:$A$60,0),MATCH('7'!$C$1,'Unique Asset List'!$CC$3:$CI$3,0))</f>
        <v>0.34</v>
      </c>
      <c r="AI21" s="11">
        <v>0.7</v>
      </c>
      <c r="AJ21" s="15">
        <f>INDEX('Unique Asset List'!$BH$4:$BN$60,MATCH('7'!$B21,'Unique Asset List'!$A$4:$A$60,0),MATCH('7'!$C$1,'Unique Asset List'!$BH$3:$BN$3,0))</f>
        <v>0.14000000000000001</v>
      </c>
      <c r="AK21" s="15">
        <f>INDEX('Unique Asset List'!$BO$4:$BU$60,MATCH('7'!$B21,'Unique Asset List'!$A$4:$A$60,0),MATCH('7'!$C$1,'Unique Asset List'!$BO$3:$BU$3,0))</f>
        <v>0.15</v>
      </c>
      <c r="AL21" s="40">
        <v>169</v>
      </c>
      <c r="AM21" s="14">
        <f>INDEX(Simulation!$B$6:$H$6,MATCH($A21,Simulation!$B$1:$H$1,0))*(1+AN21)^((DATE(X21,Y21,15)-DATE(2017,1,15))/365.5)</f>
        <v>0.75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0</v>
      </c>
      <c r="AY21" s="181">
        <f ca="1">INDEX('Unique Asset List'!S$4:S$60,MATCH($B21,_CompoundList,0))</f>
        <v>0</v>
      </c>
      <c r="AZ21" s="181">
        <f ca="1">INDEX('Unique Asset List'!T$4:T$60,MATCH($B21,_CompoundList,0))</f>
        <v>0</v>
      </c>
      <c r="BA21" s="181">
        <f ca="1">INDEX('Unique Asset List'!U$4:U$60,MATCH($B21,_CompoundList,0))</f>
        <v>1</v>
      </c>
      <c r="BB21" s="181">
        <f ca="1">INDEX('Unique Asset List'!V$4:V$60,MATCH($B21,_CompoundList,0))</f>
        <v>0</v>
      </c>
      <c r="BC21" s="181">
        <f ca="1">INDEX('Unique Asset List'!W$4:W$60,MATCH($B21,_CompoundList,0))</f>
        <v>1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4</v>
      </c>
      <c r="BG21" s="3">
        <f>IF($C$5="ON",CG21,MyRating(_E4,$B21,Efficacy!$F$1))</f>
        <v>3</v>
      </c>
      <c r="BH21" s="3">
        <f>IF($C$5="ON",CH21,MyRating(_E5,$B21,Efficacy!$F$1))</f>
        <v>3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5</v>
      </c>
      <c r="BL21" s="3">
        <f>IF($C$5="ON",CL21,MyRating(_S1,$B21,Efficacy!$F$1))</f>
        <v>3</v>
      </c>
      <c r="BM21" s="3">
        <f>IF($C$5="ON",CM21,MyRating(_S2,$B21,Efficacy!$F$1))</f>
        <v>3</v>
      </c>
      <c r="BN21" s="3">
        <f>IF($C$5="ON",CN21,MyRating(_S3,$B21,Efficacy!$F$1))</f>
        <v>3</v>
      </c>
      <c r="BO21" s="3">
        <f>IF($C$5="ON",CO21,MyRating(_S4,$B21,Efficacy!$F$1))</f>
        <v>3</v>
      </c>
      <c r="BP21" s="3">
        <f>IF($C$5="ON",CP21,MyRating(_S5,$B21,Efficacy!$F$1))</f>
        <v>5</v>
      </c>
      <c r="BQ21" s="3">
        <f>IF($C$5="ON",CQ21,MyRating(_S6,$B21,Efficacy!$F$1))</f>
        <v>2</v>
      </c>
      <c r="BR21" s="3">
        <f>IF($C$5="ON",CR21,MyRating(_S7,$B21,Efficacy!$F$1))</f>
        <v>3</v>
      </c>
      <c r="BS21" s="3">
        <f>IF($C$5="ON",CS21,MyRating(_D1,$B21,Efficacy!$F$1))</f>
        <v>3</v>
      </c>
      <c r="BT21" s="3">
        <f>IF($C$5="ON",CT21,MyRating(_D2,$B21,Efficacy!$F$1))</f>
        <v>3</v>
      </c>
      <c r="BU21" s="3">
        <f>IF($C$5="ON",CU21,MyRating(_D3,$B21,Efficacy!$F$1))</f>
        <v>3</v>
      </c>
      <c r="BV21" s="3">
        <f>IF($C$5="ON",CV21,MyRating(_D4,$B21,Efficacy!$F$1))</f>
        <v>1</v>
      </c>
      <c r="BW21" s="3">
        <f>IF($C$5="ON",CW21,MyRating(_B1G5,$B21,Barrier!$L$2))</f>
        <v>2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9"/>
        <v>3.3407946312985805E-2</v>
      </c>
      <c r="CA21" s="8">
        <f t="shared" si="6"/>
        <v>2.8000000000000003</v>
      </c>
      <c r="CB21" s="5">
        <f t="shared" si="7"/>
        <v>3.2941176470588251E-2</v>
      </c>
      <c r="CC21" s="7">
        <f t="shared" si="8"/>
        <v>5.9787261089987885E-3</v>
      </c>
      <c r="CD21" s="4">
        <v>4</v>
      </c>
      <c r="CE21" s="3">
        <v>4</v>
      </c>
      <c r="CF21" s="3">
        <v>4</v>
      </c>
      <c r="CG21" s="3">
        <v>3</v>
      </c>
      <c r="CH21" s="3">
        <v>3</v>
      </c>
      <c r="CI21" s="3">
        <v>2</v>
      </c>
      <c r="CJ21" s="3">
        <v>3</v>
      </c>
      <c r="CK21" s="3">
        <v>5</v>
      </c>
      <c r="CL21" s="3">
        <v>2</v>
      </c>
      <c r="CM21" s="3">
        <v>3</v>
      </c>
      <c r="CN21" s="3">
        <v>3</v>
      </c>
      <c r="CO21" s="3">
        <v>3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2</v>
      </c>
      <c r="CX21" s="3">
        <v>3</v>
      </c>
      <c r="CY21" s="6">
        <v>3</v>
      </c>
      <c r="CZ21" s="5">
        <v>3.6275844714639842E-2</v>
      </c>
      <c r="DA21" s="59"/>
    </row>
    <row r="22" spans="1:105" x14ac:dyDescent="0.25">
      <c r="A22" s="9" t="str">
        <f t="shared" si="0"/>
        <v>JP</v>
      </c>
      <c r="B22" s="9" t="s">
        <v>295</v>
      </c>
      <c r="C22" s="20"/>
      <c r="D22" s="9" t="s">
        <v>2</v>
      </c>
      <c r="E22" s="9" t="s">
        <v>186</v>
      </c>
      <c r="F22" s="9" t="str">
        <f>INDEX('Unique Asset List'!$C$4:$C$60,MATCH(B22,_CompoundList,0))</f>
        <v>PCD</v>
      </c>
      <c r="G22" s="19">
        <v>0</v>
      </c>
      <c r="H22" s="9">
        <v>2014</v>
      </c>
      <c r="I22" s="9">
        <v>6</v>
      </c>
      <c r="J22" s="18">
        <f>INDEX(PTRS!$D$6:$D$12,MATCH('7'!$F22,PTRS!$B$6:$B$12,0))</f>
        <v>0.1044225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7">
        <v>0</v>
      </c>
      <c r="N22" s="17">
        <f>INDEX('Unique Asset List'!$D$4:$M$60,MATCH($B22,'Unique Asset List'!$A$4:$A$60,0),MATCH(N$8,'Unique Asset List'!$D$3:$M$3,0))</f>
        <v>0.16400000000000001</v>
      </c>
      <c r="O22" s="17">
        <f>INDEX('Unique Asset List'!$D$4:$M$60,MATCH($B22,'Unique Asset List'!$A$4:$A$60,0),MATCH(O$8,'Unique Asset List'!$D$3:$M$3,0))</f>
        <v>0.16400000000000001</v>
      </c>
      <c r="P22" s="17">
        <f>INDEX('Unique Asset List'!$D$4:$M$60,MATCH($B22,'Unique Asset List'!$A$4:$A$60,0),MATCH(P$8,'Unique Asset List'!$D$3:$M$3,0))</f>
        <v>0.16400000000000001</v>
      </c>
      <c r="Q22" s="17">
        <f>INDEX('Unique Asset List'!$D$4:$M$60,MATCH($B22,'Unique Asset List'!$A$4:$A$60,0),MATCH(Q$8,'Unique Asset List'!$D$3:$M$3,0))</f>
        <v>0.16400000000000001</v>
      </c>
      <c r="R22" s="17">
        <f>INDEX('Unique Asset List'!$D$4:$M$60,MATCH($B22,'Unique Asset List'!$A$4:$A$60,0),MATCH(R$8,'Unique Asset List'!$D$3:$M$3,0))</f>
        <v>0.16400000000000001</v>
      </c>
      <c r="S22" s="17">
        <f>INDEX('Unique Asset List'!$D$4:$M$60,MATCH($B22,'Unique Asset List'!$A$4:$A$60,0),MATCH(S$8,'Unique Asset List'!$D$3:$M$3,0))</f>
        <v>0</v>
      </c>
      <c r="T22" s="17"/>
      <c r="U22" s="17">
        <f t="shared" si="1"/>
        <v>0.80682275808442805</v>
      </c>
      <c r="V22" s="17">
        <f>(42%+N("TRD as % of aMDD"))*(5/6+N("Maintenance only"))</f>
        <v>0.35</v>
      </c>
      <c r="W22" s="9" t="s">
        <v>62</v>
      </c>
      <c r="X22" s="9">
        <f>INDEX('Unique Asset List'!$Y$4:$AE$60,MATCH('7'!$B22,'Unique Asset List'!$A$4:$A$60,0),MATCH('7'!$C$1,'Unique Asset List'!$Y$3:$AE$3,0))</f>
        <v>2026</v>
      </c>
      <c r="Y22" s="9">
        <f>INDEX('Unique Asset List'!$AF$4:$AL$60,MATCH('7'!$B22,'Unique Asset List'!$A$4:$A$60,0),MATCH('7'!$C$1,'Unique Asset List'!$AF$3:$AL$3,0))</f>
        <v>11</v>
      </c>
      <c r="Z22" s="9">
        <f>INDEX('Unique Asset List'!$AT$4:$AZ$60,MATCH('7'!$B22,'Unique Asset List'!$A$4:$A$60,0),MATCH('7'!$C$1,'Unique Asset List'!$AT$3:$AZ$3,0))</f>
        <v>2046</v>
      </c>
      <c r="AA22" s="9">
        <f>INDEX('Unique Asset List'!$BA$4:$BG$60,MATCH('7'!$B22,'Unique Asset List'!$A$4:$A$60,0),MATCH('7'!$C$1,'Unique Asset List'!$BA$3:$BG$3,0))</f>
        <v>11</v>
      </c>
      <c r="AB22" s="16">
        <f t="shared" si="2"/>
        <v>2.3950192000000001</v>
      </c>
      <c r="AC22" s="16">
        <f t="shared" si="3"/>
        <v>0.88497580000000009</v>
      </c>
      <c r="AD22" s="16">
        <f t="shared" si="4"/>
        <v>0.56099999999999994</v>
      </c>
      <c r="AE22" s="15">
        <f>INDEX('Unique Asset List'!$CJ$4:$CP$60,MATCH('7'!$B22,'Unique Asset List'!$A$4:$A$60,0),MATCH('7'!$C$1,'Unique Asset List'!$CJ$3:$CP$3,0))</f>
        <v>0.23</v>
      </c>
      <c r="AF22" s="15">
        <f>INDEX('Unique Asset List'!$CQ$4:$CW$60,MATCH('7'!$B22,'Unique Asset List'!$A$4:$A$60,0),MATCH('7'!$C$1,'Unique Asset List'!$CQ$3:$CW$3,0))</f>
        <v>0.27</v>
      </c>
      <c r="AG22" s="15">
        <f>INDEX('Unique Asset List'!$BV$4:$CB$60,MATCH('7'!$B22,'Unique Asset List'!$A$4:$A$60,0),MATCH('7'!$C$1,'Unique Asset List'!$BV$3:$CB$3,0))</f>
        <v>0.23</v>
      </c>
      <c r="AH22" s="15">
        <f>INDEX('Unique Asset List'!$CC$4:$CI$60,MATCH('7'!$B22,'Unique Asset List'!$A$4:$A$60,0),MATCH('7'!$C$1,'Unique Asset List'!$CC$3:$CI$3,0))</f>
        <v>0.34</v>
      </c>
      <c r="AI22" s="11">
        <v>0.7</v>
      </c>
      <c r="AJ22" s="15">
        <f>INDEX('Unique Asset List'!$BH$4:$BN$60,MATCH('7'!$B22,'Unique Asset List'!$A$4:$A$60,0),MATCH('7'!$C$1,'Unique Asset List'!$BH$3:$BN$3,0))</f>
        <v>0.14000000000000001</v>
      </c>
      <c r="AK22" s="15">
        <f>INDEX('Unique Asset List'!$BO$4:$BU$60,MATCH('7'!$B22,'Unique Asset List'!$A$4:$A$60,0),MATCH('7'!$C$1,'Unique Asset List'!$BO$3:$BU$3,0))</f>
        <v>0.15</v>
      </c>
      <c r="AL22" s="40">
        <f>177.567567567568-28</f>
        <v>149.56756756756801</v>
      </c>
      <c r="AM22" s="14">
        <f>AM13*0.9</f>
        <v>13.228767123287671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2/7</f>
        <v>0.2857142857142857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0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5</v>
      </c>
      <c r="BE22" s="3">
        <f>IF($C$5="ON",CE22,MyRating(_E2,$B22,Efficacy!$F$1))</f>
        <v>5</v>
      </c>
      <c r="BF22" s="3">
        <f>IF($C$5="ON",CF22,MyRating(_E3,$B22,Efficacy!$F$1))</f>
        <v>5</v>
      </c>
      <c r="BG22" s="3">
        <f>IF($C$5="ON",CG22,MyRating(_E4,$B22,Efficacy!$F$1))</f>
        <v>5</v>
      </c>
      <c r="BH22" s="3">
        <f>IF($C$5="ON",CH22,MyRating(_E5,$B22,Efficacy!$F$1))</f>
        <v>4</v>
      </c>
      <c r="BI22" s="3">
        <f>IF($C$5="ON",CI22,MyRating(_E6,$B22,Efficacy!$F$1))</f>
        <v>3</v>
      </c>
      <c r="BJ22" s="3">
        <f>IF($C$5="ON",CJ22,MyRating(_E7,$B22,Efficacy!$F$1))</f>
        <v>2</v>
      </c>
      <c r="BK22" s="3">
        <f>IF($C$5="ON",CK22,MyRating(_E8,$B22,Efficacy!$F$1))</f>
        <v>3</v>
      </c>
      <c r="BL22" s="3">
        <f>IF($C$5="ON",CL22,MyRating(_S1,$B22,Efficacy!$F$1))</f>
        <v>4</v>
      </c>
      <c r="BM22" s="3">
        <f>IF($C$5="ON",CM22,MyRating(_S2,$B22,Efficacy!$F$1))</f>
        <v>3</v>
      </c>
      <c r="BN22" s="3">
        <f>IF($C$5="ON",CN22,MyRating(_S3,$B22,Efficacy!$F$1))</f>
        <v>3</v>
      </c>
      <c r="BO22" s="3">
        <f>IF($C$5="ON",CO22,MyRating(_S4,$B22,Efficacy!$F$1))</f>
        <v>3</v>
      </c>
      <c r="BP22" s="3">
        <f>IF($C$5="ON",CP22,MyRating(_S5,$B22,Efficacy!$F$1))</f>
        <v>5</v>
      </c>
      <c r="BQ22" s="3">
        <f>IF($C$5="ON",CQ22,MyRating(_S6,$B22,Efficacy!$F$1))</f>
        <v>2</v>
      </c>
      <c r="BR22" s="3">
        <f>IF($C$5="ON",CR22,MyRating(_S7,$B22,Efficacy!$F$1))</f>
        <v>3</v>
      </c>
      <c r="BS22" s="3">
        <f>IF($C$5="ON",CS22,MyRating(_D1,$B22,Efficacy!$F$1))</f>
        <v>3</v>
      </c>
      <c r="BT22" s="3">
        <f>IF($C$5="ON",CT22,MyRating(_D2,$B22,Efficacy!$F$1))</f>
        <v>3</v>
      </c>
      <c r="BU22" s="3">
        <f>IF($C$5="ON",CU22,MyRating(_D3,$B22,Efficacy!$F$1))</f>
        <v>3</v>
      </c>
      <c r="BV22" s="3">
        <f>IF($C$5="ON",CV22,MyRating(_D4,$B22,Efficacy!$F$1))</f>
        <v>3</v>
      </c>
      <c r="BW22" s="3">
        <f>IF($C$5="ON",CW22,MyRating(_B1G5,$B22,Barrier!$L$2))</f>
        <v>1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9"/>
        <v>2.9893223831915738E-2</v>
      </c>
      <c r="CA22" s="8">
        <f t="shared" si="6"/>
        <v>2.6000000000000005</v>
      </c>
      <c r="CB22" s="5">
        <f t="shared" si="7"/>
        <v>3.058823529411767E-2</v>
      </c>
      <c r="CC22" s="7">
        <f t="shared" si="8"/>
        <v>5.3497271616647964E-3</v>
      </c>
      <c r="CD22" s="4">
        <v>5</v>
      </c>
      <c r="CE22" s="3">
        <v>5</v>
      </c>
      <c r="CF22" s="3">
        <v>5</v>
      </c>
      <c r="CG22" s="3">
        <v>4</v>
      </c>
      <c r="CH22" s="3">
        <v>3</v>
      </c>
      <c r="CI22" s="3">
        <v>3</v>
      </c>
      <c r="CJ22" s="3">
        <v>3</v>
      </c>
      <c r="CK22" s="3">
        <v>4</v>
      </c>
      <c r="CL22" s="3">
        <v>5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2</v>
      </c>
      <c r="CT22" s="3">
        <v>3</v>
      </c>
      <c r="CU22" s="3">
        <v>3</v>
      </c>
      <c r="CV22" s="3">
        <v>1</v>
      </c>
      <c r="CW22" s="3">
        <v>1</v>
      </c>
      <c r="CX22" s="3">
        <v>1</v>
      </c>
      <c r="CY22" s="6">
        <v>1</v>
      </c>
      <c r="CZ22" s="5">
        <v>9.9044671286996639E-3</v>
      </c>
      <c r="DA22" s="59"/>
    </row>
    <row r="23" spans="1:105" x14ac:dyDescent="0.25">
      <c r="A23" s="9" t="str">
        <f t="shared" si="0"/>
        <v>JP</v>
      </c>
      <c r="B23" s="9" t="s">
        <v>73</v>
      </c>
      <c r="C23" s="20" t="s">
        <v>3</v>
      </c>
      <c r="D23" s="9" t="s">
        <v>72</v>
      </c>
      <c r="E23" s="9" t="s">
        <v>186</v>
      </c>
      <c r="F23" s="9" t="str">
        <f>INDEX('Unique Asset List'!$C$4:$C$60,MATCH(B23,_CompoundList,0))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INDEX(PTRS!$D$6:$D$12,MATCH('7'!$F23,PTRS!$B$6:$B$12,0))</f>
        <v>0.13923000000000002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0</v>
      </c>
      <c r="M23" s="17">
        <v>4.6410000000000007E-2</v>
      </c>
      <c r="N23" s="17">
        <f>INDEX('Unique Asset List'!$D$4:$M$60,MATCH($B23,'Unique Asset List'!$A$4:$A$60,0),MATCH(N$8,'Unique Asset List'!$D$3:$M$3,0))</f>
        <v>0.13923000000000002</v>
      </c>
      <c r="O23" s="17">
        <f>INDEX('Unique Asset List'!$D$4:$M$60,MATCH($B23,'Unique Asset List'!$A$4:$A$60,0),MATCH(O$8,'Unique Asset List'!$D$3:$M$3,0))</f>
        <v>0.13923000000000002</v>
      </c>
      <c r="P23" s="17">
        <f>INDEX('Unique Asset List'!$D$4:$M$60,MATCH($B23,'Unique Asset List'!$A$4:$A$60,0),MATCH(P$8,'Unique Asset List'!$D$3:$M$3,0))</f>
        <v>0.13923000000000002</v>
      </c>
      <c r="Q23" s="17">
        <f>INDEX('Unique Asset List'!$D$4:$M$60,MATCH($B23,'Unique Asset List'!$A$4:$A$60,0),MATCH(Q$8,'Unique Asset List'!$D$3:$M$3,0))</f>
        <v>0.13923000000000002</v>
      </c>
      <c r="R23" s="17">
        <f>INDEX('Unique Asset List'!$D$4:$M$60,MATCH($B23,'Unique Asset List'!$A$4:$A$60,0),MATCH(R$8,'Unique Asset List'!$D$3:$M$3,0))</f>
        <v>0.13923000000000002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1"/>
        <v>0</v>
      </c>
      <c r="V23" s="17">
        <v>1</v>
      </c>
      <c r="W23" s="9" t="s">
        <v>27</v>
      </c>
      <c r="X23" s="9">
        <f>INDEX('Unique Asset List'!$Y$4:$AE$60,MATCH('7'!$B23,'Unique Asset List'!$A$4:$A$60,0),MATCH('7'!$C$1,'Unique Asset List'!$Y$3:$AE$3,0))</f>
        <v>2026</v>
      </c>
      <c r="Y23" s="9">
        <f>INDEX('Unique Asset List'!$AF$4:$AL$60,MATCH('7'!$B23,'Unique Asset List'!$A$4:$A$60,0),MATCH('7'!$C$1,'Unique Asset List'!$AF$3:$AL$3,0))</f>
        <v>7</v>
      </c>
      <c r="Z23" s="9">
        <f>INDEX('Unique Asset List'!$AT$4:$AZ$60,MATCH('7'!$B23,'Unique Asset List'!$A$4:$A$60,0),MATCH('7'!$C$1,'Unique Asset List'!$AT$3:$AZ$3,0))</f>
        <v>2034</v>
      </c>
      <c r="AA23" s="9">
        <f>INDEX('Unique Asset List'!$BA$4:$BG$60,MATCH('7'!$B23,'Unique Asset List'!$A$4:$A$60,0),MATCH('7'!$C$1,'Unique Asset List'!$BA$3:$BG$3,0))</f>
        <v>7</v>
      </c>
      <c r="AB23" s="16">
        <f t="shared" si="2"/>
        <v>1.9312568000000003</v>
      </c>
      <c r="AC23" s="16">
        <f t="shared" si="3"/>
        <v>0.76203600000000005</v>
      </c>
      <c r="AD23" s="16">
        <f t="shared" si="4"/>
        <v>0.45111879999999999</v>
      </c>
      <c r="AE23" s="15">
        <f>INDEX('Unique Asset List'!$CJ$4:$CP$60,MATCH('7'!$B23,'Unique Asset List'!$A$4:$A$60,0),MATCH('7'!$C$1,'Unique Asset List'!$CJ$3:$CP$3,0))</f>
        <v>0.16</v>
      </c>
      <c r="AF23" s="15">
        <f>INDEX('Unique Asset List'!$CQ$4:$CW$60,MATCH('7'!$B23,'Unique Asset List'!$A$4:$A$60,0),MATCH('7'!$C$1,'Unique Asset List'!$CQ$3:$CW$3,0))</f>
        <v>0.34</v>
      </c>
      <c r="AG23" s="15">
        <f>INDEX('Unique Asset List'!$BV$4:$CB$60,MATCH('7'!$B23,'Unique Asset List'!$A$4:$A$60,0),MATCH('7'!$C$1,'Unique Asset List'!$BV$3:$CB$3,0))</f>
        <v>0.16</v>
      </c>
      <c r="AH23" s="15">
        <f>INDEX('Unique Asset List'!$CC$4:$CI$60,MATCH('7'!$B23,'Unique Asset List'!$A$4:$A$60,0),MATCH('7'!$C$1,'Unique Asset List'!$CC$3:$CI$3,0))</f>
        <v>0.34</v>
      </c>
      <c r="AI23" s="11">
        <v>0.7</v>
      </c>
      <c r="AJ23" s="15">
        <f>INDEX('Unique Asset List'!$BH$4:$BN$60,MATCH('7'!$B23,'Unique Asset List'!$A$4:$A$60,0),MATCH('7'!$C$1,'Unique Asset List'!$BH$3:$BN$3,0))</f>
        <v>0.14000000000000001</v>
      </c>
      <c r="AK23" s="15">
        <f>INDEX('Unique Asset List'!$BO$4:$BU$60,MATCH('7'!$B23,'Unique Asset List'!$A$4:$A$60,0),MATCH('7'!$C$1,'Unique Asset List'!$BO$3:$BU$3,0))</f>
        <v>0.15</v>
      </c>
      <c r="AL23" s="40">
        <v>169</v>
      </c>
      <c r="AM23" s="14">
        <f>INDEX(Simulation!$B$6:$H$6,MATCH($A23,Simulation!$B$1:$H$1,0))*(1+AN23)^((DATE(X23,Y23,15)-DATE(2017,1,15))/365.5)</f>
        <v>0.75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0</v>
      </c>
      <c r="AV23" s="181">
        <f>INDEX('Unique Asset List'!P$4:P$60,MATCH($B23,_CompoundList,0))</f>
        <v>0</v>
      </c>
      <c r="AW23" s="181">
        <f>INDEX('Unique Asset List'!Q$4:Q$60,MATCH($B23,_CompoundList,0))</f>
        <v>0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1</v>
      </c>
      <c r="AZ23" s="181">
        <f ca="1">INDEX('Unique Asset List'!T$4:T$60,MATCH($B23,_CompoundList,0))</f>
        <v>1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1</v>
      </c>
      <c r="BD23" s="4">
        <f>IF($C$5="ON",CD23,MyRating(_E1,$B23,Efficacy!$F$1))</f>
        <v>4</v>
      </c>
      <c r="BE23" s="3">
        <f>IF($C$5="ON",CE23,MyRating(_E2,$B23,Efficacy!$F$1))</f>
        <v>3</v>
      </c>
      <c r="BF23" s="3">
        <f>IF($C$5="ON",CF23,MyRating(_E3,$B23,Efficacy!$F$1))</f>
        <v>4</v>
      </c>
      <c r="BG23" s="3">
        <f>IF($C$5="ON",CG23,MyRating(_E4,$B23,Efficacy!$F$1))</f>
        <v>3</v>
      </c>
      <c r="BH23" s="3">
        <f>IF($C$5="ON",CH23,MyRating(_E5,$B23,Efficacy!$F$1))</f>
        <v>3</v>
      </c>
      <c r="BI23" s="3">
        <f>IF($C$5="ON",CI23,MyRating(_E6,$B23,Efficacy!$F$1))</f>
        <v>2</v>
      </c>
      <c r="BJ23" s="3">
        <f>IF($C$5="ON",CJ23,MyRating(_E7,$B23,Efficacy!$F$1))</f>
        <v>3</v>
      </c>
      <c r="BK23" s="3">
        <f>IF($C$5="ON",CK23,MyRating(_E8,$B23,Efficacy!$F$1))</f>
        <v>5</v>
      </c>
      <c r="BL23" s="3">
        <f>IF($C$5="ON",CL23,MyRating(_S1,$B23,Efficacy!$F$1))</f>
        <v>2</v>
      </c>
      <c r="BM23" s="3">
        <f>IF($C$5="ON",CM23,MyRating(_S2,$B23,Efficacy!$F$1))</f>
        <v>3</v>
      </c>
      <c r="BN23" s="3">
        <f>IF($C$5="ON",CN23,MyRating(_S3,$B23,Efficacy!$F$1))</f>
        <v>3</v>
      </c>
      <c r="BO23" s="3">
        <f>IF($C$5="ON",CO23,MyRating(_S4,$B23,Efficacy!$F$1))</f>
        <v>3</v>
      </c>
      <c r="BP23" s="3">
        <f>IF($C$5="ON",CP23,MyRating(_S5,$B23,Efficacy!$F$1))</f>
        <v>5</v>
      </c>
      <c r="BQ23" s="3">
        <f>IF($C$5="ON",CQ23,MyRating(_S6,$B23,Efficacy!$F$1))</f>
        <v>2</v>
      </c>
      <c r="BR23" s="3">
        <f>IF($C$5="ON",CR23,MyRating(_S7,$B23,Efficacy!$F$1))</f>
        <v>3</v>
      </c>
      <c r="BS23" s="3">
        <f>IF($C$5="ON",CS23,MyRating(_D1,$B23,Efficacy!$F$1))</f>
        <v>3</v>
      </c>
      <c r="BT23" s="3">
        <f>IF($C$5="ON",CT23,MyRating(_D2,$B23,Efficacy!$F$1))</f>
        <v>3</v>
      </c>
      <c r="BU23" s="3">
        <f>IF($C$5="ON",CU23,MyRating(_D3,$B23,Efficacy!$F$1))</f>
        <v>3</v>
      </c>
      <c r="BV23" s="3">
        <f>IF($C$5="ON",CV23,MyRating(_D4,$B23,Efficacy!$F$1))</f>
        <v>1</v>
      </c>
      <c r="BW23" s="3">
        <f>IF($C$5="ON",CW23,MyRating(_B1G5,$B23,Barrier!$L$2))</f>
        <v>2</v>
      </c>
      <c r="BX23" s="3">
        <f>IF($C$5="ON",CX23,MyRating(_B2,$B23,Barrier!$F$2))</f>
        <v>3</v>
      </c>
      <c r="BY23" s="6">
        <f>IF($C$5="ON",CY23,MyRating(_B3,$B23,Barrier!$F$2))</f>
        <v>0</v>
      </c>
      <c r="BZ23" s="5">
        <f t="shared" si="9"/>
        <v>0</v>
      </c>
      <c r="CA23" s="8">
        <f t="shared" si="6"/>
        <v>1.6</v>
      </c>
      <c r="CB23" s="5">
        <f t="shared" si="7"/>
        <v>1.8823529411764715E-2</v>
      </c>
      <c r="CC23" s="7">
        <f t="shared" si="8"/>
        <v>2.5825669292048399E-3</v>
      </c>
      <c r="CD23" s="4">
        <v>4</v>
      </c>
      <c r="CE23" s="3">
        <v>4</v>
      </c>
      <c r="CF23" s="3">
        <v>4</v>
      </c>
      <c r="CG23" s="3">
        <v>3</v>
      </c>
      <c r="CH23" s="3">
        <v>3</v>
      </c>
      <c r="CI23" s="3">
        <v>2</v>
      </c>
      <c r="CJ23" s="3">
        <v>3</v>
      </c>
      <c r="CK23" s="3">
        <v>5</v>
      </c>
      <c r="CL23" s="3">
        <v>2</v>
      </c>
      <c r="CM23" s="3">
        <v>3</v>
      </c>
      <c r="CN23" s="3">
        <v>3</v>
      </c>
      <c r="CO23" s="3">
        <v>3</v>
      </c>
      <c r="CP23" s="3">
        <v>5</v>
      </c>
      <c r="CQ23" s="3">
        <v>2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2</v>
      </c>
      <c r="CX23" s="3">
        <v>3</v>
      </c>
      <c r="CY23" s="6">
        <v>3</v>
      </c>
      <c r="CZ23" s="5">
        <v>3.6275844714639842E-2</v>
      </c>
      <c r="DA23" s="59"/>
    </row>
    <row r="24" spans="1:105" x14ac:dyDescent="0.25">
      <c r="A24" s="9" t="str">
        <f t="shared" si="0"/>
        <v>JP</v>
      </c>
      <c r="B24" s="9" t="s">
        <v>17</v>
      </c>
      <c r="C24" s="20"/>
      <c r="D24" s="9" t="s">
        <v>2</v>
      </c>
      <c r="E24" s="9" t="s">
        <v>186</v>
      </c>
      <c r="F24" s="9" t="str">
        <f>INDEX('Unique Asset List'!$C$4:$C$60,MATCH(B24,_CompoundList,0))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INDEX(PTRS!$D$6:$D$12,MATCH('7'!$F24,PTRS!$B$6:$B$12,0))</f>
        <v>0.13923000000000002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v>0.25</v>
      </c>
      <c r="N24" s="17">
        <f>INDEX('Unique Asset List'!$D$4:$M$60,MATCH($B24,'Unique Asset List'!$A$4:$A$60,0),MATCH(N$8,'Unique Asset List'!$D$3:$M$3,0))</f>
        <v>0.25</v>
      </c>
      <c r="O24" s="17">
        <f>INDEX('Unique Asset List'!$D$4:$M$60,MATCH($B24,'Unique Asset List'!$A$4:$A$60,0),MATCH(O$8,'Unique Asset List'!$D$3:$M$3,0))</f>
        <v>0.25</v>
      </c>
      <c r="P24" s="17">
        <f>INDEX('Unique Asset List'!$D$4:$M$60,MATCH($B24,'Unique Asset List'!$A$4:$A$60,0),MATCH(P$8,'Unique Asset List'!$D$3:$M$3,0))</f>
        <v>0.25</v>
      </c>
      <c r="Q24" s="17">
        <f>INDEX('Unique Asset List'!$D$4:$M$60,MATCH($B24,'Unique Asset List'!$A$4:$A$60,0),MATCH(Q$8,'Unique Asset List'!$D$3:$M$3,0))</f>
        <v>0.25</v>
      </c>
      <c r="R24" s="17">
        <f>INDEX('Unique Asset List'!$D$4:$M$60,MATCH($B24,'Unique Asset List'!$A$4:$A$60,0),MATCH(R$8,'Unique Asset List'!$D$3:$M$3,0))</f>
        <v>0.25</v>
      </c>
      <c r="S24" s="17">
        <f>INDEX('Unique Asset List'!$D$4:$M$60,MATCH($B24,'Unique Asset List'!$A$4:$A$60,0),MATCH(S$8,'Unique Asset List'!$D$3:$M$3,0))</f>
        <v>0</v>
      </c>
      <c r="T24" s="17"/>
      <c r="U24" s="17">
        <f t="shared" si="1"/>
        <v>0.90168566420734264</v>
      </c>
      <c r="V24" s="17">
        <v>1</v>
      </c>
      <c r="W24" s="9" t="s">
        <v>16</v>
      </c>
      <c r="X24" s="9">
        <f>INDEX('Unique Asset List'!$Y$4:$AE$60,MATCH('7'!$B24,'Unique Asset List'!$A$4:$A$60,0),MATCH('7'!$C$1,'Unique Asset List'!$Y$3:$AE$3,0))</f>
        <v>2027</v>
      </c>
      <c r="Y24" s="9">
        <f>INDEX('Unique Asset List'!$AF$4:$AL$60,MATCH('7'!$B24,'Unique Asset List'!$A$4:$A$60,0),MATCH('7'!$C$1,'Unique Asset List'!$AF$3:$AL$3,0))</f>
        <v>9</v>
      </c>
      <c r="Z24" s="9">
        <f>INDEX('Unique Asset List'!$AT$4:$AZ$60,MATCH('7'!$B24,'Unique Asset List'!$A$4:$A$60,0),MATCH('7'!$C$1,'Unique Asset List'!$AT$3:$AZ$3,0))</f>
        <v>2035</v>
      </c>
      <c r="AA24" s="9">
        <f>INDEX('Unique Asset List'!$BA$4:$BG$60,MATCH('7'!$B24,'Unique Asset List'!$A$4:$A$60,0),MATCH('7'!$C$1,'Unique Asset List'!$BA$3:$BG$3,0))</f>
        <v>1</v>
      </c>
      <c r="AB24" s="16">
        <f t="shared" si="2"/>
        <v>1.8562298000000002</v>
      </c>
      <c r="AC24" s="16">
        <f t="shared" si="3"/>
        <v>0.97947730000000011</v>
      </c>
      <c r="AD24" s="16">
        <f t="shared" si="4"/>
        <v>0.56099999999999994</v>
      </c>
      <c r="AE24" s="15">
        <f>INDEX('Unique Asset List'!$CJ$4:$CP$60,MATCH('7'!$B24,'Unique Asset List'!$A$4:$A$60,0),MATCH('7'!$C$1,'Unique Asset List'!$CJ$3:$CP$3,0))</f>
        <v>0.16</v>
      </c>
      <c r="AF24" s="15">
        <f>INDEX('Unique Asset List'!$CQ$4:$CW$60,MATCH('7'!$B24,'Unique Asset List'!$A$4:$A$60,0),MATCH('7'!$C$1,'Unique Asset List'!$CQ$3:$CW$3,0))</f>
        <v>0.34</v>
      </c>
      <c r="AG24" s="15">
        <f>INDEX('Unique Asset List'!$BV$4:$CB$60,MATCH('7'!$B24,'Unique Asset List'!$A$4:$A$60,0),MATCH('7'!$C$1,'Unique Asset List'!$BV$3:$CB$3,0))</f>
        <v>0.16</v>
      </c>
      <c r="AH24" s="15">
        <f>INDEX('Unique Asset List'!$CC$4:$CI$60,MATCH('7'!$B24,'Unique Asset List'!$A$4:$A$60,0),MATCH('7'!$C$1,'Unique Asset List'!$CC$3:$CI$3,0))</f>
        <v>0.34</v>
      </c>
      <c r="AI24" s="11">
        <v>0.7</v>
      </c>
      <c r="AJ24" s="15">
        <f>INDEX('Unique Asset List'!$BH$4:$BN$60,MATCH('7'!$B24,'Unique Asset List'!$A$4:$A$60,0),MATCH('7'!$C$1,'Unique Asset List'!$BH$3:$BN$3,0))</f>
        <v>0.14000000000000001</v>
      </c>
      <c r="AK24" s="15">
        <f>INDEX('Unique Asset List'!$BO$4:$BU$60,MATCH('7'!$B24,'Unique Asset List'!$A$4:$A$60,0),MATCH('7'!$C$1,'Unique Asset List'!$BO$3:$BU$3,0))</f>
        <v>0.15</v>
      </c>
      <c r="AL24" s="40">
        <v>169</v>
      </c>
      <c r="AM24" s="162">
        <v>1.25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1</v>
      </c>
      <c r="AY24" s="181">
        <f ca="1">INDEX('Unique Asset List'!S$4:S$60,MATCH($B24,_CompoundList,0))</f>
        <v>1</v>
      </c>
      <c r="AZ24" s="181">
        <f ca="1">INDEX('Unique Asset List'!T$4:T$60,MATCH($B24,_CompoundList,0))</f>
        <v>1</v>
      </c>
      <c r="BA24" s="181">
        <f ca="1">INDEX('Unique Asset List'!U$4:U$60,MATCH($B24,_CompoundList,0))</f>
        <v>0</v>
      </c>
      <c r="BB24" s="181">
        <f ca="1">INDEX('Unique Asset List'!V$4:V$60,MATCH($B24,_CompoundList,0))</f>
        <v>1</v>
      </c>
      <c r="BC24" s="181">
        <f ca="1">INDEX('Unique Asset List'!W$4:W$60,MATCH($B24,_CompoundList,0))</f>
        <v>0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3</v>
      </c>
      <c r="BG24" s="3">
        <f>IF($C$5="ON",CG24,MyRating(_E4,$B24,Efficacy!$F$1))</f>
        <v>4</v>
      </c>
      <c r="BH24" s="3">
        <f>IF($C$5="ON",CH24,MyRating(_E5,$B24,Efficacy!$F$1))</f>
        <v>4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3</v>
      </c>
      <c r="BL24" s="3">
        <f>IF($C$5="ON",CL24,MyRating(_S1,$B24,Efficacy!$F$1))</f>
        <v>4</v>
      </c>
      <c r="BM24" s="3">
        <f>IF($C$5="ON",CM24,MyRating(_S2,$B24,Efficacy!$F$1))</f>
        <v>4</v>
      </c>
      <c r="BN24" s="3">
        <f>IF($C$5="ON",CN24,MyRating(_S3,$B24,Efficacy!$F$1))</f>
        <v>3</v>
      </c>
      <c r="BO24" s="3">
        <f>IF($C$5="ON",CO24,MyRating(_S4,$B24,Efficacy!$F$1))</f>
        <v>5</v>
      </c>
      <c r="BP24" s="3">
        <f>IF($C$5="ON",CP24,MyRating(_S5,$B24,Efficacy!$F$1))</f>
        <v>5</v>
      </c>
      <c r="BQ24" s="3">
        <f>IF($C$5="ON",CQ24,MyRating(_S6,$B24,Efficacy!$F$1))</f>
        <v>2</v>
      </c>
      <c r="BR24" s="3">
        <f>IF($C$5="ON",CR24,MyRating(_S7,$B24,Efficacy!$F$1))</f>
        <v>3</v>
      </c>
      <c r="BS24" s="3">
        <f>IF($C$5="ON",CS24,MyRating(_D1,$B24,Efficacy!$F$1))</f>
        <v>3</v>
      </c>
      <c r="BT24" s="3">
        <f>IF($C$5="ON",CT24,MyRating(_D2,$B24,Efficacy!$F$1))</f>
        <v>3</v>
      </c>
      <c r="BU24" s="3">
        <f>IF($C$5="ON",CU24,MyRating(_D3,$B24,Efficacy!$F$1))</f>
        <v>3</v>
      </c>
      <c r="BV24" s="3">
        <f>IF($C$5="ON",CV24,MyRating(_D4,$B24,Efficacy!$F$1))</f>
        <v>3</v>
      </c>
      <c r="BW24" s="3">
        <f>IF($C$5="ON",CW24,MyRating(_B1G5,$B24,Barrier!$L$2))</f>
        <v>2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9"/>
        <v>3.3407946312985805E-2</v>
      </c>
      <c r="CA24" s="8">
        <f t="shared" si="6"/>
        <v>2.8000000000000003</v>
      </c>
      <c r="CB24" s="5">
        <f t="shared" si="7"/>
        <v>3.2941176470588251E-2</v>
      </c>
      <c r="CC24" s="7">
        <f t="shared" si="8"/>
        <v>5.9787261089987885E-3</v>
      </c>
      <c r="CD24" s="4">
        <v>4</v>
      </c>
      <c r="CE24" s="3">
        <v>3</v>
      </c>
      <c r="CF24" s="3">
        <v>3</v>
      </c>
      <c r="CG24" s="3">
        <v>4</v>
      </c>
      <c r="CH24" s="3">
        <v>3</v>
      </c>
      <c r="CI24" s="3">
        <v>2</v>
      </c>
      <c r="CJ24" s="3">
        <v>3</v>
      </c>
      <c r="CK24" s="3">
        <v>3</v>
      </c>
      <c r="CL24" s="3">
        <v>4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2</v>
      </c>
      <c r="CX24" s="3">
        <v>3</v>
      </c>
      <c r="CY24" s="6">
        <v>3</v>
      </c>
      <c r="CZ24" s="5">
        <v>3.6275844714639842E-2</v>
      </c>
      <c r="DA24" s="59"/>
    </row>
    <row r="25" spans="1:105" x14ac:dyDescent="0.25">
      <c r="A25" s="9" t="str">
        <f t="shared" si="0"/>
        <v>JP</v>
      </c>
      <c r="B25" s="9" t="s">
        <v>21</v>
      </c>
      <c r="C25" s="20"/>
      <c r="D25" s="9" t="s">
        <v>2</v>
      </c>
      <c r="E25" s="9" t="s">
        <v>186</v>
      </c>
      <c r="F25" s="9" t="str">
        <f>INDEX('Unique Asset List'!$C$4:$C$60,MATCH(B25,_CompoundList,0))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INDEX(PTRS!$D$6:$D$12,MATCH('7'!$F25,PTRS!$B$6:$B$12,0))</f>
        <v>0.1638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7">
        <v>0.1638</v>
      </c>
      <c r="N25" s="17">
        <f>INDEX('Unique Asset List'!$D$4:$M$60,MATCH($B25,'Unique Asset List'!$A$4:$A$60,0),MATCH(N$8,'Unique Asset List'!$D$3:$M$3,0))</f>
        <v>0.16400000000000001</v>
      </c>
      <c r="O25" s="17">
        <f>INDEX('Unique Asset List'!$D$4:$M$60,MATCH($B25,'Unique Asset List'!$A$4:$A$60,0),MATCH(O$8,'Unique Asset List'!$D$3:$M$3,0))</f>
        <v>0</v>
      </c>
      <c r="P25" s="17">
        <f>INDEX('Unique Asset List'!$D$4:$M$60,MATCH($B25,'Unique Asset List'!$A$4:$A$60,0),MATCH(P$8,'Unique Asset List'!$D$3:$M$3,0))</f>
        <v>0</v>
      </c>
      <c r="Q25" s="17">
        <f>INDEX('Unique Asset List'!$D$4:$M$60,MATCH($B25,'Unique Asset List'!$A$4:$A$60,0),MATCH(Q$8,'Unique Asset List'!$D$3:$M$3,0))</f>
        <v>1</v>
      </c>
      <c r="R25" s="17">
        <f>INDEX('Unique Asset List'!$D$4:$M$60,MATCH($B25,'Unique Asset List'!$A$4:$A$60,0),MATCH(R$8,'Unique Asset List'!$D$3:$M$3,0))</f>
        <v>1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1"/>
        <v>0.90168566420734264</v>
      </c>
      <c r="V25" s="17">
        <v>0.7</v>
      </c>
      <c r="W25" s="9" t="s">
        <v>20</v>
      </c>
      <c r="X25" s="9">
        <f>INDEX('Unique Asset List'!$Y$4:$AE$60,MATCH('7'!$B25,'Unique Asset List'!$A$4:$A$60,0),MATCH('7'!$C$1,'Unique Asset List'!$Y$3:$AE$3,0))</f>
        <v>2027</v>
      </c>
      <c r="Y25" s="9">
        <f>INDEX('Unique Asset List'!$AF$4:$AL$60,MATCH('7'!$B25,'Unique Asset List'!$A$4:$A$60,0),MATCH('7'!$C$1,'Unique Asset List'!$AF$3:$AL$3,0))</f>
        <v>2</v>
      </c>
      <c r="Z25" s="9">
        <f>INDEX('Unique Asset List'!$AT$4:$AZ$60,MATCH('7'!$B25,'Unique Asset List'!$A$4:$A$60,0),MATCH('7'!$C$1,'Unique Asset List'!$AT$3:$AZ$3,0))</f>
        <v>2035</v>
      </c>
      <c r="AA25" s="9">
        <f>INDEX('Unique Asset List'!$BA$4:$BG$60,MATCH('7'!$B25,'Unique Asset List'!$A$4:$A$60,0),MATCH('7'!$C$1,'Unique Asset List'!$BA$3:$BG$3,0))</f>
        <v>5</v>
      </c>
      <c r="AB25" s="16">
        <f t="shared" si="2"/>
        <v>1.6822346000000001</v>
      </c>
      <c r="AC25" s="16">
        <f t="shared" si="3"/>
        <v>0.91486990000000001</v>
      </c>
      <c r="AD25" s="16">
        <f t="shared" si="4"/>
        <v>0.56099999999999994</v>
      </c>
      <c r="AE25" s="15">
        <f>INDEX('Unique Asset List'!$CJ$4:$CP$60,MATCH('7'!$B25,'Unique Asset List'!$A$4:$A$60,0),MATCH('7'!$C$1,'Unique Asset List'!$CJ$3:$CP$3,0))</f>
        <v>0.16</v>
      </c>
      <c r="AF25" s="15">
        <f>INDEX('Unique Asset List'!$CQ$4:$CW$60,MATCH('7'!$B25,'Unique Asset List'!$A$4:$A$60,0),MATCH('7'!$C$1,'Unique Asset List'!$CQ$3:$CW$3,0))</f>
        <v>0.34</v>
      </c>
      <c r="AG25" s="15">
        <f>INDEX('Unique Asset List'!$BV$4:$CB$60,MATCH('7'!$B25,'Unique Asset List'!$A$4:$A$60,0),MATCH('7'!$C$1,'Unique Asset List'!$BV$3:$CB$3,0))</f>
        <v>0.16</v>
      </c>
      <c r="AH25" s="15">
        <f>INDEX('Unique Asset List'!$CC$4:$CI$60,MATCH('7'!$B25,'Unique Asset List'!$A$4:$A$60,0),MATCH('7'!$C$1,'Unique Asset List'!$CC$3:$CI$3,0))</f>
        <v>0.34</v>
      </c>
      <c r="AI25" s="11">
        <v>0.7</v>
      </c>
      <c r="AJ25" s="15">
        <f>INDEX('Unique Asset List'!$BH$4:$BN$60,MATCH('7'!$B25,'Unique Asset List'!$A$4:$A$60,0),MATCH('7'!$C$1,'Unique Asset List'!$BH$3:$BN$3,0))</f>
        <v>0.14000000000000001</v>
      </c>
      <c r="AK25" s="15">
        <f>INDEX('Unique Asset List'!$BO$4:$BU$60,MATCH('7'!$B25,'Unique Asset List'!$A$4:$A$60,0),MATCH('7'!$C$1,'Unique Asset List'!$BO$3:$BU$3,0))</f>
        <v>0.15</v>
      </c>
      <c r="AL25" s="40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1</v>
      </c>
      <c r="AW25" s="181">
        <f>INDEX('Unique Asset List'!Q$4:Q$60,MATCH($B25,_CompoundList,0))</f>
        <v>1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0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0</v>
      </c>
      <c r="BC25" s="181">
        <f ca="1">INDEX('Unique Asset List'!W$4:W$60,MATCH($B25,_CompoundList,0))</f>
        <v>0</v>
      </c>
      <c r="BD25" s="4">
        <f>IF($C$5="ON",CD25,MyRating(_E1,$B25,Efficacy!$F$1))</f>
        <v>3</v>
      </c>
      <c r="BE25" s="3">
        <f>IF($C$5="ON",CE25,MyRating(_E2,$B25,Efficacy!$F$1))</f>
        <v>3</v>
      </c>
      <c r="BF25" s="3">
        <f>IF($C$5="ON",CF25,MyRating(_E3,$B25,Efficacy!$F$1))</f>
        <v>3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4</v>
      </c>
      <c r="BJ25" s="3">
        <f>IF($C$5="ON",CJ25,MyRating(_E7,$B25,Efficacy!$F$1))</f>
        <v>3</v>
      </c>
      <c r="BK25" s="3">
        <f>IF($C$5="ON",CK25,MyRating(_E8,$B25,Efficacy!$F$1))</f>
        <v>2</v>
      </c>
      <c r="BL25" s="3">
        <f>IF($C$5="ON",CL25,MyRating(_S1,$B25,Efficacy!$F$1))</f>
        <v>3</v>
      </c>
      <c r="BM25" s="3">
        <f>IF($C$5="ON",CM25,MyRating(_S2,$B25,Efficacy!$F$1))</f>
        <v>4</v>
      </c>
      <c r="BN25" s="3">
        <f>IF($C$5="ON",CN25,MyRating(_S3,$B25,Efficacy!$F$1))</f>
        <v>3</v>
      </c>
      <c r="BO25" s="3">
        <f>IF($C$5="ON",CO25,MyRating(_S4,$B25,Efficacy!$F$1))</f>
        <v>5</v>
      </c>
      <c r="BP25" s="3">
        <f>IF($C$5="ON",CP25,MyRating(_S5,$B25,Efficacy!$F$1))</f>
        <v>4</v>
      </c>
      <c r="BQ25" s="3">
        <f>IF($C$5="ON",CQ25,MyRating(_S6,$B25,Efficacy!$F$1))</f>
        <v>4</v>
      </c>
      <c r="BR25" s="3">
        <f>IF($C$5="ON",CR25,MyRating(_S7,$B25,Efficacy!$F$1))</f>
        <v>3</v>
      </c>
      <c r="BS25" s="3">
        <f>IF($C$5="ON",CS25,MyRating(_D1,$B25,Efficacy!$F$1))</f>
        <v>3</v>
      </c>
      <c r="BT25" s="3">
        <f>IF($C$5="ON",CT25,MyRating(_D2,$B25,Efficacy!$F$1))</f>
        <v>3</v>
      </c>
      <c r="BU25" s="3">
        <f>IF($C$5="ON",CU25,MyRating(_D3,$B25,Efficacy!$F$1))</f>
        <v>3</v>
      </c>
      <c r="BV25" s="3">
        <f>IF($C$5="ON",CV25,MyRating(_D4,$B25,Efficacy!$F$1))</f>
        <v>3</v>
      </c>
      <c r="BW25" s="3">
        <f>IF($C$5="ON",CW25,MyRating(_B1G5,$B25,Barrier!$L$2))</f>
        <v>2</v>
      </c>
      <c r="BX25" s="3">
        <f>IF($C$5="ON",CX25,MyRating(_B2,$B25,Barrier!$F$2))</f>
        <v>3</v>
      </c>
      <c r="BY25" s="6">
        <f>IF($C$5="ON",CY25,MyRating(_B3,$B25,Barrier!$F$2))</f>
        <v>3</v>
      </c>
      <c r="BZ25" s="5">
        <f t="shared" si="9"/>
        <v>3.3407946312985805E-2</v>
      </c>
      <c r="CA25" s="8">
        <f t="shared" si="6"/>
        <v>2.8000000000000003</v>
      </c>
      <c r="CB25" s="5">
        <f t="shared" si="7"/>
        <v>3.2941176470588251E-2</v>
      </c>
      <c r="CC25" s="7">
        <f t="shared" si="8"/>
        <v>5.9787261089987885E-3</v>
      </c>
      <c r="CD25" s="4">
        <v>3</v>
      </c>
      <c r="CE25" s="3">
        <v>3</v>
      </c>
      <c r="CF25" s="3">
        <v>3</v>
      </c>
      <c r="CG25" s="3">
        <v>3</v>
      </c>
      <c r="CH25" s="3">
        <v>3</v>
      </c>
      <c r="CI25" s="3">
        <v>4</v>
      </c>
      <c r="CJ25" s="3">
        <v>3</v>
      </c>
      <c r="CK25" s="3">
        <v>2</v>
      </c>
      <c r="CL25" s="3">
        <v>3</v>
      </c>
      <c r="CM25" s="3">
        <v>4</v>
      </c>
      <c r="CN25" s="3">
        <v>2</v>
      </c>
      <c r="CO25" s="3">
        <v>5</v>
      </c>
      <c r="CP25" s="3">
        <v>4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2</v>
      </c>
      <c r="CX25" s="3">
        <v>3</v>
      </c>
      <c r="CY25" s="6">
        <v>3</v>
      </c>
      <c r="CZ25" s="5">
        <v>3.6275844714639842E-2</v>
      </c>
      <c r="DA25" s="59"/>
    </row>
    <row r="26" spans="1:105" x14ac:dyDescent="0.25">
      <c r="A26" s="9" t="str">
        <f t="shared" si="0"/>
        <v>JP</v>
      </c>
      <c r="B26" s="9" t="s">
        <v>71</v>
      </c>
      <c r="C26" s="20" t="s">
        <v>3</v>
      </c>
      <c r="D26" s="9" t="s">
        <v>2</v>
      </c>
      <c r="E26" s="9" t="s">
        <v>186</v>
      </c>
      <c r="F26" s="9" t="str">
        <f>INDEX('Unique Asset List'!$C$4:$C$60,MATCH(B26,_CompoundList,0))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INDEX(PTRS!$D$6:$D$12,MATCH('7'!$F26,PTRS!$B$6:$B$12,0))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0.1638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1"/>
        <v>0</v>
      </c>
      <c r="V26" s="17">
        <v>0.05</v>
      </c>
      <c r="W26" s="9" t="s">
        <v>70</v>
      </c>
      <c r="X26" s="9">
        <f>INDEX('Unique Asset List'!$Y$4:$AE$60,MATCH('7'!$B26,'Unique Asset List'!$A$4:$A$60,0),MATCH('7'!$C$1,'Unique Asset List'!$Y$3:$AE$3,0))</f>
        <v>2026</v>
      </c>
      <c r="Y26" s="9">
        <f>INDEX('Unique Asset List'!$AF$4:$AL$60,MATCH('7'!$B26,'Unique Asset List'!$A$4:$A$60,0),MATCH('7'!$C$1,'Unique Asset List'!$AF$3:$AL$3,0))</f>
        <v>3</v>
      </c>
      <c r="Z26" s="9">
        <f>INDEX('Unique Asset List'!$AT$4:$AZ$60,MATCH('7'!$B26,'Unique Asset List'!$A$4:$A$60,0),MATCH('7'!$C$1,'Unique Asset List'!$AT$3:$AZ$3,0))</f>
        <v>2033</v>
      </c>
      <c r="AA26" s="9">
        <f>INDEX('Unique Asset List'!$BA$4:$BG$60,MATCH('7'!$B26,'Unique Asset List'!$A$4:$A$60,0),MATCH('7'!$C$1,'Unique Asset List'!$BA$3:$BG$3,0))</f>
        <v>12</v>
      </c>
      <c r="AB26" s="16">
        <f t="shared" si="2"/>
        <v>1.911081</v>
      </c>
      <c r="AC26" s="16">
        <f t="shared" si="3"/>
        <v>0.85759169999999996</v>
      </c>
      <c r="AD26" s="16">
        <f t="shared" si="4"/>
        <v>0.41402720413999994</v>
      </c>
      <c r="AE26" s="15">
        <f>INDEX('Unique Asset List'!$CJ$4:$CP$60,MATCH('7'!$B26,'Unique Asset List'!$A$4:$A$60,0),MATCH('7'!$C$1,'Unique Asset List'!$CJ$3:$CP$3,0))</f>
        <v>0.23</v>
      </c>
      <c r="AF26" s="15">
        <f>INDEX('Unique Asset List'!$CQ$4:$CW$60,MATCH('7'!$B26,'Unique Asset List'!$A$4:$A$60,0),MATCH('7'!$C$1,'Unique Asset List'!$CQ$3:$CW$3,0))</f>
        <v>0.27</v>
      </c>
      <c r="AG26" s="15">
        <f>INDEX('Unique Asset List'!$BV$4:$CB$60,MATCH('7'!$B26,'Unique Asset List'!$A$4:$A$60,0),MATCH('7'!$C$1,'Unique Asset List'!$BV$3:$CB$3,0))</f>
        <v>0.23</v>
      </c>
      <c r="AH26" s="15">
        <f>INDEX('Unique Asset List'!$CC$4:$CI$60,MATCH('7'!$B26,'Unique Asset List'!$A$4:$A$60,0),MATCH('7'!$C$1,'Unique Asset List'!$CC$3:$CI$3,0))</f>
        <v>0.27</v>
      </c>
      <c r="AI26" s="11">
        <v>0.7</v>
      </c>
      <c r="AJ26" s="15">
        <f>INDEX('Unique Asset List'!$BH$4:$BN$60,MATCH('7'!$B26,'Unique Asset List'!$A$4:$A$60,0),MATCH('7'!$C$1,'Unique Asset List'!$BH$3:$BN$3,0))</f>
        <v>0.14000000000000001</v>
      </c>
      <c r="AK26" s="15">
        <f>INDEX('Unique Asset List'!$BO$4:$BU$60,MATCH('7'!$B26,'Unique Asset List'!$A$4:$A$60,0),MATCH('7'!$C$1,'Unique Asset List'!$BO$3:$BU$3,0))</f>
        <v>0.15</v>
      </c>
      <c r="AL26" s="40">
        <v>169</v>
      </c>
      <c r="AM26" s="14">
        <v>67.75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IF($C$5="ON",CL26,MyRating(_S1,$B26,Efficacy!$F$1))</f>
        <v>1</v>
      </c>
      <c r="BM26" s="3">
        <f>IF($C$5="ON",CM26,MyRating(_S2,$B26,Efficacy!$F$1))</f>
        <v>4</v>
      </c>
      <c r="BN26" s="3">
        <f>IF($C$5="ON",CN26,MyRating(_S3,$B26,Efficacy!$F$1))</f>
        <v>4</v>
      </c>
      <c r="BO26" s="3">
        <f>IF($C$5="ON",CO26,MyRating(_S4,$B26,Efficacy!$F$1))</f>
        <v>5</v>
      </c>
      <c r="BP26" s="3">
        <f>IF($C$5="ON",CP26,MyRating(_S5,$B26,Efficacy!$F$1))</f>
        <v>5</v>
      </c>
      <c r="BQ26" s="3">
        <f>IF($C$5="ON",CQ26,MyRating(_S6,$B26,Efficacy!$F$1))</f>
        <v>2</v>
      </c>
      <c r="BR26" s="3">
        <f>IF($C$5="ON",CR26,MyRating(_S7,$B26,Efficacy!$F$1))</f>
        <v>4</v>
      </c>
      <c r="BS26" s="3">
        <f>IF($C$5="ON",CS26,MyRating(_D1,$B26,Efficacy!$F$1))</f>
        <v>2</v>
      </c>
      <c r="BT26" s="3">
        <f>IF($C$5="ON",CT26,MyRating(_D2,$B26,Efficacy!$F$1))</f>
        <v>3</v>
      </c>
      <c r="BU26" s="3">
        <f>IF($C$5="ON",CU26,MyRating(_D3,$B26,Efficacy!$F$1))</f>
        <v>2</v>
      </c>
      <c r="BV26" s="3">
        <f>IF($C$5="ON",CV26,MyRating(_D4,$B26,Efficacy!$F$1))</f>
        <v>2</v>
      </c>
      <c r="BW26" s="3">
        <f>IF($C$5="ON",CW26,MyRating(_B1G5,$B26,Barrier!$L$2))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9"/>
        <v>0</v>
      </c>
      <c r="CA26" s="8">
        <f t="shared" si="6"/>
        <v>0</v>
      </c>
      <c r="CB26" s="5">
        <f t="shared" si="7"/>
        <v>0</v>
      </c>
      <c r="CC26" s="7">
        <f t="shared" si="8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1</v>
      </c>
      <c r="CL26" s="3">
        <v>3</v>
      </c>
      <c r="CM26" s="3">
        <v>4</v>
      </c>
      <c r="CN26" s="3">
        <v>3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3</v>
      </c>
      <c r="CY26" s="6">
        <v>5</v>
      </c>
      <c r="CZ26" s="5">
        <v>4.9932578149053504E-2</v>
      </c>
      <c r="DA26" s="59"/>
    </row>
    <row r="27" spans="1:105" x14ac:dyDescent="0.25">
      <c r="A27" s="9" t="str">
        <f t="shared" si="0"/>
        <v>JP</v>
      </c>
      <c r="B27" s="9" t="s">
        <v>31</v>
      </c>
      <c r="C27" s="20"/>
      <c r="D27" s="9" t="s">
        <v>2</v>
      </c>
      <c r="E27" s="9" t="s">
        <v>186</v>
      </c>
      <c r="F27" s="9" t="str">
        <f>INDEX('Unique Asset List'!$C$4:$C$60,MATCH(B27,_CompoundList,0))</f>
        <v>Ph1</v>
      </c>
      <c r="G27" s="19">
        <v>0</v>
      </c>
      <c r="H27" s="9">
        <v>2014</v>
      </c>
      <c r="I27" s="9">
        <v>6</v>
      </c>
      <c r="J27" s="18">
        <f>INDEX(PTRS!$D$6:$D$12,MATCH('7'!$F27,PTRS!$B$6:$B$12,0))</f>
        <v>0.13923000000000002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0.13923000000000002</v>
      </c>
      <c r="N27" s="17">
        <f>INDEX('Unique Asset List'!$D$4:$M$60,MATCH($B27,'Unique Asset List'!$A$4:$A$60,0),MATCH(N$8,'Unique Asset List'!$D$3:$M$3,0))</f>
        <v>0.14000000000000001</v>
      </c>
      <c r="O27" s="17">
        <f>INDEX('Unique Asset List'!$D$4:$M$60,MATCH($B27,'Unique Asset List'!$A$4:$A$60,0),MATCH(O$8,'Unique Asset List'!$D$3:$M$3,0))</f>
        <v>0.14000000000000001</v>
      </c>
      <c r="P27" s="17">
        <f>INDEX('Unique Asset List'!$D$4:$M$60,MATCH($B27,'Unique Asset List'!$A$4:$A$60,0),MATCH(P$8,'Unique Asset List'!$D$3:$M$3,0))</f>
        <v>0.14000000000000001</v>
      </c>
      <c r="Q27" s="17">
        <f>INDEX('Unique Asset List'!$D$4:$M$60,MATCH($B27,'Unique Asset List'!$A$4:$A$60,0),MATCH(Q$8,'Unique Asset List'!$D$3:$M$3,0))</f>
        <v>0.14000000000000001</v>
      </c>
      <c r="R27" s="17">
        <f>INDEX('Unique Asset List'!$D$4:$M$60,MATCH($B27,'Unique Asset List'!$A$4:$A$60,0),MATCH(R$8,'Unique Asset List'!$D$3:$M$3,0))</f>
        <v>0.14000000000000001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1"/>
        <v>0.90168566420734264</v>
      </c>
      <c r="V27" s="17">
        <v>1</v>
      </c>
      <c r="W27" s="9" t="s">
        <v>31</v>
      </c>
      <c r="X27" s="9">
        <f>INDEX('Unique Asset List'!$Y$4:$AE$60,MATCH('7'!$B27,'Unique Asset List'!$A$4:$A$60,0),MATCH('7'!$C$1,'Unique Asset List'!$Y$3:$AE$3,0))</f>
        <v>2027</v>
      </c>
      <c r="Y27" s="9">
        <f>INDEX('Unique Asset List'!$AF$4:$AL$60,MATCH('7'!$B27,'Unique Asset List'!$A$4:$A$60,0),MATCH('7'!$C$1,'Unique Asset List'!$AF$3:$AL$3,0))</f>
        <v>12</v>
      </c>
      <c r="Z27" s="9">
        <f>INDEX('Unique Asset List'!$AT$4:$AZ$60,MATCH('7'!$B27,'Unique Asset List'!$A$4:$A$60,0),MATCH('7'!$C$1,'Unique Asset List'!$AT$3:$AZ$3,0))</f>
        <v>2035</v>
      </c>
      <c r="AA27" s="9">
        <f>INDEX('Unique Asset List'!$BA$4:$BG$60,MATCH('7'!$B27,'Unique Asset List'!$A$4:$A$60,0),MATCH('7'!$C$1,'Unique Asset List'!$BA$3:$BG$3,0))</f>
        <v>12</v>
      </c>
      <c r="AB27" s="16">
        <f t="shared" si="2"/>
        <v>2.0063400000000007</v>
      </c>
      <c r="AC27" s="16">
        <f t="shared" si="3"/>
        <v>0.94137550000000003</v>
      </c>
      <c r="AD27" s="16">
        <f t="shared" si="4"/>
        <v>0.56099999999999994</v>
      </c>
      <c r="AE27" s="15">
        <f>INDEX('Unique Asset List'!$CJ$4:$CP$60,MATCH('7'!$B27,'Unique Asset List'!$A$4:$A$60,0),MATCH('7'!$C$1,'Unique Asset List'!$CJ$3:$CP$3,0))</f>
        <v>0.16</v>
      </c>
      <c r="AF27" s="15">
        <f>INDEX('Unique Asset List'!$CQ$4:$CW$60,MATCH('7'!$B27,'Unique Asset List'!$A$4:$A$60,0),MATCH('7'!$C$1,'Unique Asset List'!$CQ$3:$CW$3,0))</f>
        <v>0.34</v>
      </c>
      <c r="AG27" s="15">
        <f>INDEX('Unique Asset List'!$BV$4:$CB$60,MATCH('7'!$B27,'Unique Asset List'!$A$4:$A$60,0),MATCH('7'!$C$1,'Unique Asset List'!$BV$3:$CB$3,0))</f>
        <v>0.16</v>
      </c>
      <c r="AH27" s="15">
        <f>INDEX('Unique Asset List'!$CC$4:$CI$60,MATCH('7'!$B27,'Unique Asset List'!$A$4:$A$60,0),MATCH('7'!$C$1,'Unique Asset List'!$CC$3:$CI$3,0))</f>
        <v>0.34</v>
      </c>
      <c r="AI27" s="11">
        <v>0.7</v>
      </c>
      <c r="AJ27" s="15">
        <f>INDEX('Unique Asset List'!$BH$4:$BN$60,MATCH('7'!$B27,'Unique Asset List'!$A$4:$A$60,0),MATCH('7'!$C$1,'Unique Asset List'!$BH$3:$BN$3,0))</f>
        <v>0.14000000000000001</v>
      </c>
      <c r="AK27" s="15">
        <f>INDEX('Unique Asset List'!$BO$4:$BU$60,MATCH('7'!$B27,'Unique Asset List'!$A$4:$A$60,0),MATCH('7'!$C$1,'Unique Asset List'!$BO$3:$BU$3,0))</f>
        <v>0.15</v>
      </c>
      <c r="AL27" s="40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0</v>
      </c>
      <c r="AW27" s="181">
        <f>INDEX('Unique Asset List'!Q$4:Q$60,MATCH($B27,_CompoundList,0))</f>
        <v>0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1</v>
      </c>
      <c r="BD27" s="4">
        <f>IF($C$5="ON",CD27,MyRating(_E1,$B27,Efficacy!$F$1))</f>
        <v>4</v>
      </c>
      <c r="BE27" s="3">
        <f>IF($C$5="ON",CE27,MyRating(_E2,$B27,Efficacy!$F$1))</f>
        <v>3</v>
      </c>
      <c r="BF27" s="3">
        <f>IF($C$5="ON",CF27,MyRating(_E3,$B27,Efficacy!$F$1))</f>
        <v>4</v>
      </c>
      <c r="BG27" s="3">
        <f>IF($C$5="ON",CG27,MyRating(_E4,$B27,Efficacy!$F$1))</f>
        <v>4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3</v>
      </c>
      <c r="BL27" s="3">
        <f>IF($C$5="ON",CL27,MyRating(_S1,$B27,Efficacy!$F$1))</f>
        <v>4</v>
      </c>
      <c r="BM27" s="3">
        <f>IF($C$5="ON",CM27,MyRating(_S2,$B27,Efficacy!$F$1))</f>
        <v>3</v>
      </c>
      <c r="BN27" s="3">
        <f>IF($C$5="ON",CN27,MyRating(_S3,$B27,Efficacy!$F$1))</f>
        <v>3</v>
      </c>
      <c r="BO27" s="3">
        <f>IF($C$5="ON",CO27,MyRating(_S4,$B27,Efficacy!$F$1))</f>
        <v>4</v>
      </c>
      <c r="BP27" s="3">
        <f>IF($C$5="ON",CP27,MyRating(_S5,$B27,Efficacy!$F$1))</f>
        <v>5</v>
      </c>
      <c r="BQ27" s="3">
        <f>IF($C$5="ON",CQ27,MyRating(_S6,$B27,Efficacy!$F$1))</f>
        <v>3</v>
      </c>
      <c r="BR27" s="3">
        <f>IF($C$5="ON",CR27,MyRating(_S7,$B27,Efficacy!$F$1))</f>
        <v>3</v>
      </c>
      <c r="BS27" s="3">
        <f>IF($C$5="ON",CS27,MyRating(_D1,$B27,Efficacy!$F$1))</f>
        <v>3</v>
      </c>
      <c r="BT27" s="3">
        <f>IF($C$5="ON",CT27,MyRating(_D2,$B27,Efficacy!$F$1))</f>
        <v>3</v>
      </c>
      <c r="BU27" s="3">
        <f>IF($C$5="ON",CU27,MyRating(_D3,$B27,Efficacy!$F$1))</f>
        <v>3</v>
      </c>
      <c r="BV27" s="3">
        <f>IF($C$5="ON",CV27,MyRating(_D4,$B27,Efficacy!$F$1))</f>
        <v>3</v>
      </c>
      <c r="BW27" s="3">
        <f>IF($C$5="ON",CW27,MyRating(_B1G5,$B27,Barrier!$L$2))</f>
        <v>2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9"/>
        <v>3.3407946312985805E-2</v>
      </c>
      <c r="CA27" s="8">
        <f t="shared" si="6"/>
        <v>2.8000000000000003</v>
      </c>
      <c r="CB27" s="5">
        <f t="shared" si="7"/>
        <v>3.2941176470588251E-2</v>
      </c>
      <c r="CC27" s="7">
        <f t="shared" si="8"/>
        <v>5.9787261089987885E-3</v>
      </c>
      <c r="CD27" s="4">
        <v>4</v>
      </c>
      <c r="CE27" s="3">
        <v>4</v>
      </c>
      <c r="CF27" s="3">
        <v>4</v>
      </c>
      <c r="CG27" s="3">
        <v>4</v>
      </c>
      <c r="CH27" s="3">
        <v>3</v>
      </c>
      <c r="CI27" s="3">
        <v>4</v>
      </c>
      <c r="CJ27" s="3">
        <v>4</v>
      </c>
      <c r="CK27" s="3">
        <v>3</v>
      </c>
      <c r="CL27" s="3">
        <v>4</v>
      </c>
      <c r="CM27" s="3">
        <v>3</v>
      </c>
      <c r="CN27" s="3">
        <v>3</v>
      </c>
      <c r="CO27" s="3">
        <v>4</v>
      </c>
      <c r="CP27" s="3">
        <v>5</v>
      </c>
      <c r="CQ27" s="3">
        <v>3</v>
      </c>
      <c r="CR27" s="3">
        <v>4</v>
      </c>
      <c r="CS27" s="3">
        <v>3</v>
      </c>
      <c r="CT27" s="3">
        <v>3</v>
      </c>
      <c r="CU27" s="3">
        <v>3</v>
      </c>
      <c r="CV27" s="3">
        <v>3</v>
      </c>
      <c r="CW27" s="3">
        <v>2</v>
      </c>
      <c r="CX27" s="3">
        <v>3</v>
      </c>
      <c r="CY27" s="6">
        <v>3</v>
      </c>
      <c r="CZ27" s="5">
        <v>3.6275844714639842E-2</v>
      </c>
      <c r="DA27" s="59"/>
    </row>
    <row r="28" spans="1:105" x14ac:dyDescent="0.25">
      <c r="A28" s="9" t="str">
        <f t="shared" si="0"/>
        <v>JP</v>
      </c>
      <c r="B28" s="9" t="s">
        <v>35</v>
      </c>
      <c r="C28" s="20"/>
      <c r="D28" s="9" t="s">
        <v>2</v>
      </c>
      <c r="E28" s="9" t="s">
        <v>186</v>
      </c>
      <c r="F28" s="9" t="str">
        <f>INDEX('Unique Asset List'!$C$4:$C$60,MATCH(B28,_CompoundList,0))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INDEX(PTRS!$D$6:$D$12,MATCH('7'!$F28,PTRS!$B$6:$B$12,0))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v>0.13923000000000002</v>
      </c>
      <c r="N28" s="17">
        <f>INDEX('Unique Asset List'!$D$4:$M$60,MATCH($B28,'Unique Asset List'!$A$4:$A$60,0),MATCH(N$8,'Unique Asset List'!$D$3:$M$3,0))</f>
        <v>0.14000000000000001</v>
      </c>
      <c r="O28" s="17">
        <f>INDEX('Unique Asset List'!$D$4:$M$60,MATCH($B28,'Unique Asset List'!$A$4:$A$60,0),MATCH(O$8,'Unique Asset List'!$D$3:$M$3,0))</f>
        <v>0.14000000000000001</v>
      </c>
      <c r="P28" s="17">
        <f>INDEX('Unique Asset List'!$D$4:$M$60,MATCH($B28,'Unique Asset List'!$A$4:$A$60,0),MATCH(P$8,'Unique Asset List'!$D$3:$M$3,0))</f>
        <v>0.14000000000000001</v>
      </c>
      <c r="Q28" s="17">
        <f>INDEX('Unique Asset List'!$D$4:$M$60,MATCH($B28,'Unique Asset List'!$A$4:$A$60,0),MATCH(Q$8,'Unique Asset List'!$D$3:$M$3,0))</f>
        <v>0.14000000000000001</v>
      </c>
      <c r="R28" s="17">
        <f>INDEX('Unique Asset List'!$D$4:$M$60,MATCH($B28,'Unique Asset List'!$A$4:$A$60,0),MATCH(R$8,'Unique Asset List'!$D$3:$M$3,0))</f>
        <v>0.14000000000000001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1"/>
        <v>0.90168566420734264</v>
      </c>
      <c r="V28" s="17">
        <v>1</v>
      </c>
      <c r="W28" s="9" t="s">
        <v>34</v>
      </c>
      <c r="X28" s="9">
        <f>INDEX('Unique Asset List'!$Y$4:$AE$60,MATCH('7'!$B28,'Unique Asset List'!$A$4:$A$60,0),MATCH('7'!$C$1,'Unique Asset List'!$Y$3:$AE$3,0))</f>
        <v>2028</v>
      </c>
      <c r="Y28" s="9">
        <f>INDEX('Unique Asset List'!$AF$4:$AL$60,MATCH('7'!$B28,'Unique Asset List'!$A$4:$A$60,0),MATCH('7'!$C$1,'Unique Asset List'!$AF$3:$AL$3,0))</f>
        <v>2</v>
      </c>
      <c r="Z28" s="9">
        <f>INDEX('Unique Asset List'!$AT$4:$AZ$60,MATCH('7'!$B28,'Unique Asset List'!$A$4:$A$60,0),MATCH('7'!$C$1,'Unique Asset List'!$AT$3:$AZ$3,0))</f>
        <v>2039</v>
      </c>
      <c r="AA28" s="9">
        <f>INDEX('Unique Asset List'!$BA$4:$BG$60,MATCH('7'!$B28,'Unique Asset List'!$A$4:$A$60,0),MATCH('7'!$C$1,'Unique Asset List'!$BA$3:$BG$3,0))</f>
        <v>3</v>
      </c>
      <c r="AB28" s="16">
        <f t="shared" si="2"/>
        <v>2.0681600000000007</v>
      </c>
      <c r="AC28" s="16">
        <f t="shared" si="3"/>
        <v>0.94137550000000003</v>
      </c>
      <c r="AD28" s="16">
        <f t="shared" si="4"/>
        <v>0.56099999999999994</v>
      </c>
      <c r="AE28" s="15">
        <f>INDEX('Unique Asset List'!$CJ$4:$CP$60,MATCH('7'!$B28,'Unique Asset List'!$A$4:$A$60,0),MATCH('7'!$C$1,'Unique Asset List'!$CJ$3:$CP$3,0))</f>
        <v>0.16</v>
      </c>
      <c r="AF28" s="15">
        <f>INDEX('Unique Asset List'!$CQ$4:$CW$60,MATCH('7'!$B28,'Unique Asset List'!$A$4:$A$60,0),MATCH('7'!$C$1,'Unique Asset List'!$CQ$3:$CW$3,0))</f>
        <v>0.34</v>
      </c>
      <c r="AG28" s="15">
        <f>INDEX('Unique Asset List'!$BV$4:$CB$60,MATCH('7'!$B28,'Unique Asset List'!$A$4:$A$60,0),MATCH('7'!$C$1,'Unique Asset List'!$BV$3:$CB$3,0))</f>
        <v>0.16</v>
      </c>
      <c r="AH28" s="15">
        <f>INDEX('Unique Asset List'!$CC$4:$CI$60,MATCH('7'!$B28,'Unique Asset List'!$A$4:$A$60,0),MATCH('7'!$C$1,'Unique Asset List'!$CC$3:$CI$3,0))</f>
        <v>0.34</v>
      </c>
      <c r="AI28" s="11">
        <v>0.7</v>
      </c>
      <c r="AJ28" s="15">
        <f>INDEX('Unique Asset List'!$BH$4:$BN$60,MATCH('7'!$B28,'Unique Asset List'!$A$4:$A$60,0),MATCH('7'!$C$1,'Unique Asset List'!$BH$3:$BN$3,0))</f>
        <v>0.14000000000000001</v>
      </c>
      <c r="AK28" s="15">
        <f>INDEX('Unique Asset List'!$BO$4:$BU$60,MATCH('7'!$B28,'Unique Asset List'!$A$4:$A$60,0),MATCH('7'!$C$1,'Unique Asset List'!$BO$3:$BU$3,0))</f>
        <v>0.15</v>
      </c>
      <c r="AL28" s="40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0</v>
      </c>
      <c r="AZ28" s="181">
        <f ca="1">INDEX('Unique Asset List'!T$4:T$60,MATCH($B28,_CompoundList,0))</f>
        <v>0</v>
      </c>
      <c r="BA28" s="181">
        <f ca="1">INDEX('Unique Asset List'!U$4:U$60,MATCH($B28,_CompoundList,0))</f>
        <v>0</v>
      </c>
      <c r="BB28" s="181">
        <f ca="1">INDEX('Unique Asset List'!V$4:V$60,MATCH($B28,_CompoundList,0))</f>
        <v>0</v>
      </c>
      <c r="BC28" s="181">
        <f ca="1">INDEX('Unique Asset List'!W$4:W$60,MATCH($B28,_CompoundList,0))</f>
        <v>1</v>
      </c>
      <c r="BD28" s="4">
        <f>IF($C$5="ON",CD28,MyRating(_E1,$B28,Efficacy!$F$1))</f>
        <v>4</v>
      </c>
      <c r="BE28" s="3">
        <f>IF($C$5="ON",CE28,MyRating(_E2,$B28,Efficacy!$F$1))</f>
        <v>3</v>
      </c>
      <c r="BF28" s="3">
        <f>IF($C$5="ON",CF28,MyRating(_E3,$B28,Efficacy!$F$1))</f>
        <v>4</v>
      </c>
      <c r="BG28" s="3">
        <f>IF($C$5="ON",CG28,MyRating(_E4,$B28,Efficacy!$F$1))</f>
        <v>4</v>
      </c>
      <c r="BH28" s="3">
        <f>IF($C$5="ON",CH28,MyRating(_E5,$B28,Efficacy!$F$1))</f>
        <v>3</v>
      </c>
      <c r="BI28" s="3">
        <f>IF($C$5="ON",CI28,MyRating(_E6,$B28,Efficacy!$F$1))</f>
        <v>4</v>
      </c>
      <c r="BJ28" s="3">
        <f>IF($C$5="ON",CJ28,MyRating(_E7,$B28,Efficacy!$F$1))</f>
        <v>3</v>
      </c>
      <c r="BK28" s="3">
        <f>IF($C$5="ON",CK28,MyRating(_E8,$B28,Efficacy!$F$1))</f>
        <v>4</v>
      </c>
      <c r="BL28" s="3">
        <f>IF($C$5="ON",CL28,MyRating(_S1,$B28,Efficacy!$F$1))</f>
        <v>4</v>
      </c>
      <c r="BM28" s="3">
        <f>IF($C$5="ON",CM28,MyRating(_S2,$B28,Efficacy!$F$1))</f>
        <v>3</v>
      </c>
      <c r="BN28" s="3">
        <f>IF($C$5="ON",CN28,MyRating(_S3,$B28,Efficacy!$F$1))</f>
        <v>3</v>
      </c>
      <c r="BO28" s="3">
        <f>IF($C$5="ON",CO28,MyRating(_S4,$B28,Efficacy!$F$1))</f>
        <v>4</v>
      </c>
      <c r="BP28" s="3">
        <f>IF($C$5="ON",CP28,MyRating(_S5,$B28,Efficacy!$F$1))</f>
        <v>5</v>
      </c>
      <c r="BQ28" s="3">
        <f>IF($C$5="ON",CQ28,MyRating(_S6,$B28,Efficacy!$F$1))</f>
        <v>3</v>
      </c>
      <c r="BR28" s="3">
        <f>IF($C$5="ON",CR28,MyRating(_S7,$B28,Efficacy!$F$1))</f>
        <v>3</v>
      </c>
      <c r="BS28" s="3">
        <f>IF($C$5="ON",CS28,MyRating(_D1,$B28,Efficacy!$F$1))</f>
        <v>3</v>
      </c>
      <c r="BT28" s="3">
        <f>IF($C$5="ON",CT28,MyRating(_D2,$B28,Efficacy!$F$1))</f>
        <v>3</v>
      </c>
      <c r="BU28" s="3">
        <f>IF($C$5="ON",CU28,MyRating(_D3,$B28,Efficacy!$F$1))</f>
        <v>3</v>
      </c>
      <c r="BV28" s="3">
        <f>IF($C$5="ON",CV28,MyRating(_D4,$B28,Efficacy!$F$1))</f>
        <v>3</v>
      </c>
      <c r="BW28" s="3">
        <f>IF($C$5="ON",CW28,MyRating(_B1G5,$B28,Barrier!$L$2))</f>
        <v>2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9"/>
        <v>3.3407946312985805E-2</v>
      </c>
      <c r="CA28" s="8">
        <f t="shared" si="6"/>
        <v>2.8000000000000003</v>
      </c>
      <c r="CB28" s="5">
        <f t="shared" si="7"/>
        <v>3.2941176470588251E-2</v>
      </c>
      <c r="CC28" s="7">
        <f t="shared" si="8"/>
        <v>5.9787261089987885E-3</v>
      </c>
      <c r="CD28" s="4">
        <v>4</v>
      </c>
      <c r="CE28" s="3">
        <v>4</v>
      </c>
      <c r="CF28" s="3">
        <v>4</v>
      </c>
      <c r="CG28" s="3">
        <v>4</v>
      </c>
      <c r="CH28" s="3">
        <v>3</v>
      </c>
      <c r="CI28" s="3">
        <v>3</v>
      </c>
      <c r="CJ28" s="3">
        <v>3</v>
      </c>
      <c r="CK28" s="3">
        <v>4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3</v>
      </c>
      <c r="CR28" s="3">
        <v>4</v>
      </c>
      <c r="CS28" s="3">
        <v>3</v>
      </c>
      <c r="CT28" s="3">
        <v>3</v>
      </c>
      <c r="CU28" s="3">
        <v>3</v>
      </c>
      <c r="CV28" s="3">
        <v>3</v>
      </c>
      <c r="CW28" s="3">
        <v>2</v>
      </c>
      <c r="CX28" s="3">
        <v>3</v>
      </c>
      <c r="CY28" s="6">
        <v>3</v>
      </c>
      <c r="CZ28" s="5">
        <v>3.6275844714639842E-2</v>
      </c>
      <c r="DA28" s="59"/>
    </row>
    <row r="29" spans="1:105" x14ac:dyDescent="0.25">
      <c r="A29" s="9" t="str">
        <f t="shared" si="0"/>
        <v>JP</v>
      </c>
      <c r="B29" s="9" t="s">
        <v>69</v>
      </c>
      <c r="C29" s="20"/>
      <c r="D29" s="9" t="s">
        <v>64</v>
      </c>
      <c r="E29" s="9" t="s">
        <v>186</v>
      </c>
      <c r="F29" s="9" t="str">
        <f>INDEX('Unique Asset List'!$C$4:$C$60,MATCH(B29,_CompoundList,0))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INDEX(PTRS!$D$6:$D$12,MATCH('7'!$F29,PTRS!$B$6:$B$12,0))</f>
        <v>0.13923000000000002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0.13923000000000002</v>
      </c>
      <c r="N29" s="17">
        <f>INDEX('Unique Asset List'!$D$4:$M$60,MATCH($B29,'Unique Asset List'!$A$4:$A$60,0),MATCH(N$8,'Unique Asset List'!$D$3:$M$3,0))</f>
        <v>0.13923000000000002</v>
      </c>
      <c r="O29" s="17">
        <f>INDEX('Unique Asset List'!$D$4:$M$60,MATCH($B29,'Unique Asset List'!$A$4:$A$60,0),MATCH(O$8,'Unique Asset List'!$D$3:$M$3,0))</f>
        <v>0.13923000000000002</v>
      </c>
      <c r="P29" s="17">
        <f>INDEX('Unique Asset List'!$D$4:$M$60,MATCH($B29,'Unique Asset List'!$A$4:$A$60,0),MATCH(P$8,'Unique Asset List'!$D$3:$M$3,0))</f>
        <v>0.13923000000000002</v>
      </c>
      <c r="Q29" s="17">
        <f>INDEX('Unique Asset List'!$D$4:$M$60,MATCH($B29,'Unique Asset List'!$A$4:$A$60,0),MATCH(Q$8,'Unique Asset List'!$D$3:$M$3,0))</f>
        <v>0.13923000000000002</v>
      </c>
      <c r="R29" s="17">
        <f>INDEX('Unique Asset List'!$D$4:$M$60,MATCH($B29,'Unique Asset List'!$A$4:$A$60,0),MATCH(R$8,'Unique Asset List'!$D$3:$M$3,0))</f>
        <v>0.13923000000000002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1"/>
        <v>0.90168566420734264</v>
      </c>
      <c r="V29" s="17">
        <v>1</v>
      </c>
      <c r="W29" s="9" t="s">
        <v>62</v>
      </c>
      <c r="X29" s="9">
        <f>INDEX('Unique Asset List'!$Y$4:$AE$60,MATCH('7'!$B29,'Unique Asset List'!$A$4:$A$60,0),MATCH('7'!$C$1,'Unique Asset List'!$Y$3:$AE$3,0))</f>
        <v>2024</v>
      </c>
      <c r="Y29" s="9">
        <f>INDEX('Unique Asset List'!$AF$4:$AL$60,MATCH('7'!$B29,'Unique Asset List'!$A$4:$A$60,0),MATCH('7'!$C$1,'Unique Asset List'!$AF$3:$AL$3,0))</f>
        <v>6</v>
      </c>
      <c r="Z29" s="9">
        <f>INDEX('Unique Asset List'!$AT$4:$AZ$60,MATCH('7'!$B29,'Unique Asset List'!$A$4:$A$60,0),MATCH('7'!$C$1,'Unique Asset List'!$AT$3:$AZ$3,0))</f>
        <v>2032</v>
      </c>
      <c r="AA29" s="9">
        <f>INDEX('Unique Asset List'!$BA$4:$BG$60,MATCH('7'!$B29,'Unique Asset List'!$A$4:$A$60,0),MATCH('7'!$C$1,'Unique Asset List'!$BA$3:$BG$3,0))</f>
        <v>6</v>
      </c>
      <c r="AB29" s="16">
        <f t="shared" si="2"/>
        <v>1.6860000000000002</v>
      </c>
      <c r="AC29" s="16">
        <f t="shared" si="3"/>
        <v>0.91994010000000004</v>
      </c>
      <c r="AD29" s="16">
        <f t="shared" si="4"/>
        <v>0.50129594525999999</v>
      </c>
      <c r="AE29" s="15">
        <f>INDEX('Unique Asset List'!$CJ$4:$CP$60,MATCH('7'!$B29,'Unique Asset List'!$A$4:$A$60,0),MATCH('7'!$C$1,'Unique Asset List'!$CJ$3:$CP$3,0))</f>
        <v>0.16</v>
      </c>
      <c r="AF29" s="15">
        <f>INDEX('Unique Asset List'!$CQ$4:$CW$60,MATCH('7'!$B29,'Unique Asset List'!$A$4:$A$60,0),MATCH('7'!$C$1,'Unique Asset List'!$CQ$3:$CW$3,0))</f>
        <v>0.34</v>
      </c>
      <c r="AG29" s="15">
        <f>INDEX('Unique Asset List'!$BV$4:$CB$60,MATCH('7'!$B29,'Unique Asset List'!$A$4:$A$60,0),MATCH('7'!$C$1,'Unique Asset List'!$BV$3:$CB$3,0))</f>
        <v>0.16</v>
      </c>
      <c r="AH29" s="15">
        <f>INDEX('Unique Asset List'!$CC$4:$CI$60,MATCH('7'!$B29,'Unique Asset List'!$A$4:$A$60,0),MATCH('7'!$C$1,'Unique Asset List'!$CC$3:$CI$3,0))</f>
        <v>0.34</v>
      </c>
      <c r="AI29" s="11">
        <v>0.7</v>
      </c>
      <c r="AJ29" s="15">
        <f>INDEX('Unique Asset List'!$BH$4:$BN$60,MATCH('7'!$B29,'Unique Asset List'!$A$4:$A$60,0),MATCH('7'!$C$1,'Unique Asset List'!$BH$3:$BN$3,0))</f>
        <v>0.14000000000000001</v>
      </c>
      <c r="AK29" s="15">
        <f>INDEX('Unique Asset List'!$BO$4:$BU$60,MATCH('7'!$B29,'Unique Asset List'!$A$4:$A$60,0),MATCH('7'!$C$1,'Unique Asset List'!$BO$3:$BU$3,0))</f>
        <v>0.15</v>
      </c>
      <c r="AL29" s="40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0</v>
      </c>
      <c r="AY29" s="181">
        <f ca="1">INDEX('Unique Asset List'!S$4:S$60,MATCH($B29,_CompoundList,0))</f>
        <v>1</v>
      </c>
      <c r="AZ29" s="181">
        <f ca="1">INDEX('Unique Asset List'!T$4:T$60,MATCH($B29,_CompoundList,0))</f>
        <v>1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1</v>
      </c>
      <c r="BC29" s="181">
        <f ca="1">INDEX('Unique Asset List'!W$4:W$60,MATCH($B29,_CompoundList,0))</f>
        <v>1</v>
      </c>
      <c r="BD29" s="4">
        <f>IF($C$5="ON",CD29,MyRating(_E1,$B29,Efficacy!$F$1))</f>
        <v>3</v>
      </c>
      <c r="BE29" s="3">
        <f>IF($C$5="ON",CE29,MyRating(_E2,$B29,Efficacy!$F$1))</f>
        <v>3</v>
      </c>
      <c r="BF29" s="3">
        <f>IF($C$5="ON",CF29,MyRating(_E3,$B29,Efficacy!$F$1))</f>
        <v>3</v>
      </c>
      <c r="BG29" s="3">
        <f>IF($C$5="ON",CG29,MyRating(_E4,$B29,Efficacy!$F$1))</f>
        <v>3</v>
      </c>
      <c r="BH29" s="3">
        <f>IF($C$5="ON",CH29,MyRating(_E5,$B29,Efficacy!$F$1))</f>
        <v>3</v>
      </c>
      <c r="BI29" s="3">
        <f>IF($C$5="ON",CI29,MyRating(_E6,$B29,Efficacy!$F$1))</f>
        <v>3</v>
      </c>
      <c r="BJ29" s="3">
        <f>IF($C$5="ON",CJ29,MyRating(_E7,$B29,Efficacy!$F$1))</f>
        <v>3</v>
      </c>
      <c r="BK29" s="3">
        <f>IF($C$5="ON",CK29,MyRating(_E8,$B29,Efficacy!$F$1))</f>
        <v>3</v>
      </c>
      <c r="BL29" s="3">
        <f>IF($C$5="ON",CL29,MyRating(_S1,$B29,Efficacy!$F$1))</f>
        <v>4</v>
      </c>
      <c r="BM29" s="3">
        <f>IF($C$5="ON",CM29,MyRating(_S2,$B29,Efficacy!$F$1))</f>
        <v>3</v>
      </c>
      <c r="BN29" s="3">
        <f>IF($C$5="ON",CN29,MyRating(_S3,$B29,Efficacy!$F$1))</f>
        <v>3</v>
      </c>
      <c r="BO29" s="3">
        <f>IF($C$5="ON",CO29,MyRating(_S4,$B29,Efficacy!$F$1))</f>
        <v>4</v>
      </c>
      <c r="BP29" s="3">
        <f>IF($C$5="ON",CP29,MyRating(_S5,$B29,Efficacy!$F$1))</f>
        <v>5</v>
      </c>
      <c r="BQ29" s="3">
        <f>IF($C$5="ON",CQ29,MyRating(_S6,$B29,Efficacy!$F$1))</f>
        <v>2</v>
      </c>
      <c r="BR29" s="3">
        <f>IF($C$5="ON",CR29,MyRating(_S7,$B29,Efficacy!$F$1))</f>
        <v>3</v>
      </c>
      <c r="BS29" s="3">
        <f>IF($C$5="ON",CS29,MyRating(_D1,$B29,Efficacy!$F$1))</f>
        <v>2</v>
      </c>
      <c r="BT29" s="3">
        <f>IF($C$5="ON",CT29,MyRating(_D2,$B29,Efficacy!$F$1))</f>
        <v>3</v>
      </c>
      <c r="BU29" s="3">
        <f>IF($C$5="ON",CU29,MyRating(_D3,$B29,Efficacy!$F$1))</f>
        <v>3</v>
      </c>
      <c r="BV29" s="3">
        <f>IF($C$5="ON",CV29,MyRating(_D4,$B29,Efficacy!$F$1))</f>
        <v>3</v>
      </c>
      <c r="BW29" s="3">
        <f>IF($C$5="ON",CW29,MyRating(_B1G5,$B29,Barrier!$L$2))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9"/>
        <v>3.3407946312985805E-2</v>
      </c>
      <c r="CA29" s="8">
        <f t="shared" si="6"/>
        <v>2.8000000000000003</v>
      </c>
      <c r="CB29" s="5">
        <f t="shared" si="7"/>
        <v>3.2941176470588251E-2</v>
      </c>
      <c r="CC29" s="7">
        <f t="shared" si="8"/>
        <v>5.9787261089987885E-3</v>
      </c>
      <c r="CD29" s="4">
        <v>3</v>
      </c>
      <c r="CE29" s="3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5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3</v>
      </c>
      <c r="CW29" s="3">
        <v>2</v>
      </c>
      <c r="CX29" s="3">
        <v>3</v>
      </c>
      <c r="CY29" s="6">
        <v>3</v>
      </c>
      <c r="CZ29" s="5">
        <v>3.6275844714639842E-2</v>
      </c>
      <c r="DA29" s="59"/>
    </row>
    <row r="30" spans="1:105" x14ac:dyDescent="0.25">
      <c r="A30" s="9" t="str">
        <f t="shared" si="0"/>
        <v>JP</v>
      </c>
      <c r="B30" s="9" t="s">
        <v>24</v>
      </c>
      <c r="C30" s="20" t="s">
        <v>3</v>
      </c>
      <c r="D30" s="9" t="s">
        <v>2</v>
      </c>
      <c r="E30" s="9" t="s">
        <v>186</v>
      </c>
      <c r="F30" s="9" t="str">
        <f>INDEX('Unique Asset List'!$C$4:$C$60,MATCH(B30,_CompoundList,0))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INDEX(PTRS!$D$6:$D$12,MATCH('7'!$F30,PTRS!$B$6:$B$12,0))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0.13923000000000002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1"/>
        <v>0</v>
      </c>
      <c r="V30" s="17">
        <v>1</v>
      </c>
      <c r="W30" s="9" t="s">
        <v>24</v>
      </c>
      <c r="X30" s="9">
        <f>INDEX('Unique Asset List'!$Y$4:$AE$60,MATCH('7'!$B30,'Unique Asset List'!$A$4:$A$60,0),MATCH('7'!$C$1,'Unique Asset List'!$Y$3:$AE$3,0))</f>
        <v>2028</v>
      </c>
      <c r="Y30" s="9">
        <f>INDEX('Unique Asset List'!$AF$4:$AL$60,MATCH('7'!$B30,'Unique Asset List'!$A$4:$A$60,0),MATCH('7'!$C$1,'Unique Asset List'!$AF$3:$AL$3,0))</f>
        <v>1</v>
      </c>
      <c r="Z30" s="9">
        <f>INDEX('Unique Asset List'!$AT$4:$AZ$60,MATCH('7'!$B30,'Unique Asset List'!$A$4:$A$60,0),MATCH('7'!$C$1,'Unique Asset List'!$AT$3:$AZ$3,0))</f>
        <v>2034</v>
      </c>
      <c r="AA30" s="9">
        <f>INDEX('Unique Asset List'!$BA$4:$BG$60,MATCH('7'!$B30,'Unique Asset List'!$A$4:$A$60,0),MATCH('7'!$C$1,'Unique Asset List'!$BA$3:$BG$3,0))</f>
        <v>3</v>
      </c>
      <c r="AB30" s="16">
        <f t="shared" si="2"/>
        <v>2.1518980000000005</v>
      </c>
      <c r="AC30" s="16">
        <f t="shared" si="3"/>
        <v>0.94137550000000003</v>
      </c>
      <c r="AD30" s="16">
        <f t="shared" si="4"/>
        <v>0.56099999999999994</v>
      </c>
      <c r="AE30" s="15">
        <f>INDEX('Unique Asset List'!$CJ$4:$CP$60,MATCH('7'!$B30,'Unique Asset List'!$A$4:$A$60,0),MATCH('7'!$C$1,'Unique Asset List'!$CJ$3:$CP$3,0))</f>
        <v>0.16</v>
      </c>
      <c r="AF30" s="15">
        <f>INDEX('Unique Asset List'!$CQ$4:$CW$60,MATCH('7'!$B30,'Unique Asset List'!$A$4:$A$60,0),MATCH('7'!$C$1,'Unique Asset List'!$CQ$3:$CW$3,0))</f>
        <v>0.34</v>
      </c>
      <c r="AG30" s="15">
        <f>INDEX('Unique Asset List'!$BV$4:$CB$60,MATCH('7'!$B30,'Unique Asset List'!$A$4:$A$60,0),MATCH('7'!$C$1,'Unique Asset List'!$BV$3:$CB$3,0))</f>
        <v>0.16</v>
      </c>
      <c r="AH30" s="15">
        <f>INDEX('Unique Asset List'!$CC$4:$CI$60,MATCH('7'!$B30,'Unique Asset List'!$A$4:$A$60,0),MATCH('7'!$C$1,'Unique Asset List'!$CC$3:$CI$3,0))</f>
        <v>0.34</v>
      </c>
      <c r="AI30" s="11">
        <v>0.7</v>
      </c>
      <c r="AJ30" s="15">
        <f>INDEX('Unique Asset List'!$BH$4:$BN$60,MATCH('7'!$B30,'Unique Asset List'!$A$4:$A$60,0),MATCH('7'!$C$1,'Unique Asset List'!$BH$3:$BN$3,0))</f>
        <v>0.14000000000000001</v>
      </c>
      <c r="AK30" s="15">
        <f>INDEX('Unique Asset List'!$BO$4:$BU$60,MATCH('7'!$B30,'Unique Asset List'!$A$4:$A$60,0),MATCH('7'!$C$1,'Unique Asset List'!$BO$3:$BU$3,0))</f>
        <v>0.15</v>
      </c>
      <c r="AL30" s="40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IF($C$5="ON",CL30,MyRating(_S1,$B30,Efficacy!$F$1))</f>
        <v>4</v>
      </c>
      <c r="BM30" s="3">
        <f>IF($C$5="ON",CM30,MyRating(_S2,$B30,Efficacy!$F$1))</f>
        <v>3</v>
      </c>
      <c r="BN30" s="3">
        <f>IF($C$5="ON",CN30,MyRating(_S3,$B30,Efficacy!$F$1))</f>
        <v>3</v>
      </c>
      <c r="BO30" s="3">
        <f>IF($C$5="ON",CO30,MyRating(_S4,$B30,Efficacy!$F$1))</f>
        <v>4</v>
      </c>
      <c r="BP30" s="3">
        <f>IF($C$5="ON",CP30,MyRating(_S5,$B30,Efficacy!$F$1))</f>
        <v>5</v>
      </c>
      <c r="BQ30" s="3">
        <f>IF($C$5="ON",CQ30,MyRating(_S6,$B30,Efficacy!$F$1))</f>
        <v>3</v>
      </c>
      <c r="BR30" s="3">
        <f>IF($C$5="ON",CR30,MyRating(_S7,$B30,Efficacy!$F$1))</f>
        <v>3</v>
      </c>
      <c r="BS30" s="3">
        <f>IF($C$5="ON",CS30,MyRating(_D1,$B30,Efficacy!$F$1))</f>
        <v>3</v>
      </c>
      <c r="BT30" s="3">
        <f>IF($C$5="ON",CT30,MyRating(_D2,$B30,Efficacy!$F$1))</f>
        <v>3</v>
      </c>
      <c r="BU30" s="3">
        <f>IF($C$5="ON",CU30,MyRating(_D3,$B30,Efficacy!$F$1))</f>
        <v>3</v>
      </c>
      <c r="BV30" s="3">
        <f>IF($C$5="ON",CV30,MyRating(_D4,$B30,Efficacy!$F$1))</f>
        <v>3</v>
      </c>
      <c r="BW30" s="3">
        <f>IF($C$5="ON",CW30,MyRating(_B1G5,$B30,Barrier!$L$2))</f>
        <v>2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9"/>
        <v>0</v>
      </c>
      <c r="CA30" s="8">
        <f t="shared" si="6"/>
        <v>0.4</v>
      </c>
      <c r="CB30" s="5">
        <f t="shared" si="7"/>
        <v>4.7058823529411787E-3</v>
      </c>
      <c r="CC30" s="7">
        <f t="shared" si="8"/>
        <v>3.2282086615060515E-4</v>
      </c>
      <c r="CD30" s="4">
        <v>4</v>
      </c>
      <c r="CE30" s="3">
        <v>5</v>
      </c>
      <c r="CF30" s="3">
        <v>5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5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2</v>
      </c>
      <c r="CX30" s="3">
        <v>3</v>
      </c>
      <c r="CY30" s="6">
        <v>3</v>
      </c>
      <c r="CZ30" s="5">
        <v>3.6275844714639842E-2</v>
      </c>
      <c r="DA30" s="59"/>
    </row>
    <row r="31" spans="1:105" x14ac:dyDescent="0.25">
      <c r="A31" s="9" t="str">
        <f t="shared" si="0"/>
        <v>JP</v>
      </c>
      <c r="B31" s="9" t="s">
        <v>66</v>
      </c>
      <c r="C31" s="20" t="s">
        <v>3</v>
      </c>
      <c r="D31" s="9" t="s">
        <v>2</v>
      </c>
      <c r="E31" s="9" t="s">
        <v>186</v>
      </c>
      <c r="F31" s="9" t="str">
        <f>INDEX('Unique Asset List'!$C$4:$C$60,MATCH(B31,_CompoundList,0))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INDEX(PTRS!$D$6:$D$12,MATCH('7'!$F31,PTRS!$B$6:$B$12,0))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v>0.1044225</v>
      </c>
      <c r="N31" s="17">
        <f>INDEX('Unique Asset List'!$D$4:$M$60,MATCH($B31,'Unique Asset List'!$A$4:$A$60,0),MATCH(N$8,'Unique Asset List'!$D$3:$M$3,0))</f>
        <v>0</v>
      </c>
      <c r="O31" s="17">
        <f>INDEX('Unique Asset List'!$D$4:$M$60,MATCH($B31,'Unique Asset List'!$A$4:$A$60,0),MATCH(O$8,'Unique Asset List'!$D$3:$M$3,0))</f>
        <v>0</v>
      </c>
      <c r="P31" s="17">
        <f>INDEX('Unique Asset List'!$D$4:$M$60,MATCH($B31,'Unique Asset List'!$A$4:$A$60,0),MATCH(P$8,'Unique Asset List'!$D$3:$M$3,0))</f>
        <v>0</v>
      </c>
      <c r="Q31" s="17">
        <f>INDEX('Unique Asset List'!$D$4:$M$60,MATCH($B31,'Unique Asset List'!$A$4:$A$60,0),MATCH(Q$8,'Unique Asset List'!$D$3:$M$3,0))</f>
        <v>0</v>
      </c>
      <c r="R31" s="17">
        <f>INDEX('Unique Asset List'!$D$4:$M$60,MATCH($B31,'Unique Asset List'!$A$4:$A$60,0),MATCH(R$8,'Unique Asset List'!$D$3:$M$3,0))</f>
        <v>0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1"/>
        <v>0</v>
      </c>
      <c r="V31" s="17">
        <v>1</v>
      </c>
      <c r="W31" s="9" t="s">
        <v>62</v>
      </c>
      <c r="X31" s="9">
        <f>INDEX('Unique Asset List'!$Y$4:$AE$60,MATCH('7'!$B31,'Unique Asset List'!$A$4:$A$60,0),MATCH('7'!$C$1,'Unique Asset List'!$Y$3:$AE$3,0))</f>
        <v>2029</v>
      </c>
      <c r="Y31" s="9">
        <f>INDEX('Unique Asset List'!$AF$4:$AL$60,MATCH('7'!$B31,'Unique Asset List'!$A$4:$A$60,0),MATCH('7'!$C$1,'Unique Asset List'!$AF$3:$AL$3,0))</f>
        <v>3</v>
      </c>
      <c r="Z31" s="9">
        <f>INDEX('Unique Asset List'!$AT$4:$AZ$60,MATCH('7'!$B31,'Unique Asset List'!$A$4:$A$60,0),MATCH('7'!$C$1,'Unique Asset List'!$AT$3:$AZ$3,0))</f>
        <v>2037</v>
      </c>
      <c r="AA31" s="9">
        <f>INDEX('Unique Asset List'!$BA$4:$BG$60,MATCH('7'!$B31,'Unique Asset List'!$A$4:$A$60,0),MATCH('7'!$C$1,'Unique Asset List'!$BA$3:$BG$3,0))</f>
        <v>3</v>
      </c>
      <c r="AB31" s="16">
        <f t="shared" si="2"/>
        <v>2.1518980000000005</v>
      </c>
      <c r="AC31" s="16">
        <f t="shared" si="3"/>
        <v>0.94137550000000003</v>
      </c>
      <c r="AD31" s="16">
        <f t="shared" si="4"/>
        <v>0.56099999999999994</v>
      </c>
      <c r="AE31" s="15">
        <f>INDEX('Unique Asset List'!$CJ$4:$CP$60,MATCH('7'!$B31,'Unique Asset List'!$A$4:$A$60,0),MATCH('7'!$C$1,'Unique Asset List'!$CJ$3:$CP$3,0))</f>
        <v>0.16</v>
      </c>
      <c r="AF31" s="15">
        <f>INDEX('Unique Asset List'!$CQ$4:$CW$60,MATCH('7'!$B31,'Unique Asset List'!$A$4:$A$60,0),MATCH('7'!$C$1,'Unique Asset List'!$CQ$3:$CW$3,0))</f>
        <v>0.34</v>
      </c>
      <c r="AG31" s="15">
        <f>INDEX('Unique Asset List'!$BV$4:$CB$60,MATCH('7'!$B31,'Unique Asset List'!$A$4:$A$60,0),MATCH('7'!$C$1,'Unique Asset List'!$BV$3:$CB$3,0))</f>
        <v>0.16</v>
      </c>
      <c r="AH31" s="15">
        <f>INDEX('Unique Asset List'!$CC$4:$CI$60,MATCH('7'!$B31,'Unique Asset List'!$A$4:$A$60,0),MATCH('7'!$C$1,'Unique Asset List'!$CC$3:$CI$3,0))</f>
        <v>0.34</v>
      </c>
      <c r="AI31" s="11">
        <v>0.7</v>
      </c>
      <c r="AJ31" s="15">
        <f>INDEX('Unique Asset List'!$BH$4:$BN$60,MATCH('7'!$B31,'Unique Asset List'!$A$4:$A$60,0),MATCH('7'!$C$1,'Unique Asset List'!$BH$3:$BN$3,0))</f>
        <v>0.14000000000000001</v>
      </c>
      <c r="AK31" s="15">
        <f>INDEX('Unique Asset List'!$BO$4:$BU$60,MATCH('7'!$B31,'Unique Asset List'!$A$4:$A$60,0),MATCH('7'!$C$1,'Unique Asset List'!$BO$3:$BU$3,0))</f>
        <v>0.15</v>
      </c>
      <c r="AL31" s="40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1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0</v>
      </c>
      <c r="BC31" s="181">
        <f ca="1">INDEX('Unique Asset List'!W$4:W$60,MATCH($B31,_CompoundList,0))</f>
        <v>1</v>
      </c>
      <c r="BD31" s="4">
        <f>IF($C$5="ON",CD31,MyRating(_E1,$B31,Efficacy!$F$1))</f>
        <v>4</v>
      </c>
      <c r="BE31" s="3">
        <f>IF($C$5="ON",CE31,MyRating(_E2,$B31,Efficacy!$F$1))</f>
        <v>4</v>
      </c>
      <c r="BF31" s="3">
        <f>IF($C$5="ON",CF31,MyRating(_E3,$B31,Efficacy!$F$1))</f>
        <v>4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IF($C$5="ON",CL31,MyRating(_S1,$B31,Efficacy!$F$1))</f>
        <v>4</v>
      </c>
      <c r="BM31" s="3">
        <f>IF($C$5="ON",CM31,MyRating(_S2,$B31,Efficacy!$F$1))</f>
        <v>3</v>
      </c>
      <c r="BN31" s="3">
        <f>IF($C$5="ON",CN31,MyRating(_S3,$B31,Efficacy!$F$1))</f>
        <v>3</v>
      </c>
      <c r="BO31" s="3">
        <f>IF($C$5="ON",CO31,MyRating(_S4,$B31,Efficacy!$F$1))</f>
        <v>4</v>
      </c>
      <c r="BP31" s="3">
        <f>IF($C$5="ON",CP31,MyRating(_S5,$B31,Efficacy!$F$1))</f>
        <v>5</v>
      </c>
      <c r="BQ31" s="3">
        <f>IF($C$5="ON",CQ31,MyRating(_S6,$B31,Efficacy!$F$1))</f>
        <v>3</v>
      </c>
      <c r="BR31" s="3">
        <f>IF($C$5="ON",CR31,MyRating(_S7,$B31,Efficacy!$F$1))</f>
        <v>3</v>
      </c>
      <c r="BS31" s="3">
        <f>IF($C$5="ON",CS31,MyRating(_D1,$B31,Efficacy!$F$1))</f>
        <v>3</v>
      </c>
      <c r="BT31" s="3">
        <f>IF($C$5="ON",CT31,MyRating(_D2,$B31,Efficacy!$F$1))</f>
        <v>3</v>
      </c>
      <c r="BU31" s="3">
        <f>IF($C$5="ON",CU31,MyRating(_D3,$B31,Efficacy!$F$1))</f>
        <v>3</v>
      </c>
      <c r="BV31" s="3">
        <f>IF($C$5="ON",CV31,MyRating(_D4,$B31,Efficacy!$F$1))</f>
        <v>3</v>
      </c>
      <c r="BW31" s="3">
        <f>IF($C$5="ON",CW31,MyRating(_B1G5,$B31,Barrier!$L$2))</f>
        <v>2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9"/>
        <v>0</v>
      </c>
      <c r="CA31" s="8">
        <f t="shared" si="6"/>
        <v>2.8000000000000003</v>
      </c>
      <c r="CB31" s="5">
        <f t="shared" si="7"/>
        <v>3.2941176470588251E-2</v>
      </c>
      <c r="CC31" s="7">
        <f t="shared" si="8"/>
        <v>5.9787261089987885E-3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5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2</v>
      </c>
      <c r="CX31" s="3">
        <v>3</v>
      </c>
      <c r="CY31" s="6">
        <v>3</v>
      </c>
      <c r="CZ31" s="5">
        <v>3.6275844714639842E-2</v>
      </c>
      <c r="DA31" s="59"/>
    </row>
    <row r="32" spans="1:105" x14ac:dyDescent="0.25">
      <c r="A32" s="9" t="str">
        <f t="shared" si="0"/>
        <v>JP</v>
      </c>
      <c r="B32" s="9" t="s">
        <v>57</v>
      </c>
      <c r="C32" s="20" t="s">
        <v>3</v>
      </c>
      <c r="D32" s="9" t="s">
        <v>2</v>
      </c>
      <c r="E32" s="9" t="s">
        <v>186</v>
      </c>
      <c r="F32" s="9" t="str">
        <f>INDEX('Unique Asset List'!$C$4:$C$60,MATCH(B32,_CompoundList,0))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INDEX(PTRS!$D$6:$D$12,MATCH('7'!$F32,PTRS!$B$6:$B$12,0))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1"/>
        <v>0</v>
      </c>
      <c r="V32" s="17">
        <v>1</v>
      </c>
      <c r="W32" s="9" t="s">
        <v>57</v>
      </c>
      <c r="X32" s="9">
        <f>INDEX('Unique Asset List'!$Y$4:$AE$60,MATCH('7'!$B32,'Unique Asset List'!$A$4:$A$60,0),MATCH('7'!$C$1,'Unique Asset List'!$Y$3:$AE$3,0))</f>
        <v>2029</v>
      </c>
      <c r="Y32" s="9">
        <f>INDEX('Unique Asset List'!$AF$4:$AL$60,MATCH('7'!$B32,'Unique Asset List'!$A$4:$A$60,0),MATCH('7'!$C$1,'Unique Asset List'!$AF$3:$AL$3,0))</f>
        <v>9</v>
      </c>
      <c r="Z32" s="9">
        <f>INDEX('Unique Asset List'!$AT$4:$AZ$60,MATCH('7'!$B32,'Unique Asset List'!$A$4:$A$60,0),MATCH('7'!$C$1,'Unique Asset List'!$AT$3:$AZ$3,0))</f>
        <v>2037</v>
      </c>
      <c r="AA32" s="9">
        <f>INDEX('Unique Asset List'!$BA$4:$BG$60,MATCH('7'!$B32,'Unique Asset List'!$A$4:$A$60,0),MATCH('7'!$C$1,'Unique Asset List'!$BA$3:$BG$3,0))</f>
        <v>9</v>
      </c>
      <c r="AB32" s="16">
        <f t="shared" si="2"/>
        <v>2.3276916000000001</v>
      </c>
      <c r="AC32" s="16">
        <f t="shared" si="3"/>
        <v>0.94137550000000003</v>
      </c>
      <c r="AD32" s="16">
        <f t="shared" si="4"/>
        <v>0.56099999999999994</v>
      </c>
      <c r="AE32" s="15">
        <f>INDEX('Unique Asset List'!$CJ$4:$CP$60,MATCH('7'!$B32,'Unique Asset List'!$A$4:$A$60,0),MATCH('7'!$C$1,'Unique Asset List'!$CJ$3:$CP$3,0))</f>
        <v>0.23</v>
      </c>
      <c r="AF32" s="15">
        <f>INDEX('Unique Asset List'!$CQ$4:$CW$60,MATCH('7'!$B32,'Unique Asset List'!$A$4:$A$60,0),MATCH('7'!$C$1,'Unique Asset List'!$CQ$3:$CW$3,0))</f>
        <v>0.27</v>
      </c>
      <c r="AG32" s="15">
        <f>INDEX('Unique Asset List'!$BV$4:$CB$60,MATCH('7'!$B32,'Unique Asset List'!$A$4:$A$60,0),MATCH('7'!$C$1,'Unique Asset List'!$BV$3:$CB$3,0))</f>
        <v>0.23</v>
      </c>
      <c r="AH32" s="15">
        <f>INDEX('Unique Asset List'!$CC$4:$CI$60,MATCH('7'!$B32,'Unique Asset List'!$A$4:$A$60,0),MATCH('7'!$C$1,'Unique Asset List'!$CC$3:$CI$3,0))</f>
        <v>0.27</v>
      </c>
      <c r="AI32" s="11">
        <v>0.7</v>
      </c>
      <c r="AJ32" s="15">
        <f>INDEX('Unique Asset List'!$BH$4:$BN$60,MATCH('7'!$B32,'Unique Asset List'!$A$4:$A$60,0),MATCH('7'!$C$1,'Unique Asset List'!$BH$3:$BN$3,0))</f>
        <v>0.14000000000000001</v>
      </c>
      <c r="AK32" s="15">
        <f>INDEX('Unique Asset List'!$BO$4:$BU$60,MATCH('7'!$B32,'Unique Asset List'!$A$4:$A$60,0),MATCH('7'!$C$1,'Unique Asset List'!$BO$3:$BU$3,0))</f>
        <v>0.15</v>
      </c>
      <c r="AL32" s="40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0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0</v>
      </c>
      <c r="BD32" s="4">
        <f>IF($C$5="ON",CD32,MyRating(_E1,$B32,Efficacy!$F$1))</f>
        <v>4</v>
      </c>
      <c r="BE32" s="3">
        <f>IF($C$5="ON",CE32,MyRating(_E2,$B32,Efficacy!$F$1))</f>
        <v>5</v>
      </c>
      <c r="BF32" s="3">
        <f>IF($C$5="ON",CF32,MyRating(_E3,$B32,Efficacy!$F$1))</f>
        <v>5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IF($C$5="ON",CL32,MyRating(_S1,$B32,Efficacy!$F$1))</f>
        <v>4</v>
      </c>
      <c r="BM32" s="3">
        <f>IF($C$5="ON",CM32,MyRating(_S2,$B32,Efficacy!$F$1))</f>
        <v>3</v>
      </c>
      <c r="BN32" s="3">
        <f>IF($C$5="ON",CN32,MyRating(_S3,$B32,Efficacy!$F$1))</f>
        <v>3</v>
      </c>
      <c r="BO32" s="3">
        <f>IF($C$5="ON",CO32,MyRating(_S4,$B32,Efficacy!$F$1))</f>
        <v>4</v>
      </c>
      <c r="BP32" s="3">
        <f>IF($C$5="ON",CP32,MyRating(_S5,$B32,Efficacy!$F$1))</f>
        <v>5</v>
      </c>
      <c r="BQ32" s="3">
        <f>IF($C$5="ON",CQ32,MyRating(_S6,$B32,Efficacy!$F$1))</f>
        <v>3</v>
      </c>
      <c r="BR32" s="3">
        <f>IF($C$5="ON",CR32,MyRating(_S7,$B32,Efficacy!$F$1))</f>
        <v>3</v>
      </c>
      <c r="BS32" s="3">
        <f>IF($C$5="ON",CS32,MyRating(_D1,$B32,Efficacy!$F$1))</f>
        <v>3</v>
      </c>
      <c r="BT32" s="3">
        <f>IF($C$5="ON",CT32,MyRating(_D2,$B32,Efficacy!$F$1))</f>
        <v>3</v>
      </c>
      <c r="BU32" s="3">
        <f>IF($C$5="ON",CU32,MyRating(_D3,$B32,Efficacy!$F$1))</f>
        <v>3</v>
      </c>
      <c r="BV32" s="3">
        <f>IF($C$5="ON",CV32,MyRating(_D4,$B32,Efficacy!$F$1))</f>
        <v>3</v>
      </c>
      <c r="BW32" s="3">
        <f>IF($C$5="ON",CW32,MyRating(_B1G5,$B32,Barrier!$L$2))</f>
        <v>2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9"/>
        <v>0</v>
      </c>
      <c r="CA32" s="8">
        <f t="shared" si="6"/>
        <v>2.8000000000000003</v>
      </c>
      <c r="CB32" s="5">
        <f t="shared" si="7"/>
        <v>3.2941176470588251E-2</v>
      </c>
      <c r="CC32" s="7">
        <f t="shared" si="8"/>
        <v>5.9787261089987885E-3</v>
      </c>
      <c r="CD32" s="4">
        <v>4</v>
      </c>
      <c r="CE32" s="3">
        <v>5</v>
      </c>
      <c r="CF32" s="3">
        <v>5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5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2</v>
      </c>
      <c r="CX32" s="3">
        <v>3</v>
      </c>
      <c r="CY32" s="6">
        <v>3</v>
      </c>
      <c r="CZ32" s="5">
        <v>3.6275844714639842E-2</v>
      </c>
      <c r="DA32" s="59"/>
    </row>
    <row r="33" spans="1:105" x14ac:dyDescent="0.25">
      <c r="A33" s="9" t="str">
        <f t="shared" si="0"/>
        <v>JP</v>
      </c>
      <c r="B33" s="9" t="s">
        <v>28</v>
      </c>
      <c r="C33" s="20"/>
      <c r="D33" s="9" t="s">
        <v>2</v>
      </c>
      <c r="E33" s="9" t="s">
        <v>186</v>
      </c>
      <c r="F33" s="9" t="str">
        <f>INDEX('Unique Asset List'!$C$4:$C$60,MATCH(B33,_CompoundList,0))</f>
        <v>Ph1</v>
      </c>
      <c r="G33" s="19">
        <v>0</v>
      </c>
      <c r="H33" s="9">
        <v>2014</v>
      </c>
      <c r="I33" s="9">
        <v>6</v>
      </c>
      <c r="J33" s="18">
        <f>INDEX(PTRS!$D$6:$D$12,MATCH('7'!$F33,PTRS!$B$6:$B$12,0))</f>
        <v>0.13923000000000002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v>0.13923000000000002</v>
      </c>
      <c r="N33" s="17">
        <f>INDEX('Unique Asset List'!$D$4:$M$60,MATCH($B33,'Unique Asset List'!$A$4:$A$60,0),MATCH(N$8,'Unique Asset List'!$D$3:$M$3,0))</f>
        <v>0.09</v>
      </c>
      <c r="O33" s="17">
        <f>INDEX('Unique Asset List'!$D$4:$M$60,MATCH($B33,'Unique Asset List'!$A$4:$A$60,0),MATCH(O$8,'Unique Asset List'!$D$3:$M$3,0))</f>
        <v>0.09</v>
      </c>
      <c r="P33" s="17">
        <f>INDEX('Unique Asset List'!$D$4:$M$60,MATCH($B33,'Unique Asset List'!$A$4:$A$60,0),MATCH(P$8,'Unique Asset List'!$D$3:$M$3,0))</f>
        <v>0.09</v>
      </c>
      <c r="Q33" s="17">
        <f>INDEX('Unique Asset List'!$D$4:$M$60,MATCH($B33,'Unique Asset List'!$A$4:$A$60,0),MATCH(Q$8,'Unique Asset List'!$D$3:$M$3,0))</f>
        <v>0.09</v>
      </c>
      <c r="R33" s="17">
        <f>INDEX('Unique Asset List'!$D$4:$M$60,MATCH($B33,'Unique Asset List'!$A$4:$A$60,0),MATCH(R$8,'Unique Asset List'!$D$3:$M$3,0))</f>
        <v>0.09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1"/>
        <v>0.90168566420734264</v>
      </c>
      <c r="V33" s="17">
        <v>1</v>
      </c>
      <c r="W33" s="9" t="s">
        <v>27</v>
      </c>
      <c r="X33" s="9">
        <f>INDEX('Unique Asset List'!$Y$4:$AE$60,MATCH('7'!$B33,'Unique Asset List'!$A$4:$A$60,0),MATCH('7'!$C$1,'Unique Asset List'!$Y$3:$AE$3,0))</f>
        <v>2031</v>
      </c>
      <c r="Y33" s="9">
        <f>INDEX('Unique Asset List'!$AF$4:$AL$60,MATCH('7'!$B33,'Unique Asset List'!$A$4:$A$60,0),MATCH('7'!$C$1,'Unique Asset List'!$AF$3:$AL$3,0))</f>
        <v>12</v>
      </c>
      <c r="Z33" s="9">
        <f>INDEX('Unique Asset List'!$AT$4:$AZ$60,MATCH('7'!$B33,'Unique Asset List'!$A$4:$A$60,0),MATCH('7'!$C$1,'Unique Asset List'!$AT$3:$AZ$3,0))</f>
        <v>2039</v>
      </c>
      <c r="AA33" s="9">
        <f>INDEX('Unique Asset List'!$BA$4:$BG$60,MATCH('7'!$B33,'Unique Asset List'!$A$4:$A$60,0),MATCH('7'!$C$1,'Unique Asset List'!$BA$3:$BG$3,0))</f>
        <v>12</v>
      </c>
      <c r="AB33" s="16">
        <f t="shared" si="2"/>
        <v>2.0289886000000004</v>
      </c>
      <c r="AC33" s="16">
        <f t="shared" si="3"/>
        <v>0.81843569999999999</v>
      </c>
      <c r="AD33" s="16">
        <f t="shared" si="4"/>
        <v>0.56099999999999994</v>
      </c>
      <c r="AE33" s="15">
        <f>INDEX('Unique Asset List'!$CJ$4:$CP$60,MATCH('7'!$B33,'Unique Asset List'!$A$4:$A$60,0),MATCH('7'!$C$1,'Unique Asset List'!$CJ$3:$CP$3,0))</f>
        <v>0.16</v>
      </c>
      <c r="AF33" s="15">
        <f>INDEX('Unique Asset List'!$CQ$4:$CW$60,MATCH('7'!$B33,'Unique Asset List'!$A$4:$A$60,0),MATCH('7'!$C$1,'Unique Asset List'!$CQ$3:$CW$3,0))</f>
        <v>0.34</v>
      </c>
      <c r="AG33" s="15">
        <f>INDEX('Unique Asset List'!$BV$4:$CB$60,MATCH('7'!$B33,'Unique Asset List'!$A$4:$A$60,0),MATCH('7'!$C$1,'Unique Asset List'!$BV$3:$CB$3,0))</f>
        <v>0.16</v>
      </c>
      <c r="AH33" s="15">
        <f>INDEX('Unique Asset List'!$CC$4:$CI$60,MATCH('7'!$B33,'Unique Asset List'!$A$4:$A$60,0),MATCH('7'!$C$1,'Unique Asset List'!$CC$3:$CI$3,0))</f>
        <v>0.34</v>
      </c>
      <c r="AI33" s="11">
        <v>0.7</v>
      </c>
      <c r="AJ33" s="15">
        <f>INDEX('Unique Asset List'!$BH$4:$BN$60,MATCH('7'!$B33,'Unique Asset List'!$A$4:$A$60,0),MATCH('7'!$C$1,'Unique Asset List'!$BH$3:$BN$3,0))</f>
        <v>0.14000000000000001</v>
      </c>
      <c r="AK33" s="15">
        <f>INDEX('Unique Asset List'!$BO$4:$BU$60,MATCH('7'!$B33,'Unique Asset List'!$A$4:$A$60,0),MATCH('7'!$C$1,'Unique Asset List'!$BO$3:$BU$3,0))</f>
        <v>0.15</v>
      </c>
      <c r="AL33" s="40">
        <v>169</v>
      </c>
      <c r="AM33" s="14">
        <f>INDEX(Simulation!$B$6:$H$6,MATCH($A33,Simulation!$B$1:$H$1,0))*(1+AN33)^((DATE(X33,Y33,15)-DATE(2017,1,15))/365.5)</f>
        <v>0.75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1</v>
      </c>
      <c r="AY33" s="181">
        <f ca="1">INDEX('Unique Asset List'!S$4:S$60,MATCH($B33,_CompoundList,0))</f>
        <v>1</v>
      </c>
      <c r="AZ33" s="181">
        <f ca="1">INDEX('Unique Asset List'!T$4:T$60,MATCH($B33,_CompoundList,0))</f>
        <v>1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1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3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3</v>
      </c>
      <c r="BL33" s="3">
        <f>IF($C$5="ON",CL33,MyRating(_S1,$B33,Efficacy!$F$1))</f>
        <v>2</v>
      </c>
      <c r="BM33" s="3">
        <f>IF($C$5="ON",CM33,MyRating(_S2,$B33,Efficacy!$F$1))</f>
        <v>3</v>
      </c>
      <c r="BN33" s="3">
        <f>IF($C$5="ON",CN33,MyRating(_S3,$B33,Efficacy!$F$1))</f>
        <v>3</v>
      </c>
      <c r="BO33" s="3">
        <f>IF($C$5="ON",CO33,MyRating(_S4,$B33,Efficacy!$F$1))</f>
        <v>4</v>
      </c>
      <c r="BP33" s="3">
        <f>IF($C$5="ON",CP33,MyRating(_S5,$B33,Efficacy!$F$1))</f>
        <v>5</v>
      </c>
      <c r="BQ33" s="3">
        <f>IF($C$5="ON",CQ33,MyRating(_S6,$B33,Efficacy!$F$1))</f>
        <v>3</v>
      </c>
      <c r="BR33" s="3">
        <f>IF($C$5="ON",CR33,MyRating(_S7,$B33,Efficacy!$F$1))</f>
        <v>3</v>
      </c>
      <c r="BS33" s="3">
        <f>IF($C$5="ON",CS33,MyRating(_D1,$B33,Efficacy!$F$1))</f>
        <v>3</v>
      </c>
      <c r="BT33" s="3">
        <f>IF($C$5="ON",CT33,MyRating(_D2,$B33,Efficacy!$F$1))</f>
        <v>3</v>
      </c>
      <c r="BU33" s="3">
        <f>IF($C$5="ON",CU33,MyRating(_D3,$B33,Efficacy!$F$1))</f>
        <v>3</v>
      </c>
      <c r="BV33" s="3">
        <f>IF($C$5="ON",CV33,MyRating(_D4,$B33,Efficacy!$F$1))</f>
        <v>3</v>
      </c>
      <c r="BW33" s="3">
        <f>IF($C$5="ON",CW33,MyRating(_B1G5,$B33,Barrier!$L$2))</f>
        <v>2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9"/>
        <v>3.3407946312985805E-2</v>
      </c>
      <c r="CA33" s="8">
        <f t="shared" si="6"/>
        <v>2.8000000000000003</v>
      </c>
      <c r="CB33" s="5">
        <f t="shared" si="7"/>
        <v>3.2941176470588251E-2</v>
      </c>
      <c r="CC33" s="7">
        <f t="shared" si="8"/>
        <v>5.9787261089987885E-3</v>
      </c>
      <c r="CD33" s="4">
        <v>4</v>
      </c>
      <c r="CE33" s="3">
        <v>4</v>
      </c>
      <c r="CF33" s="3">
        <v>4</v>
      </c>
      <c r="CG33" s="3">
        <v>4</v>
      </c>
      <c r="CH33" s="3">
        <v>3</v>
      </c>
      <c r="CI33" s="3">
        <v>3</v>
      </c>
      <c r="CJ33" s="3">
        <v>3</v>
      </c>
      <c r="CK33" s="3">
        <v>3</v>
      </c>
      <c r="CL33" s="3">
        <v>2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4</v>
      </c>
      <c r="CS33" s="3">
        <v>3</v>
      </c>
      <c r="CT33" s="3">
        <v>3</v>
      </c>
      <c r="CU33" s="3">
        <v>3</v>
      </c>
      <c r="CV33" s="3">
        <v>3</v>
      </c>
      <c r="CW33" s="3">
        <v>2</v>
      </c>
      <c r="CX33" s="3">
        <v>3</v>
      </c>
      <c r="CY33" s="6">
        <v>3</v>
      </c>
      <c r="CZ33" s="5">
        <v>3.6275844714639842E-2</v>
      </c>
      <c r="DA33" s="59"/>
    </row>
    <row r="34" spans="1:105" x14ac:dyDescent="0.25">
      <c r="A34" s="9" t="str">
        <f t="shared" si="0"/>
        <v>JP</v>
      </c>
      <c r="B34" s="9" t="s">
        <v>61</v>
      </c>
      <c r="C34" s="20"/>
      <c r="D34" s="9" t="s">
        <v>60</v>
      </c>
      <c r="E34" s="9" t="s">
        <v>59</v>
      </c>
      <c r="F34" s="9" t="str">
        <f>INDEX('Unique Asset List'!$C$4:$C$60,MATCH(B34,_CompoundList,0))</f>
        <v>Ph1</v>
      </c>
      <c r="G34" s="19">
        <v>0</v>
      </c>
      <c r="H34" s="9">
        <v>2014</v>
      </c>
      <c r="I34" s="9">
        <v>6</v>
      </c>
      <c r="J34" s="18">
        <f>INDEX(PTRS!$D$6:$D$12,MATCH('7'!$F34,PTRS!$B$6:$B$12,0))</f>
        <v>0.13923000000000002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v>0.13923000000000002</v>
      </c>
      <c r="N34" s="17">
        <f>INDEX('Unique Asset List'!$D$4:$M$60,MATCH($B34,'Unique Asset List'!$A$4:$A$60,0),MATCH(N$8,'Unique Asset List'!$D$3:$M$3,0))</f>
        <v>0.13923000000000002</v>
      </c>
      <c r="O34" s="17">
        <f>INDEX('Unique Asset List'!$D$4:$M$60,MATCH($B34,'Unique Asset List'!$A$4:$A$60,0),MATCH(O$8,'Unique Asset List'!$D$3:$M$3,0))</f>
        <v>0.13923000000000002</v>
      </c>
      <c r="P34" s="17">
        <f>INDEX('Unique Asset List'!$D$4:$M$60,MATCH($B34,'Unique Asset List'!$A$4:$A$60,0),MATCH(P$8,'Unique Asset List'!$D$3:$M$3,0))</f>
        <v>0.13923000000000002</v>
      </c>
      <c r="Q34" s="17">
        <f>INDEX('Unique Asset List'!$D$4:$M$60,MATCH($B34,'Unique Asset List'!$A$4:$A$60,0),MATCH(Q$8,'Unique Asset List'!$D$3:$M$3,0))</f>
        <v>0.13923000000000002</v>
      </c>
      <c r="R34" s="17">
        <f>INDEX('Unique Asset List'!$D$4:$M$60,MATCH($B34,'Unique Asset List'!$A$4:$A$60,0),MATCH(R$8,'Unique Asset List'!$D$3:$M$3,0))</f>
        <v>0.13923000000000002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1"/>
        <v>0.90168566420734264</v>
      </c>
      <c r="V34" s="17">
        <v>1</v>
      </c>
      <c r="W34" s="9" t="s">
        <v>57</v>
      </c>
      <c r="X34" s="9">
        <f>INDEX('Unique Asset List'!$Y$4:$AE$60,MATCH('7'!$B34,'Unique Asset List'!$A$4:$A$60,0),MATCH('7'!$C$1,'Unique Asset List'!$Y$3:$AE$3,0))</f>
        <v>2028</v>
      </c>
      <c r="Y34" s="9">
        <f>INDEX('Unique Asset List'!$AF$4:$AL$60,MATCH('7'!$B34,'Unique Asset List'!$A$4:$A$60,0),MATCH('7'!$C$1,'Unique Asset List'!$AF$3:$AL$3,0))</f>
        <v>6</v>
      </c>
      <c r="Z34" s="9">
        <f>INDEX('Unique Asset List'!$AT$4:$AZ$60,MATCH('7'!$B34,'Unique Asset List'!$A$4:$A$60,0),MATCH('7'!$C$1,'Unique Asset List'!$AT$3:$AZ$3,0))</f>
        <v>2036</v>
      </c>
      <c r="AA34" s="9">
        <f>INDEX('Unique Asset List'!$BA$4:$BG$60,MATCH('7'!$B34,'Unique Asset List'!$A$4:$A$60,0),MATCH('7'!$C$1,'Unique Asset List'!$BA$3:$BG$3,0))</f>
        <v>6</v>
      </c>
      <c r="AB34" s="16">
        <f t="shared" si="2"/>
        <v>2.3276916000000001</v>
      </c>
      <c r="AC34" s="16">
        <f t="shared" si="3"/>
        <v>0.87990560000000007</v>
      </c>
      <c r="AD34" s="16">
        <f t="shared" si="4"/>
        <v>0.56099999999999994</v>
      </c>
      <c r="AE34" s="15">
        <f>INDEX('Unique Asset List'!$CJ$4:$CP$60,MATCH('7'!$B34,'Unique Asset List'!$A$4:$A$60,0),MATCH('7'!$C$1,'Unique Asset List'!$CJ$3:$CP$3,0))</f>
        <v>0.23</v>
      </c>
      <c r="AF34" s="15">
        <f>INDEX('Unique Asset List'!$CQ$4:$CW$60,MATCH('7'!$B34,'Unique Asset List'!$A$4:$A$60,0),MATCH('7'!$C$1,'Unique Asset List'!$CQ$3:$CW$3,0))</f>
        <v>0.27</v>
      </c>
      <c r="AG34" s="15">
        <f>INDEX('Unique Asset List'!$BV$4:$CB$60,MATCH('7'!$B34,'Unique Asset List'!$A$4:$A$60,0),MATCH('7'!$C$1,'Unique Asset List'!$BV$3:$CB$3,0))</f>
        <v>0.23</v>
      </c>
      <c r="AH34" s="15">
        <f>INDEX('Unique Asset List'!$CC$4:$CI$60,MATCH('7'!$B34,'Unique Asset List'!$A$4:$A$60,0),MATCH('7'!$C$1,'Unique Asset List'!$CC$3:$CI$3,0))</f>
        <v>0.27</v>
      </c>
      <c r="AI34" s="11">
        <v>0.7</v>
      </c>
      <c r="AJ34" s="15">
        <f>INDEX('Unique Asset List'!$BH$4:$BN$60,MATCH('7'!$B34,'Unique Asset List'!$A$4:$A$60,0),MATCH('7'!$C$1,'Unique Asset List'!$BH$3:$BN$3,0))</f>
        <v>0.14000000000000001</v>
      </c>
      <c r="AK34" s="15">
        <f>INDEX('Unique Asset List'!$BO$4:$BU$60,MATCH('7'!$B34,'Unique Asset List'!$A$4:$A$60,0),MATCH('7'!$C$1,'Unique Asset List'!$BO$3:$BU$3,0))</f>
        <v>0.15</v>
      </c>
      <c r="AL34" s="40">
        <v>169</v>
      </c>
      <c r="AM34" s="14">
        <f>INDEX(Simulation!$B$6:$H$6,MATCH($A34,Simulation!$B$1:$H$1,0))*(1+AN34)^((DATE(X34,Y34,15)-DATE(2017,1,15))/365.5)</f>
        <v>0.75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0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1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5</v>
      </c>
      <c r="BF34" s="3">
        <f>IF($C$5="ON",CF34,MyRating(_E3,$B34,Efficacy!$F$1))</f>
        <v>5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IF($C$5="ON",CL34,MyRating(_S1,$B34,Efficacy!$F$1))</f>
        <v>3</v>
      </c>
      <c r="BM34" s="3">
        <f>IF($C$5="ON",CM34,MyRating(_S2,$B34,Efficacy!$F$1))</f>
        <v>3</v>
      </c>
      <c r="BN34" s="3">
        <f>IF($C$5="ON",CN34,MyRating(_S3,$B34,Efficacy!$F$1))</f>
        <v>3</v>
      </c>
      <c r="BO34" s="3">
        <f>IF($C$5="ON",CO34,MyRating(_S4,$B34,Efficacy!$F$1))</f>
        <v>4</v>
      </c>
      <c r="BP34" s="3">
        <f>IF($C$5="ON",CP34,MyRating(_S5,$B34,Efficacy!$F$1))</f>
        <v>5</v>
      </c>
      <c r="BQ34" s="3">
        <f>IF($C$5="ON",CQ34,MyRating(_S6,$B34,Efficacy!$F$1))</f>
        <v>3</v>
      </c>
      <c r="BR34" s="3">
        <f>IF($C$5="ON",CR34,MyRating(_S7,$B34,Efficacy!$F$1))</f>
        <v>3</v>
      </c>
      <c r="BS34" s="3">
        <f>IF($C$5="ON",CS34,MyRating(_D1,$B34,Efficacy!$F$1))</f>
        <v>3</v>
      </c>
      <c r="BT34" s="3">
        <f>IF($C$5="ON",CT34,MyRating(_D2,$B34,Efficacy!$F$1))</f>
        <v>3</v>
      </c>
      <c r="BU34" s="3">
        <f>IF($C$5="ON",CU34,MyRating(_D3,$B34,Efficacy!$F$1))</f>
        <v>3</v>
      </c>
      <c r="BV34" s="3">
        <f>IF($C$5="ON",CV34,MyRating(_D4,$B34,Efficacy!$F$1))</f>
        <v>3</v>
      </c>
      <c r="BW34" s="3">
        <f>IF($C$5="ON",CW34,MyRating(_B1G5,$B34,Barrier!$L$2))</f>
        <v>2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9"/>
        <v>3.3407946312985805E-2</v>
      </c>
      <c r="CA34" s="8">
        <f t="shared" si="6"/>
        <v>2.8000000000000003</v>
      </c>
      <c r="CB34" s="5">
        <f t="shared" si="7"/>
        <v>3.2941176470588251E-2</v>
      </c>
      <c r="CC34" s="7">
        <f t="shared" si="8"/>
        <v>5.9787261089987885E-3</v>
      </c>
      <c r="CD34" s="4">
        <v>4</v>
      </c>
      <c r="CE34" s="3">
        <v>5</v>
      </c>
      <c r="CF34" s="3">
        <v>5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5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2</v>
      </c>
      <c r="CX34" s="3">
        <v>3</v>
      </c>
      <c r="CY34" s="6">
        <v>3</v>
      </c>
      <c r="CZ34" s="5">
        <v>3.6275844714639842E-2</v>
      </c>
      <c r="DA34" s="59"/>
    </row>
    <row r="35" spans="1:105" x14ac:dyDescent="0.25">
      <c r="A35" s="9" t="str">
        <f t="shared" si="0"/>
        <v>JP</v>
      </c>
      <c r="B35" s="9" t="s">
        <v>278</v>
      </c>
      <c r="C35" s="20" t="s">
        <v>3</v>
      </c>
      <c r="D35" s="9" t="s">
        <v>55</v>
      </c>
      <c r="E35" s="9" t="s">
        <v>186</v>
      </c>
      <c r="F35" s="9" t="str">
        <f>INDEX('Unique Asset List'!$C$4:$C$60,MATCH(B35,_CompoundList,0))</f>
        <v>Ph2a</v>
      </c>
      <c r="G35" s="19">
        <v>0</v>
      </c>
      <c r="H35" s="9">
        <v>2014</v>
      </c>
      <c r="I35" s="9">
        <v>6</v>
      </c>
      <c r="J35" s="18">
        <f>INDEX(PTRS!$D$6:$D$12,MATCH('7'!$F35,PTRS!$B$6:$B$12,0))</f>
        <v>0.1638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v>5.4600000000000003E-2</v>
      </c>
      <c r="N35" s="17">
        <f>INDEX('Unique Asset List'!$D$4:$M$60,MATCH($B35,'Unique Asset List'!$A$4:$A$60,0),MATCH(N$8,'Unique Asset List'!$D$3:$M$3,0))</f>
        <v>0.1638</v>
      </c>
      <c r="O35" s="17">
        <f>INDEX('Unique Asset List'!$D$4:$M$60,MATCH($B35,'Unique Asset List'!$A$4:$A$60,0),MATCH(O$8,'Unique Asset List'!$D$3:$M$3,0))</f>
        <v>0.1638</v>
      </c>
      <c r="P35" s="17">
        <f>INDEX('Unique Asset List'!$D$4:$M$60,MATCH($B35,'Unique Asset List'!$A$4:$A$60,0),MATCH(P$8,'Unique Asset List'!$D$3:$M$3,0))</f>
        <v>0.1638</v>
      </c>
      <c r="Q35" s="17">
        <f>INDEX('Unique Asset List'!$D$4:$M$60,MATCH($B35,'Unique Asset List'!$A$4:$A$60,0),MATCH(Q$8,'Unique Asset List'!$D$3:$M$3,0))</f>
        <v>0.1638</v>
      </c>
      <c r="R35" s="17">
        <f>INDEX('Unique Asset List'!$D$4:$M$60,MATCH($B35,'Unique Asset List'!$A$4:$A$60,0),MATCH(R$8,'Unique Asset List'!$D$3:$M$3,0))</f>
        <v>0.1638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1"/>
        <v>0</v>
      </c>
      <c r="V35" s="17">
        <v>1</v>
      </c>
      <c r="W35" s="9" t="s">
        <v>54</v>
      </c>
      <c r="X35" s="9">
        <f>INDEX('Unique Asset List'!$Y$4:$AE$60,MATCH('7'!$B35,'Unique Asset List'!$A$4:$A$60,0),MATCH('7'!$C$1,'Unique Asset List'!$Y$3:$AE$3,0))</f>
        <v>2023</v>
      </c>
      <c r="Y35" s="9">
        <f>INDEX('Unique Asset List'!$AF$4:$AL$60,MATCH('7'!$B35,'Unique Asset List'!$A$4:$A$60,0),MATCH('7'!$C$1,'Unique Asset List'!$AF$3:$AL$3,0))</f>
        <v>6</v>
      </c>
      <c r="Z35" s="9">
        <f>INDEX('Unique Asset List'!$AT$4:$AZ$60,MATCH('7'!$B35,'Unique Asset List'!$A$4:$A$60,0),MATCH('7'!$C$1,'Unique Asset List'!$AT$3:$AZ$3,0))</f>
        <v>2031</v>
      </c>
      <c r="AA35" s="9">
        <f>INDEX('Unique Asset List'!$BA$4:$BG$60,MATCH('7'!$B35,'Unique Asset List'!$A$4:$A$60,0),MATCH('7'!$C$1,'Unique Asset List'!$BA$3:$BG$3,0))</f>
        <v>6</v>
      </c>
      <c r="AB35" s="16">
        <f t="shared" si="2"/>
        <v>0</v>
      </c>
      <c r="AC35" s="16">
        <f t="shared" si="3"/>
        <v>0</v>
      </c>
      <c r="AD35" s="16">
        <f t="shared" si="4"/>
        <v>0</v>
      </c>
      <c r="AE35" s="15">
        <f>INDEX('Unique Asset List'!$CJ$4:$CP$60,MATCH('7'!$B35,'Unique Asset List'!$A$4:$A$60,0),MATCH('7'!$C$1,'Unique Asset List'!$CJ$3:$CP$3,0))</f>
        <v>0.16</v>
      </c>
      <c r="AF35" s="15">
        <f>INDEX('Unique Asset List'!$CQ$4:$CW$60,MATCH('7'!$B35,'Unique Asset List'!$A$4:$A$60,0),MATCH('7'!$C$1,'Unique Asset List'!$CQ$3:$CW$3,0))</f>
        <v>0.34</v>
      </c>
      <c r="AG35" s="15">
        <f>INDEX('Unique Asset List'!$BV$4:$CB$60,MATCH('7'!$B35,'Unique Asset List'!$A$4:$A$60,0),MATCH('7'!$C$1,'Unique Asset List'!$BV$3:$CB$3,0))</f>
        <v>0.16</v>
      </c>
      <c r="AH35" s="15">
        <f>INDEX('Unique Asset List'!$CC$4:$CI$60,MATCH('7'!$B35,'Unique Asset List'!$A$4:$A$60,0),MATCH('7'!$C$1,'Unique Asset List'!$CC$3:$CI$3,0))</f>
        <v>0.34</v>
      </c>
      <c r="AI35" s="11">
        <v>0.7</v>
      </c>
      <c r="AJ35" s="15">
        <f>INDEX('Unique Asset List'!$BH$4:$BN$60,MATCH('7'!$B35,'Unique Asset List'!$A$4:$A$60,0),MATCH('7'!$C$1,'Unique Asset List'!$BH$3:$BN$3,0))</f>
        <v>0.14000000000000001</v>
      </c>
      <c r="AK35" s="15">
        <f>INDEX('Unique Asset List'!$BO$4:$BU$60,MATCH('7'!$B35,'Unique Asset List'!$A$4:$A$60,0),MATCH('7'!$C$1,'Unique Asset List'!$BO$3:$BU$3,0))</f>
        <v>0.15</v>
      </c>
      <c r="AL35" s="40">
        <v>169</v>
      </c>
      <c r="AM35" s="14">
        <f>INDEX(Simulation!$B$6:$H$6,MATCH($A35,Simulation!$B$1:$H$1,0))*(1+AN35)^((DATE(X35,Y35,15)-DATE(2017,1,15))/365.5)</f>
        <v>0.75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0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0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0</v>
      </c>
      <c r="BC35" s="181">
        <f ca="1">INDEX('Unique Asset List'!W$4:W$60,MATCH($B35,_CompoundList,0))</f>
        <v>1</v>
      </c>
      <c r="BD35" s="4">
        <f>IF($C$5="ON",CD35,MyRating(_E1,$B35,Efficacy!$F$1))</f>
        <v>0</v>
      </c>
      <c r="BE35" s="3">
        <f>IF($C$5="ON",CE35,MyRating(_E2,$B35,Efficacy!$F$1))</f>
        <v>0</v>
      </c>
      <c r="BF35" s="3">
        <f>IF($C$5="ON",CF35,MyRating(_E3,$B35,Efficacy!$F$1))</f>
        <v>0</v>
      </c>
      <c r="BG35" s="3">
        <f>IF($C$5="ON",CG35,MyRating(_E4,$B35,Efficacy!$F$1))</f>
        <v>0</v>
      </c>
      <c r="BH35" s="3">
        <f>IF($C$5="ON",CH35,MyRating(_E5,$B35,Efficacy!$F$1))</f>
        <v>0</v>
      </c>
      <c r="BI35" s="3">
        <f>IF($C$5="ON",CI35,MyRating(_E6,$B35,Efficacy!$F$1))</f>
        <v>0</v>
      </c>
      <c r="BJ35" s="3">
        <f>IF($C$5="ON",CJ35,MyRating(_E7,$B35,Efficacy!$F$1))</f>
        <v>0</v>
      </c>
      <c r="BK35" s="3">
        <f>IF($C$5="ON",CK35,MyRating(_E8,$B35,Efficacy!$F$1))</f>
        <v>0</v>
      </c>
      <c r="BL35" s="3">
        <f>IF($C$5="ON",CL35,MyRating(_S1,$B35,Efficacy!$F$1))</f>
        <v>0</v>
      </c>
      <c r="BM35" s="3">
        <f>IF($C$5="ON",CM35,MyRating(_S2,$B35,Efficacy!$F$1))</f>
        <v>0</v>
      </c>
      <c r="BN35" s="3">
        <f>IF($C$5="ON",CN35,MyRating(_S3,$B35,Efficacy!$F$1))</f>
        <v>0</v>
      </c>
      <c r="BO35" s="3">
        <f>IF($C$5="ON",CO35,MyRating(_S4,$B35,Efficacy!$F$1))</f>
        <v>0</v>
      </c>
      <c r="BP35" s="3">
        <f>IF($C$5="ON",CP35,MyRating(_S5,$B35,Efficacy!$F$1))</f>
        <v>0</v>
      </c>
      <c r="BQ35" s="3">
        <f>IF($C$5="ON",CQ35,MyRating(_S6,$B35,Efficacy!$F$1))</f>
        <v>0</v>
      </c>
      <c r="BR35" s="3">
        <f>IF($C$5="ON",CR35,MyRating(_S7,$B35,Efficacy!$F$1))</f>
        <v>0</v>
      </c>
      <c r="BS35" s="3">
        <f>IF($C$5="ON",CS35,MyRating(_D1,$B35,Efficacy!$F$1))</f>
        <v>0</v>
      </c>
      <c r="BT35" s="3">
        <f>IF($C$5="ON",CT35,MyRating(_D2,$B35,Efficacy!$F$1))</f>
        <v>0</v>
      </c>
      <c r="BU35" s="3">
        <f>IF($C$5="ON",CU35,MyRating(_D3,$B35,Efficacy!$F$1))</f>
        <v>0</v>
      </c>
      <c r="BV35" s="3">
        <f>IF($C$5="ON",CV35,MyRating(_D4,$B35,Efficacy!$F$1))</f>
        <v>0</v>
      </c>
      <c r="BW35" s="3">
        <f>IF($C$5="ON",CW35,MyRating(_B1G5,$B35,Barrier!$L$2))</f>
        <v>0</v>
      </c>
      <c r="BX35" s="3">
        <f>IF($C$5="ON",CX35,MyRating(_B2,$B35,Barrier!$F$2))</f>
        <v>0</v>
      </c>
      <c r="BY35" s="6">
        <f>IF($C$5="ON",CY35,MyRating(_B3,$B35,Barrier!$F$2))</f>
        <v>0</v>
      </c>
      <c r="BZ35" s="5">
        <f t="shared" si="9"/>
        <v>0</v>
      </c>
      <c r="CA35" s="8">
        <f t="shared" si="6"/>
        <v>0</v>
      </c>
      <c r="CB35" s="5">
        <f t="shared" si="7"/>
        <v>0</v>
      </c>
      <c r="CC35" s="7">
        <f t="shared" si="8"/>
        <v>0</v>
      </c>
      <c r="CD35" s="4">
        <v>2</v>
      </c>
      <c r="CE35" s="3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4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2</v>
      </c>
      <c r="CX35" s="3">
        <v>3</v>
      </c>
      <c r="CY35" s="6">
        <v>3</v>
      </c>
      <c r="CZ35" s="5">
        <v>3.6275844714639842E-2</v>
      </c>
      <c r="DA35" s="59"/>
    </row>
    <row r="36" spans="1:105" x14ac:dyDescent="0.25">
      <c r="A36" s="9" t="str">
        <f t="shared" si="0"/>
        <v>JP</v>
      </c>
      <c r="B36" s="9" t="s">
        <v>53</v>
      </c>
      <c r="C36" s="20"/>
      <c r="D36" s="9" t="s">
        <v>52</v>
      </c>
      <c r="E36" s="9" t="s">
        <v>186</v>
      </c>
      <c r="F36" s="9" t="str">
        <f>INDEX('Unique Asset List'!$C$4:$C$60,MATCH(B36,_CompoundList,0))</f>
        <v>Ph2a</v>
      </c>
      <c r="G36" s="19">
        <v>0</v>
      </c>
      <c r="H36" s="9">
        <v>2014</v>
      </c>
      <c r="I36" s="9">
        <v>6</v>
      </c>
      <c r="J36" s="18">
        <f>INDEX(PTRS!$D$6:$D$12,MATCH('7'!$F36,PTRS!$B$6:$B$12,0))</f>
        <v>0.1638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0.1638</v>
      </c>
      <c r="N36" s="17">
        <f>INDEX('Unique Asset List'!$D$4:$M$60,MATCH($B36,'Unique Asset List'!$A$4:$A$60,0),MATCH(N$8,'Unique Asset List'!$D$3:$M$3,0))</f>
        <v>0.1638</v>
      </c>
      <c r="O36" s="17">
        <f>INDEX('Unique Asset List'!$D$4:$M$60,MATCH($B36,'Unique Asset List'!$A$4:$A$60,0),MATCH(O$8,'Unique Asset List'!$D$3:$M$3,0))</f>
        <v>0.1638</v>
      </c>
      <c r="P36" s="17">
        <f>INDEX('Unique Asset List'!$D$4:$M$60,MATCH($B36,'Unique Asset List'!$A$4:$A$60,0),MATCH(P$8,'Unique Asset List'!$D$3:$M$3,0))</f>
        <v>0.1638</v>
      </c>
      <c r="Q36" s="17">
        <f>INDEX('Unique Asset List'!$D$4:$M$60,MATCH($B36,'Unique Asset List'!$A$4:$A$60,0),MATCH(Q$8,'Unique Asset List'!$D$3:$M$3,0))</f>
        <v>0.1638</v>
      </c>
      <c r="R36" s="17">
        <f>INDEX('Unique Asset List'!$D$4:$M$60,MATCH($B36,'Unique Asset List'!$A$4:$A$60,0),MATCH(R$8,'Unique Asset List'!$D$3:$M$3,0))</f>
        <v>0.1638</v>
      </c>
      <c r="S36" s="17">
        <f>INDEX('Unique Asset List'!$D$4:$M$60,MATCH($B36,'Unique Asset List'!$A$4:$A$60,0),MATCH(S$8,'Unique Asset List'!$D$3:$M$3,0))</f>
        <v>0</v>
      </c>
      <c r="T36" s="17"/>
      <c r="U36" s="17">
        <f t="shared" si="1"/>
        <v>0.90168566420734264</v>
      </c>
      <c r="V36" s="17">
        <v>1</v>
      </c>
      <c r="W36" s="9" t="s">
        <v>50</v>
      </c>
      <c r="X36" s="9">
        <f>INDEX('Unique Asset List'!$Y$4:$AE$60,MATCH('7'!$B36,'Unique Asset List'!$A$4:$A$60,0),MATCH('7'!$C$1,'Unique Asset List'!$Y$3:$AE$3,0))</f>
        <v>2024</v>
      </c>
      <c r="Y36" s="9">
        <f>INDEX('Unique Asset List'!$AF$4:$AL$60,MATCH('7'!$B36,'Unique Asset List'!$A$4:$A$60,0),MATCH('7'!$C$1,'Unique Asset List'!$AF$3:$AL$3,0))</f>
        <v>6</v>
      </c>
      <c r="Z36" s="9">
        <f>INDEX('Unique Asset List'!$AT$4:$AZ$60,MATCH('7'!$B36,'Unique Asset List'!$A$4:$A$60,0),MATCH('7'!$C$1,'Unique Asset List'!$AT$3:$AZ$3,0))</f>
        <v>2032</v>
      </c>
      <c r="AA36" s="9">
        <f>INDEX('Unique Asset List'!$BA$4:$BG$60,MATCH('7'!$B36,'Unique Asset List'!$A$4:$A$60,0),MATCH('7'!$C$1,'Unique Asset List'!$BA$3:$BG$3,0))</f>
        <v>6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List'!$CJ$4:$CP$60,MATCH('7'!$B36,'Unique Asset List'!$A$4:$A$60,0),MATCH('7'!$C$1,'Unique Asset List'!$CJ$3:$CP$3,0))</f>
        <v>0.16</v>
      </c>
      <c r="AF36" s="15">
        <f>INDEX('Unique Asset List'!$CQ$4:$CW$60,MATCH('7'!$B36,'Unique Asset List'!$A$4:$A$60,0),MATCH('7'!$C$1,'Unique Asset List'!$CQ$3:$CW$3,0))</f>
        <v>0.34</v>
      </c>
      <c r="AG36" s="15">
        <f>INDEX('Unique Asset List'!$BV$4:$CB$60,MATCH('7'!$B36,'Unique Asset List'!$A$4:$A$60,0),MATCH('7'!$C$1,'Unique Asset List'!$BV$3:$CB$3,0))</f>
        <v>0.16</v>
      </c>
      <c r="AH36" s="15">
        <f>INDEX('Unique Asset List'!$CC$4:$CI$60,MATCH('7'!$B36,'Unique Asset List'!$A$4:$A$60,0),MATCH('7'!$C$1,'Unique Asset List'!$CC$3:$CI$3,0))</f>
        <v>0.34</v>
      </c>
      <c r="AI36" s="11">
        <v>0.7</v>
      </c>
      <c r="AJ36" s="15">
        <f>INDEX('Unique Asset List'!$BH$4:$BN$60,MATCH('7'!$B36,'Unique Asset List'!$A$4:$A$60,0),MATCH('7'!$C$1,'Unique Asset List'!$BH$3:$BN$3,0))</f>
        <v>0.14000000000000001</v>
      </c>
      <c r="AK36" s="15">
        <f>INDEX('Unique Asset List'!$BO$4:$BU$60,MATCH('7'!$B36,'Unique Asset List'!$A$4:$A$60,0),MATCH('7'!$C$1,'Unique Asset List'!$BO$3:$BU$3,0))</f>
        <v>0.15</v>
      </c>
      <c r="AL36" s="40">
        <v>169</v>
      </c>
      <c r="AM36" s="14">
        <f>INDEX(Simulation!$B$6:$H$6,MATCH($A36,Simulation!$B$1:$H$1,0))*(1+AN36)^((DATE(X36,Y36,15)-DATE(2017,1,15))/365.5)</f>
        <v>0.75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1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1</v>
      </c>
      <c r="BB36" s="181">
        <f ca="1">INDEX('Unique Asset List'!V$4:V$60,MATCH($B36,_CompoundList,0))</f>
        <v>1</v>
      </c>
      <c r="BC36" s="181">
        <f ca="1">INDEX('Unique Asset List'!W$4:W$60,MATCH($B36,_CompoundList,0))</f>
        <v>0</v>
      </c>
      <c r="BD36" s="4">
        <f>IF($C$5="ON",CD36,MyRating(_E1,$B36,Efficacy!$F$1))</f>
        <v>3</v>
      </c>
      <c r="BE36" s="3">
        <f>IF($C$5="ON",CE36,MyRating(_E2,$B36,Efficacy!$F$1))</f>
        <v>3</v>
      </c>
      <c r="BF36" s="3">
        <f>IF($C$5="ON",CF36,MyRating(_E3,$B36,Efficacy!$F$1))</f>
        <v>3</v>
      </c>
      <c r="BG36" s="3">
        <f>IF($C$5="ON",CG36,MyRating(_E4,$B36,Efficacy!$F$1))</f>
        <v>3</v>
      </c>
      <c r="BH36" s="3">
        <f>IF($C$5="ON",CH36,MyRating(_E5,$B36,Efficacy!$F$1))</f>
        <v>3</v>
      </c>
      <c r="BI36" s="3">
        <f>IF($C$5="ON",CI36,MyRating(_E6,$B36,Efficacy!$F$1))</f>
        <v>3</v>
      </c>
      <c r="BJ36" s="3">
        <f>IF($C$5="ON",CJ36,MyRating(_E7,$B36,Efficacy!$F$1))</f>
        <v>3</v>
      </c>
      <c r="BK36" s="3">
        <f>IF($C$5="ON",CK36,MyRating(_E8,$B36,Efficacy!$F$1))</f>
        <v>3</v>
      </c>
      <c r="BL36" s="3">
        <f>IF($C$5="ON",CL36,MyRating(_S1,$B36,Efficacy!$F$1))</f>
        <v>3</v>
      </c>
      <c r="BM36" s="3">
        <f>IF($C$5="ON",CM36,MyRating(_S2,$B36,Efficacy!$F$1))</f>
        <v>3</v>
      </c>
      <c r="BN36" s="3">
        <f>IF($C$5="ON",CN36,MyRating(_S3,$B36,Efficacy!$F$1))</f>
        <v>3</v>
      </c>
      <c r="BO36" s="3">
        <f>IF($C$5="ON",CO36,MyRating(_S4,$B36,Efficacy!$F$1))</f>
        <v>3</v>
      </c>
      <c r="BP36" s="3">
        <f>IF($C$5="ON",CP36,MyRating(_S5,$B36,Efficacy!$F$1))</f>
        <v>3</v>
      </c>
      <c r="BQ36" s="3">
        <f>IF($C$5="ON",CQ36,MyRating(_S6,$B36,Efficacy!$F$1))</f>
        <v>3</v>
      </c>
      <c r="BR36" s="3">
        <f>IF($C$5="ON",CR36,MyRating(_S7,$B36,Efficacy!$F$1))</f>
        <v>3</v>
      </c>
      <c r="BS36" s="3">
        <f>IF($C$5="ON",CS36,MyRating(_D1,$B36,Efficacy!$F$1))</f>
        <v>3</v>
      </c>
      <c r="BT36" s="3">
        <f>IF($C$5="ON",CT36,MyRating(_D2,$B36,Efficacy!$F$1))</f>
        <v>3</v>
      </c>
      <c r="BU36" s="3">
        <f>IF($C$5="ON",CU36,MyRating(_D3,$B36,Efficacy!$F$1))</f>
        <v>3</v>
      </c>
      <c r="BV36" s="3">
        <f>IF($C$5="ON",CV36,MyRating(_D4,$B36,Efficacy!$F$1))</f>
        <v>3</v>
      </c>
      <c r="BW36" s="3">
        <f>IF($C$5="ON",CW36,MyRating(_B1G5,$B36,Barrier!$L$2))</f>
        <v>2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9"/>
        <v>3.3407946312985805E-2</v>
      </c>
      <c r="CA36" s="8">
        <f t="shared" si="6"/>
        <v>2.8000000000000003</v>
      </c>
      <c r="CB36" s="5">
        <f t="shared" si="7"/>
        <v>3.2941176470588251E-2</v>
      </c>
      <c r="CC36" s="7">
        <f t="shared" si="8"/>
        <v>5.9787261089987885E-3</v>
      </c>
      <c r="CD36" s="4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2</v>
      </c>
      <c r="CX36" s="3">
        <v>3</v>
      </c>
      <c r="CY36" s="6">
        <v>3</v>
      </c>
      <c r="CZ36" s="5">
        <v>3.6275844714639842E-2</v>
      </c>
      <c r="DA36" s="59"/>
    </row>
    <row r="37" spans="1:105" x14ac:dyDescent="0.25">
      <c r="A37" s="9" t="str">
        <f t="shared" si="0"/>
        <v>JP</v>
      </c>
      <c r="B37" s="9" t="s">
        <v>45</v>
      </c>
      <c r="C37" s="20"/>
      <c r="D37" s="9" t="s">
        <v>44</v>
      </c>
      <c r="E37" s="9" t="s">
        <v>186</v>
      </c>
      <c r="F37" s="9" t="str">
        <f>INDEX('Unique Asset List'!$C$4:$C$60,MATCH(B37,_CompoundList,0))</f>
        <v>Ph2b</v>
      </c>
      <c r="G37" s="19">
        <v>0</v>
      </c>
      <c r="H37" s="9">
        <v>2014</v>
      </c>
      <c r="I37" s="9">
        <v>6</v>
      </c>
      <c r="J37" s="18">
        <f>INDEX(PTRS!$D$6:$D$12,MATCH('7'!$F37,PTRS!$B$6:$B$12,0))</f>
        <v>0.40949999999999998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0.40949999999999998</v>
      </c>
      <c r="N37" s="17">
        <f>INDEX('Unique Asset List'!$D$4:$M$60,MATCH($B37,'Unique Asset List'!$A$4:$A$60,0),MATCH(N$8,'Unique Asset List'!$D$3:$M$3,0))</f>
        <v>0.59</v>
      </c>
      <c r="O37" s="17">
        <f>INDEX('Unique Asset List'!$D$4:$M$60,MATCH($B37,'Unique Asset List'!$A$4:$A$60,0),MATCH(O$8,'Unique Asset List'!$D$3:$M$3,0))</f>
        <v>0.59</v>
      </c>
      <c r="P37" s="17">
        <f>INDEX('Unique Asset List'!$D$4:$M$60,MATCH($B37,'Unique Asset List'!$A$4:$A$60,0),MATCH(P$8,'Unique Asset List'!$D$3:$M$3,0))</f>
        <v>0.59</v>
      </c>
      <c r="Q37" s="17">
        <f>INDEX('Unique Asset List'!$D$4:$M$60,MATCH($B37,'Unique Asset List'!$A$4:$A$60,0),MATCH(Q$8,'Unique Asset List'!$D$3:$M$3,0))</f>
        <v>0.59</v>
      </c>
      <c r="R37" s="17">
        <f>INDEX('Unique Asset List'!$D$4:$M$60,MATCH($B37,'Unique Asset List'!$A$4:$A$60,0),MATCH(R$8,'Unique Asset List'!$D$3:$M$3,0))</f>
        <v>0.59</v>
      </c>
      <c r="S37" s="17">
        <f>INDEX('Unique Asset List'!$D$4:$M$60,MATCH($B37,'Unique Asset List'!$A$4:$A$60,0),MATCH(S$8,'Unique Asset List'!$D$3:$M$3,0))</f>
        <v>1</v>
      </c>
      <c r="T37" s="17"/>
      <c r="U37" s="17">
        <f t="shared" si="1"/>
        <v>0.80682275808442805</v>
      </c>
      <c r="V37" s="17">
        <f>5*7/Simulation!H5</f>
        <v>0.19195612431444239</v>
      </c>
      <c r="W37" s="9" t="s">
        <v>42</v>
      </c>
      <c r="X37" s="9">
        <f>INDEX('Unique Asset List'!$Y$4:$AE$60,MATCH('7'!$B37,'Unique Asset List'!$A$4:$A$60,0),MATCH('7'!$C$1,'Unique Asset List'!$Y$3:$AE$3,0))</f>
        <v>2022</v>
      </c>
      <c r="Y37" s="9">
        <f>INDEX('Unique Asset List'!$AF$4:$AL$60,MATCH('7'!$B37,'Unique Asset List'!$A$4:$A$60,0),MATCH('7'!$C$1,'Unique Asset List'!$AF$3:$AL$3,0))</f>
        <v>6</v>
      </c>
      <c r="Z37" s="9">
        <f>INDEX('Unique Asset List'!$AT$4:$AZ$60,MATCH('7'!$B37,'Unique Asset List'!$A$4:$A$60,0),MATCH('7'!$C$1,'Unique Asset List'!$AT$3:$AZ$3,0))</f>
        <v>2030</v>
      </c>
      <c r="AA37" s="9">
        <f>INDEX('Unique Asset List'!$BA$4:$BG$60,MATCH('7'!$B37,'Unique Asset List'!$A$4:$A$60,0),MATCH('7'!$C$1,'Unique Asset List'!$BA$3:$BG$3,0))</f>
        <v>6</v>
      </c>
      <c r="AB37" s="16">
        <f t="shared" si="2"/>
        <v>2.1065446000000003</v>
      </c>
      <c r="AC37" s="16">
        <f t="shared" si="3"/>
        <v>0.86040290000000008</v>
      </c>
      <c r="AD37" s="16">
        <f t="shared" si="4"/>
        <v>0.56099999999999994</v>
      </c>
      <c r="AE37" s="15">
        <f>INDEX('Unique Asset List'!$CJ$4:$CP$60,MATCH('7'!$B37,'Unique Asset List'!$A$4:$A$60,0),MATCH('7'!$C$1,'Unique Asset List'!$CJ$3:$CP$3,0))</f>
        <v>0.16</v>
      </c>
      <c r="AF37" s="15">
        <f>INDEX('Unique Asset List'!$CQ$4:$CW$60,MATCH('7'!$B37,'Unique Asset List'!$A$4:$A$60,0),MATCH('7'!$C$1,'Unique Asset List'!$CQ$3:$CW$3,0))</f>
        <v>0.34</v>
      </c>
      <c r="AG37" s="15">
        <f>INDEX('Unique Asset List'!$BV$4:$CB$60,MATCH('7'!$B37,'Unique Asset List'!$A$4:$A$60,0),MATCH('7'!$C$1,'Unique Asset List'!$BV$3:$CB$3,0))</f>
        <v>0.16</v>
      </c>
      <c r="AH37" s="15">
        <f>INDEX('Unique Asset List'!$CC$4:$CI$60,MATCH('7'!$B37,'Unique Asset List'!$A$4:$A$60,0),MATCH('7'!$C$1,'Unique Asset List'!$CC$3:$CI$3,0))</f>
        <v>0.34</v>
      </c>
      <c r="AI37" s="11">
        <v>0.7</v>
      </c>
      <c r="AJ37" s="15">
        <f>INDEX('Unique Asset List'!$BH$4:$BN$60,MATCH('7'!$B37,'Unique Asset List'!$A$4:$A$60,0),MATCH('7'!$C$1,'Unique Asset List'!$BH$3:$BN$3,0))</f>
        <v>0.14000000000000001</v>
      </c>
      <c r="AK37" s="15">
        <f>INDEX('Unique Asset List'!$BO$4:$BU$60,MATCH('7'!$B37,'Unique Asset List'!$A$4:$A$60,0),MATCH('7'!$C$1,'Unique Asset List'!$BO$3:$BU$3,0))</f>
        <v>0.15</v>
      </c>
      <c r="AL37" s="40">
        <v>35</v>
      </c>
      <c r="AM37" s="14">
        <f>0.75*365*0.8/AL37</f>
        <v>6.2571428571428571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0</v>
      </c>
      <c r="BA37" s="181">
        <f ca="1">INDEX('Unique Asset List'!U$4:U$60,MATCH($B37,_CompoundList,0))</f>
        <v>0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4</v>
      </c>
      <c r="BF37" s="3">
        <f>IF($C$5="ON",CF37,MyRating(_E3,$B37,Efficacy!$F$1))</f>
        <v>4</v>
      </c>
      <c r="BG37" s="3">
        <f>IF($C$5="ON",CG37,MyRating(_E4,$B37,Efficacy!$F$1))</f>
        <v>2</v>
      </c>
      <c r="BH37" s="3">
        <f>IF($C$5="ON",CH37,MyRating(_E5,$B37,Efficacy!$F$1))</f>
        <v>4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5</v>
      </c>
      <c r="BL37" s="3">
        <f>IF($C$5="ON",CL37,MyRating(_S1,$B37,Efficacy!$F$1))</f>
        <v>4</v>
      </c>
      <c r="BM37" s="3">
        <f>IF($C$5="ON",CM37,MyRating(_S2,$B37,Efficacy!$F$1))</f>
        <v>3</v>
      </c>
      <c r="BN37" s="3">
        <f>IF($C$5="ON",CN37,MyRating(_S3,$B37,Efficacy!$F$1))</f>
        <v>3</v>
      </c>
      <c r="BO37" s="3">
        <f>IF($C$5="ON",CO37,MyRating(_S4,$B37,Efficacy!$F$1))</f>
        <v>3</v>
      </c>
      <c r="BP37" s="3">
        <f>IF($C$5="ON",CP37,MyRating(_S5,$B37,Efficacy!$F$1))</f>
        <v>4</v>
      </c>
      <c r="BQ37" s="3">
        <f>IF($C$5="ON",CQ37,MyRating(_S6,$B37,Efficacy!$F$1))</f>
        <v>3</v>
      </c>
      <c r="BR37" s="3">
        <f>IF($C$5="ON",CR37,MyRating(_S7,$B37,Efficacy!$F$1))</f>
        <v>3</v>
      </c>
      <c r="BS37" s="3">
        <f>IF($C$5="ON",CS37,MyRating(_D1,$B37,Efficacy!$F$1))</f>
        <v>3</v>
      </c>
      <c r="BT37" s="3">
        <f>IF($C$5="ON",CT37,MyRating(_D2,$B37,Efficacy!$F$1))</f>
        <v>3</v>
      </c>
      <c r="BU37" s="3">
        <f>IF($C$5="ON",CU37,MyRating(_D3,$B37,Efficacy!$F$1))</f>
        <v>3</v>
      </c>
      <c r="BV37" s="3">
        <f>IF($C$5="ON",CV37,MyRating(_D4,$B37,Efficacy!$F$1))</f>
        <v>3</v>
      </c>
      <c r="BW37" s="3">
        <f>IF($C$5="ON",CW37,MyRating(_B1G5,$B37,Barrier!$L$2))</f>
        <v>1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9"/>
        <v>2.9893223831915738E-2</v>
      </c>
      <c r="CA37" s="8">
        <f t="shared" si="6"/>
        <v>2.6000000000000005</v>
      </c>
      <c r="CB37" s="5">
        <f t="shared" si="7"/>
        <v>3.058823529411767E-2</v>
      </c>
      <c r="CC37" s="7">
        <f t="shared" si="8"/>
        <v>5.3497271616647964E-3</v>
      </c>
      <c r="CD37" s="4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6">
        <v>0</v>
      </c>
      <c r="CZ37" s="5">
        <v>0</v>
      </c>
      <c r="DA37" s="59"/>
    </row>
    <row r="38" spans="1:105" x14ac:dyDescent="0.25">
      <c r="A38" s="9" t="str">
        <f t="shared" si="0"/>
        <v>JP</v>
      </c>
      <c r="B38" s="9" t="s">
        <v>41</v>
      </c>
      <c r="C38" s="20"/>
      <c r="D38" s="9" t="s">
        <v>187</v>
      </c>
      <c r="E38" s="9" t="s">
        <v>186</v>
      </c>
      <c r="F38" s="9" t="str">
        <f>INDEX('Unique Asset List'!$C$4:$C$60,MATCH(B38,_CompoundList,0))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INDEX(PTRS!$D$6:$D$12,MATCH('7'!$F38,PTRS!$B$6:$B$12,0))</f>
        <v>0.1044225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0.1044225</v>
      </c>
      <c r="N38" s="17">
        <f>INDEX('Unique Asset List'!$D$4:$M$60,MATCH($B38,'Unique Asset List'!$A$4:$A$60,0),MATCH(N$8,'Unique Asset List'!$D$3:$M$3,0))</f>
        <v>0.1044225</v>
      </c>
      <c r="O38" s="17">
        <f>INDEX('Unique Asset List'!$D$4:$M$60,MATCH($B38,'Unique Asset List'!$A$4:$A$60,0),MATCH(O$8,'Unique Asset List'!$D$3:$M$3,0))</f>
        <v>0.1044225</v>
      </c>
      <c r="P38" s="17">
        <f>INDEX('Unique Asset List'!$D$4:$M$60,MATCH($B38,'Unique Asset List'!$A$4:$A$60,0),MATCH(P$8,'Unique Asset List'!$D$3:$M$3,0))</f>
        <v>0.1044225</v>
      </c>
      <c r="Q38" s="17">
        <f>INDEX('Unique Asset List'!$D$4:$M$60,MATCH($B38,'Unique Asset List'!$A$4:$A$60,0),MATCH(Q$8,'Unique Asset List'!$D$3:$M$3,0))</f>
        <v>0.1044225</v>
      </c>
      <c r="R38" s="17">
        <f>INDEX('Unique Asset List'!$D$4:$M$60,MATCH($B38,'Unique Asset List'!$A$4:$A$60,0),MATCH(R$8,'Unique Asset List'!$D$3:$M$3,0))</f>
        <v>0.1044225</v>
      </c>
      <c r="S38" s="17">
        <f>INDEX('Unique Asset List'!$D$4:$M$60,MATCH($B38,'Unique Asset List'!$A$4:$A$60,0),MATCH(S$8,'Unique Asset List'!$D$3:$M$3,0))</f>
        <v>0</v>
      </c>
      <c r="T38" s="17" t="s">
        <v>39</v>
      </c>
      <c r="U38" s="17">
        <f t="shared" si="1"/>
        <v>0.90168566420734264</v>
      </c>
      <c r="V38" s="17">
        <v>1</v>
      </c>
      <c r="W38" s="57" t="s">
        <v>38</v>
      </c>
      <c r="X38" s="9">
        <f>INDEX('Unique Asset List'!$Y$4:$AE$60,MATCH('7'!$B38,'Unique Asset List'!$A$4:$A$60,0),MATCH('7'!$C$1,'Unique Asset List'!$Y$3:$AE$3,0))</f>
        <v>2028</v>
      </c>
      <c r="Y38" s="9">
        <f>INDEX('Unique Asset List'!$AF$4:$AL$60,MATCH('7'!$B38,'Unique Asset List'!$A$4:$A$60,0),MATCH('7'!$C$1,'Unique Asset List'!$AF$3:$AL$3,0))</f>
        <v>8</v>
      </c>
      <c r="Z38" s="9">
        <f>INDEX('Unique Asset List'!$AT$4:$AZ$60,MATCH('7'!$B38,'Unique Asset List'!$A$4:$A$60,0),MATCH('7'!$C$1,'Unique Asset List'!$AT$3:$AZ$3,0))</f>
        <v>2036</v>
      </c>
      <c r="AA38" s="9">
        <f>INDEX('Unique Asset List'!$BA$4:$BG$60,MATCH('7'!$B38,'Unique Asset List'!$A$4:$A$60,0),MATCH('7'!$C$1,'Unique Asset List'!$BA$3:$BG$3,0))</f>
        <v>8</v>
      </c>
      <c r="AB38" s="16">
        <f>AB20</f>
        <v>2.1511674000000003</v>
      </c>
      <c r="AC38" s="16">
        <f>AC20</f>
        <v>0.95118959999999997</v>
      </c>
      <c r="AD38" s="16">
        <f>AD20</f>
        <v>0.56099999999999994</v>
      </c>
      <c r="AE38" s="15">
        <f>INDEX('Unique Asset List'!$CJ$4:$CP$60,MATCH('7'!$B38,'Unique Asset List'!$A$4:$A$60,0),MATCH('7'!$C$1,'Unique Asset List'!$CJ$3:$CP$3,0))</f>
        <v>0.16</v>
      </c>
      <c r="AF38" s="15">
        <f>INDEX('Unique Asset List'!$CQ$4:$CW$60,MATCH('7'!$B38,'Unique Asset List'!$A$4:$A$60,0),MATCH('7'!$C$1,'Unique Asset List'!$CQ$3:$CW$3,0))</f>
        <v>0.34</v>
      </c>
      <c r="AG38" s="15">
        <f>INDEX('Unique Asset List'!$BV$4:$CB$60,MATCH('7'!$B38,'Unique Asset List'!$A$4:$A$60,0),MATCH('7'!$C$1,'Unique Asset List'!$BV$3:$CB$3,0))</f>
        <v>0.16</v>
      </c>
      <c r="AH38" s="15">
        <f>INDEX('Unique Asset List'!$CC$4:$CI$60,MATCH('7'!$B38,'Unique Asset List'!$A$4:$A$60,0),MATCH('7'!$C$1,'Unique Asset List'!$CC$3:$CI$3,0))</f>
        <v>0.34</v>
      </c>
      <c r="AI38" s="11">
        <v>0.7</v>
      </c>
      <c r="AJ38" s="15">
        <f>INDEX('Unique Asset List'!$BH$4:$BN$60,MATCH('7'!$B38,'Unique Asset List'!$A$4:$A$60,0),MATCH('7'!$C$1,'Unique Asset List'!$BH$3:$BN$3,0))</f>
        <v>0.14000000000000001</v>
      </c>
      <c r="AK38" s="15">
        <f>INDEX('Unique Asset List'!$BO$4:$BU$60,MATCH('7'!$B38,'Unique Asset List'!$A$4:$A$60,0),MATCH('7'!$C$1,'Unique Asset List'!$BO$3:$BU$3,0))</f>
        <v>0.15</v>
      </c>
      <c r="AL38" s="40">
        <v>169</v>
      </c>
      <c r="AM38" s="14">
        <f>INDEX(Simulation!$B$6:$H$6,MATCH($A38,Simulation!$B$1:$H$1,0))*(1+AN38)^((DATE(X38,Y38,15)-DATE(2017,1,15))/365.5)</f>
        <v>0.75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0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0</v>
      </c>
      <c r="BB38" s="181">
        <f ca="1">INDEX('Unique Asset List'!V$4:V$60,MATCH($B38,_CompoundList,0))</f>
        <v>0</v>
      </c>
      <c r="BC38" s="181">
        <f ca="1">INDEX('Unique Asset List'!W$4:W$60,MATCH($B38,_CompoundList,0))</f>
        <v>0</v>
      </c>
      <c r="BD38" s="4">
        <f>IF($C$5="ON",CD38,MyRating(_E1,$B38,Efficacy!$F$1))</f>
        <v>0</v>
      </c>
      <c r="BE38" s="3">
        <f>IF($C$5="ON",CE38,MyRating(_E2,$B38,Efficacy!$F$1))</f>
        <v>0</v>
      </c>
      <c r="BF38" s="3">
        <f>IF($C$5="ON",CF38,MyRating(_E3,$B38,Efficacy!$F$1))</f>
        <v>0</v>
      </c>
      <c r="BG38" s="3">
        <f>IF($C$5="ON",CG38,MyRating(_E4,$B38,Efficacy!$F$1))</f>
        <v>0</v>
      </c>
      <c r="BH38" s="3">
        <f>IF($C$5="ON",CH38,MyRating(_E5,$B38,Efficacy!$F$1))</f>
        <v>0</v>
      </c>
      <c r="BI38" s="3">
        <f>IF($C$5="ON",CI38,MyRating(_E6,$B38,Efficacy!$F$1))</f>
        <v>0</v>
      </c>
      <c r="BJ38" s="3">
        <f>IF($C$5="ON",CJ38,MyRating(_E7,$B38,Efficacy!$F$1))</f>
        <v>0</v>
      </c>
      <c r="BK38" s="3">
        <f>IF($C$5="ON",CK38,MyRating(_E8,$B38,Efficacy!$F$1))</f>
        <v>0</v>
      </c>
      <c r="BL38" s="3">
        <f>IF($C$5="ON",CL38,MyRating(_S1,$B38,Efficacy!$F$1))</f>
        <v>0</v>
      </c>
      <c r="BM38" s="3">
        <f>IF($C$5="ON",CM38,MyRating(_S2,$B38,Efficacy!$F$1))</f>
        <v>0</v>
      </c>
      <c r="BN38" s="3">
        <f>IF($C$5="ON",CN38,MyRating(_S3,$B38,Efficacy!$F$1))</f>
        <v>0</v>
      </c>
      <c r="BO38" s="3">
        <f>IF($C$5="ON",CO38,MyRating(_S4,$B38,Efficacy!$F$1))</f>
        <v>0</v>
      </c>
      <c r="BP38" s="3">
        <f>IF($C$5="ON",CP38,MyRating(_S5,$B38,Efficacy!$F$1))</f>
        <v>0</v>
      </c>
      <c r="BQ38" s="3">
        <f>IF($C$5="ON",CQ38,MyRating(_S6,$B38,Efficacy!$F$1))</f>
        <v>0</v>
      </c>
      <c r="BR38" s="3">
        <f>IF($C$5="ON",CR38,MyRating(_S7,$B38,Efficacy!$F$1))</f>
        <v>0</v>
      </c>
      <c r="BS38" s="3">
        <f>IF($C$5="ON",CS38,MyRating(_D1,$B38,Efficacy!$F$1))</f>
        <v>0</v>
      </c>
      <c r="BT38" s="3">
        <f>IF($C$5="ON",CT38,MyRating(_D2,$B38,Efficacy!$F$1))</f>
        <v>0</v>
      </c>
      <c r="BU38" s="3">
        <f>IF($C$5="ON",CU38,MyRating(_D3,$B38,Efficacy!$F$1))</f>
        <v>0</v>
      </c>
      <c r="BV38" s="3">
        <f>IF($C$5="ON",CV38,MyRating(_D4,$B38,Efficacy!$F$1))</f>
        <v>0</v>
      </c>
      <c r="BW38" s="3">
        <f>IF($C$5="ON",CW38,MyRating(_B1G5,$B38,Barrier!$L$2))</f>
        <v>2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9"/>
        <v>3.3407946312985805E-2</v>
      </c>
      <c r="CA38" s="8">
        <f t="shared" si="6"/>
        <v>2.8000000000000003</v>
      </c>
      <c r="CB38" s="5">
        <f t="shared" si="7"/>
        <v>3.2941176470588251E-2</v>
      </c>
      <c r="CC38" s="7">
        <f t="shared" si="8"/>
        <v>5.9787261089987885E-3</v>
      </c>
      <c r="CD38" s="4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6">
        <v>0</v>
      </c>
      <c r="CZ38" s="5">
        <v>0</v>
      </c>
      <c r="DA38" s="59"/>
    </row>
    <row r="39" spans="1:105" x14ac:dyDescent="0.25">
      <c r="A39" s="9" t="str">
        <f t="shared" si="0"/>
        <v>JP</v>
      </c>
      <c r="B39" s="9" t="s">
        <v>37</v>
      </c>
      <c r="C39" s="20"/>
      <c r="D39" s="9" t="s">
        <v>36</v>
      </c>
      <c r="E39" s="9" t="s">
        <v>186</v>
      </c>
      <c r="F39" s="9" t="str">
        <f>INDEX('Unique Asset List'!$C$4:$C$60,MATCH(B39,_CompoundList,0))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INDEX(PTRS!$D$6:$D$12,MATCH('7'!$F39,PTRS!$B$6:$B$12,0))</f>
        <v>0.1044225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v>0.1044225</v>
      </c>
      <c r="N39" s="17">
        <f>INDEX('Unique Asset List'!$D$4:$M$60,MATCH($B39,'Unique Asset List'!$A$4:$A$60,0),MATCH(N$8,'Unique Asset List'!$D$3:$M$3,0))</f>
        <v>0.1044225</v>
      </c>
      <c r="O39" s="17">
        <f>INDEX('Unique Asset List'!$D$4:$M$60,MATCH($B39,'Unique Asset List'!$A$4:$A$60,0),MATCH(O$8,'Unique Asset List'!$D$3:$M$3,0))</f>
        <v>0.1044225</v>
      </c>
      <c r="P39" s="17">
        <f>INDEX('Unique Asset List'!$D$4:$M$60,MATCH($B39,'Unique Asset List'!$A$4:$A$60,0),MATCH(P$8,'Unique Asset List'!$D$3:$M$3,0))</f>
        <v>0.1044225</v>
      </c>
      <c r="Q39" s="17">
        <f>INDEX('Unique Asset List'!$D$4:$M$60,MATCH($B39,'Unique Asset List'!$A$4:$A$60,0),MATCH(Q$8,'Unique Asset List'!$D$3:$M$3,0))</f>
        <v>0.1044225</v>
      </c>
      <c r="R39" s="17">
        <f>INDEX('Unique Asset List'!$D$4:$M$60,MATCH($B39,'Unique Asset List'!$A$4:$A$60,0),MATCH(R$8,'Unique Asset List'!$D$3:$M$3,0))</f>
        <v>0.1044225</v>
      </c>
      <c r="S39" s="17">
        <f>INDEX('Unique Asset List'!$D$4:$M$60,MATCH($B39,'Unique Asset List'!$A$4:$A$60,0),MATCH(S$8,'Unique Asset List'!$D$3:$M$3,0))</f>
        <v>0</v>
      </c>
      <c r="T39" s="17" t="s">
        <v>35</v>
      </c>
      <c r="U39" s="17">
        <f t="shared" si="1"/>
        <v>0.90168566420734264</v>
      </c>
      <c r="V39" s="17">
        <v>1</v>
      </c>
      <c r="W39" s="9" t="s">
        <v>34</v>
      </c>
      <c r="X39" s="9">
        <f>INDEX('Unique Asset List'!$Y$4:$AE$60,MATCH('7'!$B39,'Unique Asset List'!$A$4:$A$60,0),MATCH('7'!$C$1,'Unique Asset List'!$Y$3:$AE$3,0))</f>
        <v>2033</v>
      </c>
      <c r="Y39" s="9">
        <f>INDEX('Unique Asset List'!$AF$4:$AL$60,MATCH('7'!$B39,'Unique Asset List'!$A$4:$A$60,0),MATCH('7'!$C$1,'Unique Asset List'!$AF$3:$AL$3,0))</f>
        <v>6</v>
      </c>
      <c r="Z39" s="9">
        <f>INDEX('Unique Asset List'!$AT$4:$AZ$60,MATCH('7'!$B39,'Unique Asset List'!$A$4:$A$60,0),MATCH('7'!$C$1,'Unique Asset List'!$AT$3:$AZ$3,0))</f>
        <v>2041</v>
      </c>
      <c r="AA39" s="9">
        <f>INDEX('Unique Asset List'!$BA$4:$BG$60,MATCH('7'!$B39,'Unique Asset List'!$A$4:$A$60,0),MATCH('7'!$C$1,'Unique Asset List'!$BA$3:$BG$3,0))</f>
        <v>6</v>
      </c>
      <c r="AB39" s="16">
        <f>AB28</f>
        <v>2.0681600000000007</v>
      </c>
      <c r="AC39" s="16">
        <f>AC28</f>
        <v>0.94137550000000003</v>
      </c>
      <c r="AD39" s="16">
        <f>AD28</f>
        <v>0.56099999999999994</v>
      </c>
      <c r="AE39" s="15">
        <f>INDEX('Unique Asset List'!$CJ$4:$CP$60,MATCH('7'!$B39,'Unique Asset List'!$A$4:$A$60,0),MATCH('7'!$C$1,'Unique Asset List'!$CJ$3:$CP$3,0))</f>
        <v>0.16</v>
      </c>
      <c r="AF39" s="15">
        <f>INDEX('Unique Asset List'!$CQ$4:$CW$60,MATCH('7'!$B39,'Unique Asset List'!$A$4:$A$60,0),MATCH('7'!$C$1,'Unique Asset List'!$CQ$3:$CW$3,0))</f>
        <v>0.34</v>
      </c>
      <c r="AG39" s="15">
        <f>INDEX('Unique Asset List'!$BV$4:$CB$60,MATCH('7'!$B39,'Unique Asset List'!$A$4:$A$60,0),MATCH('7'!$C$1,'Unique Asset List'!$BV$3:$CB$3,0))</f>
        <v>0.16</v>
      </c>
      <c r="AH39" s="15">
        <f>INDEX('Unique Asset List'!$CC$4:$CI$60,MATCH('7'!$B39,'Unique Asset List'!$A$4:$A$60,0),MATCH('7'!$C$1,'Unique Asset List'!$CC$3:$CI$3,0))</f>
        <v>0.34</v>
      </c>
      <c r="AI39" s="11">
        <v>0.7</v>
      </c>
      <c r="AJ39" s="15">
        <f>INDEX('Unique Asset List'!$BH$4:$BN$60,MATCH('7'!$B39,'Unique Asset List'!$A$4:$A$60,0),MATCH('7'!$C$1,'Unique Asset List'!$BH$3:$BN$3,0))</f>
        <v>0.14000000000000001</v>
      </c>
      <c r="AK39" s="15">
        <f>INDEX('Unique Asset List'!$BO$4:$BU$60,MATCH('7'!$B39,'Unique Asset List'!$A$4:$A$60,0),MATCH('7'!$C$1,'Unique Asset List'!$BO$3:$BU$3,0))</f>
        <v>0.15</v>
      </c>
      <c r="AL39" s="40">
        <v>169</v>
      </c>
      <c r="AM39" s="14">
        <f>INDEX(Simulation!$B$6:$H$6,MATCH($A39,Simulation!$B$1:$H$1,0))*(1+AN39)^((DATE(X39,Y39,15)-DATE(2017,1,15))/365.5)</f>
        <v>0.75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1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0</v>
      </c>
      <c r="BA39" s="181">
        <f ca="1">INDEX('Unique Asset List'!U$4:U$60,MATCH($B39,_CompoundList,0))</f>
        <v>0</v>
      </c>
      <c r="BB39" s="181">
        <f ca="1">INDEX('Unique Asset List'!V$4:V$60,MATCH($B39,_CompoundList,0))</f>
        <v>0</v>
      </c>
      <c r="BC39" s="181">
        <f ca="1">INDEX('Unique Asset List'!W$4:W$60,MATCH($B39,_CompoundList,0))</f>
        <v>0</v>
      </c>
      <c r="BD39" s="4">
        <f>IF($C$5="ON",CD39,MyRating(_E1,$B39,Efficacy!$F$1))</f>
        <v>0</v>
      </c>
      <c r="BE39" s="3">
        <f>IF($C$5="ON",CE39,MyRating(_E2,$B39,Efficacy!$F$1))</f>
        <v>0</v>
      </c>
      <c r="BF39" s="3">
        <f>IF($C$5="ON",CF39,MyRating(_E3,$B39,Efficacy!$F$1))</f>
        <v>0</v>
      </c>
      <c r="BG39" s="3">
        <f>IF($C$5="ON",CG39,MyRating(_E4,$B39,Efficacy!$F$1))</f>
        <v>0</v>
      </c>
      <c r="BH39" s="3">
        <f>IF($C$5="ON",CH39,MyRating(_E5,$B39,Efficacy!$F$1))</f>
        <v>0</v>
      </c>
      <c r="BI39" s="3">
        <f>IF($C$5="ON",CI39,MyRating(_E6,$B39,Efficacy!$F$1))</f>
        <v>0</v>
      </c>
      <c r="BJ39" s="3">
        <f>IF($C$5="ON",CJ39,MyRating(_E7,$B39,Efficacy!$F$1))</f>
        <v>0</v>
      </c>
      <c r="BK39" s="3">
        <f>IF($C$5="ON",CK39,MyRating(_E8,$B39,Efficacy!$F$1))</f>
        <v>0</v>
      </c>
      <c r="BL39" s="3">
        <f>IF($C$5="ON",CL39,MyRating(_S1,$B39,Efficacy!$F$1))</f>
        <v>0</v>
      </c>
      <c r="BM39" s="3">
        <f>IF($C$5="ON",CM39,MyRating(_S2,$B39,Efficacy!$F$1))</f>
        <v>0</v>
      </c>
      <c r="BN39" s="3">
        <f>IF($C$5="ON",CN39,MyRating(_S3,$B39,Efficacy!$F$1))</f>
        <v>0</v>
      </c>
      <c r="BO39" s="3">
        <f>IF($C$5="ON",CO39,MyRating(_S4,$B39,Efficacy!$F$1))</f>
        <v>0</v>
      </c>
      <c r="BP39" s="3">
        <f>IF($C$5="ON",CP39,MyRating(_S5,$B39,Efficacy!$F$1))</f>
        <v>0</v>
      </c>
      <c r="BQ39" s="3">
        <f>IF($C$5="ON",CQ39,MyRating(_S6,$B39,Efficacy!$F$1))</f>
        <v>0</v>
      </c>
      <c r="BR39" s="3">
        <f>IF($C$5="ON",CR39,MyRating(_S7,$B39,Efficacy!$F$1))</f>
        <v>0</v>
      </c>
      <c r="BS39" s="3">
        <f>IF($C$5="ON",CS39,MyRating(_D1,$B39,Efficacy!$F$1))</f>
        <v>0</v>
      </c>
      <c r="BT39" s="3">
        <f>IF($C$5="ON",CT39,MyRating(_D2,$B39,Efficacy!$F$1))</f>
        <v>0</v>
      </c>
      <c r="BU39" s="3">
        <f>IF($C$5="ON",CU39,MyRating(_D3,$B39,Efficacy!$F$1))</f>
        <v>0</v>
      </c>
      <c r="BV39" s="3">
        <f>IF($C$5="ON",CV39,MyRating(_D4,$B39,Efficacy!$F$1))</f>
        <v>0</v>
      </c>
      <c r="BW39" s="3">
        <f>IF($C$5="ON",CW39,MyRating(_B1G5,$B39,Barrier!$L$2))</f>
        <v>2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9"/>
        <v>3.3407946312985805E-2</v>
      </c>
      <c r="CA39" s="8">
        <f t="shared" si="6"/>
        <v>2.8000000000000003</v>
      </c>
      <c r="CB39" s="5">
        <f t="shared" si="7"/>
        <v>3.2941176470588251E-2</v>
      </c>
      <c r="CC39" s="7">
        <f t="shared" si="8"/>
        <v>5.9787261089987885E-3</v>
      </c>
      <c r="CD39" s="4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6">
        <v>0</v>
      </c>
      <c r="CZ39" s="5">
        <v>0</v>
      </c>
      <c r="DA39" s="59"/>
    </row>
    <row r="40" spans="1:105" x14ac:dyDescent="0.25">
      <c r="A40" s="9" t="str">
        <f t="shared" si="0"/>
        <v>JP</v>
      </c>
      <c r="B40" s="9" t="s">
        <v>33</v>
      </c>
      <c r="C40" s="20"/>
      <c r="D40" s="9" t="s">
        <v>32</v>
      </c>
      <c r="E40" s="9" t="s">
        <v>186</v>
      </c>
      <c r="F40" s="9" t="str">
        <f>INDEX('Unique Asset List'!$C$4:$C$60,MATCH(B40,_CompoundList,0))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INDEX(PTRS!$D$6:$D$12,MATCH('7'!$F40,PTRS!$B$6:$B$12,0))</f>
        <v>0.1044225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7">
        <v>0.1044225</v>
      </c>
      <c r="N40" s="17">
        <f>INDEX('Unique Asset List'!$D$4:$M$60,MATCH($B40,'Unique Asset List'!$A$4:$A$60,0),MATCH(N$8,'Unique Asset List'!$D$3:$M$3,0))</f>
        <v>0.1044225</v>
      </c>
      <c r="O40" s="17">
        <f>INDEX('Unique Asset List'!$D$4:$M$60,MATCH($B40,'Unique Asset List'!$A$4:$A$60,0),MATCH(O$8,'Unique Asset List'!$D$3:$M$3,0))</f>
        <v>0.1044225</v>
      </c>
      <c r="P40" s="17">
        <f>INDEX('Unique Asset List'!$D$4:$M$60,MATCH($B40,'Unique Asset List'!$A$4:$A$60,0),MATCH(P$8,'Unique Asset List'!$D$3:$M$3,0))</f>
        <v>0.1044225</v>
      </c>
      <c r="Q40" s="17">
        <f>INDEX('Unique Asset List'!$D$4:$M$60,MATCH($B40,'Unique Asset List'!$A$4:$A$60,0),MATCH(Q$8,'Unique Asset List'!$D$3:$M$3,0))</f>
        <v>0.1044225</v>
      </c>
      <c r="R40" s="17">
        <f>INDEX('Unique Asset List'!$D$4:$M$60,MATCH($B40,'Unique Asset List'!$A$4:$A$60,0),MATCH(R$8,'Unique Asset List'!$D$3:$M$3,0))</f>
        <v>0.1044225</v>
      </c>
      <c r="S40" s="17">
        <f>INDEX('Unique Asset List'!$D$4:$M$60,MATCH($B40,'Unique Asset List'!$A$4:$A$60,0),MATCH(S$8,'Unique Asset List'!$D$3:$M$3,0))</f>
        <v>0</v>
      </c>
      <c r="T40" s="17" t="s">
        <v>31</v>
      </c>
      <c r="U40" s="17">
        <f t="shared" si="1"/>
        <v>0.90168566420734264</v>
      </c>
      <c r="V40" s="17">
        <v>1</v>
      </c>
      <c r="W40" s="9" t="s">
        <v>31</v>
      </c>
      <c r="X40" s="9">
        <f>INDEX('Unique Asset List'!$Y$4:$AE$60,MATCH('7'!$B40,'Unique Asset List'!$A$4:$A$60,0),MATCH('7'!$C$1,'Unique Asset List'!$Y$3:$AE$3,0))</f>
        <v>2032</v>
      </c>
      <c r="Y40" s="9">
        <f>INDEX('Unique Asset List'!$AF$4:$AL$60,MATCH('7'!$B40,'Unique Asset List'!$A$4:$A$60,0),MATCH('7'!$C$1,'Unique Asset List'!$AF$3:$AL$3,0))</f>
        <v>5</v>
      </c>
      <c r="Z40" s="9">
        <f>INDEX('Unique Asset List'!$AT$4:$AZ$60,MATCH('7'!$B40,'Unique Asset List'!$A$4:$A$60,0),MATCH('7'!$C$1,'Unique Asset List'!$AT$3:$AZ$3,0))</f>
        <v>2040</v>
      </c>
      <c r="AA40" s="9">
        <f>INDEX('Unique Asset List'!$BA$4:$BG$60,MATCH('7'!$B40,'Unique Asset List'!$A$4:$A$60,0),MATCH('7'!$C$1,'Unique Asset List'!$BA$3:$BG$3,0))</f>
        <v>5</v>
      </c>
      <c r="AB40" s="16">
        <f>AB27</f>
        <v>2.0063400000000007</v>
      </c>
      <c r="AC40" s="16">
        <f>AC27</f>
        <v>0.94137550000000003</v>
      </c>
      <c r="AD40" s="16">
        <f>AD27</f>
        <v>0.56099999999999994</v>
      </c>
      <c r="AE40" s="15">
        <f>INDEX('Unique Asset List'!$CJ$4:$CP$60,MATCH('7'!$B40,'Unique Asset List'!$A$4:$A$60,0),MATCH('7'!$C$1,'Unique Asset List'!$CJ$3:$CP$3,0))</f>
        <v>0.16</v>
      </c>
      <c r="AF40" s="15">
        <f>INDEX('Unique Asset List'!$CQ$4:$CW$60,MATCH('7'!$B40,'Unique Asset List'!$A$4:$A$60,0),MATCH('7'!$C$1,'Unique Asset List'!$CQ$3:$CW$3,0))</f>
        <v>0.34</v>
      </c>
      <c r="AG40" s="15">
        <f>INDEX('Unique Asset List'!$BV$4:$CB$60,MATCH('7'!$B40,'Unique Asset List'!$A$4:$A$60,0),MATCH('7'!$C$1,'Unique Asset List'!$BV$3:$CB$3,0))</f>
        <v>0.16</v>
      </c>
      <c r="AH40" s="15">
        <f>INDEX('Unique Asset List'!$CC$4:$CI$60,MATCH('7'!$B40,'Unique Asset List'!$A$4:$A$60,0),MATCH('7'!$C$1,'Unique Asset List'!$CC$3:$CI$3,0))</f>
        <v>0.34</v>
      </c>
      <c r="AI40" s="11">
        <v>0.7</v>
      </c>
      <c r="AJ40" s="15">
        <f>INDEX('Unique Asset List'!$BH$4:$BN$60,MATCH('7'!$B40,'Unique Asset List'!$A$4:$A$60,0),MATCH('7'!$C$1,'Unique Asset List'!$BH$3:$BN$3,0))</f>
        <v>0.14000000000000001</v>
      </c>
      <c r="AK40" s="15">
        <f>INDEX('Unique Asset List'!$BO$4:$BU$60,MATCH('7'!$B40,'Unique Asset List'!$A$4:$A$60,0),MATCH('7'!$C$1,'Unique Asset List'!$BO$3:$BU$3,0))</f>
        <v>0.15</v>
      </c>
      <c r="AL40" s="40">
        <v>169</v>
      </c>
      <c r="AM40" s="14">
        <f>INDEX(Simulation!$B$6:$H$6,MATCH($A40,Simulation!$B$1:$H$1,0))*(1+AN40)^((DATE(X40,Y40,15)-DATE(2017,1,15))/365.5)</f>
        <v>0.75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1</v>
      </c>
      <c r="AY40" s="181">
        <f ca="1">INDEX('Unique Asset List'!S$4:S$60,MATCH($B40,_CompoundList,0))</f>
        <v>1</v>
      </c>
      <c r="AZ40" s="181">
        <f ca="1">INDEX('Unique Asset List'!T$4:T$60,MATCH($B40,_CompoundList,0))</f>
        <v>1</v>
      </c>
      <c r="BA40" s="181">
        <f ca="1">INDEX('Unique Asset List'!U$4:U$60,MATCH($B40,_CompoundList,0))</f>
        <v>0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0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IF($C$5="ON",CL40,MyRating(_S1,$B40,Efficacy!$F$1))</f>
        <v>0</v>
      </c>
      <c r="BM40" s="3">
        <f>IF($C$5="ON",CM40,MyRating(_S2,$B40,Efficacy!$F$1))</f>
        <v>0</v>
      </c>
      <c r="BN40" s="3">
        <f>IF($C$5="ON",CN40,MyRating(_S3,$B40,Efficacy!$F$1))</f>
        <v>0</v>
      </c>
      <c r="BO40" s="3">
        <f>IF($C$5="ON",CO40,MyRating(_S4,$B40,Efficacy!$F$1))</f>
        <v>0</v>
      </c>
      <c r="BP40" s="3">
        <f>IF($C$5="ON",CP40,MyRating(_S5,$B40,Efficacy!$F$1))</f>
        <v>0</v>
      </c>
      <c r="BQ40" s="3">
        <f>IF($C$5="ON",CQ40,MyRating(_S6,$B40,Efficacy!$F$1))</f>
        <v>0</v>
      </c>
      <c r="BR40" s="3">
        <f>IF($C$5="ON",CR40,MyRating(_S7,$B40,Efficacy!$F$1))</f>
        <v>0</v>
      </c>
      <c r="BS40" s="3">
        <f>IF($C$5="ON",CS40,MyRating(_D1,$B40,Efficacy!$F$1))</f>
        <v>0</v>
      </c>
      <c r="BT40" s="3">
        <f>IF($C$5="ON",CT40,MyRating(_D2,$B40,Efficacy!$F$1))</f>
        <v>0</v>
      </c>
      <c r="BU40" s="3">
        <f>IF($C$5="ON",CU40,MyRating(_D3,$B40,Efficacy!$F$1))</f>
        <v>0</v>
      </c>
      <c r="BV40" s="3">
        <f>IF($C$5="ON",CV40,MyRating(_D4,$B40,Efficacy!$F$1))</f>
        <v>0</v>
      </c>
      <c r="BW40" s="3">
        <f>IF($C$5="ON",CW40,MyRating(_B1G5,$B40,Barrier!$L$2))</f>
        <v>2</v>
      </c>
      <c r="BX40" s="3">
        <f>IF($C$5="ON",CX40,MyRating(_B2,$B40,Barrier!$F$2))</f>
        <v>3</v>
      </c>
      <c r="BY40" s="6">
        <f>IF($C$5="ON",CY40,MyRating(_B3,$B40,Barrier!$F$2))</f>
        <v>3</v>
      </c>
      <c r="BZ40" s="5">
        <f t="shared" si="9"/>
        <v>3.3407946312985805E-2</v>
      </c>
      <c r="CA40" s="8">
        <f t="shared" si="6"/>
        <v>2.8000000000000003</v>
      </c>
      <c r="CB40" s="5">
        <f t="shared" si="7"/>
        <v>3.2941176470588251E-2</v>
      </c>
      <c r="CC40" s="7">
        <f t="shared" si="8"/>
        <v>5.9787261089987885E-3</v>
      </c>
      <c r="CD40" s="4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6">
        <v>0</v>
      </c>
      <c r="CZ40" s="5">
        <v>0</v>
      </c>
      <c r="DA40" s="59"/>
    </row>
    <row r="41" spans="1:105" x14ac:dyDescent="0.25">
      <c r="A41" s="9" t="str">
        <f t="shared" si="0"/>
        <v>JP</v>
      </c>
      <c r="B41" s="9" t="s">
        <v>30</v>
      </c>
      <c r="C41" s="20"/>
      <c r="D41" s="9" t="s">
        <v>29</v>
      </c>
      <c r="E41" s="9" t="s">
        <v>186</v>
      </c>
      <c r="F41" s="9" t="str">
        <f>INDEX('Unique Asset List'!$C$4:$C$60,MATCH(B41,_CompoundList,0))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INDEX(PTRS!$D$6:$D$12,MATCH('7'!$F41,PTRS!$B$6:$B$12,0))</f>
        <v>0.1044225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v>0.1044225</v>
      </c>
      <c r="N41" s="17">
        <f>INDEX('Unique Asset List'!$D$4:$M$60,MATCH($B41,'Unique Asset List'!$A$4:$A$60,0),MATCH(N$8,'Unique Asset List'!$D$3:$M$3,0))</f>
        <v>0.1044225</v>
      </c>
      <c r="O41" s="17">
        <f>INDEX('Unique Asset List'!$D$4:$M$60,MATCH($B41,'Unique Asset List'!$A$4:$A$60,0),MATCH(O$8,'Unique Asset List'!$D$3:$M$3,0))</f>
        <v>0.1044225</v>
      </c>
      <c r="P41" s="17">
        <f>INDEX('Unique Asset List'!$D$4:$M$60,MATCH($B41,'Unique Asset List'!$A$4:$A$60,0),MATCH(P$8,'Unique Asset List'!$D$3:$M$3,0))</f>
        <v>0.1044225</v>
      </c>
      <c r="Q41" s="17">
        <f>INDEX('Unique Asset List'!$D$4:$M$60,MATCH($B41,'Unique Asset List'!$A$4:$A$60,0),MATCH(Q$8,'Unique Asset List'!$D$3:$M$3,0))</f>
        <v>0.1044225</v>
      </c>
      <c r="R41" s="17">
        <f>INDEX('Unique Asset List'!$D$4:$M$60,MATCH($B41,'Unique Asset List'!$A$4:$A$60,0),MATCH(R$8,'Unique Asset List'!$D$3:$M$3,0))</f>
        <v>0.1044225</v>
      </c>
      <c r="S41" s="17">
        <f>INDEX('Unique Asset List'!$D$4:$M$60,MATCH($B41,'Unique Asset List'!$A$4:$A$60,0),MATCH(S$8,'Unique Asset List'!$D$3:$M$3,0))</f>
        <v>0</v>
      </c>
      <c r="T41" s="17" t="s">
        <v>28</v>
      </c>
      <c r="U41" s="17">
        <f t="shared" si="1"/>
        <v>0.90168566420734264</v>
      </c>
      <c r="V41" s="17">
        <v>1</v>
      </c>
      <c r="W41" s="9" t="s">
        <v>27</v>
      </c>
      <c r="X41" s="9">
        <f>INDEX('Unique Asset List'!$Y$4:$AE$60,MATCH('7'!$B41,'Unique Asset List'!$A$4:$A$60,0),MATCH('7'!$C$1,'Unique Asset List'!$Y$3:$AE$3,0))</f>
        <v>2034</v>
      </c>
      <c r="Y41" s="9">
        <f>INDEX('Unique Asset List'!$AF$4:$AL$60,MATCH('7'!$B41,'Unique Asset List'!$A$4:$A$60,0),MATCH('7'!$C$1,'Unique Asset List'!$AF$3:$AL$3,0))</f>
        <v>9</v>
      </c>
      <c r="Z41" s="9">
        <f>INDEX('Unique Asset List'!$AT$4:$AZ$60,MATCH('7'!$B41,'Unique Asset List'!$A$4:$A$60,0),MATCH('7'!$C$1,'Unique Asset List'!$AT$3:$AZ$3,0))</f>
        <v>2042</v>
      </c>
      <c r="AA41" s="9">
        <f>INDEX('Unique Asset List'!$BA$4:$BG$60,MATCH('7'!$B41,'Unique Asset List'!$A$4:$A$60,0),MATCH('7'!$C$1,'Unique Asset List'!$BA$3:$BG$3,0))</f>
        <v>9</v>
      </c>
      <c r="AB41" s="16">
        <f>AB33</f>
        <v>2.0289886000000004</v>
      </c>
      <c r="AC41" s="16">
        <f>AC33</f>
        <v>0.81843569999999999</v>
      </c>
      <c r="AD41" s="16">
        <f>AD33</f>
        <v>0.56099999999999994</v>
      </c>
      <c r="AE41" s="15">
        <f>INDEX('Unique Asset List'!$CJ$4:$CP$60,MATCH('7'!$B41,'Unique Asset List'!$A$4:$A$60,0),MATCH('7'!$C$1,'Unique Asset List'!$CJ$3:$CP$3,0))</f>
        <v>0.16</v>
      </c>
      <c r="AF41" s="15">
        <f>INDEX('Unique Asset List'!$CQ$4:$CW$60,MATCH('7'!$B41,'Unique Asset List'!$A$4:$A$60,0),MATCH('7'!$C$1,'Unique Asset List'!$CQ$3:$CW$3,0))</f>
        <v>0.34</v>
      </c>
      <c r="AG41" s="15">
        <f>INDEX('Unique Asset List'!$BV$4:$CB$60,MATCH('7'!$B41,'Unique Asset List'!$A$4:$A$60,0),MATCH('7'!$C$1,'Unique Asset List'!$BV$3:$CB$3,0))</f>
        <v>0.16</v>
      </c>
      <c r="AH41" s="15">
        <f>INDEX('Unique Asset List'!$CC$4:$CI$60,MATCH('7'!$B41,'Unique Asset List'!$A$4:$A$60,0),MATCH('7'!$C$1,'Unique Asset List'!$CC$3:$CI$3,0))</f>
        <v>0.34</v>
      </c>
      <c r="AI41" s="11">
        <v>0.7</v>
      </c>
      <c r="AJ41" s="15">
        <f>INDEX('Unique Asset List'!$BH$4:$BN$60,MATCH('7'!$B41,'Unique Asset List'!$A$4:$A$60,0),MATCH('7'!$C$1,'Unique Asset List'!$BH$3:$BN$3,0))</f>
        <v>0.14000000000000001</v>
      </c>
      <c r="AK41" s="15">
        <f>INDEX('Unique Asset List'!$BO$4:$BU$60,MATCH('7'!$B41,'Unique Asset List'!$A$4:$A$60,0),MATCH('7'!$C$1,'Unique Asset List'!$BO$3:$BU$3,0))</f>
        <v>0.15</v>
      </c>
      <c r="AL41" s="40">
        <v>169</v>
      </c>
      <c r="AM41" s="14">
        <f>INDEX(Simulation!$B$6:$H$6,MATCH($A41,Simulation!$B$1:$H$1,0))*(1+AN41)^((DATE(X41,Y41,15)-DATE(2017,1,15))/365.5)</f>
        <v>0.75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5"/>
        <v>0.82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0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0</v>
      </c>
      <c r="BB41" s="181">
        <f ca="1">INDEX('Unique Asset List'!V$4:V$60,MATCH($B41,_CompoundList,0))</f>
        <v>0</v>
      </c>
      <c r="BC41" s="181">
        <f ca="1">INDEX('Unique Asset List'!W$4:W$60,MATCH($B41,_CompoundList,0))</f>
        <v>1</v>
      </c>
      <c r="BD41" s="4">
        <f>IF($C$5="ON",CD41,MyRating(_E1,$B41,Efficacy!$F$1))</f>
        <v>0</v>
      </c>
      <c r="BE41" s="3">
        <f>IF($C$5="ON",CE41,MyRating(_E2,$B41,Efficacy!$F$1))</f>
        <v>0</v>
      </c>
      <c r="BF41" s="3">
        <f>IF($C$5="ON",CF41,MyRating(_E3,$B41,Efficacy!$F$1))</f>
        <v>0</v>
      </c>
      <c r="BG41" s="3">
        <f>IF($C$5="ON",CG41,MyRating(_E4,$B41,Efficacy!$F$1))</f>
        <v>0</v>
      </c>
      <c r="BH41" s="3">
        <f>IF($C$5="ON",CH41,MyRating(_E5,$B41,Efficacy!$F$1))</f>
        <v>0</v>
      </c>
      <c r="BI41" s="3">
        <f>IF($C$5="ON",CI41,MyRating(_E6,$B41,Efficacy!$F$1))</f>
        <v>0</v>
      </c>
      <c r="BJ41" s="3">
        <f>IF($C$5="ON",CJ41,MyRating(_E7,$B41,Efficacy!$F$1))</f>
        <v>0</v>
      </c>
      <c r="BK41" s="3">
        <f>IF($C$5="ON",CK41,MyRating(_E8,$B41,Efficacy!$F$1))</f>
        <v>0</v>
      </c>
      <c r="BL41" s="3">
        <f>IF($C$5="ON",CL41,MyRating(_S1,$B41,Efficacy!$F$1))</f>
        <v>0</v>
      </c>
      <c r="BM41" s="3">
        <f>IF($C$5="ON",CM41,MyRating(_S2,$B41,Efficacy!$F$1))</f>
        <v>0</v>
      </c>
      <c r="BN41" s="3">
        <f>IF($C$5="ON",CN41,MyRating(_S3,$B41,Efficacy!$F$1))</f>
        <v>0</v>
      </c>
      <c r="BO41" s="3">
        <f>IF($C$5="ON",CO41,MyRating(_S4,$B41,Efficacy!$F$1))</f>
        <v>0</v>
      </c>
      <c r="BP41" s="3">
        <f>IF($C$5="ON",CP41,MyRating(_S5,$B41,Efficacy!$F$1))</f>
        <v>0</v>
      </c>
      <c r="BQ41" s="3">
        <f>IF($C$5="ON",CQ41,MyRating(_S6,$B41,Efficacy!$F$1))</f>
        <v>0</v>
      </c>
      <c r="BR41" s="3">
        <f>IF($C$5="ON",CR41,MyRating(_S7,$B41,Efficacy!$F$1))</f>
        <v>0</v>
      </c>
      <c r="BS41" s="3">
        <f>IF($C$5="ON",CS41,MyRating(_D1,$B41,Efficacy!$F$1))</f>
        <v>0</v>
      </c>
      <c r="BT41" s="3">
        <f>IF($C$5="ON",CT41,MyRating(_D2,$B41,Efficacy!$F$1))</f>
        <v>0</v>
      </c>
      <c r="BU41" s="3">
        <f>IF($C$5="ON",CU41,MyRating(_D3,$B41,Efficacy!$F$1))</f>
        <v>0</v>
      </c>
      <c r="BV41" s="3">
        <f>IF($C$5="ON",CV41,MyRating(_D4,$B41,Efficacy!$F$1))</f>
        <v>0</v>
      </c>
      <c r="BW41" s="3">
        <f>IF($C$5="ON",CW41,MyRating(_B1G5,$B41,Barrier!$L$2))</f>
        <v>2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9"/>
        <v>3.3407946312985805E-2</v>
      </c>
      <c r="CA41" s="8">
        <f t="shared" si="6"/>
        <v>2.8000000000000003</v>
      </c>
      <c r="CB41" s="5">
        <f t="shared" si="7"/>
        <v>3.2941176470588251E-2</v>
      </c>
      <c r="CC41" s="7">
        <f t="shared" si="8"/>
        <v>5.9787261089987885E-3</v>
      </c>
      <c r="CD41" s="4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6">
        <v>0</v>
      </c>
      <c r="CZ41" s="5">
        <v>0</v>
      </c>
      <c r="DA41" s="59"/>
    </row>
    <row r="42" spans="1:105" x14ac:dyDescent="0.25">
      <c r="A42" s="9" t="str">
        <f t="shared" si="0"/>
        <v>JP</v>
      </c>
      <c r="B42" s="9" t="s">
        <v>26</v>
      </c>
      <c r="C42" s="20" t="s">
        <v>3</v>
      </c>
      <c r="D42" s="9" t="s">
        <v>25</v>
      </c>
      <c r="E42" s="9" t="s">
        <v>186</v>
      </c>
      <c r="F42" s="9" t="str">
        <f>INDEX('Unique Asset List'!$C$4:$C$60,MATCH(B42,_CompoundList,0))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INDEX(PTRS!$D$6:$D$12,MATCH('7'!$F42,PTRS!$B$6:$B$12,0))</f>
        <v>0.1044225</v>
      </c>
      <c r="K42" s="17">
        <f>INDEX('Unique Asset List'!$D$4:$M$60,MATCH($B42,'Unique Asset List'!$A$4:$A$60,0),MATCH(K$8,'Unique Asset List'!$D$3:$M$3,0))</f>
        <v>0</v>
      </c>
      <c r="L42" s="17">
        <f>INDEX('Unique Asset List'!$D$4:$M$60,MATCH($B42,'Unique Asset List'!$A$4:$A$60,0),MATCH(L$8,'Unique Asset List'!$D$3:$M$3,0))</f>
        <v>0</v>
      </c>
      <c r="M42" s="17">
        <v>0.1044225</v>
      </c>
      <c r="N42" s="17">
        <f>INDEX('Unique Asset List'!$D$4:$M$60,MATCH($B42,'Unique Asset List'!$A$4:$A$60,0),MATCH(N$8,'Unique Asset List'!$D$3:$M$3,0))</f>
        <v>0.1044225</v>
      </c>
      <c r="O42" s="17">
        <f>INDEX('Unique Asset List'!$D$4:$M$60,MATCH($B42,'Unique Asset List'!$A$4:$A$60,0),MATCH(O$8,'Unique Asset List'!$D$3:$M$3,0))</f>
        <v>0.1044225</v>
      </c>
      <c r="P42" s="17">
        <f>INDEX('Unique Asset List'!$D$4:$M$60,MATCH($B42,'Unique Asset List'!$A$4:$A$60,0),MATCH(P$8,'Unique Asset List'!$D$3:$M$3,0))</f>
        <v>0.1044225</v>
      </c>
      <c r="Q42" s="17">
        <f>INDEX('Unique Asset List'!$D$4:$M$60,MATCH($B42,'Unique Asset List'!$A$4:$A$60,0),MATCH(Q$8,'Unique Asset List'!$D$3:$M$3,0))</f>
        <v>0.1044225</v>
      </c>
      <c r="R42" s="17">
        <f>INDEX('Unique Asset List'!$D$4:$M$60,MATCH($B42,'Unique Asset List'!$A$4:$A$60,0),MATCH(R$8,'Unique Asset List'!$D$3:$M$3,0))</f>
        <v>0.1044225</v>
      </c>
      <c r="S42" s="17">
        <f>INDEX('Unique Asset List'!$D$4:$M$60,MATCH($B42,'Unique Asset List'!$A$4:$A$60,0),MATCH(S$8,'Unique Asset List'!$D$3:$M$3,0))</f>
        <v>0</v>
      </c>
      <c r="T42" s="17" t="s">
        <v>24</v>
      </c>
      <c r="U42" s="17">
        <f t="shared" si="1"/>
        <v>0</v>
      </c>
      <c r="V42" s="17">
        <v>1</v>
      </c>
      <c r="W42" s="9" t="s">
        <v>24</v>
      </c>
      <c r="X42" s="9">
        <f>INDEX('Unique Asset List'!$Y$4:$AE$60,MATCH('7'!$B42,'Unique Asset List'!$A$4:$A$60,0),MATCH('7'!$C$1,'Unique Asset List'!$Y$3:$AE$3,0))</f>
        <v>2032</v>
      </c>
      <c r="Y42" s="9">
        <f>INDEX('Unique Asset List'!$AF$4:$AL$60,MATCH('7'!$B42,'Unique Asset List'!$A$4:$A$60,0),MATCH('7'!$C$1,'Unique Asset List'!$AF$3:$AL$3,0))</f>
        <v>4</v>
      </c>
      <c r="Z42" s="9">
        <f>INDEX('Unique Asset List'!$AT$4:$AZ$60,MATCH('7'!$B42,'Unique Asset List'!$A$4:$A$60,0),MATCH('7'!$C$1,'Unique Asset List'!$AT$3:$AZ$3,0))</f>
        <v>2040</v>
      </c>
      <c r="AA42" s="9">
        <f>INDEX('Unique Asset List'!$BA$4:$BG$60,MATCH('7'!$B42,'Unique Asset List'!$A$4:$A$60,0),MATCH('7'!$C$1,'Unique Asset List'!$BA$3:$BG$3,0))</f>
        <v>4</v>
      </c>
      <c r="AB42" s="16">
        <f>AB30</f>
        <v>2.1518980000000005</v>
      </c>
      <c r="AC42" s="16">
        <f>AC30</f>
        <v>0.94137550000000003</v>
      </c>
      <c r="AD42" s="16">
        <f>AD30</f>
        <v>0.56099999999999994</v>
      </c>
      <c r="AE42" s="15">
        <f>INDEX('Unique Asset List'!$CJ$4:$CP$60,MATCH('7'!$B42,'Unique Asset List'!$A$4:$A$60,0),MATCH('7'!$C$1,'Unique Asset List'!$CJ$3:$CP$3,0))</f>
        <v>0.16</v>
      </c>
      <c r="AF42" s="15">
        <f>INDEX('Unique Asset List'!$CQ$4:$CW$60,MATCH('7'!$B42,'Unique Asset List'!$A$4:$A$60,0),MATCH('7'!$C$1,'Unique Asset List'!$CQ$3:$CW$3,0))</f>
        <v>0.34</v>
      </c>
      <c r="AG42" s="15">
        <f>INDEX('Unique Asset List'!$BV$4:$CB$60,MATCH('7'!$B42,'Unique Asset List'!$A$4:$A$60,0),MATCH('7'!$C$1,'Unique Asset List'!$BV$3:$CB$3,0))</f>
        <v>0.16</v>
      </c>
      <c r="AH42" s="15">
        <f>INDEX('Unique Asset List'!$CC$4:$CI$60,MATCH('7'!$B42,'Unique Asset List'!$A$4:$A$60,0),MATCH('7'!$C$1,'Unique Asset List'!$CC$3:$CI$3,0))</f>
        <v>0.34</v>
      </c>
      <c r="AI42" s="11">
        <v>0.7</v>
      </c>
      <c r="AJ42" s="15">
        <f>INDEX('Unique Asset List'!$BH$4:$BN$60,MATCH('7'!$B42,'Unique Asset List'!$A$4:$A$60,0),MATCH('7'!$C$1,'Unique Asset List'!$BH$3:$BN$3,0))</f>
        <v>0.14000000000000001</v>
      </c>
      <c r="AK42" s="15">
        <f>INDEX('Unique Asset List'!$BO$4:$BU$60,MATCH('7'!$B42,'Unique Asset List'!$A$4:$A$60,0),MATCH('7'!$C$1,'Unique Asset List'!$BO$3:$BU$3,0))</f>
        <v>0.15</v>
      </c>
      <c r="AL42" s="40">
        <v>169</v>
      </c>
      <c r="AM42" s="14">
        <f>INDEX(Simulation!$B$6:$H$6,MATCH($A42,Simulation!$B$1:$H$1,0))*(1+AN42)^((DATE(X42,Y42,15)-DATE(2017,1,15))/365.5)</f>
        <v>0.75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5"/>
        <v>0.82</v>
      </c>
      <c r="AS42" s="10">
        <v>1</v>
      </c>
      <c r="AT42" s="181">
        <f>INDEX('Unique Asset List'!N$4:N$60,MATCH($B42,_CompoundList,0))</f>
        <v>0</v>
      </c>
      <c r="AU42" s="181">
        <f>INDEX('Unique Asset List'!O$4:O$60,MATCH($B42,_CompoundList,0))</f>
        <v>0</v>
      </c>
      <c r="AV42" s="181">
        <f>INDEX('Unique Asset List'!P$4:P$60,MATCH($B42,_CompoundList,0))</f>
        <v>0</v>
      </c>
      <c r="AW42" s="181">
        <f>INDEX('Unique Asset List'!Q$4:Q$60,MATCH($B42,_CompoundList,0))</f>
        <v>0</v>
      </c>
      <c r="AX42" s="181">
        <f ca="1">INDEX('Unique Asset List'!R$4:R$60,MATCH($B42,_CompoundList,0))</f>
        <v>0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0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0</v>
      </c>
      <c r="BD42" s="4">
        <f>IF($C$5="ON",CD42,MyRating(_E1,$B42,Efficacy!$F$1))</f>
        <v>0</v>
      </c>
      <c r="BE42" s="3">
        <f>IF($C$5="ON",CE42,MyRating(_E2,$B42,Efficacy!$F$1))</f>
        <v>0</v>
      </c>
      <c r="BF42" s="3">
        <f>IF($C$5="ON",CF42,MyRating(_E3,$B42,Efficacy!$F$1))</f>
        <v>0</v>
      </c>
      <c r="BG42" s="3">
        <f>IF($C$5="ON",CG42,MyRating(_E4,$B42,Efficacy!$F$1))</f>
        <v>0</v>
      </c>
      <c r="BH42" s="3">
        <f>IF($C$5="ON",CH42,MyRating(_E5,$B42,Efficacy!$F$1))</f>
        <v>0</v>
      </c>
      <c r="BI42" s="3">
        <f>IF($C$5="ON",CI42,MyRating(_E6,$B42,Efficacy!$F$1))</f>
        <v>0</v>
      </c>
      <c r="BJ42" s="3">
        <f>IF($C$5="ON",CJ42,MyRating(_E7,$B42,Efficacy!$F$1))</f>
        <v>0</v>
      </c>
      <c r="BK42" s="3">
        <f>IF($C$5="ON",CK42,MyRating(_E8,$B42,Efficacy!$F$1))</f>
        <v>0</v>
      </c>
      <c r="BL42" s="3">
        <f>IF($C$5="ON",CL42,MyRating(_S1,$B42,Efficacy!$F$1))</f>
        <v>0</v>
      </c>
      <c r="BM42" s="3">
        <f>IF($C$5="ON",CM42,MyRating(_S2,$B42,Efficacy!$F$1))</f>
        <v>0</v>
      </c>
      <c r="BN42" s="3">
        <f>IF($C$5="ON",CN42,MyRating(_S3,$B42,Efficacy!$F$1))</f>
        <v>0</v>
      </c>
      <c r="BO42" s="3">
        <f>IF($C$5="ON",CO42,MyRating(_S4,$B42,Efficacy!$F$1))</f>
        <v>0</v>
      </c>
      <c r="BP42" s="3">
        <f>IF($C$5="ON",CP42,MyRating(_S5,$B42,Efficacy!$F$1))</f>
        <v>0</v>
      </c>
      <c r="BQ42" s="3">
        <f>IF($C$5="ON",CQ42,MyRating(_S6,$B42,Efficacy!$F$1))</f>
        <v>0</v>
      </c>
      <c r="BR42" s="3">
        <f>IF($C$5="ON",CR42,MyRating(_S7,$B42,Efficacy!$F$1))</f>
        <v>0</v>
      </c>
      <c r="BS42" s="3">
        <f>IF($C$5="ON",CS42,MyRating(_D1,$B42,Efficacy!$F$1))</f>
        <v>0</v>
      </c>
      <c r="BT42" s="3">
        <f>IF($C$5="ON",CT42,MyRating(_D2,$B42,Efficacy!$F$1))</f>
        <v>0</v>
      </c>
      <c r="BU42" s="3">
        <f>IF($C$5="ON",CU42,MyRating(_D3,$B42,Efficacy!$F$1))</f>
        <v>0</v>
      </c>
      <c r="BV42" s="3">
        <f>IF($C$5="ON",CV42,MyRating(_D4,$B42,Efficacy!$F$1))</f>
        <v>0</v>
      </c>
      <c r="BW42" s="3">
        <f>IF($C$5="ON",CW42,MyRating(_B1G5,$B42,Barrier!$L$2))</f>
        <v>2</v>
      </c>
      <c r="BX42" s="3">
        <f>IF($C$5="ON",CX42,MyRating(_B2,$B42,Barrier!$F$2))</f>
        <v>0</v>
      </c>
      <c r="BY42" s="6">
        <f>IF($C$5="ON",CY42,MyRating(_B3,$B42,Barrier!$F$2))</f>
        <v>0</v>
      </c>
      <c r="BZ42" s="5">
        <f t="shared" si="9"/>
        <v>0</v>
      </c>
      <c r="CA42" s="8">
        <f t="shared" si="6"/>
        <v>0.4</v>
      </c>
      <c r="CB42" s="5">
        <f t="shared" si="7"/>
        <v>4.7058823529411787E-3</v>
      </c>
      <c r="CC42" s="7">
        <f t="shared" si="8"/>
        <v>3.2282086615060515E-4</v>
      </c>
      <c r="CD42" s="4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6">
        <v>0</v>
      </c>
      <c r="CZ42" s="5">
        <v>0</v>
      </c>
      <c r="DA42" s="59"/>
    </row>
    <row r="43" spans="1:105" x14ac:dyDescent="0.25">
      <c r="A43" s="9" t="str">
        <f t="shared" si="0"/>
        <v>JP</v>
      </c>
      <c r="B43" s="9" t="s">
        <v>23</v>
      </c>
      <c r="C43" s="20"/>
      <c r="D43" s="9" t="s">
        <v>22</v>
      </c>
      <c r="E43" s="9" t="s">
        <v>186</v>
      </c>
      <c r="F43" s="9" t="str">
        <f>INDEX('Unique Asset List'!$C$4:$C$60,MATCH(B43,_CompoundList,0))</f>
        <v>PCD</v>
      </c>
      <c r="G43" s="19">
        <v>0</v>
      </c>
      <c r="H43" s="9">
        <v>2014</v>
      </c>
      <c r="I43" s="9">
        <v>6</v>
      </c>
      <c r="J43" s="18">
        <f>INDEX(PTRS!$D$6:$D$12,MATCH('7'!$F43,PTRS!$B$6:$B$12,0))</f>
        <v>0.1044225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0.1044225</v>
      </c>
      <c r="N43" s="17">
        <f>INDEX('Unique Asset List'!$D$4:$M$60,MATCH($B43,'Unique Asset List'!$A$4:$A$60,0),MATCH(N$8,'Unique Asset List'!$D$3:$M$3,0))</f>
        <v>0.1044225</v>
      </c>
      <c r="O43" s="17">
        <f>INDEX('Unique Asset List'!$D$4:$M$60,MATCH($B43,'Unique Asset List'!$A$4:$A$60,0),MATCH(O$8,'Unique Asset List'!$D$3:$M$3,0))</f>
        <v>0.1044225</v>
      </c>
      <c r="P43" s="17">
        <f>INDEX('Unique Asset List'!$D$4:$M$60,MATCH($B43,'Unique Asset List'!$A$4:$A$60,0),MATCH(P$8,'Unique Asset List'!$D$3:$M$3,0))</f>
        <v>0.1044225</v>
      </c>
      <c r="Q43" s="17">
        <f>INDEX('Unique Asset List'!$D$4:$M$60,MATCH($B43,'Unique Asset List'!$A$4:$A$60,0),MATCH(Q$8,'Unique Asset List'!$D$3:$M$3,0))</f>
        <v>0.1044225</v>
      </c>
      <c r="R43" s="17">
        <f>INDEX('Unique Asset List'!$D$4:$M$60,MATCH($B43,'Unique Asset List'!$A$4:$A$60,0),MATCH(R$8,'Unique Asset List'!$D$3:$M$3,0))</f>
        <v>0.1044225</v>
      </c>
      <c r="S43" s="17">
        <f>INDEX('Unique Asset List'!$D$4:$M$60,MATCH($B43,'Unique Asset List'!$A$4:$A$60,0),MATCH(S$8,'Unique Asset List'!$D$3:$M$3,0))</f>
        <v>0</v>
      </c>
      <c r="T43" s="9" t="s">
        <v>21</v>
      </c>
      <c r="U43" s="17">
        <f t="shared" si="1"/>
        <v>0.90168566420734264</v>
      </c>
      <c r="V43" s="17">
        <v>1</v>
      </c>
      <c r="W43" s="9" t="s">
        <v>20</v>
      </c>
      <c r="X43" s="9">
        <f>INDEX('Unique Asset List'!$Y$4:$AE$60,MATCH('7'!$B43,'Unique Asset List'!$A$4:$A$60,0),MATCH('7'!$C$1,'Unique Asset List'!$Y$3:$AE$3,0))</f>
        <v>2031</v>
      </c>
      <c r="Y43" s="9">
        <f>INDEX('Unique Asset List'!$AF$4:$AL$60,MATCH('7'!$B43,'Unique Asset List'!$A$4:$A$60,0),MATCH('7'!$C$1,'Unique Asset List'!$AF$3:$AL$3,0))</f>
        <v>6</v>
      </c>
      <c r="Z43" s="9">
        <f>INDEX('Unique Asset List'!$AT$4:$AZ$60,MATCH('7'!$B43,'Unique Asset List'!$A$4:$A$60,0),MATCH('7'!$C$1,'Unique Asset List'!$AT$3:$AZ$3,0))</f>
        <v>2039</v>
      </c>
      <c r="AA43" s="9">
        <f>INDEX('Unique Asset List'!$BA$4:$BG$60,MATCH('7'!$B43,'Unique Asset List'!$A$4:$A$60,0),MATCH('7'!$C$1,'Unique Asset List'!$BA$3:$BG$3,0))</f>
        <v>6</v>
      </c>
      <c r="AB43" s="16">
        <f>AB25</f>
        <v>1.6822346000000001</v>
      </c>
      <c r="AC43" s="16">
        <f>AC25</f>
        <v>0.91486990000000001</v>
      </c>
      <c r="AD43" s="16">
        <f>AD25</f>
        <v>0.56099999999999994</v>
      </c>
      <c r="AE43" s="15">
        <f>INDEX('Unique Asset List'!$CJ$4:$CP$60,MATCH('7'!$B43,'Unique Asset List'!$A$4:$A$60,0),MATCH('7'!$C$1,'Unique Asset List'!$CJ$3:$CP$3,0))</f>
        <v>0.16</v>
      </c>
      <c r="AF43" s="15">
        <f>INDEX('Unique Asset List'!$CQ$4:$CW$60,MATCH('7'!$B43,'Unique Asset List'!$A$4:$A$60,0),MATCH('7'!$C$1,'Unique Asset List'!$CQ$3:$CW$3,0))</f>
        <v>0.34</v>
      </c>
      <c r="AG43" s="15">
        <f>INDEX('Unique Asset List'!$BV$4:$CB$60,MATCH('7'!$B43,'Unique Asset List'!$A$4:$A$60,0),MATCH('7'!$C$1,'Unique Asset List'!$BV$3:$CB$3,0))</f>
        <v>0.16</v>
      </c>
      <c r="AH43" s="15">
        <f>INDEX('Unique Asset List'!$CC$4:$CI$60,MATCH('7'!$B43,'Unique Asset List'!$A$4:$A$60,0),MATCH('7'!$C$1,'Unique Asset List'!$CC$3:$CI$3,0))</f>
        <v>0.34</v>
      </c>
      <c r="AI43" s="11">
        <v>0.7</v>
      </c>
      <c r="AJ43" s="15">
        <f>INDEX('Unique Asset List'!$BH$4:$BN$60,MATCH('7'!$B43,'Unique Asset List'!$A$4:$A$60,0),MATCH('7'!$C$1,'Unique Asset List'!$BH$3:$BN$3,0))</f>
        <v>0.14000000000000001</v>
      </c>
      <c r="AK43" s="15">
        <f>INDEX('Unique Asset List'!$BO$4:$BU$60,MATCH('7'!$B43,'Unique Asset List'!$A$4:$A$60,0),MATCH('7'!$C$1,'Unique Asset List'!$BO$3:$BU$3,0))</f>
        <v>0.15</v>
      </c>
      <c r="AL43" s="40">
        <v>169</v>
      </c>
      <c r="AM43" s="14">
        <f>INDEX(Simulation!$B$6:$H$6,MATCH($A43,Simulation!$B$1:$H$1,0))*(1+AN43)^((DATE(X43,Y43,15)-DATE(2017,1,15))/365.5)</f>
        <v>0.75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5"/>
        <v>0.82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1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0</v>
      </c>
      <c r="BD43" s="4">
        <f>IF($C$5="ON",CD43,MyRating(_E1,$B43,Efficacy!$F$1))</f>
        <v>0</v>
      </c>
      <c r="BE43" s="3">
        <f>IF($C$5="ON",CE43,MyRating(_E2,$B43,Efficacy!$F$1))</f>
        <v>0</v>
      </c>
      <c r="BF43" s="3">
        <f>IF($C$5="ON",CF43,MyRating(_E3,$B43,Efficacy!$F$1))</f>
        <v>0</v>
      </c>
      <c r="BG43" s="3">
        <f>IF($C$5="ON",CG43,MyRating(_E4,$B43,Efficacy!$F$1))</f>
        <v>0</v>
      </c>
      <c r="BH43" s="3">
        <f>IF($C$5="ON",CH43,MyRating(_E5,$B43,Efficacy!$F$1))</f>
        <v>0</v>
      </c>
      <c r="BI43" s="3">
        <f>IF($C$5="ON",CI43,MyRating(_E6,$B43,Efficacy!$F$1))</f>
        <v>0</v>
      </c>
      <c r="BJ43" s="3">
        <f>IF($C$5="ON",CJ43,MyRating(_E7,$B43,Efficacy!$F$1))</f>
        <v>0</v>
      </c>
      <c r="BK43" s="3">
        <f>IF($C$5="ON",CK43,MyRating(_E8,$B43,Efficacy!$F$1))</f>
        <v>0</v>
      </c>
      <c r="BL43" s="3">
        <f>IF($C$5="ON",CL43,MyRating(_S1,$B43,Efficacy!$F$1))</f>
        <v>0</v>
      </c>
      <c r="BM43" s="3">
        <f>IF($C$5="ON",CM43,MyRating(_S2,$B43,Efficacy!$F$1))</f>
        <v>0</v>
      </c>
      <c r="BN43" s="3">
        <f>IF($C$5="ON",CN43,MyRating(_S3,$B43,Efficacy!$F$1))</f>
        <v>0</v>
      </c>
      <c r="BO43" s="3">
        <f>IF($C$5="ON",CO43,MyRating(_S4,$B43,Efficacy!$F$1))</f>
        <v>0</v>
      </c>
      <c r="BP43" s="3">
        <f>IF($C$5="ON",CP43,MyRating(_S5,$B43,Efficacy!$F$1))</f>
        <v>0</v>
      </c>
      <c r="BQ43" s="3">
        <f>IF($C$5="ON",CQ43,MyRating(_S6,$B43,Efficacy!$F$1))</f>
        <v>0</v>
      </c>
      <c r="BR43" s="3">
        <f>IF($C$5="ON",CR43,MyRating(_S7,$B43,Efficacy!$F$1))</f>
        <v>0</v>
      </c>
      <c r="BS43" s="3">
        <f>IF($C$5="ON",CS43,MyRating(_D1,$B43,Efficacy!$F$1))</f>
        <v>0</v>
      </c>
      <c r="BT43" s="3">
        <f>IF($C$5="ON",CT43,MyRating(_D2,$B43,Efficacy!$F$1))</f>
        <v>0</v>
      </c>
      <c r="BU43" s="3">
        <f>IF($C$5="ON",CU43,MyRating(_D3,$B43,Efficacy!$F$1))</f>
        <v>0</v>
      </c>
      <c r="BV43" s="3">
        <f>IF($C$5="ON",CV43,MyRating(_D4,$B43,Efficacy!$F$1))</f>
        <v>0</v>
      </c>
      <c r="BW43" s="3">
        <f>IF($C$5="ON",CW43,MyRating(_B1G5,$B43,Barrier!$L$2))</f>
        <v>2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9"/>
        <v>3.3407946312985805E-2</v>
      </c>
      <c r="CA43" s="8">
        <f t="shared" si="6"/>
        <v>2.8000000000000003</v>
      </c>
      <c r="CB43" s="5">
        <f t="shared" si="7"/>
        <v>3.2941176470588251E-2</v>
      </c>
      <c r="CC43" s="7">
        <f t="shared" si="8"/>
        <v>5.9787261089987885E-3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>
        <v>0</v>
      </c>
      <c r="DA43" s="59"/>
    </row>
    <row r="44" spans="1:105" x14ac:dyDescent="0.25">
      <c r="A44" s="9" t="str">
        <f t="shared" si="0"/>
        <v>JP</v>
      </c>
      <c r="B44" s="9" t="s">
        <v>19</v>
      </c>
      <c r="C44" s="20"/>
      <c r="D44" s="9" t="s">
        <v>18</v>
      </c>
      <c r="E44" s="9" t="s">
        <v>186</v>
      </c>
      <c r="F44" s="9" t="str">
        <f>INDEX('Unique Asset List'!$C$4:$C$60,MATCH(B44,_CompoundList,0))</f>
        <v>PCD</v>
      </c>
      <c r="G44" s="19">
        <v>0</v>
      </c>
      <c r="H44" s="9">
        <v>2014</v>
      </c>
      <c r="I44" s="9">
        <v>6</v>
      </c>
      <c r="J44" s="18">
        <f>INDEX(PTRS!$D$6:$D$12,MATCH('7'!$F44,PTRS!$B$6:$B$12,0))</f>
        <v>0.1044225</v>
      </c>
      <c r="K44" s="17">
        <f>K23</f>
        <v>0</v>
      </c>
      <c r="L44" s="17">
        <f>L23</f>
        <v>0</v>
      </c>
      <c r="M44" s="17">
        <v>0.1044225</v>
      </c>
      <c r="N44" s="17">
        <f>N23</f>
        <v>0.13923000000000002</v>
      </c>
      <c r="O44" s="17">
        <f>INDEX('Unique Asset List'!$D$4:$M$60,MATCH($B44,'Unique Asset List'!$A$4:$A$60,0),MATCH(O$8,'Unique Asset List'!$D$3:$M$3,0))</f>
        <v>0.1044225</v>
      </c>
      <c r="P44" s="17">
        <f>INDEX('Unique Asset List'!$D$4:$M$60,MATCH($B44,'Unique Asset List'!$A$4:$A$60,0),MATCH(P$8,'Unique Asset List'!$D$3:$M$3,0))</f>
        <v>0.1044225</v>
      </c>
      <c r="Q44" s="17">
        <f>INDEX('Unique Asset List'!$D$4:$M$60,MATCH($B44,'Unique Asset List'!$A$4:$A$60,0),MATCH(Q$8,'Unique Asset List'!$D$3:$M$3,0))</f>
        <v>0.1044225</v>
      </c>
      <c r="R44" s="17">
        <f>INDEX('Unique Asset List'!$D$4:$M$60,MATCH($B44,'Unique Asset List'!$A$4:$A$60,0),MATCH(R$8,'Unique Asset List'!$D$3:$M$3,0))</f>
        <v>0.1044225</v>
      </c>
      <c r="S44" s="17">
        <f>S23</f>
        <v>0</v>
      </c>
      <c r="T44" s="9" t="s">
        <v>17</v>
      </c>
      <c r="U44" s="17">
        <f t="shared" si="1"/>
        <v>0.90168566420734264</v>
      </c>
      <c r="V44" s="17">
        <v>1</v>
      </c>
      <c r="W44" s="9" t="s">
        <v>16</v>
      </c>
      <c r="X44" s="9">
        <f>INDEX('Unique Asset List'!$Y$4:$AE$60,MATCH('7'!$B44,'Unique Asset List'!$A$4:$A$60,0),MATCH('7'!$C$1,'Unique Asset List'!$Y$3:$AE$3,0))</f>
        <v>2030</v>
      </c>
      <c r="Y44" s="9">
        <f>INDEX('Unique Asset List'!$AF$4:$AL$60,MATCH('7'!$B44,'Unique Asset List'!$A$4:$A$60,0),MATCH('7'!$C$1,'Unique Asset List'!$AF$3:$AL$3,0))</f>
        <v>11</v>
      </c>
      <c r="Z44" s="9">
        <f>INDEX('Unique Asset List'!$AT$4:$AZ$60,MATCH('7'!$B44,'Unique Asset List'!$A$4:$A$60,0),MATCH('7'!$C$1,'Unique Asset List'!$AT$3:$AZ$3,0))</f>
        <v>2038</v>
      </c>
      <c r="AA44" s="9">
        <f>INDEX('Unique Asset List'!$BA$4:$BG$60,MATCH('7'!$B44,'Unique Asset List'!$A$4:$A$60,0),MATCH('7'!$C$1,'Unique Asset List'!$BA$3:$BG$3,0))</f>
        <v>11</v>
      </c>
      <c r="AB44" s="16">
        <f>AB24</f>
        <v>1.8562298000000002</v>
      </c>
      <c r="AC44" s="16">
        <f>AC24</f>
        <v>0.97947730000000011</v>
      </c>
      <c r="AD44" s="16">
        <f>AD24</f>
        <v>0.56099999999999994</v>
      </c>
      <c r="AE44" s="15">
        <f>INDEX('Unique Asset List'!$CJ$4:$CP$60,MATCH('7'!$B44,'Unique Asset List'!$A$4:$A$60,0),MATCH('7'!$C$1,'Unique Asset List'!$CJ$3:$CP$3,0))</f>
        <v>0.16</v>
      </c>
      <c r="AF44" s="15">
        <f>INDEX('Unique Asset List'!$CQ$4:$CW$60,MATCH('7'!$B44,'Unique Asset List'!$A$4:$A$60,0),MATCH('7'!$C$1,'Unique Asset List'!$CQ$3:$CW$3,0))</f>
        <v>0.34</v>
      </c>
      <c r="AG44" s="15">
        <f>INDEX('Unique Asset List'!$BV$4:$CB$60,MATCH('7'!$B44,'Unique Asset List'!$A$4:$A$60,0),MATCH('7'!$C$1,'Unique Asset List'!$BV$3:$CB$3,0))</f>
        <v>0.16</v>
      </c>
      <c r="AH44" s="15">
        <f>INDEX('Unique Asset List'!$CC$4:$CI$60,MATCH('7'!$B44,'Unique Asset List'!$A$4:$A$60,0),MATCH('7'!$C$1,'Unique Asset List'!$CC$3:$CI$3,0))</f>
        <v>0.34</v>
      </c>
      <c r="AI44" s="11">
        <v>0.7</v>
      </c>
      <c r="AJ44" s="15">
        <f>INDEX('Unique Asset List'!$BH$4:$BN$60,MATCH('7'!$B44,'Unique Asset List'!$A$4:$A$60,0),MATCH('7'!$C$1,'Unique Asset List'!$BH$3:$BN$3,0))</f>
        <v>0.14000000000000001</v>
      </c>
      <c r="AK44" s="15">
        <f>INDEX('Unique Asset List'!$BO$4:$BU$60,MATCH('7'!$B44,'Unique Asset List'!$A$4:$A$60,0),MATCH('7'!$C$1,'Unique Asset List'!$BO$3:$BU$3,0))</f>
        <v>0.15</v>
      </c>
      <c r="AL44" s="40">
        <v>169</v>
      </c>
      <c r="AM44" s="14">
        <f>INDEX(Simulation!$B$6:$H$6,MATCH($A44,Simulation!$B$1:$H$1,0))*(1+AN44)^((DATE(X44,Y44,15)-DATE(2017,1,15))/365.5)</f>
        <v>0.75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5"/>
        <v>0.82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0</v>
      </c>
      <c r="AY44" s="181">
        <f ca="1">INDEX('Unique Asset List'!S$4:S$60,MATCH($B44,_CompoundList,0))</f>
        <v>1</v>
      </c>
      <c r="AZ44" s="181">
        <f ca="1">INDEX('Unique Asset List'!T$4:T$60,MATCH($B44,_CompoundList,0))</f>
        <v>0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1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IF($C$5="ON",CL44,MyRating(_S1,$B44,Efficacy!$F$1))</f>
        <v>0</v>
      </c>
      <c r="BM44" s="3">
        <f>IF($C$5="ON",CM44,MyRating(_S2,$B44,Efficacy!$F$1))</f>
        <v>0</v>
      </c>
      <c r="BN44" s="3">
        <f>IF($C$5="ON",CN44,MyRating(_S3,$B44,Efficacy!$F$1))</f>
        <v>0</v>
      </c>
      <c r="BO44" s="3">
        <f>IF($C$5="ON",CO44,MyRating(_S4,$B44,Efficacy!$F$1))</f>
        <v>0</v>
      </c>
      <c r="BP44" s="3">
        <f>IF($C$5="ON",CP44,MyRating(_S5,$B44,Efficacy!$F$1))</f>
        <v>0</v>
      </c>
      <c r="BQ44" s="3">
        <f>IF($C$5="ON",CQ44,MyRating(_S6,$B44,Efficacy!$F$1))</f>
        <v>0</v>
      </c>
      <c r="BR44" s="3">
        <f>IF($C$5="ON",CR44,MyRating(_S7,$B44,Efficacy!$F$1))</f>
        <v>0</v>
      </c>
      <c r="BS44" s="3">
        <f>IF($C$5="ON",CS44,MyRating(_D1,$B44,Efficacy!$F$1))</f>
        <v>0</v>
      </c>
      <c r="BT44" s="3">
        <f>IF($C$5="ON",CT44,MyRating(_D2,$B44,Efficacy!$F$1))</f>
        <v>0</v>
      </c>
      <c r="BU44" s="3">
        <f>IF($C$5="ON",CU44,MyRating(_D3,$B44,Efficacy!$F$1))</f>
        <v>0</v>
      </c>
      <c r="BV44" s="3">
        <f>IF($C$5="ON",CV44,MyRating(_D4,$B44,Efficacy!$F$1))</f>
        <v>0</v>
      </c>
      <c r="BW44" s="3">
        <f>IF($C$5="ON",CW44,MyRating(_B1G5,$B44,Barrier!$L$2))</f>
        <v>2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9"/>
        <v>3.3407946312985805E-2</v>
      </c>
      <c r="CA44" s="8">
        <f t="shared" si="6"/>
        <v>2.8000000000000003</v>
      </c>
      <c r="CB44" s="5">
        <f t="shared" si="7"/>
        <v>3.2941176470588251E-2</v>
      </c>
      <c r="CC44" s="7">
        <f t="shared" si="8"/>
        <v>5.9787261089987885E-3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>
        <v>0</v>
      </c>
      <c r="DA44" s="59"/>
    </row>
    <row r="45" spans="1:105" x14ac:dyDescent="0.25">
      <c r="A45" s="9" t="str">
        <f t="shared" si="0"/>
        <v>JP</v>
      </c>
      <c r="B45" s="9" t="s">
        <v>13</v>
      </c>
      <c r="C45" s="20"/>
      <c r="D45" s="9" t="s">
        <v>2</v>
      </c>
      <c r="E45" s="9" t="s">
        <v>186</v>
      </c>
      <c r="F45" s="9" t="str">
        <f>INDEX('Unique Asset List'!$C$4:$C$60,MATCH(B45,_CompoundList,0))</f>
        <v>PCD</v>
      </c>
      <c r="G45" s="19">
        <v>0</v>
      </c>
      <c r="H45" s="9">
        <v>2014</v>
      </c>
      <c r="I45" s="9">
        <v>6</v>
      </c>
      <c r="J45" s="18">
        <f>INDEX(PTRS!$D$6:$D$12,MATCH('7'!$F45,PTRS!$B$6:$B$12,0))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v>0</v>
      </c>
      <c r="N45" s="17">
        <f>INDEX('Unique Asset List'!$D$4:$M$60,MATCH($B45,'Unique Asset List'!$A$4:$A$60,0),MATCH(N$8,'Unique Asset List'!$D$3:$M$3,0))</f>
        <v>1</v>
      </c>
      <c r="O45" s="17">
        <f>INDEX('Unique Asset List'!$D$4:$M$60,MATCH($B45,'Unique Asset List'!$A$4:$A$60,0),MATCH(O$8,'Unique Asset List'!$D$3:$M$3,0))</f>
        <v>1</v>
      </c>
      <c r="P45" s="17">
        <f>INDEX('Unique Asset List'!$D$4:$M$60,MATCH($B45,'Unique Asset List'!$A$4:$A$60,0),MATCH(P$8,'Unique Asset List'!$D$3:$M$3,0))</f>
        <v>1</v>
      </c>
      <c r="Q45" s="17">
        <f>INDEX('Unique Asset List'!$D$4:$M$60,MATCH($B45,'Unique Asset List'!$A$4:$A$60,0),MATCH(Q$8,'Unique Asset List'!$D$3:$M$3,0))</f>
        <v>1</v>
      </c>
      <c r="R45" s="17">
        <f>INDEX('Unique Asset List'!$D$4:$M$60,MATCH($B45,'Unique Asset List'!$A$4:$A$60,0),MATCH(R$8,'Unique Asset List'!$D$3:$M$3,0))</f>
        <v>1</v>
      </c>
      <c r="S45" s="17">
        <f>INDEX('Unique Asset List'!$D$4:$M$60,MATCH($B45,'Unique Asset List'!$A$4:$A$60,0),MATCH(S$8,'Unique Asset List'!$D$3:$M$3,0))</f>
        <v>1</v>
      </c>
      <c r="T45" s="17"/>
      <c r="U45" s="17">
        <f t="shared" si="1"/>
        <v>0.90168566420734264</v>
      </c>
      <c r="V45" s="17">
        <v>1</v>
      </c>
      <c r="W45" s="9" t="s">
        <v>13</v>
      </c>
      <c r="X45" s="9">
        <f>INDEX('Unique Asset List'!$Y$4:$AE$60,MATCH('7'!$B45,'Unique Asset List'!$A$4:$A$60,0),MATCH('7'!$C$1,'Unique Asset List'!$Y$3:$AE$3,0))</f>
        <v>2030</v>
      </c>
      <c r="Y45" s="9">
        <f>INDEX('Unique Asset List'!$AF$4:$AL$60,MATCH('7'!$B45,'Unique Asset List'!$A$4:$A$60,0),MATCH('7'!$C$1,'Unique Asset List'!$AF$3:$AL$3,0))</f>
        <v>6</v>
      </c>
      <c r="Z45" s="9">
        <f>INDEX('Unique Asset List'!$AT$4:$AZ$60,MATCH('7'!$B45,'Unique Asset List'!$A$4:$A$60,0),MATCH('7'!$C$1,'Unique Asset List'!$AT$3:$AZ$3,0))</f>
        <v>2038</v>
      </c>
      <c r="AA45" s="9">
        <f>INDEX('Unique Asset List'!$BA$4:$BG$60,MATCH('7'!$B45,'Unique Asset List'!$A$4:$A$60,0),MATCH('7'!$C$1,'Unique Asset List'!$BA$3:$BG$3,0))</f>
        <v>6</v>
      </c>
      <c r="AB45" s="16">
        <v>2.3276916000000001</v>
      </c>
      <c r="AC45" s="16">
        <v>1.0028454</v>
      </c>
      <c r="AD45" s="16">
        <v>0.56099999999999994</v>
      </c>
      <c r="AE45" s="15">
        <f>INDEX('Unique Asset List'!$CJ$4:$CP$60,MATCH('7'!$B45,'Unique Asset List'!$A$4:$A$60,0),MATCH('7'!$C$1,'Unique Asset List'!$CJ$3:$CP$3,0))</f>
        <v>0.16</v>
      </c>
      <c r="AF45" s="15">
        <f>INDEX('Unique Asset List'!$CQ$4:$CW$60,MATCH('7'!$B45,'Unique Asset List'!$A$4:$A$60,0),MATCH('7'!$C$1,'Unique Asset List'!$CQ$3:$CW$3,0))</f>
        <v>0.34</v>
      </c>
      <c r="AG45" s="15">
        <f>INDEX('Unique Asset List'!$BV$4:$CB$60,MATCH('7'!$B45,'Unique Asset List'!$A$4:$A$60,0),MATCH('7'!$C$1,'Unique Asset List'!$BV$3:$CB$3,0))</f>
        <v>0.16</v>
      </c>
      <c r="AH45" s="15">
        <f>INDEX('Unique Asset List'!$CC$4:$CI$60,MATCH('7'!$B45,'Unique Asset List'!$A$4:$A$60,0),MATCH('7'!$C$1,'Unique Asset List'!$CC$3:$CI$3,0))</f>
        <v>0.34</v>
      </c>
      <c r="AI45" s="11">
        <v>0.7</v>
      </c>
      <c r="AJ45" s="15">
        <f>INDEX('Unique Asset List'!$BH$4:$BN$60,MATCH('7'!$B45,'Unique Asset List'!$A$4:$A$60,0),MATCH('7'!$C$1,'Unique Asset List'!$BH$3:$BN$3,0))</f>
        <v>0.14000000000000001</v>
      </c>
      <c r="AK45" s="15">
        <f>INDEX('Unique Asset List'!$BO$4:$BU$60,MATCH('7'!$B45,'Unique Asset List'!$A$4:$A$60,0),MATCH('7'!$C$1,'Unique Asset List'!$BO$3:$BU$3,0))</f>
        <v>0.15</v>
      </c>
      <c r="AL45" s="40">
        <v>169</v>
      </c>
      <c r="AM45" s="14">
        <f>INDEX(Simulation!$B$6:$H$6,MATCH($A45,Simulation!$B$1:$H$1,0))*(1+AN45)^((DATE(X45,Y45,15)-DATE(2017,1,15))/365.5)</f>
        <v>0.75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5"/>
        <v>0.82</v>
      </c>
      <c r="AS45" s="10">
        <v>1</v>
      </c>
      <c r="AT45" s="181">
        <f>INDEX('Unique Asset List'!N$4:N$60,MATCH($B45,_CompoundList,0))</f>
        <v>1</v>
      </c>
      <c r="AU45" s="181">
        <f>INDEX('Unique Asset List'!O$4:O$60,MATCH($B45,_CompoundList,0))</f>
        <v>1</v>
      </c>
      <c r="AV45" s="181">
        <f>INDEX('Unique Asset List'!P$4:P$60,MATCH($B45,_CompoundList,0))</f>
        <v>1</v>
      </c>
      <c r="AW45" s="181">
        <f>INDEX('Unique Asset List'!Q$4:Q$60,MATCH($B45,_CompoundList,0))</f>
        <v>1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1</v>
      </c>
      <c r="BA45" s="181">
        <f ca="1">INDEX('Unique Asset List'!U$4:U$60,MATCH($B45,_CompoundList,0))</f>
        <v>1</v>
      </c>
      <c r="BB45" s="181">
        <f ca="1">INDEX('Unique Asset List'!V$4:V$60,MATCH($B45,_CompoundList,0))</f>
        <v>1</v>
      </c>
      <c r="BC45" s="181">
        <f ca="1">INDEX('Unique Asset List'!W$4:W$60,MATCH($B45,_CompoundList,0))</f>
        <v>1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IF($C$5="ON",CL45,MyRating(_S1,$B45,Efficacy!$F$1))</f>
        <v>0</v>
      </c>
      <c r="BM45" s="3">
        <f>IF($C$5="ON",CM45,MyRating(_S2,$B45,Efficacy!$F$1))</f>
        <v>0</v>
      </c>
      <c r="BN45" s="3">
        <f>IF($C$5="ON",CN45,MyRating(_S3,$B45,Efficacy!$F$1))</f>
        <v>0</v>
      </c>
      <c r="BO45" s="3">
        <f>IF($C$5="ON",CO45,MyRating(_S4,$B45,Efficacy!$F$1))</f>
        <v>0</v>
      </c>
      <c r="BP45" s="3">
        <f>IF($C$5="ON",CP45,MyRating(_S5,$B45,Efficacy!$F$1))</f>
        <v>0</v>
      </c>
      <c r="BQ45" s="3">
        <f>IF($C$5="ON",CQ45,MyRating(_S6,$B45,Efficacy!$F$1))</f>
        <v>0</v>
      </c>
      <c r="BR45" s="3">
        <f>IF($C$5="ON",CR45,MyRating(_S7,$B45,Efficacy!$F$1))</f>
        <v>0</v>
      </c>
      <c r="BS45" s="3">
        <f>IF($C$5="ON",CS45,MyRating(_D1,$B45,Efficacy!$F$1))</f>
        <v>0</v>
      </c>
      <c r="BT45" s="3">
        <f>IF($C$5="ON",CT45,MyRating(_D2,$B45,Efficacy!$F$1))</f>
        <v>0</v>
      </c>
      <c r="BU45" s="3">
        <f>IF($C$5="ON",CU45,MyRating(_D3,$B45,Efficacy!$F$1))</f>
        <v>0</v>
      </c>
      <c r="BV45" s="3">
        <f>IF($C$5="ON",CV45,MyRating(_D4,$B45,Efficacy!$F$1))</f>
        <v>0</v>
      </c>
      <c r="BW45" s="3">
        <f>IF($C$5="ON",CW45,MyRating(_B1G5,$B45,Barrier!$L$2))</f>
        <v>2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9"/>
        <v>3.3407946312985805E-2</v>
      </c>
      <c r="CA45" s="8">
        <f t="shared" si="6"/>
        <v>2.8000000000000003</v>
      </c>
      <c r="CB45" s="5">
        <f t="shared" si="7"/>
        <v>3.2941176470588251E-2</v>
      </c>
      <c r="CC45" s="7">
        <f t="shared" si="8"/>
        <v>5.9787261089987885E-3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>
        <v>0</v>
      </c>
      <c r="DA45" s="59"/>
    </row>
    <row r="46" spans="1:105" x14ac:dyDescent="0.25">
      <c r="A46" s="9" t="str">
        <f t="shared" si="0"/>
        <v>JP</v>
      </c>
      <c r="B46" s="9" t="s">
        <v>10</v>
      </c>
      <c r="C46" s="20"/>
      <c r="D46" s="9" t="s">
        <v>2</v>
      </c>
      <c r="E46" s="9" t="s">
        <v>186</v>
      </c>
      <c r="F46" s="9" t="str">
        <f>INDEX('Unique Asset List'!$C$4:$C$60,MATCH(B46,_CompoundList,0))</f>
        <v>PCD</v>
      </c>
      <c r="G46" s="19">
        <v>0</v>
      </c>
      <c r="H46" s="9">
        <v>2014</v>
      </c>
      <c r="I46" s="9">
        <v>6</v>
      </c>
      <c r="J46" s="18">
        <f>INDEX(PTRS!$D$6:$D$12,MATCH('7'!$F46,PTRS!$B$6:$B$12,0))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v>0</v>
      </c>
      <c r="N46" s="17">
        <f>INDEX('Unique Asset List'!$D$4:$M$60,MATCH($B46,'Unique Asset List'!$A$4:$A$60,0),MATCH(N$8,'Unique Asset List'!$D$3:$M$3,0))</f>
        <v>1</v>
      </c>
      <c r="O46" s="17">
        <f>INDEX('Unique Asset List'!$D$4:$M$60,MATCH($B46,'Unique Asset List'!$A$4:$A$60,0),MATCH(O$8,'Unique Asset List'!$D$3:$M$3,0))</f>
        <v>1</v>
      </c>
      <c r="P46" s="17">
        <f>INDEX('Unique Asset List'!$D$4:$M$60,MATCH($B46,'Unique Asset List'!$A$4:$A$60,0),MATCH(P$8,'Unique Asset List'!$D$3:$M$3,0))</f>
        <v>1</v>
      </c>
      <c r="Q46" s="17">
        <f>INDEX('Unique Asset List'!$D$4:$M$60,MATCH($B46,'Unique Asset List'!$A$4:$A$60,0),MATCH(Q$8,'Unique Asset List'!$D$3:$M$3,0))</f>
        <v>1</v>
      </c>
      <c r="R46" s="17">
        <f>INDEX('Unique Asset List'!$D$4:$M$60,MATCH($B46,'Unique Asset List'!$A$4:$A$60,0),MATCH(R$8,'Unique Asset List'!$D$3:$M$3,0))</f>
        <v>1</v>
      </c>
      <c r="S46" s="17">
        <f>INDEX('Unique Asset List'!$D$4:$M$60,MATCH($B46,'Unique Asset List'!$A$4:$A$60,0),MATCH(S$8,'Unique Asset List'!$D$3:$M$3,0))</f>
        <v>1</v>
      </c>
      <c r="T46" s="17"/>
      <c r="U46" s="17">
        <f t="shared" si="1"/>
        <v>0.90168566420734264</v>
      </c>
      <c r="V46" s="17">
        <v>1</v>
      </c>
      <c r="W46" s="9" t="s">
        <v>10</v>
      </c>
      <c r="X46" s="9">
        <f>INDEX('Unique Asset List'!$Y$4:$AE$60,MATCH('7'!$B46,'Unique Asset List'!$A$4:$A$60,0),MATCH('7'!$C$1,'Unique Asset List'!$Y$3:$AE$3,0))</f>
        <v>2034</v>
      </c>
      <c r="Y46" s="9">
        <f>INDEX('Unique Asset List'!$AF$4:$AL$60,MATCH('7'!$B46,'Unique Asset List'!$A$4:$A$60,0),MATCH('7'!$C$1,'Unique Asset List'!$AF$3:$AL$3,0))</f>
        <v>6</v>
      </c>
      <c r="Z46" s="9">
        <f>INDEX('Unique Asset List'!$AT$4:$AZ$60,MATCH('7'!$B46,'Unique Asset List'!$A$4:$A$60,0),MATCH('7'!$C$1,'Unique Asset List'!$AT$3:$AZ$3,0))</f>
        <v>2042</v>
      </c>
      <c r="AA46" s="9">
        <f>INDEX('Unique Asset List'!$BA$4:$BG$60,MATCH('7'!$B46,'Unique Asset List'!$A$4:$A$60,0),MATCH('7'!$C$1,'Unique Asset List'!$BA$3:$BG$3,0))</f>
        <v>6</v>
      </c>
      <c r="AB46" s="16">
        <v>2.3276916000000001</v>
      </c>
      <c r="AC46" s="16">
        <v>1.0028454</v>
      </c>
      <c r="AD46" s="16">
        <v>0.56099999999999994</v>
      </c>
      <c r="AE46" s="15">
        <f>INDEX('Unique Asset List'!$CJ$4:$CP$60,MATCH('7'!$B46,'Unique Asset List'!$A$4:$A$60,0),MATCH('7'!$C$1,'Unique Asset List'!$CJ$3:$CP$3,0))</f>
        <v>0.16</v>
      </c>
      <c r="AF46" s="15">
        <f>INDEX('Unique Asset List'!$CQ$4:$CW$60,MATCH('7'!$B46,'Unique Asset List'!$A$4:$A$60,0),MATCH('7'!$C$1,'Unique Asset List'!$CQ$3:$CW$3,0))</f>
        <v>0.34</v>
      </c>
      <c r="AG46" s="15">
        <f>INDEX('Unique Asset List'!$BV$4:$CB$60,MATCH('7'!$B46,'Unique Asset List'!$A$4:$A$60,0),MATCH('7'!$C$1,'Unique Asset List'!$BV$3:$CB$3,0))</f>
        <v>0.16</v>
      </c>
      <c r="AH46" s="15">
        <f>INDEX('Unique Asset List'!$CC$4:$CI$60,MATCH('7'!$B46,'Unique Asset List'!$A$4:$A$60,0),MATCH('7'!$C$1,'Unique Asset List'!$CC$3:$CI$3,0))</f>
        <v>0.34</v>
      </c>
      <c r="AI46" s="11">
        <v>0.7</v>
      </c>
      <c r="AJ46" s="15">
        <f>INDEX('Unique Asset List'!$BH$4:$BN$60,MATCH('7'!$B46,'Unique Asset List'!$A$4:$A$60,0),MATCH('7'!$C$1,'Unique Asset List'!$BH$3:$BN$3,0))</f>
        <v>0.14000000000000001</v>
      </c>
      <c r="AK46" s="15">
        <f>INDEX('Unique Asset List'!$BO$4:$BU$60,MATCH('7'!$B46,'Unique Asset List'!$A$4:$A$60,0),MATCH('7'!$C$1,'Unique Asset List'!$BO$3:$BU$3,0))</f>
        <v>0.15</v>
      </c>
      <c r="AL46" s="40">
        <v>169</v>
      </c>
      <c r="AM46" s="14">
        <f>INDEX(Simulation!$B$6:$H$6,MATCH($A46,Simulation!$B$1:$H$1,0))*(1+AN46)^((DATE(X46,Y46,15)-DATE(2017,1,15))/365.5)</f>
        <v>0.75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5"/>
        <v>0.82</v>
      </c>
      <c r="AS46" s="10">
        <v>1</v>
      </c>
      <c r="AT46" s="181">
        <f>INDEX('Unique Asset List'!N$4:N$60,MATCH($B46,_CompoundList,0))</f>
        <v>1</v>
      </c>
      <c r="AU46" s="181">
        <f>INDEX('Unique Asset List'!O$4:O$60,MATCH($B46,_CompoundList,0))</f>
        <v>1</v>
      </c>
      <c r="AV46" s="181">
        <f>INDEX('Unique Asset List'!P$4:P$60,MATCH($B46,_CompoundList,0))</f>
        <v>1</v>
      </c>
      <c r="AW46" s="181">
        <f>INDEX('Unique Asset List'!Q$4:Q$60,MATCH($B46,_CompoundList,0))</f>
        <v>1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1</v>
      </c>
      <c r="BB46" s="181">
        <f ca="1">INDEX('Unique Asset List'!V$4:V$60,MATCH($B46,_CompoundList,0))</f>
        <v>1</v>
      </c>
      <c r="BC46" s="181">
        <f ca="1">INDEX('Unique Asset List'!W$4:W$60,MATCH($B46,_CompoundList,0))</f>
        <v>1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IF($C$5="ON",CL46,MyRating(_S1,$B46,Efficacy!$F$1))</f>
        <v>0</v>
      </c>
      <c r="BM46" s="3">
        <f>IF($C$5="ON",CM46,MyRating(_S2,$B46,Efficacy!$F$1))</f>
        <v>0</v>
      </c>
      <c r="BN46" s="3">
        <f>IF($C$5="ON",CN46,MyRating(_S3,$B46,Efficacy!$F$1))</f>
        <v>0</v>
      </c>
      <c r="BO46" s="3">
        <f>IF($C$5="ON",CO46,MyRating(_S4,$B46,Efficacy!$F$1))</f>
        <v>0</v>
      </c>
      <c r="BP46" s="3">
        <f>IF($C$5="ON",CP46,MyRating(_S5,$B46,Efficacy!$F$1))</f>
        <v>0</v>
      </c>
      <c r="BQ46" s="3">
        <f>IF($C$5="ON",CQ46,MyRating(_S6,$B46,Efficacy!$F$1))</f>
        <v>0</v>
      </c>
      <c r="BR46" s="3">
        <f>IF($C$5="ON",CR46,MyRating(_S7,$B46,Efficacy!$F$1))</f>
        <v>0</v>
      </c>
      <c r="BS46" s="3">
        <f>IF($C$5="ON",CS46,MyRating(_D1,$B46,Efficacy!$F$1))</f>
        <v>0</v>
      </c>
      <c r="BT46" s="3">
        <f>IF($C$5="ON",CT46,MyRating(_D2,$B46,Efficacy!$F$1))</f>
        <v>0</v>
      </c>
      <c r="BU46" s="3">
        <f>IF($C$5="ON",CU46,MyRating(_D3,$B46,Efficacy!$F$1))</f>
        <v>0</v>
      </c>
      <c r="BV46" s="3">
        <f>IF($C$5="ON",CV46,MyRating(_D4,$B46,Efficacy!$F$1))</f>
        <v>0</v>
      </c>
      <c r="BW46" s="3">
        <f>IF($C$5="ON",CW46,MyRating(_B1G5,$B46,Barrier!$L$2))</f>
        <v>2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9"/>
        <v>3.3407946312985805E-2</v>
      </c>
      <c r="CA46" s="8">
        <f t="shared" si="6"/>
        <v>2.8000000000000003</v>
      </c>
      <c r="CB46" s="5">
        <f t="shared" si="7"/>
        <v>3.2941176470588251E-2</v>
      </c>
      <c r="CC46" s="7">
        <f t="shared" si="8"/>
        <v>5.9787261089987885E-3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>
        <v>0</v>
      </c>
      <c r="DA46" s="59"/>
    </row>
    <row r="47" spans="1:105" x14ac:dyDescent="0.25">
      <c r="A47" s="9" t="str">
        <f t="shared" si="0"/>
        <v>JP</v>
      </c>
      <c r="B47" s="9" t="s">
        <v>7</v>
      </c>
      <c r="C47" s="20"/>
      <c r="D47" s="9" t="s">
        <v>2</v>
      </c>
      <c r="E47" s="9" t="s">
        <v>186</v>
      </c>
      <c r="F47" s="9" t="str">
        <f>INDEX('Unique Asset List'!$C$4:$C$60,MATCH(B47,_CompoundList,0))</f>
        <v>PCD</v>
      </c>
      <c r="G47" s="19">
        <v>0</v>
      </c>
      <c r="H47" s="9">
        <v>2014</v>
      </c>
      <c r="I47" s="9">
        <v>6</v>
      </c>
      <c r="J47" s="18">
        <f>INDEX(PTRS!$D$6:$D$12,MATCH('7'!$F47,PTRS!$B$6:$B$12,0))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v>0</v>
      </c>
      <c r="N47" s="17">
        <f>INDEX('Unique Asset List'!$D$4:$M$60,MATCH($B47,'Unique Asset List'!$A$4:$A$60,0),MATCH(N$8,'Unique Asset List'!$D$3:$M$3,0))</f>
        <v>1</v>
      </c>
      <c r="O47" s="17">
        <f>INDEX('Unique Asset List'!$D$4:$M$60,MATCH($B47,'Unique Asset List'!$A$4:$A$60,0),MATCH(O$8,'Unique Asset List'!$D$3:$M$3,0))</f>
        <v>1</v>
      </c>
      <c r="P47" s="17">
        <f>INDEX('Unique Asset List'!$D$4:$M$60,MATCH($B47,'Unique Asset List'!$A$4:$A$60,0),MATCH(P$8,'Unique Asset List'!$D$3:$M$3,0))</f>
        <v>1</v>
      </c>
      <c r="Q47" s="17">
        <f>INDEX('Unique Asset List'!$D$4:$M$60,MATCH($B47,'Unique Asset List'!$A$4:$A$60,0),MATCH(Q$8,'Unique Asset List'!$D$3:$M$3,0))</f>
        <v>1</v>
      </c>
      <c r="R47" s="17">
        <f>INDEX('Unique Asset List'!$D$4:$M$60,MATCH($B47,'Unique Asset List'!$A$4:$A$60,0),MATCH(R$8,'Unique Asset List'!$D$3:$M$3,0))</f>
        <v>1</v>
      </c>
      <c r="S47" s="17">
        <f>INDEX('Unique Asset List'!$D$4:$M$60,MATCH($B47,'Unique Asset List'!$A$4:$A$60,0),MATCH(S$8,'Unique Asset List'!$D$3:$M$3,0))</f>
        <v>1</v>
      </c>
      <c r="T47" s="17"/>
      <c r="U47" s="17">
        <f t="shared" si="1"/>
        <v>0.90168566420734264</v>
      </c>
      <c r="V47" s="17">
        <v>1</v>
      </c>
      <c r="W47" s="9" t="s">
        <v>7</v>
      </c>
      <c r="X47" s="9">
        <f>INDEX('Unique Asset List'!$Y$4:$AE$60,MATCH('7'!$B47,'Unique Asset List'!$A$4:$A$60,0),MATCH('7'!$C$1,'Unique Asset List'!$Y$3:$AE$3,0))</f>
        <v>2038</v>
      </c>
      <c r="Y47" s="9">
        <f>INDEX('Unique Asset List'!$AF$4:$AL$60,MATCH('7'!$B47,'Unique Asset List'!$A$4:$A$60,0),MATCH('7'!$C$1,'Unique Asset List'!$AF$3:$AL$3,0))</f>
        <v>6</v>
      </c>
      <c r="Z47" s="9">
        <f>INDEX('Unique Asset List'!$AT$4:$AZ$60,MATCH('7'!$B47,'Unique Asset List'!$A$4:$A$60,0),MATCH('7'!$C$1,'Unique Asset List'!$AT$3:$AZ$3,0))</f>
        <v>2046</v>
      </c>
      <c r="AA47" s="9">
        <f>INDEX('Unique Asset List'!$BA$4:$BG$60,MATCH('7'!$B47,'Unique Asset List'!$A$4:$A$60,0),MATCH('7'!$C$1,'Unique Asset List'!$BA$3:$BG$3,0))</f>
        <v>6</v>
      </c>
      <c r="AB47" s="16">
        <v>2.3276916000000001</v>
      </c>
      <c r="AC47" s="16">
        <v>1.0028454</v>
      </c>
      <c r="AD47" s="16">
        <v>0.56099999999999994</v>
      </c>
      <c r="AE47" s="15">
        <f>INDEX('Unique Asset List'!$CJ$4:$CP$60,MATCH('7'!$B47,'Unique Asset List'!$A$4:$A$60,0),MATCH('7'!$C$1,'Unique Asset List'!$CJ$3:$CP$3,0))</f>
        <v>0.16</v>
      </c>
      <c r="AF47" s="15">
        <f>INDEX('Unique Asset List'!$CQ$4:$CW$60,MATCH('7'!$B47,'Unique Asset List'!$A$4:$A$60,0),MATCH('7'!$C$1,'Unique Asset List'!$CQ$3:$CW$3,0))</f>
        <v>0.34</v>
      </c>
      <c r="AG47" s="15">
        <f>INDEX('Unique Asset List'!$BV$4:$CB$60,MATCH('7'!$B47,'Unique Asset List'!$A$4:$A$60,0),MATCH('7'!$C$1,'Unique Asset List'!$BV$3:$CB$3,0))</f>
        <v>0.16</v>
      </c>
      <c r="AH47" s="15">
        <f>INDEX('Unique Asset List'!$CC$4:$CI$60,MATCH('7'!$B47,'Unique Asset List'!$A$4:$A$60,0),MATCH('7'!$C$1,'Unique Asset List'!$CC$3:$CI$3,0))</f>
        <v>0.34</v>
      </c>
      <c r="AI47" s="11">
        <v>0.7</v>
      </c>
      <c r="AJ47" s="15">
        <f>INDEX('Unique Asset List'!$BH$4:$BN$60,MATCH('7'!$B47,'Unique Asset List'!$A$4:$A$60,0),MATCH('7'!$C$1,'Unique Asset List'!$BH$3:$BN$3,0))</f>
        <v>0.14000000000000001</v>
      </c>
      <c r="AK47" s="15">
        <f>INDEX('Unique Asset List'!$BO$4:$BU$60,MATCH('7'!$B47,'Unique Asset List'!$A$4:$A$60,0),MATCH('7'!$C$1,'Unique Asset List'!$BO$3:$BU$3,0))</f>
        <v>0.15</v>
      </c>
      <c r="AL47" s="40">
        <v>169</v>
      </c>
      <c r="AM47" s="14">
        <f>INDEX(Simulation!$B$6:$H$6,MATCH($A47,Simulation!$B$1:$H$1,0))*(1+AN47)^((DATE(X47,Y47,15)-DATE(2017,1,15))/365.5)</f>
        <v>0.75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5"/>
        <v>0.82</v>
      </c>
      <c r="AS47" s="10">
        <v>1</v>
      </c>
      <c r="AT47" s="181">
        <f>INDEX('Unique Asset List'!N$4:N$60,MATCH($B47,_CompoundList,0))</f>
        <v>1</v>
      </c>
      <c r="AU47" s="181">
        <f>INDEX('Unique Asset List'!O$4:O$60,MATCH($B47,_CompoundList,0))</f>
        <v>1</v>
      </c>
      <c r="AV47" s="181">
        <f>INDEX('Unique Asset List'!P$4:P$60,MATCH($B47,_CompoundList,0))</f>
        <v>1</v>
      </c>
      <c r="AW47" s="181">
        <f>INDEX('Unique Asset List'!Q$4:Q$60,MATCH($B47,_CompoundList,0))</f>
        <v>1</v>
      </c>
      <c r="AX47" s="181">
        <f ca="1">INDEX('Unique Asset List'!R$4:R$60,MATCH($B47,_CompoundList,0))</f>
        <v>1</v>
      </c>
      <c r="AY47" s="181">
        <f ca="1">INDEX('Unique Asset List'!S$4:S$60,MATCH($B47,_CompoundList,0))</f>
        <v>1</v>
      </c>
      <c r="AZ47" s="181">
        <f ca="1">INDEX('Unique Asset List'!T$4:T$60,MATCH($B47,_CompoundList,0))</f>
        <v>1</v>
      </c>
      <c r="BA47" s="181">
        <f ca="1">INDEX('Unique Asset List'!U$4:U$60,MATCH($B47,_CompoundList,0))</f>
        <v>1</v>
      </c>
      <c r="BB47" s="181">
        <f ca="1">INDEX('Unique Asset List'!V$4:V$60,MATCH($B47,_CompoundList,0))</f>
        <v>1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IF($C$5="ON",CL47,MyRating(_S1,$B47,Efficacy!$F$1))</f>
        <v>0</v>
      </c>
      <c r="BM47" s="3">
        <f>IF($C$5="ON",CM47,MyRating(_S2,$B47,Efficacy!$F$1))</f>
        <v>0</v>
      </c>
      <c r="BN47" s="3">
        <f>IF($C$5="ON",CN47,MyRating(_S3,$B47,Efficacy!$F$1))</f>
        <v>0</v>
      </c>
      <c r="BO47" s="3">
        <f>IF($C$5="ON",CO47,MyRating(_S4,$B47,Efficacy!$F$1))</f>
        <v>0</v>
      </c>
      <c r="BP47" s="3">
        <f>IF($C$5="ON",CP47,MyRating(_S5,$B47,Efficacy!$F$1))</f>
        <v>0</v>
      </c>
      <c r="BQ47" s="3">
        <f>IF($C$5="ON",CQ47,MyRating(_S6,$B47,Efficacy!$F$1))</f>
        <v>0</v>
      </c>
      <c r="BR47" s="3">
        <f>IF($C$5="ON",CR47,MyRating(_S7,$B47,Efficacy!$F$1))</f>
        <v>0</v>
      </c>
      <c r="BS47" s="3">
        <f>IF($C$5="ON",CS47,MyRating(_D1,$B47,Efficacy!$F$1))</f>
        <v>0</v>
      </c>
      <c r="BT47" s="3">
        <f>IF($C$5="ON",CT47,MyRating(_D2,$B47,Efficacy!$F$1))</f>
        <v>0</v>
      </c>
      <c r="BU47" s="3">
        <f>IF($C$5="ON",CU47,MyRating(_D3,$B47,Efficacy!$F$1))</f>
        <v>0</v>
      </c>
      <c r="BV47" s="3">
        <f>IF($C$5="ON",CV47,MyRating(_D4,$B47,Efficacy!$F$1))</f>
        <v>0</v>
      </c>
      <c r="BW47" s="3">
        <f>IF($C$5="ON",CW47,MyRating(_B1G5,$B47,Barrier!$L$2))</f>
        <v>2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9"/>
        <v>3.3407946312985805E-2</v>
      </c>
      <c r="CA47" s="8">
        <f t="shared" si="6"/>
        <v>2.8000000000000003</v>
      </c>
      <c r="CB47" s="5">
        <f t="shared" si="7"/>
        <v>3.2941176470588251E-2</v>
      </c>
      <c r="CC47" s="7">
        <f t="shared" si="8"/>
        <v>5.9787261089987885E-3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>
        <v>0</v>
      </c>
      <c r="DA47" s="59"/>
    </row>
    <row r="48" spans="1:105" x14ac:dyDescent="0.25">
      <c r="A48" s="9" t="str">
        <f t="shared" si="0"/>
        <v>JP</v>
      </c>
      <c r="B48" s="9" t="s">
        <v>15</v>
      </c>
      <c r="C48" s="20"/>
      <c r="D48" s="9" t="s">
        <v>14</v>
      </c>
      <c r="E48" s="9" t="s">
        <v>186</v>
      </c>
      <c r="F48" s="9" t="str">
        <f>INDEX('Unique Asset List'!$C$4:$C$60,MATCH(B48,_CompoundList,0))</f>
        <v>PCD</v>
      </c>
      <c r="G48" s="19">
        <v>0</v>
      </c>
      <c r="H48" s="9">
        <v>2014</v>
      </c>
      <c r="I48" s="9">
        <v>6</v>
      </c>
      <c r="J48" s="18">
        <f>INDEX(PTRS!$D$6:$D$12,MATCH('7'!$F48,PTRS!$B$6:$B$12,0))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v>0</v>
      </c>
      <c r="N48" s="17">
        <f>INDEX('Unique Asset List'!$D$4:$M$60,MATCH($B48,'Unique Asset List'!$A$4:$A$60,0),MATCH(N$8,'Unique Asset List'!$D$3:$M$3,0))</f>
        <v>1</v>
      </c>
      <c r="O48" s="17">
        <f>INDEX('Unique Asset List'!$D$4:$M$60,MATCH($B48,'Unique Asset List'!$A$4:$A$60,0),MATCH(O$8,'Unique Asset List'!$D$3:$M$3,0))</f>
        <v>1</v>
      </c>
      <c r="P48" s="17">
        <f>INDEX('Unique Asset List'!$D$4:$M$60,MATCH($B48,'Unique Asset List'!$A$4:$A$60,0),MATCH(P$8,'Unique Asset List'!$D$3:$M$3,0))</f>
        <v>1</v>
      </c>
      <c r="Q48" s="17">
        <f>INDEX('Unique Asset List'!$D$4:$M$60,MATCH($B48,'Unique Asset List'!$A$4:$A$60,0),MATCH(Q$8,'Unique Asset List'!$D$3:$M$3,0))</f>
        <v>1</v>
      </c>
      <c r="R48" s="17">
        <f>INDEX('Unique Asset List'!$D$4:$M$60,MATCH($B48,'Unique Asset List'!$A$4:$A$60,0),MATCH(R$8,'Unique Asset List'!$D$3:$M$3,0))</f>
        <v>1</v>
      </c>
      <c r="S48" s="17">
        <f>INDEX('Unique Asset List'!$D$4:$M$60,MATCH($B48,'Unique Asset List'!$A$4:$A$60,0),MATCH(S$8,'Unique Asset List'!$D$3:$M$3,0))</f>
        <v>1</v>
      </c>
      <c r="T48" s="17" t="s">
        <v>13</v>
      </c>
      <c r="U48" s="17">
        <f t="shared" si="1"/>
        <v>0.90168566420734264</v>
      </c>
      <c r="V48" s="17">
        <v>1</v>
      </c>
      <c r="W48" s="9" t="s">
        <v>13</v>
      </c>
      <c r="X48" s="9">
        <f>INDEX('Unique Asset List'!$Y$4:$AE$60,MATCH('7'!$B48,'Unique Asset List'!$A$4:$A$60,0),MATCH('7'!$C$1,'Unique Asset List'!$Y$3:$AE$3,0))</f>
        <v>2032</v>
      </c>
      <c r="Y48" s="9">
        <f>INDEX('Unique Asset List'!$AF$4:$AL$60,MATCH('7'!$B48,'Unique Asset List'!$A$4:$A$60,0),MATCH('7'!$C$1,'Unique Asset List'!$AF$3:$AL$3,0))</f>
        <v>6</v>
      </c>
      <c r="Z48" s="9">
        <f>INDEX('Unique Asset List'!$AT$4:$AZ$60,MATCH('7'!$B48,'Unique Asset List'!$A$4:$A$60,0),MATCH('7'!$C$1,'Unique Asset List'!$AT$3:$AZ$3,0))</f>
        <v>2040</v>
      </c>
      <c r="AA48" s="9">
        <f>INDEX('Unique Asset List'!$BA$4:$BG$60,MATCH('7'!$B48,'Unique Asset List'!$A$4:$A$60,0),MATCH('7'!$C$1,'Unique Asset List'!$BA$3:$BG$3,0))</f>
        <v>6</v>
      </c>
      <c r="AB48" s="16">
        <v>2.3276916000000001</v>
      </c>
      <c r="AC48" s="16">
        <v>1.0028454</v>
      </c>
      <c r="AD48" s="16">
        <v>0.56099999999999994</v>
      </c>
      <c r="AE48" s="15">
        <f>INDEX('Unique Asset List'!$CJ$4:$CP$60,MATCH('7'!$B48,'Unique Asset List'!$A$4:$A$60,0),MATCH('7'!$C$1,'Unique Asset List'!$CJ$3:$CP$3,0))</f>
        <v>0.16</v>
      </c>
      <c r="AF48" s="15">
        <f>INDEX('Unique Asset List'!$CQ$4:$CW$60,MATCH('7'!$B48,'Unique Asset List'!$A$4:$A$60,0),MATCH('7'!$C$1,'Unique Asset List'!$CQ$3:$CW$3,0))</f>
        <v>0.34</v>
      </c>
      <c r="AG48" s="15">
        <f>INDEX('Unique Asset List'!$BV$4:$CB$60,MATCH('7'!$B48,'Unique Asset List'!$A$4:$A$60,0),MATCH('7'!$C$1,'Unique Asset List'!$BV$3:$CB$3,0))</f>
        <v>0.16</v>
      </c>
      <c r="AH48" s="15">
        <f>INDEX('Unique Asset List'!$CC$4:$CI$60,MATCH('7'!$B48,'Unique Asset List'!$A$4:$A$60,0),MATCH('7'!$C$1,'Unique Asset List'!$CC$3:$CI$3,0))</f>
        <v>0.34</v>
      </c>
      <c r="AI48" s="11">
        <v>0.7</v>
      </c>
      <c r="AJ48" s="15">
        <f>INDEX('Unique Asset List'!$BH$4:$BN$60,MATCH('7'!$B48,'Unique Asset List'!$A$4:$A$60,0),MATCH('7'!$C$1,'Unique Asset List'!$BH$3:$BN$3,0))</f>
        <v>0.14000000000000001</v>
      </c>
      <c r="AK48" s="15">
        <f>INDEX('Unique Asset List'!$BO$4:$BU$60,MATCH('7'!$B48,'Unique Asset List'!$A$4:$A$60,0),MATCH('7'!$C$1,'Unique Asset List'!$BO$3:$BU$3,0))</f>
        <v>0.15</v>
      </c>
      <c r="AL48" s="40">
        <v>169</v>
      </c>
      <c r="AM48" s="14">
        <f>INDEX(Simulation!$B$6:$H$6,MATCH($A48,Simulation!$B$1:$H$1,0))*(1+AN48)^((DATE(X48,Y48,15)-DATE(2017,1,15))/365.5)</f>
        <v>0.75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5"/>
        <v>0.82</v>
      </c>
      <c r="AS48" s="10">
        <v>1</v>
      </c>
      <c r="AT48" s="181">
        <f>INDEX('Unique Asset List'!N$4:N$60,MATCH($B48,_CompoundList,0))</f>
        <v>1</v>
      </c>
      <c r="AU48" s="181">
        <f>INDEX('Unique Asset List'!O$4:O$60,MATCH($B48,_CompoundList,0))</f>
        <v>1</v>
      </c>
      <c r="AV48" s="181">
        <f>INDEX('Unique Asset List'!P$4:P$60,MATCH($B48,_CompoundList,0))</f>
        <v>1</v>
      </c>
      <c r="AW48" s="181">
        <f>INDEX('Unique Asset List'!Q$4:Q$60,MATCH($B48,_CompoundList,0))</f>
        <v>1</v>
      </c>
      <c r="AX48" s="181">
        <f ca="1">INDEX('Unique Asset List'!R$4:R$60,MATCH($B48,_CompoundList,0))</f>
        <v>1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1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1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IF($C$5="ON",CL48,MyRating(_S1,$B48,Efficacy!$F$1))</f>
        <v>0</v>
      </c>
      <c r="BM48" s="3">
        <f>IF($C$5="ON",CM48,MyRating(_S2,$B48,Efficacy!$F$1))</f>
        <v>0</v>
      </c>
      <c r="BN48" s="3">
        <f>IF($C$5="ON",CN48,MyRating(_S3,$B48,Efficacy!$F$1))</f>
        <v>0</v>
      </c>
      <c r="BO48" s="3">
        <f>IF($C$5="ON",CO48,MyRating(_S4,$B48,Efficacy!$F$1))</f>
        <v>0</v>
      </c>
      <c r="BP48" s="3">
        <f>IF($C$5="ON",CP48,MyRating(_S5,$B48,Efficacy!$F$1))</f>
        <v>0</v>
      </c>
      <c r="BQ48" s="3">
        <f>IF($C$5="ON",CQ48,MyRating(_S6,$B48,Efficacy!$F$1))</f>
        <v>0</v>
      </c>
      <c r="BR48" s="3">
        <f>IF($C$5="ON",CR48,MyRating(_S7,$B48,Efficacy!$F$1))</f>
        <v>0</v>
      </c>
      <c r="BS48" s="3">
        <f>IF($C$5="ON",CS48,MyRating(_D1,$B48,Efficacy!$F$1))</f>
        <v>0</v>
      </c>
      <c r="BT48" s="3">
        <f>IF($C$5="ON",CT48,MyRating(_D2,$B48,Efficacy!$F$1))</f>
        <v>0</v>
      </c>
      <c r="BU48" s="3">
        <f>IF($C$5="ON",CU48,MyRating(_D3,$B48,Efficacy!$F$1))</f>
        <v>0</v>
      </c>
      <c r="BV48" s="3">
        <f>IF($C$5="ON",CV48,MyRating(_D4,$B48,Efficacy!$F$1))</f>
        <v>0</v>
      </c>
      <c r="BW48" s="3">
        <f>IF($C$5="ON",CW48,MyRating(_B1G5,$B48,Barrier!$L$2))</f>
        <v>2</v>
      </c>
      <c r="BX48" s="3">
        <f>IF($C$5="ON",CX48,MyRating(_B2,$B48,Barrier!$F$2))</f>
        <v>3</v>
      </c>
      <c r="BY48" s="6">
        <f>IF($C$5="ON",CY48,MyRating(_B3,$B48,Barrier!$F$2))</f>
        <v>3</v>
      </c>
      <c r="BZ48" s="5">
        <f t="shared" si="9"/>
        <v>3.3407946312985805E-2</v>
      </c>
      <c r="CA48" s="8">
        <f t="shared" si="6"/>
        <v>2.8000000000000003</v>
      </c>
      <c r="CB48" s="5">
        <f t="shared" si="7"/>
        <v>3.2941176470588251E-2</v>
      </c>
      <c r="CC48" s="7">
        <f t="shared" si="8"/>
        <v>5.9787261089987885E-3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>
        <v>0</v>
      </c>
      <c r="DA48" s="59"/>
    </row>
    <row r="49" spans="1:105" x14ac:dyDescent="0.25">
      <c r="A49" s="9" t="str">
        <f t="shared" si="0"/>
        <v>JP</v>
      </c>
      <c r="B49" s="9" t="s">
        <v>12</v>
      </c>
      <c r="C49" s="20"/>
      <c r="D49" s="9" t="s">
        <v>11</v>
      </c>
      <c r="E49" s="9" t="s">
        <v>186</v>
      </c>
      <c r="F49" s="9" t="str">
        <f>INDEX('Unique Asset List'!$C$4:$C$60,MATCH(B49,_CompoundList,0))</f>
        <v>PCD</v>
      </c>
      <c r="G49" s="19">
        <v>0</v>
      </c>
      <c r="H49" s="9">
        <v>2014</v>
      </c>
      <c r="I49" s="9">
        <v>6</v>
      </c>
      <c r="J49" s="18">
        <f>INDEX(PTRS!$D$6:$D$12,MATCH('7'!$F49,PTRS!$B$6:$B$12,0))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v>0</v>
      </c>
      <c r="N49" s="17">
        <f>INDEX('Unique Asset List'!$D$4:$M$60,MATCH($B49,'Unique Asset List'!$A$4:$A$60,0),MATCH(N$8,'Unique Asset List'!$D$3:$M$3,0))</f>
        <v>1</v>
      </c>
      <c r="O49" s="17">
        <f>INDEX('Unique Asset List'!$D$4:$M$60,MATCH($B49,'Unique Asset List'!$A$4:$A$60,0),MATCH(O$8,'Unique Asset List'!$D$3:$M$3,0))</f>
        <v>1</v>
      </c>
      <c r="P49" s="17">
        <f>INDEX('Unique Asset List'!$D$4:$M$60,MATCH($B49,'Unique Asset List'!$A$4:$A$60,0),MATCH(P$8,'Unique Asset List'!$D$3:$M$3,0))</f>
        <v>1</v>
      </c>
      <c r="Q49" s="17">
        <f>INDEX('Unique Asset List'!$D$4:$M$60,MATCH($B49,'Unique Asset List'!$A$4:$A$60,0),MATCH(Q$8,'Unique Asset List'!$D$3:$M$3,0))</f>
        <v>1</v>
      </c>
      <c r="R49" s="17">
        <f>INDEX('Unique Asset List'!$D$4:$M$60,MATCH($B49,'Unique Asset List'!$A$4:$A$60,0),MATCH(R$8,'Unique Asset List'!$D$3:$M$3,0))</f>
        <v>1</v>
      </c>
      <c r="S49" s="17">
        <f>INDEX('Unique Asset List'!$D$4:$M$60,MATCH($B49,'Unique Asset List'!$A$4:$A$60,0),MATCH(S$8,'Unique Asset List'!$D$3:$M$3,0))</f>
        <v>1</v>
      </c>
      <c r="T49" s="17" t="s">
        <v>10</v>
      </c>
      <c r="U49" s="17">
        <f t="shared" si="1"/>
        <v>0.90168566420734264</v>
      </c>
      <c r="V49" s="17">
        <v>1</v>
      </c>
      <c r="W49" s="9" t="s">
        <v>10</v>
      </c>
      <c r="X49" s="9">
        <f>INDEX('Unique Asset List'!$Y$4:$AE$60,MATCH('7'!$B49,'Unique Asset List'!$A$4:$A$60,0),MATCH('7'!$C$1,'Unique Asset List'!$Y$3:$AE$3,0))</f>
        <v>2036</v>
      </c>
      <c r="Y49" s="9">
        <f>INDEX('Unique Asset List'!$AF$4:$AL$60,MATCH('7'!$B49,'Unique Asset List'!$A$4:$A$60,0),MATCH('7'!$C$1,'Unique Asset List'!$AF$3:$AL$3,0))</f>
        <v>6</v>
      </c>
      <c r="Z49" s="9">
        <f>INDEX('Unique Asset List'!$AT$4:$AZ$60,MATCH('7'!$B49,'Unique Asset List'!$A$4:$A$60,0),MATCH('7'!$C$1,'Unique Asset List'!$AT$3:$AZ$3,0))</f>
        <v>2044</v>
      </c>
      <c r="AA49" s="9">
        <f>INDEX('Unique Asset List'!$BA$4:$BG$60,MATCH('7'!$B49,'Unique Asset List'!$A$4:$A$60,0),MATCH('7'!$C$1,'Unique Asset List'!$BA$3:$BG$3,0))</f>
        <v>6</v>
      </c>
      <c r="AB49" s="16">
        <v>2.3276916000000001</v>
      </c>
      <c r="AC49" s="16">
        <v>1.0028454</v>
      </c>
      <c r="AD49" s="16">
        <v>0.56099999999999994</v>
      </c>
      <c r="AE49" s="15">
        <f>INDEX('Unique Asset List'!$CJ$4:$CP$60,MATCH('7'!$B49,'Unique Asset List'!$A$4:$A$60,0),MATCH('7'!$C$1,'Unique Asset List'!$CJ$3:$CP$3,0))</f>
        <v>0.16</v>
      </c>
      <c r="AF49" s="15">
        <f>INDEX('Unique Asset List'!$CQ$4:$CW$60,MATCH('7'!$B49,'Unique Asset List'!$A$4:$A$60,0),MATCH('7'!$C$1,'Unique Asset List'!$CQ$3:$CW$3,0))</f>
        <v>0.34</v>
      </c>
      <c r="AG49" s="15">
        <f>INDEX('Unique Asset List'!$BV$4:$CB$60,MATCH('7'!$B49,'Unique Asset List'!$A$4:$A$60,0),MATCH('7'!$C$1,'Unique Asset List'!$BV$3:$CB$3,0))</f>
        <v>0.16</v>
      </c>
      <c r="AH49" s="15">
        <f>INDEX('Unique Asset List'!$CC$4:$CI$60,MATCH('7'!$B49,'Unique Asset List'!$A$4:$A$60,0),MATCH('7'!$C$1,'Unique Asset List'!$CC$3:$CI$3,0))</f>
        <v>0.34</v>
      </c>
      <c r="AI49" s="11">
        <v>0.7</v>
      </c>
      <c r="AJ49" s="15">
        <f>INDEX('Unique Asset List'!$BH$4:$BN$60,MATCH('7'!$B49,'Unique Asset List'!$A$4:$A$60,0),MATCH('7'!$C$1,'Unique Asset List'!$BH$3:$BN$3,0))</f>
        <v>0.14000000000000001</v>
      </c>
      <c r="AK49" s="15">
        <f>INDEX('Unique Asset List'!$BO$4:$BU$60,MATCH('7'!$B49,'Unique Asset List'!$A$4:$A$60,0),MATCH('7'!$C$1,'Unique Asset List'!$BO$3:$BU$3,0))</f>
        <v>0.15</v>
      </c>
      <c r="AL49" s="40">
        <v>169</v>
      </c>
      <c r="AM49" s="14">
        <f>INDEX(Simulation!$B$6:$H$6,MATCH($A49,Simulation!$B$1:$H$1,0))*(1+AN49)^((DATE(X49,Y49,15)-DATE(2017,1,15))/365.5)</f>
        <v>0.75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5"/>
        <v>0.82</v>
      </c>
      <c r="AS49" s="10">
        <v>1</v>
      </c>
      <c r="AT49" s="181">
        <f>INDEX('Unique Asset List'!N$4:N$60,MATCH($B49,_CompoundList,0))</f>
        <v>1</v>
      </c>
      <c r="AU49" s="181">
        <f>INDEX('Unique Asset List'!O$4:O$60,MATCH($B49,_CompoundList,0))</f>
        <v>1</v>
      </c>
      <c r="AV49" s="181">
        <f>INDEX('Unique Asset List'!P$4:P$60,MATCH($B49,_CompoundList,0))</f>
        <v>1</v>
      </c>
      <c r="AW49" s="181">
        <f>INDEX('Unique Asset List'!Q$4:Q$60,MATCH($B49,_CompoundList,0))</f>
        <v>1</v>
      </c>
      <c r="AX49" s="181">
        <f ca="1">INDEX('Unique Asset List'!R$4:R$60,MATCH($B49,_CompoundList,0))</f>
        <v>1</v>
      </c>
      <c r="AY49" s="181">
        <f ca="1">INDEX('Unique Asset List'!S$4:S$60,MATCH($B49,_CompoundList,0))</f>
        <v>1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1</v>
      </c>
      <c r="BB49" s="181">
        <f ca="1">INDEX('Unique Asset List'!V$4:V$60,MATCH($B49,_CompoundList,0))</f>
        <v>1</v>
      </c>
      <c r="BC49" s="181">
        <f ca="1">INDEX('Unique Asset List'!W$4:W$60,MATCH($B49,_CompoundList,0))</f>
        <v>1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IF($C$5="ON",CL49,MyRating(_S1,$B49,Efficacy!$F$1))</f>
        <v>0</v>
      </c>
      <c r="BM49" s="3">
        <f>IF($C$5="ON",CM49,MyRating(_S2,$B49,Efficacy!$F$1))</f>
        <v>0</v>
      </c>
      <c r="BN49" s="3">
        <f>IF($C$5="ON",CN49,MyRating(_S3,$B49,Efficacy!$F$1))</f>
        <v>0</v>
      </c>
      <c r="BO49" s="3">
        <f>IF($C$5="ON",CO49,MyRating(_S4,$B49,Efficacy!$F$1))</f>
        <v>0</v>
      </c>
      <c r="BP49" s="3">
        <f>IF($C$5="ON",CP49,MyRating(_S5,$B49,Efficacy!$F$1))</f>
        <v>0</v>
      </c>
      <c r="BQ49" s="3">
        <f>IF($C$5="ON",CQ49,MyRating(_S6,$B49,Efficacy!$F$1))</f>
        <v>0</v>
      </c>
      <c r="BR49" s="3">
        <f>IF($C$5="ON",CR49,MyRating(_S7,$B49,Efficacy!$F$1))</f>
        <v>0</v>
      </c>
      <c r="BS49" s="3">
        <f>IF($C$5="ON",CS49,MyRating(_D1,$B49,Efficacy!$F$1))</f>
        <v>0</v>
      </c>
      <c r="BT49" s="3">
        <f>IF($C$5="ON",CT49,MyRating(_D2,$B49,Efficacy!$F$1))</f>
        <v>0</v>
      </c>
      <c r="BU49" s="3">
        <f>IF($C$5="ON",CU49,MyRating(_D3,$B49,Efficacy!$F$1))</f>
        <v>0</v>
      </c>
      <c r="BV49" s="3">
        <f>IF($C$5="ON",CV49,MyRating(_D4,$B49,Efficacy!$F$1))</f>
        <v>0</v>
      </c>
      <c r="BW49" s="3">
        <f>IF($C$5="ON",CW49,MyRating(_B1G5,$B49,Barrier!$L$2))</f>
        <v>2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9"/>
        <v>3.3407946312985805E-2</v>
      </c>
      <c r="CA49" s="8">
        <f t="shared" si="6"/>
        <v>2.8000000000000003</v>
      </c>
      <c r="CB49" s="5">
        <f t="shared" si="7"/>
        <v>3.2941176470588251E-2</v>
      </c>
      <c r="CC49" s="7">
        <f t="shared" si="8"/>
        <v>5.9787261089987885E-3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>
        <v>0</v>
      </c>
      <c r="DA49" s="59"/>
    </row>
    <row r="50" spans="1:105" x14ac:dyDescent="0.25">
      <c r="A50" s="9" t="str">
        <f t="shared" si="0"/>
        <v>JP</v>
      </c>
      <c r="B50" s="9" t="s">
        <v>9</v>
      </c>
      <c r="C50" s="20"/>
      <c r="D50" s="9" t="s">
        <v>8</v>
      </c>
      <c r="E50" s="9" t="s">
        <v>186</v>
      </c>
      <c r="F50" s="9" t="str">
        <f>INDEX('Unique Asset List'!$C$4:$C$60,MATCH(B50,_CompoundList,0))</f>
        <v>PCD</v>
      </c>
      <c r="G50" s="19">
        <v>0</v>
      </c>
      <c r="H50" s="9">
        <v>2014</v>
      </c>
      <c r="I50" s="9">
        <v>6</v>
      </c>
      <c r="J50" s="18">
        <f>INDEX(PTRS!$D$6:$D$12,MATCH('7'!$F50,PTRS!$B$6:$B$12,0))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v>0</v>
      </c>
      <c r="N50" s="17">
        <f>INDEX('Unique Asset List'!$D$4:$M$60,MATCH($B50,'Unique Asset List'!$A$4:$A$60,0),MATCH(N$8,'Unique Asset List'!$D$3:$M$3,0))</f>
        <v>1</v>
      </c>
      <c r="O50" s="17">
        <f>INDEX('Unique Asset List'!$D$4:$M$60,MATCH($B50,'Unique Asset List'!$A$4:$A$60,0),MATCH(O$8,'Unique Asset List'!$D$3:$M$3,0))</f>
        <v>1</v>
      </c>
      <c r="P50" s="17">
        <f>INDEX('Unique Asset List'!$D$4:$M$60,MATCH($B50,'Unique Asset List'!$A$4:$A$60,0),MATCH(P$8,'Unique Asset List'!$D$3:$M$3,0))</f>
        <v>1</v>
      </c>
      <c r="Q50" s="17">
        <f>INDEX('Unique Asset List'!$D$4:$M$60,MATCH($B50,'Unique Asset List'!$A$4:$A$60,0),MATCH(Q$8,'Unique Asset List'!$D$3:$M$3,0))</f>
        <v>1</v>
      </c>
      <c r="R50" s="17">
        <f>INDEX('Unique Asset List'!$D$4:$M$60,MATCH($B50,'Unique Asset List'!$A$4:$A$60,0),MATCH(R$8,'Unique Asset List'!$D$3:$M$3,0))</f>
        <v>1</v>
      </c>
      <c r="S50" s="17">
        <f>INDEX('Unique Asset List'!$D$4:$M$60,MATCH($B50,'Unique Asset List'!$A$4:$A$60,0),MATCH(S$8,'Unique Asset List'!$D$3:$M$3,0))</f>
        <v>1</v>
      </c>
      <c r="T50" s="17" t="s">
        <v>7</v>
      </c>
      <c r="U50" s="17">
        <f t="shared" si="1"/>
        <v>0.90168566420734264</v>
      </c>
      <c r="V50" s="17">
        <v>1</v>
      </c>
      <c r="W50" s="9" t="s">
        <v>7</v>
      </c>
      <c r="X50" s="9">
        <f>INDEX('Unique Asset List'!$Y$4:$AE$60,MATCH('7'!$B50,'Unique Asset List'!$A$4:$A$60,0),MATCH('7'!$C$1,'Unique Asset List'!$Y$3:$AE$3,0))</f>
        <v>2041</v>
      </c>
      <c r="Y50" s="9">
        <f>INDEX('Unique Asset List'!$AF$4:$AL$60,MATCH('7'!$B50,'Unique Asset List'!$A$4:$A$60,0),MATCH('7'!$C$1,'Unique Asset List'!$AF$3:$AL$3,0))</f>
        <v>6</v>
      </c>
      <c r="Z50" s="9">
        <f>INDEX('Unique Asset List'!$AT$4:$AZ$60,MATCH('7'!$B50,'Unique Asset List'!$A$4:$A$60,0),MATCH('7'!$C$1,'Unique Asset List'!$AT$3:$AZ$3,0))</f>
        <v>2049</v>
      </c>
      <c r="AA50" s="9">
        <f>INDEX('Unique Asset List'!$BA$4:$BG$60,MATCH('7'!$B50,'Unique Asset List'!$A$4:$A$60,0),MATCH('7'!$C$1,'Unique Asset List'!$BA$3:$BG$3,0))</f>
        <v>6</v>
      </c>
      <c r="AB50" s="16">
        <v>2.3276916000000001</v>
      </c>
      <c r="AC50" s="16">
        <v>1.0028454</v>
      </c>
      <c r="AD50" s="16">
        <v>0.56099999999999994</v>
      </c>
      <c r="AE50" s="15">
        <f>INDEX('Unique Asset List'!$CJ$4:$CP$60,MATCH('7'!$B50,'Unique Asset List'!$A$4:$A$60,0),MATCH('7'!$C$1,'Unique Asset List'!$CJ$3:$CP$3,0))</f>
        <v>0.16</v>
      </c>
      <c r="AF50" s="15">
        <f>INDEX('Unique Asset List'!$CQ$4:$CW$60,MATCH('7'!$B50,'Unique Asset List'!$A$4:$A$60,0),MATCH('7'!$C$1,'Unique Asset List'!$CQ$3:$CW$3,0))</f>
        <v>0.34</v>
      </c>
      <c r="AG50" s="15">
        <f>INDEX('Unique Asset List'!$BV$4:$CB$60,MATCH('7'!$B50,'Unique Asset List'!$A$4:$A$60,0),MATCH('7'!$C$1,'Unique Asset List'!$BV$3:$CB$3,0))</f>
        <v>0.16</v>
      </c>
      <c r="AH50" s="15">
        <f>INDEX('Unique Asset List'!$CC$4:$CI$60,MATCH('7'!$B50,'Unique Asset List'!$A$4:$A$60,0),MATCH('7'!$C$1,'Unique Asset List'!$CC$3:$CI$3,0))</f>
        <v>0.34</v>
      </c>
      <c r="AI50" s="11">
        <v>0.7</v>
      </c>
      <c r="AJ50" s="15">
        <f>INDEX('Unique Asset List'!$BH$4:$BN$60,MATCH('7'!$B50,'Unique Asset List'!$A$4:$A$60,0),MATCH('7'!$C$1,'Unique Asset List'!$BH$3:$BN$3,0))</f>
        <v>0.14000000000000001</v>
      </c>
      <c r="AK50" s="15">
        <f>INDEX('Unique Asset List'!$BO$4:$BU$60,MATCH('7'!$B50,'Unique Asset List'!$A$4:$A$60,0),MATCH('7'!$C$1,'Unique Asset List'!$BO$3:$BU$3,0))</f>
        <v>0.15</v>
      </c>
      <c r="AL50" s="40">
        <v>169</v>
      </c>
      <c r="AM50" s="14">
        <f>INDEX(Simulation!$B$6:$H$6,MATCH($A50,Simulation!$B$1:$H$1,0))*(1+AN50)^((DATE(X50,Y50,15)-DATE(2017,1,15))/365.5)</f>
        <v>0.75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5"/>
        <v>0.82</v>
      </c>
      <c r="AS50" s="10">
        <v>1</v>
      </c>
      <c r="AT50" s="181">
        <f>INDEX('Unique Asset List'!N$4:N$60,MATCH($B50,_CompoundList,0))</f>
        <v>1</v>
      </c>
      <c r="AU50" s="181">
        <f>INDEX('Unique Asset List'!O$4:O$60,MATCH($B50,_CompoundList,0))</f>
        <v>1</v>
      </c>
      <c r="AV50" s="181">
        <f>INDEX('Unique Asset List'!P$4:P$60,MATCH($B50,_CompoundList,0))</f>
        <v>1</v>
      </c>
      <c r="AW50" s="181">
        <f>INDEX('Unique Asset List'!Q$4:Q$60,MATCH($B50,_CompoundList,0))</f>
        <v>1</v>
      </c>
      <c r="AX50" s="181">
        <f ca="1">INDEX('Unique Asset List'!R$4:R$60,MATCH($B50,_CompoundList,0))</f>
        <v>1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1</v>
      </c>
      <c r="BA50" s="181">
        <f ca="1">INDEX('Unique Asset List'!U$4:U$60,MATCH($B50,_CompoundList,0))</f>
        <v>1</v>
      </c>
      <c r="BB50" s="181">
        <f ca="1">INDEX('Unique Asset List'!V$4:V$60,MATCH($B50,_CompoundList,0))</f>
        <v>1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IF($C$5="ON",CL50,MyRating(_S1,$B50,Efficacy!$F$1))</f>
        <v>0</v>
      </c>
      <c r="BM50" s="3">
        <f>IF($C$5="ON",CM50,MyRating(_S2,$B50,Efficacy!$F$1))</f>
        <v>0</v>
      </c>
      <c r="BN50" s="3">
        <f>IF($C$5="ON",CN50,MyRating(_S3,$B50,Efficacy!$F$1))</f>
        <v>0</v>
      </c>
      <c r="BO50" s="3">
        <f>IF($C$5="ON",CO50,MyRating(_S4,$B50,Efficacy!$F$1))</f>
        <v>0</v>
      </c>
      <c r="BP50" s="3">
        <f>IF($C$5="ON",CP50,MyRating(_S5,$B50,Efficacy!$F$1))</f>
        <v>0</v>
      </c>
      <c r="BQ50" s="3">
        <f>IF($C$5="ON",CQ50,MyRating(_S6,$B50,Efficacy!$F$1))</f>
        <v>0</v>
      </c>
      <c r="BR50" s="3">
        <f>IF($C$5="ON",CR50,MyRating(_S7,$B50,Efficacy!$F$1))</f>
        <v>0</v>
      </c>
      <c r="BS50" s="3">
        <f>IF($C$5="ON",CS50,MyRating(_D1,$B50,Efficacy!$F$1))</f>
        <v>0</v>
      </c>
      <c r="BT50" s="3">
        <f>IF($C$5="ON",CT50,MyRating(_D2,$B50,Efficacy!$F$1))</f>
        <v>0</v>
      </c>
      <c r="BU50" s="3">
        <f>IF($C$5="ON",CU50,MyRating(_D3,$B50,Efficacy!$F$1))</f>
        <v>0</v>
      </c>
      <c r="BV50" s="3">
        <f>IF($C$5="ON",CV50,MyRating(_D4,$B50,Efficacy!$F$1))</f>
        <v>0</v>
      </c>
      <c r="BW50" s="3">
        <f>IF($C$5="ON",CW50,MyRating(_B1G5,$B50,Barrier!$L$2))</f>
        <v>2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9"/>
        <v>3.3407946312985805E-2</v>
      </c>
      <c r="CA50" s="8">
        <f t="shared" si="6"/>
        <v>2.8000000000000003</v>
      </c>
      <c r="CB50" s="5">
        <f t="shared" si="7"/>
        <v>3.2941176470588251E-2</v>
      </c>
      <c r="CC50" s="7">
        <f t="shared" si="8"/>
        <v>5.9787261089987885E-3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>
        <v>0</v>
      </c>
      <c r="DA50" s="59"/>
    </row>
    <row r="51" spans="1:105" x14ac:dyDescent="0.25">
      <c r="A51" s="9" t="str">
        <f t="shared" si="0"/>
        <v>JP</v>
      </c>
      <c r="B51" s="9" t="s">
        <v>4</v>
      </c>
      <c r="C51" s="20" t="s">
        <v>3</v>
      </c>
      <c r="D51" s="9" t="s">
        <v>2</v>
      </c>
      <c r="E51" s="9" t="s">
        <v>186</v>
      </c>
      <c r="F51" s="9" t="str">
        <f>INDEX('Unique Asset List'!$C$4:$C$60,MATCH(B51,_CompoundList,0))</f>
        <v>PCD</v>
      </c>
      <c r="G51" s="19">
        <v>0</v>
      </c>
      <c r="H51" s="9">
        <v>2014</v>
      </c>
      <c r="I51" s="9">
        <v>6</v>
      </c>
      <c r="J51" s="18">
        <f>INDEX(PTRS!$D$6:$D$12,MATCH('7'!$F51,PTRS!$B$6:$B$12,0))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v>0</v>
      </c>
      <c r="N51" s="17">
        <f>INDEX('Unique Asset List'!$D$4:$M$60,MATCH($B51,'Unique Asset List'!$A$4:$A$60,0),MATCH(N$8,'Unique Asset List'!$D$3:$M$3,0))</f>
        <v>0</v>
      </c>
      <c r="O51" s="17">
        <f>INDEX('Unique Asset List'!$D$4:$M$60,MATCH($B51,'Unique Asset List'!$A$4:$A$60,0),MATCH(O$8,'Unique Asset List'!$D$3:$M$3,0))</f>
        <v>0</v>
      </c>
      <c r="P51" s="17">
        <f>INDEX('Unique Asset List'!$D$4:$M$60,MATCH($B51,'Unique Asset List'!$A$4:$A$60,0),MATCH(P$8,'Unique Asset List'!$D$3:$M$3,0))</f>
        <v>0</v>
      </c>
      <c r="Q51" s="17">
        <f>INDEX('Unique Asset List'!$D$4:$M$60,MATCH($B51,'Unique Asset List'!$A$4:$A$60,0),MATCH(Q$8,'Unique Asset List'!$D$3:$M$3,0))</f>
        <v>0</v>
      </c>
      <c r="R51" s="17">
        <f>INDEX('Unique Asset List'!$D$4:$M$60,MATCH($B51,'Unique Asset List'!$A$4:$A$60,0),MATCH(R$8,'Unique Asset List'!$D$3:$M$3,0))</f>
        <v>0</v>
      </c>
      <c r="S51" s="17">
        <f>INDEX('Unique Asset List'!$D$4:$M$60,MATCH($B51,'Unique Asset List'!$A$4:$A$60,0),MATCH(S$8,'Unique Asset List'!$D$3:$M$3,0))</f>
        <v>0</v>
      </c>
      <c r="T51" s="17"/>
      <c r="U51" s="17">
        <f t="shared" si="1"/>
        <v>0</v>
      </c>
      <c r="V51" s="17">
        <v>1</v>
      </c>
      <c r="W51" s="9" t="s">
        <v>0</v>
      </c>
      <c r="X51" s="9">
        <f>INDEX('Unique Asset List'!$Y$4:$AE$60,MATCH('7'!$B51,'Unique Asset List'!$A$4:$A$60,0),MATCH('7'!$C$1,'Unique Asset List'!$Y$3:$AE$3,0))</f>
        <v>2051</v>
      </c>
      <c r="Y51" s="9">
        <f>INDEX('Unique Asset List'!$AF$4:$AL$60,MATCH('7'!$B51,'Unique Asset List'!$A$4:$A$60,0),MATCH('7'!$C$1,'Unique Asset List'!$AF$3:$AL$3,0))</f>
        <v>9</v>
      </c>
      <c r="Z51" s="9">
        <f>INDEX('Unique Asset List'!$AT$4:$AZ$60,MATCH('7'!$B51,'Unique Asset List'!$A$4:$A$60,0),MATCH('7'!$C$1,'Unique Asset List'!$AT$3:$AZ$3,0))</f>
        <v>2059</v>
      </c>
      <c r="AA51" s="9">
        <f>INDEX('Unique Asset List'!$BA$4:$BG$60,MATCH('7'!$B51,'Unique Asset List'!$A$4:$A$60,0),MATCH('7'!$C$1,'Unique Asset List'!$BA$3:$BG$3,0))</f>
        <v>9</v>
      </c>
      <c r="AB51" s="16">
        <f t="shared" ref="AB51:AB58" si="10">SUMPRODUCT($BD51:$BK51,$BD$7:$BK$7)</f>
        <v>0</v>
      </c>
      <c r="AC51" s="16">
        <f t="shared" ref="AC51:AC58" si="11">SUMPRODUCT($BL51:$BR51,$BL$7:$BR$7)</f>
        <v>0</v>
      </c>
      <c r="AD51" s="16">
        <f t="shared" ref="AD51:AD58" si="12">SUMPRODUCT($BS51:$BV51,$BS$7:$BV$7)</f>
        <v>0</v>
      </c>
      <c r="AE51" s="15">
        <f>INDEX('Unique Asset List'!$CJ$4:$CP$60,MATCH('7'!$B51,'Unique Asset List'!$A$4:$A$60,0),MATCH('7'!$C$1,'Unique Asset List'!$CJ$3:$CP$3,0))</f>
        <v>0.16</v>
      </c>
      <c r="AF51" s="15">
        <f>INDEX('Unique Asset List'!$CQ$4:$CW$60,MATCH('7'!$B51,'Unique Asset List'!$A$4:$A$60,0),MATCH('7'!$C$1,'Unique Asset List'!$CQ$3:$CW$3,0))</f>
        <v>0.34</v>
      </c>
      <c r="AG51" s="15">
        <f>INDEX('Unique Asset List'!$BV$4:$CB$60,MATCH('7'!$B51,'Unique Asset List'!$A$4:$A$60,0),MATCH('7'!$C$1,'Unique Asset List'!$BV$3:$CB$3,0))</f>
        <v>0.16</v>
      </c>
      <c r="AH51" s="15">
        <f>INDEX('Unique Asset List'!$CC$4:$CI$60,MATCH('7'!$B51,'Unique Asset List'!$A$4:$A$60,0),MATCH('7'!$C$1,'Unique Asset List'!$CC$3:$CI$3,0))</f>
        <v>0.34</v>
      </c>
      <c r="AI51" s="11">
        <v>0.7</v>
      </c>
      <c r="AJ51" s="15">
        <f>INDEX('Unique Asset List'!$BH$4:$BN$60,MATCH('7'!$B51,'Unique Asset List'!$A$4:$A$60,0),MATCH('7'!$C$1,'Unique Asset List'!$BH$3:$BN$3,0))</f>
        <v>0.14000000000000001</v>
      </c>
      <c r="AK51" s="15">
        <f>INDEX('Unique Asset List'!$BO$4:$BU$60,MATCH('7'!$B51,'Unique Asset List'!$A$4:$A$60,0),MATCH('7'!$C$1,'Unique Asset List'!$BO$3:$BU$3,0))</f>
        <v>0.15</v>
      </c>
      <c r="AL51" s="40">
        <v>169</v>
      </c>
      <c r="AM51" s="14">
        <f>INDEX(Simulation!$B$6:$H$6,MATCH($A51,Simulation!$B$1:$H$1,0))*(1+AN51)^((DATE(X51,Y51,15)-DATE(2017,1,15))/365.5)</f>
        <v>0.75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5"/>
        <v>0.82</v>
      </c>
      <c r="AS51" s="10">
        <v>1</v>
      </c>
      <c r="AT51" s="181">
        <f>INDEX('Unique Asset List'!N$4:N$60,MATCH($B51,_CompoundList,0))</f>
        <v>0</v>
      </c>
      <c r="AU51" s="181">
        <f>INDEX('Unique Asset List'!O$4:O$60,MATCH($B51,_CompoundList,0))</f>
        <v>0</v>
      </c>
      <c r="AV51" s="181">
        <f>INDEX('Unique Asset List'!P$4:P$60,MATCH($B51,_CompoundList,0))</f>
        <v>0</v>
      </c>
      <c r="AW51" s="181">
        <f>INDEX('Unique Asset List'!Q$4:Q$60,MATCH($B51,_CompoundList,0))</f>
        <v>0</v>
      </c>
      <c r="AX51" s="181">
        <f ca="1">INDEX('Unique Asset List'!R$4:R$60,MATCH($B51,_CompoundList,0))</f>
        <v>0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0</v>
      </c>
      <c r="BA51" s="181">
        <f ca="1">INDEX('Unique Asset List'!U$4:U$60,MATCH($B51,_CompoundList,0))</f>
        <v>0</v>
      </c>
      <c r="BB51" s="181">
        <f ca="1">INDEX('Unique Asset List'!V$4:V$60,MATCH($B51,_CompoundList,0))</f>
        <v>0</v>
      </c>
      <c r="BC51" s="181">
        <f ca="1">INDEX('Unique Asset List'!W$4:W$60,MATCH($B51,_CompoundList,0))</f>
        <v>0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IF($C$5="ON",CL51,MyRating(_S1,$B51,Efficacy!$F$1))</f>
        <v>0</v>
      </c>
      <c r="BM51" s="3">
        <f>IF($C$5="ON",CM51,MyRating(_S2,$B51,Efficacy!$F$1))</f>
        <v>0</v>
      </c>
      <c r="BN51" s="3">
        <f>IF($C$5="ON",CN51,MyRating(_S3,$B51,Efficacy!$F$1))</f>
        <v>0</v>
      </c>
      <c r="BO51" s="3">
        <f>IF($C$5="ON",CO51,MyRating(_S4,$B51,Efficacy!$F$1))</f>
        <v>0</v>
      </c>
      <c r="BP51" s="3">
        <f>IF($C$5="ON",CP51,MyRating(_S5,$B51,Efficacy!$F$1))</f>
        <v>0</v>
      </c>
      <c r="BQ51" s="3">
        <f>IF($C$5="ON",CQ51,MyRating(_S6,$B51,Efficacy!$F$1))</f>
        <v>0</v>
      </c>
      <c r="BR51" s="3">
        <f>IF($C$5="ON",CR51,MyRating(_S7,$B51,Efficacy!$F$1))</f>
        <v>0</v>
      </c>
      <c r="BS51" s="3">
        <f>IF($C$5="ON",CS51,MyRating(_D1,$B51,Efficacy!$F$1))</f>
        <v>0</v>
      </c>
      <c r="BT51" s="3">
        <f>IF($C$5="ON",CT51,MyRating(_D2,$B51,Efficacy!$F$1))</f>
        <v>0</v>
      </c>
      <c r="BU51" s="3">
        <f>IF($C$5="ON",CU51,MyRating(_D3,$B51,Efficacy!$F$1))</f>
        <v>0</v>
      </c>
      <c r="BV51" s="3">
        <f>IF($C$5="ON",CV51,MyRating(_D4,$B51,Efficacy!$F$1))</f>
        <v>0</v>
      </c>
      <c r="BW51" s="3">
        <f>IF($C$5="ON",CW51,MyRating(_B1G5,$B51,Barrier!$L$2))</f>
        <v>0</v>
      </c>
      <c r="BX51" s="3">
        <f>IF($C$5="ON",CX51,MyRating(_B2,$B51,Barrier!$F$2))</f>
        <v>0</v>
      </c>
      <c r="BY51" s="6">
        <f>IF($C$5="ON",CY51,MyRating(_B3,$B51,Barrier!$F$2))</f>
        <v>0</v>
      </c>
      <c r="BZ51" s="5">
        <f t="shared" si="9"/>
        <v>0</v>
      </c>
      <c r="CA51" s="8">
        <f t="shared" si="6"/>
        <v>0</v>
      </c>
      <c r="CB51" s="5">
        <f t="shared" si="7"/>
        <v>0</v>
      </c>
      <c r="CC51" s="7">
        <f t="shared" si="8"/>
        <v>0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>
        <v>0</v>
      </c>
      <c r="DA51" s="59"/>
    </row>
    <row r="52" spans="1:105" x14ac:dyDescent="0.25">
      <c r="A52" s="9" t="str">
        <f t="shared" si="0"/>
        <v>JP</v>
      </c>
      <c r="B52" s="9" t="s">
        <v>68</v>
      </c>
      <c r="C52" s="20" t="s">
        <v>3</v>
      </c>
      <c r="D52" s="9" t="s">
        <v>2</v>
      </c>
      <c r="E52" s="9" t="s">
        <v>186</v>
      </c>
      <c r="F52" s="9" t="str">
        <f>INDEX('Unique Asset List'!$C$4:$C$60,MATCH(B52,_CompoundList,0))</f>
        <v>PCD</v>
      </c>
      <c r="G52" s="19">
        <v>0</v>
      </c>
      <c r="H52" s="9">
        <v>2014</v>
      </c>
      <c r="I52" s="9">
        <v>6</v>
      </c>
      <c r="J52" s="18">
        <f>INDEX(PTRS!$D$6:$D$12,MATCH('7'!$F52,PTRS!$B$6:$B$12,0))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v>0</v>
      </c>
      <c r="N52" s="17">
        <f>INDEX('Unique Asset List'!$D$4:$M$60,MATCH($B52,'Unique Asset List'!$A$4:$A$60,0),MATCH(N$8,'Unique Asset List'!$D$3:$M$3,0))</f>
        <v>0.1044225</v>
      </c>
      <c r="O52" s="17">
        <f>INDEX('Unique Asset List'!$D$4:$M$60,MATCH($B52,'Unique Asset List'!$A$4:$A$60,0),MATCH(O$8,'Unique Asset List'!$D$3:$M$3,0))</f>
        <v>0.1044225</v>
      </c>
      <c r="P52" s="17">
        <f>INDEX('Unique Asset List'!$D$4:$M$60,MATCH($B52,'Unique Asset List'!$A$4:$A$60,0),MATCH(P$8,'Unique Asset List'!$D$3:$M$3,0))</f>
        <v>0.1044225</v>
      </c>
      <c r="Q52" s="17">
        <f>INDEX('Unique Asset List'!$D$4:$M$60,MATCH($B52,'Unique Asset List'!$A$4:$A$60,0),MATCH(Q$8,'Unique Asset List'!$D$3:$M$3,0))</f>
        <v>0.1044225</v>
      </c>
      <c r="R52" s="17">
        <f>INDEX('Unique Asset List'!$D$4:$M$60,MATCH($B52,'Unique Asset List'!$A$4:$A$60,0),MATCH(R$8,'Unique Asset List'!$D$3:$M$3,0))</f>
        <v>0.1044225</v>
      </c>
      <c r="S52" s="17">
        <f>INDEX('Unique Asset List'!$D$4:$M$60,MATCH($B52,'Unique Asset List'!$A$4:$A$60,0),MATCH(S$8,'Unique Asset List'!$D$3:$M$3,0))</f>
        <v>0</v>
      </c>
      <c r="T52" s="17"/>
      <c r="U52" s="17">
        <f t="shared" si="1"/>
        <v>0</v>
      </c>
      <c r="V52" s="17">
        <v>1</v>
      </c>
      <c r="W52" s="9" t="s">
        <v>68</v>
      </c>
      <c r="X52" s="9">
        <f>INDEX('Unique Asset List'!$Y$4:$AE$60,MATCH('7'!$B52,'Unique Asset List'!$A$4:$A$60,0),MATCH('7'!$C$1,'Unique Asset List'!$Y$3:$AE$3,0))</f>
        <v>2032</v>
      </c>
      <c r="Y52" s="9">
        <f>INDEX('Unique Asset List'!$AF$4:$AL$60,MATCH('7'!$B52,'Unique Asset List'!$A$4:$A$60,0),MATCH('7'!$C$1,'Unique Asset List'!$AF$3:$AL$3,0))</f>
        <v>3</v>
      </c>
      <c r="Z52" s="9">
        <f>INDEX('Unique Asset List'!$AT$4:$AZ$60,MATCH('7'!$B52,'Unique Asset List'!$A$4:$A$60,0),MATCH('7'!$C$1,'Unique Asset List'!$AT$3:$AZ$3,0))</f>
        <v>2040</v>
      </c>
      <c r="AA52" s="9">
        <f>INDEX('Unique Asset List'!$BA$4:$BG$60,MATCH('7'!$B52,'Unique Asset List'!$A$4:$A$60,0),MATCH('7'!$C$1,'Unique Asset List'!$BA$3:$BG$3,0))</f>
        <v>3</v>
      </c>
      <c r="AB52" s="16">
        <f t="shared" si="10"/>
        <v>2.1518980000000005</v>
      </c>
      <c r="AC52" s="16">
        <f t="shared" si="11"/>
        <v>0.94137550000000003</v>
      </c>
      <c r="AD52" s="16">
        <f t="shared" si="12"/>
        <v>0.56099999999999994</v>
      </c>
      <c r="AE52" s="15">
        <f>INDEX('Unique Asset List'!$CJ$4:$CP$60,MATCH('7'!$B52,'Unique Asset List'!$A$4:$A$60,0),MATCH('7'!$C$1,'Unique Asset List'!$CJ$3:$CP$3,0))</f>
        <v>0.16</v>
      </c>
      <c r="AF52" s="15">
        <f>INDEX('Unique Asset List'!$CQ$4:$CW$60,MATCH('7'!$B52,'Unique Asset List'!$A$4:$A$60,0),MATCH('7'!$C$1,'Unique Asset List'!$CQ$3:$CW$3,0))</f>
        <v>0.34</v>
      </c>
      <c r="AG52" s="15">
        <f>INDEX('Unique Asset List'!$BV$4:$CB$60,MATCH('7'!$B52,'Unique Asset List'!$A$4:$A$60,0),MATCH('7'!$C$1,'Unique Asset List'!$BV$3:$CB$3,0))</f>
        <v>0.16</v>
      </c>
      <c r="AH52" s="15">
        <f>INDEX('Unique Asset List'!$CC$4:$CI$60,MATCH('7'!$B52,'Unique Asset List'!$A$4:$A$60,0),MATCH('7'!$C$1,'Unique Asset List'!$CC$3:$CI$3,0))</f>
        <v>0.34</v>
      </c>
      <c r="AI52" s="11">
        <v>0.7</v>
      </c>
      <c r="AJ52" s="15">
        <f>INDEX('Unique Asset List'!$BH$4:$BN$60,MATCH('7'!$B52,'Unique Asset List'!$A$4:$A$60,0),MATCH('7'!$C$1,'Unique Asset List'!$BH$3:$BN$3,0))</f>
        <v>0.14000000000000001</v>
      </c>
      <c r="AK52" s="15">
        <f>INDEX('Unique Asset List'!$BO$4:$BU$60,MATCH('7'!$B52,'Unique Asset List'!$A$4:$A$60,0),MATCH('7'!$C$1,'Unique Asset List'!$BO$3:$BU$3,0))</f>
        <v>0.15</v>
      </c>
      <c r="AL52" s="40">
        <v>169</v>
      </c>
      <c r="AM52" s="14">
        <f>INDEX(Simulation!$B$6:$H$6,MATCH($A52,Simulation!$B$1:$H$1,0))*(1+AN52)^((DATE(X52,Y52,15)-DATE(2017,1,15))/365.5)</f>
        <v>0.75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5"/>
        <v>0.82</v>
      </c>
      <c r="AS52" s="10">
        <v>1</v>
      </c>
      <c r="AT52" s="181">
        <f>INDEX('Unique Asset List'!N$4:N$60,MATCH($B52,_CompoundList,0))</f>
        <v>0</v>
      </c>
      <c r="AU52" s="181">
        <f>INDEX('Unique Asset List'!O$4:O$60,MATCH($B52,_CompoundList,0))</f>
        <v>0</v>
      </c>
      <c r="AV52" s="181">
        <f>INDEX('Unique Asset List'!P$4:P$60,MATCH($B52,_CompoundList,0))</f>
        <v>0</v>
      </c>
      <c r="AW52" s="181">
        <f>INDEX('Unique Asset List'!Q$4:Q$60,MATCH($B52,_CompoundList,0))</f>
        <v>0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4</v>
      </c>
      <c r="BE52" s="3">
        <f>IF($C$5="ON",CE52,MyRating(_E2,$B52,Efficacy!$F$1))</f>
        <v>4</v>
      </c>
      <c r="BF52" s="3">
        <f>IF($C$5="ON",CF52,MyRating(_E3,$B52,Efficacy!$F$1))</f>
        <v>4</v>
      </c>
      <c r="BG52" s="3">
        <f>IF($C$5="ON",CG52,MyRating(_E4,$B52,Efficacy!$F$1))</f>
        <v>4</v>
      </c>
      <c r="BH52" s="3">
        <f>IF($C$5="ON",CH52,MyRating(_E5,$B52,Efficacy!$F$1))</f>
        <v>4</v>
      </c>
      <c r="BI52" s="3">
        <f>IF($C$5="ON",CI52,MyRating(_E6,$B52,Efficacy!$F$1))</f>
        <v>3</v>
      </c>
      <c r="BJ52" s="3">
        <f>IF($C$5="ON",CJ52,MyRating(_E7,$B52,Efficacy!$F$1))</f>
        <v>3</v>
      </c>
      <c r="BK52" s="3">
        <f>IF($C$5="ON",CK52,MyRating(_E8,$B52,Efficacy!$F$1))</f>
        <v>4</v>
      </c>
      <c r="BL52" s="3">
        <f>IF($C$5="ON",CL52,MyRating(_S1,$B52,Efficacy!$F$1))</f>
        <v>4</v>
      </c>
      <c r="BM52" s="3">
        <f>IF($C$5="ON",CM52,MyRating(_S2,$B52,Efficacy!$F$1))</f>
        <v>3</v>
      </c>
      <c r="BN52" s="3">
        <f>IF($C$5="ON",CN52,MyRating(_S3,$B52,Efficacy!$F$1))</f>
        <v>3</v>
      </c>
      <c r="BO52" s="3">
        <f>IF($C$5="ON",CO52,MyRating(_S4,$B52,Efficacy!$F$1))</f>
        <v>4</v>
      </c>
      <c r="BP52" s="3">
        <f>IF($C$5="ON",CP52,MyRating(_S5,$B52,Efficacy!$F$1))</f>
        <v>5</v>
      </c>
      <c r="BQ52" s="3">
        <f>IF($C$5="ON",CQ52,MyRating(_S6,$B52,Efficacy!$F$1))</f>
        <v>3</v>
      </c>
      <c r="BR52" s="3">
        <f>IF($C$5="ON",CR52,MyRating(_S7,$B52,Efficacy!$F$1))</f>
        <v>3</v>
      </c>
      <c r="BS52" s="3">
        <f>IF($C$5="ON",CS52,MyRating(_D1,$B52,Efficacy!$F$1))</f>
        <v>3</v>
      </c>
      <c r="BT52" s="3">
        <f>IF($C$5="ON",CT52,MyRating(_D2,$B52,Efficacy!$F$1))</f>
        <v>3</v>
      </c>
      <c r="BU52" s="3">
        <f>IF($C$5="ON",CU52,MyRating(_D3,$B52,Efficacy!$F$1))</f>
        <v>3</v>
      </c>
      <c r="BV52" s="3">
        <f>IF($C$5="ON",CV52,MyRating(_D4,$B52,Efficacy!$F$1))</f>
        <v>3</v>
      </c>
      <c r="BW52" s="3">
        <f>IF($C$5="ON",CW52,MyRating(_B1G5,$B52,Barrier!$L$2))</f>
        <v>2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9"/>
        <v>0</v>
      </c>
      <c r="CA52" s="8">
        <f t="shared" si="6"/>
        <v>2.8000000000000003</v>
      </c>
      <c r="CB52" s="5">
        <f t="shared" si="7"/>
        <v>3.2941176470588251E-2</v>
      </c>
      <c r="CC52" s="7">
        <f t="shared" si="8"/>
        <v>5.9787261089987885E-3</v>
      </c>
      <c r="CD52" s="4">
        <v>4</v>
      </c>
      <c r="CE52" s="3">
        <v>5</v>
      </c>
      <c r="CF52" s="3">
        <v>5</v>
      </c>
      <c r="CG52" s="3">
        <v>4</v>
      </c>
      <c r="CH52" s="3">
        <v>4</v>
      </c>
      <c r="CI52" s="3">
        <v>3</v>
      </c>
      <c r="CJ52" s="3">
        <v>3</v>
      </c>
      <c r="CK52" s="3">
        <v>4</v>
      </c>
      <c r="CL52" s="3">
        <v>5</v>
      </c>
      <c r="CM52" s="3">
        <v>3</v>
      </c>
      <c r="CN52" s="3">
        <v>3</v>
      </c>
      <c r="CO52" s="3">
        <v>4</v>
      </c>
      <c r="CP52" s="3">
        <v>5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2</v>
      </c>
      <c r="CX52" s="3">
        <v>3</v>
      </c>
      <c r="CY52" s="6">
        <v>3</v>
      </c>
      <c r="CZ52" s="5">
        <v>3.6275844714639842E-2</v>
      </c>
      <c r="DA52" s="59"/>
    </row>
    <row r="53" spans="1:105" x14ac:dyDescent="0.25">
      <c r="A53" s="9" t="str">
        <f t="shared" si="0"/>
        <v>JP</v>
      </c>
      <c r="B53" s="9" t="s">
        <v>67</v>
      </c>
      <c r="C53" s="20" t="s">
        <v>3</v>
      </c>
      <c r="D53" s="9" t="s">
        <v>2</v>
      </c>
      <c r="E53" s="9" t="s">
        <v>186</v>
      </c>
      <c r="F53" s="9" t="str">
        <f>INDEX('Unique Asset List'!$C$4:$C$60,MATCH(B53,_CompoundList,0))</f>
        <v>PCD</v>
      </c>
      <c r="G53" s="19">
        <v>0</v>
      </c>
      <c r="H53" s="9">
        <v>2014</v>
      </c>
      <c r="I53" s="9">
        <v>6</v>
      </c>
      <c r="J53" s="18">
        <f>INDEX(PTRS!$D$6:$D$12,MATCH('7'!$F53,PTRS!$B$6:$B$12,0))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v>0</v>
      </c>
      <c r="N53" s="17">
        <f>INDEX('Unique Asset List'!$D$4:$M$60,MATCH($B53,'Unique Asset List'!$A$4:$A$60,0),MATCH(N$8,'Unique Asset List'!$D$3:$M$3,0))</f>
        <v>0.1044225</v>
      </c>
      <c r="O53" s="17">
        <f>INDEX('Unique Asset List'!$D$4:$M$60,MATCH($B53,'Unique Asset List'!$A$4:$A$60,0),MATCH(O$8,'Unique Asset List'!$D$3:$M$3,0))</f>
        <v>0.1044225</v>
      </c>
      <c r="P53" s="17">
        <f>INDEX('Unique Asset List'!$D$4:$M$60,MATCH($B53,'Unique Asset List'!$A$4:$A$60,0),MATCH(P$8,'Unique Asset List'!$D$3:$M$3,0))</f>
        <v>0.1044225</v>
      </c>
      <c r="Q53" s="17">
        <f>INDEX('Unique Asset List'!$D$4:$M$60,MATCH($B53,'Unique Asset List'!$A$4:$A$60,0),MATCH(Q$8,'Unique Asset List'!$D$3:$M$3,0))</f>
        <v>0.1044225</v>
      </c>
      <c r="R53" s="17">
        <f>INDEX('Unique Asset List'!$D$4:$M$60,MATCH($B53,'Unique Asset List'!$A$4:$A$60,0),MATCH(R$8,'Unique Asset List'!$D$3:$M$3,0))</f>
        <v>0.1044225</v>
      </c>
      <c r="S53" s="17">
        <f>INDEX('Unique Asset List'!$D$4:$M$60,MATCH($B53,'Unique Asset List'!$A$4:$A$60,0),MATCH(S$8,'Unique Asset List'!$D$3:$M$3,0))</f>
        <v>0</v>
      </c>
      <c r="T53" s="17"/>
      <c r="U53" s="17">
        <f t="shared" si="1"/>
        <v>0</v>
      </c>
      <c r="V53" s="17">
        <v>1</v>
      </c>
      <c r="W53" s="9" t="s">
        <v>67</v>
      </c>
      <c r="X53" s="9">
        <f>INDEX('Unique Asset List'!$Y$4:$AE$60,MATCH('7'!$B53,'Unique Asset List'!$A$4:$A$60,0),MATCH('7'!$C$1,'Unique Asset List'!$Y$3:$AE$3,0))</f>
        <v>2032</v>
      </c>
      <c r="Y53" s="9">
        <f>INDEX('Unique Asset List'!$AF$4:$AL$60,MATCH('7'!$B53,'Unique Asset List'!$A$4:$A$60,0),MATCH('7'!$C$1,'Unique Asset List'!$AF$3:$AL$3,0))</f>
        <v>3</v>
      </c>
      <c r="Z53" s="9">
        <f>INDEX('Unique Asset List'!$AT$4:$AZ$60,MATCH('7'!$B53,'Unique Asset List'!$A$4:$A$60,0),MATCH('7'!$C$1,'Unique Asset List'!$AT$3:$AZ$3,0))</f>
        <v>2040</v>
      </c>
      <c r="AA53" s="9">
        <f>INDEX('Unique Asset List'!$BA$4:$BG$60,MATCH('7'!$B53,'Unique Asset List'!$A$4:$A$60,0),MATCH('7'!$C$1,'Unique Asset List'!$BA$3:$BG$3,0))</f>
        <v>3</v>
      </c>
      <c r="AB53" s="16">
        <f t="shared" si="10"/>
        <v>2.1518980000000005</v>
      </c>
      <c r="AC53" s="16">
        <f t="shared" si="11"/>
        <v>0.94137550000000003</v>
      </c>
      <c r="AD53" s="16">
        <f t="shared" si="12"/>
        <v>0.56099999999999994</v>
      </c>
      <c r="AE53" s="15">
        <f>INDEX('Unique Asset List'!$CJ$4:$CP$60,MATCH('7'!$B53,'Unique Asset List'!$A$4:$A$60,0),MATCH('7'!$C$1,'Unique Asset List'!$CJ$3:$CP$3,0))</f>
        <v>0.16</v>
      </c>
      <c r="AF53" s="15">
        <f>INDEX('Unique Asset List'!$CQ$4:$CW$60,MATCH('7'!$B53,'Unique Asset List'!$A$4:$A$60,0),MATCH('7'!$C$1,'Unique Asset List'!$CQ$3:$CW$3,0))</f>
        <v>0.34</v>
      </c>
      <c r="AG53" s="15">
        <f>INDEX('Unique Asset List'!$BV$4:$CB$60,MATCH('7'!$B53,'Unique Asset List'!$A$4:$A$60,0),MATCH('7'!$C$1,'Unique Asset List'!$BV$3:$CB$3,0))</f>
        <v>0.16</v>
      </c>
      <c r="AH53" s="15">
        <f>INDEX('Unique Asset List'!$CC$4:$CI$60,MATCH('7'!$B53,'Unique Asset List'!$A$4:$A$60,0),MATCH('7'!$C$1,'Unique Asset List'!$CC$3:$CI$3,0))</f>
        <v>0.34</v>
      </c>
      <c r="AI53" s="11">
        <v>0.7</v>
      </c>
      <c r="AJ53" s="15">
        <f>INDEX('Unique Asset List'!$BH$4:$BN$60,MATCH('7'!$B53,'Unique Asset List'!$A$4:$A$60,0),MATCH('7'!$C$1,'Unique Asset List'!$BH$3:$BN$3,0))</f>
        <v>0.14000000000000001</v>
      </c>
      <c r="AK53" s="15">
        <f>INDEX('Unique Asset List'!$BO$4:$BU$60,MATCH('7'!$B53,'Unique Asset List'!$A$4:$A$60,0),MATCH('7'!$C$1,'Unique Asset List'!$BO$3:$BU$3,0))</f>
        <v>0.15</v>
      </c>
      <c r="AL53" s="40">
        <v>169</v>
      </c>
      <c r="AM53" s="14">
        <f>INDEX(Simulation!$B$6:$H$6,MATCH($A53,Simulation!$B$1:$H$1,0))*(1+AN53)^((DATE(X53,Y53,15)-DATE(2017,1,15))/365.5)</f>
        <v>0.75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5"/>
        <v>0.82</v>
      </c>
      <c r="AS53" s="10">
        <v>1</v>
      </c>
      <c r="AT53" s="181">
        <f>INDEX('Unique Asset List'!N$4:N$60,MATCH($B53,_CompoundList,0))</f>
        <v>0</v>
      </c>
      <c r="AU53" s="181">
        <f>INDEX('Unique Asset List'!O$4:O$60,MATCH($B53,_CompoundList,0))</f>
        <v>0</v>
      </c>
      <c r="AV53" s="181">
        <f>INDEX('Unique Asset List'!P$4:P$60,MATCH($B53,_CompoundList,0))</f>
        <v>0</v>
      </c>
      <c r="AW53" s="181">
        <f>INDEX('Unique Asset List'!Q$4:Q$60,MATCH($B53,_CompoundList,0))</f>
        <v>0</v>
      </c>
      <c r="AX53" s="181">
        <f ca="1">INDEX('Unique Asset List'!R$4:R$60,MATCH($B53,_CompoundList,0))</f>
        <v>0</v>
      </c>
      <c r="AY53" s="181">
        <f ca="1">INDEX('Unique Asset List'!S$4:S$60,MATCH($B53,_CompoundList,0))</f>
        <v>0</v>
      </c>
      <c r="AZ53" s="181">
        <f ca="1">INDEX('Unique Asset List'!T$4:T$60,MATCH($B53,_CompoundList,0))</f>
        <v>0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0</v>
      </c>
      <c r="BC53" s="181">
        <f ca="1">INDEX('Unique Asset List'!W$4:W$60,MATCH($B53,_CompoundList,0))</f>
        <v>0</v>
      </c>
      <c r="BD53" s="4">
        <f>IF($C$5="ON",CD53,MyRating(_E1,$B53,Efficacy!$F$1))</f>
        <v>4</v>
      </c>
      <c r="BE53" s="3">
        <f>IF($C$5="ON",CE53,MyRating(_E2,$B53,Efficacy!$F$1))</f>
        <v>4</v>
      </c>
      <c r="BF53" s="3">
        <f>IF($C$5="ON",CF53,MyRating(_E3,$B53,Efficacy!$F$1))</f>
        <v>4</v>
      </c>
      <c r="BG53" s="3">
        <f>IF($C$5="ON",CG53,MyRating(_E4,$B53,Efficacy!$F$1))</f>
        <v>4</v>
      </c>
      <c r="BH53" s="3">
        <f>IF($C$5="ON",CH53,MyRating(_E5,$B53,Efficacy!$F$1))</f>
        <v>4</v>
      </c>
      <c r="BI53" s="3">
        <f>IF($C$5="ON",CI53,MyRating(_E6,$B53,Efficacy!$F$1))</f>
        <v>3</v>
      </c>
      <c r="BJ53" s="3">
        <f>IF($C$5="ON",CJ53,MyRating(_E7,$B53,Efficacy!$F$1))</f>
        <v>3</v>
      </c>
      <c r="BK53" s="3">
        <f>IF($C$5="ON",CK53,MyRating(_E8,$B53,Efficacy!$F$1))</f>
        <v>4</v>
      </c>
      <c r="BL53" s="3">
        <f>IF($C$5="ON",CL53,MyRating(_S1,$B53,Efficacy!$F$1))</f>
        <v>4</v>
      </c>
      <c r="BM53" s="3">
        <f>IF($C$5="ON",CM53,MyRating(_S2,$B53,Efficacy!$F$1))</f>
        <v>3</v>
      </c>
      <c r="BN53" s="3">
        <f>IF($C$5="ON",CN53,MyRating(_S3,$B53,Efficacy!$F$1))</f>
        <v>3</v>
      </c>
      <c r="BO53" s="3">
        <f>IF($C$5="ON",CO53,MyRating(_S4,$B53,Efficacy!$F$1))</f>
        <v>4</v>
      </c>
      <c r="BP53" s="3">
        <f>IF($C$5="ON",CP53,MyRating(_S5,$B53,Efficacy!$F$1))</f>
        <v>5</v>
      </c>
      <c r="BQ53" s="3">
        <f>IF($C$5="ON",CQ53,MyRating(_S6,$B53,Efficacy!$F$1))</f>
        <v>3</v>
      </c>
      <c r="BR53" s="3">
        <f>IF($C$5="ON",CR53,MyRating(_S7,$B53,Efficacy!$F$1))</f>
        <v>3</v>
      </c>
      <c r="BS53" s="3">
        <f>IF($C$5="ON",CS53,MyRating(_D1,$B53,Efficacy!$F$1))</f>
        <v>3</v>
      </c>
      <c r="BT53" s="3">
        <f>IF($C$5="ON",CT53,MyRating(_D2,$B53,Efficacy!$F$1))</f>
        <v>3</v>
      </c>
      <c r="BU53" s="3">
        <f>IF($C$5="ON",CU53,MyRating(_D3,$B53,Efficacy!$F$1))</f>
        <v>3</v>
      </c>
      <c r="BV53" s="3">
        <f>IF($C$5="ON",CV53,MyRating(_D4,$B53,Efficacy!$F$1))</f>
        <v>3</v>
      </c>
      <c r="BW53" s="3">
        <f>IF($C$5="ON",CW53,MyRating(_B1G5,$B53,Barrier!$L$2))</f>
        <v>2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9"/>
        <v>0</v>
      </c>
      <c r="CA53" s="8">
        <f t="shared" si="6"/>
        <v>2.8000000000000003</v>
      </c>
      <c r="CB53" s="5">
        <f t="shared" si="7"/>
        <v>3.2941176470588251E-2</v>
      </c>
      <c r="CC53" s="7">
        <f t="shared" si="8"/>
        <v>5.9787261089987885E-3</v>
      </c>
      <c r="CD53" s="4">
        <v>4</v>
      </c>
      <c r="CE53" s="3">
        <v>5</v>
      </c>
      <c r="CF53" s="3">
        <v>5</v>
      </c>
      <c r="CG53" s="3">
        <v>4</v>
      </c>
      <c r="CH53" s="3">
        <v>4</v>
      </c>
      <c r="CI53" s="3">
        <v>3</v>
      </c>
      <c r="CJ53" s="3">
        <v>3</v>
      </c>
      <c r="CK53" s="3">
        <v>4</v>
      </c>
      <c r="CL53" s="3">
        <v>5</v>
      </c>
      <c r="CM53" s="3">
        <v>3</v>
      </c>
      <c r="CN53" s="3">
        <v>3</v>
      </c>
      <c r="CO53" s="3">
        <v>4</v>
      </c>
      <c r="CP53" s="3">
        <v>5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2</v>
      </c>
      <c r="CX53" s="3">
        <v>3</v>
      </c>
      <c r="CY53" s="6">
        <v>3</v>
      </c>
      <c r="CZ53" s="5">
        <v>3.6275844714639842E-2</v>
      </c>
      <c r="DA53" s="59"/>
    </row>
    <row r="54" spans="1:105" x14ac:dyDescent="0.25">
      <c r="A54" s="9" t="str">
        <f t="shared" si="0"/>
        <v>JP</v>
      </c>
      <c r="B54" s="9" t="s">
        <v>279</v>
      </c>
      <c r="C54" s="20"/>
      <c r="D54" s="9" t="s">
        <v>2</v>
      </c>
      <c r="E54" s="9"/>
      <c r="F54" s="9" t="str">
        <f>INDEX('Unique Asset List'!$C$4:$C$60,MATCH(B54,_CompoundList,0))</f>
        <v>PCD</v>
      </c>
      <c r="G54" s="19">
        <v>0</v>
      </c>
      <c r="H54" s="9">
        <v>2014</v>
      </c>
      <c r="I54" s="9">
        <v>6</v>
      </c>
      <c r="J54" s="18">
        <f>INDEX(PTRS!$D$6:$D$12,MATCH('7'!$F54,PTRS!$B$6:$B$12,0))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v>0</v>
      </c>
      <c r="N54" s="17">
        <f>INDEX('Unique Asset List'!$D$4:$M$60,MATCH($B54,'Unique Asset List'!$A$4:$A$60,0),MATCH(N$8,'Unique Asset List'!$D$3:$M$3,0))</f>
        <v>0.1</v>
      </c>
      <c r="O54" s="17">
        <f>INDEX('Unique Asset List'!$D$4:$M$60,MATCH($B54,'Unique Asset List'!$A$4:$A$60,0),MATCH(O$8,'Unique Asset List'!$D$3:$M$3,0))</f>
        <v>0.1</v>
      </c>
      <c r="P54" s="17">
        <f>INDEX('Unique Asset List'!$D$4:$M$60,MATCH($B54,'Unique Asset List'!$A$4:$A$60,0),MATCH(P$8,'Unique Asset List'!$D$3:$M$3,0))</f>
        <v>0.1</v>
      </c>
      <c r="Q54" s="17">
        <f>INDEX('Unique Asset List'!$D$4:$M$60,MATCH($B54,'Unique Asset List'!$A$4:$A$60,0),MATCH(Q$8,'Unique Asset List'!$D$3:$M$3,0))</f>
        <v>0.1</v>
      </c>
      <c r="R54" s="17">
        <f>INDEX('Unique Asset List'!$D$4:$M$60,MATCH($B54,'Unique Asset List'!$A$4:$A$60,0),MATCH(R$8,'Unique Asset List'!$D$3:$M$3,0))</f>
        <v>0.1</v>
      </c>
      <c r="S54" s="17">
        <f>INDEX('Unique Asset List'!$D$4:$M$60,MATCH($B54,'Unique Asset List'!$A$4:$A$60,0),MATCH(S$8,'Unique Asset List'!$D$3:$M$3,0))</f>
        <v>0</v>
      </c>
      <c r="T54" s="17"/>
      <c r="U54" s="17">
        <f t="shared" si="1"/>
        <v>0.80682275808442805</v>
      </c>
      <c r="V54" s="17">
        <f>V13</f>
        <v>0.42</v>
      </c>
      <c r="W54" s="9" t="s">
        <v>0</v>
      </c>
      <c r="X54" s="9">
        <f>INDEX('Unique Asset List'!$Y$4:$AE$60,MATCH('7'!$B54,'Unique Asset List'!$A$4:$A$60,0),MATCH('7'!$C$1,'Unique Asset List'!$Y$3:$AE$3,0))</f>
        <v>2027</v>
      </c>
      <c r="Y54" s="9">
        <f>INDEX('Unique Asset List'!$AF$4:$AL$60,MATCH('7'!$B54,'Unique Asset List'!$A$4:$A$60,0),MATCH('7'!$C$1,'Unique Asset List'!$AF$3:$AL$3,0))</f>
        <v>9</v>
      </c>
      <c r="Z54" s="9">
        <f>INDEX('Unique Asset List'!$AT$4:$AZ$60,MATCH('7'!$B54,'Unique Asset List'!$A$4:$A$60,0),MATCH('7'!$C$1,'Unique Asset List'!$AT$3:$AZ$3,0))</f>
        <v>2037</v>
      </c>
      <c r="AA54" s="9">
        <f>INDEX('Unique Asset List'!$BA$4:$BG$60,MATCH('7'!$B54,'Unique Asset List'!$A$4:$A$60,0),MATCH('7'!$C$1,'Unique Asset List'!$BA$3:$BG$3,0))</f>
        <v>9</v>
      </c>
      <c r="AB54" s="16">
        <f t="shared" si="10"/>
        <v>2.471114</v>
      </c>
      <c r="AC54" s="16">
        <f t="shared" si="11"/>
        <v>0.91994010000000004</v>
      </c>
      <c r="AD54" s="16">
        <f t="shared" si="12"/>
        <v>0.50129594525999999</v>
      </c>
      <c r="AE54" s="15">
        <f>INDEX('Unique Asset List'!$CJ$4:$CP$60,MATCH('7'!$B54,'Unique Asset List'!$A$4:$A$60,0),MATCH('7'!$C$1,'Unique Asset List'!$CJ$3:$CP$3,0))</f>
        <v>0.16</v>
      </c>
      <c r="AF54" s="15">
        <f>INDEX('Unique Asset List'!$CQ$4:$CW$60,MATCH('7'!$B54,'Unique Asset List'!$A$4:$A$60,0),MATCH('7'!$C$1,'Unique Asset List'!$CQ$3:$CW$3,0))</f>
        <v>0.34</v>
      </c>
      <c r="AG54" s="15">
        <f>INDEX('Unique Asset List'!$BV$4:$CB$60,MATCH('7'!$B54,'Unique Asset List'!$A$4:$A$60,0),MATCH('7'!$C$1,'Unique Asset List'!$BV$3:$CB$3,0))</f>
        <v>0.16</v>
      </c>
      <c r="AH54" s="15">
        <f>INDEX('Unique Asset List'!$CC$4:$CI$60,MATCH('7'!$B54,'Unique Asset List'!$A$4:$A$60,0),MATCH('7'!$C$1,'Unique Asset List'!$CC$3:$CI$3,0))</f>
        <v>0.34</v>
      </c>
      <c r="AI54" s="11">
        <v>0.7</v>
      </c>
      <c r="AJ54" s="15">
        <f>INDEX('Unique Asset List'!$BH$4:$BN$60,MATCH('7'!$B54,'Unique Asset List'!$A$4:$A$60,0),MATCH('7'!$C$1,'Unique Asset List'!$BH$3:$BN$3,0))</f>
        <v>0.14000000000000001</v>
      </c>
      <c r="AK54" s="15">
        <f>INDEX('Unique Asset List'!$BO$4:$BU$60,MATCH('7'!$B54,'Unique Asset List'!$A$4:$A$60,0),MATCH('7'!$C$1,'Unique Asset List'!$BO$3:$BU$3,0))</f>
        <v>0.15</v>
      </c>
      <c r="AL54" s="40">
        <v>146.07692307692309</v>
      </c>
      <c r="AM54" s="14">
        <f>INDEX(Simulation!$B$6:$H$6,MATCH($A54,Simulation!$B$1:$H$1,0))*(1+AN54)^((DATE(X54,Y54,15)-DATE(2017,1,15))/365.5)</f>
        <v>0.75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5"/>
        <v>0.82</v>
      </c>
      <c r="AS54" s="10">
        <v>0.28767123287671198</v>
      </c>
      <c r="AT54" s="181">
        <f>INDEX('Unique Asset List'!N$4:N$60,MATCH($B54,_CompoundList,0))</f>
        <v>0</v>
      </c>
      <c r="AU54" s="181">
        <f>INDEX('Unique Asset List'!O$4:O$60,MATCH($B54,_CompoundList,0))</f>
        <v>0</v>
      </c>
      <c r="AV54" s="181">
        <f>INDEX('Unique Asset List'!P$4:P$60,MATCH($B54,_CompoundList,0))</f>
        <v>0</v>
      </c>
      <c r="AW54" s="181">
        <f>INDEX('Unique Asset List'!Q$4:Q$60,MATCH($B54,_CompoundList,0))</f>
        <v>0</v>
      </c>
      <c r="AX54" s="181">
        <f ca="1">INDEX('Unique Asset List'!R$4:R$60,MATCH($B54,_CompoundList,0))</f>
        <v>0</v>
      </c>
      <c r="AY54" s="181">
        <f ca="1">INDEX('Unique Asset List'!S$4:S$60,MATCH($B54,_CompoundList,0))</f>
        <v>0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0</v>
      </c>
      <c r="BB54" s="181">
        <f ca="1">INDEX('Unique Asset List'!V$4:V$60,MATCH($B54,_CompoundList,0))</f>
        <v>0</v>
      </c>
      <c r="BC54" s="181">
        <f ca="1">INDEX('Unique Asset List'!W$4:W$60,MATCH($B54,_CompoundList,0))</f>
        <v>1</v>
      </c>
      <c r="BD54" s="4">
        <f>IF($C$5="ON",CD54,MyRating(_E1,$B54,Efficacy!$F$1))</f>
        <v>5</v>
      </c>
      <c r="BE54" s="3">
        <f>IF($C$5="ON",CE54,MyRating(_E2,$B54,Efficacy!$F$1))</f>
        <v>5</v>
      </c>
      <c r="BF54" s="3">
        <f>IF($C$5="ON",CF54,MyRating(_E3,$B54,Efficacy!$F$1))</f>
        <v>5</v>
      </c>
      <c r="BG54" s="3">
        <f>IF($C$5="ON",CG54,MyRating(_E4,$B54,Efficacy!$F$1))</f>
        <v>5</v>
      </c>
      <c r="BH54" s="3">
        <f>IF($C$5="ON",CH54,MyRating(_E5,$B54,Efficacy!$F$1))</f>
        <v>4</v>
      </c>
      <c r="BI54" s="3">
        <f>IF($C$5="ON",CI54,MyRating(_E6,$B54,Efficacy!$F$1))</f>
        <v>3</v>
      </c>
      <c r="BJ54" s="3">
        <f>IF($C$5="ON",CJ54,MyRating(_E7,$B54,Efficacy!$F$1))</f>
        <v>4</v>
      </c>
      <c r="BK54" s="3">
        <f>IF($C$5="ON",CK54,MyRating(_E8,$B54,Efficacy!$F$1))</f>
        <v>3</v>
      </c>
      <c r="BL54" s="3">
        <f>IF($C$5="ON",CL54,MyRating(_S1,$B54,Efficacy!$F$1))</f>
        <v>4</v>
      </c>
      <c r="BM54" s="3">
        <f>IF($C$5="ON",CM54,MyRating(_S2,$B54,Efficacy!$F$1))</f>
        <v>3</v>
      </c>
      <c r="BN54" s="3">
        <f>IF($C$5="ON",CN54,MyRating(_S3,$B54,Efficacy!$F$1))</f>
        <v>3</v>
      </c>
      <c r="BO54" s="3">
        <f>IF($C$5="ON",CO54,MyRating(_S4,$B54,Efficacy!$F$1))</f>
        <v>4</v>
      </c>
      <c r="BP54" s="3">
        <f>IF($C$5="ON",CP54,MyRating(_S5,$B54,Efficacy!$F$1))</f>
        <v>5</v>
      </c>
      <c r="BQ54" s="3">
        <f>IF($C$5="ON",CQ54,MyRating(_S6,$B54,Efficacy!$F$1))</f>
        <v>2</v>
      </c>
      <c r="BR54" s="3">
        <f>IF($C$5="ON",CR54,MyRating(_S7,$B54,Efficacy!$F$1))</f>
        <v>3</v>
      </c>
      <c r="BS54" s="3">
        <f>IF($C$5="ON",CS54,MyRating(_D1,$B54,Efficacy!$F$1))</f>
        <v>2</v>
      </c>
      <c r="BT54" s="3">
        <f>IF($C$5="ON",CT54,MyRating(_D2,$B54,Efficacy!$F$1))</f>
        <v>3</v>
      </c>
      <c r="BU54" s="3">
        <f>IF($C$5="ON",CU54,MyRating(_D3,$B54,Efficacy!$F$1))</f>
        <v>3</v>
      </c>
      <c r="BV54" s="3">
        <f>IF($C$5="ON",CV54,MyRating(_D4,$B54,Efficacy!$F$1))</f>
        <v>3</v>
      </c>
      <c r="BW54" s="3">
        <f>IF($C$5="ON",CW54,MyRating(_B1G5,$B54,Barrier!$L$2))</f>
        <v>1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9"/>
        <v>2.9893223831915738E-2</v>
      </c>
      <c r="CA54" s="8">
        <f t="shared" si="6"/>
        <v>2.6000000000000005</v>
      </c>
      <c r="CB54" s="5">
        <f t="shared" si="7"/>
        <v>3.058823529411767E-2</v>
      </c>
      <c r="CC54" s="7">
        <f t="shared" si="8"/>
        <v>5.3497271616647964E-3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>
        <v>0</v>
      </c>
      <c r="DA54" s="59"/>
    </row>
    <row r="55" spans="1:105" x14ac:dyDescent="0.25">
      <c r="A55" s="9" t="str">
        <f t="shared" si="0"/>
        <v>JP</v>
      </c>
      <c r="B55" s="9" t="s">
        <v>185</v>
      </c>
      <c r="C55" s="20" t="s">
        <v>3</v>
      </c>
      <c r="D55" s="9" t="s">
        <v>2</v>
      </c>
      <c r="E55" s="9"/>
      <c r="F55" s="9" t="str">
        <f>INDEX('Unique Asset List'!$C$4:$C$60,MATCH(B55,_CompoundList,0))</f>
        <v>PCD</v>
      </c>
      <c r="G55" s="19">
        <v>0</v>
      </c>
      <c r="H55" s="9">
        <v>2014</v>
      </c>
      <c r="I55" s="9">
        <v>6</v>
      </c>
      <c r="J55" s="18">
        <f>INDEX(PTRS!$D$6:$D$12,MATCH('7'!$F55,PTRS!$B$6:$B$12,0))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v>0</v>
      </c>
      <c r="N55" s="17">
        <f>INDEX('Unique Asset List'!$D$4:$M$60,MATCH($B55,'Unique Asset List'!$A$4:$A$60,0),MATCH(N$8,'Unique Asset List'!$D$3:$M$3,0))</f>
        <v>0</v>
      </c>
      <c r="O55" s="17">
        <f>INDEX('Unique Asset List'!$D$4:$M$60,MATCH($B55,'Unique Asset List'!$A$4:$A$60,0),MATCH(O$8,'Unique Asset List'!$D$3:$M$3,0))</f>
        <v>0</v>
      </c>
      <c r="P55" s="17">
        <f>INDEX('Unique Asset List'!$D$4:$M$60,MATCH($B55,'Unique Asset List'!$A$4:$A$60,0),MATCH(P$8,'Unique Asset List'!$D$3:$M$3,0))</f>
        <v>0</v>
      </c>
      <c r="Q55" s="17">
        <f>INDEX('Unique Asset List'!$D$4:$M$60,MATCH($B55,'Unique Asset List'!$A$4:$A$60,0),MATCH(Q$8,'Unique Asset List'!$D$3:$M$3,0))</f>
        <v>0</v>
      </c>
      <c r="R55" s="17">
        <f>INDEX('Unique Asset List'!$D$4:$M$60,MATCH($B55,'Unique Asset List'!$A$4:$A$60,0),MATCH(R$8,'Unique Asset List'!$D$3:$M$3,0))</f>
        <v>0</v>
      </c>
      <c r="S55" s="17">
        <f>INDEX('Unique Asset List'!$D$4:$M$60,MATCH($B55,'Unique Asset List'!$A$4:$A$60,0),MATCH(S$8,'Unique Asset List'!$D$3:$M$3,0))</f>
        <v>0</v>
      </c>
      <c r="T55" s="17"/>
      <c r="U55" s="17">
        <f t="shared" si="1"/>
        <v>0</v>
      </c>
      <c r="V55" s="17">
        <v>1</v>
      </c>
      <c r="W55" s="9" t="s">
        <v>0</v>
      </c>
      <c r="X55" s="9">
        <f>INDEX('Unique Asset List'!$Y$4:$AE$60,MATCH('7'!$B55,'Unique Asset List'!$A$4:$A$60,0),MATCH('7'!$C$1,'Unique Asset List'!$Y$3:$AE$3,0))</f>
        <v>2051</v>
      </c>
      <c r="Y55" s="9">
        <f>INDEX('Unique Asset List'!$AF$4:$AL$60,MATCH('7'!$B55,'Unique Asset List'!$A$4:$A$60,0),MATCH('7'!$C$1,'Unique Asset List'!$AF$3:$AL$3,0))</f>
        <v>6</v>
      </c>
      <c r="Z55" s="9">
        <f>INDEX('Unique Asset List'!$AT$4:$AZ$60,MATCH('7'!$B55,'Unique Asset List'!$A$4:$A$60,0),MATCH('7'!$C$1,'Unique Asset List'!$AT$3:$AZ$3,0))</f>
        <v>2059</v>
      </c>
      <c r="AA55" s="9">
        <f>INDEX('Unique Asset List'!$BA$4:$BG$60,MATCH('7'!$B55,'Unique Asset List'!$A$4:$A$60,0),MATCH('7'!$C$1,'Unique Asset List'!$BA$3:$BG$3,0))</f>
        <v>6</v>
      </c>
      <c r="AB55" s="16">
        <f t="shared" si="10"/>
        <v>0</v>
      </c>
      <c r="AC55" s="16">
        <f t="shared" si="11"/>
        <v>0</v>
      </c>
      <c r="AD55" s="16">
        <f t="shared" si="12"/>
        <v>0</v>
      </c>
      <c r="AE55" s="15">
        <f>INDEX('Unique Asset List'!$CJ$4:$CP$60,MATCH('7'!$B55,'Unique Asset List'!$A$4:$A$60,0),MATCH('7'!$C$1,'Unique Asset List'!$CJ$3:$CP$3,0))</f>
        <v>0.16</v>
      </c>
      <c r="AF55" s="15">
        <f>INDEX('Unique Asset List'!$CQ$4:$CW$60,MATCH('7'!$B55,'Unique Asset List'!$A$4:$A$60,0),MATCH('7'!$C$1,'Unique Asset List'!$CQ$3:$CW$3,0))</f>
        <v>0.34</v>
      </c>
      <c r="AG55" s="15">
        <f>INDEX('Unique Asset List'!$BV$4:$CB$60,MATCH('7'!$B55,'Unique Asset List'!$A$4:$A$60,0),MATCH('7'!$C$1,'Unique Asset List'!$BV$3:$CB$3,0))</f>
        <v>0.16</v>
      </c>
      <c r="AH55" s="15">
        <f>INDEX('Unique Asset List'!$CC$4:$CI$60,MATCH('7'!$B55,'Unique Asset List'!$A$4:$A$60,0),MATCH('7'!$C$1,'Unique Asset List'!$CC$3:$CI$3,0))</f>
        <v>0.34</v>
      </c>
      <c r="AI55" s="11">
        <v>0.7</v>
      </c>
      <c r="AJ55" s="15">
        <f>INDEX('Unique Asset List'!$BH$4:$BN$60,MATCH('7'!$B55,'Unique Asset List'!$A$4:$A$60,0),MATCH('7'!$C$1,'Unique Asset List'!$BH$3:$BN$3,0))</f>
        <v>0.14000000000000001</v>
      </c>
      <c r="AK55" s="15">
        <f>INDEX('Unique Asset List'!$BO$4:$BU$60,MATCH('7'!$B55,'Unique Asset List'!$A$4:$A$60,0),MATCH('7'!$C$1,'Unique Asset List'!$BO$3:$BU$3,0))</f>
        <v>0.15</v>
      </c>
      <c r="AL55" s="40">
        <v>169</v>
      </c>
      <c r="AM55" s="14">
        <f>INDEX(Simulation!$B$6:$H$6,MATCH($A55,Simulation!$B$1:$H$1,0))*(1+AN55)^((DATE(X55,Y55,15)-DATE(2017,1,15))/365.5)</f>
        <v>0.75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5"/>
        <v>0.82</v>
      </c>
      <c r="AS55" s="10">
        <v>1</v>
      </c>
      <c r="AT55" s="181">
        <f>INDEX('Unique Asset List'!N$4:N$60,MATCH($B55,_CompoundList,0))</f>
        <v>0</v>
      </c>
      <c r="AU55" s="181">
        <f>INDEX('Unique Asset List'!O$4:O$60,MATCH($B55,_CompoundList,0))</f>
        <v>0</v>
      </c>
      <c r="AV55" s="181">
        <f>INDEX('Unique Asset List'!P$4:P$60,MATCH($B55,_CompoundList,0))</f>
        <v>0</v>
      </c>
      <c r="AW55" s="181">
        <f>INDEX('Unique Asset List'!Q$4:Q$60,MATCH($B55,_CompoundList,0))</f>
        <v>0</v>
      </c>
      <c r="AX55" s="181">
        <f ca="1">INDEX('Unique Asset List'!R$4:R$60,MATCH($B55,_CompoundList,0))</f>
        <v>0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0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0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IF($C$5="ON",CL55,MyRating(_S1,$B55,Efficacy!$F$1))</f>
        <v>0</v>
      </c>
      <c r="BM55" s="3">
        <f>IF($C$5="ON",CM55,MyRating(_S2,$B55,Efficacy!$F$1))</f>
        <v>0</v>
      </c>
      <c r="BN55" s="3">
        <f>IF($C$5="ON",CN55,MyRating(_S3,$B55,Efficacy!$F$1))</f>
        <v>0</v>
      </c>
      <c r="BO55" s="3">
        <f>IF($C$5="ON",CO55,MyRating(_S4,$B55,Efficacy!$F$1))</f>
        <v>0</v>
      </c>
      <c r="BP55" s="3">
        <f>IF($C$5="ON",CP55,MyRating(_S5,$B55,Efficacy!$F$1))</f>
        <v>0</v>
      </c>
      <c r="BQ55" s="3">
        <f>IF($C$5="ON",CQ55,MyRating(_S6,$B55,Efficacy!$F$1))</f>
        <v>0</v>
      </c>
      <c r="BR55" s="3">
        <f>IF($C$5="ON",CR55,MyRating(_S7,$B55,Efficacy!$F$1))</f>
        <v>0</v>
      </c>
      <c r="BS55" s="3">
        <f>IF($C$5="ON",CS55,MyRating(_D1,$B55,Efficacy!$F$1))</f>
        <v>0</v>
      </c>
      <c r="BT55" s="3">
        <f>IF($C$5="ON",CT55,MyRating(_D2,$B55,Efficacy!$F$1))</f>
        <v>0</v>
      </c>
      <c r="BU55" s="3">
        <f>IF($C$5="ON",CU55,MyRating(_D3,$B55,Efficacy!$F$1))</f>
        <v>0</v>
      </c>
      <c r="BV55" s="3">
        <f>IF($C$5="ON",CV55,MyRating(_D4,$B55,Efficacy!$F$1))</f>
        <v>0</v>
      </c>
      <c r="BW55" s="3">
        <f>IF($C$5="ON",CW55,MyRating(_B1G5,$B55,Barrier!$L$2))</f>
        <v>0</v>
      </c>
      <c r="BX55" s="3">
        <f>IF($C$5="ON",CX55,MyRating(_B2,$B55,Barrier!$F$2))</f>
        <v>0</v>
      </c>
      <c r="BY55" s="6">
        <f>IF($C$5="ON",CY55,MyRating(_B3,$B55,Barrier!$F$2))</f>
        <v>0</v>
      </c>
      <c r="BZ55" s="5">
        <f t="shared" si="9"/>
        <v>0</v>
      </c>
      <c r="CA55" s="8">
        <f t="shared" si="6"/>
        <v>0</v>
      </c>
      <c r="CB55" s="5">
        <f t="shared" si="7"/>
        <v>0</v>
      </c>
      <c r="CC55" s="7">
        <f t="shared" si="8"/>
        <v>0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>
        <v>0</v>
      </c>
      <c r="DA55" s="59"/>
    </row>
    <row r="56" spans="1:105" x14ac:dyDescent="0.25">
      <c r="A56" s="9" t="str">
        <f t="shared" si="0"/>
        <v>JP</v>
      </c>
      <c r="B56" s="9" t="s">
        <v>184</v>
      </c>
      <c r="C56" s="20" t="s">
        <v>3</v>
      </c>
      <c r="D56" s="9" t="s">
        <v>2</v>
      </c>
      <c r="E56" s="9"/>
      <c r="F56" s="9" t="str">
        <f>INDEX('Unique Asset List'!$C$4:$C$60,MATCH(B56,_CompoundList,0))</f>
        <v>PCD</v>
      </c>
      <c r="G56" s="19">
        <v>0</v>
      </c>
      <c r="H56" s="9">
        <v>2014</v>
      </c>
      <c r="I56" s="9">
        <v>6</v>
      </c>
      <c r="J56" s="18">
        <f>INDEX(PTRS!$D$6:$D$12,MATCH('7'!$F56,PTRS!$B$6:$B$12,0))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v>0</v>
      </c>
      <c r="N56" s="17">
        <f>INDEX('Unique Asset List'!$D$4:$M$60,MATCH($B56,'Unique Asset List'!$A$4:$A$60,0),MATCH(N$8,'Unique Asset List'!$D$3:$M$3,0))</f>
        <v>0</v>
      </c>
      <c r="O56" s="17">
        <f>INDEX('Unique Asset List'!$D$4:$M$60,MATCH($B56,'Unique Asset List'!$A$4:$A$60,0),MATCH(O$8,'Unique Asset List'!$D$3:$M$3,0))</f>
        <v>0</v>
      </c>
      <c r="P56" s="17">
        <f>INDEX('Unique Asset List'!$D$4:$M$60,MATCH($B56,'Unique Asset List'!$A$4:$A$60,0),MATCH(P$8,'Unique Asset List'!$D$3:$M$3,0))</f>
        <v>0</v>
      </c>
      <c r="Q56" s="17">
        <f>INDEX('Unique Asset List'!$D$4:$M$60,MATCH($B56,'Unique Asset List'!$A$4:$A$60,0),MATCH(Q$8,'Unique Asset List'!$D$3:$M$3,0))</f>
        <v>0</v>
      </c>
      <c r="R56" s="17">
        <f>INDEX('Unique Asset List'!$D$4:$M$60,MATCH($B56,'Unique Asset List'!$A$4:$A$60,0),MATCH(R$8,'Unique Asset List'!$D$3:$M$3,0))</f>
        <v>0</v>
      </c>
      <c r="S56" s="17">
        <f>INDEX('Unique Asset List'!$D$4:$M$60,MATCH($B56,'Unique Asset List'!$A$4:$A$60,0),MATCH(S$8,'Unique Asset List'!$D$3:$M$3,0))</f>
        <v>0</v>
      </c>
      <c r="T56" s="17"/>
      <c r="U56" s="17">
        <f t="shared" si="1"/>
        <v>0</v>
      </c>
      <c r="V56" s="17">
        <v>1</v>
      </c>
      <c r="W56" s="9" t="s">
        <v>0</v>
      </c>
      <c r="X56" s="9">
        <f>INDEX('Unique Asset List'!$Y$4:$AE$60,MATCH('7'!$B56,'Unique Asset List'!$A$4:$A$60,0),MATCH('7'!$C$1,'Unique Asset List'!$Y$3:$AE$3,0))</f>
        <v>2051</v>
      </c>
      <c r="Y56" s="9">
        <f>INDEX('Unique Asset List'!$AF$4:$AL$60,MATCH('7'!$B56,'Unique Asset List'!$A$4:$A$60,0),MATCH('7'!$C$1,'Unique Asset List'!$AF$3:$AL$3,0))</f>
        <v>6</v>
      </c>
      <c r="Z56" s="9">
        <f>INDEX('Unique Asset List'!$AT$4:$AZ$60,MATCH('7'!$B56,'Unique Asset List'!$A$4:$A$60,0),MATCH('7'!$C$1,'Unique Asset List'!$AT$3:$AZ$3,0))</f>
        <v>2059</v>
      </c>
      <c r="AA56" s="9">
        <f>INDEX('Unique Asset List'!$BA$4:$BG$60,MATCH('7'!$B56,'Unique Asset List'!$A$4:$A$60,0),MATCH('7'!$C$1,'Unique Asset List'!$BA$3:$BG$3,0))</f>
        <v>6</v>
      </c>
      <c r="AB56" s="16">
        <f t="shared" si="10"/>
        <v>0</v>
      </c>
      <c r="AC56" s="16">
        <f t="shared" si="11"/>
        <v>0</v>
      </c>
      <c r="AD56" s="16">
        <f t="shared" si="12"/>
        <v>0</v>
      </c>
      <c r="AE56" s="15">
        <f>INDEX('Unique Asset List'!$CJ$4:$CP$60,MATCH('7'!$B56,'Unique Asset List'!$A$4:$A$60,0),MATCH('7'!$C$1,'Unique Asset List'!$CJ$3:$CP$3,0))</f>
        <v>0.16</v>
      </c>
      <c r="AF56" s="15">
        <f>INDEX('Unique Asset List'!$CQ$4:$CW$60,MATCH('7'!$B56,'Unique Asset List'!$A$4:$A$60,0),MATCH('7'!$C$1,'Unique Asset List'!$CQ$3:$CW$3,0))</f>
        <v>0.34</v>
      </c>
      <c r="AG56" s="15">
        <f>INDEX('Unique Asset List'!$BV$4:$CB$60,MATCH('7'!$B56,'Unique Asset List'!$A$4:$A$60,0),MATCH('7'!$C$1,'Unique Asset List'!$BV$3:$CB$3,0))</f>
        <v>0.16</v>
      </c>
      <c r="AH56" s="15">
        <f>INDEX('Unique Asset List'!$CC$4:$CI$60,MATCH('7'!$B56,'Unique Asset List'!$A$4:$A$60,0),MATCH('7'!$C$1,'Unique Asset List'!$CC$3:$CI$3,0))</f>
        <v>0.34</v>
      </c>
      <c r="AI56" s="11">
        <v>0.7</v>
      </c>
      <c r="AJ56" s="15">
        <f>INDEX('Unique Asset List'!$BH$4:$BN$60,MATCH('7'!$B56,'Unique Asset List'!$A$4:$A$60,0),MATCH('7'!$C$1,'Unique Asset List'!$BH$3:$BN$3,0))</f>
        <v>0.14000000000000001</v>
      </c>
      <c r="AK56" s="15">
        <f>INDEX('Unique Asset List'!$BO$4:$BU$60,MATCH('7'!$B56,'Unique Asset List'!$A$4:$A$60,0),MATCH('7'!$C$1,'Unique Asset List'!$BO$3:$BU$3,0))</f>
        <v>0.15</v>
      </c>
      <c r="AL56" s="40">
        <v>169</v>
      </c>
      <c r="AM56" s="14">
        <f>INDEX(Simulation!$B$6:$H$6,MATCH($A56,Simulation!$B$1:$H$1,0))*(1+AN56)^((DATE(X56,Y56,15)-DATE(2017,1,15))/365.5)</f>
        <v>0.75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5"/>
        <v>0.82</v>
      </c>
      <c r="AS56" s="10">
        <v>1</v>
      </c>
      <c r="AT56" s="181">
        <f>INDEX('Unique Asset List'!N$4:N$60,MATCH($B56,_CompoundList,0))</f>
        <v>0</v>
      </c>
      <c r="AU56" s="181">
        <f>INDEX('Unique Asset List'!O$4:O$60,MATCH($B56,_CompoundList,0))</f>
        <v>0</v>
      </c>
      <c r="AV56" s="181">
        <f>INDEX('Unique Asset List'!P$4:P$60,MATCH($B56,_CompoundList,0))</f>
        <v>0</v>
      </c>
      <c r="AW56" s="181">
        <f>INDEX('Unique Asset List'!Q$4:Q$60,MATCH($B56,_CompoundList,0))</f>
        <v>0</v>
      </c>
      <c r="AX56" s="181">
        <f ca="1">INDEX('Unique Asset List'!R$4:R$60,MATCH($B56,_CompoundList,0))</f>
        <v>0</v>
      </c>
      <c r="AY56" s="181">
        <f ca="1">INDEX('Unique Asset List'!S$4:S$60,MATCH($B56,_CompoundList,0))</f>
        <v>0</v>
      </c>
      <c r="AZ56" s="181">
        <f ca="1">INDEX('Unique Asset List'!T$4:T$60,MATCH($B56,_CompoundList,0))</f>
        <v>0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0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IF($C$5="ON",CL56,MyRating(_S1,$B56,Efficacy!$F$1))</f>
        <v>0</v>
      </c>
      <c r="BM56" s="3">
        <f>IF($C$5="ON",CM56,MyRating(_S2,$B56,Efficacy!$F$1))</f>
        <v>0</v>
      </c>
      <c r="BN56" s="3">
        <f>IF($C$5="ON",CN56,MyRating(_S3,$B56,Efficacy!$F$1))</f>
        <v>0</v>
      </c>
      <c r="BO56" s="3">
        <f>IF($C$5="ON",CO56,MyRating(_S4,$B56,Efficacy!$F$1))</f>
        <v>0</v>
      </c>
      <c r="BP56" s="3">
        <f>IF($C$5="ON",CP56,MyRating(_S5,$B56,Efficacy!$F$1))</f>
        <v>0</v>
      </c>
      <c r="BQ56" s="3">
        <f>IF($C$5="ON",CQ56,MyRating(_S6,$B56,Efficacy!$F$1))</f>
        <v>0</v>
      </c>
      <c r="BR56" s="3">
        <f>IF($C$5="ON",CR56,MyRating(_S7,$B56,Efficacy!$F$1))</f>
        <v>0</v>
      </c>
      <c r="BS56" s="3">
        <f>IF($C$5="ON",CS56,MyRating(_D1,$B56,Efficacy!$F$1))</f>
        <v>0</v>
      </c>
      <c r="BT56" s="3">
        <f>IF($C$5="ON",CT56,MyRating(_D2,$B56,Efficacy!$F$1))</f>
        <v>0</v>
      </c>
      <c r="BU56" s="3">
        <f>IF($C$5="ON",CU56,MyRating(_D3,$B56,Efficacy!$F$1))</f>
        <v>0</v>
      </c>
      <c r="BV56" s="3">
        <f>IF($C$5="ON",CV56,MyRating(_D4,$B56,Efficacy!$F$1))</f>
        <v>0</v>
      </c>
      <c r="BW56" s="3">
        <f>IF($C$5="ON",CW56,MyRating(_B1G5,$B56,Barrier!$L$2))</f>
        <v>0</v>
      </c>
      <c r="BX56" s="3">
        <f>IF($C$5="ON",CX56,MyRating(_B2,$B56,Barrier!$F$2))</f>
        <v>0</v>
      </c>
      <c r="BY56" s="6">
        <f>IF($C$5="ON",CY56,MyRating(_B3,$B56,Barrier!$F$2))</f>
        <v>0</v>
      </c>
      <c r="BZ56" s="5">
        <f t="shared" si="9"/>
        <v>0</v>
      </c>
      <c r="CA56" s="8">
        <f t="shared" si="6"/>
        <v>0</v>
      </c>
      <c r="CB56" s="5">
        <f t="shared" si="7"/>
        <v>0</v>
      </c>
      <c r="CC56" s="7">
        <f t="shared" si="8"/>
        <v>0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>
        <v>0</v>
      </c>
      <c r="DA56" s="59"/>
    </row>
    <row r="57" spans="1:105" x14ac:dyDescent="0.25">
      <c r="A57" s="9" t="str">
        <f t="shared" si="0"/>
        <v>JP</v>
      </c>
      <c r="B57" s="9" t="s">
        <v>183</v>
      </c>
      <c r="C57" s="20" t="s">
        <v>3</v>
      </c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2014</v>
      </c>
      <c r="I57" s="9">
        <v>6</v>
      </c>
      <c r="J57" s="18">
        <f>INDEX(PTRS!$D$6:$D$12,MATCH('7'!$F57,PTRS!$B$6:$B$12,0))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v>0</v>
      </c>
      <c r="N57" s="17">
        <f>INDEX('Unique Asset List'!$D$4:$M$60,MATCH($B57,'Unique Asset List'!$A$4:$A$60,0),MATCH(N$8,'Unique Asset List'!$D$3:$M$3,0))</f>
        <v>0</v>
      </c>
      <c r="O57" s="17">
        <f>INDEX('Unique Asset List'!$D$4:$M$60,MATCH($B57,'Unique Asset List'!$A$4:$A$60,0),MATCH(O$8,'Unique Asset List'!$D$3:$M$3,0))</f>
        <v>0</v>
      </c>
      <c r="P57" s="17">
        <f>INDEX('Unique Asset List'!$D$4:$M$60,MATCH($B57,'Unique Asset List'!$A$4:$A$60,0),MATCH(P$8,'Unique Asset List'!$D$3:$M$3,0))</f>
        <v>0</v>
      </c>
      <c r="Q57" s="17">
        <f>INDEX('Unique Asset List'!$D$4:$M$60,MATCH($B57,'Unique Asset List'!$A$4:$A$60,0),MATCH(Q$8,'Unique Asset List'!$D$3:$M$3,0))</f>
        <v>0</v>
      </c>
      <c r="R57" s="17">
        <f>INDEX('Unique Asset List'!$D$4:$M$60,MATCH($B57,'Unique Asset List'!$A$4:$A$60,0),MATCH(R$8,'Unique Asset List'!$D$3:$M$3,0))</f>
        <v>0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1"/>
        <v>0</v>
      </c>
      <c r="V57" s="17">
        <v>1</v>
      </c>
      <c r="W57" s="9" t="s">
        <v>0</v>
      </c>
      <c r="X57" s="9">
        <f>INDEX('Unique Asset List'!$Y$4:$AE$60,MATCH('7'!$B57,'Unique Asset List'!$A$4:$A$60,0),MATCH('7'!$C$1,'Unique Asset List'!$Y$3:$AE$3,0))</f>
        <v>2051</v>
      </c>
      <c r="Y57" s="9">
        <f>INDEX('Unique Asset List'!$AF$4:$AL$60,MATCH('7'!$B57,'Unique Asset List'!$A$4:$A$60,0),MATCH('7'!$C$1,'Unique Asset List'!$AF$3:$AL$3,0))</f>
        <v>6</v>
      </c>
      <c r="Z57" s="9">
        <f>INDEX('Unique Asset List'!$AT$4:$AZ$60,MATCH('7'!$B57,'Unique Asset List'!$A$4:$A$60,0),MATCH('7'!$C$1,'Unique Asset List'!$AT$3:$AZ$3,0))</f>
        <v>2059</v>
      </c>
      <c r="AA57" s="9">
        <f>INDEX('Unique Asset List'!$BA$4:$BG$60,MATCH('7'!$B57,'Unique Asset List'!$A$4:$A$60,0),MATCH('7'!$C$1,'Unique Asset List'!$BA$3:$BG$3,0))</f>
        <v>6</v>
      </c>
      <c r="AB57" s="16">
        <f t="shared" si="10"/>
        <v>0</v>
      </c>
      <c r="AC57" s="16">
        <f t="shared" si="11"/>
        <v>0</v>
      </c>
      <c r="AD57" s="16">
        <f t="shared" si="12"/>
        <v>0</v>
      </c>
      <c r="AE57" s="15">
        <f>INDEX('Unique Asset List'!$CJ$4:$CP$60,MATCH('7'!$B57,'Unique Asset List'!$A$4:$A$60,0),MATCH('7'!$C$1,'Unique Asset List'!$CJ$3:$CP$3,0))</f>
        <v>0.16</v>
      </c>
      <c r="AF57" s="15">
        <f>INDEX('Unique Asset List'!$CQ$4:$CW$60,MATCH('7'!$B57,'Unique Asset List'!$A$4:$A$60,0),MATCH('7'!$C$1,'Unique Asset List'!$CQ$3:$CW$3,0))</f>
        <v>0.34</v>
      </c>
      <c r="AG57" s="15">
        <f>INDEX('Unique Asset List'!$BV$4:$CB$60,MATCH('7'!$B57,'Unique Asset List'!$A$4:$A$60,0),MATCH('7'!$C$1,'Unique Asset List'!$BV$3:$CB$3,0))</f>
        <v>0.16</v>
      </c>
      <c r="AH57" s="15">
        <f>INDEX('Unique Asset List'!$CC$4:$CI$60,MATCH('7'!$B57,'Unique Asset List'!$A$4:$A$60,0),MATCH('7'!$C$1,'Unique Asset List'!$CC$3:$CI$3,0))</f>
        <v>0.34</v>
      </c>
      <c r="AI57" s="11">
        <v>0.7</v>
      </c>
      <c r="AJ57" s="15">
        <f>INDEX('Unique Asset List'!$BH$4:$BN$60,MATCH('7'!$B57,'Unique Asset List'!$A$4:$A$60,0),MATCH('7'!$C$1,'Unique Asset List'!$BH$3:$BN$3,0))</f>
        <v>0.14000000000000001</v>
      </c>
      <c r="AK57" s="15">
        <f>INDEX('Unique Asset List'!$BO$4:$BU$60,MATCH('7'!$B57,'Unique Asset List'!$A$4:$A$60,0),MATCH('7'!$C$1,'Unique Asset List'!$BO$3:$BU$3,0))</f>
        <v>0.15</v>
      </c>
      <c r="AL57" s="40">
        <v>169</v>
      </c>
      <c r="AM57" s="14">
        <f>INDEX(Simulation!$B$6:$H$6,MATCH($A57,Simulation!$B$1:$H$1,0))*(1+AN57)^((DATE(X57,Y57,15)-DATE(2017,1,15))/365.5)</f>
        <v>0.75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5"/>
        <v>0.82</v>
      </c>
      <c r="AS57" s="10">
        <v>1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1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1</v>
      </c>
      <c r="BB57" s="181">
        <f ca="1">INDEX('Unique Asset List'!V$4:V$60,MATCH($B57,_CompoundList,0))</f>
        <v>1</v>
      </c>
      <c r="BC57" s="181">
        <f ca="1">INDEX('Unique Asset List'!W$4:W$60,MATCH($B57,_CompoundList,0))</f>
        <v>0</v>
      </c>
      <c r="BD57" s="4">
        <f>IF($C$5="ON",CD57,MyRating(_E1,$B57,Efficacy!$F$1))</f>
        <v>0</v>
      </c>
      <c r="BE57" s="3">
        <f>IF($C$5="ON",CE57,MyRating(_E2,$B57,Efficacy!$F$1))</f>
        <v>0</v>
      </c>
      <c r="BF57" s="3">
        <f>IF($C$5="ON",CF57,MyRating(_E3,$B57,Efficacy!$F$1))</f>
        <v>0</v>
      </c>
      <c r="BG57" s="3">
        <f>IF($C$5="ON",CG57,MyRating(_E4,$B57,Efficacy!$F$1))</f>
        <v>0</v>
      </c>
      <c r="BH57" s="3">
        <f>IF($C$5="ON",CH57,MyRating(_E5,$B57,Efficacy!$F$1))</f>
        <v>0</v>
      </c>
      <c r="BI57" s="3">
        <f>IF($C$5="ON",CI57,MyRating(_E6,$B57,Efficacy!$F$1))</f>
        <v>0</v>
      </c>
      <c r="BJ57" s="3">
        <f>IF($C$5="ON",CJ57,MyRating(_E7,$B57,Efficacy!$F$1))</f>
        <v>0</v>
      </c>
      <c r="BK57" s="3">
        <f>IF($C$5="ON",CK57,MyRating(_E8,$B57,Efficacy!$F$1))</f>
        <v>0</v>
      </c>
      <c r="BL57" s="3">
        <f>IF($C$5="ON",CL57,MyRating(_S1,$B57,Efficacy!$F$1))</f>
        <v>0</v>
      </c>
      <c r="BM57" s="3">
        <f>IF($C$5="ON",CM57,MyRating(_S2,$B57,Efficacy!$F$1))</f>
        <v>0</v>
      </c>
      <c r="BN57" s="3">
        <f>IF($C$5="ON",CN57,MyRating(_S3,$B57,Efficacy!$F$1))</f>
        <v>0</v>
      </c>
      <c r="BO57" s="3">
        <f>IF($C$5="ON",CO57,MyRating(_S4,$B57,Efficacy!$F$1))</f>
        <v>0</v>
      </c>
      <c r="BP57" s="3">
        <f>IF($C$5="ON",CP57,MyRating(_S5,$B57,Efficacy!$F$1))</f>
        <v>0</v>
      </c>
      <c r="BQ57" s="3">
        <f>IF($C$5="ON",CQ57,MyRating(_S6,$B57,Efficacy!$F$1))</f>
        <v>0</v>
      </c>
      <c r="BR57" s="3">
        <f>IF($C$5="ON",CR57,MyRating(_S7,$B57,Efficacy!$F$1))</f>
        <v>0</v>
      </c>
      <c r="BS57" s="3">
        <f>IF($C$5="ON",CS57,MyRating(_D1,$B57,Efficacy!$F$1))</f>
        <v>0</v>
      </c>
      <c r="BT57" s="3">
        <f>IF($C$5="ON",CT57,MyRating(_D2,$B57,Efficacy!$F$1))</f>
        <v>0</v>
      </c>
      <c r="BU57" s="3">
        <f>IF($C$5="ON",CU57,MyRating(_D3,$B57,Efficacy!$F$1))</f>
        <v>0</v>
      </c>
      <c r="BV57" s="3">
        <f>IF($C$5="ON",CV57,MyRating(_D4,$B57,Efficacy!$F$1))</f>
        <v>0</v>
      </c>
      <c r="BW57" s="3">
        <f>IF($C$5="ON",CW57,MyRating(_B1G5,$B57,Barrier!$L$2))</f>
        <v>0</v>
      </c>
      <c r="BX57" s="3">
        <f>IF($C$5="ON",CX57,MyRating(_B2,$B57,Barrier!$F$2))</f>
        <v>0</v>
      </c>
      <c r="BY57" s="6">
        <f>IF($C$5="ON",CY57,MyRating(_B3,$B57,Barrier!$F$2))</f>
        <v>0</v>
      </c>
      <c r="BZ57" s="5">
        <f t="shared" si="9"/>
        <v>0</v>
      </c>
      <c r="CA57" s="8">
        <f t="shared" si="6"/>
        <v>0</v>
      </c>
      <c r="CB57" s="5">
        <f t="shared" si="7"/>
        <v>0</v>
      </c>
      <c r="CC57" s="7">
        <f t="shared" si="8"/>
        <v>0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>
        <v>0</v>
      </c>
      <c r="DA57" s="59"/>
    </row>
    <row r="58" spans="1:105" x14ac:dyDescent="0.25">
      <c r="A58" s="9" t="str">
        <f t="shared" si="0"/>
        <v>JP</v>
      </c>
      <c r="B58" s="9" t="s">
        <v>182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2014</v>
      </c>
      <c r="I58" s="9">
        <v>6</v>
      </c>
      <c r="J58" s="18">
        <f>INDEX(PTRS!$D$6:$D$12,MATCH('7'!$F58,PTRS!$B$6:$B$12,0))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v>0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 t="shared" si="1"/>
        <v>0</v>
      </c>
      <c r="V58" s="17">
        <v>1</v>
      </c>
      <c r="W58" s="9" t="s">
        <v>0</v>
      </c>
      <c r="X58" s="9">
        <f>INDEX('Unique Asset List'!$Y$4:$AE$60,MATCH('7'!$B58,'Unique Asset List'!$A$4:$A$60,0),MATCH('7'!$C$1,'Unique Asset List'!$Y$3:$AE$3,0))</f>
        <v>2051</v>
      </c>
      <c r="Y58" s="9">
        <f>INDEX('Unique Asset List'!$AF$4:$AL$60,MATCH('7'!$B58,'Unique Asset List'!$A$4:$A$60,0),MATCH('7'!$C$1,'Unique Asset List'!$AF$3:$AL$3,0))</f>
        <v>6</v>
      </c>
      <c r="Z58" s="9">
        <f>INDEX('Unique Asset List'!$AT$4:$AZ$60,MATCH('7'!$B58,'Unique Asset List'!$A$4:$A$60,0),MATCH('7'!$C$1,'Unique Asset List'!$AT$3:$AZ$3,0))</f>
        <v>2059</v>
      </c>
      <c r="AA58" s="9">
        <f>INDEX('Unique Asset List'!$BA$4:$BG$60,MATCH('7'!$B58,'Unique Asset List'!$A$4:$A$60,0),MATCH('7'!$C$1,'Unique Asset List'!$BA$3:$BG$3,0))</f>
        <v>6</v>
      </c>
      <c r="AB58" s="16">
        <f t="shared" si="10"/>
        <v>0</v>
      </c>
      <c r="AC58" s="16">
        <f t="shared" si="11"/>
        <v>0</v>
      </c>
      <c r="AD58" s="16">
        <f t="shared" si="12"/>
        <v>0</v>
      </c>
      <c r="AE58" s="15">
        <f>INDEX('Unique Asset List'!$CJ$4:$CP$60,MATCH('7'!$B58,'Unique Asset List'!$A$4:$A$60,0),MATCH('7'!$C$1,'Unique Asset List'!$CJ$3:$CP$3,0))</f>
        <v>0.16</v>
      </c>
      <c r="AF58" s="15">
        <f>INDEX('Unique Asset List'!$CQ$4:$CW$60,MATCH('7'!$B58,'Unique Asset List'!$A$4:$A$60,0),MATCH('7'!$C$1,'Unique Asset List'!$CQ$3:$CW$3,0))</f>
        <v>0.34</v>
      </c>
      <c r="AG58" s="15">
        <f>INDEX('Unique Asset List'!$BV$4:$CB$60,MATCH('7'!$B58,'Unique Asset List'!$A$4:$A$60,0),MATCH('7'!$C$1,'Unique Asset List'!$BV$3:$CB$3,0))</f>
        <v>0.16</v>
      </c>
      <c r="AH58" s="15">
        <f>INDEX('Unique Asset List'!$CC$4:$CI$60,MATCH('7'!$B58,'Unique Asset List'!$A$4:$A$60,0),MATCH('7'!$C$1,'Unique Asset List'!$CC$3:$CI$3,0))</f>
        <v>0.34</v>
      </c>
      <c r="AI58" s="11">
        <v>0.7</v>
      </c>
      <c r="AJ58" s="15">
        <f>INDEX('Unique Asset List'!$BH$4:$BN$60,MATCH('7'!$B58,'Unique Asset List'!$A$4:$A$60,0),MATCH('7'!$C$1,'Unique Asset List'!$BH$3:$BN$3,0))</f>
        <v>0.14000000000000001</v>
      </c>
      <c r="AK58" s="15">
        <f>INDEX('Unique Asset List'!$BO$4:$BU$60,MATCH('7'!$B58,'Unique Asset List'!$A$4:$A$60,0),MATCH('7'!$C$1,'Unique Asset List'!$BO$3:$BU$3,0))</f>
        <v>0.15</v>
      </c>
      <c r="AL58" s="40">
        <v>169</v>
      </c>
      <c r="AM58" s="14">
        <f>INDEX(Simulation!$B$6:$H$6,MATCH($A58,Simulation!$B$1:$H$1,0))*(1+AN58)^((DATE(X58,Y58,15)-DATE(2017,1,15))/365.5)</f>
        <v>0.75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5"/>
        <v>0.82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1</v>
      </c>
      <c r="AY58" s="181">
        <f ca="1">INDEX('Unique Asset List'!S$4:S$60,MATCH($B58,_CompoundList,0))</f>
        <v>0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1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IF($C$5="ON",CL58,MyRating(_S1,$B58,Efficacy!$F$1))</f>
        <v>0</v>
      </c>
      <c r="BM58" s="3">
        <f>IF($C$5="ON",CM58,MyRating(_S2,$B58,Efficacy!$F$1))</f>
        <v>0</v>
      </c>
      <c r="BN58" s="3">
        <f>IF($C$5="ON",CN58,MyRating(_S3,$B58,Efficacy!$F$1))</f>
        <v>0</v>
      </c>
      <c r="BO58" s="3">
        <f>IF($C$5="ON",CO58,MyRating(_S4,$B58,Efficacy!$F$1))</f>
        <v>0</v>
      </c>
      <c r="BP58" s="3">
        <f>IF($C$5="ON",CP58,MyRating(_S5,$B58,Efficacy!$F$1))</f>
        <v>0</v>
      </c>
      <c r="BQ58" s="3">
        <f>IF($C$5="ON",CQ58,MyRating(_S6,$B58,Efficacy!$F$1))</f>
        <v>0</v>
      </c>
      <c r="BR58" s="3">
        <f>IF($C$5="ON",CR58,MyRating(_S7,$B58,Efficacy!$F$1))</f>
        <v>0</v>
      </c>
      <c r="BS58" s="3">
        <f>IF($C$5="ON",CS58,MyRating(_D1,$B58,Efficacy!$F$1))</f>
        <v>0</v>
      </c>
      <c r="BT58" s="3">
        <f>IF($C$5="ON",CT58,MyRating(_D2,$B58,Efficacy!$F$1))</f>
        <v>0</v>
      </c>
      <c r="BU58" s="3">
        <f>IF($C$5="ON",CU58,MyRating(_D3,$B58,Efficacy!$F$1))</f>
        <v>0</v>
      </c>
      <c r="BV58" s="3">
        <f>IF($C$5="ON",CV58,MyRating(_D4,$B58,Efficacy!$F$1))</f>
        <v>0</v>
      </c>
      <c r="BW58" s="3">
        <f>IF($C$5="ON",CW58,MyRating(_B1G5,$B58,Barrier!$L$2))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9"/>
        <v>0</v>
      </c>
      <c r="CA58" s="8">
        <f t="shared" si="6"/>
        <v>0</v>
      </c>
      <c r="CB58" s="5">
        <f t="shared" si="7"/>
        <v>0</v>
      </c>
      <c r="CC58" s="7">
        <f t="shared" si="8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>
        <v>0</v>
      </c>
      <c r="DA58" s="59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2">
    <dataValidation type="list" allowBlank="1" showInputMessage="1" showErrorMessage="1" sqref="C1" xr:uid="{00000000-0002-0000-0C00-000000000000}">
      <formula1>"US,FR,DE,ES,IT,UK,JP"</formula1>
    </dataValidation>
    <dataValidation type="list" allowBlank="1" showInputMessage="1" showErrorMessage="1" sqref="C5" xr:uid="{00000000-0002-0000-0C00-000001000000}">
      <formula1>"ON,OFF"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'Unique Asset List'!$D$3:$M$3</xm:f>
          </x14:formula1>
          <xm:sqref>J1:S1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>
    <outlinePr summaryBelow="0" summaryRight="0"/>
  </sheetPr>
  <dimension ref="A1:DA58"/>
  <sheetViews>
    <sheetView workbookViewId="0">
      <selection activeCell="C19" sqref="C19"/>
    </sheetView>
  </sheetViews>
  <sheetFormatPr defaultRowHeight="15" x14ac:dyDescent="0.25"/>
  <cols>
    <col min="1" max="1" width="6.85546875" customWidth="1"/>
    <col min="2" max="2" width="24.28515625" bestFit="1" customWidth="1"/>
    <col min="3" max="3" width="6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4.85546875" bestFit="1" customWidth="1"/>
    <col min="25" max="25" width="3.140625" bestFit="1" customWidth="1"/>
    <col min="26" max="30" width="5" bestFit="1" customWidth="1"/>
    <col min="31" max="34" width="4" bestFit="1" customWidth="1"/>
    <col min="35" max="35" width="4.42578125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bestFit="1" customWidth="1"/>
    <col min="57" max="57" width="3.5703125" bestFit="1" customWidth="1"/>
    <col min="58" max="58" width="4.5703125" bestFit="1" customWidth="1"/>
    <col min="59" max="74" width="3.5703125" bestFit="1" customWidth="1"/>
    <col min="75" max="77" width="4.28515625" customWidth="1"/>
    <col min="78" max="81" width="7.7109375" style="1" bestFit="1" customWidth="1"/>
    <col min="82" max="83" width="3.5703125" bestFit="1" customWidth="1"/>
    <col min="84" max="84" width="4.5703125" bestFit="1" customWidth="1"/>
    <col min="85" max="101" width="3.5703125" bestFit="1" customWidth="1"/>
    <col min="102" max="103" width="4.5703125" bestFit="1" customWidth="1"/>
    <col min="104" max="104" width="5.140625" style="1" bestFit="1" customWidth="1"/>
  </cols>
  <sheetData>
    <row r="1" spans="1:105" x14ac:dyDescent="0.25">
      <c r="A1" s="209" t="s">
        <v>181</v>
      </c>
      <c r="B1" s="211"/>
      <c r="C1" s="56" t="s">
        <v>176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L1"/>
      <c r="AM1"/>
      <c r="AN1"/>
      <c r="AO1"/>
      <c r="AQ1"/>
      <c r="CA1" s="35"/>
    </row>
    <row r="2" spans="1:105" x14ac:dyDescent="0.25">
      <c r="B2" t="s">
        <v>172</v>
      </c>
      <c r="C2" s="48">
        <v>3</v>
      </c>
      <c r="T2" s="209" t="s">
        <v>168</v>
      </c>
      <c r="U2" s="210"/>
      <c r="V2" s="210"/>
      <c r="W2" s="211"/>
      <c r="X2" s="47">
        <v>0.2</v>
      </c>
      <c r="AL2"/>
      <c r="AM2"/>
      <c r="AN2"/>
      <c r="AO2"/>
      <c r="AQ2"/>
      <c r="CA2" s="35"/>
    </row>
    <row r="3" spans="1:105" x14ac:dyDescent="0.25">
      <c r="B3" t="s">
        <v>166</v>
      </c>
      <c r="C3" s="48">
        <v>2</v>
      </c>
      <c r="T3" s="209" t="s">
        <v>165</v>
      </c>
      <c r="U3" s="210"/>
      <c r="V3" s="210"/>
      <c r="W3" s="211"/>
      <c r="X3" s="47">
        <v>-0.5</v>
      </c>
      <c r="AL3"/>
      <c r="AM3"/>
      <c r="AN3"/>
      <c r="AO3"/>
      <c r="AQ3"/>
      <c r="CA3" s="35"/>
    </row>
    <row r="4" spans="1:105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1.5</v>
      </c>
      <c r="AL4"/>
      <c r="AM4"/>
      <c r="AN4"/>
      <c r="AO4"/>
      <c r="AQ4"/>
      <c r="CA4" s="35"/>
    </row>
    <row r="5" spans="1:105" x14ac:dyDescent="0.25">
      <c r="B5" t="s">
        <v>160</v>
      </c>
      <c r="C5" s="45" t="s">
        <v>3</v>
      </c>
      <c r="D5" s="44"/>
      <c r="U5" s="43"/>
      <c r="V5" s="42"/>
      <c r="AL5"/>
      <c r="AM5"/>
      <c r="AN5"/>
      <c r="AO5"/>
      <c r="AQ5"/>
      <c r="CA5" s="35"/>
    </row>
    <row r="6" spans="1:105" x14ac:dyDescent="0.25">
      <c r="AL6"/>
      <c r="AM6"/>
      <c r="AN6"/>
      <c r="AO6"/>
      <c r="AQ6"/>
      <c r="CA6" s="35"/>
    </row>
    <row r="7" spans="1:105" x14ac:dyDescent="0.25">
      <c r="AL7"/>
      <c r="AM7"/>
      <c r="AN7"/>
      <c r="AO7"/>
      <c r="AQ7"/>
      <c r="BD7" s="27">
        <f>IF($C$5="ON",CD7,INDEX(Conjoint!$F$9:$F$33,MATCH(BD8,Conjoint!$B$9:$B$33,0)))</f>
        <v>8.4581000000000003E-2</v>
      </c>
      <c r="BE7" s="27">
        <f>IF($C$5="ON",CE7,INDEX(Conjoint!$F$9:$F$33,MATCH(BE8,Conjoint!$B$9:$B$33,0)))</f>
        <v>8.0703200000000017E-2</v>
      </c>
      <c r="BF7" s="27">
        <f>IF($C$5="ON",CF7,INDEX(Conjoint!$F$9:$F$33,MATCH(BF8,Conjoint!$B$9:$B$33,0)))</f>
        <v>9.5090400000000005E-2</v>
      </c>
      <c r="BG7" s="27">
        <f>IF($C$5="ON",CG7,INDEX(Conjoint!$F$9:$F$33,MATCH(BG8,Conjoint!$B$9:$B$33,0)))</f>
        <v>8.2614000000000007E-2</v>
      </c>
      <c r="BH7" s="27">
        <f>IF($C$5="ON",CH7,INDEX(Conjoint!$F$9:$F$33,MATCH(BH8,Conjoint!$B$9:$B$33,0)))</f>
        <v>6.1089400000000009E-2</v>
      </c>
      <c r="BI7" s="27">
        <f>IF($C$5="ON",CI7,INDEX(Conjoint!$F$9:$F$33,MATCH(BI8,Conjoint!$B$9:$B$33,0)))</f>
        <v>5.8054600000000005E-2</v>
      </c>
      <c r="BJ7" s="27">
        <f>IF($C$5="ON",CJ7,INDEX(Conjoint!$F$9:$F$33,MATCH(BJ8,Conjoint!$B$9:$B$33,0)))</f>
        <v>3.8047400000000002E-2</v>
      </c>
      <c r="BK7" s="27">
        <f>IF($C$5="ON",CK7,INDEX(Conjoint!$F$9:$F$33,MATCH(BK8,Conjoint!$B$9:$B$33,0)))</f>
        <v>6.1820000000000007E-2</v>
      </c>
      <c r="BL7" s="27">
        <f>IF($C$5="ON",CL7,INDEX(Conjoint!$F$9:$F$33,MATCH(BL8,Conjoint!$B$9:$B$33,0)))</f>
        <v>6.1469900000000001E-2</v>
      </c>
      <c r="BM7" s="27">
        <f>IF($C$5="ON",CM7,INDEX(Conjoint!$F$9:$F$33,MATCH(BM8,Conjoint!$B$9:$B$33,0)))</f>
        <v>2.4572900000000002E-2</v>
      </c>
      <c r="BN7" s="27">
        <f>IF($C$5="ON",CN7,INDEX(Conjoint!$F$9:$F$33,MATCH(BN8,Conjoint!$B$9:$B$33,0)))</f>
        <v>3.06471E-2</v>
      </c>
      <c r="BO7" s="27">
        <f>IF($C$5="ON",CO7,INDEX(Conjoint!$F$9:$F$33,MATCH(BO8,Conjoint!$B$9:$B$33,0)))</f>
        <v>3.4964300000000004E-2</v>
      </c>
      <c r="BP7" s="27">
        <f>IF($C$5="ON",CP7,INDEX(Conjoint!$F$9:$F$33,MATCH(BP8,Conjoint!$B$9:$B$33,0)))</f>
        <v>4.6008299999999995E-2</v>
      </c>
      <c r="BQ7" s="27">
        <f>IF($C$5="ON",CQ7,INDEX(Conjoint!$F$9:$F$33,MATCH(BQ8,Conjoint!$B$9:$B$33,0)))</f>
        <v>2.14354E-2</v>
      </c>
      <c r="BR7" s="27">
        <f>IF($C$5="ON",CR7,INDEX(Conjoint!$F$9:$F$33,MATCH(BR8,Conjoint!$B$9:$B$33,0)))</f>
        <v>3.1877000000000003E-2</v>
      </c>
      <c r="BS7" s="27">
        <f>IF($C$5="ON",CS7,INDEX(Conjoint!$F$9:$F$33,MATCH(BS8,Conjoint!$B$9:$B$33,0)))</f>
        <v>5.9704054739999991E-2</v>
      </c>
      <c r="BT7" s="27">
        <f>IF($C$5="ON",CT7,INDEX(Conjoint!$F$9:$F$33,MATCH(BT8,Conjoint!$B$9:$B$33,0)))</f>
        <v>4.0027204139999994E-2</v>
      </c>
      <c r="BU7" s="27">
        <f>IF($C$5="ON",CU7,INDEX(Conjoint!$F$9:$F$33,MATCH(BU8,Conjoint!$B$9:$B$33,0)))</f>
        <v>3.2328141120000001E-2</v>
      </c>
      <c r="BV7" s="27">
        <f>IF($C$5="ON",CV7,INDEX(Conjoint!$F$9:$F$33,MATCH(BV8,Conjoint!$B$9:$B$33,0)))</f>
        <v>5.4940599999999999E-2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3.7050546148312331E-2</v>
      </c>
      <c r="CA7" s="34">
        <f>SUMIF($C$9:$C$58,"",CA9:CA58)</f>
        <v>84.999999999999957</v>
      </c>
      <c r="CB7" s="33"/>
      <c r="CC7" s="32">
        <f>SUMIF($C$9:$C$58,"",CC9:CC58)</f>
        <v>0.17896119842226979</v>
      </c>
      <c r="CD7" s="27">
        <v>8.4581000000000003E-2</v>
      </c>
      <c r="CE7" s="27">
        <v>8.0703200000000017E-2</v>
      </c>
      <c r="CF7" s="27">
        <v>9.5090400000000005E-2</v>
      </c>
      <c r="CG7" s="27">
        <v>8.2614000000000007E-2</v>
      </c>
      <c r="CH7" s="27">
        <v>6.1089400000000009E-2</v>
      </c>
      <c r="CI7" s="27">
        <v>5.8054600000000005E-2</v>
      </c>
      <c r="CJ7" s="27">
        <v>3.8047400000000002E-2</v>
      </c>
      <c r="CK7" s="27">
        <v>6.1820000000000007E-2</v>
      </c>
      <c r="CL7" s="27">
        <v>6.1469900000000001E-2</v>
      </c>
      <c r="CM7" s="27">
        <v>2.4572900000000002E-2</v>
      </c>
      <c r="CN7" s="27">
        <v>3.06471E-2</v>
      </c>
      <c r="CO7" s="27">
        <v>3.4964300000000004E-2</v>
      </c>
      <c r="CP7" s="27">
        <v>4.6008299999999995E-2</v>
      </c>
      <c r="CQ7" s="27">
        <v>2.14354E-2</v>
      </c>
      <c r="CR7" s="27">
        <v>3.1877000000000003E-2</v>
      </c>
      <c r="CS7" s="27">
        <v>5.9704054739999991E-2</v>
      </c>
      <c r="CT7" s="27">
        <v>4.0027204139999994E-2</v>
      </c>
      <c r="CU7" s="27">
        <v>3.2328141120000001E-2</v>
      </c>
      <c r="CV7" s="27">
        <v>5.4940599999999999E-2</v>
      </c>
      <c r="CW7" s="27">
        <v>0.05</v>
      </c>
      <c r="CX7" s="27">
        <v>0.47499999999999998</v>
      </c>
      <c r="CY7" s="26">
        <v>0.47499999999999998</v>
      </c>
      <c r="CZ7" s="31">
        <v>5.3883834849545127E-2</v>
      </c>
    </row>
    <row r="8" spans="1:105" ht="104.25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 t="s">
        <v>118</v>
      </c>
    </row>
    <row r="9" spans="1:105" x14ac:dyDescent="0.25">
      <c r="A9" s="9" t="str">
        <f t="shared" ref="A9:A40" si="0">$C$1</f>
        <v>IT</v>
      </c>
      <c r="B9" s="9" t="s">
        <v>49</v>
      </c>
      <c r="C9" s="20" t="s">
        <v>3</v>
      </c>
      <c r="D9" s="9" t="s">
        <v>48</v>
      </c>
      <c r="E9" s="9" t="s">
        <v>186</v>
      </c>
      <c r="F9" s="9" t="str">
        <f>INDEX('Unique Asset List'!$C$4:$C$60,MATCH(B9,_CompoundList,0))</f>
        <v>Launched</v>
      </c>
      <c r="G9" s="19">
        <v>0</v>
      </c>
      <c r="H9" s="9">
        <v>2014</v>
      </c>
      <c r="I9" s="9">
        <v>6</v>
      </c>
      <c r="J9" s="18">
        <f>INDEX(PTRS!$D$6:$D$12,MATCH('6'!$F9,PTRS!$B$6:$B$12,0))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50" si="1">BZ9/$BZ$7</f>
        <v>0</v>
      </c>
      <c r="V9" s="17">
        <v>1</v>
      </c>
      <c r="W9" s="9" t="s">
        <v>46</v>
      </c>
      <c r="X9" s="9">
        <f>INDEX('Unique Asset List'!$Y$4:$AE$60,MATCH('6'!$B9,'Unique Asset List'!$A$4:$A$60,0),MATCH('6'!$C$1,'Unique Asset List'!$Y$3:$AE$3,0))</f>
        <v>1984</v>
      </c>
      <c r="Y9" s="9">
        <f>INDEX('Unique Asset List'!$AF$4:$AL$60,MATCH('6'!$B9,'Unique Asset List'!$A$4:$A$60,0),MATCH('6'!$C$1,'Unique Asset List'!$AF$3:$AL$3,0))</f>
        <v>7</v>
      </c>
      <c r="Z9" s="9">
        <f>INDEX('Unique Asset List'!$AT$4:$AZ$60,MATCH('6'!$B9,'Unique Asset List'!$A$4:$A$60,0),MATCH('6'!$C$1,'Unique Asset List'!$AT$3:$AZ$3,0))</f>
        <v>1994</v>
      </c>
      <c r="AA9" s="9">
        <f>INDEX('Unique Asset List'!$BA$4:$BG$60,MATCH('6'!$B9,'Unique Asset List'!$A$4:$A$60,0),MATCH('6'!$C$1,'Unique Asset List'!$BA$3:$BG$3,0))</f>
        <v>7</v>
      </c>
      <c r="AB9" s="16">
        <f t="shared" ref="AB9:AB37" si="2">SUMPRODUCT($BD9:$BK9,$BD$7:$BK$7)</f>
        <v>1.3070995999999999</v>
      </c>
      <c r="AC9" s="16">
        <f t="shared" ref="AC9:AC37" si="3">SUMPRODUCT($BL9:$BR9,$BL$7:$BR$7)</f>
        <v>0.69770470000000007</v>
      </c>
      <c r="AD9" s="16">
        <f t="shared" ref="AD9:AD37" si="4">SUMPRODUCT($BS9:$BV9,$BS$7:$BV$7)</f>
        <v>0.56099999999999994</v>
      </c>
      <c r="AE9" s="15">
        <f>INDEX('Unique Asset List'!$CJ$4:$CP$60,MATCH('6'!$B9,'Unique Asset List'!$A$4:$A$60,0),MATCH('6'!$C$1,'Unique Asset List'!$CJ$3:$CP$3,0))</f>
        <v>0.18</v>
      </c>
      <c r="AF9" s="15">
        <f>INDEX('Unique Asset List'!$CQ$4:$CW$60,MATCH('6'!$B9,'Unique Asset List'!$A$4:$A$60,0),MATCH('6'!$C$1,'Unique Asset List'!$CQ$3:$CW$3,0))</f>
        <v>0.32</v>
      </c>
      <c r="AG9" s="15">
        <f>INDEX('Unique Asset List'!$BV$4:$CB$60,MATCH('6'!$B9,'Unique Asset List'!$A$4:$A$60,0),MATCH('6'!$C$1,'Unique Asset List'!$BV$3:$CB$3,0))</f>
        <v>0.18</v>
      </c>
      <c r="AH9" s="15">
        <f>INDEX('Unique Asset List'!$CC$4:$CI$60,MATCH('6'!$B9,'Unique Asset List'!$A$4:$A$60,0),MATCH('6'!$C$1,'Unique Asset List'!$CC$3:$CI$3,0))</f>
        <v>0.32</v>
      </c>
      <c r="AI9" s="11">
        <v>0.96187963349867744</v>
      </c>
      <c r="AJ9" s="15">
        <f>INDEX('Unique Asset List'!$BH$4:$BN$60,MATCH('6'!$B9,'Unique Asset List'!$A$4:$A$60,0),MATCH('6'!$C$1,'Unique Asset List'!$BH$3:$BN$3,0))</f>
        <v>0.32314284341629806</v>
      </c>
      <c r="AK9" s="15">
        <f>INDEX('Unique Asset List'!$BO$4:$BU$60,MATCH('6'!$B9,'Unique Asset List'!$A$4:$A$60,0),MATCH('6'!$C$1,'Unique Asset List'!$BO$3:$BU$3,0))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40" si="5">AP9</f>
        <v>1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2</v>
      </c>
      <c r="BE9" s="3">
        <f>IF($C$5="ON",CE9,MyRating(_E2,$B9,Efficacy!$F$1))</f>
        <v>1</v>
      </c>
      <c r="BF9" s="3">
        <f>IF($C$5="ON",CF9,MyRating(_E3,$B9,Efficacy!$F$1))</f>
        <v>1</v>
      </c>
      <c r="BG9" s="3">
        <f>IF($C$5="ON",CG9,MyRating(_E4,$B9,Efficacy!$F$1))</f>
        <v>2</v>
      </c>
      <c r="BH9" s="3">
        <f>IF($C$5="ON",CH9,MyRating(_E5,$B9,Efficacy!$F$1))</f>
        <v>3</v>
      </c>
      <c r="BI9" s="3">
        <f>IF($C$5="ON",CI9,MyRating(_E6,$B9,Efficacy!$F$1))</f>
        <v>5</v>
      </c>
      <c r="BJ9" s="3">
        <f>IF($C$5="ON",CJ9,MyRating(_E7,$B9,Efficacy!$F$1))</f>
        <v>2</v>
      </c>
      <c r="BK9" s="3">
        <f>IF($C$5="ON",CK9,MyRating(_E8,$B9,Efficacy!$F$1))</f>
        <v>4</v>
      </c>
      <c r="BL9" s="3">
        <f>IF($C$5="ON",CL9,MyRating(_S1,$B9,Efficacy!$F$1))</f>
        <v>3</v>
      </c>
      <c r="BM9" s="3">
        <f>IF($C$5="ON",CM9,MyRating(_S2,$B9,Efficacy!$F$1))</f>
        <v>2</v>
      </c>
      <c r="BN9" s="3">
        <f>IF($C$5="ON",CN9,MyRating(_S3,$B9,Efficacy!$F$1))</f>
        <v>2</v>
      </c>
      <c r="BO9" s="3">
        <f>IF($C$5="ON",CO9,MyRating(_S4,$B9,Efficacy!$F$1))</f>
        <v>3</v>
      </c>
      <c r="BP9" s="3">
        <f>IF($C$5="ON",CP9,MyRating(_S5,$B9,Efficacy!$F$1))</f>
        <v>3</v>
      </c>
      <c r="BQ9" s="3">
        <f>IF($C$5="ON",CQ9,MyRating(_S6,$B9,Efficacy!$F$1))</f>
        <v>3</v>
      </c>
      <c r="BR9" s="3">
        <f>IF($C$5="ON",CR9,MyRating(_S7,$B9,Efficacy!$F$1))</f>
        <v>3</v>
      </c>
      <c r="BS9" s="3">
        <f>IF($C$5="ON",CS9,MyRating(_D1,$B9,Efficacy!$F$1))</f>
        <v>3</v>
      </c>
      <c r="BT9" s="3">
        <f>IF($C$5="ON",CT9,MyRating(_D2,$B9,Efficacy!$F$1))</f>
        <v>3</v>
      </c>
      <c r="BU9" s="3">
        <f>IF($C$5="ON",CU9,MyRating(_D3,$B9,Efficacy!$F$1))</f>
        <v>3</v>
      </c>
      <c r="BV9" s="3">
        <f>IF($C$5="ON",CV9,MyRating(_D4,$B9,Efficacy!$F$1))</f>
        <v>3</v>
      </c>
      <c r="BW9" s="3">
        <f>IF($C$5="ON",CW9,MyRating(_B1G5,$B9,Barrier!$L$2))</f>
        <v>3</v>
      </c>
      <c r="BX9" s="3">
        <f>IF($C$5="ON",CX9,MyRating(_B2,$B9,Barrier!$F$2))</f>
        <v>3</v>
      </c>
      <c r="BY9" s="6">
        <f>IF($C$5="ON",CY9,MyRating(_B3,$B9,Barrier!$F$2))</f>
        <v>0</v>
      </c>
      <c r="BZ9" s="5">
        <f>IF(C9="",CC9/$CC$7,0)</f>
        <v>0</v>
      </c>
      <c r="CA9" s="8">
        <f t="shared" ref="CA9:CA40" si="6">SUMPRODUCT($BW9:$BY9,$BW$7:$BY$7)</f>
        <v>1.8000000000000003</v>
      </c>
      <c r="CB9" s="5">
        <f t="shared" ref="CB9:CB40" si="7">CA9/$CA$7</f>
        <v>2.1176470588235307E-2</v>
      </c>
      <c r="CC9" s="7">
        <f t="shared" ref="CC9:CC40" si="8">CB9^$X$4</f>
        <v>3.081629118108704E-3</v>
      </c>
      <c r="CD9" s="4">
        <v>2</v>
      </c>
      <c r="CE9" s="3">
        <v>2</v>
      </c>
      <c r="CF9" s="3">
        <v>2</v>
      </c>
      <c r="CG9" s="3">
        <v>2</v>
      </c>
      <c r="CH9" s="3">
        <v>2</v>
      </c>
      <c r="CI9" s="3">
        <v>5</v>
      </c>
      <c r="CJ9" s="3">
        <v>2</v>
      </c>
      <c r="CK9" s="3">
        <v>4</v>
      </c>
      <c r="CL9" s="3">
        <v>3</v>
      </c>
      <c r="CM9" s="3">
        <v>2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3</v>
      </c>
      <c r="CY9" s="6">
        <v>3</v>
      </c>
      <c r="CZ9" s="5">
        <v>3.7014903427878103E-2</v>
      </c>
      <c r="DA9" s="59"/>
    </row>
    <row r="10" spans="1:105" x14ac:dyDescent="0.25">
      <c r="A10" s="9" t="str">
        <f t="shared" si="0"/>
        <v>IT</v>
      </c>
      <c r="B10" s="9" t="s">
        <v>190</v>
      </c>
      <c r="C10" s="20"/>
      <c r="D10" s="9" t="s">
        <v>48</v>
      </c>
      <c r="E10" s="9" t="s">
        <v>186</v>
      </c>
      <c r="F10" s="9" t="str">
        <f>INDEX('Unique Asset List'!$C$4:$C$60,MATCH(B10,_CompoundList,0))</f>
        <v>Launched</v>
      </c>
      <c r="G10" s="19">
        <v>0.68950142680078363</v>
      </c>
      <c r="H10" s="9">
        <v>2014</v>
      </c>
      <c r="I10" s="9">
        <v>6</v>
      </c>
      <c r="J10" s="18">
        <f>INDEX(PTRS!$D$6:$D$12,MATCH('6'!$F10,PTRS!$B$6:$B$12,0))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1"/>
        <v>1</v>
      </c>
      <c r="V10" s="17">
        <v>1</v>
      </c>
      <c r="W10" s="9" t="s">
        <v>188</v>
      </c>
      <c r="X10" s="9">
        <f>INDEX('Unique Asset List'!$Y$4:$AE$60,MATCH('6'!$B10,'Unique Asset List'!$A$4:$A$60,0),MATCH('6'!$C$1,'Unique Asset List'!$Y$3:$AE$3,0))</f>
        <v>1972</v>
      </c>
      <c r="Y10" s="9">
        <f>INDEX('Unique Asset List'!$AF$4:$AL$60,MATCH('6'!$B10,'Unique Asset List'!$A$4:$A$60,0),MATCH('6'!$C$1,'Unique Asset List'!$AF$3:$AL$3,0))</f>
        <v>7</v>
      </c>
      <c r="Z10" s="9">
        <f>INDEX('Unique Asset List'!$AT$4:$AZ$60,MATCH('6'!$B10,'Unique Asset List'!$A$4:$A$60,0),MATCH('6'!$C$1,'Unique Asset List'!$AT$3:$AZ$3,0))</f>
        <v>2001</v>
      </c>
      <c r="AA10" s="9">
        <f>INDEX('Unique Asset List'!$BA$4:$BG$60,MATCH('6'!$B10,'Unique Asset List'!$A$4:$A$60,0),MATCH('6'!$C$1,'Unique Asset List'!$BA$3:$BG$3,0))</f>
        <v>7</v>
      </c>
      <c r="AB10" s="16">
        <f t="shared" si="2"/>
        <v>1.4234898</v>
      </c>
      <c r="AC10" s="16">
        <f t="shared" si="3"/>
        <v>0.91994010000000004</v>
      </c>
      <c r="AD10" s="16">
        <f t="shared" si="4"/>
        <v>0.50129594525999999</v>
      </c>
      <c r="AE10" s="15">
        <f>INDEX('Unique Asset List'!$CJ$4:$CP$60,MATCH('6'!$B10,'Unique Asset List'!$A$4:$A$60,0),MATCH('6'!$C$1,'Unique Asset List'!$CJ$3:$CP$3,0))</f>
        <v>0.18</v>
      </c>
      <c r="AF10" s="15">
        <f>INDEX('Unique Asset List'!$CQ$4:$CW$60,MATCH('6'!$B10,'Unique Asset List'!$A$4:$A$60,0),MATCH('6'!$C$1,'Unique Asset List'!$CQ$3:$CW$3,0))</f>
        <v>0.32</v>
      </c>
      <c r="AG10" s="15">
        <f>INDEX('Unique Asset List'!$BV$4:$CB$60,MATCH('6'!$B10,'Unique Asset List'!$A$4:$A$60,0),MATCH('6'!$C$1,'Unique Asset List'!$BV$3:$CB$3,0))</f>
        <v>0.18</v>
      </c>
      <c r="AH10" s="15">
        <f>INDEX('Unique Asset List'!$CC$4:$CI$60,MATCH('6'!$B10,'Unique Asset List'!$A$4:$A$60,0),MATCH('6'!$C$1,'Unique Asset List'!$CC$3:$CI$3,0))</f>
        <v>0.32</v>
      </c>
      <c r="AI10" s="11">
        <v>0.96187963349867744</v>
      </c>
      <c r="AJ10" s="15">
        <f>INDEX('Unique Asset List'!$BH$4:$BN$60,MATCH('6'!$B10,'Unique Asset List'!$A$4:$A$60,0),MATCH('6'!$C$1,'Unique Asset List'!$BH$3:$BN$3,0))</f>
        <v>0.32314284341629806</v>
      </c>
      <c r="AK10" s="15">
        <f>INDEX('Unique Asset List'!$BO$4:$BU$60,MATCH('6'!$B10,'Unique Asset List'!$A$4:$A$60,0),MATCH('6'!$C$1,'Unique Asset List'!$BO$3:$BU$3,0))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2</v>
      </c>
      <c r="BE10" s="3">
        <f>IF($C$5="ON",CE10,MyRating(_E2,$B10,Efficacy!$F$1))</f>
        <v>3</v>
      </c>
      <c r="BF10" s="3">
        <f>IF($C$5="ON",CF10,MyRating(_E3,$B10,Efficacy!$F$1))</f>
        <v>3</v>
      </c>
      <c r="BG10" s="3">
        <f>IF($C$5="ON",CG10,MyRating(_E4,$B10,Efficacy!$F$1))</f>
        <v>3</v>
      </c>
      <c r="BH10" s="3">
        <f>IF($C$5="ON",CH10,MyRating(_E5,$B10,Efficacy!$F$1))</f>
        <v>3</v>
      </c>
      <c r="BI10" s="3">
        <f>IF($C$5="ON",CI10,MyRating(_E6,$B10,Efficacy!$F$1))</f>
        <v>1</v>
      </c>
      <c r="BJ10" s="3">
        <f>IF($C$5="ON",CJ10,MyRating(_E7,$B10,Efficacy!$F$1))</f>
        <v>3</v>
      </c>
      <c r="BK10" s="3">
        <f>IF($C$5="ON",CK10,MyRating(_E8,$B10,Efficacy!$F$1))</f>
        <v>2</v>
      </c>
      <c r="BL10" s="3">
        <f>IF($C$5="ON",CL10,MyRating(_S1,$B10,Efficacy!$F$1))</f>
        <v>4</v>
      </c>
      <c r="BM10" s="3">
        <f>IF($C$5="ON",CM10,MyRating(_S2,$B10,Efficacy!$F$1))</f>
        <v>3</v>
      </c>
      <c r="BN10" s="3">
        <f>IF($C$5="ON",CN10,MyRating(_S3,$B10,Efficacy!$F$1))</f>
        <v>3</v>
      </c>
      <c r="BO10" s="3">
        <f>IF($C$5="ON",CO10,MyRating(_S4,$B10,Efficacy!$F$1))</f>
        <v>4</v>
      </c>
      <c r="BP10" s="3">
        <f>IF($C$5="ON",CP10,MyRating(_S5,$B10,Efficacy!$F$1))</f>
        <v>5</v>
      </c>
      <c r="BQ10" s="3">
        <f>IF($C$5="ON",CQ10,MyRating(_S6,$B10,Efficacy!$F$1))</f>
        <v>2</v>
      </c>
      <c r="BR10" s="3">
        <f>IF($C$5="ON",CR10,MyRating(_S7,$B10,Efficacy!$F$1))</f>
        <v>3</v>
      </c>
      <c r="BS10" s="3">
        <f>IF($C$5="ON",CS10,MyRating(_D1,$B10,Efficacy!$F$1))</f>
        <v>2</v>
      </c>
      <c r="BT10" s="3">
        <f>IF($C$5="ON",CT10,MyRating(_D2,$B10,Efficacy!$F$1))</f>
        <v>3</v>
      </c>
      <c r="BU10" s="3">
        <f>IF($C$5="ON",CU10,MyRating(_D3,$B10,Efficacy!$F$1))</f>
        <v>3</v>
      </c>
      <c r="BV10" s="3">
        <f>IF($C$5="ON",CV10,MyRating(_D4,$B10,Efficacy!$F$1))</f>
        <v>3</v>
      </c>
      <c r="BW10" s="3">
        <f>IF($C$5="ON",CW10,MyRating(_B1G5,$B10,Barrier!$L$2))</f>
        <v>3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9">IF(C10="",CC10/$CC$7,0)</f>
        <v>3.7050546148312331E-2</v>
      </c>
      <c r="CA10" s="8">
        <f t="shared" si="6"/>
        <v>3.0000000000000004</v>
      </c>
      <c r="CB10" s="5">
        <f t="shared" si="7"/>
        <v>3.5294117647058844E-2</v>
      </c>
      <c r="CC10" s="7">
        <f t="shared" si="8"/>
        <v>6.6306101409015867E-3</v>
      </c>
      <c r="CD10" s="4">
        <v>3</v>
      </c>
      <c r="CE10" s="3">
        <v>3</v>
      </c>
      <c r="CF10" s="3">
        <v>3</v>
      </c>
      <c r="CG10" s="3">
        <v>3</v>
      </c>
      <c r="CH10" s="3">
        <v>3</v>
      </c>
      <c r="CI10" s="3">
        <v>1</v>
      </c>
      <c r="CJ10" s="3">
        <v>3</v>
      </c>
      <c r="CK10" s="3">
        <v>3</v>
      </c>
      <c r="CL10" s="3">
        <v>4</v>
      </c>
      <c r="CM10" s="3">
        <v>5</v>
      </c>
      <c r="CN10" s="3">
        <v>4</v>
      </c>
      <c r="CO10" s="3">
        <v>4</v>
      </c>
      <c r="CP10" s="3">
        <v>5</v>
      </c>
      <c r="CQ10" s="3">
        <v>2</v>
      </c>
      <c r="CR10" s="3">
        <v>3</v>
      </c>
      <c r="CS10" s="3">
        <v>2</v>
      </c>
      <c r="CT10" s="3">
        <v>2</v>
      </c>
      <c r="CU10" s="3">
        <v>3</v>
      </c>
      <c r="CV10" s="3">
        <v>3</v>
      </c>
      <c r="CW10" s="3">
        <v>3</v>
      </c>
      <c r="CX10" s="3">
        <v>3</v>
      </c>
      <c r="CY10" s="6">
        <v>3</v>
      </c>
      <c r="CZ10" s="5">
        <v>3.7014903427878103E-2</v>
      </c>
      <c r="DA10" s="59"/>
    </row>
    <row r="11" spans="1:105" x14ac:dyDescent="0.25">
      <c r="A11" s="9" t="str">
        <f t="shared" si="0"/>
        <v>IT</v>
      </c>
      <c r="B11" s="9" t="s">
        <v>189</v>
      </c>
      <c r="C11" s="20"/>
      <c r="D11" s="9" t="s">
        <v>88</v>
      </c>
      <c r="E11" s="9" t="s">
        <v>186</v>
      </c>
      <c r="F11" s="9" t="str">
        <f>INDEX('Unique Asset List'!$C$4:$C$60,MATCH(B11,_CompoundList,0))</f>
        <v>Launched</v>
      </c>
      <c r="G11" s="19">
        <v>0.31049857319921637</v>
      </c>
      <c r="H11" s="9">
        <v>2014</v>
      </c>
      <c r="I11" s="9">
        <v>6</v>
      </c>
      <c r="J11" s="18">
        <f>INDEX(PTRS!$D$6:$D$12,MATCH('6'!$F11,PTRS!$B$6:$B$12,0))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1"/>
        <v>1</v>
      </c>
      <c r="V11" s="17">
        <v>1</v>
      </c>
      <c r="W11" s="9" t="s">
        <v>54</v>
      </c>
      <c r="X11" s="9">
        <f>INDEX('Unique Asset List'!$Y$4:$AE$60,MATCH('6'!$B11,'Unique Asset List'!$A$4:$A$60,0),MATCH('6'!$C$1,'Unique Asset List'!$Y$3:$AE$3,0))</f>
        <v>2010</v>
      </c>
      <c r="Y11" s="9">
        <f>INDEX('Unique Asset List'!$AF$4:$AL$60,MATCH('6'!$B11,'Unique Asset List'!$A$4:$A$60,0),MATCH('6'!$C$1,'Unique Asset List'!$AF$3:$AL$3,0))</f>
        <v>9</v>
      </c>
      <c r="Z11" s="9">
        <f>INDEX('Unique Asset List'!$AT$4:$AZ$60,MATCH('6'!$B11,'Unique Asset List'!$A$4:$A$60,0),MATCH('6'!$C$1,'Unique Asset List'!$AT$3:$AZ$3,0))</f>
        <v>2017</v>
      </c>
      <c r="AA11" s="9">
        <f>INDEX('Unique Asset List'!$BA$4:$BG$60,MATCH('6'!$B11,'Unique Asset List'!$A$4:$A$60,0),MATCH('6'!$C$1,'Unique Asset List'!$BA$3:$BG$3,0))</f>
        <v>3</v>
      </c>
      <c r="AB11" s="16">
        <f t="shared" si="2"/>
        <v>1.6860000000000002</v>
      </c>
      <c r="AC11" s="16">
        <f t="shared" si="3"/>
        <v>0.7069164</v>
      </c>
      <c r="AD11" s="16">
        <f t="shared" si="4"/>
        <v>0.56099999999999994</v>
      </c>
      <c r="AE11" s="15">
        <f>INDEX('Unique Asset List'!$CJ$4:$CP$60,MATCH('6'!$B11,'Unique Asset List'!$A$4:$A$60,0),MATCH('6'!$C$1,'Unique Asset List'!$CJ$3:$CP$3,0))</f>
        <v>0.18</v>
      </c>
      <c r="AF11" s="15">
        <f>INDEX('Unique Asset List'!$CQ$4:$CW$60,MATCH('6'!$B11,'Unique Asset List'!$A$4:$A$60,0),MATCH('6'!$C$1,'Unique Asset List'!$CQ$3:$CW$3,0))</f>
        <v>0.32</v>
      </c>
      <c r="AG11" s="15">
        <f>INDEX('Unique Asset List'!$BV$4:$CB$60,MATCH('6'!$B11,'Unique Asset List'!$A$4:$A$60,0),MATCH('6'!$C$1,'Unique Asset List'!$BV$3:$CB$3,0))</f>
        <v>0.18</v>
      </c>
      <c r="AH11" s="15">
        <f>INDEX('Unique Asset List'!$CC$4:$CI$60,MATCH('6'!$B11,'Unique Asset List'!$A$4:$A$60,0),MATCH('6'!$C$1,'Unique Asset List'!$CC$3:$CI$3,0))</f>
        <v>0.32</v>
      </c>
      <c r="AI11" s="11">
        <v>0.96187963349867744</v>
      </c>
      <c r="AJ11" s="15">
        <f>INDEX('Unique Asset List'!$BH$4:$BN$60,MATCH('6'!$B11,'Unique Asset List'!$A$4:$A$60,0),MATCH('6'!$C$1,'Unique Asset List'!$BH$3:$BN$3,0))</f>
        <v>0.32314284341629806</v>
      </c>
      <c r="AK11" s="15">
        <f>INDEX('Unique Asset List'!$BO$4:$BU$60,MATCH('6'!$B11,'Unique Asset List'!$A$4:$A$60,0),MATCH('6'!$C$1,'Unique Asset List'!$BO$3:$BU$3,0))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1</v>
      </c>
      <c r="AQ11" s="12">
        <v>0</v>
      </c>
      <c r="AR11" s="11">
        <f t="shared" si="5"/>
        <v>1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3</v>
      </c>
      <c r="BE11" s="3">
        <f>IF($C$5="ON",CE11,MyRating(_E2,$B11,Efficacy!$F$1))</f>
        <v>3</v>
      </c>
      <c r="BF11" s="3">
        <f>IF($C$5="ON",CF11,MyRating(_E3,$B11,Efficacy!$F$1))</f>
        <v>3</v>
      </c>
      <c r="BG11" s="3">
        <f>IF($C$5="ON",CG11,MyRating(_E4,$B11,Efficacy!$F$1))</f>
        <v>3</v>
      </c>
      <c r="BH11" s="3">
        <f>IF($C$5="ON",CH11,MyRating(_E5,$B11,Efficacy!$F$1))</f>
        <v>3</v>
      </c>
      <c r="BI11" s="3">
        <f>IF($C$5="ON",CI11,MyRating(_E6,$B11,Efficacy!$F$1))</f>
        <v>3</v>
      </c>
      <c r="BJ11" s="3">
        <f>IF($C$5="ON",CJ11,MyRating(_E7,$B11,Efficacy!$F$1))</f>
        <v>3</v>
      </c>
      <c r="BK11" s="3">
        <f>IF($C$5="ON",CK11,MyRating(_E8,$B11,Efficacy!$F$1))</f>
        <v>3</v>
      </c>
      <c r="BL11" s="3">
        <f>IF($C$5="ON",CL11,MyRating(_S1,$B11,Efficacy!$F$1))</f>
        <v>3</v>
      </c>
      <c r="BM11" s="3">
        <f>IF($C$5="ON",CM11,MyRating(_S2,$B11,Efficacy!$F$1))</f>
        <v>3</v>
      </c>
      <c r="BN11" s="3">
        <f>IF($C$5="ON",CN11,MyRating(_S3,$B11,Efficacy!$F$1))</f>
        <v>3</v>
      </c>
      <c r="BO11" s="3">
        <f>IF($C$5="ON",CO11,MyRating(_S4,$B11,Efficacy!$F$1))</f>
        <v>3</v>
      </c>
      <c r="BP11" s="3">
        <f>IF($C$5="ON",CP11,MyRating(_S5,$B11,Efficacy!$F$1))</f>
        <v>2</v>
      </c>
      <c r="BQ11" s="3">
        <f>IF($C$5="ON",CQ11,MyRating(_S6,$B11,Efficacy!$F$1))</f>
        <v>3</v>
      </c>
      <c r="BR11" s="3">
        <f>IF($C$5="ON",CR11,MyRating(_S7,$B11,Efficacy!$F$1))</f>
        <v>3</v>
      </c>
      <c r="BS11" s="3">
        <f>IF($C$5="ON",CS11,MyRating(_D1,$B11,Efficacy!$F$1))</f>
        <v>3</v>
      </c>
      <c r="BT11" s="3">
        <f>IF($C$5="ON",CT11,MyRating(_D2,$B11,Efficacy!$F$1))</f>
        <v>3</v>
      </c>
      <c r="BU11" s="3">
        <f>IF($C$5="ON",CU11,MyRating(_D3,$B11,Efficacy!$F$1))</f>
        <v>3</v>
      </c>
      <c r="BV11" s="3">
        <f>IF($C$5="ON",CV11,MyRating(_D4,$B11,Efficacy!$F$1))</f>
        <v>3</v>
      </c>
      <c r="BW11" s="3">
        <f>IF($C$5="ON",CW11,MyRating(_B1G5,$B11,Barrier!$L$2))</f>
        <v>3</v>
      </c>
      <c r="BX11" s="3">
        <f>IF($C$5="ON",CX11,MyRating(_B2,$B11,Barrier!$F$2))</f>
        <v>3</v>
      </c>
      <c r="BY11" s="6">
        <f>IF($C$5="ON",CY11,MyRating(_B3,$B11,Barrier!$F$2))</f>
        <v>3</v>
      </c>
      <c r="BZ11" s="5">
        <f t="shared" si="9"/>
        <v>3.7050546148312331E-2</v>
      </c>
      <c r="CA11" s="8">
        <f t="shared" si="6"/>
        <v>3.0000000000000004</v>
      </c>
      <c r="CB11" s="5">
        <f t="shared" si="7"/>
        <v>3.5294117647058844E-2</v>
      </c>
      <c r="CC11" s="7">
        <f t="shared" si="8"/>
        <v>6.6306101409015867E-3</v>
      </c>
      <c r="CD11" s="4">
        <v>3</v>
      </c>
      <c r="CE11" s="3">
        <v>2</v>
      </c>
      <c r="CF11" s="3">
        <v>3</v>
      </c>
      <c r="CG11" s="3">
        <v>3</v>
      </c>
      <c r="CH11" s="3">
        <v>2</v>
      </c>
      <c r="CI11" s="3">
        <v>5</v>
      </c>
      <c r="CJ11" s="3">
        <v>3</v>
      </c>
      <c r="CK11" s="3">
        <v>3</v>
      </c>
      <c r="CL11" s="3">
        <v>3</v>
      </c>
      <c r="CM11" s="3">
        <v>1</v>
      </c>
      <c r="CN11" s="3">
        <v>3</v>
      </c>
      <c r="CO11" s="3">
        <v>3</v>
      </c>
      <c r="CP11" s="3">
        <v>2</v>
      </c>
      <c r="CQ11" s="3">
        <v>3</v>
      </c>
      <c r="CR11" s="3">
        <v>3</v>
      </c>
      <c r="CS11" s="3">
        <v>3</v>
      </c>
      <c r="CT11" s="3">
        <v>2</v>
      </c>
      <c r="CU11" s="3">
        <v>3</v>
      </c>
      <c r="CV11" s="3">
        <v>3</v>
      </c>
      <c r="CW11" s="3">
        <v>3</v>
      </c>
      <c r="CX11" s="3">
        <v>3</v>
      </c>
      <c r="CY11" s="6">
        <v>3</v>
      </c>
      <c r="CZ11" s="5">
        <v>3.7014903427878103E-2</v>
      </c>
      <c r="DA11" s="59"/>
    </row>
    <row r="12" spans="1:105" x14ac:dyDescent="0.25">
      <c r="A12" s="9" t="str">
        <f t="shared" si="0"/>
        <v>IT</v>
      </c>
      <c r="B12" s="9" t="s">
        <v>86</v>
      </c>
      <c r="C12" s="20" t="s">
        <v>3</v>
      </c>
      <c r="D12" s="9" t="s">
        <v>85</v>
      </c>
      <c r="E12" s="9" t="s">
        <v>186</v>
      </c>
      <c r="F12" s="9" t="str">
        <f>INDEX('Unique Asset List'!$C$4:$C$60,MATCH(B12,_CompoundList,0))</f>
        <v>REG</v>
      </c>
      <c r="G12" s="19">
        <v>0</v>
      </c>
      <c r="H12" s="9">
        <v>2014</v>
      </c>
      <c r="I12" s="9">
        <v>6</v>
      </c>
      <c r="J12" s="18">
        <f>INDEX(PTRS!$D$6:$D$12,MATCH('6'!$F12,PTRS!$B$6:$B$12,0))</f>
        <v>0.9</v>
      </c>
      <c r="K12" s="17">
        <f>INDEX('Unique Asset List'!$D$4:$M$60,MATCH($B12,'Unique Asset List'!$A$4:$A$60,0),MATCH(K$8,'Unique Asset List'!$D$3:$M$3,0))</f>
        <v>0</v>
      </c>
      <c r="L12" s="17">
        <f>INDEX('Unique Asset List'!$D$4:$M$60,MATCH($B12,'Unique Asset List'!$A$4:$A$60,0),MATCH(L$8,'Unique Asset List'!$D$3:$M$3,0))</f>
        <v>0</v>
      </c>
      <c r="M12" s="17">
        <v>0.5</v>
      </c>
      <c r="N12" s="17">
        <f>INDEX('Unique Asset List'!$D$4:$M$60,MATCH($B12,'Unique Asset List'!$A$4:$A$60,0),MATCH(N$8,'Unique Asset List'!$D$3:$M$3,0))</f>
        <v>0.2</v>
      </c>
      <c r="O12" s="17">
        <f>INDEX('Unique Asset List'!$D$4:$M$60,MATCH($B12,'Unique Asset List'!$A$4:$A$60,0),MATCH(O$8,'Unique Asset List'!$D$3:$M$3,0))</f>
        <v>0.2</v>
      </c>
      <c r="P12" s="17">
        <f>INDEX('Unique Asset List'!$D$4:$M$60,MATCH($B12,'Unique Asset List'!$A$4:$A$60,0),MATCH(P$8,'Unique Asset List'!$D$3:$M$3,0))</f>
        <v>0.2</v>
      </c>
      <c r="Q12" s="17">
        <f>INDEX('Unique Asset List'!$D$4:$M$60,MATCH($B12,'Unique Asset List'!$A$4:$A$60,0),MATCH(Q$8,'Unique Asset List'!$D$3:$M$3,0))</f>
        <v>0.2</v>
      </c>
      <c r="R12" s="17">
        <f>INDEX('Unique Asset List'!$D$4:$M$60,MATCH($B12,'Unique Asset List'!$A$4:$A$60,0),MATCH(R$8,'Unique Asset List'!$D$3:$M$3,0))</f>
        <v>0.2</v>
      </c>
      <c r="S12" s="17">
        <f>INDEX('Unique Asset List'!$D$4:$M$60,MATCH($B12,'Unique Asset List'!$A$4:$A$60,0),MATCH(S$8,'Unique Asset List'!$D$3:$M$3,0))</f>
        <v>0</v>
      </c>
      <c r="T12" s="17"/>
      <c r="U12" s="17">
        <f t="shared" si="1"/>
        <v>0</v>
      </c>
      <c r="V12" s="17">
        <v>1</v>
      </c>
      <c r="W12" s="9" t="s">
        <v>16</v>
      </c>
      <c r="X12" s="9">
        <f>INDEX('Unique Asset List'!$Y$4:$AE$60,MATCH('6'!$B12,'Unique Asset List'!$A$4:$A$60,0),MATCH('6'!$C$1,'Unique Asset List'!$Y$3:$AE$3,0))</f>
        <v>2024</v>
      </c>
      <c r="Y12" s="9">
        <f>INDEX('Unique Asset List'!$AF$4:$AL$60,MATCH('6'!$B12,'Unique Asset List'!$A$4:$A$60,0),MATCH('6'!$C$1,'Unique Asset List'!$AF$3:$AL$3,0))</f>
        <v>7.999999999998181</v>
      </c>
      <c r="Z12" s="9">
        <f>INDEX('Unique Asset List'!$AT$4:$AZ$60,MATCH('6'!$B12,'Unique Asset List'!$A$4:$A$60,0),MATCH('6'!$C$1,'Unique Asset List'!$AT$3:$AZ$3,0))</f>
        <v>2029</v>
      </c>
      <c r="AA12" s="9">
        <f>INDEX('Unique Asset List'!$BA$4:$BG$60,MATCH('6'!$B12,'Unique Asset List'!$A$4:$A$60,0),MATCH('6'!$C$1,'Unique Asset List'!$BA$3:$BG$3,0))</f>
        <v>7</v>
      </c>
      <c r="AB12" s="16">
        <f t="shared" si="2"/>
        <v>2.1202012000000003</v>
      </c>
      <c r="AC12" s="16">
        <f t="shared" si="3"/>
        <v>0.91994010000000004</v>
      </c>
      <c r="AD12" s="16">
        <f t="shared" si="4"/>
        <v>0.31905939999999999</v>
      </c>
      <c r="AE12" s="15">
        <f>INDEX('Unique Asset List'!$CJ$4:$CP$60,MATCH('6'!$B12,'Unique Asset List'!$A$4:$A$60,0),MATCH('6'!$C$1,'Unique Asset List'!$CJ$3:$CP$3,0))</f>
        <v>0.18</v>
      </c>
      <c r="AF12" s="15">
        <f>INDEX('Unique Asset List'!$CQ$4:$CW$60,MATCH('6'!$B12,'Unique Asset List'!$A$4:$A$60,0),MATCH('6'!$C$1,'Unique Asset List'!$CQ$3:$CW$3,0))</f>
        <v>0.32</v>
      </c>
      <c r="AG12" s="15">
        <f>INDEX('Unique Asset List'!$BV$4:$CB$60,MATCH('6'!$B12,'Unique Asset List'!$A$4:$A$60,0),MATCH('6'!$C$1,'Unique Asset List'!$BV$3:$CB$3,0))</f>
        <v>0.18</v>
      </c>
      <c r="AH12" s="15">
        <f>INDEX('Unique Asset List'!$CC$4:$CI$60,MATCH('6'!$B12,'Unique Asset List'!$A$4:$A$60,0),MATCH('6'!$C$1,'Unique Asset List'!$CC$3:$CI$3,0))</f>
        <v>0.32</v>
      </c>
      <c r="AI12" s="11">
        <v>0.96187963349867744</v>
      </c>
      <c r="AJ12" s="15">
        <f>INDEX('Unique Asset List'!$BH$4:$BN$60,MATCH('6'!$B12,'Unique Asset List'!$A$4:$A$60,0),MATCH('6'!$C$1,'Unique Asset List'!$BH$3:$BN$3,0))</f>
        <v>0.32314284341629806</v>
      </c>
      <c r="AK12" s="15">
        <f>INDEX('Unique Asset List'!$BO$4:$BU$60,MATCH('6'!$B12,'Unique Asset List'!$A$4:$A$60,0),MATCH('6'!$C$1,'Unique Asset List'!$BO$3:$BU$3,0))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81">
        <f>INDEX('Unique Asset List'!N$4:N$60,MATCH($B12,_CompoundList,0))</f>
        <v>0</v>
      </c>
      <c r="AU12" s="181">
        <f>INDEX('Unique Asset List'!O$4:O$60,MATCH($B12,_CompoundList,0))</f>
        <v>0</v>
      </c>
      <c r="AV12" s="181">
        <f>INDEX('Unique Asset List'!P$4:P$60,MATCH($B12,_CompoundList,0))</f>
        <v>0</v>
      </c>
      <c r="AW12" s="181">
        <f>INDEX('Unique Asset List'!Q$4:Q$60,MATCH($B12,_CompoundList,0))</f>
        <v>0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0</v>
      </c>
      <c r="BB12" s="181">
        <f ca="1">INDEX('Unique Asset List'!V$4:V$60,MATCH($B12,_CompoundList,0))</f>
        <v>0</v>
      </c>
      <c r="BC12" s="181">
        <f ca="1">INDEX('Unique Asset List'!W$4:W$60,MATCH($B12,_CompoundList,0))</f>
        <v>0</v>
      </c>
      <c r="BD12" s="4">
        <f>IF($C$5="ON",CD12,MyRating(_E1,$B12,Efficacy!$F$1))</f>
        <v>3</v>
      </c>
      <c r="BE12" s="3">
        <f>IF($C$5="ON",CE12,MyRating(_E2,$B12,Efficacy!$F$1))</f>
        <v>5</v>
      </c>
      <c r="BF12" s="3">
        <f>IF($C$5="ON",CF12,MyRating(_E3,$B12,Efficacy!$F$1))</f>
        <v>5</v>
      </c>
      <c r="BG12" s="3">
        <f>IF($C$5="ON",CG12,MyRating(_E4,$B12,Efficacy!$F$1))</f>
        <v>4</v>
      </c>
      <c r="BH12" s="3">
        <f>IF($C$5="ON",CH12,MyRating(_E5,$B12,Efficacy!$F$1))</f>
        <v>3</v>
      </c>
      <c r="BI12" s="3">
        <f>IF($C$5="ON",CI12,MyRating(_E6,$B12,Efficacy!$F$1))</f>
        <v>3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IF($C$5="ON",CL12,MyRating(_S1,$B12,Efficacy!$F$1))</f>
        <v>4</v>
      </c>
      <c r="BM12" s="3">
        <f>IF($C$5="ON",CM12,MyRating(_S2,$B12,Efficacy!$F$1))</f>
        <v>3</v>
      </c>
      <c r="BN12" s="3">
        <f>IF($C$5="ON",CN12,MyRating(_S3,$B12,Efficacy!$F$1))</f>
        <v>3</v>
      </c>
      <c r="BO12" s="3">
        <f>IF($C$5="ON",CO12,MyRating(_S4,$B12,Efficacy!$F$1))</f>
        <v>4</v>
      </c>
      <c r="BP12" s="3">
        <f>IF($C$5="ON",CP12,MyRating(_S5,$B12,Efficacy!$F$1))</f>
        <v>5</v>
      </c>
      <c r="BQ12" s="3">
        <f>IF($C$5="ON",CQ12,MyRating(_S6,$B12,Efficacy!$F$1))</f>
        <v>2</v>
      </c>
      <c r="BR12" s="3">
        <f>IF($C$5="ON",CR12,MyRating(_S7,$B12,Efficacy!$F$1))</f>
        <v>3</v>
      </c>
      <c r="BS12" s="3">
        <f>IF($C$5="ON",CS12,MyRating(_D1,$B12,Efficacy!$F$1))</f>
        <v>2</v>
      </c>
      <c r="BT12" s="3">
        <f>IF($C$5="ON",CT12,MyRating(_D2,$B12,Efficacy!$F$1))</f>
        <v>2</v>
      </c>
      <c r="BU12" s="3">
        <f>IF($C$5="ON",CU12,MyRating(_D3,$B12,Efficacy!$F$1))</f>
        <v>2</v>
      </c>
      <c r="BV12" s="3">
        <f>IF($C$5="ON",CV12,MyRating(_D4,$B12,Efficacy!$F$1))</f>
        <v>1</v>
      </c>
      <c r="BW12" s="3">
        <f>IF($C$5="ON",CW12,MyRating(_B1G5,$B12,Barrier!$L$2))</f>
        <v>2</v>
      </c>
      <c r="BX12" s="3">
        <f>IF($C$5="ON",CX12,MyRating(_B2,$B12,Barrier!$F$2))</f>
        <v>1</v>
      </c>
      <c r="BY12" s="6">
        <f>IF($C$5="ON",CY12,MyRating(_B3,$B12,Barrier!$F$2))</f>
        <v>1</v>
      </c>
      <c r="BZ12" s="5">
        <f t="shared" si="9"/>
        <v>0</v>
      </c>
      <c r="CA12" s="8">
        <f t="shared" si="6"/>
        <v>1.2000000000000002</v>
      </c>
      <c r="CB12" s="5">
        <f t="shared" si="7"/>
        <v>1.4117647058823539E-2</v>
      </c>
      <c r="CC12" s="7">
        <f t="shared" si="8"/>
        <v>1.6774264257487204E-3</v>
      </c>
      <c r="CD12" s="4">
        <v>3</v>
      </c>
      <c r="CE12" s="3">
        <v>5</v>
      </c>
      <c r="CF12" s="3">
        <v>5</v>
      </c>
      <c r="CG12" s="3">
        <v>4</v>
      </c>
      <c r="CH12" s="3">
        <v>3</v>
      </c>
      <c r="CI12" s="3">
        <v>3</v>
      </c>
      <c r="CJ12" s="3">
        <v>3</v>
      </c>
      <c r="CK12" s="3">
        <v>3</v>
      </c>
      <c r="CL12" s="3">
        <v>5</v>
      </c>
      <c r="CM12" s="3">
        <v>3</v>
      </c>
      <c r="CN12" s="3">
        <v>3</v>
      </c>
      <c r="CO12" s="3">
        <v>4</v>
      </c>
      <c r="CP12" s="3">
        <v>5</v>
      </c>
      <c r="CQ12" s="3">
        <v>2</v>
      </c>
      <c r="CR12" s="3">
        <v>3</v>
      </c>
      <c r="CS12" s="3">
        <v>2</v>
      </c>
      <c r="CT12" s="3">
        <v>2</v>
      </c>
      <c r="CU12" s="3">
        <v>2</v>
      </c>
      <c r="CV12" s="3">
        <v>1</v>
      </c>
      <c r="CW12" s="3">
        <v>2</v>
      </c>
      <c r="CX12" s="3">
        <v>1</v>
      </c>
      <c r="CY12" s="6">
        <v>1</v>
      </c>
      <c r="CZ12" s="5">
        <v>1.0501667745898752E-2</v>
      </c>
      <c r="DA12" s="59"/>
    </row>
    <row r="13" spans="1:105" x14ac:dyDescent="0.25">
      <c r="A13" s="9" t="str">
        <f t="shared" si="0"/>
        <v>IT</v>
      </c>
      <c r="B13" s="9" t="s">
        <v>280</v>
      </c>
      <c r="C13" s="20"/>
      <c r="D13" s="9" t="s">
        <v>2</v>
      </c>
      <c r="E13" s="9" t="s">
        <v>186</v>
      </c>
      <c r="F13" s="9" t="str">
        <f>INDEX('Unique Asset List'!$C$4:$C$60,MATCH(B13,_CompoundList,0))</f>
        <v>REG</v>
      </c>
      <c r="G13" s="19">
        <v>0</v>
      </c>
      <c r="H13" s="9">
        <v>2014</v>
      </c>
      <c r="I13" s="9">
        <v>6</v>
      </c>
      <c r="J13" s="18">
        <f>INDEX(PTRS!$D$6:$D$12,MATCH('6'!$F13,PTRS!$B$6:$B$12,0))</f>
        <v>0.9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v>0.58500000000000008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1"/>
        <v>0.19245008972987526</v>
      </c>
      <c r="V13" s="17">
        <v>0.42</v>
      </c>
      <c r="W13" s="9" t="s">
        <v>62</v>
      </c>
      <c r="X13" s="9">
        <f>INDEX('Unique Asset List'!$Y$4:$AE$60,MATCH('6'!$B13,'Unique Asset List'!$A$4:$A$60,0),MATCH('6'!$C$1,'Unique Asset List'!$Y$3:$AE$3,0))</f>
        <v>2021</v>
      </c>
      <c r="Y13" s="9">
        <f>INDEX('Unique Asset List'!$AF$4:$AL$60,MATCH('6'!$B13,'Unique Asset List'!$A$4:$A$60,0),MATCH('6'!$C$1,'Unique Asset List'!$AF$3:$AL$3,0))</f>
        <v>1</v>
      </c>
      <c r="Z13" s="9">
        <f>INDEX('Unique Asset List'!$AT$4:$AZ$60,MATCH('6'!$B13,'Unique Asset List'!$A$4:$A$60,0),MATCH('6'!$C$1,'Unique Asset List'!$AT$3:$AZ$3,0))</f>
        <v>2031</v>
      </c>
      <c r="AA13" s="9">
        <f>INDEX('Unique Asset List'!$BA$4:$BG$60,MATCH('6'!$B13,'Unique Asset List'!$A$4:$A$60,0),MATCH('6'!$C$1,'Unique Asset List'!$BA$3:$BG$3,0))</f>
        <v>1</v>
      </c>
      <c r="AB13" s="16">
        <f t="shared" si="2"/>
        <v>2.4575697999999999</v>
      </c>
      <c r="AC13" s="16">
        <f t="shared" si="3"/>
        <v>0.91994010000000004</v>
      </c>
      <c r="AD13" s="16">
        <f t="shared" si="4"/>
        <v>0.35908660413999993</v>
      </c>
      <c r="AE13" s="15">
        <f>INDEX('Unique Asset List'!$CJ$4:$CP$60,MATCH('6'!$B13,'Unique Asset List'!$A$4:$A$60,0),MATCH('6'!$C$1,'Unique Asset List'!$CJ$3:$CP$3,0))</f>
        <v>0.23</v>
      </c>
      <c r="AF13" s="15">
        <f>INDEX('Unique Asset List'!$CQ$4:$CW$60,MATCH('6'!$B13,'Unique Asset List'!$A$4:$A$60,0),MATCH('6'!$C$1,'Unique Asset List'!$CQ$3:$CW$3,0))</f>
        <v>0.27</v>
      </c>
      <c r="AG13" s="15">
        <f>INDEX('Unique Asset List'!$BV$4:$CB$60,MATCH('6'!$B13,'Unique Asset List'!$A$4:$A$60,0),MATCH('6'!$C$1,'Unique Asset List'!$BV$3:$CB$3,0))</f>
        <v>0.23</v>
      </c>
      <c r="AH13" s="15">
        <f>INDEX('Unique Asset List'!$CC$4:$CI$60,MATCH('6'!$B13,'Unique Asset List'!$A$4:$A$60,0),MATCH('6'!$C$1,'Unique Asset List'!$CC$3:$CI$3,0))</f>
        <v>0.27</v>
      </c>
      <c r="AI13" s="11">
        <v>0.96187963349867744</v>
      </c>
      <c r="AJ13" s="15">
        <f>INDEX('Unique Asset List'!$BH$4:$BN$60,MATCH('6'!$B13,'Unique Asset List'!$A$4:$A$60,0),MATCH('6'!$C$1,'Unique Asset List'!$BH$3:$BN$3,0))</f>
        <v>0.32314284341629806</v>
      </c>
      <c r="AK13" s="15">
        <f>INDEX('Unique Asset List'!$BO$4:$BU$60,MATCH('6'!$B13,'Unique Asset List'!$A$4:$A$60,0),MATCH('6'!$C$1,'Unique Asset List'!$BO$3:$BU$3,0))</f>
        <v>0.61768216477991222</v>
      </c>
      <c r="AL13" s="9">
        <v>184.20560747663552</v>
      </c>
      <c r="AM13" s="14">
        <v>36.116164383561646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0.32340383561643832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5</v>
      </c>
      <c r="BE13" s="3">
        <f>IF($C$5="ON",CE13,MyRating(_E2,$B13,Efficacy!$F$1))</f>
        <v>5</v>
      </c>
      <c r="BF13" s="3">
        <f>IF($C$5="ON",CF13,MyRating(_E3,$B13,Efficacy!$F$1))</f>
        <v>5</v>
      </c>
      <c r="BG13" s="3">
        <f>IF($C$5="ON",CG13,MyRating(_E4,$B13,Efficacy!$F$1))</f>
        <v>5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2</v>
      </c>
      <c r="BK13" s="3">
        <f>IF($C$5="ON",CK13,MyRating(_E8,$B13,Efficacy!$F$1))</f>
        <v>5</v>
      </c>
      <c r="BL13" s="3">
        <f>IF($C$5="ON",CL13,MyRating(_S1,$B13,Efficacy!$F$1))</f>
        <v>4</v>
      </c>
      <c r="BM13" s="3">
        <f>IF($C$5="ON",CM13,MyRating(_S2,$B13,Efficacy!$F$1))</f>
        <v>3</v>
      </c>
      <c r="BN13" s="3">
        <f>IF($C$5="ON",CN13,MyRating(_S3,$B13,Efficacy!$F$1))</f>
        <v>3</v>
      </c>
      <c r="BO13" s="3">
        <f>IF($C$5="ON",CO13,MyRating(_S4,$B13,Efficacy!$F$1))</f>
        <v>4</v>
      </c>
      <c r="BP13" s="3">
        <f>IF($C$5="ON",CP13,MyRating(_S5,$B13,Efficacy!$F$1))</f>
        <v>5</v>
      </c>
      <c r="BQ13" s="3">
        <f>IF($C$5="ON",CQ13,MyRating(_S6,$B13,Efficacy!$F$1))</f>
        <v>2</v>
      </c>
      <c r="BR13" s="3">
        <f>IF($C$5="ON",CR13,MyRating(_S7,$B13,Efficacy!$F$1))</f>
        <v>3</v>
      </c>
      <c r="BS13" s="3">
        <f>IF($C$5="ON",CS13,MyRating(_D1,$B13,Efficacy!$F$1))</f>
        <v>2</v>
      </c>
      <c r="BT13" s="3">
        <f>IF($C$5="ON",CT13,MyRating(_D2,$B13,Efficacy!$F$1))</f>
        <v>3</v>
      </c>
      <c r="BU13" s="3">
        <f>IF($C$5="ON",CU13,MyRating(_D3,$B13,Efficacy!$F$1))</f>
        <v>2</v>
      </c>
      <c r="BV13" s="3">
        <f>IF($C$5="ON",CV13,MyRating(_D4,$B13,Efficacy!$F$1))</f>
        <v>1</v>
      </c>
      <c r="BW13" s="3">
        <f>IF($C$5="ON",CW13,MyRating(_B1G5,$B13,Barrier!$L$2))</f>
        <v>1</v>
      </c>
      <c r="BX13" s="3">
        <f>IF($C$5="ON",CX13,MyRating(_B2,$B13,Barrier!$F$2))</f>
        <v>1</v>
      </c>
      <c r="BY13" s="6">
        <f>IF($C$5="ON",CY13,MyRating(_B3,$B13,Barrier!$F$2))</f>
        <v>1</v>
      </c>
      <c r="BZ13" s="5">
        <f t="shared" si="9"/>
        <v>7.1303809307835921E-3</v>
      </c>
      <c r="CA13" s="8">
        <f t="shared" si="6"/>
        <v>1</v>
      </c>
      <c r="CB13" s="5">
        <f t="shared" si="7"/>
        <v>1.1764705882352946E-2</v>
      </c>
      <c r="CC13" s="7">
        <f t="shared" si="8"/>
        <v>1.2760615165803312E-3</v>
      </c>
      <c r="CD13" s="4">
        <v>5</v>
      </c>
      <c r="CE13" s="3">
        <v>5</v>
      </c>
      <c r="CF13" s="3">
        <v>5</v>
      </c>
      <c r="CG13" s="3">
        <v>4</v>
      </c>
      <c r="CH13" s="3">
        <v>3</v>
      </c>
      <c r="CI13" s="3">
        <v>3</v>
      </c>
      <c r="CJ13" s="3">
        <v>3</v>
      </c>
      <c r="CK13" s="3">
        <v>4</v>
      </c>
      <c r="CL13" s="3">
        <v>4</v>
      </c>
      <c r="CM13" s="3">
        <v>3</v>
      </c>
      <c r="CN13" s="3">
        <v>3</v>
      </c>
      <c r="CO13" s="3">
        <v>3</v>
      </c>
      <c r="CP13" s="3">
        <v>5</v>
      </c>
      <c r="CQ13" s="3">
        <v>2</v>
      </c>
      <c r="CR13" s="3">
        <v>3</v>
      </c>
      <c r="CS13" s="3">
        <v>2</v>
      </c>
      <c r="CT13" s="3">
        <v>3</v>
      </c>
      <c r="CU13" s="3">
        <v>3</v>
      </c>
      <c r="CV13" s="3">
        <v>1</v>
      </c>
      <c r="CW13" s="3">
        <v>1</v>
      </c>
      <c r="CX13" s="3">
        <v>1</v>
      </c>
      <c r="CY13" s="6">
        <v>1</v>
      </c>
      <c r="CZ13" s="5">
        <v>9.9044671286996639E-3</v>
      </c>
      <c r="DA13" s="59"/>
    </row>
    <row r="14" spans="1:105" x14ac:dyDescent="0.25">
      <c r="A14" s="9" t="str">
        <f t="shared" si="0"/>
        <v>IT</v>
      </c>
      <c r="B14" s="9" t="s">
        <v>92</v>
      </c>
      <c r="C14" s="20" t="s">
        <v>3</v>
      </c>
      <c r="D14" s="9" t="s">
        <v>91</v>
      </c>
      <c r="E14" s="9" t="s">
        <v>90</v>
      </c>
      <c r="F14" s="9" t="str">
        <f>INDEX('Unique Asset List'!$C$4:$C$60,MATCH(B14,_CompoundList,0))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INDEX(PTRS!$D$6:$D$12,MATCH('6'!$F14,PTRS!$B$6:$B$12,0))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1"/>
        <v>0</v>
      </c>
      <c r="V14" s="17">
        <v>1</v>
      </c>
      <c r="W14" s="9" t="s">
        <v>54</v>
      </c>
      <c r="X14" s="9">
        <f>INDEX('Unique Asset List'!$Y$4:$AE$60,MATCH('6'!$B14,'Unique Asset List'!$A$4:$A$60,0),MATCH('6'!$C$1,'Unique Asset List'!$Y$3:$AE$3,0))</f>
        <v>2017</v>
      </c>
      <c r="Y14" s="9">
        <f>INDEX('Unique Asset List'!$AF$4:$AL$60,MATCH('6'!$B14,'Unique Asset List'!$A$4:$A$60,0),MATCH('6'!$C$1,'Unique Asset List'!$AF$3:$AL$3,0))</f>
        <v>7.999999999998181</v>
      </c>
      <c r="Z14" s="9">
        <f>INDEX('Unique Asset List'!$AT$4:$AZ$60,MATCH('6'!$B14,'Unique Asset List'!$A$4:$A$60,0),MATCH('6'!$C$1,'Unique Asset List'!$AT$3:$AZ$3,0))</f>
        <v>2027</v>
      </c>
      <c r="AA14" s="9">
        <f>INDEX('Unique Asset List'!$BA$4:$BG$60,MATCH('6'!$B14,'Unique Asset List'!$A$4:$A$60,0),MATCH('6'!$C$1,'Unique Asset List'!$BA$3:$BG$3,0))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List'!$CJ$4:$CP$60,MATCH('6'!$B14,'Unique Asset List'!$A$4:$A$60,0),MATCH('6'!$C$1,'Unique Asset List'!$CJ$3:$CP$3,0))</f>
        <v>0.18</v>
      </c>
      <c r="AF14" s="15">
        <f>INDEX('Unique Asset List'!$CQ$4:$CW$60,MATCH('6'!$B14,'Unique Asset List'!$A$4:$A$60,0),MATCH('6'!$C$1,'Unique Asset List'!$CQ$3:$CW$3,0))</f>
        <v>0.32</v>
      </c>
      <c r="AG14" s="15">
        <f>INDEX('Unique Asset List'!$BV$4:$CB$60,MATCH('6'!$B14,'Unique Asset List'!$A$4:$A$60,0),MATCH('6'!$C$1,'Unique Asset List'!$BV$3:$CB$3,0))</f>
        <v>0.18</v>
      </c>
      <c r="AH14" s="15">
        <f>INDEX('Unique Asset List'!$CC$4:$CI$60,MATCH('6'!$B14,'Unique Asset List'!$A$4:$A$60,0),MATCH('6'!$C$1,'Unique Asset List'!$CC$3:$CI$3,0))</f>
        <v>0.32</v>
      </c>
      <c r="AI14" s="11">
        <v>0.96187963349867744</v>
      </c>
      <c r="AJ14" s="15">
        <f>INDEX('Unique Asset List'!$BH$4:$BN$60,MATCH('6'!$B14,'Unique Asset List'!$A$4:$A$60,0),MATCH('6'!$C$1,'Unique Asset List'!$BH$3:$BN$3,0))</f>
        <v>0.32314284341629806</v>
      </c>
      <c r="AK14" s="15">
        <f>INDEX('Unique Asset List'!$BO$4:$BU$60,MATCH('6'!$B14,'Unique Asset List'!$A$4:$A$60,0),MATCH('6'!$C$1,'Unique Asset List'!$BO$3:$BU$3,0))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1</v>
      </c>
      <c r="AQ14" s="12">
        <v>0</v>
      </c>
      <c r="AR14" s="11">
        <f t="shared" si="5"/>
        <v>1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3</v>
      </c>
      <c r="BE14" s="3">
        <f>IF($C$5="ON",CE14,MyRating(_E2,$B14,Efficacy!$F$1))</f>
        <v>3</v>
      </c>
      <c r="BF14" s="3">
        <f>IF($C$5="ON",CF14,MyRating(_E3,$B14,Efficacy!$F$1))</f>
        <v>3</v>
      </c>
      <c r="BG14" s="3">
        <f>IF($C$5="ON",CG14,MyRating(_E4,$B14,Efficacy!$F$1))</f>
        <v>3</v>
      </c>
      <c r="BH14" s="3">
        <f>IF($C$5="ON",CH14,MyRating(_E5,$B14,Efficacy!$F$1))</f>
        <v>3</v>
      </c>
      <c r="BI14" s="3">
        <f>IF($C$5="ON",CI14,MyRating(_E6,$B14,Efficacy!$F$1))</f>
        <v>3</v>
      </c>
      <c r="BJ14" s="3">
        <f>IF($C$5="ON",CJ14,MyRating(_E7,$B14,Efficacy!$F$1))</f>
        <v>3</v>
      </c>
      <c r="BK14" s="3">
        <f>IF($C$5="ON",CK14,MyRating(_E8,$B14,Efficacy!$F$1))</f>
        <v>3</v>
      </c>
      <c r="BL14" s="3">
        <f>IF($C$5="ON",CL14,MyRating(_S1,$B14,Efficacy!$F$1))</f>
        <v>3</v>
      </c>
      <c r="BM14" s="3">
        <f>IF($C$5="ON",CM14,MyRating(_S2,$B14,Efficacy!$F$1))</f>
        <v>3</v>
      </c>
      <c r="BN14" s="3">
        <f>IF($C$5="ON",CN14,MyRating(_S3,$B14,Efficacy!$F$1))</f>
        <v>3</v>
      </c>
      <c r="BO14" s="3">
        <f>IF($C$5="ON",CO14,MyRating(_S4,$B14,Efficacy!$F$1))</f>
        <v>4</v>
      </c>
      <c r="BP14" s="3">
        <f>IF($C$5="ON",CP14,MyRating(_S5,$B14,Efficacy!$F$1))</f>
        <v>3</v>
      </c>
      <c r="BQ14" s="3">
        <f>IF($C$5="ON",CQ14,MyRating(_S6,$B14,Efficacy!$F$1))</f>
        <v>3</v>
      </c>
      <c r="BR14" s="3">
        <f>IF($C$5="ON",CR14,MyRating(_S7,$B14,Efficacy!$F$1))</f>
        <v>3</v>
      </c>
      <c r="BS14" s="3">
        <f>IF($C$5="ON",CS14,MyRating(_D1,$B14,Efficacy!$F$1))</f>
        <v>3</v>
      </c>
      <c r="BT14" s="3">
        <f>IF($C$5="ON",CT14,MyRating(_D2,$B14,Efficacy!$F$1))</f>
        <v>3</v>
      </c>
      <c r="BU14" s="3">
        <f>IF($C$5="ON",CU14,MyRating(_D3,$B14,Efficacy!$F$1))</f>
        <v>3</v>
      </c>
      <c r="BV14" s="3">
        <f>IF($C$5="ON",CV14,MyRating(_D4,$B14,Efficacy!$F$1))</f>
        <v>3</v>
      </c>
      <c r="BW14" s="3">
        <f>IF($C$5="ON",CW14,MyRating(_B1G5,$B14,Barrier!$L$2))</f>
        <v>2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9"/>
        <v>0</v>
      </c>
      <c r="CA14" s="8">
        <f t="shared" si="6"/>
        <v>2.8000000000000003</v>
      </c>
      <c r="CB14" s="5">
        <f t="shared" si="7"/>
        <v>3.2941176470588251E-2</v>
      </c>
      <c r="CC14" s="7">
        <f t="shared" si="8"/>
        <v>5.9787261089987885E-3</v>
      </c>
      <c r="CD14" s="4">
        <v>3</v>
      </c>
      <c r="CE14" s="3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4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3</v>
      </c>
      <c r="CY14" s="6">
        <v>3</v>
      </c>
      <c r="CZ14" s="5">
        <v>3.7014903427878103E-2</v>
      </c>
      <c r="DA14" s="59"/>
    </row>
    <row r="15" spans="1:105" x14ac:dyDescent="0.25">
      <c r="A15" s="9" t="str">
        <f t="shared" si="0"/>
        <v>IT</v>
      </c>
      <c r="B15" s="9" t="s">
        <v>82</v>
      </c>
      <c r="C15" s="20"/>
      <c r="D15" s="9" t="s">
        <v>81</v>
      </c>
      <c r="E15" s="9" t="s">
        <v>186</v>
      </c>
      <c r="F15" s="9" t="str">
        <f>INDEX('Unique Asset List'!$C$4:$C$60,MATCH(B15,_CompoundList,0))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INDEX(PTRS!$D$6:$D$12,MATCH('6'!$F15,PTRS!$B$6:$B$12,0))</f>
        <v>0.58500000000000008</v>
      </c>
      <c r="K15" s="17">
        <f>INDEX('Unique Asset List'!$D$4:$M$60,MATCH($B15,'Unique Asset List'!$A$4:$A$60,0),MATCH(K$8,'Unique Asset List'!$D$3:$M$3,0))</f>
        <v>0</v>
      </c>
      <c r="L15" s="17">
        <f>INDEX('Unique Asset List'!$D$4:$M$60,MATCH($B15,'Unique Asset List'!$A$4:$A$60,0),MATCH(L$8,'Unique Asset List'!$D$3:$M$3,0))</f>
        <v>0</v>
      </c>
      <c r="M15" s="17">
        <v>0.19500000000000003</v>
      </c>
      <c r="N15" s="17">
        <f>INDEX('Unique Asset List'!$D$4:$M$60,MATCH($B15,'Unique Asset List'!$A$4:$A$60,0),MATCH(N$8,'Unique Asset List'!$D$3:$M$3,0))</f>
        <v>0.58500000000000008</v>
      </c>
      <c r="O15" s="17">
        <f>INDEX('Unique Asset List'!$D$4:$M$60,MATCH($B15,'Unique Asset List'!$A$4:$A$60,0),MATCH(O$8,'Unique Asset List'!$D$3:$M$3,0))</f>
        <v>0.58500000000000008</v>
      </c>
      <c r="P15" s="17">
        <f>INDEX('Unique Asset List'!$D$4:$M$60,MATCH($B15,'Unique Asset List'!$A$4:$A$60,0),MATCH(P$8,'Unique Asset List'!$D$3:$M$3,0))</f>
        <v>0.58500000000000008</v>
      </c>
      <c r="Q15" s="17">
        <f>INDEX('Unique Asset List'!$D$4:$M$60,MATCH($B15,'Unique Asset List'!$A$4:$A$60,0),MATCH(Q$8,'Unique Asset List'!$D$3:$M$3,0))</f>
        <v>0.58500000000000008</v>
      </c>
      <c r="R15" s="17">
        <f>INDEX('Unique Asset List'!$D$4:$M$60,MATCH($B15,'Unique Asset List'!$A$4:$A$60,0),MATCH(R$8,'Unique Asset List'!$D$3:$M$3,0))</f>
        <v>0.58500000000000008</v>
      </c>
      <c r="S15" s="17">
        <f>INDEX('Unique Asset List'!$D$4:$M$60,MATCH($B15,'Unique Asset List'!$A$4:$A$60,0),MATCH(S$8,'Unique Asset List'!$D$3:$M$3,0))</f>
        <v>0</v>
      </c>
      <c r="T15" s="17"/>
      <c r="U15" s="17">
        <f t="shared" si="1"/>
        <v>0.90168566420734264</v>
      </c>
      <c r="V15" s="17">
        <v>1</v>
      </c>
      <c r="W15" s="9" t="s">
        <v>188</v>
      </c>
      <c r="X15" s="9">
        <f>INDEX('Unique Asset List'!$Y$4:$AE$60,MATCH('6'!$B15,'Unique Asset List'!$A$4:$A$60,0),MATCH('6'!$C$1,'Unique Asset List'!$Y$3:$AE$3,0))</f>
        <v>2024</v>
      </c>
      <c r="Y15" s="9">
        <f>INDEX('Unique Asset List'!$AF$4:$AL$60,MATCH('6'!$B15,'Unique Asset List'!$A$4:$A$60,0),MATCH('6'!$C$1,'Unique Asset List'!$AF$3:$AL$3,0))</f>
        <v>1.999999999998181</v>
      </c>
      <c r="Z15" s="9">
        <f>INDEX('Unique Asset List'!$AT$4:$AZ$60,MATCH('6'!$B15,'Unique Asset List'!$A$4:$A$60,0),MATCH('6'!$C$1,'Unique Asset List'!$AT$3:$AZ$3,0))</f>
        <v>2032</v>
      </c>
      <c r="AA15" s="9">
        <f>INDEX('Unique Asset List'!$BA$4:$BG$60,MATCH('6'!$B15,'Unique Asset List'!$A$4:$A$60,0),MATCH('6'!$C$1,'Unique Asset List'!$BA$3:$BG$3,0))</f>
        <v>1</v>
      </c>
      <c r="AB15" s="16">
        <f t="shared" si="2"/>
        <v>1.6860000000000002</v>
      </c>
      <c r="AC15" s="16">
        <f t="shared" si="3"/>
        <v>0.97325250000000008</v>
      </c>
      <c r="AD15" s="16">
        <f t="shared" si="4"/>
        <v>0.38169906301999995</v>
      </c>
      <c r="AE15" s="15">
        <f>INDEX('Unique Asset List'!$CJ$4:$CP$60,MATCH('6'!$B15,'Unique Asset List'!$A$4:$A$60,0),MATCH('6'!$C$1,'Unique Asset List'!$CJ$3:$CP$3,0))</f>
        <v>0.18</v>
      </c>
      <c r="AF15" s="15">
        <f>INDEX('Unique Asset List'!$CQ$4:$CW$60,MATCH('6'!$B15,'Unique Asset List'!$A$4:$A$60,0),MATCH('6'!$C$1,'Unique Asset List'!$CQ$3:$CW$3,0))</f>
        <v>0.32</v>
      </c>
      <c r="AG15" s="15">
        <f>INDEX('Unique Asset List'!$BV$4:$CB$60,MATCH('6'!$B15,'Unique Asset List'!$A$4:$A$60,0),MATCH('6'!$C$1,'Unique Asset List'!$BV$3:$CB$3,0))</f>
        <v>0.18</v>
      </c>
      <c r="AH15" s="15">
        <f>INDEX('Unique Asset List'!$CC$4:$CI$60,MATCH('6'!$B15,'Unique Asset List'!$A$4:$A$60,0),MATCH('6'!$C$1,'Unique Asset List'!$CC$3:$CI$3,0))</f>
        <v>0.32</v>
      </c>
      <c r="AI15" s="11">
        <v>0.96187963349867744</v>
      </c>
      <c r="AJ15" s="15">
        <f>INDEX('Unique Asset List'!$BH$4:$BN$60,MATCH('6'!$B15,'Unique Asset List'!$A$4:$A$60,0),MATCH('6'!$C$1,'Unique Asset List'!$BH$3:$BN$3,0))</f>
        <v>0.32314284341629806</v>
      </c>
      <c r="AK15" s="15">
        <f>INDEX('Unique Asset List'!$BO$4:$BU$60,MATCH('6'!$B15,'Unique Asset List'!$A$4:$A$60,0),MATCH('6'!$C$1,'Unique Asset List'!$BO$3:$BU$3,0))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81">
        <f>INDEX('Unique Asset List'!N$4:N$60,MATCH($B15,_CompoundList,0))</f>
        <v>0</v>
      </c>
      <c r="AU15" s="181">
        <f>INDEX('Unique Asset List'!O$4:O$60,MATCH($B15,_CompoundList,0))</f>
        <v>0</v>
      </c>
      <c r="AV15" s="181">
        <f>INDEX('Unique Asset List'!P$4:P$60,MATCH($B15,_CompoundList,0))</f>
        <v>0</v>
      </c>
      <c r="AW15" s="181">
        <f>INDEX('Unique Asset List'!Q$4:Q$60,MATCH($B15,_CompoundList,0))</f>
        <v>0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0</v>
      </c>
      <c r="AZ15" s="181">
        <f ca="1">INDEX('Unique Asset List'!T$4:T$60,MATCH($B15,_CompoundList,0))</f>
        <v>0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0</v>
      </c>
      <c r="BC15" s="181">
        <f ca="1">INDEX('Unique Asset List'!W$4:W$60,MATCH($B15,_CompoundList,0))</f>
        <v>0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3</v>
      </c>
      <c r="BL15" s="3">
        <f>IF($C$5="ON",CL15,MyRating(_S1,$B15,Efficacy!$F$1))</f>
        <v>4</v>
      </c>
      <c r="BM15" s="3">
        <f>IF($C$5="ON",CM15,MyRating(_S2,$B15,Efficacy!$F$1))</f>
        <v>3</v>
      </c>
      <c r="BN15" s="3">
        <f>IF($C$5="ON",CN15,MyRating(_S3,$B15,Efficacy!$F$1))</f>
        <v>3</v>
      </c>
      <c r="BO15" s="3">
        <f>IF($C$5="ON",CO15,MyRating(_S4,$B15,Efficacy!$F$1))</f>
        <v>4</v>
      </c>
      <c r="BP15" s="3">
        <f>IF($C$5="ON",CP15,MyRating(_S5,$B15,Efficacy!$F$1))</f>
        <v>5</v>
      </c>
      <c r="BQ15" s="3">
        <f>IF($C$5="ON",CQ15,MyRating(_S6,$B15,Efficacy!$F$1))</f>
        <v>3</v>
      </c>
      <c r="BR15" s="3">
        <f>IF($C$5="ON",CR15,MyRating(_S7,$B15,Efficacy!$F$1))</f>
        <v>4</v>
      </c>
      <c r="BS15" s="3">
        <f>IF($C$5="ON",CS15,MyRating(_D1,$B15,Efficacy!$F$1))</f>
        <v>2</v>
      </c>
      <c r="BT15" s="3">
        <f>IF($C$5="ON",CT15,MyRating(_D2,$B15,Efficacy!$F$1))</f>
        <v>3</v>
      </c>
      <c r="BU15" s="3">
        <f>IF($C$5="ON",CU15,MyRating(_D3,$B15,Efficacy!$F$1))</f>
        <v>1</v>
      </c>
      <c r="BV15" s="3">
        <f>IF($C$5="ON",CV15,MyRating(_D4,$B15,Efficacy!$F$1))</f>
        <v>2</v>
      </c>
      <c r="BW15" s="3">
        <f>IF($C$5="ON",CW15,MyRating(_B1G5,$B15,Barrier!$L$2))</f>
        <v>2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9"/>
        <v>3.3407946312985805E-2</v>
      </c>
      <c r="CA15" s="8">
        <f t="shared" si="6"/>
        <v>2.8000000000000003</v>
      </c>
      <c r="CB15" s="5">
        <f t="shared" si="7"/>
        <v>3.2941176470588251E-2</v>
      </c>
      <c r="CC15" s="7">
        <f t="shared" si="8"/>
        <v>5.9787261089987885E-3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5</v>
      </c>
      <c r="CM15" s="3">
        <v>3</v>
      </c>
      <c r="CN15" s="3">
        <v>3</v>
      </c>
      <c r="CO15" s="3">
        <v>4</v>
      </c>
      <c r="CP15" s="3">
        <v>5</v>
      </c>
      <c r="CQ15" s="3">
        <v>3</v>
      </c>
      <c r="CR15" s="3">
        <v>4</v>
      </c>
      <c r="CS15" s="3">
        <v>2</v>
      </c>
      <c r="CT15" s="3">
        <v>3</v>
      </c>
      <c r="CU15" s="3">
        <v>1</v>
      </c>
      <c r="CV15" s="3">
        <v>2</v>
      </c>
      <c r="CW15" s="3">
        <v>2</v>
      </c>
      <c r="CX15" s="3">
        <v>3</v>
      </c>
      <c r="CY15" s="6">
        <v>3</v>
      </c>
      <c r="CZ15" s="5">
        <v>3.6275844714639842E-2</v>
      </c>
      <c r="DA15" s="59"/>
    </row>
    <row r="16" spans="1:105" x14ac:dyDescent="0.25">
      <c r="A16" s="9" t="str">
        <f t="shared" si="0"/>
        <v>IT</v>
      </c>
      <c r="B16" s="9" t="s">
        <v>83</v>
      </c>
      <c r="C16" s="20"/>
      <c r="D16" s="9" t="s">
        <v>64</v>
      </c>
      <c r="E16" s="9" t="s">
        <v>186</v>
      </c>
      <c r="F16" s="9" t="str">
        <f>INDEX('Unique Asset List'!$C$4:$C$60,MATCH(B16,_CompoundList,0))</f>
        <v>Ph3</v>
      </c>
      <c r="G16" s="19">
        <v>0</v>
      </c>
      <c r="H16" s="9">
        <v>2014</v>
      </c>
      <c r="I16" s="9">
        <v>6</v>
      </c>
      <c r="J16" s="18">
        <f>INDEX(PTRS!$D$6:$D$12,MATCH('6'!$F16,PTRS!$B$6:$B$12,0))</f>
        <v>0.58500000000000008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7">
        <v>0.19500000000000003</v>
      </c>
      <c r="N16" s="17">
        <f>INDEX('Unique Asset List'!$D$4:$M$60,MATCH($B16,'Unique Asset List'!$A$4:$A$60,0),MATCH(N$8,'Unique Asset List'!$D$3:$M$3,0))</f>
        <v>0.58500000000000008</v>
      </c>
      <c r="O16" s="17">
        <f>INDEX('Unique Asset List'!$D$4:$M$60,MATCH($B16,'Unique Asset List'!$A$4:$A$60,0),MATCH(O$8,'Unique Asset List'!$D$3:$M$3,0))</f>
        <v>0.58500000000000008</v>
      </c>
      <c r="P16" s="17">
        <f>INDEX('Unique Asset List'!$D$4:$M$60,MATCH($B16,'Unique Asset List'!$A$4:$A$60,0),MATCH(P$8,'Unique Asset List'!$D$3:$M$3,0))</f>
        <v>0.58500000000000008</v>
      </c>
      <c r="Q16" s="17">
        <f>INDEX('Unique Asset List'!$D$4:$M$60,MATCH($B16,'Unique Asset List'!$A$4:$A$60,0),MATCH(Q$8,'Unique Asset List'!$D$3:$M$3,0))</f>
        <v>0.58500000000000008</v>
      </c>
      <c r="R16" s="17">
        <f>INDEX('Unique Asset List'!$D$4:$M$60,MATCH($B16,'Unique Asset List'!$A$4:$A$60,0),MATCH(R$8,'Unique Asset List'!$D$3:$M$3,0))</f>
        <v>0.58500000000000008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1"/>
        <v>0.19245008972987526</v>
      </c>
      <c r="V16" s="17">
        <f>V13</f>
        <v>0.42</v>
      </c>
      <c r="W16" s="9" t="s">
        <v>62</v>
      </c>
      <c r="X16" s="9">
        <f>INDEX('Unique Asset List'!$Y$4:$AE$60,MATCH('6'!$B16,'Unique Asset List'!$A$4:$A$60,0),MATCH('6'!$C$1,'Unique Asset List'!$Y$3:$AE$3,0))</f>
        <v>2024</v>
      </c>
      <c r="Y16" s="9">
        <f>INDEX('Unique Asset List'!$AF$4:$AL$60,MATCH('6'!$B16,'Unique Asset List'!$A$4:$A$60,0),MATCH('6'!$C$1,'Unique Asset List'!$AF$3:$AL$3,0))</f>
        <v>3</v>
      </c>
      <c r="Z16" s="9">
        <f>INDEX('Unique Asset List'!$AT$4:$AZ$60,MATCH('6'!$B16,'Unique Asset List'!$A$4:$A$60,0),MATCH('6'!$C$1,'Unique Asset List'!$AT$3:$AZ$3,0))</f>
        <v>2031</v>
      </c>
      <c r="AA16" s="9">
        <f>INDEX('Unique Asset List'!$BA$4:$BG$60,MATCH('6'!$B16,'Unique Asset List'!$A$4:$A$60,0),MATCH('6'!$C$1,'Unique Asset List'!$BA$3:$BG$3,0))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0.52867185888000001</v>
      </c>
      <c r="AE16" s="15">
        <f>INDEX('Unique Asset List'!$CJ$4:$CP$60,MATCH('6'!$B16,'Unique Asset List'!$A$4:$A$60,0),MATCH('6'!$C$1,'Unique Asset List'!$CJ$3:$CP$3,0))</f>
        <v>0.23</v>
      </c>
      <c r="AF16" s="15">
        <f>INDEX('Unique Asset List'!$CQ$4:$CW$60,MATCH('6'!$B16,'Unique Asset List'!$A$4:$A$60,0),MATCH('6'!$C$1,'Unique Asset List'!$CQ$3:$CW$3,0))</f>
        <v>0.27</v>
      </c>
      <c r="AG16" s="15">
        <f>INDEX('Unique Asset List'!$BV$4:$CB$60,MATCH('6'!$B16,'Unique Asset List'!$A$4:$A$60,0),MATCH('6'!$C$1,'Unique Asset List'!$BV$3:$CB$3,0))</f>
        <v>0.23</v>
      </c>
      <c r="AH16" s="15">
        <f>INDEX('Unique Asset List'!$CC$4:$CI$60,MATCH('6'!$B16,'Unique Asset List'!$A$4:$A$60,0),MATCH('6'!$C$1,'Unique Asset List'!$CC$3:$CI$3,0))</f>
        <v>0.27</v>
      </c>
      <c r="AI16" s="11">
        <v>0.96187963349867744</v>
      </c>
      <c r="AJ16" s="15">
        <f>INDEX('Unique Asset List'!$BH$4:$BN$60,MATCH('6'!$B16,'Unique Asset List'!$A$4:$A$60,0),MATCH('6'!$C$1,'Unique Asset List'!$BH$3:$BN$3,0))</f>
        <v>0.32314284341629806</v>
      </c>
      <c r="AK16" s="15">
        <f>INDEX('Unique Asset List'!$BO$4:$BU$60,MATCH('6'!$B16,'Unique Asset List'!$A$4:$A$60,0),MATCH('6'!$C$1,'Unique Asset List'!$BO$3:$BU$3,0))</f>
        <v>0.61768216477991222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0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0</v>
      </c>
      <c r="BA16" s="181">
        <f ca="1">INDEX('Unique Asset List'!U$4:U$60,MATCH($B16,_CompoundList,0))</f>
        <v>1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3</v>
      </c>
      <c r="BF16" s="3">
        <f>IF($C$5="ON",CF16,MyRating(_E3,$B16,Efficacy!$F$1))</f>
        <v>3</v>
      </c>
      <c r="BG16" s="3">
        <f>IF($C$5="ON",CG16,MyRating(_E4,$B16,Efficacy!$F$1))</f>
        <v>3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IF($C$5="ON",CL16,MyRating(_S1,$B16,Efficacy!$F$1))</f>
        <v>3</v>
      </c>
      <c r="BM16" s="3">
        <f>IF($C$5="ON",CM16,MyRating(_S2,$B16,Efficacy!$F$1))</f>
        <v>3</v>
      </c>
      <c r="BN16" s="3">
        <f>IF($C$5="ON",CN16,MyRating(_S3,$B16,Efficacy!$F$1))</f>
        <v>3</v>
      </c>
      <c r="BO16" s="3">
        <f>IF($C$5="ON",CO16,MyRating(_S4,$B16,Efficacy!$F$1))</f>
        <v>3</v>
      </c>
      <c r="BP16" s="3">
        <f>IF($C$5="ON",CP16,MyRating(_S5,$B16,Efficacy!$F$1))</f>
        <v>3</v>
      </c>
      <c r="BQ16" s="3">
        <f>IF($C$5="ON",CQ16,MyRating(_S6,$B16,Efficacy!$F$1))</f>
        <v>2</v>
      </c>
      <c r="BR16" s="3">
        <f>IF($C$5="ON",CR16,MyRating(_S7,$B16,Efficacy!$F$1))</f>
        <v>3</v>
      </c>
      <c r="BS16" s="3">
        <f>IF($C$5="ON",CS16,MyRating(_D1,$B16,Efficacy!$F$1))</f>
        <v>3</v>
      </c>
      <c r="BT16" s="3">
        <f>IF($C$5="ON",CT16,MyRating(_D2,$B16,Efficacy!$F$1))</f>
        <v>3</v>
      </c>
      <c r="BU16" s="3">
        <f>IF($C$5="ON",CU16,MyRating(_D3,$B16,Efficacy!$F$1))</f>
        <v>2</v>
      </c>
      <c r="BV16" s="3">
        <f>IF($C$5="ON",CV16,MyRating(_D4,$B16,Efficacy!$F$1))</f>
        <v>3</v>
      </c>
      <c r="BW16" s="3">
        <f>IF($C$5="ON",CW16,MyRating(_B1G5,$B16,Barrier!$L$2))</f>
        <v>1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9"/>
        <v>7.1303809307835921E-3</v>
      </c>
      <c r="CA16" s="8">
        <f t="shared" si="6"/>
        <v>1</v>
      </c>
      <c r="CB16" s="5">
        <f t="shared" si="7"/>
        <v>1.1764705882352946E-2</v>
      </c>
      <c r="CC16" s="7">
        <f t="shared" si="8"/>
        <v>1.2760615165803312E-3</v>
      </c>
      <c r="CD16" s="4">
        <v>3</v>
      </c>
      <c r="CE16" s="3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2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1</v>
      </c>
      <c r="CX16" s="3">
        <v>1</v>
      </c>
      <c r="CY16" s="6">
        <v>1</v>
      </c>
      <c r="CZ16" s="5">
        <v>9.9044671286996639E-3</v>
      </c>
      <c r="DA16" s="59"/>
    </row>
    <row r="17" spans="1:105" x14ac:dyDescent="0.25">
      <c r="A17" s="9" t="str">
        <f t="shared" si="0"/>
        <v>IT</v>
      </c>
      <c r="B17" s="9" t="s">
        <v>79</v>
      </c>
      <c r="C17" s="20"/>
      <c r="D17" s="9" t="s">
        <v>78</v>
      </c>
      <c r="E17" s="9" t="s">
        <v>186</v>
      </c>
      <c r="F17" s="9" t="str">
        <f>INDEX('Unique Asset List'!$C$4:$C$60,MATCH(B17,_CompoundList,0))</f>
        <v>Ph2b</v>
      </c>
      <c r="G17" s="19">
        <v>0</v>
      </c>
      <c r="H17" s="9">
        <v>2014</v>
      </c>
      <c r="I17" s="9">
        <v>6</v>
      </c>
      <c r="J17" s="18">
        <f>INDEX(PTRS!$D$6:$D$12,MATCH('6'!$F17,PTRS!$B$6:$B$12,0))</f>
        <v>0.40949999999999998</v>
      </c>
      <c r="K17" s="17">
        <f>INDEX('Unique Asset List'!$D$4:$M$60,MATCH($B17,'Unique Asset List'!$A$4:$A$60,0),MATCH(K$8,'Unique Asset List'!$D$3:$M$3,0))</f>
        <v>0</v>
      </c>
      <c r="L17" s="17">
        <f>INDEX('Unique Asset List'!$D$4:$M$60,MATCH($B17,'Unique Asset List'!$A$4:$A$60,0),MATCH(L$8,'Unique Asset List'!$D$3:$M$3,0))</f>
        <v>0</v>
      </c>
      <c r="M17" s="17">
        <v>0.13649999999999998</v>
      </c>
      <c r="N17" s="17">
        <f>INDEX('Unique Asset List'!$D$4:$M$60,MATCH($B17,'Unique Asset List'!$A$4:$A$60,0),MATCH(N$8,'Unique Asset List'!$D$3:$M$3,0))</f>
        <v>0.40949999999999998</v>
      </c>
      <c r="O17" s="17">
        <f>INDEX('Unique Asset List'!$D$4:$M$60,MATCH($B17,'Unique Asset List'!$A$4:$A$60,0),MATCH(O$8,'Unique Asset List'!$D$3:$M$3,0))</f>
        <v>0.40949999999999998</v>
      </c>
      <c r="P17" s="17">
        <f>INDEX('Unique Asset List'!$D$4:$M$60,MATCH($B17,'Unique Asset List'!$A$4:$A$60,0),MATCH(P$8,'Unique Asset List'!$D$3:$M$3,0))</f>
        <v>0.40949999999999998</v>
      </c>
      <c r="Q17" s="17">
        <f>INDEX('Unique Asset List'!$D$4:$M$60,MATCH($B17,'Unique Asset List'!$A$4:$A$60,0),MATCH(Q$8,'Unique Asset List'!$D$3:$M$3,0))</f>
        <v>0.40949999999999998</v>
      </c>
      <c r="R17" s="17">
        <f>INDEX('Unique Asset List'!$D$4:$M$60,MATCH($B17,'Unique Asset List'!$A$4:$A$60,0),MATCH(R$8,'Unique Asset List'!$D$3:$M$3,0))</f>
        <v>0.40949999999999998</v>
      </c>
      <c r="S17" s="17">
        <f>INDEX('Unique Asset List'!$D$4:$M$60,MATCH($B17,'Unique Asset List'!$A$4:$A$60,0),MATCH(S$8,'Unique Asset List'!$D$3:$M$3,0))</f>
        <v>0</v>
      </c>
      <c r="T17" s="17"/>
      <c r="U17" s="17">
        <f t="shared" si="1"/>
        <v>0.90168566420734264</v>
      </c>
      <c r="V17" s="17">
        <v>1</v>
      </c>
      <c r="W17" s="9" t="s">
        <v>62</v>
      </c>
      <c r="X17" s="9">
        <f>INDEX('Unique Asset List'!$Y$4:$AE$60,MATCH('6'!$B17,'Unique Asset List'!$A$4:$A$60,0),MATCH('6'!$C$1,'Unique Asset List'!$Y$3:$AE$3,0))</f>
        <v>2025</v>
      </c>
      <c r="Y17" s="9">
        <f>INDEX('Unique Asset List'!$AF$4:$AL$60,MATCH('6'!$B17,'Unique Asset List'!$A$4:$A$60,0),MATCH('6'!$C$1,'Unique Asset List'!$AF$3:$AL$3,0))</f>
        <v>3.9999999999990905</v>
      </c>
      <c r="Z17" s="9">
        <f>INDEX('Unique Asset List'!$AT$4:$AZ$60,MATCH('6'!$B17,'Unique Asset List'!$A$4:$A$60,0),MATCH('6'!$C$1,'Unique Asset List'!$AT$3:$AZ$3,0))</f>
        <v>2033</v>
      </c>
      <c r="AA17" s="9">
        <f>INDEX('Unique Asset List'!$BA$4:$BG$60,MATCH('6'!$B17,'Unique Asset List'!$A$4:$A$60,0),MATCH('6'!$C$1,'Unique Asset List'!$BA$3:$BG$3,0))</f>
        <v>3</v>
      </c>
      <c r="AB17" s="16">
        <f t="shared" si="2"/>
        <v>2.0719254000000005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List'!$CJ$4:$CP$60,MATCH('6'!$B17,'Unique Asset List'!$A$4:$A$60,0),MATCH('6'!$C$1,'Unique Asset List'!$CJ$3:$CP$3,0))</f>
        <v>0.23</v>
      </c>
      <c r="AF17" s="15">
        <f>INDEX('Unique Asset List'!$CQ$4:$CW$60,MATCH('6'!$B17,'Unique Asset List'!$A$4:$A$60,0),MATCH('6'!$C$1,'Unique Asset List'!$CQ$3:$CW$3,0))</f>
        <v>0.27</v>
      </c>
      <c r="AG17" s="15">
        <f>INDEX('Unique Asset List'!$BV$4:$CB$60,MATCH('6'!$B17,'Unique Asset List'!$A$4:$A$60,0),MATCH('6'!$C$1,'Unique Asset List'!$BV$3:$CB$3,0))</f>
        <v>0.23</v>
      </c>
      <c r="AH17" s="15">
        <f>INDEX('Unique Asset List'!$CC$4:$CI$60,MATCH('6'!$B17,'Unique Asset List'!$A$4:$A$60,0),MATCH('6'!$C$1,'Unique Asset List'!$CC$3:$CI$3,0))</f>
        <v>0.27</v>
      </c>
      <c r="AI17" s="11">
        <v>0.96187963349867744</v>
      </c>
      <c r="AJ17" s="15">
        <f>INDEX('Unique Asset List'!$BH$4:$BN$60,MATCH('6'!$B17,'Unique Asset List'!$A$4:$A$60,0),MATCH('6'!$C$1,'Unique Asset List'!$BH$3:$BN$3,0))</f>
        <v>0.32314284341629806</v>
      </c>
      <c r="AK17" s="15">
        <f>INDEX('Unique Asset List'!$BO$4:$BU$60,MATCH('6'!$B17,'Unique Asset List'!$A$4:$A$60,0),MATCH('6'!$C$1,'Unique Asset List'!$BO$3:$BU$3,0))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81">
        <f>INDEX('Unique Asset List'!N$4:N$60,MATCH($B17,_CompoundList,0))</f>
        <v>0</v>
      </c>
      <c r="AU17" s="181">
        <f>INDEX('Unique Asset List'!O$4:O$60,MATCH($B17,_CompoundList,0))</f>
        <v>0</v>
      </c>
      <c r="AV17" s="181">
        <f>INDEX('Unique Asset List'!P$4:P$60,MATCH($B17,_CompoundList,0))</f>
        <v>0</v>
      </c>
      <c r="AW17" s="181">
        <f>INDEX('Unique Asset List'!Q$4:Q$60,MATCH($B17,_CompoundList,0))</f>
        <v>0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0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4</v>
      </c>
      <c r="BE17" s="3">
        <f>IF($C$5="ON",CE17,MyRating(_E2,$B17,Efficacy!$F$1))</f>
        <v>3</v>
      </c>
      <c r="BF17" s="3">
        <f>IF($C$5="ON",CF17,MyRating(_E3,$B17,Efficacy!$F$1))</f>
        <v>4</v>
      </c>
      <c r="BG17" s="3">
        <f>IF($C$5="ON",CG17,MyRating(_E4,$B17,Efficacy!$F$1))</f>
        <v>4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3</v>
      </c>
      <c r="BK17" s="3">
        <f>IF($C$5="ON",CK17,MyRating(_E8,$B17,Efficacy!$F$1))</f>
        <v>5</v>
      </c>
      <c r="BL17" s="3">
        <f>IF($C$5="ON",CL17,MyRating(_S1,$B17,Efficacy!$F$1))</f>
        <v>4</v>
      </c>
      <c r="BM17" s="3">
        <f>IF($C$5="ON",CM17,MyRating(_S2,$B17,Efficacy!$F$1))</f>
        <v>3</v>
      </c>
      <c r="BN17" s="3">
        <f>IF($C$5="ON",CN17,MyRating(_S3,$B17,Efficacy!$F$1))</f>
        <v>3</v>
      </c>
      <c r="BO17" s="3">
        <f>IF($C$5="ON",CO17,MyRating(_S4,$B17,Efficacy!$F$1))</f>
        <v>3</v>
      </c>
      <c r="BP17" s="3">
        <f>IF($C$5="ON",CP17,MyRating(_S5,$B17,Efficacy!$F$1))</f>
        <v>5</v>
      </c>
      <c r="BQ17" s="3">
        <f>IF($C$5="ON",CQ17,MyRating(_S6,$B17,Efficacy!$F$1))</f>
        <v>2</v>
      </c>
      <c r="BR17" s="3">
        <f>IF($C$5="ON",CR17,MyRating(_S7,$B17,Efficacy!$F$1))</f>
        <v>3</v>
      </c>
      <c r="BS17" s="3">
        <f>IF($C$5="ON",CS17,MyRating(_D1,$B17,Efficacy!$F$1))</f>
        <v>3</v>
      </c>
      <c r="BT17" s="3">
        <f>IF($C$5="ON",CT17,MyRating(_D2,$B17,Efficacy!$F$1))</f>
        <v>3</v>
      </c>
      <c r="BU17" s="3">
        <f>IF($C$5="ON",CU17,MyRating(_D3,$B17,Efficacy!$F$1))</f>
        <v>3</v>
      </c>
      <c r="BV17" s="3">
        <f>IF($C$5="ON",CV17,MyRating(_D4,$B17,Efficacy!$F$1))</f>
        <v>3</v>
      </c>
      <c r="BW17" s="3">
        <f>IF($C$5="ON",CW17,MyRating(_B1G5,$B17,Barrier!$L$2))</f>
        <v>2</v>
      </c>
      <c r="BX17" s="3">
        <f>IF($C$5="ON",CX17,MyRating(_B2,$B17,Barrier!$F$2))</f>
        <v>3</v>
      </c>
      <c r="BY17" s="6">
        <f>IF($C$5="ON",CY17,MyRating(_B3,$B17,Barrier!$F$2))</f>
        <v>3</v>
      </c>
      <c r="BZ17" s="5">
        <f t="shared" si="9"/>
        <v>3.3407946312985805E-2</v>
      </c>
      <c r="CA17" s="8">
        <f t="shared" si="6"/>
        <v>2.8000000000000003</v>
      </c>
      <c r="CB17" s="5">
        <f t="shared" si="7"/>
        <v>3.2941176470588251E-2</v>
      </c>
      <c r="CC17" s="7">
        <f t="shared" si="8"/>
        <v>5.9787261089987885E-3</v>
      </c>
      <c r="CD17" s="4">
        <v>4</v>
      </c>
      <c r="CE17" s="3">
        <v>4</v>
      </c>
      <c r="CF17" s="3">
        <v>4</v>
      </c>
      <c r="CG17" s="3">
        <v>4</v>
      </c>
      <c r="CH17" s="3">
        <v>3</v>
      </c>
      <c r="CI17" s="3">
        <v>3</v>
      </c>
      <c r="CJ17" s="3">
        <v>3</v>
      </c>
      <c r="CK17" s="3">
        <v>5</v>
      </c>
      <c r="CL17" s="3">
        <v>4</v>
      </c>
      <c r="CM17" s="3">
        <v>3</v>
      </c>
      <c r="CN17" s="3">
        <v>3</v>
      </c>
      <c r="CO17" s="3">
        <v>3</v>
      </c>
      <c r="CP17" s="3">
        <v>5</v>
      </c>
      <c r="CQ17" s="3">
        <v>2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2</v>
      </c>
      <c r="CX17" s="3">
        <v>3</v>
      </c>
      <c r="CY17" s="6">
        <v>3</v>
      </c>
      <c r="CZ17" s="5">
        <v>3.6275844714639842E-2</v>
      </c>
      <c r="DA17" s="59"/>
    </row>
    <row r="18" spans="1:105" x14ac:dyDescent="0.25">
      <c r="A18" s="9" t="str">
        <f t="shared" si="0"/>
        <v>IT</v>
      </c>
      <c r="B18" s="9" t="s">
        <v>87</v>
      </c>
      <c r="C18" s="20" t="s">
        <v>3</v>
      </c>
      <c r="D18" s="9" t="s">
        <v>64</v>
      </c>
      <c r="E18" s="9" t="s">
        <v>186</v>
      </c>
      <c r="F18" s="9" t="str">
        <f>INDEX('Unique Asset List'!$C$4:$C$60,MATCH(B18,_CompoundList,0))</f>
        <v>Launched</v>
      </c>
      <c r="G18" s="19">
        <v>0</v>
      </c>
      <c r="H18" s="9">
        <v>2014</v>
      </c>
      <c r="I18" s="9">
        <v>6</v>
      </c>
      <c r="J18" s="18">
        <f>INDEX(PTRS!$D$6:$D$12,MATCH('6'!$F18,PTRS!$B$6:$B$12,0))</f>
        <v>1</v>
      </c>
      <c r="K18" s="17">
        <f>INDEX('Unique Asset List'!$D$4:$M$60,MATCH($B18,'Unique Asset List'!$A$4:$A$60,0),MATCH(K$8,'Unique Asset List'!$D$3:$M$3,0))</f>
        <v>1</v>
      </c>
      <c r="L18" s="17">
        <f>INDEX('Unique Asset List'!$D$4:$M$60,MATCH($B18,'Unique Asset List'!$A$4:$A$60,0),MATCH(L$8,'Unique Asset List'!$D$3:$M$3,0))</f>
        <v>1</v>
      </c>
      <c r="M18" s="17">
        <v>1</v>
      </c>
      <c r="N18" s="17">
        <f>INDEX('Unique Asset List'!$D$4:$M$60,MATCH($B18,'Unique Asset List'!$A$4:$A$60,0),MATCH(N$8,'Unique Asset List'!$D$3:$M$3,0))</f>
        <v>1</v>
      </c>
      <c r="O18" s="17">
        <f>INDEX('Unique Asset List'!$D$4:$M$60,MATCH($B18,'Unique Asset List'!$A$4:$A$60,0),MATCH(O$8,'Unique Asset List'!$D$3:$M$3,0))</f>
        <v>1</v>
      </c>
      <c r="P18" s="17">
        <f>INDEX('Unique Asset List'!$D$4:$M$60,MATCH($B18,'Unique Asset List'!$A$4:$A$60,0),MATCH(P$8,'Unique Asset List'!$D$3:$M$3,0))</f>
        <v>1</v>
      </c>
      <c r="Q18" s="17">
        <f>INDEX('Unique Asset List'!$D$4:$M$60,MATCH($B18,'Unique Asset List'!$A$4:$A$60,0),MATCH(Q$8,'Unique Asset List'!$D$3:$M$3,0))</f>
        <v>1</v>
      </c>
      <c r="R18" s="17">
        <f>INDEX('Unique Asset List'!$D$4:$M$60,MATCH($B18,'Unique Asset List'!$A$4:$A$60,0),MATCH(R$8,'Unique Asset List'!$D$3:$M$3,0))</f>
        <v>1</v>
      </c>
      <c r="S18" s="17">
        <f>INDEX('Unique Asset List'!$D$4:$M$60,MATCH($B18,'Unique Asset List'!$A$4:$A$60,0),MATCH(S$8,'Unique Asset List'!$D$3:$M$3,0))</f>
        <v>1</v>
      </c>
      <c r="T18" s="17"/>
      <c r="U18" s="17">
        <f t="shared" si="1"/>
        <v>0</v>
      </c>
      <c r="V18" s="17">
        <v>1</v>
      </c>
      <c r="W18" s="9" t="s">
        <v>54</v>
      </c>
      <c r="X18" s="9">
        <f>INDEX('Unique Asset List'!$Y$4:$AE$60,MATCH('6'!$B18,'Unique Asset List'!$A$4:$A$60,0),MATCH('6'!$C$1,'Unique Asset List'!$Y$3:$AE$3,0))</f>
        <v>2018</v>
      </c>
      <c r="Y18" s="9">
        <f>INDEX('Unique Asset List'!$AF$4:$AL$60,MATCH('6'!$B18,'Unique Asset List'!$A$4:$A$60,0),MATCH('6'!$C$1,'Unique Asset List'!$AF$3:$AL$3,0))</f>
        <v>3.9999999999990905</v>
      </c>
      <c r="Z18" s="9">
        <f>INDEX('Unique Asset List'!$AT$4:$AZ$60,MATCH('6'!$B18,'Unique Asset List'!$A$4:$A$60,0),MATCH('6'!$C$1,'Unique Asset List'!$AT$3:$AZ$3,0))</f>
        <v>2033</v>
      </c>
      <c r="AA18" s="9">
        <f>INDEX('Unique Asset List'!$BA$4:$BG$60,MATCH('6'!$B18,'Unique Asset List'!$A$4:$A$60,0),MATCH('6'!$C$1,'Unique Asset List'!$BA$3:$BG$3,0))</f>
        <v>11</v>
      </c>
      <c r="AB18" s="16">
        <f t="shared" si="2"/>
        <v>1.7478200000000002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List'!$CJ$4:$CP$60,MATCH('6'!$B18,'Unique Asset List'!$A$4:$A$60,0),MATCH('6'!$C$1,'Unique Asset List'!$CJ$3:$CP$3,0))</f>
        <v>0.18</v>
      </c>
      <c r="AF18" s="15">
        <f>INDEX('Unique Asset List'!$CQ$4:$CW$60,MATCH('6'!$B18,'Unique Asset List'!$A$4:$A$60,0),MATCH('6'!$C$1,'Unique Asset List'!$CQ$3:$CW$3,0))</f>
        <v>0.32</v>
      </c>
      <c r="AG18" s="15">
        <f>INDEX('Unique Asset List'!$BV$4:$CB$60,MATCH('6'!$B18,'Unique Asset List'!$A$4:$A$60,0),MATCH('6'!$C$1,'Unique Asset List'!$BV$3:$CB$3,0))</f>
        <v>0.18</v>
      </c>
      <c r="AH18" s="15">
        <f>INDEX('Unique Asset List'!$CC$4:$CI$60,MATCH('6'!$B18,'Unique Asset List'!$A$4:$A$60,0),MATCH('6'!$C$1,'Unique Asset List'!$CC$3:$CI$3,0))</f>
        <v>0.32</v>
      </c>
      <c r="AI18" s="11">
        <v>0.96187963349867744</v>
      </c>
      <c r="AJ18" s="15">
        <f>INDEX('Unique Asset List'!$BH$4:$BN$60,MATCH('6'!$B18,'Unique Asset List'!$A$4:$A$60,0),MATCH('6'!$C$1,'Unique Asset List'!$BH$3:$BN$3,0))</f>
        <v>0.32314284341629806</v>
      </c>
      <c r="AK18" s="15">
        <f>INDEX('Unique Asset List'!$BO$4:$BU$60,MATCH('6'!$B18,'Unique Asset List'!$A$4:$A$60,0),MATCH('6'!$C$1,'Unique Asset List'!$BO$3:$BU$3,0))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1</v>
      </c>
      <c r="AQ18" s="12">
        <v>0</v>
      </c>
      <c r="AR18" s="11">
        <f t="shared" si="5"/>
        <v>1</v>
      </c>
      <c r="AS18" s="10">
        <v>1</v>
      </c>
      <c r="AT18" s="181">
        <f>INDEX('Unique Asset List'!N$4:N$60,MATCH($B18,_CompoundList,0))</f>
        <v>1</v>
      </c>
      <c r="AU18" s="181">
        <f>INDEX('Unique Asset List'!O$4:O$60,MATCH($B18,_CompoundList,0))</f>
        <v>1</v>
      </c>
      <c r="AV18" s="181">
        <f>INDEX('Unique Asset List'!P$4:P$60,MATCH($B18,_CompoundList,0))</f>
        <v>1</v>
      </c>
      <c r="AW18" s="181">
        <f>INDEX('Unique Asset List'!Q$4:Q$60,MATCH($B18,_CompoundList,0))</f>
        <v>1</v>
      </c>
      <c r="AX18" s="181">
        <f ca="1">INDEX('Unique Asset List'!R$4:R$60,MATCH($B18,_CompoundList,0))</f>
        <v>1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1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1</v>
      </c>
      <c r="BC18" s="181">
        <f ca="1">INDEX('Unique Asset List'!W$4:W$60,MATCH($B18,_CompoundList,0))</f>
        <v>1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4</v>
      </c>
      <c r="BL18" s="3">
        <f>IF($C$5="ON",CL18,MyRating(_S1,$B18,Efficacy!$F$1))</f>
        <v>3</v>
      </c>
      <c r="BM18" s="3">
        <f>IF($C$5="ON",CM18,MyRating(_S2,$B18,Efficacy!$F$1))</f>
        <v>3</v>
      </c>
      <c r="BN18" s="3">
        <f>IF($C$5="ON",CN18,MyRating(_S3,$B18,Efficacy!$F$1))</f>
        <v>3</v>
      </c>
      <c r="BO18" s="3">
        <f>IF($C$5="ON",CO18,MyRating(_S4,$B18,Efficacy!$F$1))</f>
        <v>3</v>
      </c>
      <c r="BP18" s="3">
        <f>IF($C$5="ON",CP18,MyRating(_S5,$B18,Efficacy!$F$1))</f>
        <v>5</v>
      </c>
      <c r="BQ18" s="3">
        <f>IF($C$5="ON",CQ18,MyRating(_S6,$B18,Efficacy!$F$1))</f>
        <v>2</v>
      </c>
      <c r="BR18" s="3">
        <f>IF($C$5="ON",CR18,MyRating(_S7,$B18,Efficacy!$F$1))</f>
        <v>3</v>
      </c>
      <c r="BS18" s="3">
        <f>IF($C$5="ON",CS18,MyRating(_D1,$B18,Efficacy!$F$1))</f>
        <v>3</v>
      </c>
      <c r="BT18" s="3">
        <f>IF($C$5="ON",CT18,MyRating(_D2,$B18,Efficacy!$F$1))</f>
        <v>2</v>
      </c>
      <c r="BU18" s="3">
        <f>IF($C$5="ON",CU18,MyRating(_D3,$B18,Efficacy!$F$1))</f>
        <v>3</v>
      </c>
      <c r="BV18" s="3">
        <f>IF($C$5="ON",CV18,MyRating(_D4,$B18,Efficacy!$F$1))</f>
        <v>3</v>
      </c>
      <c r="BW18" s="3">
        <f>IF($C$5="ON",CW18,MyRating(_B1G5,$B18,Barrier!$L$2))</f>
        <v>2</v>
      </c>
      <c r="BX18" s="3">
        <f>IF($C$5="ON",CX18,MyRating(_B2,$B18,Barrier!$F$2))</f>
        <v>3</v>
      </c>
      <c r="BY18" s="6">
        <f>IF($C$5="ON",CY18,MyRating(_B3,$B18,Barrier!$F$2))</f>
        <v>3</v>
      </c>
      <c r="BZ18" s="5">
        <f t="shared" si="9"/>
        <v>0</v>
      </c>
      <c r="CA18" s="8">
        <f t="shared" si="6"/>
        <v>2.8000000000000003</v>
      </c>
      <c r="CB18" s="5">
        <f t="shared" si="7"/>
        <v>3.2941176470588251E-2</v>
      </c>
      <c r="CC18" s="7">
        <f t="shared" si="8"/>
        <v>5.9787261089987885E-3</v>
      </c>
      <c r="CD18" s="4">
        <v>3</v>
      </c>
      <c r="CE18" s="3">
        <v>4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4</v>
      </c>
      <c r="CL18" s="3">
        <v>3</v>
      </c>
      <c r="CM18" s="3">
        <v>3</v>
      </c>
      <c r="CN18" s="3">
        <v>3</v>
      </c>
      <c r="CO18" s="3">
        <v>3</v>
      </c>
      <c r="CP18" s="3">
        <v>5</v>
      </c>
      <c r="CQ18" s="3">
        <v>2</v>
      </c>
      <c r="CR18" s="3">
        <v>3</v>
      </c>
      <c r="CS18" s="3">
        <v>3</v>
      </c>
      <c r="CT18" s="3">
        <v>2</v>
      </c>
      <c r="CU18" s="3">
        <v>3</v>
      </c>
      <c r="CV18" s="3">
        <v>3</v>
      </c>
      <c r="CW18" s="3">
        <v>2</v>
      </c>
      <c r="CX18" s="3">
        <v>3</v>
      </c>
      <c r="CY18" s="6">
        <v>3</v>
      </c>
      <c r="CZ18" s="5">
        <v>3.6275844714639842E-2</v>
      </c>
      <c r="DA18" s="59"/>
    </row>
    <row r="19" spans="1:105" x14ac:dyDescent="0.25">
      <c r="A19" s="9" t="str">
        <f t="shared" si="0"/>
        <v>IT</v>
      </c>
      <c r="B19" s="9" t="s">
        <v>77</v>
      </c>
      <c r="C19" s="20"/>
      <c r="D19" s="9" t="s">
        <v>76</v>
      </c>
      <c r="E19" s="9" t="s">
        <v>186</v>
      </c>
      <c r="F19" s="9" t="str">
        <f>INDEX('Unique Asset List'!$C$4:$C$60,MATCH(B19,_CompoundList,0))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INDEX(PTRS!$D$6:$D$12,MATCH('6'!$F19,PTRS!$B$6:$B$12,0))</f>
        <v>0.1638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7">
        <v>5.4600000000000003E-2</v>
      </c>
      <c r="N19" s="17">
        <f>INDEX('Unique Asset List'!$D$4:$M$60,MATCH($B19,'Unique Asset List'!$A$4:$A$60,0),MATCH(N$8,'Unique Asset List'!$D$3:$M$3,0))</f>
        <v>0.1638</v>
      </c>
      <c r="O19" s="17">
        <f>INDEX('Unique Asset List'!$D$4:$M$60,MATCH($B19,'Unique Asset List'!$A$4:$A$60,0),MATCH(O$8,'Unique Asset List'!$D$3:$M$3,0))</f>
        <v>0.1638</v>
      </c>
      <c r="P19" s="17">
        <f>INDEX('Unique Asset List'!$D$4:$M$60,MATCH($B19,'Unique Asset List'!$A$4:$A$60,0),MATCH(P$8,'Unique Asset List'!$D$3:$M$3,0))</f>
        <v>0.1638</v>
      </c>
      <c r="Q19" s="17">
        <f>INDEX('Unique Asset List'!$D$4:$M$60,MATCH($B19,'Unique Asset List'!$A$4:$A$60,0),MATCH(Q$8,'Unique Asset List'!$D$3:$M$3,0))</f>
        <v>0.1638</v>
      </c>
      <c r="R19" s="17">
        <f>INDEX('Unique Asset List'!$D$4:$M$60,MATCH($B19,'Unique Asset List'!$A$4:$A$60,0),MATCH(R$8,'Unique Asset List'!$D$3:$M$3,0))</f>
        <v>0.1638</v>
      </c>
      <c r="S19" s="17">
        <f>INDEX('Unique Asset List'!$D$4:$M$60,MATCH($B19,'Unique Asset List'!$A$4:$A$60,0),MATCH(S$8,'Unique Asset List'!$D$3:$M$3,0))</f>
        <v>1</v>
      </c>
      <c r="T19" s="17"/>
      <c r="U19" s="17">
        <f t="shared" si="1"/>
        <v>0.90168566420734264</v>
      </c>
      <c r="V19" s="17">
        <v>1</v>
      </c>
      <c r="W19" s="9" t="s">
        <v>62</v>
      </c>
      <c r="X19" s="9">
        <f>INDEX('Unique Asset List'!$Y$4:$AE$60,MATCH('6'!$B19,'Unique Asset List'!$A$4:$A$60,0),MATCH('6'!$C$1,'Unique Asset List'!$Y$3:$AE$3,0))</f>
        <v>2025</v>
      </c>
      <c r="Y19" s="9">
        <f>INDEX('Unique Asset List'!$AF$4:$AL$60,MATCH('6'!$B19,'Unique Asset List'!$A$4:$A$60,0),MATCH('6'!$C$1,'Unique Asset List'!$AF$3:$AL$3,0))</f>
        <v>7.999999999998181</v>
      </c>
      <c r="Z19" s="9">
        <f>INDEX('Unique Asset List'!$AT$4:$AZ$60,MATCH('6'!$B19,'Unique Asset List'!$A$4:$A$60,0),MATCH('6'!$C$1,'Unique Asset List'!$AT$3:$AZ$3,0))</f>
        <v>2034</v>
      </c>
      <c r="AA19" s="9">
        <f>INDEX('Unique Asset List'!$BA$4:$BG$60,MATCH('6'!$B19,'Unique Asset List'!$A$4:$A$60,0),MATCH('6'!$C$1,'Unique Asset List'!$BA$3:$BG$3,0))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List'!$CJ$4:$CP$60,MATCH('6'!$B19,'Unique Asset List'!$A$4:$A$60,0),MATCH('6'!$C$1,'Unique Asset List'!$CJ$3:$CP$3,0))</f>
        <v>0.23</v>
      </c>
      <c r="AF19" s="15">
        <f>INDEX('Unique Asset List'!$CQ$4:$CW$60,MATCH('6'!$B19,'Unique Asset List'!$A$4:$A$60,0),MATCH('6'!$C$1,'Unique Asset List'!$CQ$3:$CW$3,0))</f>
        <v>0.27</v>
      </c>
      <c r="AG19" s="15">
        <f>INDEX('Unique Asset List'!$BV$4:$CB$60,MATCH('6'!$B19,'Unique Asset List'!$A$4:$A$60,0),MATCH('6'!$C$1,'Unique Asset List'!$BV$3:$CB$3,0))</f>
        <v>0.23</v>
      </c>
      <c r="AH19" s="15">
        <f>INDEX('Unique Asset List'!$CC$4:$CI$60,MATCH('6'!$B19,'Unique Asset List'!$A$4:$A$60,0),MATCH('6'!$C$1,'Unique Asset List'!$CC$3:$CI$3,0))</f>
        <v>0.27</v>
      </c>
      <c r="AI19" s="11">
        <v>0.96187963349867744</v>
      </c>
      <c r="AJ19" s="15">
        <f>INDEX('Unique Asset List'!$BH$4:$BN$60,MATCH('6'!$B19,'Unique Asset List'!$A$4:$A$60,0),MATCH('6'!$C$1,'Unique Asset List'!$BH$3:$BN$3,0))</f>
        <v>0.32314284341629806</v>
      </c>
      <c r="AK19" s="15">
        <f>INDEX('Unique Asset List'!$BO$4:$BU$60,MATCH('6'!$B19,'Unique Asset List'!$A$4:$A$60,0),MATCH('6'!$C$1,'Unique Asset List'!$BO$3:$BU$3,0))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1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4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5</v>
      </c>
      <c r="BL19" s="3">
        <f>IF($C$5="ON",CL19,MyRating(_S1,$B19,Efficacy!$F$1))</f>
        <v>4</v>
      </c>
      <c r="BM19" s="3">
        <f>IF($C$5="ON",CM19,MyRating(_S2,$B19,Efficacy!$F$1))</f>
        <v>3</v>
      </c>
      <c r="BN19" s="3">
        <f>IF($C$5="ON",CN19,MyRating(_S3,$B19,Efficacy!$F$1))</f>
        <v>3</v>
      </c>
      <c r="BO19" s="3">
        <f>IF($C$5="ON",CO19,MyRating(_S4,$B19,Efficacy!$F$1))</f>
        <v>3</v>
      </c>
      <c r="BP19" s="3">
        <f>IF($C$5="ON",CP19,MyRating(_S5,$B19,Efficacy!$F$1))</f>
        <v>5</v>
      </c>
      <c r="BQ19" s="3">
        <f>IF($C$5="ON",CQ19,MyRating(_S6,$B19,Efficacy!$F$1))</f>
        <v>2</v>
      </c>
      <c r="BR19" s="3">
        <f>IF($C$5="ON",CR19,MyRating(_S7,$B19,Efficacy!$F$1))</f>
        <v>3</v>
      </c>
      <c r="BS19" s="3">
        <f>IF($C$5="ON",CS19,MyRating(_D1,$B19,Efficacy!$F$1))</f>
        <v>3</v>
      </c>
      <c r="BT19" s="3">
        <f>IF($C$5="ON",CT19,MyRating(_D2,$B19,Efficacy!$F$1))</f>
        <v>3</v>
      </c>
      <c r="BU19" s="3">
        <f>IF($C$5="ON",CU19,MyRating(_D3,$B19,Efficacy!$F$1))</f>
        <v>3</v>
      </c>
      <c r="BV19" s="3">
        <f>IF($C$5="ON",CV19,MyRating(_D4,$B19,Efficacy!$F$1))</f>
        <v>3</v>
      </c>
      <c r="BW19" s="3">
        <f>IF($C$5="ON",CW19,MyRating(_B1G5,$B19,Barrier!$L$2))</f>
        <v>2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9"/>
        <v>3.3407946312985805E-2</v>
      </c>
      <c r="CA19" s="8">
        <f t="shared" si="6"/>
        <v>2.8000000000000003</v>
      </c>
      <c r="CB19" s="5">
        <f t="shared" si="7"/>
        <v>3.2941176470588251E-2</v>
      </c>
      <c r="CC19" s="7">
        <f t="shared" si="8"/>
        <v>5.9787261089987885E-3</v>
      </c>
      <c r="CD19" s="4">
        <v>3</v>
      </c>
      <c r="CE19" s="3">
        <v>3</v>
      </c>
      <c r="CF19" s="3">
        <v>3</v>
      </c>
      <c r="CG19" s="3">
        <v>4</v>
      </c>
      <c r="CH19" s="3">
        <v>3</v>
      </c>
      <c r="CI19" s="3">
        <v>3</v>
      </c>
      <c r="CJ19" s="3">
        <v>3</v>
      </c>
      <c r="CK19" s="3">
        <v>5</v>
      </c>
      <c r="CL19" s="3">
        <v>4</v>
      </c>
      <c r="CM19" s="3">
        <v>3</v>
      </c>
      <c r="CN19" s="3">
        <v>3</v>
      </c>
      <c r="CO19" s="3">
        <v>3</v>
      </c>
      <c r="CP19" s="3">
        <v>5</v>
      </c>
      <c r="CQ19" s="3">
        <v>2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2</v>
      </c>
      <c r="CX19" s="3">
        <v>3</v>
      </c>
      <c r="CY19" s="6">
        <v>3</v>
      </c>
      <c r="CZ19" s="5">
        <v>3.6275844714639842E-2</v>
      </c>
      <c r="DA19" s="59"/>
    </row>
    <row r="20" spans="1:105" x14ac:dyDescent="0.25">
      <c r="A20" s="9" t="str">
        <f t="shared" si="0"/>
        <v>IT</v>
      </c>
      <c r="B20" s="9" t="s">
        <v>39</v>
      </c>
      <c r="C20" s="20"/>
      <c r="D20" s="9" t="s">
        <v>2</v>
      </c>
      <c r="E20" s="9" t="s">
        <v>186</v>
      </c>
      <c r="F20" s="9" t="str">
        <f>INDEX('Unique Asset List'!$C$4:$C$60,MATCH(B20,_CompoundList,0))</f>
        <v>Ph2b</v>
      </c>
      <c r="G20" s="19">
        <v>0</v>
      </c>
      <c r="H20" s="9">
        <v>2014</v>
      </c>
      <c r="I20" s="9">
        <v>6</v>
      </c>
      <c r="J20" s="18">
        <f>INDEX(PTRS!$D$6:$D$12,MATCH('6'!$F20,PTRS!$B$6:$B$12,0))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1</v>
      </c>
      <c r="M20" s="17">
        <v>0.40949999999999998</v>
      </c>
      <c r="N20" s="17">
        <f>INDEX('Unique Asset List'!$D$4:$M$60,MATCH($B20,'Unique Asset List'!$A$4:$A$60,0),MATCH(N$8,'Unique Asset List'!$D$3:$M$3,0))</f>
        <v>0.4</v>
      </c>
      <c r="O20" s="17">
        <f>INDEX('Unique Asset List'!$D$4:$M$60,MATCH($B20,'Unique Asset List'!$A$4:$A$60,0),MATCH(O$8,'Unique Asset List'!$D$3:$M$3,0))</f>
        <v>0</v>
      </c>
      <c r="P20" s="17">
        <f>INDEX('Unique Asset List'!$D$4:$M$60,MATCH($B20,'Unique Asset List'!$A$4:$A$60,0),MATCH(P$8,'Unique Asset List'!$D$3:$M$3,0))</f>
        <v>1</v>
      </c>
      <c r="Q20" s="17">
        <f>INDEX('Unique Asset List'!$D$4:$M$60,MATCH($B20,'Unique Asset List'!$A$4:$A$60,0),MATCH(Q$8,'Unique Asset List'!$D$3:$M$3,0))</f>
        <v>0</v>
      </c>
      <c r="R20" s="17">
        <f>INDEX('Unique Asset List'!$D$4:$M$60,MATCH($B20,'Unique Asset List'!$A$4:$A$60,0),MATCH(R$8,'Unique Asset List'!$D$3:$M$3,0))</f>
        <v>1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1"/>
        <v>0.54433105395181736</v>
      </c>
      <c r="V20" s="17">
        <v>1</v>
      </c>
      <c r="W20" s="9" t="s">
        <v>38</v>
      </c>
      <c r="X20" s="9">
        <f>INDEX('Unique Asset List'!$Y$4:$AE$60,MATCH('6'!$B20,'Unique Asset List'!$A$4:$A$60,0),MATCH('6'!$C$1,'Unique Asset List'!$Y$3:$AE$3,0))</f>
        <v>2025</v>
      </c>
      <c r="Y20" s="9">
        <f>INDEX('Unique Asset List'!$AF$4:$AL$60,MATCH('6'!$B20,'Unique Asset List'!$A$4:$A$60,0),MATCH('6'!$C$1,'Unique Asset List'!$AF$3:$AL$3,0))</f>
        <v>1</v>
      </c>
      <c r="Z20" s="9">
        <f>INDEX('Unique Asset List'!$AT$4:$AZ$60,MATCH('6'!$B20,'Unique Asset List'!$A$4:$A$60,0),MATCH('6'!$C$1,'Unique Asset List'!$AT$3:$AZ$3,0))</f>
        <v>2034</v>
      </c>
      <c r="AA20" s="9">
        <f>INDEX('Unique Asset List'!$BA$4:$BG$60,MATCH('6'!$B20,'Unique Asset List'!$A$4:$A$60,0),MATCH('6'!$C$1,'Unique Asset List'!$BA$3:$BG$3,0))</f>
        <v>10</v>
      </c>
      <c r="AB20" s="16">
        <f t="shared" si="2"/>
        <v>2.1511674000000003</v>
      </c>
      <c r="AC20" s="16">
        <f t="shared" si="3"/>
        <v>0.95118959999999997</v>
      </c>
      <c r="AD20" s="16">
        <f t="shared" si="4"/>
        <v>0.56099999999999994</v>
      </c>
      <c r="AE20" s="15">
        <f>INDEX('Unique Asset List'!$CJ$4:$CP$60,MATCH('6'!$B20,'Unique Asset List'!$A$4:$A$60,0),MATCH('6'!$C$1,'Unique Asset List'!$CJ$3:$CP$3,0))</f>
        <v>0.18</v>
      </c>
      <c r="AF20" s="15">
        <f>INDEX('Unique Asset List'!$CQ$4:$CW$60,MATCH('6'!$B20,'Unique Asset List'!$A$4:$A$60,0),MATCH('6'!$C$1,'Unique Asset List'!$CQ$3:$CW$3,0))</f>
        <v>0.32</v>
      </c>
      <c r="AG20" s="15">
        <f>INDEX('Unique Asset List'!$BV$4:$CB$60,MATCH('6'!$B20,'Unique Asset List'!$A$4:$A$60,0),MATCH('6'!$C$1,'Unique Asset List'!$BV$3:$CB$3,0))</f>
        <v>0.18</v>
      </c>
      <c r="AH20" s="15">
        <f>INDEX('Unique Asset List'!$CC$4:$CI$60,MATCH('6'!$B20,'Unique Asset List'!$A$4:$A$60,0),MATCH('6'!$C$1,'Unique Asset List'!$CC$3:$CI$3,0))</f>
        <v>0.32</v>
      </c>
      <c r="AI20" s="11">
        <v>0.96187963349867744</v>
      </c>
      <c r="AJ20" s="15">
        <f>INDEX('Unique Asset List'!$BH$4:$BN$60,MATCH('6'!$B20,'Unique Asset List'!$A$4:$A$60,0),MATCH('6'!$C$1,'Unique Asset List'!$BH$3:$BN$3,0))</f>
        <v>0.32314284341629806</v>
      </c>
      <c r="AK20" s="15">
        <f>INDEX('Unique Asset List'!$BO$4:$BU$60,MATCH('6'!$B20,'Unique Asset List'!$A$4:$A$60,0),MATCH('6'!$C$1,'Unique Asset List'!$BO$3:$BU$3,0))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1</v>
      </c>
      <c r="AV20" s="181">
        <f>INDEX('Unique Asset List'!P$4:P$60,MATCH($B20,_CompoundList,0))</f>
        <v>0</v>
      </c>
      <c r="AW20" s="181">
        <f>INDEX('Unique Asset List'!Q$4:Q$60,MATCH($B20,_CompoundList,0))</f>
        <v>1</v>
      </c>
      <c r="AX20" s="181">
        <f ca="1">INDEX('Unique Asset List'!R$4:R$60,MATCH($B20,_CompoundList,0))</f>
        <v>0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0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0</v>
      </c>
      <c r="BD20" s="4">
        <f>IF($C$5="ON",CD20,MyRating(_E1,$B20,Efficacy!$F$1))</f>
        <v>4</v>
      </c>
      <c r="BE20" s="3">
        <f>IF($C$5="ON",CE20,MyRating(_E2,$B20,Efficacy!$F$1))</f>
        <v>4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5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3</v>
      </c>
      <c r="BL20" s="3">
        <f>IF($C$5="ON",CL20,MyRating(_S1,$B20,Efficacy!$F$1))</f>
        <v>4</v>
      </c>
      <c r="BM20" s="3">
        <f>IF($C$5="ON",CM20,MyRating(_S2,$B20,Efficacy!$F$1))</f>
        <v>4</v>
      </c>
      <c r="BN20" s="3">
        <f>IF($C$5="ON",CN20,MyRating(_S3,$B20,Efficacy!$F$1))</f>
        <v>4</v>
      </c>
      <c r="BO20" s="3">
        <f>IF($C$5="ON",CO20,MyRating(_S4,$B20,Efficacy!$F$1))</f>
        <v>3</v>
      </c>
      <c r="BP20" s="3">
        <f>IF($C$5="ON",CP20,MyRating(_S5,$B20,Efficacy!$F$1))</f>
        <v>5</v>
      </c>
      <c r="BQ20" s="3">
        <f>IF($C$5="ON",CQ20,MyRating(_S6,$B20,Efficacy!$F$1))</f>
        <v>4</v>
      </c>
      <c r="BR20" s="3">
        <f>IF($C$5="ON",CR20,MyRating(_S7,$B20,Efficacy!$F$1))</f>
        <v>2</v>
      </c>
      <c r="BS20" s="3">
        <f>IF($C$5="ON",CS20,MyRating(_D1,$B20,Efficacy!$F$1))</f>
        <v>3</v>
      </c>
      <c r="BT20" s="3">
        <f>IF($C$5="ON",CT20,MyRating(_D2,$B20,Efficacy!$F$1))</f>
        <v>3</v>
      </c>
      <c r="BU20" s="3">
        <f>IF($C$5="ON",CU20,MyRating(_D3,$B20,Efficacy!$F$1))</f>
        <v>3</v>
      </c>
      <c r="BV20" s="3">
        <f>IF($C$5="ON",CV20,MyRating(_D4,$B20,Efficacy!$F$1))</f>
        <v>3</v>
      </c>
      <c r="BW20" s="3">
        <f>IF($C$5="ON",CW20,MyRating(_B1G5,$B20,Barrier!$L$2))</f>
        <v>2</v>
      </c>
      <c r="BX20" s="3">
        <f>IF($C$5="ON",CX20,MyRating(_B2,$B20,Barrier!$F$2))</f>
        <v>2</v>
      </c>
      <c r="BY20" s="6">
        <f>IF($C$5="ON",CY20,MyRating(_B3,$B20,Barrier!$F$2))</f>
        <v>2</v>
      </c>
      <c r="BZ20" s="5">
        <f t="shared" si="9"/>
        <v>2.01677628344013E-2</v>
      </c>
      <c r="CA20" s="8">
        <f t="shared" si="6"/>
        <v>2</v>
      </c>
      <c r="CB20" s="5">
        <f t="shared" si="7"/>
        <v>2.3529411764705892E-2</v>
      </c>
      <c r="CC20" s="7">
        <f t="shared" si="8"/>
        <v>3.6092470063405695E-3</v>
      </c>
      <c r="CD20" s="4">
        <v>4</v>
      </c>
      <c r="CE20" s="3">
        <v>3</v>
      </c>
      <c r="CF20" s="3">
        <v>3</v>
      </c>
      <c r="CG20" s="3">
        <v>4</v>
      </c>
      <c r="CH20" s="3">
        <v>3</v>
      </c>
      <c r="CI20" s="3">
        <v>2</v>
      </c>
      <c r="CJ20" s="3">
        <v>3</v>
      </c>
      <c r="CK20" s="3">
        <v>3</v>
      </c>
      <c r="CL20" s="3">
        <v>4</v>
      </c>
      <c r="CM20" s="3">
        <v>4</v>
      </c>
      <c r="CN20" s="3">
        <v>3</v>
      </c>
      <c r="CO20" s="3">
        <v>4</v>
      </c>
      <c r="CP20" s="3">
        <v>5</v>
      </c>
      <c r="CQ20" s="3">
        <v>2</v>
      </c>
      <c r="CR20" s="3">
        <v>3</v>
      </c>
      <c r="CS20" s="3">
        <v>3</v>
      </c>
      <c r="CT20" s="3">
        <v>2</v>
      </c>
      <c r="CU20" s="3">
        <v>3</v>
      </c>
      <c r="CV20" s="3">
        <v>3</v>
      </c>
      <c r="CW20" s="3">
        <v>2</v>
      </c>
      <c r="CX20" s="3">
        <v>3</v>
      </c>
      <c r="CY20" s="6">
        <v>3</v>
      </c>
      <c r="CZ20" s="5">
        <v>3.6275844714639842E-2</v>
      </c>
      <c r="DA20" s="59"/>
    </row>
    <row r="21" spans="1:105" x14ac:dyDescent="0.25">
      <c r="A21" s="9" t="str">
        <f t="shared" si="0"/>
        <v>IT</v>
      </c>
      <c r="B21" s="9" t="s">
        <v>75</v>
      </c>
      <c r="C21" s="20"/>
      <c r="D21" s="9" t="s">
        <v>74</v>
      </c>
      <c r="E21" s="9" t="s">
        <v>186</v>
      </c>
      <c r="F21" s="9" t="str">
        <f>INDEX('Unique Asset List'!$C$4:$C$60,MATCH(B21,_CompoundList,0))</f>
        <v>Ph2a</v>
      </c>
      <c r="G21" s="19">
        <v>0</v>
      </c>
      <c r="H21" s="9">
        <v>2014</v>
      </c>
      <c r="I21" s="9">
        <v>6</v>
      </c>
      <c r="J21" s="18">
        <f>INDEX(PTRS!$D$6:$D$12,MATCH('6'!$F21,PTRS!$B$6:$B$12,0))</f>
        <v>0.1638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7">
        <v>0.1638</v>
      </c>
      <c r="N21" s="17">
        <f>INDEX('Unique Asset List'!$D$4:$M$60,MATCH($B21,'Unique Asset List'!$A$4:$A$60,0),MATCH(N$8,'Unique Asset List'!$D$3:$M$3,0))</f>
        <v>0.1638</v>
      </c>
      <c r="O21" s="17">
        <f>INDEX('Unique Asset List'!$D$4:$M$60,MATCH($B21,'Unique Asset List'!$A$4:$A$60,0),MATCH(O$8,'Unique Asset List'!$D$3:$M$3,0))</f>
        <v>0.1638</v>
      </c>
      <c r="P21" s="17">
        <f>INDEX('Unique Asset List'!$D$4:$M$60,MATCH($B21,'Unique Asset List'!$A$4:$A$60,0),MATCH(P$8,'Unique Asset List'!$D$3:$M$3,0))</f>
        <v>0.1638</v>
      </c>
      <c r="Q21" s="17">
        <f>INDEX('Unique Asset List'!$D$4:$M$60,MATCH($B21,'Unique Asset List'!$A$4:$A$60,0),MATCH(Q$8,'Unique Asset List'!$D$3:$M$3,0))</f>
        <v>0.1638</v>
      </c>
      <c r="R21" s="17">
        <f>INDEX('Unique Asset List'!$D$4:$M$60,MATCH($B21,'Unique Asset List'!$A$4:$A$60,0),MATCH(R$8,'Unique Asset List'!$D$3:$M$3,0))</f>
        <v>0.1638</v>
      </c>
      <c r="S21" s="17">
        <f>INDEX('Unique Asset List'!$D$4:$M$60,MATCH($B21,'Unique Asset List'!$A$4:$A$60,0),MATCH(S$8,'Unique Asset List'!$D$3:$M$3,0))</f>
        <v>1</v>
      </c>
      <c r="T21" s="17"/>
      <c r="U21" s="17">
        <f t="shared" si="1"/>
        <v>0.90168566420734264</v>
      </c>
      <c r="V21" s="17">
        <v>1</v>
      </c>
      <c r="W21" s="9" t="s">
        <v>27</v>
      </c>
      <c r="X21" s="9">
        <f>INDEX('Unique Asset List'!$Y$4:$AE$60,MATCH('6'!$B21,'Unique Asset List'!$A$4:$A$60,0),MATCH('6'!$C$1,'Unique Asset List'!$Y$3:$AE$3,0))</f>
        <v>2025</v>
      </c>
      <c r="Y21" s="9">
        <f>INDEX('Unique Asset List'!$AF$4:$AL$60,MATCH('6'!$B21,'Unique Asset List'!$A$4:$A$60,0),MATCH('6'!$C$1,'Unique Asset List'!$AF$3:$AL$3,0))</f>
        <v>6.9999999999990905</v>
      </c>
      <c r="Z21" s="9">
        <f>INDEX('Unique Asset List'!$AT$4:$AZ$60,MATCH('6'!$B21,'Unique Asset List'!$A$4:$A$60,0),MATCH('6'!$C$1,'Unique Asset List'!$AT$3:$AZ$3,0))</f>
        <v>2034</v>
      </c>
      <c r="AA21" s="9">
        <f>INDEX('Unique Asset List'!$BA$4:$BG$60,MATCH('6'!$B21,'Unique Asset List'!$A$4:$A$60,0),MATCH('6'!$C$1,'Unique Asset List'!$BA$3:$BG$3,0))</f>
        <v>6</v>
      </c>
      <c r="AB21" s="16">
        <f t="shared" si="2"/>
        <v>1.9312568000000003</v>
      </c>
      <c r="AC21" s="16">
        <f t="shared" si="3"/>
        <v>0.82350590000000001</v>
      </c>
      <c r="AD21" s="16">
        <f t="shared" si="4"/>
        <v>0.45111879999999999</v>
      </c>
      <c r="AE21" s="15">
        <f>INDEX('Unique Asset List'!$CJ$4:$CP$60,MATCH('6'!$B21,'Unique Asset List'!$A$4:$A$60,0),MATCH('6'!$C$1,'Unique Asset List'!$CJ$3:$CP$3,0))</f>
        <v>0.18</v>
      </c>
      <c r="AF21" s="15">
        <f>INDEX('Unique Asset List'!$CQ$4:$CW$60,MATCH('6'!$B21,'Unique Asset List'!$A$4:$A$60,0),MATCH('6'!$C$1,'Unique Asset List'!$CQ$3:$CW$3,0))</f>
        <v>0.32</v>
      </c>
      <c r="AG21" s="15">
        <f>INDEX('Unique Asset List'!$BV$4:$CB$60,MATCH('6'!$B21,'Unique Asset List'!$A$4:$A$60,0),MATCH('6'!$C$1,'Unique Asset List'!$BV$3:$CB$3,0))</f>
        <v>0.18</v>
      </c>
      <c r="AH21" s="15">
        <f>INDEX('Unique Asset List'!$CC$4:$CI$60,MATCH('6'!$B21,'Unique Asset List'!$A$4:$A$60,0),MATCH('6'!$C$1,'Unique Asset List'!$CC$3:$CI$3,0))</f>
        <v>0.32</v>
      </c>
      <c r="AI21" s="11">
        <v>0.96187963349867744</v>
      </c>
      <c r="AJ21" s="15">
        <f>INDEX('Unique Asset List'!$BH$4:$BN$60,MATCH('6'!$B21,'Unique Asset List'!$A$4:$A$60,0),MATCH('6'!$C$1,'Unique Asset List'!$BH$3:$BN$3,0))</f>
        <v>0.32314284341629806</v>
      </c>
      <c r="AK21" s="15">
        <f>INDEX('Unique Asset List'!$BO$4:$BU$60,MATCH('6'!$B21,'Unique Asset List'!$A$4:$A$60,0),MATCH('6'!$C$1,'Unique Asset List'!$BO$3:$BU$3,0))</f>
        <v>0.61768216477991222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0</v>
      </c>
      <c r="AY21" s="181">
        <f ca="1">INDEX('Unique Asset List'!S$4:S$60,MATCH($B21,_CompoundList,0))</f>
        <v>0</v>
      </c>
      <c r="AZ21" s="181">
        <f ca="1">INDEX('Unique Asset List'!T$4:T$60,MATCH($B21,_CompoundList,0))</f>
        <v>0</v>
      </c>
      <c r="BA21" s="181">
        <f ca="1">INDEX('Unique Asset List'!U$4:U$60,MATCH($B21,_CompoundList,0))</f>
        <v>1</v>
      </c>
      <c r="BB21" s="181">
        <f ca="1">INDEX('Unique Asset List'!V$4:V$60,MATCH($B21,_CompoundList,0))</f>
        <v>0</v>
      </c>
      <c r="BC21" s="181">
        <f ca="1">INDEX('Unique Asset List'!W$4:W$60,MATCH($B21,_CompoundList,0))</f>
        <v>1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4</v>
      </c>
      <c r="BG21" s="3">
        <f>IF($C$5="ON",CG21,MyRating(_E4,$B21,Efficacy!$F$1))</f>
        <v>3</v>
      </c>
      <c r="BH21" s="3">
        <f>IF($C$5="ON",CH21,MyRating(_E5,$B21,Efficacy!$F$1))</f>
        <v>3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5</v>
      </c>
      <c r="BL21" s="3">
        <f>IF($C$5="ON",CL21,MyRating(_S1,$B21,Efficacy!$F$1))</f>
        <v>3</v>
      </c>
      <c r="BM21" s="3">
        <f>IF($C$5="ON",CM21,MyRating(_S2,$B21,Efficacy!$F$1))</f>
        <v>3</v>
      </c>
      <c r="BN21" s="3">
        <f>IF($C$5="ON",CN21,MyRating(_S3,$B21,Efficacy!$F$1))</f>
        <v>3</v>
      </c>
      <c r="BO21" s="3">
        <f>IF($C$5="ON",CO21,MyRating(_S4,$B21,Efficacy!$F$1))</f>
        <v>3</v>
      </c>
      <c r="BP21" s="3">
        <f>IF($C$5="ON",CP21,MyRating(_S5,$B21,Efficacy!$F$1))</f>
        <v>5</v>
      </c>
      <c r="BQ21" s="3">
        <f>IF($C$5="ON",CQ21,MyRating(_S6,$B21,Efficacy!$F$1))</f>
        <v>2</v>
      </c>
      <c r="BR21" s="3">
        <f>IF($C$5="ON",CR21,MyRating(_S7,$B21,Efficacy!$F$1))</f>
        <v>3</v>
      </c>
      <c r="BS21" s="3">
        <f>IF($C$5="ON",CS21,MyRating(_D1,$B21,Efficacy!$F$1))</f>
        <v>3</v>
      </c>
      <c r="BT21" s="3">
        <f>IF($C$5="ON",CT21,MyRating(_D2,$B21,Efficacy!$F$1))</f>
        <v>3</v>
      </c>
      <c r="BU21" s="3">
        <f>IF($C$5="ON",CU21,MyRating(_D3,$B21,Efficacy!$F$1))</f>
        <v>3</v>
      </c>
      <c r="BV21" s="3">
        <f>IF($C$5="ON",CV21,MyRating(_D4,$B21,Efficacy!$F$1))</f>
        <v>1</v>
      </c>
      <c r="BW21" s="3">
        <f>IF($C$5="ON",CW21,MyRating(_B1G5,$B21,Barrier!$L$2))</f>
        <v>2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9"/>
        <v>3.3407946312985805E-2</v>
      </c>
      <c r="CA21" s="8">
        <f t="shared" si="6"/>
        <v>2.8000000000000003</v>
      </c>
      <c r="CB21" s="5">
        <f t="shared" si="7"/>
        <v>3.2941176470588251E-2</v>
      </c>
      <c r="CC21" s="7">
        <f t="shared" si="8"/>
        <v>5.9787261089987885E-3</v>
      </c>
      <c r="CD21" s="4">
        <v>4</v>
      </c>
      <c r="CE21" s="3">
        <v>4</v>
      </c>
      <c r="CF21" s="3">
        <v>4</v>
      </c>
      <c r="CG21" s="3">
        <v>3</v>
      </c>
      <c r="CH21" s="3">
        <v>3</v>
      </c>
      <c r="CI21" s="3">
        <v>2</v>
      </c>
      <c r="CJ21" s="3">
        <v>3</v>
      </c>
      <c r="CK21" s="3">
        <v>5</v>
      </c>
      <c r="CL21" s="3">
        <v>2</v>
      </c>
      <c r="CM21" s="3">
        <v>3</v>
      </c>
      <c r="CN21" s="3">
        <v>3</v>
      </c>
      <c r="CO21" s="3">
        <v>3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2</v>
      </c>
      <c r="CX21" s="3">
        <v>3</v>
      </c>
      <c r="CY21" s="6">
        <v>3</v>
      </c>
      <c r="CZ21" s="5">
        <v>3.6275844714639842E-2</v>
      </c>
      <c r="DA21" s="59"/>
    </row>
    <row r="22" spans="1:105" x14ac:dyDescent="0.25">
      <c r="A22" s="9" t="str">
        <f t="shared" si="0"/>
        <v>IT</v>
      </c>
      <c r="B22" s="9" t="s">
        <v>295</v>
      </c>
      <c r="C22" s="20"/>
      <c r="D22" s="9" t="s">
        <v>2</v>
      </c>
      <c r="E22" s="9" t="s">
        <v>186</v>
      </c>
      <c r="F22" s="9" t="str">
        <f>INDEX('Unique Asset List'!$C$4:$C$60,MATCH(B22,_CompoundList,0))</f>
        <v>PCD</v>
      </c>
      <c r="G22" s="19">
        <v>0</v>
      </c>
      <c r="H22" s="9">
        <v>2014</v>
      </c>
      <c r="I22" s="9">
        <v>6</v>
      </c>
      <c r="J22" s="18">
        <f>INDEX(PTRS!$D$6:$D$12,MATCH('6'!$F22,PTRS!$B$6:$B$12,0))</f>
        <v>0.1044225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7">
        <v>0</v>
      </c>
      <c r="N22" s="17">
        <f>INDEX('Unique Asset List'!$D$4:$M$60,MATCH($B22,'Unique Asset List'!$A$4:$A$60,0),MATCH(N$8,'Unique Asset List'!$D$3:$M$3,0))</f>
        <v>0.16400000000000001</v>
      </c>
      <c r="O22" s="17">
        <f>INDEX('Unique Asset List'!$D$4:$M$60,MATCH($B22,'Unique Asset List'!$A$4:$A$60,0),MATCH(O$8,'Unique Asset List'!$D$3:$M$3,0))</f>
        <v>0.16400000000000001</v>
      </c>
      <c r="P22" s="17">
        <f>INDEX('Unique Asset List'!$D$4:$M$60,MATCH($B22,'Unique Asset List'!$A$4:$A$60,0),MATCH(P$8,'Unique Asset List'!$D$3:$M$3,0))</f>
        <v>0.16400000000000001</v>
      </c>
      <c r="Q22" s="17">
        <f>INDEX('Unique Asset List'!$D$4:$M$60,MATCH($B22,'Unique Asset List'!$A$4:$A$60,0),MATCH(Q$8,'Unique Asset List'!$D$3:$M$3,0))</f>
        <v>0.16400000000000001</v>
      </c>
      <c r="R22" s="17">
        <f>INDEX('Unique Asset List'!$D$4:$M$60,MATCH($B22,'Unique Asset List'!$A$4:$A$60,0),MATCH(R$8,'Unique Asset List'!$D$3:$M$3,0))</f>
        <v>0.16400000000000001</v>
      </c>
      <c r="S22" s="17">
        <f>INDEX('Unique Asset List'!$D$4:$M$60,MATCH($B22,'Unique Asset List'!$A$4:$A$60,0),MATCH(S$8,'Unique Asset List'!$D$3:$M$3,0))</f>
        <v>0</v>
      </c>
      <c r="T22" s="17"/>
      <c r="U22" s="17">
        <f t="shared" si="1"/>
        <v>0.80682275808442805</v>
      </c>
      <c r="V22" s="17">
        <f>(42%+N("TRD as % of aMDD"))*(5/6+N("Maintenance only"))</f>
        <v>0.35</v>
      </c>
      <c r="W22" s="9" t="s">
        <v>62</v>
      </c>
      <c r="X22" s="9">
        <f>INDEX('Unique Asset List'!$Y$4:$AE$60,MATCH('6'!$B22,'Unique Asset List'!$A$4:$A$60,0),MATCH('6'!$C$1,'Unique Asset List'!$Y$3:$AE$3,0))</f>
        <v>2027</v>
      </c>
      <c r="Y22" s="9">
        <f>INDEX('Unique Asset List'!$AF$4:$AL$60,MATCH('6'!$B22,'Unique Asset List'!$A$4:$A$60,0),MATCH('6'!$C$1,'Unique Asset List'!$AF$3:$AL$3,0))</f>
        <v>9.9999999999990905</v>
      </c>
      <c r="Z22" s="9">
        <f>INDEX('Unique Asset List'!$AT$4:$AZ$60,MATCH('6'!$B22,'Unique Asset List'!$A$4:$A$60,0),MATCH('6'!$C$1,'Unique Asset List'!$AT$3:$AZ$3,0))</f>
        <v>2046</v>
      </c>
      <c r="AA22" s="9">
        <f>INDEX('Unique Asset List'!$BA$4:$BG$60,MATCH('6'!$B22,'Unique Asset List'!$A$4:$A$60,0),MATCH('6'!$C$1,'Unique Asset List'!$BA$3:$BG$3,0))</f>
        <v>9</v>
      </c>
      <c r="AB22" s="16">
        <f t="shared" si="2"/>
        <v>2.3950192000000001</v>
      </c>
      <c r="AC22" s="16">
        <f t="shared" si="3"/>
        <v>0.88497580000000009</v>
      </c>
      <c r="AD22" s="16">
        <f t="shared" si="4"/>
        <v>0.56099999999999994</v>
      </c>
      <c r="AE22" s="15">
        <f>INDEX('Unique Asset List'!$CJ$4:$CP$60,MATCH('6'!$B22,'Unique Asset List'!$A$4:$A$60,0),MATCH('6'!$C$1,'Unique Asset List'!$CJ$3:$CP$3,0))</f>
        <v>0.23</v>
      </c>
      <c r="AF22" s="15">
        <f>INDEX('Unique Asset List'!$CQ$4:$CW$60,MATCH('6'!$B22,'Unique Asset List'!$A$4:$A$60,0),MATCH('6'!$C$1,'Unique Asset List'!$CQ$3:$CW$3,0))</f>
        <v>0.27</v>
      </c>
      <c r="AG22" s="15">
        <f>INDEX('Unique Asset List'!$BV$4:$CB$60,MATCH('6'!$B22,'Unique Asset List'!$A$4:$A$60,0),MATCH('6'!$C$1,'Unique Asset List'!$BV$3:$CB$3,0))</f>
        <v>0.23</v>
      </c>
      <c r="AH22" s="15">
        <f>INDEX('Unique Asset List'!$CC$4:$CI$60,MATCH('6'!$B22,'Unique Asset List'!$A$4:$A$60,0),MATCH('6'!$C$1,'Unique Asset List'!$CC$3:$CI$3,0))</f>
        <v>0.27</v>
      </c>
      <c r="AI22" s="11">
        <v>0.96187963349867744</v>
      </c>
      <c r="AJ22" s="15">
        <f>INDEX('Unique Asset List'!$BH$4:$BN$60,MATCH('6'!$B22,'Unique Asset List'!$A$4:$A$60,0),MATCH('6'!$C$1,'Unique Asset List'!$BH$3:$BN$3,0))</f>
        <v>0.32314284341629806</v>
      </c>
      <c r="AK22" s="15">
        <f>INDEX('Unique Asset List'!$BO$4:$BU$60,MATCH('6'!$B22,'Unique Asset List'!$A$4:$A$60,0),MATCH('6'!$C$1,'Unique Asset List'!$BO$3:$BU$3,0))</f>
        <v>0.61768216477991222</v>
      </c>
      <c r="AL22" s="40">
        <f>177.567567567568-28</f>
        <v>149.56756756756801</v>
      </c>
      <c r="AM22" s="14">
        <f>AM13*0.9</f>
        <v>32.504547945205481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2/7</f>
        <v>0.2857142857142857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0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5</v>
      </c>
      <c r="BE22" s="3">
        <f>IF($C$5="ON",CE22,MyRating(_E2,$B22,Efficacy!$F$1))</f>
        <v>5</v>
      </c>
      <c r="BF22" s="3">
        <f>IF($C$5="ON",CF22,MyRating(_E3,$B22,Efficacy!$F$1))</f>
        <v>5</v>
      </c>
      <c r="BG22" s="3">
        <f>IF($C$5="ON",CG22,MyRating(_E4,$B22,Efficacy!$F$1))</f>
        <v>5</v>
      </c>
      <c r="BH22" s="3">
        <f>IF($C$5="ON",CH22,MyRating(_E5,$B22,Efficacy!$F$1))</f>
        <v>4</v>
      </c>
      <c r="BI22" s="3">
        <f>IF($C$5="ON",CI22,MyRating(_E6,$B22,Efficacy!$F$1))</f>
        <v>3</v>
      </c>
      <c r="BJ22" s="3">
        <f>IF($C$5="ON",CJ22,MyRating(_E7,$B22,Efficacy!$F$1))</f>
        <v>2</v>
      </c>
      <c r="BK22" s="3">
        <f>IF($C$5="ON",CK22,MyRating(_E8,$B22,Efficacy!$F$1))</f>
        <v>3</v>
      </c>
      <c r="BL22" s="3">
        <f>IF($C$5="ON",CL22,MyRating(_S1,$B22,Efficacy!$F$1))</f>
        <v>4</v>
      </c>
      <c r="BM22" s="3">
        <f>IF($C$5="ON",CM22,MyRating(_S2,$B22,Efficacy!$F$1))</f>
        <v>3</v>
      </c>
      <c r="BN22" s="3">
        <f>IF($C$5="ON",CN22,MyRating(_S3,$B22,Efficacy!$F$1))</f>
        <v>3</v>
      </c>
      <c r="BO22" s="3">
        <f>IF($C$5="ON",CO22,MyRating(_S4,$B22,Efficacy!$F$1))</f>
        <v>3</v>
      </c>
      <c r="BP22" s="3">
        <f>IF($C$5="ON",CP22,MyRating(_S5,$B22,Efficacy!$F$1))</f>
        <v>5</v>
      </c>
      <c r="BQ22" s="3">
        <f>IF($C$5="ON",CQ22,MyRating(_S6,$B22,Efficacy!$F$1))</f>
        <v>2</v>
      </c>
      <c r="BR22" s="3">
        <f>IF($C$5="ON",CR22,MyRating(_S7,$B22,Efficacy!$F$1))</f>
        <v>3</v>
      </c>
      <c r="BS22" s="3">
        <f>IF($C$5="ON",CS22,MyRating(_D1,$B22,Efficacy!$F$1))</f>
        <v>3</v>
      </c>
      <c r="BT22" s="3">
        <f>IF($C$5="ON",CT22,MyRating(_D2,$B22,Efficacy!$F$1))</f>
        <v>3</v>
      </c>
      <c r="BU22" s="3">
        <f>IF($C$5="ON",CU22,MyRating(_D3,$B22,Efficacy!$F$1))</f>
        <v>3</v>
      </c>
      <c r="BV22" s="3">
        <f>IF($C$5="ON",CV22,MyRating(_D4,$B22,Efficacy!$F$1))</f>
        <v>3</v>
      </c>
      <c r="BW22" s="3">
        <f>IF($C$5="ON",CW22,MyRating(_B1G5,$B22,Barrier!$L$2))</f>
        <v>1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9"/>
        <v>2.9893223831915738E-2</v>
      </c>
      <c r="CA22" s="8">
        <f t="shared" si="6"/>
        <v>2.6000000000000005</v>
      </c>
      <c r="CB22" s="5">
        <f t="shared" si="7"/>
        <v>3.058823529411767E-2</v>
      </c>
      <c r="CC22" s="7">
        <f t="shared" si="8"/>
        <v>5.3497271616647964E-3</v>
      </c>
      <c r="CD22" s="4">
        <v>5</v>
      </c>
      <c r="CE22" s="3">
        <v>5</v>
      </c>
      <c r="CF22" s="3">
        <v>5</v>
      </c>
      <c r="CG22" s="3">
        <v>4</v>
      </c>
      <c r="CH22" s="3">
        <v>3</v>
      </c>
      <c r="CI22" s="3">
        <v>3</v>
      </c>
      <c r="CJ22" s="3">
        <v>3</v>
      </c>
      <c r="CK22" s="3">
        <v>4</v>
      </c>
      <c r="CL22" s="3">
        <v>5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2</v>
      </c>
      <c r="CT22" s="3">
        <v>3</v>
      </c>
      <c r="CU22" s="3">
        <v>3</v>
      </c>
      <c r="CV22" s="3">
        <v>1</v>
      </c>
      <c r="CW22" s="3">
        <v>1</v>
      </c>
      <c r="CX22" s="3">
        <v>1</v>
      </c>
      <c r="CY22" s="6">
        <v>1</v>
      </c>
      <c r="CZ22" s="5">
        <v>9.9044671286996639E-3</v>
      </c>
      <c r="DA22" s="59"/>
    </row>
    <row r="23" spans="1:105" x14ac:dyDescent="0.25">
      <c r="A23" s="9" t="str">
        <f t="shared" si="0"/>
        <v>IT</v>
      </c>
      <c r="B23" s="9" t="s">
        <v>73</v>
      </c>
      <c r="C23" s="20" t="s">
        <v>3</v>
      </c>
      <c r="D23" s="9" t="s">
        <v>72</v>
      </c>
      <c r="E23" s="9" t="s">
        <v>186</v>
      </c>
      <c r="F23" s="9" t="str">
        <f>INDEX('Unique Asset List'!$C$4:$C$60,MATCH(B23,_CompoundList,0))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INDEX(PTRS!$D$6:$D$12,MATCH('6'!$F23,PTRS!$B$6:$B$12,0))</f>
        <v>0.13923000000000002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0</v>
      </c>
      <c r="M23" s="17">
        <v>4.6410000000000007E-2</v>
      </c>
      <c r="N23" s="17">
        <f>INDEX('Unique Asset List'!$D$4:$M$60,MATCH($B23,'Unique Asset List'!$A$4:$A$60,0),MATCH(N$8,'Unique Asset List'!$D$3:$M$3,0))</f>
        <v>0.13923000000000002</v>
      </c>
      <c r="O23" s="17">
        <f>INDEX('Unique Asset List'!$D$4:$M$60,MATCH($B23,'Unique Asset List'!$A$4:$A$60,0),MATCH(O$8,'Unique Asset List'!$D$3:$M$3,0))</f>
        <v>0.13923000000000002</v>
      </c>
      <c r="P23" s="17">
        <f>INDEX('Unique Asset List'!$D$4:$M$60,MATCH($B23,'Unique Asset List'!$A$4:$A$60,0),MATCH(P$8,'Unique Asset List'!$D$3:$M$3,0))</f>
        <v>0.13923000000000002</v>
      </c>
      <c r="Q23" s="17">
        <f>INDEX('Unique Asset List'!$D$4:$M$60,MATCH($B23,'Unique Asset List'!$A$4:$A$60,0),MATCH(Q$8,'Unique Asset List'!$D$3:$M$3,0))</f>
        <v>0.13923000000000002</v>
      </c>
      <c r="R23" s="17">
        <f>INDEX('Unique Asset List'!$D$4:$M$60,MATCH($B23,'Unique Asset List'!$A$4:$A$60,0),MATCH(R$8,'Unique Asset List'!$D$3:$M$3,0))</f>
        <v>0.13923000000000002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1"/>
        <v>0</v>
      </c>
      <c r="V23" s="17">
        <v>1</v>
      </c>
      <c r="W23" s="9" t="s">
        <v>27</v>
      </c>
      <c r="X23" s="9">
        <f>INDEX('Unique Asset List'!$Y$4:$AE$60,MATCH('6'!$B23,'Unique Asset List'!$A$4:$A$60,0),MATCH('6'!$C$1,'Unique Asset List'!$Y$3:$AE$3,0))</f>
        <v>2027</v>
      </c>
      <c r="Y23" s="9">
        <f>INDEX('Unique Asset List'!$AF$4:$AL$60,MATCH('6'!$B23,'Unique Asset List'!$A$4:$A$60,0),MATCH('6'!$C$1,'Unique Asset List'!$AF$3:$AL$3,0))</f>
        <v>3.9999999999990905</v>
      </c>
      <c r="Z23" s="9">
        <f>INDEX('Unique Asset List'!$AT$4:$AZ$60,MATCH('6'!$B23,'Unique Asset List'!$A$4:$A$60,0),MATCH('6'!$C$1,'Unique Asset List'!$AT$3:$AZ$3,0))</f>
        <v>2036</v>
      </c>
      <c r="AA23" s="9">
        <f>INDEX('Unique Asset List'!$BA$4:$BG$60,MATCH('6'!$B23,'Unique Asset List'!$A$4:$A$60,0),MATCH('6'!$C$1,'Unique Asset List'!$BA$3:$BG$3,0))</f>
        <v>3</v>
      </c>
      <c r="AB23" s="16">
        <f t="shared" si="2"/>
        <v>1.9312568000000003</v>
      </c>
      <c r="AC23" s="16">
        <f t="shared" si="3"/>
        <v>0.76203600000000005</v>
      </c>
      <c r="AD23" s="16">
        <f t="shared" si="4"/>
        <v>0.45111879999999999</v>
      </c>
      <c r="AE23" s="15">
        <f>INDEX('Unique Asset List'!$CJ$4:$CP$60,MATCH('6'!$B23,'Unique Asset List'!$A$4:$A$60,0),MATCH('6'!$C$1,'Unique Asset List'!$CJ$3:$CP$3,0))</f>
        <v>0.18</v>
      </c>
      <c r="AF23" s="15">
        <f>INDEX('Unique Asset List'!$CQ$4:$CW$60,MATCH('6'!$B23,'Unique Asset List'!$A$4:$A$60,0),MATCH('6'!$C$1,'Unique Asset List'!$CQ$3:$CW$3,0))</f>
        <v>0.32</v>
      </c>
      <c r="AG23" s="15">
        <f>INDEX('Unique Asset List'!$BV$4:$CB$60,MATCH('6'!$B23,'Unique Asset List'!$A$4:$A$60,0),MATCH('6'!$C$1,'Unique Asset List'!$BV$3:$CB$3,0))</f>
        <v>0.18</v>
      </c>
      <c r="AH23" s="15">
        <f>INDEX('Unique Asset List'!$CC$4:$CI$60,MATCH('6'!$B23,'Unique Asset List'!$A$4:$A$60,0),MATCH('6'!$C$1,'Unique Asset List'!$CC$3:$CI$3,0))</f>
        <v>0.32</v>
      </c>
      <c r="AI23" s="11">
        <v>0.96187963349867744</v>
      </c>
      <c r="AJ23" s="15">
        <f>INDEX('Unique Asset List'!$BH$4:$BN$60,MATCH('6'!$B23,'Unique Asset List'!$A$4:$A$60,0),MATCH('6'!$C$1,'Unique Asset List'!$BH$3:$BN$3,0))</f>
        <v>0.32314284341629806</v>
      </c>
      <c r="AK23" s="15">
        <f>INDEX('Unique Asset List'!$BO$4:$BU$60,MATCH('6'!$B23,'Unique Asset List'!$A$4:$A$60,0),MATCH('6'!$C$1,'Unique Asset List'!$BO$3:$BU$3,0))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0</v>
      </c>
      <c r="AV23" s="181">
        <f>INDEX('Unique Asset List'!P$4:P$60,MATCH($B23,_CompoundList,0))</f>
        <v>0</v>
      </c>
      <c r="AW23" s="181">
        <f>INDEX('Unique Asset List'!Q$4:Q$60,MATCH($B23,_CompoundList,0))</f>
        <v>0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1</v>
      </c>
      <c r="AZ23" s="181">
        <f ca="1">INDEX('Unique Asset List'!T$4:T$60,MATCH($B23,_CompoundList,0))</f>
        <v>1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1</v>
      </c>
      <c r="BD23" s="4">
        <f>IF($C$5="ON",CD23,MyRating(_E1,$B23,Efficacy!$F$1))</f>
        <v>4</v>
      </c>
      <c r="BE23" s="3">
        <f>IF($C$5="ON",CE23,MyRating(_E2,$B23,Efficacy!$F$1))</f>
        <v>3</v>
      </c>
      <c r="BF23" s="3">
        <f>IF($C$5="ON",CF23,MyRating(_E3,$B23,Efficacy!$F$1))</f>
        <v>4</v>
      </c>
      <c r="BG23" s="3">
        <f>IF($C$5="ON",CG23,MyRating(_E4,$B23,Efficacy!$F$1))</f>
        <v>3</v>
      </c>
      <c r="BH23" s="3">
        <f>IF($C$5="ON",CH23,MyRating(_E5,$B23,Efficacy!$F$1))</f>
        <v>3</v>
      </c>
      <c r="BI23" s="3">
        <f>IF($C$5="ON",CI23,MyRating(_E6,$B23,Efficacy!$F$1))</f>
        <v>2</v>
      </c>
      <c r="BJ23" s="3">
        <f>IF($C$5="ON",CJ23,MyRating(_E7,$B23,Efficacy!$F$1))</f>
        <v>3</v>
      </c>
      <c r="BK23" s="3">
        <f>IF($C$5="ON",CK23,MyRating(_E8,$B23,Efficacy!$F$1))</f>
        <v>5</v>
      </c>
      <c r="BL23" s="3">
        <f>IF($C$5="ON",CL23,MyRating(_S1,$B23,Efficacy!$F$1))</f>
        <v>2</v>
      </c>
      <c r="BM23" s="3">
        <f>IF($C$5="ON",CM23,MyRating(_S2,$B23,Efficacy!$F$1))</f>
        <v>3</v>
      </c>
      <c r="BN23" s="3">
        <f>IF($C$5="ON",CN23,MyRating(_S3,$B23,Efficacy!$F$1))</f>
        <v>3</v>
      </c>
      <c r="BO23" s="3">
        <f>IF($C$5="ON",CO23,MyRating(_S4,$B23,Efficacy!$F$1))</f>
        <v>3</v>
      </c>
      <c r="BP23" s="3">
        <f>IF($C$5="ON",CP23,MyRating(_S5,$B23,Efficacy!$F$1))</f>
        <v>5</v>
      </c>
      <c r="BQ23" s="3">
        <f>IF($C$5="ON",CQ23,MyRating(_S6,$B23,Efficacy!$F$1))</f>
        <v>2</v>
      </c>
      <c r="BR23" s="3">
        <f>IF($C$5="ON",CR23,MyRating(_S7,$B23,Efficacy!$F$1))</f>
        <v>3</v>
      </c>
      <c r="BS23" s="3">
        <f>IF($C$5="ON",CS23,MyRating(_D1,$B23,Efficacy!$F$1))</f>
        <v>3</v>
      </c>
      <c r="BT23" s="3">
        <f>IF($C$5="ON",CT23,MyRating(_D2,$B23,Efficacy!$F$1))</f>
        <v>3</v>
      </c>
      <c r="BU23" s="3">
        <f>IF($C$5="ON",CU23,MyRating(_D3,$B23,Efficacy!$F$1))</f>
        <v>3</v>
      </c>
      <c r="BV23" s="3">
        <f>IF($C$5="ON",CV23,MyRating(_D4,$B23,Efficacy!$F$1))</f>
        <v>1</v>
      </c>
      <c r="BW23" s="3">
        <f>IF($C$5="ON",CW23,MyRating(_B1G5,$B23,Barrier!$L$2))</f>
        <v>2</v>
      </c>
      <c r="BX23" s="3">
        <f>IF($C$5="ON",CX23,MyRating(_B2,$B23,Barrier!$F$2))</f>
        <v>3</v>
      </c>
      <c r="BY23" s="6">
        <f>IF($C$5="ON",CY23,MyRating(_B3,$B23,Barrier!$F$2))</f>
        <v>0</v>
      </c>
      <c r="BZ23" s="5">
        <f t="shared" si="9"/>
        <v>0</v>
      </c>
      <c r="CA23" s="8">
        <f t="shared" si="6"/>
        <v>1.6</v>
      </c>
      <c r="CB23" s="5">
        <f t="shared" si="7"/>
        <v>1.8823529411764715E-2</v>
      </c>
      <c r="CC23" s="7">
        <f t="shared" si="8"/>
        <v>2.5825669292048399E-3</v>
      </c>
      <c r="CD23" s="4">
        <v>4</v>
      </c>
      <c r="CE23" s="3">
        <v>4</v>
      </c>
      <c r="CF23" s="3">
        <v>4</v>
      </c>
      <c r="CG23" s="3">
        <v>3</v>
      </c>
      <c r="CH23" s="3">
        <v>3</v>
      </c>
      <c r="CI23" s="3">
        <v>2</v>
      </c>
      <c r="CJ23" s="3">
        <v>3</v>
      </c>
      <c r="CK23" s="3">
        <v>5</v>
      </c>
      <c r="CL23" s="3">
        <v>2</v>
      </c>
      <c r="CM23" s="3">
        <v>3</v>
      </c>
      <c r="CN23" s="3">
        <v>3</v>
      </c>
      <c r="CO23" s="3">
        <v>3</v>
      </c>
      <c r="CP23" s="3">
        <v>5</v>
      </c>
      <c r="CQ23" s="3">
        <v>2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2</v>
      </c>
      <c r="CX23" s="3">
        <v>3</v>
      </c>
      <c r="CY23" s="6">
        <v>3</v>
      </c>
      <c r="CZ23" s="5">
        <v>3.6275844714639842E-2</v>
      </c>
      <c r="DA23" s="59"/>
    </row>
    <row r="24" spans="1:105" x14ac:dyDescent="0.25">
      <c r="A24" s="9" t="str">
        <f t="shared" si="0"/>
        <v>IT</v>
      </c>
      <c r="B24" s="9" t="s">
        <v>17</v>
      </c>
      <c r="C24" s="20"/>
      <c r="D24" s="9" t="s">
        <v>2</v>
      </c>
      <c r="E24" s="9" t="s">
        <v>186</v>
      </c>
      <c r="F24" s="9" t="str">
        <f>INDEX('Unique Asset List'!$C$4:$C$60,MATCH(B24,_CompoundList,0))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INDEX(PTRS!$D$6:$D$12,MATCH('6'!$F24,PTRS!$B$6:$B$12,0))</f>
        <v>0.13923000000000002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v>0.25</v>
      </c>
      <c r="N24" s="17">
        <f>INDEX('Unique Asset List'!$D$4:$M$60,MATCH($B24,'Unique Asset List'!$A$4:$A$60,0),MATCH(N$8,'Unique Asset List'!$D$3:$M$3,0))</f>
        <v>0.25</v>
      </c>
      <c r="O24" s="17">
        <f>INDEX('Unique Asset List'!$D$4:$M$60,MATCH($B24,'Unique Asset List'!$A$4:$A$60,0),MATCH(O$8,'Unique Asset List'!$D$3:$M$3,0))</f>
        <v>0.25</v>
      </c>
      <c r="P24" s="17">
        <f>INDEX('Unique Asset List'!$D$4:$M$60,MATCH($B24,'Unique Asset List'!$A$4:$A$60,0),MATCH(P$8,'Unique Asset List'!$D$3:$M$3,0))</f>
        <v>0.25</v>
      </c>
      <c r="Q24" s="17">
        <f>INDEX('Unique Asset List'!$D$4:$M$60,MATCH($B24,'Unique Asset List'!$A$4:$A$60,0),MATCH(Q$8,'Unique Asset List'!$D$3:$M$3,0))</f>
        <v>0.25</v>
      </c>
      <c r="R24" s="17">
        <f>INDEX('Unique Asset List'!$D$4:$M$60,MATCH($B24,'Unique Asset List'!$A$4:$A$60,0),MATCH(R$8,'Unique Asset List'!$D$3:$M$3,0))</f>
        <v>0.25</v>
      </c>
      <c r="S24" s="17">
        <f>INDEX('Unique Asset List'!$D$4:$M$60,MATCH($B24,'Unique Asset List'!$A$4:$A$60,0),MATCH(S$8,'Unique Asset List'!$D$3:$M$3,0))</f>
        <v>0</v>
      </c>
      <c r="T24" s="17"/>
      <c r="U24" s="17">
        <f t="shared" si="1"/>
        <v>0.90168566420734264</v>
      </c>
      <c r="V24" s="17">
        <v>1</v>
      </c>
      <c r="W24" s="9" t="s">
        <v>16</v>
      </c>
      <c r="X24" s="9">
        <f>INDEX('Unique Asset List'!$Y$4:$AE$60,MATCH('6'!$B24,'Unique Asset List'!$A$4:$A$60,0),MATCH('6'!$C$1,'Unique Asset List'!$Y$3:$AE$3,0))</f>
        <v>2028</v>
      </c>
      <c r="Y24" s="9">
        <f>INDEX('Unique Asset List'!$AF$4:$AL$60,MATCH('6'!$B24,'Unique Asset List'!$A$4:$A$60,0),MATCH('6'!$C$1,'Unique Asset List'!$AF$3:$AL$3,0))</f>
        <v>1.999999999998181</v>
      </c>
      <c r="Z24" s="9">
        <f>INDEX('Unique Asset List'!$AT$4:$AZ$60,MATCH('6'!$B24,'Unique Asset List'!$A$4:$A$60,0),MATCH('6'!$C$1,'Unique Asset List'!$AT$3:$AZ$3,0))</f>
        <v>2035</v>
      </c>
      <c r="AA24" s="9">
        <f>INDEX('Unique Asset List'!$BA$4:$BG$60,MATCH('6'!$B24,'Unique Asset List'!$A$4:$A$60,0),MATCH('6'!$C$1,'Unique Asset List'!$BA$3:$BG$3,0))</f>
        <v>1</v>
      </c>
      <c r="AB24" s="16">
        <f t="shared" si="2"/>
        <v>1.8562298000000002</v>
      </c>
      <c r="AC24" s="16">
        <f t="shared" si="3"/>
        <v>0.97947730000000011</v>
      </c>
      <c r="AD24" s="16">
        <f t="shared" si="4"/>
        <v>0.56099999999999994</v>
      </c>
      <c r="AE24" s="15">
        <f>INDEX('Unique Asset List'!$CJ$4:$CP$60,MATCH('6'!$B24,'Unique Asset List'!$A$4:$A$60,0),MATCH('6'!$C$1,'Unique Asset List'!$CJ$3:$CP$3,0))</f>
        <v>0.18</v>
      </c>
      <c r="AF24" s="15">
        <f>INDEX('Unique Asset List'!$CQ$4:$CW$60,MATCH('6'!$B24,'Unique Asset List'!$A$4:$A$60,0),MATCH('6'!$C$1,'Unique Asset List'!$CQ$3:$CW$3,0))</f>
        <v>0.32</v>
      </c>
      <c r="AG24" s="15">
        <f>INDEX('Unique Asset List'!$BV$4:$CB$60,MATCH('6'!$B24,'Unique Asset List'!$A$4:$A$60,0),MATCH('6'!$C$1,'Unique Asset List'!$BV$3:$CB$3,0))</f>
        <v>0.18</v>
      </c>
      <c r="AH24" s="15">
        <f>INDEX('Unique Asset List'!$CC$4:$CI$60,MATCH('6'!$B24,'Unique Asset List'!$A$4:$A$60,0),MATCH('6'!$C$1,'Unique Asset List'!$CC$3:$CI$3,0))</f>
        <v>0.32</v>
      </c>
      <c r="AI24" s="11">
        <v>0.96187963349867744</v>
      </c>
      <c r="AJ24" s="15">
        <f>INDEX('Unique Asset List'!$BH$4:$BN$60,MATCH('6'!$B24,'Unique Asset List'!$A$4:$A$60,0),MATCH('6'!$C$1,'Unique Asset List'!$BH$3:$BN$3,0))</f>
        <v>0.32314284341629806</v>
      </c>
      <c r="AK24" s="15">
        <f>INDEX('Unique Asset List'!$BO$4:$BU$60,MATCH('6'!$B24,'Unique Asset List'!$A$4:$A$60,0),MATCH('6'!$C$1,'Unique Asset List'!$BO$3:$BU$3,0))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1</v>
      </c>
      <c r="AY24" s="181">
        <f ca="1">INDEX('Unique Asset List'!S$4:S$60,MATCH($B24,_CompoundList,0))</f>
        <v>1</v>
      </c>
      <c r="AZ24" s="181">
        <f ca="1">INDEX('Unique Asset List'!T$4:T$60,MATCH($B24,_CompoundList,0))</f>
        <v>1</v>
      </c>
      <c r="BA24" s="181">
        <f ca="1">INDEX('Unique Asset List'!U$4:U$60,MATCH($B24,_CompoundList,0))</f>
        <v>0</v>
      </c>
      <c r="BB24" s="181">
        <f ca="1">INDEX('Unique Asset List'!V$4:V$60,MATCH($B24,_CompoundList,0))</f>
        <v>1</v>
      </c>
      <c r="BC24" s="181">
        <f ca="1">INDEX('Unique Asset List'!W$4:W$60,MATCH($B24,_CompoundList,0))</f>
        <v>0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3</v>
      </c>
      <c r="BG24" s="3">
        <f>IF($C$5="ON",CG24,MyRating(_E4,$B24,Efficacy!$F$1))</f>
        <v>4</v>
      </c>
      <c r="BH24" s="3">
        <f>IF($C$5="ON",CH24,MyRating(_E5,$B24,Efficacy!$F$1))</f>
        <v>4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3</v>
      </c>
      <c r="BL24" s="3">
        <f>IF($C$5="ON",CL24,MyRating(_S1,$B24,Efficacy!$F$1))</f>
        <v>4</v>
      </c>
      <c r="BM24" s="3">
        <f>IF($C$5="ON",CM24,MyRating(_S2,$B24,Efficacy!$F$1))</f>
        <v>4</v>
      </c>
      <c r="BN24" s="3">
        <f>IF($C$5="ON",CN24,MyRating(_S3,$B24,Efficacy!$F$1))</f>
        <v>3</v>
      </c>
      <c r="BO24" s="3">
        <f>IF($C$5="ON",CO24,MyRating(_S4,$B24,Efficacy!$F$1))</f>
        <v>5</v>
      </c>
      <c r="BP24" s="3">
        <f>IF($C$5="ON",CP24,MyRating(_S5,$B24,Efficacy!$F$1))</f>
        <v>5</v>
      </c>
      <c r="BQ24" s="3">
        <f>IF($C$5="ON",CQ24,MyRating(_S6,$B24,Efficacy!$F$1))</f>
        <v>2</v>
      </c>
      <c r="BR24" s="3">
        <f>IF($C$5="ON",CR24,MyRating(_S7,$B24,Efficacy!$F$1))</f>
        <v>3</v>
      </c>
      <c r="BS24" s="3">
        <f>IF($C$5="ON",CS24,MyRating(_D1,$B24,Efficacy!$F$1))</f>
        <v>3</v>
      </c>
      <c r="BT24" s="3">
        <f>IF($C$5="ON",CT24,MyRating(_D2,$B24,Efficacy!$F$1))</f>
        <v>3</v>
      </c>
      <c r="BU24" s="3">
        <f>IF($C$5="ON",CU24,MyRating(_D3,$B24,Efficacy!$F$1))</f>
        <v>3</v>
      </c>
      <c r="BV24" s="3">
        <f>IF($C$5="ON",CV24,MyRating(_D4,$B24,Efficacy!$F$1))</f>
        <v>3</v>
      </c>
      <c r="BW24" s="3">
        <f>IF($C$5="ON",CW24,MyRating(_B1G5,$B24,Barrier!$L$2))</f>
        <v>2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9"/>
        <v>3.3407946312985805E-2</v>
      </c>
      <c r="CA24" s="8">
        <f t="shared" si="6"/>
        <v>2.8000000000000003</v>
      </c>
      <c r="CB24" s="5">
        <f t="shared" si="7"/>
        <v>3.2941176470588251E-2</v>
      </c>
      <c r="CC24" s="7">
        <f t="shared" si="8"/>
        <v>5.9787261089987885E-3</v>
      </c>
      <c r="CD24" s="4">
        <v>4</v>
      </c>
      <c r="CE24" s="3">
        <v>3</v>
      </c>
      <c r="CF24" s="3">
        <v>3</v>
      </c>
      <c r="CG24" s="3">
        <v>4</v>
      </c>
      <c r="CH24" s="3">
        <v>3</v>
      </c>
      <c r="CI24" s="3">
        <v>2</v>
      </c>
      <c r="CJ24" s="3">
        <v>3</v>
      </c>
      <c r="CK24" s="3">
        <v>3</v>
      </c>
      <c r="CL24" s="3">
        <v>4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2</v>
      </c>
      <c r="CX24" s="3">
        <v>3</v>
      </c>
      <c r="CY24" s="6">
        <v>3</v>
      </c>
      <c r="CZ24" s="5">
        <v>3.6275844714639842E-2</v>
      </c>
      <c r="DA24" s="59"/>
    </row>
    <row r="25" spans="1:105" x14ac:dyDescent="0.25">
      <c r="A25" s="9" t="str">
        <f t="shared" si="0"/>
        <v>IT</v>
      </c>
      <c r="B25" s="9" t="s">
        <v>21</v>
      </c>
      <c r="C25" s="20"/>
      <c r="D25" s="9" t="s">
        <v>2</v>
      </c>
      <c r="E25" s="9" t="s">
        <v>186</v>
      </c>
      <c r="F25" s="9" t="str">
        <f>INDEX('Unique Asset List'!$C$4:$C$60,MATCH(B25,_CompoundList,0))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INDEX(PTRS!$D$6:$D$12,MATCH('6'!$F25,PTRS!$B$6:$B$12,0))</f>
        <v>0.1638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7">
        <v>0.1638</v>
      </c>
      <c r="N25" s="17">
        <f>INDEX('Unique Asset List'!$D$4:$M$60,MATCH($B25,'Unique Asset List'!$A$4:$A$60,0),MATCH(N$8,'Unique Asset List'!$D$3:$M$3,0))</f>
        <v>0.16400000000000001</v>
      </c>
      <c r="O25" s="17">
        <f>INDEX('Unique Asset List'!$D$4:$M$60,MATCH($B25,'Unique Asset List'!$A$4:$A$60,0),MATCH(O$8,'Unique Asset List'!$D$3:$M$3,0))</f>
        <v>0</v>
      </c>
      <c r="P25" s="17">
        <f>INDEX('Unique Asset List'!$D$4:$M$60,MATCH($B25,'Unique Asset List'!$A$4:$A$60,0),MATCH(P$8,'Unique Asset List'!$D$3:$M$3,0))</f>
        <v>0</v>
      </c>
      <c r="Q25" s="17">
        <f>INDEX('Unique Asset List'!$D$4:$M$60,MATCH($B25,'Unique Asset List'!$A$4:$A$60,0),MATCH(Q$8,'Unique Asset List'!$D$3:$M$3,0))</f>
        <v>1</v>
      </c>
      <c r="R25" s="17">
        <f>INDEX('Unique Asset List'!$D$4:$M$60,MATCH($B25,'Unique Asset List'!$A$4:$A$60,0),MATCH(R$8,'Unique Asset List'!$D$3:$M$3,0))</f>
        <v>1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1"/>
        <v>0.90168566420734264</v>
      </c>
      <c r="V25" s="17">
        <v>0.7</v>
      </c>
      <c r="W25" s="9" t="s">
        <v>20</v>
      </c>
      <c r="X25" s="9">
        <f>INDEX('Unique Asset List'!$Y$4:$AE$60,MATCH('6'!$B25,'Unique Asset List'!$A$4:$A$60,0),MATCH('6'!$C$1,'Unique Asset List'!$Y$3:$AE$3,0))</f>
        <v>2028</v>
      </c>
      <c r="Y25" s="9">
        <f>INDEX('Unique Asset List'!$AF$4:$AL$60,MATCH('6'!$B25,'Unique Asset List'!$A$4:$A$60,0),MATCH('6'!$C$1,'Unique Asset List'!$AF$3:$AL$3,0))</f>
        <v>7.999999999998181</v>
      </c>
      <c r="Z25" s="9">
        <f>INDEX('Unique Asset List'!$AT$4:$AZ$60,MATCH('6'!$B25,'Unique Asset List'!$A$4:$A$60,0),MATCH('6'!$C$1,'Unique Asset List'!$AT$3:$AZ$3,0))</f>
        <v>2035</v>
      </c>
      <c r="AA25" s="9">
        <f>INDEX('Unique Asset List'!$BA$4:$BG$60,MATCH('6'!$B25,'Unique Asset List'!$A$4:$A$60,0),MATCH('6'!$C$1,'Unique Asset List'!$BA$3:$BG$3,0))</f>
        <v>5</v>
      </c>
      <c r="AB25" s="16">
        <f t="shared" si="2"/>
        <v>1.6822346000000001</v>
      </c>
      <c r="AC25" s="16">
        <f t="shared" si="3"/>
        <v>0.91486990000000001</v>
      </c>
      <c r="AD25" s="16">
        <f t="shared" si="4"/>
        <v>0.56099999999999994</v>
      </c>
      <c r="AE25" s="15">
        <f>INDEX('Unique Asset List'!$CJ$4:$CP$60,MATCH('6'!$B25,'Unique Asset List'!$A$4:$A$60,0),MATCH('6'!$C$1,'Unique Asset List'!$CJ$3:$CP$3,0))</f>
        <v>0.18</v>
      </c>
      <c r="AF25" s="15">
        <f>INDEX('Unique Asset List'!$CQ$4:$CW$60,MATCH('6'!$B25,'Unique Asset List'!$A$4:$A$60,0),MATCH('6'!$C$1,'Unique Asset List'!$CQ$3:$CW$3,0))</f>
        <v>0.32</v>
      </c>
      <c r="AG25" s="15">
        <f>INDEX('Unique Asset List'!$BV$4:$CB$60,MATCH('6'!$B25,'Unique Asset List'!$A$4:$A$60,0),MATCH('6'!$C$1,'Unique Asset List'!$BV$3:$CB$3,0))</f>
        <v>0.18</v>
      </c>
      <c r="AH25" s="15">
        <f>INDEX('Unique Asset List'!$CC$4:$CI$60,MATCH('6'!$B25,'Unique Asset List'!$A$4:$A$60,0),MATCH('6'!$C$1,'Unique Asset List'!$CC$3:$CI$3,0))</f>
        <v>0.32</v>
      </c>
      <c r="AI25" s="11">
        <v>0.96187963349867744</v>
      </c>
      <c r="AJ25" s="15">
        <f>INDEX('Unique Asset List'!$BH$4:$BN$60,MATCH('6'!$B25,'Unique Asset List'!$A$4:$A$60,0),MATCH('6'!$C$1,'Unique Asset List'!$BH$3:$BN$3,0))</f>
        <v>0.32314284341629806</v>
      </c>
      <c r="AK25" s="15">
        <f>INDEX('Unique Asset List'!$BO$4:$BU$60,MATCH('6'!$B25,'Unique Asset List'!$A$4:$A$60,0),MATCH('6'!$C$1,'Unique Asset List'!$BO$3:$BU$3,0))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1</v>
      </c>
      <c r="AW25" s="181">
        <f>INDEX('Unique Asset List'!Q$4:Q$60,MATCH($B25,_CompoundList,0))</f>
        <v>1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0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0</v>
      </c>
      <c r="BC25" s="181">
        <f ca="1">INDEX('Unique Asset List'!W$4:W$60,MATCH($B25,_CompoundList,0))</f>
        <v>0</v>
      </c>
      <c r="BD25" s="4">
        <f>IF($C$5="ON",CD25,MyRating(_E1,$B25,Efficacy!$F$1))</f>
        <v>3</v>
      </c>
      <c r="BE25" s="3">
        <f>IF($C$5="ON",CE25,MyRating(_E2,$B25,Efficacy!$F$1))</f>
        <v>3</v>
      </c>
      <c r="BF25" s="3">
        <f>IF($C$5="ON",CF25,MyRating(_E3,$B25,Efficacy!$F$1))</f>
        <v>3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4</v>
      </c>
      <c r="BJ25" s="3">
        <f>IF($C$5="ON",CJ25,MyRating(_E7,$B25,Efficacy!$F$1))</f>
        <v>3</v>
      </c>
      <c r="BK25" s="3">
        <f>IF($C$5="ON",CK25,MyRating(_E8,$B25,Efficacy!$F$1))</f>
        <v>2</v>
      </c>
      <c r="BL25" s="3">
        <f>IF($C$5="ON",CL25,MyRating(_S1,$B25,Efficacy!$F$1))</f>
        <v>3</v>
      </c>
      <c r="BM25" s="3">
        <f>IF($C$5="ON",CM25,MyRating(_S2,$B25,Efficacy!$F$1))</f>
        <v>4</v>
      </c>
      <c r="BN25" s="3">
        <f>IF($C$5="ON",CN25,MyRating(_S3,$B25,Efficacy!$F$1))</f>
        <v>3</v>
      </c>
      <c r="BO25" s="3">
        <f>IF($C$5="ON",CO25,MyRating(_S4,$B25,Efficacy!$F$1))</f>
        <v>5</v>
      </c>
      <c r="BP25" s="3">
        <f>IF($C$5="ON",CP25,MyRating(_S5,$B25,Efficacy!$F$1))</f>
        <v>4</v>
      </c>
      <c r="BQ25" s="3">
        <f>IF($C$5="ON",CQ25,MyRating(_S6,$B25,Efficacy!$F$1))</f>
        <v>4</v>
      </c>
      <c r="BR25" s="3">
        <f>IF($C$5="ON",CR25,MyRating(_S7,$B25,Efficacy!$F$1))</f>
        <v>3</v>
      </c>
      <c r="BS25" s="3">
        <f>IF($C$5="ON",CS25,MyRating(_D1,$B25,Efficacy!$F$1))</f>
        <v>3</v>
      </c>
      <c r="BT25" s="3">
        <f>IF($C$5="ON",CT25,MyRating(_D2,$B25,Efficacy!$F$1))</f>
        <v>3</v>
      </c>
      <c r="BU25" s="3">
        <f>IF($C$5="ON",CU25,MyRating(_D3,$B25,Efficacy!$F$1))</f>
        <v>3</v>
      </c>
      <c r="BV25" s="3">
        <f>IF($C$5="ON",CV25,MyRating(_D4,$B25,Efficacy!$F$1))</f>
        <v>3</v>
      </c>
      <c r="BW25" s="3">
        <f>IF($C$5="ON",CW25,MyRating(_B1G5,$B25,Barrier!$L$2))</f>
        <v>2</v>
      </c>
      <c r="BX25" s="3">
        <f>IF($C$5="ON",CX25,MyRating(_B2,$B25,Barrier!$F$2))</f>
        <v>3</v>
      </c>
      <c r="BY25" s="6">
        <f>IF($C$5="ON",CY25,MyRating(_B3,$B25,Barrier!$F$2))</f>
        <v>3</v>
      </c>
      <c r="BZ25" s="5">
        <f t="shared" si="9"/>
        <v>3.3407946312985805E-2</v>
      </c>
      <c r="CA25" s="8">
        <f t="shared" si="6"/>
        <v>2.8000000000000003</v>
      </c>
      <c r="CB25" s="5">
        <f t="shared" si="7"/>
        <v>3.2941176470588251E-2</v>
      </c>
      <c r="CC25" s="7">
        <f t="shared" si="8"/>
        <v>5.9787261089987885E-3</v>
      </c>
      <c r="CD25" s="4">
        <v>3</v>
      </c>
      <c r="CE25" s="3">
        <v>3</v>
      </c>
      <c r="CF25" s="3">
        <v>3</v>
      </c>
      <c r="CG25" s="3">
        <v>3</v>
      </c>
      <c r="CH25" s="3">
        <v>3</v>
      </c>
      <c r="CI25" s="3">
        <v>4</v>
      </c>
      <c r="CJ25" s="3">
        <v>3</v>
      </c>
      <c r="CK25" s="3">
        <v>2</v>
      </c>
      <c r="CL25" s="3">
        <v>3</v>
      </c>
      <c r="CM25" s="3">
        <v>4</v>
      </c>
      <c r="CN25" s="3">
        <v>2</v>
      </c>
      <c r="CO25" s="3">
        <v>5</v>
      </c>
      <c r="CP25" s="3">
        <v>4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2</v>
      </c>
      <c r="CX25" s="3">
        <v>3</v>
      </c>
      <c r="CY25" s="6">
        <v>3</v>
      </c>
      <c r="CZ25" s="5">
        <v>3.6275844714639842E-2</v>
      </c>
      <c r="DA25" s="59"/>
    </row>
    <row r="26" spans="1:105" x14ac:dyDescent="0.25">
      <c r="A26" s="9" t="str">
        <f t="shared" si="0"/>
        <v>IT</v>
      </c>
      <c r="B26" s="9" t="s">
        <v>71</v>
      </c>
      <c r="C26" s="20" t="s">
        <v>3</v>
      </c>
      <c r="D26" s="9" t="s">
        <v>2</v>
      </c>
      <c r="E26" s="9" t="s">
        <v>186</v>
      </c>
      <c r="F26" s="9" t="str">
        <f>INDEX('Unique Asset List'!$C$4:$C$60,MATCH(B26,_CompoundList,0))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INDEX(PTRS!$D$6:$D$12,MATCH('6'!$F26,PTRS!$B$6:$B$12,0))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0.1638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1"/>
        <v>0</v>
      </c>
      <c r="V26" s="17">
        <v>0.05</v>
      </c>
      <c r="W26" s="9" t="s">
        <v>70</v>
      </c>
      <c r="X26" s="9">
        <f>INDEX('Unique Asset List'!$Y$4:$AE$60,MATCH('6'!$B26,'Unique Asset List'!$A$4:$A$60,0),MATCH('6'!$C$1,'Unique Asset List'!$Y$3:$AE$3,0))</f>
        <v>2027</v>
      </c>
      <c r="Y26" s="9">
        <f>INDEX('Unique Asset List'!$AF$4:$AL$60,MATCH('6'!$B26,'Unique Asset List'!$A$4:$A$60,0),MATCH('6'!$C$1,'Unique Asset List'!$AF$3:$AL$3,0))</f>
        <v>9</v>
      </c>
      <c r="Z26" s="9">
        <f>INDEX('Unique Asset List'!$AT$4:$AZ$60,MATCH('6'!$B26,'Unique Asset List'!$A$4:$A$60,0),MATCH('6'!$C$1,'Unique Asset List'!$AT$3:$AZ$3,0))</f>
        <v>2035</v>
      </c>
      <c r="AA26" s="9">
        <f>INDEX('Unique Asset List'!$BA$4:$BG$60,MATCH('6'!$B26,'Unique Asset List'!$A$4:$A$60,0),MATCH('6'!$C$1,'Unique Asset List'!$BA$3:$BG$3,0))</f>
        <v>7</v>
      </c>
      <c r="AB26" s="16">
        <f t="shared" si="2"/>
        <v>1.911081</v>
      </c>
      <c r="AC26" s="16">
        <f t="shared" si="3"/>
        <v>0.85759169999999996</v>
      </c>
      <c r="AD26" s="16">
        <f t="shared" si="4"/>
        <v>0.41402720413999994</v>
      </c>
      <c r="AE26" s="15">
        <f>INDEX('Unique Asset List'!$CJ$4:$CP$60,MATCH('6'!$B26,'Unique Asset List'!$A$4:$A$60,0),MATCH('6'!$C$1,'Unique Asset List'!$CJ$3:$CP$3,0))</f>
        <v>0.23</v>
      </c>
      <c r="AF26" s="15">
        <f>INDEX('Unique Asset List'!$CQ$4:$CW$60,MATCH('6'!$B26,'Unique Asset List'!$A$4:$A$60,0),MATCH('6'!$C$1,'Unique Asset List'!$CQ$3:$CW$3,0))</f>
        <v>0.27</v>
      </c>
      <c r="AG26" s="15">
        <f>INDEX('Unique Asset List'!$BV$4:$CB$60,MATCH('6'!$B26,'Unique Asset List'!$A$4:$A$60,0),MATCH('6'!$C$1,'Unique Asset List'!$BV$3:$CB$3,0))</f>
        <v>0.23</v>
      </c>
      <c r="AH26" s="15">
        <f>INDEX('Unique Asset List'!$CC$4:$CI$60,MATCH('6'!$B26,'Unique Asset List'!$A$4:$A$60,0),MATCH('6'!$C$1,'Unique Asset List'!$CC$3:$CI$3,0))</f>
        <v>0.27</v>
      </c>
      <c r="AI26" s="11">
        <v>0.96187963349867744</v>
      </c>
      <c r="AJ26" s="15">
        <f>INDEX('Unique Asset List'!$BH$4:$BN$60,MATCH('6'!$B26,'Unique Asset List'!$A$4:$A$60,0),MATCH('6'!$C$1,'Unique Asset List'!$BH$3:$BN$3,0))</f>
        <v>0.32314284341629806</v>
      </c>
      <c r="AK26" s="15">
        <f>INDEX('Unique Asset List'!$BO$4:$BU$60,MATCH('6'!$B26,'Unique Asset List'!$A$4:$A$60,0),MATCH('6'!$C$1,'Unique Asset List'!$BO$3:$BU$3,0))</f>
        <v>0.61768216477991222</v>
      </c>
      <c r="AL26" s="9">
        <v>169</v>
      </c>
      <c r="AM26" s="14">
        <v>64.349999999999994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IF($C$5="ON",CL26,MyRating(_S1,$B26,Efficacy!$F$1))</f>
        <v>1</v>
      </c>
      <c r="BM26" s="3">
        <f>IF($C$5="ON",CM26,MyRating(_S2,$B26,Efficacy!$F$1))</f>
        <v>4</v>
      </c>
      <c r="BN26" s="3">
        <f>IF($C$5="ON",CN26,MyRating(_S3,$B26,Efficacy!$F$1))</f>
        <v>4</v>
      </c>
      <c r="BO26" s="3">
        <f>IF($C$5="ON",CO26,MyRating(_S4,$B26,Efficacy!$F$1))</f>
        <v>5</v>
      </c>
      <c r="BP26" s="3">
        <f>IF($C$5="ON",CP26,MyRating(_S5,$B26,Efficacy!$F$1))</f>
        <v>5</v>
      </c>
      <c r="BQ26" s="3">
        <f>IF($C$5="ON",CQ26,MyRating(_S6,$B26,Efficacy!$F$1))</f>
        <v>2</v>
      </c>
      <c r="BR26" s="3">
        <f>IF($C$5="ON",CR26,MyRating(_S7,$B26,Efficacy!$F$1))</f>
        <v>4</v>
      </c>
      <c r="BS26" s="3">
        <f>IF($C$5="ON",CS26,MyRating(_D1,$B26,Efficacy!$F$1))</f>
        <v>2</v>
      </c>
      <c r="BT26" s="3">
        <f>IF($C$5="ON",CT26,MyRating(_D2,$B26,Efficacy!$F$1))</f>
        <v>3</v>
      </c>
      <c r="BU26" s="3">
        <f>IF($C$5="ON",CU26,MyRating(_D3,$B26,Efficacy!$F$1))</f>
        <v>2</v>
      </c>
      <c r="BV26" s="3">
        <f>IF($C$5="ON",CV26,MyRating(_D4,$B26,Efficacy!$F$1))</f>
        <v>2</v>
      </c>
      <c r="BW26" s="3">
        <f>IF($C$5="ON",CW26,MyRating(_B1G5,$B26,Barrier!$L$2))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9"/>
        <v>0</v>
      </c>
      <c r="CA26" s="8">
        <f t="shared" si="6"/>
        <v>0</v>
      </c>
      <c r="CB26" s="5">
        <f t="shared" si="7"/>
        <v>0</v>
      </c>
      <c r="CC26" s="7">
        <f t="shared" si="8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1</v>
      </c>
      <c r="CL26" s="3">
        <v>3</v>
      </c>
      <c r="CM26" s="3">
        <v>4</v>
      </c>
      <c r="CN26" s="3">
        <v>3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3</v>
      </c>
      <c r="CY26" s="6">
        <v>5</v>
      </c>
      <c r="CZ26" s="5">
        <v>4.9932578149053504E-2</v>
      </c>
      <c r="DA26" s="59"/>
    </row>
    <row r="27" spans="1:105" x14ac:dyDescent="0.25">
      <c r="A27" s="9" t="str">
        <f t="shared" si="0"/>
        <v>IT</v>
      </c>
      <c r="B27" s="9" t="s">
        <v>31</v>
      </c>
      <c r="C27" s="20"/>
      <c r="D27" s="9" t="s">
        <v>2</v>
      </c>
      <c r="E27" s="9" t="s">
        <v>186</v>
      </c>
      <c r="F27" s="9" t="str">
        <f>INDEX('Unique Asset List'!$C$4:$C$60,MATCH(B27,_CompoundList,0))</f>
        <v>Ph1</v>
      </c>
      <c r="G27" s="19">
        <v>0</v>
      </c>
      <c r="H27" s="9">
        <v>2014</v>
      </c>
      <c r="I27" s="9">
        <v>6</v>
      </c>
      <c r="J27" s="18">
        <f>INDEX(PTRS!$D$6:$D$12,MATCH('6'!$F27,PTRS!$B$6:$B$12,0))</f>
        <v>0.13923000000000002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0.13923000000000002</v>
      </c>
      <c r="N27" s="17">
        <f>INDEX('Unique Asset List'!$D$4:$M$60,MATCH($B27,'Unique Asset List'!$A$4:$A$60,0),MATCH(N$8,'Unique Asset List'!$D$3:$M$3,0))</f>
        <v>0.14000000000000001</v>
      </c>
      <c r="O27" s="17">
        <f>INDEX('Unique Asset List'!$D$4:$M$60,MATCH($B27,'Unique Asset List'!$A$4:$A$60,0),MATCH(O$8,'Unique Asset List'!$D$3:$M$3,0))</f>
        <v>0.14000000000000001</v>
      </c>
      <c r="P27" s="17">
        <f>INDEX('Unique Asset List'!$D$4:$M$60,MATCH($B27,'Unique Asset List'!$A$4:$A$60,0),MATCH(P$8,'Unique Asset List'!$D$3:$M$3,0))</f>
        <v>0.14000000000000001</v>
      </c>
      <c r="Q27" s="17">
        <f>INDEX('Unique Asset List'!$D$4:$M$60,MATCH($B27,'Unique Asset List'!$A$4:$A$60,0),MATCH(Q$8,'Unique Asset List'!$D$3:$M$3,0))</f>
        <v>0.14000000000000001</v>
      </c>
      <c r="R27" s="17">
        <f>INDEX('Unique Asset List'!$D$4:$M$60,MATCH($B27,'Unique Asset List'!$A$4:$A$60,0),MATCH(R$8,'Unique Asset List'!$D$3:$M$3,0))</f>
        <v>0.14000000000000001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1"/>
        <v>0.90168566420734264</v>
      </c>
      <c r="V27" s="17">
        <v>1</v>
      </c>
      <c r="W27" s="9" t="s">
        <v>31</v>
      </c>
      <c r="X27" s="9">
        <f>INDEX('Unique Asset List'!$Y$4:$AE$60,MATCH('6'!$B27,'Unique Asset List'!$A$4:$A$60,0),MATCH('6'!$C$1,'Unique Asset List'!$Y$3:$AE$3,0))</f>
        <v>2029</v>
      </c>
      <c r="Y27" s="9">
        <f>INDEX('Unique Asset List'!$AF$4:$AL$60,MATCH('6'!$B27,'Unique Asset List'!$A$4:$A$60,0),MATCH('6'!$C$1,'Unique Asset List'!$AF$3:$AL$3,0))</f>
        <v>3</v>
      </c>
      <c r="Z27" s="9">
        <f>INDEX('Unique Asset List'!$AT$4:$AZ$60,MATCH('6'!$B27,'Unique Asset List'!$A$4:$A$60,0),MATCH('6'!$C$1,'Unique Asset List'!$AT$3:$AZ$3,0))</f>
        <v>2037</v>
      </c>
      <c r="AA27" s="9">
        <f>INDEX('Unique Asset List'!$BA$4:$BG$60,MATCH('6'!$B27,'Unique Asset List'!$A$4:$A$60,0),MATCH('6'!$C$1,'Unique Asset List'!$BA$3:$BG$3,0))</f>
        <v>2</v>
      </c>
      <c r="AB27" s="16">
        <f t="shared" si="2"/>
        <v>2.0063400000000007</v>
      </c>
      <c r="AC27" s="16">
        <f t="shared" si="3"/>
        <v>0.94137550000000003</v>
      </c>
      <c r="AD27" s="16">
        <f t="shared" si="4"/>
        <v>0.56099999999999994</v>
      </c>
      <c r="AE27" s="15">
        <f>INDEX('Unique Asset List'!$CJ$4:$CP$60,MATCH('6'!$B27,'Unique Asset List'!$A$4:$A$60,0),MATCH('6'!$C$1,'Unique Asset List'!$CJ$3:$CP$3,0))</f>
        <v>0.18</v>
      </c>
      <c r="AF27" s="15">
        <f>INDEX('Unique Asset List'!$CQ$4:$CW$60,MATCH('6'!$B27,'Unique Asset List'!$A$4:$A$60,0),MATCH('6'!$C$1,'Unique Asset List'!$CQ$3:$CW$3,0))</f>
        <v>0.32</v>
      </c>
      <c r="AG27" s="15">
        <f>INDEX('Unique Asset List'!$BV$4:$CB$60,MATCH('6'!$B27,'Unique Asset List'!$A$4:$A$60,0),MATCH('6'!$C$1,'Unique Asset List'!$BV$3:$CB$3,0))</f>
        <v>0.18</v>
      </c>
      <c r="AH27" s="15">
        <f>INDEX('Unique Asset List'!$CC$4:$CI$60,MATCH('6'!$B27,'Unique Asset List'!$A$4:$A$60,0),MATCH('6'!$C$1,'Unique Asset List'!$CC$3:$CI$3,0))</f>
        <v>0.32</v>
      </c>
      <c r="AI27" s="11">
        <v>0.96187963349867744</v>
      </c>
      <c r="AJ27" s="15">
        <f>INDEX('Unique Asset List'!$BH$4:$BN$60,MATCH('6'!$B27,'Unique Asset List'!$A$4:$A$60,0),MATCH('6'!$C$1,'Unique Asset List'!$BH$3:$BN$3,0))</f>
        <v>0.32314284341629806</v>
      </c>
      <c r="AK27" s="15">
        <f>INDEX('Unique Asset List'!$BO$4:$BU$60,MATCH('6'!$B27,'Unique Asset List'!$A$4:$A$60,0),MATCH('6'!$C$1,'Unique Asset List'!$BO$3:$BU$3,0))</f>
        <v>0.61768216477991222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0</v>
      </c>
      <c r="AW27" s="181">
        <f>INDEX('Unique Asset List'!Q$4:Q$60,MATCH($B27,_CompoundList,0))</f>
        <v>0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1</v>
      </c>
      <c r="BD27" s="4">
        <f>IF($C$5="ON",CD27,MyRating(_E1,$B27,Efficacy!$F$1))</f>
        <v>4</v>
      </c>
      <c r="BE27" s="3">
        <f>IF($C$5="ON",CE27,MyRating(_E2,$B27,Efficacy!$F$1))</f>
        <v>3</v>
      </c>
      <c r="BF27" s="3">
        <f>IF($C$5="ON",CF27,MyRating(_E3,$B27,Efficacy!$F$1))</f>
        <v>4</v>
      </c>
      <c r="BG27" s="3">
        <f>IF($C$5="ON",CG27,MyRating(_E4,$B27,Efficacy!$F$1))</f>
        <v>4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3</v>
      </c>
      <c r="BL27" s="3">
        <f>IF($C$5="ON",CL27,MyRating(_S1,$B27,Efficacy!$F$1))</f>
        <v>4</v>
      </c>
      <c r="BM27" s="3">
        <f>IF($C$5="ON",CM27,MyRating(_S2,$B27,Efficacy!$F$1))</f>
        <v>3</v>
      </c>
      <c r="BN27" s="3">
        <f>IF($C$5="ON",CN27,MyRating(_S3,$B27,Efficacy!$F$1))</f>
        <v>3</v>
      </c>
      <c r="BO27" s="3">
        <f>IF($C$5="ON",CO27,MyRating(_S4,$B27,Efficacy!$F$1))</f>
        <v>4</v>
      </c>
      <c r="BP27" s="3">
        <f>IF($C$5="ON",CP27,MyRating(_S5,$B27,Efficacy!$F$1))</f>
        <v>5</v>
      </c>
      <c r="BQ27" s="3">
        <f>IF($C$5="ON",CQ27,MyRating(_S6,$B27,Efficacy!$F$1))</f>
        <v>3</v>
      </c>
      <c r="BR27" s="3">
        <f>IF($C$5="ON",CR27,MyRating(_S7,$B27,Efficacy!$F$1))</f>
        <v>3</v>
      </c>
      <c r="BS27" s="3">
        <f>IF($C$5="ON",CS27,MyRating(_D1,$B27,Efficacy!$F$1))</f>
        <v>3</v>
      </c>
      <c r="BT27" s="3">
        <f>IF($C$5="ON",CT27,MyRating(_D2,$B27,Efficacy!$F$1))</f>
        <v>3</v>
      </c>
      <c r="BU27" s="3">
        <f>IF($C$5="ON",CU27,MyRating(_D3,$B27,Efficacy!$F$1))</f>
        <v>3</v>
      </c>
      <c r="BV27" s="3">
        <f>IF($C$5="ON",CV27,MyRating(_D4,$B27,Efficacy!$F$1))</f>
        <v>3</v>
      </c>
      <c r="BW27" s="3">
        <f>IF($C$5="ON",CW27,MyRating(_B1G5,$B27,Barrier!$L$2))</f>
        <v>2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9"/>
        <v>3.3407946312985805E-2</v>
      </c>
      <c r="CA27" s="8">
        <f t="shared" si="6"/>
        <v>2.8000000000000003</v>
      </c>
      <c r="CB27" s="5">
        <f t="shared" si="7"/>
        <v>3.2941176470588251E-2</v>
      </c>
      <c r="CC27" s="7">
        <f t="shared" si="8"/>
        <v>5.9787261089987885E-3</v>
      </c>
      <c r="CD27" s="4">
        <v>4</v>
      </c>
      <c r="CE27" s="3">
        <v>4</v>
      </c>
      <c r="CF27" s="3">
        <v>4</v>
      </c>
      <c r="CG27" s="3">
        <v>4</v>
      </c>
      <c r="CH27" s="3">
        <v>3</v>
      </c>
      <c r="CI27" s="3">
        <v>4</v>
      </c>
      <c r="CJ27" s="3">
        <v>4</v>
      </c>
      <c r="CK27" s="3">
        <v>3</v>
      </c>
      <c r="CL27" s="3">
        <v>4</v>
      </c>
      <c r="CM27" s="3">
        <v>3</v>
      </c>
      <c r="CN27" s="3">
        <v>3</v>
      </c>
      <c r="CO27" s="3">
        <v>4</v>
      </c>
      <c r="CP27" s="3">
        <v>5</v>
      </c>
      <c r="CQ27" s="3">
        <v>3</v>
      </c>
      <c r="CR27" s="3">
        <v>4</v>
      </c>
      <c r="CS27" s="3">
        <v>3</v>
      </c>
      <c r="CT27" s="3">
        <v>3</v>
      </c>
      <c r="CU27" s="3">
        <v>3</v>
      </c>
      <c r="CV27" s="3">
        <v>3</v>
      </c>
      <c r="CW27" s="3">
        <v>2</v>
      </c>
      <c r="CX27" s="3">
        <v>3</v>
      </c>
      <c r="CY27" s="6">
        <v>3</v>
      </c>
      <c r="CZ27" s="5">
        <v>3.6275844714639842E-2</v>
      </c>
      <c r="DA27" s="59"/>
    </row>
    <row r="28" spans="1:105" x14ac:dyDescent="0.25">
      <c r="A28" s="9" t="str">
        <f t="shared" si="0"/>
        <v>IT</v>
      </c>
      <c r="B28" s="9" t="s">
        <v>35</v>
      </c>
      <c r="C28" s="20"/>
      <c r="D28" s="9" t="s">
        <v>2</v>
      </c>
      <c r="E28" s="9" t="s">
        <v>186</v>
      </c>
      <c r="F28" s="9" t="str">
        <f>INDEX('Unique Asset List'!$C$4:$C$60,MATCH(B28,_CompoundList,0))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INDEX(PTRS!$D$6:$D$12,MATCH('6'!$F28,PTRS!$B$6:$B$12,0))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v>0.13923000000000002</v>
      </c>
      <c r="N28" s="17">
        <f>INDEX('Unique Asset List'!$D$4:$M$60,MATCH($B28,'Unique Asset List'!$A$4:$A$60,0),MATCH(N$8,'Unique Asset List'!$D$3:$M$3,0))</f>
        <v>0.14000000000000001</v>
      </c>
      <c r="O28" s="17">
        <f>INDEX('Unique Asset List'!$D$4:$M$60,MATCH($B28,'Unique Asset List'!$A$4:$A$60,0),MATCH(O$8,'Unique Asset List'!$D$3:$M$3,0))</f>
        <v>0.14000000000000001</v>
      </c>
      <c r="P28" s="17">
        <f>INDEX('Unique Asset List'!$D$4:$M$60,MATCH($B28,'Unique Asset List'!$A$4:$A$60,0),MATCH(P$8,'Unique Asset List'!$D$3:$M$3,0))</f>
        <v>0.14000000000000001</v>
      </c>
      <c r="Q28" s="17">
        <f>INDEX('Unique Asset List'!$D$4:$M$60,MATCH($B28,'Unique Asset List'!$A$4:$A$60,0),MATCH(Q$8,'Unique Asset List'!$D$3:$M$3,0))</f>
        <v>0.14000000000000001</v>
      </c>
      <c r="R28" s="17">
        <f>INDEX('Unique Asset List'!$D$4:$M$60,MATCH($B28,'Unique Asset List'!$A$4:$A$60,0),MATCH(R$8,'Unique Asset List'!$D$3:$M$3,0))</f>
        <v>0.14000000000000001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1"/>
        <v>0.90168566420734264</v>
      </c>
      <c r="V28" s="17">
        <v>1</v>
      </c>
      <c r="W28" s="9" t="s">
        <v>34</v>
      </c>
      <c r="X28" s="9">
        <f>INDEX('Unique Asset List'!$Y$4:$AE$60,MATCH('6'!$B28,'Unique Asset List'!$A$4:$A$60,0),MATCH('6'!$C$1,'Unique Asset List'!$Y$3:$AE$3,0))</f>
        <v>2029</v>
      </c>
      <c r="Y28" s="9">
        <f>INDEX('Unique Asset List'!$AF$4:$AL$60,MATCH('6'!$B28,'Unique Asset List'!$A$4:$A$60,0),MATCH('6'!$C$1,'Unique Asset List'!$AF$3:$AL$3,0))</f>
        <v>4.999999999998181</v>
      </c>
      <c r="Z28" s="9">
        <f>INDEX('Unique Asset List'!$AT$4:$AZ$60,MATCH('6'!$B28,'Unique Asset List'!$A$4:$A$60,0),MATCH('6'!$C$1,'Unique Asset List'!$AT$3:$AZ$3,0))</f>
        <v>2039</v>
      </c>
      <c r="AA28" s="9">
        <f>INDEX('Unique Asset List'!$BA$4:$BG$60,MATCH('6'!$B28,'Unique Asset List'!$A$4:$A$60,0),MATCH('6'!$C$1,'Unique Asset List'!$BA$3:$BG$3,0))</f>
        <v>3</v>
      </c>
      <c r="AB28" s="16">
        <f t="shared" si="2"/>
        <v>2.0681600000000007</v>
      </c>
      <c r="AC28" s="16">
        <f t="shared" si="3"/>
        <v>0.94137550000000003</v>
      </c>
      <c r="AD28" s="16">
        <f t="shared" si="4"/>
        <v>0.56099999999999994</v>
      </c>
      <c r="AE28" s="15">
        <f>INDEX('Unique Asset List'!$CJ$4:$CP$60,MATCH('6'!$B28,'Unique Asset List'!$A$4:$A$60,0),MATCH('6'!$C$1,'Unique Asset List'!$CJ$3:$CP$3,0))</f>
        <v>0.18</v>
      </c>
      <c r="AF28" s="15">
        <f>INDEX('Unique Asset List'!$CQ$4:$CW$60,MATCH('6'!$B28,'Unique Asset List'!$A$4:$A$60,0),MATCH('6'!$C$1,'Unique Asset List'!$CQ$3:$CW$3,0))</f>
        <v>0.32</v>
      </c>
      <c r="AG28" s="15">
        <f>INDEX('Unique Asset List'!$BV$4:$CB$60,MATCH('6'!$B28,'Unique Asset List'!$A$4:$A$60,0),MATCH('6'!$C$1,'Unique Asset List'!$BV$3:$CB$3,0))</f>
        <v>0.18</v>
      </c>
      <c r="AH28" s="15">
        <f>INDEX('Unique Asset List'!$CC$4:$CI$60,MATCH('6'!$B28,'Unique Asset List'!$A$4:$A$60,0),MATCH('6'!$C$1,'Unique Asset List'!$CC$3:$CI$3,0))</f>
        <v>0.32</v>
      </c>
      <c r="AI28" s="11">
        <v>0.96187963349867744</v>
      </c>
      <c r="AJ28" s="15">
        <f>INDEX('Unique Asset List'!$BH$4:$BN$60,MATCH('6'!$B28,'Unique Asset List'!$A$4:$A$60,0),MATCH('6'!$C$1,'Unique Asset List'!$BH$3:$BN$3,0))</f>
        <v>0.32314284341629806</v>
      </c>
      <c r="AK28" s="15">
        <f>INDEX('Unique Asset List'!$BO$4:$BU$60,MATCH('6'!$B28,'Unique Asset List'!$A$4:$A$60,0),MATCH('6'!$C$1,'Unique Asset List'!$BO$3:$BU$3,0))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0</v>
      </c>
      <c r="AZ28" s="181">
        <f ca="1">INDEX('Unique Asset List'!T$4:T$60,MATCH($B28,_CompoundList,0))</f>
        <v>0</v>
      </c>
      <c r="BA28" s="181">
        <f ca="1">INDEX('Unique Asset List'!U$4:U$60,MATCH($B28,_CompoundList,0))</f>
        <v>0</v>
      </c>
      <c r="BB28" s="181">
        <f ca="1">INDEX('Unique Asset List'!V$4:V$60,MATCH($B28,_CompoundList,0))</f>
        <v>0</v>
      </c>
      <c r="BC28" s="181">
        <f ca="1">INDEX('Unique Asset List'!W$4:W$60,MATCH($B28,_CompoundList,0))</f>
        <v>1</v>
      </c>
      <c r="BD28" s="4">
        <f>IF($C$5="ON",CD28,MyRating(_E1,$B28,Efficacy!$F$1))</f>
        <v>4</v>
      </c>
      <c r="BE28" s="3">
        <f>IF($C$5="ON",CE28,MyRating(_E2,$B28,Efficacy!$F$1))</f>
        <v>3</v>
      </c>
      <c r="BF28" s="3">
        <f>IF($C$5="ON",CF28,MyRating(_E3,$B28,Efficacy!$F$1))</f>
        <v>4</v>
      </c>
      <c r="BG28" s="3">
        <f>IF($C$5="ON",CG28,MyRating(_E4,$B28,Efficacy!$F$1))</f>
        <v>4</v>
      </c>
      <c r="BH28" s="3">
        <f>IF($C$5="ON",CH28,MyRating(_E5,$B28,Efficacy!$F$1))</f>
        <v>3</v>
      </c>
      <c r="BI28" s="3">
        <f>IF($C$5="ON",CI28,MyRating(_E6,$B28,Efficacy!$F$1))</f>
        <v>4</v>
      </c>
      <c r="BJ28" s="3">
        <f>IF($C$5="ON",CJ28,MyRating(_E7,$B28,Efficacy!$F$1))</f>
        <v>3</v>
      </c>
      <c r="BK28" s="3">
        <f>IF($C$5="ON",CK28,MyRating(_E8,$B28,Efficacy!$F$1))</f>
        <v>4</v>
      </c>
      <c r="BL28" s="3">
        <f>IF($C$5="ON",CL28,MyRating(_S1,$B28,Efficacy!$F$1))</f>
        <v>4</v>
      </c>
      <c r="BM28" s="3">
        <f>IF($C$5="ON",CM28,MyRating(_S2,$B28,Efficacy!$F$1))</f>
        <v>3</v>
      </c>
      <c r="BN28" s="3">
        <f>IF($C$5="ON",CN28,MyRating(_S3,$B28,Efficacy!$F$1))</f>
        <v>3</v>
      </c>
      <c r="BO28" s="3">
        <f>IF($C$5="ON",CO28,MyRating(_S4,$B28,Efficacy!$F$1))</f>
        <v>4</v>
      </c>
      <c r="BP28" s="3">
        <f>IF($C$5="ON",CP28,MyRating(_S5,$B28,Efficacy!$F$1))</f>
        <v>5</v>
      </c>
      <c r="BQ28" s="3">
        <f>IF($C$5="ON",CQ28,MyRating(_S6,$B28,Efficacy!$F$1))</f>
        <v>3</v>
      </c>
      <c r="BR28" s="3">
        <f>IF($C$5="ON",CR28,MyRating(_S7,$B28,Efficacy!$F$1))</f>
        <v>3</v>
      </c>
      <c r="BS28" s="3">
        <f>IF($C$5="ON",CS28,MyRating(_D1,$B28,Efficacy!$F$1))</f>
        <v>3</v>
      </c>
      <c r="BT28" s="3">
        <f>IF($C$5="ON",CT28,MyRating(_D2,$B28,Efficacy!$F$1))</f>
        <v>3</v>
      </c>
      <c r="BU28" s="3">
        <f>IF($C$5="ON",CU28,MyRating(_D3,$B28,Efficacy!$F$1))</f>
        <v>3</v>
      </c>
      <c r="BV28" s="3">
        <f>IF($C$5="ON",CV28,MyRating(_D4,$B28,Efficacy!$F$1))</f>
        <v>3</v>
      </c>
      <c r="BW28" s="3">
        <f>IF($C$5="ON",CW28,MyRating(_B1G5,$B28,Barrier!$L$2))</f>
        <v>2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9"/>
        <v>3.3407946312985805E-2</v>
      </c>
      <c r="CA28" s="8">
        <f t="shared" si="6"/>
        <v>2.8000000000000003</v>
      </c>
      <c r="CB28" s="5">
        <f t="shared" si="7"/>
        <v>3.2941176470588251E-2</v>
      </c>
      <c r="CC28" s="7">
        <f t="shared" si="8"/>
        <v>5.9787261089987885E-3</v>
      </c>
      <c r="CD28" s="4">
        <v>4</v>
      </c>
      <c r="CE28" s="3">
        <v>4</v>
      </c>
      <c r="CF28" s="3">
        <v>4</v>
      </c>
      <c r="CG28" s="3">
        <v>4</v>
      </c>
      <c r="CH28" s="3">
        <v>3</v>
      </c>
      <c r="CI28" s="3">
        <v>3</v>
      </c>
      <c r="CJ28" s="3">
        <v>3</v>
      </c>
      <c r="CK28" s="3">
        <v>4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3</v>
      </c>
      <c r="CR28" s="3">
        <v>4</v>
      </c>
      <c r="CS28" s="3">
        <v>3</v>
      </c>
      <c r="CT28" s="3">
        <v>3</v>
      </c>
      <c r="CU28" s="3">
        <v>3</v>
      </c>
      <c r="CV28" s="3">
        <v>3</v>
      </c>
      <c r="CW28" s="3">
        <v>2</v>
      </c>
      <c r="CX28" s="3">
        <v>3</v>
      </c>
      <c r="CY28" s="6">
        <v>3</v>
      </c>
      <c r="CZ28" s="5">
        <v>3.6275844714639842E-2</v>
      </c>
      <c r="DA28" s="59"/>
    </row>
    <row r="29" spans="1:105" x14ac:dyDescent="0.25">
      <c r="A29" s="9" t="str">
        <f t="shared" si="0"/>
        <v>IT</v>
      </c>
      <c r="B29" s="9" t="s">
        <v>69</v>
      </c>
      <c r="C29" s="20"/>
      <c r="D29" s="9" t="s">
        <v>64</v>
      </c>
      <c r="E29" s="9" t="s">
        <v>186</v>
      </c>
      <c r="F29" s="9" t="str">
        <f>INDEX('Unique Asset List'!$C$4:$C$60,MATCH(B29,_CompoundList,0))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INDEX(PTRS!$D$6:$D$12,MATCH('6'!$F29,PTRS!$B$6:$B$12,0))</f>
        <v>0.13923000000000002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0.13923000000000002</v>
      </c>
      <c r="N29" s="17">
        <f>INDEX('Unique Asset List'!$D$4:$M$60,MATCH($B29,'Unique Asset List'!$A$4:$A$60,0),MATCH(N$8,'Unique Asset List'!$D$3:$M$3,0))</f>
        <v>0.13923000000000002</v>
      </c>
      <c r="O29" s="17">
        <f>INDEX('Unique Asset List'!$D$4:$M$60,MATCH($B29,'Unique Asset List'!$A$4:$A$60,0),MATCH(O$8,'Unique Asset List'!$D$3:$M$3,0))</f>
        <v>0.13923000000000002</v>
      </c>
      <c r="P29" s="17">
        <f>INDEX('Unique Asset List'!$D$4:$M$60,MATCH($B29,'Unique Asset List'!$A$4:$A$60,0),MATCH(P$8,'Unique Asset List'!$D$3:$M$3,0))</f>
        <v>0.13923000000000002</v>
      </c>
      <c r="Q29" s="17">
        <f>INDEX('Unique Asset List'!$D$4:$M$60,MATCH($B29,'Unique Asset List'!$A$4:$A$60,0),MATCH(Q$8,'Unique Asset List'!$D$3:$M$3,0))</f>
        <v>0.13923000000000002</v>
      </c>
      <c r="R29" s="17">
        <f>INDEX('Unique Asset List'!$D$4:$M$60,MATCH($B29,'Unique Asset List'!$A$4:$A$60,0),MATCH(R$8,'Unique Asset List'!$D$3:$M$3,0))</f>
        <v>0.13923000000000002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1"/>
        <v>0.90168566420734264</v>
      </c>
      <c r="V29" s="17">
        <v>1</v>
      </c>
      <c r="W29" s="9" t="s">
        <v>62</v>
      </c>
      <c r="X29" s="9">
        <f>INDEX('Unique Asset List'!$Y$4:$AE$60,MATCH('6'!$B29,'Unique Asset List'!$A$4:$A$60,0),MATCH('6'!$C$1,'Unique Asset List'!$Y$3:$AE$3,0))</f>
        <v>2025</v>
      </c>
      <c r="Y29" s="9">
        <f>INDEX('Unique Asset List'!$AF$4:$AL$60,MATCH('6'!$B29,'Unique Asset List'!$A$4:$A$60,0),MATCH('6'!$C$1,'Unique Asset List'!$AF$3:$AL$3,0))</f>
        <v>3.9999999999990905</v>
      </c>
      <c r="Z29" s="9">
        <f>INDEX('Unique Asset List'!$AT$4:$AZ$60,MATCH('6'!$B29,'Unique Asset List'!$A$4:$A$60,0),MATCH('6'!$C$1,'Unique Asset List'!$AT$3:$AZ$3,0))</f>
        <v>2037</v>
      </c>
      <c r="AA29" s="9">
        <f>INDEX('Unique Asset List'!$BA$4:$BG$60,MATCH('6'!$B29,'Unique Asset List'!$A$4:$A$60,0),MATCH('6'!$C$1,'Unique Asset List'!$BA$3:$BG$3,0))</f>
        <v>3</v>
      </c>
      <c r="AB29" s="16">
        <f t="shared" si="2"/>
        <v>1.6860000000000002</v>
      </c>
      <c r="AC29" s="16">
        <f t="shared" si="3"/>
        <v>0.91994010000000004</v>
      </c>
      <c r="AD29" s="16">
        <f t="shared" si="4"/>
        <v>0.50129594525999999</v>
      </c>
      <c r="AE29" s="15">
        <f>INDEX('Unique Asset List'!$CJ$4:$CP$60,MATCH('6'!$B29,'Unique Asset List'!$A$4:$A$60,0),MATCH('6'!$C$1,'Unique Asset List'!$CJ$3:$CP$3,0))</f>
        <v>0.23</v>
      </c>
      <c r="AF29" s="15">
        <f>INDEX('Unique Asset List'!$CQ$4:$CW$60,MATCH('6'!$B29,'Unique Asset List'!$A$4:$A$60,0),MATCH('6'!$C$1,'Unique Asset List'!$CQ$3:$CW$3,0))</f>
        <v>0.27</v>
      </c>
      <c r="AG29" s="15">
        <f>INDEX('Unique Asset List'!$BV$4:$CB$60,MATCH('6'!$B29,'Unique Asset List'!$A$4:$A$60,0),MATCH('6'!$C$1,'Unique Asset List'!$BV$3:$CB$3,0))</f>
        <v>0.23</v>
      </c>
      <c r="AH29" s="15">
        <f>INDEX('Unique Asset List'!$CC$4:$CI$60,MATCH('6'!$B29,'Unique Asset List'!$A$4:$A$60,0),MATCH('6'!$C$1,'Unique Asset List'!$CC$3:$CI$3,0))</f>
        <v>0.27</v>
      </c>
      <c r="AI29" s="11">
        <v>0.96187963349867744</v>
      </c>
      <c r="AJ29" s="15">
        <f>INDEX('Unique Asset List'!$BH$4:$BN$60,MATCH('6'!$B29,'Unique Asset List'!$A$4:$A$60,0),MATCH('6'!$C$1,'Unique Asset List'!$BH$3:$BN$3,0))</f>
        <v>0.32314284341629806</v>
      </c>
      <c r="AK29" s="15">
        <f>INDEX('Unique Asset List'!$BO$4:$BU$60,MATCH('6'!$B29,'Unique Asset List'!$A$4:$A$60,0),MATCH('6'!$C$1,'Unique Asset List'!$BO$3:$BU$3,0))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0</v>
      </c>
      <c r="AY29" s="181">
        <f ca="1">INDEX('Unique Asset List'!S$4:S$60,MATCH($B29,_CompoundList,0))</f>
        <v>1</v>
      </c>
      <c r="AZ29" s="181">
        <f ca="1">INDEX('Unique Asset List'!T$4:T$60,MATCH($B29,_CompoundList,0))</f>
        <v>1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1</v>
      </c>
      <c r="BC29" s="181">
        <f ca="1">INDEX('Unique Asset List'!W$4:W$60,MATCH($B29,_CompoundList,0))</f>
        <v>1</v>
      </c>
      <c r="BD29" s="4">
        <f>IF($C$5="ON",CD29,MyRating(_E1,$B29,Efficacy!$F$1))</f>
        <v>3</v>
      </c>
      <c r="BE29" s="3">
        <f>IF($C$5="ON",CE29,MyRating(_E2,$B29,Efficacy!$F$1))</f>
        <v>3</v>
      </c>
      <c r="BF29" s="3">
        <f>IF($C$5="ON",CF29,MyRating(_E3,$B29,Efficacy!$F$1))</f>
        <v>3</v>
      </c>
      <c r="BG29" s="3">
        <f>IF($C$5="ON",CG29,MyRating(_E4,$B29,Efficacy!$F$1))</f>
        <v>3</v>
      </c>
      <c r="BH29" s="3">
        <f>IF($C$5="ON",CH29,MyRating(_E5,$B29,Efficacy!$F$1))</f>
        <v>3</v>
      </c>
      <c r="BI29" s="3">
        <f>IF($C$5="ON",CI29,MyRating(_E6,$B29,Efficacy!$F$1))</f>
        <v>3</v>
      </c>
      <c r="BJ29" s="3">
        <f>IF($C$5="ON",CJ29,MyRating(_E7,$B29,Efficacy!$F$1))</f>
        <v>3</v>
      </c>
      <c r="BK29" s="3">
        <f>IF($C$5="ON",CK29,MyRating(_E8,$B29,Efficacy!$F$1))</f>
        <v>3</v>
      </c>
      <c r="BL29" s="3">
        <f>IF($C$5="ON",CL29,MyRating(_S1,$B29,Efficacy!$F$1))</f>
        <v>4</v>
      </c>
      <c r="BM29" s="3">
        <f>IF($C$5="ON",CM29,MyRating(_S2,$B29,Efficacy!$F$1))</f>
        <v>3</v>
      </c>
      <c r="BN29" s="3">
        <f>IF($C$5="ON",CN29,MyRating(_S3,$B29,Efficacy!$F$1))</f>
        <v>3</v>
      </c>
      <c r="BO29" s="3">
        <f>IF($C$5="ON",CO29,MyRating(_S4,$B29,Efficacy!$F$1))</f>
        <v>4</v>
      </c>
      <c r="BP29" s="3">
        <f>IF($C$5="ON",CP29,MyRating(_S5,$B29,Efficacy!$F$1))</f>
        <v>5</v>
      </c>
      <c r="BQ29" s="3">
        <f>IF($C$5="ON",CQ29,MyRating(_S6,$B29,Efficacy!$F$1))</f>
        <v>2</v>
      </c>
      <c r="BR29" s="3">
        <f>IF($C$5="ON",CR29,MyRating(_S7,$B29,Efficacy!$F$1))</f>
        <v>3</v>
      </c>
      <c r="BS29" s="3">
        <f>IF($C$5="ON",CS29,MyRating(_D1,$B29,Efficacy!$F$1))</f>
        <v>2</v>
      </c>
      <c r="BT29" s="3">
        <f>IF($C$5="ON",CT29,MyRating(_D2,$B29,Efficacy!$F$1))</f>
        <v>3</v>
      </c>
      <c r="BU29" s="3">
        <f>IF($C$5="ON",CU29,MyRating(_D3,$B29,Efficacy!$F$1))</f>
        <v>3</v>
      </c>
      <c r="BV29" s="3">
        <f>IF($C$5="ON",CV29,MyRating(_D4,$B29,Efficacy!$F$1))</f>
        <v>3</v>
      </c>
      <c r="BW29" s="3">
        <f>IF($C$5="ON",CW29,MyRating(_B1G5,$B29,Barrier!$L$2))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9"/>
        <v>3.3407946312985805E-2</v>
      </c>
      <c r="CA29" s="8">
        <f t="shared" si="6"/>
        <v>2.8000000000000003</v>
      </c>
      <c r="CB29" s="5">
        <f t="shared" si="7"/>
        <v>3.2941176470588251E-2</v>
      </c>
      <c r="CC29" s="7">
        <f t="shared" si="8"/>
        <v>5.9787261089987885E-3</v>
      </c>
      <c r="CD29" s="4">
        <v>3</v>
      </c>
      <c r="CE29" s="3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5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3</v>
      </c>
      <c r="CW29" s="3">
        <v>2</v>
      </c>
      <c r="CX29" s="3">
        <v>3</v>
      </c>
      <c r="CY29" s="6">
        <v>3</v>
      </c>
      <c r="CZ29" s="5">
        <v>3.6275844714639842E-2</v>
      </c>
      <c r="DA29" s="59"/>
    </row>
    <row r="30" spans="1:105" x14ac:dyDescent="0.25">
      <c r="A30" s="9" t="str">
        <f t="shared" si="0"/>
        <v>IT</v>
      </c>
      <c r="B30" s="9" t="s">
        <v>24</v>
      </c>
      <c r="C30" s="20" t="s">
        <v>3</v>
      </c>
      <c r="D30" s="9" t="s">
        <v>2</v>
      </c>
      <c r="E30" s="9" t="s">
        <v>186</v>
      </c>
      <c r="F30" s="9" t="str">
        <f>INDEX('Unique Asset List'!$C$4:$C$60,MATCH(B30,_CompoundList,0))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INDEX(PTRS!$D$6:$D$12,MATCH('6'!$F30,PTRS!$B$6:$B$12,0))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0.13923000000000002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1"/>
        <v>0</v>
      </c>
      <c r="V30" s="17">
        <v>1</v>
      </c>
      <c r="W30" s="9" t="s">
        <v>24</v>
      </c>
      <c r="X30" s="9">
        <f>INDEX('Unique Asset List'!$Y$4:$AE$60,MATCH('6'!$B30,'Unique Asset List'!$A$4:$A$60,0),MATCH('6'!$C$1,'Unique Asset List'!$Y$3:$AE$3,0))</f>
        <v>2028</v>
      </c>
      <c r="Y30" s="9">
        <f>INDEX('Unique Asset List'!$AF$4:$AL$60,MATCH('6'!$B30,'Unique Asset List'!$A$4:$A$60,0),MATCH('6'!$C$1,'Unique Asset List'!$AF$3:$AL$3,0))</f>
        <v>6.9999999999990905</v>
      </c>
      <c r="Z30" s="9">
        <f>INDEX('Unique Asset List'!$AT$4:$AZ$60,MATCH('6'!$B30,'Unique Asset List'!$A$4:$A$60,0),MATCH('6'!$C$1,'Unique Asset List'!$AT$3:$AZ$3,0))</f>
        <v>2034</v>
      </c>
      <c r="AA30" s="9">
        <f>INDEX('Unique Asset List'!$BA$4:$BG$60,MATCH('6'!$B30,'Unique Asset List'!$A$4:$A$60,0),MATCH('6'!$C$1,'Unique Asset List'!$BA$3:$BG$3,0))</f>
        <v>5</v>
      </c>
      <c r="AB30" s="16">
        <f t="shared" si="2"/>
        <v>2.1518980000000005</v>
      </c>
      <c r="AC30" s="16">
        <f t="shared" si="3"/>
        <v>0.94137550000000003</v>
      </c>
      <c r="AD30" s="16">
        <f t="shared" si="4"/>
        <v>0.56099999999999994</v>
      </c>
      <c r="AE30" s="15">
        <f>INDEX('Unique Asset List'!$CJ$4:$CP$60,MATCH('6'!$B30,'Unique Asset List'!$A$4:$A$60,0),MATCH('6'!$C$1,'Unique Asset List'!$CJ$3:$CP$3,0))</f>
        <v>0.18</v>
      </c>
      <c r="AF30" s="15">
        <f>INDEX('Unique Asset List'!$CQ$4:$CW$60,MATCH('6'!$B30,'Unique Asset List'!$A$4:$A$60,0),MATCH('6'!$C$1,'Unique Asset List'!$CQ$3:$CW$3,0))</f>
        <v>0.32</v>
      </c>
      <c r="AG30" s="15">
        <f>INDEX('Unique Asset List'!$BV$4:$CB$60,MATCH('6'!$B30,'Unique Asset List'!$A$4:$A$60,0),MATCH('6'!$C$1,'Unique Asset List'!$BV$3:$CB$3,0))</f>
        <v>0.18</v>
      </c>
      <c r="AH30" s="15">
        <f>INDEX('Unique Asset List'!$CC$4:$CI$60,MATCH('6'!$B30,'Unique Asset List'!$A$4:$A$60,0),MATCH('6'!$C$1,'Unique Asset List'!$CC$3:$CI$3,0))</f>
        <v>0.32</v>
      </c>
      <c r="AI30" s="11">
        <v>0.96187963349867744</v>
      </c>
      <c r="AJ30" s="15">
        <f>INDEX('Unique Asset List'!$BH$4:$BN$60,MATCH('6'!$B30,'Unique Asset List'!$A$4:$A$60,0),MATCH('6'!$C$1,'Unique Asset List'!$BH$3:$BN$3,0))</f>
        <v>0.32314284341629806</v>
      </c>
      <c r="AK30" s="15">
        <f>INDEX('Unique Asset List'!$BO$4:$BU$60,MATCH('6'!$B30,'Unique Asset List'!$A$4:$A$60,0),MATCH('6'!$C$1,'Unique Asset List'!$BO$3:$BU$3,0))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IF($C$5="ON",CL30,MyRating(_S1,$B30,Efficacy!$F$1))</f>
        <v>4</v>
      </c>
      <c r="BM30" s="3">
        <f>IF($C$5="ON",CM30,MyRating(_S2,$B30,Efficacy!$F$1))</f>
        <v>3</v>
      </c>
      <c r="BN30" s="3">
        <f>IF($C$5="ON",CN30,MyRating(_S3,$B30,Efficacy!$F$1))</f>
        <v>3</v>
      </c>
      <c r="BO30" s="3">
        <f>IF($C$5="ON",CO30,MyRating(_S4,$B30,Efficacy!$F$1))</f>
        <v>4</v>
      </c>
      <c r="BP30" s="3">
        <f>IF($C$5="ON",CP30,MyRating(_S5,$B30,Efficacy!$F$1))</f>
        <v>5</v>
      </c>
      <c r="BQ30" s="3">
        <f>IF($C$5="ON",CQ30,MyRating(_S6,$B30,Efficacy!$F$1))</f>
        <v>3</v>
      </c>
      <c r="BR30" s="3">
        <f>IF($C$5="ON",CR30,MyRating(_S7,$B30,Efficacy!$F$1))</f>
        <v>3</v>
      </c>
      <c r="BS30" s="3">
        <f>IF($C$5="ON",CS30,MyRating(_D1,$B30,Efficacy!$F$1))</f>
        <v>3</v>
      </c>
      <c r="BT30" s="3">
        <f>IF($C$5="ON",CT30,MyRating(_D2,$B30,Efficacy!$F$1))</f>
        <v>3</v>
      </c>
      <c r="BU30" s="3">
        <f>IF($C$5="ON",CU30,MyRating(_D3,$B30,Efficacy!$F$1))</f>
        <v>3</v>
      </c>
      <c r="BV30" s="3">
        <f>IF($C$5="ON",CV30,MyRating(_D4,$B30,Efficacy!$F$1))</f>
        <v>3</v>
      </c>
      <c r="BW30" s="3">
        <f>IF($C$5="ON",CW30,MyRating(_B1G5,$B30,Barrier!$L$2))</f>
        <v>2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9"/>
        <v>0</v>
      </c>
      <c r="CA30" s="8">
        <f t="shared" si="6"/>
        <v>0.4</v>
      </c>
      <c r="CB30" s="5">
        <f t="shared" si="7"/>
        <v>4.7058823529411787E-3</v>
      </c>
      <c r="CC30" s="7">
        <f t="shared" si="8"/>
        <v>3.2282086615060515E-4</v>
      </c>
      <c r="CD30" s="4">
        <v>4</v>
      </c>
      <c r="CE30" s="3">
        <v>5</v>
      </c>
      <c r="CF30" s="3">
        <v>5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5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2</v>
      </c>
      <c r="CX30" s="3">
        <v>3</v>
      </c>
      <c r="CY30" s="6">
        <v>3</v>
      </c>
      <c r="CZ30" s="5">
        <v>3.6275844714639842E-2</v>
      </c>
      <c r="DA30" s="59"/>
    </row>
    <row r="31" spans="1:105" x14ac:dyDescent="0.25">
      <c r="A31" s="9" t="str">
        <f t="shared" si="0"/>
        <v>IT</v>
      </c>
      <c r="B31" s="9" t="s">
        <v>66</v>
      </c>
      <c r="C31" s="20" t="s">
        <v>3</v>
      </c>
      <c r="D31" s="9" t="s">
        <v>2</v>
      </c>
      <c r="E31" s="9" t="s">
        <v>186</v>
      </c>
      <c r="F31" s="9" t="str">
        <f>INDEX('Unique Asset List'!$C$4:$C$60,MATCH(B31,_CompoundList,0))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INDEX(PTRS!$D$6:$D$12,MATCH('6'!$F31,PTRS!$B$6:$B$12,0))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v>0.1044225</v>
      </c>
      <c r="N31" s="17">
        <f>INDEX('Unique Asset List'!$D$4:$M$60,MATCH($B31,'Unique Asset List'!$A$4:$A$60,0),MATCH(N$8,'Unique Asset List'!$D$3:$M$3,0))</f>
        <v>0</v>
      </c>
      <c r="O31" s="17">
        <f>INDEX('Unique Asset List'!$D$4:$M$60,MATCH($B31,'Unique Asset List'!$A$4:$A$60,0),MATCH(O$8,'Unique Asset List'!$D$3:$M$3,0))</f>
        <v>0</v>
      </c>
      <c r="P31" s="17">
        <f>INDEX('Unique Asset List'!$D$4:$M$60,MATCH($B31,'Unique Asset List'!$A$4:$A$60,0),MATCH(P$8,'Unique Asset List'!$D$3:$M$3,0))</f>
        <v>0</v>
      </c>
      <c r="Q31" s="17">
        <f>INDEX('Unique Asset List'!$D$4:$M$60,MATCH($B31,'Unique Asset List'!$A$4:$A$60,0),MATCH(Q$8,'Unique Asset List'!$D$3:$M$3,0))</f>
        <v>0</v>
      </c>
      <c r="R31" s="17">
        <f>INDEX('Unique Asset List'!$D$4:$M$60,MATCH($B31,'Unique Asset List'!$A$4:$A$60,0),MATCH(R$8,'Unique Asset List'!$D$3:$M$3,0))</f>
        <v>0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1"/>
        <v>0</v>
      </c>
      <c r="V31" s="17">
        <v>1</v>
      </c>
      <c r="W31" s="9" t="s">
        <v>62</v>
      </c>
      <c r="X31" s="9">
        <f>INDEX('Unique Asset List'!$Y$4:$AE$60,MATCH('6'!$B31,'Unique Asset List'!$A$4:$A$60,0),MATCH('6'!$C$1,'Unique Asset List'!$Y$3:$AE$3,0))</f>
        <v>2030</v>
      </c>
      <c r="Y31" s="9">
        <f>INDEX('Unique Asset List'!$AF$4:$AL$60,MATCH('6'!$B31,'Unique Asset List'!$A$4:$A$60,0),MATCH('6'!$C$1,'Unique Asset List'!$AF$3:$AL$3,0))</f>
        <v>3.9999999999990905</v>
      </c>
      <c r="Z31" s="9">
        <f>INDEX('Unique Asset List'!$AT$4:$AZ$60,MATCH('6'!$B31,'Unique Asset List'!$A$4:$A$60,0),MATCH('6'!$C$1,'Unique Asset List'!$AT$3:$AZ$3,0))</f>
        <v>2038</v>
      </c>
      <c r="AA31" s="9">
        <f>INDEX('Unique Asset List'!$BA$4:$BG$60,MATCH('6'!$B31,'Unique Asset List'!$A$4:$A$60,0),MATCH('6'!$C$1,'Unique Asset List'!$BA$3:$BG$3,0))</f>
        <v>3</v>
      </c>
      <c r="AB31" s="16">
        <f t="shared" si="2"/>
        <v>2.1518980000000005</v>
      </c>
      <c r="AC31" s="16">
        <f t="shared" si="3"/>
        <v>0.94137550000000003</v>
      </c>
      <c r="AD31" s="16">
        <f t="shared" si="4"/>
        <v>0.56099999999999994</v>
      </c>
      <c r="AE31" s="15">
        <f>INDEX('Unique Asset List'!$CJ$4:$CP$60,MATCH('6'!$B31,'Unique Asset List'!$A$4:$A$60,0),MATCH('6'!$C$1,'Unique Asset List'!$CJ$3:$CP$3,0))</f>
        <v>0.23</v>
      </c>
      <c r="AF31" s="15">
        <f>INDEX('Unique Asset List'!$CQ$4:$CW$60,MATCH('6'!$B31,'Unique Asset List'!$A$4:$A$60,0),MATCH('6'!$C$1,'Unique Asset List'!$CQ$3:$CW$3,0))</f>
        <v>0.27</v>
      </c>
      <c r="AG31" s="15">
        <f>INDEX('Unique Asset List'!$BV$4:$CB$60,MATCH('6'!$B31,'Unique Asset List'!$A$4:$A$60,0),MATCH('6'!$C$1,'Unique Asset List'!$BV$3:$CB$3,0))</f>
        <v>0.23</v>
      </c>
      <c r="AH31" s="15">
        <f>INDEX('Unique Asset List'!$CC$4:$CI$60,MATCH('6'!$B31,'Unique Asset List'!$A$4:$A$60,0),MATCH('6'!$C$1,'Unique Asset List'!$CC$3:$CI$3,0))</f>
        <v>0.27</v>
      </c>
      <c r="AI31" s="11">
        <v>0.96187963349867744</v>
      </c>
      <c r="AJ31" s="15">
        <f>INDEX('Unique Asset List'!$BH$4:$BN$60,MATCH('6'!$B31,'Unique Asset List'!$A$4:$A$60,0),MATCH('6'!$C$1,'Unique Asset List'!$BH$3:$BN$3,0))</f>
        <v>0.32314284341629806</v>
      </c>
      <c r="AK31" s="15">
        <f>INDEX('Unique Asset List'!$BO$4:$BU$60,MATCH('6'!$B31,'Unique Asset List'!$A$4:$A$60,0),MATCH('6'!$C$1,'Unique Asset List'!$BO$3:$BU$3,0))</f>
        <v>0.61768216477991222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1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0</v>
      </c>
      <c r="BC31" s="181">
        <f ca="1">INDEX('Unique Asset List'!W$4:W$60,MATCH($B31,_CompoundList,0))</f>
        <v>1</v>
      </c>
      <c r="BD31" s="4">
        <f>IF($C$5="ON",CD31,MyRating(_E1,$B31,Efficacy!$F$1))</f>
        <v>4</v>
      </c>
      <c r="BE31" s="3">
        <f>IF($C$5="ON",CE31,MyRating(_E2,$B31,Efficacy!$F$1))</f>
        <v>4</v>
      </c>
      <c r="BF31" s="3">
        <f>IF($C$5="ON",CF31,MyRating(_E3,$B31,Efficacy!$F$1))</f>
        <v>4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IF($C$5="ON",CL31,MyRating(_S1,$B31,Efficacy!$F$1))</f>
        <v>4</v>
      </c>
      <c r="BM31" s="3">
        <f>IF($C$5="ON",CM31,MyRating(_S2,$B31,Efficacy!$F$1))</f>
        <v>3</v>
      </c>
      <c r="BN31" s="3">
        <f>IF($C$5="ON",CN31,MyRating(_S3,$B31,Efficacy!$F$1))</f>
        <v>3</v>
      </c>
      <c r="BO31" s="3">
        <f>IF($C$5="ON",CO31,MyRating(_S4,$B31,Efficacy!$F$1))</f>
        <v>4</v>
      </c>
      <c r="BP31" s="3">
        <f>IF($C$5="ON",CP31,MyRating(_S5,$B31,Efficacy!$F$1))</f>
        <v>5</v>
      </c>
      <c r="BQ31" s="3">
        <f>IF($C$5="ON",CQ31,MyRating(_S6,$B31,Efficacy!$F$1))</f>
        <v>3</v>
      </c>
      <c r="BR31" s="3">
        <f>IF($C$5="ON",CR31,MyRating(_S7,$B31,Efficacy!$F$1))</f>
        <v>3</v>
      </c>
      <c r="BS31" s="3">
        <f>IF($C$5="ON",CS31,MyRating(_D1,$B31,Efficacy!$F$1))</f>
        <v>3</v>
      </c>
      <c r="BT31" s="3">
        <f>IF($C$5="ON",CT31,MyRating(_D2,$B31,Efficacy!$F$1))</f>
        <v>3</v>
      </c>
      <c r="BU31" s="3">
        <f>IF($C$5="ON",CU31,MyRating(_D3,$B31,Efficacy!$F$1))</f>
        <v>3</v>
      </c>
      <c r="BV31" s="3">
        <f>IF($C$5="ON",CV31,MyRating(_D4,$B31,Efficacy!$F$1))</f>
        <v>3</v>
      </c>
      <c r="BW31" s="3">
        <f>IF($C$5="ON",CW31,MyRating(_B1G5,$B31,Barrier!$L$2))</f>
        <v>2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9"/>
        <v>0</v>
      </c>
      <c r="CA31" s="8">
        <f t="shared" si="6"/>
        <v>2.8000000000000003</v>
      </c>
      <c r="CB31" s="5">
        <f t="shared" si="7"/>
        <v>3.2941176470588251E-2</v>
      </c>
      <c r="CC31" s="7">
        <f t="shared" si="8"/>
        <v>5.9787261089987885E-3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5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2</v>
      </c>
      <c r="CX31" s="3">
        <v>3</v>
      </c>
      <c r="CY31" s="6">
        <v>3</v>
      </c>
      <c r="CZ31" s="5">
        <v>3.6275844714639842E-2</v>
      </c>
      <c r="DA31" s="59"/>
    </row>
    <row r="32" spans="1:105" x14ac:dyDescent="0.25">
      <c r="A32" s="9" t="str">
        <f t="shared" si="0"/>
        <v>IT</v>
      </c>
      <c r="B32" s="9" t="s">
        <v>57</v>
      </c>
      <c r="C32" s="20" t="s">
        <v>3</v>
      </c>
      <c r="D32" s="9" t="s">
        <v>2</v>
      </c>
      <c r="E32" s="9" t="s">
        <v>186</v>
      </c>
      <c r="F32" s="9" t="str">
        <f>INDEX('Unique Asset List'!$C$4:$C$60,MATCH(B32,_CompoundList,0))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INDEX(PTRS!$D$6:$D$12,MATCH('6'!$F32,PTRS!$B$6:$B$12,0))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1"/>
        <v>0</v>
      </c>
      <c r="V32" s="17">
        <v>1</v>
      </c>
      <c r="W32" s="9" t="s">
        <v>57</v>
      </c>
      <c r="X32" s="9">
        <f>INDEX('Unique Asset List'!$Y$4:$AE$60,MATCH('6'!$B32,'Unique Asset List'!$A$4:$A$60,0),MATCH('6'!$C$1,'Unique Asset List'!$Y$3:$AE$3,0))</f>
        <v>2030</v>
      </c>
      <c r="Y32" s="9">
        <f>INDEX('Unique Asset List'!$AF$4:$AL$60,MATCH('6'!$B32,'Unique Asset List'!$A$4:$A$60,0),MATCH('6'!$C$1,'Unique Asset List'!$AF$3:$AL$3,0))</f>
        <v>9.9999999999990905</v>
      </c>
      <c r="Z32" s="9">
        <f>INDEX('Unique Asset List'!$AT$4:$AZ$60,MATCH('6'!$B32,'Unique Asset List'!$A$4:$A$60,0),MATCH('6'!$C$1,'Unique Asset List'!$AT$3:$AZ$3,0))</f>
        <v>2038</v>
      </c>
      <c r="AA32" s="9">
        <f>INDEX('Unique Asset List'!$BA$4:$BG$60,MATCH('6'!$B32,'Unique Asset List'!$A$4:$A$60,0),MATCH('6'!$C$1,'Unique Asset List'!$BA$3:$BG$3,0))</f>
        <v>9</v>
      </c>
      <c r="AB32" s="16">
        <f t="shared" si="2"/>
        <v>2.3276916000000001</v>
      </c>
      <c r="AC32" s="16">
        <f t="shared" si="3"/>
        <v>0.94137550000000003</v>
      </c>
      <c r="AD32" s="16">
        <f t="shared" si="4"/>
        <v>0.56099999999999994</v>
      </c>
      <c r="AE32" s="15">
        <f>INDEX('Unique Asset List'!$CJ$4:$CP$60,MATCH('6'!$B32,'Unique Asset List'!$A$4:$A$60,0),MATCH('6'!$C$1,'Unique Asset List'!$CJ$3:$CP$3,0))</f>
        <v>0.23</v>
      </c>
      <c r="AF32" s="15">
        <f>INDEX('Unique Asset List'!$CQ$4:$CW$60,MATCH('6'!$B32,'Unique Asset List'!$A$4:$A$60,0),MATCH('6'!$C$1,'Unique Asset List'!$CQ$3:$CW$3,0))</f>
        <v>0.27</v>
      </c>
      <c r="AG32" s="15">
        <f>INDEX('Unique Asset List'!$BV$4:$CB$60,MATCH('6'!$B32,'Unique Asset List'!$A$4:$A$60,0),MATCH('6'!$C$1,'Unique Asset List'!$BV$3:$CB$3,0))</f>
        <v>0.23</v>
      </c>
      <c r="AH32" s="15">
        <f>INDEX('Unique Asset List'!$CC$4:$CI$60,MATCH('6'!$B32,'Unique Asset List'!$A$4:$A$60,0),MATCH('6'!$C$1,'Unique Asset List'!$CC$3:$CI$3,0))</f>
        <v>0.27</v>
      </c>
      <c r="AI32" s="11">
        <v>0.96187963349867744</v>
      </c>
      <c r="AJ32" s="15">
        <f>INDEX('Unique Asset List'!$BH$4:$BN$60,MATCH('6'!$B32,'Unique Asset List'!$A$4:$A$60,0),MATCH('6'!$C$1,'Unique Asset List'!$BH$3:$BN$3,0))</f>
        <v>0.32314284341629806</v>
      </c>
      <c r="AK32" s="15">
        <f>INDEX('Unique Asset List'!$BO$4:$BU$60,MATCH('6'!$B32,'Unique Asset List'!$A$4:$A$60,0),MATCH('6'!$C$1,'Unique Asset List'!$BO$3:$BU$3,0))</f>
        <v>0.61768216477991222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0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0</v>
      </c>
      <c r="BD32" s="4">
        <f>IF($C$5="ON",CD32,MyRating(_E1,$B32,Efficacy!$F$1))</f>
        <v>4</v>
      </c>
      <c r="BE32" s="3">
        <f>IF($C$5="ON",CE32,MyRating(_E2,$B32,Efficacy!$F$1))</f>
        <v>5</v>
      </c>
      <c r="BF32" s="3">
        <f>IF($C$5="ON",CF32,MyRating(_E3,$B32,Efficacy!$F$1))</f>
        <v>5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IF($C$5="ON",CL32,MyRating(_S1,$B32,Efficacy!$F$1))</f>
        <v>4</v>
      </c>
      <c r="BM32" s="3">
        <f>IF($C$5="ON",CM32,MyRating(_S2,$B32,Efficacy!$F$1))</f>
        <v>3</v>
      </c>
      <c r="BN32" s="3">
        <f>IF($C$5="ON",CN32,MyRating(_S3,$B32,Efficacy!$F$1))</f>
        <v>3</v>
      </c>
      <c r="BO32" s="3">
        <f>IF($C$5="ON",CO32,MyRating(_S4,$B32,Efficacy!$F$1))</f>
        <v>4</v>
      </c>
      <c r="BP32" s="3">
        <f>IF($C$5="ON",CP32,MyRating(_S5,$B32,Efficacy!$F$1))</f>
        <v>5</v>
      </c>
      <c r="BQ32" s="3">
        <f>IF($C$5="ON",CQ32,MyRating(_S6,$B32,Efficacy!$F$1))</f>
        <v>3</v>
      </c>
      <c r="BR32" s="3">
        <f>IF($C$5="ON",CR32,MyRating(_S7,$B32,Efficacy!$F$1))</f>
        <v>3</v>
      </c>
      <c r="BS32" s="3">
        <f>IF($C$5="ON",CS32,MyRating(_D1,$B32,Efficacy!$F$1))</f>
        <v>3</v>
      </c>
      <c r="BT32" s="3">
        <f>IF($C$5="ON",CT32,MyRating(_D2,$B32,Efficacy!$F$1))</f>
        <v>3</v>
      </c>
      <c r="BU32" s="3">
        <f>IF($C$5="ON",CU32,MyRating(_D3,$B32,Efficacy!$F$1))</f>
        <v>3</v>
      </c>
      <c r="BV32" s="3">
        <f>IF($C$5="ON",CV32,MyRating(_D4,$B32,Efficacy!$F$1))</f>
        <v>3</v>
      </c>
      <c r="BW32" s="3">
        <f>IF($C$5="ON",CW32,MyRating(_B1G5,$B32,Barrier!$L$2))</f>
        <v>2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9"/>
        <v>0</v>
      </c>
      <c r="CA32" s="8">
        <f t="shared" si="6"/>
        <v>2.8000000000000003</v>
      </c>
      <c r="CB32" s="5">
        <f t="shared" si="7"/>
        <v>3.2941176470588251E-2</v>
      </c>
      <c r="CC32" s="7">
        <f t="shared" si="8"/>
        <v>5.9787261089987885E-3</v>
      </c>
      <c r="CD32" s="4">
        <v>4</v>
      </c>
      <c r="CE32" s="3">
        <v>5</v>
      </c>
      <c r="CF32" s="3">
        <v>5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5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2</v>
      </c>
      <c r="CX32" s="3">
        <v>3</v>
      </c>
      <c r="CY32" s="6">
        <v>3</v>
      </c>
      <c r="CZ32" s="5">
        <v>3.6275844714639842E-2</v>
      </c>
      <c r="DA32" s="59"/>
    </row>
    <row r="33" spans="1:105" x14ac:dyDescent="0.25">
      <c r="A33" s="9" t="str">
        <f t="shared" si="0"/>
        <v>IT</v>
      </c>
      <c r="B33" s="9" t="s">
        <v>28</v>
      </c>
      <c r="C33" s="20"/>
      <c r="D33" s="9" t="s">
        <v>2</v>
      </c>
      <c r="E33" s="9" t="s">
        <v>186</v>
      </c>
      <c r="F33" s="9" t="str">
        <f>INDEX('Unique Asset List'!$C$4:$C$60,MATCH(B33,_CompoundList,0))</f>
        <v>Ph1</v>
      </c>
      <c r="G33" s="19">
        <v>0</v>
      </c>
      <c r="H33" s="9">
        <v>2014</v>
      </c>
      <c r="I33" s="9">
        <v>6</v>
      </c>
      <c r="J33" s="18">
        <f>INDEX(PTRS!$D$6:$D$12,MATCH('6'!$F33,PTRS!$B$6:$B$12,0))</f>
        <v>0.13923000000000002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v>0.13923000000000002</v>
      </c>
      <c r="N33" s="17">
        <f>INDEX('Unique Asset List'!$D$4:$M$60,MATCH($B33,'Unique Asset List'!$A$4:$A$60,0),MATCH(N$8,'Unique Asset List'!$D$3:$M$3,0))</f>
        <v>0.09</v>
      </c>
      <c r="O33" s="17">
        <f>INDEX('Unique Asset List'!$D$4:$M$60,MATCH($B33,'Unique Asset List'!$A$4:$A$60,0),MATCH(O$8,'Unique Asset List'!$D$3:$M$3,0))</f>
        <v>0.09</v>
      </c>
      <c r="P33" s="17">
        <f>INDEX('Unique Asset List'!$D$4:$M$60,MATCH($B33,'Unique Asset List'!$A$4:$A$60,0),MATCH(P$8,'Unique Asset List'!$D$3:$M$3,0))</f>
        <v>0.09</v>
      </c>
      <c r="Q33" s="17">
        <f>INDEX('Unique Asset List'!$D$4:$M$60,MATCH($B33,'Unique Asset List'!$A$4:$A$60,0),MATCH(Q$8,'Unique Asset List'!$D$3:$M$3,0))</f>
        <v>0.09</v>
      </c>
      <c r="R33" s="17">
        <f>INDEX('Unique Asset List'!$D$4:$M$60,MATCH($B33,'Unique Asset List'!$A$4:$A$60,0),MATCH(R$8,'Unique Asset List'!$D$3:$M$3,0))</f>
        <v>0.09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1"/>
        <v>0.90168566420734264</v>
      </c>
      <c r="V33" s="17">
        <v>1</v>
      </c>
      <c r="W33" s="9" t="s">
        <v>27</v>
      </c>
      <c r="X33" s="9">
        <f>INDEX('Unique Asset List'!$Y$4:$AE$60,MATCH('6'!$B33,'Unique Asset List'!$A$4:$A$60,0),MATCH('6'!$C$1,'Unique Asset List'!$Y$3:$AE$3,0))</f>
        <v>2032</v>
      </c>
      <c r="Y33" s="9">
        <f>INDEX('Unique Asset List'!$AF$4:$AL$60,MATCH('6'!$B33,'Unique Asset List'!$A$4:$A$60,0),MATCH('6'!$C$1,'Unique Asset List'!$AF$3:$AL$3,0))</f>
        <v>6.9999999999990905</v>
      </c>
      <c r="Z33" s="9">
        <f>INDEX('Unique Asset List'!$AT$4:$AZ$60,MATCH('6'!$B33,'Unique Asset List'!$A$4:$A$60,0),MATCH('6'!$C$1,'Unique Asset List'!$AT$3:$AZ$3,0))</f>
        <v>2038</v>
      </c>
      <c r="AA33" s="9">
        <f>INDEX('Unique Asset List'!$BA$4:$BG$60,MATCH('6'!$B33,'Unique Asset List'!$A$4:$A$60,0),MATCH('6'!$C$1,'Unique Asset List'!$BA$3:$BG$3,0))</f>
        <v>9</v>
      </c>
      <c r="AB33" s="16">
        <f t="shared" si="2"/>
        <v>2.0289886000000004</v>
      </c>
      <c r="AC33" s="16">
        <f t="shared" si="3"/>
        <v>0.81843569999999999</v>
      </c>
      <c r="AD33" s="16">
        <f t="shared" si="4"/>
        <v>0.56099999999999994</v>
      </c>
      <c r="AE33" s="15">
        <f>INDEX('Unique Asset List'!$CJ$4:$CP$60,MATCH('6'!$B33,'Unique Asset List'!$A$4:$A$60,0),MATCH('6'!$C$1,'Unique Asset List'!$CJ$3:$CP$3,0))</f>
        <v>0.18</v>
      </c>
      <c r="AF33" s="15">
        <f>INDEX('Unique Asset List'!$CQ$4:$CW$60,MATCH('6'!$B33,'Unique Asset List'!$A$4:$A$60,0),MATCH('6'!$C$1,'Unique Asset List'!$CQ$3:$CW$3,0))</f>
        <v>0.32</v>
      </c>
      <c r="AG33" s="15">
        <f>INDEX('Unique Asset List'!$BV$4:$CB$60,MATCH('6'!$B33,'Unique Asset List'!$A$4:$A$60,0),MATCH('6'!$C$1,'Unique Asset List'!$BV$3:$CB$3,0))</f>
        <v>0.18</v>
      </c>
      <c r="AH33" s="15">
        <f>INDEX('Unique Asset List'!$CC$4:$CI$60,MATCH('6'!$B33,'Unique Asset List'!$A$4:$A$60,0),MATCH('6'!$C$1,'Unique Asset List'!$CC$3:$CI$3,0))</f>
        <v>0.32</v>
      </c>
      <c r="AI33" s="11">
        <v>0.96187963349867744</v>
      </c>
      <c r="AJ33" s="15">
        <f>INDEX('Unique Asset List'!$BH$4:$BN$60,MATCH('6'!$B33,'Unique Asset List'!$A$4:$A$60,0),MATCH('6'!$C$1,'Unique Asset List'!$BH$3:$BN$3,0))</f>
        <v>0.32314284341629806</v>
      </c>
      <c r="AK33" s="15">
        <f>INDEX('Unique Asset List'!$BO$4:$BU$60,MATCH('6'!$B33,'Unique Asset List'!$A$4:$A$60,0),MATCH('6'!$C$1,'Unique Asset List'!$BO$3:$BU$3,0))</f>
        <v>0.61768216477991222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1</v>
      </c>
      <c r="AY33" s="181">
        <f ca="1">INDEX('Unique Asset List'!S$4:S$60,MATCH($B33,_CompoundList,0))</f>
        <v>1</v>
      </c>
      <c r="AZ33" s="181">
        <f ca="1">INDEX('Unique Asset List'!T$4:T$60,MATCH($B33,_CompoundList,0))</f>
        <v>1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1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3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3</v>
      </c>
      <c r="BL33" s="3">
        <f>IF($C$5="ON",CL33,MyRating(_S1,$B33,Efficacy!$F$1))</f>
        <v>2</v>
      </c>
      <c r="BM33" s="3">
        <f>IF($C$5="ON",CM33,MyRating(_S2,$B33,Efficacy!$F$1))</f>
        <v>3</v>
      </c>
      <c r="BN33" s="3">
        <f>IF($C$5="ON",CN33,MyRating(_S3,$B33,Efficacy!$F$1))</f>
        <v>3</v>
      </c>
      <c r="BO33" s="3">
        <f>IF($C$5="ON",CO33,MyRating(_S4,$B33,Efficacy!$F$1))</f>
        <v>4</v>
      </c>
      <c r="BP33" s="3">
        <f>IF($C$5="ON",CP33,MyRating(_S5,$B33,Efficacy!$F$1))</f>
        <v>5</v>
      </c>
      <c r="BQ33" s="3">
        <f>IF($C$5="ON",CQ33,MyRating(_S6,$B33,Efficacy!$F$1))</f>
        <v>3</v>
      </c>
      <c r="BR33" s="3">
        <f>IF($C$5="ON",CR33,MyRating(_S7,$B33,Efficacy!$F$1))</f>
        <v>3</v>
      </c>
      <c r="BS33" s="3">
        <f>IF($C$5="ON",CS33,MyRating(_D1,$B33,Efficacy!$F$1))</f>
        <v>3</v>
      </c>
      <c r="BT33" s="3">
        <f>IF($C$5="ON",CT33,MyRating(_D2,$B33,Efficacy!$F$1))</f>
        <v>3</v>
      </c>
      <c r="BU33" s="3">
        <f>IF($C$5="ON",CU33,MyRating(_D3,$B33,Efficacy!$F$1))</f>
        <v>3</v>
      </c>
      <c r="BV33" s="3">
        <f>IF($C$5="ON",CV33,MyRating(_D4,$B33,Efficacy!$F$1))</f>
        <v>3</v>
      </c>
      <c r="BW33" s="3">
        <f>IF($C$5="ON",CW33,MyRating(_B1G5,$B33,Barrier!$L$2))</f>
        <v>2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9"/>
        <v>3.3407946312985805E-2</v>
      </c>
      <c r="CA33" s="8">
        <f t="shared" si="6"/>
        <v>2.8000000000000003</v>
      </c>
      <c r="CB33" s="5">
        <f t="shared" si="7"/>
        <v>3.2941176470588251E-2</v>
      </c>
      <c r="CC33" s="7">
        <f t="shared" si="8"/>
        <v>5.9787261089987885E-3</v>
      </c>
      <c r="CD33" s="4">
        <v>4</v>
      </c>
      <c r="CE33" s="3">
        <v>4</v>
      </c>
      <c r="CF33" s="3">
        <v>4</v>
      </c>
      <c r="CG33" s="3">
        <v>4</v>
      </c>
      <c r="CH33" s="3">
        <v>3</v>
      </c>
      <c r="CI33" s="3">
        <v>3</v>
      </c>
      <c r="CJ33" s="3">
        <v>3</v>
      </c>
      <c r="CK33" s="3">
        <v>3</v>
      </c>
      <c r="CL33" s="3">
        <v>2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4</v>
      </c>
      <c r="CS33" s="3">
        <v>3</v>
      </c>
      <c r="CT33" s="3">
        <v>3</v>
      </c>
      <c r="CU33" s="3">
        <v>3</v>
      </c>
      <c r="CV33" s="3">
        <v>3</v>
      </c>
      <c r="CW33" s="3">
        <v>2</v>
      </c>
      <c r="CX33" s="3">
        <v>3</v>
      </c>
      <c r="CY33" s="6">
        <v>3</v>
      </c>
      <c r="CZ33" s="5">
        <v>3.6275844714639842E-2</v>
      </c>
      <c r="DA33" s="59"/>
    </row>
    <row r="34" spans="1:105" x14ac:dyDescent="0.25">
      <c r="A34" s="9" t="str">
        <f t="shared" si="0"/>
        <v>IT</v>
      </c>
      <c r="B34" s="9" t="s">
        <v>61</v>
      </c>
      <c r="C34" s="20"/>
      <c r="D34" s="9" t="s">
        <v>60</v>
      </c>
      <c r="E34" s="9" t="s">
        <v>59</v>
      </c>
      <c r="F34" s="9" t="str">
        <f>INDEX('Unique Asset List'!$C$4:$C$60,MATCH(B34,_CompoundList,0))</f>
        <v>Ph1</v>
      </c>
      <c r="G34" s="19">
        <v>0</v>
      </c>
      <c r="H34" s="9">
        <v>2014</v>
      </c>
      <c r="I34" s="9">
        <v>6</v>
      </c>
      <c r="J34" s="18">
        <f>INDEX(PTRS!$D$6:$D$12,MATCH('6'!$F34,PTRS!$B$6:$B$12,0))</f>
        <v>0.13923000000000002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v>0.13923000000000002</v>
      </c>
      <c r="N34" s="17">
        <f>INDEX('Unique Asset List'!$D$4:$M$60,MATCH($B34,'Unique Asset List'!$A$4:$A$60,0),MATCH(N$8,'Unique Asset List'!$D$3:$M$3,0))</f>
        <v>0.13923000000000002</v>
      </c>
      <c r="O34" s="17">
        <f>INDEX('Unique Asset List'!$D$4:$M$60,MATCH($B34,'Unique Asset List'!$A$4:$A$60,0),MATCH(O$8,'Unique Asset List'!$D$3:$M$3,0))</f>
        <v>0.13923000000000002</v>
      </c>
      <c r="P34" s="17">
        <f>INDEX('Unique Asset List'!$D$4:$M$60,MATCH($B34,'Unique Asset List'!$A$4:$A$60,0),MATCH(P$8,'Unique Asset List'!$D$3:$M$3,0))</f>
        <v>0.13923000000000002</v>
      </c>
      <c r="Q34" s="17">
        <f>INDEX('Unique Asset List'!$D$4:$M$60,MATCH($B34,'Unique Asset List'!$A$4:$A$60,0),MATCH(Q$8,'Unique Asset List'!$D$3:$M$3,0))</f>
        <v>0.13923000000000002</v>
      </c>
      <c r="R34" s="17">
        <f>INDEX('Unique Asset List'!$D$4:$M$60,MATCH($B34,'Unique Asset List'!$A$4:$A$60,0),MATCH(R$8,'Unique Asset List'!$D$3:$M$3,0))</f>
        <v>0.13923000000000002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1"/>
        <v>0.90168566420734264</v>
      </c>
      <c r="V34" s="17">
        <v>1</v>
      </c>
      <c r="W34" s="9" t="s">
        <v>57</v>
      </c>
      <c r="X34" s="9">
        <f>INDEX('Unique Asset List'!$Y$4:$AE$60,MATCH('6'!$B34,'Unique Asset List'!$A$4:$A$60,0),MATCH('6'!$C$1,'Unique Asset List'!$Y$3:$AE$3,0))</f>
        <v>2029</v>
      </c>
      <c r="Y34" s="9">
        <f>INDEX('Unique Asset List'!$AF$4:$AL$60,MATCH('6'!$B34,'Unique Asset List'!$A$4:$A$60,0),MATCH('6'!$C$1,'Unique Asset List'!$AF$3:$AL$3,0))</f>
        <v>9.9999999999990905</v>
      </c>
      <c r="Z34" s="9">
        <f>INDEX('Unique Asset List'!$AT$4:$AZ$60,MATCH('6'!$B34,'Unique Asset List'!$A$4:$A$60,0),MATCH('6'!$C$1,'Unique Asset List'!$AT$3:$AZ$3,0))</f>
        <v>2036</v>
      </c>
      <c r="AA34" s="9">
        <f>INDEX('Unique Asset List'!$BA$4:$BG$60,MATCH('6'!$B34,'Unique Asset List'!$A$4:$A$60,0),MATCH('6'!$C$1,'Unique Asset List'!$BA$3:$BG$3,0))</f>
        <v>9</v>
      </c>
      <c r="AB34" s="16">
        <f t="shared" si="2"/>
        <v>2.3276916000000001</v>
      </c>
      <c r="AC34" s="16">
        <f t="shared" si="3"/>
        <v>0.87990560000000007</v>
      </c>
      <c r="AD34" s="16">
        <f t="shared" si="4"/>
        <v>0.56099999999999994</v>
      </c>
      <c r="AE34" s="15">
        <f>INDEX('Unique Asset List'!$CJ$4:$CP$60,MATCH('6'!$B34,'Unique Asset List'!$A$4:$A$60,0),MATCH('6'!$C$1,'Unique Asset List'!$CJ$3:$CP$3,0))</f>
        <v>0.23</v>
      </c>
      <c r="AF34" s="15">
        <f>INDEX('Unique Asset List'!$CQ$4:$CW$60,MATCH('6'!$B34,'Unique Asset List'!$A$4:$A$60,0),MATCH('6'!$C$1,'Unique Asset List'!$CQ$3:$CW$3,0))</f>
        <v>0.27</v>
      </c>
      <c r="AG34" s="15">
        <f>INDEX('Unique Asset List'!$BV$4:$CB$60,MATCH('6'!$B34,'Unique Asset List'!$A$4:$A$60,0),MATCH('6'!$C$1,'Unique Asset List'!$BV$3:$CB$3,0))</f>
        <v>0.23</v>
      </c>
      <c r="AH34" s="15">
        <f>INDEX('Unique Asset List'!$CC$4:$CI$60,MATCH('6'!$B34,'Unique Asset List'!$A$4:$A$60,0),MATCH('6'!$C$1,'Unique Asset List'!$CC$3:$CI$3,0))</f>
        <v>0.27</v>
      </c>
      <c r="AI34" s="11">
        <v>0.96187963349867744</v>
      </c>
      <c r="AJ34" s="15">
        <f>INDEX('Unique Asset List'!$BH$4:$BN$60,MATCH('6'!$B34,'Unique Asset List'!$A$4:$A$60,0),MATCH('6'!$C$1,'Unique Asset List'!$BH$3:$BN$3,0))</f>
        <v>0.32314284341629806</v>
      </c>
      <c r="AK34" s="15">
        <f>INDEX('Unique Asset List'!$BO$4:$BU$60,MATCH('6'!$B34,'Unique Asset List'!$A$4:$A$60,0),MATCH('6'!$C$1,'Unique Asset List'!$BO$3:$BU$3,0))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0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1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5</v>
      </c>
      <c r="BF34" s="3">
        <f>IF($C$5="ON",CF34,MyRating(_E3,$B34,Efficacy!$F$1))</f>
        <v>5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IF($C$5="ON",CL34,MyRating(_S1,$B34,Efficacy!$F$1))</f>
        <v>3</v>
      </c>
      <c r="BM34" s="3">
        <f>IF($C$5="ON",CM34,MyRating(_S2,$B34,Efficacy!$F$1))</f>
        <v>3</v>
      </c>
      <c r="BN34" s="3">
        <f>IF($C$5="ON",CN34,MyRating(_S3,$B34,Efficacy!$F$1))</f>
        <v>3</v>
      </c>
      <c r="BO34" s="3">
        <f>IF($C$5="ON",CO34,MyRating(_S4,$B34,Efficacy!$F$1))</f>
        <v>4</v>
      </c>
      <c r="BP34" s="3">
        <f>IF($C$5="ON",CP34,MyRating(_S5,$B34,Efficacy!$F$1))</f>
        <v>5</v>
      </c>
      <c r="BQ34" s="3">
        <f>IF($C$5="ON",CQ34,MyRating(_S6,$B34,Efficacy!$F$1))</f>
        <v>3</v>
      </c>
      <c r="BR34" s="3">
        <f>IF($C$5="ON",CR34,MyRating(_S7,$B34,Efficacy!$F$1))</f>
        <v>3</v>
      </c>
      <c r="BS34" s="3">
        <f>IF($C$5="ON",CS34,MyRating(_D1,$B34,Efficacy!$F$1))</f>
        <v>3</v>
      </c>
      <c r="BT34" s="3">
        <f>IF($C$5="ON",CT34,MyRating(_D2,$B34,Efficacy!$F$1))</f>
        <v>3</v>
      </c>
      <c r="BU34" s="3">
        <f>IF($C$5="ON",CU34,MyRating(_D3,$B34,Efficacy!$F$1))</f>
        <v>3</v>
      </c>
      <c r="BV34" s="3">
        <f>IF($C$5="ON",CV34,MyRating(_D4,$B34,Efficacy!$F$1))</f>
        <v>3</v>
      </c>
      <c r="BW34" s="3">
        <f>IF($C$5="ON",CW34,MyRating(_B1G5,$B34,Barrier!$L$2))</f>
        <v>2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9"/>
        <v>3.3407946312985805E-2</v>
      </c>
      <c r="CA34" s="8">
        <f t="shared" si="6"/>
        <v>2.8000000000000003</v>
      </c>
      <c r="CB34" s="5">
        <f t="shared" si="7"/>
        <v>3.2941176470588251E-2</v>
      </c>
      <c r="CC34" s="7">
        <f t="shared" si="8"/>
        <v>5.9787261089987885E-3</v>
      </c>
      <c r="CD34" s="4">
        <v>4</v>
      </c>
      <c r="CE34" s="3">
        <v>5</v>
      </c>
      <c r="CF34" s="3">
        <v>5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5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2</v>
      </c>
      <c r="CX34" s="3">
        <v>3</v>
      </c>
      <c r="CY34" s="6">
        <v>3</v>
      </c>
      <c r="CZ34" s="5">
        <v>3.6275844714639842E-2</v>
      </c>
      <c r="DA34" s="59"/>
    </row>
    <row r="35" spans="1:105" x14ac:dyDescent="0.25">
      <c r="A35" s="9" t="str">
        <f t="shared" si="0"/>
        <v>IT</v>
      </c>
      <c r="B35" s="9" t="s">
        <v>278</v>
      </c>
      <c r="C35" s="20" t="s">
        <v>3</v>
      </c>
      <c r="D35" s="9" t="s">
        <v>55</v>
      </c>
      <c r="E35" s="9" t="s">
        <v>186</v>
      </c>
      <c r="F35" s="9" t="str">
        <f>INDEX('Unique Asset List'!$C$4:$C$60,MATCH(B35,_CompoundList,0))</f>
        <v>Ph2a</v>
      </c>
      <c r="G35" s="19">
        <v>0</v>
      </c>
      <c r="H35" s="9">
        <v>2014</v>
      </c>
      <c r="I35" s="9">
        <v>6</v>
      </c>
      <c r="J35" s="18">
        <f>INDEX(PTRS!$D$6:$D$12,MATCH('6'!$F35,PTRS!$B$6:$B$12,0))</f>
        <v>0.1638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v>5.4600000000000003E-2</v>
      </c>
      <c r="N35" s="17">
        <f>INDEX('Unique Asset List'!$D$4:$M$60,MATCH($B35,'Unique Asset List'!$A$4:$A$60,0),MATCH(N$8,'Unique Asset List'!$D$3:$M$3,0))</f>
        <v>0.1638</v>
      </c>
      <c r="O35" s="17">
        <f>INDEX('Unique Asset List'!$D$4:$M$60,MATCH($B35,'Unique Asset List'!$A$4:$A$60,0),MATCH(O$8,'Unique Asset List'!$D$3:$M$3,0))</f>
        <v>0.1638</v>
      </c>
      <c r="P35" s="17">
        <f>INDEX('Unique Asset List'!$D$4:$M$60,MATCH($B35,'Unique Asset List'!$A$4:$A$60,0),MATCH(P$8,'Unique Asset List'!$D$3:$M$3,0))</f>
        <v>0.1638</v>
      </c>
      <c r="Q35" s="17">
        <f>INDEX('Unique Asset List'!$D$4:$M$60,MATCH($B35,'Unique Asset List'!$A$4:$A$60,0),MATCH(Q$8,'Unique Asset List'!$D$3:$M$3,0))</f>
        <v>0.1638</v>
      </c>
      <c r="R35" s="17">
        <f>INDEX('Unique Asset List'!$D$4:$M$60,MATCH($B35,'Unique Asset List'!$A$4:$A$60,0),MATCH(R$8,'Unique Asset List'!$D$3:$M$3,0))</f>
        <v>0.1638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1"/>
        <v>0</v>
      </c>
      <c r="V35" s="17">
        <v>1</v>
      </c>
      <c r="W35" s="9" t="s">
        <v>54</v>
      </c>
      <c r="X35" s="9">
        <f>INDEX('Unique Asset List'!$Y$4:$AE$60,MATCH('6'!$B35,'Unique Asset List'!$A$4:$A$60,0),MATCH('6'!$C$1,'Unique Asset List'!$Y$3:$AE$3,0))</f>
        <v>2024</v>
      </c>
      <c r="Y35" s="9">
        <f>INDEX('Unique Asset List'!$AF$4:$AL$60,MATCH('6'!$B35,'Unique Asset List'!$A$4:$A$60,0),MATCH('6'!$C$1,'Unique Asset List'!$AF$3:$AL$3,0))</f>
        <v>9.9999999999990905</v>
      </c>
      <c r="Z35" s="9">
        <f>INDEX('Unique Asset List'!$AT$4:$AZ$60,MATCH('6'!$B35,'Unique Asset List'!$A$4:$A$60,0),MATCH('6'!$C$1,'Unique Asset List'!$AT$3:$AZ$3,0))</f>
        <v>2036</v>
      </c>
      <c r="AA35" s="9">
        <f>INDEX('Unique Asset List'!$BA$4:$BG$60,MATCH('6'!$B35,'Unique Asset List'!$A$4:$A$60,0),MATCH('6'!$C$1,'Unique Asset List'!$BA$3:$BG$3,0))</f>
        <v>9</v>
      </c>
      <c r="AB35" s="16">
        <f t="shared" si="2"/>
        <v>0</v>
      </c>
      <c r="AC35" s="16">
        <f t="shared" si="3"/>
        <v>0</v>
      </c>
      <c r="AD35" s="16">
        <f t="shared" si="4"/>
        <v>0</v>
      </c>
      <c r="AE35" s="15">
        <f>INDEX('Unique Asset List'!$CJ$4:$CP$60,MATCH('6'!$B35,'Unique Asset List'!$A$4:$A$60,0),MATCH('6'!$C$1,'Unique Asset List'!$CJ$3:$CP$3,0))</f>
        <v>0.18</v>
      </c>
      <c r="AF35" s="15">
        <f>INDEX('Unique Asset List'!$CQ$4:$CW$60,MATCH('6'!$B35,'Unique Asset List'!$A$4:$A$60,0),MATCH('6'!$C$1,'Unique Asset List'!$CQ$3:$CW$3,0))</f>
        <v>0.32</v>
      </c>
      <c r="AG35" s="15">
        <f>INDEX('Unique Asset List'!$BV$4:$CB$60,MATCH('6'!$B35,'Unique Asset List'!$A$4:$A$60,0),MATCH('6'!$C$1,'Unique Asset List'!$BV$3:$CB$3,0))</f>
        <v>0.18</v>
      </c>
      <c r="AH35" s="15">
        <f>INDEX('Unique Asset List'!$CC$4:$CI$60,MATCH('6'!$B35,'Unique Asset List'!$A$4:$A$60,0),MATCH('6'!$C$1,'Unique Asset List'!$CC$3:$CI$3,0))</f>
        <v>0.32</v>
      </c>
      <c r="AI35" s="11">
        <v>0.96187963349867744</v>
      </c>
      <c r="AJ35" s="15">
        <f>INDEX('Unique Asset List'!$BH$4:$BN$60,MATCH('6'!$B35,'Unique Asset List'!$A$4:$A$60,0),MATCH('6'!$C$1,'Unique Asset List'!$BH$3:$BN$3,0))</f>
        <v>0.32314284341629806</v>
      </c>
      <c r="AK35" s="15">
        <f>INDEX('Unique Asset List'!$BO$4:$BU$60,MATCH('6'!$B35,'Unique Asset List'!$A$4:$A$60,0),MATCH('6'!$C$1,'Unique Asset List'!$BO$3:$BU$3,0))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0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0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0</v>
      </c>
      <c r="BC35" s="181">
        <f ca="1">INDEX('Unique Asset List'!W$4:W$60,MATCH($B35,_CompoundList,0))</f>
        <v>1</v>
      </c>
      <c r="BD35" s="4">
        <f>IF($C$5="ON",CD35,MyRating(_E1,$B35,Efficacy!$F$1))</f>
        <v>0</v>
      </c>
      <c r="BE35" s="3">
        <f>IF($C$5="ON",CE35,MyRating(_E2,$B35,Efficacy!$F$1))</f>
        <v>0</v>
      </c>
      <c r="BF35" s="3">
        <f>IF($C$5="ON",CF35,MyRating(_E3,$B35,Efficacy!$F$1))</f>
        <v>0</v>
      </c>
      <c r="BG35" s="3">
        <f>IF($C$5="ON",CG35,MyRating(_E4,$B35,Efficacy!$F$1))</f>
        <v>0</v>
      </c>
      <c r="BH35" s="3">
        <f>IF($C$5="ON",CH35,MyRating(_E5,$B35,Efficacy!$F$1))</f>
        <v>0</v>
      </c>
      <c r="BI35" s="3">
        <f>IF($C$5="ON",CI35,MyRating(_E6,$B35,Efficacy!$F$1))</f>
        <v>0</v>
      </c>
      <c r="BJ35" s="3">
        <f>IF($C$5="ON",CJ35,MyRating(_E7,$B35,Efficacy!$F$1))</f>
        <v>0</v>
      </c>
      <c r="BK35" s="3">
        <f>IF($C$5="ON",CK35,MyRating(_E8,$B35,Efficacy!$F$1))</f>
        <v>0</v>
      </c>
      <c r="BL35" s="3">
        <f>IF($C$5="ON",CL35,MyRating(_S1,$B35,Efficacy!$F$1))</f>
        <v>0</v>
      </c>
      <c r="BM35" s="3">
        <f>IF($C$5="ON",CM35,MyRating(_S2,$B35,Efficacy!$F$1))</f>
        <v>0</v>
      </c>
      <c r="BN35" s="3">
        <f>IF($C$5="ON",CN35,MyRating(_S3,$B35,Efficacy!$F$1))</f>
        <v>0</v>
      </c>
      <c r="BO35" s="3">
        <f>IF($C$5="ON",CO35,MyRating(_S4,$B35,Efficacy!$F$1))</f>
        <v>0</v>
      </c>
      <c r="BP35" s="3">
        <f>IF($C$5="ON",CP35,MyRating(_S5,$B35,Efficacy!$F$1))</f>
        <v>0</v>
      </c>
      <c r="BQ35" s="3">
        <f>IF($C$5="ON",CQ35,MyRating(_S6,$B35,Efficacy!$F$1))</f>
        <v>0</v>
      </c>
      <c r="BR35" s="3">
        <f>IF($C$5="ON",CR35,MyRating(_S7,$B35,Efficacy!$F$1))</f>
        <v>0</v>
      </c>
      <c r="BS35" s="3">
        <f>IF($C$5="ON",CS35,MyRating(_D1,$B35,Efficacy!$F$1))</f>
        <v>0</v>
      </c>
      <c r="BT35" s="3">
        <f>IF($C$5="ON",CT35,MyRating(_D2,$B35,Efficacy!$F$1))</f>
        <v>0</v>
      </c>
      <c r="BU35" s="3">
        <f>IF($C$5="ON",CU35,MyRating(_D3,$B35,Efficacy!$F$1))</f>
        <v>0</v>
      </c>
      <c r="BV35" s="3">
        <f>IF($C$5="ON",CV35,MyRating(_D4,$B35,Efficacy!$F$1))</f>
        <v>0</v>
      </c>
      <c r="BW35" s="3">
        <f>IF($C$5="ON",CW35,MyRating(_B1G5,$B35,Barrier!$L$2))</f>
        <v>0</v>
      </c>
      <c r="BX35" s="3">
        <f>IF($C$5="ON",CX35,MyRating(_B2,$B35,Barrier!$F$2))</f>
        <v>0</v>
      </c>
      <c r="BY35" s="6">
        <f>IF($C$5="ON",CY35,MyRating(_B3,$B35,Barrier!$F$2))</f>
        <v>0</v>
      </c>
      <c r="BZ35" s="5">
        <f t="shared" si="9"/>
        <v>0</v>
      </c>
      <c r="CA35" s="8">
        <f t="shared" si="6"/>
        <v>0</v>
      </c>
      <c r="CB35" s="5">
        <f t="shared" si="7"/>
        <v>0</v>
      </c>
      <c r="CC35" s="7">
        <f t="shared" si="8"/>
        <v>0</v>
      </c>
      <c r="CD35" s="4">
        <v>2</v>
      </c>
      <c r="CE35" s="3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4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2</v>
      </c>
      <c r="CX35" s="3">
        <v>3</v>
      </c>
      <c r="CY35" s="6">
        <v>3</v>
      </c>
      <c r="CZ35" s="5">
        <v>3.6275844714639842E-2</v>
      </c>
      <c r="DA35" s="59"/>
    </row>
    <row r="36" spans="1:105" x14ac:dyDescent="0.25">
      <c r="A36" s="9" t="str">
        <f t="shared" si="0"/>
        <v>IT</v>
      </c>
      <c r="B36" s="9" t="s">
        <v>53</v>
      </c>
      <c r="C36" s="20"/>
      <c r="D36" s="9" t="s">
        <v>52</v>
      </c>
      <c r="E36" s="9" t="s">
        <v>186</v>
      </c>
      <c r="F36" s="9" t="str">
        <f>INDEX('Unique Asset List'!$C$4:$C$60,MATCH(B36,_CompoundList,0))</f>
        <v>Ph2a</v>
      </c>
      <c r="G36" s="19">
        <v>0</v>
      </c>
      <c r="H36" s="9">
        <v>2014</v>
      </c>
      <c r="I36" s="9">
        <v>6</v>
      </c>
      <c r="J36" s="18">
        <f>INDEX(PTRS!$D$6:$D$12,MATCH('6'!$F36,PTRS!$B$6:$B$12,0))</f>
        <v>0.1638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0.1638</v>
      </c>
      <c r="N36" s="17">
        <f>INDEX('Unique Asset List'!$D$4:$M$60,MATCH($B36,'Unique Asset List'!$A$4:$A$60,0),MATCH(N$8,'Unique Asset List'!$D$3:$M$3,0))</f>
        <v>0.1638</v>
      </c>
      <c r="O36" s="17">
        <f>INDEX('Unique Asset List'!$D$4:$M$60,MATCH($B36,'Unique Asset List'!$A$4:$A$60,0),MATCH(O$8,'Unique Asset List'!$D$3:$M$3,0))</f>
        <v>0.1638</v>
      </c>
      <c r="P36" s="17">
        <f>INDEX('Unique Asset List'!$D$4:$M$60,MATCH($B36,'Unique Asset List'!$A$4:$A$60,0),MATCH(P$8,'Unique Asset List'!$D$3:$M$3,0))</f>
        <v>0.1638</v>
      </c>
      <c r="Q36" s="17">
        <f>INDEX('Unique Asset List'!$D$4:$M$60,MATCH($B36,'Unique Asset List'!$A$4:$A$60,0),MATCH(Q$8,'Unique Asset List'!$D$3:$M$3,0))</f>
        <v>0.1638</v>
      </c>
      <c r="R36" s="17">
        <f>INDEX('Unique Asset List'!$D$4:$M$60,MATCH($B36,'Unique Asset List'!$A$4:$A$60,0),MATCH(R$8,'Unique Asset List'!$D$3:$M$3,0))</f>
        <v>0.1638</v>
      </c>
      <c r="S36" s="17">
        <f>INDEX('Unique Asset List'!$D$4:$M$60,MATCH($B36,'Unique Asset List'!$A$4:$A$60,0),MATCH(S$8,'Unique Asset List'!$D$3:$M$3,0))</f>
        <v>0</v>
      </c>
      <c r="T36" s="17"/>
      <c r="U36" s="17">
        <f t="shared" si="1"/>
        <v>0.90168566420734264</v>
      </c>
      <c r="V36" s="17">
        <v>1</v>
      </c>
      <c r="W36" s="9" t="s">
        <v>50</v>
      </c>
      <c r="X36" s="9">
        <f>INDEX('Unique Asset List'!$Y$4:$AE$60,MATCH('6'!$B36,'Unique Asset List'!$A$4:$A$60,0),MATCH('6'!$C$1,'Unique Asset List'!$Y$3:$AE$3,0))</f>
        <v>2025</v>
      </c>
      <c r="Y36" s="9">
        <f>INDEX('Unique Asset List'!$AF$4:$AL$60,MATCH('6'!$B36,'Unique Asset List'!$A$4:$A$60,0),MATCH('6'!$C$1,'Unique Asset List'!$AF$3:$AL$3,0))</f>
        <v>9.9999999999990905</v>
      </c>
      <c r="Z36" s="9">
        <f>INDEX('Unique Asset List'!$AT$4:$AZ$60,MATCH('6'!$B36,'Unique Asset List'!$A$4:$A$60,0),MATCH('6'!$C$1,'Unique Asset List'!$AT$3:$AZ$3,0))</f>
        <v>2036</v>
      </c>
      <c r="AA36" s="9">
        <f>INDEX('Unique Asset List'!$BA$4:$BG$60,MATCH('6'!$B36,'Unique Asset List'!$A$4:$A$60,0),MATCH('6'!$C$1,'Unique Asset List'!$BA$3:$BG$3,0))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List'!$CJ$4:$CP$60,MATCH('6'!$B36,'Unique Asset List'!$A$4:$A$60,0),MATCH('6'!$C$1,'Unique Asset List'!$CJ$3:$CP$3,0))</f>
        <v>0.18</v>
      </c>
      <c r="AF36" s="15">
        <f>INDEX('Unique Asset List'!$CQ$4:$CW$60,MATCH('6'!$B36,'Unique Asset List'!$A$4:$A$60,0),MATCH('6'!$C$1,'Unique Asset List'!$CQ$3:$CW$3,0))</f>
        <v>0.32</v>
      </c>
      <c r="AG36" s="15">
        <f>INDEX('Unique Asset List'!$BV$4:$CB$60,MATCH('6'!$B36,'Unique Asset List'!$A$4:$A$60,0),MATCH('6'!$C$1,'Unique Asset List'!$BV$3:$CB$3,0))</f>
        <v>0.18</v>
      </c>
      <c r="AH36" s="15">
        <f>INDEX('Unique Asset List'!$CC$4:$CI$60,MATCH('6'!$B36,'Unique Asset List'!$A$4:$A$60,0),MATCH('6'!$C$1,'Unique Asset List'!$CC$3:$CI$3,0))</f>
        <v>0.32</v>
      </c>
      <c r="AI36" s="11">
        <v>0.96187963349867744</v>
      </c>
      <c r="AJ36" s="15">
        <f>INDEX('Unique Asset List'!$BH$4:$BN$60,MATCH('6'!$B36,'Unique Asset List'!$A$4:$A$60,0),MATCH('6'!$C$1,'Unique Asset List'!$BH$3:$BN$3,0))</f>
        <v>0.32314284341629806</v>
      </c>
      <c r="AK36" s="15">
        <f>INDEX('Unique Asset List'!$BO$4:$BU$60,MATCH('6'!$B36,'Unique Asset List'!$A$4:$A$60,0),MATCH('6'!$C$1,'Unique Asset List'!$BO$3:$BU$3,0))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1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1</v>
      </c>
      <c r="BB36" s="181">
        <f ca="1">INDEX('Unique Asset List'!V$4:V$60,MATCH($B36,_CompoundList,0))</f>
        <v>1</v>
      </c>
      <c r="BC36" s="181">
        <f ca="1">INDEX('Unique Asset List'!W$4:W$60,MATCH($B36,_CompoundList,0))</f>
        <v>0</v>
      </c>
      <c r="BD36" s="4">
        <f>IF($C$5="ON",CD36,MyRating(_E1,$B36,Efficacy!$F$1))</f>
        <v>3</v>
      </c>
      <c r="BE36" s="3">
        <f>IF($C$5="ON",CE36,MyRating(_E2,$B36,Efficacy!$F$1))</f>
        <v>3</v>
      </c>
      <c r="BF36" s="3">
        <f>IF($C$5="ON",CF36,MyRating(_E3,$B36,Efficacy!$F$1))</f>
        <v>3</v>
      </c>
      <c r="BG36" s="3">
        <f>IF($C$5="ON",CG36,MyRating(_E4,$B36,Efficacy!$F$1))</f>
        <v>3</v>
      </c>
      <c r="BH36" s="3">
        <f>IF($C$5="ON",CH36,MyRating(_E5,$B36,Efficacy!$F$1))</f>
        <v>3</v>
      </c>
      <c r="BI36" s="3">
        <f>IF($C$5="ON",CI36,MyRating(_E6,$B36,Efficacy!$F$1))</f>
        <v>3</v>
      </c>
      <c r="BJ36" s="3">
        <f>IF($C$5="ON",CJ36,MyRating(_E7,$B36,Efficacy!$F$1))</f>
        <v>3</v>
      </c>
      <c r="BK36" s="3">
        <f>IF($C$5="ON",CK36,MyRating(_E8,$B36,Efficacy!$F$1))</f>
        <v>3</v>
      </c>
      <c r="BL36" s="3">
        <f>IF($C$5="ON",CL36,MyRating(_S1,$B36,Efficacy!$F$1))</f>
        <v>3</v>
      </c>
      <c r="BM36" s="3">
        <f>IF($C$5="ON",CM36,MyRating(_S2,$B36,Efficacy!$F$1))</f>
        <v>3</v>
      </c>
      <c r="BN36" s="3">
        <f>IF($C$5="ON",CN36,MyRating(_S3,$B36,Efficacy!$F$1))</f>
        <v>3</v>
      </c>
      <c r="BO36" s="3">
        <f>IF($C$5="ON",CO36,MyRating(_S4,$B36,Efficacy!$F$1))</f>
        <v>3</v>
      </c>
      <c r="BP36" s="3">
        <f>IF($C$5="ON",CP36,MyRating(_S5,$B36,Efficacy!$F$1))</f>
        <v>3</v>
      </c>
      <c r="BQ36" s="3">
        <f>IF($C$5="ON",CQ36,MyRating(_S6,$B36,Efficacy!$F$1))</f>
        <v>3</v>
      </c>
      <c r="BR36" s="3">
        <f>IF($C$5="ON",CR36,MyRating(_S7,$B36,Efficacy!$F$1))</f>
        <v>3</v>
      </c>
      <c r="BS36" s="3">
        <f>IF($C$5="ON",CS36,MyRating(_D1,$B36,Efficacy!$F$1))</f>
        <v>3</v>
      </c>
      <c r="BT36" s="3">
        <f>IF($C$5="ON",CT36,MyRating(_D2,$B36,Efficacy!$F$1))</f>
        <v>3</v>
      </c>
      <c r="BU36" s="3">
        <f>IF($C$5="ON",CU36,MyRating(_D3,$B36,Efficacy!$F$1))</f>
        <v>3</v>
      </c>
      <c r="BV36" s="3">
        <f>IF($C$5="ON",CV36,MyRating(_D4,$B36,Efficacy!$F$1))</f>
        <v>3</v>
      </c>
      <c r="BW36" s="3">
        <f>IF($C$5="ON",CW36,MyRating(_B1G5,$B36,Barrier!$L$2))</f>
        <v>2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9"/>
        <v>3.3407946312985805E-2</v>
      </c>
      <c r="CA36" s="8">
        <f t="shared" si="6"/>
        <v>2.8000000000000003</v>
      </c>
      <c r="CB36" s="5">
        <f t="shared" si="7"/>
        <v>3.2941176470588251E-2</v>
      </c>
      <c r="CC36" s="7">
        <f t="shared" si="8"/>
        <v>5.9787261089987885E-3</v>
      </c>
      <c r="CD36" s="4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2</v>
      </c>
      <c r="CX36" s="3">
        <v>3</v>
      </c>
      <c r="CY36" s="6">
        <v>3</v>
      </c>
      <c r="CZ36" s="5">
        <v>3.6275844714639842E-2</v>
      </c>
      <c r="DA36" s="59"/>
    </row>
    <row r="37" spans="1:105" x14ac:dyDescent="0.25">
      <c r="A37" s="9" t="str">
        <f t="shared" si="0"/>
        <v>IT</v>
      </c>
      <c r="B37" s="9" t="s">
        <v>45</v>
      </c>
      <c r="C37" s="20"/>
      <c r="D37" s="9" t="s">
        <v>44</v>
      </c>
      <c r="E37" s="9" t="s">
        <v>186</v>
      </c>
      <c r="F37" s="9" t="str">
        <f>INDEX('Unique Asset List'!$C$4:$C$60,MATCH(B37,_CompoundList,0))</f>
        <v>Ph2b</v>
      </c>
      <c r="G37" s="19">
        <v>0</v>
      </c>
      <c r="H37" s="9">
        <v>2014</v>
      </c>
      <c r="I37" s="9">
        <v>6</v>
      </c>
      <c r="J37" s="18">
        <f>INDEX(PTRS!$D$6:$D$12,MATCH('6'!$F37,PTRS!$B$6:$B$12,0))</f>
        <v>0.40949999999999998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0.40949999999999998</v>
      </c>
      <c r="N37" s="17">
        <f>INDEX('Unique Asset List'!$D$4:$M$60,MATCH($B37,'Unique Asset List'!$A$4:$A$60,0),MATCH(N$8,'Unique Asset List'!$D$3:$M$3,0))</f>
        <v>0.59</v>
      </c>
      <c r="O37" s="17">
        <f>INDEX('Unique Asset List'!$D$4:$M$60,MATCH($B37,'Unique Asset List'!$A$4:$A$60,0),MATCH(O$8,'Unique Asset List'!$D$3:$M$3,0))</f>
        <v>0.59</v>
      </c>
      <c r="P37" s="17">
        <f>INDEX('Unique Asset List'!$D$4:$M$60,MATCH($B37,'Unique Asset List'!$A$4:$A$60,0),MATCH(P$8,'Unique Asset List'!$D$3:$M$3,0))</f>
        <v>0.59</v>
      </c>
      <c r="Q37" s="17">
        <f>INDEX('Unique Asset List'!$D$4:$M$60,MATCH($B37,'Unique Asset List'!$A$4:$A$60,0),MATCH(Q$8,'Unique Asset List'!$D$3:$M$3,0))</f>
        <v>0.59</v>
      </c>
      <c r="R37" s="17">
        <f>INDEX('Unique Asset List'!$D$4:$M$60,MATCH($B37,'Unique Asset List'!$A$4:$A$60,0),MATCH(R$8,'Unique Asset List'!$D$3:$M$3,0))</f>
        <v>0.59</v>
      </c>
      <c r="S37" s="17">
        <f>INDEX('Unique Asset List'!$D$4:$M$60,MATCH($B37,'Unique Asset List'!$A$4:$A$60,0),MATCH(S$8,'Unique Asset List'!$D$3:$M$3,0))</f>
        <v>1</v>
      </c>
      <c r="T37" s="17"/>
      <c r="U37" s="17">
        <f t="shared" si="1"/>
        <v>0.80682275808442805</v>
      </c>
      <c r="V37" s="17">
        <f>5*7/Simulation!E5</f>
        <v>0.19444444444444445</v>
      </c>
      <c r="W37" s="9" t="s">
        <v>42</v>
      </c>
      <c r="X37" s="9">
        <f>INDEX('Unique Asset List'!$Y$4:$AE$60,MATCH('6'!$B37,'Unique Asset List'!$A$4:$A$60,0),MATCH('6'!$C$1,'Unique Asset List'!$Y$3:$AE$3,0))</f>
        <v>2025</v>
      </c>
      <c r="Y37" s="9">
        <f>INDEX('Unique Asset List'!$AF$4:$AL$60,MATCH('6'!$B37,'Unique Asset List'!$A$4:$A$60,0),MATCH('6'!$C$1,'Unique Asset List'!$AF$3:$AL$3,0))</f>
        <v>1.999999999998181</v>
      </c>
      <c r="Z37" s="9">
        <f>INDEX('Unique Asset List'!$AT$4:$AZ$60,MATCH('6'!$B37,'Unique Asset List'!$A$4:$A$60,0),MATCH('6'!$C$1,'Unique Asset List'!$AT$3:$AZ$3,0))</f>
        <v>2035</v>
      </c>
      <c r="AA37" s="9">
        <f>INDEX('Unique Asset List'!$BA$4:$BG$60,MATCH('6'!$B37,'Unique Asset List'!$A$4:$A$60,0),MATCH('6'!$C$1,'Unique Asset List'!$BA$3:$BG$3,0))</f>
        <v>1</v>
      </c>
      <c r="AB37" s="16">
        <f t="shared" si="2"/>
        <v>2.1065446000000003</v>
      </c>
      <c r="AC37" s="16">
        <f t="shared" si="3"/>
        <v>0.86040290000000008</v>
      </c>
      <c r="AD37" s="16">
        <f t="shared" si="4"/>
        <v>0.56099999999999994</v>
      </c>
      <c r="AE37" s="15">
        <f>INDEX('Unique Asset List'!$CJ$4:$CP$60,MATCH('6'!$B37,'Unique Asset List'!$A$4:$A$60,0),MATCH('6'!$C$1,'Unique Asset List'!$CJ$3:$CP$3,0))</f>
        <v>0.18</v>
      </c>
      <c r="AF37" s="15">
        <f>INDEX('Unique Asset List'!$CQ$4:$CW$60,MATCH('6'!$B37,'Unique Asset List'!$A$4:$A$60,0),MATCH('6'!$C$1,'Unique Asset List'!$CQ$3:$CW$3,0))</f>
        <v>0.32</v>
      </c>
      <c r="AG37" s="15">
        <f>INDEX('Unique Asset List'!$BV$4:$CB$60,MATCH('6'!$B37,'Unique Asset List'!$A$4:$A$60,0),MATCH('6'!$C$1,'Unique Asset List'!$BV$3:$CB$3,0))</f>
        <v>0.18</v>
      </c>
      <c r="AH37" s="15">
        <f>INDEX('Unique Asset List'!$CC$4:$CI$60,MATCH('6'!$B37,'Unique Asset List'!$A$4:$A$60,0),MATCH('6'!$C$1,'Unique Asset List'!$CC$3:$CI$3,0))</f>
        <v>0.32</v>
      </c>
      <c r="AI37" s="11">
        <v>0.96187963349867744</v>
      </c>
      <c r="AJ37" s="15">
        <f>INDEX('Unique Asset List'!$BH$4:$BN$60,MATCH('6'!$B37,'Unique Asset List'!$A$4:$A$60,0),MATCH('6'!$C$1,'Unique Asset List'!$BH$3:$BN$3,0))</f>
        <v>0.32314284341629806</v>
      </c>
      <c r="AK37" s="15">
        <f>INDEX('Unique Asset List'!$BO$4:$BU$60,MATCH('6'!$B37,'Unique Asset List'!$A$4:$A$60,0),MATCH('6'!$C$1,'Unique Asset List'!$BO$3:$BU$3,0))</f>
        <v>0.61768216477991222</v>
      </c>
      <c r="AL37" s="40">
        <v>35</v>
      </c>
      <c r="AM37" s="14">
        <f>3.5*365*0.8/AL37</f>
        <v>29.2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0</v>
      </c>
      <c r="BA37" s="181">
        <f ca="1">INDEX('Unique Asset List'!U$4:U$60,MATCH($B37,_CompoundList,0))</f>
        <v>0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4</v>
      </c>
      <c r="BF37" s="3">
        <f>IF($C$5="ON",CF37,MyRating(_E3,$B37,Efficacy!$F$1))</f>
        <v>4</v>
      </c>
      <c r="BG37" s="3">
        <f>IF($C$5="ON",CG37,MyRating(_E4,$B37,Efficacy!$F$1))</f>
        <v>2</v>
      </c>
      <c r="BH37" s="3">
        <f>IF($C$5="ON",CH37,MyRating(_E5,$B37,Efficacy!$F$1))</f>
        <v>4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5</v>
      </c>
      <c r="BL37" s="3">
        <f>IF($C$5="ON",CL37,MyRating(_S1,$B37,Efficacy!$F$1))</f>
        <v>4</v>
      </c>
      <c r="BM37" s="3">
        <f>IF($C$5="ON",CM37,MyRating(_S2,$B37,Efficacy!$F$1))</f>
        <v>3</v>
      </c>
      <c r="BN37" s="3">
        <f>IF($C$5="ON",CN37,MyRating(_S3,$B37,Efficacy!$F$1))</f>
        <v>3</v>
      </c>
      <c r="BO37" s="3">
        <f>IF($C$5="ON",CO37,MyRating(_S4,$B37,Efficacy!$F$1))</f>
        <v>3</v>
      </c>
      <c r="BP37" s="3">
        <f>IF($C$5="ON",CP37,MyRating(_S5,$B37,Efficacy!$F$1))</f>
        <v>4</v>
      </c>
      <c r="BQ37" s="3">
        <f>IF($C$5="ON",CQ37,MyRating(_S6,$B37,Efficacy!$F$1))</f>
        <v>3</v>
      </c>
      <c r="BR37" s="3">
        <f>IF($C$5="ON",CR37,MyRating(_S7,$B37,Efficacy!$F$1))</f>
        <v>3</v>
      </c>
      <c r="BS37" s="3">
        <f>IF($C$5="ON",CS37,MyRating(_D1,$B37,Efficacy!$F$1))</f>
        <v>3</v>
      </c>
      <c r="BT37" s="3">
        <f>IF($C$5="ON",CT37,MyRating(_D2,$B37,Efficacy!$F$1))</f>
        <v>3</v>
      </c>
      <c r="BU37" s="3">
        <f>IF($C$5="ON",CU37,MyRating(_D3,$B37,Efficacy!$F$1))</f>
        <v>3</v>
      </c>
      <c r="BV37" s="3">
        <f>IF($C$5="ON",CV37,MyRating(_D4,$B37,Efficacy!$F$1))</f>
        <v>3</v>
      </c>
      <c r="BW37" s="3">
        <f>IF($C$5="ON",CW37,MyRating(_B1G5,$B37,Barrier!$L$2))</f>
        <v>1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9"/>
        <v>2.9893223831915738E-2</v>
      </c>
      <c r="CA37" s="8">
        <f t="shared" si="6"/>
        <v>2.6000000000000005</v>
      </c>
      <c r="CB37" s="5">
        <f t="shared" si="7"/>
        <v>3.058823529411767E-2</v>
      </c>
      <c r="CC37" s="7">
        <f t="shared" si="8"/>
        <v>5.3497271616647964E-3</v>
      </c>
      <c r="CD37" s="4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6">
        <v>0</v>
      </c>
      <c r="CZ37" s="5">
        <v>0</v>
      </c>
      <c r="DA37" s="59"/>
    </row>
    <row r="38" spans="1:105" x14ac:dyDescent="0.25">
      <c r="A38" s="9" t="str">
        <f t="shared" si="0"/>
        <v>IT</v>
      </c>
      <c r="B38" s="9" t="s">
        <v>41</v>
      </c>
      <c r="C38" s="20"/>
      <c r="D38" s="9" t="s">
        <v>187</v>
      </c>
      <c r="E38" s="9" t="s">
        <v>186</v>
      </c>
      <c r="F38" s="9" t="str">
        <f>INDEX('Unique Asset List'!$C$4:$C$60,MATCH(B38,_CompoundList,0))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INDEX(PTRS!$D$6:$D$12,MATCH('6'!$F38,PTRS!$B$6:$B$12,0))</f>
        <v>0.1044225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0.1044225</v>
      </c>
      <c r="N38" s="17">
        <f>INDEX('Unique Asset List'!$D$4:$M$60,MATCH($B38,'Unique Asset List'!$A$4:$A$60,0),MATCH(N$8,'Unique Asset List'!$D$3:$M$3,0))</f>
        <v>0.1044225</v>
      </c>
      <c r="O38" s="17">
        <f>INDEX('Unique Asset List'!$D$4:$M$60,MATCH($B38,'Unique Asset List'!$A$4:$A$60,0),MATCH(O$8,'Unique Asset List'!$D$3:$M$3,0))</f>
        <v>0.1044225</v>
      </c>
      <c r="P38" s="17">
        <f>INDEX('Unique Asset List'!$D$4:$M$60,MATCH($B38,'Unique Asset List'!$A$4:$A$60,0),MATCH(P$8,'Unique Asset List'!$D$3:$M$3,0))</f>
        <v>0.1044225</v>
      </c>
      <c r="Q38" s="17">
        <f>INDEX('Unique Asset List'!$D$4:$M$60,MATCH($B38,'Unique Asset List'!$A$4:$A$60,0),MATCH(Q$8,'Unique Asset List'!$D$3:$M$3,0))</f>
        <v>0.1044225</v>
      </c>
      <c r="R38" s="17">
        <f>INDEX('Unique Asset List'!$D$4:$M$60,MATCH($B38,'Unique Asset List'!$A$4:$A$60,0),MATCH(R$8,'Unique Asset List'!$D$3:$M$3,0))</f>
        <v>0.1044225</v>
      </c>
      <c r="S38" s="17">
        <f>INDEX('Unique Asset List'!$D$4:$M$60,MATCH($B38,'Unique Asset List'!$A$4:$A$60,0),MATCH(S$8,'Unique Asset List'!$D$3:$M$3,0))</f>
        <v>0</v>
      </c>
      <c r="T38" s="17" t="s">
        <v>39</v>
      </c>
      <c r="U38" s="17">
        <f t="shared" si="1"/>
        <v>0.90168566420734264</v>
      </c>
      <c r="V38" s="17">
        <v>1</v>
      </c>
      <c r="W38" s="57" t="s">
        <v>38</v>
      </c>
      <c r="X38" s="9">
        <f>INDEX('Unique Asset List'!$Y$4:$AE$60,MATCH('6'!$B38,'Unique Asset List'!$A$4:$A$60,0),MATCH('6'!$C$1,'Unique Asset List'!$Y$3:$AE$3,0))</f>
        <v>2029</v>
      </c>
      <c r="Y38" s="9">
        <f>INDEX('Unique Asset List'!$AF$4:$AL$60,MATCH('6'!$B38,'Unique Asset List'!$A$4:$A$60,0),MATCH('6'!$C$1,'Unique Asset List'!$AF$3:$AL$3,0))</f>
        <v>3.9999999999990905</v>
      </c>
      <c r="Z38" s="9">
        <f>INDEX('Unique Asset List'!$AT$4:$AZ$60,MATCH('6'!$B38,'Unique Asset List'!$A$4:$A$60,0),MATCH('6'!$C$1,'Unique Asset List'!$AT$3:$AZ$3,0))</f>
        <v>2038</v>
      </c>
      <c r="AA38" s="9">
        <f>INDEX('Unique Asset List'!$BA$4:$BG$60,MATCH('6'!$B38,'Unique Asset List'!$A$4:$A$60,0),MATCH('6'!$C$1,'Unique Asset List'!$BA$3:$BG$3,0))</f>
        <v>3</v>
      </c>
      <c r="AB38" s="16">
        <f>AB20</f>
        <v>2.1511674000000003</v>
      </c>
      <c r="AC38" s="16">
        <f>AC20</f>
        <v>0.95118959999999997</v>
      </c>
      <c r="AD38" s="16">
        <f>AD20</f>
        <v>0.56099999999999994</v>
      </c>
      <c r="AE38" s="15">
        <f>INDEX('Unique Asset List'!$CJ$4:$CP$60,MATCH('6'!$B38,'Unique Asset List'!$A$4:$A$60,0),MATCH('6'!$C$1,'Unique Asset List'!$CJ$3:$CP$3,0))</f>
        <v>0.18</v>
      </c>
      <c r="AF38" s="15">
        <f>INDEX('Unique Asset List'!$CQ$4:$CW$60,MATCH('6'!$B38,'Unique Asset List'!$A$4:$A$60,0),MATCH('6'!$C$1,'Unique Asset List'!$CQ$3:$CW$3,0))</f>
        <v>0.32</v>
      </c>
      <c r="AG38" s="15">
        <f>INDEX('Unique Asset List'!$BV$4:$CB$60,MATCH('6'!$B38,'Unique Asset List'!$A$4:$A$60,0),MATCH('6'!$C$1,'Unique Asset List'!$BV$3:$CB$3,0))</f>
        <v>0.18</v>
      </c>
      <c r="AH38" s="15">
        <f>INDEX('Unique Asset List'!$CC$4:$CI$60,MATCH('6'!$B38,'Unique Asset List'!$A$4:$A$60,0),MATCH('6'!$C$1,'Unique Asset List'!$CC$3:$CI$3,0))</f>
        <v>0.32</v>
      </c>
      <c r="AI38" s="11">
        <v>0.96187963349867744</v>
      </c>
      <c r="AJ38" s="15">
        <f>INDEX('Unique Asset List'!$BH$4:$BN$60,MATCH('6'!$B38,'Unique Asset List'!$A$4:$A$60,0),MATCH('6'!$C$1,'Unique Asset List'!$BH$3:$BN$3,0))</f>
        <v>0.32314284341629806</v>
      </c>
      <c r="AK38" s="15">
        <f>INDEX('Unique Asset List'!$BO$4:$BU$60,MATCH('6'!$B38,'Unique Asset List'!$A$4:$A$60,0),MATCH('6'!$C$1,'Unique Asset List'!$BO$3:$BU$3,0))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0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0</v>
      </c>
      <c r="BB38" s="181">
        <f ca="1">INDEX('Unique Asset List'!V$4:V$60,MATCH($B38,_CompoundList,0))</f>
        <v>0</v>
      </c>
      <c r="BC38" s="181">
        <f ca="1">INDEX('Unique Asset List'!W$4:W$60,MATCH($B38,_CompoundList,0))</f>
        <v>0</v>
      </c>
      <c r="BD38" s="4">
        <f>IF($C$5="ON",CD38,MyRating(_E1,$B38,Efficacy!$F$1))</f>
        <v>0</v>
      </c>
      <c r="BE38" s="3">
        <f>IF($C$5="ON",CE38,MyRating(_E2,$B38,Efficacy!$F$1))</f>
        <v>0</v>
      </c>
      <c r="BF38" s="3">
        <f>IF($C$5="ON",CF38,MyRating(_E3,$B38,Efficacy!$F$1))</f>
        <v>0</v>
      </c>
      <c r="BG38" s="3">
        <f>IF($C$5="ON",CG38,MyRating(_E4,$B38,Efficacy!$F$1))</f>
        <v>0</v>
      </c>
      <c r="BH38" s="3">
        <f>IF($C$5="ON",CH38,MyRating(_E5,$B38,Efficacy!$F$1))</f>
        <v>0</v>
      </c>
      <c r="BI38" s="3">
        <f>IF($C$5="ON",CI38,MyRating(_E6,$B38,Efficacy!$F$1))</f>
        <v>0</v>
      </c>
      <c r="BJ38" s="3">
        <f>IF($C$5="ON",CJ38,MyRating(_E7,$B38,Efficacy!$F$1))</f>
        <v>0</v>
      </c>
      <c r="BK38" s="3">
        <f>IF($C$5="ON",CK38,MyRating(_E8,$B38,Efficacy!$F$1))</f>
        <v>0</v>
      </c>
      <c r="BL38" s="3">
        <f>IF($C$5="ON",CL38,MyRating(_S1,$B38,Efficacy!$F$1))</f>
        <v>0</v>
      </c>
      <c r="BM38" s="3">
        <f>IF($C$5="ON",CM38,MyRating(_S2,$B38,Efficacy!$F$1))</f>
        <v>0</v>
      </c>
      <c r="BN38" s="3">
        <f>IF($C$5="ON",CN38,MyRating(_S3,$B38,Efficacy!$F$1))</f>
        <v>0</v>
      </c>
      <c r="BO38" s="3">
        <f>IF($C$5="ON",CO38,MyRating(_S4,$B38,Efficacy!$F$1))</f>
        <v>0</v>
      </c>
      <c r="BP38" s="3">
        <f>IF($C$5="ON",CP38,MyRating(_S5,$B38,Efficacy!$F$1))</f>
        <v>0</v>
      </c>
      <c r="BQ38" s="3">
        <f>IF($C$5="ON",CQ38,MyRating(_S6,$B38,Efficacy!$F$1))</f>
        <v>0</v>
      </c>
      <c r="BR38" s="3">
        <f>IF($C$5="ON",CR38,MyRating(_S7,$B38,Efficacy!$F$1))</f>
        <v>0</v>
      </c>
      <c r="BS38" s="3">
        <f>IF($C$5="ON",CS38,MyRating(_D1,$B38,Efficacy!$F$1))</f>
        <v>0</v>
      </c>
      <c r="BT38" s="3">
        <f>IF($C$5="ON",CT38,MyRating(_D2,$B38,Efficacy!$F$1))</f>
        <v>0</v>
      </c>
      <c r="BU38" s="3">
        <f>IF($C$5="ON",CU38,MyRating(_D3,$B38,Efficacy!$F$1))</f>
        <v>0</v>
      </c>
      <c r="BV38" s="3">
        <f>IF($C$5="ON",CV38,MyRating(_D4,$B38,Efficacy!$F$1))</f>
        <v>0</v>
      </c>
      <c r="BW38" s="3">
        <f>IF($C$5="ON",CW38,MyRating(_B1G5,$B38,Barrier!$L$2))</f>
        <v>2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9"/>
        <v>3.3407946312985805E-2</v>
      </c>
      <c r="CA38" s="8">
        <f t="shared" si="6"/>
        <v>2.8000000000000003</v>
      </c>
      <c r="CB38" s="5">
        <f t="shared" si="7"/>
        <v>3.2941176470588251E-2</v>
      </c>
      <c r="CC38" s="7">
        <f t="shared" si="8"/>
        <v>5.9787261089987885E-3</v>
      </c>
      <c r="CD38" s="4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6">
        <v>0</v>
      </c>
      <c r="CZ38" s="5">
        <v>0</v>
      </c>
      <c r="DA38" s="59"/>
    </row>
    <row r="39" spans="1:105" x14ac:dyDescent="0.25">
      <c r="A39" s="9" t="str">
        <f t="shared" si="0"/>
        <v>IT</v>
      </c>
      <c r="B39" s="9" t="s">
        <v>37</v>
      </c>
      <c r="C39" s="20"/>
      <c r="D39" s="9" t="s">
        <v>36</v>
      </c>
      <c r="E39" s="9" t="s">
        <v>186</v>
      </c>
      <c r="F39" s="9" t="str">
        <f>INDEX('Unique Asset List'!$C$4:$C$60,MATCH(B39,_CompoundList,0))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INDEX(PTRS!$D$6:$D$12,MATCH('6'!$F39,PTRS!$B$6:$B$12,0))</f>
        <v>0.1044225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v>0.1044225</v>
      </c>
      <c r="N39" s="17">
        <f>INDEX('Unique Asset List'!$D$4:$M$60,MATCH($B39,'Unique Asset List'!$A$4:$A$60,0),MATCH(N$8,'Unique Asset List'!$D$3:$M$3,0))</f>
        <v>0.1044225</v>
      </c>
      <c r="O39" s="17">
        <f>INDEX('Unique Asset List'!$D$4:$M$60,MATCH($B39,'Unique Asset List'!$A$4:$A$60,0),MATCH(O$8,'Unique Asset List'!$D$3:$M$3,0))</f>
        <v>0.1044225</v>
      </c>
      <c r="P39" s="17">
        <f>INDEX('Unique Asset List'!$D$4:$M$60,MATCH($B39,'Unique Asset List'!$A$4:$A$60,0),MATCH(P$8,'Unique Asset List'!$D$3:$M$3,0))</f>
        <v>0.1044225</v>
      </c>
      <c r="Q39" s="17">
        <f>INDEX('Unique Asset List'!$D$4:$M$60,MATCH($B39,'Unique Asset List'!$A$4:$A$60,0),MATCH(Q$8,'Unique Asset List'!$D$3:$M$3,0))</f>
        <v>0.1044225</v>
      </c>
      <c r="R39" s="17">
        <f>INDEX('Unique Asset List'!$D$4:$M$60,MATCH($B39,'Unique Asset List'!$A$4:$A$60,0),MATCH(R$8,'Unique Asset List'!$D$3:$M$3,0))</f>
        <v>0.1044225</v>
      </c>
      <c r="S39" s="17">
        <f>INDEX('Unique Asset List'!$D$4:$M$60,MATCH($B39,'Unique Asset List'!$A$4:$A$60,0),MATCH(S$8,'Unique Asset List'!$D$3:$M$3,0))</f>
        <v>0</v>
      </c>
      <c r="T39" s="17" t="s">
        <v>35</v>
      </c>
      <c r="U39" s="17">
        <f t="shared" si="1"/>
        <v>0.90168566420734264</v>
      </c>
      <c r="V39" s="17">
        <v>1</v>
      </c>
      <c r="W39" s="9" t="s">
        <v>34</v>
      </c>
      <c r="X39" s="9">
        <f>INDEX('Unique Asset List'!$Y$4:$AE$60,MATCH('6'!$B39,'Unique Asset List'!$A$4:$A$60,0),MATCH('6'!$C$1,'Unique Asset List'!$Y$3:$AE$3,0))</f>
        <v>2034</v>
      </c>
      <c r="Y39" s="9">
        <f>INDEX('Unique Asset List'!$AF$4:$AL$60,MATCH('6'!$B39,'Unique Asset List'!$A$4:$A$60,0),MATCH('6'!$C$1,'Unique Asset List'!$AF$3:$AL$3,0))</f>
        <v>3</v>
      </c>
      <c r="Z39" s="9">
        <f>INDEX('Unique Asset List'!$AT$4:$AZ$60,MATCH('6'!$B39,'Unique Asset List'!$A$4:$A$60,0),MATCH('6'!$C$1,'Unique Asset List'!$AT$3:$AZ$3,0))</f>
        <v>2043</v>
      </c>
      <c r="AA39" s="9">
        <f>INDEX('Unique Asset List'!$BA$4:$BG$60,MATCH('6'!$B39,'Unique Asset List'!$A$4:$A$60,0),MATCH('6'!$C$1,'Unique Asset List'!$BA$3:$BG$3,0))</f>
        <v>2</v>
      </c>
      <c r="AB39" s="16">
        <f>AB28</f>
        <v>2.0681600000000007</v>
      </c>
      <c r="AC39" s="16">
        <f>AC28</f>
        <v>0.94137550000000003</v>
      </c>
      <c r="AD39" s="16">
        <f>AD28</f>
        <v>0.56099999999999994</v>
      </c>
      <c r="AE39" s="15">
        <f>INDEX('Unique Asset List'!$CJ$4:$CP$60,MATCH('6'!$B39,'Unique Asset List'!$A$4:$A$60,0),MATCH('6'!$C$1,'Unique Asset List'!$CJ$3:$CP$3,0))</f>
        <v>0.18</v>
      </c>
      <c r="AF39" s="15">
        <f>INDEX('Unique Asset List'!$CQ$4:$CW$60,MATCH('6'!$B39,'Unique Asset List'!$A$4:$A$60,0),MATCH('6'!$C$1,'Unique Asset List'!$CQ$3:$CW$3,0))</f>
        <v>0.32</v>
      </c>
      <c r="AG39" s="15">
        <f>INDEX('Unique Asset List'!$BV$4:$CB$60,MATCH('6'!$B39,'Unique Asset List'!$A$4:$A$60,0),MATCH('6'!$C$1,'Unique Asset List'!$BV$3:$CB$3,0))</f>
        <v>0.18</v>
      </c>
      <c r="AH39" s="15">
        <f>INDEX('Unique Asset List'!$CC$4:$CI$60,MATCH('6'!$B39,'Unique Asset List'!$A$4:$A$60,0),MATCH('6'!$C$1,'Unique Asset List'!$CC$3:$CI$3,0))</f>
        <v>0.32</v>
      </c>
      <c r="AI39" s="11">
        <v>0.96187963349867744</v>
      </c>
      <c r="AJ39" s="15">
        <f>INDEX('Unique Asset List'!$BH$4:$BN$60,MATCH('6'!$B39,'Unique Asset List'!$A$4:$A$60,0),MATCH('6'!$C$1,'Unique Asset List'!$BH$3:$BN$3,0))</f>
        <v>0.32314284341629806</v>
      </c>
      <c r="AK39" s="15">
        <f>INDEX('Unique Asset List'!$BO$4:$BU$60,MATCH('6'!$B39,'Unique Asset List'!$A$4:$A$60,0),MATCH('6'!$C$1,'Unique Asset List'!$BO$3:$BU$3,0))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1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0</v>
      </c>
      <c r="BA39" s="181">
        <f ca="1">INDEX('Unique Asset List'!U$4:U$60,MATCH($B39,_CompoundList,0))</f>
        <v>0</v>
      </c>
      <c r="BB39" s="181">
        <f ca="1">INDEX('Unique Asset List'!V$4:V$60,MATCH($B39,_CompoundList,0))</f>
        <v>0</v>
      </c>
      <c r="BC39" s="181">
        <f ca="1">INDEX('Unique Asset List'!W$4:W$60,MATCH($B39,_CompoundList,0))</f>
        <v>0</v>
      </c>
      <c r="BD39" s="4">
        <f>IF($C$5="ON",CD39,MyRating(_E1,$B39,Efficacy!$F$1))</f>
        <v>0</v>
      </c>
      <c r="BE39" s="3">
        <f>IF($C$5="ON",CE39,MyRating(_E2,$B39,Efficacy!$F$1))</f>
        <v>0</v>
      </c>
      <c r="BF39" s="3">
        <f>IF($C$5="ON",CF39,MyRating(_E3,$B39,Efficacy!$F$1))</f>
        <v>0</v>
      </c>
      <c r="BG39" s="3">
        <f>IF($C$5="ON",CG39,MyRating(_E4,$B39,Efficacy!$F$1))</f>
        <v>0</v>
      </c>
      <c r="BH39" s="3">
        <f>IF($C$5="ON",CH39,MyRating(_E5,$B39,Efficacy!$F$1))</f>
        <v>0</v>
      </c>
      <c r="BI39" s="3">
        <f>IF($C$5="ON",CI39,MyRating(_E6,$B39,Efficacy!$F$1))</f>
        <v>0</v>
      </c>
      <c r="BJ39" s="3">
        <f>IF($C$5="ON",CJ39,MyRating(_E7,$B39,Efficacy!$F$1))</f>
        <v>0</v>
      </c>
      <c r="BK39" s="3">
        <f>IF($C$5="ON",CK39,MyRating(_E8,$B39,Efficacy!$F$1))</f>
        <v>0</v>
      </c>
      <c r="BL39" s="3">
        <f>IF($C$5="ON",CL39,MyRating(_S1,$B39,Efficacy!$F$1))</f>
        <v>0</v>
      </c>
      <c r="BM39" s="3">
        <f>IF($C$5="ON",CM39,MyRating(_S2,$B39,Efficacy!$F$1))</f>
        <v>0</v>
      </c>
      <c r="BN39" s="3">
        <f>IF($C$5="ON",CN39,MyRating(_S3,$B39,Efficacy!$F$1))</f>
        <v>0</v>
      </c>
      <c r="BO39" s="3">
        <f>IF($C$5="ON",CO39,MyRating(_S4,$B39,Efficacy!$F$1))</f>
        <v>0</v>
      </c>
      <c r="BP39" s="3">
        <f>IF($C$5="ON",CP39,MyRating(_S5,$B39,Efficacy!$F$1))</f>
        <v>0</v>
      </c>
      <c r="BQ39" s="3">
        <f>IF($C$5="ON",CQ39,MyRating(_S6,$B39,Efficacy!$F$1))</f>
        <v>0</v>
      </c>
      <c r="BR39" s="3">
        <f>IF($C$5="ON",CR39,MyRating(_S7,$B39,Efficacy!$F$1))</f>
        <v>0</v>
      </c>
      <c r="BS39" s="3">
        <f>IF($C$5="ON",CS39,MyRating(_D1,$B39,Efficacy!$F$1))</f>
        <v>0</v>
      </c>
      <c r="BT39" s="3">
        <f>IF($C$5="ON",CT39,MyRating(_D2,$B39,Efficacy!$F$1))</f>
        <v>0</v>
      </c>
      <c r="BU39" s="3">
        <f>IF($C$5="ON",CU39,MyRating(_D3,$B39,Efficacy!$F$1))</f>
        <v>0</v>
      </c>
      <c r="BV39" s="3">
        <f>IF($C$5="ON",CV39,MyRating(_D4,$B39,Efficacy!$F$1))</f>
        <v>0</v>
      </c>
      <c r="BW39" s="3">
        <f>IF($C$5="ON",CW39,MyRating(_B1G5,$B39,Barrier!$L$2))</f>
        <v>2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9"/>
        <v>3.3407946312985805E-2</v>
      </c>
      <c r="CA39" s="8">
        <f t="shared" si="6"/>
        <v>2.8000000000000003</v>
      </c>
      <c r="CB39" s="5">
        <f t="shared" si="7"/>
        <v>3.2941176470588251E-2</v>
      </c>
      <c r="CC39" s="7">
        <f t="shared" si="8"/>
        <v>5.9787261089987885E-3</v>
      </c>
      <c r="CD39" s="4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6">
        <v>0</v>
      </c>
      <c r="CZ39" s="5">
        <v>0</v>
      </c>
      <c r="DA39" s="59"/>
    </row>
    <row r="40" spans="1:105" x14ac:dyDescent="0.25">
      <c r="A40" s="9" t="str">
        <f t="shared" si="0"/>
        <v>IT</v>
      </c>
      <c r="B40" s="9" t="s">
        <v>33</v>
      </c>
      <c r="C40" s="20"/>
      <c r="D40" s="9" t="s">
        <v>32</v>
      </c>
      <c r="E40" s="9" t="s">
        <v>186</v>
      </c>
      <c r="F40" s="9" t="str">
        <f>INDEX('Unique Asset List'!$C$4:$C$60,MATCH(B40,_CompoundList,0))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INDEX(PTRS!$D$6:$D$12,MATCH('6'!$F40,PTRS!$B$6:$B$12,0))</f>
        <v>0.1044225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7">
        <v>0.1044225</v>
      </c>
      <c r="N40" s="17">
        <f>INDEX('Unique Asset List'!$D$4:$M$60,MATCH($B40,'Unique Asset List'!$A$4:$A$60,0),MATCH(N$8,'Unique Asset List'!$D$3:$M$3,0))</f>
        <v>0.1044225</v>
      </c>
      <c r="O40" s="17">
        <f>INDEX('Unique Asset List'!$D$4:$M$60,MATCH($B40,'Unique Asset List'!$A$4:$A$60,0),MATCH(O$8,'Unique Asset List'!$D$3:$M$3,0))</f>
        <v>0.1044225</v>
      </c>
      <c r="P40" s="17">
        <f>INDEX('Unique Asset List'!$D$4:$M$60,MATCH($B40,'Unique Asset List'!$A$4:$A$60,0),MATCH(P$8,'Unique Asset List'!$D$3:$M$3,0))</f>
        <v>0.1044225</v>
      </c>
      <c r="Q40" s="17">
        <f>INDEX('Unique Asset List'!$D$4:$M$60,MATCH($B40,'Unique Asset List'!$A$4:$A$60,0),MATCH(Q$8,'Unique Asset List'!$D$3:$M$3,0))</f>
        <v>0.1044225</v>
      </c>
      <c r="R40" s="17">
        <f>INDEX('Unique Asset List'!$D$4:$M$60,MATCH($B40,'Unique Asset List'!$A$4:$A$60,0),MATCH(R$8,'Unique Asset List'!$D$3:$M$3,0))</f>
        <v>0.1044225</v>
      </c>
      <c r="S40" s="17">
        <f>INDEX('Unique Asset List'!$D$4:$M$60,MATCH($B40,'Unique Asset List'!$A$4:$A$60,0),MATCH(S$8,'Unique Asset List'!$D$3:$M$3,0))</f>
        <v>0</v>
      </c>
      <c r="T40" s="17" t="s">
        <v>31</v>
      </c>
      <c r="U40" s="17">
        <f t="shared" si="1"/>
        <v>0.90168566420734264</v>
      </c>
      <c r="V40" s="17">
        <v>1</v>
      </c>
      <c r="W40" s="9" t="s">
        <v>31</v>
      </c>
      <c r="X40" s="9">
        <f>INDEX('Unique Asset List'!$Y$4:$AE$60,MATCH('6'!$B40,'Unique Asset List'!$A$4:$A$60,0),MATCH('6'!$C$1,'Unique Asset List'!$Y$3:$AE$3,0))</f>
        <v>2033</v>
      </c>
      <c r="Y40" s="9">
        <f>INDEX('Unique Asset List'!$AF$4:$AL$60,MATCH('6'!$B40,'Unique Asset List'!$A$4:$A$60,0),MATCH('6'!$C$1,'Unique Asset List'!$AF$3:$AL$3,0))</f>
        <v>3</v>
      </c>
      <c r="Z40" s="9">
        <f>INDEX('Unique Asset List'!$AT$4:$AZ$60,MATCH('6'!$B40,'Unique Asset List'!$A$4:$A$60,0),MATCH('6'!$C$1,'Unique Asset List'!$AT$3:$AZ$3,0))</f>
        <v>2042</v>
      </c>
      <c r="AA40" s="9">
        <f>INDEX('Unique Asset List'!$BA$4:$BG$60,MATCH('6'!$B40,'Unique Asset List'!$A$4:$A$60,0),MATCH('6'!$C$1,'Unique Asset List'!$BA$3:$BG$3,0))</f>
        <v>2</v>
      </c>
      <c r="AB40" s="16">
        <f>AB27</f>
        <v>2.0063400000000007</v>
      </c>
      <c r="AC40" s="16">
        <f>AC27</f>
        <v>0.94137550000000003</v>
      </c>
      <c r="AD40" s="16">
        <f>AD27</f>
        <v>0.56099999999999994</v>
      </c>
      <c r="AE40" s="15">
        <f>INDEX('Unique Asset List'!$CJ$4:$CP$60,MATCH('6'!$B40,'Unique Asset List'!$A$4:$A$60,0),MATCH('6'!$C$1,'Unique Asset List'!$CJ$3:$CP$3,0))</f>
        <v>0.18</v>
      </c>
      <c r="AF40" s="15">
        <f>INDEX('Unique Asset List'!$CQ$4:$CW$60,MATCH('6'!$B40,'Unique Asset List'!$A$4:$A$60,0),MATCH('6'!$C$1,'Unique Asset List'!$CQ$3:$CW$3,0))</f>
        <v>0.32</v>
      </c>
      <c r="AG40" s="15">
        <f>INDEX('Unique Asset List'!$BV$4:$CB$60,MATCH('6'!$B40,'Unique Asset List'!$A$4:$A$60,0),MATCH('6'!$C$1,'Unique Asset List'!$BV$3:$CB$3,0))</f>
        <v>0.18</v>
      </c>
      <c r="AH40" s="15">
        <f>INDEX('Unique Asset List'!$CC$4:$CI$60,MATCH('6'!$B40,'Unique Asset List'!$A$4:$A$60,0),MATCH('6'!$C$1,'Unique Asset List'!$CC$3:$CI$3,0))</f>
        <v>0.32</v>
      </c>
      <c r="AI40" s="11">
        <v>0.96187963349867744</v>
      </c>
      <c r="AJ40" s="15">
        <f>INDEX('Unique Asset List'!$BH$4:$BN$60,MATCH('6'!$B40,'Unique Asset List'!$A$4:$A$60,0),MATCH('6'!$C$1,'Unique Asset List'!$BH$3:$BN$3,0))</f>
        <v>0.32314284341629806</v>
      </c>
      <c r="AK40" s="15">
        <f>INDEX('Unique Asset List'!$BO$4:$BU$60,MATCH('6'!$B40,'Unique Asset List'!$A$4:$A$60,0),MATCH('6'!$C$1,'Unique Asset List'!$BO$3:$BU$3,0))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1</v>
      </c>
      <c r="AY40" s="181">
        <f ca="1">INDEX('Unique Asset List'!S$4:S$60,MATCH($B40,_CompoundList,0))</f>
        <v>1</v>
      </c>
      <c r="AZ40" s="181">
        <f ca="1">INDEX('Unique Asset List'!T$4:T$60,MATCH($B40,_CompoundList,0))</f>
        <v>1</v>
      </c>
      <c r="BA40" s="181">
        <f ca="1">INDEX('Unique Asset List'!U$4:U$60,MATCH($B40,_CompoundList,0))</f>
        <v>0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0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IF($C$5="ON",CL40,MyRating(_S1,$B40,Efficacy!$F$1))</f>
        <v>0</v>
      </c>
      <c r="BM40" s="3">
        <f>IF($C$5="ON",CM40,MyRating(_S2,$B40,Efficacy!$F$1))</f>
        <v>0</v>
      </c>
      <c r="BN40" s="3">
        <f>IF($C$5="ON",CN40,MyRating(_S3,$B40,Efficacy!$F$1))</f>
        <v>0</v>
      </c>
      <c r="BO40" s="3">
        <f>IF($C$5="ON",CO40,MyRating(_S4,$B40,Efficacy!$F$1))</f>
        <v>0</v>
      </c>
      <c r="BP40" s="3">
        <f>IF($C$5="ON",CP40,MyRating(_S5,$B40,Efficacy!$F$1))</f>
        <v>0</v>
      </c>
      <c r="BQ40" s="3">
        <f>IF($C$5="ON",CQ40,MyRating(_S6,$B40,Efficacy!$F$1))</f>
        <v>0</v>
      </c>
      <c r="BR40" s="3">
        <f>IF($C$5="ON",CR40,MyRating(_S7,$B40,Efficacy!$F$1))</f>
        <v>0</v>
      </c>
      <c r="BS40" s="3">
        <f>IF($C$5="ON",CS40,MyRating(_D1,$B40,Efficacy!$F$1))</f>
        <v>0</v>
      </c>
      <c r="BT40" s="3">
        <f>IF($C$5="ON",CT40,MyRating(_D2,$B40,Efficacy!$F$1))</f>
        <v>0</v>
      </c>
      <c r="BU40" s="3">
        <f>IF($C$5="ON",CU40,MyRating(_D3,$B40,Efficacy!$F$1))</f>
        <v>0</v>
      </c>
      <c r="BV40" s="3">
        <f>IF($C$5="ON",CV40,MyRating(_D4,$B40,Efficacy!$F$1))</f>
        <v>0</v>
      </c>
      <c r="BW40" s="3">
        <f>IF($C$5="ON",CW40,MyRating(_B1G5,$B40,Barrier!$L$2))</f>
        <v>2</v>
      </c>
      <c r="BX40" s="3">
        <f>IF($C$5="ON",CX40,MyRating(_B2,$B40,Barrier!$F$2))</f>
        <v>3</v>
      </c>
      <c r="BY40" s="6">
        <f>IF($C$5="ON",CY40,MyRating(_B3,$B40,Barrier!$F$2))</f>
        <v>3</v>
      </c>
      <c r="BZ40" s="5">
        <f t="shared" si="9"/>
        <v>3.3407946312985805E-2</v>
      </c>
      <c r="CA40" s="8">
        <f t="shared" si="6"/>
        <v>2.8000000000000003</v>
      </c>
      <c r="CB40" s="5">
        <f t="shared" si="7"/>
        <v>3.2941176470588251E-2</v>
      </c>
      <c r="CC40" s="7">
        <f t="shared" si="8"/>
        <v>5.9787261089987885E-3</v>
      </c>
      <c r="CD40" s="4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6">
        <v>0</v>
      </c>
      <c r="CZ40" s="5">
        <v>0</v>
      </c>
      <c r="DA40" s="59"/>
    </row>
    <row r="41" spans="1:105" x14ac:dyDescent="0.25">
      <c r="A41" s="9" t="str">
        <f t="shared" ref="A41:A58" si="10">$C$1</f>
        <v>IT</v>
      </c>
      <c r="B41" s="9" t="s">
        <v>30</v>
      </c>
      <c r="C41" s="20"/>
      <c r="D41" s="9" t="s">
        <v>29</v>
      </c>
      <c r="E41" s="9" t="s">
        <v>186</v>
      </c>
      <c r="F41" s="9" t="str">
        <f>INDEX('Unique Asset List'!$C$4:$C$60,MATCH(B41,_CompoundList,0))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INDEX(PTRS!$D$6:$D$12,MATCH('6'!$F41,PTRS!$B$6:$B$12,0))</f>
        <v>0.1044225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v>0.1044225</v>
      </c>
      <c r="N41" s="17">
        <f>INDEX('Unique Asset List'!$D$4:$M$60,MATCH($B41,'Unique Asset List'!$A$4:$A$60,0),MATCH(N$8,'Unique Asset List'!$D$3:$M$3,0))</f>
        <v>0.1044225</v>
      </c>
      <c r="O41" s="17">
        <f>INDEX('Unique Asset List'!$D$4:$M$60,MATCH($B41,'Unique Asset List'!$A$4:$A$60,0),MATCH(O$8,'Unique Asset List'!$D$3:$M$3,0))</f>
        <v>0.1044225</v>
      </c>
      <c r="P41" s="17">
        <f>INDEX('Unique Asset List'!$D$4:$M$60,MATCH($B41,'Unique Asset List'!$A$4:$A$60,0),MATCH(P$8,'Unique Asset List'!$D$3:$M$3,0))</f>
        <v>0.1044225</v>
      </c>
      <c r="Q41" s="17">
        <f>INDEX('Unique Asset List'!$D$4:$M$60,MATCH($B41,'Unique Asset List'!$A$4:$A$60,0),MATCH(Q$8,'Unique Asset List'!$D$3:$M$3,0))</f>
        <v>0.1044225</v>
      </c>
      <c r="R41" s="17">
        <f>INDEX('Unique Asset List'!$D$4:$M$60,MATCH($B41,'Unique Asset List'!$A$4:$A$60,0),MATCH(R$8,'Unique Asset List'!$D$3:$M$3,0))</f>
        <v>0.1044225</v>
      </c>
      <c r="S41" s="17">
        <f>INDEX('Unique Asset List'!$D$4:$M$60,MATCH($B41,'Unique Asset List'!$A$4:$A$60,0),MATCH(S$8,'Unique Asset List'!$D$3:$M$3,0))</f>
        <v>0</v>
      </c>
      <c r="T41" s="17" t="s">
        <v>28</v>
      </c>
      <c r="U41" s="17">
        <f t="shared" si="1"/>
        <v>0.90168566420734264</v>
      </c>
      <c r="V41" s="17">
        <v>1</v>
      </c>
      <c r="W41" s="9" t="s">
        <v>27</v>
      </c>
      <c r="X41" s="9">
        <f>INDEX('Unique Asset List'!$Y$4:$AE$60,MATCH('6'!$B41,'Unique Asset List'!$A$4:$A$60,0),MATCH('6'!$C$1,'Unique Asset List'!$Y$3:$AE$3,0))</f>
        <v>2035</v>
      </c>
      <c r="Y41" s="9">
        <f>INDEX('Unique Asset List'!$AF$4:$AL$60,MATCH('6'!$B41,'Unique Asset List'!$A$4:$A$60,0),MATCH('6'!$C$1,'Unique Asset List'!$AF$3:$AL$3,0))</f>
        <v>6.9999999999990905</v>
      </c>
      <c r="Z41" s="9">
        <f>INDEX('Unique Asset List'!$AT$4:$AZ$60,MATCH('6'!$B41,'Unique Asset List'!$A$4:$A$60,0),MATCH('6'!$C$1,'Unique Asset List'!$AT$3:$AZ$3,0))</f>
        <v>2044</v>
      </c>
      <c r="AA41" s="9">
        <f>INDEX('Unique Asset List'!$BA$4:$BG$60,MATCH('6'!$B41,'Unique Asset List'!$A$4:$A$60,0),MATCH('6'!$C$1,'Unique Asset List'!$BA$3:$BG$3,0))</f>
        <v>6</v>
      </c>
      <c r="AB41" s="16">
        <f>AB33</f>
        <v>2.0289886000000004</v>
      </c>
      <c r="AC41" s="16">
        <f>AC33</f>
        <v>0.81843569999999999</v>
      </c>
      <c r="AD41" s="16">
        <f>AD33</f>
        <v>0.56099999999999994</v>
      </c>
      <c r="AE41" s="15">
        <f>INDEX('Unique Asset List'!$CJ$4:$CP$60,MATCH('6'!$B41,'Unique Asset List'!$A$4:$A$60,0),MATCH('6'!$C$1,'Unique Asset List'!$CJ$3:$CP$3,0))</f>
        <v>0.18</v>
      </c>
      <c r="AF41" s="15">
        <f>INDEX('Unique Asset List'!$CQ$4:$CW$60,MATCH('6'!$B41,'Unique Asset List'!$A$4:$A$60,0),MATCH('6'!$C$1,'Unique Asset List'!$CQ$3:$CW$3,0))</f>
        <v>0.32</v>
      </c>
      <c r="AG41" s="15">
        <f>INDEX('Unique Asset List'!$BV$4:$CB$60,MATCH('6'!$B41,'Unique Asset List'!$A$4:$A$60,0),MATCH('6'!$C$1,'Unique Asset List'!$BV$3:$CB$3,0))</f>
        <v>0.18</v>
      </c>
      <c r="AH41" s="15">
        <f>INDEX('Unique Asset List'!$CC$4:$CI$60,MATCH('6'!$B41,'Unique Asset List'!$A$4:$A$60,0),MATCH('6'!$C$1,'Unique Asset List'!$CC$3:$CI$3,0))</f>
        <v>0.32</v>
      </c>
      <c r="AI41" s="11">
        <v>0.96187963349867744</v>
      </c>
      <c r="AJ41" s="15">
        <f>INDEX('Unique Asset List'!$BH$4:$BN$60,MATCH('6'!$B41,'Unique Asset List'!$A$4:$A$60,0),MATCH('6'!$C$1,'Unique Asset List'!$BH$3:$BN$3,0))</f>
        <v>0.32314284341629806</v>
      </c>
      <c r="AK41" s="15">
        <f>INDEX('Unique Asset List'!$BO$4:$BU$60,MATCH('6'!$B41,'Unique Asset List'!$A$4:$A$60,0),MATCH('6'!$C$1,'Unique Asset List'!$BO$3:$BU$3,0))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1">AP41</f>
        <v>0.82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0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0</v>
      </c>
      <c r="BB41" s="181">
        <f ca="1">INDEX('Unique Asset List'!V$4:V$60,MATCH($B41,_CompoundList,0))</f>
        <v>0</v>
      </c>
      <c r="BC41" s="181">
        <f ca="1">INDEX('Unique Asset List'!W$4:W$60,MATCH($B41,_CompoundList,0))</f>
        <v>1</v>
      </c>
      <c r="BD41" s="4">
        <f>IF($C$5="ON",CD41,MyRating(_E1,$B41,Efficacy!$F$1))</f>
        <v>0</v>
      </c>
      <c r="BE41" s="3">
        <f>IF($C$5="ON",CE41,MyRating(_E2,$B41,Efficacy!$F$1))</f>
        <v>0</v>
      </c>
      <c r="BF41" s="3">
        <f>IF($C$5="ON",CF41,MyRating(_E3,$B41,Efficacy!$F$1))</f>
        <v>0</v>
      </c>
      <c r="BG41" s="3">
        <f>IF($C$5="ON",CG41,MyRating(_E4,$B41,Efficacy!$F$1))</f>
        <v>0</v>
      </c>
      <c r="BH41" s="3">
        <f>IF($C$5="ON",CH41,MyRating(_E5,$B41,Efficacy!$F$1))</f>
        <v>0</v>
      </c>
      <c r="BI41" s="3">
        <f>IF($C$5="ON",CI41,MyRating(_E6,$B41,Efficacy!$F$1))</f>
        <v>0</v>
      </c>
      <c r="BJ41" s="3">
        <f>IF($C$5="ON",CJ41,MyRating(_E7,$B41,Efficacy!$F$1))</f>
        <v>0</v>
      </c>
      <c r="BK41" s="3">
        <f>IF($C$5="ON",CK41,MyRating(_E8,$B41,Efficacy!$F$1))</f>
        <v>0</v>
      </c>
      <c r="BL41" s="3">
        <f>IF($C$5="ON",CL41,MyRating(_S1,$B41,Efficacy!$F$1))</f>
        <v>0</v>
      </c>
      <c r="BM41" s="3">
        <f>IF($C$5="ON",CM41,MyRating(_S2,$B41,Efficacy!$F$1))</f>
        <v>0</v>
      </c>
      <c r="BN41" s="3">
        <f>IF($C$5="ON",CN41,MyRating(_S3,$B41,Efficacy!$F$1))</f>
        <v>0</v>
      </c>
      <c r="BO41" s="3">
        <f>IF($C$5="ON",CO41,MyRating(_S4,$B41,Efficacy!$F$1))</f>
        <v>0</v>
      </c>
      <c r="BP41" s="3">
        <f>IF($C$5="ON",CP41,MyRating(_S5,$B41,Efficacy!$F$1))</f>
        <v>0</v>
      </c>
      <c r="BQ41" s="3">
        <f>IF($C$5="ON",CQ41,MyRating(_S6,$B41,Efficacy!$F$1))</f>
        <v>0</v>
      </c>
      <c r="BR41" s="3">
        <f>IF($C$5="ON",CR41,MyRating(_S7,$B41,Efficacy!$F$1))</f>
        <v>0</v>
      </c>
      <c r="BS41" s="3">
        <f>IF($C$5="ON",CS41,MyRating(_D1,$B41,Efficacy!$F$1))</f>
        <v>0</v>
      </c>
      <c r="BT41" s="3">
        <f>IF($C$5="ON",CT41,MyRating(_D2,$B41,Efficacy!$F$1))</f>
        <v>0</v>
      </c>
      <c r="BU41" s="3">
        <f>IF($C$5="ON",CU41,MyRating(_D3,$B41,Efficacy!$F$1))</f>
        <v>0</v>
      </c>
      <c r="BV41" s="3">
        <f>IF($C$5="ON",CV41,MyRating(_D4,$B41,Efficacy!$F$1))</f>
        <v>0</v>
      </c>
      <c r="BW41" s="3">
        <f>IF($C$5="ON",CW41,MyRating(_B1G5,$B41,Barrier!$L$2))</f>
        <v>2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9"/>
        <v>3.3407946312985805E-2</v>
      </c>
      <c r="CA41" s="8">
        <f t="shared" ref="CA41:CA58" si="12">SUMPRODUCT($BW41:$BY41,$BW$7:$BY$7)</f>
        <v>2.8000000000000003</v>
      </c>
      <c r="CB41" s="5">
        <f t="shared" ref="CB41:CB58" si="13">CA41/$CA$7</f>
        <v>3.2941176470588251E-2</v>
      </c>
      <c r="CC41" s="7">
        <f t="shared" ref="CC41:CC58" si="14">CB41^$X$4</f>
        <v>5.9787261089987885E-3</v>
      </c>
      <c r="CD41" s="4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6">
        <v>0</v>
      </c>
      <c r="CZ41" s="5">
        <v>0</v>
      </c>
      <c r="DA41" s="59"/>
    </row>
    <row r="42" spans="1:105" x14ac:dyDescent="0.25">
      <c r="A42" s="9" t="str">
        <f t="shared" si="10"/>
        <v>IT</v>
      </c>
      <c r="B42" s="9" t="s">
        <v>26</v>
      </c>
      <c r="C42" s="20" t="s">
        <v>3</v>
      </c>
      <c r="D42" s="9" t="s">
        <v>25</v>
      </c>
      <c r="E42" s="9" t="s">
        <v>186</v>
      </c>
      <c r="F42" s="9" t="str">
        <f>INDEX('Unique Asset List'!$C$4:$C$60,MATCH(B42,_CompoundList,0))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INDEX(PTRS!$D$6:$D$12,MATCH('6'!$F42,PTRS!$B$6:$B$12,0))</f>
        <v>0.1044225</v>
      </c>
      <c r="K42" s="17">
        <f>INDEX('Unique Asset List'!$D$4:$M$60,MATCH($B42,'Unique Asset List'!$A$4:$A$60,0),MATCH(K$8,'Unique Asset List'!$D$3:$M$3,0))</f>
        <v>0</v>
      </c>
      <c r="L42" s="17">
        <f>INDEX('Unique Asset List'!$D$4:$M$60,MATCH($B42,'Unique Asset List'!$A$4:$A$60,0),MATCH(L$8,'Unique Asset List'!$D$3:$M$3,0))</f>
        <v>0</v>
      </c>
      <c r="M42" s="17">
        <v>0.1044225</v>
      </c>
      <c r="N42" s="17">
        <f>INDEX('Unique Asset List'!$D$4:$M$60,MATCH($B42,'Unique Asset List'!$A$4:$A$60,0),MATCH(N$8,'Unique Asset List'!$D$3:$M$3,0))</f>
        <v>0.1044225</v>
      </c>
      <c r="O42" s="17">
        <f>INDEX('Unique Asset List'!$D$4:$M$60,MATCH($B42,'Unique Asset List'!$A$4:$A$60,0),MATCH(O$8,'Unique Asset List'!$D$3:$M$3,0))</f>
        <v>0.1044225</v>
      </c>
      <c r="P42" s="17">
        <f>INDEX('Unique Asset List'!$D$4:$M$60,MATCH($B42,'Unique Asset List'!$A$4:$A$60,0),MATCH(P$8,'Unique Asset List'!$D$3:$M$3,0))</f>
        <v>0.1044225</v>
      </c>
      <c r="Q42" s="17">
        <f>INDEX('Unique Asset List'!$D$4:$M$60,MATCH($B42,'Unique Asset List'!$A$4:$A$60,0),MATCH(Q$8,'Unique Asset List'!$D$3:$M$3,0))</f>
        <v>0.1044225</v>
      </c>
      <c r="R42" s="17">
        <f>INDEX('Unique Asset List'!$D$4:$M$60,MATCH($B42,'Unique Asset List'!$A$4:$A$60,0),MATCH(R$8,'Unique Asset List'!$D$3:$M$3,0))</f>
        <v>0.1044225</v>
      </c>
      <c r="S42" s="17">
        <f>INDEX('Unique Asset List'!$D$4:$M$60,MATCH($B42,'Unique Asset List'!$A$4:$A$60,0),MATCH(S$8,'Unique Asset List'!$D$3:$M$3,0))</f>
        <v>0</v>
      </c>
      <c r="T42" s="17" t="s">
        <v>24</v>
      </c>
      <c r="U42" s="17">
        <f t="shared" si="1"/>
        <v>0</v>
      </c>
      <c r="V42" s="17">
        <v>1</v>
      </c>
      <c r="W42" s="9" t="s">
        <v>24</v>
      </c>
      <c r="X42" s="9">
        <f>INDEX('Unique Asset List'!$Y$4:$AE$60,MATCH('6'!$B42,'Unique Asset List'!$A$4:$A$60,0),MATCH('6'!$C$1,'Unique Asset List'!$Y$3:$AE$3,0))</f>
        <v>2033</v>
      </c>
      <c r="Y42" s="9">
        <f>INDEX('Unique Asset List'!$AF$4:$AL$60,MATCH('6'!$B42,'Unique Asset List'!$A$4:$A$60,0),MATCH('6'!$C$1,'Unique Asset List'!$AF$3:$AL$3,0))</f>
        <v>3</v>
      </c>
      <c r="Z42" s="9">
        <f>INDEX('Unique Asset List'!$AT$4:$AZ$60,MATCH('6'!$B42,'Unique Asset List'!$A$4:$A$60,0),MATCH('6'!$C$1,'Unique Asset List'!$AT$3:$AZ$3,0))</f>
        <v>2042</v>
      </c>
      <c r="AA42" s="9">
        <f>INDEX('Unique Asset List'!$BA$4:$BG$60,MATCH('6'!$B42,'Unique Asset List'!$A$4:$A$60,0),MATCH('6'!$C$1,'Unique Asset List'!$BA$3:$BG$3,0))</f>
        <v>2</v>
      </c>
      <c r="AB42" s="16">
        <f>AB30</f>
        <v>2.1518980000000005</v>
      </c>
      <c r="AC42" s="16">
        <f>AC30</f>
        <v>0.94137550000000003</v>
      </c>
      <c r="AD42" s="16">
        <f>AD30</f>
        <v>0.56099999999999994</v>
      </c>
      <c r="AE42" s="15">
        <f>INDEX('Unique Asset List'!$CJ$4:$CP$60,MATCH('6'!$B42,'Unique Asset List'!$A$4:$A$60,0),MATCH('6'!$C$1,'Unique Asset List'!$CJ$3:$CP$3,0))</f>
        <v>0.18</v>
      </c>
      <c r="AF42" s="15">
        <f>INDEX('Unique Asset List'!$CQ$4:$CW$60,MATCH('6'!$B42,'Unique Asset List'!$A$4:$A$60,0),MATCH('6'!$C$1,'Unique Asset List'!$CQ$3:$CW$3,0))</f>
        <v>0.32</v>
      </c>
      <c r="AG42" s="15">
        <f>INDEX('Unique Asset List'!$BV$4:$CB$60,MATCH('6'!$B42,'Unique Asset List'!$A$4:$A$60,0),MATCH('6'!$C$1,'Unique Asset List'!$BV$3:$CB$3,0))</f>
        <v>0.18</v>
      </c>
      <c r="AH42" s="15">
        <f>INDEX('Unique Asset List'!$CC$4:$CI$60,MATCH('6'!$B42,'Unique Asset List'!$A$4:$A$60,0),MATCH('6'!$C$1,'Unique Asset List'!$CC$3:$CI$3,0))</f>
        <v>0.32</v>
      </c>
      <c r="AI42" s="11">
        <v>0.96187963349867744</v>
      </c>
      <c r="AJ42" s="15">
        <f>INDEX('Unique Asset List'!$BH$4:$BN$60,MATCH('6'!$B42,'Unique Asset List'!$A$4:$A$60,0),MATCH('6'!$C$1,'Unique Asset List'!$BH$3:$BN$3,0))</f>
        <v>0.32314284341629806</v>
      </c>
      <c r="AK42" s="15">
        <f>INDEX('Unique Asset List'!$BO$4:$BU$60,MATCH('6'!$B42,'Unique Asset List'!$A$4:$A$60,0),MATCH('6'!$C$1,'Unique Asset List'!$BO$3:$BU$3,0))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81">
        <f>INDEX('Unique Asset List'!N$4:N$60,MATCH($B42,_CompoundList,0))</f>
        <v>0</v>
      </c>
      <c r="AU42" s="181">
        <f>INDEX('Unique Asset List'!O$4:O$60,MATCH($B42,_CompoundList,0))</f>
        <v>0</v>
      </c>
      <c r="AV42" s="181">
        <f>INDEX('Unique Asset List'!P$4:P$60,MATCH($B42,_CompoundList,0))</f>
        <v>0</v>
      </c>
      <c r="AW42" s="181">
        <f>INDEX('Unique Asset List'!Q$4:Q$60,MATCH($B42,_CompoundList,0))</f>
        <v>0</v>
      </c>
      <c r="AX42" s="181">
        <f ca="1">INDEX('Unique Asset List'!R$4:R$60,MATCH($B42,_CompoundList,0))</f>
        <v>0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0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0</v>
      </c>
      <c r="BD42" s="4">
        <f>IF($C$5="ON",CD42,MyRating(_E1,$B42,Efficacy!$F$1))</f>
        <v>0</v>
      </c>
      <c r="BE42" s="3">
        <f>IF($C$5="ON",CE42,MyRating(_E2,$B42,Efficacy!$F$1))</f>
        <v>0</v>
      </c>
      <c r="BF42" s="3">
        <f>IF($C$5="ON",CF42,MyRating(_E3,$B42,Efficacy!$F$1))</f>
        <v>0</v>
      </c>
      <c r="BG42" s="3">
        <f>IF($C$5="ON",CG42,MyRating(_E4,$B42,Efficacy!$F$1))</f>
        <v>0</v>
      </c>
      <c r="BH42" s="3">
        <f>IF($C$5="ON",CH42,MyRating(_E5,$B42,Efficacy!$F$1))</f>
        <v>0</v>
      </c>
      <c r="BI42" s="3">
        <f>IF($C$5="ON",CI42,MyRating(_E6,$B42,Efficacy!$F$1))</f>
        <v>0</v>
      </c>
      <c r="BJ42" s="3">
        <f>IF($C$5="ON",CJ42,MyRating(_E7,$B42,Efficacy!$F$1))</f>
        <v>0</v>
      </c>
      <c r="BK42" s="3">
        <f>IF($C$5="ON",CK42,MyRating(_E8,$B42,Efficacy!$F$1))</f>
        <v>0</v>
      </c>
      <c r="BL42" s="3">
        <f>IF($C$5="ON",CL42,MyRating(_S1,$B42,Efficacy!$F$1))</f>
        <v>0</v>
      </c>
      <c r="BM42" s="3">
        <f>IF($C$5="ON",CM42,MyRating(_S2,$B42,Efficacy!$F$1))</f>
        <v>0</v>
      </c>
      <c r="BN42" s="3">
        <f>IF($C$5="ON",CN42,MyRating(_S3,$B42,Efficacy!$F$1))</f>
        <v>0</v>
      </c>
      <c r="BO42" s="3">
        <f>IF($C$5="ON",CO42,MyRating(_S4,$B42,Efficacy!$F$1))</f>
        <v>0</v>
      </c>
      <c r="BP42" s="3">
        <f>IF($C$5="ON",CP42,MyRating(_S5,$B42,Efficacy!$F$1))</f>
        <v>0</v>
      </c>
      <c r="BQ42" s="3">
        <f>IF($C$5="ON",CQ42,MyRating(_S6,$B42,Efficacy!$F$1))</f>
        <v>0</v>
      </c>
      <c r="BR42" s="3">
        <f>IF($C$5="ON",CR42,MyRating(_S7,$B42,Efficacy!$F$1))</f>
        <v>0</v>
      </c>
      <c r="BS42" s="3">
        <f>IF($C$5="ON",CS42,MyRating(_D1,$B42,Efficacy!$F$1))</f>
        <v>0</v>
      </c>
      <c r="BT42" s="3">
        <f>IF($C$5="ON",CT42,MyRating(_D2,$B42,Efficacy!$F$1))</f>
        <v>0</v>
      </c>
      <c r="BU42" s="3">
        <f>IF($C$5="ON",CU42,MyRating(_D3,$B42,Efficacy!$F$1))</f>
        <v>0</v>
      </c>
      <c r="BV42" s="3">
        <f>IF($C$5="ON",CV42,MyRating(_D4,$B42,Efficacy!$F$1))</f>
        <v>0</v>
      </c>
      <c r="BW42" s="3">
        <f>IF($C$5="ON",CW42,MyRating(_B1G5,$B42,Barrier!$L$2))</f>
        <v>2</v>
      </c>
      <c r="BX42" s="3">
        <f>IF($C$5="ON",CX42,MyRating(_B2,$B42,Barrier!$F$2))</f>
        <v>0</v>
      </c>
      <c r="BY42" s="6">
        <f>IF($C$5="ON",CY42,MyRating(_B3,$B42,Barrier!$F$2))</f>
        <v>0</v>
      </c>
      <c r="BZ42" s="5">
        <f t="shared" si="9"/>
        <v>0</v>
      </c>
      <c r="CA42" s="8">
        <f t="shared" si="12"/>
        <v>0.4</v>
      </c>
      <c r="CB42" s="5">
        <f t="shared" si="13"/>
        <v>4.7058823529411787E-3</v>
      </c>
      <c r="CC42" s="7">
        <f t="shared" si="14"/>
        <v>3.2282086615060515E-4</v>
      </c>
      <c r="CD42" s="4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6">
        <v>0</v>
      </c>
      <c r="CZ42" s="5">
        <v>0</v>
      </c>
      <c r="DA42" s="59"/>
    </row>
    <row r="43" spans="1:105" x14ac:dyDescent="0.25">
      <c r="A43" s="9" t="str">
        <f t="shared" si="10"/>
        <v>IT</v>
      </c>
      <c r="B43" s="9" t="s">
        <v>23</v>
      </c>
      <c r="C43" s="20"/>
      <c r="D43" s="9" t="s">
        <v>22</v>
      </c>
      <c r="E43" s="9" t="s">
        <v>186</v>
      </c>
      <c r="F43" s="9" t="str">
        <f>INDEX('Unique Asset List'!$C$4:$C$60,MATCH(B43,_CompoundList,0))</f>
        <v>PCD</v>
      </c>
      <c r="G43" s="19">
        <v>0</v>
      </c>
      <c r="H43" s="9">
        <v>2014</v>
      </c>
      <c r="I43" s="9">
        <v>6</v>
      </c>
      <c r="J43" s="18">
        <f>INDEX(PTRS!$D$6:$D$12,MATCH('6'!$F43,PTRS!$B$6:$B$12,0))</f>
        <v>0.1044225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0.1044225</v>
      </c>
      <c r="N43" s="17">
        <f>INDEX('Unique Asset List'!$D$4:$M$60,MATCH($B43,'Unique Asset List'!$A$4:$A$60,0),MATCH(N$8,'Unique Asset List'!$D$3:$M$3,0))</f>
        <v>0.1044225</v>
      </c>
      <c r="O43" s="17">
        <f>INDEX('Unique Asset List'!$D$4:$M$60,MATCH($B43,'Unique Asset List'!$A$4:$A$60,0),MATCH(O$8,'Unique Asset List'!$D$3:$M$3,0))</f>
        <v>0.1044225</v>
      </c>
      <c r="P43" s="17">
        <f>INDEX('Unique Asset List'!$D$4:$M$60,MATCH($B43,'Unique Asset List'!$A$4:$A$60,0),MATCH(P$8,'Unique Asset List'!$D$3:$M$3,0))</f>
        <v>0.1044225</v>
      </c>
      <c r="Q43" s="17">
        <f>INDEX('Unique Asset List'!$D$4:$M$60,MATCH($B43,'Unique Asset List'!$A$4:$A$60,0),MATCH(Q$8,'Unique Asset List'!$D$3:$M$3,0))</f>
        <v>0.1044225</v>
      </c>
      <c r="R43" s="17">
        <f>INDEX('Unique Asset List'!$D$4:$M$60,MATCH($B43,'Unique Asset List'!$A$4:$A$60,0),MATCH(R$8,'Unique Asset List'!$D$3:$M$3,0))</f>
        <v>0.1044225</v>
      </c>
      <c r="S43" s="17">
        <f>INDEX('Unique Asset List'!$D$4:$M$60,MATCH($B43,'Unique Asset List'!$A$4:$A$60,0),MATCH(S$8,'Unique Asset List'!$D$3:$M$3,0))</f>
        <v>0</v>
      </c>
      <c r="T43" s="9" t="s">
        <v>21</v>
      </c>
      <c r="U43" s="17">
        <f t="shared" si="1"/>
        <v>0.90168566420734264</v>
      </c>
      <c r="V43" s="17">
        <v>1</v>
      </c>
      <c r="W43" s="9" t="s">
        <v>20</v>
      </c>
      <c r="X43" s="9">
        <f>INDEX('Unique Asset List'!$Y$4:$AE$60,MATCH('6'!$B43,'Unique Asset List'!$A$4:$A$60,0),MATCH('6'!$C$1,'Unique Asset List'!$Y$3:$AE$3,0))</f>
        <v>2032</v>
      </c>
      <c r="Y43" s="9">
        <f>INDEX('Unique Asset List'!$AF$4:$AL$60,MATCH('6'!$B43,'Unique Asset List'!$A$4:$A$60,0),MATCH('6'!$C$1,'Unique Asset List'!$AF$3:$AL$3,0))</f>
        <v>3.9999999999990905</v>
      </c>
      <c r="Z43" s="9">
        <f>INDEX('Unique Asset List'!$AT$4:$AZ$60,MATCH('6'!$B43,'Unique Asset List'!$A$4:$A$60,0),MATCH('6'!$C$1,'Unique Asset List'!$AT$3:$AZ$3,0))</f>
        <v>2041</v>
      </c>
      <c r="AA43" s="9">
        <f>INDEX('Unique Asset List'!$BA$4:$BG$60,MATCH('6'!$B43,'Unique Asset List'!$A$4:$A$60,0),MATCH('6'!$C$1,'Unique Asset List'!$BA$3:$BG$3,0))</f>
        <v>3</v>
      </c>
      <c r="AB43" s="16">
        <f>AB25</f>
        <v>1.6822346000000001</v>
      </c>
      <c r="AC43" s="16">
        <f>AC25</f>
        <v>0.91486990000000001</v>
      </c>
      <c r="AD43" s="16">
        <f>AD25</f>
        <v>0.56099999999999994</v>
      </c>
      <c r="AE43" s="15">
        <f>INDEX('Unique Asset List'!$CJ$4:$CP$60,MATCH('6'!$B43,'Unique Asset List'!$A$4:$A$60,0),MATCH('6'!$C$1,'Unique Asset List'!$CJ$3:$CP$3,0))</f>
        <v>0.18</v>
      </c>
      <c r="AF43" s="15">
        <f>INDEX('Unique Asset List'!$CQ$4:$CW$60,MATCH('6'!$B43,'Unique Asset List'!$A$4:$A$60,0),MATCH('6'!$C$1,'Unique Asset List'!$CQ$3:$CW$3,0))</f>
        <v>0.32</v>
      </c>
      <c r="AG43" s="15">
        <f>INDEX('Unique Asset List'!$BV$4:$CB$60,MATCH('6'!$B43,'Unique Asset List'!$A$4:$A$60,0),MATCH('6'!$C$1,'Unique Asset List'!$BV$3:$CB$3,0))</f>
        <v>0.18</v>
      </c>
      <c r="AH43" s="15">
        <f>INDEX('Unique Asset List'!$CC$4:$CI$60,MATCH('6'!$B43,'Unique Asset List'!$A$4:$A$60,0),MATCH('6'!$C$1,'Unique Asset List'!$CC$3:$CI$3,0))</f>
        <v>0.32</v>
      </c>
      <c r="AI43" s="11">
        <v>0.96187963349867744</v>
      </c>
      <c r="AJ43" s="15">
        <f>INDEX('Unique Asset List'!$BH$4:$BN$60,MATCH('6'!$B43,'Unique Asset List'!$A$4:$A$60,0),MATCH('6'!$C$1,'Unique Asset List'!$BH$3:$BN$3,0))</f>
        <v>0.32314284341629806</v>
      </c>
      <c r="AK43" s="15">
        <f>INDEX('Unique Asset List'!$BO$4:$BU$60,MATCH('6'!$B43,'Unique Asset List'!$A$4:$A$60,0),MATCH('6'!$C$1,'Unique Asset List'!$BO$3:$BU$3,0))</f>
        <v>0.61768216477991222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1"/>
        <v>0.82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1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0</v>
      </c>
      <c r="BD43" s="4">
        <f>IF($C$5="ON",CD43,MyRating(_E1,$B43,Efficacy!$F$1))</f>
        <v>0</v>
      </c>
      <c r="BE43" s="3">
        <f>IF($C$5="ON",CE43,MyRating(_E2,$B43,Efficacy!$F$1))</f>
        <v>0</v>
      </c>
      <c r="BF43" s="3">
        <f>IF($C$5="ON",CF43,MyRating(_E3,$B43,Efficacy!$F$1))</f>
        <v>0</v>
      </c>
      <c r="BG43" s="3">
        <f>IF($C$5="ON",CG43,MyRating(_E4,$B43,Efficacy!$F$1))</f>
        <v>0</v>
      </c>
      <c r="BH43" s="3">
        <f>IF($C$5="ON",CH43,MyRating(_E5,$B43,Efficacy!$F$1))</f>
        <v>0</v>
      </c>
      <c r="BI43" s="3">
        <f>IF($C$5="ON",CI43,MyRating(_E6,$B43,Efficacy!$F$1))</f>
        <v>0</v>
      </c>
      <c r="BJ43" s="3">
        <f>IF($C$5="ON",CJ43,MyRating(_E7,$B43,Efficacy!$F$1))</f>
        <v>0</v>
      </c>
      <c r="BK43" s="3">
        <f>IF($C$5="ON",CK43,MyRating(_E8,$B43,Efficacy!$F$1))</f>
        <v>0</v>
      </c>
      <c r="BL43" s="3">
        <f>IF($C$5="ON",CL43,MyRating(_S1,$B43,Efficacy!$F$1))</f>
        <v>0</v>
      </c>
      <c r="BM43" s="3">
        <f>IF($C$5="ON",CM43,MyRating(_S2,$B43,Efficacy!$F$1))</f>
        <v>0</v>
      </c>
      <c r="BN43" s="3">
        <f>IF($C$5="ON",CN43,MyRating(_S3,$B43,Efficacy!$F$1))</f>
        <v>0</v>
      </c>
      <c r="BO43" s="3">
        <f>IF($C$5="ON",CO43,MyRating(_S4,$B43,Efficacy!$F$1))</f>
        <v>0</v>
      </c>
      <c r="BP43" s="3">
        <f>IF($C$5="ON",CP43,MyRating(_S5,$B43,Efficacy!$F$1))</f>
        <v>0</v>
      </c>
      <c r="BQ43" s="3">
        <f>IF($C$5="ON",CQ43,MyRating(_S6,$B43,Efficacy!$F$1))</f>
        <v>0</v>
      </c>
      <c r="BR43" s="3">
        <f>IF($C$5="ON",CR43,MyRating(_S7,$B43,Efficacy!$F$1))</f>
        <v>0</v>
      </c>
      <c r="BS43" s="3">
        <f>IF($C$5="ON",CS43,MyRating(_D1,$B43,Efficacy!$F$1))</f>
        <v>0</v>
      </c>
      <c r="BT43" s="3">
        <f>IF($C$5="ON",CT43,MyRating(_D2,$B43,Efficacy!$F$1))</f>
        <v>0</v>
      </c>
      <c r="BU43" s="3">
        <f>IF($C$5="ON",CU43,MyRating(_D3,$B43,Efficacy!$F$1))</f>
        <v>0</v>
      </c>
      <c r="BV43" s="3">
        <f>IF($C$5="ON",CV43,MyRating(_D4,$B43,Efficacy!$F$1))</f>
        <v>0</v>
      </c>
      <c r="BW43" s="3">
        <f>IF($C$5="ON",CW43,MyRating(_B1G5,$B43,Barrier!$L$2))</f>
        <v>2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9"/>
        <v>3.3407946312985805E-2</v>
      </c>
      <c r="CA43" s="8">
        <f t="shared" si="12"/>
        <v>2.8000000000000003</v>
      </c>
      <c r="CB43" s="5">
        <f t="shared" si="13"/>
        <v>3.2941176470588251E-2</v>
      </c>
      <c r="CC43" s="7">
        <f t="shared" si="14"/>
        <v>5.9787261089987885E-3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>
        <v>0</v>
      </c>
      <c r="DA43" s="59"/>
    </row>
    <row r="44" spans="1:105" x14ac:dyDescent="0.25">
      <c r="A44" s="9" t="str">
        <f t="shared" si="10"/>
        <v>IT</v>
      </c>
      <c r="B44" s="9" t="s">
        <v>19</v>
      </c>
      <c r="C44" s="20"/>
      <c r="D44" s="9" t="s">
        <v>18</v>
      </c>
      <c r="E44" s="9" t="s">
        <v>186</v>
      </c>
      <c r="F44" s="9" t="str">
        <f>INDEX('Unique Asset List'!$C$4:$C$60,MATCH(B44,_CompoundList,0))</f>
        <v>PCD</v>
      </c>
      <c r="G44" s="19">
        <v>0</v>
      </c>
      <c r="H44" s="9">
        <v>2014</v>
      </c>
      <c r="I44" s="9">
        <v>6</v>
      </c>
      <c r="J44" s="18">
        <f>INDEX(PTRS!$D$6:$D$12,MATCH('6'!$F44,PTRS!$B$6:$B$12,0))</f>
        <v>0.1044225</v>
      </c>
      <c r="K44" s="17">
        <f>K23</f>
        <v>0</v>
      </c>
      <c r="L44" s="17">
        <f>L23</f>
        <v>0</v>
      </c>
      <c r="M44" s="17">
        <v>0.1044225</v>
      </c>
      <c r="N44" s="17">
        <f>N23</f>
        <v>0.13923000000000002</v>
      </c>
      <c r="O44" s="17">
        <f>INDEX('Unique Asset List'!$D$4:$M$60,MATCH($B44,'Unique Asset List'!$A$4:$A$60,0),MATCH(O$8,'Unique Asset List'!$D$3:$M$3,0))</f>
        <v>0.1044225</v>
      </c>
      <c r="P44" s="17">
        <f>INDEX('Unique Asset List'!$D$4:$M$60,MATCH($B44,'Unique Asset List'!$A$4:$A$60,0),MATCH(P$8,'Unique Asset List'!$D$3:$M$3,0))</f>
        <v>0.1044225</v>
      </c>
      <c r="Q44" s="17">
        <f>INDEX('Unique Asset List'!$D$4:$M$60,MATCH($B44,'Unique Asset List'!$A$4:$A$60,0),MATCH(Q$8,'Unique Asset List'!$D$3:$M$3,0))</f>
        <v>0.1044225</v>
      </c>
      <c r="R44" s="17">
        <f>INDEX('Unique Asset List'!$D$4:$M$60,MATCH($B44,'Unique Asset List'!$A$4:$A$60,0),MATCH(R$8,'Unique Asset List'!$D$3:$M$3,0))</f>
        <v>0.1044225</v>
      </c>
      <c r="S44" s="17">
        <f>S23</f>
        <v>0</v>
      </c>
      <c r="T44" s="9" t="s">
        <v>17</v>
      </c>
      <c r="U44" s="17">
        <f t="shared" si="1"/>
        <v>0.90168566420734264</v>
      </c>
      <c r="V44" s="17">
        <v>1</v>
      </c>
      <c r="W44" s="9" t="s">
        <v>16</v>
      </c>
      <c r="X44" s="9">
        <f>INDEX('Unique Asset List'!$Y$4:$AE$60,MATCH('6'!$B44,'Unique Asset List'!$A$4:$A$60,0),MATCH('6'!$C$1,'Unique Asset List'!$Y$3:$AE$3,0))</f>
        <v>2031</v>
      </c>
      <c r="Y44" s="9">
        <f>INDEX('Unique Asset List'!$AF$4:$AL$60,MATCH('6'!$B44,'Unique Asset List'!$A$4:$A$60,0),MATCH('6'!$C$1,'Unique Asset List'!$AF$3:$AL$3,0))</f>
        <v>9</v>
      </c>
      <c r="Z44" s="9">
        <f>INDEX('Unique Asset List'!$AT$4:$AZ$60,MATCH('6'!$B44,'Unique Asset List'!$A$4:$A$60,0),MATCH('6'!$C$1,'Unique Asset List'!$AT$3:$AZ$3,0))</f>
        <v>2040</v>
      </c>
      <c r="AA44" s="9">
        <f>INDEX('Unique Asset List'!$BA$4:$BG$60,MATCH('6'!$B44,'Unique Asset List'!$A$4:$A$60,0),MATCH('6'!$C$1,'Unique Asset List'!$BA$3:$BG$3,0))</f>
        <v>8</v>
      </c>
      <c r="AB44" s="16">
        <f>AB24</f>
        <v>1.8562298000000002</v>
      </c>
      <c r="AC44" s="16">
        <f>AC24</f>
        <v>0.97947730000000011</v>
      </c>
      <c r="AD44" s="16">
        <f>AD24</f>
        <v>0.56099999999999994</v>
      </c>
      <c r="AE44" s="15">
        <f>INDEX('Unique Asset List'!$CJ$4:$CP$60,MATCH('6'!$B44,'Unique Asset List'!$A$4:$A$60,0),MATCH('6'!$C$1,'Unique Asset List'!$CJ$3:$CP$3,0))</f>
        <v>0.18</v>
      </c>
      <c r="AF44" s="15">
        <f>INDEX('Unique Asset List'!$CQ$4:$CW$60,MATCH('6'!$B44,'Unique Asset List'!$A$4:$A$60,0),MATCH('6'!$C$1,'Unique Asset List'!$CQ$3:$CW$3,0))</f>
        <v>0.32</v>
      </c>
      <c r="AG44" s="15">
        <f>INDEX('Unique Asset List'!$BV$4:$CB$60,MATCH('6'!$B44,'Unique Asset List'!$A$4:$A$60,0),MATCH('6'!$C$1,'Unique Asset List'!$BV$3:$CB$3,0))</f>
        <v>0.18</v>
      </c>
      <c r="AH44" s="15">
        <f>INDEX('Unique Asset List'!$CC$4:$CI$60,MATCH('6'!$B44,'Unique Asset List'!$A$4:$A$60,0),MATCH('6'!$C$1,'Unique Asset List'!$CC$3:$CI$3,0))</f>
        <v>0.32</v>
      </c>
      <c r="AI44" s="11">
        <v>0.96187963349867744</v>
      </c>
      <c r="AJ44" s="15">
        <f>INDEX('Unique Asset List'!$BH$4:$BN$60,MATCH('6'!$B44,'Unique Asset List'!$A$4:$A$60,0),MATCH('6'!$C$1,'Unique Asset List'!$BH$3:$BN$3,0))</f>
        <v>0.32314284341629806</v>
      </c>
      <c r="AK44" s="15">
        <f>INDEX('Unique Asset List'!$BO$4:$BU$60,MATCH('6'!$B44,'Unique Asset List'!$A$4:$A$60,0),MATCH('6'!$C$1,'Unique Asset List'!$BO$3:$BU$3,0))</f>
        <v>0.61768216477991222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1"/>
        <v>0.82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0</v>
      </c>
      <c r="AY44" s="181">
        <f ca="1">INDEX('Unique Asset List'!S$4:S$60,MATCH($B44,_CompoundList,0))</f>
        <v>1</v>
      </c>
      <c r="AZ44" s="181">
        <f ca="1">INDEX('Unique Asset List'!T$4:T$60,MATCH($B44,_CompoundList,0))</f>
        <v>0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1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IF($C$5="ON",CL44,MyRating(_S1,$B44,Efficacy!$F$1))</f>
        <v>0</v>
      </c>
      <c r="BM44" s="3">
        <f>IF($C$5="ON",CM44,MyRating(_S2,$B44,Efficacy!$F$1))</f>
        <v>0</v>
      </c>
      <c r="BN44" s="3">
        <f>IF($C$5="ON",CN44,MyRating(_S3,$B44,Efficacy!$F$1))</f>
        <v>0</v>
      </c>
      <c r="BO44" s="3">
        <f>IF($C$5="ON",CO44,MyRating(_S4,$B44,Efficacy!$F$1))</f>
        <v>0</v>
      </c>
      <c r="BP44" s="3">
        <f>IF($C$5="ON",CP44,MyRating(_S5,$B44,Efficacy!$F$1))</f>
        <v>0</v>
      </c>
      <c r="BQ44" s="3">
        <f>IF($C$5="ON",CQ44,MyRating(_S6,$B44,Efficacy!$F$1))</f>
        <v>0</v>
      </c>
      <c r="BR44" s="3">
        <f>IF($C$5="ON",CR44,MyRating(_S7,$B44,Efficacy!$F$1))</f>
        <v>0</v>
      </c>
      <c r="BS44" s="3">
        <f>IF($C$5="ON",CS44,MyRating(_D1,$B44,Efficacy!$F$1))</f>
        <v>0</v>
      </c>
      <c r="BT44" s="3">
        <f>IF($C$5="ON",CT44,MyRating(_D2,$B44,Efficacy!$F$1))</f>
        <v>0</v>
      </c>
      <c r="BU44" s="3">
        <f>IF($C$5="ON",CU44,MyRating(_D3,$B44,Efficacy!$F$1))</f>
        <v>0</v>
      </c>
      <c r="BV44" s="3">
        <f>IF($C$5="ON",CV44,MyRating(_D4,$B44,Efficacy!$F$1))</f>
        <v>0</v>
      </c>
      <c r="BW44" s="3">
        <f>IF($C$5="ON",CW44,MyRating(_B1G5,$B44,Barrier!$L$2))</f>
        <v>2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9"/>
        <v>3.3407946312985805E-2</v>
      </c>
      <c r="CA44" s="8">
        <f t="shared" si="12"/>
        <v>2.8000000000000003</v>
      </c>
      <c r="CB44" s="5">
        <f t="shared" si="13"/>
        <v>3.2941176470588251E-2</v>
      </c>
      <c r="CC44" s="7">
        <f t="shared" si="14"/>
        <v>5.9787261089987885E-3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>
        <v>0</v>
      </c>
      <c r="DA44" s="59"/>
    </row>
    <row r="45" spans="1:105" x14ac:dyDescent="0.25">
      <c r="A45" s="9" t="str">
        <f t="shared" si="10"/>
        <v>IT</v>
      </c>
      <c r="B45" s="9" t="s">
        <v>13</v>
      </c>
      <c r="C45" s="20"/>
      <c r="D45" s="9" t="s">
        <v>2</v>
      </c>
      <c r="E45" s="9" t="s">
        <v>186</v>
      </c>
      <c r="F45" s="9" t="str">
        <f>INDEX('Unique Asset List'!$C$4:$C$60,MATCH(B45,_CompoundList,0))</f>
        <v>PCD</v>
      </c>
      <c r="G45" s="19">
        <v>0</v>
      </c>
      <c r="H45" s="9">
        <v>2014</v>
      </c>
      <c r="I45" s="9">
        <v>6</v>
      </c>
      <c r="J45" s="18">
        <f>INDEX(PTRS!$D$6:$D$12,MATCH('6'!$F45,PTRS!$B$6:$B$12,0))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v>0</v>
      </c>
      <c r="N45" s="17">
        <f>INDEX('Unique Asset List'!$D$4:$M$60,MATCH($B45,'Unique Asset List'!$A$4:$A$60,0),MATCH(N$8,'Unique Asset List'!$D$3:$M$3,0))</f>
        <v>1</v>
      </c>
      <c r="O45" s="17">
        <f>INDEX('Unique Asset List'!$D$4:$M$60,MATCH($B45,'Unique Asset List'!$A$4:$A$60,0),MATCH(O$8,'Unique Asset List'!$D$3:$M$3,0))</f>
        <v>1</v>
      </c>
      <c r="P45" s="17">
        <f>INDEX('Unique Asset List'!$D$4:$M$60,MATCH($B45,'Unique Asset List'!$A$4:$A$60,0),MATCH(P$8,'Unique Asset List'!$D$3:$M$3,0))</f>
        <v>1</v>
      </c>
      <c r="Q45" s="17">
        <f>INDEX('Unique Asset List'!$D$4:$M$60,MATCH($B45,'Unique Asset List'!$A$4:$A$60,0),MATCH(Q$8,'Unique Asset List'!$D$3:$M$3,0))</f>
        <v>1</v>
      </c>
      <c r="R45" s="17">
        <f>INDEX('Unique Asset List'!$D$4:$M$60,MATCH($B45,'Unique Asset List'!$A$4:$A$60,0),MATCH(R$8,'Unique Asset List'!$D$3:$M$3,0))</f>
        <v>1</v>
      </c>
      <c r="S45" s="17">
        <f>INDEX('Unique Asset List'!$D$4:$M$60,MATCH($B45,'Unique Asset List'!$A$4:$A$60,0),MATCH(S$8,'Unique Asset List'!$D$3:$M$3,0))</f>
        <v>1</v>
      </c>
      <c r="T45" s="17"/>
      <c r="U45" s="17">
        <f t="shared" si="1"/>
        <v>0.90168566420734264</v>
      </c>
      <c r="V45" s="17">
        <v>1</v>
      </c>
      <c r="W45" s="9" t="s">
        <v>13</v>
      </c>
      <c r="X45" s="9">
        <f>INDEX('Unique Asset List'!$Y$4:$AE$60,MATCH('6'!$B45,'Unique Asset List'!$A$4:$A$60,0),MATCH('6'!$C$1,'Unique Asset List'!$Y$3:$AE$3,0))</f>
        <v>2031</v>
      </c>
      <c r="Y45" s="9">
        <f>INDEX('Unique Asset List'!$AF$4:$AL$60,MATCH('6'!$B45,'Unique Asset List'!$A$4:$A$60,0),MATCH('6'!$C$1,'Unique Asset List'!$AF$3:$AL$3,0))</f>
        <v>6.9999999999990905</v>
      </c>
      <c r="Z45" s="9">
        <f>INDEX('Unique Asset List'!$AT$4:$AZ$60,MATCH('6'!$B45,'Unique Asset List'!$A$4:$A$60,0),MATCH('6'!$C$1,'Unique Asset List'!$AT$3:$AZ$3,0))</f>
        <v>2042</v>
      </c>
      <c r="AA45" s="9">
        <f>INDEX('Unique Asset List'!$BA$4:$BG$60,MATCH('6'!$B45,'Unique Asset List'!$A$4:$A$60,0),MATCH('6'!$C$1,'Unique Asset List'!$BA$3:$BG$3,0))</f>
        <v>6</v>
      </c>
      <c r="AB45" s="16">
        <v>2.3276916000000001</v>
      </c>
      <c r="AC45" s="16">
        <v>1.0028454</v>
      </c>
      <c r="AD45" s="16">
        <v>0.56099999999999994</v>
      </c>
      <c r="AE45" s="15">
        <f>INDEX('Unique Asset List'!$CJ$4:$CP$60,MATCH('6'!$B45,'Unique Asset List'!$A$4:$A$60,0),MATCH('6'!$C$1,'Unique Asset List'!$CJ$3:$CP$3,0))</f>
        <v>0.18</v>
      </c>
      <c r="AF45" s="15">
        <f>INDEX('Unique Asset List'!$CQ$4:$CW$60,MATCH('6'!$B45,'Unique Asset List'!$A$4:$A$60,0),MATCH('6'!$C$1,'Unique Asset List'!$CQ$3:$CW$3,0))</f>
        <v>0.32</v>
      </c>
      <c r="AG45" s="15">
        <f>INDEX('Unique Asset List'!$BV$4:$CB$60,MATCH('6'!$B45,'Unique Asset List'!$A$4:$A$60,0),MATCH('6'!$C$1,'Unique Asset List'!$BV$3:$CB$3,0))</f>
        <v>0.18</v>
      </c>
      <c r="AH45" s="15">
        <f>INDEX('Unique Asset List'!$CC$4:$CI$60,MATCH('6'!$B45,'Unique Asset List'!$A$4:$A$60,0),MATCH('6'!$C$1,'Unique Asset List'!$CC$3:$CI$3,0))</f>
        <v>0.32</v>
      </c>
      <c r="AI45" s="11">
        <v>0.96187963349867744</v>
      </c>
      <c r="AJ45" s="15">
        <f>INDEX('Unique Asset List'!$BH$4:$BN$60,MATCH('6'!$B45,'Unique Asset List'!$A$4:$A$60,0),MATCH('6'!$C$1,'Unique Asset List'!$BH$3:$BN$3,0))</f>
        <v>0.32314284341629806</v>
      </c>
      <c r="AK45" s="15">
        <f>INDEX('Unique Asset List'!$BO$4:$BU$60,MATCH('6'!$B45,'Unique Asset List'!$A$4:$A$60,0),MATCH('6'!$C$1,'Unique Asset List'!$BO$3:$BU$3,0))</f>
        <v>0.61768216477991222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1"/>
        <v>0.82</v>
      </c>
      <c r="AS45" s="10">
        <v>1</v>
      </c>
      <c r="AT45" s="181">
        <f>INDEX('Unique Asset List'!N$4:N$60,MATCH($B45,_CompoundList,0))</f>
        <v>1</v>
      </c>
      <c r="AU45" s="181">
        <f>INDEX('Unique Asset List'!O$4:O$60,MATCH($B45,_CompoundList,0))</f>
        <v>1</v>
      </c>
      <c r="AV45" s="181">
        <f>INDEX('Unique Asset List'!P$4:P$60,MATCH($B45,_CompoundList,0))</f>
        <v>1</v>
      </c>
      <c r="AW45" s="181">
        <f>INDEX('Unique Asset List'!Q$4:Q$60,MATCH($B45,_CompoundList,0))</f>
        <v>1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1</v>
      </c>
      <c r="BA45" s="181">
        <f ca="1">INDEX('Unique Asset List'!U$4:U$60,MATCH($B45,_CompoundList,0))</f>
        <v>1</v>
      </c>
      <c r="BB45" s="181">
        <f ca="1">INDEX('Unique Asset List'!V$4:V$60,MATCH($B45,_CompoundList,0))</f>
        <v>1</v>
      </c>
      <c r="BC45" s="181">
        <f ca="1">INDEX('Unique Asset List'!W$4:W$60,MATCH($B45,_CompoundList,0))</f>
        <v>1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IF($C$5="ON",CL45,MyRating(_S1,$B45,Efficacy!$F$1))</f>
        <v>0</v>
      </c>
      <c r="BM45" s="3">
        <f>IF($C$5="ON",CM45,MyRating(_S2,$B45,Efficacy!$F$1))</f>
        <v>0</v>
      </c>
      <c r="BN45" s="3">
        <f>IF($C$5="ON",CN45,MyRating(_S3,$B45,Efficacy!$F$1))</f>
        <v>0</v>
      </c>
      <c r="BO45" s="3">
        <f>IF($C$5="ON",CO45,MyRating(_S4,$B45,Efficacy!$F$1))</f>
        <v>0</v>
      </c>
      <c r="BP45" s="3">
        <f>IF($C$5="ON",CP45,MyRating(_S5,$B45,Efficacy!$F$1))</f>
        <v>0</v>
      </c>
      <c r="BQ45" s="3">
        <f>IF($C$5="ON",CQ45,MyRating(_S6,$B45,Efficacy!$F$1))</f>
        <v>0</v>
      </c>
      <c r="BR45" s="3">
        <f>IF($C$5="ON",CR45,MyRating(_S7,$B45,Efficacy!$F$1))</f>
        <v>0</v>
      </c>
      <c r="BS45" s="3">
        <f>IF($C$5="ON",CS45,MyRating(_D1,$B45,Efficacy!$F$1))</f>
        <v>0</v>
      </c>
      <c r="BT45" s="3">
        <f>IF($C$5="ON",CT45,MyRating(_D2,$B45,Efficacy!$F$1))</f>
        <v>0</v>
      </c>
      <c r="BU45" s="3">
        <f>IF($C$5="ON",CU45,MyRating(_D3,$B45,Efficacy!$F$1))</f>
        <v>0</v>
      </c>
      <c r="BV45" s="3">
        <f>IF($C$5="ON",CV45,MyRating(_D4,$B45,Efficacy!$F$1))</f>
        <v>0</v>
      </c>
      <c r="BW45" s="3">
        <f>IF($C$5="ON",CW45,MyRating(_B1G5,$B45,Barrier!$L$2))</f>
        <v>2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9"/>
        <v>3.3407946312985805E-2</v>
      </c>
      <c r="CA45" s="8">
        <f t="shared" si="12"/>
        <v>2.8000000000000003</v>
      </c>
      <c r="CB45" s="5">
        <f t="shared" si="13"/>
        <v>3.2941176470588251E-2</v>
      </c>
      <c r="CC45" s="7">
        <f t="shared" si="14"/>
        <v>5.9787261089987885E-3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>
        <v>0</v>
      </c>
      <c r="DA45" s="59"/>
    </row>
    <row r="46" spans="1:105" x14ac:dyDescent="0.25">
      <c r="A46" s="9" t="str">
        <f t="shared" si="10"/>
        <v>IT</v>
      </c>
      <c r="B46" s="9" t="s">
        <v>10</v>
      </c>
      <c r="C46" s="20"/>
      <c r="D46" s="9" t="s">
        <v>2</v>
      </c>
      <c r="E46" s="9" t="s">
        <v>186</v>
      </c>
      <c r="F46" s="9" t="str">
        <f>INDEX('Unique Asset List'!$C$4:$C$60,MATCH(B46,_CompoundList,0))</f>
        <v>PCD</v>
      </c>
      <c r="G46" s="19">
        <v>0</v>
      </c>
      <c r="H46" s="9">
        <v>2014</v>
      </c>
      <c r="I46" s="9">
        <v>6</v>
      </c>
      <c r="J46" s="18">
        <f>INDEX(PTRS!$D$6:$D$12,MATCH('6'!$F46,PTRS!$B$6:$B$12,0))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v>0</v>
      </c>
      <c r="N46" s="17">
        <f>INDEX('Unique Asset List'!$D$4:$M$60,MATCH($B46,'Unique Asset List'!$A$4:$A$60,0),MATCH(N$8,'Unique Asset List'!$D$3:$M$3,0))</f>
        <v>1</v>
      </c>
      <c r="O46" s="17">
        <f>INDEX('Unique Asset List'!$D$4:$M$60,MATCH($B46,'Unique Asset List'!$A$4:$A$60,0),MATCH(O$8,'Unique Asset List'!$D$3:$M$3,0))</f>
        <v>1</v>
      </c>
      <c r="P46" s="17">
        <f>INDEX('Unique Asset List'!$D$4:$M$60,MATCH($B46,'Unique Asset List'!$A$4:$A$60,0),MATCH(P$8,'Unique Asset List'!$D$3:$M$3,0))</f>
        <v>1</v>
      </c>
      <c r="Q46" s="17">
        <f>INDEX('Unique Asset List'!$D$4:$M$60,MATCH($B46,'Unique Asset List'!$A$4:$A$60,0),MATCH(Q$8,'Unique Asset List'!$D$3:$M$3,0))</f>
        <v>1</v>
      </c>
      <c r="R46" s="17">
        <f>INDEX('Unique Asset List'!$D$4:$M$60,MATCH($B46,'Unique Asset List'!$A$4:$A$60,0),MATCH(R$8,'Unique Asset List'!$D$3:$M$3,0))</f>
        <v>1</v>
      </c>
      <c r="S46" s="17">
        <f>INDEX('Unique Asset List'!$D$4:$M$60,MATCH($B46,'Unique Asset List'!$A$4:$A$60,0),MATCH(S$8,'Unique Asset List'!$D$3:$M$3,0))</f>
        <v>1</v>
      </c>
      <c r="T46" s="17"/>
      <c r="U46" s="17">
        <f t="shared" si="1"/>
        <v>0.90168566420734264</v>
      </c>
      <c r="V46" s="17">
        <v>1</v>
      </c>
      <c r="W46" s="9" t="s">
        <v>10</v>
      </c>
      <c r="X46" s="9">
        <f>INDEX('Unique Asset List'!$Y$4:$AE$60,MATCH('6'!$B46,'Unique Asset List'!$A$4:$A$60,0),MATCH('6'!$C$1,'Unique Asset List'!$Y$3:$AE$3,0))</f>
        <v>2035</v>
      </c>
      <c r="Y46" s="9">
        <f>INDEX('Unique Asset List'!$AF$4:$AL$60,MATCH('6'!$B46,'Unique Asset List'!$A$4:$A$60,0),MATCH('6'!$C$1,'Unique Asset List'!$AF$3:$AL$3,0))</f>
        <v>6.9999999999990905</v>
      </c>
      <c r="Z46" s="9">
        <f>INDEX('Unique Asset List'!$AT$4:$AZ$60,MATCH('6'!$B46,'Unique Asset List'!$A$4:$A$60,0),MATCH('6'!$C$1,'Unique Asset List'!$AT$3:$AZ$3,0))</f>
        <v>2046</v>
      </c>
      <c r="AA46" s="9">
        <f>INDEX('Unique Asset List'!$BA$4:$BG$60,MATCH('6'!$B46,'Unique Asset List'!$A$4:$A$60,0),MATCH('6'!$C$1,'Unique Asset List'!$BA$3:$BG$3,0))</f>
        <v>6</v>
      </c>
      <c r="AB46" s="16">
        <v>2.3276916000000001</v>
      </c>
      <c r="AC46" s="16">
        <v>1.0028454</v>
      </c>
      <c r="AD46" s="16">
        <v>0.56099999999999994</v>
      </c>
      <c r="AE46" s="15">
        <f>INDEX('Unique Asset List'!$CJ$4:$CP$60,MATCH('6'!$B46,'Unique Asset List'!$A$4:$A$60,0),MATCH('6'!$C$1,'Unique Asset List'!$CJ$3:$CP$3,0))</f>
        <v>0.18</v>
      </c>
      <c r="AF46" s="15">
        <f>INDEX('Unique Asset List'!$CQ$4:$CW$60,MATCH('6'!$B46,'Unique Asset List'!$A$4:$A$60,0),MATCH('6'!$C$1,'Unique Asset List'!$CQ$3:$CW$3,0))</f>
        <v>0.32</v>
      </c>
      <c r="AG46" s="15">
        <f>INDEX('Unique Asset List'!$BV$4:$CB$60,MATCH('6'!$B46,'Unique Asset List'!$A$4:$A$60,0),MATCH('6'!$C$1,'Unique Asset List'!$BV$3:$CB$3,0))</f>
        <v>0.18</v>
      </c>
      <c r="AH46" s="15">
        <f>INDEX('Unique Asset List'!$CC$4:$CI$60,MATCH('6'!$B46,'Unique Asset List'!$A$4:$A$60,0),MATCH('6'!$C$1,'Unique Asset List'!$CC$3:$CI$3,0))</f>
        <v>0.32</v>
      </c>
      <c r="AI46" s="11">
        <v>0.96187963349867744</v>
      </c>
      <c r="AJ46" s="15">
        <f>INDEX('Unique Asset List'!$BH$4:$BN$60,MATCH('6'!$B46,'Unique Asset List'!$A$4:$A$60,0),MATCH('6'!$C$1,'Unique Asset List'!$BH$3:$BN$3,0))</f>
        <v>0.32314284341629806</v>
      </c>
      <c r="AK46" s="15">
        <f>INDEX('Unique Asset List'!$BO$4:$BU$60,MATCH('6'!$B46,'Unique Asset List'!$A$4:$A$60,0),MATCH('6'!$C$1,'Unique Asset List'!$BO$3:$BU$3,0))</f>
        <v>0.61768216477991222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1"/>
        <v>0.82</v>
      </c>
      <c r="AS46" s="10">
        <v>1</v>
      </c>
      <c r="AT46" s="181">
        <f>INDEX('Unique Asset List'!N$4:N$60,MATCH($B46,_CompoundList,0))</f>
        <v>1</v>
      </c>
      <c r="AU46" s="181">
        <f>INDEX('Unique Asset List'!O$4:O$60,MATCH($B46,_CompoundList,0))</f>
        <v>1</v>
      </c>
      <c r="AV46" s="181">
        <f>INDEX('Unique Asset List'!P$4:P$60,MATCH($B46,_CompoundList,0))</f>
        <v>1</v>
      </c>
      <c r="AW46" s="181">
        <f>INDEX('Unique Asset List'!Q$4:Q$60,MATCH($B46,_CompoundList,0))</f>
        <v>1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1</v>
      </c>
      <c r="BB46" s="181">
        <f ca="1">INDEX('Unique Asset List'!V$4:V$60,MATCH($B46,_CompoundList,0))</f>
        <v>1</v>
      </c>
      <c r="BC46" s="181">
        <f ca="1">INDEX('Unique Asset List'!W$4:W$60,MATCH($B46,_CompoundList,0))</f>
        <v>1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IF($C$5="ON",CL46,MyRating(_S1,$B46,Efficacy!$F$1))</f>
        <v>0</v>
      </c>
      <c r="BM46" s="3">
        <f>IF($C$5="ON",CM46,MyRating(_S2,$B46,Efficacy!$F$1))</f>
        <v>0</v>
      </c>
      <c r="BN46" s="3">
        <f>IF($C$5="ON",CN46,MyRating(_S3,$B46,Efficacy!$F$1))</f>
        <v>0</v>
      </c>
      <c r="BO46" s="3">
        <f>IF($C$5="ON",CO46,MyRating(_S4,$B46,Efficacy!$F$1))</f>
        <v>0</v>
      </c>
      <c r="BP46" s="3">
        <f>IF($C$5="ON",CP46,MyRating(_S5,$B46,Efficacy!$F$1))</f>
        <v>0</v>
      </c>
      <c r="BQ46" s="3">
        <f>IF($C$5="ON",CQ46,MyRating(_S6,$B46,Efficacy!$F$1))</f>
        <v>0</v>
      </c>
      <c r="BR46" s="3">
        <f>IF($C$5="ON",CR46,MyRating(_S7,$B46,Efficacy!$F$1))</f>
        <v>0</v>
      </c>
      <c r="BS46" s="3">
        <f>IF($C$5="ON",CS46,MyRating(_D1,$B46,Efficacy!$F$1))</f>
        <v>0</v>
      </c>
      <c r="BT46" s="3">
        <f>IF($C$5="ON",CT46,MyRating(_D2,$B46,Efficacy!$F$1))</f>
        <v>0</v>
      </c>
      <c r="BU46" s="3">
        <f>IF($C$5="ON",CU46,MyRating(_D3,$B46,Efficacy!$F$1))</f>
        <v>0</v>
      </c>
      <c r="BV46" s="3">
        <f>IF($C$5="ON",CV46,MyRating(_D4,$B46,Efficacy!$F$1))</f>
        <v>0</v>
      </c>
      <c r="BW46" s="3">
        <f>IF($C$5="ON",CW46,MyRating(_B1G5,$B46,Barrier!$L$2))</f>
        <v>2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9"/>
        <v>3.3407946312985805E-2</v>
      </c>
      <c r="CA46" s="8">
        <f t="shared" si="12"/>
        <v>2.8000000000000003</v>
      </c>
      <c r="CB46" s="5">
        <f t="shared" si="13"/>
        <v>3.2941176470588251E-2</v>
      </c>
      <c r="CC46" s="7">
        <f t="shared" si="14"/>
        <v>5.9787261089987885E-3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>
        <v>0</v>
      </c>
      <c r="DA46" s="59"/>
    </row>
    <row r="47" spans="1:105" x14ac:dyDescent="0.25">
      <c r="A47" s="9" t="str">
        <f t="shared" si="10"/>
        <v>IT</v>
      </c>
      <c r="B47" s="9" t="s">
        <v>7</v>
      </c>
      <c r="C47" s="20"/>
      <c r="D47" s="9" t="s">
        <v>2</v>
      </c>
      <c r="E47" s="9" t="s">
        <v>186</v>
      </c>
      <c r="F47" s="9" t="str">
        <f>INDEX('Unique Asset List'!$C$4:$C$60,MATCH(B47,_CompoundList,0))</f>
        <v>PCD</v>
      </c>
      <c r="G47" s="19">
        <v>0</v>
      </c>
      <c r="H47" s="9">
        <v>2014</v>
      </c>
      <c r="I47" s="9">
        <v>6</v>
      </c>
      <c r="J47" s="18">
        <f>INDEX(PTRS!$D$6:$D$12,MATCH('6'!$F47,PTRS!$B$6:$B$12,0))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v>0</v>
      </c>
      <c r="N47" s="17">
        <f>INDEX('Unique Asset List'!$D$4:$M$60,MATCH($B47,'Unique Asset List'!$A$4:$A$60,0),MATCH(N$8,'Unique Asset List'!$D$3:$M$3,0))</f>
        <v>1</v>
      </c>
      <c r="O47" s="17">
        <f>INDEX('Unique Asset List'!$D$4:$M$60,MATCH($B47,'Unique Asset List'!$A$4:$A$60,0),MATCH(O$8,'Unique Asset List'!$D$3:$M$3,0))</f>
        <v>1</v>
      </c>
      <c r="P47" s="17">
        <f>INDEX('Unique Asset List'!$D$4:$M$60,MATCH($B47,'Unique Asset List'!$A$4:$A$60,0),MATCH(P$8,'Unique Asset List'!$D$3:$M$3,0))</f>
        <v>1</v>
      </c>
      <c r="Q47" s="17">
        <f>INDEX('Unique Asset List'!$D$4:$M$60,MATCH($B47,'Unique Asset List'!$A$4:$A$60,0),MATCH(Q$8,'Unique Asset List'!$D$3:$M$3,0))</f>
        <v>1</v>
      </c>
      <c r="R47" s="17">
        <f>INDEX('Unique Asset List'!$D$4:$M$60,MATCH($B47,'Unique Asset List'!$A$4:$A$60,0),MATCH(R$8,'Unique Asset List'!$D$3:$M$3,0))</f>
        <v>1</v>
      </c>
      <c r="S47" s="17">
        <f>INDEX('Unique Asset List'!$D$4:$M$60,MATCH($B47,'Unique Asset List'!$A$4:$A$60,0),MATCH(S$8,'Unique Asset List'!$D$3:$M$3,0))</f>
        <v>1</v>
      </c>
      <c r="T47" s="17"/>
      <c r="U47" s="17">
        <f t="shared" si="1"/>
        <v>0.90168566420734264</v>
      </c>
      <c r="V47" s="17">
        <v>1</v>
      </c>
      <c r="W47" s="9" t="s">
        <v>7</v>
      </c>
      <c r="X47" s="9">
        <f>INDEX('Unique Asset List'!$Y$4:$AE$60,MATCH('6'!$B47,'Unique Asset List'!$A$4:$A$60,0),MATCH('6'!$C$1,'Unique Asset List'!$Y$3:$AE$3,0))</f>
        <v>2039</v>
      </c>
      <c r="Y47" s="9">
        <f>INDEX('Unique Asset List'!$AF$4:$AL$60,MATCH('6'!$B47,'Unique Asset List'!$A$4:$A$60,0),MATCH('6'!$C$1,'Unique Asset List'!$AF$3:$AL$3,0))</f>
        <v>6.9999999999990905</v>
      </c>
      <c r="Z47" s="9">
        <f>INDEX('Unique Asset List'!$AT$4:$AZ$60,MATCH('6'!$B47,'Unique Asset List'!$A$4:$A$60,0),MATCH('6'!$C$1,'Unique Asset List'!$AT$3:$AZ$3,0))</f>
        <v>2050</v>
      </c>
      <c r="AA47" s="9">
        <f>INDEX('Unique Asset List'!$BA$4:$BG$60,MATCH('6'!$B47,'Unique Asset List'!$A$4:$A$60,0),MATCH('6'!$C$1,'Unique Asset List'!$BA$3:$BG$3,0))</f>
        <v>6</v>
      </c>
      <c r="AB47" s="16">
        <v>2.3276916000000001</v>
      </c>
      <c r="AC47" s="16">
        <v>1.0028454</v>
      </c>
      <c r="AD47" s="16">
        <v>0.56099999999999994</v>
      </c>
      <c r="AE47" s="15">
        <f>INDEX('Unique Asset List'!$CJ$4:$CP$60,MATCH('6'!$B47,'Unique Asset List'!$A$4:$A$60,0),MATCH('6'!$C$1,'Unique Asset List'!$CJ$3:$CP$3,0))</f>
        <v>0.18</v>
      </c>
      <c r="AF47" s="15">
        <f>INDEX('Unique Asset List'!$CQ$4:$CW$60,MATCH('6'!$B47,'Unique Asset List'!$A$4:$A$60,0),MATCH('6'!$C$1,'Unique Asset List'!$CQ$3:$CW$3,0))</f>
        <v>0.32</v>
      </c>
      <c r="AG47" s="15">
        <f>INDEX('Unique Asset List'!$BV$4:$CB$60,MATCH('6'!$B47,'Unique Asset List'!$A$4:$A$60,0),MATCH('6'!$C$1,'Unique Asset List'!$BV$3:$CB$3,0))</f>
        <v>0.18</v>
      </c>
      <c r="AH47" s="15">
        <f>INDEX('Unique Asset List'!$CC$4:$CI$60,MATCH('6'!$B47,'Unique Asset List'!$A$4:$A$60,0),MATCH('6'!$C$1,'Unique Asset List'!$CC$3:$CI$3,0))</f>
        <v>0.32</v>
      </c>
      <c r="AI47" s="11">
        <v>0.96187963349867744</v>
      </c>
      <c r="AJ47" s="15">
        <f>INDEX('Unique Asset List'!$BH$4:$BN$60,MATCH('6'!$B47,'Unique Asset List'!$A$4:$A$60,0),MATCH('6'!$C$1,'Unique Asset List'!$BH$3:$BN$3,0))</f>
        <v>0.32314284341629806</v>
      </c>
      <c r="AK47" s="15">
        <f>INDEX('Unique Asset List'!$BO$4:$BU$60,MATCH('6'!$B47,'Unique Asset List'!$A$4:$A$60,0),MATCH('6'!$C$1,'Unique Asset List'!$BO$3:$BU$3,0))</f>
        <v>0.61768216477991222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1"/>
        <v>0.82</v>
      </c>
      <c r="AS47" s="10">
        <v>1</v>
      </c>
      <c r="AT47" s="181">
        <f>INDEX('Unique Asset List'!N$4:N$60,MATCH($B47,_CompoundList,0))</f>
        <v>1</v>
      </c>
      <c r="AU47" s="181">
        <f>INDEX('Unique Asset List'!O$4:O$60,MATCH($B47,_CompoundList,0))</f>
        <v>1</v>
      </c>
      <c r="AV47" s="181">
        <f>INDEX('Unique Asset List'!P$4:P$60,MATCH($B47,_CompoundList,0))</f>
        <v>1</v>
      </c>
      <c r="AW47" s="181">
        <f>INDEX('Unique Asset List'!Q$4:Q$60,MATCH($B47,_CompoundList,0))</f>
        <v>1</v>
      </c>
      <c r="AX47" s="181">
        <f ca="1">INDEX('Unique Asset List'!R$4:R$60,MATCH($B47,_CompoundList,0))</f>
        <v>1</v>
      </c>
      <c r="AY47" s="181">
        <f ca="1">INDEX('Unique Asset List'!S$4:S$60,MATCH($B47,_CompoundList,0))</f>
        <v>1</v>
      </c>
      <c r="AZ47" s="181">
        <f ca="1">INDEX('Unique Asset List'!T$4:T$60,MATCH($B47,_CompoundList,0))</f>
        <v>1</v>
      </c>
      <c r="BA47" s="181">
        <f ca="1">INDEX('Unique Asset List'!U$4:U$60,MATCH($B47,_CompoundList,0))</f>
        <v>1</v>
      </c>
      <c r="BB47" s="181">
        <f ca="1">INDEX('Unique Asset List'!V$4:V$60,MATCH($B47,_CompoundList,0))</f>
        <v>1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IF($C$5="ON",CL47,MyRating(_S1,$B47,Efficacy!$F$1))</f>
        <v>0</v>
      </c>
      <c r="BM47" s="3">
        <f>IF($C$5="ON",CM47,MyRating(_S2,$B47,Efficacy!$F$1))</f>
        <v>0</v>
      </c>
      <c r="BN47" s="3">
        <f>IF($C$5="ON",CN47,MyRating(_S3,$B47,Efficacy!$F$1))</f>
        <v>0</v>
      </c>
      <c r="BO47" s="3">
        <f>IF($C$5="ON",CO47,MyRating(_S4,$B47,Efficacy!$F$1))</f>
        <v>0</v>
      </c>
      <c r="BP47" s="3">
        <f>IF($C$5="ON",CP47,MyRating(_S5,$B47,Efficacy!$F$1))</f>
        <v>0</v>
      </c>
      <c r="BQ47" s="3">
        <f>IF($C$5="ON",CQ47,MyRating(_S6,$B47,Efficacy!$F$1))</f>
        <v>0</v>
      </c>
      <c r="BR47" s="3">
        <f>IF($C$5="ON",CR47,MyRating(_S7,$B47,Efficacy!$F$1))</f>
        <v>0</v>
      </c>
      <c r="BS47" s="3">
        <f>IF($C$5="ON",CS47,MyRating(_D1,$B47,Efficacy!$F$1))</f>
        <v>0</v>
      </c>
      <c r="BT47" s="3">
        <f>IF($C$5="ON",CT47,MyRating(_D2,$B47,Efficacy!$F$1))</f>
        <v>0</v>
      </c>
      <c r="BU47" s="3">
        <f>IF($C$5="ON",CU47,MyRating(_D3,$B47,Efficacy!$F$1))</f>
        <v>0</v>
      </c>
      <c r="BV47" s="3">
        <f>IF($C$5="ON",CV47,MyRating(_D4,$B47,Efficacy!$F$1))</f>
        <v>0</v>
      </c>
      <c r="BW47" s="3">
        <f>IF($C$5="ON",CW47,MyRating(_B1G5,$B47,Barrier!$L$2))</f>
        <v>2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9"/>
        <v>3.3407946312985805E-2</v>
      </c>
      <c r="CA47" s="8">
        <f t="shared" si="12"/>
        <v>2.8000000000000003</v>
      </c>
      <c r="CB47" s="5">
        <f t="shared" si="13"/>
        <v>3.2941176470588251E-2</v>
      </c>
      <c r="CC47" s="7">
        <f t="shared" si="14"/>
        <v>5.9787261089987885E-3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>
        <v>0</v>
      </c>
      <c r="DA47" s="59"/>
    </row>
    <row r="48" spans="1:105" x14ac:dyDescent="0.25">
      <c r="A48" s="9" t="str">
        <f t="shared" si="10"/>
        <v>IT</v>
      </c>
      <c r="B48" s="9" t="s">
        <v>15</v>
      </c>
      <c r="C48" s="20"/>
      <c r="D48" s="9" t="s">
        <v>14</v>
      </c>
      <c r="E48" s="9" t="s">
        <v>186</v>
      </c>
      <c r="F48" s="9" t="str">
        <f>INDEX('Unique Asset List'!$C$4:$C$60,MATCH(B48,_CompoundList,0))</f>
        <v>PCD</v>
      </c>
      <c r="G48" s="19">
        <v>0</v>
      </c>
      <c r="H48" s="9">
        <v>2014</v>
      </c>
      <c r="I48" s="9">
        <v>6</v>
      </c>
      <c r="J48" s="18">
        <f>INDEX(PTRS!$D$6:$D$12,MATCH('6'!$F48,PTRS!$B$6:$B$12,0))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v>0</v>
      </c>
      <c r="N48" s="17">
        <f>INDEX('Unique Asset List'!$D$4:$M$60,MATCH($B48,'Unique Asset List'!$A$4:$A$60,0),MATCH(N$8,'Unique Asset List'!$D$3:$M$3,0))</f>
        <v>1</v>
      </c>
      <c r="O48" s="17">
        <f>INDEX('Unique Asset List'!$D$4:$M$60,MATCH($B48,'Unique Asset List'!$A$4:$A$60,0),MATCH(O$8,'Unique Asset List'!$D$3:$M$3,0))</f>
        <v>1</v>
      </c>
      <c r="P48" s="17">
        <f>INDEX('Unique Asset List'!$D$4:$M$60,MATCH($B48,'Unique Asset List'!$A$4:$A$60,0),MATCH(P$8,'Unique Asset List'!$D$3:$M$3,0))</f>
        <v>1</v>
      </c>
      <c r="Q48" s="17">
        <f>INDEX('Unique Asset List'!$D$4:$M$60,MATCH($B48,'Unique Asset List'!$A$4:$A$60,0),MATCH(Q$8,'Unique Asset List'!$D$3:$M$3,0))</f>
        <v>1</v>
      </c>
      <c r="R48" s="17">
        <f>INDEX('Unique Asset List'!$D$4:$M$60,MATCH($B48,'Unique Asset List'!$A$4:$A$60,0),MATCH(R$8,'Unique Asset List'!$D$3:$M$3,0))</f>
        <v>1</v>
      </c>
      <c r="S48" s="17">
        <f>INDEX('Unique Asset List'!$D$4:$M$60,MATCH($B48,'Unique Asset List'!$A$4:$A$60,0),MATCH(S$8,'Unique Asset List'!$D$3:$M$3,0))</f>
        <v>1</v>
      </c>
      <c r="T48" s="17" t="s">
        <v>13</v>
      </c>
      <c r="U48" s="17">
        <f t="shared" si="1"/>
        <v>0.90168566420734264</v>
      </c>
      <c r="V48" s="17">
        <v>1</v>
      </c>
      <c r="W48" s="9" t="s">
        <v>13</v>
      </c>
      <c r="X48" s="9">
        <f>INDEX('Unique Asset List'!$Y$4:$AE$60,MATCH('6'!$B48,'Unique Asset List'!$A$4:$A$60,0),MATCH('6'!$C$1,'Unique Asset List'!$Y$3:$AE$3,0))</f>
        <v>2033</v>
      </c>
      <c r="Y48" s="9">
        <f>INDEX('Unique Asset List'!$AF$4:$AL$60,MATCH('6'!$B48,'Unique Asset List'!$A$4:$A$60,0),MATCH('6'!$C$1,'Unique Asset List'!$AF$3:$AL$3,0))</f>
        <v>6.9999999999990905</v>
      </c>
      <c r="Z48" s="9">
        <f>INDEX('Unique Asset List'!$AT$4:$AZ$60,MATCH('6'!$B48,'Unique Asset List'!$A$4:$A$60,0),MATCH('6'!$C$1,'Unique Asset List'!$AT$3:$AZ$3,0))</f>
        <v>2044</v>
      </c>
      <c r="AA48" s="9">
        <f>INDEX('Unique Asset List'!$BA$4:$BG$60,MATCH('6'!$B48,'Unique Asset List'!$A$4:$A$60,0),MATCH('6'!$C$1,'Unique Asset List'!$BA$3:$BG$3,0))</f>
        <v>6</v>
      </c>
      <c r="AB48" s="16">
        <v>2.3276916000000001</v>
      </c>
      <c r="AC48" s="16">
        <v>1.0028454</v>
      </c>
      <c r="AD48" s="16">
        <v>0.56099999999999994</v>
      </c>
      <c r="AE48" s="15">
        <f>INDEX('Unique Asset List'!$CJ$4:$CP$60,MATCH('6'!$B48,'Unique Asset List'!$A$4:$A$60,0),MATCH('6'!$C$1,'Unique Asset List'!$CJ$3:$CP$3,0))</f>
        <v>0.18</v>
      </c>
      <c r="AF48" s="15">
        <f>INDEX('Unique Asset List'!$CQ$4:$CW$60,MATCH('6'!$B48,'Unique Asset List'!$A$4:$A$60,0),MATCH('6'!$C$1,'Unique Asset List'!$CQ$3:$CW$3,0))</f>
        <v>0.32</v>
      </c>
      <c r="AG48" s="15">
        <f>INDEX('Unique Asset List'!$BV$4:$CB$60,MATCH('6'!$B48,'Unique Asset List'!$A$4:$A$60,0),MATCH('6'!$C$1,'Unique Asset List'!$BV$3:$CB$3,0))</f>
        <v>0.18</v>
      </c>
      <c r="AH48" s="15">
        <f>INDEX('Unique Asset List'!$CC$4:$CI$60,MATCH('6'!$B48,'Unique Asset List'!$A$4:$A$60,0),MATCH('6'!$C$1,'Unique Asset List'!$CC$3:$CI$3,0))</f>
        <v>0.32</v>
      </c>
      <c r="AI48" s="11">
        <v>0.96187963349867744</v>
      </c>
      <c r="AJ48" s="15">
        <f>INDEX('Unique Asset List'!$BH$4:$BN$60,MATCH('6'!$B48,'Unique Asset List'!$A$4:$A$60,0),MATCH('6'!$C$1,'Unique Asset List'!$BH$3:$BN$3,0))</f>
        <v>0.32314284341629806</v>
      </c>
      <c r="AK48" s="15">
        <f>INDEX('Unique Asset List'!$BO$4:$BU$60,MATCH('6'!$B48,'Unique Asset List'!$A$4:$A$60,0),MATCH('6'!$C$1,'Unique Asset List'!$BO$3:$BU$3,0))</f>
        <v>0.61768216477991222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1"/>
        <v>0.82</v>
      </c>
      <c r="AS48" s="10">
        <v>1</v>
      </c>
      <c r="AT48" s="181">
        <f>INDEX('Unique Asset List'!N$4:N$60,MATCH($B48,_CompoundList,0))</f>
        <v>1</v>
      </c>
      <c r="AU48" s="181">
        <f>INDEX('Unique Asset List'!O$4:O$60,MATCH($B48,_CompoundList,0))</f>
        <v>1</v>
      </c>
      <c r="AV48" s="181">
        <f>INDEX('Unique Asset List'!P$4:P$60,MATCH($B48,_CompoundList,0))</f>
        <v>1</v>
      </c>
      <c r="AW48" s="181">
        <f>INDEX('Unique Asset List'!Q$4:Q$60,MATCH($B48,_CompoundList,0))</f>
        <v>1</v>
      </c>
      <c r="AX48" s="181">
        <f ca="1">INDEX('Unique Asset List'!R$4:R$60,MATCH($B48,_CompoundList,0))</f>
        <v>1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1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1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IF($C$5="ON",CL48,MyRating(_S1,$B48,Efficacy!$F$1))</f>
        <v>0</v>
      </c>
      <c r="BM48" s="3">
        <f>IF($C$5="ON",CM48,MyRating(_S2,$B48,Efficacy!$F$1))</f>
        <v>0</v>
      </c>
      <c r="BN48" s="3">
        <f>IF($C$5="ON",CN48,MyRating(_S3,$B48,Efficacy!$F$1))</f>
        <v>0</v>
      </c>
      <c r="BO48" s="3">
        <f>IF($C$5="ON",CO48,MyRating(_S4,$B48,Efficacy!$F$1))</f>
        <v>0</v>
      </c>
      <c r="BP48" s="3">
        <f>IF($C$5="ON",CP48,MyRating(_S5,$B48,Efficacy!$F$1))</f>
        <v>0</v>
      </c>
      <c r="BQ48" s="3">
        <f>IF($C$5="ON",CQ48,MyRating(_S6,$B48,Efficacy!$F$1))</f>
        <v>0</v>
      </c>
      <c r="BR48" s="3">
        <f>IF($C$5="ON",CR48,MyRating(_S7,$B48,Efficacy!$F$1))</f>
        <v>0</v>
      </c>
      <c r="BS48" s="3">
        <f>IF($C$5="ON",CS48,MyRating(_D1,$B48,Efficacy!$F$1))</f>
        <v>0</v>
      </c>
      <c r="BT48" s="3">
        <f>IF($C$5="ON",CT48,MyRating(_D2,$B48,Efficacy!$F$1))</f>
        <v>0</v>
      </c>
      <c r="BU48" s="3">
        <f>IF($C$5="ON",CU48,MyRating(_D3,$B48,Efficacy!$F$1))</f>
        <v>0</v>
      </c>
      <c r="BV48" s="3">
        <f>IF($C$5="ON",CV48,MyRating(_D4,$B48,Efficacy!$F$1))</f>
        <v>0</v>
      </c>
      <c r="BW48" s="3">
        <f>IF($C$5="ON",CW48,MyRating(_B1G5,$B48,Barrier!$L$2))</f>
        <v>2</v>
      </c>
      <c r="BX48" s="3">
        <f>IF($C$5="ON",CX48,MyRating(_B2,$B48,Barrier!$F$2))</f>
        <v>3</v>
      </c>
      <c r="BY48" s="6">
        <f>IF($C$5="ON",CY48,MyRating(_B3,$B48,Barrier!$F$2))</f>
        <v>3</v>
      </c>
      <c r="BZ48" s="5">
        <f t="shared" si="9"/>
        <v>3.3407946312985805E-2</v>
      </c>
      <c r="CA48" s="8">
        <f t="shared" si="12"/>
        <v>2.8000000000000003</v>
      </c>
      <c r="CB48" s="5">
        <f t="shared" si="13"/>
        <v>3.2941176470588251E-2</v>
      </c>
      <c r="CC48" s="7">
        <f t="shared" si="14"/>
        <v>5.9787261089987885E-3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>
        <v>0</v>
      </c>
      <c r="DA48" s="59"/>
    </row>
    <row r="49" spans="1:105" x14ac:dyDescent="0.25">
      <c r="A49" s="9" t="str">
        <f t="shared" si="10"/>
        <v>IT</v>
      </c>
      <c r="B49" s="9" t="s">
        <v>12</v>
      </c>
      <c r="C49" s="20"/>
      <c r="D49" s="9" t="s">
        <v>11</v>
      </c>
      <c r="E49" s="9" t="s">
        <v>186</v>
      </c>
      <c r="F49" s="9" t="str">
        <f>INDEX('Unique Asset List'!$C$4:$C$60,MATCH(B49,_CompoundList,0))</f>
        <v>PCD</v>
      </c>
      <c r="G49" s="19">
        <v>0</v>
      </c>
      <c r="H49" s="9">
        <v>2014</v>
      </c>
      <c r="I49" s="9">
        <v>6</v>
      </c>
      <c r="J49" s="18">
        <f>INDEX(PTRS!$D$6:$D$12,MATCH('6'!$F49,PTRS!$B$6:$B$12,0))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v>0</v>
      </c>
      <c r="N49" s="17">
        <f>INDEX('Unique Asset List'!$D$4:$M$60,MATCH($B49,'Unique Asset List'!$A$4:$A$60,0),MATCH(N$8,'Unique Asset List'!$D$3:$M$3,0))</f>
        <v>1</v>
      </c>
      <c r="O49" s="17">
        <f>INDEX('Unique Asset List'!$D$4:$M$60,MATCH($B49,'Unique Asset List'!$A$4:$A$60,0),MATCH(O$8,'Unique Asset List'!$D$3:$M$3,0))</f>
        <v>1</v>
      </c>
      <c r="P49" s="17">
        <f>INDEX('Unique Asset List'!$D$4:$M$60,MATCH($B49,'Unique Asset List'!$A$4:$A$60,0),MATCH(P$8,'Unique Asset List'!$D$3:$M$3,0))</f>
        <v>1</v>
      </c>
      <c r="Q49" s="17">
        <f>INDEX('Unique Asset List'!$D$4:$M$60,MATCH($B49,'Unique Asset List'!$A$4:$A$60,0),MATCH(Q$8,'Unique Asset List'!$D$3:$M$3,0))</f>
        <v>1</v>
      </c>
      <c r="R49" s="17">
        <f>INDEX('Unique Asset List'!$D$4:$M$60,MATCH($B49,'Unique Asset List'!$A$4:$A$60,0),MATCH(R$8,'Unique Asset List'!$D$3:$M$3,0))</f>
        <v>1</v>
      </c>
      <c r="S49" s="17">
        <f>INDEX('Unique Asset List'!$D$4:$M$60,MATCH($B49,'Unique Asset List'!$A$4:$A$60,0),MATCH(S$8,'Unique Asset List'!$D$3:$M$3,0))</f>
        <v>1</v>
      </c>
      <c r="T49" s="17" t="s">
        <v>10</v>
      </c>
      <c r="U49" s="17">
        <f t="shared" si="1"/>
        <v>0.90168566420734264</v>
      </c>
      <c r="V49" s="17">
        <v>1</v>
      </c>
      <c r="W49" s="9" t="s">
        <v>10</v>
      </c>
      <c r="X49" s="9">
        <f>INDEX('Unique Asset List'!$Y$4:$AE$60,MATCH('6'!$B49,'Unique Asset List'!$A$4:$A$60,0),MATCH('6'!$C$1,'Unique Asset List'!$Y$3:$AE$3,0))</f>
        <v>2037</v>
      </c>
      <c r="Y49" s="9">
        <f>INDEX('Unique Asset List'!$AF$4:$AL$60,MATCH('6'!$B49,'Unique Asset List'!$A$4:$A$60,0),MATCH('6'!$C$1,'Unique Asset List'!$AF$3:$AL$3,0))</f>
        <v>6.9999999999990905</v>
      </c>
      <c r="Z49" s="9">
        <f>INDEX('Unique Asset List'!$AT$4:$AZ$60,MATCH('6'!$B49,'Unique Asset List'!$A$4:$A$60,0),MATCH('6'!$C$1,'Unique Asset List'!$AT$3:$AZ$3,0))</f>
        <v>2048</v>
      </c>
      <c r="AA49" s="9">
        <f>INDEX('Unique Asset List'!$BA$4:$BG$60,MATCH('6'!$B49,'Unique Asset List'!$A$4:$A$60,0),MATCH('6'!$C$1,'Unique Asset List'!$BA$3:$BG$3,0))</f>
        <v>6</v>
      </c>
      <c r="AB49" s="16">
        <v>2.3276916000000001</v>
      </c>
      <c r="AC49" s="16">
        <v>1.0028454</v>
      </c>
      <c r="AD49" s="16">
        <v>0.56099999999999994</v>
      </c>
      <c r="AE49" s="15">
        <f>INDEX('Unique Asset List'!$CJ$4:$CP$60,MATCH('6'!$B49,'Unique Asset List'!$A$4:$A$60,0),MATCH('6'!$C$1,'Unique Asset List'!$CJ$3:$CP$3,0))</f>
        <v>0.18</v>
      </c>
      <c r="AF49" s="15">
        <f>INDEX('Unique Asset List'!$CQ$4:$CW$60,MATCH('6'!$B49,'Unique Asset List'!$A$4:$A$60,0),MATCH('6'!$C$1,'Unique Asset List'!$CQ$3:$CW$3,0))</f>
        <v>0.32</v>
      </c>
      <c r="AG49" s="15">
        <f>INDEX('Unique Asset List'!$BV$4:$CB$60,MATCH('6'!$B49,'Unique Asset List'!$A$4:$A$60,0),MATCH('6'!$C$1,'Unique Asset List'!$BV$3:$CB$3,0))</f>
        <v>0.18</v>
      </c>
      <c r="AH49" s="15">
        <f>INDEX('Unique Asset List'!$CC$4:$CI$60,MATCH('6'!$B49,'Unique Asset List'!$A$4:$A$60,0),MATCH('6'!$C$1,'Unique Asset List'!$CC$3:$CI$3,0))</f>
        <v>0.32</v>
      </c>
      <c r="AI49" s="11">
        <v>0.96187963349867744</v>
      </c>
      <c r="AJ49" s="15">
        <f>INDEX('Unique Asset List'!$BH$4:$BN$60,MATCH('6'!$B49,'Unique Asset List'!$A$4:$A$60,0),MATCH('6'!$C$1,'Unique Asset List'!$BH$3:$BN$3,0))</f>
        <v>0.32314284341629806</v>
      </c>
      <c r="AK49" s="15">
        <f>INDEX('Unique Asset List'!$BO$4:$BU$60,MATCH('6'!$B49,'Unique Asset List'!$A$4:$A$60,0),MATCH('6'!$C$1,'Unique Asset List'!$BO$3:$BU$3,0))</f>
        <v>0.61768216477991222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1"/>
        <v>0.82</v>
      </c>
      <c r="AS49" s="10">
        <v>1</v>
      </c>
      <c r="AT49" s="181">
        <f>INDEX('Unique Asset List'!N$4:N$60,MATCH($B49,_CompoundList,0))</f>
        <v>1</v>
      </c>
      <c r="AU49" s="181">
        <f>INDEX('Unique Asset List'!O$4:O$60,MATCH($B49,_CompoundList,0))</f>
        <v>1</v>
      </c>
      <c r="AV49" s="181">
        <f>INDEX('Unique Asset List'!P$4:P$60,MATCH($B49,_CompoundList,0))</f>
        <v>1</v>
      </c>
      <c r="AW49" s="181">
        <f>INDEX('Unique Asset List'!Q$4:Q$60,MATCH($B49,_CompoundList,0))</f>
        <v>1</v>
      </c>
      <c r="AX49" s="181">
        <f ca="1">INDEX('Unique Asset List'!R$4:R$60,MATCH($B49,_CompoundList,0))</f>
        <v>1</v>
      </c>
      <c r="AY49" s="181">
        <f ca="1">INDEX('Unique Asset List'!S$4:S$60,MATCH($B49,_CompoundList,0))</f>
        <v>1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1</v>
      </c>
      <c r="BB49" s="181">
        <f ca="1">INDEX('Unique Asset List'!V$4:V$60,MATCH($B49,_CompoundList,0))</f>
        <v>1</v>
      </c>
      <c r="BC49" s="181">
        <f ca="1">INDEX('Unique Asset List'!W$4:W$60,MATCH($B49,_CompoundList,0))</f>
        <v>1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IF($C$5="ON",CL49,MyRating(_S1,$B49,Efficacy!$F$1))</f>
        <v>0</v>
      </c>
      <c r="BM49" s="3">
        <f>IF($C$5="ON",CM49,MyRating(_S2,$B49,Efficacy!$F$1))</f>
        <v>0</v>
      </c>
      <c r="BN49" s="3">
        <f>IF($C$5="ON",CN49,MyRating(_S3,$B49,Efficacy!$F$1))</f>
        <v>0</v>
      </c>
      <c r="BO49" s="3">
        <f>IF($C$5="ON",CO49,MyRating(_S4,$B49,Efficacy!$F$1))</f>
        <v>0</v>
      </c>
      <c r="BP49" s="3">
        <f>IF($C$5="ON",CP49,MyRating(_S5,$B49,Efficacy!$F$1))</f>
        <v>0</v>
      </c>
      <c r="BQ49" s="3">
        <f>IF($C$5="ON",CQ49,MyRating(_S6,$B49,Efficacy!$F$1))</f>
        <v>0</v>
      </c>
      <c r="BR49" s="3">
        <f>IF($C$5="ON",CR49,MyRating(_S7,$B49,Efficacy!$F$1))</f>
        <v>0</v>
      </c>
      <c r="BS49" s="3">
        <f>IF($C$5="ON",CS49,MyRating(_D1,$B49,Efficacy!$F$1))</f>
        <v>0</v>
      </c>
      <c r="BT49" s="3">
        <f>IF($C$5="ON",CT49,MyRating(_D2,$B49,Efficacy!$F$1))</f>
        <v>0</v>
      </c>
      <c r="BU49" s="3">
        <f>IF($C$5="ON",CU49,MyRating(_D3,$B49,Efficacy!$F$1))</f>
        <v>0</v>
      </c>
      <c r="BV49" s="3">
        <f>IF($C$5="ON",CV49,MyRating(_D4,$B49,Efficacy!$F$1))</f>
        <v>0</v>
      </c>
      <c r="BW49" s="3">
        <f>IF($C$5="ON",CW49,MyRating(_B1G5,$B49,Barrier!$L$2))</f>
        <v>2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9"/>
        <v>3.3407946312985805E-2</v>
      </c>
      <c r="CA49" s="8">
        <f t="shared" si="12"/>
        <v>2.8000000000000003</v>
      </c>
      <c r="CB49" s="5">
        <f t="shared" si="13"/>
        <v>3.2941176470588251E-2</v>
      </c>
      <c r="CC49" s="7">
        <f t="shared" si="14"/>
        <v>5.9787261089987885E-3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>
        <v>0</v>
      </c>
      <c r="DA49" s="59"/>
    </row>
    <row r="50" spans="1:105" x14ac:dyDescent="0.25">
      <c r="A50" s="9" t="str">
        <f t="shared" si="10"/>
        <v>IT</v>
      </c>
      <c r="B50" s="9" t="s">
        <v>9</v>
      </c>
      <c r="C50" s="20"/>
      <c r="D50" s="9" t="s">
        <v>8</v>
      </c>
      <c r="E50" s="9" t="s">
        <v>186</v>
      </c>
      <c r="F50" s="9" t="str">
        <f>INDEX('Unique Asset List'!$C$4:$C$60,MATCH(B50,_CompoundList,0))</f>
        <v>PCD</v>
      </c>
      <c r="G50" s="19">
        <v>0</v>
      </c>
      <c r="H50" s="9">
        <v>2014</v>
      </c>
      <c r="I50" s="9">
        <v>6</v>
      </c>
      <c r="J50" s="18">
        <f>INDEX(PTRS!$D$6:$D$12,MATCH('6'!$F50,PTRS!$B$6:$B$12,0))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v>0</v>
      </c>
      <c r="N50" s="17">
        <f>INDEX('Unique Asset List'!$D$4:$M$60,MATCH($B50,'Unique Asset List'!$A$4:$A$60,0),MATCH(N$8,'Unique Asset List'!$D$3:$M$3,0))</f>
        <v>1</v>
      </c>
      <c r="O50" s="17">
        <f>INDEX('Unique Asset List'!$D$4:$M$60,MATCH($B50,'Unique Asset List'!$A$4:$A$60,0),MATCH(O$8,'Unique Asset List'!$D$3:$M$3,0))</f>
        <v>1</v>
      </c>
      <c r="P50" s="17">
        <f>INDEX('Unique Asset List'!$D$4:$M$60,MATCH($B50,'Unique Asset List'!$A$4:$A$60,0),MATCH(P$8,'Unique Asset List'!$D$3:$M$3,0))</f>
        <v>1</v>
      </c>
      <c r="Q50" s="17">
        <f>INDEX('Unique Asset List'!$D$4:$M$60,MATCH($B50,'Unique Asset List'!$A$4:$A$60,0),MATCH(Q$8,'Unique Asset List'!$D$3:$M$3,0))</f>
        <v>1</v>
      </c>
      <c r="R50" s="17">
        <f>INDEX('Unique Asset List'!$D$4:$M$60,MATCH($B50,'Unique Asset List'!$A$4:$A$60,0),MATCH(R$8,'Unique Asset List'!$D$3:$M$3,0))</f>
        <v>1</v>
      </c>
      <c r="S50" s="17">
        <f>INDEX('Unique Asset List'!$D$4:$M$60,MATCH($B50,'Unique Asset List'!$A$4:$A$60,0),MATCH(S$8,'Unique Asset List'!$D$3:$M$3,0))</f>
        <v>1</v>
      </c>
      <c r="T50" s="17" t="s">
        <v>7</v>
      </c>
      <c r="U50" s="17">
        <f t="shared" si="1"/>
        <v>0.90168566420734264</v>
      </c>
      <c r="V50" s="17">
        <v>1</v>
      </c>
      <c r="W50" s="9" t="s">
        <v>7</v>
      </c>
      <c r="X50" s="9">
        <f>INDEX('Unique Asset List'!$Y$4:$AE$60,MATCH('6'!$B50,'Unique Asset List'!$A$4:$A$60,0),MATCH('6'!$C$1,'Unique Asset List'!$Y$3:$AE$3,0))</f>
        <v>2042</v>
      </c>
      <c r="Y50" s="9">
        <f>INDEX('Unique Asset List'!$AF$4:$AL$60,MATCH('6'!$B50,'Unique Asset List'!$A$4:$A$60,0),MATCH('6'!$C$1,'Unique Asset List'!$AF$3:$AL$3,0))</f>
        <v>6.9999999999990905</v>
      </c>
      <c r="Z50" s="9">
        <f>INDEX('Unique Asset List'!$AT$4:$AZ$60,MATCH('6'!$B50,'Unique Asset List'!$A$4:$A$60,0),MATCH('6'!$C$1,'Unique Asset List'!$AT$3:$AZ$3,0))</f>
        <v>2053</v>
      </c>
      <c r="AA50" s="9">
        <f>INDEX('Unique Asset List'!$BA$4:$BG$60,MATCH('6'!$B50,'Unique Asset List'!$A$4:$A$60,0),MATCH('6'!$C$1,'Unique Asset List'!$BA$3:$BG$3,0))</f>
        <v>6</v>
      </c>
      <c r="AB50" s="16">
        <v>2.3276916000000001</v>
      </c>
      <c r="AC50" s="16">
        <v>1.0028454</v>
      </c>
      <c r="AD50" s="16">
        <v>0.56099999999999994</v>
      </c>
      <c r="AE50" s="15">
        <f>INDEX('Unique Asset List'!$CJ$4:$CP$60,MATCH('6'!$B50,'Unique Asset List'!$A$4:$A$60,0),MATCH('6'!$C$1,'Unique Asset List'!$CJ$3:$CP$3,0))</f>
        <v>0.18</v>
      </c>
      <c r="AF50" s="15">
        <f>INDEX('Unique Asset List'!$CQ$4:$CW$60,MATCH('6'!$B50,'Unique Asset List'!$A$4:$A$60,0),MATCH('6'!$C$1,'Unique Asset List'!$CQ$3:$CW$3,0))</f>
        <v>0.32</v>
      </c>
      <c r="AG50" s="15">
        <f>INDEX('Unique Asset List'!$BV$4:$CB$60,MATCH('6'!$B50,'Unique Asset List'!$A$4:$A$60,0),MATCH('6'!$C$1,'Unique Asset List'!$BV$3:$CB$3,0))</f>
        <v>0.18</v>
      </c>
      <c r="AH50" s="15">
        <f>INDEX('Unique Asset List'!$CC$4:$CI$60,MATCH('6'!$B50,'Unique Asset List'!$A$4:$A$60,0),MATCH('6'!$C$1,'Unique Asset List'!$CC$3:$CI$3,0))</f>
        <v>0.32</v>
      </c>
      <c r="AI50" s="11">
        <v>0.96187963349867744</v>
      </c>
      <c r="AJ50" s="15">
        <f>INDEX('Unique Asset List'!$BH$4:$BN$60,MATCH('6'!$B50,'Unique Asset List'!$A$4:$A$60,0),MATCH('6'!$C$1,'Unique Asset List'!$BH$3:$BN$3,0))</f>
        <v>0.32314284341629806</v>
      </c>
      <c r="AK50" s="15">
        <f>INDEX('Unique Asset List'!$BO$4:$BU$60,MATCH('6'!$B50,'Unique Asset List'!$A$4:$A$60,0),MATCH('6'!$C$1,'Unique Asset List'!$BO$3:$BU$3,0))</f>
        <v>0.61768216477991222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1"/>
        <v>0.82</v>
      </c>
      <c r="AS50" s="10">
        <v>1</v>
      </c>
      <c r="AT50" s="181">
        <f>INDEX('Unique Asset List'!N$4:N$60,MATCH($B50,_CompoundList,0))</f>
        <v>1</v>
      </c>
      <c r="AU50" s="181">
        <f>INDEX('Unique Asset List'!O$4:O$60,MATCH($B50,_CompoundList,0))</f>
        <v>1</v>
      </c>
      <c r="AV50" s="181">
        <f>INDEX('Unique Asset List'!P$4:P$60,MATCH($B50,_CompoundList,0))</f>
        <v>1</v>
      </c>
      <c r="AW50" s="181">
        <f>INDEX('Unique Asset List'!Q$4:Q$60,MATCH($B50,_CompoundList,0))</f>
        <v>1</v>
      </c>
      <c r="AX50" s="181">
        <f ca="1">INDEX('Unique Asset List'!R$4:R$60,MATCH($B50,_CompoundList,0))</f>
        <v>1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1</v>
      </c>
      <c r="BA50" s="181">
        <f ca="1">INDEX('Unique Asset List'!U$4:U$60,MATCH($B50,_CompoundList,0))</f>
        <v>1</v>
      </c>
      <c r="BB50" s="181">
        <f ca="1">INDEX('Unique Asset List'!V$4:V$60,MATCH($B50,_CompoundList,0))</f>
        <v>1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IF($C$5="ON",CL50,MyRating(_S1,$B50,Efficacy!$F$1))</f>
        <v>0</v>
      </c>
      <c r="BM50" s="3">
        <f>IF($C$5="ON",CM50,MyRating(_S2,$B50,Efficacy!$F$1))</f>
        <v>0</v>
      </c>
      <c r="BN50" s="3">
        <f>IF($C$5="ON",CN50,MyRating(_S3,$B50,Efficacy!$F$1))</f>
        <v>0</v>
      </c>
      <c r="BO50" s="3">
        <f>IF($C$5="ON",CO50,MyRating(_S4,$B50,Efficacy!$F$1))</f>
        <v>0</v>
      </c>
      <c r="BP50" s="3">
        <f>IF($C$5="ON",CP50,MyRating(_S5,$B50,Efficacy!$F$1))</f>
        <v>0</v>
      </c>
      <c r="BQ50" s="3">
        <f>IF($C$5="ON",CQ50,MyRating(_S6,$B50,Efficacy!$F$1))</f>
        <v>0</v>
      </c>
      <c r="BR50" s="3">
        <f>IF($C$5="ON",CR50,MyRating(_S7,$B50,Efficacy!$F$1))</f>
        <v>0</v>
      </c>
      <c r="BS50" s="3">
        <f>IF($C$5="ON",CS50,MyRating(_D1,$B50,Efficacy!$F$1))</f>
        <v>0</v>
      </c>
      <c r="BT50" s="3">
        <f>IF($C$5="ON",CT50,MyRating(_D2,$B50,Efficacy!$F$1))</f>
        <v>0</v>
      </c>
      <c r="BU50" s="3">
        <f>IF($C$5="ON",CU50,MyRating(_D3,$B50,Efficacy!$F$1))</f>
        <v>0</v>
      </c>
      <c r="BV50" s="3">
        <f>IF($C$5="ON",CV50,MyRating(_D4,$B50,Efficacy!$F$1))</f>
        <v>0</v>
      </c>
      <c r="BW50" s="3">
        <f>IF($C$5="ON",CW50,MyRating(_B1G5,$B50,Barrier!$L$2))</f>
        <v>2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9"/>
        <v>3.3407946312985805E-2</v>
      </c>
      <c r="CA50" s="8">
        <f t="shared" si="12"/>
        <v>2.8000000000000003</v>
      </c>
      <c r="CB50" s="5">
        <f t="shared" si="13"/>
        <v>3.2941176470588251E-2</v>
      </c>
      <c r="CC50" s="7">
        <f t="shared" si="14"/>
        <v>5.9787261089987885E-3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>
        <v>0</v>
      </c>
      <c r="DA50" s="59"/>
    </row>
    <row r="51" spans="1:105" x14ac:dyDescent="0.25">
      <c r="A51" s="9" t="str">
        <f t="shared" si="10"/>
        <v>IT</v>
      </c>
      <c r="B51" s="9" t="s">
        <v>4</v>
      </c>
      <c r="C51" s="20" t="s">
        <v>3</v>
      </c>
      <c r="D51" s="9" t="s">
        <v>2</v>
      </c>
      <c r="E51" s="9" t="s">
        <v>186</v>
      </c>
      <c r="F51" s="9" t="str">
        <f>INDEX('Unique Asset List'!$C$4:$C$60,MATCH(B51,_CompoundList,0))</f>
        <v>PCD</v>
      </c>
      <c r="G51" s="19">
        <v>0</v>
      </c>
      <c r="H51" s="9">
        <v>2014</v>
      </c>
      <c r="I51" s="9">
        <v>6</v>
      </c>
      <c r="J51" s="18">
        <f>INDEX(PTRS!$D$6:$D$12,MATCH('6'!$F51,PTRS!$B$6:$B$12,0))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v>0</v>
      </c>
      <c r="N51" s="17">
        <f>INDEX('Unique Asset List'!$D$4:$M$60,MATCH($B51,'Unique Asset List'!$A$4:$A$60,0),MATCH(N$8,'Unique Asset List'!$D$3:$M$3,0))</f>
        <v>0</v>
      </c>
      <c r="O51" s="17">
        <f>INDEX('Unique Asset List'!$D$4:$M$60,MATCH($B51,'Unique Asset List'!$A$4:$A$60,0),MATCH(O$8,'Unique Asset List'!$D$3:$M$3,0))</f>
        <v>0</v>
      </c>
      <c r="P51" s="17">
        <f>INDEX('Unique Asset List'!$D$4:$M$60,MATCH($B51,'Unique Asset List'!$A$4:$A$60,0),MATCH(P$8,'Unique Asset List'!$D$3:$M$3,0))</f>
        <v>0</v>
      </c>
      <c r="Q51" s="17">
        <f>INDEX('Unique Asset List'!$D$4:$M$60,MATCH($B51,'Unique Asset List'!$A$4:$A$60,0),MATCH(Q$8,'Unique Asset List'!$D$3:$M$3,0))</f>
        <v>0</v>
      </c>
      <c r="R51" s="17">
        <f>INDEX('Unique Asset List'!$D$4:$M$60,MATCH($B51,'Unique Asset List'!$A$4:$A$60,0),MATCH(R$8,'Unique Asset List'!$D$3:$M$3,0))</f>
        <v>0</v>
      </c>
      <c r="S51" s="17">
        <f>INDEX('Unique Asset List'!$D$4:$M$60,MATCH($B51,'Unique Asset List'!$A$4:$A$60,0),MATCH(S$8,'Unique Asset List'!$D$3:$M$3,0))</f>
        <v>0</v>
      </c>
      <c r="T51" s="17"/>
      <c r="U51" s="17">
        <f t="shared" ref="U51:U58" si="15">BZ51/$BZ$7</f>
        <v>0</v>
      </c>
      <c r="V51" s="17">
        <v>1</v>
      </c>
      <c r="W51" s="9" t="s">
        <v>0</v>
      </c>
      <c r="X51" s="9">
        <f>INDEX('Unique Asset List'!$Y$4:$AE$60,MATCH('6'!$B51,'Unique Asset List'!$A$4:$A$60,0),MATCH('6'!$C$1,'Unique Asset List'!$Y$3:$AE$3,0))</f>
        <v>2052</v>
      </c>
      <c r="Y51" s="9">
        <f>INDEX('Unique Asset List'!$AF$4:$AL$60,MATCH('6'!$B51,'Unique Asset List'!$A$4:$A$60,0),MATCH('6'!$C$1,'Unique Asset List'!$AF$3:$AL$3,0))</f>
        <v>7.000000000001819</v>
      </c>
      <c r="Z51" s="9">
        <f>INDEX('Unique Asset List'!$AT$4:$AZ$60,MATCH('6'!$B51,'Unique Asset List'!$A$4:$A$60,0),MATCH('6'!$C$1,'Unique Asset List'!$AT$3:$AZ$3,0))</f>
        <v>2060</v>
      </c>
      <c r="AA51" s="9">
        <f>INDEX('Unique Asset List'!$BA$4:$BG$60,MATCH('6'!$B51,'Unique Asset List'!$A$4:$A$60,0),MATCH('6'!$C$1,'Unique Asset List'!$BA$3:$BG$3,0))</f>
        <v>6</v>
      </c>
      <c r="AB51" s="16">
        <f t="shared" ref="AB51:AB58" si="16">SUMPRODUCT($BD51:$BK51,$BD$7:$BK$7)</f>
        <v>0</v>
      </c>
      <c r="AC51" s="16">
        <f t="shared" ref="AC51:AC58" si="17">SUMPRODUCT($BL51:$BR51,$BL$7:$BR$7)</f>
        <v>0</v>
      </c>
      <c r="AD51" s="16">
        <f t="shared" ref="AD51:AD58" si="18">SUMPRODUCT($BS51:$BV51,$BS$7:$BV$7)</f>
        <v>0</v>
      </c>
      <c r="AE51" s="15">
        <f>INDEX('Unique Asset List'!$CJ$4:$CP$60,MATCH('6'!$B51,'Unique Asset List'!$A$4:$A$60,0),MATCH('6'!$C$1,'Unique Asset List'!$CJ$3:$CP$3,0))</f>
        <v>0.18</v>
      </c>
      <c r="AF51" s="15">
        <f>INDEX('Unique Asset List'!$CQ$4:$CW$60,MATCH('6'!$B51,'Unique Asset List'!$A$4:$A$60,0),MATCH('6'!$C$1,'Unique Asset List'!$CQ$3:$CW$3,0))</f>
        <v>0.32</v>
      </c>
      <c r="AG51" s="15">
        <f>INDEX('Unique Asset List'!$BV$4:$CB$60,MATCH('6'!$B51,'Unique Asset List'!$A$4:$A$60,0),MATCH('6'!$C$1,'Unique Asset List'!$BV$3:$CB$3,0))</f>
        <v>0.18</v>
      </c>
      <c r="AH51" s="15">
        <f>INDEX('Unique Asset List'!$CC$4:$CI$60,MATCH('6'!$B51,'Unique Asset List'!$A$4:$A$60,0),MATCH('6'!$C$1,'Unique Asset List'!$CC$3:$CI$3,0))</f>
        <v>0.32</v>
      </c>
      <c r="AI51" s="11">
        <v>0.96187963349867744</v>
      </c>
      <c r="AJ51" s="15">
        <f>INDEX('Unique Asset List'!$BH$4:$BN$60,MATCH('6'!$B51,'Unique Asset List'!$A$4:$A$60,0),MATCH('6'!$C$1,'Unique Asset List'!$BH$3:$BN$3,0))</f>
        <v>0.32314284341629806</v>
      </c>
      <c r="AK51" s="15">
        <f>INDEX('Unique Asset List'!$BO$4:$BU$60,MATCH('6'!$B51,'Unique Asset List'!$A$4:$A$60,0),MATCH('6'!$C$1,'Unique Asset List'!$BO$3:$BU$3,0))</f>
        <v>0.61768216477991222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1"/>
        <v>0.82</v>
      </c>
      <c r="AS51" s="10">
        <v>1</v>
      </c>
      <c r="AT51" s="181">
        <f>INDEX('Unique Asset List'!N$4:N$60,MATCH($B51,_CompoundList,0))</f>
        <v>0</v>
      </c>
      <c r="AU51" s="181">
        <f>INDEX('Unique Asset List'!O$4:O$60,MATCH($B51,_CompoundList,0))</f>
        <v>0</v>
      </c>
      <c r="AV51" s="181">
        <f>INDEX('Unique Asset List'!P$4:P$60,MATCH($B51,_CompoundList,0))</f>
        <v>0</v>
      </c>
      <c r="AW51" s="181">
        <f>INDEX('Unique Asset List'!Q$4:Q$60,MATCH($B51,_CompoundList,0))</f>
        <v>0</v>
      </c>
      <c r="AX51" s="181">
        <f ca="1">INDEX('Unique Asset List'!R$4:R$60,MATCH($B51,_CompoundList,0))</f>
        <v>0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0</v>
      </c>
      <c r="BA51" s="181">
        <f ca="1">INDEX('Unique Asset List'!U$4:U$60,MATCH($B51,_CompoundList,0))</f>
        <v>0</v>
      </c>
      <c r="BB51" s="181">
        <f ca="1">INDEX('Unique Asset List'!V$4:V$60,MATCH($B51,_CompoundList,0))</f>
        <v>0</v>
      </c>
      <c r="BC51" s="181">
        <f ca="1">INDEX('Unique Asset List'!W$4:W$60,MATCH($B51,_CompoundList,0))</f>
        <v>0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IF($C$5="ON",CL51,MyRating(_S1,$B51,Efficacy!$F$1))</f>
        <v>0</v>
      </c>
      <c r="BM51" s="3">
        <f>IF($C$5="ON",CM51,MyRating(_S2,$B51,Efficacy!$F$1))</f>
        <v>0</v>
      </c>
      <c r="BN51" s="3">
        <f>IF($C$5="ON",CN51,MyRating(_S3,$B51,Efficacy!$F$1))</f>
        <v>0</v>
      </c>
      <c r="BO51" s="3">
        <f>IF($C$5="ON",CO51,MyRating(_S4,$B51,Efficacy!$F$1))</f>
        <v>0</v>
      </c>
      <c r="BP51" s="3">
        <f>IF($C$5="ON",CP51,MyRating(_S5,$B51,Efficacy!$F$1))</f>
        <v>0</v>
      </c>
      <c r="BQ51" s="3">
        <f>IF($C$5="ON",CQ51,MyRating(_S6,$B51,Efficacy!$F$1))</f>
        <v>0</v>
      </c>
      <c r="BR51" s="3">
        <f>IF($C$5="ON",CR51,MyRating(_S7,$B51,Efficacy!$F$1))</f>
        <v>0</v>
      </c>
      <c r="BS51" s="3">
        <f>IF($C$5="ON",CS51,MyRating(_D1,$B51,Efficacy!$F$1))</f>
        <v>0</v>
      </c>
      <c r="BT51" s="3">
        <f>IF($C$5="ON",CT51,MyRating(_D2,$B51,Efficacy!$F$1))</f>
        <v>0</v>
      </c>
      <c r="BU51" s="3">
        <f>IF($C$5="ON",CU51,MyRating(_D3,$B51,Efficacy!$F$1))</f>
        <v>0</v>
      </c>
      <c r="BV51" s="3">
        <f>IF($C$5="ON",CV51,MyRating(_D4,$B51,Efficacy!$F$1))</f>
        <v>0</v>
      </c>
      <c r="BW51" s="3">
        <f>IF($C$5="ON",CW51,MyRating(_B1G5,$B51,Barrier!$L$2))</f>
        <v>0</v>
      </c>
      <c r="BX51" s="3">
        <f>IF($C$5="ON",CX51,MyRating(_B2,$B51,Barrier!$F$2))</f>
        <v>0</v>
      </c>
      <c r="BY51" s="6">
        <f>IF($C$5="ON",CY51,MyRating(_B3,$B51,Barrier!$F$2))</f>
        <v>0</v>
      </c>
      <c r="BZ51" s="5">
        <f t="shared" si="9"/>
        <v>0</v>
      </c>
      <c r="CA51" s="8">
        <f t="shared" si="12"/>
        <v>0</v>
      </c>
      <c r="CB51" s="5">
        <f t="shared" si="13"/>
        <v>0</v>
      </c>
      <c r="CC51" s="7">
        <f t="shared" si="14"/>
        <v>0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>
        <v>0</v>
      </c>
      <c r="DA51" s="59"/>
    </row>
    <row r="52" spans="1:105" x14ac:dyDescent="0.25">
      <c r="A52" s="9" t="str">
        <f t="shared" si="10"/>
        <v>IT</v>
      </c>
      <c r="B52" s="9" t="s">
        <v>68</v>
      </c>
      <c r="C52" s="20" t="s">
        <v>3</v>
      </c>
      <c r="D52" s="9" t="s">
        <v>2</v>
      </c>
      <c r="E52" s="9" t="s">
        <v>186</v>
      </c>
      <c r="F52" s="9" t="str">
        <f>INDEX('Unique Asset List'!$C$4:$C$60,MATCH(B52,_CompoundList,0))</f>
        <v>PCD</v>
      </c>
      <c r="G52" s="19">
        <v>0</v>
      </c>
      <c r="H52" s="9">
        <v>2014</v>
      </c>
      <c r="I52" s="9">
        <v>6</v>
      </c>
      <c r="J52" s="18">
        <f>INDEX(PTRS!$D$6:$D$12,MATCH('6'!$F52,PTRS!$B$6:$B$12,0))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v>0</v>
      </c>
      <c r="N52" s="17">
        <f>INDEX('Unique Asset List'!$D$4:$M$60,MATCH($B52,'Unique Asset List'!$A$4:$A$60,0),MATCH(N$8,'Unique Asset List'!$D$3:$M$3,0))</f>
        <v>0.1044225</v>
      </c>
      <c r="O52" s="17">
        <f>INDEX('Unique Asset List'!$D$4:$M$60,MATCH($B52,'Unique Asset List'!$A$4:$A$60,0),MATCH(O$8,'Unique Asset List'!$D$3:$M$3,0))</f>
        <v>0.1044225</v>
      </c>
      <c r="P52" s="17">
        <f>INDEX('Unique Asset List'!$D$4:$M$60,MATCH($B52,'Unique Asset List'!$A$4:$A$60,0),MATCH(P$8,'Unique Asset List'!$D$3:$M$3,0))</f>
        <v>0.1044225</v>
      </c>
      <c r="Q52" s="17">
        <f>INDEX('Unique Asset List'!$D$4:$M$60,MATCH($B52,'Unique Asset List'!$A$4:$A$60,0),MATCH(Q$8,'Unique Asset List'!$D$3:$M$3,0))</f>
        <v>0.1044225</v>
      </c>
      <c r="R52" s="17">
        <f>INDEX('Unique Asset List'!$D$4:$M$60,MATCH($B52,'Unique Asset List'!$A$4:$A$60,0),MATCH(R$8,'Unique Asset List'!$D$3:$M$3,0))</f>
        <v>0.1044225</v>
      </c>
      <c r="S52" s="17">
        <f>INDEX('Unique Asset List'!$D$4:$M$60,MATCH($B52,'Unique Asset List'!$A$4:$A$60,0),MATCH(S$8,'Unique Asset List'!$D$3:$M$3,0))</f>
        <v>0</v>
      </c>
      <c r="T52" s="17"/>
      <c r="U52" s="17">
        <f t="shared" si="15"/>
        <v>0</v>
      </c>
      <c r="V52" s="17">
        <v>1</v>
      </c>
      <c r="W52" s="9" t="s">
        <v>68</v>
      </c>
      <c r="X52" s="9">
        <f>INDEX('Unique Asset List'!$Y$4:$AE$60,MATCH('6'!$B52,'Unique Asset List'!$A$4:$A$60,0),MATCH('6'!$C$1,'Unique Asset List'!$Y$3:$AE$3,0))</f>
        <v>2033</v>
      </c>
      <c r="Y52" s="9">
        <f>INDEX('Unique Asset List'!$AF$4:$AL$60,MATCH('6'!$B52,'Unique Asset List'!$A$4:$A$60,0),MATCH('6'!$C$1,'Unique Asset List'!$AF$3:$AL$3,0))</f>
        <v>3.9999999999990905</v>
      </c>
      <c r="Z52" s="9">
        <f>INDEX('Unique Asset List'!$AT$4:$AZ$60,MATCH('6'!$B52,'Unique Asset List'!$A$4:$A$60,0),MATCH('6'!$C$1,'Unique Asset List'!$AT$3:$AZ$3,0))</f>
        <v>2041</v>
      </c>
      <c r="AA52" s="9">
        <f>INDEX('Unique Asset List'!$BA$4:$BG$60,MATCH('6'!$B52,'Unique Asset List'!$A$4:$A$60,0),MATCH('6'!$C$1,'Unique Asset List'!$BA$3:$BG$3,0))</f>
        <v>3</v>
      </c>
      <c r="AB52" s="16">
        <f t="shared" si="16"/>
        <v>2.1518980000000005</v>
      </c>
      <c r="AC52" s="16">
        <f t="shared" si="17"/>
        <v>0.94137550000000003</v>
      </c>
      <c r="AD52" s="16">
        <f t="shared" si="18"/>
        <v>0.56099999999999994</v>
      </c>
      <c r="AE52" s="15">
        <f>INDEX('Unique Asset List'!$CJ$4:$CP$60,MATCH('6'!$B52,'Unique Asset List'!$A$4:$A$60,0),MATCH('6'!$C$1,'Unique Asset List'!$CJ$3:$CP$3,0))</f>
        <v>0.18</v>
      </c>
      <c r="AF52" s="15">
        <f>INDEX('Unique Asset List'!$CQ$4:$CW$60,MATCH('6'!$B52,'Unique Asset List'!$A$4:$A$60,0),MATCH('6'!$C$1,'Unique Asset List'!$CQ$3:$CW$3,0))</f>
        <v>0.32</v>
      </c>
      <c r="AG52" s="15">
        <f>INDEX('Unique Asset List'!$BV$4:$CB$60,MATCH('6'!$B52,'Unique Asset List'!$A$4:$A$60,0),MATCH('6'!$C$1,'Unique Asset List'!$BV$3:$CB$3,0))</f>
        <v>0.18</v>
      </c>
      <c r="AH52" s="15">
        <f>INDEX('Unique Asset List'!$CC$4:$CI$60,MATCH('6'!$B52,'Unique Asset List'!$A$4:$A$60,0),MATCH('6'!$C$1,'Unique Asset List'!$CC$3:$CI$3,0))</f>
        <v>0.32</v>
      </c>
      <c r="AI52" s="11">
        <v>0.96187963349867744</v>
      </c>
      <c r="AJ52" s="15">
        <f>INDEX('Unique Asset List'!$BH$4:$BN$60,MATCH('6'!$B52,'Unique Asset List'!$A$4:$A$60,0),MATCH('6'!$C$1,'Unique Asset List'!$BH$3:$BN$3,0))</f>
        <v>0.32314284341629806</v>
      </c>
      <c r="AK52" s="15">
        <f>INDEX('Unique Asset List'!$BO$4:$BU$60,MATCH('6'!$B52,'Unique Asset List'!$A$4:$A$60,0),MATCH('6'!$C$1,'Unique Asset List'!$BO$3:$BU$3,0))</f>
        <v>0.61768216477991222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1"/>
        <v>0.82</v>
      </c>
      <c r="AS52" s="10">
        <v>1</v>
      </c>
      <c r="AT52" s="181">
        <f>INDEX('Unique Asset List'!N$4:N$60,MATCH($B52,_CompoundList,0))</f>
        <v>0</v>
      </c>
      <c r="AU52" s="181">
        <f>INDEX('Unique Asset List'!O$4:O$60,MATCH($B52,_CompoundList,0))</f>
        <v>0</v>
      </c>
      <c r="AV52" s="181">
        <f>INDEX('Unique Asset List'!P$4:P$60,MATCH($B52,_CompoundList,0))</f>
        <v>0</v>
      </c>
      <c r="AW52" s="181">
        <f>INDEX('Unique Asset List'!Q$4:Q$60,MATCH($B52,_CompoundList,0))</f>
        <v>0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4</v>
      </c>
      <c r="BE52" s="3">
        <f>IF($C$5="ON",CE52,MyRating(_E2,$B52,Efficacy!$F$1))</f>
        <v>4</v>
      </c>
      <c r="BF52" s="3">
        <f>IF($C$5="ON",CF52,MyRating(_E3,$B52,Efficacy!$F$1))</f>
        <v>4</v>
      </c>
      <c r="BG52" s="3">
        <f>IF($C$5="ON",CG52,MyRating(_E4,$B52,Efficacy!$F$1))</f>
        <v>4</v>
      </c>
      <c r="BH52" s="3">
        <f>IF($C$5="ON",CH52,MyRating(_E5,$B52,Efficacy!$F$1))</f>
        <v>4</v>
      </c>
      <c r="BI52" s="3">
        <f>IF($C$5="ON",CI52,MyRating(_E6,$B52,Efficacy!$F$1))</f>
        <v>3</v>
      </c>
      <c r="BJ52" s="3">
        <f>IF($C$5="ON",CJ52,MyRating(_E7,$B52,Efficacy!$F$1))</f>
        <v>3</v>
      </c>
      <c r="BK52" s="3">
        <f>IF($C$5="ON",CK52,MyRating(_E8,$B52,Efficacy!$F$1))</f>
        <v>4</v>
      </c>
      <c r="BL52" s="3">
        <f>IF($C$5="ON",CL52,MyRating(_S1,$B52,Efficacy!$F$1))</f>
        <v>4</v>
      </c>
      <c r="BM52" s="3">
        <f>IF($C$5="ON",CM52,MyRating(_S2,$B52,Efficacy!$F$1))</f>
        <v>3</v>
      </c>
      <c r="BN52" s="3">
        <f>IF($C$5="ON",CN52,MyRating(_S3,$B52,Efficacy!$F$1))</f>
        <v>3</v>
      </c>
      <c r="BO52" s="3">
        <f>IF($C$5="ON",CO52,MyRating(_S4,$B52,Efficacy!$F$1))</f>
        <v>4</v>
      </c>
      <c r="BP52" s="3">
        <f>IF($C$5="ON",CP52,MyRating(_S5,$B52,Efficacy!$F$1))</f>
        <v>5</v>
      </c>
      <c r="BQ52" s="3">
        <f>IF($C$5="ON",CQ52,MyRating(_S6,$B52,Efficacy!$F$1))</f>
        <v>3</v>
      </c>
      <c r="BR52" s="3">
        <f>IF($C$5="ON",CR52,MyRating(_S7,$B52,Efficacy!$F$1))</f>
        <v>3</v>
      </c>
      <c r="BS52" s="3">
        <f>IF($C$5="ON",CS52,MyRating(_D1,$B52,Efficacy!$F$1))</f>
        <v>3</v>
      </c>
      <c r="BT52" s="3">
        <f>IF($C$5="ON",CT52,MyRating(_D2,$B52,Efficacy!$F$1))</f>
        <v>3</v>
      </c>
      <c r="BU52" s="3">
        <f>IF($C$5="ON",CU52,MyRating(_D3,$B52,Efficacy!$F$1))</f>
        <v>3</v>
      </c>
      <c r="BV52" s="3">
        <f>IF($C$5="ON",CV52,MyRating(_D4,$B52,Efficacy!$F$1))</f>
        <v>3</v>
      </c>
      <c r="BW52" s="3">
        <f>IF($C$5="ON",CW52,MyRating(_B1G5,$B52,Barrier!$L$2))</f>
        <v>2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9"/>
        <v>0</v>
      </c>
      <c r="CA52" s="8">
        <f t="shared" si="12"/>
        <v>2.8000000000000003</v>
      </c>
      <c r="CB52" s="5">
        <f t="shared" si="13"/>
        <v>3.2941176470588251E-2</v>
      </c>
      <c r="CC52" s="7">
        <f t="shared" si="14"/>
        <v>5.9787261089987885E-3</v>
      </c>
      <c r="CD52" s="4">
        <v>4</v>
      </c>
      <c r="CE52" s="3">
        <v>5</v>
      </c>
      <c r="CF52" s="3">
        <v>5</v>
      </c>
      <c r="CG52" s="3">
        <v>4</v>
      </c>
      <c r="CH52" s="3">
        <v>4</v>
      </c>
      <c r="CI52" s="3">
        <v>3</v>
      </c>
      <c r="CJ52" s="3">
        <v>3</v>
      </c>
      <c r="CK52" s="3">
        <v>4</v>
      </c>
      <c r="CL52" s="3">
        <v>5</v>
      </c>
      <c r="CM52" s="3">
        <v>3</v>
      </c>
      <c r="CN52" s="3">
        <v>3</v>
      </c>
      <c r="CO52" s="3">
        <v>4</v>
      </c>
      <c r="CP52" s="3">
        <v>5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2</v>
      </c>
      <c r="CX52" s="3">
        <v>3</v>
      </c>
      <c r="CY52" s="6">
        <v>3</v>
      </c>
      <c r="CZ52" s="5">
        <v>3.6275844714639842E-2</v>
      </c>
      <c r="DA52" s="59"/>
    </row>
    <row r="53" spans="1:105" x14ac:dyDescent="0.25">
      <c r="A53" s="9" t="str">
        <f t="shared" si="10"/>
        <v>IT</v>
      </c>
      <c r="B53" s="9" t="s">
        <v>67</v>
      </c>
      <c r="C53" s="20" t="s">
        <v>3</v>
      </c>
      <c r="D53" s="9" t="s">
        <v>2</v>
      </c>
      <c r="E53" s="9" t="s">
        <v>186</v>
      </c>
      <c r="F53" s="9" t="str">
        <f>INDEX('Unique Asset List'!$C$4:$C$60,MATCH(B53,_CompoundList,0))</f>
        <v>PCD</v>
      </c>
      <c r="G53" s="19">
        <v>0</v>
      </c>
      <c r="H53" s="9">
        <v>2014</v>
      </c>
      <c r="I53" s="9">
        <v>6</v>
      </c>
      <c r="J53" s="18">
        <f>INDEX(PTRS!$D$6:$D$12,MATCH('6'!$F53,PTRS!$B$6:$B$12,0))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v>0</v>
      </c>
      <c r="N53" s="17">
        <f>INDEX('Unique Asset List'!$D$4:$M$60,MATCH($B53,'Unique Asset List'!$A$4:$A$60,0),MATCH(N$8,'Unique Asset List'!$D$3:$M$3,0))</f>
        <v>0.1044225</v>
      </c>
      <c r="O53" s="17">
        <f>INDEX('Unique Asset List'!$D$4:$M$60,MATCH($B53,'Unique Asset List'!$A$4:$A$60,0),MATCH(O$8,'Unique Asset List'!$D$3:$M$3,0))</f>
        <v>0.1044225</v>
      </c>
      <c r="P53" s="17">
        <f>INDEX('Unique Asset List'!$D$4:$M$60,MATCH($B53,'Unique Asset List'!$A$4:$A$60,0),MATCH(P$8,'Unique Asset List'!$D$3:$M$3,0))</f>
        <v>0.1044225</v>
      </c>
      <c r="Q53" s="17">
        <f>INDEX('Unique Asset List'!$D$4:$M$60,MATCH($B53,'Unique Asset List'!$A$4:$A$60,0),MATCH(Q$8,'Unique Asset List'!$D$3:$M$3,0))</f>
        <v>0.1044225</v>
      </c>
      <c r="R53" s="17">
        <f>INDEX('Unique Asset List'!$D$4:$M$60,MATCH($B53,'Unique Asset List'!$A$4:$A$60,0),MATCH(R$8,'Unique Asset List'!$D$3:$M$3,0))</f>
        <v>0.1044225</v>
      </c>
      <c r="S53" s="17">
        <f>INDEX('Unique Asset List'!$D$4:$M$60,MATCH($B53,'Unique Asset List'!$A$4:$A$60,0),MATCH(S$8,'Unique Asset List'!$D$3:$M$3,0))</f>
        <v>0</v>
      </c>
      <c r="T53" s="17"/>
      <c r="U53" s="17">
        <f t="shared" si="15"/>
        <v>0</v>
      </c>
      <c r="V53" s="17">
        <v>1</v>
      </c>
      <c r="W53" s="9" t="s">
        <v>67</v>
      </c>
      <c r="X53" s="9">
        <f>INDEX('Unique Asset List'!$Y$4:$AE$60,MATCH('6'!$B53,'Unique Asset List'!$A$4:$A$60,0),MATCH('6'!$C$1,'Unique Asset List'!$Y$3:$AE$3,0))</f>
        <v>2033</v>
      </c>
      <c r="Y53" s="9">
        <f>INDEX('Unique Asset List'!$AF$4:$AL$60,MATCH('6'!$B53,'Unique Asset List'!$A$4:$A$60,0),MATCH('6'!$C$1,'Unique Asset List'!$AF$3:$AL$3,0))</f>
        <v>3.9999999999990905</v>
      </c>
      <c r="Z53" s="9">
        <f>INDEX('Unique Asset List'!$AT$4:$AZ$60,MATCH('6'!$B53,'Unique Asset List'!$A$4:$A$60,0),MATCH('6'!$C$1,'Unique Asset List'!$AT$3:$AZ$3,0))</f>
        <v>2041</v>
      </c>
      <c r="AA53" s="9">
        <f>INDEX('Unique Asset List'!$BA$4:$BG$60,MATCH('6'!$B53,'Unique Asset List'!$A$4:$A$60,0),MATCH('6'!$C$1,'Unique Asset List'!$BA$3:$BG$3,0))</f>
        <v>3</v>
      </c>
      <c r="AB53" s="16">
        <f t="shared" si="16"/>
        <v>2.1518980000000005</v>
      </c>
      <c r="AC53" s="16">
        <f t="shared" si="17"/>
        <v>0.94137550000000003</v>
      </c>
      <c r="AD53" s="16">
        <f t="shared" si="18"/>
        <v>0.56099999999999994</v>
      </c>
      <c r="AE53" s="15">
        <f>INDEX('Unique Asset List'!$CJ$4:$CP$60,MATCH('6'!$B53,'Unique Asset List'!$A$4:$A$60,0),MATCH('6'!$C$1,'Unique Asset List'!$CJ$3:$CP$3,0))</f>
        <v>0.18</v>
      </c>
      <c r="AF53" s="15">
        <f>INDEX('Unique Asset List'!$CQ$4:$CW$60,MATCH('6'!$B53,'Unique Asset List'!$A$4:$A$60,0),MATCH('6'!$C$1,'Unique Asset List'!$CQ$3:$CW$3,0))</f>
        <v>0.32</v>
      </c>
      <c r="AG53" s="15">
        <f>INDEX('Unique Asset List'!$BV$4:$CB$60,MATCH('6'!$B53,'Unique Asset List'!$A$4:$A$60,0),MATCH('6'!$C$1,'Unique Asset List'!$BV$3:$CB$3,0))</f>
        <v>0.18</v>
      </c>
      <c r="AH53" s="15">
        <f>INDEX('Unique Asset List'!$CC$4:$CI$60,MATCH('6'!$B53,'Unique Asset List'!$A$4:$A$60,0),MATCH('6'!$C$1,'Unique Asset List'!$CC$3:$CI$3,0))</f>
        <v>0.32</v>
      </c>
      <c r="AI53" s="11">
        <v>0.96187963349867744</v>
      </c>
      <c r="AJ53" s="15">
        <f>INDEX('Unique Asset List'!$BH$4:$BN$60,MATCH('6'!$B53,'Unique Asset List'!$A$4:$A$60,0),MATCH('6'!$C$1,'Unique Asset List'!$BH$3:$BN$3,0))</f>
        <v>0.32314284341629806</v>
      </c>
      <c r="AK53" s="15">
        <f>INDEX('Unique Asset List'!$BO$4:$BU$60,MATCH('6'!$B53,'Unique Asset List'!$A$4:$A$60,0),MATCH('6'!$C$1,'Unique Asset List'!$BO$3:$BU$3,0))</f>
        <v>0.61768216477991222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1"/>
        <v>0.82</v>
      </c>
      <c r="AS53" s="10">
        <v>1</v>
      </c>
      <c r="AT53" s="181">
        <f>INDEX('Unique Asset List'!N$4:N$60,MATCH($B53,_CompoundList,0))</f>
        <v>0</v>
      </c>
      <c r="AU53" s="181">
        <f>INDEX('Unique Asset List'!O$4:O$60,MATCH($B53,_CompoundList,0))</f>
        <v>0</v>
      </c>
      <c r="AV53" s="181">
        <f>INDEX('Unique Asset List'!P$4:P$60,MATCH($B53,_CompoundList,0))</f>
        <v>0</v>
      </c>
      <c r="AW53" s="181">
        <f>INDEX('Unique Asset List'!Q$4:Q$60,MATCH($B53,_CompoundList,0))</f>
        <v>0</v>
      </c>
      <c r="AX53" s="181">
        <f ca="1">INDEX('Unique Asset List'!R$4:R$60,MATCH($B53,_CompoundList,0))</f>
        <v>0</v>
      </c>
      <c r="AY53" s="181">
        <f ca="1">INDEX('Unique Asset List'!S$4:S$60,MATCH($B53,_CompoundList,0))</f>
        <v>0</v>
      </c>
      <c r="AZ53" s="181">
        <f ca="1">INDEX('Unique Asset List'!T$4:T$60,MATCH($B53,_CompoundList,0))</f>
        <v>0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0</v>
      </c>
      <c r="BC53" s="181">
        <f ca="1">INDEX('Unique Asset List'!W$4:W$60,MATCH($B53,_CompoundList,0))</f>
        <v>0</v>
      </c>
      <c r="BD53" s="4">
        <f>IF($C$5="ON",CD53,MyRating(_E1,$B53,Efficacy!$F$1))</f>
        <v>4</v>
      </c>
      <c r="BE53" s="3">
        <f>IF($C$5="ON",CE53,MyRating(_E2,$B53,Efficacy!$F$1))</f>
        <v>4</v>
      </c>
      <c r="BF53" s="3">
        <f>IF($C$5="ON",CF53,MyRating(_E3,$B53,Efficacy!$F$1))</f>
        <v>4</v>
      </c>
      <c r="BG53" s="3">
        <f>IF($C$5="ON",CG53,MyRating(_E4,$B53,Efficacy!$F$1))</f>
        <v>4</v>
      </c>
      <c r="BH53" s="3">
        <f>IF($C$5="ON",CH53,MyRating(_E5,$B53,Efficacy!$F$1))</f>
        <v>4</v>
      </c>
      <c r="BI53" s="3">
        <f>IF($C$5="ON",CI53,MyRating(_E6,$B53,Efficacy!$F$1))</f>
        <v>3</v>
      </c>
      <c r="BJ53" s="3">
        <f>IF($C$5="ON",CJ53,MyRating(_E7,$B53,Efficacy!$F$1))</f>
        <v>3</v>
      </c>
      <c r="BK53" s="3">
        <f>IF($C$5="ON",CK53,MyRating(_E8,$B53,Efficacy!$F$1))</f>
        <v>4</v>
      </c>
      <c r="BL53" s="3">
        <f>IF($C$5="ON",CL53,MyRating(_S1,$B53,Efficacy!$F$1))</f>
        <v>4</v>
      </c>
      <c r="BM53" s="3">
        <f>IF($C$5="ON",CM53,MyRating(_S2,$B53,Efficacy!$F$1))</f>
        <v>3</v>
      </c>
      <c r="BN53" s="3">
        <f>IF($C$5="ON",CN53,MyRating(_S3,$B53,Efficacy!$F$1))</f>
        <v>3</v>
      </c>
      <c r="BO53" s="3">
        <f>IF($C$5="ON",CO53,MyRating(_S4,$B53,Efficacy!$F$1))</f>
        <v>4</v>
      </c>
      <c r="BP53" s="3">
        <f>IF($C$5="ON",CP53,MyRating(_S5,$B53,Efficacy!$F$1))</f>
        <v>5</v>
      </c>
      <c r="BQ53" s="3">
        <f>IF($C$5="ON",CQ53,MyRating(_S6,$B53,Efficacy!$F$1))</f>
        <v>3</v>
      </c>
      <c r="BR53" s="3">
        <f>IF($C$5="ON",CR53,MyRating(_S7,$B53,Efficacy!$F$1))</f>
        <v>3</v>
      </c>
      <c r="BS53" s="3">
        <f>IF($C$5="ON",CS53,MyRating(_D1,$B53,Efficacy!$F$1))</f>
        <v>3</v>
      </c>
      <c r="BT53" s="3">
        <f>IF($C$5="ON",CT53,MyRating(_D2,$B53,Efficacy!$F$1))</f>
        <v>3</v>
      </c>
      <c r="BU53" s="3">
        <f>IF($C$5="ON",CU53,MyRating(_D3,$B53,Efficacy!$F$1))</f>
        <v>3</v>
      </c>
      <c r="BV53" s="3">
        <f>IF($C$5="ON",CV53,MyRating(_D4,$B53,Efficacy!$F$1))</f>
        <v>3</v>
      </c>
      <c r="BW53" s="3">
        <f>IF($C$5="ON",CW53,MyRating(_B1G5,$B53,Barrier!$L$2))</f>
        <v>2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9"/>
        <v>0</v>
      </c>
      <c r="CA53" s="8">
        <f t="shared" si="12"/>
        <v>2.8000000000000003</v>
      </c>
      <c r="CB53" s="5">
        <f t="shared" si="13"/>
        <v>3.2941176470588251E-2</v>
      </c>
      <c r="CC53" s="7">
        <f t="shared" si="14"/>
        <v>5.9787261089987885E-3</v>
      </c>
      <c r="CD53" s="4">
        <v>4</v>
      </c>
      <c r="CE53" s="3">
        <v>5</v>
      </c>
      <c r="CF53" s="3">
        <v>5</v>
      </c>
      <c r="CG53" s="3">
        <v>4</v>
      </c>
      <c r="CH53" s="3">
        <v>4</v>
      </c>
      <c r="CI53" s="3">
        <v>3</v>
      </c>
      <c r="CJ53" s="3">
        <v>3</v>
      </c>
      <c r="CK53" s="3">
        <v>4</v>
      </c>
      <c r="CL53" s="3">
        <v>5</v>
      </c>
      <c r="CM53" s="3">
        <v>3</v>
      </c>
      <c r="CN53" s="3">
        <v>3</v>
      </c>
      <c r="CO53" s="3">
        <v>4</v>
      </c>
      <c r="CP53" s="3">
        <v>5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2</v>
      </c>
      <c r="CX53" s="3">
        <v>3</v>
      </c>
      <c r="CY53" s="6">
        <v>3</v>
      </c>
      <c r="CZ53" s="5">
        <v>3.6275844714639842E-2</v>
      </c>
      <c r="DA53" s="59"/>
    </row>
    <row r="54" spans="1:105" x14ac:dyDescent="0.25">
      <c r="A54" s="9" t="str">
        <f t="shared" si="10"/>
        <v>IT</v>
      </c>
      <c r="B54" s="9" t="s">
        <v>279</v>
      </c>
      <c r="C54" s="20"/>
      <c r="D54" s="9" t="s">
        <v>2</v>
      </c>
      <c r="E54" s="9"/>
      <c r="F54" s="9" t="str">
        <f>INDEX('Unique Asset List'!$C$4:$C$60,MATCH(B54,_CompoundList,0))</f>
        <v>PCD</v>
      </c>
      <c r="G54" s="19">
        <v>0</v>
      </c>
      <c r="H54" s="9">
        <v>2014</v>
      </c>
      <c r="I54" s="9">
        <v>6</v>
      </c>
      <c r="J54" s="18">
        <f>INDEX(PTRS!$D$6:$D$12,MATCH('6'!$F54,PTRS!$B$6:$B$12,0))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v>0</v>
      </c>
      <c r="N54" s="17">
        <f>INDEX('Unique Asset List'!$D$4:$M$60,MATCH($B54,'Unique Asset List'!$A$4:$A$60,0),MATCH(N$8,'Unique Asset List'!$D$3:$M$3,0))</f>
        <v>0.1</v>
      </c>
      <c r="O54" s="17">
        <f>INDEX('Unique Asset List'!$D$4:$M$60,MATCH($B54,'Unique Asset List'!$A$4:$A$60,0),MATCH(O$8,'Unique Asset List'!$D$3:$M$3,0))</f>
        <v>0.1</v>
      </c>
      <c r="P54" s="17">
        <f>INDEX('Unique Asset List'!$D$4:$M$60,MATCH($B54,'Unique Asset List'!$A$4:$A$60,0),MATCH(P$8,'Unique Asset List'!$D$3:$M$3,0))</f>
        <v>0.1</v>
      </c>
      <c r="Q54" s="17">
        <f>INDEX('Unique Asset List'!$D$4:$M$60,MATCH($B54,'Unique Asset List'!$A$4:$A$60,0),MATCH(Q$8,'Unique Asset List'!$D$3:$M$3,0))</f>
        <v>0.1</v>
      </c>
      <c r="R54" s="17">
        <f>INDEX('Unique Asset List'!$D$4:$M$60,MATCH($B54,'Unique Asset List'!$A$4:$A$60,0),MATCH(R$8,'Unique Asset List'!$D$3:$M$3,0))</f>
        <v>0.1</v>
      </c>
      <c r="S54" s="17">
        <f>INDEX('Unique Asset List'!$D$4:$M$60,MATCH($B54,'Unique Asset List'!$A$4:$A$60,0),MATCH(S$8,'Unique Asset List'!$D$3:$M$3,0))</f>
        <v>0</v>
      </c>
      <c r="T54" s="17"/>
      <c r="U54" s="17">
        <f t="shared" si="15"/>
        <v>0.80682275808442805</v>
      </c>
      <c r="V54" s="17">
        <f>V13</f>
        <v>0.42</v>
      </c>
      <c r="W54" s="9" t="s">
        <v>0</v>
      </c>
      <c r="X54" s="9">
        <f>INDEX('Unique Asset List'!$Y$4:$AE$60,MATCH('6'!$B54,'Unique Asset List'!$A$4:$A$60,0),MATCH('6'!$C$1,'Unique Asset List'!$Y$3:$AE$3,0))</f>
        <v>2028</v>
      </c>
      <c r="Y54" s="9">
        <f>INDEX('Unique Asset List'!$AF$4:$AL$60,MATCH('6'!$B54,'Unique Asset List'!$A$4:$A$60,0),MATCH('6'!$C$1,'Unique Asset List'!$AF$3:$AL$3,0))</f>
        <v>6.9999999999990905</v>
      </c>
      <c r="Z54" s="9">
        <f>INDEX('Unique Asset List'!$AT$4:$AZ$60,MATCH('6'!$B54,'Unique Asset List'!$A$4:$A$60,0),MATCH('6'!$C$1,'Unique Asset List'!$AT$3:$AZ$3,0))</f>
        <v>2037</v>
      </c>
      <c r="AA54" s="9">
        <f>INDEX('Unique Asset List'!$BA$4:$BG$60,MATCH('6'!$B54,'Unique Asset List'!$A$4:$A$60,0),MATCH('6'!$C$1,'Unique Asset List'!$BA$3:$BG$3,0))</f>
        <v>6</v>
      </c>
      <c r="AB54" s="16">
        <f t="shared" si="16"/>
        <v>2.471114</v>
      </c>
      <c r="AC54" s="16">
        <f t="shared" si="17"/>
        <v>0.91994010000000004</v>
      </c>
      <c r="AD54" s="16">
        <f t="shared" si="18"/>
        <v>0.50129594525999999</v>
      </c>
      <c r="AE54" s="15">
        <f>INDEX('Unique Asset List'!$CJ$4:$CP$60,MATCH('6'!$B54,'Unique Asset List'!$A$4:$A$60,0),MATCH('6'!$C$1,'Unique Asset List'!$CJ$3:$CP$3,0))</f>
        <v>0.18</v>
      </c>
      <c r="AF54" s="15">
        <f>INDEX('Unique Asset List'!$CQ$4:$CW$60,MATCH('6'!$B54,'Unique Asset List'!$A$4:$A$60,0),MATCH('6'!$C$1,'Unique Asset List'!$CQ$3:$CW$3,0))</f>
        <v>0.32</v>
      </c>
      <c r="AG54" s="15">
        <f>INDEX('Unique Asset List'!$BV$4:$CB$60,MATCH('6'!$B54,'Unique Asset List'!$A$4:$A$60,0),MATCH('6'!$C$1,'Unique Asset List'!$BV$3:$CB$3,0))</f>
        <v>0.18</v>
      </c>
      <c r="AH54" s="15">
        <f>INDEX('Unique Asset List'!$CC$4:$CI$60,MATCH('6'!$B54,'Unique Asset List'!$A$4:$A$60,0),MATCH('6'!$C$1,'Unique Asset List'!$CC$3:$CI$3,0))</f>
        <v>0.32</v>
      </c>
      <c r="AI54" s="11">
        <v>0.96187963349867744</v>
      </c>
      <c r="AJ54" s="15">
        <f>INDEX('Unique Asset List'!$BH$4:$BN$60,MATCH('6'!$B54,'Unique Asset List'!$A$4:$A$60,0),MATCH('6'!$C$1,'Unique Asset List'!$BH$3:$BN$3,0))</f>
        <v>0.32314284341629806</v>
      </c>
      <c r="AK54" s="15">
        <f>INDEX('Unique Asset List'!$BO$4:$BU$60,MATCH('6'!$B54,'Unique Asset List'!$A$4:$A$60,0),MATCH('6'!$C$1,'Unique Asset List'!$BO$3:$BU$3,0))</f>
        <v>0.61768216477991222</v>
      </c>
      <c r="AL54" s="9">
        <v>146.07692307692309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1"/>
        <v>0.82</v>
      </c>
      <c r="AS54" s="10">
        <v>0.28767123287671198</v>
      </c>
      <c r="AT54" s="181">
        <f>INDEX('Unique Asset List'!N$4:N$60,MATCH($B54,_CompoundList,0))</f>
        <v>0</v>
      </c>
      <c r="AU54" s="181">
        <f>INDEX('Unique Asset List'!O$4:O$60,MATCH($B54,_CompoundList,0))</f>
        <v>0</v>
      </c>
      <c r="AV54" s="181">
        <f>INDEX('Unique Asset List'!P$4:P$60,MATCH($B54,_CompoundList,0))</f>
        <v>0</v>
      </c>
      <c r="AW54" s="181">
        <f>INDEX('Unique Asset List'!Q$4:Q$60,MATCH($B54,_CompoundList,0))</f>
        <v>0</v>
      </c>
      <c r="AX54" s="181">
        <f ca="1">INDEX('Unique Asset List'!R$4:R$60,MATCH($B54,_CompoundList,0))</f>
        <v>0</v>
      </c>
      <c r="AY54" s="181">
        <f ca="1">INDEX('Unique Asset List'!S$4:S$60,MATCH($B54,_CompoundList,0))</f>
        <v>0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0</v>
      </c>
      <c r="BB54" s="181">
        <f ca="1">INDEX('Unique Asset List'!V$4:V$60,MATCH($B54,_CompoundList,0))</f>
        <v>0</v>
      </c>
      <c r="BC54" s="181">
        <f ca="1">INDEX('Unique Asset List'!W$4:W$60,MATCH($B54,_CompoundList,0))</f>
        <v>1</v>
      </c>
      <c r="BD54" s="4">
        <f>IF($C$5="ON",CD54,MyRating(_E1,$B54,Efficacy!$F$1))</f>
        <v>5</v>
      </c>
      <c r="BE54" s="3">
        <f>IF($C$5="ON",CE54,MyRating(_E2,$B54,Efficacy!$F$1))</f>
        <v>5</v>
      </c>
      <c r="BF54" s="3">
        <f>IF($C$5="ON",CF54,MyRating(_E3,$B54,Efficacy!$F$1))</f>
        <v>5</v>
      </c>
      <c r="BG54" s="3">
        <f>IF($C$5="ON",CG54,MyRating(_E4,$B54,Efficacy!$F$1))</f>
        <v>5</v>
      </c>
      <c r="BH54" s="3">
        <f>IF($C$5="ON",CH54,MyRating(_E5,$B54,Efficacy!$F$1))</f>
        <v>4</v>
      </c>
      <c r="BI54" s="3">
        <f>IF($C$5="ON",CI54,MyRating(_E6,$B54,Efficacy!$F$1))</f>
        <v>3</v>
      </c>
      <c r="BJ54" s="3">
        <f>IF($C$5="ON",CJ54,MyRating(_E7,$B54,Efficacy!$F$1))</f>
        <v>4</v>
      </c>
      <c r="BK54" s="3">
        <f>IF($C$5="ON",CK54,MyRating(_E8,$B54,Efficacy!$F$1))</f>
        <v>3</v>
      </c>
      <c r="BL54" s="3">
        <f>IF($C$5="ON",CL54,MyRating(_S1,$B54,Efficacy!$F$1))</f>
        <v>4</v>
      </c>
      <c r="BM54" s="3">
        <f>IF($C$5="ON",CM54,MyRating(_S2,$B54,Efficacy!$F$1))</f>
        <v>3</v>
      </c>
      <c r="BN54" s="3">
        <f>IF($C$5="ON",CN54,MyRating(_S3,$B54,Efficacy!$F$1))</f>
        <v>3</v>
      </c>
      <c r="BO54" s="3">
        <f>IF($C$5="ON",CO54,MyRating(_S4,$B54,Efficacy!$F$1))</f>
        <v>4</v>
      </c>
      <c r="BP54" s="3">
        <f>IF($C$5="ON",CP54,MyRating(_S5,$B54,Efficacy!$F$1))</f>
        <v>5</v>
      </c>
      <c r="BQ54" s="3">
        <f>IF($C$5="ON",CQ54,MyRating(_S6,$B54,Efficacy!$F$1))</f>
        <v>2</v>
      </c>
      <c r="BR54" s="3">
        <f>IF($C$5="ON",CR54,MyRating(_S7,$B54,Efficacy!$F$1))</f>
        <v>3</v>
      </c>
      <c r="BS54" s="3">
        <f>IF($C$5="ON",CS54,MyRating(_D1,$B54,Efficacy!$F$1))</f>
        <v>2</v>
      </c>
      <c r="BT54" s="3">
        <f>IF($C$5="ON",CT54,MyRating(_D2,$B54,Efficacy!$F$1))</f>
        <v>3</v>
      </c>
      <c r="BU54" s="3">
        <f>IF($C$5="ON",CU54,MyRating(_D3,$B54,Efficacy!$F$1))</f>
        <v>3</v>
      </c>
      <c r="BV54" s="3">
        <f>IF($C$5="ON",CV54,MyRating(_D4,$B54,Efficacy!$F$1))</f>
        <v>3</v>
      </c>
      <c r="BW54" s="3">
        <f>IF($C$5="ON",CW54,MyRating(_B1G5,$B54,Barrier!$L$2))</f>
        <v>1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9"/>
        <v>2.9893223831915738E-2</v>
      </c>
      <c r="CA54" s="8">
        <f t="shared" si="12"/>
        <v>2.6000000000000005</v>
      </c>
      <c r="CB54" s="5">
        <f t="shared" si="13"/>
        <v>3.058823529411767E-2</v>
      </c>
      <c r="CC54" s="7">
        <f t="shared" si="14"/>
        <v>5.3497271616647964E-3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>
        <v>0</v>
      </c>
      <c r="DA54" s="59"/>
    </row>
    <row r="55" spans="1:105" x14ac:dyDescent="0.25">
      <c r="A55" s="9" t="str">
        <f t="shared" si="10"/>
        <v>IT</v>
      </c>
      <c r="B55" s="9" t="s">
        <v>185</v>
      </c>
      <c r="C55" s="20" t="s">
        <v>3</v>
      </c>
      <c r="D55" s="9" t="s">
        <v>2</v>
      </c>
      <c r="E55" s="9"/>
      <c r="F55" s="9" t="str">
        <f>INDEX('Unique Asset List'!$C$4:$C$60,MATCH(B55,_CompoundList,0))</f>
        <v>PCD</v>
      </c>
      <c r="G55" s="19">
        <v>0</v>
      </c>
      <c r="H55" s="9">
        <v>2014</v>
      </c>
      <c r="I55" s="9">
        <v>6</v>
      </c>
      <c r="J55" s="18">
        <f>INDEX(PTRS!$D$6:$D$12,MATCH('6'!$F55,PTRS!$B$6:$B$12,0))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v>0</v>
      </c>
      <c r="N55" s="17">
        <f>INDEX('Unique Asset List'!$D$4:$M$60,MATCH($B55,'Unique Asset List'!$A$4:$A$60,0),MATCH(N$8,'Unique Asset List'!$D$3:$M$3,0))</f>
        <v>0</v>
      </c>
      <c r="O55" s="17">
        <f>INDEX('Unique Asset List'!$D$4:$M$60,MATCH($B55,'Unique Asset List'!$A$4:$A$60,0),MATCH(O$8,'Unique Asset List'!$D$3:$M$3,0))</f>
        <v>0</v>
      </c>
      <c r="P55" s="17">
        <f>INDEX('Unique Asset List'!$D$4:$M$60,MATCH($B55,'Unique Asset List'!$A$4:$A$60,0),MATCH(P$8,'Unique Asset List'!$D$3:$M$3,0))</f>
        <v>0</v>
      </c>
      <c r="Q55" s="17">
        <f>INDEX('Unique Asset List'!$D$4:$M$60,MATCH($B55,'Unique Asset List'!$A$4:$A$60,0),MATCH(Q$8,'Unique Asset List'!$D$3:$M$3,0))</f>
        <v>0</v>
      </c>
      <c r="R55" s="17">
        <f>INDEX('Unique Asset List'!$D$4:$M$60,MATCH($B55,'Unique Asset List'!$A$4:$A$60,0),MATCH(R$8,'Unique Asset List'!$D$3:$M$3,0))</f>
        <v>0</v>
      </c>
      <c r="S55" s="17">
        <f>INDEX('Unique Asset List'!$D$4:$M$60,MATCH($B55,'Unique Asset List'!$A$4:$A$60,0),MATCH(S$8,'Unique Asset List'!$D$3:$M$3,0))</f>
        <v>0</v>
      </c>
      <c r="T55" s="17"/>
      <c r="U55" s="17">
        <f t="shared" si="15"/>
        <v>0</v>
      </c>
      <c r="V55" s="17">
        <v>1</v>
      </c>
      <c r="W55" s="9" t="s">
        <v>0</v>
      </c>
      <c r="X55" s="9">
        <f>INDEX('Unique Asset List'!$Y$4:$AE$60,MATCH('6'!$B55,'Unique Asset List'!$A$4:$A$60,0),MATCH('6'!$C$1,'Unique Asset List'!$Y$3:$AE$3,0))</f>
        <v>2052</v>
      </c>
      <c r="Y55" s="9">
        <f>INDEX('Unique Asset List'!$AF$4:$AL$60,MATCH('6'!$B55,'Unique Asset List'!$A$4:$A$60,0),MATCH('6'!$C$1,'Unique Asset List'!$AF$3:$AL$3,0))</f>
        <v>7.000000000001819</v>
      </c>
      <c r="Z55" s="9">
        <f>INDEX('Unique Asset List'!$AT$4:$AZ$60,MATCH('6'!$B55,'Unique Asset List'!$A$4:$A$60,0),MATCH('6'!$C$1,'Unique Asset List'!$AT$3:$AZ$3,0))</f>
        <v>2060</v>
      </c>
      <c r="AA55" s="9">
        <f>INDEX('Unique Asset List'!$BA$4:$BG$60,MATCH('6'!$B55,'Unique Asset List'!$A$4:$A$60,0),MATCH('6'!$C$1,'Unique Asset List'!$BA$3:$BG$3,0))</f>
        <v>6</v>
      </c>
      <c r="AB55" s="16">
        <f t="shared" si="16"/>
        <v>0</v>
      </c>
      <c r="AC55" s="16">
        <f t="shared" si="17"/>
        <v>0</v>
      </c>
      <c r="AD55" s="16">
        <f t="shared" si="18"/>
        <v>0</v>
      </c>
      <c r="AE55" s="15">
        <f>INDEX('Unique Asset List'!$CJ$4:$CP$60,MATCH('6'!$B55,'Unique Asset List'!$A$4:$A$60,0),MATCH('6'!$C$1,'Unique Asset List'!$CJ$3:$CP$3,0))</f>
        <v>0.18</v>
      </c>
      <c r="AF55" s="15">
        <f>INDEX('Unique Asset List'!$CQ$4:$CW$60,MATCH('6'!$B55,'Unique Asset List'!$A$4:$A$60,0),MATCH('6'!$C$1,'Unique Asset List'!$CQ$3:$CW$3,0))</f>
        <v>0.32</v>
      </c>
      <c r="AG55" s="15">
        <f>INDEX('Unique Asset List'!$BV$4:$CB$60,MATCH('6'!$B55,'Unique Asset List'!$A$4:$A$60,0),MATCH('6'!$C$1,'Unique Asset List'!$BV$3:$CB$3,0))</f>
        <v>0.18</v>
      </c>
      <c r="AH55" s="15">
        <f>INDEX('Unique Asset List'!$CC$4:$CI$60,MATCH('6'!$B55,'Unique Asset List'!$A$4:$A$60,0),MATCH('6'!$C$1,'Unique Asset List'!$CC$3:$CI$3,0))</f>
        <v>0.32</v>
      </c>
      <c r="AI55" s="11">
        <v>0.96187963349867744</v>
      </c>
      <c r="AJ55" s="15">
        <f>INDEX('Unique Asset List'!$BH$4:$BN$60,MATCH('6'!$B55,'Unique Asset List'!$A$4:$A$60,0),MATCH('6'!$C$1,'Unique Asset List'!$BH$3:$BN$3,0))</f>
        <v>0.32314284341629806</v>
      </c>
      <c r="AK55" s="15">
        <f>INDEX('Unique Asset List'!$BO$4:$BU$60,MATCH('6'!$B55,'Unique Asset List'!$A$4:$A$60,0),MATCH('6'!$C$1,'Unique Asset List'!$BO$3:$BU$3,0))</f>
        <v>0.61768216477991222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1"/>
        <v>0.82</v>
      </c>
      <c r="AS55" s="10">
        <v>1</v>
      </c>
      <c r="AT55" s="181">
        <f>INDEX('Unique Asset List'!N$4:N$60,MATCH($B55,_CompoundList,0))</f>
        <v>0</v>
      </c>
      <c r="AU55" s="181">
        <f>INDEX('Unique Asset List'!O$4:O$60,MATCH($B55,_CompoundList,0))</f>
        <v>0</v>
      </c>
      <c r="AV55" s="181">
        <f>INDEX('Unique Asset List'!P$4:P$60,MATCH($B55,_CompoundList,0))</f>
        <v>0</v>
      </c>
      <c r="AW55" s="181">
        <f>INDEX('Unique Asset List'!Q$4:Q$60,MATCH($B55,_CompoundList,0))</f>
        <v>0</v>
      </c>
      <c r="AX55" s="181">
        <f ca="1">INDEX('Unique Asset List'!R$4:R$60,MATCH($B55,_CompoundList,0))</f>
        <v>0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0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0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IF($C$5="ON",CL55,MyRating(_S1,$B55,Efficacy!$F$1))</f>
        <v>0</v>
      </c>
      <c r="BM55" s="3">
        <f>IF($C$5="ON",CM55,MyRating(_S2,$B55,Efficacy!$F$1))</f>
        <v>0</v>
      </c>
      <c r="BN55" s="3">
        <f>IF($C$5="ON",CN55,MyRating(_S3,$B55,Efficacy!$F$1))</f>
        <v>0</v>
      </c>
      <c r="BO55" s="3">
        <f>IF($C$5="ON",CO55,MyRating(_S4,$B55,Efficacy!$F$1))</f>
        <v>0</v>
      </c>
      <c r="BP55" s="3">
        <f>IF($C$5="ON",CP55,MyRating(_S5,$B55,Efficacy!$F$1))</f>
        <v>0</v>
      </c>
      <c r="BQ55" s="3">
        <f>IF($C$5="ON",CQ55,MyRating(_S6,$B55,Efficacy!$F$1))</f>
        <v>0</v>
      </c>
      <c r="BR55" s="3">
        <f>IF($C$5="ON",CR55,MyRating(_S7,$B55,Efficacy!$F$1))</f>
        <v>0</v>
      </c>
      <c r="BS55" s="3">
        <f>IF($C$5="ON",CS55,MyRating(_D1,$B55,Efficacy!$F$1))</f>
        <v>0</v>
      </c>
      <c r="BT55" s="3">
        <f>IF($C$5="ON",CT55,MyRating(_D2,$B55,Efficacy!$F$1))</f>
        <v>0</v>
      </c>
      <c r="BU55" s="3">
        <f>IF($C$5="ON",CU55,MyRating(_D3,$B55,Efficacy!$F$1))</f>
        <v>0</v>
      </c>
      <c r="BV55" s="3">
        <f>IF($C$5="ON",CV55,MyRating(_D4,$B55,Efficacy!$F$1))</f>
        <v>0</v>
      </c>
      <c r="BW55" s="3">
        <f>IF($C$5="ON",CW55,MyRating(_B1G5,$B55,Barrier!$L$2))</f>
        <v>0</v>
      </c>
      <c r="BX55" s="3">
        <f>IF($C$5="ON",CX55,MyRating(_B2,$B55,Barrier!$F$2))</f>
        <v>0</v>
      </c>
      <c r="BY55" s="6">
        <f>IF($C$5="ON",CY55,MyRating(_B3,$B55,Barrier!$F$2))</f>
        <v>0</v>
      </c>
      <c r="BZ55" s="5">
        <f t="shared" si="9"/>
        <v>0</v>
      </c>
      <c r="CA55" s="8">
        <f t="shared" si="12"/>
        <v>0</v>
      </c>
      <c r="CB55" s="5">
        <f t="shared" si="13"/>
        <v>0</v>
      </c>
      <c r="CC55" s="7">
        <f t="shared" si="14"/>
        <v>0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>
        <v>0</v>
      </c>
      <c r="DA55" s="59"/>
    </row>
    <row r="56" spans="1:105" x14ac:dyDescent="0.25">
      <c r="A56" s="9" t="str">
        <f t="shared" si="10"/>
        <v>IT</v>
      </c>
      <c r="B56" s="9" t="s">
        <v>184</v>
      </c>
      <c r="C56" s="20" t="s">
        <v>3</v>
      </c>
      <c r="D56" s="9" t="s">
        <v>2</v>
      </c>
      <c r="E56" s="9"/>
      <c r="F56" s="9" t="str">
        <f>INDEX('Unique Asset List'!$C$4:$C$60,MATCH(B56,_CompoundList,0))</f>
        <v>PCD</v>
      </c>
      <c r="G56" s="19">
        <v>0</v>
      </c>
      <c r="H56" s="9">
        <v>2014</v>
      </c>
      <c r="I56" s="9">
        <v>6</v>
      </c>
      <c r="J56" s="18">
        <f>INDEX(PTRS!$D$6:$D$12,MATCH('6'!$F56,PTRS!$B$6:$B$12,0))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v>0</v>
      </c>
      <c r="N56" s="17">
        <f>INDEX('Unique Asset List'!$D$4:$M$60,MATCH($B56,'Unique Asset List'!$A$4:$A$60,0),MATCH(N$8,'Unique Asset List'!$D$3:$M$3,0))</f>
        <v>0</v>
      </c>
      <c r="O56" s="17">
        <f>INDEX('Unique Asset List'!$D$4:$M$60,MATCH($B56,'Unique Asset List'!$A$4:$A$60,0),MATCH(O$8,'Unique Asset List'!$D$3:$M$3,0))</f>
        <v>0</v>
      </c>
      <c r="P56" s="17">
        <f>INDEX('Unique Asset List'!$D$4:$M$60,MATCH($B56,'Unique Asset List'!$A$4:$A$60,0),MATCH(P$8,'Unique Asset List'!$D$3:$M$3,0))</f>
        <v>0</v>
      </c>
      <c r="Q56" s="17">
        <f>INDEX('Unique Asset List'!$D$4:$M$60,MATCH($B56,'Unique Asset List'!$A$4:$A$60,0),MATCH(Q$8,'Unique Asset List'!$D$3:$M$3,0))</f>
        <v>0</v>
      </c>
      <c r="R56" s="17">
        <f>INDEX('Unique Asset List'!$D$4:$M$60,MATCH($B56,'Unique Asset List'!$A$4:$A$60,0),MATCH(R$8,'Unique Asset List'!$D$3:$M$3,0))</f>
        <v>0</v>
      </c>
      <c r="S56" s="17">
        <f>INDEX('Unique Asset List'!$D$4:$M$60,MATCH($B56,'Unique Asset List'!$A$4:$A$60,0),MATCH(S$8,'Unique Asset List'!$D$3:$M$3,0))</f>
        <v>0</v>
      </c>
      <c r="T56" s="17"/>
      <c r="U56" s="17">
        <f t="shared" si="15"/>
        <v>0</v>
      </c>
      <c r="V56" s="17">
        <v>1</v>
      </c>
      <c r="W56" s="9" t="s">
        <v>0</v>
      </c>
      <c r="X56" s="9">
        <f>INDEX('Unique Asset List'!$Y$4:$AE$60,MATCH('6'!$B56,'Unique Asset List'!$A$4:$A$60,0),MATCH('6'!$C$1,'Unique Asset List'!$Y$3:$AE$3,0))</f>
        <v>2052</v>
      </c>
      <c r="Y56" s="9">
        <f>INDEX('Unique Asset List'!$AF$4:$AL$60,MATCH('6'!$B56,'Unique Asset List'!$A$4:$A$60,0),MATCH('6'!$C$1,'Unique Asset List'!$AF$3:$AL$3,0))</f>
        <v>7.000000000001819</v>
      </c>
      <c r="Z56" s="9">
        <f>INDEX('Unique Asset List'!$AT$4:$AZ$60,MATCH('6'!$B56,'Unique Asset List'!$A$4:$A$60,0),MATCH('6'!$C$1,'Unique Asset List'!$AT$3:$AZ$3,0))</f>
        <v>2060</v>
      </c>
      <c r="AA56" s="9">
        <f>INDEX('Unique Asset List'!$BA$4:$BG$60,MATCH('6'!$B56,'Unique Asset List'!$A$4:$A$60,0),MATCH('6'!$C$1,'Unique Asset List'!$BA$3:$BG$3,0))</f>
        <v>6</v>
      </c>
      <c r="AB56" s="16">
        <f t="shared" si="16"/>
        <v>0</v>
      </c>
      <c r="AC56" s="16">
        <f t="shared" si="17"/>
        <v>0</v>
      </c>
      <c r="AD56" s="16">
        <f t="shared" si="18"/>
        <v>0</v>
      </c>
      <c r="AE56" s="15">
        <f>INDEX('Unique Asset List'!$CJ$4:$CP$60,MATCH('6'!$B56,'Unique Asset List'!$A$4:$A$60,0),MATCH('6'!$C$1,'Unique Asset List'!$CJ$3:$CP$3,0))</f>
        <v>0.18</v>
      </c>
      <c r="AF56" s="15">
        <f>INDEX('Unique Asset List'!$CQ$4:$CW$60,MATCH('6'!$B56,'Unique Asset List'!$A$4:$A$60,0),MATCH('6'!$C$1,'Unique Asset List'!$CQ$3:$CW$3,0))</f>
        <v>0.32</v>
      </c>
      <c r="AG56" s="15">
        <f>INDEX('Unique Asset List'!$BV$4:$CB$60,MATCH('6'!$B56,'Unique Asset List'!$A$4:$A$60,0),MATCH('6'!$C$1,'Unique Asset List'!$BV$3:$CB$3,0))</f>
        <v>0.18</v>
      </c>
      <c r="AH56" s="15">
        <f>INDEX('Unique Asset List'!$CC$4:$CI$60,MATCH('6'!$B56,'Unique Asset List'!$A$4:$A$60,0),MATCH('6'!$C$1,'Unique Asset List'!$CC$3:$CI$3,0))</f>
        <v>0.32</v>
      </c>
      <c r="AI56" s="11">
        <v>0.96187963349867744</v>
      </c>
      <c r="AJ56" s="15">
        <f>INDEX('Unique Asset List'!$BH$4:$BN$60,MATCH('6'!$B56,'Unique Asset List'!$A$4:$A$60,0),MATCH('6'!$C$1,'Unique Asset List'!$BH$3:$BN$3,0))</f>
        <v>0.32314284341629806</v>
      </c>
      <c r="AK56" s="15">
        <f>INDEX('Unique Asset List'!$BO$4:$BU$60,MATCH('6'!$B56,'Unique Asset List'!$A$4:$A$60,0),MATCH('6'!$C$1,'Unique Asset List'!$BO$3:$BU$3,0))</f>
        <v>0.61768216477991222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1"/>
        <v>0.82</v>
      </c>
      <c r="AS56" s="10">
        <v>1</v>
      </c>
      <c r="AT56" s="181">
        <f>INDEX('Unique Asset List'!N$4:N$60,MATCH($B56,_CompoundList,0))</f>
        <v>0</v>
      </c>
      <c r="AU56" s="181">
        <f>INDEX('Unique Asset List'!O$4:O$60,MATCH($B56,_CompoundList,0))</f>
        <v>0</v>
      </c>
      <c r="AV56" s="181">
        <f>INDEX('Unique Asset List'!P$4:P$60,MATCH($B56,_CompoundList,0))</f>
        <v>0</v>
      </c>
      <c r="AW56" s="181">
        <f>INDEX('Unique Asset List'!Q$4:Q$60,MATCH($B56,_CompoundList,0))</f>
        <v>0</v>
      </c>
      <c r="AX56" s="181">
        <f ca="1">INDEX('Unique Asset List'!R$4:R$60,MATCH($B56,_CompoundList,0))</f>
        <v>0</v>
      </c>
      <c r="AY56" s="181">
        <f ca="1">INDEX('Unique Asset List'!S$4:S$60,MATCH($B56,_CompoundList,0))</f>
        <v>0</v>
      </c>
      <c r="AZ56" s="181">
        <f ca="1">INDEX('Unique Asset List'!T$4:T$60,MATCH($B56,_CompoundList,0))</f>
        <v>0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0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IF($C$5="ON",CL56,MyRating(_S1,$B56,Efficacy!$F$1))</f>
        <v>0</v>
      </c>
      <c r="BM56" s="3">
        <f>IF($C$5="ON",CM56,MyRating(_S2,$B56,Efficacy!$F$1))</f>
        <v>0</v>
      </c>
      <c r="BN56" s="3">
        <f>IF($C$5="ON",CN56,MyRating(_S3,$B56,Efficacy!$F$1))</f>
        <v>0</v>
      </c>
      <c r="BO56" s="3">
        <f>IF($C$5="ON",CO56,MyRating(_S4,$B56,Efficacy!$F$1))</f>
        <v>0</v>
      </c>
      <c r="BP56" s="3">
        <f>IF($C$5="ON",CP56,MyRating(_S5,$B56,Efficacy!$F$1))</f>
        <v>0</v>
      </c>
      <c r="BQ56" s="3">
        <f>IF($C$5="ON",CQ56,MyRating(_S6,$B56,Efficacy!$F$1))</f>
        <v>0</v>
      </c>
      <c r="BR56" s="3">
        <f>IF($C$5="ON",CR56,MyRating(_S7,$B56,Efficacy!$F$1))</f>
        <v>0</v>
      </c>
      <c r="BS56" s="3">
        <f>IF($C$5="ON",CS56,MyRating(_D1,$B56,Efficacy!$F$1))</f>
        <v>0</v>
      </c>
      <c r="BT56" s="3">
        <f>IF($C$5="ON",CT56,MyRating(_D2,$B56,Efficacy!$F$1))</f>
        <v>0</v>
      </c>
      <c r="BU56" s="3">
        <f>IF($C$5="ON",CU56,MyRating(_D3,$B56,Efficacy!$F$1))</f>
        <v>0</v>
      </c>
      <c r="BV56" s="3">
        <f>IF($C$5="ON",CV56,MyRating(_D4,$B56,Efficacy!$F$1))</f>
        <v>0</v>
      </c>
      <c r="BW56" s="3">
        <f>IF($C$5="ON",CW56,MyRating(_B1G5,$B56,Barrier!$L$2))</f>
        <v>0</v>
      </c>
      <c r="BX56" s="3">
        <f>IF($C$5="ON",CX56,MyRating(_B2,$B56,Barrier!$F$2))</f>
        <v>0</v>
      </c>
      <c r="BY56" s="6">
        <f>IF($C$5="ON",CY56,MyRating(_B3,$B56,Barrier!$F$2))</f>
        <v>0</v>
      </c>
      <c r="BZ56" s="5">
        <f t="shared" si="9"/>
        <v>0</v>
      </c>
      <c r="CA56" s="8">
        <f t="shared" si="12"/>
        <v>0</v>
      </c>
      <c r="CB56" s="5">
        <f t="shared" si="13"/>
        <v>0</v>
      </c>
      <c r="CC56" s="7">
        <f t="shared" si="14"/>
        <v>0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>
        <v>0</v>
      </c>
      <c r="DA56" s="59"/>
    </row>
    <row r="57" spans="1:105" x14ac:dyDescent="0.25">
      <c r="A57" s="9" t="str">
        <f t="shared" si="10"/>
        <v>IT</v>
      </c>
      <c r="B57" s="9" t="s">
        <v>183</v>
      </c>
      <c r="C57" s="20" t="s">
        <v>3</v>
      </c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2014</v>
      </c>
      <c r="I57" s="9">
        <v>6</v>
      </c>
      <c r="J57" s="18">
        <f>INDEX(PTRS!$D$6:$D$12,MATCH('6'!$F57,PTRS!$B$6:$B$12,0))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v>0</v>
      </c>
      <c r="N57" s="17">
        <f>INDEX('Unique Asset List'!$D$4:$M$60,MATCH($B57,'Unique Asset List'!$A$4:$A$60,0),MATCH(N$8,'Unique Asset List'!$D$3:$M$3,0))</f>
        <v>0</v>
      </c>
      <c r="O57" s="17">
        <f>INDEX('Unique Asset List'!$D$4:$M$60,MATCH($B57,'Unique Asset List'!$A$4:$A$60,0),MATCH(O$8,'Unique Asset List'!$D$3:$M$3,0))</f>
        <v>0</v>
      </c>
      <c r="P57" s="17">
        <f>INDEX('Unique Asset List'!$D$4:$M$60,MATCH($B57,'Unique Asset List'!$A$4:$A$60,0),MATCH(P$8,'Unique Asset List'!$D$3:$M$3,0))</f>
        <v>0</v>
      </c>
      <c r="Q57" s="17">
        <f>INDEX('Unique Asset List'!$D$4:$M$60,MATCH($B57,'Unique Asset List'!$A$4:$A$60,0),MATCH(Q$8,'Unique Asset List'!$D$3:$M$3,0))</f>
        <v>0</v>
      </c>
      <c r="R57" s="17">
        <f>INDEX('Unique Asset List'!$D$4:$M$60,MATCH($B57,'Unique Asset List'!$A$4:$A$60,0),MATCH(R$8,'Unique Asset List'!$D$3:$M$3,0))</f>
        <v>0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15"/>
        <v>0</v>
      </c>
      <c r="V57" s="17">
        <v>1</v>
      </c>
      <c r="W57" s="9" t="s">
        <v>0</v>
      </c>
      <c r="X57" s="9">
        <f>INDEX('Unique Asset List'!$Y$4:$AE$60,MATCH('6'!$B57,'Unique Asset List'!$A$4:$A$60,0),MATCH('6'!$C$1,'Unique Asset List'!$Y$3:$AE$3,0))</f>
        <v>2052</v>
      </c>
      <c r="Y57" s="9">
        <f>INDEX('Unique Asset List'!$AF$4:$AL$60,MATCH('6'!$B57,'Unique Asset List'!$A$4:$A$60,0),MATCH('6'!$C$1,'Unique Asset List'!$AF$3:$AL$3,0))</f>
        <v>7.000000000001819</v>
      </c>
      <c r="Z57" s="9">
        <f>INDEX('Unique Asset List'!$AT$4:$AZ$60,MATCH('6'!$B57,'Unique Asset List'!$A$4:$A$60,0),MATCH('6'!$C$1,'Unique Asset List'!$AT$3:$AZ$3,0))</f>
        <v>2060</v>
      </c>
      <c r="AA57" s="9">
        <f>INDEX('Unique Asset List'!$BA$4:$BG$60,MATCH('6'!$B57,'Unique Asset List'!$A$4:$A$60,0),MATCH('6'!$C$1,'Unique Asset List'!$BA$3:$BG$3,0))</f>
        <v>6</v>
      </c>
      <c r="AB57" s="16">
        <f t="shared" si="16"/>
        <v>0</v>
      </c>
      <c r="AC57" s="16">
        <f t="shared" si="17"/>
        <v>0</v>
      </c>
      <c r="AD57" s="16">
        <f t="shared" si="18"/>
        <v>0</v>
      </c>
      <c r="AE57" s="15">
        <f>INDEX('Unique Asset List'!$CJ$4:$CP$60,MATCH('6'!$B57,'Unique Asset List'!$A$4:$A$60,0),MATCH('6'!$C$1,'Unique Asset List'!$CJ$3:$CP$3,0))</f>
        <v>0.18</v>
      </c>
      <c r="AF57" s="15">
        <f>INDEX('Unique Asset List'!$CQ$4:$CW$60,MATCH('6'!$B57,'Unique Asset List'!$A$4:$A$60,0),MATCH('6'!$C$1,'Unique Asset List'!$CQ$3:$CW$3,0))</f>
        <v>0.32</v>
      </c>
      <c r="AG57" s="15">
        <f>INDEX('Unique Asset List'!$BV$4:$CB$60,MATCH('6'!$B57,'Unique Asset List'!$A$4:$A$60,0),MATCH('6'!$C$1,'Unique Asset List'!$BV$3:$CB$3,0))</f>
        <v>0.18</v>
      </c>
      <c r="AH57" s="15">
        <f>INDEX('Unique Asset List'!$CC$4:$CI$60,MATCH('6'!$B57,'Unique Asset List'!$A$4:$A$60,0),MATCH('6'!$C$1,'Unique Asset List'!$CC$3:$CI$3,0))</f>
        <v>0.32</v>
      </c>
      <c r="AI57" s="11">
        <v>0.96187963349867744</v>
      </c>
      <c r="AJ57" s="15">
        <f>INDEX('Unique Asset List'!$BH$4:$BN$60,MATCH('6'!$B57,'Unique Asset List'!$A$4:$A$60,0),MATCH('6'!$C$1,'Unique Asset List'!$BH$3:$BN$3,0))</f>
        <v>0.32314284341629806</v>
      </c>
      <c r="AK57" s="15">
        <f>INDEX('Unique Asset List'!$BO$4:$BU$60,MATCH('6'!$B57,'Unique Asset List'!$A$4:$A$60,0),MATCH('6'!$C$1,'Unique Asset List'!$BO$3:$BU$3,0))</f>
        <v>0.61768216477991222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1"/>
        <v>0.82</v>
      </c>
      <c r="AS57" s="10">
        <v>1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1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1</v>
      </c>
      <c r="BB57" s="181">
        <f ca="1">INDEX('Unique Asset List'!V$4:V$60,MATCH($B57,_CompoundList,0))</f>
        <v>1</v>
      </c>
      <c r="BC57" s="181">
        <f ca="1">INDEX('Unique Asset List'!W$4:W$60,MATCH($B57,_CompoundList,0))</f>
        <v>0</v>
      </c>
      <c r="BD57" s="4">
        <f>IF($C$5="ON",CD57,MyRating(_E1,$B57,Efficacy!$F$1))</f>
        <v>0</v>
      </c>
      <c r="BE57" s="3">
        <f>IF($C$5="ON",CE57,MyRating(_E2,$B57,Efficacy!$F$1))</f>
        <v>0</v>
      </c>
      <c r="BF57" s="3">
        <f>IF($C$5="ON",CF57,MyRating(_E3,$B57,Efficacy!$F$1))</f>
        <v>0</v>
      </c>
      <c r="BG57" s="3">
        <f>IF($C$5="ON",CG57,MyRating(_E4,$B57,Efficacy!$F$1))</f>
        <v>0</v>
      </c>
      <c r="BH57" s="3">
        <f>IF($C$5="ON",CH57,MyRating(_E5,$B57,Efficacy!$F$1))</f>
        <v>0</v>
      </c>
      <c r="BI57" s="3">
        <f>IF($C$5="ON",CI57,MyRating(_E6,$B57,Efficacy!$F$1))</f>
        <v>0</v>
      </c>
      <c r="BJ57" s="3">
        <f>IF($C$5="ON",CJ57,MyRating(_E7,$B57,Efficacy!$F$1))</f>
        <v>0</v>
      </c>
      <c r="BK57" s="3">
        <f>IF($C$5="ON",CK57,MyRating(_E8,$B57,Efficacy!$F$1))</f>
        <v>0</v>
      </c>
      <c r="BL57" s="3">
        <f>IF($C$5="ON",CL57,MyRating(_S1,$B57,Efficacy!$F$1))</f>
        <v>0</v>
      </c>
      <c r="BM57" s="3">
        <f>IF($C$5="ON",CM57,MyRating(_S2,$B57,Efficacy!$F$1))</f>
        <v>0</v>
      </c>
      <c r="BN57" s="3">
        <f>IF($C$5="ON",CN57,MyRating(_S3,$B57,Efficacy!$F$1))</f>
        <v>0</v>
      </c>
      <c r="BO57" s="3">
        <f>IF($C$5="ON",CO57,MyRating(_S4,$B57,Efficacy!$F$1))</f>
        <v>0</v>
      </c>
      <c r="BP57" s="3">
        <f>IF($C$5="ON",CP57,MyRating(_S5,$B57,Efficacy!$F$1))</f>
        <v>0</v>
      </c>
      <c r="BQ57" s="3">
        <f>IF($C$5="ON",CQ57,MyRating(_S6,$B57,Efficacy!$F$1))</f>
        <v>0</v>
      </c>
      <c r="BR57" s="3">
        <f>IF($C$5="ON",CR57,MyRating(_S7,$B57,Efficacy!$F$1))</f>
        <v>0</v>
      </c>
      <c r="BS57" s="3">
        <f>IF($C$5="ON",CS57,MyRating(_D1,$B57,Efficacy!$F$1))</f>
        <v>0</v>
      </c>
      <c r="BT57" s="3">
        <f>IF($C$5="ON",CT57,MyRating(_D2,$B57,Efficacy!$F$1))</f>
        <v>0</v>
      </c>
      <c r="BU57" s="3">
        <f>IF($C$5="ON",CU57,MyRating(_D3,$B57,Efficacy!$F$1))</f>
        <v>0</v>
      </c>
      <c r="BV57" s="3">
        <f>IF($C$5="ON",CV57,MyRating(_D4,$B57,Efficacy!$F$1))</f>
        <v>0</v>
      </c>
      <c r="BW57" s="3">
        <f>IF($C$5="ON",CW57,MyRating(_B1G5,$B57,Barrier!$L$2))</f>
        <v>0</v>
      </c>
      <c r="BX57" s="3">
        <f>IF($C$5="ON",CX57,MyRating(_B2,$B57,Barrier!$F$2))</f>
        <v>0</v>
      </c>
      <c r="BY57" s="6">
        <f>IF($C$5="ON",CY57,MyRating(_B3,$B57,Barrier!$F$2))</f>
        <v>0</v>
      </c>
      <c r="BZ57" s="5">
        <f t="shared" si="9"/>
        <v>0</v>
      </c>
      <c r="CA57" s="8">
        <f t="shared" si="12"/>
        <v>0</v>
      </c>
      <c r="CB57" s="5">
        <f t="shared" si="13"/>
        <v>0</v>
      </c>
      <c r="CC57" s="7">
        <f t="shared" si="14"/>
        <v>0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>
        <v>0</v>
      </c>
      <c r="DA57" s="59"/>
    </row>
    <row r="58" spans="1:105" x14ac:dyDescent="0.25">
      <c r="A58" s="9" t="str">
        <f t="shared" si="10"/>
        <v>IT</v>
      </c>
      <c r="B58" s="9" t="s">
        <v>182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2014</v>
      </c>
      <c r="I58" s="9">
        <v>6</v>
      </c>
      <c r="J58" s="18">
        <f>INDEX(PTRS!$D$6:$D$12,MATCH('6'!$F58,PTRS!$B$6:$B$12,0))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v>0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 t="shared" si="15"/>
        <v>0</v>
      </c>
      <c r="V58" s="17">
        <v>1</v>
      </c>
      <c r="W58" s="9" t="s">
        <v>0</v>
      </c>
      <c r="X58" s="9">
        <f>INDEX('Unique Asset List'!$Y$4:$AE$60,MATCH('6'!$B58,'Unique Asset List'!$A$4:$A$60,0),MATCH('6'!$C$1,'Unique Asset List'!$Y$3:$AE$3,0))</f>
        <v>2052</v>
      </c>
      <c r="Y58" s="9">
        <f>INDEX('Unique Asset List'!$AF$4:$AL$60,MATCH('6'!$B58,'Unique Asset List'!$A$4:$A$60,0),MATCH('6'!$C$1,'Unique Asset List'!$AF$3:$AL$3,0))</f>
        <v>7.000000000001819</v>
      </c>
      <c r="Z58" s="9">
        <f>INDEX('Unique Asset List'!$AT$4:$AZ$60,MATCH('6'!$B58,'Unique Asset List'!$A$4:$A$60,0),MATCH('6'!$C$1,'Unique Asset List'!$AT$3:$AZ$3,0))</f>
        <v>2060</v>
      </c>
      <c r="AA58" s="9">
        <f>INDEX('Unique Asset List'!$BA$4:$BG$60,MATCH('6'!$B58,'Unique Asset List'!$A$4:$A$60,0),MATCH('6'!$C$1,'Unique Asset List'!$BA$3:$BG$3,0))</f>
        <v>6</v>
      </c>
      <c r="AB58" s="16">
        <f t="shared" si="16"/>
        <v>0</v>
      </c>
      <c r="AC58" s="16">
        <f t="shared" si="17"/>
        <v>0</v>
      </c>
      <c r="AD58" s="16">
        <f t="shared" si="18"/>
        <v>0</v>
      </c>
      <c r="AE58" s="15">
        <f>INDEX('Unique Asset List'!$CJ$4:$CP$60,MATCH('6'!$B58,'Unique Asset List'!$A$4:$A$60,0),MATCH('6'!$C$1,'Unique Asset List'!$CJ$3:$CP$3,0))</f>
        <v>0.18</v>
      </c>
      <c r="AF58" s="15">
        <f>INDEX('Unique Asset List'!$CQ$4:$CW$60,MATCH('6'!$B58,'Unique Asset List'!$A$4:$A$60,0),MATCH('6'!$C$1,'Unique Asset List'!$CQ$3:$CW$3,0))</f>
        <v>0.32</v>
      </c>
      <c r="AG58" s="15">
        <f>INDEX('Unique Asset List'!$BV$4:$CB$60,MATCH('6'!$B58,'Unique Asset List'!$A$4:$A$60,0),MATCH('6'!$C$1,'Unique Asset List'!$BV$3:$CB$3,0))</f>
        <v>0.18</v>
      </c>
      <c r="AH58" s="15">
        <f>INDEX('Unique Asset List'!$CC$4:$CI$60,MATCH('6'!$B58,'Unique Asset List'!$A$4:$A$60,0),MATCH('6'!$C$1,'Unique Asset List'!$CC$3:$CI$3,0))</f>
        <v>0.32</v>
      </c>
      <c r="AI58" s="11">
        <v>0.96187963349867744</v>
      </c>
      <c r="AJ58" s="15">
        <f>INDEX('Unique Asset List'!$BH$4:$BN$60,MATCH('6'!$B58,'Unique Asset List'!$A$4:$A$60,0),MATCH('6'!$C$1,'Unique Asset List'!$BH$3:$BN$3,0))</f>
        <v>0.32314284341629806</v>
      </c>
      <c r="AK58" s="15">
        <f>INDEX('Unique Asset List'!$BO$4:$BU$60,MATCH('6'!$B58,'Unique Asset List'!$A$4:$A$60,0),MATCH('6'!$C$1,'Unique Asset List'!$BO$3:$BU$3,0))</f>
        <v>0.61768216477991222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1"/>
        <v>0.82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1</v>
      </c>
      <c r="AY58" s="181">
        <f ca="1">INDEX('Unique Asset List'!S$4:S$60,MATCH($B58,_CompoundList,0))</f>
        <v>0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1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IF($C$5="ON",CL58,MyRating(_S1,$B58,Efficacy!$F$1))</f>
        <v>0</v>
      </c>
      <c r="BM58" s="3">
        <f>IF($C$5="ON",CM58,MyRating(_S2,$B58,Efficacy!$F$1))</f>
        <v>0</v>
      </c>
      <c r="BN58" s="3">
        <f>IF($C$5="ON",CN58,MyRating(_S3,$B58,Efficacy!$F$1))</f>
        <v>0</v>
      </c>
      <c r="BO58" s="3">
        <f>IF($C$5="ON",CO58,MyRating(_S4,$B58,Efficacy!$F$1))</f>
        <v>0</v>
      </c>
      <c r="BP58" s="3">
        <f>IF($C$5="ON",CP58,MyRating(_S5,$B58,Efficacy!$F$1))</f>
        <v>0</v>
      </c>
      <c r="BQ58" s="3">
        <f>IF($C$5="ON",CQ58,MyRating(_S6,$B58,Efficacy!$F$1))</f>
        <v>0</v>
      </c>
      <c r="BR58" s="3">
        <f>IF($C$5="ON",CR58,MyRating(_S7,$B58,Efficacy!$F$1))</f>
        <v>0</v>
      </c>
      <c r="BS58" s="3">
        <f>IF($C$5="ON",CS58,MyRating(_D1,$B58,Efficacy!$F$1))</f>
        <v>0</v>
      </c>
      <c r="BT58" s="3">
        <f>IF($C$5="ON",CT58,MyRating(_D2,$B58,Efficacy!$F$1))</f>
        <v>0</v>
      </c>
      <c r="BU58" s="3">
        <f>IF($C$5="ON",CU58,MyRating(_D3,$B58,Efficacy!$F$1))</f>
        <v>0</v>
      </c>
      <c r="BV58" s="3">
        <f>IF($C$5="ON",CV58,MyRating(_D4,$B58,Efficacy!$F$1))</f>
        <v>0</v>
      </c>
      <c r="BW58" s="3">
        <f>IF($C$5="ON",CW58,MyRating(_B1G5,$B58,Barrier!$L$2))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9"/>
        <v>0</v>
      </c>
      <c r="CA58" s="8">
        <f t="shared" si="12"/>
        <v>0</v>
      </c>
      <c r="CB58" s="5">
        <f t="shared" si="13"/>
        <v>0</v>
      </c>
      <c r="CC58" s="7">
        <f t="shared" si="14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>
        <v>0</v>
      </c>
      <c r="DA58" s="59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0D00-000000000000}">
      <formula1>"ON,OFF"</formula1>
    </dataValidation>
    <dataValidation type="list" allowBlank="1" showInputMessage="1" showErrorMessage="1" sqref="C1" xr:uid="{00000000-0002-0000-0D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2000000}">
          <x14:formula1>
            <xm:f>'Unique Asset List'!$D$3:$M$3</xm:f>
          </x14:formula1>
          <xm:sqref>J1:S1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outlinePr summaryBelow="0" summaryRight="0"/>
  </sheetPr>
  <dimension ref="A1:CZ58"/>
  <sheetViews>
    <sheetView workbookViewId="0">
      <selection activeCell="C19" sqref="C19"/>
    </sheetView>
  </sheetViews>
  <sheetFormatPr defaultRowHeight="15" x14ac:dyDescent="0.25"/>
  <cols>
    <col min="1" max="1" width="6.28515625" bestFit="1" customWidth="1"/>
    <col min="2" max="2" width="25.28515625" bestFit="1" customWidth="1"/>
    <col min="3" max="3" width="5.140625" customWidth="1"/>
    <col min="4" max="4" width="11.85546875" bestFit="1" customWidth="1"/>
    <col min="5" max="6" width="9" bestFit="1" customWidth="1"/>
    <col min="7" max="7" width="4.5703125" bestFit="1" customWidth="1"/>
    <col min="8" max="8" width="6" customWidth="1"/>
    <col min="9" max="9" width="3" bestFit="1" customWidth="1"/>
    <col min="10" max="12" width="4.85546875" bestFit="1" customWidth="1"/>
    <col min="13" max="13" width="5.140625" bestFit="1" customWidth="1"/>
    <col min="14" max="14" width="4.85546875" bestFit="1" customWidth="1"/>
    <col min="15" max="15" width="5.140625" bestFit="1" customWidth="1"/>
    <col min="16" max="19" width="4.85546875" bestFit="1" customWidth="1"/>
    <col min="20" max="20" width="21.7109375" bestFit="1" customWidth="1"/>
    <col min="21" max="22" width="4.85546875" bestFit="1" customWidth="1"/>
    <col min="23" max="23" width="9.42578125" bestFit="1" customWidth="1"/>
    <col min="24" max="24" width="4.5703125" bestFit="1" customWidth="1"/>
    <col min="25" max="25" width="3" bestFit="1" customWidth="1"/>
    <col min="26" max="26" width="4.5703125" bestFit="1" customWidth="1"/>
    <col min="27" max="27" width="3" bestFit="1" customWidth="1"/>
    <col min="28" max="34" width="4.140625" bestFit="1" customWidth="1"/>
    <col min="35" max="35" width="4.42578125" bestFit="1" customWidth="1"/>
    <col min="36" max="36" width="3.85546875" bestFit="1" customWidth="1"/>
    <col min="37" max="37" width="4.42578125" bestFit="1" customWidth="1"/>
    <col min="38" max="38" width="5.28515625" style="2" customWidth="1"/>
    <col min="39" max="39" width="5.7109375" style="2" bestFit="1" customWidth="1"/>
    <col min="40" max="40" width="4.85546875" style="2" bestFit="1" customWidth="1"/>
    <col min="41" max="41" width="3.85546875" style="2" bestFit="1" customWidth="1"/>
    <col min="42" max="42" width="4.42578125" bestFit="1" customWidth="1"/>
    <col min="43" max="43" width="4.85546875" style="2" bestFit="1" customWidth="1"/>
    <col min="44" max="45" width="4.42578125" bestFit="1" customWidth="1"/>
    <col min="46" max="55" width="2.85546875" bestFit="1" customWidth="1"/>
    <col min="56" max="57" width="3.42578125" bestFit="1" customWidth="1"/>
    <col min="58" max="58" width="4.42578125" bestFit="1" customWidth="1"/>
    <col min="59" max="75" width="3.42578125" bestFit="1" customWidth="1"/>
    <col min="76" max="77" width="4.42578125" bestFit="1" customWidth="1"/>
    <col min="78" max="78" width="6.5703125" style="1" bestFit="1" customWidth="1"/>
    <col min="79" max="79" width="5" style="1" bestFit="1" customWidth="1"/>
    <col min="80" max="80" width="6.5703125" style="1" bestFit="1" customWidth="1"/>
    <col min="81" max="81" width="5.85546875" style="1" bestFit="1" customWidth="1"/>
    <col min="82" max="83" width="3.42578125" bestFit="1" customWidth="1"/>
    <col min="84" max="84" width="4.42578125" bestFit="1" customWidth="1"/>
    <col min="85" max="101" width="3.42578125" bestFit="1" customWidth="1"/>
    <col min="102" max="103" width="4.42578125" bestFit="1" customWidth="1"/>
    <col min="104" max="104" width="5.140625" style="1" bestFit="1" customWidth="1"/>
  </cols>
  <sheetData>
    <row r="1" spans="1:104" x14ac:dyDescent="0.25">
      <c r="A1" s="209" t="s">
        <v>181</v>
      </c>
      <c r="B1" s="211"/>
      <c r="C1" s="56" t="s">
        <v>175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L1"/>
      <c r="AM1"/>
      <c r="AN1"/>
      <c r="AO1"/>
      <c r="AQ1"/>
      <c r="CA1" s="35"/>
    </row>
    <row r="2" spans="1:104" x14ac:dyDescent="0.25">
      <c r="B2" t="s">
        <v>172</v>
      </c>
      <c r="C2" s="48">
        <v>3</v>
      </c>
      <c r="T2" s="209" t="s">
        <v>168</v>
      </c>
      <c r="U2" s="210"/>
      <c r="V2" s="210"/>
      <c r="W2" s="211"/>
      <c r="X2" s="47">
        <v>0.2</v>
      </c>
      <c r="AL2"/>
      <c r="AM2"/>
      <c r="AN2"/>
      <c r="AO2"/>
      <c r="AQ2"/>
      <c r="CA2" s="35"/>
    </row>
    <row r="3" spans="1:104" x14ac:dyDescent="0.25">
      <c r="B3" t="s">
        <v>166</v>
      </c>
      <c r="C3" s="48">
        <v>2</v>
      </c>
      <c r="T3" s="209" t="s">
        <v>165</v>
      </c>
      <c r="U3" s="210"/>
      <c r="V3" s="210"/>
      <c r="W3" s="211"/>
      <c r="X3" s="47">
        <v>-0.5</v>
      </c>
      <c r="AL3"/>
      <c r="AM3"/>
      <c r="AN3"/>
      <c r="AO3"/>
      <c r="AQ3"/>
      <c r="CA3" s="35"/>
    </row>
    <row r="4" spans="1:104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1.5</v>
      </c>
      <c r="AL4"/>
      <c r="AM4"/>
      <c r="AN4"/>
      <c r="AO4"/>
      <c r="AQ4"/>
      <c r="CA4" s="35"/>
    </row>
    <row r="5" spans="1:104" x14ac:dyDescent="0.25">
      <c r="B5" t="s">
        <v>160</v>
      </c>
      <c r="C5" s="45" t="s">
        <v>3</v>
      </c>
      <c r="D5" s="44"/>
      <c r="G5" s="161"/>
      <c r="U5" s="43"/>
      <c r="V5" s="42"/>
      <c r="AL5"/>
      <c r="AM5"/>
      <c r="AN5"/>
      <c r="AO5"/>
      <c r="AQ5"/>
      <c r="CA5" s="35"/>
    </row>
    <row r="6" spans="1:104" x14ac:dyDescent="0.25">
      <c r="G6" s="161"/>
      <c r="AL6"/>
      <c r="AM6"/>
      <c r="AN6"/>
      <c r="AO6"/>
      <c r="AQ6"/>
      <c r="CA6" s="35"/>
    </row>
    <row r="7" spans="1:104" x14ac:dyDescent="0.25">
      <c r="G7" s="42"/>
      <c r="AL7"/>
      <c r="AM7"/>
      <c r="AN7"/>
      <c r="AO7"/>
      <c r="AQ7"/>
      <c r="BD7" s="27">
        <f>IF($C$5="ON",CD7,INDEX(Conjoint!$F$9:$F$33,MATCH(BD8,Conjoint!$B$9:$B$33,0)))</f>
        <v>8.4581000000000003E-2</v>
      </c>
      <c r="BE7" s="27">
        <f>IF($C$5="ON",CE7,INDEX(Conjoint!$F$9:$F$33,MATCH(BE8,Conjoint!$B$9:$B$33,0)))</f>
        <v>8.0703200000000017E-2</v>
      </c>
      <c r="BF7" s="27">
        <f>IF($C$5="ON",CF7,INDEX(Conjoint!$F$9:$F$33,MATCH(BF8,Conjoint!$B$9:$B$33,0)))</f>
        <v>9.5090400000000005E-2</v>
      </c>
      <c r="BG7" s="27">
        <f>IF($C$5="ON",CG7,INDEX(Conjoint!$F$9:$F$33,MATCH(BG8,Conjoint!$B$9:$B$33,0)))</f>
        <v>8.2614000000000007E-2</v>
      </c>
      <c r="BH7" s="27">
        <f>IF($C$5="ON",CH7,INDEX(Conjoint!$F$9:$F$33,MATCH(BH8,Conjoint!$B$9:$B$33,0)))</f>
        <v>6.1089400000000009E-2</v>
      </c>
      <c r="BI7" s="27">
        <f>IF($C$5="ON",CI7,INDEX(Conjoint!$F$9:$F$33,MATCH(BI8,Conjoint!$B$9:$B$33,0)))</f>
        <v>5.8054600000000005E-2</v>
      </c>
      <c r="BJ7" s="27">
        <f>IF($C$5="ON",CJ7,INDEX(Conjoint!$F$9:$F$33,MATCH(BJ8,Conjoint!$B$9:$B$33,0)))</f>
        <v>3.8047400000000002E-2</v>
      </c>
      <c r="BK7" s="27">
        <f>IF($C$5="ON",CK7,INDEX(Conjoint!$F$9:$F$33,MATCH(BK8,Conjoint!$B$9:$B$33,0)))</f>
        <v>6.1820000000000007E-2</v>
      </c>
      <c r="BL7" s="27">
        <f>IF($C$5="ON",CL7,INDEX(Conjoint!$F$9:$F$33,MATCH(BL8,Conjoint!$B$9:$B$33,0)))</f>
        <v>6.1469900000000001E-2</v>
      </c>
      <c r="BM7" s="27">
        <f>IF($C$5="ON",CM7,INDEX(Conjoint!$F$9:$F$33,MATCH(BM8,Conjoint!$B$9:$B$33,0)))</f>
        <v>2.4572900000000002E-2</v>
      </c>
      <c r="BN7" s="27">
        <f>IF($C$5="ON",CN7,INDEX(Conjoint!$F$9:$F$33,MATCH(BN8,Conjoint!$B$9:$B$33,0)))</f>
        <v>3.06471E-2</v>
      </c>
      <c r="BO7" s="27">
        <f>IF($C$5="ON",CO7,INDEX(Conjoint!$F$9:$F$33,MATCH(BO8,Conjoint!$B$9:$B$33,0)))</f>
        <v>3.4964300000000004E-2</v>
      </c>
      <c r="BP7" s="27">
        <f>IF($C$5="ON",CP7,INDEX(Conjoint!$F$9:$F$33,MATCH(BP8,Conjoint!$B$9:$B$33,0)))</f>
        <v>4.6008299999999995E-2</v>
      </c>
      <c r="BQ7" s="27">
        <f>IF($C$5="ON",CQ7,INDEX(Conjoint!$F$9:$F$33,MATCH(BQ8,Conjoint!$B$9:$B$33,0)))</f>
        <v>2.14354E-2</v>
      </c>
      <c r="BR7" s="27">
        <f>IF($C$5="ON",CR7,INDEX(Conjoint!$F$9:$F$33,MATCH(BR8,Conjoint!$B$9:$B$33,0)))</f>
        <v>3.1877000000000003E-2</v>
      </c>
      <c r="BS7" s="27">
        <f>IF($C$5="ON",CS7,INDEX(Conjoint!$F$9:$F$33,MATCH(BS8,Conjoint!$B$9:$B$33,0)))</f>
        <v>5.9704054739999991E-2</v>
      </c>
      <c r="BT7" s="27">
        <f>IF($C$5="ON",CT7,INDEX(Conjoint!$F$9:$F$33,MATCH(BT8,Conjoint!$B$9:$B$33,0)))</f>
        <v>4.0027204139999994E-2</v>
      </c>
      <c r="BU7" s="27">
        <f>IF($C$5="ON",CU7,INDEX(Conjoint!$F$9:$F$33,MATCH(BU8,Conjoint!$B$9:$B$33,0)))</f>
        <v>3.2328141120000001E-2</v>
      </c>
      <c r="BV7" s="27">
        <f>IF($C$5="ON",CV7,INDEX(Conjoint!$F$9:$F$33,MATCH(BV8,Conjoint!$B$9:$B$33,0)))</f>
        <v>5.4940599999999999E-2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3.7050546148312331E-2</v>
      </c>
      <c r="CA7" s="34">
        <f>SUMIF($C$9:$C$58,"",CA9:CA58)</f>
        <v>84.999999999999957</v>
      </c>
      <c r="CB7" s="33"/>
      <c r="CC7" s="32">
        <f>SUMIF($C$9:$C$58,"",CC9:CC58)</f>
        <v>0.17896119842226979</v>
      </c>
      <c r="CD7" s="27">
        <v>8.4581000000000003E-2</v>
      </c>
      <c r="CE7" s="27">
        <v>8.0703200000000017E-2</v>
      </c>
      <c r="CF7" s="27">
        <v>9.5090400000000005E-2</v>
      </c>
      <c r="CG7" s="27">
        <v>8.2614000000000007E-2</v>
      </c>
      <c r="CH7" s="27">
        <v>6.1089400000000009E-2</v>
      </c>
      <c r="CI7" s="27">
        <v>5.8054600000000005E-2</v>
      </c>
      <c r="CJ7" s="27">
        <v>3.8047400000000002E-2</v>
      </c>
      <c r="CK7" s="27">
        <v>6.1820000000000007E-2</v>
      </c>
      <c r="CL7" s="27">
        <v>6.1469900000000001E-2</v>
      </c>
      <c r="CM7" s="27">
        <v>2.4572900000000002E-2</v>
      </c>
      <c r="CN7" s="27">
        <v>3.06471E-2</v>
      </c>
      <c r="CO7" s="27">
        <v>3.4964300000000004E-2</v>
      </c>
      <c r="CP7" s="27">
        <v>4.6008299999999995E-2</v>
      </c>
      <c r="CQ7" s="27">
        <v>2.14354E-2</v>
      </c>
      <c r="CR7" s="27">
        <v>3.1877000000000003E-2</v>
      </c>
      <c r="CS7" s="27">
        <v>5.9704054739999991E-2</v>
      </c>
      <c r="CT7" s="27">
        <v>4.0027204139999994E-2</v>
      </c>
      <c r="CU7" s="27">
        <v>3.2328141120000001E-2</v>
      </c>
      <c r="CV7" s="27">
        <v>5.4940599999999999E-2</v>
      </c>
      <c r="CW7" s="27">
        <v>0.05</v>
      </c>
      <c r="CX7" s="27">
        <v>0.47499999999999998</v>
      </c>
      <c r="CY7" s="26">
        <v>0.47499999999999998</v>
      </c>
      <c r="CZ7" s="31">
        <v>5.3883834849545127E-2</v>
      </c>
    </row>
    <row r="8" spans="1:104" ht="104.25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 t="s">
        <v>118</v>
      </c>
    </row>
    <row r="9" spans="1:104" x14ac:dyDescent="0.25">
      <c r="A9" s="9" t="str">
        <f t="shared" ref="A9:A40" si="0">$C$1</f>
        <v>ES</v>
      </c>
      <c r="B9" s="9" t="s">
        <v>49</v>
      </c>
      <c r="C9" s="20" t="s">
        <v>3</v>
      </c>
      <c r="D9" s="9" t="s">
        <v>48</v>
      </c>
      <c r="E9" s="9" t="s">
        <v>186</v>
      </c>
      <c r="F9" s="9" t="str">
        <f>INDEX('Unique Asset List'!$C$4:$C$60,MATCH(B9,_CompoundList,0))</f>
        <v>Launched</v>
      </c>
      <c r="G9" s="57">
        <v>0</v>
      </c>
      <c r="H9" s="9">
        <v>2014</v>
      </c>
      <c r="I9" s="9">
        <v>6</v>
      </c>
      <c r="J9" s="18">
        <f>INDEX(PTRS!$D$6:$D$12,MATCH('5'!$F9,PTRS!$B$6:$B$12,0))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50" si="1">BZ9/$BZ$7</f>
        <v>0</v>
      </c>
      <c r="V9" s="17">
        <v>1</v>
      </c>
      <c r="W9" s="9" t="s">
        <v>46</v>
      </c>
      <c r="X9" s="9">
        <f>INDEX('Unique Asset List'!$Y$4:$AE$60,MATCH('5'!$B9,'Unique Asset List'!$A$4:$A$60,0),MATCH('5'!$C$1,'Unique Asset List'!$Y$3:$AE$3,0))</f>
        <v>1984</v>
      </c>
      <c r="Y9" s="9">
        <f>INDEX('Unique Asset List'!$AF$4:$AL$60,MATCH('5'!$B9,'Unique Asset List'!$A$4:$A$60,0),MATCH('5'!$C$1,'Unique Asset List'!$AF$3:$AL$3,0))</f>
        <v>7</v>
      </c>
      <c r="Z9" s="9">
        <f>INDEX('Unique Asset List'!$AT$4:$AZ$60,MATCH('5'!$B9,'Unique Asset List'!$A$4:$A$60,0),MATCH('5'!$C$1,'Unique Asset List'!$AT$3:$AZ$3,0))</f>
        <v>1994</v>
      </c>
      <c r="AA9" s="9">
        <f>INDEX('Unique Asset List'!$BA$4:$BG$60,MATCH('5'!$B9,'Unique Asset List'!$A$4:$A$60,0),MATCH('5'!$C$1,'Unique Asset List'!$BA$3:$BG$3,0))</f>
        <v>7</v>
      </c>
      <c r="AB9" s="16">
        <f t="shared" ref="AB9:AB37" si="2">SUMPRODUCT($BD9:$BK9,$BD$7:$BK$7)</f>
        <v>1.3070995999999999</v>
      </c>
      <c r="AC9" s="16">
        <f t="shared" ref="AC9:AC37" si="3">SUMPRODUCT($BL9:$BR9,$BL$7:$BR$7)</f>
        <v>0.69770470000000007</v>
      </c>
      <c r="AD9" s="16">
        <f t="shared" ref="AD9:AD37" si="4">SUMPRODUCT($BS9:$BV9,$BS$7:$BV$7)</f>
        <v>0.56099999999999994</v>
      </c>
      <c r="AE9" s="15">
        <f>INDEX('Unique Asset List'!$CJ$4:$CP$60,MATCH('5'!$B9,'Unique Asset List'!$A$4:$A$60,0),MATCH('5'!$C$1,'Unique Asset List'!$CJ$3:$CP$3,0))</f>
        <v>0.08</v>
      </c>
      <c r="AF9" s="15">
        <f>INDEX('Unique Asset List'!$CQ$4:$CW$60,MATCH('5'!$B9,'Unique Asset List'!$A$4:$A$60,0),MATCH('5'!$C$1,'Unique Asset List'!$CQ$3:$CW$3,0))</f>
        <v>0.42</v>
      </c>
      <c r="AG9" s="15">
        <f>INDEX('Unique Asset List'!$BV$4:$CB$60,MATCH('5'!$B9,'Unique Asset List'!$A$4:$A$60,0),MATCH('5'!$C$1,'Unique Asset List'!$BV$3:$CB$3,0))</f>
        <v>0.08</v>
      </c>
      <c r="AH9" s="15">
        <f>INDEX('Unique Asset List'!$CC$4:$CI$60,MATCH('5'!$B9,'Unique Asset List'!$A$4:$A$60,0),MATCH('5'!$C$1,'Unique Asset List'!$CC$3:$CI$3,0))</f>
        <v>0.42</v>
      </c>
      <c r="AI9" s="11">
        <v>0.96187963349867744</v>
      </c>
      <c r="AJ9" s="15">
        <f>INDEX('Unique Asset List'!$BH$4:$BN$60,MATCH('5'!$B9,'Unique Asset List'!$A$4:$A$60,0),MATCH('5'!$C$1,'Unique Asset List'!$BH$3:$BN$3,0))</f>
        <v>1.2944496352201866</v>
      </c>
      <c r="AK9" s="15">
        <f>INDEX('Unique Asset List'!$BO$4:$BU$60,MATCH('5'!$B9,'Unique Asset List'!$A$4:$A$60,0),MATCH('5'!$C$1,'Unique Asset List'!$BO$3:$BU$3,0))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40" si="5">AP9</f>
        <v>1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2</v>
      </c>
      <c r="BE9" s="3">
        <f>IF($C$5="ON",CE9,MyRating(_E2,$B9,Efficacy!$F$1))</f>
        <v>1</v>
      </c>
      <c r="BF9" s="3">
        <f>IF($C$5="ON",CF9,MyRating(_E3,$B9,Efficacy!$F$1))</f>
        <v>1</v>
      </c>
      <c r="BG9" s="3">
        <f>IF($C$5="ON",CG9,MyRating(_E4,$B9,Efficacy!$F$1))</f>
        <v>2</v>
      </c>
      <c r="BH9" s="3">
        <f>IF($C$5="ON",CH9,MyRating(_E5,$B9,Efficacy!$F$1))</f>
        <v>3</v>
      </c>
      <c r="BI9" s="3">
        <f>IF($C$5="ON",CI9,MyRating(_E6,$B9,Efficacy!$F$1))</f>
        <v>5</v>
      </c>
      <c r="BJ9" s="3">
        <f>IF($C$5="ON",CJ9,MyRating(_E7,$B9,Efficacy!$F$1))</f>
        <v>2</v>
      </c>
      <c r="BK9" s="3">
        <f>IF($C$5="ON",CK9,MyRating(_E8,$B9,Efficacy!$F$1))</f>
        <v>4</v>
      </c>
      <c r="BL9" s="3">
        <f>IF($C$5="ON",CL9,MyRating(_S1,$B9,Efficacy!$F$1))</f>
        <v>3</v>
      </c>
      <c r="BM9" s="3">
        <f>IF($C$5="ON",CM9,MyRating(_S2,$B9,Efficacy!$F$1))</f>
        <v>2</v>
      </c>
      <c r="BN9" s="3">
        <f>IF($C$5="ON",CN9,MyRating(_S3,$B9,Efficacy!$F$1))</f>
        <v>2</v>
      </c>
      <c r="BO9" s="3">
        <f>IF($C$5="ON",CO9,MyRating(_S4,$B9,Efficacy!$F$1))</f>
        <v>3</v>
      </c>
      <c r="BP9" s="3">
        <f>IF($C$5="ON",CP9,MyRating(_S5,$B9,Efficacy!$F$1))</f>
        <v>3</v>
      </c>
      <c r="BQ9" s="3">
        <f>IF($C$5="ON",CQ9,MyRating(_S6,$B9,Efficacy!$F$1))</f>
        <v>3</v>
      </c>
      <c r="BR9" s="3">
        <f>IF($C$5="ON",CR9,MyRating(_S7,$B9,Efficacy!$F$1))</f>
        <v>3</v>
      </c>
      <c r="BS9" s="3">
        <f>IF($C$5="ON",CS9,MyRating(_D1,$B9,Efficacy!$F$1))</f>
        <v>3</v>
      </c>
      <c r="BT9" s="3">
        <f>IF($C$5="ON",CT9,MyRating(_D2,$B9,Efficacy!$F$1))</f>
        <v>3</v>
      </c>
      <c r="BU9" s="3">
        <f>IF($C$5="ON",CU9,MyRating(_D3,$B9,Efficacy!$F$1))</f>
        <v>3</v>
      </c>
      <c r="BV9" s="3">
        <f>IF($C$5="ON",CV9,MyRating(_D4,$B9,Efficacy!$F$1))</f>
        <v>3</v>
      </c>
      <c r="BW9" s="3">
        <f>IF($C$5="ON",CW9,MyRating(_B1G5,$B9,Barrier!$L$2))</f>
        <v>3</v>
      </c>
      <c r="BX9" s="3">
        <f>IF($C$5="ON",CX9,MyRating(_B2,$B9,Barrier!$F$2))</f>
        <v>3</v>
      </c>
      <c r="BY9" s="6">
        <f>IF($C$5="ON",CY9,MyRating(_B3,$B9,Barrier!$F$2))</f>
        <v>0</v>
      </c>
      <c r="BZ9" s="5">
        <f>IF(C9="",CC9/$CC$7,0)</f>
        <v>0</v>
      </c>
      <c r="CA9" s="8">
        <f t="shared" ref="CA9:CA40" si="6">SUMPRODUCT($BW9:$BY9,$BW$7:$BY$7)</f>
        <v>1.8000000000000003</v>
      </c>
      <c r="CB9" s="5">
        <f t="shared" ref="CB9:CB40" si="7">CA9/$CA$7</f>
        <v>2.1176470588235307E-2</v>
      </c>
      <c r="CC9" s="7">
        <f t="shared" ref="CC9:CC40" si="8">CB9^$X$4</f>
        <v>3.081629118108704E-3</v>
      </c>
      <c r="CD9" s="4">
        <v>2</v>
      </c>
      <c r="CE9" s="3">
        <v>2</v>
      </c>
      <c r="CF9" s="3">
        <v>2</v>
      </c>
      <c r="CG9" s="3">
        <v>2</v>
      </c>
      <c r="CH9" s="3">
        <v>2</v>
      </c>
      <c r="CI9" s="3">
        <v>5</v>
      </c>
      <c r="CJ9" s="3">
        <v>2</v>
      </c>
      <c r="CK9" s="3">
        <v>4</v>
      </c>
      <c r="CL9" s="3">
        <v>3</v>
      </c>
      <c r="CM9" s="3">
        <v>2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3</v>
      </c>
      <c r="CY9" s="6">
        <v>3</v>
      </c>
      <c r="CZ9" s="5">
        <v>3.7014903427878103E-2</v>
      </c>
    </row>
    <row r="10" spans="1:104" x14ac:dyDescent="0.25">
      <c r="A10" s="9" t="str">
        <f t="shared" si="0"/>
        <v>ES</v>
      </c>
      <c r="B10" s="9" t="s">
        <v>190</v>
      </c>
      <c r="C10" s="20"/>
      <c r="D10" s="9" t="s">
        <v>48</v>
      </c>
      <c r="E10" s="9" t="s">
        <v>186</v>
      </c>
      <c r="F10" s="9" t="str">
        <f>INDEX('Unique Asset List'!$C$4:$C$60,MATCH(B10,_CompoundList,0))</f>
        <v>Launched</v>
      </c>
      <c r="G10" s="57">
        <v>0.53846153846153844</v>
      </c>
      <c r="H10" s="9">
        <v>2014</v>
      </c>
      <c r="I10" s="9">
        <v>6</v>
      </c>
      <c r="J10" s="18">
        <f>INDEX(PTRS!$D$6:$D$12,MATCH('5'!$F10,PTRS!$B$6:$B$12,0))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1"/>
        <v>1</v>
      </c>
      <c r="V10" s="17">
        <v>1</v>
      </c>
      <c r="W10" s="9" t="s">
        <v>188</v>
      </c>
      <c r="X10" s="9">
        <f>INDEX('Unique Asset List'!$Y$4:$AE$60,MATCH('5'!$B10,'Unique Asset List'!$A$4:$A$60,0),MATCH('5'!$C$1,'Unique Asset List'!$Y$3:$AE$3,0))</f>
        <v>1975</v>
      </c>
      <c r="Y10" s="9">
        <f>INDEX('Unique Asset List'!$AF$4:$AL$60,MATCH('5'!$B10,'Unique Asset List'!$A$4:$A$60,0),MATCH('5'!$C$1,'Unique Asset List'!$AF$3:$AL$3,0))</f>
        <v>7</v>
      </c>
      <c r="Z10" s="9">
        <f>INDEX('Unique Asset List'!$AT$4:$AZ$60,MATCH('5'!$B10,'Unique Asset List'!$A$4:$A$60,0),MATCH('5'!$C$1,'Unique Asset List'!$AT$3:$AZ$3,0))</f>
        <v>2001</v>
      </c>
      <c r="AA10" s="9">
        <f>INDEX('Unique Asset List'!$BA$4:$BG$60,MATCH('5'!$B10,'Unique Asset List'!$A$4:$A$60,0),MATCH('5'!$C$1,'Unique Asset List'!$BA$3:$BG$3,0))</f>
        <v>7</v>
      </c>
      <c r="AB10" s="16">
        <f t="shared" si="2"/>
        <v>1.4234898</v>
      </c>
      <c r="AC10" s="16">
        <f t="shared" si="3"/>
        <v>0.91994010000000004</v>
      </c>
      <c r="AD10" s="16">
        <f t="shared" si="4"/>
        <v>0.50129594525999999</v>
      </c>
      <c r="AE10" s="15">
        <f>INDEX('Unique Asset List'!$CJ$4:$CP$60,MATCH('5'!$B10,'Unique Asset List'!$A$4:$A$60,0),MATCH('5'!$C$1,'Unique Asset List'!$CJ$3:$CP$3,0))</f>
        <v>0.08</v>
      </c>
      <c r="AF10" s="15">
        <f>INDEX('Unique Asset List'!$CQ$4:$CW$60,MATCH('5'!$B10,'Unique Asset List'!$A$4:$A$60,0),MATCH('5'!$C$1,'Unique Asset List'!$CQ$3:$CW$3,0))</f>
        <v>0.42</v>
      </c>
      <c r="AG10" s="15">
        <f>INDEX('Unique Asset List'!$BV$4:$CB$60,MATCH('5'!$B10,'Unique Asset List'!$A$4:$A$60,0),MATCH('5'!$C$1,'Unique Asset List'!$BV$3:$CB$3,0))</f>
        <v>0.08</v>
      </c>
      <c r="AH10" s="15">
        <f>INDEX('Unique Asset List'!$CC$4:$CI$60,MATCH('5'!$B10,'Unique Asset List'!$A$4:$A$60,0),MATCH('5'!$C$1,'Unique Asset List'!$CC$3:$CI$3,0))</f>
        <v>0.42</v>
      </c>
      <c r="AI10" s="11">
        <v>0.96187963349867744</v>
      </c>
      <c r="AJ10" s="15">
        <f>INDEX('Unique Asset List'!$BH$4:$BN$60,MATCH('5'!$B10,'Unique Asset List'!$A$4:$A$60,0),MATCH('5'!$C$1,'Unique Asset List'!$BH$3:$BN$3,0))</f>
        <v>1.2944496352201866</v>
      </c>
      <c r="AK10" s="15">
        <f>INDEX('Unique Asset List'!$BO$4:$BU$60,MATCH('5'!$B10,'Unique Asset List'!$A$4:$A$60,0),MATCH('5'!$C$1,'Unique Asset List'!$BO$3:$BU$3,0))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2</v>
      </c>
      <c r="BE10" s="3">
        <f>IF($C$5="ON",CE10,MyRating(_E2,$B10,Efficacy!$F$1))</f>
        <v>3</v>
      </c>
      <c r="BF10" s="3">
        <f>IF($C$5="ON",CF10,MyRating(_E3,$B10,Efficacy!$F$1))</f>
        <v>3</v>
      </c>
      <c r="BG10" s="3">
        <f>IF($C$5="ON",CG10,MyRating(_E4,$B10,Efficacy!$F$1))</f>
        <v>3</v>
      </c>
      <c r="BH10" s="3">
        <f>IF($C$5="ON",CH10,MyRating(_E5,$B10,Efficacy!$F$1))</f>
        <v>3</v>
      </c>
      <c r="BI10" s="3">
        <f>IF($C$5="ON",CI10,MyRating(_E6,$B10,Efficacy!$F$1))</f>
        <v>1</v>
      </c>
      <c r="BJ10" s="3">
        <f>IF($C$5="ON",CJ10,MyRating(_E7,$B10,Efficacy!$F$1))</f>
        <v>3</v>
      </c>
      <c r="BK10" s="3">
        <f>IF($C$5="ON",CK10,MyRating(_E8,$B10,Efficacy!$F$1))</f>
        <v>2</v>
      </c>
      <c r="BL10" s="3">
        <f>IF($C$5="ON",CL10,MyRating(_S1,$B10,Efficacy!$F$1))</f>
        <v>4</v>
      </c>
      <c r="BM10" s="3">
        <f>IF($C$5="ON",CM10,MyRating(_S2,$B10,Efficacy!$F$1))</f>
        <v>3</v>
      </c>
      <c r="BN10" s="3">
        <f>IF($C$5="ON",CN10,MyRating(_S3,$B10,Efficacy!$F$1))</f>
        <v>3</v>
      </c>
      <c r="BO10" s="3">
        <f>IF($C$5="ON",CO10,MyRating(_S4,$B10,Efficacy!$F$1))</f>
        <v>4</v>
      </c>
      <c r="BP10" s="3">
        <f>IF($C$5="ON",CP10,MyRating(_S5,$B10,Efficacy!$F$1))</f>
        <v>5</v>
      </c>
      <c r="BQ10" s="3">
        <f>IF($C$5="ON",CQ10,MyRating(_S6,$B10,Efficacy!$F$1))</f>
        <v>2</v>
      </c>
      <c r="BR10" s="3">
        <f>IF($C$5="ON",CR10,MyRating(_S7,$B10,Efficacy!$F$1))</f>
        <v>3</v>
      </c>
      <c r="BS10" s="3">
        <f>IF($C$5="ON",CS10,MyRating(_D1,$B10,Efficacy!$F$1))</f>
        <v>2</v>
      </c>
      <c r="BT10" s="3">
        <f>IF($C$5="ON",CT10,MyRating(_D2,$B10,Efficacy!$F$1))</f>
        <v>3</v>
      </c>
      <c r="BU10" s="3">
        <f>IF($C$5="ON",CU10,MyRating(_D3,$B10,Efficacy!$F$1))</f>
        <v>3</v>
      </c>
      <c r="BV10" s="3">
        <f>IF($C$5="ON",CV10,MyRating(_D4,$B10,Efficacy!$F$1))</f>
        <v>3</v>
      </c>
      <c r="BW10" s="3">
        <f>IF($C$5="ON",CW10,MyRating(_B1G5,$B10,Barrier!$L$2))</f>
        <v>3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9">IF(C10="",CC10/$CC$7,0)</f>
        <v>3.7050546148312331E-2</v>
      </c>
      <c r="CA10" s="8">
        <f t="shared" si="6"/>
        <v>3.0000000000000004</v>
      </c>
      <c r="CB10" s="5">
        <f t="shared" si="7"/>
        <v>3.5294117647058844E-2</v>
      </c>
      <c r="CC10" s="7">
        <f t="shared" si="8"/>
        <v>6.6306101409015867E-3</v>
      </c>
      <c r="CD10" s="4">
        <v>3</v>
      </c>
      <c r="CE10" s="3">
        <v>3</v>
      </c>
      <c r="CF10" s="3">
        <v>3</v>
      </c>
      <c r="CG10" s="3">
        <v>3</v>
      </c>
      <c r="CH10" s="3">
        <v>3</v>
      </c>
      <c r="CI10" s="3">
        <v>1</v>
      </c>
      <c r="CJ10" s="3">
        <v>3</v>
      </c>
      <c r="CK10" s="3">
        <v>3</v>
      </c>
      <c r="CL10" s="3">
        <v>4</v>
      </c>
      <c r="CM10" s="3">
        <v>5</v>
      </c>
      <c r="CN10" s="3">
        <v>4</v>
      </c>
      <c r="CO10" s="3">
        <v>4</v>
      </c>
      <c r="CP10" s="3">
        <v>5</v>
      </c>
      <c r="CQ10" s="3">
        <v>2</v>
      </c>
      <c r="CR10" s="3">
        <v>3</v>
      </c>
      <c r="CS10" s="3">
        <v>2</v>
      </c>
      <c r="CT10" s="3">
        <v>2</v>
      </c>
      <c r="CU10" s="3">
        <v>3</v>
      </c>
      <c r="CV10" s="3">
        <v>3</v>
      </c>
      <c r="CW10" s="3">
        <v>3</v>
      </c>
      <c r="CX10" s="3">
        <v>3</v>
      </c>
      <c r="CY10" s="6">
        <v>3</v>
      </c>
      <c r="CZ10" s="5">
        <v>3.7014903427878103E-2</v>
      </c>
    </row>
    <row r="11" spans="1:104" x14ac:dyDescent="0.25">
      <c r="A11" s="9" t="str">
        <f t="shared" si="0"/>
        <v>ES</v>
      </c>
      <c r="B11" s="9" t="s">
        <v>189</v>
      </c>
      <c r="C11" s="20"/>
      <c r="D11" s="9" t="s">
        <v>88</v>
      </c>
      <c r="E11" s="9" t="s">
        <v>186</v>
      </c>
      <c r="F11" s="9" t="str">
        <f>INDEX('Unique Asset List'!$C$4:$C$60,MATCH(B11,_CompoundList,0))</f>
        <v>Launched</v>
      </c>
      <c r="G11" s="57">
        <v>0.46153846153846151</v>
      </c>
      <c r="H11" s="9">
        <v>2014</v>
      </c>
      <c r="I11" s="9">
        <v>6</v>
      </c>
      <c r="J11" s="18">
        <f>INDEX(PTRS!$D$6:$D$12,MATCH('5'!$F11,PTRS!$B$6:$B$12,0))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1"/>
        <v>1</v>
      </c>
      <c r="V11" s="17">
        <v>1</v>
      </c>
      <c r="W11" s="9" t="s">
        <v>54</v>
      </c>
      <c r="X11" s="9">
        <f>INDEX('Unique Asset List'!$Y$4:$AE$60,MATCH('5'!$B11,'Unique Asset List'!$A$4:$A$60,0),MATCH('5'!$C$1,'Unique Asset List'!$Y$3:$AE$3,0))</f>
        <v>2010</v>
      </c>
      <c r="Y11" s="9">
        <f>INDEX('Unique Asset List'!$AF$4:$AL$60,MATCH('5'!$B11,'Unique Asset List'!$A$4:$A$60,0),MATCH('5'!$C$1,'Unique Asset List'!$AF$3:$AL$3,0))</f>
        <v>9</v>
      </c>
      <c r="Z11" s="9">
        <f>INDEX('Unique Asset List'!$AT$4:$AZ$60,MATCH('5'!$B11,'Unique Asset List'!$A$4:$A$60,0),MATCH('5'!$C$1,'Unique Asset List'!$AT$3:$AZ$3,0))</f>
        <v>2017</v>
      </c>
      <c r="AA11" s="9">
        <f>INDEX('Unique Asset List'!$BA$4:$BG$60,MATCH('5'!$B11,'Unique Asset List'!$A$4:$A$60,0),MATCH('5'!$C$1,'Unique Asset List'!$BA$3:$BG$3,0))</f>
        <v>3</v>
      </c>
      <c r="AB11" s="16">
        <f t="shared" si="2"/>
        <v>1.6860000000000002</v>
      </c>
      <c r="AC11" s="16">
        <f t="shared" si="3"/>
        <v>0.7069164</v>
      </c>
      <c r="AD11" s="16">
        <f t="shared" si="4"/>
        <v>0.56099999999999994</v>
      </c>
      <c r="AE11" s="15">
        <f>INDEX('Unique Asset List'!$CJ$4:$CP$60,MATCH('5'!$B11,'Unique Asset List'!$A$4:$A$60,0),MATCH('5'!$C$1,'Unique Asset List'!$CJ$3:$CP$3,0))</f>
        <v>0.08</v>
      </c>
      <c r="AF11" s="15">
        <f>INDEX('Unique Asset List'!$CQ$4:$CW$60,MATCH('5'!$B11,'Unique Asset List'!$A$4:$A$60,0),MATCH('5'!$C$1,'Unique Asset List'!$CQ$3:$CW$3,0))</f>
        <v>0.42</v>
      </c>
      <c r="AG11" s="15">
        <f>INDEX('Unique Asset List'!$BV$4:$CB$60,MATCH('5'!$B11,'Unique Asset List'!$A$4:$A$60,0),MATCH('5'!$C$1,'Unique Asset List'!$BV$3:$CB$3,0))</f>
        <v>0.08</v>
      </c>
      <c r="AH11" s="15">
        <f>INDEX('Unique Asset List'!$CC$4:$CI$60,MATCH('5'!$B11,'Unique Asset List'!$A$4:$A$60,0),MATCH('5'!$C$1,'Unique Asset List'!$CC$3:$CI$3,0))</f>
        <v>0.42</v>
      </c>
      <c r="AI11" s="11">
        <v>0.96187963349867744</v>
      </c>
      <c r="AJ11" s="15">
        <f>INDEX('Unique Asset List'!$BH$4:$BN$60,MATCH('5'!$B11,'Unique Asset List'!$A$4:$A$60,0),MATCH('5'!$C$1,'Unique Asset List'!$BH$3:$BN$3,0))</f>
        <v>1.2944496352201866</v>
      </c>
      <c r="AK11" s="15">
        <f>INDEX('Unique Asset List'!$BO$4:$BU$60,MATCH('5'!$B11,'Unique Asset List'!$A$4:$A$60,0),MATCH('5'!$C$1,'Unique Asset List'!$BO$3:$BU$3,0))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1</v>
      </c>
      <c r="AQ11" s="12">
        <v>0</v>
      </c>
      <c r="AR11" s="11">
        <f t="shared" si="5"/>
        <v>1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3</v>
      </c>
      <c r="BE11" s="3">
        <f>IF($C$5="ON",CE11,MyRating(_E2,$B11,Efficacy!$F$1))</f>
        <v>3</v>
      </c>
      <c r="BF11" s="3">
        <f>IF($C$5="ON",CF11,MyRating(_E3,$B11,Efficacy!$F$1))</f>
        <v>3</v>
      </c>
      <c r="BG11" s="3">
        <f>IF($C$5="ON",CG11,MyRating(_E4,$B11,Efficacy!$F$1))</f>
        <v>3</v>
      </c>
      <c r="BH11" s="3">
        <f>IF($C$5="ON",CH11,MyRating(_E5,$B11,Efficacy!$F$1))</f>
        <v>3</v>
      </c>
      <c r="BI11" s="3">
        <f>IF($C$5="ON",CI11,MyRating(_E6,$B11,Efficacy!$F$1))</f>
        <v>3</v>
      </c>
      <c r="BJ11" s="3">
        <f>IF($C$5="ON",CJ11,MyRating(_E7,$B11,Efficacy!$F$1))</f>
        <v>3</v>
      </c>
      <c r="BK11" s="3">
        <f>IF($C$5="ON",CK11,MyRating(_E8,$B11,Efficacy!$F$1))</f>
        <v>3</v>
      </c>
      <c r="BL11" s="3">
        <f>IF($C$5="ON",CL11,MyRating(_S1,$B11,Efficacy!$F$1))</f>
        <v>3</v>
      </c>
      <c r="BM11" s="3">
        <f>IF($C$5="ON",CM11,MyRating(_S2,$B11,Efficacy!$F$1))</f>
        <v>3</v>
      </c>
      <c r="BN11" s="3">
        <f>IF($C$5="ON",CN11,MyRating(_S3,$B11,Efficacy!$F$1))</f>
        <v>3</v>
      </c>
      <c r="BO11" s="3">
        <f>IF($C$5="ON",CO11,MyRating(_S4,$B11,Efficacy!$F$1))</f>
        <v>3</v>
      </c>
      <c r="BP11" s="3">
        <f>IF($C$5="ON",CP11,MyRating(_S5,$B11,Efficacy!$F$1))</f>
        <v>2</v>
      </c>
      <c r="BQ11" s="3">
        <f>IF($C$5="ON",CQ11,MyRating(_S6,$B11,Efficacy!$F$1))</f>
        <v>3</v>
      </c>
      <c r="BR11" s="3">
        <f>IF($C$5="ON",CR11,MyRating(_S7,$B11,Efficacy!$F$1))</f>
        <v>3</v>
      </c>
      <c r="BS11" s="3">
        <f>IF($C$5="ON",CS11,MyRating(_D1,$B11,Efficacy!$F$1))</f>
        <v>3</v>
      </c>
      <c r="BT11" s="3">
        <f>IF($C$5="ON",CT11,MyRating(_D2,$B11,Efficacy!$F$1))</f>
        <v>3</v>
      </c>
      <c r="BU11" s="3">
        <f>IF($C$5="ON",CU11,MyRating(_D3,$B11,Efficacy!$F$1))</f>
        <v>3</v>
      </c>
      <c r="BV11" s="3">
        <f>IF($C$5="ON",CV11,MyRating(_D4,$B11,Efficacy!$F$1))</f>
        <v>3</v>
      </c>
      <c r="BW11" s="3">
        <f>IF($C$5="ON",CW11,MyRating(_B1G5,$B11,Barrier!$L$2))</f>
        <v>3</v>
      </c>
      <c r="BX11" s="3">
        <f>IF($C$5="ON",CX11,MyRating(_B2,$B11,Barrier!$F$2))</f>
        <v>3</v>
      </c>
      <c r="BY11" s="6">
        <f>IF($C$5="ON",CY11,MyRating(_B3,$B11,Barrier!$F$2))</f>
        <v>3</v>
      </c>
      <c r="BZ11" s="5">
        <f t="shared" si="9"/>
        <v>3.7050546148312331E-2</v>
      </c>
      <c r="CA11" s="8">
        <f t="shared" si="6"/>
        <v>3.0000000000000004</v>
      </c>
      <c r="CB11" s="5">
        <f t="shared" si="7"/>
        <v>3.5294117647058844E-2</v>
      </c>
      <c r="CC11" s="7">
        <f t="shared" si="8"/>
        <v>6.6306101409015867E-3</v>
      </c>
      <c r="CD11" s="4">
        <v>3</v>
      </c>
      <c r="CE11" s="3">
        <v>2</v>
      </c>
      <c r="CF11" s="3">
        <v>3</v>
      </c>
      <c r="CG11" s="3">
        <v>3</v>
      </c>
      <c r="CH11" s="3">
        <v>2</v>
      </c>
      <c r="CI11" s="3">
        <v>5</v>
      </c>
      <c r="CJ11" s="3">
        <v>3</v>
      </c>
      <c r="CK11" s="3">
        <v>3</v>
      </c>
      <c r="CL11" s="3">
        <v>3</v>
      </c>
      <c r="CM11" s="3">
        <v>1</v>
      </c>
      <c r="CN11" s="3">
        <v>3</v>
      </c>
      <c r="CO11" s="3">
        <v>3</v>
      </c>
      <c r="CP11" s="3">
        <v>2</v>
      </c>
      <c r="CQ11" s="3">
        <v>3</v>
      </c>
      <c r="CR11" s="3">
        <v>3</v>
      </c>
      <c r="CS11" s="3">
        <v>3</v>
      </c>
      <c r="CT11" s="3">
        <v>2</v>
      </c>
      <c r="CU11" s="3">
        <v>3</v>
      </c>
      <c r="CV11" s="3">
        <v>3</v>
      </c>
      <c r="CW11" s="3">
        <v>3</v>
      </c>
      <c r="CX11" s="3">
        <v>3</v>
      </c>
      <c r="CY11" s="6">
        <v>3</v>
      </c>
      <c r="CZ11" s="5">
        <v>3.7014903427878103E-2</v>
      </c>
    </row>
    <row r="12" spans="1:104" x14ac:dyDescent="0.25">
      <c r="A12" s="9" t="str">
        <f t="shared" si="0"/>
        <v>ES</v>
      </c>
      <c r="B12" s="9" t="s">
        <v>86</v>
      </c>
      <c r="C12" s="20" t="s">
        <v>3</v>
      </c>
      <c r="D12" s="9" t="s">
        <v>85</v>
      </c>
      <c r="E12" s="9" t="s">
        <v>186</v>
      </c>
      <c r="F12" s="9" t="str">
        <f>INDEX('Unique Asset List'!$C$4:$C$60,MATCH(B12,_CompoundList,0))</f>
        <v>REG</v>
      </c>
      <c r="G12" s="19">
        <v>0</v>
      </c>
      <c r="H12" s="9">
        <v>2014</v>
      </c>
      <c r="I12" s="9">
        <v>6</v>
      </c>
      <c r="J12" s="18">
        <f>INDEX(PTRS!$D$6:$D$12,MATCH('5'!$F12,PTRS!$B$6:$B$12,0))</f>
        <v>0.9</v>
      </c>
      <c r="K12" s="17">
        <f>INDEX('Unique Asset List'!$D$4:$M$60,MATCH($B12,'Unique Asset List'!$A$4:$A$60,0),MATCH(K$8,'Unique Asset List'!$D$3:$M$3,0))</f>
        <v>0</v>
      </c>
      <c r="L12" s="17">
        <f>INDEX('Unique Asset List'!$D$4:$M$60,MATCH($B12,'Unique Asset List'!$A$4:$A$60,0),MATCH(L$8,'Unique Asset List'!$D$3:$M$3,0))</f>
        <v>0</v>
      </c>
      <c r="M12" s="17">
        <v>0.5</v>
      </c>
      <c r="N12" s="17">
        <f>INDEX('Unique Asset List'!$D$4:$M$60,MATCH($B12,'Unique Asset List'!$A$4:$A$60,0),MATCH(N$8,'Unique Asset List'!$D$3:$M$3,0))</f>
        <v>0.2</v>
      </c>
      <c r="O12" s="17">
        <f>INDEX('Unique Asset List'!$D$4:$M$60,MATCH($B12,'Unique Asset List'!$A$4:$A$60,0),MATCH(O$8,'Unique Asset List'!$D$3:$M$3,0))</f>
        <v>0.2</v>
      </c>
      <c r="P12" s="17">
        <f>INDEX('Unique Asset List'!$D$4:$M$60,MATCH($B12,'Unique Asset List'!$A$4:$A$60,0),MATCH(P$8,'Unique Asset List'!$D$3:$M$3,0))</f>
        <v>0.2</v>
      </c>
      <c r="Q12" s="17">
        <f>INDEX('Unique Asset List'!$D$4:$M$60,MATCH($B12,'Unique Asset List'!$A$4:$A$60,0),MATCH(Q$8,'Unique Asset List'!$D$3:$M$3,0))</f>
        <v>0.2</v>
      </c>
      <c r="R12" s="17">
        <f>INDEX('Unique Asset List'!$D$4:$M$60,MATCH($B12,'Unique Asset List'!$A$4:$A$60,0),MATCH(R$8,'Unique Asset List'!$D$3:$M$3,0))</f>
        <v>0.2</v>
      </c>
      <c r="S12" s="17">
        <f>INDEX('Unique Asset List'!$D$4:$M$60,MATCH($B12,'Unique Asset List'!$A$4:$A$60,0),MATCH(S$8,'Unique Asset List'!$D$3:$M$3,0))</f>
        <v>0</v>
      </c>
      <c r="T12" s="17"/>
      <c r="U12" s="17">
        <f t="shared" si="1"/>
        <v>0</v>
      </c>
      <c r="V12" s="17">
        <v>1</v>
      </c>
      <c r="W12" s="9" t="s">
        <v>16</v>
      </c>
      <c r="X12" s="9">
        <f>INDEX('Unique Asset List'!$Y$4:$AE$60,MATCH('5'!$B12,'Unique Asset List'!$A$4:$A$60,0),MATCH('5'!$C$1,'Unique Asset List'!$Y$3:$AE$3,0))</f>
        <v>2024</v>
      </c>
      <c r="Y12" s="9">
        <f>INDEX('Unique Asset List'!$AF$4:$AL$60,MATCH('5'!$B12,'Unique Asset List'!$A$4:$A$60,0),MATCH('5'!$C$1,'Unique Asset List'!$AF$3:$AL$3,0))</f>
        <v>7.999999999998181</v>
      </c>
      <c r="Z12" s="9">
        <f>INDEX('Unique Asset List'!$AT$4:$AZ$60,MATCH('5'!$B12,'Unique Asset List'!$A$4:$A$60,0),MATCH('5'!$C$1,'Unique Asset List'!$AT$3:$AZ$3,0))</f>
        <v>2029</v>
      </c>
      <c r="AA12" s="9">
        <f>INDEX('Unique Asset List'!$BA$4:$BG$60,MATCH('5'!$B12,'Unique Asset List'!$A$4:$A$60,0),MATCH('5'!$C$1,'Unique Asset List'!$BA$3:$BG$3,0))</f>
        <v>7</v>
      </c>
      <c r="AB12" s="16">
        <f t="shared" si="2"/>
        <v>2.1202012000000003</v>
      </c>
      <c r="AC12" s="16">
        <f t="shared" si="3"/>
        <v>0.91994010000000004</v>
      </c>
      <c r="AD12" s="16">
        <f t="shared" si="4"/>
        <v>0.31905939999999999</v>
      </c>
      <c r="AE12" s="15">
        <f>INDEX('Unique Asset List'!$CJ$4:$CP$60,MATCH('5'!$B12,'Unique Asset List'!$A$4:$A$60,0),MATCH('5'!$C$1,'Unique Asset List'!$CJ$3:$CP$3,0))</f>
        <v>0.08</v>
      </c>
      <c r="AF12" s="15">
        <f>INDEX('Unique Asset List'!$CQ$4:$CW$60,MATCH('5'!$B12,'Unique Asset List'!$A$4:$A$60,0),MATCH('5'!$C$1,'Unique Asset List'!$CQ$3:$CW$3,0))</f>
        <v>0.42</v>
      </c>
      <c r="AG12" s="15">
        <f>INDEX('Unique Asset List'!$BV$4:$CB$60,MATCH('5'!$B12,'Unique Asset List'!$A$4:$A$60,0),MATCH('5'!$C$1,'Unique Asset List'!$BV$3:$CB$3,0))</f>
        <v>0.08</v>
      </c>
      <c r="AH12" s="15">
        <f>INDEX('Unique Asset List'!$CC$4:$CI$60,MATCH('5'!$B12,'Unique Asset List'!$A$4:$A$60,0),MATCH('5'!$C$1,'Unique Asset List'!$CC$3:$CI$3,0))</f>
        <v>0.42</v>
      </c>
      <c r="AI12" s="11">
        <v>0.96187963349867744</v>
      </c>
      <c r="AJ12" s="15">
        <f>INDEX('Unique Asset List'!$BH$4:$BN$60,MATCH('5'!$B12,'Unique Asset List'!$A$4:$A$60,0),MATCH('5'!$C$1,'Unique Asset List'!$BH$3:$BN$3,0))</f>
        <v>1.2944496352201866</v>
      </c>
      <c r="AK12" s="15">
        <f>INDEX('Unique Asset List'!$BO$4:$BU$60,MATCH('5'!$B12,'Unique Asset List'!$A$4:$A$60,0),MATCH('5'!$C$1,'Unique Asset List'!$BO$3:$BU$3,0))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81">
        <f>INDEX('Unique Asset List'!N$4:N$60,MATCH($B12,_CompoundList,0))</f>
        <v>0</v>
      </c>
      <c r="AU12" s="181">
        <f>INDEX('Unique Asset List'!O$4:O$60,MATCH($B12,_CompoundList,0))</f>
        <v>0</v>
      </c>
      <c r="AV12" s="181">
        <f>INDEX('Unique Asset List'!P$4:P$60,MATCH($B12,_CompoundList,0))</f>
        <v>0</v>
      </c>
      <c r="AW12" s="181">
        <f>INDEX('Unique Asset List'!Q$4:Q$60,MATCH($B12,_CompoundList,0))</f>
        <v>0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0</v>
      </c>
      <c r="BB12" s="181">
        <f ca="1">INDEX('Unique Asset List'!V$4:V$60,MATCH($B12,_CompoundList,0))</f>
        <v>0</v>
      </c>
      <c r="BC12" s="181">
        <f ca="1">INDEX('Unique Asset List'!W$4:W$60,MATCH($B12,_CompoundList,0))</f>
        <v>0</v>
      </c>
      <c r="BD12" s="4">
        <f>IF($C$5="ON",CD12,MyRating(_E1,$B12,Efficacy!$F$1))</f>
        <v>3</v>
      </c>
      <c r="BE12" s="3">
        <f>IF($C$5="ON",CE12,MyRating(_E2,$B12,Efficacy!$F$1))</f>
        <v>5</v>
      </c>
      <c r="BF12" s="3">
        <f>IF($C$5="ON",CF12,MyRating(_E3,$B12,Efficacy!$F$1))</f>
        <v>5</v>
      </c>
      <c r="BG12" s="3">
        <f>IF($C$5="ON",CG12,MyRating(_E4,$B12,Efficacy!$F$1))</f>
        <v>4</v>
      </c>
      <c r="BH12" s="3">
        <f>IF($C$5="ON",CH12,MyRating(_E5,$B12,Efficacy!$F$1))</f>
        <v>3</v>
      </c>
      <c r="BI12" s="3">
        <f>IF($C$5="ON",CI12,MyRating(_E6,$B12,Efficacy!$F$1))</f>
        <v>3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IF($C$5="ON",CL12,MyRating(_S1,$B12,Efficacy!$F$1))</f>
        <v>4</v>
      </c>
      <c r="BM12" s="3">
        <f>IF($C$5="ON",CM12,MyRating(_S2,$B12,Efficacy!$F$1))</f>
        <v>3</v>
      </c>
      <c r="BN12" s="3">
        <f>IF($C$5="ON",CN12,MyRating(_S3,$B12,Efficacy!$F$1))</f>
        <v>3</v>
      </c>
      <c r="BO12" s="3">
        <f>IF($C$5="ON",CO12,MyRating(_S4,$B12,Efficacy!$F$1))</f>
        <v>4</v>
      </c>
      <c r="BP12" s="3">
        <f>IF($C$5="ON",CP12,MyRating(_S5,$B12,Efficacy!$F$1))</f>
        <v>5</v>
      </c>
      <c r="BQ12" s="3">
        <f>IF($C$5="ON",CQ12,MyRating(_S6,$B12,Efficacy!$F$1))</f>
        <v>2</v>
      </c>
      <c r="BR12" s="3">
        <f>IF($C$5="ON",CR12,MyRating(_S7,$B12,Efficacy!$F$1))</f>
        <v>3</v>
      </c>
      <c r="BS12" s="3">
        <f>IF($C$5="ON",CS12,MyRating(_D1,$B12,Efficacy!$F$1))</f>
        <v>2</v>
      </c>
      <c r="BT12" s="3">
        <f>IF($C$5="ON",CT12,MyRating(_D2,$B12,Efficacy!$F$1))</f>
        <v>2</v>
      </c>
      <c r="BU12" s="3">
        <f>IF($C$5="ON",CU12,MyRating(_D3,$B12,Efficacy!$F$1))</f>
        <v>2</v>
      </c>
      <c r="BV12" s="3">
        <f>IF($C$5="ON",CV12,MyRating(_D4,$B12,Efficacy!$F$1))</f>
        <v>1</v>
      </c>
      <c r="BW12" s="3">
        <f>IF($C$5="ON",CW12,MyRating(_B1G5,$B12,Barrier!$L$2))</f>
        <v>2</v>
      </c>
      <c r="BX12" s="3">
        <f>IF($C$5="ON",CX12,MyRating(_B2,$B12,Barrier!$F$2))</f>
        <v>1</v>
      </c>
      <c r="BY12" s="6">
        <f>IF($C$5="ON",CY12,MyRating(_B3,$B12,Barrier!$F$2))</f>
        <v>1</v>
      </c>
      <c r="BZ12" s="5">
        <f t="shared" si="9"/>
        <v>0</v>
      </c>
      <c r="CA12" s="8">
        <f t="shared" si="6"/>
        <v>1.2000000000000002</v>
      </c>
      <c r="CB12" s="5">
        <f t="shared" si="7"/>
        <v>1.4117647058823539E-2</v>
      </c>
      <c r="CC12" s="7">
        <f t="shared" si="8"/>
        <v>1.6774264257487204E-3</v>
      </c>
      <c r="CD12" s="4">
        <v>3</v>
      </c>
      <c r="CE12" s="3">
        <v>5</v>
      </c>
      <c r="CF12" s="3">
        <v>5</v>
      </c>
      <c r="CG12" s="3">
        <v>4</v>
      </c>
      <c r="CH12" s="3">
        <v>3</v>
      </c>
      <c r="CI12" s="3">
        <v>3</v>
      </c>
      <c r="CJ12" s="3">
        <v>3</v>
      </c>
      <c r="CK12" s="3">
        <v>3</v>
      </c>
      <c r="CL12" s="3">
        <v>5</v>
      </c>
      <c r="CM12" s="3">
        <v>3</v>
      </c>
      <c r="CN12" s="3">
        <v>3</v>
      </c>
      <c r="CO12" s="3">
        <v>4</v>
      </c>
      <c r="CP12" s="3">
        <v>5</v>
      </c>
      <c r="CQ12" s="3">
        <v>2</v>
      </c>
      <c r="CR12" s="3">
        <v>3</v>
      </c>
      <c r="CS12" s="3">
        <v>2</v>
      </c>
      <c r="CT12" s="3">
        <v>2</v>
      </c>
      <c r="CU12" s="3">
        <v>2</v>
      </c>
      <c r="CV12" s="3">
        <v>1</v>
      </c>
      <c r="CW12" s="3">
        <v>2</v>
      </c>
      <c r="CX12" s="3">
        <v>1</v>
      </c>
      <c r="CY12" s="6">
        <v>1</v>
      </c>
      <c r="CZ12" s="5">
        <v>1.0501667745898752E-2</v>
      </c>
    </row>
    <row r="13" spans="1:104" x14ac:dyDescent="0.25">
      <c r="A13" s="9" t="str">
        <f t="shared" si="0"/>
        <v>ES</v>
      </c>
      <c r="B13" s="9" t="s">
        <v>280</v>
      </c>
      <c r="C13" s="20"/>
      <c r="D13" s="9" t="s">
        <v>2</v>
      </c>
      <c r="E13" s="9" t="s">
        <v>186</v>
      </c>
      <c r="F13" s="9" t="str">
        <f>INDEX('Unique Asset List'!$C$4:$C$60,MATCH(B13,_CompoundList,0))</f>
        <v>REG</v>
      </c>
      <c r="G13" s="19">
        <v>0</v>
      </c>
      <c r="H13" s="9">
        <v>2014</v>
      </c>
      <c r="I13" s="9">
        <v>6</v>
      </c>
      <c r="J13" s="18">
        <f>INDEX(PTRS!$D$6:$D$12,MATCH('5'!$F13,PTRS!$B$6:$B$12,0))</f>
        <v>0.9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v>0.58500000000000008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1"/>
        <v>0.19245008972987526</v>
      </c>
      <c r="V13" s="17">
        <v>0.42</v>
      </c>
      <c r="W13" s="9" t="s">
        <v>62</v>
      </c>
      <c r="X13" s="9">
        <f>INDEX('Unique Asset List'!$Y$4:$AE$60,MATCH('5'!$B13,'Unique Asset List'!$A$4:$A$60,0),MATCH('5'!$C$1,'Unique Asset List'!$Y$3:$AE$3,0))</f>
        <v>2021</v>
      </c>
      <c r="Y13" s="9">
        <f>INDEX('Unique Asset List'!$AF$4:$AL$60,MATCH('5'!$B13,'Unique Asset List'!$A$4:$A$60,0),MATCH('5'!$C$1,'Unique Asset List'!$AF$3:$AL$3,0))</f>
        <v>1</v>
      </c>
      <c r="Z13" s="9">
        <f>INDEX('Unique Asset List'!$AT$4:$AZ$60,MATCH('5'!$B13,'Unique Asset List'!$A$4:$A$60,0),MATCH('5'!$C$1,'Unique Asset List'!$AT$3:$AZ$3,0))</f>
        <v>2031</v>
      </c>
      <c r="AA13" s="9">
        <f>INDEX('Unique Asset List'!$BA$4:$BG$60,MATCH('5'!$B13,'Unique Asset List'!$A$4:$A$60,0),MATCH('5'!$C$1,'Unique Asset List'!$BA$3:$BG$3,0))</f>
        <v>1</v>
      </c>
      <c r="AB13" s="16">
        <f t="shared" si="2"/>
        <v>2.4575697999999999</v>
      </c>
      <c r="AC13" s="16">
        <f t="shared" si="3"/>
        <v>0.91994010000000004</v>
      </c>
      <c r="AD13" s="16">
        <f t="shared" si="4"/>
        <v>0.35908660413999993</v>
      </c>
      <c r="AE13" s="15">
        <f>INDEX('Unique Asset List'!$CJ$4:$CP$60,MATCH('5'!$B13,'Unique Asset List'!$A$4:$A$60,0),MATCH('5'!$C$1,'Unique Asset List'!$CJ$3:$CP$3,0))</f>
        <v>0.14000000000000001</v>
      </c>
      <c r="AF13" s="15">
        <f>INDEX('Unique Asset List'!$CQ$4:$CW$60,MATCH('5'!$B13,'Unique Asset List'!$A$4:$A$60,0),MATCH('5'!$C$1,'Unique Asset List'!$CQ$3:$CW$3,0))</f>
        <v>0.36</v>
      </c>
      <c r="AG13" s="15">
        <f>INDEX('Unique Asset List'!$BV$4:$CB$60,MATCH('5'!$B13,'Unique Asset List'!$A$4:$A$60,0),MATCH('5'!$C$1,'Unique Asset List'!$BV$3:$CB$3,0))</f>
        <v>0.14000000000000001</v>
      </c>
      <c r="AH13" s="15">
        <f>INDEX('Unique Asset List'!$CC$4:$CI$60,MATCH('5'!$B13,'Unique Asset List'!$A$4:$A$60,0),MATCH('5'!$C$1,'Unique Asset List'!$CC$3:$CI$3,0))</f>
        <v>0.36</v>
      </c>
      <c r="AI13" s="11">
        <v>0.96187963349867744</v>
      </c>
      <c r="AJ13" s="15">
        <f>INDEX('Unique Asset List'!$BH$4:$BN$60,MATCH('5'!$B13,'Unique Asset List'!$A$4:$A$60,0),MATCH('5'!$C$1,'Unique Asset List'!$BH$3:$BN$3,0))</f>
        <v>1.2944496352201866</v>
      </c>
      <c r="AK13" s="15">
        <f>INDEX('Unique Asset List'!$BO$4:$BU$60,MATCH('5'!$B13,'Unique Asset List'!$A$4:$A$60,0),MATCH('5'!$C$1,'Unique Asset List'!$BO$3:$BU$3,0))</f>
        <v>-1.4425350046709582</v>
      </c>
      <c r="AL13" s="9">
        <v>184.20560747663552</v>
      </c>
      <c r="AM13" s="14">
        <v>36.116164383561646</v>
      </c>
      <c r="AN13" s="12">
        <v>0</v>
      </c>
      <c r="AO13" s="13">
        <v>0.1</v>
      </c>
      <c r="AP13" s="11">
        <v>1</v>
      </c>
      <c r="AQ13" s="12">
        <v>0</v>
      </c>
      <c r="AR13" s="11">
        <f t="shared" si="5"/>
        <v>1</v>
      </c>
      <c r="AS13" s="10">
        <v>0.32340383561643832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5</v>
      </c>
      <c r="BE13" s="3">
        <f>IF($C$5="ON",CE13,MyRating(_E2,$B13,Efficacy!$F$1))</f>
        <v>5</v>
      </c>
      <c r="BF13" s="3">
        <f>IF($C$5="ON",CF13,MyRating(_E3,$B13,Efficacy!$F$1))</f>
        <v>5</v>
      </c>
      <c r="BG13" s="3">
        <f>IF($C$5="ON",CG13,MyRating(_E4,$B13,Efficacy!$F$1))</f>
        <v>5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2</v>
      </c>
      <c r="BK13" s="3">
        <f>IF($C$5="ON",CK13,MyRating(_E8,$B13,Efficacy!$F$1))</f>
        <v>5</v>
      </c>
      <c r="BL13" s="3">
        <f>IF($C$5="ON",CL13,MyRating(_S1,$B13,Efficacy!$F$1))</f>
        <v>4</v>
      </c>
      <c r="BM13" s="3">
        <f>IF($C$5="ON",CM13,MyRating(_S2,$B13,Efficacy!$F$1))</f>
        <v>3</v>
      </c>
      <c r="BN13" s="3">
        <f>IF($C$5="ON",CN13,MyRating(_S3,$B13,Efficacy!$F$1))</f>
        <v>3</v>
      </c>
      <c r="BO13" s="3">
        <f>IF($C$5="ON",CO13,MyRating(_S4,$B13,Efficacy!$F$1))</f>
        <v>4</v>
      </c>
      <c r="BP13" s="3">
        <f>IF($C$5="ON",CP13,MyRating(_S5,$B13,Efficacy!$F$1))</f>
        <v>5</v>
      </c>
      <c r="BQ13" s="3">
        <f>IF($C$5="ON",CQ13,MyRating(_S6,$B13,Efficacy!$F$1))</f>
        <v>2</v>
      </c>
      <c r="BR13" s="3">
        <f>IF($C$5="ON",CR13,MyRating(_S7,$B13,Efficacy!$F$1))</f>
        <v>3</v>
      </c>
      <c r="BS13" s="3">
        <f>IF($C$5="ON",CS13,MyRating(_D1,$B13,Efficacy!$F$1))</f>
        <v>2</v>
      </c>
      <c r="BT13" s="3">
        <f>IF($C$5="ON",CT13,MyRating(_D2,$B13,Efficacy!$F$1))</f>
        <v>3</v>
      </c>
      <c r="BU13" s="3">
        <f>IF($C$5="ON",CU13,MyRating(_D3,$B13,Efficacy!$F$1))</f>
        <v>2</v>
      </c>
      <c r="BV13" s="3">
        <f>IF($C$5="ON",CV13,MyRating(_D4,$B13,Efficacy!$F$1))</f>
        <v>1</v>
      </c>
      <c r="BW13" s="3">
        <f>IF($C$5="ON",CW13,MyRating(_B1G5,$B13,Barrier!$L$2))</f>
        <v>1</v>
      </c>
      <c r="BX13" s="3">
        <f>IF($C$5="ON",CX13,MyRating(_B2,$B13,Barrier!$F$2))</f>
        <v>1</v>
      </c>
      <c r="BY13" s="6">
        <f>IF($C$5="ON",CY13,MyRating(_B3,$B13,Barrier!$F$2))</f>
        <v>1</v>
      </c>
      <c r="BZ13" s="5">
        <f t="shared" si="9"/>
        <v>7.1303809307835921E-3</v>
      </c>
      <c r="CA13" s="8">
        <f t="shared" si="6"/>
        <v>1</v>
      </c>
      <c r="CB13" s="5">
        <f t="shared" si="7"/>
        <v>1.1764705882352946E-2</v>
      </c>
      <c r="CC13" s="7">
        <f t="shared" si="8"/>
        <v>1.2760615165803312E-3</v>
      </c>
      <c r="CD13" s="4">
        <v>5</v>
      </c>
      <c r="CE13" s="3">
        <v>5</v>
      </c>
      <c r="CF13" s="3">
        <v>5</v>
      </c>
      <c r="CG13" s="3">
        <v>4</v>
      </c>
      <c r="CH13" s="3">
        <v>3</v>
      </c>
      <c r="CI13" s="3">
        <v>3</v>
      </c>
      <c r="CJ13" s="3">
        <v>3</v>
      </c>
      <c r="CK13" s="3">
        <v>4</v>
      </c>
      <c r="CL13" s="3">
        <v>4</v>
      </c>
      <c r="CM13" s="3">
        <v>3</v>
      </c>
      <c r="CN13" s="3">
        <v>3</v>
      </c>
      <c r="CO13" s="3">
        <v>3</v>
      </c>
      <c r="CP13" s="3">
        <v>5</v>
      </c>
      <c r="CQ13" s="3">
        <v>2</v>
      </c>
      <c r="CR13" s="3">
        <v>3</v>
      </c>
      <c r="CS13" s="3">
        <v>2</v>
      </c>
      <c r="CT13" s="3">
        <v>3</v>
      </c>
      <c r="CU13" s="3">
        <v>3</v>
      </c>
      <c r="CV13" s="3">
        <v>1</v>
      </c>
      <c r="CW13" s="3">
        <v>1</v>
      </c>
      <c r="CX13" s="3">
        <v>1</v>
      </c>
      <c r="CY13" s="6">
        <v>1</v>
      </c>
      <c r="CZ13" s="5">
        <v>9.9044671286996639E-3</v>
      </c>
    </row>
    <row r="14" spans="1:104" x14ac:dyDescent="0.25">
      <c r="A14" s="9" t="str">
        <f t="shared" si="0"/>
        <v>ES</v>
      </c>
      <c r="B14" s="9" t="s">
        <v>92</v>
      </c>
      <c r="C14" s="20" t="s">
        <v>3</v>
      </c>
      <c r="D14" s="9" t="s">
        <v>91</v>
      </c>
      <c r="E14" s="9" t="s">
        <v>90</v>
      </c>
      <c r="F14" s="9" t="str">
        <f>INDEX('Unique Asset List'!$C$4:$C$60,MATCH(B14,_CompoundList,0))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INDEX(PTRS!$D$6:$D$12,MATCH('5'!$F14,PTRS!$B$6:$B$12,0))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1"/>
        <v>0</v>
      </c>
      <c r="V14" s="17">
        <v>1</v>
      </c>
      <c r="W14" s="9" t="s">
        <v>54</v>
      </c>
      <c r="X14" s="9">
        <f>INDEX('Unique Asset List'!$Y$4:$AE$60,MATCH('5'!$B14,'Unique Asset List'!$A$4:$A$60,0),MATCH('5'!$C$1,'Unique Asset List'!$Y$3:$AE$3,0))</f>
        <v>2017</v>
      </c>
      <c r="Y14" s="9">
        <f>INDEX('Unique Asset List'!$AF$4:$AL$60,MATCH('5'!$B14,'Unique Asset List'!$A$4:$A$60,0),MATCH('5'!$C$1,'Unique Asset List'!$AF$3:$AL$3,0))</f>
        <v>7.999999999998181</v>
      </c>
      <c r="Z14" s="9">
        <f>INDEX('Unique Asset List'!$AT$4:$AZ$60,MATCH('5'!$B14,'Unique Asset List'!$A$4:$A$60,0),MATCH('5'!$C$1,'Unique Asset List'!$AT$3:$AZ$3,0))</f>
        <v>2027</v>
      </c>
      <c r="AA14" s="9">
        <f>INDEX('Unique Asset List'!$BA$4:$BG$60,MATCH('5'!$B14,'Unique Asset List'!$A$4:$A$60,0),MATCH('5'!$C$1,'Unique Asset List'!$BA$3:$BG$3,0))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List'!$CJ$4:$CP$60,MATCH('5'!$B14,'Unique Asset List'!$A$4:$A$60,0),MATCH('5'!$C$1,'Unique Asset List'!$CJ$3:$CP$3,0))</f>
        <v>0.08</v>
      </c>
      <c r="AF14" s="15">
        <f>INDEX('Unique Asset List'!$CQ$4:$CW$60,MATCH('5'!$B14,'Unique Asset List'!$A$4:$A$60,0),MATCH('5'!$C$1,'Unique Asset List'!$CQ$3:$CW$3,0))</f>
        <v>0.42</v>
      </c>
      <c r="AG14" s="15">
        <f>INDEX('Unique Asset List'!$BV$4:$CB$60,MATCH('5'!$B14,'Unique Asset List'!$A$4:$A$60,0),MATCH('5'!$C$1,'Unique Asset List'!$BV$3:$CB$3,0))</f>
        <v>0.08</v>
      </c>
      <c r="AH14" s="15">
        <f>INDEX('Unique Asset List'!$CC$4:$CI$60,MATCH('5'!$B14,'Unique Asset List'!$A$4:$A$60,0),MATCH('5'!$C$1,'Unique Asset List'!$CC$3:$CI$3,0))</f>
        <v>0.42</v>
      </c>
      <c r="AI14" s="11">
        <v>0.96187963349867744</v>
      </c>
      <c r="AJ14" s="15">
        <f>INDEX('Unique Asset List'!$BH$4:$BN$60,MATCH('5'!$B14,'Unique Asset List'!$A$4:$A$60,0),MATCH('5'!$C$1,'Unique Asset List'!$BH$3:$BN$3,0))</f>
        <v>1.2944496352201866</v>
      </c>
      <c r="AK14" s="15">
        <f>INDEX('Unique Asset List'!$BO$4:$BU$60,MATCH('5'!$B14,'Unique Asset List'!$A$4:$A$60,0),MATCH('5'!$C$1,'Unique Asset List'!$BO$3:$BU$3,0))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3</v>
      </c>
      <c r="BE14" s="3">
        <f>IF($C$5="ON",CE14,MyRating(_E2,$B14,Efficacy!$F$1))</f>
        <v>3</v>
      </c>
      <c r="BF14" s="3">
        <f>IF($C$5="ON",CF14,MyRating(_E3,$B14,Efficacy!$F$1))</f>
        <v>3</v>
      </c>
      <c r="BG14" s="3">
        <f>IF($C$5="ON",CG14,MyRating(_E4,$B14,Efficacy!$F$1))</f>
        <v>3</v>
      </c>
      <c r="BH14" s="3">
        <f>IF($C$5="ON",CH14,MyRating(_E5,$B14,Efficacy!$F$1))</f>
        <v>3</v>
      </c>
      <c r="BI14" s="3">
        <f>IF($C$5="ON",CI14,MyRating(_E6,$B14,Efficacy!$F$1))</f>
        <v>3</v>
      </c>
      <c r="BJ14" s="3">
        <f>IF($C$5="ON",CJ14,MyRating(_E7,$B14,Efficacy!$F$1))</f>
        <v>3</v>
      </c>
      <c r="BK14" s="3">
        <f>IF($C$5="ON",CK14,MyRating(_E8,$B14,Efficacy!$F$1))</f>
        <v>3</v>
      </c>
      <c r="BL14" s="3">
        <f>IF($C$5="ON",CL14,MyRating(_S1,$B14,Efficacy!$F$1))</f>
        <v>3</v>
      </c>
      <c r="BM14" s="3">
        <f>IF($C$5="ON",CM14,MyRating(_S2,$B14,Efficacy!$F$1))</f>
        <v>3</v>
      </c>
      <c r="BN14" s="3">
        <f>IF($C$5="ON",CN14,MyRating(_S3,$B14,Efficacy!$F$1))</f>
        <v>3</v>
      </c>
      <c r="BO14" s="3">
        <f>IF($C$5="ON",CO14,MyRating(_S4,$B14,Efficacy!$F$1))</f>
        <v>4</v>
      </c>
      <c r="BP14" s="3">
        <f>IF($C$5="ON",CP14,MyRating(_S5,$B14,Efficacy!$F$1))</f>
        <v>3</v>
      </c>
      <c r="BQ14" s="3">
        <f>IF($C$5="ON",CQ14,MyRating(_S6,$B14,Efficacy!$F$1))</f>
        <v>3</v>
      </c>
      <c r="BR14" s="3">
        <f>IF($C$5="ON",CR14,MyRating(_S7,$B14,Efficacy!$F$1))</f>
        <v>3</v>
      </c>
      <c r="BS14" s="3">
        <f>IF($C$5="ON",CS14,MyRating(_D1,$B14,Efficacy!$F$1))</f>
        <v>3</v>
      </c>
      <c r="BT14" s="3">
        <f>IF($C$5="ON",CT14,MyRating(_D2,$B14,Efficacy!$F$1))</f>
        <v>3</v>
      </c>
      <c r="BU14" s="3">
        <f>IF($C$5="ON",CU14,MyRating(_D3,$B14,Efficacy!$F$1))</f>
        <v>3</v>
      </c>
      <c r="BV14" s="3">
        <f>IF($C$5="ON",CV14,MyRating(_D4,$B14,Efficacy!$F$1))</f>
        <v>3</v>
      </c>
      <c r="BW14" s="3">
        <f>IF($C$5="ON",CW14,MyRating(_B1G5,$B14,Barrier!$L$2))</f>
        <v>2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9"/>
        <v>0</v>
      </c>
      <c r="CA14" s="8">
        <f t="shared" si="6"/>
        <v>2.8000000000000003</v>
      </c>
      <c r="CB14" s="5">
        <f t="shared" si="7"/>
        <v>3.2941176470588251E-2</v>
      </c>
      <c r="CC14" s="7">
        <f t="shared" si="8"/>
        <v>5.9787261089987885E-3</v>
      </c>
      <c r="CD14" s="4">
        <v>3</v>
      </c>
      <c r="CE14" s="3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4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3</v>
      </c>
      <c r="CY14" s="6">
        <v>3</v>
      </c>
      <c r="CZ14" s="5">
        <v>3.7014903427878103E-2</v>
      </c>
    </row>
    <row r="15" spans="1:104" x14ac:dyDescent="0.25">
      <c r="A15" s="9" t="str">
        <f t="shared" si="0"/>
        <v>ES</v>
      </c>
      <c r="B15" s="9" t="s">
        <v>82</v>
      </c>
      <c r="C15" s="20"/>
      <c r="D15" s="9" t="s">
        <v>81</v>
      </c>
      <c r="E15" s="9" t="s">
        <v>186</v>
      </c>
      <c r="F15" s="9" t="str">
        <f>INDEX('Unique Asset List'!$C$4:$C$60,MATCH(B15,_CompoundList,0))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INDEX(PTRS!$D$6:$D$12,MATCH('5'!$F15,PTRS!$B$6:$B$12,0))</f>
        <v>0.58500000000000008</v>
      </c>
      <c r="K15" s="17">
        <f>INDEX('Unique Asset List'!$D$4:$M$60,MATCH($B15,'Unique Asset List'!$A$4:$A$60,0),MATCH(K$8,'Unique Asset List'!$D$3:$M$3,0))</f>
        <v>0</v>
      </c>
      <c r="L15" s="17">
        <f>INDEX('Unique Asset List'!$D$4:$M$60,MATCH($B15,'Unique Asset List'!$A$4:$A$60,0),MATCH(L$8,'Unique Asset List'!$D$3:$M$3,0))</f>
        <v>0</v>
      </c>
      <c r="M15" s="17">
        <v>0.19500000000000003</v>
      </c>
      <c r="N15" s="17">
        <f>INDEX('Unique Asset List'!$D$4:$M$60,MATCH($B15,'Unique Asset List'!$A$4:$A$60,0),MATCH(N$8,'Unique Asset List'!$D$3:$M$3,0))</f>
        <v>0.58500000000000008</v>
      </c>
      <c r="O15" s="17">
        <f>INDEX('Unique Asset List'!$D$4:$M$60,MATCH($B15,'Unique Asset List'!$A$4:$A$60,0),MATCH(O$8,'Unique Asset List'!$D$3:$M$3,0))</f>
        <v>0.58500000000000008</v>
      </c>
      <c r="P15" s="17">
        <f>INDEX('Unique Asset List'!$D$4:$M$60,MATCH($B15,'Unique Asset List'!$A$4:$A$60,0),MATCH(P$8,'Unique Asset List'!$D$3:$M$3,0))</f>
        <v>0.58500000000000008</v>
      </c>
      <c r="Q15" s="17">
        <f>INDEX('Unique Asset List'!$D$4:$M$60,MATCH($B15,'Unique Asset List'!$A$4:$A$60,0),MATCH(Q$8,'Unique Asset List'!$D$3:$M$3,0))</f>
        <v>0.58500000000000008</v>
      </c>
      <c r="R15" s="17">
        <f>INDEX('Unique Asset List'!$D$4:$M$60,MATCH($B15,'Unique Asset List'!$A$4:$A$60,0),MATCH(R$8,'Unique Asset List'!$D$3:$M$3,0))</f>
        <v>0.58500000000000008</v>
      </c>
      <c r="S15" s="17">
        <f>INDEX('Unique Asset List'!$D$4:$M$60,MATCH($B15,'Unique Asset List'!$A$4:$A$60,0),MATCH(S$8,'Unique Asset List'!$D$3:$M$3,0))</f>
        <v>0</v>
      </c>
      <c r="T15" s="17"/>
      <c r="U15" s="17">
        <f t="shared" si="1"/>
        <v>0.90168566420734264</v>
      </c>
      <c r="V15" s="17">
        <v>1</v>
      </c>
      <c r="W15" s="9" t="s">
        <v>188</v>
      </c>
      <c r="X15" s="9">
        <f>INDEX('Unique Asset List'!$Y$4:$AE$60,MATCH('5'!$B15,'Unique Asset List'!$A$4:$A$60,0),MATCH('5'!$C$1,'Unique Asset List'!$Y$3:$AE$3,0))</f>
        <v>2024</v>
      </c>
      <c r="Y15" s="9">
        <f>INDEX('Unique Asset List'!$AF$4:$AL$60,MATCH('5'!$B15,'Unique Asset List'!$A$4:$A$60,0),MATCH('5'!$C$1,'Unique Asset List'!$AF$3:$AL$3,0))</f>
        <v>1.999999999998181</v>
      </c>
      <c r="Z15" s="9">
        <f>INDEX('Unique Asset List'!$AT$4:$AZ$60,MATCH('5'!$B15,'Unique Asset List'!$A$4:$A$60,0),MATCH('5'!$C$1,'Unique Asset List'!$AT$3:$AZ$3,0))</f>
        <v>2032</v>
      </c>
      <c r="AA15" s="9">
        <f>INDEX('Unique Asset List'!$BA$4:$BG$60,MATCH('5'!$B15,'Unique Asset List'!$A$4:$A$60,0),MATCH('5'!$C$1,'Unique Asset List'!$BA$3:$BG$3,0))</f>
        <v>1</v>
      </c>
      <c r="AB15" s="16">
        <f t="shared" si="2"/>
        <v>1.6860000000000002</v>
      </c>
      <c r="AC15" s="16">
        <f t="shared" si="3"/>
        <v>0.97325250000000008</v>
      </c>
      <c r="AD15" s="16">
        <f t="shared" si="4"/>
        <v>0.38169906301999995</v>
      </c>
      <c r="AE15" s="15">
        <f>INDEX('Unique Asset List'!$CJ$4:$CP$60,MATCH('5'!$B15,'Unique Asset List'!$A$4:$A$60,0),MATCH('5'!$C$1,'Unique Asset List'!$CJ$3:$CP$3,0))</f>
        <v>0.08</v>
      </c>
      <c r="AF15" s="15">
        <f>INDEX('Unique Asset List'!$CQ$4:$CW$60,MATCH('5'!$B15,'Unique Asset List'!$A$4:$A$60,0),MATCH('5'!$C$1,'Unique Asset List'!$CQ$3:$CW$3,0))</f>
        <v>0.42</v>
      </c>
      <c r="AG15" s="15">
        <f>INDEX('Unique Asset List'!$BV$4:$CB$60,MATCH('5'!$B15,'Unique Asset List'!$A$4:$A$60,0),MATCH('5'!$C$1,'Unique Asset List'!$BV$3:$CB$3,0))</f>
        <v>0.08</v>
      </c>
      <c r="AH15" s="15">
        <f>INDEX('Unique Asset List'!$CC$4:$CI$60,MATCH('5'!$B15,'Unique Asset List'!$A$4:$A$60,0),MATCH('5'!$C$1,'Unique Asset List'!$CC$3:$CI$3,0))</f>
        <v>0.42</v>
      </c>
      <c r="AI15" s="11">
        <v>0.96187963349867744</v>
      </c>
      <c r="AJ15" s="15">
        <f>INDEX('Unique Asset List'!$BH$4:$BN$60,MATCH('5'!$B15,'Unique Asset List'!$A$4:$A$60,0),MATCH('5'!$C$1,'Unique Asset List'!$BH$3:$BN$3,0))</f>
        <v>1.2944496352201866</v>
      </c>
      <c r="AK15" s="15">
        <f>INDEX('Unique Asset List'!$BO$4:$BU$60,MATCH('5'!$B15,'Unique Asset List'!$A$4:$A$60,0),MATCH('5'!$C$1,'Unique Asset List'!$BO$3:$BU$3,0))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81">
        <f>INDEX('Unique Asset List'!N$4:N$60,MATCH($B15,_CompoundList,0))</f>
        <v>0</v>
      </c>
      <c r="AU15" s="181">
        <f>INDEX('Unique Asset List'!O$4:O$60,MATCH($B15,_CompoundList,0))</f>
        <v>0</v>
      </c>
      <c r="AV15" s="181">
        <f>INDEX('Unique Asset List'!P$4:P$60,MATCH($B15,_CompoundList,0))</f>
        <v>0</v>
      </c>
      <c r="AW15" s="181">
        <f>INDEX('Unique Asset List'!Q$4:Q$60,MATCH($B15,_CompoundList,0))</f>
        <v>0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0</v>
      </c>
      <c r="AZ15" s="181">
        <f ca="1">INDEX('Unique Asset List'!T$4:T$60,MATCH($B15,_CompoundList,0))</f>
        <v>0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0</v>
      </c>
      <c r="BC15" s="181">
        <f ca="1">INDEX('Unique Asset List'!W$4:W$60,MATCH($B15,_CompoundList,0))</f>
        <v>0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3</v>
      </c>
      <c r="BL15" s="3">
        <f>IF($C$5="ON",CL15,MyRating(_S1,$B15,Efficacy!$F$1))</f>
        <v>4</v>
      </c>
      <c r="BM15" s="3">
        <f>IF($C$5="ON",CM15,MyRating(_S2,$B15,Efficacy!$F$1))</f>
        <v>3</v>
      </c>
      <c r="BN15" s="3">
        <f>IF($C$5="ON",CN15,MyRating(_S3,$B15,Efficacy!$F$1))</f>
        <v>3</v>
      </c>
      <c r="BO15" s="3">
        <f>IF($C$5="ON",CO15,MyRating(_S4,$B15,Efficacy!$F$1))</f>
        <v>4</v>
      </c>
      <c r="BP15" s="3">
        <f>IF($C$5="ON",CP15,MyRating(_S5,$B15,Efficacy!$F$1))</f>
        <v>5</v>
      </c>
      <c r="BQ15" s="3">
        <f>IF($C$5="ON",CQ15,MyRating(_S6,$B15,Efficacy!$F$1))</f>
        <v>3</v>
      </c>
      <c r="BR15" s="3">
        <f>IF($C$5="ON",CR15,MyRating(_S7,$B15,Efficacy!$F$1))</f>
        <v>4</v>
      </c>
      <c r="BS15" s="3">
        <f>IF($C$5="ON",CS15,MyRating(_D1,$B15,Efficacy!$F$1))</f>
        <v>2</v>
      </c>
      <c r="BT15" s="3">
        <f>IF($C$5="ON",CT15,MyRating(_D2,$B15,Efficacy!$F$1))</f>
        <v>3</v>
      </c>
      <c r="BU15" s="3">
        <f>IF($C$5="ON",CU15,MyRating(_D3,$B15,Efficacy!$F$1))</f>
        <v>1</v>
      </c>
      <c r="BV15" s="3">
        <f>IF($C$5="ON",CV15,MyRating(_D4,$B15,Efficacy!$F$1))</f>
        <v>2</v>
      </c>
      <c r="BW15" s="3">
        <f>IF($C$5="ON",CW15,MyRating(_B1G5,$B15,Barrier!$L$2))</f>
        <v>2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9"/>
        <v>3.3407946312985805E-2</v>
      </c>
      <c r="CA15" s="8">
        <f t="shared" si="6"/>
        <v>2.8000000000000003</v>
      </c>
      <c r="CB15" s="5">
        <f t="shared" si="7"/>
        <v>3.2941176470588251E-2</v>
      </c>
      <c r="CC15" s="7">
        <f t="shared" si="8"/>
        <v>5.9787261089987885E-3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5</v>
      </c>
      <c r="CM15" s="3">
        <v>3</v>
      </c>
      <c r="CN15" s="3">
        <v>3</v>
      </c>
      <c r="CO15" s="3">
        <v>4</v>
      </c>
      <c r="CP15" s="3">
        <v>5</v>
      </c>
      <c r="CQ15" s="3">
        <v>3</v>
      </c>
      <c r="CR15" s="3">
        <v>4</v>
      </c>
      <c r="CS15" s="3">
        <v>2</v>
      </c>
      <c r="CT15" s="3">
        <v>3</v>
      </c>
      <c r="CU15" s="3">
        <v>1</v>
      </c>
      <c r="CV15" s="3">
        <v>2</v>
      </c>
      <c r="CW15" s="3">
        <v>2</v>
      </c>
      <c r="CX15" s="3">
        <v>3</v>
      </c>
      <c r="CY15" s="6">
        <v>3</v>
      </c>
      <c r="CZ15" s="5">
        <v>3.6275844714639842E-2</v>
      </c>
    </row>
    <row r="16" spans="1:104" x14ac:dyDescent="0.25">
      <c r="A16" s="9" t="str">
        <f t="shared" si="0"/>
        <v>ES</v>
      </c>
      <c r="B16" s="9" t="s">
        <v>83</v>
      </c>
      <c r="C16" s="20"/>
      <c r="D16" s="9" t="s">
        <v>64</v>
      </c>
      <c r="E16" s="9" t="s">
        <v>186</v>
      </c>
      <c r="F16" s="9" t="str">
        <f>INDEX('Unique Asset List'!$C$4:$C$60,MATCH(B16,_CompoundList,0))</f>
        <v>Ph3</v>
      </c>
      <c r="G16" s="19">
        <v>0</v>
      </c>
      <c r="H16" s="9">
        <v>2014</v>
      </c>
      <c r="I16" s="9">
        <v>6</v>
      </c>
      <c r="J16" s="18">
        <f>INDEX(PTRS!$D$6:$D$12,MATCH('5'!$F16,PTRS!$B$6:$B$12,0))</f>
        <v>0.58500000000000008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7">
        <v>0.19500000000000003</v>
      </c>
      <c r="N16" s="17">
        <f>INDEX('Unique Asset List'!$D$4:$M$60,MATCH($B16,'Unique Asset List'!$A$4:$A$60,0),MATCH(N$8,'Unique Asset List'!$D$3:$M$3,0))</f>
        <v>0.58500000000000008</v>
      </c>
      <c r="O16" s="17">
        <f>INDEX('Unique Asset List'!$D$4:$M$60,MATCH($B16,'Unique Asset List'!$A$4:$A$60,0),MATCH(O$8,'Unique Asset List'!$D$3:$M$3,0))</f>
        <v>0.58500000000000008</v>
      </c>
      <c r="P16" s="17">
        <f>INDEX('Unique Asset List'!$D$4:$M$60,MATCH($B16,'Unique Asset List'!$A$4:$A$60,0),MATCH(P$8,'Unique Asset List'!$D$3:$M$3,0))</f>
        <v>0.58500000000000008</v>
      </c>
      <c r="Q16" s="17">
        <f>INDEX('Unique Asset List'!$D$4:$M$60,MATCH($B16,'Unique Asset List'!$A$4:$A$60,0),MATCH(Q$8,'Unique Asset List'!$D$3:$M$3,0))</f>
        <v>0.58500000000000008</v>
      </c>
      <c r="R16" s="17">
        <f>INDEX('Unique Asset List'!$D$4:$M$60,MATCH($B16,'Unique Asset List'!$A$4:$A$60,0),MATCH(R$8,'Unique Asset List'!$D$3:$M$3,0))</f>
        <v>0.58500000000000008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1"/>
        <v>0.19245008972987526</v>
      </c>
      <c r="V16" s="17">
        <f>V13</f>
        <v>0.42</v>
      </c>
      <c r="W16" s="9" t="s">
        <v>62</v>
      </c>
      <c r="X16" s="9">
        <f>INDEX('Unique Asset List'!$Y$4:$AE$60,MATCH('5'!$B16,'Unique Asset List'!$A$4:$A$60,0),MATCH('5'!$C$1,'Unique Asset List'!$Y$3:$AE$3,0))</f>
        <v>2024</v>
      </c>
      <c r="Y16" s="9">
        <f>INDEX('Unique Asset List'!$AF$4:$AL$60,MATCH('5'!$B16,'Unique Asset List'!$A$4:$A$60,0),MATCH('5'!$C$1,'Unique Asset List'!$AF$3:$AL$3,0))</f>
        <v>3</v>
      </c>
      <c r="Z16" s="9">
        <f>INDEX('Unique Asset List'!$AT$4:$AZ$60,MATCH('5'!$B16,'Unique Asset List'!$A$4:$A$60,0),MATCH('5'!$C$1,'Unique Asset List'!$AT$3:$AZ$3,0))</f>
        <v>2031</v>
      </c>
      <c r="AA16" s="9">
        <f>INDEX('Unique Asset List'!$BA$4:$BG$60,MATCH('5'!$B16,'Unique Asset List'!$A$4:$A$60,0),MATCH('5'!$C$1,'Unique Asset List'!$BA$3:$BG$3,0))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0.52867185888000001</v>
      </c>
      <c r="AE16" s="15">
        <f>INDEX('Unique Asset List'!$CJ$4:$CP$60,MATCH('5'!$B16,'Unique Asset List'!$A$4:$A$60,0),MATCH('5'!$C$1,'Unique Asset List'!$CJ$3:$CP$3,0))</f>
        <v>0.14000000000000001</v>
      </c>
      <c r="AF16" s="15">
        <f>INDEX('Unique Asset List'!$CQ$4:$CW$60,MATCH('5'!$B16,'Unique Asset List'!$A$4:$A$60,0),MATCH('5'!$C$1,'Unique Asset List'!$CQ$3:$CW$3,0))</f>
        <v>0.36</v>
      </c>
      <c r="AG16" s="15">
        <f>INDEX('Unique Asset List'!$BV$4:$CB$60,MATCH('5'!$B16,'Unique Asset List'!$A$4:$A$60,0),MATCH('5'!$C$1,'Unique Asset List'!$BV$3:$CB$3,0))</f>
        <v>0.14000000000000001</v>
      </c>
      <c r="AH16" s="15">
        <f>INDEX('Unique Asset List'!$CC$4:$CI$60,MATCH('5'!$B16,'Unique Asset List'!$A$4:$A$60,0),MATCH('5'!$C$1,'Unique Asset List'!$CC$3:$CI$3,0))</f>
        <v>0.36</v>
      </c>
      <c r="AI16" s="11">
        <v>0.96187963349867744</v>
      </c>
      <c r="AJ16" s="15">
        <f>INDEX('Unique Asset List'!$BH$4:$BN$60,MATCH('5'!$B16,'Unique Asset List'!$A$4:$A$60,0),MATCH('5'!$C$1,'Unique Asset List'!$BH$3:$BN$3,0))</f>
        <v>1.2944496352201866</v>
      </c>
      <c r="AK16" s="15">
        <f>INDEX('Unique Asset List'!$BO$4:$BU$60,MATCH('5'!$B16,'Unique Asset List'!$A$4:$A$60,0),MATCH('5'!$C$1,'Unique Asset List'!$BO$3:$BU$3,0))</f>
        <v>-1.4425350046709582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0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0</v>
      </c>
      <c r="BA16" s="181">
        <f ca="1">INDEX('Unique Asset List'!U$4:U$60,MATCH($B16,_CompoundList,0))</f>
        <v>1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3</v>
      </c>
      <c r="BF16" s="3">
        <f>IF($C$5="ON",CF16,MyRating(_E3,$B16,Efficacy!$F$1))</f>
        <v>3</v>
      </c>
      <c r="BG16" s="3">
        <f>IF($C$5="ON",CG16,MyRating(_E4,$B16,Efficacy!$F$1))</f>
        <v>3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IF($C$5="ON",CL16,MyRating(_S1,$B16,Efficacy!$F$1))</f>
        <v>3</v>
      </c>
      <c r="BM16" s="3">
        <f>IF($C$5="ON",CM16,MyRating(_S2,$B16,Efficacy!$F$1))</f>
        <v>3</v>
      </c>
      <c r="BN16" s="3">
        <f>IF($C$5="ON",CN16,MyRating(_S3,$B16,Efficacy!$F$1))</f>
        <v>3</v>
      </c>
      <c r="BO16" s="3">
        <f>IF($C$5="ON",CO16,MyRating(_S4,$B16,Efficacy!$F$1))</f>
        <v>3</v>
      </c>
      <c r="BP16" s="3">
        <f>IF($C$5="ON",CP16,MyRating(_S5,$B16,Efficacy!$F$1))</f>
        <v>3</v>
      </c>
      <c r="BQ16" s="3">
        <f>IF($C$5="ON",CQ16,MyRating(_S6,$B16,Efficacy!$F$1))</f>
        <v>2</v>
      </c>
      <c r="BR16" s="3">
        <f>IF($C$5="ON",CR16,MyRating(_S7,$B16,Efficacy!$F$1))</f>
        <v>3</v>
      </c>
      <c r="BS16" s="3">
        <f>IF($C$5="ON",CS16,MyRating(_D1,$B16,Efficacy!$F$1))</f>
        <v>3</v>
      </c>
      <c r="BT16" s="3">
        <f>IF($C$5="ON",CT16,MyRating(_D2,$B16,Efficacy!$F$1))</f>
        <v>3</v>
      </c>
      <c r="BU16" s="3">
        <f>IF($C$5="ON",CU16,MyRating(_D3,$B16,Efficacy!$F$1))</f>
        <v>2</v>
      </c>
      <c r="BV16" s="3">
        <f>IF($C$5="ON",CV16,MyRating(_D4,$B16,Efficacy!$F$1))</f>
        <v>3</v>
      </c>
      <c r="BW16" s="3">
        <f>IF($C$5="ON",CW16,MyRating(_B1G5,$B16,Barrier!$L$2))</f>
        <v>1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9"/>
        <v>7.1303809307835921E-3</v>
      </c>
      <c r="CA16" s="8">
        <f t="shared" si="6"/>
        <v>1</v>
      </c>
      <c r="CB16" s="5">
        <f t="shared" si="7"/>
        <v>1.1764705882352946E-2</v>
      </c>
      <c r="CC16" s="7">
        <f t="shared" si="8"/>
        <v>1.2760615165803312E-3</v>
      </c>
      <c r="CD16" s="4">
        <v>3</v>
      </c>
      <c r="CE16" s="3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2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1</v>
      </c>
      <c r="CX16" s="3">
        <v>1</v>
      </c>
      <c r="CY16" s="6">
        <v>1</v>
      </c>
      <c r="CZ16" s="5">
        <v>9.9044671286996639E-3</v>
      </c>
    </row>
    <row r="17" spans="1:104" x14ac:dyDescent="0.25">
      <c r="A17" s="9" t="str">
        <f t="shared" si="0"/>
        <v>ES</v>
      </c>
      <c r="B17" s="9" t="s">
        <v>79</v>
      </c>
      <c r="C17" s="20"/>
      <c r="D17" s="9" t="s">
        <v>78</v>
      </c>
      <c r="E17" s="9" t="s">
        <v>186</v>
      </c>
      <c r="F17" s="9" t="str">
        <f>INDEX('Unique Asset List'!$C$4:$C$60,MATCH(B17,_CompoundList,0))</f>
        <v>Ph2b</v>
      </c>
      <c r="G17" s="19">
        <v>0</v>
      </c>
      <c r="H17" s="9">
        <v>2014</v>
      </c>
      <c r="I17" s="9">
        <v>6</v>
      </c>
      <c r="J17" s="18">
        <f>INDEX(PTRS!$D$6:$D$12,MATCH('5'!$F17,PTRS!$B$6:$B$12,0))</f>
        <v>0.40949999999999998</v>
      </c>
      <c r="K17" s="17">
        <f>INDEX('Unique Asset List'!$D$4:$M$60,MATCH($B17,'Unique Asset List'!$A$4:$A$60,0),MATCH(K$8,'Unique Asset List'!$D$3:$M$3,0))</f>
        <v>0</v>
      </c>
      <c r="L17" s="17">
        <f>INDEX('Unique Asset List'!$D$4:$M$60,MATCH($B17,'Unique Asset List'!$A$4:$A$60,0),MATCH(L$8,'Unique Asset List'!$D$3:$M$3,0))</f>
        <v>0</v>
      </c>
      <c r="M17" s="17">
        <v>0.13649999999999998</v>
      </c>
      <c r="N17" s="17">
        <f>INDEX('Unique Asset List'!$D$4:$M$60,MATCH($B17,'Unique Asset List'!$A$4:$A$60,0),MATCH(N$8,'Unique Asset List'!$D$3:$M$3,0))</f>
        <v>0.40949999999999998</v>
      </c>
      <c r="O17" s="17">
        <f>INDEX('Unique Asset List'!$D$4:$M$60,MATCH($B17,'Unique Asset List'!$A$4:$A$60,0),MATCH(O$8,'Unique Asset List'!$D$3:$M$3,0))</f>
        <v>0.40949999999999998</v>
      </c>
      <c r="P17" s="17">
        <f>INDEX('Unique Asset List'!$D$4:$M$60,MATCH($B17,'Unique Asset List'!$A$4:$A$60,0),MATCH(P$8,'Unique Asset List'!$D$3:$M$3,0))</f>
        <v>0.40949999999999998</v>
      </c>
      <c r="Q17" s="17">
        <f>INDEX('Unique Asset List'!$D$4:$M$60,MATCH($B17,'Unique Asset List'!$A$4:$A$60,0),MATCH(Q$8,'Unique Asset List'!$D$3:$M$3,0))</f>
        <v>0.40949999999999998</v>
      </c>
      <c r="R17" s="17">
        <f>INDEX('Unique Asset List'!$D$4:$M$60,MATCH($B17,'Unique Asset List'!$A$4:$A$60,0),MATCH(R$8,'Unique Asset List'!$D$3:$M$3,0))</f>
        <v>0.40949999999999998</v>
      </c>
      <c r="S17" s="17">
        <f>INDEX('Unique Asset List'!$D$4:$M$60,MATCH($B17,'Unique Asset List'!$A$4:$A$60,0),MATCH(S$8,'Unique Asset List'!$D$3:$M$3,0))</f>
        <v>0</v>
      </c>
      <c r="T17" s="17"/>
      <c r="U17" s="17">
        <f t="shared" si="1"/>
        <v>0.90168566420734264</v>
      </c>
      <c r="V17" s="17">
        <v>1</v>
      </c>
      <c r="W17" s="9" t="s">
        <v>62</v>
      </c>
      <c r="X17" s="9">
        <f>INDEX('Unique Asset List'!$Y$4:$AE$60,MATCH('5'!$B17,'Unique Asset List'!$A$4:$A$60,0),MATCH('5'!$C$1,'Unique Asset List'!$Y$3:$AE$3,0))</f>
        <v>2025</v>
      </c>
      <c r="Y17" s="9">
        <f>INDEX('Unique Asset List'!$AF$4:$AL$60,MATCH('5'!$B17,'Unique Asset List'!$A$4:$A$60,0),MATCH('5'!$C$1,'Unique Asset List'!$AF$3:$AL$3,0))</f>
        <v>3.9999999999990905</v>
      </c>
      <c r="Z17" s="9">
        <f>INDEX('Unique Asset List'!$AT$4:$AZ$60,MATCH('5'!$B17,'Unique Asset List'!$A$4:$A$60,0),MATCH('5'!$C$1,'Unique Asset List'!$AT$3:$AZ$3,0))</f>
        <v>2033</v>
      </c>
      <c r="AA17" s="9">
        <f>INDEX('Unique Asset List'!$BA$4:$BG$60,MATCH('5'!$B17,'Unique Asset List'!$A$4:$A$60,0),MATCH('5'!$C$1,'Unique Asset List'!$BA$3:$BG$3,0))</f>
        <v>3</v>
      </c>
      <c r="AB17" s="16">
        <f t="shared" si="2"/>
        <v>2.0719254000000005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List'!$CJ$4:$CP$60,MATCH('5'!$B17,'Unique Asset List'!$A$4:$A$60,0),MATCH('5'!$C$1,'Unique Asset List'!$CJ$3:$CP$3,0))</f>
        <v>0.14000000000000001</v>
      </c>
      <c r="AF17" s="15">
        <f>INDEX('Unique Asset List'!$CQ$4:$CW$60,MATCH('5'!$B17,'Unique Asset List'!$A$4:$A$60,0),MATCH('5'!$C$1,'Unique Asset List'!$CQ$3:$CW$3,0))</f>
        <v>0.36</v>
      </c>
      <c r="AG17" s="15">
        <f>INDEX('Unique Asset List'!$BV$4:$CB$60,MATCH('5'!$B17,'Unique Asset List'!$A$4:$A$60,0),MATCH('5'!$C$1,'Unique Asset List'!$BV$3:$CB$3,0))</f>
        <v>0.14000000000000001</v>
      </c>
      <c r="AH17" s="15">
        <f>INDEX('Unique Asset List'!$CC$4:$CI$60,MATCH('5'!$B17,'Unique Asset List'!$A$4:$A$60,0),MATCH('5'!$C$1,'Unique Asset List'!$CC$3:$CI$3,0))</f>
        <v>0.36</v>
      </c>
      <c r="AI17" s="11">
        <v>0.96187963349867744</v>
      </c>
      <c r="AJ17" s="15">
        <f>INDEX('Unique Asset List'!$BH$4:$BN$60,MATCH('5'!$B17,'Unique Asset List'!$A$4:$A$60,0),MATCH('5'!$C$1,'Unique Asset List'!$BH$3:$BN$3,0))</f>
        <v>1.2944496352201866</v>
      </c>
      <c r="AK17" s="15">
        <f>INDEX('Unique Asset List'!$BO$4:$BU$60,MATCH('5'!$B17,'Unique Asset List'!$A$4:$A$60,0),MATCH('5'!$C$1,'Unique Asset List'!$BO$3:$BU$3,0))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81">
        <f>INDEX('Unique Asset List'!N$4:N$60,MATCH($B17,_CompoundList,0))</f>
        <v>0</v>
      </c>
      <c r="AU17" s="181">
        <f>INDEX('Unique Asset List'!O$4:O$60,MATCH($B17,_CompoundList,0))</f>
        <v>0</v>
      </c>
      <c r="AV17" s="181">
        <f>INDEX('Unique Asset List'!P$4:P$60,MATCH($B17,_CompoundList,0))</f>
        <v>0</v>
      </c>
      <c r="AW17" s="181">
        <f>INDEX('Unique Asset List'!Q$4:Q$60,MATCH($B17,_CompoundList,0))</f>
        <v>0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0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4</v>
      </c>
      <c r="BE17" s="3">
        <f>IF($C$5="ON",CE17,MyRating(_E2,$B17,Efficacy!$F$1))</f>
        <v>3</v>
      </c>
      <c r="BF17" s="3">
        <f>IF($C$5="ON",CF17,MyRating(_E3,$B17,Efficacy!$F$1))</f>
        <v>4</v>
      </c>
      <c r="BG17" s="3">
        <f>IF($C$5="ON",CG17,MyRating(_E4,$B17,Efficacy!$F$1))</f>
        <v>4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3</v>
      </c>
      <c r="BK17" s="3">
        <f>IF($C$5="ON",CK17,MyRating(_E8,$B17,Efficacy!$F$1))</f>
        <v>5</v>
      </c>
      <c r="BL17" s="3">
        <f>IF($C$5="ON",CL17,MyRating(_S1,$B17,Efficacy!$F$1))</f>
        <v>4</v>
      </c>
      <c r="BM17" s="3">
        <f>IF($C$5="ON",CM17,MyRating(_S2,$B17,Efficacy!$F$1))</f>
        <v>3</v>
      </c>
      <c r="BN17" s="3">
        <f>IF($C$5="ON",CN17,MyRating(_S3,$B17,Efficacy!$F$1))</f>
        <v>3</v>
      </c>
      <c r="BO17" s="3">
        <f>IF($C$5="ON",CO17,MyRating(_S4,$B17,Efficacy!$F$1))</f>
        <v>3</v>
      </c>
      <c r="BP17" s="3">
        <f>IF($C$5="ON",CP17,MyRating(_S5,$B17,Efficacy!$F$1))</f>
        <v>5</v>
      </c>
      <c r="BQ17" s="3">
        <f>IF($C$5="ON",CQ17,MyRating(_S6,$B17,Efficacy!$F$1))</f>
        <v>2</v>
      </c>
      <c r="BR17" s="3">
        <f>IF($C$5="ON",CR17,MyRating(_S7,$B17,Efficacy!$F$1))</f>
        <v>3</v>
      </c>
      <c r="BS17" s="3">
        <f>IF($C$5="ON",CS17,MyRating(_D1,$B17,Efficacy!$F$1))</f>
        <v>3</v>
      </c>
      <c r="BT17" s="3">
        <f>IF($C$5="ON",CT17,MyRating(_D2,$B17,Efficacy!$F$1))</f>
        <v>3</v>
      </c>
      <c r="BU17" s="3">
        <f>IF($C$5="ON",CU17,MyRating(_D3,$B17,Efficacy!$F$1))</f>
        <v>3</v>
      </c>
      <c r="BV17" s="3">
        <f>IF($C$5="ON",CV17,MyRating(_D4,$B17,Efficacy!$F$1))</f>
        <v>3</v>
      </c>
      <c r="BW17" s="3">
        <f>IF($C$5="ON",CW17,MyRating(_B1G5,$B17,Barrier!$L$2))</f>
        <v>2</v>
      </c>
      <c r="BX17" s="3">
        <f>IF($C$5="ON",CX17,MyRating(_B2,$B17,Barrier!$F$2))</f>
        <v>3</v>
      </c>
      <c r="BY17" s="6">
        <f>IF($C$5="ON",CY17,MyRating(_B3,$B17,Barrier!$F$2))</f>
        <v>3</v>
      </c>
      <c r="BZ17" s="5">
        <f t="shared" si="9"/>
        <v>3.3407946312985805E-2</v>
      </c>
      <c r="CA17" s="8">
        <f t="shared" si="6"/>
        <v>2.8000000000000003</v>
      </c>
      <c r="CB17" s="5">
        <f t="shared" si="7"/>
        <v>3.2941176470588251E-2</v>
      </c>
      <c r="CC17" s="7">
        <f t="shared" si="8"/>
        <v>5.9787261089987885E-3</v>
      </c>
      <c r="CD17" s="4">
        <v>4</v>
      </c>
      <c r="CE17" s="3">
        <v>4</v>
      </c>
      <c r="CF17" s="3">
        <v>4</v>
      </c>
      <c r="CG17" s="3">
        <v>4</v>
      </c>
      <c r="CH17" s="3">
        <v>3</v>
      </c>
      <c r="CI17" s="3">
        <v>3</v>
      </c>
      <c r="CJ17" s="3">
        <v>3</v>
      </c>
      <c r="CK17" s="3">
        <v>5</v>
      </c>
      <c r="CL17" s="3">
        <v>4</v>
      </c>
      <c r="CM17" s="3">
        <v>3</v>
      </c>
      <c r="CN17" s="3">
        <v>3</v>
      </c>
      <c r="CO17" s="3">
        <v>3</v>
      </c>
      <c r="CP17" s="3">
        <v>5</v>
      </c>
      <c r="CQ17" s="3">
        <v>2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2</v>
      </c>
      <c r="CX17" s="3">
        <v>3</v>
      </c>
      <c r="CY17" s="6">
        <v>3</v>
      </c>
      <c r="CZ17" s="5">
        <v>3.6275844714639842E-2</v>
      </c>
    </row>
    <row r="18" spans="1:104" x14ac:dyDescent="0.25">
      <c r="A18" s="9" t="str">
        <f t="shared" si="0"/>
        <v>ES</v>
      </c>
      <c r="B18" s="9" t="s">
        <v>87</v>
      </c>
      <c r="C18" s="20" t="s">
        <v>3</v>
      </c>
      <c r="D18" s="9" t="s">
        <v>64</v>
      </c>
      <c r="E18" s="9" t="s">
        <v>186</v>
      </c>
      <c r="F18" s="9" t="str">
        <f>INDEX('Unique Asset List'!$C$4:$C$60,MATCH(B18,_CompoundList,0))</f>
        <v>Launched</v>
      </c>
      <c r="G18" s="19">
        <v>0</v>
      </c>
      <c r="H18" s="9">
        <v>2014</v>
      </c>
      <c r="I18" s="9">
        <v>6</v>
      </c>
      <c r="J18" s="18">
        <f>INDEX(PTRS!$D$6:$D$12,MATCH('5'!$F18,PTRS!$B$6:$B$12,0))</f>
        <v>1</v>
      </c>
      <c r="K18" s="17">
        <f>INDEX('Unique Asset List'!$D$4:$M$60,MATCH($B18,'Unique Asset List'!$A$4:$A$60,0),MATCH(K$8,'Unique Asset List'!$D$3:$M$3,0))</f>
        <v>1</v>
      </c>
      <c r="L18" s="17">
        <f>INDEX('Unique Asset List'!$D$4:$M$60,MATCH($B18,'Unique Asset List'!$A$4:$A$60,0),MATCH(L$8,'Unique Asset List'!$D$3:$M$3,0))</f>
        <v>1</v>
      </c>
      <c r="M18" s="17">
        <v>1</v>
      </c>
      <c r="N18" s="17">
        <f>INDEX('Unique Asset List'!$D$4:$M$60,MATCH($B18,'Unique Asset List'!$A$4:$A$60,0),MATCH(N$8,'Unique Asset List'!$D$3:$M$3,0))</f>
        <v>1</v>
      </c>
      <c r="O18" s="17">
        <f>INDEX('Unique Asset List'!$D$4:$M$60,MATCH($B18,'Unique Asset List'!$A$4:$A$60,0),MATCH(O$8,'Unique Asset List'!$D$3:$M$3,0))</f>
        <v>1</v>
      </c>
      <c r="P18" s="17">
        <f>INDEX('Unique Asset List'!$D$4:$M$60,MATCH($B18,'Unique Asset List'!$A$4:$A$60,0),MATCH(P$8,'Unique Asset List'!$D$3:$M$3,0))</f>
        <v>1</v>
      </c>
      <c r="Q18" s="17">
        <f>INDEX('Unique Asset List'!$D$4:$M$60,MATCH($B18,'Unique Asset List'!$A$4:$A$60,0),MATCH(Q$8,'Unique Asset List'!$D$3:$M$3,0))</f>
        <v>1</v>
      </c>
      <c r="R18" s="17">
        <f>INDEX('Unique Asset List'!$D$4:$M$60,MATCH($B18,'Unique Asset List'!$A$4:$A$60,0),MATCH(R$8,'Unique Asset List'!$D$3:$M$3,0))</f>
        <v>1</v>
      </c>
      <c r="S18" s="17">
        <f>INDEX('Unique Asset List'!$D$4:$M$60,MATCH($B18,'Unique Asset List'!$A$4:$A$60,0),MATCH(S$8,'Unique Asset List'!$D$3:$M$3,0))</f>
        <v>1</v>
      </c>
      <c r="T18" s="17"/>
      <c r="U18" s="17">
        <f t="shared" si="1"/>
        <v>0</v>
      </c>
      <c r="V18" s="17">
        <v>1</v>
      </c>
      <c r="W18" s="9" t="s">
        <v>54</v>
      </c>
      <c r="X18" s="9">
        <f>INDEX('Unique Asset List'!$Y$4:$AE$60,MATCH('5'!$B18,'Unique Asset List'!$A$4:$A$60,0),MATCH('5'!$C$1,'Unique Asset List'!$Y$3:$AE$3,0))</f>
        <v>2018</v>
      </c>
      <c r="Y18" s="9">
        <f>INDEX('Unique Asset List'!$AF$4:$AL$60,MATCH('5'!$B18,'Unique Asset List'!$A$4:$A$60,0),MATCH('5'!$C$1,'Unique Asset List'!$AF$3:$AL$3,0))</f>
        <v>3.9999999999990905</v>
      </c>
      <c r="Z18" s="9">
        <f>INDEX('Unique Asset List'!$AT$4:$AZ$60,MATCH('5'!$B18,'Unique Asset List'!$A$4:$A$60,0),MATCH('5'!$C$1,'Unique Asset List'!$AT$3:$AZ$3,0))</f>
        <v>2033</v>
      </c>
      <c r="AA18" s="9">
        <f>INDEX('Unique Asset List'!$BA$4:$BG$60,MATCH('5'!$B18,'Unique Asset List'!$A$4:$A$60,0),MATCH('5'!$C$1,'Unique Asset List'!$BA$3:$BG$3,0))</f>
        <v>11</v>
      </c>
      <c r="AB18" s="16">
        <f t="shared" si="2"/>
        <v>1.7478200000000002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List'!$CJ$4:$CP$60,MATCH('5'!$B18,'Unique Asset List'!$A$4:$A$60,0),MATCH('5'!$C$1,'Unique Asset List'!$CJ$3:$CP$3,0))</f>
        <v>0.08</v>
      </c>
      <c r="AF18" s="15">
        <f>INDEX('Unique Asset List'!$CQ$4:$CW$60,MATCH('5'!$B18,'Unique Asset List'!$A$4:$A$60,0),MATCH('5'!$C$1,'Unique Asset List'!$CQ$3:$CW$3,0))</f>
        <v>0.42</v>
      </c>
      <c r="AG18" s="15">
        <f>INDEX('Unique Asset List'!$BV$4:$CB$60,MATCH('5'!$B18,'Unique Asset List'!$A$4:$A$60,0),MATCH('5'!$C$1,'Unique Asset List'!$BV$3:$CB$3,0))</f>
        <v>0.08</v>
      </c>
      <c r="AH18" s="15">
        <f>INDEX('Unique Asset List'!$CC$4:$CI$60,MATCH('5'!$B18,'Unique Asset List'!$A$4:$A$60,0),MATCH('5'!$C$1,'Unique Asset List'!$CC$3:$CI$3,0))</f>
        <v>0.42</v>
      </c>
      <c r="AI18" s="11">
        <v>0.96187963349867744</v>
      </c>
      <c r="AJ18" s="15">
        <f>INDEX('Unique Asset List'!$BH$4:$BN$60,MATCH('5'!$B18,'Unique Asset List'!$A$4:$A$60,0),MATCH('5'!$C$1,'Unique Asset List'!$BH$3:$BN$3,0))</f>
        <v>1.2944496352201866</v>
      </c>
      <c r="AK18" s="15">
        <f>INDEX('Unique Asset List'!$BO$4:$BU$60,MATCH('5'!$B18,'Unique Asset List'!$A$4:$A$60,0),MATCH('5'!$C$1,'Unique Asset List'!$BO$3:$BU$3,0))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1</v>
      </c>
      <c r="AQ18" s="12">
        <v>0</v>
      </c>
      <c r="AR18" s="11">
        <f t="shared" si="5"/>
        <v>1</v>
      </c>
      <c r="AS18" s="10">
        <v>1</v>
      </c>
      <c r="AT18" s="181">
        <f>INDEX('Unique Asset List'!N$4:N$60,MATCH($B18,_CompoundList,0))</f>
        <v>1</v>
      </c>
      <c r="AU18" s="181">
        <f>INDEX('Unique Asset List'!O$4:O$60,MATCH($B18,_CompoundList,0))</f>
        <v>1</v>
      </c>
      <c r="AV18" s="181">
        <f>INDEX('Unique Asset List'!P$4:P$60,MATCH($B18,_CompoundList,0))</f>
        <v>1</v>
      </c>
      <c r="AW18" s="181">
        <f>INDEX('Unique Asset List'!Q$4:Q$60,MATCH($B18,_CompoundList,0))</f>
        <v>1</v>
      </c>
      <c r="AX18" s="181">
        <f ca="1">INDEX('Unique Asset List'!R$4:R$60,MATCH($B18,_CompoundList,0))</f>
        <v>1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1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1</v>
      </c>
      <c r="BC18" s="181">
        <f ca="1">INDEX('Unique Asset List'!W$4:W$60,MATCH($B18,_CompoundList,0))</f>
        <v>1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4</v>
      </c>
      <c r="BL18" s="3">
        <f>IF($C$5="ON",CL18,MyRating(_S1,$B18,Efficacy!$F$1))</f>
        <v>3</v>
      </c>
      <c r="BM18" s="3">
        <f>IF($C$5="ON",CM18,MyRating(_S2,$B18,Efficacy!$F$1))</f>
        <v>3</v>
      </c>
      <c r="BN18" s="3">
        <f>IF($C$5="ON",CN18,MyRating(_S3,$B18,Efficacy!$F$1))</f>
        <v>3</v>
      </c>
      <c r="BO18" s="3">
        <f>IF($C$5="ON",CO18,MyRating(_S4,$B18,Efficacy!$F$1))</f>
        <v>3</v>
      </c>
      <c r="BP18" s="3">
        <f>IF($C$5="ON",CP18,MyRating(_S5,$B18,Efficacy!$F$1))</f>
        <v>5</v>
      </c>
      <c r="BQ18" s="3">
        <f>IF($C$5="ON",CQ18,MyRating(_S6,$B18,Efficacy!$F$1))</f>
        <v>2</v>
      </c>
      <c r="BR18" s="3">
        <f>IF($C$5="ON",CR18,MyRating(_S7,$B18,Efficacy!$F$1))</f>
        <v>3</v>
      </c>
      <c r="BS18" s="3">
        <f>IF($C$5="ON",CS18,MyRating(_D1,$B18,Efficacy!$F$1))</f>
        <v>3</v>
      </c>
      <c r="BT18" s="3">
        <f>IF($C$5="ON",CT18,MyRating(_D2,$B18,Efficacy!$F$1))</f>
        <v>2</v>
      </c>
      <c r="BU18" s="3">
        <f>IF($C$5="ON",CU18,MyRating(_D3,$B18,Efficacy!$F$1))</f>
        <v>3</v>
      </c>
      <c r="BV18" s="3">
        <f>IF($C$5="ON",CV18,MyRating(_D4,$B18,Efficacy!$F$1))</f>
        <v>3</v>
      </c>
      <c r="BW18" s="3">
        <f>IF($C$5="ON",CW18,MyRating(_B1G5,$B18,Barrier!$L$2))</f>
        <v>2</v>
      </c>
      <c r="BX18" s="3">
        <f>IF($C$5="ON",CX18,MyRating(_B2,$B18,Barrier!$F$2))</f>
        <v>3</v>
      </c>
      <c r="BY18" s="6">
        <f>IF($C$5="ON",CY18,MyRating(_B3,$B18,Barrier!$F$2))</f>
        <v>3</v>
      </c>
      <c r="BZ18" s="5">
        <f t="shared" si="9"/>
        <v>0</v>
      </c>
      <c r="CA18" s="8">
        <f t="shared" si="6"/>
        <v>2.8000000000000003</v>
      </c>
      <c r="CB18" s="5">
        <f t="shared" si="7"/>
        <v>3.2941176470588251E-2</v>
      </c>
      <c r="CC18" s="7">
        <f t="shared" si="8"/>
        <v>5.9787261089987885E-3</v>
      </c>
      <c r="CD18" s="4">
        <v>3</v>
      </c>
      <c r="CE18" s="3">
        <v>4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4</v>
      </c>
      <c r="CL18" s="3">
        <v>3</v>
      </c>
      <c r="CM18" s="3">
        <v>3</v>
      </c>
      <c r="CN18" s="3">
        <v>3</v>
      </c>
      <c r="CO18" s="3">
        <v>3</v>
      </c>
      <c r="CP18" s="3">
        <v>5</v>
      </c>
      <c r="CQ18" s="3">
        <v>2</v>
      </c>
      <c r="CR18" s="3">
        <v>3</v>
      </c>
      <c r="CS18" s="3">
        <v>3</v>
      </c>
      <c r="CT18" s="3">
        <v>2</v>
      </c>
      <c r="CU18" s="3">
        <v>3</v>
      </c>
      <c r="CV18" s="3">
        <v>3</v>
      </c>
      <c r="CW18" s="3">
        <v>2</v>
      </c>
      <c r="CX18" s="3">
        <v>3</v>
      </c>
      <c r="CY18" s="6">
        <v>3</v>
      </c>
      <c r="CZ18" s="5">
        <v>3.6275844714639842E-2</v>
      </c>
    </row>
    <row r="19" spans="1:104" x14ac:dyDescent="0.25">
      <c r="A19" s="9" t="str">
        <f t="shared" si="0"/>
        <v>ES</v>
      </c>
      <c r="B19" s="9" t="s">
        <v>77</v>
      </c>
      <c r="C19" s="20"/>
      <c r="D19" s="9" t="s">
        <v>76</v>
      </c>
      <c r="E19" s="9" t="s">
        <v>186</v>
      </c>
      <c r="F19" s="9" t="str">
        <f>INDEX('Unique Asset List'!$C$4:$C$60,MATCH(B19,_CompoundList,0))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INDEX(PTRS!$D$6:$D$12,MATCH('5'!$F19,PTRS!$B$6:$B$12,0))</f>
        <v>0.1638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7">
        <v>5.4600000000000003E-2</v>
      </c>
      <c r="N19" s="17">
        <f>INDEX('Unique Asset List'!$D$4:$M$60,MATCH($B19,'Unique Asset List'!$A$4:$A$60,0),MATCH(N$8,'Unique Asset List'!$D$3:$M$3,0))</f>
        <v>0.1638</v>
      </c>
      <c r="O19" s="17">
        <f>INDEX('Unique Asset List'!$D$4:$M$60,MATCH($B19,'Unique Asset List'!$A$4:$A$60,0),MATCH(O$8,'Unique Asset List'!$D$3:$M$3,0))</f>
        <v>0.1638</v>
      </c>
      <c r="P19" s="17">
        <f>INDEX('Unique Asset List'!$D$4:$M$60,MATCH($B19,'Unique Asset List'!$A$4:$A$60,0),MATCH(P$8,'Unique Asset List'!$D$3:$M$3,0))</f>
        <v>0.1638</v>
      </c>
      <c r="Q19" s="17">
        <f>INDEX('Unique Asset List'!$D$4:$M$60,MATCH($B19,'Unique Asset List'!$A$4:$A$60,0),MATCH(Q$8,'Unique Asset List'!$D$3:$M$3,0))</f>
        <v>0.1638</v>
      </c>
      <c r="R19" s="17">
        <f>INDEX('Unique Asset List'!$D$4:$M$60,MATCH($B19,'Unique Asset List'!$A$4:$A$60,0),MATCH(R$8,'Unique Asset List'!$D$3:$M$3,0))</f>
        <v>0.1638</v>
      </c>
      <c r="S19" s="17">
        <f>INDEX('Unique Asset List'!$D$4:$M$60,MATCH($B19,'Unique Asset List'!$A$4:$A$60,0),MATCH(S$8,'Unique Asset List'!$D$3:$M$3,0))</f>
        <v>1</v>
      </c>
      <c r="T19" s="17"/>
      <c r="U19" s="17">
        <f t="shared" si="1"/>
        <v>0.90168566420734264</v>
      </c>
      <c r="V19" s="17">
        <v>1</v>
      </c>
      <c r="W19" s="9" t="s">
        <v>62</v>
      </c>
      <c r="X19" s="9">
        <f>INDEX('Unique Asset List'!$Y$4:$AE$60,MATCH('5'!$B19,'Unique Asset List'!$A$4:$A$60,0),MATCH('5'!$C$1,'Unique Asset List'!$Y$3:$AE$3,0))</f>
        <v>2025</v>
      </c>
      <c r="Y19" s="9">
        <f>INDEX('Unique Asset List'!$AF$4:$AL$60,MATCH('5'!$B19,'Unique Asset List'!$A$4:$A$60,0),MATCH('5'!$C$1,'Unique Asset List'!$AF$3:$AL$3,0))</f>
        <v>7.999999999998181</v>
      </c>
      <c r="Z19" s="9">
        <f>INDEX('Unique Asset List'!$AT$4:$AZ$60,MATCH('5'!$B19,'Unique Asset List'!$A$4:$A$60,0),MATCH('5'!$C$1,'Unique Asset List'!$AT$3:$AZ$3,0))</f>
        <v>2034</v>
      </c>
      <c r="AA19" s="9">
        <f>INDEX('Unique Asset List'!$BA$4:$BG$60,MATCH('5'!$B19,'Unique Asset List'!$A$4:$A$60,0),MATCH('5'!$C$1,'Unique Asset List'!$BA$3:$BG$3,0))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List'!$CJ$4:$CP$60,MATCH('5'!$B19,'Unique Asset List'!$A$4:$A$60,0),MATCH('5'!$C$1,'Unique Asset List'!$CJ$3:$CP$3,0))</f>
        <v>0.14000000000000001</v>
      </c>
      <c r="AF19" s="15">
        <f>INDEX('Unique Asset List'!$CQ$4:$CW$60,MATCH('5'!$B19,'Unique Asset List'!$A$4:$A$60,0),MATCH('5'!$C$1,'Unique Asset List'!$CQ$3:$CW$3,0))</f>
        <v>0.36</v>
      </c>
      <c r="AG19" s="15">
        <f>INDEX('Unique Asset List'!$BV$4:$CB$60,MATCH('5'!$B19,'Unique Asset List'!$A$4:$A$60,0),MATCH('5'!$C$1,'Unique Asset List'!$BV$3:$CB$3,0))</f>
        <v>0.14000000000000001</v>
      </c>
      <c r="AH19" s="15">
        <f>INDEX('Unique Asset List'!$CC$4:$CI$60,MATCH('5'!$B19,'Unique Asset List'!$A$4:$A$60,0),MATCH('5'!$C$1,'Unique Asset List'!$CC$3:$CI$3,0))</f>
        <v>0.36</v>
      </c>
      <c r="AI19" s="11">
        <v>0.96187963349867744</v>
      </c>
      <c r="AJ19" s="15">
        <f>INDEX('Unique Asset List'!$BH$4:$BN$60,MATCH('5'!$B19,'Unique Asset List'!$A$4:$A$60,0),MATCH('5'!$C$1,'Unique Asset List'!$BH$3:$BN$3,0))</f>
        <v>1.2944496352201866</v>
      </c>
      <c r="AK19" s="15">
        <f>INDEX('Unique Asset List'!$BO$4:$BU$60,MATCH('5'!$B19,'Unique Asset List'!$A$4:$A$60,0),MATCH('5'!$C$1,'Unique Asset List'!$BO$3:$BU$3,0))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1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4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5</v>
      </c>
      <c r="BL19" s="3">
        <f>IF($C$5="ON",CL19,MyRating(_S1,$B19,Efficacy!$F$1))</f>
        <v>4</v>
      </c>
      <c r="BM19" s="3">
        <f>IF($C$5="ON",CM19,MyRating(_S2,$B19,Efficacy!$F$1))</f>
        <v>3</v>
      </c>
      <c r="BN19" s="3">
        <f>IF($C$5="ON",CN19,MyRating(_S3,$B19,Efficacy!$F$1))</f>
        <v>3</v>
      </c>
      <c r="BO19" s="3">
        <f>IF($C$5="ON",CO19,MyRating(_S4,$B19,Efficacy!$F$1))</f>
        <v>3</v>
      </c>
      <c r="BP19" s="3">
        <f>IF($C$5="ON",CP19,MyRating(_S5,$B19,Efficacy!$F$1))</f>
        <v>5</v>
      </c>
      <c r="BQ19" s="3">
        <f>IF($C$5="ON",CQ19,MyRating(_S6,$B19,Efficacy!$F$1))</f>
        <v>2</v>
      </c>
      <c r="BR19" s="3">
        <f>IF($C$5="ON",CR19,MyRating(_S7,$B19,Efficacy!$F$1))</f>
        <v>3</v>
      </c>
      <c r="BS19" s="3">
        <f>IF($C$5="ON",CS19,MyRating(_D1,$B19,Efficacy!$F$1))</f>
        <v>3</v>
      </c>
      <c r="BT19" s="3">
        <f>IF($C$5="ON",CT19,MyRating(_D2,$B19,Efficacy!$F$1))</f>
        <v>3</v>
      </c>
      <c r="BU19" s="3">
        <f>IF($C$5="ON",CU19,MyRating(_D3,$B19,Efficacy!$F$1))</f>
        <v>3</v>
      </c>
      <c r="BV19" s="3">
        <f>IF($C$5="ON",CV19,MyRating(_D4,$B19,Efficacy!$F$1))</f>
        <v>3</v>
      </c>
      <c r="BW19" s="3">
        <f>IF($C$5="ON",CW19,MyRating(_B1G5,$B19,Barrier!$L$2))</f>
        <v>2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9"/>
        <v>3.3407946312985805E-2</v>
      </c>
      <c r="CA19" s="8">
        <f t="shared" si="6"/>
        <v>2.8000000000000003</v>
      </c>
      <c r="CB19" s="5">
        <f t="shared" si="7"/>
        <v>3.2941176470588251E-2</v>
      </c>
      <c r="CC19" s="7">
        <f t="shared" si="8"/>
        <v>5.9787261089987885E-3</v>
      </c>
      <c r="CD19" s="4">
        <v>3</v>
      </c>
      <c r="CE19" s="3">
        <v>3</v>
      </c>
      <c r="CF19" s="3">
        <v>3</v>
      </c>
      <c r="CG19" s="3">
        <v>4</v>
      </c>
      <c r="CH19" s="3">
        <v>3</v>
      </c>
      <c r="CI19" s="3">
        <v>3</v>
      </c>
      <c r="CJ19" s="3">
        <v>3</v>
      </c>
      <c r="CK19" s="3">
        <v>5</v>
      </c>
      <c r="CL19" s="3">
        <v>4</v>
      </c>
      <c r="CM19" s="3">
        <v>3</v>
      </c>
      <c r="CN19" s="3">
        <v>3</v>
      </c>
      <c r="CO19" s="3">
        <v>3</v>
      </c>
      <c r="CP19" s="3">
        <v>5</v>
      </c>
      <c r="CQ19" s="3">
        <v>2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2</v>
      </c>
      <c r="CX19" s="3">
        <v>3</v>
      </c>
      <c r="CY19" s="6">
        <v>3</v>
      </c>
      <c r="CZ19" s="5">
        <v>3.6275844714639842E-2</v>
      </c>
    </row>
    <row r="20" spans="1:104" x14ac:dyDescent="0.25">
      <c r="A20" s="9" t="str">
        <f t="shared" si="0"/>
        <v>ES</v>
      </c>
      <c r="B20" s="9" t="s">
        <v>39</v>
      </c>
      <c r="C20" s="20"/>
      <c r="D20" s="9" t="s">
        <v>2</v>
      </c>
      <c r="E20" s="9" t="s">
        <v>186</v>
      </c>
      <c r="F20" s="9" t="str">
        <f>INDEX('Unique Asset List'!$C$4:$C$60,MATCH(B20,_CompoundList,0))</f>
        <v>Ph2b</v>
      </c>
      <c r="G20" s="19">
        <v>0</v>
      </c>
      <c r="H20" s="9">
        <v>2014</v>
      </c>
      <c r="I20" s="9">
        <v>6</v>
      </c>
      <c r="J20" s="18">
        <f>INDEX(PTRS!$D$6:$D$12,MATCH('5'!$F20,PTRS!$B$6:$B$12,0))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1</v>
      </c>
      <c r="M20" s="17">
        <v>0.40949999999999998</v>
      </c>
      <c r="N20" s="17">
        <f>INDEX('Unique Asset List'!$D$4:$M$60,MATCH($B20,'Unique Asset List'!$A$4:$A$60,0),MATCH(N$8,'Unique Asset List'!$D$3:$M$3,0))</f>
        <v>0.4</v>
      </c>
      <c r="O20" s="17">
        <f>INDEX('Unique Asset List'!$D$4:$M$60,MATCH($B20,'Unique Asset List'!$A$4:$A$60,0),MATCH(O$8,'Unique Asset List'!$D$3:$M$3,0))</f>
        <v>0</v>
      </c>
      <c r="P20" s="17">
        <f>INDEX('Unique Asset List'!$D$4:$M$60,MATCH($B20,'Unique Asset List'!$A$4:$A$60,0),MATCH(P$8,'Unique Asset List'!$D$3:$M$3,0))</f>
        <v>1</v>
      </c>
      <c r="Q20" s="17">
        <f>INDEX('Unique Asset List'!$D$4:$M$60,MATCH($B20,'Unique Asset List'!$A$4:$A$60,0),MATCH(Q$8,'Unique Asset List'!$D$3:$M$3,0))</f>
        <v>0</v>
      </c>
      <c r="R20" s="17">
        <f>INDEX('Unique Asset List'!$D$4:$M$60,MATCH($B20,'Unique Asset List'!$A$4:$A$60,0),MATCH(R$8,'Unique Asset List'!$D$3:$M$3,0))</f>
        <v>1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1"/>
        <v>0.54433105395181736</v>
      </c>
      <c r="V20" s="17">
        <v>1</v>
      </c>
      <c r="W20" s="9" t="s">
        <v>38</v>
      </c>
      <c r="X20" s="9">
        <f>INDEX('Unique Asset List'!$Y$4:$AE$60,MATCH('5'!$B20,'Unique Asset List'!$A$4:$A$60,0),MATCH('5'!$C$1,'Unique Asset List'!$Y$3:$AE$3,0))</f>
        <v>2025</v>
      </c>
      <c r="Y20" s="9">
        <f>INDEX('Unique Asset List'!$AF$4:$AL$60,MATCH('5'!$B20,'Unique Asset List'!$A$4:$A$60,0),MATCH('5'!$C$1,'Unique Asset List'!$AF$3:$AL$3,0))</f>
        <v>1</v>
      </c>
      <c r="Z20" s="9">
        <f>INDEX('Unique Asset List'!$AT$4:$AZ$60,MATCH('5'!$B20,'Unique Asset List'!$A$4:$A$60,0),MATCH('5'!$C$1,'Unique Asset List'!$AT$3:$AZ$3,0))</f>
        <v>2034</v>
      </c>
      <c r="AA20" s="9">
        <f>INDEX('Unique Asset List'!$BA$4:$BG$60,MATCH('5'!$B20,'Unique Asset List'!$A$4:$A$60,0),MATCH('5'!$C$1,'Unique Asset List'!$BA$3:$BG$3,0))</f>
        <v>10</v>
      </c>
      <c r="AB20" s="16">
        <f t="shared" si="2"/>
        <v>2.1511674000000003</v>
      </c>
      <c r="AC20" s="16">
        <f t="shared" si="3"/>
        <v>0.95118959999999997</v>
      </c>
      <c r="AD20" s="16">
        <f t="shared" si="4"/>
        <v>0.56099999999999994</v>
      </c>
      <c r="AE20" s="15">
        <f>INDEX('Unique Asset List'!$CJ$4:$CP$60,MATCH('5'!$B20,'Unique Asset List'!$A$4:$A$60,0),MATCH('5'!$C$1,'Unique Asset List'!$CJ$3:$CP$3,0))</f>
        <v>0.08</v>
      </c>
      <c r="AF20" s="15">
        <f>INDEX('Unique Asset List'!$CQ$4:$CW$60,MATCH('5'!$B20,'Unique Asset List'!$A$4:$A$60,0),MATCH('5'!$C$1,'Unique Asset List'!$CQ$3:$CW$3,0))</f>
        <v>0.42</v>
      </c>
      <c r="AG20" s="15">
        <f>INDEX('Unique Asset List'!$BV$4:$CB$60,MATCH('5'!$B20,'Unique Asset List'!$A$4:$A$60,0),MATCH('5'!$C$1,'Unique Asset List'!$BV$3:$CB$3,0))</f>
        <v>0.08</v>
      </c>
      <c r="AH20" s="15">
        <f>INDEX('Unique Asset List'!$CC$4:$CI$60,MATCH('5'!$B20,'Unique Asset List'!$A$4:$A$60,0),MATCH('5'!$C$1,'Unique Asset List'!$CC$3:$CI$3,0))</f>
        <v>0.42</v>
      </c>
      <c r="AI20" s="11">
        <v>0.96187963349867744</v>
      </c>
      <c r="AJ20" s="15">
        <f>INDEX('Unique Asset List'!$BH$4:$BN$60,MATCH('5'!$B20,'Unique Asset List'!$A$4:$A$60,0),MATCH('5'!$C$1,'Unique Asset List'!$BH$3:$BN$3,0))</f>
        <v>1.2944496352201866</v>
      </c>
      <c r="AK20" s="15">
        <f>INDEX('Unique Asset List'!$BO$4:$BU$60,MATCH('5'!$B20,'Unique Asset List'!$A$4:$A$60,0),MATCH('5'!$C$1,'Unique Asset List'!$BO$3:$BU$3,0))</f>
        <v>-1.4425350046709582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1</v>
      </c>
      <c r="AV20" s="181">
        <f>INDEX('Unique Asset List'!P$4:P$60,MATCH($B20,_CompoundList,0))</f>
        <v>0</v>
      </c>
      <c r="AW20" s="181">
        <f>INDEX('Unique Asset List'!Q$4:Q$60,MATCH($B20,_CompoundList,0))</f>
        <v>1</v>
      </c>
      <c r="AX20" s="181">
        <f ca="1">INDEX('Unique Asset List'!R$4:R$60,MATCH($B20,_CompoundList,0))</f>
        <v>0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0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0</v>
      </c>
      <c r="BD20" s="4">
        <f>IF($C$5="ON",CD20,MyRating(_E1,$B20,Efficacy!$F$1))</f>
        <v>4</v>
      </c>
      <c r="BE20" s="3">
        <f>IF($C$5="ON",CE20,MyRating(_E2,$B20,Efficacy!$F$1))</f>
        <v>4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5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3</v>
      </c>
      <c r="BL20" s="3">
        <f>IF($C$5="ON",CL20,MyRating(_S1,$B20,Efficacy!$F$1))</f>
        <v>4</v>
      </c>
      <c r="BM20" s="3">
        <f>IF($C$5="ON",CM20,MyRating(_S2,$B20,Efficacy!$F$1))</f>
        <v>4</v>
      </c>
      <c r="BN20" s="3">
        <f>IF($C$5="ON",CN20,MyRating(_S3,$B20,Efficacy!$F$1))</f>
        <v>4</v>
      </c>
      <c r="BO20" s="3">
        <f>IF($C$5="ON",CO20,MyRating(_S4,$B20,Efficacy!$F$1))</f>
        <v>3</v>
      </c>
      <c r="BP20" s="3">
        <f>IF($C$5="ON",CP20,MyRating(_S5,$B20,Efficacy!$F$1))</f>
        <v>5</v>
      </c>
      <c r="BQ20" s="3">
        <f>IF($C$5="ON",CQ20,MyRating(_S6,$B20,Efficacy!$F$1))</f>
        <v>4</v>
      </c>
      <c r="BR20" s="3">
        <f>IF($C$5="ON",CR20,MyRating(_S7,$B20,Efficacy!$F$1))</f>
        <v>2</v>
      </c>
      <c r="BS20" s="3">
        <f>IF($C$5="ON",CS20,MyRating(_D1,$B20,Efficacy!$F$1))</f>
        <v>3</v>
      </c>
      <c r="BT20" s="3">
        <f>IF($C$5="ON",CT20,MyRating(_D2,$B20,Efficacy!$F$1))</f>
        <v>3</v>
      </c>
      <c r="BU20" s="3">
        <f>IF($C$5="ON",CU20,MyRating(_D3,$B20,Efficacy!$F$1))</f>
        <v>3</v>
      </c>
      <c r="BV20" s="3">
        <f>IF($C$5="ON",CV20,MyRating(_D4,$B20,Efficacy!$F$1))</f>
        <v>3</v>
      </c>
      <c r="BW20" s="3">
        <f>IF($C$5="ON",CW20,MyRating(_B1G5,$B20,Barrier!$L$2))</f>
        <v>2</v>
      </c>
      <c r="BX20" s="3">
        <f>IF($C$5="ON",CX20,MyRating(_B2,$B20,Barrier!$F$2))</f>
        <v>2</v>
      </c>
      <c r="BY20" s="6">
        <f>IF($C$5="ON",CY20,MyRating(_B3,$B20,Barrier!$F$2))</f>
        <v>2</v>
      </c>
      <c r="BZ20" s="5">
        <f t="shared" si="9"/>
        <v>2.01677628344013E-2</v>
      </c>
      <c r="CA20" s="8">
        <f t="shared" si="6"/>
        <v>2</v>
      </c>
      <c r="CB20" s="5">
        <f t="shared" si="7"/>
        <v>2.3529411764705892E-2</v>
      </c>
      <c r="CC20" s="7">
        <f t="shared" si="8"/>
        <v>3.6092470063405695E-3</v>
      </c>
      <c r="CD20" s="4">
        <v>4</v>
      </c>
      <c r="CE20" s="3">
        <v>3</v>
      </c>
      <c r="CF20" s="3">
        <v>3</v>
      </c>
      <c r="CG20" s="3">
        <v>4</v>
      </c>
      <c r="CH20" s="3">
        <v>3</v>
      </c>
      <c r="CI20" s="3">
        <v>2</v>
      </c>
      <c r="CJ20" s="3">
        <v>3</v>
      </c>
      <c r="CK20" s="3">
        <v>3</v>
      </c>
      <c r="CL20" s="3">
        <v>4</v>
      </c>
      <c r="CM20" s="3">
        <v>4</v>
      </c>
      <c r="CN20" s="3">
        <v>3</v>
      </c>
      <c r="CO20" s="3">
        <v>4</v>
      </c>
      <c r="CP20" s="3">
        <v>5</v>
      </c>
      <c r="CQ20" s="3">
        <v>2</v>
      </c>
      <c r="CR20" s="3">
        <v>3</v>
      </c>
      <c r="CS20" s="3">
        <v>3</v>
      </c>
      <c r="CT20" s="3">
        <v>2</v>
      </c>
      <c r="CU20" s="3">
        <v>3</v>
      </c>
      <c r="CV20" s="3">
        <v>3</v>
      </c>
      <c r="CW20" s="3">
        <v>2</v>
      </c>
      <c r="CX20" s="3">
        <v>3</v>
      </c>
      <c r="CY20" s="6">
        <v>3</v>
      </c>
      <c r="CZ20" s="5">
        <v>3.6275844714639842E-2</v>
      </c>
    </row>
    <row r="21" spans="1:104" x14ac:dyDescent="0.25">
      <c r="A21" s="9" t="str">
        <f t="shared" si="0"/>
        <v>ES</v>
      </c>
      <c r="B21" s="9" t="s">
        <v>75</v>
      </c>
      <c r="C21" s="20"/>
      <c r="D21" s="9" t="s">
        <v>74</v>
      </c>
      <c r="E21" s="9" t="s">
        <v>186</v>
      </c>
      <c r="F21" s="9" t="str">
        <f>INDEX('Unique Asset List'!$C$4:$C$60,MATCH(B21,_CompoundList,0))</f>
        <v>Ph2a</v>
      </c>
      <c r="G21" s="19">
        <v>0</v>
      </c>
      <c r="H21" s="9">
        <v>2014</v>
      </c>
      <c r="I21" s="9">
        <v>6</v>
      </c>
      <c r="J21" s="18">
        <f>INDEX(PTRS!$D$6:$D$12,MATCH('5'!$F21,PTRS!$B$6:$B$12,0))</f>
        <v>0.1638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7">
        <v>0.1638</v>
      </c>
      <c r="N21" s="17">
        <f>INDEX('Unique Asset List'!$D$4:$M$60,MATCH($B21,'Unique Asset List'!$A$4:$A$60,0),MATCH(N$8,'Unique Asset List'!$D$3:$M$3,0))</f>
        <v>0.1638</v>
      </c>
      <c r="O21" s="17">
        <f>INDEX('Unique Asset List'!$D$4:$M$60,MATCH($B21,'Unique Asset List'!$A$4:$A$60,0),MATCH(O$8,'Unique Asset List'!$D$3:$M$3,0))</f>
        <v>0.1638</v>
      </c>
      <c r="P21" s="17">
        <f>INDEX('Unique Asset List'!$D$4:$M$60,MATCH($B21,'Unique Asset List'!$A$4:$A$60,0),MATCH(P$8,'Unique Asset List'!$D$3:$M$3,0))</f>
        <v>0.1638</v>
      </c>
      <c r="Q21" s="17">
        <f>INDEX('Unique Asset List'!$D$4:$M$60,MATCH($B21,'Unique Asset List'!$A$4:$A$60,0),MATCH(Q$8,'Unique Asset List'!$D$3:$M$3,0))</f>
        <v>0.1638</v>
      </c>
      <c r="R21" s="17">
        <f>INDEX('Unique Asset List'!$D$4:$M$60,MATCH($B21,'Unique Asset List'!$A$4:$A$60,0),MATCH(R$8,'Unique Asset List'!$D$3:$M$3,0))</f>
        <v>0.1638</v>
      </c>
      <c r="S21" s="17">
        <f>INDEX('Unique Asset List'!$D$4:$M$60,MATCH($B21,'Unique Asset List'!$A$4:$A$60,0),MATCH(S$8,'Unique Asset List'!$D$3:$M$3,0))</f>
        <v>1</v>
      </c>
      <c r="T21" s="17"/>
      <c r="U21" s="17">
        <f t="shared" si="1"/>
        <v>0.90168566420734264</v>
      </c>
      <c r="V21" s="17">
        <v>1</v>
      </c>
      <c r="W21" s="9" t="s">
        <v>27</v>
      </c>
      <c r="X21" s="9">
        <f>INDEX('Unique Asset List'!$Y$4:$AE$60,MATCH('5'!$B21,'Unique Asset List'!$A$4:$A$60,0),MATCH('5'!$C$1,'Unique Asset List'!$Y$3:$AE$3,0))</f>
        <v>2025</v>
      </c>
      <c r="Y21" s="9">
        <f>INDEX('Unique Asset List'!$AF$4:$AL$60,MATCH('5'!$B21,'Unique Asset List'!$A$4:$A$60,0),MATCH('5'!$C$1,'Unique Asset List'!$AF$3:$AL$3,0))</f>
        <v>6.9999999999990905</v>
      </c>
      <c r="Z21" s="9">
        <f>INDEX('Unique Asset List'!$AT$4:$AZ$60,MATCH('5'!$B21,'Unique Asset List'!$A$4:$A$60,0),MATCH('5'!$C$1,'Unique Asset List'!$AT$3:$AZ$3,0))</f>
        <v>2034</v>
      </c>
      <c r="AA21" s="9">
        <f>INDEX('Unique Asset List'!$BA$4:$BG$60,MATCH('5'!$B21,'Unique Asset List'!$A$4:$A$60,0),MATCH('5'!$C$1,'Unique Asset List'!$BA$3:$BG$3,0))</f>
        <v>6</v>
      </c>
      <c r="AB21" s="16">
        <f t="shared" si="2"/>
        <v>1.9312568000000003</v>
      </c>
      <c r="AC21" s="16">
        <f t="shared" si="3"/>
        <v>0.82350590000000001</v>
      </c>
      <c r="AD21" s="16">
        <f t="shared" si="4"/>
        <v>0.45111879999999999</v>
      </c>
      <c r="AE21" s="15">
        <f>INDEX('Unique Asset List'!$CJ$4:$CP$60,MATCH('5'!$B21,'Unique Asset List'!$A$4:$A$60,0),MATCH('5'!$C$1,'Unique Asset List'!$CJ$3:$CP$3,0))</f>
        <v>0.08</v>
      </c>
      <c r="AF21" s="15">
        <f>INDEX('Unique Asset List'!$CQ$4:$CW$60,MATCH('5'!$B21,'Unique Asset List'!$A$4:$A$60,0),MATCH('5'!$C$1,'Unique Asset List'!$CQ$3:$CW$3,0))</f>
        <v>0.42</v>
      </c>
      <c r="AG21" s="15">
        <f>INDEX('Unique Asset List'!$BV$4:$CB$60,MATCH('5'!$B21,'Unique Asset List'!$A$4:$A$60,0),MATCH('5'!$C$1,'Unique Asset List'!$BV$3:$CB$3,0))</f>
        <v>0.08</v>
      </c>
      <c r="AH21" s="15">
        <f>INDEX('Unique Asset List'!$CC$4:$CI$60,MATCH('5'!$B21,'Unique Asset List'!$A$4:$A$60,0),MATCH('5'!$C$1,'Unique Asset List'!$CC$3:$CI$3,0))</f>
        <v>0.42</v>
      </c>
      <c r="AI21" s="11">
        <v>0.96187963349867744</v>
      </c>
      <c r="AJ21" s="15">
        <f>INDEX('Unique Asset List'!$BH$4:$BN$60,MATCH('5'!$B21,'Unique Asset List'!$A$4:$A$60,0),MATCH('5'!$C$1,'Unique Asset List'!$BH$3:$BN$3,0))</f>
        <v>1.2944496352201866</v>
      </c>
      <c r="AK21" s="15">
        <f>INDEX('Unique Asset List'!$BO$4:$BU$60,MATCH('5'!$B21,'Unique Asset List'!$A$4:$A$60,0),MATCH('5'!$C$1,'Unique Asset List'!$BO$3:$BU$3,0))</f>
        <v>-1.4425350046709582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0</v>
      </c>
      <c r="AY21" s="181">
        <f ca="1">INDEX('Unique Asset List'!S$4:S$60,MATCH($B21,_CompoundList,0))</f>
        <v>0</v>
      </c>
      <c r="AZ21" s="181">
        <f ca="1">INDEX('Unique Asset List'!T$4:T$60,MATCH($B21,_CompoundList,0))</f>
        <v>0</v>
      </c>
      <c r="BA21" s="181">
        <f ca="1">INDEX('Unique Asset List'!U$4:U$60,MATCH($B21,_CompoundList,0))</f>
        <v>1</v>
      </c>
      <c r="BB21" s="181">
        <f ca="1">INDEX('Unique Asset List'!V$4:V$60,MATCH($B21,_CompoundList,0))</f>
        <v>0</v>
      </c>
      <c r="BC21" s="181">
        <f ca="1">INDEX('Unique Asset List'!W$4:W$60,MATCH($B21,_CompoundList,0))</f>
        <v>1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4</v>
      </c>
      <c r="BG21" s="3">
        <f>IF($C$5="ON",CG21,MyRating(_E4,$B21,Efficacy!$F$1))</f>
        <v>3</v>
      </c>
      <c r="BH21" s="3">
        <f>IF($C$5="ON",CH21,MyRating(_E5,$B21,Efficacy!$F$1))</f>
        <v>3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5</v>
      </c>
      <c r="BL21" s="3">
        <f>IF($C$5="ON",CL21,MyRating(_S1,$B21,Efficacy!$F$1))</f>
        <v>3</v>
      </c>
      <c r="BM21" s="3">
        <f>IF($C$5="ON",CM21,MyRating(_S2,$B21,Efficacy!$F$1))</f>
        <v>3</v>
      </c>
      <c r="BN21" s="3">
        <f>IF($C$5="ON",CN21,MyRating(_S3,$B21,Efficacy!$F$1))</f>
        <v>3</v>
      </c>
      <c r="BO21" s="3">
        <f>IF($C$5="ON",CO21,MyRating(_S4,$B21,Efficacy!$F$1))</f>
        <v>3</v>
      </c>
      <c r="BP21" s="3">
        <f>IF($C$5="ON",CP21,MyRating(_S5,$B21,Efficacy!$F$1))</f>
        <v>5</v>
      </c>
      <c r="BQ21" s="3">
        <f>IF($C$5="ON",CQ21,MyRating(_S6,$B21,Efficacy!$F$1))</f>
        <v>2</v>
      </c>
      <c r="BR21" s="3">
        <f>IF($C$5="ON",CR21,MyRating(_S7,$B21,Efficacy!$F$1))</f>
        <v>3</v>
      </c>
      <c r="BS21" s="3">
        <f>IF($C$5="ON",CS21,MyRating(_D1,$B21,Efficacy!$F$1))</f>
        <v>3</v>
      </c>
      <c r="BT21" s="3">
        <f>IF($C$5="ON",CT21,MyRating(_D2,$B21,Efficacy!$F$1))</f>
        <v>3</v>
      </c>
      <c r="BU21" s="3">
        <f>IF($C$5="ON",CU21,MyRating(_D3,$B21,Efficacy!$F$1))</f>
        <v>3</v>
      </c>
      <c r="BV21" s="3">
        <f>IF($C$5="ON",CV21,MyRating(_D4,$B21,Efficacy!$F$1))</f>
        <v>1</v>
      </c>
      <c r="BW21" s="3">
        <f>IF($C$5="ON",CW21,MyRating(_B1G5,$B21,Barrier!$L$2))</f>
        <v>2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9"/>
        <v>3.3407946312985805E-2</v>
      </c>
      <c r="CA21" s="8">
        <f t="shared" si="6"/>
        <v>2.8000000000000003</v>
      </c>
      <c r="CB21" s="5">
        <f t="shared" si="7"/>
        <v>3.2941176470588251E-2</v>
      </c>
      <c r="CC21" s="7">
        <f t="shared" si="8"/>
        <v>5.9787261089987885E-3</v>
      </c>
      <c r="CD21" s="4">
        <v>4</v>
      </c>
      <c r="CE21" s="3">
        <v>4</v>
      </c>
      <c r="CF21" s="3">
        <v>4</v>
      </c>
      <c r="CG21" s="3">
        <v>3</v>
      </c>
      <c r="CH21" s="3">
        <v>3</v>
      </c>
      <c r="CI21" s="3">
        <v>2</v>
      </c>
      <c r="CJ21" s="3">
        <v>3</v>
      </c>
      <c r="CK21" s="3">
        <v>5</v>
      </c>
      <c r="CL21" s="3">
        <v>2</v>
      </c>
      <c r="CM21" s="3">
        <v>3</v>
      </c>
      <c r="CN21" s="3">
        <v>3</v>
      </c>
      <c r="CO21" s="3">
        <v>3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2</v>
      </c>
      <c r="CX21" s="3">
        <v>3</v>
      </c>
      <c r="CY21" s="6">
        <v>3</v>
      </c>
      <c r="CZ21" s="5">
        <v>3.6275844714639842E-2</v>
      </c>
    </row>
    <row r="22" spans="1:104" x14ac:dyDescent="0.25">
      <c r="A22" s="9" t="str">
        <f t="shared" si="0"/>
        <v>ES</v>
      </c>
      <c r="B22" s="9" t="s">
        <v>295</v>
      </c>
      <c r="C22" s="20"/>
      <c r="D22" s="9" t="s">
        <v>2</v>
      </c>
      <c r="E22" s="9" t="s">
        <v>186</v>
      </c>
      <c r="F22" s="9" t="str">
        <f>INDEX('Unique Asset List'!$C$4:$C$60,MATCH(B22,_CompoundList,0))</f>
        <v>PCD</v>
      </c>
      <c r="G22" s="19">
        <v>0</v>
      </c>
      <c r="H22" s="9">
        <v>2014</v>
      </c>
      <c r="I22" s="9">
        <v>6</v>
      </c>
      <c r="J22" s="18">
        <f>INDEX(PTRS!$D$6:$D$12,MATCH('5'!$F22,PTRS!$B$6:$B$12,0))</f>
        <v>0.1044225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7">
        <v>0</v>
      </c>
      <c r="N22" s="17">
        <f>INDEX('Unique Asset List'!$D$4:$M$60,MATCH($B22,'Unique Asset List'!$A$4:$A$60,0),MATCH(N$8,'Unique Asset List'!$D$3:$M$3,0))</f>
        <v>0.16400000000000001</v>
      </c>
      <c r="O22" s="17">
        <f>INDEX('Unique Asset List'!$D$4:$M$60,MATCH($B22,'Unique Asset List'!$A$4:$A$60,0),MATCH(O$8,'Unique Asset List'!$D$3:$M$3,0))</f>
        <v>0.16400000000000001</v>
      </c>
      <c r="P22" s="17">
        <f>INDEX('Unique Asset List'!$D$4:$M$60,MATCH($B22,'Unique Asset List'!$A$4:$A$60,0),MATCH(P$8,'Unique Asset List'!$D$3:$M$3,0))</f>
        <v>0.16400000000000001</v>
      </c>
      <c r="Q22" s="17">
        <f>INDEX('Unique Asset List'!$D$4:$M$60,MATCH($B22,'Unique Asset List'!$A$4:$A$60,0),MATCH(Q$8,'Unique Asset List'!$D$3:$M$3,0))</f>
        <v>0.16400000000000001</v>
      </c>
      <c r="R22" s="17">
        <f>INDEX('Unique Asset List'!$D$4:$M$60,MATCH($B22,'Unique Asset List'!$A$4:$A$60,0),MATCH(R$8,'Unique Asset List'!$D$3:$M$3,0))</f>
        <v>0.16400000000000001</v>
      </c>
      <c r="S22" s="17">
        <f>INDEX('Unique Asset List'!$D$4:$M$60,MATCH($B22,'Unique Asset List'!$A$4:$A$60,0),MATCH(S$8,'Unique Asset List'!$D$3:$M$3,0))</f>
        <v>0</v>
      </c>
      <c r="T22" s="17"/>
      <c r="U22" s="17">
        <f t="shared" si="1"/>
        <v>0.80682275808442805</v>
      </c>
      <c r="V22" s="17">
        <f>(42%+N("TRD as % of aMDD"))*(5/6+N("Maintenance only"))</f>
        <v>0.35</v>
      </c>
      <c r="W22" s="9" t="s">
        <v>62</v>
      </c>
      <c r="X22" s="9">
        <f>INDEX('Unique Asset List'!$Y$4:$AE$60,MATCH('5'!$B22,'Unique Asset List'!$A$4:$A$60,0),MATCH('5'!$C$1,'Unique Asset List'!$Y$3:$AE$3,0))</f>
        <v>2027</v>
      </c>
      <c r="Y22" s="9">
        <f>INDEX('Unique Asset List'!$AF$4:$AL$60,MATCH('5'!$B22,'Unique Asset List'!$A$4:$A$60,0),MATCH('5'!$C$1,'Unique Asset List'!$AF$3:$AL$3,0))</f>
        <v>9.9999999999990905</v>
      </c>
      <c r="Z22" s="9">
        <f>INDEX('Unique Asset List'!$AT$4:$AZ$60,MATCH('5'!$B22,'Unique Asset List'!$A$4:$A$60,0),MATCH('5'!$C$1,'Unique Asset List'!$AT$3:$AZ$3,0))</f>
        <v>2046</v>
      </c>
      <c r="AA22" s="9">
        <f>INDEX('Unique Asset List'!$BA$4:$BG$60,MATCH('5'!$B22,'Unique Asset List'!$A$4:$A$60,0),MATCH('5'!$C$1,'Unique Asset List'!$BA$3:$BG$3,0))</f>
        <v>9</v>
      </c>
      <c r="AB22" s="16">
        <f t="shared" si="2"/>
        <v>2.3950192000000001</v>
      </c>
      <c r="AC22" s="16">
        <f t="shared" si="3"/>
        <v>0.88497580000000009</v>
      </c>
      <c r="AD22" s="16">
        <f t="shared" si="4"/>
        <v>0.56099999999999994</v>
      </c>
      <c r="AE22" s="15">
        <f>INDEX('Unique Asset List'!$CJ$4:$CP$60,MATCH('5'!$B22,'Unique Asset List'!$A$4:$A$60,0),MATCH('5'!$C$1,'Unique Asset List'!$CJ$3:$CP$3,0))</f>
        <v>0.14000000000000001</v>
      </c>
      <c r="AF22" s="15">
        <f>INDEX('Unique Asset List'!$CQ$4:$CW$60,MATCH('5'!$B22,'Unique Asset List'!$A$4:$A$60,0),MATCH('5'!$C$1,'Unique Asset List'!$CQ$3:$CW$3,0))</f>
        <v>0.36</v>
      </c>
      <c r="AG22" s="15">
        <f>INDEX('Unique Asset List'!$BV$4:$CB$60,MATCH('5'!$B22,'Unique Asset List'!$A$4:$A$60,0),MATCH('5'!$C$1,'Unique Asset List'!$BV$3:$CB$3,0))</f>
        <v>0.14000000000000001</v>
      </c>
      <c r="AH22" s="15">
        <f>INDEX('Unique Asset List'!$CC$4:$CI$60,MATCH('5'!$B22,'Unique Asset List'!$A$4:$A$60,0),MATCH('5'!$C$1,'Unique Asset List'!$CC$3:$CI$3,0))</f>
        <v>0.36</v>
      </c>
      <c r="AI22" s="11">
        <v>0.96187963349867744</v>
      </c>
      <c r="AJ22" s="15">
        <f>INDEX('Unique Asset List'!$BH$4:$BN$60,MATCH('5'!$B22,'Unique Asset List'!$A$4:$A$60,0),MATCH('5'!$C$1,'Unique Asset List'!$BH$3:$BN$3,0))</f>
        <v>1.2944496352201866</v>
      </c>
      <c r="AK22" s="15">
        <f>INDEX('Unique Asset List'!$BO$4:$BU$60,MATCH('5'!$B22,'Unique Asset List'!$A$4:$A$60,0),MATCH('5'!$C$1,'Unique Asset List'!$BO$3:$BU$3,0))</f>
        <v>-1.4425350046709582</v>
      </c>
      <c r="AL22" s="40">
        <f>177.567567567568-28</f>
        <v>149.56756756756801</v>
      </c>
      <c r="AM22" s="14">
        <f>AM13*0.9</f>
        <v>32.504547945205481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2/7</f>
        <v>0.2857142857142857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0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5</v>
      </c>
      <c r="BE22" s="3">
        <f>IF($C$5="ON",CE22,MyRating(_E2,$B22,Efficacy!$F$1))</f>
        <v>5</v>
      </c>
      <c r="BF22" s="3">
        <f>IF($C$5="ON",CF22,MyRating(_E3,$B22,Efficacy!$F$1))</f>
        <v>5</v>
      </c>
      <c r="BG22" s="3">
        <f>IF($C$5="ON",CG22,MyRating(_E4,$B22,Efficacy!$F$1))</f>
        <v>5</v>
      </c>
      <c r="BH22" s="3">
        <f>IF($C$5="ON",CH22,MyRating(_E5,$B22,Efficacy!$F$1))</f>
        <v>4</v>
      </c>
      <c r="BI22" s="3">
        <f>IF($C$5="ON",CI22,MyRating(_E6,$B22,Efficacy!$F$1))</f>
        <v>3</v>
      </c>
      <c r="BJ22" s="3">
        <f>IF($C$5="ON",CJ22,MyRating(_E7,$B22,Efficacy!$F$1))</f>
        <v>2</v>
      </c>
      <c r="BK22" s="3">
        <f>IF($C$5="ON",CK22,MyRating(_E8,$B22,Efficacy!$F$1))</f>
        <v>3</v>
      </c>
      <c r="BL22" s="3">
        <f>IF($C$5="ON",CL22,MyRating(_S1,$B22,Efficacy!$F$1))</f>
        <v>4</v>
      </c>
      <c r="BM22" s="3">
        <f>IF($C$5="ON",CM22,MyRating(_S2,$B22,Efficacy!$F$1))</f>
        <v>3</v>
      </c>
      <c r="BN22" s="3">
        <f>IF($C$5="ON",CN22,MyRating(_S3,$B22,Efficacy!$F$1))</f>
        <v>3</v>
      </c>
      <c r="BO22" s="3">
        <f>IF($C$5="ON",CO22,MyRating(_S4,$B22,Efficacy!$F$1))</f>
        <v>3</v>
      </c>
      <c r="BP22" s="3">
        <f>IF($C$5="ON",CP22,MyRating(_S5,$B22,Efficacy!$F$1))</f>
        <v>5</v>
      </c>
      <c r="BQ22" s="3">
        <f>IF($C$5="ON",CQ22,MyRating(_S6,$B22,Efficacy!$F$1))</f>
        <v>2</v>
      </c>
      <c r="BR22" s="3">
        <f>IF($C$5="ON",CR22,MyRating(_S7,$B22,Efficacy!$F$1))</f>
        <v>3</v>
      </c>
      <c r="BS22" s="3">
        <f>IF($C$5="ON",CS22,MyRating(_D1,$B22,Efficacy!$F$1))</f>
        <v>3</v>
      </c>
      <c r="BT22" s="3">
        <f>IF($C$5="ON",CT22,MyRating(_D2,$B22,Efficacy!$F$1))</f>
        <v>3</v>
      </c>
      <c r="BU22" s="3">
        <f>IF($C$5="ON",CU22,MyRating(_D3,$B22,Efficacy!$F$1))</f>
        <v>3</v>
      </c>
      <c r="BV22" s="3">
        <f>IF($C$5="ON",CV22,MyRating(_D4,$B22,Efficacy!$F$1))</f>
        <v>3</v>
      </c>
      <c r="BW22" s="3">
        <f>IF($C$5="ON",CW22,MyRating(_B1G5,$B22,Barrier!$L$2))</f>
        <v>1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9"/>
        <v>2.9893223831915738E-2</v>
      </c>
      <c r="CA22" s="8">
        <f t="shared" si="6"/>
        <v>2.6000000000000005</v>
      </c>
      <c r="CB22" s="5">
        <f t="shared" si="7"/>
        <v>3.058823529411767E-2</v>
      </c>
      <c r="CC22" s="7">
        <f t="shared" si="8"/>
        <v>5.3497271616647964E-3</v>
      </c>
      <c r="CD22" s="4">
        <v>5</v>
      </c>
      <c r="CE22" s="3">
        <v>5</v>
      </c>
      <c r="CF22" s="3">
        <v>5</v>
      </c>
      <c r="CG22" s="3">
        <v>4</v>
      </c>
      <c r="CH22" s="3">
        <v>3</v>
      </c>
      <c r="CI22" s="3">
        <v>3</v>
      </c>
      <c r="CJ22" s="3">
        <v>3</v>
      </c>
      <c r="CK22" s="3">
        <v>4</v>
      </c>
      <c r="CL22" s="3">
        <v>5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2</v>
      </c>
      <c r="CT22" s="3">
        <v>3</v>
      </c>
      <c r="CU22" s="3">
        <v>3</v>
      </c>
      <c r="CV22" s="3">
        <v>1</v>
      </c>
      <c r="CW22" s="3">
        <v>1</v>
      </c>
      <c r="CX22" s="3">
        <v>1</v>
      </c>
      <c r="CY22" s="6">
        <v>1</v>
      </c>
      <c r="CZ22" s="5">
        <v>9.9044671286996639E-3</v>
      </c>
    </row>
    <row r="23" spans="1:104" x14ac:dyDescent="0.25">
      <c r="A23" s="9" t="str">
        <f t="shared" si="0"/>
        <v>ES</v>
      </c>
      <c r="B23" s="9" t="s">
        <v>73</v>
      </c>
      <c r="C23" s="20" t="s">
        <v>3</v>
      </c>
      <c r="D23" s="9" t="s">
        <v>72</v>
      </c>
      <c r="E23" s="9" t="s">
        <v>186</v>
      </c>
      <c r="F23" s="9" t="str">
        <f>INDEX('Unique Asset List'!$C$4:$C$60,MATCH(B23,_CompoundList,0))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INDEX(PTRS!$D$6:$D$12,MATCH('5'!$F23,PTRS!$B$6:$B$12,0))</f>
        <v>0.13923000000000002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0</v>
      </c>
      <c r="M23" s="17">
        <v>4.6410000000000007E-2</v>
      </c>
      <c r="N23" s="17">
        <f>INDEX('Unique Asset List'!$D$4:$M$60,MATCH($B23,'Unique Asset List'!$A$4:$A$60,0),MATCH(N$8,'Unique Asset List'!$D$3:$M$3,0))</f>
        <v>0.13923000000000002</v>
      </c>
      <c r="O23" s="17">
        <f>INDEX('Unique Asset List'!$D$4:$M$60,MATCH($B23,'Unique Asset List'!$A$4:$A$60,0),MATCH(O$8,'Unique Asset List'!$D$3:$M$3,0))</f>
        <v>0.13923000000000002</v>
      </c>
      <c r="P23" s="17">
        <f>INDEX('Unique Asset List'!$D$4:$M$60,MATCH($B23,'Unique Asset List'!$A$4:$A$60,0),MATCH(P$8,'Unique Asset List'!$D$3:$M$3,0))</f>
        <v>0.13923000000000002</v>
      </c>
      <c r="Q23" s="17">
        <f>INDEX('Unique Asset List'!$D$4:$M$60,MATCH($B23,'Unique Asset List'!$A$4:$A$60,0),MATCH(Q$8,'Unique Asset List'!$D$3:$M$3,0))</f>
        <v>0.13923000000000002</v>
      </c>
      <c r="R23" s="17">
        <f>INDEX('Unique Asset List'!$D$4:$M$60,MATCH($B23,'Unique Asset List'!$A$4:$A$60,0),MATCH(R$8,'Unique Asset List'!$D$3:$M$3,0))</f>
        <v>0.13923000000000002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1"/>
        <v>0</v>
      </c>
      <c r="V23" s="17">
        <v>1</v>
      </c>
      <c r="W23" s="9" t="s">
        <v>27</v>
      </c>
      <c r="X23" s="9">
        <f>INDEX('Unique Asset List'!$Y$4:$AE$60,MATCH('5'!$B23,'Unique Asset List'!$A$4:$A$60,0),MATCH('5'!$C$1,'Unique Asset List'!$Y$3:$AE$3,0))</f>
        <v>2027</v>
      </c>
      <c r="Y23" s="9">
        <f>INDEX('Unique Asset List'!$AF$4:$AL$60,MATCH('5'!$B23,'Unique Asset List'!$A$4:$A$60,0),MATCH('5'!$C$1,'Unique Asset List'!$AF$3:$AL$3,0))</f>
        <v>3.9999999999990905</v>
      </c>
      <c r="Z23" s="9">
        <f>INDEX('Unique Asset List'!$AT$4:$AZ$60,MATCH('5'!$B23,'Unique Asset List'!$A$4:$A$60,0),MATCH('5'!$C$1,'Unique Asset List'!$AT$3:$AZ$3,0))</f>
        <v>2036</v>
      </c>
      <c r="AA23" s="9">
        <f>INDEX('Unique Asset List'!$BA$4:$BG$60,MATCH('5'!$B23,'Unique Asset List'!$A$4:$A$60,0),MATCH('5'!$C$1,'Unique Asset List'!$BA$3:$BG$3,0))</f>
        <v>3</v>
      </c>
      <c r="AB23" s="16">
        <f t="shared" si="2"/>
        <v>1.9312568000000003</v>
      </c>
      <c r="AC23" s="16">
        <f t="shared" si="3"/>
        <v>0.76203600000000005</v>
      </c>
      <c r="AD23" s="16">
        <f t="shared" si="4"/>
        <v>0.45111879999999999</v>
      </c>
      <c r="AE23" s="15">
        <f>INDEX('Unique Asset List'!$CJ$4:$CP$60,MATCH('5'!$B23,'Unique Asset List'!$A$4:$A$60,0),MATCH('5'!$C$1,'Unique Asset List'!$CJ$3:$CP$3,0))</f>
        <v>0.08</v>
      </c>
      <c r="AF23" s="15">
        <f>INDEX('Unique Asset List'!$CQ$4:$CW$60,MATCH('5'!$B23,'Unique Asset List'!$A$4:$A$60,0),MATCH('5'!$C$1,'Unique Asset List'!$CQ$3:$CW$3,0))</f>
        <v>0.42</v>
      </c>
      <c r="AG23" s="15">
        <f>INDEX('Unique Asset List'!$BV$4:$CB$60,MATCH('5'!$B23,'Unique Asset List'!$A$4:$A$60,0),MATCH('5'!$C$1,'Unique Asset List'!$BV$3:$CB$3,0))</f>
        <v>0.08</v>
      </c>
      <c r="AH23" s="15">
        <f>INDEX('Unique Asset List'!$CC$4:$CI$60,MATCH('5'!$B23,'Unique Asset List'!$A$4:$A$60,0),MATCH('5'!$C$1,'Unique Asset List'!$CC$3:$CI$3,0))</f>
        <v>0.42</v>
      </c>
      <c r="AI23" s="11">
        <v>0.96187963349867744</v>
      </c>
      <c r="AJ23" s="15">
        <f>INDEX('Unique Asset List'!$BH$4:$BN$60,MATCH('5'!$B23,'Unique Asset List'!$A$4:$A$60,0),MATCH('5'!$C$1,'Unique Asset List'!$BH$3:$BN$3,0))</f>
        <v>1.2944496352201866</v>
      </c>
      <c r="AK23" s="15">
        <f>INDEX('Unique Asset List'!$BO$4:$BU$60,MATCH('5'!$B23,'Unique Asset List'!$A$4:$A$60,0),MATCH('5'!$C$1,'Unique Asset List'!$BO$3:$BU$3,0))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0</v>
      </c>
      <c r="AV23" s="181">
        <f>INDEX('Unique Asset List'!P$4:P$60,MATCH($B23,_CompoundList,0))</f>
        <v>0</v>
      </c>
      <c r="AW23" s="181">
        <f>INDEX('Unique Asset List'!Q$4:Q$60,MATCH($B23,_CompoundList,0))</f>
        <v>0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1</v>
      </c>
      <c r="AZ23" s="181">
        <f ca="1">INDEX('Unique Asset List'!T$4:T$60,MATCH($B23,_CompoundList,0))</f>
        <v>1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1</v>
      </c>
      <c r="BD23" s="4">
        <f>IF($C$5="ON",CD23,MyRating(_E1,$B23,Efficacy!$F$1))</f>
        <v>4</v>
      </c>
      <c r="BE23" s="3">
        <f>IF($C$5="ON",CE23,MyRating(_E2,$B23,Efficacy!$F$1))</f>
        <v>3</v>
      </c>
      <c r="BF23" s="3">
        <f>IF($C$5="ON",CF23,MyRating(_E3,$B23,Efficacy!$F$1))</f>
        <v>4</v>
      </c>
      <c r="BG23" s="3">
        <f>IF($C$5="ON",CG23,MyRating(_E4,$B23,Efficacy!$F$1))</f>
        <v>3</v>
      </c>
      <c r="BH23" s="3">
        <f>IF($C$5="ON",CH23,MyRating(_E5,$B23,Efficacy!$F$1))</f>
        <v>3</v>
      </c>
      <c r="BI23" s="3">
        <f>IF($C$5="ON",CI23,MyRating(_E6,$B23,Efficacy!$F$1))</f>
        <v>2</v>
      </c>
      <c r="BJ23" s="3">
        <f>IF($C$5="ON",CJ23,MyRating(_E7,$B23,Efficacy!$F$1))</f>
        <v>3</v>
      </c>
      <c r="BK23" s="3">
        <f>IF($C$5="ON",CK23,MyRating(_E8,$B23,Efficacy!$F$1))</f>
        <v>5</v>
      </c>
      <c r="BL23" s="3">
        <f>IF($C$5="ON",CL23,MyRating(_S1,$B23,Efficacy!$F$1))</f>
        <v>2</v>
      </c>
      <c r="BM23" s="3">
        <f>IF($C$5="ON",CM23,MyRating(_S2,$B23,Efficacy!$F$1))</f>
        <v>3</v>
      </c>
      <c r="BN23" s="3">
        <f>IF($C$5="ON",CN23,MyRating(_S3,$B23,Efficacy!$F$1))</f>
        <v>3</v>
      </c>
      <c r="BO23" s="3">
        <f>IF($C$5="ON",CO23,MyRating(_S4,$B23,Efficacy!$F$1))</f>
        <v>3</v>
      </c>
      <c r="BP23" s="3">
        <f>IF($C$5="ON",CP23,MyRating(_S5,$B23,Efficacy!$F$1))</f>
        <v>5</v>
      </c>
      <c r="BQ23" s="3">
        <f>IF($C$5="ON",CQ23,MyRating(_S6,$B23,Efficacy!$F$1))</f>
        <v>2</v>
      </c>
      <c r="BR23" s="3">
        <f>IF($C$5="ON",CR23,MyRating(_S7,$B23,Efficacy!$F$1))</f>
        <v>3</v>
      </c>
      <c r="BS23" s="3">
        <f>IF($C$5="ON",CS23,MyRating(_D1,$B23,Efficacy!$F$1))</f>
        <v>3</v>
      </c>
      <c r="BT23" s="3">
        <f>IF($C$5="ON",CT23,MyRating(_D2,$B23,Efficacy!$F$1))</f>
        <v>3</v>
      </c>
      <c r="BU23" s="3">
        <f>IF($C$5="ON",CU23,MyRating(_D3,$B23,Efficacy!$F$1))</f>
        <v>3</v>
      </c>
      <c r="BV23" s="3">
        <f>IF($C$5="ON",CV23,MyRating(_D4,$B23,Efficacy!$F$1))</f>
        <v>1</v>
      </c>
      <c r="BW23" s="3">
        <f>IF($C$5="ON",CW23,MyRating(_B1G5,$B23,Barrier!$L$2))</f>
        <v>2</v>
      </c>
      <c r="BX23" s="3">
        <f>IF($C$5="ON",CX23,MyRating(_B2,$B23,Barrier!$F$2))</f>
        <v>3</v>
      </c>
      <c r="BY23" s="6">
        <f>IF($C$5="ON",CY23,MyRating(_B3,$B23,Barrier!$F$2))</f>
        <v>0</v>
      </c>
      <c r="BZ23" s="5">
        <f t="shared" si="9"/>
        <v>0</v>
      </c>
      <c r="CA23" s="8">
        <f t="shared" si="6"/>
        <v>1.6</v>
      </c>
      <c r="CB23" s="5">
        <f t="shared" si="7"/>
        <v>1.8823529411764715E-2</v>
      </c>
      <c r="CC23" s="7">
        <f t="shared" si="8"/>
        <v>2.5825669292048399E-3</v>
      </c>
      <c r="CD23" s="4">
        <v>4</v>
      </c>
      <c r="CE23" s="3">
        <v>4</v>
      </c>
      <c r="CF23" s="3">
        <v>4</v>
      </c>
      <c r="CG23" s="3">
        <v>3</v>
      </c>
      <c r="CH23" s="3">
        <v>3</v>
      </c>
      <c r="CI23" s="3">
        <v>2</v>
      </c>
      <c r="CJ23" s="3">
        <v>3</v>
      </c>
      <c r="CK23" s="3">
        <v>5</v>
      </c>
      <c r="CL23" s="3">
        <v>2</v>
      </c>
      <c r="CM23" s="3">
        <v>3</v>
      </c>
      <c r="CN23" s="3">
        <v>3</v>
      </c>
      <c r="CO23" s="3">
        <v>3</v>
      </c>
      <c r="CP23" s="3">
        <v>5</v>
      </c>
      <c r="CQ23" s="3">
        <v>2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2</v>
      </c>
      <c r="CX23" s="3">
        <v>3</v>
      </c>
      <c r="CY23" s="6">
        <v>3</v>
      </c>
      <c r="CZ23" s="5">
        <v>3.6275844714639842E-2</v>
      </c>
    </row>
    <row r="24" spans="1:104" x14ac:dyDescent="0.25">
      <c r="A24" s="9" t="str">
        <f t="shared" si="0"/>
        <v>ES</v>
      </c>
      <c r="B24" s="9" t="s">
        <v>17</v>
      </c>
      <c r="C24" s="20"/>
      <c r="D24" s="9" t="s">
        <v>2</v>
      </c>
      <c r="E24" s="9" t="s">
        <v>186</v>
      </c>
      <c r="F24" s="9" t="str">
        <f>INDEX('Unique Asset List'!$C$4:$C$60,MATCH(B24,_CompoundList,0))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INDEX(PTRS!$D$6:$D$12,MATCH('5'!$F24,PTRS!$B$6:$B$12,0))</f>
        <v>0.13923000000000002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v>0.25</v>
      </c>
      <c r="N24" s="17">
        <f>INDEX('Unique Asset List'!$D$4:$M$60,MATCH($B24,'Unique Asset List'!$A$4:$A$60,0),MATCH(N$8,'Unique Asset List'!$D$3:$M$3,0))</f>
        <v>0.25</v>
      </c>
      <c r="O24" s="17">
        <f>INDEX('Unique Asset List'!$D$4:$M$60,MATCH($B24,'Unique Asset List'!$A$4:$A$60,0),MATCH(O$8,'Unique Asset List'!$D$3:$M$3,0))</f>
        <v>0.25</v>
      </c>
      <c r="P24" s="17">
        <f>INDEX('Unique Asset List'!$D$4:$M$60,MATCH($B24,'Unique Asset List'!$A$4:$A$60,0),MATCH(P$8,'Unique Asset List'!$D$3:$M$3,0))</f>
        <v>0.25</v>
      </c>
      <c r="Q24" s="17">
        <f>INDEX('Unique Asset List'!$D$4:$M$60,MATCH($B24,'Unique Asset List'!$A$4:$A$60,0),MATCH(Q$8,'Unique Asset List'!$D$3:$M$3,0))</f>
        <v>0.25</v>
      </c>
      <c r="R24" s="17">
        <f>INDEX('Unique Asset List'!$D$4:$M$60,MATCH($B24,'Unique Asset List'!$A$4:$A$60,0),MATCH(R$8,'Unique Asset List'!$D$3:$M$3,0))</f>
        <v>0.25</v>
      </c>
      <c r="S24" s="17">
        <f>INDEX('Unique Asset List'!$D$4:$M$60,MATCH($B24,'Unique Asset List'!$A$4:$A$60,0),MATCH(S$8,'Unique Asset List'!$D$3:$M$3,0))</f>
        <v>0</v>
      </c>
      <c r="T24" s="17"/>
      <c r="U24" s="17">
        <f t="shared" si="1"/>
        <v>0.90168566420734264</v>
      </c>
      <c r="V24" s="17">
        <v>1</v>
      </c>
      <c r="W24" s="9" t="s">
        <v>16</v>
      </c>
      <c r="X24" s="9">
        <f>INDEX('Unique Asset List'!$Y$4:$AE$60,MATCH('5'!$B24,'Unique Asset List'!$A$4:$A$60,0),MATCH('5'!$C$1,'Unique Asset List'!$Y$3:$AE$3,0))</f>
        <v>2028</v>
      </c>
      <c r="Y24" s="9">
        <f>INDEX('Unique Asset List'!$AF$4:$AL$60,MATCH('5'!$B24,'Unique Asset List'!$A$4:$A$60,0),MATCH('5'!$C$1,'Unique Asset List'!$AF$3:$AL$3,0))</f>
        <v>1.999999999998181</v>
      </c>
      <c r="Z24" s="9">
        <f>INDEX('Unique Asset List'!$AT$4:$AZ$60,MATCH('5'!$B24,'Unique Asset List'!$A$4:$A$60,0),MATCH('5'!$C$1,'Unique Asset List'!$AT$3:$AZ$3,0))</f>
        <v>2035</v>
      </c>
      <c r="AA24" s="9">
        <f>INDEX('Unique Asset List'!$BA$4:$BG$60,MATCH('5'!$B24,'Unique Asset List'!$A$4:$A$60,0),MATCH('5'!$C$1,'Unique Asset List'!$BA$3:$BG$3,0))</f>
        <v>1</v>
      </c>
      <c r="AB24" s="16">
        <f t="shared" si="2"/>
        <v>1.8562298000000002</v>
      </c>
      <c r="AC24" s="16">
        <f t="shared" si="3"/>
        <v>0.97947730000000011</v>
      </c>
      <c r="AD24" s="16">
        <f t="shared" si="4"/>
        <v>0.56099999999999994</v>
      </c>
      <c r="AE24" s="15">
        <f>INDEX('Unique Asset List'!$CJ$4:$CP$60,MATCH('5'!$B24,'Unique Asset List'!$A$4:$A$60,0),MATCH('5'!$C$1,'Unique Asset List'!$CJ$3:$CP$3,0))</f>
        <v>0.08</v>
      </c>
      <c r="AF24" s="15">
        <f>INDEX('Unique Asset List'!$CQ$4:$CW$60,MATCH('5'!$B24,'Unique Asset List'!$A$4:$A$60,0),MATCH('5'!$C$1,'Unique Asset List'!$CQ$3:$CW$3,0))</f>
        <v>0.42</v>
      </c>
      <c r="AG24" s="15">
        <f>INDEX('Unique Asset List'!$BV$4:$CB$60,MATCH('5'!$B24,'Unique Asset List'!$A$4:$A$60,0),MATCH('5'!$C$1,'Unique Asset List'!$BV$3:$CB$3,0))</f>
        <v>0.08</v>
      </c>
      <c r="AH24" s="15">
        <f>INDEX('Unique Asset List'!$CC$4:$CI$60,MATCH('5'!$B24,'Unique Asset List'!$A$4:$A$60,0),MATCH('5'!$C$1,'Unique Asset List'!$CC$3:$CI$3,0))</f>
        <v>0.42</v>
      </c>
      <c r="AI24" s="11">
        <v>0.96187963349867744</v>
      </c>
      <c r="AJ24" s="15">
        <f>INDEX('Unique Asset List'!$BH$4:$BN$60,MATCH('5'!$B24,'Unique Asset List'!$A$4:$A$60,0),MATCH('5'!$C$1,'Unique Asset List'!$BH$3:$BN$3,0))</f>
        <v>1.2944496352201866</v>
      </c>
      <c r="AK24" s="15">
        <f>INDEX('Unique Asset List'!$BO$4:$BU$60,MATCH('5'!$B24,'Unique Asset List'!$A$4:$A$60,0),MATCH('5'!$C$1,'Unique Asset List'!$BO$3:$BU$3,0))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1</v>
      </c>
      <c r="AY24" s="181">
        <f ca="1">INDEX('Unique Asset List'!S$4:S$60,MATCH($B24,_CompoundList,0))</f>
        <v>1</v>
      </c>
      <c r="AZ24" s="181">
        <f ca="1">INDEX('Unique Asset List'!T$4:T$60,MATCH($B24,_CompoundList,0))</f>
        <v>1</v>
      </c>
      <c r="BA24" s="181">
        <f ca="1">INDEX('Unique Asset List'!U$4:U$60,MATCH($B24,_CompoundList,0))</f>
        <v>0</v>
      </c>
      <c r="BB24" s="181">
        <f ca="1">INDEX('Unique Asset List'!V$4:V$60,MATCH($B24,_CompoundList,0))</f>
        <v>1</v>
      </c>
      <c r="BC24" s="181">
        <f ca="1">INDEX('Unique Asset List'!W$4:W$60,MATCH($B24,_CompoundList,0))</f>
        <v>0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3</v>
      </c>
      <c r="BG24" s="3">
        <f>IF($C$5="ON",CG24,MyRating(_E4,$B24,Efficacy!$F$1))</f>
        <v>4</v>
      </c>
      <c r="BH24" s="3">
        <f>IF($C$5="ON",CH24,MyRating(_E5,$B24,Efficacy!$F$1))</f>
        <v>4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3</v>
      </c>
      <c r="BL24" s="3">
        <f>IF($C$5="ON",CL24,MyRating(_S1,$B24,Efficacy!$F$1))</f>
        <v>4</v>
      </c>
      <c r="BM24" s="3">
        <f>IF($C$5="ON",CM24,MyRating(_S2,$B24,Efficacy!$F$1))</f>
        <v>4</v>
      </c>
      <c r="BN24" s="3">
        <f>IF($C$5="ON",CN24,MyRating(_S3,$B24,Efficacy!$F$1))</f>
        <v>3</v>
      </c>
      <c r="BO24" s="3">
        <f>IF($C$5="ON",CO24,MyRating(_S4,$B24,Efficacy!$F$1))</f>
        <v>5</v>
      </c>
      <c r="BP24" s="3">
        <f>IF($C$5="ON",CP24,MyRating(_S5,$B24,Efficacy!$F$1))</f>
        <v>5</v>
      </c>
      <c r="BQ24" s="3">
        <f>IF($C$5="ON",CQ24,MyRating(_S6,$B24,Efficacy!$F$1))</f>
        <v>2</v>
      </c>
      <c r="BR24" s="3">
        <f>IF($C$5="ON",CR24,MyRating(_S7,$B24,Efficacy!$F$1))</f>
        <v>3</v>
      </c>
      <c r="BS24" s="3">
        <f>IF($C$5="ON",CS24,MyRating(_D1,$B24,Efficacy!$F$1))</f>
        <v>3</v>
      </c>
      <c r="BT24" s="3">
        <f>IF($C$5="ON",CT24,MyRating(_D2,$B24,Efficacy!$F$1))</f>
        <v>3</v>
      </c>
      <c r="BU24" s="3">
        <f>IF($C$5="ON",CU24,MyRating(_D3,$B24,Efficacy!$F$1))</f>
        <v>3</v>
      </c>
      <c r="BV24" s="3">
        <f>IF($C$5="ON",CV24,MyRating(_D4,$B24,Efficacy!$F$1))</f>
        <v>3</v>
      </c>
      <c r="BW24" s="3">
        <f>IF($C$5="ON",CW24,MyRating(_B1G5,$B24,Barrier!$L$2))</f>
        <v>2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9"/>
        <v>3.3407946312985805E-2</v>
      </c>
      <c r="CA24" s="8">
        <f t="shared" si="6"/>
        <v>2.8000000000000003</v>
      </c>
      <c r="CB24" s="5">
        <f t="shared" si="7"/>
        <v>3.2941176470588251E-2</v>
      </c>
      <c r="CC24" s="7">
        <f t="shared" si="8"/>
        <v>5.9787261089987885E-3</v>
      </c>
      <c r="CD24" s="4">
        <v>4</v>
      </c>
      <c r="CE24" s="3">
        <v>3</v>
      </c>
      <c r="CF24" s="3">
        <v>3</v>
      </c>
      <c r="CG24" s="3">
        <v>4</v>
      </c>
      <c r="CH24" s="3">
        <v>3</v>
      </c>
      <c r="CI24" s="3">
        <v>2</v>
      </c>
      <c r="CJ24" s="3">
        <v>3</v>
      </c>
      <c r="CK24" s="3">
        <v>3</v>
      </c>
      <c r="CL24" s="3">
        <v>4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2</v>
      </c>
      <c r="CX24" s="3">
        <v>3</v>
      </c>
      <c r="CY24" s="6">
        <v>3</v>
      </c>
      <c r="CZ24" s="5">
        <v>3.6275844714639842E-2</v>
      </c>
    </row>
    <row r="25" spans="1:104" x14ac:dyDescent="0.25">
      <c r="A25" s="9" t="str">
        <f t="shared" si="0"/>
        <v>ES</v>
      </c>
      <c r="B25" s="9" t="s">
        <v>21</v>
      </c>
      <c r="C25" s="20"/>
      <c r="D25" s="9" t="s">
        <v>2</v>
      </c>
      <c r="E25" s="9" t="s">
        <v>186</v>
      </c>
      <c r="F25" s="9" t="str">
        <f>INDEX('Unique Asset List'!$C$4:$C$60,MATCH(B25,_CompoundList,0))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INDEX(PTRS!$D$6:$D$12,MATCH('5'!$F25,PTRS!$B$6:$B$12,0))</f>
        <v>0.1638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7">
        <v>0.1638</v>
      </c>
      <c r="N25" s="17">
        <f>INDEX('Unique Asset List'!$D$4:$M$60,MATCH($B25,'Unique Asset List'!$A$4:$A$60,0),MATCH(N$8,'Unique Asset List'!$D$3:$M$3,0))</f>
        <v>0.16400000000000001</v>
      </c>
      <c r="O25" s="17">
        <f>INDEX('Unique Asset List'!$D$4:$M$60,MATCH($B25,'Unique Asset List'!$A$4:$A$60,0),MATCH(O$8,'Unique Asset List'!$D$3:$M$3,0))</f>
        <v>0</v>
      </c>
      <c r="P25" s="17">
        <f>INDEX('Unique Asset List'!$D$4:$M$60,MATCH($B25,'Unique Asset List'!$A$4:$A$60,0),MATCH(P$8,'Unique Asset List'!$D$3:$M$3,0))</f>
        <v>0</v>
      </c>
      <c r="Q25" s="17">
        <f>INDEX('Unique Asset List'!$D$4:$M$60,MATCH($B25,'Unique Asset List'!$A$4:$A$60,0),MATCH(Q$8,'Unique Asset List'!$D$3:$M$3,0))</f>
        <v>1</v>
      </c>
      <c r="R25" s="17">
        <f>INDEX('Unique Asset List'!$D$4:$M$60,MATCH($B25,'Unique Asset List'!$A$4:$A$60,0),MATCH(R$8,'Unique Asset List'!$D$3:$M$3,0))</f>
        <v>1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1"/>
        <v>0.90168566420734264</v>
      </c>
      <c r="V25" s="17">
        <v>0.7</v>
      </c>
      <c r="W25" s="9" t="s">
        <v>20</v>
      </c>
      <c r="X25" s="9">
        <f>INDEX('Unique Asset List'!$Y$4:$AE$60,MATCH('5'!$B25,'Unique Asset List'!$A$4:$A$60,0),MATCH('5'!$C$1,'Unique Asset List'!$Y$3:$AE$3,0))</f>
        <v>2028</v>
      </c>
      <c r="Y25" s="9">
        <f>INDEX('Unique Asset List'!$AF$4:$AL$60,MATCH('5'!$B25,'Unique Asset List'!$A$4:$A$60,0),MATCH('5'!$C$1,'Unique Asset List'!$AF$3:$AL$3,0))</f>
        <v>7.999999999998181</v>
      </c>
      <c r="Z25" s="9">
        <f>INDEX('Unique Asset List'!$AT$4:$AZ$60,MATCH('5'!$B25,'Unique Asset List'!$A$4:$A$60,0),MATCH('5'!$C$1,'Unique Asset List'!$AT$3:$AZ$3,0))</f>
        <v>2035</v>
      </c>
      <c r="AA25" s="9">
        <f>INDEX('Unique Asset List'!$BA$4:$BG$60,MATCH('5'!$B25,'Unique Asset List'!$A$4:$A$60,0),MATCH('5'!$C$1,'Unique Asset List'!$BA$3:$BG$3,0))</f>
        <v>5</v>
      </c>
      <c r="AB25" s="16">
        <f t="shared" si="2"/>
        <v>1.6822346000000001</v>
      </c>
      <c r="AC25" s="16">
        <f t="shared" si="3"/>
        <v>0.91486990000000001</v>
      </c>
      <c r="AD25" s="16">
        <f t="shared" si="4"/>
        <v>0.56099999999999994</v>
      </c>
      <c r="AE25" s="15">
        <f>INDEX('Unique Asset List'!$CJ$4:$CP$60,MATCH('5'!$B25,'Unique Asset List'!$A$4:$A$60,0),MATCH('5'!$C$1,'Unique Asset List'!$CJ$3:$CP$3,0))</f>
        <v>0.08</v>
      </c>
      <c r="AF25" s="15">
        <f>INDEX('Unique Asset List'!$CQ$4:$CW$60,MATCH('5'!$B25,'Unique Asset List'!$A$4:$A$60,0),MATCH('5'!$C$1,'Unique Asset List'!$CQ$3:$CW$3,0))</f>
        <v>0.42</v>
      </c>
      <c r="AG25" s="15">
        <f>INDEX('Unique Asset List'!$BV$4:$CB$60,MATCH('5'!$B25,'Unique Asset List'!$A$4:$A$60,0),MATCH('5'!$C$1,'Unique Asset List'!$BV$3:$CB$3,0))</f>
        <v>0.08</v>
      </c>
      <c r="AH25" s="15">
        <f>INDEX('Unique Asset List'!$CC$4:$CI$60,MATCH('5'!$B25,'Unique Asset List'!$A$4:$A$60,0),MATCH('5'!$C$1,'Unique Asset List'!$CC$3:$CI$3,0))</f>
        <v>0.42</v>
      </c>
      <c r="AI25" s="11">
        <v>0.96187963349867744</v>
      </c>
      <c r="AJ25" s="15">
        <f>INDEX('Unique Asset List'!$BH$4:$BN$60,MATCH('5'!$B25,'Unique Asset List'!$A$4:$A$60,0),MATCH('5'!$C$1,'Unique Asset List'!$BH$3:$BN$3,0))</f>
        <v>1.2944496352201866</v>
      </c>
      <c r="AK25" s="15">
        <f>INDEX('Unique Asset List'!$BO$4:$BU$60,MATCH('5'!$B25,'Unique Asset List'!$A$4:$A$60,0),MATCH('5'!$C$1,'Unique Asset List'!$BO$3:$BU$3,0))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1</v>
      </c>
      <c r="AW25" s="181">
        <f>INDEX('Unique Asset List'!Q$4:Q$60,MATCH($B25,_CompoundList,0))</f>
        <v>1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0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0</v>
      </c>
      <c r="BC25" s="181">
        <f ca="1">INDEX('Unique Asset List'!W$4:W$60,MATCH($B25,_CompoundList,0))</f>
        <v>0</v>
      </c>
      <c r="BD25" s="4">
        <f>IF($C$5="ON",CD25,MyRating(_E1,$B25,Efficacy!$F$1))</f>
        <v>3</v>
      </c>
      <c r="BE25" s="3">
        <f>IF($C$5="ON",CE25,MyRating(_E2,$B25,Efficacy!$F$1))</f>
        <v>3</v>
      </c>
      <c r="BF25" s="3">
        <f>IF($C$5="ON",CF25,MyRating(_E3,$B25,Efficacy!$F$1))</f>
        <v>3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4</v>
      </c>
      <c r="BJ25" s="3">
        <f>IF($C$5="ON",CJ25,MyRating(_E7,$B25,Efficacy!$F$1))</f>
        <v>3</v>
      </c>
      <c r="BK25" s="3">
        <f>IF($C$5="ON",CK25,MyRating(_E8,$B25,Efficacy!$F$1))</f>
        <v>2</v>
      </c>
      <c r="BL25" s="3">
        <f>IF($C$5="ON",CL25,MyRating(_S1,$B25,Efficacy!$F$1))</f>
        <v>3</v>
      </c>
      <c r="BM25" s="3">
        <f>IF($C$5="ON",CM25,MyRating(_S2,$B25,Efficacy!$F$1))</f>
        <v>4</v>
      </c>
      <c r="BN25" s="3">
        <f>IF($C$5="ON",CN25,MyRating(_S3,$B25,Efficacy!$F$1))</f>
        <v>3</v>
      </c>
      <c r="BO25" s="3">
        <f>IF($C$5="ON",CO25,MyRating(_S4,$B25,Efficacy!$F$1))</f>
        <v>5</v>
      </c>
      <c r="BP25" s="3">
        <f>IF($C$5="ON",CP25,MyRating(_S5,$B25,Efficacy!$F$1))</f>
        <v>4</v>
      </c>
      <c r="BQ25" s="3">
        <f>IF($C$5="ON",CQ25,MyRating(_S6,$B25,Efficacy!$F$1))</f>
        <v>4</v>
      </c>
      <c r="BR25" s="3">
        <f>IF($C$5="ON",CR25,MyRating(_S7,$B25,Efficacy!$F$1))</f>
        <v>3</v>
      </c>
      <c r="BS25" s="3">
        <f>IF($C$5="ON",CS25,MyRating(_D1,$B25,Efficacy!$F$1))</f>
        <v>3</v>
      </c>
      <c r="BT25" s="3">
        <f>IF($C$5="ON",CT25,MyRating(_D2,$B25,Efficacy!$F$1))</f>
        <v>3</v>
      </c>
      <c r="BU25" s="3">
        <f>IF($C$5="ON",CU25,MyRating(_D3,$B25,Efficacy!$F$1))</f>
        <v>3</v>
      </c>
      <c r="BV25" s="3">
        <f>IF($C$5="ON",CV25,MyRating(_D4,$B25,Efficacy!$F$1))</f>
        <v>3</v>
      </c>
      <c r="BW25" s="3">
        <f>IF($C$5="ON",CW25,MyRating(_B1G5,$B25,Barrier!$L$2))</f>
        <v>2</v>
      </c>
      <c r="BX25" s="3">
        <f>IF($C$5="ON",CX25,MyRating(_B2,$B25,Barrier!$F$2))</f>
        <v>3</v>
      </c>
      <c r="BY25" s="6">
        <f>IF($C$5="ON",CY25,MyRating(_B3,$B25,Barrier!$F$2))</f>
        <v>3</v>
      </c>
      <c r="BZ25" s="5">
        <f t="shared" si="9"/>
        <v>3.3407946312985805E-2</v>
      </c>
      <c r="CA25" s="8">
        <f t="shared" si="6"/>
        <v>2.8000000000000003</v>
      </c>
      <c r="CB25" s="5">
        <f t="shared" si="7"/>
        <v>3.2941176470588251E-2</v>
      </c>
      <c r="CC25" s="7">
        <f t="shared" si="8"/>
        <v>5.9787261089987885E-3</v>
      </c>
      <c r="CD25" s="4">
        <v>3</v>
      </c>
      <c r="CE25" s="3">
        <v>3</v>
      </c>
      <c r="CF25" s="3">
        <v>3</v>
      </c>
      <c r="CG25" s="3">
        <v>3</v>
      </c>
      <c r="CH25" s="3">
        <v>3</v>
      </c>
      <c r="CI25" s="3">
        <v>4</v>
      </c>
      <c r="CJ25" s="3">
        <v>3</v>
      </c>
      <c r="CK25" s="3">
        <v>2</v>
      </c>
      <c r="CL25" s="3">
        <v>3</v>
      </c>
      <c r="CM25" s="3">
        <v>4</v>
      </c>
      <c r="CN25" s="3">
        <v>2</v>
      </c>
      <c r="CO25" s="3">
        <v>5</v>
      </c>
      <c r="CP25" s="3">
        <v>4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2</v>
      </c>
      <c r="CX25" s="3">
        <v>3</v>
      </c>
      <c r="CY25" s="6">
        <v>3</v>
      </c>
      <c r="CZ25" s="5">
        <v>3.6275844714639842E-2</v>
      </c>
    </row>
    <row r="26" spans="1:104" x14ac:dyDescent="0.25">
      <c r="A26" s="9" t="str">
        <f t="shared" si="0"/>
        <v>ES</v>
      </c>
      <c r="B26" s="9" t="s">
        <v>71</v>
      </c>
      <c r="C26" s="20" t="s">
        <v>3</v>
      </c>
      <c r="D26" s="9" t="s">
        <v>2</v>
      </c>
      <c r="E26" s="9" t="s">
        <v>186</v>
      </c>
      <c r="F26" s="9" t="str">
        <f>INDEX('Unique Asset List'!$C$4:$C$60,MATCH(B26,_CompoundList,0))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INDEX(PTRS!$D$6:$D$12,MATCH('5'!$F26,PTRS!$B$6:$B$12,0))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0.1638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1"/>
        <v>0</v>
      </c>
      <c r="V26" s="17">
        <v>0.05</v>
      </c>
      <c r="W26" s="9" t="s">
        <v>70</v>
      </c>
      <c r="X26" s="9">
        <f>INDEX('Unique Asset List'!$Y$4:$AE$60,MATCH('5'!$B26,'Unique Asset List'!$A$4:$A$60,0),MATCH('5'!$C$1,'Unique Asset List'!$Y$3:$AE$3,0))</f>
        <v>2027</v>
      </c>
      <c r="Y26" s="9">
        <f>INDEX('Unique Asset List'!$AF$4:$AL$60,MATCH('5'!$B26,'Unique Asset List'!$A$4:$A$60,0),MATCH('5'!$C$1,'Unique Asset List'!$AF$3:$AL$3,0))</f>
        <v>9</v>
      </c>
      <c r="Z26" s="9">
        <f>INDEX('Unique Asset List'!$AT$4:$AZ$60,MATCH('5'!$B26,'Unique Asset List'!$A$4:$A$60,0),MATCH('5'!$C$1,'Unique Asset List'!$AT$3:$AZ$3,0))</f>
        <v>2035</v>
      </c>
      <c r="AA26" s="9">
        <f>INDEX('Unique Asset List'!$BA$4:$BG$60,MATCH('5'!$B26,'Unique Asset List'!$A$4:$A$60,0),MATCH('5'!$C$1,'Unique Asset List'!$BA$3:$BG$3,0))</f>
        <v>7</v>
      </c>
      <c r="AB26" s="16">
        <f t="shared" si="2"/>
        <v>1.911081</v>
      </c>
      <c r="AC26" s="16">
        <f t="shared" si="3"/>
        <v>0.85759169999999996</v>
      </c>
      <c r="AD26" s="16">
        <f t="shared" si="4"/>
        <v>0.41402720413999994</v>
      </c>
      <c r="AE26" s="15">
        <f>INDEX('Unique Asset List'!$CJ$4:$CP$60,MATCH('5'!$B26,'Unique Asset List'!$A$4:$A$60,0),MATCH('5'!$C$1,'Unique Asset List'!$CJ$3:$CP$3,0))</f>
        <v>0.14000000000000001</v>
      </c>
      <c r="AF26" s="15">
        <f>INDEX('Unique Asset List'!$CQ$4:$CW$60,MATCH('5'!$B26,'Unique Asset List'!$A$4:$A$60,0),MATCH('5'!$C$1,'Unique Asset List'!$CQ$3:$CW$3,0))</f>
        <v>0.36</v>
      </c>
      <c r="AG26" s="15">
        <f>INDEX('Unique Asset List'!$BV$4:$CB$60,MATCH('5'!$B26,'Unique Asset List'!$A$4:$A$60,0),MATCH('5'!$C$1,'Unique Asset List'!$BV$3:$CB$3,0))</f>
        <v>0.14000000000000001</v>
      </c>
      <c r="AH26" s="15">
        <f>INDEX('Unique Asset List'!$CC$4:$CI$60,MATCH('5'!$B26,'Unique Asset List'!$A$4:$A$60,0),MATCH('5'!$C$1,'Unique Asset List'!$CC$3:$CI$3,0))</f>
        <v>0.36</v>
      </c>
      <c r="AI26" s="11">
        <v>0.96187963349867744</v>
      </c>
      <c r="AJ26" s="15">
        <f>INDEX('Unique Asset List'!$BH$4:$BN$60,MATCH('5'!$B26,'Unique Asset List'!$A$4:$A$60,0),MATCH('5'!$C$1,'Unique Asset List'!$BH$3:$BN$3,0))</f>
        <v>1.2944496352201866</v>
      </c>
      <c r="AK26" s="15">
        <f>INDEX('Unique Asset List'!$BO$4:$BU$60,MATCH('5'!$B26,'Unique Asset List'!$A$4:$A$60,0),MATCH('5'!$C$1,'Unique Asset List'!$BO$3:$BU$3,0))</f>
        <v>-1.4425350046709582</v>
      </c>
      <c r="AL26" s="9">
        <v>169</v>
      </c>
      <c r="AM26" s="14">
        <v>64.459999999999994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IF($C$5="ON",CL26,MyRating(_S1,$B26,Efficacy!$F$1))</f>
        <v>1</v>
      </c>
      <c r="BM26" s="3">
        <f>IF($C$5="ON",CM26,MyRating(_S2,$B26,Efficacy!$F$1))</f>
        <v>4</v>
      </c>
      <c r="BN26" s="3">
        <f>IF($C$5="ON",CN26,MyRating(_S3,$B26,Efficacy!$F$1))</f>
        <v>4</v>
      </c>
      <c r="BO26" s="3">
        <f>IF($C$5="ON",CO26,MyRating(_S4,$B26,Efficacy!$F$1))</f>
        <v>5</v>
      </c>
      <c r="BP26" s="3">
        <f>IF($C$5="ON",CP26,MyRating(_S5,$B26,Efficacy!$F$1))</f>
        <v>5</v>
      </c>
      <c r="BQ26" s="3">
        <f>IF($C$5="ON",CQ26,MyRating(_S6,$B26,Efficacy!$F$1))</f>
        <v>2</v>
      </c>
      <c r="BR26" s="3">
        <f>IF($C$5="ON",CR26,MyRating(_S7,$B26,Efficacy!$F$1))</f>
        <v>4</v>
      </c>
      <c r="BS26" s="3">
        <f>IF($C$5="ON",CS26,MyRating(_D1,$B26,Efficacy!$F$1))</f>
        <v>2</v>
      </c>
      <c r="BT26" s="3">
        <f>IF($C$5="ON",CT26,MyRating(_D2,$B26,Efficacy!$F$1))</f>
        <v>3</v>
      </c>
      <c r="BU26" s="3">
        <f>IF($C$5="ON",CU26,MyRating(_D3,$B26,Efficacy!$F$1))</f>
        <v>2</v>
      </c>
      <c r="BV26" s="3">
        <f>IF($C$5="ON",CV26,MyRating(_D4,$B26,Efficacy!$F$1))</f>
        <v>2</v>
      </c>
      <c r="BW26" s="3">
        <f>IF($C$5="ON",CW26,MyRating(_B1G5,$B26,Barrier!$L$2))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9"/>
        <v>0</v>
      </c>
      <c r="CA26" s="8">
        <f t="shared" si="6"/>
        <v>0</v>
      </c>
      <c r="CB26" s="5">
        <f t="shared" si="7"/>
        <v>0</v>
      </c>
      <c r="CC26" s="7">
        <f t="shared" si="8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1</v>
      </c>
      <c r="CL26" s="3">
        <v>3</v>
      </c>
      <c r="CM26" s="3">
        <v>4</v>
      </c>
      <c r="CN26" s="3">
        <v>3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3</v>
      </c>
      <c r="CY26" s="6">
        <v>5</v>
      </c>
      <c r="CZ26" s="5">
        <v>4.9932578149053504E-2</v>
      </c>
    </row>
    <row r="27" spans="1:104" x14ac:dyDescent="0.25">
      <c r="A27" s="9" t="str">
        <f t="shared" si="0"/>
        <v>ES</v>
      </c>
      <c r="B27" s="9" t="s">
        <v>31</v>
      </c>
      <c r="C27" s="20"/>
      <c r="D27" s="9" t="s">
        <v>2</v>
      </c>
      <c r="E27" s="9" t="s">
        <v>186</v>
      </c>
      <c r="F27" s="9" t="str">
        <f>INDEX('Unique Asset List'!$C$4:$C$60,MATCH(B27,_CompoundList,0))</f>
        <v>Ph1</v>
      </c>
      <c r="G27" s="19">
        <v>0</v>
      </c>
      <c r="H27" s="9">
        <v>2014</v>
      </c>
      <c r="I27" s="9">
        <v>6</v>
      </c>
      <c r="J27" s="18">
        <f>INDEX(PTRS!$D$6:$D$12,MATCH('5'!$F27,PTRS!$B$6:$B$12,0))</f>
        <v>0.13923000000000002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0.13923000000000002</v>
      </c>
      <c r="N27" s="17">
        <f>INDEX('Unique Asset List'!$D$4:$M$60,MATCH($B27,'Unique Asset List'!$A$4:$A$60,0),MATCH(N$8,'Unique Asset List'!$D$3:$M$3,0))</f>
        <v>0.14000000000000001</v>
      </c>
      <c r="O27" s="17">
        <f>INDEX('Unique Asset List'!$D$4:$M$60,MATCH($B27,'Unique Asset List'!$A$4:$A$60,0),MATCH(O$8,'Unique Asset List'!$D$3:$M$3,0))</f>
        <v>0.14000000000000001</v>
      </c>
      <c r="P27" s="17">
        <f>INDEX('Unique Asset List'!$D$4:$M$60,MATCH($B27,'Unique Asset List'!$A$4:$A$60,0),MATCH(P$8,'Unique Asset List'!$D$3:$M$3,0))</f>
        <v>0.14000000000000001</v>
      </c>
      <c r="Q27" s="17">
        <f>INDEX('Unique Asset List'!$D$4:$M$60,MATCH($B27,'Unique Asset List'!$A$4:$A$60,0),MATCH(Q$8,'Unique Asset List'!$D$3:$M$3,0))</f>
        <v>0.14000000000000001</v>
      </c>
      <c r="R27" s="17">
        <f>INDEX('Unique Asset List'!$D$4:$M$60,MATCH($B27,'Unique Asset List'!$A$4:$A$60,0),MATCH(R$8,'Unique Asset List'!$D$3:$M$3,0))</f>
        <v>0.14000000000000001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1"/>
        <v>0.90168566420734264</v>
      </c>
      <c r="V27" s="17">
        <v>1</v>
      </c>
      <c r="W27" s="9" t="s">
        <v>31</v>
      </c>
      <c r="X27" s="9">
        <f>INDEX('Unique Asset List'!$Y$4:$AE$60,MATCH('5'!$B27,'Unique Asset List'!$A$4:$A$60,0),MATCH('5'!$C$1,'Unique Asset List'!$Y$3:$AE$3,0))</f>
        <v>2029</v>
      </c>
      <c r="Y27" s="9">
        <f>INDEX('Unique Asset List'!$AF$4:$AL$60,MATCH('5'!$B27,'Unique Asset List'!$A$4:$A$60,0),MATCH('5'!$C$1,'Unique Asset List'!$AF$3:$AL$3,0))</f>
        <v>3</v>
      </c>
      <c r="Z27" s="9">
        <f>INDEX('Unique Asset List'!$AT$4:$AZ$60,MATCH('5'!$B27,'Unique Asset List'!$A$4:$A$60,0),MATCH('5'!$C$1,'Unique Asset List'!$AT$3:$AZ$3,0))</f>
        <v>2037</v>
      </c>
      <c r="AA27" s="9">
        <f>INDEX('Unique Asset List'!$BA$4:$BG$60,MATCH('5'!$B27,'Unique Asset List'!$A$4:$A$60,0),MATCH('5'!$C$1,'Unique Asset List'!$BA$3:$BG$3,0))</f>
        <v>2</v>
      </c>
      <c r="AB27" s="16">
        <f t="shared" si="2"/>
        <v>2.0063400000000007</v>
      </c>
      <c r="AC27" s="16">
        <f t="shared" si="3"/>
        <v>0.94137550000000003</v>
      </c>
      <c r="AD27" s="16">
        <f t="shared" si="4"/>
        <v>0.56099999999999994</v>
      </c>
      <c r="AE27" s="15">
        <f>INDEX('Unique Asset List'!$CJ$4:$CP$60,MATCH('5'!$B27,'Unique Asset List'!$A$4:$A$60,0),MATCH('5'!$C$1,'Unique Asset List'!$CJ$3:$CP$3,0))</f>
        <v>0.08</v>
      </c>
      <c r="AF27" s="15">
        <f>INDEX('Unique Asset List'!$CQ$4:$CW$60,MATCH('5'!$B27,'Unique Asset List'!$A$4:$A$60,0),MATCH('5'!$C$1,'Unique Asset List'!$CQ$3:$CW$3,0))</f>
        <v>0.42</v>
      </c>
      <c r="AG27" s="15">
        <f>INDEX('Unique Asset List'!$BV$4:$CB$60,MATCH('5'!$B27,'Unique Asset List'!$A$4:$A$60,0),MATCH('5'!$C$1,'Unique Asset List'!$BV$3:$CB$3,0))</f>
        <v>0.08</v>
      </c>
      <c r="AH27" s="15">
        <f>INDEX('Unique Asset List'!$CC$4:$CI$60,MATCH('5'!$B27,'Unique Asset List'!$A$4:$A$60,0),MATCH('5'!$C$1,'Unique Asset List'!$CC$3:$CI$3,0))</f>
        <v>0.42</v>
      </c>
      <c r="AI27" s="11">
        <v>0.96187963349867744</v>
      </c>
      <c r="AJ27" s="15">
        <f>INDEX('Unique Asset List'!$BH$4:$BN$60,MATCH('5'!$B27,'Unique Asset List'!$A$4:$A$60,0),MATCH('5'!$C$1,'Unique Asset List'!$BH$3:$BN$3,0))</f>
        <v>1.2944496352201866</v>
      </c>
      <c r="AK27" s="15">
        <f>INDEX('Unique Asset List'!$BO$4:$BU$60,MATCH('5'!$B27,'Unique Asset List'!$A$4:$A$60,0),MATCH('5'!$C$1,'Unique Asset List'!$BO$3:$BU$3,0))</f>
        <v>-1.4425350046709582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0</v>
      </c>
      <c r="AW27" s="181">
        <f>INDEX('Unique Asset List'!Q$4:Q$60,MATCH($B27,_CompoundList,0))</f>
        <v>0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1</v>
      </c>
      <c r="BD27" s="4">
        <f>IF($C$5="ON",CD27,MyRating(_E1,$B27,Efficacy!$F$1))</f>
        <v>4</v>
      </c>
      <c r="BE27" s="3">
        <f>IF($C$5="ON",CE27,MyRating(_E2,$B27,Efficacy!$F$1))</f>
        <v>3</v>
      </c>
      <c r="BF27" s="3">
        <f>IF($C$5="ON",CF27,MyRating(_E3,$B27,Efficacy!$F$1))</f>
        <v>4</v>
      </c>
      <c r="BG27" s="3">
        <f>IF($C$5="ON",CG27,MyRating(_E4,$B27,Efficacy!$F$1))</f>
        <v>4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3</v>
      </c>
      <c r="BL27" s="3">
        <f>IF($C$5="ON",CL27,MyRating(_S1,$B27,Efficacy!$F$1))</f>
        <v>4</v>
      </c>
      <c r="BM27" s="3">
        <f>IF($C$5="ON",CM27,MyRating(_S2,$B27,Efficacy!$F$1))</f>
        <v>3</v>
      </c>
      <c r="BN27" s="3">
        <f>IF($C$5="ON",CN27,MyRating(_S3,$B27,Efficacy!$F$1))</f>
        <v>3</v>
      </c>
      <c r="BO27" s="3">
        <f>IF($C$5="ON",CO27,MyRating(_S4,$B27,Efficacy!$F$1))</f>
        <v>4</v>
      </c>
      <c r="BP27" s="3">
        <f>IF($C$5="ON",CP27,MyRating(_S5,$B27,Efficacy!$F$1))</f>
        <v>5</v>
      </c>
      <c r="BQ27" s="3">
        <f>IF($C$5="ON",CQ27,MyRating(_S6,$B27,Efficacy!$F$1))</f>
        <v>3</v>
      </c>
      <c r="BR27" s="3">
        <f>IF($C$5="ON",CR27,MyRating(_S7,$B27,Efficacy!$F$1))</f>
        <v>3</v>
      </c>
      <c r="BS27" s="3">
        <f>IF($C$5="ON",CS27,MyRating(_D1,$B27,Efficacy!$F$1))</f>
        <v>3</v>
      </c>
      <c r="BT27" s="3">
        <f>IF($C$5="ON",CT27,MyRating(_D2,$B27,Efficacy!$F$1))</f>
        <v>3</v>
      </c>
      <c r="BU27" s="3">
        <f>IF($C$5="ON",CU27,MyRating(_D3,$B27,Efficacy!$F$1))</f>
        <v>3</v>
      </c>
      <c r="BV27" s="3">
        <f>IF($C$5="ON",CV27,MyRating(_D4,$B27,Efficacy!$F$1))</f>
        <v>3</v>
      </c>
      <c r="BW27" s="3">
        <f>IF($C$5="ON",CW27,MyRating(_B1G5,$B27,Barrier!$L$2))</f>
        <v>2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9"/>
        <v>3.3407946312985805E-2</v>
      </c>
      <c r="CA27" s="8">
        <f t="shared" si="6"/>
        <v>2.8000000000000003</v>
      </c>
      <c r="CB27" s="5">
        <f t="shared" si="7"/>
        <v>3.2941176470588251E-2</v>
      </c>
      <c r="CC27" s="7">
        <f t="shared" si="8"/>
        <v>5.9787261089987885E-3</v>
      </c>
      <c r="CD27" s="4">
        <v>4</v>
      </c>
      <c r="CE27" s="3">
        <v>4</v>
      </c>
      <c r="CF27" s="3">
        <v>4</v>
      </c>
      <c r="CG27" s="3">
        <v>4</v>
      </c>
      <c r="CH27" s="3">
        <v>3</v>
      </c>
      <c r="CI27" s="3">
        <v>4</v>
      </c>
      <c r="CJ27" s="3">
        <v>4</v>
      </c>
      <c r="CK27" s="3">
        <v>3</v>
      </c>
      <c r="CL27" s="3">
        <v>4</v>
      </c>
      <c r="CM27" s="3">
        <v>3</v>
      </c>
      <c r="CN27" s="3">
        <v>3</v>
      </c>
      <c r="CO27" s="3">
        <v>4</v>
      </c>
      <c r="CP27" s="3">
        <v>5</v>
      </c>
      <c r="CQ27" s="3">
        <v>3</v>
      </c>
      <c r="CR27" s="3">
        <v>4</v>
      </c>
      <c r="CS27" s="3">
        <v>3</v>
      </c>
      <c r="CT27" s="3">
        <v>3</v>
      </c>
      <c r="CU27" s="3">
        <v>3</v>
      </c>
      <c r="CV27" s="3">
        <v>3</v>
      </c>
      <c r="CW27" s="3">
        <v>2</v>
      </c>
      <c r="CX27" s="3">
        <v>3</v>
      </c>
      <c r="CY27" s="6">
        <v>3</v>
      </c>
      <c r="CZ27" s="5">
        <v>3.6275844714639842E-2</v>
      </c>
    </row>
    <row r="28" spans="1:104" x14ac:dyDescent="0.25">
      <c r="A28" s="9" t="str">
        <f t="shared" si="0"/>
        <v>ES</v>
      </c>
      <c r="B28" s="9" t="s">
        <v>35</v>
      </c>
      <c r="C28" s="20"/>
      <c r="D28" s="9" t="s">
        <v>2</v>
      </c>
      <c r="E28" s="9" t="s">
        <v>186</v>
      </c>
      <c r="F28" s="9" t="str">
        <f>INDEX('Unique Asset List'!$C$4:$C$60,MATCH(B28,_CompoundList,0))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INDEX(PTRS!$D$6:$D$12,MATCH('5'!$F28,PTRS!$B$6:$B$12,0))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v>0.13923000000000002</v>
      </c>
      <c r="N28" s="17">
        <f>INDEX('Unique Asset List'!$D$4:$M$60,MATCH($B28,'Unique Asset List'!$A$4:$A$60,0),MATCH(N$8,'Unique Asset List'!$D$3:$M$3,0))</f>
        <v>0.14000000000000001</v>
      </c>
      <c r="O28" s="17">
        <f>INDEX('Unique Asset List'!$D$4:$M$60,MATCH($B28,'Unique Asset List'!$A$4:$A$60,0),MATCH(O$8,'Unique Asset List'!$D$3:$M$3,0))</f>
        <v>0.14000000000000001</v>
      </c>
      <c r="P28" s="17">
        <f>INDEX('Unique Asset List'!$D$4:$M$60,MATCH($B28,'Unique Asset List'!$A$4:$A$60,0),MATCH(P$8,'Unique Asset List'!$D$3:$M$3,0))</f>
        <v>0.14000000000000001</v>
      </c>
      <c r="Q28" s="17">
        <f>INDEX('Unique Asset List'!$D$4:$M$60,MATCH($B28,'Unique Asset List'!$A$4:$A$60,0),MATCH(Q$8,'Unique Asset List'!$D$3:$M$3,0))</f>
        <v>0.14000000000000001</v>
      </c>
      <c r="R28" s="17">
        <f>INDEX('Unique Asset List'!$D$4:$M$60,MATCH($B28,'Unique Asset List'!$A$4:$A$60,0),MATCH(R$8,'Unique Asset List'!$D$3:$M$3,0))</f>
        <v>0.14000000000000001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1"/>
        <v>0.90168566420734264</v>
      </c>
      <c r="V28" s="17">
        <v>1</v>
      </c>
      <c r="W28" s="9" t="s">
        <v>34</v>
      </c>
      <c r="X28" s="9">
        <f>INDEX('Unique Asset List'!$Y$4:$AE$60,MATCH('5'!$B28,'Unique Asset List'!$A$4:$A$60,0),MATCH('5'!$C$1,'Unique Asset List'!$Y$3:$AE$3,0))</f>
        <v>2029</v>
      </c>
      <c r="Y28" s="9">
        <f>INDEX('Unique Asset List'!$AF$4:$AL$60,MATCH('5'!$B28,'Unique Asset List'!$A$4:$A$60,0),MATCH('5'!$C$1,'Unique Asset List'!$AF$3:$AL$3,0))</f>
        <v>4.999999999998181</v>
      </c>
      <c r="Z28" s="9">
        <f>INDEX('Unique Asset List'!$AT$4:$AZ$60,MATCH('5'!$B28,'Unique Asset List'!$A$4:$A$60,0),MATCH('5'!$C$1,'Unique Asset List'!$AT$3:$AZ$3,0))</f>
        <v>2039</v>
      </c>
      <c r="AA28" s="9">
        <f>INDEX('Unique Asset List'!$BA$4:$BG$60,MATCH('5'!$B28,'Unique Asset List'!$A$4:$A$60,0),MATCH('5'!$C$1,'Unique Asset List'!$BA$3:$BG$3,0))</f>
        <v>3</v>
      </c>
      <c r="AB28" s="16">
        <f t="shared" si="2"/>
        <v>2.0681600000000007</v>
      </c>
      <c r="AC28" s="16">
        <f t="shared" si="3"/>
        <v>0.94137550000000003</v>
      </c>
      <c r="AD28" s="16">
        <f t="shared" si="4"/>
        <v>0.56099999999999994</v>
      </c>
      <c r="AE28" s="15">
        <f>INDEX('Unique Asset List'!$CJ$4:$CP$60,MATCH('5'!$B28,'Unique Asset List'!$A$4:$A$60,0),MATCH('5'!$C$1,'Unique Asset List'!$CJ$3:$CP$3,0))</f>
        <v>0.08</v>
      </c>
      <c r="AF28" s="15">
        <f>INDEX('Unique Asset List'!$CQ$4:$CW$60,MATCH('5'!$B28,'Unique Asset List'!$A$4:$A$60,0),MATCH('5'!$C$1,'Unique Asset List'!$CQ$3:$CW$3,0))</f>
        <v>0.42</v>
      </c>
      <c r="AG28" s="15">
        <f>INDEX('Unique Asset List'!$BV$4:$CB$60,MATCH('5'!$B28,'Unique Asset List'!$A$4:$A$60,0),MATCH('5'!$C$1,'Unique Asset List'!$BV$3:$CB$3,0))</f>
        <v>0.08</v>
      </c>
      <c r="AH28" s="15">
        <f>INDEX('Unique Asset List'!$CC$4:$CI$60,MATCH('5'!$B28,'Unique Asset List'!$A$4:$A$60,0),MATCH('5'!$C$1,'Unique Asset List'!$CC$3:$CI$3,0))</f>
        <v>0.42</v>
      </c>
      <c r="AI28" s="11">
        <v>0.96187963349867744</v>
      </c>
      <c r="AJ28" s="15">
        <f>INDEX('Unique Asset List'!$BH$4:$BN$60,MATCH('5'!$B28,'Unique Asset List'!$A$4:$A$60,0),MATCH('5'!$C$1,'Unique Asset List'!$BH$3:$BN$3,0))</f>
        <v>1.2944496352201866</v>
      </c>
      <c r="AK28" s="15">
        <f>INDEX('Unique Asset List'!$BO$4:$BU$60,MATCH('5'!$B28,'Unique Asset List'!$A$4:$A$60,0),MATCH('5'!$C$1,'Unique Asset List'!$BO$3:$BU$3,0))</f>
        <v>-1.4425350046709582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0</v>
      </c>
      <c r="AZ28" s="181">
        <f ca="1">INDEX('Unique Asset List'!T$4:T$60,MATCH($B28,_CompoundList,0))</f>
        <v>0</v>
      </c>
      <c r="BA28" s="181">
        <f ca="1">INDEX('Unique Asset List'!U$4:U$60,MATCH($B28,_CompoundList,0))</f>
        <v>0</v>
      </c>
      <c r="BB28" s="181">
        <f ca="1">INDEX('Unique Asset List'!V$4:V$60,MATCH($B28,_CompoundList,0))</f>
        <v>0</v>
      </c>
      <c r="BC28" s="181">
        <f ca="1">INDEX('Unique Asset List'!W$4:W$60,MATCH($B28,_CompoundList,0))</f>
        <v>1</v>
      </c>
      <c r="BD28" s="4">
        <f>IF($C$5="ON",CD28,MyRating(_E1,$B28,Efficacy!$F$1))</f>
        <v>4</v>
      </c>
      <c r="BE28" s="3">
        <f>IF($C$5="ON",CE28,MyRating(_E2,$B28,Efficacy!$F$1))</f>
        <v>3</v>
      </c>
      <c r="BF28" s="3">
        <f>IF($C$5="ON",CF28,MyRating(_E3,$B28,Efficacy!$F$1))</f>
        <v>4</v>
      </c>
      <c r="BG28" s="3">
        <f>IF($C$5="ON",CG28,MyRating(_E4,$B28,Efficacy!$F$1))</f>
        <v>4</v>
      </c>
      <c r="BH28" s="3">
        <f>IF($C$5="ON",CH28,MyRating(_E5,$B28,Efficacy!$F$1))</f>
        <v>3</v>
      </c>
      <c r="BI28" s="3">
        <f>IF($C$5="ON",CI28,MyRating(_E6,$B28,Efficacy!$F$1))</f>
        <v>4</v>
      </c>
      <c r="BJ28" s="3">
        <f>IF($C$5="ON",CJ28,MyRating(_E7,$B28,Efficacy!$F$1))</f>
        <v>3</v>
      </c>
      <c r="BK28" s="3">
        <f>IF($C$5="ON",CK28,MyRating(_E8,$B28,Efficacy!$F$1))</f>
        <v>4</v>
      </c>
      <c r="BL28" s="3">
        <f>IF($C$5="ON",CL28,MyRating(_S1,$B28,Efficacy!$F$1))</f>
        <v>4</v>
      </c>
      <c r="BM28" s="3">
        <f>IF($C$5="ON",CM28,MyRating(_S2,$B28,Efficacy!$F$1))</f>
        <v>3</v>
      </c>
      <c r="BN28" s="3">
        <f>IF($C$5="ON",CN28,MyRating(_S3,$B28,Efficacy!$F$1))</f>
        <v>3</v>
      </c>
      <c r="BO28" s="3">
        <f>IF($C$5="ON",CO28,MyRating(_S4,$B28,Efficacy!$F$1))</f>
        <v>4</v>
      </c>
      <c r="BP28" s="3">
        <f>IF($C$5="ON",CP28,MyRating(_S5,$B28,Efficacy!$F$1))</f>
        <v>5</v>
      </c>
      <c r="BQ28" s="3">
        <f>IF($C$5="ON",CQ28,MyRating(_S6,$B28,Efficacy!$F$1))</f>
        <v>3</v>
      </c>
      <c r="BR28" s="3">
        <f>IF($C$5="ON",CR28,MyRating(_S7,$B28,Efficacy!$F$1))</f>
        <v>3</v>
      </c>
      <c r="BS28" s="3">
        <f>IF($C$5="ON",CS28,MyRating(_D1,$B28,Efficacy!$F$1))</f>
        <v>3</v>
      </c>
      <c r="BT28" s="3">
        <f>IF($C$5="ON",CT28,MyRating(_D2,$B28,Efficacy!$F$1))</f>
        <v>3</v>
      </c>
      <c r="BU28" s="3">
        <f>IF($C$5="ON",CU28,MyRating(_D3,$B28,Efficacy!$F$1))</f>
        <v>3</v>
      </c>
      <c r="BV28" s="3">
        <f>IF($C$5="ON",CV28,MyRating(_D4,$B28,Efficacy!$F$1))</f>
        <v>3</v>
      </c>
      <c r="BW28" s="3">
        <f>IF($C$5="ON",CW28,MyRating(_B1G5,$B28,Barrier!$L$2))</f>
        <v>2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9"/>
        <v>3.3407946312985805E-2</v>
      </c>
      <c r="CA28" s="8">
        <f t="shared" si="6"/>
        <v>2.8000000000000003</v>
      </c>
      <c r="CB28" s="5">
        <f t="shared" si="7"/>
        <v>3.2941176470588251E-2</v>
      </c>
      <c r="CC28" s="7">
        <f t="shared" si="8"/>
        <v>5.9787261089987885E-3</v>
      </c>
      <c r="CD28" s="4">
        <v>4</v>
      </c>
      <c r="CE28" s="3">
        <v>4</v>
      </c>
      <c r="CF28" s="3">
        <v>4</v>
      </c>
      <c r="CG28" s="3">
        <v>4</v>
      </c>
      <c r="CH28" s="3">
        <v>3</v>
      </c>
      <c r="CI28" s="3">
        <v>3</v>
      </c>
      <c r="CJ28" s="3">
        <v>3</v>
      </c>
      <c r="CK28" s="3">
        <v>4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3</v>
      </c>
      <c r="CR28" s="3">
        <v>4</v>
      </c>
      <c r="CS28" s="3">
        <v>3</v>
      </c>
      <c r="CT28" s="3">
        <v>3</v>
      </c>
      <c r="CU28" s="3">
        <v>3</v>
      </c>
      <c r="CV28" s="3">
        <v>3</v>
      </c>
      <c r="CW28" s="3">
        <v>2</v>
      </c>
      <c r="CX28" s="3">
        <v>3</v>
      </c>
      <c r="CY28" s="6">
        <v>3</v>
      </c>
      <c r="CZ28" s="5">
        <v>3.6275844714639842E-2</v>
      </c>
    </row>
    <row r="29" spans="1:104" x14ac:dyDescent="0.25">
      <c r="A29" s="9" t="str">
        <f t="shared" si="0"/>
        <v>ES</v>
      </c>
      <c r="B29" s="9" t="s">
        <v>69</v>
      </c>
      <c r="C29" s="20"/>
      <c r="D29" s="9" t="s">
        <v>64</v>
      </c>
      <c r="E29" s="9" t="s">
        <v>186</v>
      </c>
      <c r="F29" s="9" t="str">
        <f>INDEX('Unique Asset List'!$C$4:$C$60,MATCH(B29,_CompoundList,0))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INDEX(PTRS!$D$6:$D$12,MATCH('5'!$F29,PTRS!$B$6:$B$12,0))</f>
        <v>0.13923000000000002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0.13923000000000002</v>
      </c>
      <c r="N29" s="17">
        <f>INDEX('Unique Asset List'!$D$4:$M$60,MATCH($B29,'Unique Asset List'!$A$4:$A$60,0),MATCH(N$8,'Unique Asset List'!$D$3:$M$3,0))</f>
        <v>0.13923000000000002</v>
      </c>
      <c r="O29" s="17">
        <f>INDEX('Unique Asset List'!$D$4:$M$60,MATCH($B29,'Unique Asset List'!$A$4:$A$60,0),MATCH(O$8,'Unique Asset List'!$D$3:$M$3,0))</f>
        <v>0.13923000000000002</v>
      </c>
      <c r="P29" s="17">
        <f>INDEX('Unique Asset List'!$D$4:$M$60,MATCH($B29,'Unique Asset List'!$A$4:$A$60,0),MATCH(P$8,'Unique Asset List'!$D$3:$M$3,0))</f>
        <v>0.13923000000000002</v>
      </c>
      <c r="Q29" s="17">
        <f>INDEX('Unique Asset List'!$D$4:$M$60,MATCH($B29,'Unique Asset List'!$A$4:$A$60,0),MATCH(Q$8,'Unique Asset List'!$D$3:$M$3,0))</f>
        <v>0.13923000000000002</v>
      </c>
      <c r="R29" s="17">
        <f>INDEX('Unique Asset List'!$D$4:$M$60,MATCH($B29,'Unique Asset List'!$A$4:$A$60,0),MATCH(R$8,'Unique Asset List'!$D$3:$M$3,0))</f>
        <v>0.13923000000000002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1"/>
        <v>0.90168566420734264</v>
      </c>
      <c r="V29" s="17">
        <v>1</v>
      </c>
      <c r="W29" s="9" t="s">
        <v>62</v>
      </c>
      <c r="X29" s="9">
        <f>INDEX('Unique Asset List'!$Y$4:$AE$60,MATCH('5'!$B29,'Unique Asset List'!$A$4:$A$60,0),MATCH('5'!$C$1,'Unique Asset List'!$Y$3:$AE$3,0))</f>
        <v>2025</v>
      </c>
      <c r="Y29" s="9">
        <f>INDEX('Unique Asset List'!$AF$4:$AL$60,MATCH('5'!$B29,'Unique Asset List'!$A$4:$A$60,0),MATCH('5'!$C$1,'Unique Asset List'!$AF$3:$AL$3,0))</f>
        <v>3.9999999999990905</v>
      </c>
      <c r="Z29" s="9">
        <f>INDEX('Unique Asset List'!$AT$4:$AZ$60,MATCH('5'!$B29,'Unique Asset List'!$A$4:$A$60,0),MATCH('5'!$C$1,'Unique Asset List'!$AT$3:$AZ$3,0))</f>
        <v>2037</v>
      </c>
      <c r="AA29" s="9">
        <f>INDEX('Unique Asset List'!$BA$4:$BG$60,MATCH('5'!$B29,'Unique Asset List'!$A$4:$A$60,0),MATCH('5'!$C$1,'Unique Asset List'!$BA$3:$BG$3,0))</f>
        <v>3</v>
      </c>
      <c r="AB29" s="16">
        <f t="shared" si="2"/>
        <v>1.6860000000000002</v>
      </c>
      <c r="AC29" s="16">
        <f t="shared" si="3"/>
        <v>0.91994010000000004</v>
      </c>
      <c r="AD29" s="16">
        <f t="shared" si="4"/>
        <v>0.50129594525999999</v>
      </c>
      <c r="AE29" s="15">
        <f>INDEX('Unique Asset List'!$CJ$4:$CP$60,MATCH('5'!$B29,'Unique Asset List'!$A$4:$A$60,0),MATCH('5'!$C$1,'Unique Asset List'!$CJ$3:$CP$3,0))</f>
        <v>0.14000000000000001</v>
      </c>
      <c r="AF29" s="15">
        <f>INDEX('Unique Asset List'!$CQ$4:$CW$60,MATCH('5'!$B29,'Unique Asset List'!$A$4:$A$60,0),MATCH('5'!$C$1,'Unique Asset List'!$CQ$3:$CW$3,0))</f>
        <v>0.36</v>
      </c>
      <c r="AG29" s="15">
        <f>INDEX('Unique Asset List'!$BV$4:$CB$60,MATCH('5'!$B29,'Unique Asset List'!$A$4:$A$60,0),MATCH('5'!$C$1,'Unique Asset List'!$BV$3:$CB$3,0))</f>
        <v>0.14000000000000001</v>
      </c>
      <c r="AH29" s="15">
        <f>INDEX('Unique Asset List'!$CC$4:$CI$60,MATCH('5'!$B29,'Unique Asset List'!$A$4:$A$60,0),MATCH('5'!$C$1,'Unique Asset List'!$CC$3:$CI$3,0))</f>
        <v>0.36</v>
      </c>
      <c r="AI29" s="11">
        <v>0.96187963349867744</v>
      </c>
      <c r="AJ29" s="15">
        <f>INDEX('Unique Asset List'!$BH$4:$BN$60,MATCH('5'!$B29,'Unique Asset List'!$A$4:$A$60,0),MATCH('5'!$C$1,'Unique Asset List'!$BH$3:$BN$3,0))</f>
        <v>1.2944496352201866</v>
      </c>
      <c r="AK29" s="15">
        <f>INDEX('Unique Asset List'!$BO$4:$BU$60,MATCH('5'!$B29,'Unique Asset List'!$A$4:$A$60,0),MATCH('5'!$C$1,'Unique Asset List'!$BO$3:$BU$3,0))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0</v>
      </c>
      <c r="AY29" s="181">
        <f ca="1">INDEX('Unique Asset List'!S$4:S$60,MATCH($B29,_CompoundList,0))</f>
        <v>1</v>
      </c>
      <c r="AZ29" s="181">
        <f ca="1">INDEX('Unique Asset List'!T$4:T$60,MATCH($B29,_CompoundList,0))</f>
        <v>1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1</v>
      </c>
      <c r="BC29" s="181">
        <f ca="1">INDEX('Unique Asset List'!W$4:W$60,MATCH($B29,_CompoundList,0))</f>
        <v>1</v>
      </c>
      <c r="BD29" s="4">
        <f>IF($C$5="ON",CD29,MyRating(_E1,$B29,Efficacy!$F$1))</f>
        <v>3</v>
      </c>
      <c r="BE29" s="3">
        <f>IF($C$5="ON",CE29,MyRating(_E2,$B29,Efficacy!$F$1))</f>
        <v>3</v>
      </c>
      <c r="BF29" s="3">
        <f>IF($C$5="ON",CF29,MyRating(_E3,$B29,Efficacy!$F$1))</f>
        <v>3</v>
      </c>
      <c r="BG29" s="3">
        <f>IF($C$5="ON",CG29,MyRating(_E4,$B29,Efficacy!$F$1))</f>
        <v>3</v>
      </c>
      <c r="BH29" s="3">
        <f>IF($C$5="ON",CH29,MyRating(_E5,$B29,Efficacy!$F$1))</f>
        <v>3</v>
      </c>
      <c r="BI29" s="3">
        <f>IF($C$5="ON",CI29,MyRating(_E6,$B29,Efficacy!$F$1))</f>
        <v>3</v>
      </c>
      <c r="BJ29" s="3">
        <f>IF($C$5="ON",CJ29,MyRating(_E7,$B29,Efficacy!$F$1))</f>
        <v>3</v>
      </c>
      <c r="BK29" s="3">
        <f>IF($C$5="ON",CK29,MyRating(_E8,$B29,Efficacy!$F$1))</f>
        <v>3</v>
      </c>
      <c r="BL29" s="3">
        <f>IF($C$5="ON",CL29,MyRating(_S1,$B29,Efficacy!$F$1))</f>
        <v>4</v>
      </c>
      <c r="BM29" s="3">
        <f>IF($C$5="ON",CM29,MyRating(_S2,$B29,Efficacy!$F$1))</f>
        <v>3</v>
      </c>
      <c r="BN29" s="3">
        <f>IF($C$5="ON",CN29,MyRating(_S3,$B29,Efficacy!$F$1))</f>
        <v>3</v>
      </c>
      <c r="BO29" s="3">
        <f>IF($C$5="ON",CO29,MyRating(_S4,$B29,Efficacy!$F$1))</f>
        <v>4</v>
      </c>
      <c r="BP29" s="3">
        <f>IF($C$5="ON",CP29,MyRating(_S5,$B29,Efficacy!$F$1))</f>
        <v>5</v>
      </c>
      <c r="BQ29" s="3">
        <f>IF($C$5="ON",CQ29,MyRating(_S6,$B29,Efficacy!$F$1))</f>
        <v>2</v>
      </c>
      <c r="BR29" s="3">
        <f>IF($C$5="ON",CR29,MyRating(_S7,$B29,Efficacy!$F$1))</f>
        <v>3</v>
      </c>
      <c r="BS29" s="3">
        <f>IF($C$5="ON",CS29,MyRating(_D1,$B29,Efficacy!$F$1))</f>
        <v>2</v>
      </c>
      <c r="BT29" s="3">
        <f>IF($C$5="ON",CT29,MyRating(_D2,$B29,Efficacy!$F$1))</f>
        <v>3</v>
      </c>
      <c r="BU29" s="3">
        <f>IF($C$5="ON",CU29,MyRating(_D3,$B29,Efficacy!$F$1))</f>
        <v>3</v>
      </c>
      <c r="BV29" s="3">
        <f>IF($C$5="ON",CV29,MyRating(_D4,$B29,Efficacy!$F$1))</f>
        <v>3</v>
      </c>
      <c r="BW29" s="3">
        <f>IF($C$5="ON",CW29,MyRating(_B1G5,$B29,Barrier!$L$2))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9"/>
        <v>3.3407946312985805E-2</v>
      </c>
      <c r="CA29" s="8">
        <f t="shared" si="6"/>
        <v>2.8000000000000003</v>
      </c>
      <c r="CB29" s="5">
        <f t="shared" si="7"/>
        <v>3.2941176470588251E-2</v>
      </c>
      <c r="CC29" s="7">
        <f t="shared" si="8"/>
        <v>5.9787261089987885E-3</v>
      </c>
      <c r="CD29" s="4">
        <v>3</v>
      </c>
      <c r="CE29" s="3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5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3</v>
      </c>
      <c r="CW29" s="3">
        <v>2</v>
      </c>
      <c r="CX29" s="3">
        <v>3</v>
      </c>
      <c r="CY29" s="6">
        <v>3</v>
      </c>
      <c r="CZ29" s="5">
        <v>3.6275844714639842E-2</v>
      </c>
    </row>
    <row r="30" spans="1:104" x14ac:dyDescent="0.25">
      <c r="A30" s="9" t="str">
        <f t="shared" si="0"/>
        <v>ES</v>
      </c>
      <c r="B30" s="9" t="s">
        <v>24</v>
      </c>
      <c r="C30" s="20" t="s">
        <v>3</v>
      </c>
      <c r="D30" s="9" t="s">
        <v>2</v>
      </c>
      <c r="E30" s="9" t="s">
        <v>186</v>
      </c>
      <c r="F30" s="9" t="str">
        <f>INDEX('Unique Asset List'!$C$4:$C$60,MATCH(B30,_CompoundList,0))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INDEX(PTRS!$D$6:$D$12,MATCH('5'!$F30,PTRS!$B$6:$B$12,0))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0.13923000000000002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1"/>
        <v>0</v>
      </c>
      <c r="V30" s="17">
        <v>1</v>
      </c>
      <c r="W30" s="9" t="s">
        <v>24</v>
      </c>
      <c r="X30" s="9">
        <f>INDEX('Unique Asset List'!$Y$4:$AE$60,MATCH('5'!$B30,'Unique Asset List'!$A$4:$A$60,0),MATCH('5'!$C$1,'Unique Asset List'!$Y$3:$AE$3,0))</f>
        <v>2028</v>
      </c>
      <c r="Y30" s="9">
        <f>INDEX('Unique Asset List'!$AF$4:$AL$60,MATCH('5'!$B30,'Unique Asset List'!$A$4:$A$60,0),MATCH('5'!$C$1,'Unique Asset List'!$AF$3:$AL$3,0))</f>
        <v>6.9999999999990905</v>
      </c>
      <c r="Z30" s="9">
        <f>INDEX('Unique Asset List'!$AT$4:$AZ$60,MATCH('5'!$B30,'Unique Asset List'!$A$4:$A$60,0),MATCH('5'!$C$1,'Unique Asset List'!$AT$3:$AZ$3,0))</f>
        <v>2034</v>
      </c>
      <c r="AA30" s="9">
        <f>INDEX('Unique Asset List'!$BA$4:$BG$60,MATCH('5'!$B30,'Unique Asset List'!$A$4:$A$60,0),MATCH('5'!$C$1,'Unique Asset List'!$BA$3:$BG$3,0))</f>
        <v>5</v>
      </c>
      <c r="AB30" s="16">
        <f t="shared" si="2"/>
        <v>2.1518980000000005</v>
      </c>
      <c r="AC30" s="16">
        <f t="shared" si="3"/>
        <v>0.94137550000000003</v>
      </c>
      <c r="AD30" s="16">
        <f t="shared" si="4"/>
        <v>0.56099999999999994</v>
      </c>
      <c r="AE30" s="15">
        <f>INDEX('Unique Asset List'!$CJ$4:$CP$60,MATCH('5'!$B30,'Unique Asset List'!$A$4:$A$60,0),MATCH('5'!$C$1,'Unique Asset List'!$CJ$3:$CP$3,0))</f>
        <v>0.08</v>
      </c>
      <c r="AF30" s="15">
        <f>INDEX('Unique Asset List'!$CQ$4:$CW$60,MATCH('5'!$B30,'Unique Asset List'!$A$4:$A$60,0),MATCH('5'!$C$1,'Unique Asset List'!$CQ$3:$CW$3,0))</f>
        <v>0.42</v>
      </c>
      <c r="AG30" s="15">
        <f>INDEX('Unique Asset List'!$BV$4:$CB$60,MATCH('5'!$B30,'Unique Asset List'!$A$4:$A$60,0),MATCH('5'!$C$1,'Unique Asset List'!$BV$3:$CB$3,0))</f>
        <v>0.08</v>
      </c>
      <c r="AH30" s="15">
        <f>INDEX('Unique Asset List'!$CC$4:$CI$60,MATCH('5'!$B30,'Unique Asset List'!$A$4:$A$60,0),MATCH('5'!$C$1,'Unique Asset List'!$CC$3:$CI$3,0))</f>
        <v>0.42</v>
      </c>
      <c r="AI30" s="11">
        <v>0.96187963349867744</v>
      </c>
      <c r="AJ30" s="15">
        <f>INDEX('Unique Asset List'!$BH$4:$BN$60,MATCH('5'!$B30,'Unique Asset List'!$A$4:$A$60,0),MATCH('5'!$C$1,'Unique Asset List'!$BH$3:$BN$3,0))</f>
        <v>1.2944496352201866</v>
      </c>
      <c r="AK30" s="15">
        <f>INDEX('Unique Asset List'!$BO$4:$BU$60,MATCH('5'!$B30,'Unique Asset List'!$A$4:$A$60,0),MATCH('5'!$C$1,'Unique Asset List'!$BO$3:$BU$3,0))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IF($C$5="ON",CL30,MyRating(_S1,$B30,Efficacy!$F$1))</f>
        <v>4</v>
      </c>
      <c r="BM30" s="3">
        <f>IF($C$5="ON",CM30,MyRating(_S2,$B30,Efficacy!$F$1))</f>
        <v>3</v>
      </c>
      <c r="BN30" s="3">
        <f>IF($C$5="ON",CN30,MyRating(_S3,$B30,Efficacy!$F$1))</f>
        <v>3</v>
      </c>
      <c r="BO30" s="3">
        <f>IF($C$5="ON",CO30,MyRating(_S4,$B30,Efficacy!$F$1))</f>
        <v>4</v>
      </c>
      <c r="BP30" s="3">
        <f>IF($C$5="ON",CP30,MyRating(_S5,$B30,Efficacy!$F$1))</f>
        <v>5</v>
      </c>
      <c r="BQ30" s="3">
        <f>IF($C$5="ON",CQ30,MyRating(_S6,$B30,Efficacy!$F$1))</f>
        <v>3</v>
      </c>
      <c r="BR30" s="3">
        <f>IF($C$5="ON",CR30,MyRating(_S7,$B30,Efficacy!$F$1))</f>
        <v>3</v>
      </c>
      <c r="BS30" s="3">
        <f>IF($C$5="ON",CS30,MyRating(_D1,$B30,Efficacy!$F$1))</f>
        <v>3</v>
      </c>
      <c r="BT30" s="3">
        <f>IF($C$5="ON",CT30,MyRating(_D2,$B30,Efficacy!$F$1))</f>
        <v>3</v>
      </c>
      <c r="BU30" s="3">
        <f>IF($C$5="ON",CU30,MyRating(_D3,$B30,Efficacy!$F$1))</f>
        <v>3</v>
      </c>
      <c r="BV30" s="3">
        <f>IF($C$5="ON",CV30,MyRating(_D4,$B30,Efficacy!$F$1))</f>
        <v>3</v>
      </c>
      <c r="BW30" s="3">
        <f>IF($C$5="ON",CW30,MyRating(_B1G5,$B30,Barrier!$L$2))</f>
        <v>2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9"/>
        <v>0</v>
      </c>
      <c r="CA30" s="8">
        <f t="shared" si="6"/>
        <v>0.4</v>
      </c>
      <c r="CB30" s="5">
        <f t="shared" si="7"/>
        <v>4.7058823529411787E-3</v>
      </c>
      <c r="CC30" s="7">
        <f t="shared" si="8"/>
        <v>3.2282086615060515E-4</v>
      </c>
      <c r="CD30" s="4">
        <v>4</v>
      </c>
      <c r="CE30" s="3">
        <v>5</v>
      </c>
      <c r="CF30" s="3">
        <v>5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5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2</v>
      </c>
      <c r="CX30" s="3">
        <v>3</v>
      </c>
      <c r="CY30" s="6">
        <v>3</v>
      </c>
      <c r="CZ30" s="5">
        <v>3.6275844714639842E-2</v>
      </c>
    </row>
    <row r="31" spans="1:104" x14ac:dyDescent="0.25">
      <c r="A31" s="9" t="str">
        <f t="shared" si="0"/>
        <v>ES</v>
      </c>
      <c r="B31" s="9" t="s">
        <v>66</v>
      </c>
      <c r="C31" s="20" t="s">
        <v>3</v>
      </c>
      <c r="D31" s="9" t="s">
        <v>2</v>
      </c>
      <c r="E31" s="9" t="s">
        <v>186</v>
      </c>
      <c r="F31" s="9" t="str">
        <f>INDEX('Unique Asset List'!$C$4:$C$60,MATCH(B31,_CompoundList,0))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INDEX(PTRS!$D$6:$D$12,MATCH('5'!$F31,PTRS!$B$6:$B$12,0))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v>0.1044225</v>
      </c>
      <c r="N31" s="17">
        <f>INDEX('Unique Asset List'!$D$4:$M$60,MATCH($B31,'Unique Asset List'!$A$4:$A$60,0),MATCH(N$8,'Unique Asset List'!$D$3:$M$3,0))</f>
        <v>0</v>
      </c>
      <c r="O31" s="17">
        <f>INDEX('Unique Asset List'!$D$4:$M$60,MATCH($B31,'Unique Asset List'!$A$4:$A$60,0),MATCH(O$8,'Unique Asset List'!$D$3:$M$3,0))</f>
        <v>0</v>
      </c>
      <c r="P31" s="17">
        <f>INDEX('Unique Asset List'!$D$4:$M$60,MATCH($B31,'Unique Asset List'!$A$4:$A$60,0),MATCH(P$8,'Unique Asset List'!$D$3:$M$3,0))</f>
        <v>0</v>
      </c>
      <c r="Q31" s="17">
        <f>INDEX('Unique Asset List'!$D$4:$M$60,MATCH($B31,'Unique Asset List'!$A$4:$A$60,0),MATCH(Q$8,'Unique Asset List'!$D$3:$M$3,0))</f>
        <v>0</v>
      </c>
      <c r="R31" s="17">
        <f>INDEX('Unique Asset List'!$D$4:$M$60,MATCH($B31,'Unique Asset List'!$A$4:$A$60,0),MATCH(R$8,'Unique Asset List'!$D$3:$M$3,0))</f>
        <v>0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1"/>
        <v>0</v>
      </c>
      <c r="V31" s="17">
        <v>1</v>
      </c>
      <c r="W31" s="9" t="s">
        <v>62</v>
      </c>
      <c r="X31" s="9">
        <f>INDEX('Unique Asset List'!$Y$4:$AE$60,MATCH('5'!$B31,'Unique Asset List'!$A$4:$A$60,0),MATCH('5'!$C$1,'Unique Asset List'!$Y$3:$AE$3,0))</f>
        <v>2030</v>
      </c>
      <c r="Y31" s="9">
        <f>INDEX('Unique Asset List'!$AF$4:$AL$60,MATCH('5'!$B31,'Unique Asset List'!$A$4:$A$60,0),MATCH('5'!$C$1,'Unique Asset List'!$AF$3:$AL$3,0))</f>
        <v>3.9999999999990905</v>
      </c>
      <c r="Z31" s="9">
        <f>INDEX('Unique Asset List'!$AT$4:$AZ$60,MATCH('5'!$B31,'Unique Asset List'!$A$4:$A$60,0),MATCH('5'!$C$1,'Unique Asset List'!$AT$3:$AZ$3,0))</f>
        <v>2038</v>
      </c>
      <c r="AA31" s="9">
        <f>INDEX('Unique Asset List'!$BA$4:$BG$60,MATCH('5'!$B31,'Unique Asset List'!$A$4:$A$60,0),MATCH('5'!$C$1,'Unique Asset List'!$BA$3:$BG$3,0))</f>
        <v>3</v>
      </c>
      <c r="AB31" s="16">
        <f t="shared" si="2"/>
        <v>2.1518980000000005</v>
      </c>
      <c r="AC31" s="16">
        <f t="shared" si="3"/>
        <v>0.94137550000000003</v>
      </c>
      <c r="AD31" s="16">
        <f t="shared" si="4"/>
        <v>0.56099999999999994</v>
      </c>
      <c r="AE31" s="15">
        <f>INDEX('Unique Asset List'!$CJ$4:$CP$60,MATCH('5'!$B31,'Unique Asset List'!$A$4:$A$60,0),MATCH('5'!$C$1,'Unique Asset List'!$CJ$3:$CP$3,0))</f>
        <v>0.14000000000000001</v>
      </c>
      <c r="AF31" s="15">
        <f>INDEX('Unique Asset List'!$CQ$4:$CW$60,MATCH('5'!$B31,'Unique Asset List'!$A$4:$A$60,0),MATCH('5'!$C$1,'Unique Asset List'!$CQ$3:$CW$3,0))</f>
        <v>0.36</v>
      </c>
      <c r="AG31" s="15">
        <f>INDEX('Unique Asset List'!$BV$4:$CB$60,MATCH('5'!$B31,'Unique Asset List'!$A$4:$A$60,0),MATCH('5'!$C$1,'Unique Asset List'!$BV$3:$CB$3,0))</f>
        <v>0.14000000000000001</v>
      </c>
      <c r="AH31" s="15">
        <f>INDEX('Unique Asset List'!$CC$4:$CI$60,MATCH('5'!$B31,'Unique Asset List'!$A$4:$A$60,0),MATCH('5'!$C$1,'Unique Asset List'!$CC$3:$CI$3,0))</f>
        <v>0.36</v>
      </c>
      <c r="AI31" s="11">
        <v>0.96187963349867744</v>
      </c>
      <c r="AJ31" s="15">
        <f>INDEX('Unique Asset List'!$BH$4:$BN$60,MATCH('5'!$B31,'Unique Asset List'!$A$4:$A$60,0),MATCH('5'!$C$1,'Unique Asset List'!$BH$3:$BN$3,0))</f>
        <v>1.2944496352201866</v>
      </c>
      <c r="AK31" s="15">
        <f>INDEX('Unique Asset List'!$BO$4:$BU$60,MATCH('5'!$B31,'Unique Asset List'!$A$4:$A$60,0),MATCH('5'!$C$1,'Unique Asset List'!$BO$3:$BU$3,0))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1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0</v>
      </c>
      <c r="BC31" s="181">
        <f ca="1">INDEX('Unique Asset List'!W$4:W$60,MATCH($B31,_CompoundList,0))</f>
        <v>1</v>
      </c>
      <c r="BD31" s="4">
        <f>IF($C$5="ON",CD31,MyRating(_E1,$B31,Efficacy!$F$1))</f>
        <v>4</v>
      </c>
      <c r="BE31" s="3">
        <f>IF($C$5="ON",CE31,MyRating(_E2,$B31,Efficacy!$F$1))</f>
        <v>4</v>
      </c>
      <c r="BF31" s="3">
        <f>IF($C$5="ON",CF31,MyRating(_E3,$B31,Efficacy!$F$1))</f>
        <v>4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IF($C$5="ON",CL31,MyRating(_S1,$B31,Efficacy!$F$1))</f>
        <v>4</v>
      </c>
      <c r="BM31" s="3">
        <f>IF($C$5="ON",CM31,MyRating(_S2,$B31,Efficacy!$F$1))</f>
        <v>3</v>
      </c>
      <c r="BN31" s="3">
        <f>IF($C$5="ON",CN31,MyRating(_S3,$B31,Efficacy!$F$1))</f>
        <v>3</v>
      </c>
      <c r="BO31" s="3">
        <f>IF($C$5="ON",CO31,MyRating(_S4,$B31,Efficacy!$F$1))</f>
        <v>4</v>
      </c>
      <c r="BP31" s="3">
        <f>IF($C$5="ON",CP31,MyRating(_S5,$B31,Efficacy!$F$1))</f>
        <v>5</v>
      </c>
      <c r="BQ31" s="3">
        <f>IF($C$5="ON",CQ31,MyRating(_S6,$B31,Efficacy!$F$1))</f>
        <v>3</v>
      </c>
      <c r="BR31" s="3">
        <f>IF($C$5="ON",CR31,MyRating(_S7,$B31,Efficacy!$F$1))</f>
        <v>3</v>
      </c>
      <c r="BS31" s="3">
        <f>IF($C$5="ON",CS31,MyRating(_D1,$B31,Efficacy!$F$1))</f>
        <v>3</v>
      </c>
      <c r="BT31" s="3">
        <f>IF($C$5="ON",CT31,MyRating(_D2,$B31,Efficacy!$F$1))</f>
        <v>3</v>
      </c>
      <c r="BU31" s="3">
        <f>IF($C$5="ON",CU31,MyRating(_D3,$B31,Efficacy!$F$1))</f>
        <v>3</v>
      </c>
      <c r="BV31" s="3">
        <f>IF($C$5="ON",CV31,MyRating(_D4,$B31,Efficacy!$F$1))</f>
        <v>3</v>
      </c>
      <c r="BW31" s="3">
        <f>IF($C$5="ON",CW31,MyRating(_B1G5,$B31,Barrier!$L$2))</f>
        <v>2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9"/>
        <v>0</v>
      </c>
      <c r="CA31" s="8">
        <f t="shared" si="6"/>
        <v>2.8000000000000003</v>
      </c>
      <c r="CB31" s="5">
        <f t="shared" si="7"/>
        <v>3.2941176470588251E-2</v>
      </c>
      <c r="CC31" s="7">
        <f t="shared" si="8"/>
        <v>5.9787261089987885E-3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5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2</v>
      </c>
      <c r="CX31" s="3">
        <v>3</v>
      </c>
      <c r="CY31" s="6">
        <v>3</v>
      </c>
      <c r="CZ31" s="5">
        <v>3.6275844714639842E-2</v>
      </c>
    </row>
    <row r="32" spans="1:104" x14ac:dyDescent="0.25">
      <c r="A32" s="9" t="str">
        <f t="shared" si="0"/>
        <v>ES</v>
      </c>
      <c r="B32" s="9" t="s">
        <v>57</v>
      </c>
      <c r="C32" s="20" t="s">
        <v>3</v>
      </c>
      <c r="D32" s="9" t="s">
        <v>2</v>
      </c>
      <c r="E32" s="9" t="s">
        <v>186</v>
      </c>
      <c r="F32" s="9" t="str">
        <f>INDEX('Unique Asset List'!$C$4:$C$60,MATCH(B32,_CompoundList,0))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INDEX(PTRS!$D$6:$D$12,MATCH('5'!$F32,PTRS!$B$6:$B$12,0))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1"/>
        <v>0</v>
      </c>
      <c r="V32" s="17">
        <v>1</v>
      </c>
      <c r="W32" s="9" t="s">
        <v>57</v>
      </c>
      <c r="X32" s="9">
        <f>INDEX('Unique Asset List'!$Y$4:$AE$60,MATCH('5'!$B32,'Unique Asset List'!$A$4:$A$60,0),MATCH('5'!$C$1,'Unique Asset List'!$Y$3:$AE$3,0))</f>
        <v>2030</v>
      </c>
      <c r="Y32" s="9">
        <f>INDEX('Unique Asset List'!$AF$4:$AL$60,MATCH('5'!$B32,'Unique Asset List'!$A$4:$A$60,0),MATCH('5'!$C$1,'Unique Asset List'!$AF$3:$AL$3,0))</f>
        <v>9.9999999999990905</v>
      </c>
      <c r="Z32" s="9">
        <f>INDEX('Unique Asset List'!$AT$4:$AZ$60,MATCH('5'!$B32,'Unique Asset List'!$A$4:$A$60,0),MATCH('5'!$C$1,'Unique Asset List'!$AT$3:$AZ$3,0))</f>
        <v>2038</v>
      </c>
      <c r="AA32" s="9">
        <f>INDEX('Unique Asset List'!$BA$4:$BG$60,MATCH('5'!$B32,'Unique Asset List'!$A$4:$A$60,0),MATCH('5'!$C$1,'Unique Asset List'!$BA$3:$BG$3,0))</f>
        <v>9</v>
      </c>
      <c r="AB32" s="16">
        <f t="shared" si="2"/>
        <v>2.3276916000000001</v>
      </c>
      <c r="AC32" s="16">
        <f t="shared" si="3"/>
        <v>0.94137550000000003</v>
      </c>
      <c r="AD32" s="16">
        <f t="shared" si="4"/>
        <v>0.56099999999999994</v>
      </c>
      <c r="AE32" s="15">
        <f>INDEX('Unique Asset List'!$CJ$4:$CP$60,MATCH('5'!$B32,'Unique Asset List'!$A$4:$A$60,0),MATCH('5'!$C$1,'Unique Asset List'!$CJ$3:$CP$3,0))</f>
        <v>0.14000000000000001</v>
      </c>
      <c r="AF32" s="15">
        <f>INDEX('Unique Asset List'!$CQ$4:$CW$60,MATCH('5'!$B32,'Unique Asset List'!$A$4:$A$60,0),MATCH('5'!$C$1,'Unique Asset List'!$CQ$3:$CW$3,0))</f>
        <v>0.36</v>
      </c>
      <c r="AG32" s="15">
        <f>INDEX('Unique Asset List'!$BV$4:$CB$60,MATCH('5'!$B32,'Unique Asset List'!$A$4:$A$60,0),MATCH('5'!$C$1,'Unique Asset List'!$BV$3:$CB$3,0))</f>
        <v>0.14000000000000001</v>
      </c>
      <c r="AH32" s="15">
        <f>INDEX('Unique Asset List'!$CC$4:$CI$60,MATCH('5'!$B32,'Unique Asset List'!$A$4:$A$60,0),MATCH('5'!$C$1,'Unique Asset List'!$CC$3:$CI$3,0))</f>
        <v>0.36</v>
      </c>
      <c r="AI32" s="11">
        <v>0.96187963349867744</v>
      </c>
      <c r="AJ32" s="15">
        <f>INDEX('Unique Asset List'!$BH$4:$BN$60,MATCH('5'!$B32,'Unique Asset List'!$A$4:$A$60,0),MATCH('5'!$C$1,'Unique Asset List'!$BH$3:$BN$3,0))</f>
        <v>1.2944496352201866</v>
      </c>
      <c r="AK32" s="15">
        <f>INDEX('Unique Asset List'!$BO$4:$BU$60,MATCH('5'!$B32,'Unique Asset List'!$A$4:$A$60,0),MATCH('5'!$C$1,'Unique Asset List'!$BO$3:$BU$3,0))</f>
        <v>-1.4425350046709582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0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0</v>
      </c>
      <c r="BD32" s="4">
        <f>IF($C$5="ON",CD32,MyRating(_E1,$B32,Efficacy!$F$1))</f>
        <v>4</v>
      </c>
      <c r="BE32" s="3">
        <f>IF($C$5="ON",CE32,MyRating(_E2,$B32,Efficacy!$F$1))</f>
        <v>5</v>
      </c>
      <c r="BF32" s="3">
        <f>IF($C$5="ON",CF32,MyRating(_E3,$B32,Efficacy!$F$1))</f>
        <v>5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IF($C$5="ON",CL32,MyRating(_S1,$B32,Efficacy!$F$1))</f>
        <v>4</v>
      </c>
      <c r="BM32" s="3">
        <f>IF($C$5="ON",CM32,MyRating(_S2,$B32,Efficacy!$F$1))</f>
        <v>3</v>
      </c>
      <c r="BN32" s="3">
        <f>IF($C$5="ON",CN32,MyRating(_S3,$B32,Efficacy!$F$1))</f>
        <v>3</v>
      </c>
      <c r="BO32" s="3">
        <f>IF($C$5="ON",CO32,MyRating(_S4,$B32,Efficacy!$F$1))</f>
        <v>4</v>
      </c>
      <c r="BP32" s="3">
        <f>IF($C$5="ON",CP32,MyRating(_S5,$B32,Efficacy!$F$1))</f>
        <v>5</v>
      </c>
      <c r="BQ32" s="3">
        <f>IF($C$5="ON",CQ32,MyRating(_S6,$B32,Efficacy!$F$1))</f>
        <v>3</v>
      </c>
      <c r="BR32" s="3">
        <f>IF($C$5="ON",CR32,MyRating(_S7,$B32,Efficacy!$F$1))</f>
        <v>3</v>
      </c>
      <c r="BS32" s="3">
        <f>IF($C$5="ON",CS32,MyRating(_D1,$B32,Efficacy!$F$1))</f>
        <v>3</v>
      </c>
      <c r="BT32" s="3">
        <f>IF($C$5="ON",CT32,MyRating(_D2,$B32,Efficacy!$F$1))</f>
        <v>3</v>
      </c>
      <c r="BU32" s="3">
        <f>IF($C$5="ON",CU32,MyRating(_D3,$B32,Efficacy!$F$1))</f>
        <v>3</v>
      </c>
      <c r="BV32" s="3">
        <f>IF($C$5="ON",CV32,MyRating(_D4,$B32,Efficacy!$F$1))</f>
        <v>3</v>
      </c>
      <c r="BW32" s="3">
        <f>IF($C$5="ON",CW32,MyRating(_B1G5,$B32,Barrier!$L$2))</f>
        <v>2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9"/>
        <v>0</v>
      </c>
      <c r="CA32" s="8">
        <f t="shared" si="6"/>
        <v>2.8000000000000003</v>
      </c>
      <c r="CB32" s="5">
        <f t="shared" si="7"/>
        <v>3.2941176470588251E-2</v>
      </c>
      <c r="CC32" s="7">
        <f t="shared" si="8"/>
        <v>5.9787261089987885E-3</v>
      </c>
      <c r="CD32" s="4">
        <v>4</v>
      </c>
      <c r="CE32" s="3">
        <v>5</v>
      </c>
      <c r="CF32" s="3">
        <v>5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5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2</v>
      </c>
      <c r="CX32" s="3">
        <v>3</v>
      </c>
      <c r="CY32" s="6">
        <v>3</v>
      </c>
      <c r="CZ32" s="5">
        <v>3.6275844714639842E-2</v>
      </c>
    </row>
    <row r="33" spans="1:104" x14ac:dyDescent="0.25">
      <c r="A33" s="9" t="str">
        <f t="shared" si="0"/>
        <v>ES</v>
      </c>
      <c r="B33" s="9" t="s">
        <v>28</v>
      </c>
      <c r="C33" s="20"/>
      <c r="D33" s="9" t="s">
        <v>2</v>
      </c>
      <c r="E33" s="9" t="s">
        <v>186</v>
      </c>
      <c r="F33" s="9" t="str">
        <f>INDEX('Unique Asset List'!$C$4:$C$60,MATCH(B33,_CompoundList,0))</f>
        <v>Ph1</v>
      </c>
      <c r="G33" s="19">
        <v>0</v>
      </c>
      <c r="H33" s="9">
        <v>2014</v>
      </c>
      <c r="I33" s="9">
        <v>6</v>
      </c>
      <c r="J33" s="18">
        <f>INDEX(PTRS!$D$6:$D$12,MATCH('5'!$F33,PTRS!$B$6:$B$12,0))</f>
        <v>0.13923000000000002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v>0.13923000000000002</v>
      </c>
      <c r="N33" s="17">
        <f>INDEX('Unique Asset List'!$D$4:$M$60,MATCH($B33,'Unique Asset List'!$A$4:$A$60,0),MATCH(N$8,'Unique Asset List'!$D$3:$M$3,0))</f>
        <v>0.09</v>
      </c>
      <c r="O33" s="17">
        <f>INDEX('Unique Asset List'!$D$4:$M$60,MATCH($B33,'Unique Asset List'!$A$4:$A$60,0),MATCH(O$8,'Unique Asset List'!$D$3:$M$3,0))</f>
        <v>0.09</v>
      </c>
      <c r="P33" s="17">
        <f>INDEX('Unique Asset List'!$D$4:$M$60,MATCH($B33,'Unique Asset List'!$A$4:$A$60,0),MATCH(P$8,'Unique Asset List'!$D$3:$M$3,0))</f>
        <v>0.09</v>
      </c>
      <c r="Q33" s="17">
        <f>INDEX('Unique Asset List'!$D$4:$M$60,MATCH($B33,'Unique Asset List'!$A$4:$A$60,0),MATCH(Q$8,'Unique Asset List'!$D$3:$M$3,0))</f>
        <v>0.09</v>
      </c>
      <c r="R33" s="17">
        <f>INDEX('Unique Asset List'!$D$4:$M$60,MATCH($B33,'Unique Asset List'!$A$4:$A$60,0),MATCH(R$8,'Unique Asset List'!$D$3:$M$3,0))</f>
        <v>0.09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1"/>
        <v>0.90168566420734264</v>
      </c>
      <c r="V33" s="17">
        <v>1</v>
      </c>
      <c r="W33" s="9" t="s">
        <v>27</v>
      </c>
      <c r="X33" s="9">
        <f>INDEX('Unique Asset List'!$Y$4:$AE$60,MATCH('5'!$B33,'Unique Asset List'!$A$4:$A$60,0),MATCH('5'!$C$1,'Unique Asset List'!$Y$3:$AE$3,0))</f>
        <v>2032</v>
      </c>
      <c r="Y33" s="9">
        <f>INDEX('Unique Asset List'!$AF$4:$AL$60,MATCH('5'!$B33,'Unique Asset List'!$A$4:$A$60,0),MATCH('5'!$C$1,'Unique Asset List'!$AF$3:$AL$3,0))</f>
        <v>6.9999999999990905</v>
      </c>
      <c r="Z33" s="9">
        <f>INDEX('Unique Asset List'!$AT$4:$AZ$60,MATCH('5'!$B33,'Unique Asset List'!$A$4:$A$60,0),MATCH('5'!$C$1,'Unique Asset List'!$AT$3:$AZ$3,0))</f>
        <v>2038</v>
      </c>
      <c r="AA33" s="9">
        <f>INDEX('Unique Asset List'!$BA$4:$BG$60,MATCH('5'!$B33,'Unique Asset List'!$A$4:$A$60,0),MATCH('5'!$C$1,'Unique Asset List'!$BA$3:$BG$3,0))</f>
        <v>9</v>
      </c>
      <c r="AB33" s="16">
        <f t="shared" si="2"/>
        <v>2.0289886000000004</v>
      </c>
      <c r="AC33" s="16">
        <f t="shared" si="3"/>
        <v>0.81843569999999999</v>
      </c>
      <c r="AD33" s="16">
        <f t="shared" si="4"/>
        <v>0.56099999999999994</v>
      </c>
      <c r="AE33" s="15">
        <f>INDEX('Unique Asset List'!$CJ$4:$CP$60,MATCH('5'!$B33,'Unique Asset List'!$A$4:$A$60,0),MATCH('5'!$C$1,'Unique Asset List'!$CJ$3:$CP$3,0))</f>
        <v>0.08</v>
      </c>
      <c r="AF33" s="15">
        <f>INDEX('Unique Asset List'!$CQ$4:$CW$60,MATCH('5'!$B33,'Unique Asset List'!$A$4:$A$60,0),MATCH('5'!$C$1,'Unique Asset List'!$CQ$3:$CW$3,0))</f>
        <v>0.42</v>
      </c>
      <c r="AG33" s="15">
        <f>INDEX('Unique Asset List'!$BV$4:$CB$60,MATCH('5'!$B33,'Unique Asset List'!$A$4:$A$60,0),MATCH('5'!$C$1,'Unique Asset List'!$BV$3:$CB$3,0))</f>
        <v>0.08</v>
      </c>
      <c r="AH33" s="15">
        <f>INDEX('Unique Asset List'!$CC$4:$CI$60,MATCH('5'!$B33,'Unique Asset List'!$A$4:$A$60,0),MATCH('5'!$C$1,'Unique Asset List'!$CC$3:$CI$3,0))</f>
        <v>0.42</v>
      </c>
      <c r="AI33" s="11">
        <v>0.96187963349867744</v>
      </c>
      <c r="AJ33" s="15">
        <f>INDEX('Unique Asset List'!$BH$4:$BN$60,MATCH('5'!$B33,'Unique Asset List'!$A$4:$A$60,0),MATCH('5'!$C$1,'Unique Asset List'!$BH$3:$BN$3,0))</f>
        <v>1.2944496352201866</v>
      </c>
      <c r="AK33" s="15">
        <f>INDEX('Unique Asset List'!$BO$4:$BU$60,MATCH('5'!$B33,'Unique Asset List'!$A$4:$A$60,0),MATCH('5'!$C$1,'Unique Asset List'!$BO$3:$BU$3,0))</f>
        <v>-1.4425350046709582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1</v>
      </c>
      <c r="AY33" s="181">
        <f ca="1">INDEX('Unique Asset List'!S$4:S$60,MATCH($B33,_CompoundList,0))</f>
        <v>1</v>
      </c>
      <c r="AZ33" s="181">
        <f ca="1">INDEX('Unique Asset List'!T$4:T$60,MATCH($B33,_CompoundList,0))</f>
        <v>1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1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3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3</v>
      </c>
      <c r="BL33" s="3">
        <f>IF($C$5="ON",CL33,MyRating(_S1,$B33,Efficacy!$F$1))</f>
        <v>2</v>
      </c>
      <c r="BM33" s="3">
        <f>IF($C$5="ON",CM33,MyRating(_S2,$B33,Efficacy!$F$1))</f>
        <v>3</v>
      </c>
      <c r="BN33" s="3">
        <f>IF($C$5="ON",CN33,MyRating(_S3,$B33,Efficacy!$F$1))</f>
        <v>3</v>
      </c>
      <c r="BO33" s="3">
        <f>IF($C$5="ON",CO33,MyRating(_S4,$B33,Efficacy!$F$1))</f>
        <v>4</v>
      </c>
      <c r="BP33" s="3">
        <f>IF($C$5="ON",CP33,MyRating(_S5,$B33,Efficacy!$F$1))</f>
        <v>5</v>
      </c>
      <c r="BQ33" s="3">
        <f>IF($C$5="ON",CQ33,MyRating(_S6,$B33,Efficacy!$F$1))</f>
        <v>3</v>
      </c>
      <c r="BR33" s="3">
        <f>IF($C$5="ON",CR33,MyRating(_S7,$B33,Efficacy!$F$1))</f>
        <v>3</v>
      </c>
      <c r="BS33" s="3">
        <f>IF($C$5="ON",CS33,MyRating(_D1,$B33,Efficacy!$F$1))</f>
        <v>3</v>
      </c>
      <c r="BT33" s="3">
        <f>IF($C$5="ON",CT33,MyRating(_D2,$B33,Efficacy!$F$1))</f>
        <v>3</v>
      </c>
      <c r="BU33" s="3">
        <f>IF($C$5="ON",CU33,MyRating(_D3,$B33,Efficacy!$F$1))</f>
        <v>3</v>
      </c>
      <c r="BV33" s="3">
        <f>IF($C$5="ON",CV33,MyRating(_D4,$B33,Efficacy!$F$1))</f>
        <v>3</v>
      </c>
      <c r="BW33" s="3">
        <f>IF($C$5="ON",CW33,MyRating(_B1G5,$B33,Barrier!$L$2))</f>
        <v>2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9"/>
        <v>3.3407946312985805E-2</v>
      </c>
      <c r="CA33" s="8">
        <f t="shared" si="6"/>
        <v>2.8000000000000003</v>
      </c>
      <c r="CB33" s="5">
        <f t="shared" si="7"/>
        <v>3.2941176470588251E-2</v>
      </c>
      <c r="CC33" s="7">
        <f t="shared" si="8"/>
        <v>5.9787261089987885E-3</v>
      </c>
      <c r="CD33" s="4">
        <v>4</v>
      </c>
      <c r="CE33" s="3">
        <v>4</v>
      </c>
      <c r="CF33" s="3">
        <v>4</v>
      </c>
      <c r="CG33" s="3">
        <v>4</v>
      </c>
      <c r="CH33" s="3">
        <v>3</v>
      </c>
      <c r="CI33" s="3">
        <v>3</v>
      </c>
      <c r="CJ33" s="3">
        <v>3</v>
      </c>
      <c r="CK33" s="3">
        <v>3</v>
      </c>
      <c r="CL33" s="3">
        <v>2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4</v>
      </c>
      <c r="CS33" s="3">
        <v>3</v>
      </c>
      <c r="CT33" s="3">
        <v>3</v>
      </c>
      <c r="CU33" s="3">
        <v>3</v>
      </c>
      <c r="CV33" s="3">
        <v>3</v>
      </c>
      <c r="CW33" s="3">
        <v>2</v>
      </c>
      <c r="CX33" s="3">
        <v>3</v>
      </c>
      <c r="CY33" s="6">
        <v>3</v>
      </c>
      <c r="CZ33" s="5">
        <v>3.6275844714639842E-2</v>
      </c>
    </row>
    <row r="34" spans="1:104" x14ac:dyDescent="0.25">
      <c r="A34" s="9" t="str">
        <f t="shared" si="0"/>
        <v>ES</v>
      </c>
      <c r="B34" s="9" t="s">
        <v>61</v>
      </c>
      <c r="C34" s="20"/>
      <c r="D34" s="9" t="s">
        <v>60</v>
      </c>
      <c r="E34" s="9" t="s">
        <v>59</v>
      </c>
      <c r="F34" s="9" t="str">
        <f>INDEX('Unique Asset List'!$C$4:$C$60,MATCH(B34,_CompoundList,0))</f>
        <v>Ph1</v>
      </c>
      <c r="G34" s="19">
        <v>0</v>
      </c>
      <c r="H34" s="9">
        <v>2014</v>
      </c>
      <c r="I34" s="9">
        <v>6</v>
      </c>
      <c r="J34" s="18">
        <f>INDEX(PTRS!$D$6:$D$12,MATCH('5'!$F34,PTRS!$B$6:$B$12,0))</f>
        <v>0.13923000000000002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v>0.13923000000000002</v>
      </c>
      <c r="N34" s="17">
        <f>INDEX('Unique Asset List'!$D$4:$M$60,MATCH($B34,'Unique Asset List'!$A$4:$A$60,0),MATCH(N$8,'Unique Asset List'!$D$3:$M$3,0))</f>
        <v>0.13923000000000002</v>
      </c>
      <c r="O34" s="17">
        <f>INDEX('Unique Asset List'!$D$4:$M$60,MATCH($B34,'Unique Asset List'!$A$4:$A$60,0),MATCH(O$8,'Unique Asset List'!$D$3:$M$3,0))</f>
        <v>0.13923000000000002</v>
      </c>
      <c r="P34" s="17">
        <f>INDEX('Unique Asset List'!$D$4:$M$60,MATCH($B34,'Unique Asset List'!$A$4:$A$60,0),MATCH(P$8,'Unique Asset List'!$D$3:$M$3,0))</f>
        <v>0.13923000000000002</v>
      </c>
      <c r="Q34" s="17">
        <f>INDEX('Unique Asset List'!$D$4:$M$60,MATCH($B34,'Unique Asset List'!$A$4:$A$60,0),MATCH(Q$8,'Unique Asset List'!$D$3:$M$3,0))</f>
        <v>0.13923000000000002</v>
      </c>
      <c r="R34" s="17">
        <f>INDEX('Unique Asset List'!$D$4:$M$60,MATCH($B34,'Unique Asset List'!$A$4:$A$60,0),MATCH(R$8,'Unique Asset List'!$D$3:$M$3,0))</f>
        <v>0.13923000000000002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1"/>
        <v>0.90168566420734264</v>
      </c>
      <c r="V34" s="17">
        <v>1</v>
      </c>
      <c r="W34" s="9" t="s">
        <v>57</v>
      </c>
      <c r="X34" s="9">
        <f>INDEX('Unique Asset List'!$Y$4:$AE$60,MATCH('5'!$B34,'Unique Asset List'!$A$4:$A$60,0),MATCH('5'!$C$1,'Unique Asset List'!$Y$3:$AE$3,0))</f>
        <v>2029</v>
      </c>
      <c r="Y34" s="9">
        <f>INDEX('Unique Asset List'!$AF$4:$AL$60,MATCH('5'!$B34,'Unique Asset List'!$A$4:$A$60,0),MATCH('5'!$C$1,'Unique Asset List'!$AF$3:$AL$3,0))</f>
        <v>9.9999999999990905</v>
      </c>
      <c r="Z34" s="9">
        <f>INDEX('Unique Asset List'!$AT$4:$AZ$60,MATCH('5'!$B34,'Unique Asset List'!$A$4:$A$60,0),MATCH('5'!$C$1,'Unique Asset List'!$AT$3:$AZ$3,0))</f>
        <v>2036</v>
      </c>
      <c r="AA34" s="9">
        <f>INDEX('Unique Asset List'!$BA$4:$BG$60,MATCH('5'!$B34,'Unique Asset List'!$A$4:$A$60,0),MATCH('5'!$C$1,'Unique Asset List'!$BA$3:$BG$3,0))</f>
        <v>9</v>
      </c>
      <c r="AB34" s="16">
        <f t="shared" si="2"/>
        <v>2.3276916000000001</v>
      </c>
      <c r="AC34" s="16">
        <f t="shared" si="3"/>
        <v>0.87990560000000007</v>
      </c>
      <c r="AD34" s="16">
        <f t="shared" si="4"/>
        <v>0.56099999999999994</v>
      </c>
      <c r="AE34" s="15">
        <f>INDEX('Unique Asset List'!$CJ$4:$CP$60,MATCH('5'!$B34,'Unique Asset List'!$A$4:$A$60,0),MATCH('5'!$C$1,'Unique Asset List'!$CJ$3:$CP$3,0))</f>
        <v>0.14000000000000001</v>
      </c>
      <c r="AF34" s="15">
        <f>INDEX('Unique Asset List'!$CQ$4:$CW$60,MATCH('5'!$B34,'Unique Asset List'!$A$4:$A$60,0),MATCH('5'!$C$1,'Unique Asset List'!$CQ$3:$CW$3,0))</f>
        <v>0.36</v>
      </c>
      <c r="AG34" s="15">
        <f>INDEX('Unique Asset List'!$BV$4:$CB$60,MATCH('5'!$B34,'Unique Asset List'!$A$4:$A$60,0),MATCH('5'!$C$1,'Unique Asset List'!$BV$3:$CB$3,0))</f>
        <v>0.14000000000000001</v>
      </c>
      <c r="AH34" s="15">
        <f>INDEX('Unique Asset List'!$CC$4:$CI$60,MATCH('5'!$B34,'Unique Asset List'!$A$4:$A$60,0),MATCH('5'!$C$1,'Unique Asset List'!$CC$3:$CI$3,0))</f>
        <v>0.36</v>
      </c>
      <c r="AI34" s="11">
        <v>0.96187963349867744</v>
      </c>
      <c r="AJ34" s="15">
        <f>INDEX('Unique Asset List'!$BH$4:$BN$60,MATCH('5'!$B34,'Unique Asset List'!$A$4:$A$60,0),MATCH('5'!$C$1,'Unique Asset List'!$BH$3:$BN$3,0))</f>
        <v>1.2944496352201866</v>
      </c>
      <c r="AK34" s="15">
        <f>INDEX('Unique Asset List'!$BO$4:$BU$60,MATCH('5'!$B34,'Unique Asset List'!$A$4:$A$60,0),MATCH('5'!$C$1,'Unique Asset List'!$BO$3:$BU$3,0))</f>
        <v>-1.4425350046709582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0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1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5</v>
      </c>
      <c r="BF34" s="3">
        <f>IF($C$5="ON",CF34,MyRating(_E3,$B34,Efficacy!$F$1))</f>
        <v>5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IF($C$5="ON",CL34,MyRating(_S1,$B34,Efficacy!$F$1))</f>
        <v>3</v>
      </c>
      <c r="BM34" s="3">
        <f>IF($C$5="ON",CM34,MyRating(_S2,$B34,Efficacy!$F$1))</f>
        <v>3</v>
      </c>
      <c r="BN34" s="3">
        <f>IF($C$5="ON",CN34,MyRating(_S3,$B34,Efficacy!$F$1))</f>
        <v>3</v>
      </c>
      <c r="BO34" s="3">
        <f>IF($C$5="ON",CO34,MyRating(_S4,$B34,Efficacy!$F$1))</f>
        <v>4</v>
      </c>
      <c r="BP34" s="3">
        <f>IF($C$5="ON",CP34,MyRating(_S5,$B34,Efficacy!$F$1))</f>
        <v>5</v>
      </c>
      <c r="BQ34" s="3">
        <f>IF($C$5="ON",CQ34,MyRating(_S6,$B34,Efficacy!$F$1))</f>
        <v>3</v>
      </c>
      <c r="BR34" s="3">
        <f>IF($C$5="ON",CR34,MyRating(_S7,$B34,Efficacy!$F$1))</f>
        <v>3</v>
      </c>
      <c r="BS34" s="3">
        <f>IF($C$5="ON",CS34,MyRating(_D1,$B34,Efficacy!$F$1))</f>
        <v>3</v>
      </c>
      <c r="BT34" s="3">
        <f>IF($C$5="ON",CT34,MyRating(_D2,$B34,Efficacy!$F$1))</f>
        <v>3</v>
      </c>
      <c r="BU34" s="3">
        <f>IF($C$5="ON",CU34,MyRating(_D3,$B34,Efficacy!$F$1))</f>
        <v>3</v>
      </c>
      <c r="BV34" s="3">
        <f>IF($C$5="ON",CV34,MyRating(_D4,$B34,Efficacy!$F$1))</f>
        <v>3</v>
      </c>
      <c r="BW34" s="3">
        <f>IF($C$5="ON",CW34,MyRating(_B1G5,$B34,Barrier!$L$2))</f>
        <v>2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9"/>
        <v>3.3407946312985805E-2</v>
      </c>
      <c r="CA34" s="8">
        <f t="shared" si="6"/>
        <v>2.8000000000000003</v>
      </c>
      <c r="CB34" s="5">
        <f t="shared" si="7"/>
        <v>3.2941176470588251E-2</v>
      </c>
      <c r="CC34" s="7">
        <f t="shared" si="8"/>
        <v>5.9787261089987885E-3</v>
      </c>
      <c r="CD34" s="4">
        <v>4</v>
      </c>
      <c r="CE34" s="3">
        <v>5</v>
      </c>
      <c r="CF34" s="3">
        <v>5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5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2</v>
      </c>
      <c r="CX34" s="3">
        <v>3</v>
      </c>
      <c r="CY34" s="6">
        <v>3</v>
      </c>
      <c r="CZ34" s="5">
        <v>3.6275844714639842E-2</v>
      </c>
    </row>
    <row r="35" spans="1:104" x14ac:dyDescent="0.25">
      <c r="A35" s="9" t="str">
        <f t="shared" si="0"/>
        <v>ES</v>
      </c>
      <c r="B35" s="9" t="s">
        <v>278</v>
      </c>
      <c r="C35" s="20" t="s">
        <v>3</v>
      </c>
      <c r="D35" s="9" t="s">
        <v>55</v>
      </c>
      <c r="E35" s="9" t="s">
        <v>186</v>
      </c>
      <c r="F35" s="9" t="str">
        <f>INDEX('Unique Asset List'!$C$4:$C$60,MATCH(B35,_CompoundList,0))</f>
        <v>Ph2a</v>
      </c>
      <c r="G35" s="19">
        <v>0</v>
      </c>
      <c r="H35" s="9">
        <v>2014</v>
      </c>
      <c r="I35" s="9">
        <v>6</v>
      </c>
      <c r="J35" s="18">
        <f>INDEX(PTRS!$D$6:$D$12,MATCH('5'!$F35,PTRS!$B$6:$B$12,0))</f>
        <v>0.1638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v>5.4600000000000003E-2</v>
      </c>
      <c r="N35" s="17">
        <f>INDEX('Unique Asset List'!$D$4:$M$60,MATCH($B35,'Unique Asset List'!$A$4:$A$60,0),MATCH(N$8,'Unique Asset List'!$D$3:$M$3,0))</f>
        <v>0.1638</v>
      </c>
      <c r="O35" s="17">
        <f>INDEX('Unique Asset List'!$D$4:$M$60,MATCH($B35,'Unique Asset List'!$A$4:$A$60,0),MATCH(O$8,'Unique Asset List'!$D$3:$M$3,0))</f>
        <v>0.1638</v>
      </c>
      <c r="P35" s="17">
        <f>INDEX('Unique Asset List'!$D$4:$M$60,MATCH($B35,'Unique Asset List'!$A$4:$A$60,0),MATCH(P$8,'Unique Asset List'!$D$3:$M$3,0))</f>
        <v>0.1638</v>
      </c>
      <c r="Q35" s="17">
        <f>INDEX('Unique Asset List'!$D$4:$M$60,MATCH($B35,'Unique Asset List'!$A$4:$A$60,0),MATCH(Q$8,'Unique Asset List'!$D$3:$M$3,0))</f>
        <v>0.1638</v>
      </c>
      <c r="R35" s="17">
        <f>INDEX('Unique Asset List'!$D$4:$M$60,MATCH($B35,'Unique Asset List'!$A$4:$A$60,0),MATCH(R$8,'Unique Asset List'!$D$3:$M$3,0))</f>
        <v>0.1638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1"/>
        <v>0</v>
      </c>
      <c r="V35" s="17">
        <v>1</v>
      </c>
      <c r="W35" s="9" t="s">
        <v>54</v>
      </c>
      <c r="X35" s="9">
        <f>INDEX('Unique Asset List'!$Y$4:$AE$60,MATCH('5'!$B35,'Unique Asset List'!$A$4:$A$60,0),MATCH('5'!$C$1,'Unique Asset List'!$Y$3:$AE$3,0))</f>
        <v>2024</v>
      </c>
      <c r="Y35" s="9">
        <f>INDEX('Unique Asset List'!$AF$4:$AL$60,MATCH('5'!$B35,'Unique Asset List'!$A$4:$A$60,0),MATCH('5'!$C$1,'Unique Asset List'!$AF$3:$AL$3,0))</f>
        <v>9.9999999999990905</v>
      </c>
      <c r="Z35" s="9">
        <f>INDEX('Unique Asset List'!$AT$4:$AZ$60,MATCH('5'!$B35,'Unique Asset List'!$A$4:$A$60,0),MATCH('5'!$C$1,'Unique Asset List'!$AT$3:$AZ$3,0))</f>
        <v>2036</v>
      </c>
      <c r="AA35" s="9">
        <f>INDEX('Unique Asset List'!$BA$4:$BG$60,MATCH('5'!$B35,'Unique Asset List'!$A$4:$A$60,0),MATCH('5'!$C$1,'Unique Asset List'!$BA$3:$BG$3,0))</f>
        <v>9</v>
      </c>
      <c r="AB35" s="16">
        <f t="shared" si="2"/>
        <v>0</v>
      </c>
      <c r="AC35" s="16">
        <f t="shared" si="3"/>
        <v>0</v>
      </c>
      <c r="AD35" s="16">
        <f t="shared" si="4"/>
        <v>0</v>
      </c>
      <c r="AE35" s="15">
        <f>INDEX('Unique Asset List'!$CJ$4:$CP$60,MATCH('5'!$B35,'Unique Asset List'!$A$4:$A$60,0),MATCH('5'!$C$1,'Unique Asset List'!$CJ$3:$CP$3,0))</f>
        <v>0.08</v>
      </c>
      <c r="AF35" s="15">
        <f>INDEX('Unique Asset List'!$CQ$4:$CW$60,MATCH('5'!$B35,'Unique Asset List'!$A$4:$A$60,0),MATCH('5'!$C$1,'Unique Asset List'!$CQ$3:$CW$3,0))</f>
        <v>0.42</v>
      </c>
      <c r="AG35" s="15">
        <f>INDEX('Unique Asset List'!$BV$4:$CB$60,MATCH('5'!$B35,'Unique Asset List'!$A$4:$A$60,0),MATCH('5'!$C$1,'Unique Asset List'!$BV$3:$CB$3,0))</f>
        <v>0.08</v>
      </c>
      <c r="AH35" s="15">
        <f>INDEX('Unique Asset List'!$CC$4:$CI$60,MATCH('5'!$B35,'Unique Asset List'!$A$4:$A$60,0),MATCH('5'!$C$1,'Unique Asset List'!$CC$3:$CI$3,0))</f>
        <v>0.42</v>
      </c>
      <c r="AI35" s="11">
        <v>0.96187963349867744</v>
      </c>
      <c r="AJ35" s="15">
        <f>INDEX('Unique Asset List'!$BH$4:$BN$60,MATCH('5'!$B35,'Unique Asset List'!$A$4:$A$60,0),MATCH('5'!$C$1,'Unique Asset List'!$BH$3:$BN$3,0))</f>
        <v>1.2944496352201866</v>
      </c>
      <c r="AK35" s="15">
        <f>INDEX('Unique Asset List'!$BO$4:$BU$60,MATCH('5'!$B35,'Unique Asset List'!$A$4:$A$60,0),MATCH('5'!$C$1,'Unique Asset List'!$BO$3:$BU$3,0))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0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0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0</v>
      </c>
      <c r="BC35" s="181">
        <f ca="1">INDEX('Unique Asset List'!W$4:W$60,MATCH($B35,_CompoundList,0))</f>
        <v>1</v>
      </c>
      <c r="BD35" s="4">
        <f>IF($C$5="ON",CD35,MyRating(_E1,$B35,Efficacy!$F$1))</f>
        <v>0</v>
      </c>
      <c r="BE35" s="3">
        <f>IF($C$5="ON",CE35,MyRating(_E2,$B35,Efficacy!$F$1))</f>
        <v>0</v>
      </c>
      <c r="BF35" s="3">
        <f>IF($C$5="ON",CF35,MyRating(_E3,$B35,Efficacy!$F$1))</f>
        <v>0</v>
      </c>
      <c r="BG35" s="3">
        <f>IF($C$5="ON",CG35,MyRating(_E4,$B35,Efficacy!$F$1))</f>
        <v>0</v>
      </c>
      <c r="BH35" s="3">
        <f>IF($C$5="ON",CH35,MyRating(_E5,$B35,Efficacy!$F$1))</f>
        <v>0</v>
      </c>
      <c r="BI35" s="3">
        <f>IF($C$5="ON",CI35,MyRating(_E6,$B35,Efficacy!$F$1))</f>
        <v>0</v>
      </c>
      <c r="BJ35" s="3">
        <f>IF($C$5="ON",CJ35,MyRating(_E7,$B35,Efficacy!$F$1))</f>
        <v>0</v>
      </c>
      <c r="BK35" s="3">
        <f>IF($C$5="ON",CK35,MyRating(_E8,$B35,Efficacy!$F$1))</f>
        <v>0</v>
      </c>
      <c r="BL35" s="3">
        <f>IF($C$5="ON",CL35,MyRating(_S1,$B35,Efficacy!$F$1))</f>
        <v>0</v>
      </c>
      <c r="BM35" s="3">
        <f>IF($C$5="ON",CM35,MyRating(_S2,$B35,Efficacy!$F$1))</f>
        <v>0</v>
      </c>
      <c r="BN35" s="3">
        <f>IF($C$5="ON",CN35,MyRating(_S3,$B35,Efficacy!$F$1))</f>
        <v>0</v>
      </c>
      <c r="BO35" s="3">
        <f>IF($C$5="ON",CO35,MyRating(_S4,$B35,Efficacy!$F$1))</f>
        <v>0</v>
      </c>
      <c r="BP35" s="3">
        <f>IF($C$5="ON",CP35,MyRating(_S5,$B35,Efficacy!$F$1))</f>
        <v>0</v>
      </c>
      <c r="BQ35" s="3">
        <f>IF($C$5="ON",CQ35,MyRating(_S6,$B35,Efficacy!$F$1))</f>
        <v>0</v>
      </c>
      <c r="BR35" s="3">
        <f>IF($C$5="ON",CR35,MyRating(_S7,$B35,Efficacy!$F$1))</f>
        <v>0</v>
      </c>
      <c r="BS35" s="3">
        <f>IF($C$5="ON",CS35,MyRating(_D1,$B35,Efficacy!$F$1))</f>
        <v>0</v>
      </c>
      <c r="BT35" s="3">
        <f>IF($C$5="ON",CT35,MyRating(_D2,$B35,Efficacy!$F$1))</f>
        <v>0</v>
      </c>
      <c r="BU35" s="3">
        <f>IF($C$5="ON",CU35,MyRating(_D3,$B35,Efficacy!$F$1))</f>
        <v>0</v>
      </c>
      <c r="BV35" s="3">
        <f>IF($C$5="ON",CV35,MyRating(_D4,$B35,Efficacy!$F$1))</f>
        <v>0</v>
      </c>
      <c r="BW35" s="3">
        <f>IF($C$5="ON",CW35,MyRating(_B1G5,$B35,Barrier!$L$2))</f>
        <v>0</v>
      </c>
      <c r="BX35" s="3">
        <f>IF($C$5="ON",CX35,MyRating(_B2,$B35,Barrier!$F$2))</f>
        <v>0</v>
      </c>
      <c r="BY35" s="6">
        <f>IF($C$5="ON",CY35,MyRating(_B3,$B35,Barrier!$F$2))</f>
        <v>0</v>
      </c>
      <c r="BZ35" s="5">
        <f t="shared" si="9"/>
        <v>0</v>
      </c>
      <c r="CA35" s="8">
        <f t="shared" si="6"/>
        <v>0</v>
      </c>
      <c r="CB35" s="5">
        <f t="shared" si="7"/>
        <v>0</v>
      </c>
      <c r="CC35" s="7">
        <f t="shared" si="8"/>
        <v>0</v>
      </c>
      <c r="CD35" s="4">
        <v>2</v>
      </c>
      <c r="CE35" s="3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4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2</v>
      </c>
      <c r="CX35" s="3">
        <v>3</v>
      </c>
      <c r="CY35" s="6">
        <v>3</v>
      </c>
      <c r="CZ35" s="5">
        <v>3.6275844714639842E-2</v>
      </c>
    </row>
    <row r="36" spans="1:104" x14ac:dyDescent="0.25">
      <c r="A36" s="9" t="str">
        <f t="shared" si="0"/>
        <v>ES</v>
      </c>
      <c r="B36" s="9" t="s">
        <v>53</v>
      </c>
      <c r="C36" s="20"/>
      <c r="D36" s="9" t="s">
        <v>52</v>
      </c>
      <c r="E36" s="9" t="s">
        <v>186</v>
      </c>
      <c r="F36" s="9" t="str">
        <f>INDEX('Unique Asset List'!$C$4:$C$60,MATCH(B36,_CompoundList,0))</f>
        <v>Ph2a</v>
      </c>
      <c r="G36" s="19">
        <v>0</v>
      </c>
      <c r="H36" s="9">
        <v>2014</v>
      </c>
      <c r="I36" s="9">
        <v>6</v>
      </c>
      <c r="J36" s="18">
        <f>INDEX(PTRS!$D$6:$D$12,MATCH('5'!$F36,PTRS!$B$6:$B$12,0))</f>
        <v>0.1638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0.1638</v>
      </c>
      <c r="N36" s="17">
        <f>INDEX('Unique Asset List'!$D$4:$M$60,MATCH($B36,'Unique Asset List'!$A$4:$A$60,0),MATCH(N$8,'Unique Asset List'!$D$3:$M$3,0))</f>
        <v>0.1638</v>
      </c>
      <c r="O36" s="17">
        <f>INDEX('Unique Asset List'!$D$4:$M$60,MATCH($B36,'Unique Asset List'!$A$4:$A$60,0),MATCH(O$8,'Unique Asset List'!$D$3:$M$3,0))</f>
        <v>0.1638</v>
      </c>
      <c r="P36" s="17">
        <f>INDEX('Unique Asset List'!$D$4:$M$60,MATCH($B36,'Unique Asset List'!$A$4:$A$60,0),MATCH(P$8,'Unique Asset List'!$D$3:$M$3,0))</f>
        <v>0.1638</v>
      </c>
      <c r="Q36" s="17">
        <f>INDEX('Unique Asset List'!$D$4:$M$60,MATCH($B36,'Unique Asset List'!$A$4:$A$60,0),MATCH(Q$8,'Unique Asset List'!$D$3:$M$3,0))</f>
        <v>0.1638</v>
      </c>
      <c r="R36" s="17">
        <f>INDEX('Unique Asset List'!$D$4:$M$60,MATCH($B36,'Unique Asset List'!$A$4:$A$60,0),MATCH(R$8,'Unique Asset List'!$D$3:$M$3,0))</f>
        <v>0.1638</v>
      </c>
      <c r="S36" s="17">
        <f>INDEX('Unique Asset List'!$D$4:$M$60,MATCH($B36,'Unique Asset List'!$A$4:$A$60,0),MATCH(S$8,'Unique Asset List'!$D$3:$M$3,0))</f>
        <v>0</v>
      </c>
      <c r="T36" s="17"/>
      <c r="U36" s="17">
        <f t="shared" si="1"/>
        <v>0.90168566420734264</v>
      </c>
      <c r="V36" s="17">
        <v>1</v>
      </c>
      <c r="W36" s="9" t="s">
        <v>50</v>
      </c>
      <c r="X36" s="9">
        <f>INDEX('Unique Asset List'!$Y$4:$AE$60,MATCH('5'!$B36,'Unique Asset List'!$A$4:$A$60,0),MATCH('5'!$C$1,'Unique Asset List'!$Y$3:$AE$3,0))</f>
        <v>2025</v>
      </c>
      <c r="Y36" s="9">
        <f>INDEX('Unique Asset List'!$AF$4:$AL$60,MATCH('5'!$B36,'Unique Asset List'!$A$4:$A$60,0),MATCH('5'!$C$1,'Unique Asset List'!$AF$3:$AL$3,0))</f>
        <v>9.9999999999990905</v>
      </c>
      <c r="Z36" s="9">
        <f>INDEX('Unique Asset List'!$AT$4:$AZ$60,MATCH('5'!$B36,'Unique Asset List'!$A$4:$A$60,0),MATCH('5'!$C$1,'Unique Asset List'!$AT$3:$AZ$3,0))</f>
        <v>2036</v>
      </c>
      <c r="AA36" s="9">
        <f>INDEX('Unique Asset List'!$BA$4:$BG$60,MATCH('5'!$B36,'Unique Asset List'!$A$4:$A$60,0),MATCH('5'!$C$1,'Unique Asset List'!$BA$3:$BG$3,0))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List'!$CJ$4:$CP$60,MATCH('5'!$B36,'Unique Asset List'!$A$4:$A$60,0),MATCH('5'!$C$1,'Unique Asset List'!$CJ$3:$CP$3,0))</f>
        <v>0.08</v>
      </c>
      <c r="AF36" s="15">
        <f>INDEX('Unique Asset List'!$CQ$4:$CW$60,MATCH('5'!$B36,'Unique Asset List'!$A$4:$A$60,0),MATCH('5'!$C$1,'Unique Asset List'!$CQ$3:$CW$3,0))</f>
        <v>0.42</v>
      </c>
      <c r="AG36" s="15">
        <f>INDEX('Unique Asset List'!$BV$4:$CB$60,MATCH('5'!$B36,'Unique Asset List'!$A$4:$A$60,0),MATCH('5'!$C$1,'Unique Asset List'!$BV$3:$CB$3,0))</f>
        <v>0.08</v>
      </c>
      <c r="AH36" s="15">
        <f>INDEX('Unique Asset List'!$CC$4:$CI$60,MATCH('5'!$B36,'Unique Asset List'!$A$4:$A$60,0),MATCH('5'!$C$1,'Unique Asset List'!$CC$3:$CI$3,0))</f>
        <v>0.42</v>
      </c>
      <c r="AI36" s="11">
        <v>0.96187963349867744</v>
      </c>
      <c r="AJ36" s="15">
        <f>INDEX('Unique Asset List'!$BH$4:$BN$60,MATCH('5'!$B36,'Unique Asset List'!$A$4:$A$60,0),MATCH('5'!$C$1,'Unique Asset List'!$BH$3:$BN$3,0))</f>
        <v>1.2944496352201866</v>
      </c>
      <c r="AK36" s="15">
        <f>INDEX('Unique Asset List'!$BO$4:$BU$60,MATCH('5'!$B36,'Unique Asset List'!$A$4:$A$60,0),MATCH('5'!$C$1,'Unique Asset List'!$BO$3:$BU$3,0))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1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1</v>
      </c>
      <c r="BB36" s="181">
        <f ca="1">INDEX('Unique Asset List'!V$4:V$60,MATCH($B36,_CompoundList,0))</f>
        <v>1</v>
      </c>
      <c r="BC36" s="181">
        <f ca="1">INDEX('Unique Asset List'!W$4:W$60,MATCH($B36,_CompoundList,0))</f>
        <v>0</v>
      </c>
      <c r="BD36" s="4">
        <f>IF($C$5="ON",CD36,MyRating(_E1,$B36,Efficacy!$F$1))</f>
        <v>3</v>
      </c>
      <c r="BE36" s="3">
        <f>IF($C$5="ON",CE36,MyRating(_E2,$B36,Efficacy!$F$1))</f>
        <v>3</v>
      </c>
      <c r="BF36" s="3">
        <f>IF($C$5="ON",CF36,MyRating(_E3,$B36,Efficacy!$F$1))</f>
        <v>3</v>
      </c>
      <c r="BG36" s="3">
        <f>IF($C$5="ON",CG36,MyRating(_E4,$B36,Efficacy!$F$1))</f>
        <v>3</v>
      </c>
      <c r="BH36" s="3">
        <f>IF($C$5="ON",CH36,MyRating(_E5,$B36,Efficacy!$F$1))</f>
        <v>3</v>
      </c>
      <c r="BI36" s="3">
        <f>IF($C$5="ON",CI36,MyRating(_E6,$B36,Efficacy!$F$1))</f>
        <v>3</v>
      </c>
      <c r="BJ36" s="3">
        <f>IF($C$5="ON",CJ36,MyRating(_E7,$B36,Efficacy!$F$1))</f>
        <v>3</v>
      </c>
      <c r="BK36" s="3">
        <f>IF($C$5="ON",CK36,MyRating(_E8,$B36,Efficacy!$F$1))</f>
        <v>3</v>
      </c>
      <c r="BL36" s="3">
        <f>IF($C$5="ON",CL36,MyRating(_S1,$B36,Efficacy!$F$1))</f>
        <v>3</v>
      </c>
      <c r="BM36" s="3">
        <f>IF($C$5="ON",CM36,MyRating(_S2,$B36,Efficacy!$F$1))</f>
        <v>3</v>
      </c>
      <c r="BN36" s="3">
        <f>IF($C$5="ON",CN36,MyRating(_S3,$B36,Efficacy!$F$1))</f>
        <v>3</v>
      </c>
      <c r="BO36" s="3">
        <f>IF($C$5="ON",CO36,MyRating(_S4,$B36,Efficacy!$F$1))</f>
        <v>3</v>
      </c>
      <c r="BP36" s="3">
        <f>IF($C$5="ON",CP36,MyRating(_S5,$B36,Efficacy!$F$1))</f>
        <v>3</v>
      </c>
      <c r="BQ36" s="3">
        <f>IF($C$5="ON",CQ36,MyRating(_S6,$B36,Efficacy!$F$1))</f>
        <v>3</v>
      </c>
      <c r="BR36" s="3">
        <f>IF($C$5="ON",CR36,MyRating(_S7,$B36,Efficacy!$F$1))</f>
        <v>3</v>
      </c>
      <c r="BS36" s="3">
        <f>IF($C$5="ON",CS36,MyRating(_D1,$B36,Efficacy!$F$1))</f>
        <v>3</v>
      </c>
      <c r="BT36" s="3">
        <f>IF($C$5="ON",CT36,MyRating(_D2,$B36,Efficacy!$F$1))</f>
        <v>3</v>
      </c>
      <c r="BU36" s="3">
        <f>IF($C$5="ON",CU36,MyRating(_D3,$B36,Efficacy!$F$1))</f>
        <v>3</v>
      </c>
      <c r="BV36" s="3">
        <f>IF($C$5="ON",CV36,MyRating(_D4,$B36,Efficacy!$F$1))</f>
        <v>3</v>
      </c>
      <c r="BW36" s="3">
        <f>IF($C$5="ON",CW36,MyRating(_B1G5,$B36,Barrier!$L$2))</f>
        <v>2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9"/>
        <v>3.3407946312985805E-2</v>
      </c>
      <c r="CA36" s="8">
        <f t="shared" si="6"/>
        <v>2.8000000000000003</v>
      </c>
      <c r="CB36" s="5">
        <f t="shared" si="7"/>
        <v>3.2941176470588251E-2</v>
      </c>
      <c r="CC36" s="7">
        <f t="shared" si="8"/>
        <v>5.9787261089987885E-3</v>
      </c>
      <c r="CD36" s="4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2</v>
      </c>
      <c r="CX36" s="3">
        <v>3</v>
      </c>
      <c r="CY36" s="6">
        <v>3</v>
      </c>
      <c r="CZ36" s="5">
        <v>3.6275844714639842E-2</v>
      </c>
    </row>
    <row r="37" spans="1:104" x14ac:dyDescent="0.25">
      <c r="A37" s="9" t="str">
        <f t="shared" si="0"/>
        <v>ES</v>
      </c>
      <c r="B37" s="9" t="s">
        <v>45</v>
      </c>
      <c r="C37" s="20"/>
      <c r="D37" s="9" t="s">
        <v>44</v>
      </c>
      <c r="E37" s="9" t="s">
        <v>186</v>
      </c>
      <c r="F37" s="9" t="str">
        <f>INDEX('Unique Asset List'!$C$4:$C$60,MATCH(B37,_CompoundList,0))</f>
        <v>Ph2b</v>
      </c>
      <c r="G37" s="19">
        <v>0</v>
      </c>
      <c r="H37" s="9">
        <v>2014</v>
      </c>
      <c r="I37" s="9">
        <v>6</v>
      </c>
      <c r="J37" s="18">
        <f>INDEX(PTRS!$D$6:$D$12,MATCH('5'!$F37,PTRS!$B$6:$B$12,0))</f>
        <v>0.40949999999999998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0.40949999999999998</v>
      </c>
      <c r="N37" s="17">
        <f>INDEX('Unique Asset List'!$D$4:$M$60,MATCH($B37,'Unique Asset List'!$A$4:$A$60,0),MATCH(N$8,'Unique Asset List'!$D$3:$M$3,0))</f>
        <v>0.59</v>
      </c>
      <c r="O37" s="17">
        <f>INDEX('Unique Asset List'!$D$4:$M$60,MATCH($B37,'Unique Asset List'!$A$4:$A$60,0),MATCH(O$8,'Unique Asset List'!$D$3:$M$3,0))</f>
        <v>0.59</v>
      </c>
      <c r="P37" s="17">
        <f>INDEX('Unique Asset List'!$D$4:$M$60,MATCH($B37,'Unique Asset List'!$A$4:$A$60,0),MATCH(P$8,'Unique Asset List'!$D$3:$M$3,0))</f>
        <v>0.59</v>
      </c>
      <c r="Q37" s="17">
        <f>INDEX('Unique Asset List'!$D$4:$M$60,MATCH($B37,'Unique Asset List'!$A$4:$A$60,0),MATCH(Q$8,'Unique Asset List'!$D$3:$M$3,0))</f>
        <v>0.59</v>
      </c>
      <c r="R37" s="17">
        <f>INDEX('Unique Asset List'!$D$4:$M$60,MATCH($B37,'Unique Asset List'!$A$4:$A$60,0),MATCH(R$8,'Unique Asset List'!$D$3:$M$3,0))</f>
        <v>0.59</v>
      </c>
      <c r="S37" s="17">
        <f>INDEX('Unique Asset List'!$D$4:$M$60,MATCH($B37,'Unique Asset List'!$A$4:$A$60,0),MATCH(S$8,'Unique Asset List'!$D$3:$M$3,0))</f>
        <v>1</v>
      </c>
      <c r="T37" s="17"/>
      <c r="U37" s="17">
        <f t="shared" si="1"/>
        <v>0.80682275808442805</v>
      </c>
      <c r="V37" s="17">
        <f>5*7/Simulation!F5</f>
        <v>0.17857142857142858</v>
      </c>
      <c r="W37" s="9" t="s">
        <v>42</v>
      </c>
      <c r="X37" s="9">
        <f>INDEX('Unique Asset List'!$Y$4:$AE$60,MATCH('5'!$B37,'Unique Asset List'!$A$4:$A$60,0),MATCH('5'!$C$1,'Unique Asset List'!$Y$3:$AE$3,0))</f>
        <v>2025</v>
      </c>
      <c r="Y37" s="9">
        <f>INDEX('Unique Asset List'!$AF$4:$AL$60,MATCH('5'!$B37,'Unique Asset List'!$A$4:$A$60,0),MATCH('5'!$C$1,'Unique Asset List'!$AF$3:$AL$3,0))</f>
        <v>1.999999999998181</v>
      </c>
      <c r="Z37" s="9">
        <f>INDEX('Unique Asset List'!$AT$4:$AZ$60,MATCH('5'!$B37,'Unique Asset List'!$A$4:$A$60,0),MATCH('5'!$C$1,'Unique Asset List'!$AT$3:$AZ$3,0))</f>
        <v>2035</v>
      </c>
      <c r="AA37" s="9">
        <f>INDEX('Unique Asset List'!$BA$4:$BG$60,MATCH('5'!$B37,'Unique Asset List'!$A$4:$A$60,0),MATCH('5'!$C$1,'Unique Asset List'!$BA$3:$BG$3,0))</f>
        <v>1</v>
      </c>
      <c r="AB37" s="16">
        <f t="shared" si="2"/>
        <v>2.1065446000000003</v>
      </c>
      <c r="AC37" s="16">
        <f t="shared" si="3"/>
        <v>0.86040290000000008</v>
      </c>
      <c r="AD37" s="16">
        <f t="shared" si="4"/>
        <v>0.56099999999999994</v>
      </c>
      <c r="AE37" s="15">
        <f>INDEX('Unique Asset List'!$CJ$4:$CP$60,MATCH('5'!$B37,'Unique Asset List'!$A$4:$A$60,0),MATCH('5'!$C$1,'Unique Asset List'!$CJ$3:$CP$3,0))</f>
        <v>0.08</v>
      </c>
      <c r="AF37" s="15">
        <f>INDEX('Unique Asset List'!$CQ$4:$CW$60,MATCH('5'!$B37,'Unique Asset List'!$A$4:$A$60,0),MATCH('5'!$C$1,'Unique Asset List'!$CQ$3:$CW$3,0))</f>
        <v>0.42</v>
      </c>
      <c r="AG37" s="15">
        <f>INDEX('Unique Asset List'!$BV$4:$CB$60,MATCH('5'!$B37,'Unique Asset List'!$A$4:$A$60,0),MATCH('5'!$C$1,'Unique Asset List'!$BV$3:$CB$3,0))</f>
        <v>0.08</v>
      </c>
      <c r="AH37" s="15">
        <f>INDEX('Unique Asset List'!$CC$4:$CI$60,MATCH('5'!$B37,'Unique Asset List'!$A$4:$A$60,0),MATCH('5'!$C$1,'Unique Asset List'!$CC$3:$CI$3,0))</f>
        <v>0.42</v>
      </c>
      <c r="AI37" s="11">
        <v>0.96187963349867744</v>
      </c>
      <c r="AJ37" s="15">
        <f>INDEX('Unique Asset List'!$BH$4:$BN$60,MATCH('5'!$B37,'Unique Asset List'!$A$4:$A$60,0),MATCH('5'!$C$1,'Unique Asset List'!$BH$3:$BN$3,0))</f>
        <v>1.2944496352201866</v>
      </c>
      <c r="AK37" s="15">
        <f>INDEX('Unique Asset List'!$BO$4:$BU$60,MATCH('5'!$B37,'Unique Asset List'!$A$4:$A$60,0),MATCH('5'!$C$1,'Unique Asset List'!$BO$3:$BU$3,0))</f>
        <v>-1.4425350046709582</v>
      </c>
      <c r="AL37" s="40">
        <v>35</v>
      </c>
      <c r="AM37" s="14">
        <f>3.5*365*0.8/AL37</f>
        <v>29.2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0</v>
      </c>
      <c r="BA37" s="181">
        <f ca="1">INDEX('Unique Asset List'!U$4:U$60,MATCH($B37,_CompoundList,0))</f>
        <v>0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4</v>
      </c>
      <c r="BF37" s="3">
        <f>IF($C$5="ON",CF37,MyRating(_E3,$B37,Efficacy!$F$1))</f>
        <v>4</v>
      </c>
      <c r="BG37" s="3">
        <f>IF($C$5="ON",CG37,MyRating(_E4,$B37,Efficacy!$F$1))</f>
        <v>2</v>
      </c>
      <c r="BH37" s="3">
        <f>IF($C$5="ON",CH37,MyRating(_E5,$B37,Efficacy!$F$1))</f>
        <v>4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5</v>
      </c>
      <c r="BL37" s="3">
        <f>IF($C$5="ON",CL37,MyRating(_S1,$B37,Efficacy!$F$1))</f>
        <v>4</v>
      </c>
      <c r="BM37" s="3">
        <f>IF($C$5="ON",CM37,MyRating(_S2,$B37,Efficacy!$F$1))</f>
        <v>3</v>
      </c>
      <c r="BN37" s="3">
        <f>IF($C$5="ON",CN37,MyRating(_S3,$B37,Efficacy!$F$1))</f>
        <v>3</v>
      </c>
      <c r="BO37" s="3">
        <f>IF($C$5="ON",CO37,MyRating(_S4,$B37,Efficacy!$F$1))</f>
        <v>3</v>
      </c>
      <c r="BP37" s="3">
        <f>IF($C$5="ON",CP37,MyRating(_S5,$B37,Efficacy!$F$1))</f>
        <v>4</v>
      </c>
      <c r="BQ37" s="3">
        <f>IF($C$5="ON",CQ37,MyRating(_S6,$B37,Efficacy!$F$1))</f>
        <v>3</v>
      </c>
      <c r="BR37" s="3">
        <f>IF($C$5="ON",CR37,MyRating(_S7,$B37,Efficacy!$F$1))</f>
        <v>3</v>
      </c>
      <c r="BS37" s="3">
        <f>IF($C$5="ON",CS37,MyRating(_D1,$B37,Efficacy!$F$1))</f>
        <v>3</v>
      </c>
      <c r="BT37" s="3">
        <f>IF($C$5="ON",CT37,MyRating(_D2,$B37,Efficacy!$F$1))</f>
        <v>3</v>
      </c>
      <c r="BU37" s="3">
        <f>IF($C$5="ON",CU37,MyRating(_D3,$B37,Efficacy!$F$1))</f>
        <v>3</v>
      </c>
      <c r="BV37" s="3">
        <f>IF($C$5="ON",CV37,MyRating(_D4,$B37,Efficacy!$F$1))</f>
        <v>3</v>
      </c>
      <c r="BW37" s="3">
        <f>IF($C$5="ON",CW37,MyRating(_B1G5,$B37,Barrier!$L$2))</f>
        <v>1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9"/>
        <v>2.9893223831915738E-2</v>
      </c>
      <c r="CA37" s="8">
        <f t="shared" si="6"/>
        <v>2.6000000000000005</v>
      </c>
      <c r="CB37" s="5">
        <f t="shared" si="7"/>
        <v>3.058823529411767E-2</v>
      </c>
      <c r="CC37" s="7">
        <f t="shared" si="8"/>
        <v>5.3497271616647964E-3</v>
      </c>
      <c r="CD37" s="4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6">
        <v>0</v>
      </c>
      <c r="CZ37" s="5">
        <v>0</v>
      </c>
    </row>
    <row r="38" spans="1:104" x14ac:dyDescent="0.25">
      <c r="A38" s="9" t="str">
        <f t="shared" si="0"/>
        <v>ES</v>
      </c>
      <c r="B38" s="9" t="s">
        <v>41</v>
      </c>
      <c r="C38" s="20"/>
      <c r="D38" s="9" t="s">
        <v>187</v>
      </c>
      <c r="E38" s="9" t="s">
        <v>186</v>
      </c>
      <c r="F38" s="9" t="str">
        <f>INDEX('Unique Asset List'!$C$4:$C$60,MATCH(B38,_CompoundList,0))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INDEX(PTRS!$D$6:$D$12,MATCH('5'!$F38,PTRS!$B$6:$B$12,0))</f>
        <v>0.1044225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0.1044225</v>
      </c>
      <c r="N38" s="17">
        <f>INDEX('Unique Asset List'!$D$4:$M$60,MATCH($B38,'Unique Asset List'!$A$4:$A$60,0),MATCH(N$8,'Unique Asset List'!$D$3:$M$3,0))</f>
        <v>0.1044225</v>
      </c>
      <c r="O38" s="17">
        <f>INDEX('Unique Asset List'!$D$4:$M$60,MATCH($B38,'Unique Asset List'!$A$4:$A$60,0),MATCH(O$8,'Unique Asset List'!$D$3:$M$3,0))</f>
        <v>0.1044225</v>
      </c>
      <c r="P38" s="17">
        <f>INDEX('Unique Asset List'!$D$4:$M$60,MATCH($B38,'Unique Asset List'!$A$4:$A$60,0),MATCH(P$8,'Unique Asset List'!$D$3:$M$3,0))</f>
        <v>0.1044225</v>
      </c>
      <c r="Q38" s="17">
        <f>INDEX('Unique Asset List'!$D$4:$M$60,MATCH($B38,'Unique Asset List'!$A$4:$A$60,0),MATCH(Q$8,'Unique Asset List'!$D$3:$M$3,0))</f>
        <v>0.1044225</v>
      </c>
      <c r="R38" s="17">
        <f>INDEX('Unique Asset List'!$D$4:$M$60,MATCH($B38,'Unique Asset List'!$A$4:$A$60,0),MATCH(R$8,'Unique Asset List'!$D$3:$M$3,0))</f>
        <v>0.1044225</v>
      </c>
      <c r="S38" s="17">
        <f>INDEX('Unique Asset List'!$D$4:$M$60,MATCH($B38,'Unique Asset List'!$A$4:$A$60,0),MATCH(S$8,'Unique Asset List'!$D$3:$M$3,0))</f>
        <v>0</v>
      </c>
      <c r="T38" s="17" t="s">
        <v>39</v>
      </c>
      <c r="U38" s="17">
        <f t="shared" si="1"/>
        <v>0.90168566420734264</v>
      </c>
      <c r="V38" s="17">
        <v>1</v>
      </c>
      <c r="W38" s="57" t="s">
        <v>38</v>
      </c>
      <c r="X38" s="9">
        <f>INDEX('Unique Asset List'!$Y$4:$AE$60,MATCH('5'!$B38,'Unique Asset List'!$A$4:$A$60,0),MATCH('5'!$C$1,'Unique Asset List'!$Y$3:$AE$3,0))</f>
        <v>2029</v>
      </c>
      <c r="Y38" s="9">
        <f>INDEX('Unique Asset List'!$AF$4:$AL$60,MATCH('5'!$B38,'Unique Asset List'!$A$4:$A$60,0),MATCH('5'!$C$1,'Unique Asset List'!$AF$3:$AL$3,0))</f>
        <v>3.9999999999990905</v>
      </c>
      <c r="Z38" s="9">
        <f>INDEX('Unique Asset List'!$AT$4:$AZ$60,MATCH('5'!$B38,'Unique Asset List'!$A$4:$A$60,0),MATCH('5'!$C$1,'Unique Asset List'!$AT$3:$AZ$3,0))</f>
        <v>2038</v>
      </c>
      <c r="AA38" s="9">
        <f>INDEX('Unique Asset List'!$BA$4:$BG$60,MATCH('5'!$B38,'Unique Asset List'!$A$4:$A$60,0),MATCH('5'!$C$1,'Unique Asset List'!$BA$3:$BG$3,0))</f>
        <v>3</v>
      </c>
      <c r="AB38" s="16">
        <f>AB20</f>
        <v>2.1511674000000003</v>
      </c>
      <c r="AC38" s="16">
        <f>AC20</f>
        <v>0.95118959999999997</v>
      </c>
      <c r="AD38" s="16">
        <f>AD20</f>
        <v>0.56099999999999994</v>
      </c>
      <c r="AE38" s="15">
        <f>INDEX('Unique Asset List'!$CJ$4:$CP$60,MATCH('5'!$B38,'Unique Asset List'!$A$4:$A$60,0),MATCH('5'!$C$1,'Unique Asset List'!$CJ$3:$CP$3,0))</f>
        <v>0.08</v>
      </c>
      <c r="AF38" s="15">
        <f>INDEX('Unique Asset List'!$CQ$4:$CW$60,MATCH('5'!$B38,'Unique Asset List'!$A$4:$A$60,0),MATCH('5'!$C$1,'Unique Asset List'!$CQ$3:$CW$3,0))</f>
        <v>0.42</v>
      </c>
      <c r="AG38" s="15">
        <f>INDEX('Unique Asset List'!$BV$4:$CB$60,MATCH('5'!$B38,'Unique Asset List'!$A$4:$A$60,0),MATCH('5'!$C$1,'Unique Asset List'!$BV$3:$CB$3,0))</f>
        <v>0.08</v>
      </c>
      <c r="AH38" s="15">
        <f>INDEX('Unique Asset List'!$CC$4:$CI$60,MATCH('5'!$B38,'Unique Asset List'!$A$4:$A$60,0),MATCH('5'!$C$1,'Unique Asset List'!$CC$3:$CI$3,0))</f>
        <v>0.42</v>
      </c>
      <c r="AI38" s="11">
        <v>0.96187963349867744</v>
      </c>
      <c r="AJ38" s="15">
        <f>INDEX('Unique Asset List'!$BH$4:$BN$60,MATCH('5'!$B38,'Unique Asset List'!$A$4:$A$60,0),MATCH('5'!$C$1,'Unique Asset List'!$BH$3:$BN$3,0))</f>
        <v>1.2944496352201866</v>
      </c>
      <c r="AK38" s="15">
        <f>INDEX('Unique Asset List'!$BO$4:$BU$60,MATCH('5'!$B38,'Unique Asset List'!$A$4:$A$60,0),MATCH('5'!$C$1,'Unique Asset List'!$BO$3:$BU$3,0))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0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0</v>
      </c>
      <c r="BB38" s="181">
        <f ca="1">INDEX('Unique Asset List'!V$4:V$60,MATCH($B38,_CompoundList,0))</f>
        <v>0</v>
      </c>
      <c r="BC38" s="181">
        <f ca="1">INDEX('Unique Asset List'!W$4:W$60,MATCH($B38,_CompoundList,0))</f>
        <v>0</v>
      </c>
      <c r="BD38" s="4">
        <f>IF($C$5="ON",CD38,MyRating(_E1,$B38,Efficacy!$F$1))</f>
        <v>0</v>
      </c>
      <c r="BE38" s="3">
        <f>IF($C$5="ON",CE38,MyRating(_E2,$B38,Efficacy!$F$1))</f>
        <v>0</v>
      </c>
      <c r="BF38" s="3">
        <f>IF($C$5="ON",CF38,MyRating(_E3,$B38,Efficacy!$F$1))</f>
        <v>0</v>
      </c>
      <c r="BG38" s="3">
        <f>IF($C$5="ON",CG38,MyRating(_E4,$B38,Efficacy!$F$1))</f>
        <v>0</v>
      </c>
      <c r="BH38" s="3">
        <f>IF($C$5="ON",CH38,MyRating(_E5,$B38,Efficacy!$F$1))</f>
        <v>0</v>
      </c>
      <c r="BI38" s="3">
        <f>IF($C$5="ON",CI38,MyRating(_E6,$B38,Efficacy!$F$1))</f>
        <v>0</v>
      </c>
      <c r="BJ38" s="3">
        <f>IF($C$5="ON",CJ38,MyRating(_E7,$B38,Efficacy!$F$1))</f>
        <v>0</v>
      </c>
      <c r="BK38" s="3">
        <f>IF($C$5="ON",CK38,MyRating(_E8,$B38,Efficacy!$F$1))</f>
        <v>0</v>
      </c>
      <c r="BL38" s="3">
        <f>IF($C$5="ON",CL38,MyRating(_S1,$B38,Efficacy!$F$1))</f>
        <v>0</v>
      </c>
      <c r="BM38" s="3">
        <f>IF($C$5="ON",CM38,MyRating(_S2,$B38,Efficacy!$F$1))</f>
        <v>0</v>
      </c>
      <c r="BN38" s="3">
        <f>IF($C$5="ON",CN38,MyRating(_S3,$B38,Efficacy!$F$1))</f>
        <v>0</v>
      </c>
      <c r="BO38" s="3">
        <f>IF($C$5="ON",CO38,MyRating(_S4,$B38,Efficacy!$F$1))</f>
        <v>0</v>
      </c>
      <c r="BP38" s="3">
        <f>IF($C$5="ON",CP38,MyRating(_S5,$B38,Efficacy!$F$1))</f>
        <v>0</v>
      </c>
      <c r="BQ38" s="3">
        <f>IF($C$5="ON",CQ38,MyRating(_S6,$B38,Efficacy!$F$1))</f>
        <v>0</v>
      </c>
      <c r="BR38" s="3">
        <f>IF($C$5="ON",CR38,MyRating(_S7,$B38,Efficacy!$F$1))</f>
        <v>0</v>
      </c>
      <c r="BS38" s="3">
        <f>IF($C$5="ON",CS38,MyRating(_D1,$B38,Efficacy!$F$1))</f>
        <v>0</v>
      </c>
      <c r="BT38" s="3">
        <f>IF($C$5="ON",CT38,MyRating(_D2,$B38,Efficacy!$F$1))</f>
        <v>0</v>
      </c>
      <c r="BU38" s="3">
        <f>IF($C$5="ON",CU38,MyRating(_D3,$B38,Efficacy!$F$1))</f>
        <v>0</v>
      </c>
      <c r="BV38" s="3">
        <f>IF($C$5="ON",CV38,MyRating(_D4,$B38,Efficacy!$F$1))</f>
        <v>0</v>
      </c>
      <c r="BW38" s="3">
        <f>IF($C$5="ON",CW38,MyRating(_B1G5,$B38,Barrier!$L$2))</f>
        <v>2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9"/>
        <v>3.3407946312985805E-2</v>
      </c>
      <c r="CA38" s="8">
        <f t="shared" si="6"/>
        <v>2.8000000000000003</v>
      </c>
      <c r="CB38" s="5">
        <f t="shared" si="7"/>
        <v>3.2941176470588251E-2</v>
      </c>
      <c r="CC38" s="7">
        <f t="shared" si="8"/>
        <v>5.9787261089987885E-3</v>
      </c>
      <c r="CD38" s="4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6">
        <v>0</v>
      </c>
      <c r="CZ38" s="5">
        <v>0</v>
      </c>
    </row>
    <row r="39" spans="1:104" x14ac:dyDescent="0.25">
      <c r="A39" s="9" t="str">
        <f t="shared" si="0"/>
        <v>ES</v>
      </c>
      <c r="B39" s="9" t="s">
        <v>37</v>
      </c>
      <c r="C39" s="20"/>
      <c r="D39" s="9" t="s">
        <v>36</v>
      </c>
      <c r="E39" s="9" t="s">
        <v>186</v>
      </c>
      <c r="F39" s="9" t="str">
        <f>INDEX('Unique Asset List'!$C$4:$C$60,MATCH(B39,_CompoundList,0))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INDEX(PTRS!$D$6:$D$12,MATCH('5'!$F39,PTRS!$B$6:$B$12,0))</f>
        <v>0.1044225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v>0.1044225</v>
      </c>
      <c r="N39" s="17">
        <f>INDEX('Unique Asset List'!$D$4:$M$60,MATCH($B39,'Unique Asset List'!$A$4:$A$60,0),MATCH(N$8,'Unique Asset List'!$D$3:$M$3,0))</f>
        <v>0.1044225</v>
      </c>
      <c r="O39" s="17">
        <f>INDEX('Unique Asset List'!$D$4:$M$60,MATCH($B39,'Unique Asset List'!$A$4:$A$60,0),MATCH(O$8,'Unique Asset List'!$D$3:$M$3,0))</f>
        <v>0.1044225</v>
      </c>
      <c r="P39" s="17">
        <f>INDEX('Unique Asset List'!$D$4:$M$60,MATCH($B39,'Unique Asset List'!$A$4:$A$60,0),MATCH(P$8,'Unique Asset List'!$D$3:$M$3,0))</f>
        <v>0.1044225</v>
      </c>
      <c r="Q39" s="17">
        <f>INDEX('Unique Asset List'!$D$4:$M$60,MATCH($B39,'Unique Asset List'!$A$4:$A$60,0),MATCH(Q$8,'Unique Asset List'!$D$3:$M$3,0))</f>
        <v>0.1044225</v>
      </c>
      <c r="R39" s="17">
        <f>INDEX('Unique Asset List'!$D$4:$M$60,MATCH($B39,'Unique Asset List'!$A$4:$A$60,0),MATCH(R$8,'Unique Asset List'!$D$3:$M$3,0))</f>
        <v>0.1044225</v>
      </c>
      <c r="S39" s="17">
        <f>INDEX('Unique Asset List'!$D$4:$M$60,MATCH($B39,'Unique Asset List'!$A$4:$A$60,0),MATCH(S$8,'Unique Asset List'!$D$3:$M$3,0))</f>
        <v>0</v>
      </c>
      <c r="T39" s="17" t="s">
        <v>35</v>
      </c>
      <c r="U39" s="17">
        <f t="shared" si="1"/>
        <v>0.90168566420734264</v>
      </c>
      <c r="V39" s="17">
        <v>1</v>
      </c>
      <c r="W39" s="9" t="s">
        <v>34</v>
      </c>
      <c r="X39" s="9">
        <f>INDEX('Unique Asset List'!$Y$4:$AE$60,MATCH('5'!$B39,'Unique Asset List'!$A$4:$A$60,0),MATCH('5'!$C$1,'Unique Asset List'!$Y$3:$AE$3,0))</f>
        <v>2034</v>
      </c>
      <c r="Y39" s="9">
        <f>INDEX('Unique Asset List'!$AF$4:$AL$60,MATCH('5'!$B39,'Unique Asset List'!$A$4:$A$60,0),MATCH('5'!$C$1,'Unique Asset List'!$AF$3:$AL$3,0))</f>
        <v>3</v>
      </c>
      <c r="Z39" s="9">
        <f>INDEX('Unique Asset List'!$AT$4:$AZ$60,MATCH('5'!$B39,'Unique Asset List'!$A$4:$A$60,0),MATCH('5'!$C$1,'Unique Asset List'!$AT$3:$AZ$3,0))</f>
        <v>2043</v>
      </c>
      <c r="AA39" s="9">
        <f>INDEX('Unique Asset List'!$BA$4:$BG$60,MATCH('5'!$B39,'Unique Asset List'!$A$4:$A$60,0),MATCH('5'!$C$1,'Unique Asset List'!$BA$3:$BG$3,0))</f>
        <v>2</v>
      </c>
      <c r="AB39" s="16">
        <f>AB28</f>
        <v>2.0681600000000007</v>
      </c>
      <c r="AC39" s="16">
        <f>AC28</f>
        <v>0.94137550000000003</v>
      </c>
      <c r="AD39" s="16">
        <f>AD28</f>
        <v>0.56099999999999994</v>
      </c>
      <c r="AE39" s="15">
        <f>INDEX('Unique Asset List'!$CJ$4:$CP$60,MATCH('5'!$B39,'Unique Asset List'!$A$4:$A$60,0),MATCH('5'!$C$1,'Unique Asset List'!$CJ$3:$CP$3,0))</f>
        <v>0.08</v>
      </c>
      <c r="AF39" s="15">
        <f>INDEX('Unique Asset List'!$CQ$4:$CW$60,MATCH('5'!$B39,'Unique Asset List'!$A$4:$A$60,0),MATCH('5'!$C$1,'Unique Asset List'!$CQ$3:$CW$3,0))</f>
        <v>0.42</v>
      </c>
      <c r="AG39" s="15">
        <f>INDEX('Unique Asset List'!$BV$4:$CB$60,MATCH('5'!$B39,'Unique Asset List'!$A$4:$A$60,0),MATCH('5'!$C$1,'Unique Asset List'!$BV$3:$CB$3,0))</f>
        <v>0.08</v>
      </c>
      <c r="AH39" s="15">
        <f>INDEX('Unique Asset List'!$CC$4:$CI$60,MATCH('5'!$B39,'Unique Asset List'!$A$4:$A$60,0),MATCH('5'!$C$1,'Unique Asset List'!$CC$3:$CI$3,0))</f>
        <v>0.42</v>
      </c>
      <c r="AI39" s="11">
        <v>0.96187963349867744</v>
      </c>
      <c r="AJ39" s="15">
        <f>INDEX('Unique Asset List'!$BH$4:$BN$60,MATCH('5'!$B39,'Unique Asset List'!$A$4:$A$60,0),MATCH('5'!$C$1,'Unique Asset List'!$BH$3:$BN$3,0))</f>
        <v>1.2944496352201866</v>
      </c>
      <c r="AK39" s="15">
        <f>INDEX('Unique Asset List'!$BO$4:$BU$60,MATCH('5'!$B39,'Unique Asset List'!$A$4:$A$60,0),MATCH('5'!$C$1,'Unique Asset List'!$BO$3:$BU$3,0))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1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0</v>
      </c>
      <c r="BA39" s="181">
        <f ca="1">INDEX('Unique Asset List'!U$4:U$60,MATCH($B39,_CompoundList,0))</f>
        <v>0</v>
      </c>
      <c r="BB39" s="181">
        <f ca="1">INDEX('Unique Asset List'!V$4:V$60,MATCH($B39,_CompoundList,0))</f>
        <v>0</v>
      </c>
      <c r="BC39" s="181">
        <f ca="1">INDEX('Unique Asset List'!W$4:W$60,MATCH($B39,_CompoundList,0))</f>
        <v>0</v>
      </c>
      <c r="BD39" s="4">
        <f>IF($C$5="ON",CD39,MyRating(_E1,$B39,Efficacy!$F$1))</f>
        <v>0</v>
      </c>
      <c r="BE39" s="3">
        <f>IF($C$5="ON",CE39,MyRating(_E2,$B39,Efficacy!$F$1))</f>
        <v>0</v>
      </c>
      <c r="BF39" s="3">
        <f>IF($C$5="ON",CF39,MyRating(_E3,$B39,Efficacy!$F$1))</f>
        <v>0</v>
      </c>
      <c r="BG39" s="3">
        <f>IF($C$5="ON",CG39,MyRating(_E4,$B39,Efficacy!$F$1))</f>
        <v>0</v>
      </c>
      <c r="BH39" s="3">
        <f>IF($C$5="ON",CH39,MyRating(_E5,$B39,Efficacy!$F$1))</f>
        <v>0</v>
      </c>
      <c r="BI39" s="3">
        <f>IF($C$5="ON",CI39,MyRating(_E6,$B39,Efficacy!$F$1))</f>
        <v>0</v>
      </c>
      <c r="BJ39" s="3">
        <f>IF($C$5="ON",CJ39,MyRating(_E7,$B39,Efficacy!$F$1))</f>
        <v>0</v>
      </c>
      <c r="BK39" s="3">
        <f>IF($C$5="ON",CK39,MyRating(_E8,$B39,Efficacy!$F$1))</f>
        <v>0</v>
      </c>
      <c r="BL39" s="3">
        <f>IF($C$5="ON",CL39,MyRating(_S1,$B39,Efficacy!$F$1))</f>
        <v>0</v>
      </c>
      <c r="BM39" s="3">
        <f>IF($C$5="ON",CM39,MyRating(_S2,$B39,Efficacy!$F$1))</f>
        <v>0</v>
      </c>
      <c r="BN39" s="3">
        <f>IF($C$5="ON",CN39,MyRating(_S3,$B39,Efficacy!$F$1))</f>
        <v>0</v>
      </c>
      <c r="BO39" s="3">
        <f>IF($C$5="ON",CO39,MyRating(_S4,$B39,Efficacy!$F$1))</f>
        <v>0</v>
      </c>
      <c r="BP39" s="3">
        <f>IF($C$5="ON",CP39,MyRating(_S5,$B39,Efficacy!$F$1))</f>
        <v>0</v>
      </c>
      <c r="BQ39" s="3">
        <f>IF($C$5="ON",CQ39,MyRating(_S6,$B39,Efficacy!$F$1))</f>
        <v>0</v>
      </c>
      <c r="BR39" s="3">
        <f>IF($C$5="ON",CR39,MyRating(_S7,$B39,Efficacy!$F$1))</f>
        <v>0</v>
      </c>
      <c r="BS39" s="3">
        <f>IF($C$5="ON",CS39,MyRating(_D1,$B39,Efficacy!$F$1))</f>
        <v>0</v>
      </c>
      <c r="BT39" s="3">
        <f>IF($C$5="ON",CT39,MyRating(_D2,$B39,Efficacy!$F$1))</f>
        <v>0</v>
      </c>
      <c r="BU39" s="3">
        <f>IF($C$5="ON",CU39,MyRating(_D3,$B39,Efficacy!$F$1))</f>
        <v>0</v>
      </c>
      <c r="BV39" s="3">
        <f>IF($C$5="ON",CV39,MyRating(_D4,$B39,Efficacy!$F$1))</f>
        <v>0</v>
      </c>
      <c r="BW39" s="3">
        <f>IF($C$5="ON",CW39,MyRating(_B1G5,$B39,Barrier!$L$2))</f>
        <v>2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9"/>
        <v>3.3407946312985805E-2</v>
      </c>
      <c r="CA39" s="8">
        <f t="shared" si="6"/>
        <v>2.8000000000000003</v>
      </c>
      <c r="CB39" s="5">
        <f t="shared" si="7"/>
        <v>3.2941176470588251E-2</v>
      </c>
      <c r="CC39" s="7">
        <f t="shared" si="8"/>
        <v>5.9787261089987885E-3</v>
      </c>
      <c r="CD39" s="4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6">
        <v>0</v>
      </c>
      <c r="CZ39" s="5">
        <v>0</v>
      </c>
    </row>
    <row r="40" spans="1:104" x14ac:dyDescent="0.25">
      <c r="A40" s="9" t="str">
        <f t="shared" si="0"/>
        <v>ES</v>
      </c>
      <c r="B40" s="9" t="s">
        <v>33</v>
      </c>
      <c r="C40" s="20"/>
      <c r="D40" s="9" t="s">
        <v>32</v>
      </c>
      <c r="E40" s="9" t="s">
        <v>186</v>
      </c>
      <c r="F40" s="9" t="str">
        <f>INDEX('Unique Asset List'!$C$4:$C$60,MATCH(B40,_CompoundList,0))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INDEX(PTRS!$D$6:$D$12,MATCH('5'!$F40,PTRS!$B$6:$B$12,0))</f>
        <v>0.1044225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7">
        <v>0.1044225</v>
      </c>
      <c r="N40" s="17">
        <f>INDEX('Unique Asset List'!$D$4:$M$60,MATCH($B40,'Unique Asset List'!$A$4:$A$60,0),MATCH(N$8,'Unique Asset List'!$D$3:$M$3,0))</f>
        <v>0.1044225</v>
      </c>
      <c r="O40" s="17">
        <f>INDEX('Unique Asset List'!$D$4:$M$60,MATCH($B40,'Unique Asset List'!$A$4:$A$60,0),MATCH(O$8,'Unique Asset List'!$D$3:$M$3,0))</f>
        <v>0.1044225</v>
      </c>
      <c r="P40" s="17">
        <f>INDEX('Unique Asset List'!$D$4:$M$60,MATCH($B40,'Unique Asset List'!$A$4:$A$60,0),MATCH(P$8,'Unique Asset List'!$D$3:$M$3,0))</f>
        <v>0.1044225</v>
      </c>
      <c r="Q40" s="17">
        <f>INDEX('Unique Asset List'!$D$4:$M$60,MATCH($B40,'Unique Asset List'!$A$4:$A$60,0),MATCH(Q$8,'Unique Asset List'!$D$3:$M$3,0))</f>
        <v>0.1044225</v>
      </c>
      <c r="R40" s="17">
        <f>INDEX('Unique Asset List'!$D$4:$M$60,MATCH($B40,'Unique Asset List'!$A$4:$A$60,0),MATCH(R$8,'Unique Asset List'!$D$3:$M$3,0))</f>
        <v>0.1044225</v>
      </c>
      <c r="S40" s="17">
        <f>INDEX('Unique Asset List'!$D$4:$M$60,MATCH($B40,'Unique Asset List'!$A$4:$A$60,0),MATCH(S$8,'Unique Asset List'!$D$3:$M$3,0))</f>
        <v>0</v>
      </c>
      <c r="T40" s="17" t="s">
        <v>31</v>
      </c>
      <c r="U40" s="17">
        <f t="shared" si="1"/>
        <v>0.90168566420734264</v>
      </c>
      <c r="V40" s="17">
        <v>1</v>
      </c>
      <c r="W40" s="9" t="s">
        <v>31</v>
      </c>
      <c r="X40" s="9">
        <f>INDEX('Unique Asset List'!$Y$4:$AE$60,MATCH('5'!$B40,'Unique Asset List'!$A$4:$A$60,0),MATCH('5'!$C$1,'Unique Asset List'!$Y$3:$AE$3,0))</f>
        <v>2033</v>
      </c>
      <c r="Y40" s="9">
        <f>INDEX('Unique Asset List'!$AF$4:$AL$60,MATCH('5'!$B40,'Unique Asset List'!$A$4:$A$60,0),MATCH('5'!$C$1,'Unique Asset List'!$AF$3:$AL$3,0))</f>
        <v>3</v>
      </c>
      <c r="Z40" s="9">
        <f>INDEX('Unique Asset List'!$AT$4:$AZ$60,MATCH('5'!$B40,'Unique Asset List'!$A$4:$A$60,0),MATCH('5'!$C$1,'Unique Asset List'!$AT$3:$AZ$3,0))</f>
        <v>2042</v>
      </c>
      <c r="AA40" s="9">
        <f>INDEX('Unique Asset List'!$BA$4:$BG$60,MATCH('5'!$B40,'Unique Asset List'!$A$4:$A$60,0),MATCH('5'!$C$1,'Unique Asset List'!$BA$3:$BG$3,0))</f>
        <v>2</v>
      </c>
      <c r="AB40" s="16">
        <f>AB27</f>
        <v>2.0063400000000007</v>
      </c>
      <c r="AC40" s="16">
        <f>AC27</f>
        <v>0.94137550000000003</v>
      </c>
      <c r="AD40" s="16">
        <f>AD27</f>
        <v>0.56099999999999994</v>
      </c>
      <c r="AE40" s="15">
        <f>INDEX('Unique Asset List'!$CJ$4:$CP$60,MATCH('5'!$B40,'Unique Asset List'!$A$4:$A$60,0),MATCH('5'!$C$1,'Unique Asset List'!$CJ$3:$CP$3,0))</f>
        <v>0.08</v>
      </c>
      <c r="AF40" s="15">
        <f>INDEX('Unique Asset List'!$CQ$4:$CW$60,MATCH('5'!$B40,'Unique Asset List'!$A$4:$A$60,0),MATCH('5'!$C$1,'Unique Asset List'!$CQ$3:$CW$3,0))</f>
        <v>0.42</v>
      </c>
      <c r="AG40" s="15">
        <f>INDEX('Unique Asset List'!$BV$4:$CB$60,MATCH('5'!$B40,'Unique Asset List'!$A$4:$A$60,0),MATCH('5'!$C$1,'Unique Asset List'!$BV$3:$CB$3,0))</f>
        <v>0.08</v>
      </c>
      <c r="AH40" s="15">
        <f>INDEX('Unique Asset List'!$CC$4:$CI$60,MATCH('5'!$B40,'Unique Asset List'!$A$4:$A$60,0),MATCH('5'!$C$1,'Unique Asset List'!$CC$3:$CI$3,0))</f>
        <v>0.42</v>
      </c>
      <c r="AI40" s="11">
        <v>0.96187963349867744</v>
      </c>
      <c r="AJ40" s="15">
        <f>INDEX('Unique Asset List'!$BH$4:$BN$60,MATCH('5'!$B40,'Unique Asset List'!$A$4:$A$60,0),MATCH('5'!$C$1,'Unique Asset List'!$BH$3:$BN$3,0))</f>
        <v>1.2944496352201866</v>
      </c>
      <c r="AK40" s="15">
        <f>INDEX('Unique Asset List'!$BO$4:$BU$60,MATCH('5'!$B40,'Unique Asset List'!$A$4:$A$60,0),MATCH('5'!$C$1,'Unique Asset List'!$BO$3:$BU$3,0))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1</v>
      </c>
      <c r="AY40" s="181">
        <f ca="1">INDEX('Unique Asset List'!S$4:S$60,MATCH($B40,_CompoundList,0))</f>
        <v>1</v>
      </c>
      <c r="AZ40" s="181">
        <f ca="1">INDEX('Unique Asset List'!T$4:T$60,MATCH($B40,_CompoundList,0))</f>
        <v>1</v>
      </c>
      <c r="BA40" s="181">
        <f ca="1">INDEX('Unique Asset List'!U$4:U$60,MATCH($B40,_CompoundList,0))</f>
        <v>0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0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IF($C$5="ON",CL40,MyRating(_S1,$B40,Efficacy!$F$1))</f>
        <v>0</v>
      </c>
      <c r="BM40" s="3">
        <f>IF($C$5="ON",CM40,MyRating(_S2,$B40,Efficacy!$F$1))</f>
        <v>0</v>
      </c>
      <c r="BN40" s="3">
        <f>IF($C$5="ON",CN40,MyRating(_S3,$B40,Efficacy!$F$1))</f>
        <v>0</v>
      </c>
      <c r="BO40" s="3">
        <f>IF($C$5="ON",CO40,MyRating(_S4,$B40,Efficacy!$F$1))</f>
        <v>0</v>
      </c>
      <c r="BP40" s="3">
        <f>IF($C$5="ON",CP40,MyRating(_S5,$B40,Efficacy!$F$1))</f>
        <v>0</v>
      </c>
      <c r="BQ40" s="3">
        <f>IF($C$5="ON",CQ40,MyRating(_S6,$B40,Efficacy!$F$1))</f>
        <v>0</v>
      </c>
      <c r="BR40" s="3">
        <f>IF($C$5="ON",CR40,MyRating(_S7,$B40,Efficacy!$F$1))</f>
        <v>0</v>
      </c>
      <c r="BS40" s="3">
        <f>IF($C$5="ON",CS40,MyRating(_D1,$B40,Efficacy!$F$1))</f>
        <v>0</v>
      </c>
      <c r="BT40" s="3">
        <f>IF($C$5="ON",CT40,MyRating(_D2,$B40,Efficacy!$F$1))</f>
        <v>0</v>
      </c>
      <c r="BU40" s="3">
        <f>IF($C$5="ON",CU40,MyRating(_D3,$B40,Efficacy!$F$1))</f>
        <v>0</v>
      </c>
      <c r="BV40" s="3">
        <f>IF($C$5="ON",CV40,MyRating(_D4,$B40,Efficacy!$F$1))</f>
        <v>0</v>
      </c>
      <c r="BW40" s="3">
        <f>IF($C$5="ON",CW40,MyRating(_B1G5,$B40,Barrier!$L$2))</f>
        <v>2</v>
      </c>
      <c r="BX40" s="3">
        <f>IF($C$5="ON",CX40,MyRating(_B2,$B40,Barrier!$F$2))</f>
        <v>3</v>
      </c>
      <c r="BY40" s="6">
        <f>IF($C$5="ON",CY40,MyRating(_B3,$B40,Barrier!$F$2))</f>
        <v>3</v>
      </c>
      <c r="BZ40" s="5">
        <f t="shared" si="9"/>
        <v>3.3407946312985805E-2</v>
      </c>
      <c r="CA40" s="8">
        <f t="shared" si="6"/>
        <v>2.8000000000000003</v>
      </c>
      <c r="CB40" s="5">
        <f t="shared" si="7"/>
        <v>3.2941176470588251E-2</v>
      </c>
      <c r="CC40" s="7">
        <f t="shared" si="8"/>
        <v>5.9787261089987885E-3</v>
      </c>
      <c r="CD40" s="4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6">
        <v>0</v>
      </c>
      <c r="CZ40" s="5">
        <v>0</v>
      </c>
    </row>
    <row r="41" spans="1:104" x14ac:dyDescent="0.25">
      <c r="A41" s="9" t="str">
        <f t="shared" ref="A41:A58" si="10">$C$1</f>
        <v>ES</v>
      </c>
      <c r="B41" s="9" t="s">
        <v>30</v>
      </c>
      <c r="C41" s="20"/>
      <c r="D41" s="9" t="s">
        <v>29</v>
      </c>
      <c r="E41" s="9" t="s">
        <v>186</v>
      </c>
      <c r="F41" s="9" t="str">
        <f>INDEX('Unique Asset List'!$C$4:$C$60,MATCH(B41,_CompoundList,0))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INDEX(PTRS!$D$6:$D$12,MATCH('5'!$F41,PTRS!$B$6:$B$12,0))</f>
        <v>0.1044225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v>0.1044225</v>
      </c>
      <c r="N41" s="17">
        <f>INDEX('Unique Asset List'!$D$4:$M$60,MATCH($B41,'Unique Asset List'!$A$4:$A$60,0),MATCH(N$8,'Unique Asset List'!$D$3:$M$3,0))</f>
        <v>0.1044225</v>
      </c>
      <c r="O41" s="17">
        <f>INDEX('Unique Asset List'!$D$4:$M$60,MATCH($B41,'Unique Asset List'!$A$4:$A$60,0),MATCH(O$8,'Unique Asset List'!$D$3:$M$3,0))</f>
        <v>0.1044225</v>
      </c>
      <c r="P41" s="17">
        <f>INDEX('Unique Asset List'!$D$4:$M$60,MATCH($B41,'Unique Asset List'!$A$4:$A$60,0),MATCH(P$8,'Unique Asset List'!$D$3:$M$3,0))</f>
        <v>0.1044225</v>
      </c>
      <c r="Q41" s="17">
        <f>INDEX('Unique Asset List'!$D$4:$M$60,MATCH($B41,'Unique Asset List'!$A$4:$A$60,0),MATCH(Q$8,'Unique Asset List'!$D$3:$M$3,0))</f>
        <v>0.1044225</v>
      </c>
      <c r="R41" s="17">
        <f>INDEX('Unique Asset List'!$D$4:$M$60,MATCH($B41,'Unique Asset List'!$A$4:$A$60,0),MATCH(R$8,'Unique Asset List'!$D$3:$M$3,0))</f>
        <v>0.1044225</v>
      </c>
      <c r="S41" s="17">
        <f>INDEX('Unique Asset List'!$D$4:$M$60,MATCH($B41,'Unique Asset List'!$A$4:$A$60,0),MATCH(S$8,'Unique Asset List'!$D$3:$M$3,0))</f>
        <v>0</v>
      </c>
      <c r="T41" s="17" t="s">
        <v>28</v>
      </c>
      <c r="U41" s="17">
        <f t="shared" si="1"/>
        <v>0.90168566420734264</v>
      </c>
      <c r="V41" s="17">
        <v>1</v>
      </c>
      <c r="W41" s="9" t="s">
        <v>27</v>
      </c>
      <c r="X41" s="9">
        <f>INDEX('Unique Asset List'!$Y$4:$AE$60,MATCH('5'!$B41,'Unique Asset List'!$A$4:$A$60,0),MATCH('5'!$C$1,'Unique Asset List'!$Y$3:$AE$3,0))</f>
        <v>2035</v>
      </c>
      <c r="Y41" s="9">
        <f>INDEX('Unique Asset List'!$AF$4:$AL$60,MATCH('5'!$B41,'Unique Asset List'!$A$4:$A$60,0),MATCH('5'!$C$1,'Unique Asset List'!$AF$3:$AL$3,0))</f>
        <v>6.9999999999990905</v>
      </c>
      <c r="Z41" s="9">
        <f>INDEX('Unique Asset List'!$AT$4:$AZ$60,MATCH('5'!$B41,'Unique Asset List'!$A$4:$A$60,0),MATCH('5'!$C$1,'Unique Asset List'!$AT$3:$AZ$3,0))</f>
        <v>2044</v>
      </c>
      <c r="AA41" s="9">
        <f>INDEX('Unique Asset List'!$BA$4:$BG$60,MATCH('5'!$B41,'Unique Asset List'!$A$4:$A$60,0),MATCH('5'!$C$1,'Unique Asset List'!$BA$3:$BG$3,0))</f>
        <v>6</v>
      </c>
      <c r="AB41" s="16">
        <f>AB33</f>
        <v>2.0289886000000004</v>
      </c>
      <c r="AC41" s="16">
        <f>AC33</f>
        <v>0.81843569999999999</v>
      </c>
      <c r="AD41" s="16">
        <f>AD33</f>
        <v>0.56099999999999994</v>
      </c>
      <c r="AE41" s="15">
        <f>INDEX('Unique Asset List'!$CJ$4:$CP$60,MATCH('5'!$B41,'Unique Asset List'!$A$4:$A$60,0),MATCH('5'!$C$1,'Unique Asset List'!$CJ$3:$CP$3,0))</f>
        <v>0.08</v>
      </c>
      <c r="AF41" s="15">
        <f>INDEX('Unique Asset List'!$CQ$4:$CW$60,MATCH('5'!$B41,'Unique Asset List'!$A$4:$A$60,0),MATCH('5'!$C$1,'Unique Asset List'!$CQ$3:$CW$3,0))</f>
        <v>0.42</v>
      </c>
      <c r="AG41" s="15">
        <f>INDEX('Unique Asset List'!$BV$4:$CB$60,MATCH('5'!$B41,'Unique Asset List'!$A$4:$A$60,0),MATCH('5'!$C$1,'Unique Asset List'!$BV$3:$CB$3,0))</f>
        <v>0.08</v>
      </c>
      <c r="AH41" s="15">
        <f>INDEX('Unique Asset List'!$CC$4:$CI$60,MATCH('5'!$B41,'Unique Asset List'!$A$4:$A$60,0),MATCH('5'!$C$1,'Unique Asset List'!$CC$3:$CI$3,0))</f>
        <v>0.42</v>
      </c>
      <c r="AI41" s="11">
        <v>0.96187963349867744</v>
      </c>
      <c r="AJ41" s="15">
        <f>INDEX('Unique Asset List'!$BH$4:$BN$60,MATCH('5'!$B41,'Unique Asset List'!$A$4:$A$60,0),MATCH('5'!$C$1,'Unique Asset List'!$BH$3:$BN$3,0))</f>
        <v>1.2944496352201866</v>
      </c>
      <c r="AK41" s="15">
        <f>INDEX('Unique Asset List'!$BO$4:$BU$60,MATCH('5'!$B41,'Unique Asset List'!$A$4:$A$60,0),MATCH('5'!$C$1,'Unique Asset List'!$BO$3:$BU$3,0))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1">AP41</f>
        <v>0.82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0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0</v>
      </c>
      <c r="BB41" s="181">
        <f ca="1">INDEX('Unique Asset List'!V$4:V$60,MATCH($B41,_CompoundList,0))</f>
        <v>0</v>
      </c>
      <c r="BC41" s="181">
        <f ca="1">INDEX('Unique Asset List'!W$4:W$60,MATCH($B41,_CompoundList,0))</f>
        <v>1</v>
      </c>
      <c r="BD41" s="4">
        <f>IF($C$5="ON",CD41,MyRating(_E1,$B41,Efficacy!$F$1))</f>
        <v>0</v>
      </c>
      <c r="BE41" s="3">
        <f>IF($C$5="ON",CE41,MyRating(_E2,$B41,Efficacy!$F$1))</f>
        <v>0</v>
      </c>
      <c r="BF41" s="3">
        <f>IF($C$5="ON",CF41,MyRating(_E3,$B41,Efficacy!$F$1))</f>
        <v>0</v>
      </c>
      <c r="BG41" s="3">
        <f>IF($C$5="ON",CG41,MyRating(_E4,$B41,Efficacy!$F$1))</f>
        <v>0</v>
      </c>
      <c r="BH41" s="3">
        <f>IF($C$5="ON",CH41,MyRating(_E5,$B41,Efficacy!$F$1))</f>
        <v>0</v>
      </c>
      <c r="BI41" s="3">
        <f>IF($C$5="ON",CI41,MyRating(_E6,$B41,Efficacy!$F$1))</f>
        <v>0</v>
      </c>
      <c r="BJ41" s="3">
        <f>IF($C$5="ON",CJ41,MyRating(_E7,$B41,Efficacy!$F$1))</f>
        <v>0</v>
      </c>
      <c r="BK41" s="3">
        <f>IF($C$5="ON",CK41,MyRating(_E8,$B41,Efficacy!$F$1))</f>
        <v>0</v>
      </c>
      <c r="BL41" s="3">
        <f>IF($C$5="ON",CL41,MyRating(_S1,$B41,Efficacy!$F$1))</f>
        <v>0</v>
      </c>
      <c r="BM41" s="3">
        <f>IF($C$5="ON",CM41,MyRating(_S2,$B41,Efficacy!$F$1))</f>
        <v>0</v>
      </c>
      <c r="BN41" s="3">
        <f>IF($C$5="ON",CN41,MyRating(_S3,$B41,Efficacy!$F$1))</f>
        <v>0</v>
      </c>
      <c r="BO41" s="3">
        <f>IF($C$5="ON",CO41,MyRating(_S4,$B41,Efficacy!$F$1))</f>
        <v>0</v>
      </c>
      <c r="BP41" s="3">
        <f>IF($C$5="ON",CP41,MyRating(_S5,$B41,Efficacy!$F$1))</f>
        <v>0</v>
      </c>
      <c r="BQ41" s="3">
        <f>IF($C$5="ON",CQ41,MyRating(_S6,$B41,Efficacy!$F$1))</f>
        <v>0</v>
      </c>
      <c r="BR41" s="3">
        <f>IF($C$5="ON",CR41,MyRating(_S7,$B41,Efficacy!$F$1))</f>
        <v>0</v>
      </c>
      <c r="BS41" s="3">
        <f>IF($C$5="ON",CS41,MyRating(_D1,$B41,Efficacy!$F$1))</f>
        <v>0</v>
      </c>
      <c r="BT41" s="3">
        <f>IF($C$5="ON",CT41,MyRating(_D2,$B41,Efficacy!$F$1))</f>
        <v>0</v>
      </c>
      <c r="BU41" s="3">
        <f>IF($C$5="ON",CU41,MyRating(_D3,$B41,Efficacy!$F$1))</f>
        <v>0</v>
      </c>
      <c r="BV41" s="3">
        <f>IF($C$5="ON",CV41,MyRating(_D4,$B41,Efficacy!$F$1))</f>
        <v>0</v>
      </c>
      <c r="BW41" s="3">
        <f>IF($C$5="ON",CW41,MyRating(_B1G5,$B41,Barrier!$L$2))</f>
        <v>2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9"/>
        <v>3.3407946312985805E-2</v>
      </c>
      <c r="CA41" s="8">
        <f t="shared" ref="CA41:CA58" si="12">SUMPRODUCT($BW41:$BY41,$BW$7:$BY$7)</f>
        <v>2.8000000000000003</v>
      </c>
      <c r="CB41" s="5">
        <f t="shared" ref="CB41:CB58" si="13">CA41/$CA$7</f>
        <v>3.2941176470588251E-2</v>
      </c>
      <c r="CC41" s="7">
        <f t="shared" ref="CC41:CC58" si="14">CB41^$X$4</f>
        <v>5.9787261089987885E-3</v>
      </c>
      <c r="CD41" s="4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6">
        <v>0</v>
      </c>
      <c r="CZ41" s="5">
        <v>0</v>
      </c>
    </row>
    <row r="42" spans="1:104" x14ac:dyDescent="0.25">
      <c r="A42" s="9" t="str">
        <f t="shared" si="10"/>
        <v>ES</v>
      </c>
      <c r="B42" s="9" t="s">
        <v>26</v>
      </c>
      <c r="C42" s="20" t="s">
        <v>3</v>
      </c>
      <c r="D42" s="9" t="s">
        <v>25</v>
      </c>
      <c r="E42" s="9" t="s">
        <v>186</v>
      </c>
      <c r="F42" s="9" t="str">
        <f>INDEX('Unique Asset List'!$C$4:$C$60,MATCH(B42,_CompoundList,0))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INDEX(PTRS!$D$6:$D$12,MATCH('5'!$F42,PTRS!$B$6:$B$12,0))</f>
        <v>0.1044225</v>
      </c>
      <c r="K42" s="17">
        <f>INDEX('Unique Asset List'!$D$4:$M$60,MATCH($B42,'Unique Asset List'!$A$4:$A$60,0),MATCH(K$8,'Unique Asset List'!$D$3:$M$3,0))</f>
        <v>0</v>
      </c>
      <c r="L42" s="17">
        <f>INDEX('Unique Asset List'!$D$4:$M$60,MATCH($B42,'Unique Asset List'!$A$4:$A$60,0),MATCH(L$8,'Unique Asset List'!$D$3:$M$3,0))</f>
        <v>0</v>
      </c>
      <c r="M42" s="17">
        <v>0.1044225</v>
      </c>
      <c r="N42" s="17">
        <f>INDEX('Unique Asset List'!$D$4:$M$60,MATCH($B42,'Unique Asset List'!$A$4:$A$60,0),MATCH(N$8,'Unique Asset List'!$D$3:$M$3,0))</f>
        <v>0.1044225</v>
      </c>
      <c r="O42" s="17">
        <f>INDEX('Unique Asset List'!$D$4:$M$60,MATCH($B42,'Unique Asset List'!$A$4:$A$60,0),MATCH(O$8,'Unique Asset List'!$D$3:$M$3,0))</f>
        <v>0.1044225</v>
      </c>
      <c r="P42" s="17">
        <f>INDEX('Unique Asset List'!$D$4:$M$60,MATCH($B42,'Unique Asset List'!$A$4:$A$60,0),MATCH(P$8,'Unique Asset List'!$D$3:$M$3,0))</f>
        <v>0.1044225</v>
      </c>
      <c r="Q42" s="17">
        <f>INDEX('Unique Asset List'!$D$4:$M$60,MATCH($B42,'Unique Asset List'!$A$4:$A$60,0),MATCH(Q$8,'Unique Asset List'!$D$3:$M$3,0))</f>
        <v>0.1044225</v>
      </c>
      <c r="R42" s="17">
        <f>INDEX('Unique Asset List'!$D$4:$M$60,MATCH($B42,'Unique Asset List'!$A$4:$A$60,0),MATCH(R$8,'Unique Asset List'!$D$3:$M$3,0))</f>
        <v>0.1044225</v>
      </c>
      <c r="S42" s="17">
        <f>INDEX('Unique Asset List'!$D$4:$M$60,MATCH($B42,'Unique Asset List'!$A$4:$A$60,0),MATCH(S$8,'Unique Asset List'!$D$3:$M$3,0))</f>
        <v>0</v>
      </c>
      <c r="T42" s="17" t="s">
        <v>24</v>
      </c>
      <c r="U42" s="17">
        <f t="shared" si="1"/>
        <v>0</v>
      </c>
      <c r="V42" s="17">
        <v>1</v>
      </c>
      <c r="W42" s="9" t="s">
        <v>24</v>
      </c>
      <c r="X42" s="9">
        <f>INDEX('Unique Asset List'!$Y$4:$AE$60,MATCH('5'!$B42,'Unique Asset List'!$A$4:$A$60,0),MATCH('5'!$C$1,'Unique Asset List'!$Y$3:$AE$3,0))</f>
        <v>2033</v>
      </c>
      <c r="Y42" s="9">
        <f>INDEX('Unique Asset List'!$AF$4:$AL$60,MATCH('5'!$B42,'Unique Asset List'!$A$4:$A$60,0),MATCH('5'!$C$1,'Unique Asset List'!$AF$3:$AL$3,0))</f>
        <v>3</v>
      </c>
      <c r="Z42" s="9">
        <f>INDEX('Unique Asset List'!$AT$4:$AZ$60,MATCH('5'!$B42,'Unique Asset List'!$A$4:$A$60,0),MATCH('5'!$C$1,'Unique Asset List'!$AT$3:$AZ$3,0))</f>
        <v>2042</v>
      </c>
      <c r="AA42" s="9">
        <f>INDEX('Unique Asset List'!$BA$4:$BG$60,MATCH('5'!$B42,'Unique Asset List'!$A$4:$A$60,0),MATCH('5'!$C$1,'Unique Asset List'!$BA$3:$BG$3,0))</f>
        <v>2</v>
      </c>
      <c r="AB42" s="16">
        <f>AB30</f>
        <v>2.1518980000000005</v>
      </c>
      <c r="AC42" s="16">
        <f>AC30</f>
        <v>0.94137550000000003</v>
      </c>
      <c r="AD42" s="16">
        <f>AD30</f>
        <v>0.56099999999999994</v>
      </c>
      <c r="AE42" s="15">
        <f>INDEX('Unique Asset List'!$CJ$4:$CP$60,MATCH('5'!$B42,'Unique Asset List'!$A$4:$A$60,0),MATCH('5'!$C$1,'Unique Asset List'!$CJ$3:$CP$3,0))</f>
        <v>0.08</v>
      </c>
      <c r="AF42" s="15">
        <f>INDEX('Unique Asset List'!$CQ$4:$CW$60,MATCH('5'!$B42,'Unique Asset List'!$A$4:$A$60,0),MATCH('5'!$C$1,'Unique Asset List'!$CQ$3:$CW$3,0))</f>
        <v>0.42</v>
      </c>
      <c r="AG42" s="15">
        <f>INDEX('Unique Asset List'!$BV$4:$CB$60,MATCH('5'!$B42,'Unique Asset List'!$A$4:$A$60,0),MATCH('5'!$C$1,'Unique Asset List'!$BV$3:$CB$3,0))</f>
        <v>0.08</v>
      </c>
      <c r="AH42" s="15">
        <f>INDEX('Unique Asset List'!$CC$4:$CI$60,MATCH('5'!$B42,'Unique Asset List'!$A$4:$A$60,0),MATCH('5'!$C$1,'Unique Asset List'!$CC$3:$CI$3,0))</f>
        <v>0.42</v>
      </c>
      <c r="AI42" s="11">
        <v>0.96187963349867744</v>
      </c>
      <c r="AJ42" s="15">
        <f>INDEX('Unique Asset List'!$BH$4:$BN$60,MATCH('5'!$B42,'Unique Asset List'!$A$4:$A$60,0),MATCH('5'!$C$1,'Unique Asset List'!$BH$3:$BN$3,0))</f>
        <v>1.2944496352201866</v>
      </c>
      <c r="AK42" s="15">
        <f>INDEX('Unique Asset List'!$BO$4:$BU$60,MATCH('5'!$B42,'Unique Asset List'!$A$4:$A$60,0),MATCH('5'!$C$1,'Unique Asset List'!$BO$3:$BU$3,0))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81">
        <f>INDEX('Unique Asset List'!N$4:N$60,MATCH($B42,_CompoundList,0))</f>
        <v>0</v>
      </c>
      <c r="AU42" s="181">
        <f>INDEX('Unique Asset List'!O$4:O$60,MATCH($B42,_CompoundList,0))</f>
        <v>0</v>
      </c>
      <c r="AV42" s="181">
        <f>INDEX('Unique Asset List'!P$4:P$60,MATCH($B42,_CompoundList,0))</f>
        <v>0</v>
      </c>
      <c r="AW42" s="181">
        <f>INDEX('Unique Asset List'!Q$4:Q$60,MATCH($B42,_CompoundList,0))</f>
        <v>0</v>
      </c>
      <c r="AX42" s="181">
        <f ca="1">INDEX('Unique Asset List'!R$4:R$60,MATCH($B42,_CompoundList,0))</f>
        <v>0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0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0</v>
      </c>
      <c r="BD42" s="4">
        <f>IF($C$5="ON",CD42,MyRating(_E1,$B42,Efficacy!$F$1))</f>
        <v>0</v>
      </c>
      <c r="BE42" s="3">
        <f>IF($C$5="ON",CE42,MyRating(_E2,$B42,Efficacy!$F$1))</f>
        <v>0</v>
      </c>
      <c r="BF42" s="3">
        <f>IF($C$5="ON",CF42,MyRating(_E3,$B42,Efficacy!$F$1))</f>
        <v>0</v>
      </c>
      <c r="BG42" s="3">
        <f>IF($C$5="ON",CG42,MyRating(_E4,$B42,Efficacy!$F$1))</f>
        <v>0</v>
      </c>
      <c r="BH42" s="3">
        <f>IF($C$5="ON",CH42,MyRating(_E5,$B42,Efficacy!$F$1))</f>
        <v>0</v>
      </c>
      <c r="BI42" s="3">
        <f>IF($C$5="ON",CI42,MyRating(_E6,$B42,Efficacy!$F$1))</f>
        <v>0</v>
      </c>
      <c r="BJ42" s="3">
        <f>IF($C$5="ON",CJ42,MyRating(_E7,$B42,Efficacy!$F$1))</f>
        <v>0</v>
      </c>
      <c r="BK42" s="3">
        <f>IF($C$5="ON",CK42,MyRating(_E8,$B42,Efficacy!$F$1))</f>
        <v>0</v>
      </c>
      <c r="BL42" s="3">
        <f>IF($C$5="ON",CL42,MyRating(_S1,$B42,Efficacy!$F$1))</f>
        <v>0</v>
      </c>
      <c r="BM42" s="3">
        <f>IF($C$5="ON",CM42,MyRating(_S2,$B42,Efficacy!$F$1))</f>
        <v>0</v>
      </c>
      <c r="BN42" s="3">
        <f>IF($C$5="ON",CN42,MyRating(_S3,$B42,Efficacy!$F$1))</f>
        <v>0</v>
      </c>
      <c r="BO42" s="3">
        <f>IF($C$5="ON",CO42,MyRating(_S4,$B42,Efficacy!$F$1))</f>
        <v>0</v>
      </c>
      <c r="BP42" s="3">
        <f>IF($C$5="ON",CP42,MyRating(_S5,$B42,Efficacy!$F$1))</f>
        <v>0</v>
      </c>
      <c r="BQ42" s="3">
        <f>IF($C$5="ON",CQ42,MyRating(_S6,$B42,Efficacy!$F$1))</f>
        <v>0</v>
      </c>
      <c r="BR42" s="3">
        <f>IF($C$5="ON",CR42,MyRating(_S7,$B42,Efficacy!$F$1))</f>
        <v>0</v>
      </c>
      <c r="BS42" s="3">
        <f>IF($C$5="ON",CS42,MyRating(_D1,$B42,Efficacy!$F$1))</f>
        <v>0</v>
      </c>
      <c r="BT42" s="3">
        <f>IF($C$5="ON",CT42,MyRating(_D2,$B42,Efficacy!$F$1))</f>
        <v>0</v>
      </c>
      <c r="BU42" s="3">
        <f>IF($C$5="ON",CU42,MyRating(_D3,$B42,Efficacy!$F$1))</f>
        <v>0</v>
      </c>
      <c r="BV42" s="3">
        <f>IF($C$5="ON",CV42,MyRating(_D4,$B42,Efficacy!$F$1))</f>
        <v>0</v>
      </c>
      <c r="BW42" s="3">
        <f>IF($C$5="ON",CW42,MyRating(_B1G5,$B42,Barrier!$L$2))</f>
        <v>2</v>
      </c>
      <c r="BX42" s="3">
        <f>IF($C$5="ON",CX42,MyRating(_B2,$B42,Barrier!$F$2))</f>
        <v>0</v>
      </c>
      <c r="BY42" s="6">
        <f>IF($C$5="ON",CY42,MyRating(_B3,$B42,Barrier!$F$2))</f>
        <v>0</v>
      </c>
      <c r="BZ42" s="5">
        <f t="shared" si="9"/>
        <v>0</v>
      </c>
      <c r="CA42" s="8">
        <f t="shared" si="12"/>
        <v>0.4</v>
      </c>
      <c r="CB42" s="5">
        <f t="shared" si="13"/>
        <v>4.7058823529411787E-3</v>
      </c>
      <c r="CC42" s="7">
        <f t="shared" si="14"/>
        <v>3.2282086615060515E-4</v>
      </c>
      <c r="CD42" s="4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6">
        <v>0</v>
      </c>
      <c r="CZ42" s="5">
        <v>0</v>
      </c>
    </row>
    <row r="43" spans="1:104" x14ac:dyDescent="0.25">
      <c r="A43" s="9" t="str">
        <f t="shared" si="10"/>
        <v>ES</v>
      </c>
      <c r="B43" s="9" t="s">
        <v>23</v>
      </c>
      <c r="C43" s="20"/>
      <c r="D43" s="9" t="s">
        <v>22</v>
      </c>
      <c r="E43" s="9" t="s">
        <v>186</v>
      </c>
      <c r="F43" s="9" t="str">
        <f>INDEX('Unique Asset List'!$C$4:$C$60,MATCH(B43,_CompoundList,0))</f>
        <v>PCD</v>
      </c>
      <c r="G43" s="19">
        <v>0</v>
      </c>
      <c r="H43" s="9">
        <v>2014</v>
      </c>
      <c r="I43" s="9">
        <v>6</v>
      </c>
      <c r="J43" s="18">
        <f>INDEX(PTRS!$D$6:$D$12,MATCH('5'!$F43,PTRS!$B$6:$B$12,0))</f>
        <v>0.1044225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0.1044225</v>
      </c>
      <c r="N43" s="17">
        <f>INDEX('Unique Asset List'!$D$4:$M$60,MATCH($B43,'Unique Asset List'!$A$4:$A$60,0),MATCH(N$8,'Unique Asset List'!$D$3:$M$3,0))</f>
        <v>0.1044225</v>
      </c>
      <c r="O43" s="17">
        <f>INDEX('Unique Asset List'!$D$4:$M$60,MATCH($B43,'Unique Asset List'!$A$4:$A$60,0),MATCH(O$8,'Unique Asset List'!$D$3:$M$3,0))</f>
        <v>0.1044225</v>
      </c>
      <c r="P43" s="17">
        <f>INDEX('Unique Asset List'!$D$4:$M$60,MATCH($B43,'Unique Asset List'!$A$4:$A$60,0),MATCH(P$8,'Unique Asset List'!$D$3:$M$3,0))</f>
        <v>0.1044225</v>
      </c>
      <c r="Q43" s="17">
        <f>INDEX('Unique Asset List'!$D$4:$M$60,MATCH($B43,'Unique Asset List'!$A$4:$A$60,0),MATCH(Q$8,'Unique Asset List'!$D$3:$M$3,0))</f>
        <v>0.1044225</v>
      </c>
      <c r="R43" s="17">
        <f>INDEX('Unique Asset List'!$D$4:$M$60,MATCH($B43,'Unique Asset List'!$A$4:$A$60,0),MATCH(R$8,'Unique Asset List'!$D$3:$M$3,0))</f>
        <v>0.1044225</v>
      </c>
      <c r="S43" s="17">
        <f>INDEX('Unique Asset List'!$D$4:$M$60,MATCH($B43,'Unique Asset List'!$A$4:$A$60,0),MATCH(S$8,'Unique Asset List'!$D$3:$M$3,0))</f>
        <v>0</v>
      </c>
      <c r="T43" s="9" t="s">
        <v>21</v>
      </c>
      <c r="U43" s="17">
        <f t="shared" si="1"/>
        <v>0.90168566420734264</v>
      </c>
      <c r="V43" s="17">
        <v>1</v>
      </c>
      <c r="W43" s="9" t="s">
        <v>20</v>
      </c>
      <c r="X43" s="9">
        <f>INDEX('Unique Asset List'!$Y$4:$AE$60,MATCH('5'!$B43,'Unique Asset List'!$A$4:$A$60,0),MATCH('5'!$C$1,'Unique Asset List'!$Y$3:$AE$3,0))</f>
        <v>2032</v>
      </c>
      <c r="Y43" s="9">
        <f>INDEX('Unique Asset List'!$AF$4:$AL$60,MATCH('5'!$B43,'Unique Asset List'!$A$4:$A$60,0),MATCH('5'!$C$1,'Unique Asset List'!$AF$3:$AL$3,0))</f>
        <v>3.9999999999990905</v>
      </c>
      <c r="Z43" s="9">
        <f>INDEX('Unique Asset List'!$AT$4:$AZ$60,MATCH('5'!$B43,'Unique Asset List'!$A$4:$A$60,0),MATCH('5'!$C$1,'Unique Asset List'!$AT$3:$AZ$3,0))</f>
        <v>2041</v>
      </c>
      <c r="AA43" s="9">
        <f>INDEX('Unique Asset List'!$BA$4:$BG$60,MATCH('5'!$B43,'Unique Asset List'!$A$4:$A$60,0),MATCH('5'!$C$1,'Unique Asset List'!$BA$3:$BG$3,0))</f>
        <v>3</v>
      </c>
      <c r="AB43" s="16">
        <f>AB25</f>
        <v>1.6822346000000001</v>
      </c>
      <c r="AC43" s="16">
        <f>AC25</f>
        <v>0.91486990000000001</v>
      </c>
      <c r="AD43" s="16">
        <f>AD25</f>
        <v>0.56099999999999994</v>
      </c>
      <c r="AE43" s="15">
        <f>INDEX('Unique Asset List'!$CJ$4:$CP$60,MATCH('5'!$B43,'Unique Asset List'!$A$4:$A$60,0),MATCH('5'!$C$1,'Unique Asset List'!$CJ$3:$CP$3,0))</f>
        <v>0.08</v>
      </c>
      <c r="AF43" s="15">
        <f>INDEX('Unique Asset List'!$CQ$4:$CW$60,MATCH('5'!$B43,'Unique Asset List'!$A$4:$A$60,0),MATCH('5'!$C$1,'Unique Asset List'!$CQ$3:$CW$3,0))</f>
        <v>0.42</v>
      </c>
      <c r="AG43" s="15">
        <f>INDEX('Unique Asset List'!$BV$4:$CB$60,MATCH('5'!$B43,'Unique Asset List'!$A$4:$A$60,0),MATCH('5'!$C$1,'Unique Asset List'!$BV$3:$CB$3,0))</f>
        <v>0.08</v>
      </c>
      <c r="AH43" s="15">
        <f>INDEX('Unique Asset List'!$CC$4:$CI$60,MATCH('5'!$B43,'Unique Asset List'!$A$4:$A$60,0),MATCH('5'!$C$1,'Unique Asset List'!$CC$3:$CI$3,0))</f>
        <v>0.42</v>
      </c>
      <c r="AI43" s="11">
        <v>0.96187963349867744</v>
      </c>
      <c r="AJ43" s="15">
        <f>INDEX('Unique Asset List'!$BH$4:$BN$60,MATCH('5'!$B43,'Unique Asset List'!$A$4:$A$60,0),MATCH('5'!$C$1,'Unique Asset List'!$BH$3:$BN$3,0))</f>
        <v>1.2944496352201866</v>
      </c>
      <c r="AK43" s="15">
        <f>INDEX('Unique Asset List'!$BO$4:$BU$60,MATCH('5'!$B43,'Unique Asset List'!$A$4:$A$60,0),MATCH('5'!$C$1,'Unique Asset List'!$BO$3:$BU$3,0))</f>
        <v>-1.4425350046709582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1"/>
        <v>0.82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1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0</v>
      </c>
      <c r="BD43" s="4">
        <f>IF($C$5="ON",CD43,MyRating(_E1,$B43,Efficacy!$F$1))</f>
        <v>0</v>
      </c>
      <c r="BE43" s="3">
        <f>IF($C$5="ON",CE43,MyRating(_E2,$B43,Efficacy!$F$1))</f>
        <v>0</v>
      </c>
      <c r="BF43" s="3">
        <f>IF($C$5="ON",CF43,MyRating(_E3,$B43,Efficacy!$F$1))</f>
        <v>0</v>
      </c>
      <c r="BG43" s="3">
        <f>IF($C$5="ON",CG43,MyRating(_E4,$B43,Efficacy!$F$1))</f>
        <v>0</v>
      </c>
      <c r="BH43" s="3">
        <f>IF($C$5="ON",CH43,MyRating(_E5,$B43,Efficacy!$F$1))</f>
        <v>0</v>
      </c>
      <c r="BI43" s="3">
        <f>IF($C$5="ON",CI43,MyRating(_E6,$B43,Efficacy!$F$1))</f>
        <v>0</v>
      </c>
      <c r="BJ43" s="3">
        <f>IF($C$5="ON",CJ43,MyRating(_E7,$B43,Efficacy!$F$1))</f>
        <v>0</v>
      </c>
      <c r="BK43" s="3">
        <f>IF($C$5="ON",CK43,MyRating(_E8,$B43,Efficacy!$F$1))</f>
        <v>0</v>
      </c>
      <c r="BL43" s="3">
        <f>IF($C$5="ON",CL43,MyRating(_S1,$B43,Efficacy!$F$1))</f>
        <v>0</v>
      </c>
      <c r="BM43" s="3">
        <f>IF($C$5="ON",CM43,MyRating(_S2,$B43,Efficacy!$F$1))</f>
        <v>0</v>
      </c>
      <c r="BN43" s="3">
        <f>IF($C$5="ON",CN43,MyRating(_S3,$B43,Efficacy!$F$1))</f>
        <v>0</v>
      </c>
      <c r="BO43" s="3">
        <f>IF($C$5="ON",CO43,MyRating(_S4,$B43,Efficacy!$F$1))</f>
        <v>0</v>
      </c>
      <c r="BP43" s="3">
        <f>IF($C$5="ON",CP43,MyRating(_S5,$B43,Efficacy!$F$1))</f>
        <v>0</v>
      </c>
      <c r="BQ43" s="3">
        <f>IF($C$5="ON",CQ43,MyRating(_S6,$B43,Efficacy!$F$1))</f>
        <v>0</v>
      </c>
      <c r="BR43" s="3">
        <f>IF($C$5="ON",CR43,MyRating(_S7,$B43,Efficacy!$F$1))</f>
        <v>0</v>
      </c>
      <c r="BS43" s="3">
        <f>IF($C$5="ON",CS43,MyRating(_D1,$B43,Efficacy!$F$1))</f>
        <v>0</v>
      </c>
      <c r="BT43" s="3">
        <f>IF($C$5="ON",CT43,MyRating(_D2,$B43,Efficacy!$F$1))</f>
        <v>0</v>
      </c>
      <c r="BU43" s="3">
        <f>IF($C$5="ON",CU43,MyRating(_D3,$B43,Efficacy!$F$1))</f>
        <v>0</v>
      </c>
      <c r="BV43" s="3">
        <f>IF($C$5="ON",CV43,MyRating(_D4,$B43,Efficacy!$F$1))</f>
        <v>0</v>
      </c>
      <c r="BW43" s="3">
        <f>IF($C$5="ON",CW43,MyRating(_B1G5,$B43,Barrier!$L$2))</f>
        <v>2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9"/>
        <v>3.3407946312985805E-2</v>
      </c>
      <c r="CA43" s="8">
        <f t="shared" si="12"/>
        <v>2.8000000000000003</v>
      </c>
      <c r="CB43" s="5">
        <f t="shared" si="13"/>
        <v>3.2941176470588251E-2</v>
      </c>
      <c r="CC43" s="7">
        <f t="shared" si="14"/>
        <v>5.9787261089987885E-3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>
        <v>0</v>
      </c>
    </row>
    <row r="44" spans="1:104" x14ac:dyDescent="0.25">
      <c r="A44" s="9" t="str">
        <f t="shared" si="10"/>
        <v>ES</v>
      </c>
      <c r="B44" s="9" t="s">
        <v>19</v>
      </c>
      <c r="C44" s="20"/>
      <c r="D44" s="9" t="s">
        <v>18</v>
      </c>
      <c r="E44" s="9" t="s">
        <v>186</v>
      </c>
      <c r="F44" s="9" t="str">
        <f>INDEX('Unique Asset List'!$C$4:$C$60,MATCH(B44,_CompoundList,0))</f>
        <v>PCD</v>
      </c>
      <c r="G44" s="19">
        <v>0</v>
      </c>
      <c r="H44" s="9">
        <v>2014</v>
      </c>
      <c r="I44" s="9">
        <v>6</v>
      </c>
      <c r="J44" s="18">
        <f>INDEX(PTRS!$D$6:$D$12,MATCH('5'!$F44,PTRS!$B$6:$B$12,0))</f>
        <v>0.1044225</v>
      </c>
      <c r="K44" s="17">
        <f>K23</f>
        <v>0</v>
      </c>
      <c r="L44" s="17">
        <f>L23</f>
        <v>0</v>
      </c>
      <c r="M44" s="17">
        <v>0.1044225</v>
      </c>
      <c r="N44" s="17">
        <f>N23</f>
        <v>0.13923000000000002</v>
      </c>
      <c r="O44" s="17">
        <f>INDEX('Unique Asset List'!$D$4:$M$60,MATCH($B44,'Unique Asset List'!$A$4:$A$60,0),MATCH(O$8,'Unique Asset List'!$D$3:$M$3,0))</f>
        <v>0.1044225</v>
      </c>
      <c r="P44" s="17">
        <f>INDEX('Unique Asset List'!$D$4:$M$60,MATCH($B44,'Unique Asset List'!$A$4:$A$60,0),MATCH(P$8,'Unique Asset List'!$D$3:$M$3,0))</f>
        <v>0.1044225</v>
      </c>
      <c r="Q44" s="17">
        <f>INDEX('Unique Asset List'!$D$4:$M$60,MATCH($B44,'Unique Asset List'!$A$4:$A$60,0),MATCH(Q$8,'Unique Asset List'!$D$3:$M$3,0))</f>
        <v>0.1044225</v>
      </c>
      <c r="R44" s="17">
        <f>INDEX('Unique Asset List'!$D$4:$M$60,MATCH($B44,'Unique Asset List'!$A$4:$A$60,0),MATCH(R$8,'Unique Asset List'!$D$3:$M$3,0))</f>
        <v>0.1044225</v>
      </c>
      <c r="S44" s="17">
        <f>S23</f>
        <v>0</v>
      </c>
      <c r="T44" s="9" t="s">
        <v>17</v>
      </c>
      <c r="U44" s="17">
        <f t="shared" si="1"/>
        <v>0.90168566420734264</v>
      </c>
      <c r="V44" s="17">
        <v>1</v>
      </c>
      <c r="W44" s="9" t="s">
        <v>16</v>
      </c>
      <c r="X44" s="9">
        <f>INDEX('Unique Asset List'!$Y$4:$AE$60,MATCH('5'!$B44,'Unique Asset List'!$A$4:$A$60,0),MATCH('5'!$C$1,'Unique Asset List'!$Y$3:$AE$3,0))</f>
        <v>2031</v>
      </c>
      <c r="Y44" s="9">
        <f>INDEX('Unique Asset List'!$AF$4:$AL$60,MATCH('5'!$B44,'Unique Asset List'!$A$4:$A$60,0),MATCH('5'!$C$1,'Unique Asset List'!$AF$3:$AL$3,0))</f>
        <v>9</v>
      </c>
      <c r="Z44" s="9">
        <f>INDEX('Unique Asset List'!$AT$4:$AZ$60,MATCH('5'!$B44,'Unique Asset List'!$A$4:$A$60,0),MATCH('5'!$C$1,'Unique Asset List'!$AT$3:$AZ$3,0))</f>
        <v>2040</v>
      </c>
      <c r="AA44" s="9">
        <f>INDEX('Unique Asset List'!$BA$4:$BG$60,MATCH('5'!$B44,'Unique Asset List'!$A$4:$A$60,0),MATCH('5'!$C$1,'Unique Asset List'!$BA$3:$BG$3,0))</f>
        <v>8</v>
      </c>
      <c r="AB44" s="16">
        <f>AB24</f>
        <v>1.8562298000000002</v>
      </c>
      <c r="AC44" s="16">
        <f>AC24</f>
        <v>0.97947730000000011</v>
      </c>
      <c r="AD44" s="16">
        <f>AD24</f>
        <v>0.56099999999999994</v>
      </c>
      <c r="AE44" s="15">
        <f>INDEX('Unique Asset List'!$CJ$4:$CP$60,MATCH('5'!$B44,'Unique Asset List'!$A$4:$A$60,0),MATCH('5'!$C$1,'Unique Asset List'!$CJ$3:$CP$3,0))</f>
        <v>0.08</v>
      </c>
      <c r="AF44" s="15">
        <f>INDEX('Unique Asset List'!$CQ$4:$CW$60,MATCH('5'!$B44,'Unique Asset List'!$A$4:$A$60,0),MATCH('5'!$C$1,'Unique Asset List'!$CQ$3:$CW$3,0))</f>
        <v>0.42</v>
      </c>
      <c r="AG44" s="15">
        <f>INDEX('Unique Asset List'!$BV$4:$CB$60,MATCH('5'!$B44,'Unique Asset List'!$A$4:$A$60,0),MATCH('5'!$C$1,'Unique Asset List'!$BV$3:$CB$3,0))</f>
        <v>0.08</v>
      </c>
      <c r="AH44" s="15">
        <f>INDEX('Unique Asset List'!$CC$4:$CI$60,MATCH('5'!$B44,'Unique Asset List'!$A$4:$A$60,0),MATCH('5'!$C$1,'Unique Asset List'!$CC$3:$CI$3,0))</f>
        <v>0.42</v>
      </c>
      <c r="AI44" s="11">
        <v>0.96187963349867744</v>
      </c>
      <c r="AJ44" s="15">
        <f>INDEX('Unique Asset List'!$BH$4:$BN$60,MATCH('5'!$B44,'Unique Asset List'!$A$4:$A$60,0),MATCH('5'!$C$1,'Unique Asset List'!$BH$3:$BN$3,0))</f>
        <v>1.2944496352201866</v>
      </c>
      <c r="AK44" s="15">
        <f>INDEX('Unique Asset List'!$BO$4:$BU$60,MATCH('5'!$B44,'Unique Asset List'!$A$4:$A$60,0),MATCH('5'!$C$1,'Unique Asset List'!$BO$3:$BU$3,0))</f>
        <v>-1.4425350046709582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1"/>
        <v>0.82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0</v>
      </c>
      <c r="AY44" s="181">
        <f ca="1">INDEX('Unique Asset List'!S$4:S$60,MATCH($B44,_CompoundList,0))</f>
        <v>1</v>
      </c>
      <c r="AZ44" s="181">
        <f ca="1">INDEX('Unique Asset List'!T$4:T$60,MATCH($B44,_CompoundList,0))</f>
        <v>0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1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IF($C$5="ON",CL44,MyRating(_S1,$B44,Efficacy!$F$1))</f>
        <v>0</v>
      </c>
      <c r="BM44" s="3">
        <f>IF($C$5="ON",CM44,MyRating(_S2,$B44,Efficacy!$F$1))</f>
        <v>0</v>
      </c>
      <c r="BN44" s="3">
        <f>IF($C$5="ON",CN44,MyRating(_S3,$B44,Efficacy!$F$1))</f>
        <v>0</v>
      </c>
      <c r="BO44" s="3">
        <f>IF($C$5="ON",CO44,MyRating(_S4,$B44,Efficacy!$F$1))</f>
        <v>0</v>
      </c>
      <c r="BP44" s="3">
        <f>IF($C$5="ON",CP44,MyRating(_S5,$B44,Efficacy!$F$1))</f>
        <v>0</v>
      </c>
      <c r="BQ44" s="3">
        <f>IF($C$5="ON",CQ44,MyRating(_S6,$B44,Efficacy!$F$1))</f>
        <v>0</v>
      </c>
      <c r="BR44" s="3">
        <f>IF($C$5="ON",CR44,MyRating(_S7,$B44,Efficacy!$F$1))</f>
        <v>0</v>
      </c>
      <c r="BS44" s="3">
        <f>IF($C$5="ON",CS44,MyRating(_D1,$B44,Efficacy!$F$1))</f>
        <v>0</v>
      </c>
      <c r="BT44" s="3">
        <f>IF($C$5="ON",CT44,MyRating(_D2,$B44,Efficacy!$F$1))</f>
        <v>0</v>
      </c>
      <c r="BU44" s="3">
        <f>IF($C$5="ON",CU44,MyRating(_D3,$B44,Efficacy!$F$1))</f>
        <v>0</v>
      </c>
      <c r="BV44" s="3">
        <f>IF($C$5="ON",CV44,MyRating(_D4,$B44,Efficacy!$F$1))</f>
        <v>0</v>
      </c>
      <c r="BW44" s="3">
        <f>IF($C$5="ON",CW44,MyRating(_B1G5,$B44,Barrier!$L$2))</f>
        <v>2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9"/>
        <v>3.3407946312985805E-2</v>
      </c>
      <c r="CA44" s="8">
        <f t="shared" si="12"/>
        <v>2.8000000000000003</v>
      </c>
      <c r="CB44" s="5">
        <f t="shared" si="13"/>
        <v>3.2941176470588251E-2</v>
      </c>
      <c r="CC44" s="7">
        <f t="shared" si="14"/>
        <v>5.9787261089987885E-3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>
        <v>0</v>
      </c>
    </row>
    <row r="45" spans="1:104" x14ac:dyDescent="0.25">
      <c r="A45" s="9" t="str">
        <f t="shared" si="10"/>
        <v>ES</v>
      </c>
      <c r="B45" s="9" t="s">
        <v>13</v>
      </c>
      <c r="C45" s="20"/>
      <c r="D45" s="9" t="s">
        <v>2</v>
      </c>
      <c r="E45" s="9" t="s">
        <v>186</v>
      </c>
      <c r="F45" s="9" t="str">
        <f>INDEX('Unique Asset List'!$C$4:$C$60,MATCH(B45,_CompoundList,0))</f>
        <v>PCD</v>
      </c>
      <c r="G45" s="19">
        <v>0</v>
      </c>
      <c r="H45" s="9">
        <v>2014</v>
      </c>
      <c r="I45" s="9">
        <v>6</v>
      </c>
      <c r="J45" s="18">
        <f>INDEX(PTRS!$D$6:$D$12,MATCH('5'!$F45,PTRS!$B$6:$B$12,0))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v>0.1044225</v>
      </c>
      <c r="N45" s="17">
        <f>INDEX('Unique Asset List'!$D$4:$M$60,MATCH($B45,'Unique Asset List'!$A$4:$A$60,0),MATCH(N$8,'Unique Asset List'!$D$3:$M$3,0))</f>
        <v>1</v>
      </c>
      <c r="O45" s="17">
        <f>INDEX('Unique Asset List'!$D$4:$M$60,MATCH($B45,'Unique Asset List'!$A$4:$A$60,0),MATCH(O$8,'Unique Asset List'!$D$3:$M$3,0))</f>
        <v>1</v>
      </c>
      <c r="P45" s="17">
        <f>INDEX('Unique Asset List'!$D$4:$M$60,MATCH($B45,'Unique Asset List'!$A$4:$A$60,0),MATCH(P$8,'Unique Asset List'!$D$3:$M$3,0))</f>
        <v>1</v>
      </c>
      <c r="Q45" s="17">
        <f>INDEX('Unique Asset List'!$D$4:$M$60,MATCH($B45,'Unique Asset List'!$A$4:$A$60,0),MATCH(Q$8,'Unique Asset List'!$D$3:$M$3,0))</f>
        <v>1</v>
      </c>
      <c r="R45" s="17">
        <f>INDEX('Unique Asset List'!$D$4:$M$60,MATCH($B45,'Unique Asset List'!$A$4:$A$60,0),MATCH(R$8,'Unique Asset List'!$D$3:$M$3,0))</f>
        <v>1</v>
      </c>
      <c r="S45" s="17">
        <f>INDEX('Unique Asset List'!$D$4:$M$60,MATCH($B45,'Unique Asset List'!$A$4:$A$60,0),MATCH(S$8,'Unique Asset List'!$D$3:$M$3,0))</f>
        <v>1</v>
      </c>
      <c r="T45" s="17"/>
      <c r="U45" s="17">
        <f t="shared" si="1"/>
        <v>0.90168566420734264</v>
      </c>
      <c r="V45" s="17">
        <v>1</v>
      </c>
      <c r="W45" s="9" t="s">
        <v>13</v>
      </c>
      <c r="X45" s="9">
        <f>INDEX('Unique Asset List'!$Y$4:$AE$60,MATCH('5'!$B45,'Unique Asset List'!$A$4:$A$60,0),MATCH('5'!$C$1,'Unique Asset List'!$Y$3:$AE$3,0))</f>
        <v>2031</v>
      </c>
      <c r="Y45" s="9">
        <f>INDEX('Unique Asset List'!$AF$4:$AL$60,MATCH('5'!$B45,'Unique Asset List'!$A$4:$A$60,0),MATCH('5'!$C$1,'Unique Asset List'!$AF$3:$AL$3,0))</f>
        <v>6.9999999999990905</v>
      </c>
      <c r="Z45" s="9">
        <f>INDEX('Unique Asset List'!$AT$4:$AZ$60,MATCH('5'!$B45,'Unique Asset List'!$A$4:$A$60,0),MATCH('5'!$C$1,'Unique Asset List'!$AT$3:$AZ$3,0))</f>
        <v>2042</v>
      </c>
      <c r="AA45" s="9">
        <f>INDEX('Unique Asset List'!$BA$4:$BG$60,MATCH('5'!$B45,'Unique Asset List'!$A$4:$A$60,0),MATCH('5'!$C$1,'Unique Asset List'!$BA$3:$BG$3,0))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List'!$CJ$4:$CP$60,MATCH('5'!$B45,'Unique Asset List'!$A$4:$A$60,0),MATCH('5'!$C$1,'Unique Asset List'!$CJ$3:$CP$3,0))</f>
        <v>0.08</v>
      </c>
      <c r="AF45" s="15">
        <f>INDEX('Unique Asset List'!$CQ$4:$CW$60,MATCH('5'!$B45,'Unique Asset List'!$A$4:$A$60,0),MATCH('5'!$C$1,'Unique Asset List'!$CQ$3:$CW$3,0))</f>
        <v>0.42</v>
      </c>
      <c r="AG45" s="15">
        <f>INDEX('Unique Asset List'!$BV$4:$CB$60,MATCH('5'!$B45,'Unique Asset List'!$A$4:$A$60,0),MATCH('5'!$C$1,'Unique Asset List'!$BV$3:$CB$3,0))</f>
        <v>0.08</v>
      </c>
      <c r="AH45" s="15">
        <f>INDEX('Unique Asset List'!$CC$4:$CI$60,MATCH('5'!$B45,'Unique Asset List'!$A$4:$A$60,0),MATCH('5'!$C$1,'Unique Asset List'!$CC$3:$CI$3,0))</f>
        <v>0.42</v>
      </c>
      <c r="AI45" s="11">
        <v>0.96187963349867744</v>
      </c>
      <c r="AJ45" s="15">
        <f>INDEX('Unique Asset List'!$BH$4:$BN$60,MATCH('5'!$B45,'Unique Asset List'!$A$4:$A$60,0),MATCH('5'!$C$1,'Unique Asset List'!$BH$3:$BN$3,0))</f>
        <v>1.2944496352201866</v>
      </c>
      <c r="AK45" s="15">
        <f>INDEX('Unique Asset List'!$BO$4:$BU$60,MATCH('5'!$B45,'Unique Asset List'!$A$4:$A$60,0),MATCH('5'!$C$1,'Unique Asset List'!$BO$3:$BU$3,0))</f>
        <v>-1.4425350046709582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1"/>
        <v>0.82</v>
      </c>
      <c r="AS45" s="10">
        <v>1</v>
      </c>
      <c r="AT45" s="181">
        <f>INDEX('Unique Asset List'!N$4:N$60,MATCH($B45,_CompoundList,0))</f>
        <v>1</v>
      </c>
      <c r="AU45" s="181">
        <f>INDEX('Unique Asset List'!O$4:O$60,MATCH($B45,_CompoundList,0))</f>
        <v>1</v>
      </c>
      <c r="AV45" s="181">
        <f>INDEX('Unique Asset List'!P$4:P$60,MATCH($B45,_CompoundList,0))</f>
        <v>1</v>
      </c>
      <c r="AW45" s="181">
        <f>INDEX('Unique Asset List'!Q$4:Q$60,MATCH($B45,_CompoundList,0))</f>
        <v>1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1</v>
      </c>
      <c r="BA45" s="181">
        <f ca="1">INDEX('Unique Asset List'!U$4:U$60,MATCH($B45,_CompoundList,0))</f>
        <v>1</v>
      </c>
      <c r="BB45" s="181">
        <f ca="1">INDEX('Unique Asset List'!V$4:V$60,MATCH($B45,_CompoundList,0))</f>
        <v>1</v>
      </c>
      <c r="BC45" s="181">
        <f ca="1">INDEX('Unique Asset List'!W$4:W$60,MATCH($B45,_CompoundList,0))</f>
        <v>1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IF($C$5="ON",CL45,MyRating(_S1,$B45,Efficacy!$F$1))</f>
        <v>0</v>
      </c>
      <c r="BM45" s="3">
        <f>IF($C$5="ON",CM45,MyRating(_S2,$B45,Efficacy!$F$1))</f>
        <v>0</v>
      </c>
      <c r="BN45" s="3">
        <f>IF($C$5="ON",CN45,MyRating(_S3,$B45,Efficacy!$F$1))</f>
        <v>0</v>
      </c>
      <c r="BO45" s="3">
        <f>IF($C$5="ON",CO45,MyRating(_S4,$B45,Efficacy!$F$1))</f>
        <v>0</v>
      </c>
      <c r="BP45" s="3">
        <f>IF($C$5="ON",CP45,MyRating(_S5,$B45,Efficacy!$F$1))</f>
        <v>0</v>
      </c>
      <c r="BQ45" s="3">
        <f>IF($C$5="ON",CQ45,MyRating(_S6,$B45,Efficacy!$F$1))</f>
        <v>0</v>
      </c>
      <c r="BR45" s="3">
        <f>IF($C$5="ON",CR45,MyRating(_S7,$B45,Efficacy!$F$1))</f>
        <v>0</v>
      </c>
      <c r="BS45" s="3">
        <f>IF($C$5="ON",CS45,MyRating(_D1,$B45,Efficacy!$F$1))</f>
        <v>0</v>
      </c>
      <c r="BT45" s="3">
        <f>IF($C$5="ON",CT45,MyRating(_D2,$B45,Efficacy!$F$1))</f>
        <v>0</v>
      </c>
      <c r="BU45" s="3">
        <f>IF($C$5="ON",CU45,MyRating(_D3,$B45,Efficacy!$F$1))</f>
        <v>0</v>
      </c>
      <c r="BV45" s="3">
        <f>IF($C$5="ON",CV45,MyRating(_D4,$B45,Efficacy!$F$1))</f>
        <v>0</v>
      </c>
      <c r="BW45" s="3">
        <f>IF($C$5="ON",CW45,MyRating(_B1G5,$B45,Barrier!$L$2))</f>
        <v>2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9"/>
        <v>3.3407946312985805E-2</v>
      </c>
      <c r="CA45" s="8">
        <f t="shared" si="12"/>
        <v>2.8000000000000003</v>
      </c>
      <c r="CB45" s="5">
        <f t="shared" si="13"/>
        <v>3.2941176470588251E-2</v>
      </c>
      <c r="CC45" s="7">
        <f t="shared" si="14"/>
        <v>5.9787261089987885E-3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>
        <v>0</v>
      </c>
    </row>
    <row r="46" spans="1:104" x14ac:dyDescent="0.25">
      <c r="A46" s="9" t="str">
        <f t="shared" si="10"/>
        <v>ES</v>
      </c>
      <c r="B46" s="9" t="s">
        <v>10</v>
      </c>
      <c r="C46" s="20"/>
      <c r="D46" s="9" t="s">
        <v>2</v>
      </c>
      <c r="E46" s="9" t="s">
        <v>186</v>
      </c>
      <c r="F46" s="9" t="str">
        <f>INDEX('Unique Asset List'!$C$4:$C$60,MATCH(B46,_CompoundList,0))</f>
        <v>PCD</v>
      </c>
      <c r="G46" s="19">
        <v>0</v>
      </c>
      <c r="H46" s="9">
        <v>2014</v>
      </c>
      <c r="I46" s="9">
        <v>6</v>
      </c>
      <c r="J46" s="18">
        <f>INDEX(PTRS!$D$6:$D$12,MATCH('5'!$F46,PTRS!$B$6:$B$12,0))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v>0.1044225</v>
      </c>
      <c r="N46" s="17">
        <f>INDEX('Unique Asset List'!$D$4:$M$60,MATCH($B46,'Unique Asset List'!$A$4:$A$60,0),MATCH(N$8,'Unique Asset List'!$D$3:$M$3,0))</f>
        <v>1</v>
      </c>
      <c r="O46" s="17">
        <f>INDEX('Unique Asset List'!$D$4:$M$60,MATCH($B46,'Unique Asset List'!$A$4:$A$60,0),MATCH(O$8,'Unique Asset List'!$D$3:$M$3,0))</f>
        <v>1</v>
      </c>
      <c r="P46" s="17">
        <f>INDEX('Unique Asset List'!$D$4:$M$60,MATCH($B46,'Unique Asset List'!$A$4:$A$60,0),MATCH(P$8,'Unique Asset List'!$D$3:$M$3,0))</f>
        <v>1</v>
      </c>
      <c r="Q46" s="17">
        <f>INDEX('Unique Asset List'!$D$4:$M$60,MATCH($B46,'Unique Asset List'!$A$4:$A$60,0),MATCH(Q$8,'Unique Asset List'!$D$3:$M$3,0))</f>
        <v>1</v>
      </c>
      <c r="R46" s="17">
        <f>INDEX('Unique Asset List'!$D$4:$M$60,MATCH($B46,'Unique Asset List'!$A$4:$A$60,0),MATCH(R$8,'Unique Asset List'!$D$3:$M$3,0))</f>
        <v>1</v>
      </c>
      <c r="S46" s="17">
        <f>INDEX('Unique Asset List'!$D$4:$M$60,MATCH($B46,'Unique Asset List'!$A$4:$A$60,0),MATCH(S$8,'Unique Asset List'!$D$3:$M$3,0))</f>
        <v>1</v>
      </c>
      <c r="T46" s="17"/>
      <c r="U46" s="17">
        <f t="shared" si="1"/>
        <v>0.90168566420734264</v>
      </c>
      <c r="V46" s="17">
        <v>1</v>
      </c>
      <c r="W46" s="9" t="s">
        <v>10</v>
      </c>
      <c r="X46" s="9">
        <f>INDEX('Unique Asset List'!$Y$4:$AE$60,MATCH('5'!$B46,'Unique Asset List'!$A$4:$A$60,0),MATCH('5'!$C$1,'Unique Asset List'!$Y$3:$AE$3,0))</f>
        <v>2035</v>
      </c>
      <c r="Y46" s="9">
        <f>INDEX('Unique Asset List'!$AF$4:$AL$60,MATCH('5'!$B46,'Unique Asset List'!$A$4:$A$60,0),MATCH('5'!$C$1,'Unique Asset List'!$AF$3:$AL$3,0))</f>
        <v>6.9999999999990905</v>
      </c>
      <c r="Z46" s="9">
        <f>INDEX('Unique Asset List'!$AT$4:$AZ$60,MATCH('5'!$B46,'Unique Asset List'!$A$4:$A$60,0),MATCH('5'!$C$1,'Unique Asset List'!$AT$3:$AZ$3,0))</f>
        <v>2046</v>
      </c>
      <c r="AA46" s="9">
        <f>INDEX('Unique Asset List'!$BA$4:$BG$60,MATCH('5'!$B46,'Unique Asset List'!$A$4:$A$60,0),MATCH('5'!$C$1,'Unique Asset List'!$BA$3:$BG$3,0))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List'!$CJ$4:$CP$60,MATCH('5'!$B46,'Unique Asset List'!$A$4:$A$60,0),MATCH('5'!$C$1,'Unique Asset List'!$CJ$3:$CP$3,0))</f>
        <v>0.08</v>
      </c>
      <c r="AF46" s="15">
        <f>INDEX('Unique Asset List'!$CQ$4:$CW$60,MATCH('5'!$B46,'Unique Asset List'!$A$4:$A$60,0),MATCH('5'!$C$1,'Unique Asset List'!$CQ$3:$CW$3,0))</f>
        <v>0.42</v>
      </c>
      <c r="AG46" s="15">
        <f>INDEX('Unique Asset List'!$BV$4:$CB$60,MATCH('5'!$B46,'Unique Asset List'!$A$4:$A$60,0),MATCH('5'!$C$1,'Unique Asset List'!$BV$3:$CB$3,0))</f>
        <v>0.08</v>
      </c>
      <c r="AH46" s="15">
        <f>INDEX('Unique Asset List'!$CC$4:$CI$60,MATCH('5'!$B46,'Unique Asset List'!$A$4:$A$60,0),MATCH('5'!$C$1,'Unique Asset List'!$CC$3:$CI$3,0))</f>
        <v>0.42</v>
      </c>
      <c r="AI46" s="11">
        <v>0.96187963349867744</v>
      </c>
      <c r="AJ46" s="15">
        <f>INDEX('Unique Asset List'!$BH$4:$BN$60,MATCH('5'!$B46,'Unique Asset List'!$A$4:$A$60,0),MATCH('5'!$C$1,'Unique Asset List'!$BH$3:$BN$3,0))</f>
        <v>1.2944496352201866</v>
      </c>
      <c r="AK46" s="15">
        <f>INDEX('Unique Asset List'!$BO$4:$BU$60,MATCH('5'!$B46,'Unique Asset List'!$A$4:$A$60,0),MATCH('5'!$C$1,'Unique Asset List'!$BO$3:$BU$3,0))</f>
        <v>-1.4425350046709582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1"/>
        <v>0.82</v>
      </c>
      <c r="AS46" s="10">
        <v>1</v>
      </c>
      <c r="AT46" s="181">
        <f>INDEX('Unique Asset List'!N$4:N$60,MATCH($B46,_CompoundList,0))</f>
        <v>1</v>
      </c>
      <c r="AU46" s="181">
        <f>INDEX('Unique Asset List'!O$4:O$60,MATCH($B46,_CompoundList,0))</f>
        <v>1</v>
      </c>
      <c r="AV46" s="181">
        <f>INDEX('Unique Asset List'!P$4:P$60,MATCH($B46,_CompoundList,0))</f>
        <v>1</v>
      </c>
      <c r="AW46" s="181">
        <f>INDEX('Unique Asset List'!Q$4:Q$60,MATCH($B46,_CompoundList,0))</f>
        <v>1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1</v>
      </c>
      <c r="BB46" s="181">
        <f ca="1">INDEX('Unique Asset List'!V$4:V$60,MATCH($B46,_CompoundList,0))</f>
        <v>1</v>
      </c>
      <c r="BC46" s="181">
        <f ca="1">INDEX('Unique Asset List'!W$4:W$60,MATCH($B46,_CompoundList,0))</f>
        <v>1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IF($C$5="ON",CL46,MyRating(_S1,$B46,Efficacy!$F$1))</f>
        <v>0</v>
      </c>
      <c r="BM46" s="3">
        <f>IF($C$5="ON",CM46,MyRating(_S2,$B46,Efficacy!$F$1))</f>
        <v>0</v>
      </c>
      <c r="BN46" s="3">
        <f>IF($C$5="ON",CN46,MyRating(_S3,$B46,Efficacy!$F$1))</f>
        <v>0</v>
      </c>
      <c r="BO46" s="3">
        <f>IF($C$5="ON",CO46,MyRating(_S4,$B46,Efficacy!$F$1))</f>
        <v>0</v>
      </c>
      <c r="BP46" s="3">
        <f>IF($C$5="ON",CP46,MyRating(_S5,$B46,Efficacy!$F$1))</f>
        <v>0</v>
      </c>
      <c r="BQ46" s="3">
        <f>IF($C$5="ON",CQ46,MyRating(_S6,$B46,Efficacy!$F$1))</f>
        <v>0</v>
      </c>
      <c r="BR46" s="3">
        <f>IF($C$5="ON",CR46,MyRating(_S7,$B46,Efficacy!$F$1))</f>
        <v>0</v>
      </c>
      <c r="BS46" s="3">
        <f>IF($C$5="ON",CS46,MyRating(_D1,$B46,Efficacy!$F$1))</f>
        <v>0</v>
      </c>
      <c r="BT46" s="3">
        <f>IF($C$5="ON",CT46,MyRating(_D2,$B46,Efficacy!$F$1))</f>
        <v>0</v>
      </c>
      <c r="BU46" s="3">
        <f>IF($C$5="ON",CU46,MyRating(_D3,$B46,Efficacy!$F$1))</f>
        <v>0</v>
      </c>
      <c r="BV46" s="3">
        <f>IF($C$5="ON",CV46,MyRating(_D4,$B46,Efficacy!$F$1))</f>
        <v>0</v>
      </c>
      <c r="BW46" s="3">
        <f>IF($C$5="ON",CW46,MyRating(_B1G5,$B46,Barrier!$L$2))</f>
        <v>2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9"/>
        <v>3.3407946312985805E-2</v>
      </c>
      <c r="CA46" s="8">
        <f t="shared" si="12"/>
        <v>2.8000000000000003</v>
      </c>
      <c r="CB46" s="5">
        <f t="shared" si="13"/>
        <v>3.2941176470588251E-2</v>
      </c>
      <c r="CC46" s="7">
        <f t="shared" si="14"/>
        <v>5.9787261089987885E-3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>
        <v>0</v>
      </c>
    </row>
    <row r="47" spans="1:104" x14ac:dyDescent="0.25">
      <c r="A47" s="9" t="str">
        <f t="shared" si="10"/>
        <v>ES</v>
      </c>
      <c r="B47" s="9" t="s">
        <v>7</v>
      </c>
      <c r="C47" s="20"/>
      <c r="D47" s="9" t="s">
        <v>2</v>
      </c>
      <c r="E47" s="9" t="s">
        <v>186</v>
      </c>
      <c r="F47" s="9" t="str">
        <f>INDEX('Unique Asset List'!$C$4:$C$60,MATCH(B47,_CompoundList,0))</f>
        <v>PCD</v>
      </c>
      <c r="G47" s="19">
        <v>0</v>
      </c>
      <c r="H47" s="9">
        <v>2014</v>
      </c>
      <c r="I47" s="9">
        <v>6</v>
      </c>
      <c r="J47" s="18">
        <f>INDEX(PTRS!$D$6:$D$12,MATCH('5'!$F47,PTRS!$B$6:$B$12,0))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v>0.1044225</v>
      </c>
      <c r="N47" s="17">
        <f>INDEX('Unique Asset List'!$D$4:$M$60,MATCH($B47,'Unique Asset List'!$A$4:$A$60,0),MATCH(N$8,'Unique Asset List'!$D$3:$M$3,0))</f>
        <v>1</v>
      </c>
      <c r="O47" s="17">
        <f>INDEX('Unique Asset List'!$D$4:$M$60,MATCH($B47,'Unique Asset List'!$A$4:$A$60,0),MATCH(O$8,'Unique Asset List'!$D$3:$M$3,0))</f>
        <v>1</v>
      </c>
      <c r="P47" s="17">
        <f>INDEX('Unique Asset List'!$D$4:$M$60,MATCH($B47,'Unique Asset List'!$A$4:$A$60,0),MATCH(P$8,'Unique Asset List'!$D$3:$M$3,0))</f>
        <v>1</v>
      </c>
      <c r="Q47" s="17">
        <f>INDEX('Unique Asset List'!$D$4:$M$60,MATCH($B47,'Unique Asset List'!$A$4:$A$60,0),MATCH(Q$8,'Unique Asset List'!$D$3:$M$3,0))</f>
        <v>1</v>
      </c>
      <c r="R47" s="17">
        <f>INDEX('Unique Asset List'!$D$4:$M$60,MATCH($B47,'Unique Asset List'!$A$4:$A$60,0),MATCH(R$8,'Unique Asset List'!$D$3:$M$3,0))</f>
        <v>1</v>
      </c>
      <c r="S47" s="17">
        <f>INDEX('Unique Asset List'!$D$4:$M$60,MATCH($B47,'Unique Asset List'!$A$4:$A$60,0),MATCH(S$8,'Unique Asset List'!$D$3:$M$3,0))</f>
        <v>1</v>
      </c>
      <c r="T47" s="17"/>
      <c r="U47" s="17">
        <f t="shared" si="1"/>
        <v>0.90168566420734264</v>
      </c>
      <c r="V47" s="17">
        <v>1</v>
      </c>
      <c r="W47" s="9" t="s">
        <v>7</v>
      </c>
      <c r="X47" s="9">
        <f>INDEX('Unique Asset List'!$Y$4:$AE$60,MATCH('5'!$B47,'Unique Asset List'!$A$4:$A$60,0),MATCH('5'!$C$1,'Unique Asset List'!$Y$3:$AE$3,0))</f>
        <v>2039</v>
      </c>
      <c r="Y47" s="9">
        <f>INDEX('Unique Asset List'!$AF$4:$AL$60,MATCH('5'!$B47,'Unique Asset List'!$A$4:$A$60,0),MATCH('5'!$C$1,'Unique Asset List'!$AF$3:$AL$3,0))</f>
        <v>6.9999999999990905</v>
      </c>
      <c r="Z47" s="9">
        <f>INDEX('Unique Asset List'!$AT$4:$AZ$60,MATCH('5'!$B47,'Unique Asset List'!$A$4:$A$60,0),MATCH('5'!$C$1,'Unique Asset List'!$AT$3:$AZ$3,0))</f>
        <v>2050</v>
      </c>
      <c r="AA47" s="9">
        <f>INDEX('Unique Asset List'!$BA$4:$BG$60,MATCH('5'!$B47,'Unique Asset List'!$A$4:$A$60,0),MATCH('5'!$C$1,'Unique Asset List'!$BA$3:$BG$3,0))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List'!$CJ$4:$CP$60,MATCH('5'!$B47,'Unique Asset List'!$A$4:$A$60,0),MATCH('5'!$C$1,'Unique Asset List'!$CJ$3:$CP$3,0))</f>
        <v>0.08</v>
      </c>
      <c r="AF47" s="15">
        <f>INDEX('Unique Asset List'!$CQ$4:$CW$60,MATCH('5'!$B47,'Unique Asset List'!$A$4:$A$60,0),MATCH('5'!$C$1,'Unique Asset List'!$CQ$3:$CW$3,0))</f>
        <v>0.42</v>
      </c>
      <c r="AG47" s="15">
        <f>INDEX('Unique Asset List'!$BV$4:$CB$60,MATCH('5'!$B47,'Unique Asset List'!$A$4:$A$60,0),MATCH('5'!$C$1,'Unique Asset List'!$BV$3:$CB$3,0))</f>
        <v>0.08</v>
      </c>
      <c r="AH47" s="15">
        <f>INDEX('Unique Asset List'!$CC$4:$CI$60,MATCH('5'!$B47,'Unique Asset List'!$A$4:$A$60,0),MATCH('5'!$C$1,'Unique Asset List'!$CC$3:$CI$3,0))</f>
        <v>0.42</v>
      </c>
      <c r="AI47" s="11">
        <v>0.96187963349867744</v>
      </c>
      <c r="AJ47" s="15">
        <f>INDEX('Unique Asset List'!$BH$4:$BN$60,MATCH('5'!$B47,'Unique Asset List'!$A$4:$A$60,0),MATCH('5'!$C$1,'Unique Asset List'!$BH$3:$BN$3,0))</f>
        <v>1.2944496352201866</v>
      </c>
      <c r="AK47" s="15">
        <f>INDEX('Unique Asset List'!$BO$4:$BU$60,MATCH('5'!$B47,'Unique Asset List'!$A$4:$A$60,0),MATCH('5'!$C$1,'Unique Asset List'!$BO$3:$BU$3,0))</f>
        <v>-1.4425350046709582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1"/>
        <v>0.82</v>
      </c>
      <c r="AS47" s="10">
        <v>1</v>
      </c>
      <c r="AT47" s="181">
        <f>INDEX('Unique Asset List'!N$4:N$60,MATCH($B47,_CompoundList,0))</f>
        <v>1</v>
      </c>
      <c r="AU47" s="181">
        <f>INDEX('Unique Asset List'!O$4:O$60,MATCH($B47,_CompoundList,0))</f>
        <v>1</v>
      </c>
      <c r="AV47" s="181">
        <f>INDEX('Unique Asset List'!P$4:P$60,MATCH($B47,_CompoundList,0))</f>
        <v>1</v>
      </c>
      <c r="AW47" s="181">
        <f>INDEX('Unique Asset List'!Q$4:Q$60,MATCH($B47,_CompoundList,0))</f>
        <v>1</v>
      </c>
      <c r="AX47" s="181">
        <f ca="1">INDEX('Unique Asset List'!R$4:R$60,MATCH($B47,_CompoundList,0))</f>
        <v>1</v>
      </c>
      <c r="AY47" s="181">
        <f ca="1">INDEX('Unique Asset List'!S$4:S$60,MATCH($B47,_CompoundList,0))</f>
        <v>1</v>
      </c>
      <c r="AZ47" s="181">
        <f ca="1">INDEX('Unique Asset List'!T$4:T$60,MATCH($B47,_CompoundList,0))</f>
        <v>1</v>
      </c>
      <c r="BA47" s="181">
        <f ca="1">INDEX('Unique Asset List'!U$4:U$60,MATCH($B47,_CompoundList,0))</f>
        <v>1</v>
      </c>
      <c r="BB47" s="181">
        <f ca="1">INDEX('Unique Asset List'!V$4:V$60,MATCH($B47,_CompoundList,0))</f>
        <v>1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IF($C$5="ON",CL47,MyRating(_S1,$B47,Efficacy!$F$1))</f>
        <v>0</v>
      </c>
      <c r="BM47" s="3">
        <f>IF($C$5="ON",CM47,MyRating(_S2,$B47,Efficacy!$F$1))</f>
        <v>0</v>
      </c>
      <c r="BN47" s="3">
        <f>IF($C$5="ON",CN47,MyRating(_S3,$B47,Efficacy!$F$1))</f>
        <v>0</v>
      </c>
      <c r="BO47" s="3">
        <f>IF($C$5="ON",CO47,MyRating(_S4,$B47,Efficacy!$F$1))</f>
        <v>0</v>
      </c>
      <c r="BP47" s="3">
        <f>IF($C$5="ON",CP47,MyRating(_S5,$B47,Efficacy!$F$1))</f>
        <v>0</v>
      </c>
      <c r="BQ47" s="3">
        <f>IF($C$5="ON",CQ47,MyRating(_S6,$B47,Efficacy!$F$1))</f>
        <v>0</v>
      </c>
      <c r="BR47" s="3">
        <f>IF($C$5="ON",CR47,MyRating(_S7,$B47,Efficacy!$F$1))</f>
        <v>0</v>
      </c>
      <c r="BS47" s="3">
        <f>IF($C$5="ON",CS47,MyRating(_D1,$B47,Efficacy!$F$1))</f>
        <v>0</v>
      </c>
      <c r="BT47" s="3">
        <f>IF($C$5="ON",CT47,MyRating(_D2,$B47,Efficacy!$F$1))</f>
        <v>0</v>
      </c>
      <c r="BU47" s="3">
        <f>IF($C$5="ON",CU47,MyRating(_D3,$B47,Efficacy!$F$1))</f>
        <v>0</v>
      </c>
      <c r="BV47" s="3">
        <f>IF($C$5="ON",CV47,MyRating(_D4,$B47,Efficacy!$F$1))</f>
        <v>0</v>
      </c>
      <c r="BW47" s="3">
        <f>IF($C$5="ON",CW47,MyRating(_B1G5,$B47,Barrier!$L$2))</f>
        <v>2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9"/>
        <v>3.3407946312985805E-2</v>
      </c>
      <c r="CA47" s="8">
        <f t="shared" si="12"/>
        <v>2.8000000000000003</v>
      </c>
      <c r="CB47" s="5">
        <f t="shared" si="13"/>
        <v>3.2941176470588251E-2</v>
      </c>
      <c r="CC47" s="7">
        <f t="shared" si="14"/>
        <v>5.9787261089987885E-3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>
        <v>0</v>
      </c>
    </row>
    <row r="48" spans="1:104" x14ac:dyDescent="0.25">
      <c r="A48" s="9" t="str">
        <f t="shared" si="10"/>
        <v>ES</v>
      </c>
      <c r="B48" s="9" t="s">
        <v>15</v>
      </c>
      <c r="C48" s="20"/>
      <c r="D48" s="9" t="s">
        <v>14</v>
      </c>
      <c r="E48" s="9" t="s">
        <v>186</v>
      </c>
      <c r="F48" s="9" t="str">
        <f>INDEX('Unique Asset List'!$C$4:$C$60,MATCH(B48,_CompoundList,0))</f>
        <v>PCD</v>
      </c>
      <c r="G48" s="19">
        <v>0</v>
      </c>
      <c r="H48" s="9">
        <v>2014</v>
      </c>
      <c r="I48" s="9">
        <v>6</v>
      </c>
      <c r="J48" s="18">
        <f>INDEX(PTRS!$D$6:$D$12,MATCH('5'!$F48,PTRS!$B$6:$B$12,0))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v>0.1044225</v>
      </c>
      <c r="N48" s="17">
        <f>INDEX('Unique Asset List'!$D$4:$M$60,MATCH($B48,'Unique Asset List'!$A$4:$A$60,0),MATCH(N$8,'Unique Asset List'!$D$3:$M$3,0))</f>
        <v>1</v>
      </c>
      <c r="O48" s="17">
        <f>INDEX('Unique Asset List'!$D$4:$M$60,MATCH($B48,'Unique Asset List'!$A$4:$A$60,0),MATCH(O$8,'Unique Asset List'!$D$3:$M$3,0))</f>
        <v>1</v>
      </c>
      <c r="P48" s="17">
        <f>INDEX('Unique Asset List'!$D$4:$M$60,MATCH($B48,'Unique Asset List'!$A$4:$A$60,0),MATCH(P$8,'Unique Asset List'!$D$3:$M$3,0))</f>
        <v>1</v>
      </c>
      <c r="Q48" s="17">
        <f>INDEX('Unique Asset List'!$D$4:$M$60,MATCH($B48,'Unique Asset List'!$A$4:$A$60,0),MATCH(Q$8,'Unique Asset List'!$D$3:$M$3,0))</f>
        <v>1</v>
      </c>
      <c r="R48" s="17">
        <f>INDEX('Unique Asset List'!$D$4:$M$60,MATCH($B48,'Unique Asset List'!$A$4:$A$60,0),MATCH(R$8,'Unique Asset List'!$D$3:$M$3,0))</f>
        <v>1</v>
      </c>
      <c r="S48" s="17">
        <f>INDEX('Unique Asset List'!$D$4:$M$60,MATCH($B48,'Unique Asset List'!$A$4:$A$60,0),MATCH(S$8,'Unique Asset List'!$D$3:$M$3,0))</f>
        <v>1</v>
      </c>
      <c r="T48" s="17" t="s">
        <v>13</v>
      </c>
      <c r="U48" s="17">
        <f t="shared" si="1"/>
        <v>0.90168566420734264</v>
      </c>
      <c r="V48" s="17">
        <v>1</v>
      </c>
      <c r="W48" s="9" t="s">
        <v>13</v>
      </c>
      <c r="X48" s="9">
        <f>INDEX('Unique Asset List'!$Y$4:$AE$60,MATCH('5'!$B48,'Unique Asset List'!$A$4:$A$60,0),MATCH('5'!$C$1,'Unique Asset List'!$Y$3:$AE$3,0))</f>
        <v>2033</v>
      </c>
      <c r="Y48" s="9">
        <f>INDEX('Unique Asset List'!$AF$4:$AL$60,MATCH('5'!$B48,'Unique Asset List'!$A$4:$A$60,0),MATCH('5'!$C$1,'Unique Asset List'!$AF$3:$AL$3,0))</f>
        <v>6.9999999999990905</v>
      </c>
      <c r="Z48" s="9">
        <f>INDEX('Unique Asset List'!$AT$4:$AZ$60,MATCH('5'!$B48,'Unique Asset List'!$A$4:$A$60,0),MATCH('5'!$C$1,'Unique Asset List'!$AT$3:$AZ$3,0))</f>
        <v>2044</v>
      </c>
      <c r="AA48" s="9">
        <f>INDEX('Unique Asset List'!$BA$4:$BG$60,MATCH('5'!$B48,'Unique Asset List'!$A$4:$A$60,0),MATCH('5'!$C$1,'Unique Asset List'!$BA$3:$BG$3,0))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List'!$CJ$4:$CP$60,MATCH('5'!$B48,'Unique Asset List'!$A$4:$A$60,0),MATCH('5'!$C$1,'Unique Asset List'!$CJ$3:$CP$3,0))</f>
        <v>0.08</v>
      </c>
      <c r="AF48" s="15">
        <f>INDEX('Unique Asset List'!$CQ$4:$CW$60,MATCH('5'!$B48,'Unique Asset List'!$A$4:$A$60,0),MATCH('5'!$C$1,'Unique Asset List'!$CQ$3:$CW$3,0))</f>
        <v>0.42</v>
      </c>
      <c r="AG48" s="15">
        <f>INDEX('Unique Asset List'!$BV$4:$CB$60,MATCH('5'!$B48,'Unique Asset List'!$A$4:$A$60,0),MATCH('5'!$C$1,'Unique Asset List'!$BV$3:$CB$3,0))</f>
        <v>0.08</v>
      </c>
      <c r="AH48" s="15">
        <f>INDEX('Unique Asset List'!$CC$4:$CI$60,MATCH('5'!$B48,'Unique Asset List'!$A$4:$A$60,0),MATCH('5'!$C$1,'Unique Asset List'!$CC$3:$CI$3,0))</f>
        <v>0.42</v>
      </c>
      <c r="AI48" s="11">
        <v>0.96187963349867744</v>
      </c>
      <c r="AJ48" s="15">
        <f>INDEX('Unique Asset List'!$BH$4:$BN$60,MATCH('5'!$B48,'Unique Asset List'!$A$4:$A$60,0),MATCH('5'!$C$1,'Unique Asset List'!$BH$3:$BN$3,0))</f>
        <v>1.2944496352201866</v>
      </c>
      <c r="AK48" s="15">
        <f>INDEX('Unique Asset List'!$BO$4:$BU$60,MATCH('5'!$B48,'Unique Asset List'!$A$4:$A$60,0),MATCH('5'!$C$1,'Unique Asset List'!$BO$3:$BU$3,0))</f>
        <v>-1.4425350046709582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1"/>
        <v>0.82</v>
      </c>
      <c r="AS48" s="10">
        <v>1</v>
      </c>
      <c r="AT48" s="181">
        <f>INDEX('Unique Asset List'!N$4:N$60,MATCH($B48,_CompoundList,0))</f>
        <v>1</v>
      </c>
      <c r="AU48" s="181">
        <f>INDEX('Unique Asset List'!O$4:O$60,MATCH($B48,_CompoundList,0))</f>
        <v>1</v>
      </c>
      <c r="AV48" s="181">
        <f>INDEX('Unique Asset List'!P$4:P$60,MATCH($B48,_CompoundList,0))</f>
        <v>1</v>
      </c>
      <c r="AW48" s="181">
        <f>INDEX('Unique Asset List'!Q$4:Q$60,MATCH($B48,_CompoundList,0))</f>
        <v>1</v>
      </c>
      <c r="AX48" s="181">
        <f ca="1">INDEX('Unique Asset List'!R$4:R$60,MATCH($B48,_CompoundList,0))</f>
        <v>1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1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1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IF($C$5="ON",CL48,MyRating(_S1,$B48,Efficacy!$F$1))</f>
        <v>0</v>
      </c>
      <c r="BM48" s="3">
        <f>IF($C$5="ON",CM48,MyRating(_S2,$B48,Efficacy!$F$1))</f>
        <v>0</v>
      </c>
      <c r="BN48" s="3">
        <f>IF($C$5="ON",CN48,MyRating(_S3,$B48,Efficacy!$F$1))</f>
        <v>0</v>
      </c>
      <c r="BO48" s="3">
        <f>IF($C$5="ON",CO48,MyRating(_S4,$B48,Efficacy!$F$1))</f>
        <v>0</v>
      </c>
      <c r="BP48" s="3">
        <f>IF($C$5="ON",CP48,MyRating(_S5,$B48,Efficacy!$F$1))</f>
        <v>0</v>
      </c>
      <c r="BQ48" s="3">
        <f>IF($C$5="ON",CQ48,MyRating(_S6,$B48,Efficacy!$F$1))</f>
        <v>0</v>
      </c>
      <c r="BR48" s="3">
        <f>IF($C$5="ON",CR48,MyRating(_S7,$B48,Efficacy!$F$1))</f>
        <v>0</v>
      </c>
      <c r="BS48" s="3">
        <f>IF($C$5="ON",CS48,MyRating(_D1,$B48,Efficacy!$F$1))</f>
        <v>0</v>
      </c>
      <c r="BT48" s="3">
        <f>IF($C$5="ON",CT48,MyRating(_D2,$B48,Efficacy!$F$1))</f>
        <v>0</v>
      </c>
      <c r="BU48" s="3">
        <f>IF($C$5="ON",CU48,MyRating(_D3,$B48,Efficacy!$F$1))</f>
        <v>0</v>
      </c>
      <c r="BV48" s="3">
        <f>IF($C$5="ON",CV48,MyRating(_D4,$B48,Efficacy!$F$1))</f>
        <v>0</v>
      </c>
      <c r="BW48" s="3">
        <f>IF($C$5="ON",CW48,MyRating(_B1G5,$B48,Barrier!$L$2))</f>
        <v>2</v>
      </c>
      <c r="BX48" s="3">
        <f>IF($C$5="ON",CX48,MyRating(_B2,$B48,Barrier!$F$2))</f>
        <v>3</v>
      </c>
      <c r="BY48" s="6">
        <f>IF($C$5="ON",CY48,MyRating(_B3,$B48,Barrier!$F$2))</f>
        <v>3</v>
      </c>
      <c r="BZ48" s="5">
        <f t="shared" si="9"/>
        <v>3.3407946312985805E-2</v>
      </c>
      <c r="CA48" s="8">
        <f t="shared" si="12"/>
        <v>2.8000000000000003</v>
      </c>
      <c r="CB48" s="5">
        <f t="shared" si="13"/>
        <v>3.2941176470588251E-2</v>
      </c>
      <c r="CC48" s="7">
        <f t="shared" si="14"/>
        <v>5.9787261089987885E-3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>
        <v>0</v>
      </c>
    </row>
    <row r="49" spans="1:104" x14ac:dyDescent="0.25">
      <c r="A49" s="9" t="str">
        <f t="shared" si="10"/>
        <v>ES</v>
      </c>
      <c r="B49" s="9" t="s">
        <v>12</v>
      </c>
      <c r="C49" s="20"/>
      <c r="D49" s="9" t="s">
        <v>11</v>
      </c>
      <c r="E49" s="9" t="s">
        <v>186</v>
      </c>
      <c r="F49" s="9" t="str">
        <f>INDEX('Unique Asset List'!$C$4:$C$60,MATCH(B49,_CompoundList,0))</f>
        <v>PCD</v>
      </c>
      <c r="G49" s="19">
        <v>0</v>
      </c>
      <c r="H49" s="9">
        <v>2014</v>
      </c>
      <c r="I49" s="9">
        <v>6</v>
      </c>
      <c r="J49" s="18">
        <f>INDEX(PTRS!$D$6:$D$12,MATCH('5'!$F49,PTRS!$B$6:$B$12,0))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v>0.1044225</v>
      </c>
      <c r="N49" s="17">
        <f>INDEX('Unique Asset List'!$D$4:$M$60,MATCH($B49,'Unique Asset List'!$A$4:$A$60,0),MATCH(N$8,'Unique Asset List'!$D$3:$M$3,0))</f>
        <v>1</v>
      </c>
      <c r="O49" s="17">
        <f>INDEX('Unique Asset List'!$D$4:$M$60,MATCH($B49,'Unique Asset List'!$A$4:$A$60,0),MATCH(O$8,'Unique Asset List'!$D$3:$M$3,0))</f>
        <v>1</v>
      </c>
      <c r="P49" s="17">
        <f>INDEX('Unique Asset List'!$D$4:$M$60,MATCH($B49,'Unique Asset List'!$A$4:$A$60,0),MATCH(P$8,'Unique Asset List'!$D$3:$M$3,0))</f>
        <v>1</v>
      </c>
      <c r="Q49" s="17">
        <f>INDEX('Unique Asset List'!$D$4:$M$60,MATCH($B49,'Unique Asset List'!$A$4:$A$60,0),MATCH(Q$8,'Unique Asset List'!$D$3:$M$3,0))</f>
        <v>1</v>
      </c>
      <c r="R49" s="17">
        <f>INDEX('Unique Asset List'!$D$4:$M$60,MATCH($B49,'Unique Asset List'!$A$4:$A$60,0),MATCH(R$8,'Unique Asset List'!$D$3:$M$3,0))</f>
        <v>1</v>
      </c>
      <c r="S49" s="17">
        <f>INDEX('Unique Asset List'!$D$4:$M$60,MATCH($B49,'Unique Asset List'!$A$4:$A$60,0),MATCH(S$8,'Unique Asset List'!$D$3:$M$3,0))</f>
        <v>1</v>
      </c>
      <c r="T49" s="17" t="s">
        <v>10</v>
      </c>
      <c r="U49" s="17">
        <f t="shared" si="1"/>
        <v>0.90168566420734264</v>
      </c>
      <c r="V49" s="17">
        <v>1</v>
      </c>
      <c r="W49" s="9" t="s">
        <v>10</v>
      </c>
      <c r="X49" s="9">
        <f>INDEX('Unique Asset List'!$Y$4:$AE$60,MATCH('5'!$B49,'Unique Asset List'!$A$4:$A$60,0),MATCH('5'!$C$1,'Unique Asset List'!$Y$3:$AE$3,0))</f>
        <v>2037</v>
      </c>
      <c r="Y49" s="9">
        <f>INDEX('Unique Asset List'!$AF$4:$AL$60,MATCH('5'!$B49,'Unique Asset List'!$A$4:$A$60,0),MATCH('5'!$C$1,'Unique Asset List'!$AF$3:$AL$3,0))</f>
        <v>6.9999999999990905</v>
      </c>
      <c r="Z49" s="9">
        <f>INDEX('Unique Asset List'!$AT$4:$AZ$60,MATCH('5'!$B49,'Unique Asset List'!$A$4:$A$60,0),MATCH('5'!$C$1,'Unique Asset List'!$AT$3:$AZ$3,0))</f>
        <v>2048</v>
      </c>
      <c r="AA49" s="9">
        <f>INDEX('Unique Asset List'!$BA$4:$BG$60,MATCH('5'!$B49,'Unique Asset List'!$A$4:$A$60,0),MATCH('5'!$C$1,'Unique Asset List'!$BA$3:$BG$3,0))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List'!$CJ$4:$CP$60,MATCH('5'!$B49,'Unique Asset List'!$A$4:$A$60,0),MATCH('5'!$C$1,'Unique Asset List'!$CJ$3:$CP$3,0))</f>
        <v>0.08</v>
      </c>
      <c r="AF49" s="15">
        <f>INDEX('Unique Asset List'!$CQ$4:$CW$60,MATCH('5'!$B49,'Unique Asset List'!$A$4:$A$60,0),MATCH('5'!$C$1,'Unique Asset List'!$CQ$3:$CW$3,0))</f>
        <v>0.42</v>
      </c>
      <c r="AG49" s="15">
        <f>INDEX('Unique Asset List'!$BV$4:$CB$60,MATCH('5'!$B49,'Unique Asset List'!$A$4:$A$60,0),MATCH('5'!$C$1,'Unique Asset List'!$BV$3:$CB$3,0))</f>
        <v>0.08</v>
      </c>
      <c r="AH49" s="15">
        <f>INDEX('Unique Asset List'!$CC$4:$CI$60,MATCH('5'!$B49,'Unique Asset List'!$A$4:$A$60,0),MATCH('5'!$C$1,'Unique Asset List'!$CC$3:$CI$3,0))</f>
        <v>0.42</v>
      </c>
      <c r="AI49" s="11">
        <v>0.96187963349867744</v>
      </c>
      <c r="AJ49" s="15">
        <f>INDEX('Unique Asset List'!$BH$4:$BN$60,MATCH('5'!$B49,'Unique Asset List'!$A$4:$A$60,0),MATCH('5'!$C$1,'Unique Asset List'!$BH$3:$BN$3,0))</f>
        <v>1.2944496352201866</v>
      </c>
      <c r="AK49" s="15">
        <f>INDEX('Unique Asset List'!$BO$4:$BU$60,MATCH('5'!$B49,'Unique Asset List'!$A$4:$A$60,0),MATCH('5'!$C$1,'Unique Asset List'!$BO$3:$BU$3,0))</f>
        <v>-1.4425350046709582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1"/>
        <v>0.82</v>
      </c>
      <c r="AS49" s="10">
        <v>1</v>
      </c>
      <c r="AT49" s="181">
        <f>INDEX('Unique Asset List'!N$4:N$60,MATCH($B49,_CompoundList,0))</f>
        <v>1</v>
      </c>
      <c r="AU49" s="181">
        <f>INDEX('Unique Asset List'!O$4:O$60,MATCH($B49,_CompoundList,0))</f>
        <v>1</v>
      </c>
      <c r="AV49" s="181">
        <f>INDEX('Unique Asset List'!P$4:P$60,MATCH($B49,_CompoundList,0))</f>
        <v>1</v>
      </c>
      <c r="AW49" s="181">
        <f>INDEX('Unique Asset List'!Q$4:Q$60,MATCH($B49,_CompoundList,0))</f>
        <v>1</v>
      </c>
      <c r="AX49" s="181">
        <f ca="1">INDEX('Unique Asset List'!R$4:R$60,MATCH($B49,_CompoundList,0))</f>
        <v>1</v>
      </c>
      <c r="AY49" s="181">
        <f ca="1">INDEX('Unique Asset List'!S$4:S$60,MATCH($B49,_CompoundList,0))</f>
        <v>1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1</v>
      </c>
      <c r="BB49" s="181">
        <f ca="1">INDEX('Unique Asset List'!V$4:V$60,MATCH($B49,_CompoundList,0))</f>
        <v>1</v>
      </c>
      <c r="BC49" s="181">
        <f ca="1">INDEX('Unique Asset List'!W$4:W$60,MATCH($B49,_CompoundList,0))</f>
        <v>1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IF($C$5="ON",CL49,MyRating(_S1,$B49,Efficacy!$F$1))</f>
        <v>0</v>
      </c>
      <c r="BM49" s="3">
        <f>IF($C$5="ON",CM49,MyRating(_S2,$B49,Efficacy!$F$1))</f>
        <v>0</v>
      </c>
      <c r="BN49" s="3">
        <f>IF($C$5="ON",CN49,MyRating(_S3,$B49,Efficacy!$F$1))</f>
        <v>0</v>
      </c>
      <c r="BO49" s="3">
        <f>IF($C$5="ON",CO49,MyRating(_S4,$B49,Efficacy!$F$1))</f>
        <v>0</v>
      </c>
      <c r="BP49" s="3">
        <f>IF($C$5="ON",CP49,MyRating(_S5,$B49,Efficacy!$F$1))</f>
        <v>0</v>
      </c>
      <c r="BQ49" s="3">
        <f>IF($C$5="ON",CQ49,MyRating(_S6,$B49,Efficacy!$F$1))</f>
        <v>0</v>
      </c>
      <c r="BR49" s="3">
        <f>IF($C$5="ON",CR49,MyRating(_S7,$B49,Efficacy!$F$1))</f>
        <v>0</v>
      </c>
      <c r="BS49" s="3">
        <f>IF($C$5="ON",CS49,MyRating(_D1,$B49,Efficacy!$F$1))</f>
        <v>0</v>
      </c>
      <c r="BT49" s="3">
        <f>IF($C$5="ON",CT49,MyRating(_D2,$B49,Efficacy!$F$1))</f>
        <v>0</v>
      </c>
      <c r="BU49" s="3">
        <f>IF($C$5="ON",CU49,MyRating(_D3,$B49,Efficacy!$F$1))</f>
        <v>0</v>
      </c>
      <c r="BV49" s="3">
        <f>IF($C$5="ON",CV49,MyRating(_D4,$B49,Efficacy!$F$1))</f>
        <v>0</v>
      </c>
      <c r="BW49" s="3">
        <f>IF($C$5="ON",CW49,MyRating(_B1G5,$B49,Barrier!$L$2))</f>
        <v>2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9"/>
        <v>3.3407946312985805E-2</v>
      </c>
      <c r="CA49" s="8">
        <f t="shared" si="12"/>
        <v>2.8000000000000003</v>
      </c>
      <c r="CB49" s="5">
        <f t="shared" si="13"/>
        <v>3.2941176470588251E-2</v>
      </c>
      <c r="CC49" s="7">
        <f t="shared" si="14"/>
        <v>5.9787261089987885E-3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>
        <v>0</v>
      </c>
    </row>
    <row r="50" spans="1:104" x14ac:dyDescent="0.25">
      <c r="A50" s="9" t="str">
        <f t="shared" si="10"/>
        <v>ES</v>
      </c>
      <c r="B50" s="9" t="s">
        <v>9</v>
      </c>
      <c r="C50" s="20"/>
      <c r="D50" s="9" t="s">
        <v>8</v>
      </c>
      <c r="E50" s="9" t="s">
        <v>186</v>
      </c>
      <c r="F50" s="9" t="str">
        <f>INDEX('Unique Asset List'!$C$4:$C$60,MATCH(B50,_CompoundList,0))</f>
        <v>PCD</v>
      </c>
      <c r="G50" s="19">
        <v>0</v>
      </c>
      <c r="H50" s="9">
        <v>2014</v>
      </c>
      <c r="I50" s="9">
        <v>6</v>
      </c>
      <c r="J50" s="18">
        <f>INDEX(PTRS!$D$6:$D$12,MATCH('5'!$F50,PTRS!$B$6:$B$12,0))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v>0.1044225</v>
      </c>
      <c r="N50" s="17">
        <f>INDEX('Unique Asset List'!$D$4:$M$60,MATCH($B50,'Unique Asset List'!$A$4:$A$60,0),MATCH(N$8,'Unique Asset List'!$D$3:$M$3,0))</f>
        <v>1</v>
      </c>
      <c r="O50" s="17">
        <f>INDEX('Unique Asset List'!$D$4:$M$60,MATCH($B50,'Unique Asset List'!$A$4:$A$60,0),MATCH(O$8,'Unique Asset List'!$D$3:$M$3,0))</f>
        <v>1</v>
      </c>
      <c r="P50" s="17">
        <f>INDEX('Unique Asset List'!$D$4:$M$60,MATCH($B50,'Unique Asset List'!$A$4:$A$60,0),MATCH(P$8,'Unique Asset List'!$D$3:$M$3,0))</f>
        <v>1</v>
      </c>
      <c r="Q50" s="17">
        <f>INDEX('Unique Asset List'!$D$4:$M$60,MATCH($B50,'Unique Asset List'!$A$4:$A$60,0),MATCH(Q$8,'Unique Asset List'!$D$3:$M$3,0))</f>
        <v>1</v>
      </c>
      <c r="R50" s="17">
        <f>INDEX('Unique Asset List'!$D$4:$M$60,MATCH($B50,'Unique Asset List'!$A$4:$A$60,0),MATCH(R$8,'Unique Asset List'!$D$3:$M$3,0))</f>
        <v>1</v>
      </c>
      <c r="S50" s="17">
        <f>INDEX('Unique Asset List'!$D$4:$M$60,MATCH($B50,'Unique Asset List'!$A$4:$A$60,0),MATCH(S$8,'Unique Asset List'!$D$3:$M$3,0))</f>
        <v>1</v>
      </c>
      <c r="T50" s="17" t="s">
        <v>7</v>
      </c>
      <c r="U50" s="17">
        <f t="shared" si="1"/>
        <v>0.90168566420734264</v>
      </c>
      <c r="V50" s="17">
        <v>1</v>
      </c>
      <c r="W50" s="9" t="s">
        <v>7</v>
      </c>
      <c r="X50" s="9">
        <f>INDEX('Unique Asset List'!$Y$4:$AE$60,MATCH('5'!$B50,'Unique Asset List'!$A$4:$A$60,0),MATCH('5'!$C$1,'Unique Asset List'!$Y$3:$AE$3,0))</f>
        <v>2042</v>
      </c>
      <c r="Y50" s="9">
        <f>INDEX('Unique Asset List'!$AF$4:$AL$60,MATCH('5'!$B50,'Unique Asset List'!$A$4:$A$60,0),MATCH('5'!$C$1,'Unique Asset List'!$AF$3:$AL$3,0))</f>
        <v>6.9999999999990905</v>
      </c>
      <c r="Z50" s="9">
        <f>INDEX('Unique Asset List'!$AT$4:$AZ$60,MATCH('5'!$B50,'Unique Asset List'!$A$4:$A$60,0),MATCH('5'!$C$1,'Unique Asset List'!$AT$3:$AZ$3,0))</f>
        <v>2053</v>
      </c>
      <c r="AA50" s="9">
        <f>INDEX('Unique Asset List'!$BA$4:$BG$60,MATCH('5'!$B50,'Unique Asset List'!$A$4:$A$60,0),MATCH('5'!$C$1,'Unique Asset List'!$BA$3:$BG$3,0))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List'!$CJ$4:$CP$60,MATCH('5'!$B50,'Unique Asset List'!$A$4:$A$60,0),MATCH('5'!$C$1,'Unique Asset List'!$CJ$3:$CP$3,0))</f>
        <v>0.08</v>
      </c>
      <c r="AF50" s="15">
        <f>INDEX('Unique Asset List'!$CQ$4:$CW$60,MATCH('5'!$B50,'Unique Asset List'!$A$4:$A$60,0),MATCH('5'!$C$1,'Unique Asset List'!$CQ$3:$CW$3,0))</f>
        <v>0.42</v>
      </c>
      <c r="AG50" s="15">
        <f>INDEX('Unique Asset List'!$BV$4:$CB$60,MATCH('5'!$B50,'Unique Asset List'!$A$4:$A$60,0),MATCH('5'!$C$1,'Unique Asset List'!$BV$3:$CB$3,0))</f>
        <v>0.08</v>
      </c>
      <c r="AH50" s="15">
        <f>INDEX('Unique Asset List'!$CC$4:$CI$60,MATCH('5'!$B50,'Unique Asset List'!$A$4:$A$60,0),MATCH('5'!$C$1,'Unique Asset List'!$CC$3:$CI$3,0))</f>
        <v>0.42</v>
      </c>
      <c r="AI50" s="11">
        <v>0.96187963349867744</v>
      </c>
      <c r="AJ50" s="15">
        <f>INDEX('Unique Asset List'!$BH$4:$BN$60,MATCH('5'!$B50,'Unique Asset List'!$A$4:$A$60,0),MATCH('5'!$C$1,'Unique Asset List'!$BH$3:$BN$3,0))</f>
        <v>1.2944496352201866</v>
      </c>
      <c r="AK50" s="15">
        <f>INDEX('Unique Asset List'!$BO$4:$BU$60,MATCH('5'!$B50,'Unique Asset List'!$A$4:$A$60,0),MATCH('5'!$C$1,'Unique Asset List'!$BO$3:$BU$3,0))</f>
        <v>-1.4425350046709582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1"/>
        <v>0.82</v>
      </c>
      <c r="AS50" s="10">
        <v>1</v>
      </c>
      <c r="AT50" s="181">
        <f>INDEX('Unique Asset List'!N$4:N$60,MATCH($B50,_CompoundList,0))</f>
        <v>1</v>
      </c>
      <c r="AU50" s="181">
        <f>INDEX('Unique Asset List'!O$4:O$60,MATCH($B50,_CompoundList,0))</f>
        <v>1</v>
      </c>
      <c r="AV50" s="181">
        <f>INDEX('Unique Asset List'!P$4:P$60,MATCH($B50,_CompoundList,0))</f>
        <v>1</v>
      </c>
      <c r="AW50" s="181">
        <f>INDEX('Unique Asset List'!Q$4:Q$60,MATCH($B50,_CompoundList,0))</f>
        <v>1</v>
      </c>
      <c r="AX50" s="181">
        <f ca="1">INDEX('Unique Asset List'!R$4:R$60,MATCH($B50,_CompoundList,0))</f>
        <v>1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1</v>
      </c>
      <c r="BA50" s="181">
        <f ca="1">INDEX('Unique Asset List'!U$4:U$60,MATCH($B50,_CompoundList,0))</f>
        <v>1</v>
      </c>
      <c r="BB50" s="181">
        <f ca="1">INDEX('Unique Asset List'!V$4:V$60,MATCH($B50,_CompoundList,0))</f>
        <v>1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IF($C$5="ON",CL50,MyRating(_S1,$B50,Efficacy!$F$1))</f>
        <v>0</v>
      </c>
      <c r="BM50" s="3">
        <f>IF($C$5="ON",CM50,MyRating(_S2,$B50,Efficacy!$F$1))</f>
        <v>0</v>
      </c>
      <c r="BN50" s="3">
        <f>IF($C$5="ON",CN50,MyRating(_S3,$B50,Efficacy!$F$1))</f>
        <v>0</v>
      </c>
      <c r="BO50" s="3">
        <f>IF($C$5="ON",CO50,MyRating(_S4,$B50,Efficacy!$F$1))</f>
        <v>0</v>
      </c>
      <c r="BP50" s="3">
        <f>IF($C$5="ON",CP50,MyRating(_S5,$B50,Efficacy!$F$1))</f>
        <v>0</v>
      </c>
      <c r="BQ50" s="3">
        <f>IF($C$5="ON",CQ50,MyRating(_S6,$B50,Efficacy!$F$1))</f>
        <v>0</v>
      </c>
      <c r="BR50" s="3">
        <f>IF($C$5="ON",CR50,MyRating(_S7,$B50,Efficacy!$F$1))</f>
        <v>0</v>
      </c>
      <c r="BS50" s="3">
        <f>IF($C$5="ON",CS50,MyRating(_D1,$B50,Efficacy!$F$1))</f>
        <v>0</v>
      </c>
      <c r="BT50" s="3">
        <f>IF($C$5="ON",CT50,MyRating(_D2,$B50,Efficacy!$F$1))</f>
        <v>0</v>
      </c>
      <c r="BU50" s="3">
        <f>IF($C$5="ON",CU50,MyRating(_D3,$B50,Efficacy!$F$1))</f>
        <v>0</v>
      </c>
      <c r="BV50" s="3">
        <f>IF($C$5="ON",CV50,MyRating(_D4,$B50,Efficacy!$F$1))</f>
        <v>0</v>
      </c>
      <c r="BW50" s="3">
        <f>IF($C$5="ON",CW50,MyRating(_B1G5,$B50,Barrier!$L$2))</f>
        <v>2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9"/>
        <v>3.3407946312985805E-2</v>
      </c>
      <c r="CA50" s="8">
        <f t="shared" si="12"/>
        <v>2.8000000000000003</v>
      </c>
      <c r="CB50" s="5">
        <f t="shared" si="13"/>
        <v>3.2941176470588251E-2</v>
      </c>
      <c r="CC50" s="7">
        <f t="shared" si="14"/>
        <v>5.9787261089987885E-3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>
        <v>0</v>
      </c>
    </row>
    <row r="51" spans="1:104" x14ac:dyDescent="0.25">
      <c r="A51" s="9" t="str">
        <f t="shared" si="10"/>
        <v>ES</v>
      </c>
      <c r="B51" s="9" t="s">
        <v>4</v>
      </c>
      <c r="C51" s="20" t="s">
        <v>3</v>
      </c>
      <c r="D51" s="9" t="s">
        <v>2</v>
      </c>
      <c r="E51" s="9" t="s">
        <v>186</v>
      </c>
      <c r="F51" s="9" t="str">
        <f>INDEX('Unique Asset List'!$C$4:$C$60,MATCH(B51,_CompoundList,0))</f>
        <v>PCD</v>
      </c>
      <c r="G51" s="19">
        <v>0</v>
      </c>
      <c r="H51" s="9">
        <v>2014</v>
      </c>
      <c r="I51" s="9">
        <v>6</v>
      </c>
      <c r="J51" s="18">
        <f>INDEX(PTRS!$D$6:$D$12,MATCH('5'!$F51,PTRS!$B$6:$B$12,0))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v>0.1044225</v>
      </c>
      <c r="N51" s="17">
        <f>INDEX('Unique Asset List'!$D$4:$M$60,MATCH($B51,'Unique Asset List'!$A$4:$A$60,0),MATCH(N$8,'Unique Asset List'!$D$3:$M$3,0))</f>
        <v>0</v>
      </c>
      <c r="O51" s="17">
        <f>INDEX('Unique Asset List'!$D$4:$M$60,MATCH($B51,'Unique Asset List'!$A$4:$A$60,0),MATCH(O$8,'Unique Asset List'!$D$3:$M$3,0))</f>
        <v>0</v>
      </c>
      <c r="P51" s="17">
        <f>INDEX('Unique Asset List'!$D$4:$M$60,MATCH($B51,'Unique Asset List'!$A$4:$A$60,0),MATCH(P$8,'Unique Asset List'!$D$3:$M$3,0))</f>
        <v>0</v>
      </c>
      <c r="Q51" s="17">
        <f>INDEX('Unique Asset List'!$D$4:$M$60,MATCH($B51,'Unique Asset List'!$A$4:$A$60,0),MATCH(Q$8,'Unique Asset List'!$D$3:$M$3,0))</f>
        <v>0</v>
      </c>
      <c r="R51" s="17">
        <f>INDEX('Unique Asset List'!$D$4:$M$60,MATCH($B51,'Unique Asset List'!$A$4:$A$60,0),MATCH(R$8,'Unique Asset List'!$D$3:$M$3,0))</f>
        <v>0</v>
      </c>
      <c r="S51" s="17">
        <f>INDEX('Unique Asset List'!$D$4:$M$60,MATCH($B51,'Unique Asset List'!$A$4:$A$60,0),MATCH(S$8,'Unique Asset List'!$D$3:$M$3,0))</f>
        <v>0</v>
      </c>
      <c r="T51" s="17"/>
      <c r="U51" s="17">
        <f t="shared" ref="U51:U58" si="15">BZ51/$BZ$7</f>
        <v>0</v>
      </c>
      <c r="V51" s="17">
        <v>1</v>
      </c>
      <c r="W51" s="9" t="s">
        <v>0</v>
      </c>
      <c r="X51" s="9">
        <f>INDEX('Unique Asset List'!$Y$4:$AE$60,MATCH('5'!$B51,'Unique Asset List'!$A$4:$A$60,0),MATCH('5'!$C$1,'Unique Asset List'!$Y$3:$AE$3,0))</f>
        <v>2052</v>
      </c>
      <c r="Y51" s="9">
        <f>INDEX('Unique Asset List'!$AF$4:$AL$60,MATCH('5'!$B51,'Unique Asset List'!$A$4:$A$60,0),MATCH('5'!$C$1,'Unique Asset List'!$AF$3:$AL$3,0))</f>
        <v>7.000000000001819</v>
      </c>
      <c r="Z51" s="9">
        <f>INDEX('Unique Asset List'!$AT$4:$AZ$60,MATCH('5'!$B51,'Unique Asset List'!$A$4:$A$60,0),MATCH('5'!$C$1,'Unique Asset List'!$AT$3:$AZ$3,0))</f>
        <v>2060</v>
      </c>
      <c r="AA51" s="9">
        <f>INDEX('Unique Asset List'!$BA$4:$BG$60,MATCH('5'!$B51,'Unique Asset List'!$A$4:$A$60,0),MATCH('5'!$C$1,'Unique Asset List'!$BA$3:$BG$3,0))</f>
        <v>6</v>
      </c>
      <c r="AB51" s="21">
        <v>2.3276916000000001</v>
      </c>
      <c r="AC51" s="21">
        <v>1.0028454</v>
      </c>
      <c r="AD51" s="21">
        <v>0.56099999999999994</v>
      </c>
      <c r="AE51" s="15">
        <f>INDEX('Unique Asset List'!$CJ$4:$CP$60,MATCH('5'!$B51,'Unique Asset List'!$A$4:$A$60,0),MATCH('5'!$C$1,'Unique Asset List'!$CJ$3:$CP$3,0))</f>
        <v>0.08</v>
      </c>
      <c r="AF51" s="15">
        <f>INDEX('Unique Asset List'!$CQ$4:$CW$60,MATCH('5'!$B51,'Unique Asset List'!$A$4:$A$60,0),MATCH('5'!$C$1,'Unique Asset List'!$CQ$3:$CW$3,0))</f>
        <v>0.42</v>
      </c>
      <c r="AG51" s="15">
        <f>INDEX('Unique Asset List'!$BV$4:$CB$60,MATCH('5'!$B51,'Unique Asset List'!$A$4:$A$60,0),MATCH('5'!$C$1,'Unique Asset List'!$BV$3:$CB$3,0))</f>
        <v>0.08</v>
      </c>
      <c r="AH51" s="15">
        <f>INDEX('Unique Asset List'!$CC$4:$CI$60,MATCH('5'!$B51,'Unique Asset List'!$A$4:$A$60,0),MATCH('5'!$C$1,'Unique Asset List'!$CC$3:$CI$3,0))</f>
        <v>0.42</v>
      </c>
      <c r="AI51" s="11">
        <v>0.96187963349867744</v>
      </c>
      <c r="AJ51" s="15">
        <f>INDEX('Unique Asset List'!$BH$4:$BN$60,MATCH('5'!$B51,'Unique Asset List'!$A$4:$A$60,0),MATCH('5'!$C$1,'Unique Asset List'!$BH$3:$BN$3,0))</f>
        <v>1.2944496352201866</v>
      </c>
      <c r="AK51" s="15">
        <f>INDEX('Unique Asset List'!$BO$4:$BU$60,MATCH('5'!$B51,'Unique Asset List'!$A$4:$A$60,0),MATCH('5'!$C$1,'Unique Asset List'!$BO$3:$BU$3,0))</f>
        <v>-1.4425350046709582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1"/>
        <v>0.82</v>
      </c>
      <c r="AS51" s="10">
        <v>1</v>
      </c>
      <c r="AT51" s="181">
        <f>INDEX('Unique Asset List'!N$4:N$60,MATCH($B51,_CompoundList,0))</f>
        <v>0</v>
      </c>
      <c r="AU51" s="181">
        <f>INDEX('Unique Asset List'!O$4:O$60,MATCH($B51,_CompoundList,0))</f>
        <v>0</v>
      </c>
      <c r="AV51" s="181">
        <f>INDEX('Unique Asset List'!P$4:P$60,MATCH($B51,_CompoundList,0))</f>
        <v>0</v>
      </c>
      <c r="AW51" s="181">
        <f>INDEX('Unique Asset List'!Q$4:Q$60,MATCH($B51,_CompoundList,0))</f>
        <v>0</v>
      </c>
      <c r="AX51" s="181">
        <f ca="1">INDEX('Unique Asset List'!R$4:R$60,MATCH($B51,_CompoundList,0))</f>
        <v>0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0</v>
      </c>
      <c r="BA51" s="181">
        <f ca="1">INDEX('Unique Asset List'!U$4:U$60,MATCH($B51,_CompoundList,0))</f>
        <v>0</v>
      </c>
      <c r="BB51" s="181">
        <f ca="1">INDEX('Unique Asset List'!V$4:V$60,MATCH($B51,_CompoundList,0))</f>
        <v>0</v>
      </c>
      <c r="BC51" s="181">
        <f ca="1">INDEX('Unique Asset List'!W$4:W$60,MATCH($B51,_CompoundList,0))</f>
        <v>0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IF($C$5="ON",CL51,MyRating(_S1,$B51,Efficacy!$F$1))</f>
        <v>0</v>
      </c>
      <c r="BM51" s="3">
        <f>IF($C$5="ON",CM51,MyRating(_S2,$B51,Efficacy!$F$1))</f>
        <v>0</v>
      </c>
      <c r="BN51" s="3">
        <f>IF($C$5="ON",CN51,MyRating(_S3,$B51,Efficacy!$F$1))</f>
        <v>0</v>
      </c>
      <c r="BO51" s="3">
        <f>IF($C$5="ON",CO51,MyRating(_S4,$B51,Efficacy!$F$1))</f>
        <v>0</v>
      </c>
      <c r="BP51" s="3">
        <f>IF($C$5="ON",CP51,MyRating(_S5,$B51,Efficacy!$F$1))</f>
        <v>0</v>
      </c>
      <c r="BQ51" s="3">
        <f>IF($C$5="ON",CQ51,MyRating(_S6,$B51,Efficacy!$F$1))</f>
        <v>0</v>
      </c>
      <c r="BR51" s="3">
        <f>IF($C$5="ON",CR51,MyRating(_S7,$B51,Efficacy!$F$1))</f>
        <v>0</v>
      </c>
      <c r="BS51" s="3">
        <f>IF($C$5="ON",CS51,MyRating(_D1,$B51,Efficacy!$F$1))</f>
        <v>0</v>
      </c>
      <c r="BT51" s="3">
        <f>IF($C$5="ON",CT51,MyRating(_D2,$B51,Efficacy!$F$1))</f>
        <v>0</v>
      </c>
      <c r="BU51" s="3">
        <f>IF($C$5="ON",CU51,MyRating(_D3,$B51,Efficacy!$F$1))</f>
        <v>0</v>
      </c>
      <c r="BV51" s="3">
        <f>IF($C$5="ON",CV51,MyRating(_D4,$B51,Efficacy!$F$1))</f>
        <v>0</v>
      </c>
      <c r="BW51" s="3">
        <f>IF($C$5="ON",CW51,MyRating(_B1G5,$B51,Barrier!$L$2))</f>
        <v>0</v>
      </c>
      <c r="BX51" s="3">
        <f>IF($C$5="ON",CX51,MyRating(_B2,$B51,Barrier!$F$2))</f>
        <v>0</v>
      </c>
      <c r="BY51" s="6">
        <f>IF($C$5="ON",CY51,MyRating(_B3,$B51,Barrier!$F$2))</f>
        <v>0</v>
      </c>
      <c r="BZ51" s="5">
        <f t="shared" si="9"/>
        <v>0</v>
      </c>
      <c r="CA51" s="8">
        <f t="shared" si="12"/>
        <v>0</v>
      </c>
      <c r="CB51" s="5">
        <f t="shared" si="13"/>
        <v>0</v>
      </c>
      <c r="CC51" s="7">
        <f t="shared" si="14"/>
        <v>0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>
        <v>0</v>
      </c>
    </row>
    <row r="52" spans="1:104" x14ac:dyDescent="0.25">
      <c r="A52" s="9" t="str">
        <f t="shared" si="10"/>
        <v>ES</v>
      </c>
      <c r="B52" s="9" t="s">
        <v>68</v>
      </c>
      <c r="C52" s="20" t="s">
        <v>3</v>
      </c>
      <c r="D52" s="9" t="s">
        <v>2</v>
      </c>
      <c r="E52" s="9" t="s">
        <v>186</v>
      </c>
      <c r="F52" s="9" t="str">
        <f>INDEX('Unique Asset List'!$C$4:$C$60,MATCH(B52,_CompoundList,0))</f>
        <v>PCD</v>
      </c>
      <c r="G52" s="19">
        <v>0</v>
      </c>
      <c r="H52" s="9">
        <v>2014</v>
      </c>
      <c r="I52" s="9">
        <v>6</v>
      </c>
      <c r="J52" s="18">
        <f>INDEX(PTRS!$D$6:$D$12,MATCH('5'!$F52,PTRS!$B$6:$B$12,0))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v>0.1044225</v>
      </c>
      <c r="N52" s="17">
        <f>INDEX('Unique Asset List'!$D$4:$M$60,MATCH($B52,'Unique Asset List'!$A$4:$A$60,0),MATCH(N$8,'Unique Asset List'!$D$3:$M$3,0))</f>
        <v>0.1044225</v>
      </c>
      <c r="O52" s="17">
        <f>INDEX('Unique Asset List'!$D$4:$M$60,MATCH($B52,'Unique Asset List'!$A$4:$A$60,0),MATCH(O$8,'Unique Asset List'!$D$3:$M$3,0))</f>
        <v>0.1044225</v>
      </c>
      <c r="P52" s="17">
        <f>INDEX('Unique Asset List'!$D$4:$M$60,MATCH($B52,'Unique Asset List'!$A$4:$A$60,0),MATCH(P$8,'Unique Asset List'!$D$3:$M$3,0))</f>
        <v>0.1044225</v>
      </c>
      <c r="Q52" s="17">
        <f>INDEX('Unique Asset List'!$D$4:$M$60,MATCH($B52,'Unique Asset List'!$A$4:$A$60,0),MATCH(Q$8,'Unique Asset List'!$D$3:$M$3,0))</f>
        <v>0.1044225</v>
      </c>
      <c r="R52" s="17">
        <f>INDEX('Unique Asset List'!$D$4:$M$60,MATCH($B52,'Unique Asset List'!$A$4:$A$60,0),MATCH(R$8,'Unique Asset List'!$D$3:$M$3,0))</f>
        <v>0.1044225</v>
      </c>
      <c r="S52" s="17">
        <f>INDEX('Unique Asset List'!$D$4:$M$60,MATCH($B52,'Unique Asset List'!$A$4:$A$60,0),MATCH(S$8,'Unique Asset List'!$D$3:$M$3,0))</f>
        <v>0</v>
      </c>
      <c r="T52" s="17"/>
      <c r="U52" s="17">
        <f t="shared" si="15"/>
        <v>0</v>
      </c>
      <c r="V52" s="17">
        <v>1</v>
      </c>
      <c r="W52" s="9" t="s">
        <v>68</v>
      </c>
      <c r="X52" s="9">
        <f>INDEX('Unique Asset List'!$Y$4:$AE$60,MATCH('5'!$B52,'Unique Asset List'!$A$4:$A$60,0),MATCH('5'!$C$1,'Unique Asset List'!$Y$3:$AE$3,0))</f>
        <v>2033</v>
      </c>
      <c r="Y52" s="9">
        <f>INDEX('Unique Asset List'!$AF$4:$AL$60,MATCH('5'!$B52,'Unique Asset List'!$A$4:$A$60,0),MATCH('5'!$C$1,'Unique Asset List'!$AF$3:$AL$3,0))</f>
        <v>3.9999999999990905</v>
      </c>
      <c r="Z52" s="9">
        <f>INDEX('Unique Asset List'!$AT$4:$AZ$60,MATCH('5'!$B52,'Unique Asset List'!$A$4:$A$60,0),MATCH('5'!$C$1,'Unique Asset List'!$AT$3:$AZ$3,0))</f>
        <v>2041</v>
      </c>
      <c r="AA52" s="9">
        <f>INDEX('Unique Asset List'!$BA$4:$BG$60,MATCH('5'!$B52,'Unique Asset List'!$A$4:$A$60,0),MATCH('5'!$C$1,'Unique Asset List'!$BA$3:$BG$3,0))</f>
        <v>3</v>
      </c>
      <c r="AB52" s="16">
        <f t="shared" ref="AB52:AB58" si="16">SUMPRODUCT($BD52:$BK52,$BD$7:$BK$7)</f>
        <v>2.1518980000000005</v>
      </c>
      <c r="AC52" s="16">
        <f t="shared" ref="AC52:AC58" si="17">SUMPRODUCT($BL52:$BR52,$BL$7:$BR$7)</f>
        <v>0.94137550000000003</v>
      </c>
      <c r="AD52" s="16">
        <f t="shared" ref="AD52:AD58" si="18">SUMPRODUCT($BS52:$BV52,$BS$7:$BV$7)</f>
        <v>0.56099999999999994</v>
      </c>
      <c r="AE52" s="15">
        <f>INDEX('Unique Asset List'!$CJ$4:$CP$60,MATCH('5'!$B52,'Unique Asset List'!$A$4:$A$60,0),MATCH('5'!$C$1,'Unique Asset List'!$CJ$3:$CP$3,0))</f>
        <v>0.08</v>
      </c>
      <c r="AF52" s="15">
        <f>INDEX('Unique Asset List'!$CQ$4:$CW$60,MATCH('5'!$B52,'Unique Asset List'!$A$4:$A$60,0),MATCH('5'!$C$1,'Unique Asset List'!$CQ$3:$CW$3,0))</f>
        <v>0.42</v>
      </c>
      <c r="AG52" s="15">
        <f>INDEX('Unique Asset List'!$BV$4:$CB$60,MATCH('5'!$B52,'Unique Asset List'!$A$4:$A$60,0),MATCH('5'!$C$1,'Unique Asset List'!$BV$3:$CB$3,0))</f>
        <v>0.08</v>
      </c>
      <c r="AH52" s="15">
        <f>INDEX('Unique Asset List'!$CC$4:$CI$60,MATCH('5'!$B52,'Unique Asset List'!$A$4:$A$60,0),MATCH('5'!$C$1,'Unique Asset List'!$CC$3:$CI$3,0))</f>
        <v>0.42</v>
      </c>
      <c r="AI52" s="11">
        <v>0.96187963349867744</v>
      </c>
      <c r="AJ52" s="15">
        <f>INDEX('Unique Asset List'!$BH$4:$BN$60,MATCH('5'!$B52,'Unique Asset List'!$A$4:$A$60,0),MATCH('5'!$C$1,'Unique Asset List'!$BH$3:$BN$3,0))</f>
        <v>1.2944496352201866</v>
      </c>
      <c r="AK52" s="15">
        <f>INDEX('Unique Asset List'!$BO$4:$BU$60,MATCH('5'!$B52,'Unique Asset List'!$A$4:$A$60,0),MATCH('5'!$C$1,'Unique Asset List'!$BO$3:$BU$3,0))</f>
        <v>-1.4425350046709582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1"/>
        <v>0.82</v>
      </c>
      <c r="AS52" s="10">
        <v>1</v>
      </c>
      <c r="AT52" s="181">
        <f>INDEX('Unique Asset List'!N$4:N$60,MATCH($B52,_CompoundList,0))</f>
        <v>0</v>
      </c>
      <c r="AU52" s="181">
        <f>INDEX('Unique Asset List'!O$4:O$60,MATCH($B52,_CompoundList,0))</f>
        <v>0</v>
      </c>
      <c r="AV52" s="181">
        <f>INDEX('Unique Asset List'!P$4:P$60,MATCH($B52,_CompoundList,0))</f>
        <v>0</v>
      </c>
      <c r="AW52" s="181">
        <f>INDEX('Unique Asset List'!Q$4:Q$60,MATCH($B52,_CompoundList,0))</f>
        <v>0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4</v>
      </c>
      <c r="BE52" s="3">
        <f>IF($C$5="ON",CE52,MyRating(_E2,$B52,Efficacy!$F$1))</f>
        <v>4</v>
      </c>
      <c r="BF52" s="3">
        <f>IF($C$5="ON",CF52,MyRating(_E3,$B52,Efficacy!$F$1))</f>
        <v>4</v>
      </c>
      <c r="BG52" s="3">
        <f>IF($C$5="ON",CG52,MyRating(_E4,$B52,Efficacy!$F$1))</f>
        <v>4</v>
      </c>
      <c r="BH52" s="3">
        <f>IF($C$5="ON",CH52,MyRating(_E5,$B52,Efficacy!$F$1))</f>
        <v>4</v>
      </c>
      <c r="BI52" s="3">
        <f>IF($C$5="ON",CI52,MyRating(_E6,$B52,Efficacy!$F$1))</f>
        <v>3</v>
      </c>
      <c r="BJ52" s="3">
        <f>IF($C$5="ON",CJ52,MyRating(_E7,$B52,Efficacy!$F$1))</f>
        <v>3</v>
      </c>
      <c r="BK52" s="3">
        <f>IF($C$5="ON",CK52,MyRating(_E8,$B52,Efficacy!$F$1))</f>
        <v>4</v>
      </c>
      <c r="BL52" s="3">
        <f>IF($C$5="ON",CL52,MyRating(_S1,$B52,Efficacy!$F$1))</f>
        <v>4</v>
      </c>
      <c r="BM52" s="3">
        <f>IF($C$5="ON",CM52,MyRating(_S2,$B52,Efficacy!$F$1))</f>
        <v>3</v>
      </c>
      <c r="BN52" s="3">
        <f>IF($C$5="ON",CN52,MyRating(_S3,$B52,Efficacy!$F$1))</f>
        <v>3</v>
      </c>
      <c r="BO52" s="3">
        <f>IF($C$5="ON",CO52,MyRating(_S4,$B52,Efficacy!$F$1))</f>
        <v>4</v>
      </c>
      <c r="BP52" s="3">
        <f>IF($C$5="ON",CP52,MyRating(_S5,$B52,Efficacy!$F$1))</f>
        <v>5</v>
      </c>
      <c r="BQ52" s="3">
        <f>IF($C$5="ON",CQ52,MyRating(_S6,$B52,Efficacy!$F$1))</f>
        <v>3</v>
      </c>
      <c r="BR52" s="3">
        <f>IF($C$5="ON",CR52,MyRating(_S7,$B52,Efficacy!$F$1))</f>
        <v>3</v>
      </c>
      <c r="BS52" s="3">
        <f>IF($C$5="ON",CS52,MyRating(_D1,$B52,Efficacy!$F$1))</f>
        <v>3</v>
      </c>
      <c r="BT52" s="3">
        <f>IF($C$5="ON",CT52,MyRating(_D2,$B52,Efficacy!$F$1))</f>
        <v>3</v>
      </c>
      <c r="BU52" s="3">
        <f>IF($C$5="ON",CU52,MyRating(_D3,$B52,Efficacy!$F$1))</f>
        <v>3</v>
      </c>
      <c r="BV52" s="3">
        <f>IF($C$5="ON",CV52,MyRating(_D4,$B52,Efficacy!$F$1))</f>
        <v>3</v>
      </c>
      <c r="BW52" s="3">
        <f>IF($C$5="ON",CW52,MyRating(_B1G5,$B52,Barrier!$L$2))</f>
        <v>2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9"/>
        <v>0</v>
      </c>
      <c r="CA52" s="8">
        <f t="shared" si="12"/>
        <v>2.8000000000000003</v>
      </c>
      <c r="CB52" s="5">
        <f t="shared" si="13"/>
        <v>3.2941176470588251E-2</v>
      </c>
      <c r="CC52" s="7">
        <f t="shared" si="14"/>
        <v>5.9787261089987885E-3</v>
      </c>
      <c r="CD52" s="4">
        <v>4</v>
      </c>
      <c r="CE52" s="3">
        <v>5</v>
      </c>
      <c r="CF52" s="3">
        <v>5</v>
      </c>
      <c r="CG52" s="3">
        <v>4</v>
      </c>
      <c r="CH52" s="3">
        <v>4</v>
      </c>
      <c r="CI52" s="3">
        <v>3</v>
      </c>
      <c r="CJ52" s="3">
        <v>3</v>
      </c>
      <c r="CK52" s="3">
        <v>4</v>
      </c>
      <c r="CL52" s="3">
        <v>5</v>
      </c>
      <c r="CM52" s="3">
        <v>3</v>
      </c>
      <c r="CN52" s="3">
        <v>3</v>
      </c>
      <c r="CO52" s="3">
        <v>4</v>
      </c>
      <c r="CP52" s="3">
        <v>5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2</v>
      </c>
      <c r="CX52" s="3">
        <v>3</v>
      </c>
      <c r="CY52" s="6">
        <v>3</v>
      </c>
      <c r="CZ52" s="5">
        <v>3.6275844714639842E-2</v>
      </c>
    </row>
    <row r="53" spans="1:104" x14ac:dyDescent="0.25">
      <c r="A53" s="9" t="str">
        <f t="shared" si="10"/>
        <v>ES</v>
      </c>
      <c r="B53" s="9" t="s">
        <v>67</v>
      </c>
      <c r="C53" s="20" t="s">
        <v>3</v>
      </c>
      <c r="D53" s="9" t="s">
        <v>2</v>
      </c>
      <c r="E53" s="9" t="s">
        <v>186</v>
      </c>
      <c r="F53" s="9" t="str">
        <f>INDEX('Unique Asset List'!$C$4:$C$60,MATCH(B53,_CompoundList,0))</f>
        <v>PCD</v>
      </c>
      <c r="G53" s="19">
        <v>0</v>
      </c>
      <c r="H53" s="9">
        <v>2014</v>
      </c>
      <c r="I53" s="9">
        <v>6</v>
      </c>
      <c r="J53" s="18">
        <f>INDEX(PTRS!$D$6:$D$12,MATCH('5'!$F53,PTRS!$B$6:$B$12,0))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v>0.1044225</v>
      </c>
      <c r="N53" s="17">
        <f>INDEX('Unique Asset List'!$D$4:$M$60,MATCH($B53,'Unique Asset List'!$A$4:$A$60,0),MATCH(N$8,'Unique Asset List'!$D$3:$M$3,0))</f>
        <v>0.1044225</v>
      </c>
      <c r="O53" s="17">
        <f>INDEX('Unique Asset List'!$D$4:$M$60,MATCH($B53,'Unique Asset List'!$A$4:$A$60,0),MATCH(O$8,'Unique Asset List'!$D$3:$M$3,0))</f>
        <v>0.1044225</v>
      </c>
      <c r="P53" s="17">
        <f>INDEX('Unique Asset List'!$D$4:$M$60,MATCH($B53,'Unique Asset List'!$A$4:$A$60,0),MATCH(P$8,'Unique Asset List'!$D$3:$M$3,0))</f>
        <v>0.1044225</v>
      </c>
      <c r="Q53" s="17">
        <f>INDEX('Unique Asset List'!$D$4:$M$60,MATCH($B53,'Unique Asset List'!$A$4:$A$60,0),MATCH(Q$8,'Unique Asset List'!$D$3:$M$3,0))</f>
        <v>0.1044225</v>
      </c>
      <c r="R53" s="17">
        <f>INDEX('Unique Asset List'!$D$4:$M$60,MATCH($B53,'Unique Asset List'!$A$4:$A$60,0),MATCH(R$8,'Unique Asset List'!$D$3:$M$3,0))</f>
        <v>0.1044225</v>
      </c>
      <c r="S53" s="17">
        <f>INDEX('Unique Asset List'!$D$4:$M$60,MATCH($B53,'Unique Asset List'!$A$4:$A$60,0),MATCH(S$8,'Unique Asset List'!$D$3:$M$3,0))</f>
        <v>0</v>
      </c>
      <c r="T53" s="17"/>
      <c r="U53" s="17">
        <f t="shared" si="15"/>
        <v>0</v>
      </c>
      <c r="V53" s="17">
        <v>1</v>
      </c>
      <c r="W53" s="9" t="s">
        <v>67</v>
      </c>
      <c r="X53" s="9">
        <f>INDEX('Unique Asset List'!$Y$4:$AE$60,MATCH('5'!$B53,'Unique Asset List'!$A$4:$A$60,0),MATCH('5'!$C$1,'Unique Asset List'!$Y$3:$AE$3,0))</f>
        <v>2033</v>
      </c>
      <c r="Y53" s="9">
        <f>INDEX('Unique Asset List'!$AF$4:$AL$60,MATCH('5'!$B53,'Unique Asset List'!$A$4:$A$60,0),MATCH('5'!$C$1,'Unique Asset List'!$AF$3:$AL$3,0))</f>
        <v>3.9999999999990905</v>
      </c>
      <c r="Z53" s="9">
        <f>INDEX('Unique Asset List'!$AT$4:$AZ$60,MATCH('5'!$B53,'Unique Asset List'!$A$4:$A$60,0),MATCH('5'!$C$1,'Unique Asset List'!$AT$3:$AZ$3,0))</f>
        <v>2041</v>
      </c>
      <c r="AA53" s="9">
        <f>INDEX('Unique Asset List'!$BA$4:$BG$60,MATCH('5'!$B53,'Unique Asset List'!$A$4:$A$60,0),MATCH('5'!$C$1,'Unique Asset List'!$BA$3:$BG$3,0))</f>
        <v>3</v>
      </c>
      <c r="AB53" s="16">
        <f t="shared" si="16"/>
        <v>2.1518980000000005</v>
      </c>
      <c r="AC53" s="16">
        <f t="shared" si="17"/>
        <v>0.94137550000000003</v>
      </c>
      <c r="AD53" s="16">
        <f t="shared" si="18"/>
        <v>0.56099999999999994</v>
      </c>
      <c r="AE53" s="15">
        <f>INDEX('Unique Asset List'!$CJ$4:$CP$60,MATCH('5'!$B53,'Unique Asset List'!$A$4:$A$60,0),MATCH('5'!$C$1,'Unique Asset List'!$CJ$3:$CP$3,0))</f>
        <v>0.08</v>
      </c>
      <c r="AF53" s="15">
        <f>INDEX('Unique Asset List'!$CQ$4:$CW$60,MATCH('5'!$B53,'Unique Asset List'!$A$4:$A$60,0),MATCH('5'!$C$1,'Unique Asset List'!$CQ$3:$CW$3,0))</f>
        <v>0.42</v>
      </c>
      <c r="AG53" s="15">
        <f>INDEX('Unique Asset List'!$BV$4:$CB$60,MATCH('5'!$B53,'Unique Asset List'!$A$4:$A$60,0),MATCH('5'!$C$1,'Unique Asset List'!$BV$3:$CB$3,0))</f>
        <v>0.08</v>
      </c>
      <c r="AH53" s="15">
        <f>INDEX('Unique Asset List'!$CC$4:$CI$60,MATCH('5'!$B53,'Unique Asset List'!$A$4:$A$60,0),MATCH('5'!$C$1,'Unique Asset List'!$CC$3:$CI$3,0))</f>
        <v>0.42</v>
      </c>
      <c r="AI53" s="11">
        <v>0.96187963349867744</v>
      </c>
      <c r="AJ53" s="15">
        <f>INDEX('Unique Asset List'!$BH$4:$BN$60,MATCH('5'!$B53,'Unique Asset List'!$A$4:$A$60,0),MATCH('5'!$C$1,'Unique Asset List'!$BH$3:$BN$3,0))</f>
        <v>1.2944496352201866</v>
      </c>
      <c r="AK53" s="15">
        <f>INDEX('Unique Asset List'!$BO$4:$BU$60,MATCH('5'!$B53,'Unique Asset List'!$A$4:$A$60,0),MATCH('5'!$C$1,'Unique Asset List'!$BO$3:$BU$3,0))</f>
        <v>-1.4425350046709582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1"/>
        <v>0.82</v>
      </c>
      <c r="AS53" s="10">
        <v>1</v>
      </c>
      <c r="AT53" s="181">
        <f>INDEX('Unique Asset List'!N$4:N$60,MATCH($B53,_CompoundList,0))</f>
        <v>0</v>
      </c>
      <c r="AU53" s="181">
        <f>INDEX('Unique Asset List'!O$4:O$60,MATCH($B53,_CompoundList,0))</f>
        <v>0</v>
      </c>
      <c r="AV53" s="181">
        <f>INDEX('Unique Asset List'!P$4:P$60,MATCH($B53,_CompoundList,0))</f>
        <v>0</v>
      </c>
      <c r="AW53" s="181">
        <f>INDEX('Unique Asset List'!Q$4:Q$60,MATCH($B53,_CompoundList,0))</f>
        <v>0</v>
      </c>
      <c r="AX53" s="181">
        <f ca="1">INDEX('Unique Asset List'!R$4:R$60,MATCH($B53,_CompoundList,0))</f>
        <v>0</v>
      </c>
      <c r="AY53" s="181">
        <f ca="1">INDEX('Unique Asset List'!S$4:S$60,MATCH($B53,_CompoundList,0))</f>
        <v>0</v>
      </c>
      <c r="AZ53" s="181">
        <f ca="1">INDEX('Unique Asset List'!T$4:T$60,MATCH($B53,_CompoundList,0))</f>
        <v>0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0</v>
      </c>
      <c r="BC53" s="181">
        <f ca="1">INDEX('Unique Asset List'!W$4:W$60,MATCH($B53,_CompoundList,0))</f>
        <v>0</v>
      </c>
      <c r="BD53" s="4">
        <f>IF($C$5="ON",CD53,MyRating(_E1,$B53,Efficacy!$F$1))</f>
        <v>4</v>
      </c>
      <c r="BE53" s="3">
        <f>IF($C$5="ON",CE53,MyRating(_E2,$B53,Efficacy!$F$1))</f>
        <v>4</v>
      </c>
      <c r="BF53" s="3">
        <f>IF($C$5="ON",CF53,MyRating(_E3,$B53,Efficacy!$F$1))</f>
        <v>4</v>
      </c>
      <c r="BG53" s="3">
        <f>IF($C$5="ON",CG53,MyRating(_E4,$B53,Efficacy!$F$1))</f>
        <v>4</v>
      </c>
      <c r="BH53" s="3">
        <f>IF($C$5="ON",CH53,MyRating(_E5,$B53,Efficacy!$F$1))</f>
        <v>4</v>
      </c>
      <c r="BI53" s="3">
        <f>IF($C$5="ON",CI53,MyRating(_E6,$B53,Efficacy!$F$1))</f>
        <v>3</v>
      </c>
      <c r="BJ53" s="3">
        <f>IF($C$5="ON",CJ53,MyRating(_E7,$B53,Efficacy!$F$1))</f>
        <v>3</v>
      </c>
      <c r="BK53" s="3">
        <f>IF($C$5="ON",CK53,MyRating(_E8,$B53,Efficacy!$F$1))</f>
        <v>4</v>
      </c>
      <c r="BL53" s="3">
        <f>IF($C$5="ON",CL53,MyRating(_S1,$B53,Efficacy!$F$1))</f>
        <v>4</v>
      </c>
      <c r="BM53" s="3">
        <f>IF($C$5="ON",CM53,MyRating(_S2,$B53,Efficacy!$F$1))</f>
        <v>3</v>
      </c>
      <c r="BN53" s="3">
        <f>IF($C$5="ON",CN53,MyRating(_S3,$B53,Efficacy!$F$1))</f>
        <v>3</v>
      </c>
      <c r="BO53" s="3">
        <f>IF($C$5="ON",CO53,MyRating(_S4,$B53,Efficacy!$F$1))</f>
        <v>4</v>
      </c>
      <c r="BP53" s="3">
        <f>IF($C$5="ON",CP53,MyRating(_S5,$B53,Efficacy!$F$1))</f>
        <v>5</v>
      </c>
      <c r="BQ53" s="3">
        <f>IF($C$5="ON",CQ53,MyRating(_S6,$B53,Efficacy!$F$1))</f>
        <v>3</v>
      </c>
      <c r="BR53" s="3">
        <f>IF($C$5="ON",CR53,MyRating(_S7,$B53,Efficacy!$F$1))</f>
        <v>3</v>
      </c>
      <c r="BS53" s="3">
        <f>IF($C$5="ON",CS53,MyRating(_D1,$B53,Efficacy!$F$1))</f>
        <v>3</v>
      </c>
      <c r="BT53" s="3">
        <f>IF($C$5="ON",CT53,MyRating(_D2,$B53,Efficacy!$F$1))</f>
        <v>3</v>
      </c>
      <c r="BU53" s="3">
        <f>IF($C$5="ON",CU53,MyRating(_D3,$B53,Efficacy!$F$1))</f>
        <v>3</v>
      </c>
      <c r="BV53" s="3">
        <f>IF($C$5="ON",CV53,MyRating(_D4,$B53,Efficacy!$F$1))</f>
        <v>3</v>
      </c>
      <c r="BW53" s="3">
        <f>IF($C$5="ON",CW53,MyRating(_B1G5,$B53,Barrier!$L$2))</f>
        <v>2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9"/>
        <v>0</v>
      </c>
      <c r="CA53" s="8">
        <f t="shared" si="12"/>
        <v>2.8000000000000003</v>
      </c>
      <c r="CB53" s="5">
        <f t="shared" si="13"/>
        <v>3.2941176470588251E-2</v>
      </c>
      <c r="CC53" s="7">
        <f t="shared" si="14"/>
        <v>5.9787261089987885E-3</v>
      </c>
      <c r="CD53" s="4">
        <v>4</v>
      </c>
      <c r="CE53" s="3">
        <v>5</v>
      </c>
      <c r="CF53" s="3">
        <v>5</v>
      </c>
      <c r="CG53" s="3">
        <v>4</v>
      </c>
      <c r="CH53" s="3">
        <v>4</v>
      </c>
      <c r="CI53" s="3">
        <v>3</v>
      </c>
      <c r="CJ53" s="3">
        <v>3</v>
      </c>
      <c r="CK53" s="3">
        <v>4</v>
      </c>
      <c r="CL53" s="3">
        <v>5</v>
      </c>
      <c r="CM53" s="3">
        <v>3</v>
      </c>
      <c r="CN53" s="3">
        <v>3</v>
      </c>
      <c r="CO53" s="3">
        <v>4</v>
      </c>
      <c r="CP53" s="3">
        <v>5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2</v>
      </c>
      <c r="CX53" s="3">
        <v>3</v>
      </c>
      <c r="CY53" s="6">
        <v>3</v>
      </c>
      <c r="CZ53" s="5">
        <v>3.6275844714639842E-2</v>
      </c>
    </row>
    <row r="54" spans="1:104" x14ac:dyDescent="0.25">
      <c r="A54" s="9" t="str">
        <f t="shared" si="10"/>
        <v>ES</v>
      </c>
      <c r="B54" s="9" t="s">
        <v>279</v>
      </c>
      <c r="C54" s="20"/>
      <c r="D54" s="9" t="s">
        <v>2</v>
      </c>
      <c r="E54" s="9"/>
      <c r="F54" s="9" t="str">
        <f>INDEX('Unique Asset List'!$C$4:$C$60,MATCH(B54,_CompoundList,0))</f>
        <v>PCD</v>
      </c>
      <c r="G54" s="19">
        <v>0</v>
      </c>
      <c r="H54" s="9">
        <v>2014</v>
      </c>
      <c r="I54" s="9">
        <v>6</v>
      </c>
      <c r="J54" s="18">
        <f>INDEX(PTRS!$D$6:$D$12,MATCH('5'!$F54,PTRS!$B$6:$B$12,0))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v>0.1044225</v>
      </c>
      <c r="N54" s="17">
        <f>INDEX('Unique Asset List'!$D$4:$M$60,MATCH($B54,'Unique Asset List'!$A$4:$A$60,0),MATCH(N$8,'Unique Asset List'!$D$3:$M$3,0))</f>
        <v>0.1</v>
      </c>
      <c r="O54" s="17">
        <f>INDEX('Unique Asset List'!$D$4:$M$60,MATCH($B54,'Unique Asset List'!$A$4:$A$60,0),MATCH(O$8,'Unique Asset List'!$D$3:$M$3,0))</f>
        <v>0.1</v>
      </c>
      <c r="P54" s="17">
        <f>INDEX('Unique Asset List'!$D$4:$M$60,MATCH($B54,'Unique Asset List'!$A$4:$A$60,0),MATCH(P$8,'Unique Asset List'!$D$3:$M$3,0))</f>
        <v>0.1</v>
      </c>
      <c r="Q54" s="17">
        <f>INDEX('Unique Asset List'!$D$4:$M$60,MATCH($B54,'Unique Asset List'!$A$4:$A$60,0),MATCH(Q$8,'Unique Asset List'!$D$3:$M$3,0))</f>
        <v>0.1</v>
      </c>
      <c r="R54" s="17">
        <f>INDEX('Unique Asset List'!$D$4:$M$60,MATCH($B54,'Unique Asset List'!$A$4:$A$60,0),MATCH(R$8,'Unique Asset List'!$D$3:$M$3,0))</f>
        <v>0.1</v>
      </c>
      <c r="S54" s="17">
        <f>INDEX('Unique Asset List'!$D$4:$M$60,MATCH($B54,'Unique Asset List'!$A$4:$A$60,0),MATCH(S$8,'Unique Asset List'!$D$3:$M$3,0))</f>
        <v>0</v>
      </c>
      <c r="T54" s="17"/>
      <c r="U54" s="17">
        <f t="shared" si="15"/>
        <v>0.80682275808442805</v>
      </c>
      <c r="V54" s="17">
        <f>V13</f>
        <v>0.42</v>
      </c>
      <c r="W54" s="9" t="s">
        <v>0</v>
      </c>
      <c r="X54" s="9">
        <f>INDEX('Unique Asset List'!$Y$4:$AE$60,MATCH('5'!$B54,'Unique Asset List'!$A$4:$A$60,0),MATCH('5'!$C$1,'Unique Asset List'!$Y$3:$AE$3,0))</f>
        <v>2028</v>
      </c>
      <c r="Y54" s="9">
        <f>INDEX('Unique Asset List'!$AF$4:$AL$60,MATCH('5'!$B54,'Unique Asset List'!$A$4:$A$60,0),MATCH('5'!$C$1,'Unique Asset List'!$AF$3:$AL$3,0))</f>
        <v>6.9999999999990905</v>
      </c>
      <c r="Z54" s="9">
        <f>INDEX('Unique Asset List'!$AT$4:$AZ$60,MATCH('5'!$B54,'Unique Asset List'!$A$4:$A$60,0),MATCH('5'!$C$1,'Unique Asset List'!$AT$3:$AZ$3,0))</f>
        <v>2037</v>
      </c>
      <c r="AA54" s="9">
        <f>INDEX('Unique Asset List'!$BA$4:$BG$60,MATCH('5'!$B54,'Unique Asset List'!$A$4:$A$60,0),MATCH('5'!$C$1,'Unique Asset List'!$BA$3:$BG$3,0))</f>
        <v>6</v>
      </c>
      <c r="AB54" s="16">
        <f t="shared" si="16"/>
        <v>2.471114</v>
      </c>
      <c r="AC54" s="16">
        <f t="shared" si="17"/>
        <v>0.91994010000000004</v>
      </c>
      <c r="AD54" s="16">
        <f t="shared" si="18"/>
        <v>0.50129594525999999</v>
      </c>
      <c r="AE54" s="15">
        <f>INDEX('Unique Asset List'!$CJ$4:$CP$60,MATCH('5'!$B54,'Unique Asset List'!$A$4:$A$60,0),MATCH('5'!$C$1,'Unique Asset List'!$CJ$3:$CP$3,0))</f>
        <v>0.08</v>
      </c>
      <c r="AF54" s="15">
        <f>INDEX('Unique Asset List'!$CQ$4:$CW$60,MATCH('5'!$B54,'Unique Asset List'!$A$4:$A$60,0),MATCH('5'!$C$1,'Unique Asset List'!$CQ$3:$CW$3,0))</f>
        <v>0.42</v>
      </c>
      <c r="AG54" s="15">
        <f>INDEX('Unique Asset List'!$BV$4:$CB$60,MATCH('5'!$B54,'Unique Asset List'!$A$4:$A$60,0),MATCH('5'!$C$1,'Unique Asset List'!$BV$3:$CB$3,0))</f>
        <v>0.08</v>
      </c>
      <c r="AH54" s="15">
        <f>INDEX('Unique Asset List'!$CC$4:$CI$60,MATCH('5'!$B54,'Unique Asset List'!$A$4:$A$60,0),MATCH('5'!$C$1,'Unique Asset List'!$CC$3:$CI$3,0))</f>
        <v>0.42</v>
      </c>
      <c r="AI54" s="11">
        <v>0.96187963349867744</v>
      </c>
      <c r="AJ54" s="15">
        <f>INDEX('Unique Asset List'!$BH$4:$BN$60,MATCH('5'!$B54,'Unique Asset List'!$A$4:$A$60,0),MATCH('5'!$C$1,'Unique Asset List'!$BH$3:$BN$3,0))</f>
        <v>1.2944496352201866</v>
      </c>
      <c r="AK54" s="15">
        <f>INDEX('Unique Asset List'!$BO$4:$BU$60,MATCH('5'!$B54,'Unique Asset List'!$A$4:$A$60,0),MATCH('5'!$C$1,'Unique Asset List'!$BO$3:$BU$3,0))</f>
        <v>-1.4425350046709582</v>
      </c>
      <c r="AL54" s="9">
        <v>146.07692307692309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1"/>
        <v>0.82</v>
      </c>
      <c r="AS54" s="10">
        <v>0.28767123287671198</v>
      </c>
      <c r="AT54" s="181">
        <f>INDEX('Unique Asset List'!N$4:N$60,MATCH($B54,_CompoundList,0))</f>
        <v>0</v>
      </c>
      <c r="AU54" s="181">
        <f>INDEX('Unique Asset List'!O$4:O$60,MATCH($B54,_CompoundList,0))</f>
        <v>0</v>
      </c>
      <c r="AV54" s="181">
        <f>INDEX('Unique Asset List'!P$4:P$60,MATCH($B54,_CompoundList,0))</f>
        <v>0</v>
      </c>
      <c r="AW54" s="181">
        <f>INDEX('Unique Asset List'!Q$4:Q$60,MATCH($B54,_CompoundList,0))</f>
        <v>0</v>
      </c>
      <c r="AX54" s="181">
        <f ca="1">INDEX('Unique Asset List'!R$4:R$60,MATCH($B54,_CompoundList,0))</f>
        <v>0</v>
      </c>
      <c r="AY54" s="181">
        <f ca="1">INDEX('Unique Asset List'!S$4:S$60,MATCH($B54,_CompoundList,0))</f>
        <v>0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0</v>
      </c>
      <c r="BB54" s="181">
        <f ca="1">INDEX('Unique Asset List'!V$4:V$60,MATCH($B54,_CompoundList,0))</f>
        <v>0</v>
      </c>
      <c r="BC54" s="181">
        <f ca="1">INDEX('Unique Asset List'!W$4:W$60,MATCH($B54,_CompoundList,0))</f>
        <v>1</v>
      </c>
      <c r="BD54" s="4">
        <f>IF($C$5="ON",CD54,MyRating(_E1,$B54,Efficacy!$F$1))</f>
        <v>5</v>
      </c>
      <c r="BE54" s="3">
        <f>IF($C$5="ON",CE54,MyRating(_E2,$B54,Efficacy!$F$1))</f>
        <v>5</v>
      </c>
      <c r="BF54" s="3">
        <f>IF($C$5="ON",CF54,MyRating(_E3,$B54,Efficacy!$F$1))</f>
        <v>5</v>
      </c>
      <c r="BG54" s="3">
        <f>IF($C$5="ON",CG54,MyRating(_E4,$B54,Efficacy!$F$1))</f>
        <v>5</v>
      </c>
      <c r="BH54" s="3">
        <f>IF($C$5="ON",CH54,MyRating(_E5,$B54,Efficacy!$F$1))</f>
        <v>4</v>
      </c>
      <c r="BI54" s="3">
        <f>IF($C$5="ON",CI54,MyRating(_E6,$B54,Efficacy!$F$1))</f>
        <v>3</v>
      </c>
      <c r="BJ54" s="3">
        <f>IF($C$5="ON",CJ54,MyRating(_E7,$B54,Efficacy!$F$1))</f>
        <v>4</v>
      </c>
      <c r="BK54" s="3">
        <f>IF($C$5="ON",CK54,MyRating(_E8,$B54,Efficacy!$F$1))</f>
        <v>3</v>
      </c>
      <c r="BL54" s="3">
        <f>IF($C$5="ON",CL54,MyRating(_S1,$B54,Efficacy!$F$1))</f>
        <v>4</v>
      </c>
      <c r="BM54" s="3">
        <f>IF($C$5="ON",CM54,MyRating(_S2,$B54,Efficacy!$F$1))</f>
        <v>3</v>
      </c>
      <c r="BN54" s="3">
        <f>IF($C$5="ON",CN54,MyRating(_S3,$B54,Efficacy!$F$1))</f>
        <v>3</v>
      </c>
      <c r="BO54" s="3">
        <f>IF($C$5="ON",CO54,MyRating(_S4,$B54,Efficacy!$F$1))</f>
        <v>4</v>
      </c>
      <c r="BP54" s="3">
        <f>IF($C$5="ON",CP54,MyRating(_S5,$B54,Efficacy!$F$1))</f>
        <v>5</v>
      </c>
      <c r="BQ54" s="3">
        <f>IF($C$5="ON",CQ54,MyRating(_S6,$B54,Efficacy!$F$1))</f>
        <v>2</v>
      </c>
      <c r="BR54" s="3">
        <f>IF($C$5="ON",CR54,MyRating(_S7,$B54,Efficacy!$F$1))</f>
        <v>3</v>
      </c>
      <c r="BS54" s="3">
        <f>IF($C$5="ON",CS54,MyRating(_D1,$B54,Efficacy!$F$1))</f>
        <v>2</v>
      </c>
      <c r="BT54" s="3">
        <f>IF($C$5="ON",CT54,MyRating(_D2,$B54,Efficacy!$F$1))</f>
        <v>3</v>
      </c>
      <c r="BU54" s="3">
        <f>IF($C$5="ON",CU54,MyRating(_D3,$B54,Efficacy!$F$1))</f>
        <v>3</v>
      </c>
      <c r="BV54" s="3">
        <f>IF($C$5="ON",CV54,MyRating(_D4,$B54,Efficacy!$F$1))</f>
        <v>3</v>
      </c>
      <c r="BW54" s="3">
        <f>IF($C$5="ON",CW54,MyRating(_B1G5,$B54,Barrier!$L$2))</f>
        <v>1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9"/>
        <v>2.9893223831915738E-2</v>
      </c>
      <c r="CA54" s="8">
        <f t="shared" si="12"/>
        <v>2.6000000000000005</v>
      </c>
      <c r="CB54" s="5">
        <f t="shared" si="13"/>
        <v>3.058823529411767E-2</v>
      </c>
      <c r="CC54" s="7">
        <f t="shared" si="14"/>
        <v>5.3497271616647964E-3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>
        <v>0</v>
      </c>
    </row>
    <row r="55" spans="1:104" x14ac:dyDescent="0.25">
      <c r="A55" s="9" t="str">
        <f t="shared" si="10"/>
        <v>ES</v>
      </c>
      <c r="B55" s="9" t="s">
        <v>185</v>
      </c>
      <c r="C55" s="20" t="s">
        <v>3</v>
      </c>
      <c r="D55" s="9" t="s">
        <v>2</v>
      </c>
      <c r="E55" s="9"/>
      <c r="F55" s="9" t="str">
        <f>INDEX('Unique Asset List'!$C$4:$C$60,MATCH(B55,_CompoundList,0))</f>
        <v>PCD</v>
      </c>
      <c r="G55" s="19">
        <v>0</v>
      </c>
      <c r="H55" s="9">
        <v>2014</v>
      </c>
      <c r="I55" s="9">
        <v>6</v>
      </c>
      <c r="J55" s="18">
        <f>INDEX(PTRS!$D$6:$D$12,MATCH('5'!$F55,PTRS!$B$6:$B$12,0))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v>0.1044225</v>
      </c>
      <c r="N55" s="17">
        <f>INDEX('Unique Asset List'!$D$4:$M$60,MATCH($B55,'Unique Asset List'!$A$4:$A$60,0),MATCH(N$8,'Unique Asset List'!$D$3:$M$3,0))</f>
        <v>0</v>
      </c>
      <c r="O55" s="17">
        <f>INDEX('Unique Asset List'!$D$4:$M$60,MATCH($B55,'Unique Asset List'!$A$4:$A$60,0),MATCH(O$8,'Unique Asset List'!$D$3:$M$3,0))</f>
        <v>0</v>
      </c>
      <c r="P55" s="17">
        <f>INDEX('Unique Asset List'!$D$4:$M$60,MATCH($B55,'Unique Asset List'!$A$4:$A$60,0),MATCH(P$8,'Unique Asset List'!$D$3:$M$3,0))</f>
        <v>0</v>
      </c>
      <c r="Q55" s="17">
        <f>INDEX('Unique Asset List'!$D$4:$M$60,MATCH($B55,'Unique Asset List'!$A$4:$A$60,0),MATCH(Q$8,'Unique Asset List'!$D$3:$M$3,0))</f>
        <v>0</v>
      </c>
      <c r="R55" s="17">
        <f>INDEX('Unique Asset List'!$D$4:$M$60,MATCH($B55,'Unique Asset List'!$A$4:$A$60,0),MATCH(R$8,'Unique Asset List'!$D$3:$M$3,0))</f>
        <v>0</v>
      </c>
      <c r="S55" s="17">
        <f>INDEX('Unique Asset List'!$D$4:$M$60,MATCH($B55,'Unique Asset List'!$A$4:$A$60,0),MATCH(S$8,'Unique Asset List'!$D$3:$M$3,0))</f>
        <v>0</v>
      </c>
      <c r="T55" s="17"/>
      <c r="U55" s="17">
        <f t="shared" si="15"/>
        <v>0</v>
      </c>
      <c r="V55" s="17">
        <v>1</v>
      </c>
      <c r="W55" s="9" t="s">
        <v>0</v>
      </c>
      <c r="X55" s="9">
        <f>INDEX('Unique Asset List'!$Y$4:$AE$60,MATCH('5'!$B55,'Unique Asset List'!$A$4:$A$60,0),MATCH('5'!$C$1,'Unique Asset List'!$Y$3:$AE$3,0))</f>
        <v>2052</v>
      </c>
      <c r="Y55" s="9">
        <f>INDEX('Unique Asset List'!$AF$4:$AL$60,MATCH('5'!$B55,'Unique Asset List'!$A$4:$A$60,0),MATCH('5'!$C$1,'Unique Asset List'!$AF$3:$AL$3,0))</f>
        <v>7.000000000001819</v>
      </c>
      <c r="Z55" s="9">
        <f>INDEX('Unique Asset List'!$AT$4:$AZ$60,MATCH('5'!$B55,'Unique Asset List'!$A$4:$A$60,0),MATCH('5'!$C$1,'Unique Asset List'!$AT$3:$AZ$3,0))</f>
        <v>2060</v>
      </c>
      <c r="AA55" s="9">
        <f>INDEX('Unique Asset List'!$BA$4:$BG$60,MATCH('5'!$B55,'Unique Asset List'!$A$4:$A$60,0),MATCH('5'!$C$1,'Unique Asset List'!$BA$3:$BG$3,0))</f>
        <v>6</v>
      </c>
      <c r="AB55" s="16">
        <f t="shared" si="16"/>
        <v>0</v>
      </c>
      <c r="AC55" s="16">
        <f t="shared" si="17"/>
        <v>0</v>
      </c>
      <c r="AD55" s="16">
        <f t="shared" si="18"/>
        <v>0</v>
      </c>
      <c r="AE55" s="15">
        <f>INDEX('Unique Asset List'!$CJ$4:$CP$60,MATCH('5'!$B55,'Unique Asset List'!$A$4:$A$60,0),MATCH('5'!$C$1,'Unique Asset List'!$CJ$3:$CP$3,0))</f>
        <v>0.08</v>
      </c>
      <c r="AF55" s="15">
        <f>INDEX('Unique Asset List'!$CQ$4:$CW$60,MATCH('5'!$B55,'Unique Asset List'!$A$4:$A$60,0),MATCH('5'!$C$1,'Unique Asset List'!$CQ$3:$CW$3,0))</f>
        <v>0.42</v>
      </c>
      <c r="AG55" s="15">
        <f>INDEX('Unique Asset List'!$BV$4:$CB$60,MATCH('5'!$B55,'Unique Asset List'!$A$4:$A$60,0),MATCH('5'!$C$1,'Unique Asset List'!$BV$3:$CB$3,0))</f>
        <v>0.08</v>
      </c>
      <c r="AH55" s="15">
        <f>INDEX('Unique Asset List'!$CC$4:$CI$60,MATCH('5'!$B55,'Unique Asset List'!$A$4:$A$60,0),MATCH('5'!$C$1,'Unique Asset List'!$CC$3:$CI$3,0))</f>
        <v>0.42</v>
      </c>
      <c r="AI55" s="11">
        <v>0.96187963349867744</v>
      </c>
      <c r="AJ55" s="15">
        <f>INDEX('Unique Asset List'!$BH$4:$BN$60,MATCH('5'!$B55,'Unique Asset List'!$A$4:$A$60,0),MATCH('5'!$C$1,'Unique Asset List'!$BH$3:$BN$3,0))</f>
        <v>1.2944496352201866</v>
      </c>
      <c r="AK55" s="15">
        <f>INDEX('Unique Asset List'!$BO$4:$BU$60,MATCH('5'!$B55,'Unique Asset List'!$A$4:$A$60,0),MATCH('5'!$C$1,'Unique Asset List'!$BO$3:$BU$3,0))</f>
        <v>-1.4425350046709582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1"/>
        <v>0.82</v>
      </c>
      <c r="AS55" s="10">
        <v>1</v>
      </c>
      <c r="AT55" s="181">
        <f>INDEX('Unique Asset List'!N$4:N$60,MATCH($B55,_CompoundList,0))</f>
        <v>0</v>
      </c>
      <c r="AU55" s="181">
        <f>INDEX('Unique Asset List'!O$4:O$60,MATCH($B55,_CompoundList,0))</f>
        <v>0</v>
      </c>
      <c r="AV55" s="181">
        <f>INDEX('Unique Asset List'!P$4:P$60,MATCH($B55,_CompoundList,0))</f>
        <v>0</v>
      </c>
      <c r="AW55" s="181">
        <f>INDEX('Unique Asset List'!Q$4:Q$60,MATCH($B55,_CompoundList,0))</f>
        <v>0</v>
      </c>
      <c r="AX55" s="181">
        <f ca="1">INDEX('Unique Asset List'!R$4:R$60,MATCH($B55,_CompoundList,0))</f>
        <v>0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0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0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IF($C$5="ON",CL55,MyRating(_S1,$B55,Efficacy!$F$1))</f>
        <v>0</v>
      </c>
      <c r="BM55" s="3">
        <f>IF($C$5="ON",CM55,MyRating(_S2,$B55,Efficacy!$F$1))</f>
        <v>0</v>
      </c>
      <c r="BN55" s="3">
        <f>IF($C$5="ON",CN55,MyRating(_S3,$B55,Efficacy!$F$1))</f>
        <v>0</v>
      </c>
      <c r="BO55" s="3">
        <f>IF($C$5="ON",CO55,MyRating(_S4,$B55,Efficacy!$F$1))</f>
        <v>0</v>
      </c>
      <c r="BP55" s="3">
        <f>IF($C$5="ON",CP55,MyRating(_S5,$B55,Efficacy!$F$1))</f>
        <v>0</v>
      </c>
      <c r="BQ55" s="3">
        <f>IF($C$5="ON",CQ55,MyRating(_S6,$B55,Efficacy!$F$1))</f>
        <v>0</v>
      </c>
      <c r="BR55" s="3">
        <f>IF($C$5="ON",CR55,MyRating(_S7,$B55,Efficacy!$F$1))</f>
        <v>0</v>
      </c>
      <c r="BS55" s="3">
        <f>IF($C$5="ON",CS55,MyRating(_D1,$B55,Efficacy!$F$1))</f>
        <v>0</v>
      </c>
      <c r="BT55" s="3">
        <f>IF($C$5="ON",CT55,MyRating(_D2,$B55,Efficacy!$F$1))</f>
        <v>0</v>
      </c>
      <c r="BU55" s="3">
        <f>IF($C$5="ON",CU55,MyRating(_D3,$B55,Efficacy!$F$1))</f>
        <v>0</v>
      </c>
      <c r="BV55" s="3">
        <f>IF($C$5="ON",CV55,MyRating(_D4,$B55,Efficacy!$F$1))</f>
        <v>0</v>
      </c>
      <c r="BW55" s="3">
        <f>IF($C$5="ON",CW55,MyRating(_B1G5,$B55,Barrier!$L$2))</f>
        <v>0</v>
      </c>
      <c r="BX55" s="3">
        <f>IF($C$5="ON",CX55,MyRating(_B2,$B55,Barrier!$F$2))</f>
        <v>0</v>
      </c>
      <c r="BY55" s="6">
        <f>IF($C$5="ON",CY55,MyRating(_B3,$B55,Barrier!$F$2))</f>
        <v>0</v>
      </c>
      <c r="BZ55" s="5">
        <f t="shared" si="9"/>
        <v>0</v>
      </c>
      <c r="CA55" s="8">
        <f t="shared" si="12"/>
        <v>0</v>
      </c>
      <c r="CB55" s="5">
        <f t="shared" si="13"/>
        <v>0</v>
      </c>
      <c r="CC55" s="7">
        <f t="shared" si="14"/>
        <v>0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>
        <v>0</v>
      </c>
    </row>
    <row r="56" spans="1:104" x14ac:dyDescent="0.25">
      <c r="A56" s="9" t="str">
        <f t="shared" si="10"/>
        <v>ES</v>
      </c>
      <c r="B56" s="9" t="s">
        <v>184</v>
      </c>
      <c r="C56" s="20" t="s">
        <v>3</v>
      </c>
      <c r="D56" s="9" t="s">
        <v>2</v>
      </c>
      <c r="E56" s="9"/>
      <c r="F56" s="9" t="str">
        <f>INDEX('Unique Asset List'!$C$4:$C$60,MATCH(B56,_CompoundList,0))</f>
        <v>PCD</v>
      </c>
      <c r="G56" s="19">
        <v>0</v>
      </c>
      <c r="H56" s="9">
        <v>2014</v>
      </c>
      <c r="I56" s="9">
        <v>6</v>
      </c>
      <c r="J56" s="18">
        <f>INDEX(PTRS!$D$6:$D$12,MATCH('5'!$F56,PTRS!$B$6:$B$12,0))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v>0.1044225</v>
      </c>
      <c r="N56" s="17">
        <f>INDEX('Unique Asset List'!$D$4:$M$60,MATCH($B56,'Unique Asset List'!$A$4:$A$60,0),MATCH(N$8,'Unique Asset List'!$D$3:$M$3,0))</f>
        <v>0</v>
      </c>
      <c r="O56" s="17">
        <f>INDEX('Unique Asset List'!$D$4:$M$60,MATCH($B56,'Unique Asset List'!$A$4:$A$60,0),MATCH(O$8,'Unique Asset List'!$D$3:$M$3,0))</f>
        <v>0</v>
      </c>
      <c r="P56" s="17">
        <f>INDEX('Unique Asset List'!$D$4:$M$60,MATCH($B56,'Unique Asset List'!$A$4:$A$60,0),MATCH(P$8,'Unique Asset List'!$D$3:$M$3,0))</f>
        <v>0</v>
      </c>
      <c r="Q56" s="17">
        <f>INDEX('Unique Asset List'!$D$4:$M$60,MATCH($B56,'Unique Asset List'!$A$4:$A$60,0),MATCH(Q$8,'Unique Asset List'!$D$3:$M$3,0))</f>
        <v>0</v>
      </c>
      <c r="R56" s="17">
        <f>INDEX('Unique Asset List'!$D$4:$M$60,MATCH($B56,'Unique Asset List'!$A$4:$A$60,0),MATCH(R$8,'Unique Asset List'!$D$3:$M$3,0))</f>
        <v>0</v>
      </c>
      <c r="S56" s="17">
        <f>INDEX('Unique Asset List'!$D$4:$M$60,MATCH($B56,'Unique Asset List'!$A$4:$A$60,0),MATCH(S$8,'Unique Asset List'!$D$3:$M$3,0))</f>
        <v>0</v>
      </c>
      <c r="T56" s="17"/>
      <c r="U56" s="17">
        <f t="shared" si="15"/>
        <v>0</v>
      </c>
      <c r="V56" s="17">
        <v>1</v>
      </c>
      <c r="W56" s="9" t="s">
        <v>0</v>
      </c>
      <c r="X56" s="9">
        <f>INDEX('Unique Asset List'!$Y$4:$AE$60,MATCH('5'!$B56,'Unique Asset List'!$A$4:$A$60,0),MATCH('5'!$C$1,'Unique Asset List'!$Y$3:$AE$3,0))</f>
        <v>2052</v>
      </c>
      <c r="Y56" s="9">
        <f>INDEX('Unique Asset List'!$AF$4:$AL$60,MATCH('5'!$B56,'Unique Asset List'!$A$4:$A$60,0),MATCH('5'!$C$1,'Unique Asset List'!$AF$3:$AL$3,0))</f>
        <v>7.000000000001819</v>
      </c>
      <c r="Z56" s="9">
        <f>INDEX('Unique Asset List'!$AT$4:$AZ$60,MATCH('5'!$B56,'Unique Asset List'!$A$4:$A$60,0),MATCH('5'!$C$1,'Unique Asset List'!$AT$3:$AZ$3,0))</f>
        <v>2060</v>
      </c>
      <c r="AA56" s="9">
        <f>INDEX('Unique Asset List'!$BA$4:$BG$60,MATCH('5'!$B56,'Unique Asset List'!$A$4:$A$60,0),MATCH('5'!$C$1,'Unique Asset List'!$BA$3:$BG$3,0))</f>
        <v>6</v>
      </c>
      <c r="AB56" s="16">
        <f t="shared" si="16"/>
        <v>0</v>
      </c>
      <c r="AC56" s="16">
        <f t="shared" si="17"/>
        <v>0</v>
      </c>
      <c r="AD56" s="16">
        <f t="shared" si="18"/>
        <v>0</v>
      </c>
      <c r="AE56" s="15">
        <f>INDEX('Unique Asset List'!$CJ$4:$CP$60,MATCH('5'!$B56,'Unique Asset List'!$A$4:$A$60,0),MATCH('5'!$C$1,'Unique Asset List'!$CJ$3:$CP$3,0))</f>
        <v>0.08</v>
      </c>
      <c r="AF56" s="15">
        <f>INDEX('Unique Asset List'!$CQ$4:$CW$60,MATCH('5'!$B56,'Unique Asset List'!$A$4:$A$60,0),MATCH('5'!$C$1,'Unique Asset List'!$CQ$3:$CW$3,0))</f>
        <v>0.42</v>
      </c>
      <c r="AG56" s="15">
        <f>INDEX('Unique Asset List'!$BV$4:$CB$60,MATCH('5'!$B56,'Unique Asset List'!$A$4:$A$60,0),MATCH('5'!$C$1,'Unique Asset List'!$BV$3:$CB$3,0))</f>
        <v>0.08</v>
      </c>
      <c r="AH56" s="15">
        <f>INDEX('Unique Asset List'!$CC$4:$CI$60,MATCH('5'!$B56,'Unique Asset List'!$A$4:$A$60,0),MATCH('5'!$C$1,'Unique Asset List'!$CC$3:$CI$3,0))</f>
        <v>0.42</v>
      </c>
      <c r="AI56" s="11">
        <v>0.96187963349867744</v>
      </c>
      <c r="AJ56" s="15">
        <f>INDEX('Unique Asset List'!$BH$4:$BN$60,MATCH('5'!$B56,'Unique Asset List'!$A$4:$A$60,0),MATCH('5'!$C$1,'Unique Asset List'!$BH$3:$BN$3,0))</f>
        <v>1.2944496352201866</v>
      </c>
      <c r="AK56" s="15">
        <f>INDEX('Unique Asset List'!$BO$4:$BU$60,MATCH('5'!$B56,'Unique Asset List'!$A$4:$A$60,0),MATCH('5'!$C$1,'Unique Asset List'!$BO$3:$BU$3,0))</f>
        <v>-1.4425350046709582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1"/>
        <v>0.82</v>
      </c>
      <c r="AS56" s="10">
        <v>1</v>
      </c>
      <c r="AT56" s="181">
        <f>INDEX('Unique Asset List'!N$4:N$60,MATCH($B56,_CompoundList,0))</f>
        <v>0</v>
      </c>
      <c r="AU56" s="181">
        <f>INDEX('Unique Asset List'!O$4:O$60,MATCH($B56,_CompoundList,0))</f>
        <v>0</v>
      </c>
      <c r="AV56" s="181">
        <f>INDEX('Unique Asset List'!P$4:P$60,MATCH($B56,_CompoundList,0))</f>
        <v>0</v>
      </c>
      <c r="AW56" s="181">
        <f>INDEX('Unique Asset List'!Q$4:Q$60,MATCH($B56,_CompoundList,0))</f>
        <v>0</v>
      </c>
      <c r="AX56" s="181">
        <f ca="1">INDEX('Unique Asset List'!R$4:R$60,MATCH($B56,_CompoundList,0))</f>
        <v>0</v>
      </c>
      <c r="AY56" s="181">
        <f ca="1">INDEX('Unique Asset List'!S$4:S$60,MATCH($B56,_CompoundList,0))</f>
        <v>0</v>
      </c>
      <c r="AZ56" s="181">
        <f ca="1">INDEX('Unique Asset List'!T$4:T$60,MATCH($B56,_CompoundList,0))</f>
        <v>0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0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IF($C$5="ON",CL56,MyRating(_S1,$B56,Efficacy!$F$1))</f>
        <v>0</v>
      </c>
      <c r="BM56" s="3">
        <f>IF($C$5="ON",CM56,MyRating(_S2,$B56,Efficacy!$F$1))</f>
        <v>0</v>
      </c>
      <c r="BN56" s="3">
        <f>IF($C$5="ON",CN56,MyRating(_S3,$B56,Efficacy!$F$1))</f>
        <v>0</v>
      </c>
      <c r="BO56" s="3">
        <f>IF($C$5="ON",CO56,MyRating(_S4,$B56,Efficacy!$F$1))</f>
        <v>0</v>
      </c>
      <c r="BP56" s="3">
        <f>IF($C$5="ON",CP56,MyRating(_S5,$B56,Efficacy!$F$1))</f>
        <v>0</v>
      </c>
      <c r="BQ56" s="3">
        <f>IF($C$5="ON",CQ56,MyRating(_S6,$B56,Efficacy!$F$1))</f>
        <v>0</v>
      </c>
      <c r="BR56" s="3">
        <f>IF($C$5="ON",CR56,MyRating(_S7,$B56,Efficacy!$F$1))</f>
        <v>0</v>
      </c>
      <c r="BS56" s="3">
        <f>IF($C$5="ON",CS56,MyRating(_D1,$B56,Efficacy!$F$1))</f>
        <v>0</v>
      </c>
      <c r="BT56" s="3">
        <f>IF($C$5="ON",CT56,MyRating(_D2,$B56,Efficacy!$F$1))</f>
        <v>0</v>
      </c>
      <c r="BU56" s="3">
        <f>IF($C$5="ON",CU56,MyRating(_D3,$B56,Efficacy!$F$1))</f>
        <v>0</v>
      </c>
      <c r="BV56" s="3">
        <f>IF($C$5="ON",CV56,MyRating(_D4,$B56,Efficacy!$F$1))</f>
        <v>0</v>
      </c>
      <c r="BW56" s="3">
        <f>IF($C$5="ON",CW56,MyRating(_B1G5,$B56,Barrier!$L$2))</f>
        <v>0</v>
      </c>
      <c r="BX56" s="3">
        <f>IF($C$5="ON",CX56,MyRating(_B2,$B56,Barrier!$F$2))</f>
        <v>0</v>
      </c>
      <c r="BY56" s="6">
        <f>IF($C$5="ON",CY56,MyRating(_B3,$B56,Barrier!$F$2))</f>
        <v>0</v>
      </c>
      <c r="BZ56" s="5">
        <f t="shared" si="9"/>
        <v>0</v>
      </c>
      <c r="CA56" s="8">
        <f t="shared" si="12"/>
        <v>0</v>
      </c>
      <c r="CB56" s="5">
        <f t="shared" si="13"/>
        <v>0</v>
      </c>
      <c r="CC56" s="7">
        <f t="shared" si="14"/>
        <v>0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>
        <v>0</v>
      </c>
    </row>
    <row r="57" spans="1:104" x14ac:dyDescent="0.25">
      <c r="A57" s="9" t="str">
        <f t="shared" si="10"/>
        <v>ES</v>
      </c>
      <c r="B57" s="9" t="s">
        <v>183</v>
      </c>
      <c r="C57" s="20" t="s">
        <v>3</v>
      </c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2014</v>
      </c>
      <c r="I57" s="9">
        <v>6</v>
      </c>
      <c r="J57" s="18">
        <f>INDEX(PTRS!$D$6:$D$12,MATCH('5'!$F57,PTRS!$B$6:$B$12,0))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v>0.1044225</v>
      </c>
      <c r="N57" s="17">
        <f>INDEX('Unique Asset List'!$D$4:$M$60,MATCH($B57,'Unique Asset List'!$A$4:$A$60,0),MATCH(N$8,'Unique Asset List'!$D$3:$M$3,0))</f>
        <v>0</v>
      </c>
      <c r="O57" s="17">
        <f>INDEX('Unique Asset List'!$D$4:$M$60,MATCH($B57,'Unique Asset List'!$A$4:$A$60,0),MATCH(O$8,'Unique Asset List'!$D$3:$M$3,0))</f>
        <v>0</v>
      </c>
      <c r="P57" s="17">
        <f>INDEX('Unique Asset List'!$D$4:$M$60,MATCH($B57,'Unique Asset List'!$A$4:$A$60,0),MATCH(P$8,'Unique Asset List'!$D$3:$M$3,0))</f>
        <v>0</v>
      </c>
      <c r="Q57" s="17">
        <f>INDEX('Unique Asset List'!$D$4:$M$60,MATCH($B57,'Unique Asset List'!$A$4:$A$60,0),MATCH(Q$8,'Unique Asset List'!$D$3:$M$3,0))</f>
        <v>0</v>
      </c>
      <c r="R57" s="17">
        <f>INDEX('Unique Asset List'!$D$4:$M$60,MATCH($B57,'Unique Asset List'!$A$4:$A$60,0),MATCH(R$8,'Unique Asset List'!$D$3:$M$3,0))</f>
        <v>0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15"/>
        <v>0</v>
      </c>
      <c r="V57" s="17">
        <v>1</v>
      </c>
      <c r="W57" s="9" t="s">
        <v>0</v>
      </c>
      <c r="X57" s="9">
        <f>INDEX('Unique Asset List'!$Y$4:$AE$60,MATCH('5'!$B57,'Unique Asset List'!$A$4:$A$60,0),MATCH('5'!$C$1,'Unique Asset List'!$Y$3:$AE$3,0))</f>
        <v>2052</v>
      </c>
      <c r="Y57" s="9">
        <f>INDEX('Unique Asset List'!$AF$4:$AL$60,MATCH('5'!$B57,'Unique Asset List'!$A$4:$A$60,0),MATCH('5'!$C$1,'Unique Asset List'!$AF$3:$AL$3,0))</f>
        <v>7.000000000001819</v>
      </c>
      <c r="Z57" s="9">
        <f>INDEX('Unique Asset List'!$AT$4:$AZ$60,MATCH('5'!$B57,'Unique Asset List'!$A$4:$A$60,0),MATCH('5'!$C$1,'Unique Asset List'!$AT$3:$AZ$3,0))</f>
        <v>2060</v>
      </c>
      <c r="AA57" s="9">
        <f>INDEX('Unique Asset List'!$BA$4:$BG$60,MATCH('5'!$B57,'Unique Asset List'!$A$4:$A$60,0),MATCH('5'!$C$1,'Unique Asset List'!$BA$3:$BG$3,0))</f>
        <v>6</v>
      </c>
      <c r="AB57" s="16">
        <f t="shared" si="16"/>
        <v>0</v>
      </c>
      <c r="AC57" s="16">
        <f t="shared" si="17"/>
        <v>0</v>
      </c>
      <c r="AD57" s="16">
        <f t="shared" si="18"/>
        <v>0</v>
      </c>
      <c r="AE57" s="15">
        <f>INDEX('Unique Asset List'!$CJ$4:$CP$60,MATCH('5'!$B57,'Unique Asset List'!$A$4:$A$60,0),MATCH('5'!$C$1,'Unique Asset List'!$CJ$3:$CP$3,0))</f>
        <v>0.08</v>
      </c>
      <c r="AF57" s="15">
        <f>INDEX('Unique Asset List'!$CQ$4:$CW$60,MATCH('5'!$B57,'Unique Asset List'!$A$4:$A$60,0),MATCH('5'!$C$1,'Unique Asset List'!$CQ$3:$CW$3,0))</f>
        <v>0.42</v>
      </c>
      <c r="AG57" s="15">
        <f>INDEX('Unique Asset List'!$BV$4:$CB$60,MATCH('5'!$B57,'Unique Asset List'!$A$4:$A$60,0),MATCH('5'!$C$1,'Unique Asset List'!$BV$3:$CB$3,0))</f>
        <v>0.08</v>
      </c>
      <c r="AH57" s="15">
        <f>INDEX('Unique Asset List'!$CC$4:$CI$60,MATCH('5'!$B57,'Unique Asset List'!$A$4:$A$60,0),MATCH('5'!$C$1,'Unique Asset List'!$CC$3:$CI$3,0))</f>
        <v>0.42</v>
      </c>
      <c r="AI57" s="11">
        <v>0.96187963349867744</v>
      </c>
      <c r="AJ57" s="15">
        <f>INDEX('Unique Asset List'!$BH$4:$BN$60,MATCH('5'!$B57,'Unique Asset List'!$A$4:$A$60,0),MATCH('5'!$C$1,'Unique Asset List'!$BH$3:$BN$3,0))</f>
        <v>1.2944496352201866</v>
      </c>
      <c r="AK57" s="15">
        <f>INDEX('Unique Asset List'!$BO$4:$BU$60,MATCH('5'!$B57,'Unique Asset List'!$A$4:$A$60,0),MATCH('5'!$C$1,'Unique Asset List'!$BO$3:$BU$3,0))</f>
        <v>-1.4425350046709582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1"/>
        <v>0.82</v>
      </c>
      <c r="AS57" s="10">
        <v>1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1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1</v>
      </c>
      <c r="BB57" s="181">
        <f ca="1">INDEX('Unique Asset List'!V$4:V$60,MATCH($B57,_CompoundList,0))</f>
        <v>1</v>
      </c>
      <c r="BC57" s="181">
        <f ca="1">INDEX('Unique Asset List'!W$4:W$60,MATCH($B57,_CompoundList,0))</f>
        <v>0</v>
      </c>
      <c r="BD57" s="4">
        <f>IF($C$5="ON",CD57,MyRating(_E1,$B57,Efficacy!$F$1))</f>
        <v>0</v>
      </c>
      <c r="BE57" s="3">
        <f>IF($C$5="ON",CE57,MyRating(_E2,$B57,Efficacy!$F$1))</f>
        <v>0</v>
      </c>
      <c r="BF57" s="3">
        <f>IF($C$5="ON",CF57,MyRating(_E3,$B57,Efficacy!$F$1))</f>
        <v>0</v>
      </c>
      <c r="BG57" s="3">
        <f>IF($C$5="ON",CG57,MyRating(_E4,$B57,Efficacy!$F$1))</f>
        <v>0</v>
      </c>
      <c r="BH57" s="3">
        <f>IF($C$5="ON",CH57,MyRating(_E5,$B57,Efficacy!$F$1))</f>
        <v>0</v>
      </c>
      <c r="BI57" s="3">
        <f>IF($C$5="ON",CI57,MyRating(_E6,$B57,Efficacy!$F$1))</f>
        <v>0</v>
      </c>
      <c r="BJ57" s="3">
        <f>IF($C$5="ON",CJ57,MyRating(_E7,$B57,Efficacy!$F$1))</f>
        <v>0</v>
      </c>
      <c r="BK57" s="3">
        <f>IF($C$5="ON",CK57,MyRating(_E8,$B57,Efficacy!$F$1))</f>
        <v>0</v>
      </c>
      <c r="BL57" s="3">
        <f>IF($C$5="ON",CL57,MyRating(_S1,$B57,Efficacy!$F$1))</f>
        <v>0</v>
      </c>
      <c r="BM57" s="3">
        <f>IF($C$5="ON",CM57,MyRating(_S2,$B57,Efficacy!$F$1))</f>
        <v>0</v>
      </c>
      <c r="BN57" s="3">
        <f>IF($C$5="ON",CN57,MyRating(_S3,$B57,Efficacy!$F$1))</f>
        <v>0</v>
      </c>
      <c r="BO57" s="3">
        <f>IF($C$5="ON",CO57,MyRating(_S4,$B57,Efficacy!$F$1))</f>
        <v>0</v>
      </c>
      <c r="BP57" s="3">
        <f>IF($C$5="ON",CP57,MyRating(_S5,$B57,Efficacy!$F$1))</f>
        <v>0</v>
      </c>
      <c r="BQ57" s="3">
        <f>IF($C$5="ON",CQ57,MyRating(_S6,$B57,Efficacy!$F$1))</f>
        <v>0</v>
      </c>
      <c r="BR57" s="3">
        <f>IF($C$5="ON",CR57,MyRating(_S7,$B57,Efficacy!$F$1))</f>
        <v>0</v>
      </c>
      <c r="BS57" s="3">
        <f>IF($C$5="ON",CS57,MyRating(_D1,$B57,Efficacy!$F$1))</f>
        <v>0</v>
      </c>
      <c r="BT57" s="3">
        <f>IF($C$5="ON",CT57,MyRating(_D2,$B57,Efficacy!$F$1))</f>
        <v>0</v>
      </c>
      <c r="BU57" s="3">
        <f>IF($C$5="ON",CU57,MyRating(_D3,$B57,Efficacy!$F$1))</f>
        <v>0</v>
      </c>
      <c r="BV57" s="3">
        <f>IF($C$5="ON",CV57,MyRating(_D4,$B57,Efficacy!$F$1))</f>
        <v>0</v>
      </c>
      <c r="BW57" s="3">
        <f>IF($C$5="ON",CW57,MyRating(_B1G5,$B57,Barrier!$L$2))</f>
        <v>0</v>
      </c>
      <c r="BX57" s="3">
        <f>IF($C$5="ON",CX57,MyRating(_B2,$B57,Barrier!$F$2))</f>
        <v>0</v>
      </c>
      <c r="BY57" s="6">
        <f>IF($C$5="ON",CY57,MyRating(_B3,$B57,Barrier!$F$2))</f>
        <v>0</v>
      </c>
      <c r="BZ57" s="5">
        <f t="shared" si="9"/>
        <v>0</v>
      </c>
      <c r="CA57" s="8">
        <f t="shared" si="12"/>
        <v>0</v>
      </c>
      <c r="CB57" s="5">
        <f t="shared" si="13"/>
        <v>0</v>
      </c>
      <c r="CC57" s="7">
        <f t="shared" si="14"/>
        <v>0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>
        <v>0</v>
      </c>
    </row>
    <row r="58" spans="1:104" x14ac:dyDescent="0.25">
      <c r="A58" s="9" t="str">
        <f t="shared" si="10"/>
        <v>ES</v>
      </c>
      <c r="B58" s="9" t="s">
        <v>182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2014</v>
      </c>
      <c r="I58" s="9">
        <v>6</v>
      </c>
      <c r="J58" s="18">
        <f>INDEX(PTRS!$D$6:$D$12,MATCH('5'!$F58,PTRS!$B$6:$B$12,0))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v>0.1044225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 t="shared" si="15"/>
        <v>0</v>
      </c>
      <c r="V58" s="17">
        <v>1</v>
      </c>
      <c r="W58" s="9" t="s">
        <v>0</v>
      </c>
      <c r="X58" s="9">
        <f>INDEX('Unique Asset List'!$Y$4:$AE$60,MATCH('5'!$B58,'Unique Asset List'!$A$4:$A$60,0),MATCH('5'!$C$1,'Unique Asset List'!$Y$3:$AE$3,0))</f>
        <v>2052</v>
      </c>
      <c r="Y58" s="9">
        <f>INDEX('Unique Asset List'!$AF$4:$AL$60,MATCH('5'!$B58,'Unique Asset List'!$A$4:$A$60,0),MATCH('5'!$C$1,'Unique Asset List'!$AF$3:$AL$3,0))</f>
        <v>7.000000000001819</v>
      </c>
      <c r="Z58" s="9">
        <f>INDEX('Unique Asset List'!$AT$4:$AZ$60,MATCH('5'!$B58,'Unique Asset List'!$A$4:$A$60,0),MATCH('5'!$C$1,'Unique Asset List'!$AT$3:$AZ$3,0))</f>
        <v>2060</v>
      </c>
      <c r="AA58" s="9">
        <f>INDEX('Unique Asset List'!$BA$4:$BG$60,MATCH('5'!$B58,'Unique Asset List'!$A$4:$A$60,0),MATCH('5'!$C$1,'Unique Asset List'!$BA$3:$BG$3,0))</f>
        <v>6</v>
      </c>
      <c r="AB58" s="16">
        <f t="shared" si="16"/>
        <v>0</v>
      </c>
      <c r="AC58" s="16">
        <f t="shared" si="17"/>
        <v>0</v>
      </c>
      <c r="AD58" s="16">
        <f t="shared" si="18"/>
        <v>0</v>
      </c>
      <c r="AE58" s="15">
        <f>INDEX('Unique Asset List'!$CJ$4:$CP$60,MATCH('5'!$B58,'Unique Asset List'!$A$4:$A$60,0),MATCH('5'!$C$1,'Unique Asset List'!$CJ$3:$CP$3,0))</f>
        <v>0.08</v>
      </c>
      <c r="AF58" s="15">
        <f>INDEX('Unique Asset List'!$CQ$4:$CW$60,MATCH('5'!$B58,'Unique Asset List'!$A$4:$A$60,0),MATCH('5'!$C$1,'Unique Asset List'!$CQ$3:$CW$3,0))</f>
        <v>0.42</v>
      </c>
      <c r="AG58" s="15">
        <f>INDEX('Unique Asset List'!$BV$4:$CB$60,MATCH('5'!$B58,'Unique Asset List'!$A$4:$A$60,0),MATCH('5'!$C$1,'Unique Asset List'!$BV$3:$CB$3,0))</f>
        <v>0.08</v>
      </c>
      <c r="AH58" s="15">
        <f>INDEX('Unique Asset List'!$CC$4:$CI$60,MATCH('5'!$B58,'Unique Asset List'!$A$4:$A$60,0),MATCH('5'!$C$1,'Unique Asset List'!$CC$3:$CI$3,0))</f>
        <v>0.42</v>
      </c>
      <c r="AI58" s="11">
        <v>0.96187963349867744</v>
      </c>
      <c r="AJ58" s="15">
        <f>INDEX('Unique Asset List'!$BH$4:$BN$60,MATCH('5'!$B58,'Unique Asset List'!$A$4:$A$60,0),MATCH('5'!$C$1,'Unique Asset List'!$BH$3:$BN$3,0))</f>
        <v>1.2944496352201866</v>
      </c>
      <c r="AK58" s="15">
        <f>INDEX('Unique Asset List'!$BO$4:$BU$60,MATCH('5'!$B58,'Unique Asset List'!$A$4:$A$60,0),MATCH('5'!$C$1,'Unique Asset List'!$BO$3:$BU$3,0))</f>
        <v>-1.4425350046709582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1"/>
        <v>0.82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1</v>
      </c>
      <c r="AY58" s="181">
        <f ca="1">INDEX('Unique Asset List'!S$4:S$60,MATCH($B58,_CompoundList,0))</f>
        <v>0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1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IF($C$5="ON",CL58,MyRating(_S1,$B58,Efficacy!$F$1))</f>
        <v>0</v>
      </c>
      <c r="BM58" s="3">
        <f>IF($C$5="ON",CM58,MyRating(_S2,$B58,Efficacy!$F$1))</f>
        <v>0</v>
      </c>
      <c r="BN58" s="3">
        <f>IF($C$5="ON",CN58,MyRating(_S3,$B58,Efficacy!$F$1))</f>
        <v>0</v>
      </c>
      <c r="BO58" s="3">
        <f>IF($C$5="ON",CO58,MyRating(_S4,$B58,Efficacy!$F$1))</f>
        <v>0</v>
      </c>
      <c r="BP58" s="3">
        <f>IF($C$5="ON",CP58,MyRating(_S5,$B58,Efficacy!$F$1))</f>
        <v>0</v>
      </c>
      <c r="BQ58" s="3">
        <f>IF($C$5="ON",CQ58,MyRating(_S6,$B58,Efficacy!$F$1))</f>
        <v>0</v>
      </c>
      <c r="BR58" s="3">
        <f>IF($C$5="ON",CR58,MyRating(_S7,$B58,Efficacy!$F$1))</f>
        <v>0</v>
      </c>
      <c r="BS58" s="3">
        <f>IF($C$5="ON",CS58,MyRating(_D1,$B58,Efficacy!$F$1))</f>
        <v>0</v>
      </c>
      <c r="BT58" s="3">
        <f>IF($C$5="ON",CT58,MyRating(_D2,$B58,Efficacy!$F$1))</f>
        <v>0</v>
      </c>
      <c r="BU58" s="3">
        <f>IF($C$5="ON",CU58,MyRating(_D3,$B58,Efficacy!$F$1))</f>
        <v>0</v>
      </c>
      <c r="BV58" s="3">
        <f>IF($C$5="ON",CV58,MyRating(_D4,$B58,Efficacy!$F$1))</f>
        <v>0</v>
      </c>
      <c r="BW58" s="3">
        <f>IF($C$5="ON",CW58,MyRating(_B1G5,$B58,Barrier!$L$2))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9"/>
        <v>0</v>
      </c>
      <c r="CA58" s="8">
        <f t="shared" si="12"/>
        <v>0</v>
      </c>
      <c r="CB58" s="5">
        <f t="shared" si="13"/>
        <v>0</v>
      </c>
      <c r="CC58" s="7">
        <f t="shared" si="14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>
        <v>0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0E00-000000000000}">
      <formula1>"ON,OFF"</formula1>
    </dataValidation>
    <dataValidation type="list" allowBlank="1" showInputMessage="1" showErrorMessage="1" sqref="C1" xr:uid="{00000000-0002-0000-0E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2000000}">
          <x14:formula1>
            <xm:f>'Unique Asset List'!$D$3:$M$3</xm:f>
          </x14:formula1>
          <xm:sqref>J1:S1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>
    <outlinePr summaryBelow="0" summaryRight="0"/>
  </sheetPr>
  <dimension ref="A1:CZ58"/>
  <sheetViews>
    <sheetView workbookViewId="0">
      <selection activeCell="C17" sqref="C17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3.5703125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42578125" customWidth="1"/>
    <col min="25" max="25" width="3.140625" bestFit="1" customWidth="1"/>
    <col min="26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bestFit="1" customWidth="1"/>
    <col min="57" max="57" width="3.5703125" bestFit="1" customWidth="1"/>
    <col min="58" max="58" width="4.5703125" bestFit="1" customWidth="1"/>
    <col min="59" max="74" width="3.5703125" bestFit="1" customWidth="1"/>
    <col min="75" max="77" width="4.28515625" customWidth="1"/>
    <col min="78" max="81" width="7.7109375" style="1" bestFit="1" customWidth="1"/>
    <col min="82" max="83" width="3.5703125" bestFit="1" customWidth="1"/>
    <col min="84" max="84" width="4.5703125" bestFit="1" customWidth="1"/>
    <col min="85" max="101" width="3.5703125" bestFit="1" customWidth="1"/>
    <col min="102" max="103" width="4.5703125" bestFit="1" customWidth="1"/>
    <col min="104" max="104" width="5.140625" style="1" bestFit="1" customWidth="1"/>
  </cols>
  <sheetData>
    <row r="1" spans="1:104" x14ac:dyDescent="0.25">
      <c r="A1" s="209" t="s">
        <v>181</v>
      </c>
      <c r="B1" s="211"/>
      <c r="C1" s="56" t="s">
        <v>174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L1"/>
      <c r="AM1"/>
      <c r="AN1"/>
      <c r="AO1"/>
      <c r="AQ1"/>
      <c r="CA1" s="35"/>
    </row>
    <row r="2" spans="1:104" x14ac:dyDescent="0.25">
      <c r="B2" t="s">
        <v>172</v>
      </c>
      <c r="C2" s="48">
        <v>3</v>
      </c>
      <c r="T2" s="209" t="s">
        <v>168</v>
      </c>
      <c r="U2" s="210"/>
      <c r="V2" s="210"/>
      <c r="W2" s="211"/>
      <c r="X2" s="47">
        <v>0.2</v>
      </c>
      <c r="AL2"/>
      <c r="AM2"/>
      <c r="AN2"/>
      <c r="AO2"/>
      <c r="AQ2"/>
      <c r="CA2" s="35"/>
    </row>
    <row r="3" spans="1:104" x14ac:dyDescent="0.25">
      <c r="B3" t="s">
        <v>166</v>
      </c>
      <c r="C3" s="48">
        <v>2</v>
      </c>
      <c r="T3" s="209" t="s">
        <v>165</v>
      </c>
      <c r="U3" s="210"/>
      <c r="V3" s="210"/>
      <c r="W3" s="211"/>
      <c r="X3" s="47">
        <v>-0.5</v>
      </c>
      <c r="AL3"/>
      <c r="AM3"/>
      <c r="AN3"/>
      <c r="AO3"/>
      <c r="AQ3"/>
      <c r="CA3" s="35"/>
    </row>
    <row r="4" spans="1:104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1.5</v>
      </c>
      <c r="AL4"/>
      <c r="AM4"/>
      <c r="AN4"/>
      <c r="AO4"/>
      <c r="AQ4"/>
      <c r="CA4" s="35"/>
    </row>
    <row r="5" spans="1:104" x14ac:dyDescent="0.25">
      <c r="B5" t="s">
        <v>160</v>
      </c>
      <c r="C5" s="45" t="s">
        <v>3</v>
      </c>
      <c r="D5" s="44"/>
      <c r="U5" s="43"/>
      <c r="V5" s="42"/>
      <c r="AL5"/>
      <c r="AM5"/>
      <c r="AN5"/>
      <c r="AO5"/>
      <c r="AQ5"/>
      <c r="CA5" s="35"/>
    </row>
    <row r="6" spans="1:104" x14ac:dyDescent="0.25">
      <c r="AL6"/>
      <c r="AM6"/>
      <c r="AN6"/>
      <c r="AO6"/>
      <c r="AQ6"/>
      <c r="CA6" s="35"/>
    </row>
    <row r="7" spans="1:104" x14ac:dyDescent="0.25">
      <c r="AL7"/>
      <c r="AM7"/>
      <c r="AN7"/>
      <c r="AO7"/>
      <c r="AQ7"/>
      <c r="BD7" s="27">
        <f>IF($C$5="ON",CD7,INDEX(Conjoint!$F$9:$F$33,MATCH(BD8,Conjoint!$B$9:$B$33,0)))</f>
        <v>8.4581000000000003E-2</v>
      </c>
      <c r="BE7" s="27">
        <f>IF($C$5="ON",CE7,INDEX(Conjoint!$F$9:$F$33,MATCH(BE8,Conjoint!$B$9:$B$33,0)))</f>
        <v>8.0703200000000017E-2</v>
      </c>
      <c r="BF7" s="27">
        <f>IF($C$5="ON",CF7,INDEX(Conjoint!$F$9:$F$33,MATCH(BF8,Conjoint!$B$9:$B$33,0)))</f>
        <v>9.5090400000000005E-2</v>
      </c>
      <c r="BG7" s="27">
        <f>IF($C$5="ON",CG7,INDEX(Conjoint!$F$9:$F$33,MATCH(BG8,Conjoint!$B$9:$B$33,0)))</f>
        <v>8.2614000000000007E-2</v>
      </c>
      <c r="BH7" s="27">
        <f>IF($C$5="ON",CH7,INDEX(Conjoint!$F$9:$F$33,MATCH(BH8,Conjoint!$B$9:$B$33,0)))</f>
        <v>6.1089400000000009E-2</v>
      </c>
      <c r="BI7" s="27">
        <f>IF($C$5="ON",CI7,INDEX(Conjoint!$F$9:$F$33,MATCH(BI8,Conjoint!$B$9:$B$33,0)))</f>
        <v>5.8054600000000005E-2</v>
      </c>
      <c r="BJ7" s="27">
        <f>IF($C$5="ON",CJ7,INDEX(Conjoint!$F$9:$F$33,MATCH(BJ8,Conjoint!$B$9:$B$33,0)))</f>
        <v>3.8047400000000002E-2</v>
      </c>
      <c r="BK7" s="27">
        <f>IF($C$5="ON",CK7,INDEX(Conjoint!$F$9:$F$33,MATCH(BK8,Conjoint!$B$9:$B$33,0)))</f>
        <v>6.1820000000000007E-2</v>
      </c>
      <c r="BL7" s="27">
        <f>IF($C$5="ON",CL7,INDEX(Conjoint!$F$9:$F$33,MATCH(BL8,Conjoint!$B$9:$B$33,0)))</f>
        <v>6.1469900000000001E-2</v>
      </c>
      <c r="BM7" s="27">
        <f>IF($C$5="ON",CM7,INDEX(Conjoint!$F$9:$F$33,MATCH(BM8,Conjoint!$B$9:$B$33,0)))</f>
        <v>2.4572900000000002E-2</v>
      </c>
      <c r="BN7" s="27">
        <f>IF($C$5="ON",CN7,INDEX(Conjoint!$F$9:$F$33,MATCH(BN8,Conjoint!$B$9:$B$33,0)))</f>
        <v>3.06471E-2</v>
      </c>
      <c r="BO7" s="27">
        <f>IF($C$5="ON",CO7,INDEX(Conjoint!$F$9:$F$33,MATCH(BO8,Conjoint!$B$9:$B$33,0)))</f>
        <v>3.4964300000000004E-2</v>
      </c>
      <c r="BP7" s="27">
        <f>IF($C$5="ON",CP7,INDEX(Conjoint!$F$9:$F$33,MATCH(BP8,Conjoint!$B$9:$B$33,0)))</f>
        <v>4.6008299999999995E-2</v>
      </c>
      <c r="BQ7" s="27">
        <f>IF($C$5="ON",CQ7,INDEX(Conjoint!$F$9:$F$33,MATCH(BQ8,Conjoint!$B$9:$B$33,0)))</f>
        <v>2.14354E-2</v>
      </c>
      <c r="BR7" s="27">
        <f>IF($C$5="ON",CR7,INDEX(Conjoint!$F$9:$F$33,MATCH(BR8,Conjoint!$B$9:$B$33,0)))</f>
        <v>3.1877000000000003E-2</v>
      </c>
      <c r="BS7" s="27">
        <f>IF($C$5="ON",CS7,INDEX(Conjoint!$F$9:$F$33,MATCH(BS8,Conjoint!$B$9:$B$33,0)))</f>
        <v>5.9704054739999991E-2</v>
      </c>
      <c r="BT7" s="27">
        <f>IF($C$5="ON",CT7,INDEX(Conjoint!$F$9:$F$33,MATCH(BT8,Conjoint!$B$9:$B$33,0)))</f>
        <v>4.0027204139999994E-2</v>
      </c>
      <c r="BU7" s="27">
        <f>IF($C$5="ON",CU7,INDEX(Conjoint!$F$9:$F$33,MATCH(BU8,Conjoint!$B$9:$B$33,0)))</f>
        <v>3.2328141120000001E-2</v>
      </c>
      <c r="BV7" s="27">
        <f>IF($C$5="ON",CV7,INDEX(Conjoint!$F$9:$F$33,MATCH(BV8,Conjoint!$B$9:$B$33,0)))</f>
        <v>5.4940599999999999E-2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3.7050546148312331E-2</v>
      </c>
      <c r="CA7" s="34">
        <f>SUMIF($C$9:$C$58,"",CA9:CA58)</f>
        <v>84.999999999999957</v>
      </c>
      <c r="CB7" s="33"/>
      <c r="CC7" s="32">
        <f>SUMIF($C$9:$C$58,"",CC9:CC58)</f>
        <v>0.17896119842226979</v>
      </c>
      <c r="CD7" s="27">
        <v>8.4581000000000003E-2</v>
      </c>
      <c r="CE7" s="27">
        <v>8.0703200000000017E-2</v>
      </c>
      <c r="CF7" s="27">
        <v>9.5090400000000005E-2</v>
      </c>
      <c r="CG7" s="27">
        <v>8.2614000000000007E-2</v>
      </c>
      <c r="CH7" s="27">
        <v>6.1089400000000009E-2</v>
      </c>
      <c r="CI7" s="27">
        <v>5.8054600000000005E-2</v>
      </c>
      <c r="CJ7" s="27">
        <v>3.8047400000000002E-2</v>
      </c>
      <c r="CK7" s="27">
        <v>6.1820000000000007E-2</v>
      </c>
      <c r="CL7" s="27">
        <v>6.1469900000000001E-2</v>
      </c>
      <c r="CM7" s="27">
        <v>2.4572900000000002E-2</v>
      </c>
      <c r="CN7" s="27">
        <v>3.06471E-2</v>
      </c>
      <c r="CO7" s="27">
        <v>3.4964300000000004E-2</v>
      </c>
      <c r="CP7" s="27">
        <v>4.6008299999999995E-2</v>
      </c>
      <c r="CQ7" s="27">
        <v>2.14354E-2</v>
      </c>
      <c r="CR7" s="27">
        <v>3.1877000000000003E-2</v>
      </c>
      <c r="CS7" s="27">
        <v>5.9704054739999991E-2</v>
      </c>
      <c r="CT7" s="27">
        <v>4.0027204139999994E-2</v>
      </c>
      <c r="CU7" s="27">
        <v>3.2328141120000001E-2</v>
      </c>
      <c r="CV7" s="27">
        <v>5.4940599999999999E-2</v>
      </c>
      <c r="CW7" s="27">
        <v>0.05</v>
      </c>
      <c r="CX7" s="27">
        <v>0.47499999999999998</v>
      </c>
      <c r="CY7" s="26">
        <v>0.47499999999999998</v>
      </c>
      <c r="CZ7" s="31">
        <v>5.3883834849545127E-2</v>
      </c>
    </row>
    <row r="8" spans="1:104" ht="104.25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 t="s">
        <v>118</v>
      </c>
    </row>
    <row r="9" spans="1:104" x14ac:dyDescent="0.25">
      <c r="A9" s="9" t="str">
        <f t="shared" ref="A9:A40" si="0">$C$1</f>
        <v>UK</v>
      </c>
      <c r="B9" s="9" t="s">
        <v>49</v>
      </c>
      <c r="C9" s="20" t="s">
        <v>3</v>
      </c>
      <c r="D9" s="9" t="s">
        <v>48</v>
      </c>
      <c r="E9" s="9" t="s">
        <v>186</v>
      </c>
      <c r="F9" s="9" t="str">
        <f>INDEX('Unique Asset List'!$C$4:$C$60,MATCH(B9,_CompoundList,0))</f>
        <v>Launched</v>
      </c>
      <c r="G9" s="57">
        <v>0</v>
      </c>
      <c r="H9" s="9">
        <v>2014</v>
      </c>
      <c r="I9" s="9">
        <v>6</v>
      </c>
      <c r="J9" s="18">
        <f>INDEX(PTRS!$D$6:$D$12,MATCH('4'!$F9,PTRS!$B$6:$B$12,0))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50" si="1">BZ9/$BZ$7</f>
        <v>0</v>
      </c>
      <c r="V9" s="17">
        <v>1</v>
      </c>
      <c r="W9" s="9" t="s">
        <v>46</v>
      </c>
      <c r="X9" s="9">
        <f>INDEX('Unique Asset List'!$Y$4:$AE$60,MATCH('4'!$B9,'Unique Asset List'!$A$4:$A$60,0),MATCH('4'!$C$1,'Unique Asset List'!$Y$3:$AE$3,0))</f>
        <v>1986</v>
      </c>
      <c r="Y9" s="9">
        <f>INDEX('Unique Asset List'!$AF$4:$AL$60,MATCH('4'!$B9,'Unique Asset List'!$A$4:$A$60,0),MATCH('4'!$C$1,'Unique Asset List'!$AF$3:$AL$3,0))</f>
        <v>7</v>
      </c>
      <c r="Z9" s="9">
        <f>INDEX('Unique Asset List'!$AT$4:$AZ$60,MATCH('4'!$B9,'Unique Asset List'!$A$4:$A$60,0),MATCH('4'!$C$1,'Unique Asset List'!$AT$3:$AZ$3,0))</f>
        <v>1994</v>
      </c>
      <c r="AA9" s="9">
        <f>INDEX('Unique Asset List'!$BA$4:$BG$60,MATCH('4'!$B9,'Unique Asset List'!$A$4:$A$60,0),MATCH('4'!$C$1,'Unique Asset List'!$BA$3:$BG$3,0))</f>
        <v>7</v>
      </c>
      <c r="AB9" s="16">
        <f t="shared" ref="AB9:AB37" si="2">SUMPRODUCT($BD9:$BK9,$BD$7:$BK$7)</f>
        <v>1.3070995999999999</v>
      </c>
      <c r="AC9" s="16">
        <f t="shared" ref="AC9:AC37" si="3">SUMPRODUCT($BL9:$BR9,$BL$7:$BR$7)</f>
        <v>0.69770470000000007</v>
      </c>
      <c r="AD9" s="16">
        <f t="shared" ref="AD9:AD37" si="4">SUMPRODUCT($BS9:$BV9,$BS$7:$BV$7)</f>
        <v>0.56099999999999994</v>
      </c>
      <c r="AE9" s="15">
        <f>INDEX('Unique Asset List'!$CJ$4:$CP$60,MATCH('4'!$B9,'Unique Asset List'!$A$4:$A$60,0),MATCH('4'!$C$1,'Unique Asset List'!$CJ$3:$CP$3,0))</f>
        <v>0.05</v>
      </c>
      <c r="AF9" s="15">
        <f>INDEX('Unique Asset List'!$CQ$4:$CW$60,MATCH('4'!$B9,'Unique Asset List'!$A$4:$A$60,0),MATCH('4'!$C$1,'Unique Asset List'!$CQ$3:$CW$3,0))</f>
        <v>0.45</v>
      </c>
      <c r="AG9" s="15">
        <f>INDEX('Unique Asset List'!$BV$4:$CB$60,MATCH('4'!$B9,'Unique Asset List'!$A$4:$A$60,0),MATCH('4'!$C$1,'Unique Asset List'!$BV$3:$CB$3,0))</f>
        <v>0.05</v>
      </c>
      <c r="AH9" s="15">
        <f>INDEX('Unique Asset List'!$CC$4:$CI$60,MATCH('4'!$B9,'Unique Asset List'!$A$4:$A$60,0),MATCH('4'!$C$1,'Unique Asset List'!$CC$3:$CI$3,0))</f>
        <v>0.45</v>
      </c>
      <c r="AI9" s="11">
        <v>0.96187963349867744</v>
      </c>
      <c r="AJ9" s="15">
        <f>INDEX('Unique Asset List'!$BH$4:$BN$60,MATCH('4'!$B9,'Unique Asset List'!$A$4:$A$60,0),MATCH('4'!$C$1,'Unique Asset List'!$BH$3:$BN$3,0))</f>
        <v>1.4542000570988298</v>
      </c>
      <c r="AK9" s="15">
        <f>INDEX('Unique Asset List'!$BO$4:$BU$60,MATCH('4'!$B9,'Unique Asset List'!$A$4:$A$60,0),MATCH('4'!$C$1,'Unique Asset List'!$BO$3:$BU$3,0))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40" si="5">AP9</f>
        <v>1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2</v>
      </c>
      <c r="BE9" s="3">
        <f>IF($C$5="ON",CE9,MyRating(_E2,$B9,Efficacy!$F$1))</f>
        <v>1</v>
      </c>
      <c r="BF9" s="3">
        <f>IF($C$5="ON",CF9,MyRating(_E3,$B9,Efficacy!$F$1))</f>
        <v>1</v>
      </c>
      <c r="BG9" s="3">
        <f>IF($C$5="ON",CG9,MyRating(_E4,$B9,Efficacy!$F$1))</f>
        <v>2</v>
      </c>
      <c r="BH9" s="3">
        <f>IF($C$5="ON",CH9,MyRating(_E5,$B9,Efficacy!$F$1))</f>
        <v>3</v>
      </c>
      <c r="BI9" s="3">
        <f>IF($C$5="ON",CI9,MyRating(_E6,$B9,Efficacy!$F$1))</f>
        <v>5</v>
      </c>
      <c r="BJ9" s="3">
        <f>IF($C$5="ON",CJ9,MyRating(_E7,$B9,Efficacy!$F$1))</f>
        <v>2</v>
      </c>
      <c r="BK9" s="3">
        <f>IF($C$5="ON",CK9,MyRating(_E8,$B9,Efficacy!$F$1))</f>
        <v>4</v>
      </c>
      <c r="BL9" s="3">
        <f>IF($C$5="ON",CL9,MyRating(_S1,$B9,Efficacy!$F$1))</f>
        <v>3</v>
      </c>
      <c r="BM9" s="3">
        <f>IF($C$5="ON",CM9,MyRating(_S2,$B9,Efficacy!$F$1))</f>
        <v>2</v>
      </c>
      <c r="BN9" s="3">
        <f>IF($C$5="ON",CN9,MyRating(_S3,$B9,Efficacy!$F$1))</f>
        <v>2</v>
      </c>
      <c r="BO9" s="3">
        <f>IF($C$5="ON",CO9,MyRating(_S4,$B9,Efficacy!$F$1))</f>
        <v>3</v>
      </c>
      <c r="BP9" s="3">
        <f>IF($C$5="ON",CP9,MyRating(_S5,$B9,Efficacy!$F$1))</f>
        <v>3</v>
      </c>
      <c r="BQ9" s="3">
        <f>IF($C$5="ON",CQ9,MyRating(_S6,$B9,Efficacy!$F$1))</f>
        <v>3</v>
      </c>
      <c r="BR9" s="3">
        <f>IF($C$5="ON",CR9,MyRating(_S7,$B9,Efficacy!$F$1))</f>
        <v>3</v>
      </c>
      <c r="BS9" s="3">
        <f>IF($C$5="ON",CS9,MyRating(_D1,$B9,Efficacy!$F$1))</f>
        <v>3</v>
      </c>
      <c r="BT9" s="3">
        <f>IF($C$5="ON",CT9,MyRating(_D2,$B9,Efficacy!$F$1))</f>
        <v>3</v>
      </c>
      <c r="BU9" s="3">
        <f>IF($C$5="ON",CU9,MyRating(_D3,$B9,Efficacy!$F$1))</f>
        <v>3</v>
      </c>
      <c r="BV9" s="3">
        <f>IF($C$5="ON",CV9,MyRating(_D4,$B9,Efficacy!$F$1))</f>
        <v>3</v>
      </c>
      <c r="BW9" s="3">
        <f>IF($C$5="ON",CW9,MyRating(_B1G5,$B9,Barrier!$L$2))</f>
        <v>3</v>
      </c>
      <c r="BX9" s="3">
        <f>IF($C$5="ON",CX9,MyRating(_B2,$B9,Barrier!$F$2))</f>
        <v>3</v>
      </c>
      <c r="BY9" s="6">
        <f>IF($C$5="ON",CY9,MyRating(_B3,$B9,Barrier!$F$2))</f>
        <v>0</v>
      </c>
      <c r="BZ9" s="5">
        <f>IF(C9="",CC9/$CC$7,0)</f>
        <v>0</v>
      </c>
      <c r="CA9" s="8">
        <f t="shared" ref="CA9:CA40" si="6">SUMPRODUCT($BW9:$BY9,$BW$7:$BY$7)</f>
        <v>1.8000000000000003</v>
      </c>
      <c r="CB9" s="5">
        <f t="shared" ref="CB9:CB40" si="7">CA9/$CA$7</f>
        <v>2.1176470588235307E-2</v>
      </c>
      <c r="CC9" s="7">
        <f t="shared" ref="CC9:CC40" si="8">CB9^$X$4</f>
        <v>3.081629118108704E-3</v>
      </c>
      <c r="CD9" s="4">
        <v>2</v>
      </c>
      <c r="CE9" s="3">
        <v>2</v>
      </c>
      <c r="CF9" s="3">
        <v>2</v>
      </c>
      <c r="CG9" s="3">
        <v>2</v>
      </c>
      <c r="CH9" s="3">
        <v>2</v>
      </c>
      <c r="CI9" s="3">
        <v>5</v>
      </c>
      <c r="CJ9" s="3">
        <v>2</v>
      </c>
      <c r="CK9" s="3">
        <v>4</v>
      </c>
      <c r="CL9" s="3">
        <v>3</v>
      </c>
      <c r="CM9" s="3">
        <v>2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3</v>
      </c>
      <c r="CY9" s="6">
        <v>3</v>
      </c>
      <c r="CZ9" s="5">
        <v>3.7014903427878103E-2</v>
      </c>
    </row>
    <row r="10" spans="1:104" x14ac:dyDescent="0.25">
      <c r="A10" s="9" t="str">
        <f t="shared" si="0"/>
        <v>UK</v>
      </c>
      <c r="B10" s="9" t="s">
        <v>190</v>
      </c>
      <c r="C10" s="20"/>
      <c r="D10" s="9" t="s">
        <v>48</v>
      </c>
      <c r="E10" s="9" t="s">
        <v>186</v>
      </c>
      <c r="F10" s="9" t="str">
        <f>INDEX('Unique Asset List'!$C$4:$C$60,MATCH(B10,_CompoundList,0))</f>
        <v>Launched</v>
      </c>
      <c r="G10" s="57">
        <v>0.80224351411398187</v>
      </c>
      <c r="H10" s="9">
        <v>2014</v>
      </c>
      <c r="I10" s="9">
        <v>6</v>
      </c>
      <c r="J10" s="18">
        <f>INDEX(PTRS!$D$6:$D$12,MATCH('4'!$F10,PTRS!$B$6:$B$12,0))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1"/>
        <v>1</v>
      </c>
      <c r="V10" s="17">
        <v>1</v>
      </c>
      <c r="W10" s="9" t="s">
        <v>188</v>
      </c>
      <c r="X10" s="9">
        <f>INDEX('Unique Asset List'!$Y$4:$AE$60,MATCH('4'!$B10,'Unique Asset List'!$A$4:$A$60,0),MATCH('4'!$C$1,'Unique Asset List'!$Y$3:$AE$3,0))</f>
        <v>1991</v>
      </c>
      <c r="Y10" s="9">
        <f>INDEX('Unique Asset List'!$AF$4:$AL$60,MATCH('4'!$B10,'Unique Asset List'!$A$4:$A$60,0),MATCH('4'!$C$1,'Unique Asset List'!$AF$3:$AL$3,0))</f>
        <v>7</v>
      </c>
      <c r="Z10" s="9">
        <f>INDEX('Unique Asset List'!$AT$4:$AZ$60,MATCH('4'!$B10,'Unique Asset List'!$A$4:$A$60,0),MATCH('4'!$C$1,'Unique Asset List'!$AT$3:$AZ$3,0))</f>
        <v>2001</v>
      </c>
      <c r="AA10" s="9">
        <f>INDEX('Unique Asset List'!$BA$4:$BG$60,MATCH('4'!$B10,'Unique Asset List'!$A$4:$A$60,0),MATCH('4'!$C$1,'Unique Asset List'!$BA$3:$BG$3,0))</f>
        <v>7</v>
      </c>
      <c r="AB10" s="16">
        <f t="shared" si="2"/>
        <v>1.4234898</v>
      </c>
      <c r="AC10" s="16">
        <f t="shared" si="3"/>
        <v>0.91994010000000004</v>
      </c>
      <c r="AD10" s="16">
        <f t="shared" si="4"/>
        <v>0.50129594525999999</v>
      </c>
      <c r="AE10" s="15">
        <f>INDEX('Unique Asset List'!$CJ$4:$CP$60,MATCH('4'!$B10,'Unique Asset List'!$A$4:$A$60,0),MATCH('4'!$C$1,'Unique Asset List'!$CJ$3:$CP$3,0))</f>
        <v>0.05</v>
      </c>
      <c r="AF10" s="15">
        <f>INDEX('Unique Asset List'!$CQ$4:$CW$60,MATCH('4'!$B10,'Unique Asset List'!$A$4:$A$60,0),MATCH('4'!$C$1,'Unique Asset List'!$CQ$3:$CW$3,0))</f>
        <v>0.45</v>
      </c>
      <c r="AG10" s="15">
        <f>INDEX('Unique Asset List'!$BV$4:$CB$60,MATCH('4'!$B10,'Unique Asset List'!$A$4:$A$60,0),MATCH('4'!$C$1,'Unique Asset List'!$BV$3:$CB$3,0))</f>
        <v>0.05</v>
      </c>
      <c r="AH10" s="15">
        <f>INDEX('Unique Asset List'!$CC$4:$CI$60,MATCH('4'!$B10,'Unique Asset List'!$A$4:$A$60,0),MATCH('4'!$C$1,'Unique Asset List'!$CC$3:$CI$3,0))</f>
        <v>0.45</v>
      </c>
      <c r="AI10" s="11">
        <v>0.96187963349867744</v>
      </c>
      <c r="AJ10" s="15">
        <f>INDEX('Unique Asset List'!$BH$4:$BN$60,MATCH('4'!$B10,'Unique Asset List'!$A$4:$A$60,0),MATCH('4'!$C$1,'Unique Asset List'!$BH$3:$BN$3,0))</f>
        <v>1.4542000570988298</v>
      </c>
      <c r="AK10" s="15">
        <f>INDEX('Unique Asset List'!$BO$4:$BU$60,MATCH('4'!$B10,'Unique Asset List'!$A$4:$A$60,0),MATCH('4'!$C$1,'Unique Asset List'!$BO$3:$BU$3,0))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2</v>
      </c>
      <c r="BE10" s="3">
        <f>IF($C$5="ON",CE10,MyRating(_E2,$B10,Efficacy!$F$1))</f>
        <v>3</v>
      </c>
      <c r="BF10" s="3">
        <f>IF($C$5="ON",CF10,MyRating(_E3,$B10,Efficacy!$F$1))</f>
        <v>3</v>
      </c>
      <c r="BG10" s="3">
        <f>IF($C$5="ON",CG10,MyRating(_E4,$B10,Efficacy!$F$1))</f>
        <v>3</v>
      </c>
      <c r="BH10" s="3">
        <f>IF($C$5="ON",CH10,MyRating(_E5,$B10,Efficacy!$F$1))</f>
        <v>3</v>
      </c>
      <c r="BI10" s="3">
        <f>IF($C$5="ON",CI10,MyRating(_E6,$B10,Efficacy!$F$1))</f>
        <v>1</v>
      </c>
      <c r="BJ10" s="3">
        <f>IF($C$5="ON",CJ10,MyRating(_E7,$B10,Efficacy!$F$1))</f>
        <v>3</v>
      </c>
      <c r="BK10" s="3">
        <f>IF($C$5="ON",CK10,MyRating(_E8,$B10,Efficacy!$F$1))</f>
        <v>2</v>
      </c>
      <c r="BL10" s="3">
        <f>IF($C$5="ON",CL10,MyRating(_S1,$B10,Efficacy!$F$1))</f>
        <v>4</v>
      </c>
      <c r="BM10" s="3">
        <f>IF($C$5="ON",CM10,MyRating(_S2,$B10,Efficacy!$F$1))</f>
        <v>3</v>
      </c>
      <c r="BN10" s="3">
        <f>IF($C$5="ON",CN10,MyRating(_S3,$B10,Efficacy!$F$1))</f>
        <v>3</v>
      </c>
      <c r="BO10" s="3">
        <f>IF($C$5="ON",CO10,MyRating(_S4,$B10,Efficacy!$F$1))</f>
        <v>4</v>
      </c>
      <c r="BP10" s="3">
        <f>IF($C$5="ON",CP10,MyRating(_S5,$B10,Efficacy!$F$1))</f>
        <v>5</v>
      </c>
      <c r="BQ10" s="3">
        <f>IF($C$5="ON",CQ10,MyRating(_S6,$B10,Efficacy!$F$1))</f>
        <v>2</v>
      </c>
      <c r="BR10" s="3">
        <f>IF($C$5="ON",CR10,MyRating(_S7,$B10,Efficacy!$F$1))</f>
        <v>3</v>
      </c>
      <c r="BS10" s="3">
        <f>IF($C$5="ON",CS10,MyRating(_D1,$B10,Efficacy!$F$1))</f>
        <v>2</v>
      </c>
      <c r="BT10" s="3">
        <f>IF($C$5="ON",CT10,MyRating(_D2,$B10,Efficacy!$F$1))</f>
        <v>3</v>
      </c>
      <c r="BU10" s="3">
        <f>IF($C$5="ON",CU10,MyRating(_D3,$B10,Efficacy!$F$1))</f>
        <v>3</v>
      </c>
      <c r="BV10" s="3">
        <f>IF($C$5="ON",CV10,MyRating(_D4,$B10,Efficacy!$F$1))</f>
        <v>3</v>
      </c>
      <c r="BW10" s="3">
        <f>IF($C$5="ON",CW10,MyRating(_B1G5,$B10,Barrier!$L$2))</f>
        <v>3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9">IF(C10="",CC10/$CC$7,0)</f>
        <v>3.7050546148312331E-2</v>
      </c>
      <c r="CA10" s="8">
        <f t="shared" si="6"/>
        <v>3.0000000000000004</v>
      </c>
      <c r="CB10" s="5">
        <f t="shared" si="7"/>
        <v>3.5294117647058844E-2</v>
      </c>
      <c r="CC10" s="7">
        <f t="shared" si="8"/>
        <v>6.6306101409015867E-3</v>
      </c>
      <c r="CD10" s="4">
        <v>3</v>
      </c>
      <c r="CE10" s="3">
        <v>3</v>
      </c>
      <c r="CF10" s="3">
        <v>3</v>
      </c>
      <c r="CG10" s="3">
        <v>3</v>
      </c>
      <c r="CH10" s="3">
        <v>3</v>
      </c>
      <c r="CI10" s="3">
        <v>1</v>
      </c>
      <c r="CJ10" s="3">
        <v>3</v>
      </c>
      <c r="CK10" s="3">
        <v>3</v>
      </c>
      <c r="CL10" s="3">
        <v>4</v>
      </c>
      <c r="CM10" s="3">
        <v>5</v>
      </c>
      <c r="CN10" s="3">
        <v>4</v>
      </c>
      <c r="CO10" s="3">
        <v>4</v>
      </c>
      <c r="CP10" s="3">
        <v>5</v>
      </c>
      <c r="CQ10" s="3">
        <v>2</v>
      </c>
      <c r="CR10" s="3">
        <v>3</v>
      </c>
      <c r="CS10" s="3">
        <v>2</v>
      </c>
      <c r="CT10" s="3">
        <v>2</v>
      </c>
      <c r="CU10" s="3">
        <v>3</v>
      </c>
      <c r="CV10" s="3">
        <v>3</v>
      </c>
      <c r="CW10" s="3">
        <v>3</v>
      </c>
      <c r="CX10" s="3">
        <v>3</v>
      </c>
      <c r="CY10" s="6">
        <v>3</v>
      </c>
      <c r="CZ10" s="5">
        <v>3.7014903427878103E-2</v>
      </c>
    </row>
    <row r="11" spans="1:104" x14ac:dyDescent="0.25">
      <c r="A11" s="9" t="str">
        <f t="shared" si="0"/>
        <v>UK</v>
      </c>
      <c r="B11" s="9" t="s">
        <v>189</v>
      </c>
      <c r="C11" s="20"/>
      <c r="D11" s="9" t="s">
        <v>88</v>
      </c>
      <c r="E11" s="9" t="s">
        <v>186</v>
      </c>
      <c r="F11" s="9" t="str">
        <f>INDEX('Unique Asset List'!$C$4:$C$60,MATCH(B11,_CompoundList,0))</f>
        <v>Launched</v>
      </c>
      <c r="G11" s="57">
        <v>0.19775648588601816</v>
      </c>
      <c r="H11" s="9">
        <v>2014</v>
      </c>
      <c r="I11" s="9">
        <v>6</v>
      </c>
      <c r="J11" s="18">
        <f>INDEX(PTRS!$D$6:$D$12,MATCH('4'!$F11,PTRS!$B$6:$B$12,0))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1"/>
        <v>1</v>
      </c>
      <c r="V11" s="17">
        <v>1</v>
      </c>
      <c r="W11" s="9" t="s">
        <v>54</v>
      </c>
      <c r="X11" s="9">
        <f>INDEX('Unique Asset List'!$Y$4:$AE$60,MATCH('4'!$B11,'Unique Asset List'!$A$4:$A$60,0),MATCH('4'!$C$1,'Unique Asset List'!$Y$3:$AE$3,0))</f>
        <v>2012</v>
      </c>
      <c r="Y11" s="9">
        <f>INDEX('Unique Asset List'!$AF$4:$AL$60,MATCH('4'!$B11,'Unique Asset List'!$A$4:$A$60,0),MATCH('4'!$C$1,'Unique Asset List'!$AF$3:$AL$3,0))</f>
        <v>9</v>
      </c>
      <c r="Z11" s="9">
        <f>INDEX('Unique Asset List'!$AT$4:$AZ$60,MATCH('4'!$B11,'Unique Asset List'!$A$4:$A$60,0),MATCH('4'!$C$1,'Unique Asset List'!$AT$3:$AZ$3,0))</f>
        <v>2017</v>
      </c>
      <c r="AA11" s="9">
        <f>INDEX('Unique Asset List'!$BA$4:$BG$60,MATCH('4'!$B11,'Unique Asset List'!$A$4:$A$60,0),MATCH('4'!$C$1,'Unique Asset List'!$BA$3:$BG$3,0))</f>
        <v>3</v>
      </c>
      <c r="AB11" s="16">
        <f t="shared" si="2"/>
        <v>1.6860000000000002</v>
      </c>
      <c r="AC11" s="16">
        <f t="shared" si="3"/>
        <v>0.7069164</v>
      </c>
      <c r="AD11" s="16">
        <f t="shared" si="4"/>
        <v>0.56099999999999994</v>
      </c>
      <c r="AE11" s="15">
        <f>INDEX('Unique Asset List'!$CJ$4:$CP$60,MATCH('4'!$B11,'Unique Asset List'!$A$4:$A$60,0),MATCH('4'!$C$1,'Unique Asset List'!$CJ$3:$CP$3,0))</f>
        <v>0.05</v>
      </c>
      <c r="AF11" s="15">
        <f>INDEX('Unique Asset List'!$CQ$4:$CW$60,MATCH('4'!$B11,'Unique Asset List'!$A$4:$A$60,0),MATCH('4'!$C$1,'Unique Asset List'!$CQ$3:$CW$3,0))</f>
        <v>0.45</v>
      </c>
      <c r="AG11" s="15">
        <f>INDEX('Unique Asset List'!$BV$4:$CB$60,MATCH('4'!$B11,'Unique Asset List'!$A$4:$A$60,0),MATCH('4'!$C$1,'Unique Asset List'!$BV$3:$CB$3,0))</f>
        <v>0.05</v>
      </c>
      <c r="AH11" s="15">
        <f>INDEX('Unique Asset List'!$CC$4:$CI$60,MATCH('4'!$B11,'Unique Asset List'!$A$4:$A$60,0),MATCH('4'!$C$1,'Unique Asset List'!$CC$3:$CI$3,0))</f>
        <v>0.45</v>
      </c>
      <c r="AI11" s="11">
        <v>0.96187963349867744</v>
      </c>
      <c r="AJ11" s="15">
        <f>INDEX('Unique Asset List'!$BH$4:$BN$60,MATCH('4'!$B11,'Unique Asset List'!$A$4:$A$60,0),MATCH('4'!$C$1,'Unique Asset List'!$BH$3:$BN$3,0))</f>
        <v>1.4542000570988298</v>
      </c>
      <c r="AK11" s="15">
        <f>INDEX('Unique Asset List'!$BO$4:$BU$60,MATCH('4'!$B11,'Unique Asset List'!$A$4:$A$60,0),MATCH('4'!$C$1,'Unique Asset List'!$BO$3:$BU$3,0))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1</v>
      </c>
      <c r="AQ11" s="12">
        <v>0</v>
      </c>
      <c r="AR11" s="11">
        <f t="shared" si="5"/>
        <v>1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3</v>
      </c>
      <c r="BE11" s="3">
        <f>IF($C$5="ON",CE11,MyRating(_E2,$B11,Efficacy!$F$1))</f>
        <v>3</v>
      </c>
      <c r="BF11" s="3">
        <f>IF($C$5="ON",CF11,MyRating(_E3,$B11,Efficacy!$F$1))</f>
        <v>3</v>
      </c>
      <c r="BG11" s="3">
        <f>IF($C$5="ON",CG11,MyRating(_E4,$B11,Efficacy!$F$1))</f>
        <v>3</v>
      </c>
      <c r="BH11" s="3">
        <f>IF($C$5="ON",CH11,MyRating(_E5,$B11,Efficacy!$F$1))</f>
        <v>3</v>
      </c>
      <c r="BI11" s="3">
        <f>IF($C$5="ON",CI11,MyRating(_E6,$B11,Efficacy!$F$1))</f>
        <v>3</v>
      </c>
      <c r="BJ11" s="3">
        <f>IF($C$5="ON",CJ11,MyRating(_E7,$B11,Efficacy!$F$1))</f>
        <v>3</v>
      </c>
      <c r="BK11" s="3">
        <f>IF($C$5="ON",CK11,MyRating(_E8,$B11,Efficacy!$F$1))</f>
        <v>3</v>
      </c>
      <c r="BL11" s="3">
        <f>IF($C$5="ON",CL11,MyRating(_S1,$B11,Efficacy!$F$1))</f>
        <v>3</v>
      </c>
      <c r="BM11" s="3">
        <f>IF($C$5="ON",CM11,MyRating(_S2,$B11,Efficacy!$F$1))</f>
        <v>3</v>
      </c>
      <c r="BN11" s="3">
        <f>IF($C$5="ON",CN11,MyRating(_S3,$B11,Efficacy!$F$1))</f>
        <v>3</v>
      </c>
      <c r="BO11" s="3">
        <f>IF($C$5="ON",CO11,MyRating(_S4,$B11,Efficacy!$F$1))</f>
        <v>3</v>
      </c>
      <c r="BP11" s="3">
        <f>IF($C$5="ON",CP11,MyRating(_S5,$B11,Efficacy!$F$1))</f>
        <v>2</v>
      </c>
      <c r="BQ11" s="3">
        <f>IF($C$5="ON",CQ11,MyRating(_S6,$B11,Efficacy!$F$1))</f>
        <v>3</v>
      </c>
      <c r="BR11" s="3">
        <f>IF($C$5="ON",CR11,MyRating(_S7,$B11,Efficacy!$F$1))</f>
        <v>3</v>
      </c>
      <c r="BS11" s="3">
        <f>IF($C$5="ON",CS11,MyRating(_D1,$B11,Efficacy!$F$1))</f>
        <v>3</v>
      </c>
      <c r="BT11" s="3">
        <f>IF($C$5="ON",CT11,MyRating(_D2,$B11,Efficacy!$F$1))</f>
        <v>3</v>
      </c>
      <c r="BU11" s="3">
        <f>IF($C$5="ON",CU11,MyRating(_D3,$B11,Efficacy!$F$1))</f>
        <v>3</v>
      </c>
      <c r="BV11" s="3">
        <f>IF($C$5="ON",CV11,MyRating(_D4,$B11,Efficacy!$F$1))</f>
        <v>3</v>
      </c>
      <c r="BW11" s="3">
        <f>IF($C$5="ON",CW11,MyRating(_B1G5,$B11,Barrier!$L$2))</f>
        <v>3</v>
      </c>
      <c r="BX11" s="3">
        <f>IF($C$5="ON",CX11,MyRating(_B2,$B11,Barrier!$F$2))</f>
        <v>3</v>
      </c>
      <c r="BY11" s="6">
        <f>IF($C$5="ON",CY11,MyRating(_B3,$B11,Barrier!$F$2))</f>
        <v>3</v>
      </c>
      <c r="BZ11" s="5">
        <f t="shared" si="9"/>
        <v>3.7050546148312331E-2</v>
      </c>
      <c r="CA11" s="8">
        <f t="shared" si="6"/>
        <v>3.0000000000000004</v>
      </c>
      <c r="CB11" s="5">
        <f t="shared" si="7"/>
        <v>3.5294117647058844E-2</v>
      </c>
      <c r="CC11" s="7">
        <f t="shared" si="8"/>
        <v>6.6306101409015867E-3</v>
      </c>
      <c r="CD11" s="4">
        <v>3</v>
      </c>
      <c r="CE11" s="3">
        <v>2</v>
      </c>
      <c r="CF11" s="3">
        <v>3</v>
      </c>
      <c r="CG11" s="3">
        <v>3</v>
      </c>
      <c r="CH11" s="3">
        <v>2</v>
      </c>
      <c r="CI11" s="3">
        <v>5</v>
      </c>
      <c r="CJ11" s="3">
        <v>3</v>
      </c>
      <c r="CK11" s="3">
        <v>3</v>
      </c>
      <c r="CL11" s="3">
        <v>3</v>
      </c>
      <c r="CM11" s="3">
        <v>1</v>
      </c>
      <c r="CN11" s="3">
        <v>3</v>
      </c>
      <c r="CO11" s="3">
        <v>3</v>
      </c>
      <c r="CP11" s="3">
        <v>2</v>
      </c>
      <c r="CQ11" s="3">
        <v>3</v>
      </c>
      <c r="CR11" s="3">
        <v>3</v>
      </c>
      <c r="CS11" s="3">
        <v>3</v>
      </c>
      <c r="CT11" s="3">
        <v>2</v>
      </c>
      <c r="CU11" s="3">
        <v>3</v>
      </c>
      <c r="CV11" s="3">
        <v>3</v>
      </c>
      <c r="CW11" s="3">
        <v>3</v>
      </c>
      <c r="CX11" s="3">
        <v>3</v>
      </c>
      <c r="CY11" s="6">
        <v>3</v>
      </c>
      <c r="CZ11" s="5">
        <v>3.7014903427878103E-2</v>
      </c>
    </row>
    <row r="12" spans="1:104" x14ac:dyDescent="0.25">
      <c r="A12" s="9" t="str">
        <f t="shared" si="0"/>
        <v>UK</v>
      </c>
      <c r="B12" s="9" t="s">
        <v>86</v>
      </c>
      <c r="C12" s="20" t="s">
        <v>3</v>
      </c>
      <c r="D12" s="9" t="s">
        <v>85</v>
      </c>
      <c r="E12" s="9" t="s">
        <v>186</v>
      </c>
      <c r="F12" s="9" t="str">
        <f>INDEX('Unique Asset List'!$C$4:$C$60,MATCH(B12,_CompoundList,0))</f>
        <v>REG</v>
      </c>
      <c r="G12" s="19">
        <v>0</v>
      </c>
      <c r="H12" s="9">
        <v>2014</v>
      </c>
      <c r="I12" s="9">
        <v>6</v>
      </c>
      <c r="J12" s="18">
        <f>INDEX(PTRS!$D$6:$D$12,MATCH('4'!$F12,PTRS!$B$6:$B$12,0))</f>
        <v>0.9</v>
      </c>
      <c r="K12" s="17">
        <f>INDEX('Unique Asset List'!$D$4:$M$60,MATCH($B12,'Unique Asset List'!$A$4:$A$60,0),MATCH(K$8,'Unique Asset List'!$D$3:$M$3,0))</f>
        <v>0</v>
      </c>
      <c r="L12" s="17">
        <f>INDEX('Unique Asset List'!$D$4:$M$60,MATCH($B12,'Unique Asset List'!$A$4:$A$60,0),MATCH(L$8,'Unique Asset List'!$D$3:$M$3,0))</f>
        <v>0</v>
      </c>
      <c r="M12" s="17">
        <v>0.5</v>
      </c>
      <c r="N12" s="17">
        <f>INDEX('Unique Asset List'!$D$4:$M$60,MATCH($B12,'Unique Asset List'!$A$4:$A$60,0),MATCH(N$8,'Unique Asset List'!$D$3:$M$3,0))</f>
        <v>0.2</v>
      </c>
      <c r="O12" s="17">
        <f>INDEX('Unique Asset List'!$D$4:$M$60,MATCH($B12,'Unique Asset List'!$A$4:$A$60,0),MATCH(O$8,'Unique Asset List'!$D$3:$M$3,0))</f>
        <v>0.2</v>
      </c>
      <c r="P12" s="17">
        <f>INDEX('Unique Asset List'!$D$4:$M$60,MATCH($B12,'Unique Asset List'!$A$4:$A$60,0),MATCH(P$8,'Unique Asset List'!$D$3:$M$3,0))</f>
        <v>0.2</v>
      </c>
      <c r="Q12" s="17">
        <f>INDEX('Unique Asset List'!$D$4:$M$60,MATCH($B12,'Unique Asset List'!$A$4:$A$60,0),MATCH(Q$8,'Unique Asset List'!$D$3:$M$3,0))</f>
        <v>0.2</v>
      </c>
      <c r="R12" s="17">
        <f>INDEX('Unique Asset List'!$D$4:$M$60,MATCH($B12,'Unique Asset List'!$A$4:$A$60,0),MATCH(R$8,'Unique Asset List'!$D$3:$M$3,0))</f>
        <v>0.2</v>
      </c>
      <c r="S12" s="17">
        <f>INDEX('Unique Asset List'!$D$4:$M$60,MATCH($B12,'Unique Asset List'!$A$4:$A$60,0),MATCH(S$8,'Unique Asset List'!$D$3:$M$3,0))</f>
        <v>0</v>
      </c>
      <c r="T12" s="17"/>
      <c r="U12" s="17">
        <f t="shared" si="1"/>
        <v>0</v>
      </c>
      <c r="V12" s="17">
        <v>1</v>
      </c>
      <c r="W12" s="9" t="s">
        <v>16</v>
      </c>
      <c r="X12" s="9">
        <f>INDEX('Unique Asset List'!$Y$4:$AE$60,MATCH('4'!$B12,'Unique Asset List'!$A$4:$A$60,0),MATCH('4'!$C$1,'Unique Asset List'!$Y$3:$AE$3,0))</f>
        <v>2023</v>
      </c>
      <c r="Y12" s="9">
        <f>INDEX('Unique Asset List'!$AF$4:$AL$60,MATCH('4'!$B12,'Unique Asset List'!$A$4:$A$60,0),MATCH('4'!$C$1,'Unique Asset List'!$AF$3:$AL$3,0))</f>
        <v>6.9999999999990905</v>
      </c>
      <c r="Z12" s="9">
        <f>INDEX('Unique Asset List'!$AT$4:$AZ$60,MATCH('4'!$B12,'Unique Asset List'!$A$4:$A$60,0),MATCH('4'!$C$1,'Unique Asset List'!$AT$3:$AZ$3,0))</f>
        <v>2029</v>
      </c>
      <c r="AA12" s="9">
        <f>INDEX('Unique Asset List'!$BA$4:$BG$60,MATCH('4'!$B12,'Unique Asset List'!$A$4:$A$60,0),MATCH('4'!$C$1,'Unique Asset List'!$BA$3:$BG$3,0))</f>
        <v>7</v>
      </c>
      <c r="AB12" s="16">
        <f t="shared" si="2"/>
        <v>2.1202012000000003</v>
      </c>
      <c r="AC12" s="16">
        <f t="shared" si="3"/>
        <v>0.91994010000000004</v>
      </c>
      <c r="AD12" s="16">
        <f t="shared" si="4"/>
        <v>0.31905939999999999</v>
      </c>
      <c r="AE12" s="15">
        <f>INDEX('Unique Asset List'!$CJ$4:$CP$60,MATCH('4'!$B12,'Unique Asset List'!$A$4:$A$60,0),MATCH('4'!$C$1,'Unique Asset List'!$CJ$3:$CP$3,0))</f>
        <v>0.05</v>
      </c>
      <c r="AF12" s="15">
        <f>INDEX('Unique Asset List'!$CQ$4:$CW$60,MATCH('4'!$B12,'Unique Asset List'!$A$4:$A$60,0),MATCH('4'!$C$1,'Unique Asset List'!$CQ$3:$CW$3,0))</f>
        <v>0.45</v>
      </c>
      <c r="AG12" s="15">
        <f>INDEX('Unique Asset List'!$BV$4:$CB$60,MATCH('4'!$B12,'Unique Asset List'!$A$4:$A$60,0),MATCH('4'!$C$1,'Unique Asset List'!$BV$3:$CB$3,0))</f>
        <v>0.05</v>
      </c>
      <c r="AH12" s="15">
        <f>INDEX('Unique Asset List'!$CC$4:$CI$60,MATCH('4'!$B12,'Unique Asset List'!$A$4:$A$60,0),MATCH('4'!$C$1,'Unique Asset List'!$CC$3:$CI$3,0))</f>
        <v>0.45</v>
      </c>
      <c r="AI12" s="11">
        <v>0.96187963349867744</v>
      </c>
      <c r="AJ12" s="15">
        <f>INDEX('Unique Asset List'!$BH$4:$BN$60,MATCH('4'!$B12,'Unique Asset List'!$A$4:$A$60,0),MATCH('4'!$C$1,'Unique Asset List'!$BH$3:$BN$3,0))</f>
        <v>1.4542000570988298</v>
      </c>
      <c r="AK12" s="15">
        <f>INDEX('Unique Asset List'!$BO$4:$BU$60,MATCH('4'!$B12,'Unique Asset List'!$A$4:$A$60,0),MATCH('4'!$C$1,'Unique Asset List'!$BO$3:$BU$3,0))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81">
        <f>INDEX('Unique Asset List'!N$4:N$60,MATCH($B12,_CompoundList,0))</f>
        <v>0</v>
      </c>
      <c r="AU12" s="181">
        <f>INDEX('Unique Asset List'!O$4:O$60,MATCH($B12,_CompoundList,0))</f>
        <v>0</v>
      </c>
      <c r="AV12" s="181">
        <f>INDEX('Unique Asset List'!P$4:P$60,MATCH($B12,_CompoundList,0))</f>
        <v>0</v>
      </c>
      <c r="AW12" s="181">
        <f>INDEX('Unique Asset List'!Q$4:Q$60,MATCH($B12,_CompoundList,0))</f>
        <v>0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0</v>
      </c>
      <c r="BB12" s="181">
        <f ca="1">INDEX('Unique Asset List'!V$4:V$60,MATCH($B12,_CompoundList,0))</f>
        <v>0</v>
      </c>
      <c r="BC12" s="181">
        <f ca="1">INDEX('Unique Asset List'!W$4:W$60,MATCH($B12,_CompoundList,0))</f>
        <v>0</v>
      </c>
      <c r="BD12" s="4">
        <f>IF($C$5="ON",CD12,MyRating(_E1,$B12,Efficacy!$F$1))</f>
        <v>3</v>
      </c>
      <c r="BE12" s="3">
        <f>IF($C$5="ON",CE12,MyRating(_E2,$B12,Efficacy!$F$1))</f>
        <v>5</v>
      </c>
      <c r="BF12" s="3">
        <f>IF($C$5="ON",CF12,MyRating(_E3,$B12,Efficacy!$F$1))</f>
        <v>5</v>
      </c>
      <c r="BG12" s="3">
        <f>IF($C$5="ON",CG12,MyRating(_E4,$B12,Efficacy!$F$1))</f>
        <v>4</v>
      </c>
      <c r="BH12" s="3">
        <f>IF($C$5="ON",CH12,MyRating(_E5,$B12,Efficacy!$F$1))</f>
        <v>3</v>
      </c>
      <c r="BI12" s="3">
        <f>IF($C$5="ON",CI12,MyRating(_E6,$B12,Efficacy!$F$1))</f>
        <v>3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IF($C$5="ON",CL12,MyRating(_S1,$B12,Efficacy!$F$1))</f>
        <v>4</v>
      </c>
      <c r="BM12" s="3">
        <f>IF($C$5="ON",CM12,MyRating(_S2,$B12,Efficacy!$F$1))</f>
        <v>3</v>
      </c>
      <c r="BN12" s="3">
        <f>IF($C$5="ON",CN12,MyRating(_S3,$B12,Efficacy!$F$1))</f>
        <v>3</v>
      </c>
      <c r="BO12" s="3">
        <f>IF($C$5="ON",CO12,MyRating(_S4,$B12,Efficacy!$F$1))</f>
        <v>4</v>
      </c>
      <c r="BP12" s="3">
        <f>IF($C$5="ON",CP12,MyRating(_S5,$B12,Efficacy!$F$1))</f>
        <v>5</v>
      </c>
      <c r="BQ12" s="3">
        <f>IF($C$5="ON",CQ12,MyRating(_S6,$B12,Efficacy!$F$1))</f>
        <v>2</v>
      </c>
      <c r="BR12" s="3">
        <f>IF($C$5="ON",CR12,MyRating(_S7,$B12,Efficacy!$F$1))</f>
        <v>3</v>
      </c>
      <c r="BS12" s="3">
        <f>IF($C$5="ON",CS12,MyRating(_D1,$B12,Efficacy!$F$1))</f>
        <v>2</v>
      </c>
      <c r="BT12" s="3">
        <f>IF($C$5="ON",CT12,MyRating(_D2,$B12,Efficacy!$F$1))</f>
        <v>2</v>
      </c>
      <c r="BU12" s="3">
        <f>IF($C$5="ON",CU12,MyRating(_D3,$B12,Efficacy!$F$1))</f>
        <v>2</v>
      </c>
      <c r="BV12" s="3">
        <f>IF($C$5="ON",CV12,MyRating(_D4,$B12,Efficacy!$F$1))</f>
        <v>1</v>
      </c>
      <c r="BW12" s="3">
        <f>IF($C$5="ON",CW12,MyRating(_B1G5,$B12,Barrier!$L$2))</f>
        <v>2</v>
      </c>
      <c r="BX12" s="3">
        <f>IF($C$5="ON",CX12,MyRating(_B2,$B12,Barrier!$F$2))</f>
        <v>1</v>
      </c>
      <c r="BY12" s="6">
        <f>IF($C$5="ON",CY12,MyRating(_B3,$B12,Barrier!$F$2))</f>
        <v>1</v>
      </c>
      <c r="BZ12" s="5">
        <f t="shared" si="9"/>
        <v>0</v>
      </c>
      <c r="CA12" s="8">
        <f t="shared" si="6"/>
        <v>1.2000000000000002</v>
      </c>
      <c r="CB12" s="5">
        <f t="shared" si="7"/>
        <v>1.4117647058823539E-2</v>
      </c>
      <c r="CC12" s="7">
        <f t="shared" si="8"/>
        <v>1.6774264257487204E-3</v>
      </c>
      <c r="CD12" s="4">
        <v>3</v>
      </c>
      <c r="CE12" s="3">
        <v>5</v>
      </c>
      <c r="CF12" s="3">
        <v>5</v>
      </c>
      <c r="CG12" s="3">
        <v>4</v>
      </c>
      <c r="CH12" s="3">
        <v>3</v>
      </c>
      <c r="CI12" s="3">
        <v>3</v>
      </c>
      <c r="CJ12" s="3">
        <v>3</v>
      </c>
      <c r="CK12" s="3">
        <v>3</v>
      </c>
      <c r="CL12" s="3">
        <v>5</v>
      </c>
      <c r="CM12" s="3">
        <v>3</v>
      </c>
      <c r="CN12" s="3">
        <v>3</v>
      </c>
      <c r="CO12" s="3">
        <v>4</v>
      </c>
      <c r="CP12" s="3">
        <v>5</v>
      </c>
      <c r="CQ12" s="3">
        <v>2</v>
      </c>
      <c r="CR12" s="3">
        <v>3</v>
      </c>
      <c r="CS12" s="3">
        <v>2</v>
      </c>
      <c r="CT12" s="3">
        <v>2</v>
      </c>
      <c r="CU12" s="3">
        <v>2</v>
      </c>
      <c r="CV12" s="3">
        <v>1</v>
      </c>
      <c r="CW12" s="3">
        <v>2</v>
      </c>
      <c r="CX12" s="3">
        <v>1</v>
      </c>
      <c r="CY12" s="6">
        <v>1</v>
      </c>
      <c r="CZ12" s="5">
        <v>1.0501667745898752E-2</v>
      </c>
    </row>
    <row r="13" spans="1:104" x14ac:dyDescent="0.25">
      <c r="A13" s="9" t="str">
        <f t="shared" si="0"/>
        <v>UK</v>
      </c>
      <c r="B13" s="9" t="s">
        <v>280</v>
      </c>
      <c r="C13" s="20"/>
      <c r="D13" s="9" t="s">
        <v>2</v>
      </c>
      <c r="E13" s="9" t="s">
        <v>186</v>
      </c>
      <c r="F13" s="9" t="str">
        <f>INDEX('Unique Asset List'!$C$4:$C$60,MATCH(B13,_CompoundList,0))</f>
        <v>REG</v>
      </c>
      <c r="G13" s="19">
        <v>0</v>
      </c>
      <c r="H13" s="9">
        <v>2014</v>
      </c>
      <c r="I13" s="9">
        <v>6</v>
      </c>
      <c r="J13" s="18">
        <f>INDEX(PTRS!$D$6:$D$12,MATCH('4'!$F13,PTRS!$B$6:$B$12,0))</f>
        <v>0.9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v>0.58500000000000008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1"/>
        <v>0.19245008972987526</v>
      </c>
      <c r="V13" s="17">
        <v>0.42</v>
      </c>
      <c r="W13" s="9" t="s">
        <v>62</v>
      </c>
      <c r="X13" s="9">
        <f>INDEX('Unique Asset List'!$Y$4:$AE$60,MATCH('4'!$B13,'Unique Asset List'!$A$4:$A$60,0),MATCH('4'!$C$1,'Unique Asset List'!$Y$3:$AE$3,0))</f>
        <v>2019</v>
      </c>
      <c r="Y13" s="9">
        <f>INDEX('Unique Asset List'!$AF$4:$AL$60,MATCH('4'!$B13,'Unique Asset List'!$A$4:$A$60,0),MATCH('4'!$C$1,'Unique Asset List'!$AF$3:$AL$3,0))</f>
        <v>11.000000000000909</v>
      </c>
      <c r="Z13" s="9">
        <f>INDEX('Unique Asset List'!$AT$4:$AZ$60,MATCH('4'!$B13,'Unique Asset List'!$A$4:$A$60,0),MATCH('4'!$C$1,'Unique Asset List'!$AT$3:$AZ$3,0))</f>
        <v>2031</v>
      </c>
      <c r="AA13" s="9">
        <f>INDEX('Unique Asset List'!$BA$4:$BG$60,MATCH('4'!$B13,'Unique Asset List'!$A$4:$A$60,0),MATCH('4'!$C$1,'Unique Asset List'!$BA$3:$BG$3,0))</f>
        <v>1</v>
      </c>
      <c r="AB13" s="16">
        <f t="shared" si="2"/>
        <v>2.4575697999999999</v>
      </c>
      <c r="AC13" s="16">
        <f t="shared" si="3"/>
        <v>0.91994010000000004</v>
      </c>
      <c r="AD13" s="16">
        <f t="shared" si="4"/>
        <v>0.35908660413999993</v>
      </c>
      <c r="AE13" s="15">
        <f>INDEX('Unique Asset List'!$CJ$4:$CP$60,MATCH('4'!$B13,'Unique Asset List'!$A$4:$A$60,0),MATCH('4'!$C$1,'Unique Asset List'!$CJ$3:$CP$3,0))</f>
        <v>0.06</v>
      </c>
      <c r="AF13" s="15">
        <f>INDEX('Unique Asset List'!$CQ$4:$CW$60,MATCH('4'!$B13,'Unique Asset List'!$A$4:$A$60,0),MATCH('4'!$C$1,'Unique Asset List'!$CQ$3:$CW$3,0))</f>
        <v>0.45</v>
      </c>
      <c r="AG13" s="15">
        <f>INDEX('Unique Asset List'!$BV$4:$CB$60,MATCH('4'!$B13,'Unique Asset List'!$A$4:$A$60,0),MATCH('4'!$C$1,'Unique Asset List'!$BV$3:$CB$3,0))</f>
        <v>0.06</v>
      </c>
      <c r="AH13" s="15">
        <f>INDEX('Unique Asset List'!$CC$4:$CI$60,MATCH('4'!$B13,'Unique Asset List'!$A$4:$A$60,0),MATCH('4'!$C$1,'Unique Asset List'!$CC$3:$CI$3,0))</f>
        <v>0.45</v>
      </c>
      <c r="AI13" s="11">
        <v>0.96187963349867744</v>
      </c>
      <c r="AJ13" s="15">
        <f>INDEX('Unique Asset List'!$BH$4:$BN$60,MATCH('4'!$B13,'Unique Asset List'!$A$4:$A$60,0),MATCH('4'!$C$1,'Unique Asset List'!$BH$3:$BN$3,0))</f>
        <v>1.4542000570988298</v>
      </c>
      <c r="AK13" s="15">
        <f>INDEX('Unique Asset List'!$BO$4:$BU$60,MATCH('4'!$B13,'Unique Asset List'!$A$4:$A$60,0),MATCH('4'!$C$1,'Unique Asset List'!$BO$3:$BU$3,0))</f>
        <v>-0.4950056673809119</v>
      </c>
      <c r="AL13" s="9">
        <v>184.20560747663552</v>
      </c>
      <c r="AM13" s="14">
        <v>36.116164383561646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0.32340383561643832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5</v>
      </c>
      <c r="BE13" s="3">
        <f>IF($C$5="ON",CE13,MyRating(_E2,$B13,Efficacy!$F$1))</f>
        <v>5</v>
      </c>
      <c r="BF13" s="3">
        <f>IF($C$5="ON",CF13,MyRating(_E3,$B13,Efficacy!$F$1))</f>
        <v>5</v>
      </c>
      <c r="BG13" s="3">
        <f>IF($C$5="ON",CG13,MyRating(_E4,$B13,Efficacy!$F$1))</f>
        <v>5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2</v>
      </c>
      <c r="BK13" s="3">
        <f>IF($C$5="ON",CK13,MyRating(_E8,$B13,Efficacy!$F$1))</f>
        <v>5</v>
      </c>
      <c r="BL13" s="3">
        <f>IF($C$5="ON",CL13,MyRating(_S1,$B13,Efficacy!$F$1))</f>
        <v>4</v>
      </c>
      <c r="BM13" s="3">
        <f>IF($C$5="ON",CM13,MyRating(_S2,$B13,Efficacy!$F$1))</f>
        <v>3</v>
      </c>
      <c r="BN13" s="3">
        <f>IF($C$5="ON",CN13,MyRating(_S3,$B13,Efficacy!$F$1))</f>
        <v>3</v>
      </c>
      <c r="BO13" s="3">
        <f>IF($C$5="ON",CO13,MyRating(_S4,$B13,Efficacy!$F$1))</f>
        <v>4</v>
      </c>
      <c r="BP13" s="3">
        <f>IF($C$5="ON",CP13,MyRating(_S5,$B13,Efficacy!$F$1))</f>
        <v>5</v>
      </c>
      <c r="BQ13" s="3">
        <f>IF($C$5="ON",CQ13,MyRating(_S6,$B13,Efficacy!$F$1))</f>
        <v>2</v>
      </c>
      <c r="BR13" s="3">
        <f>IF($C$5="ON",CR13,MyRating(_S7,$B13,Efficacy!$F$1))</f>
        <v>3</v>
      </c>
      <c r="BS13" s="3">
        <f>IF($C$5="ON",CS13,MyRating(_D1,$B13,Efficacy!$F$1))</f>
        <v>2</v>
      </c>
      <c r="BT13" s="3">
        <f>IF($C$5="ON",CT13,MyRating(_D2,$B13,Efficacy!$F$1))</f>
        <v>3</v>
      </c>
      <c r="BU13" s="3">
        <f>IF($C$5="ON",CU13,MyRating(_D3,$B13,Efficacy!$F$1))</f>
        <v>2</v>
      </c>
      <c r="BV13" s="3">
        <f>IF($C$5="ON",CV13,MyRating(_D4,$B13,Efficacy!$F$1))</f>
        <v>1</v>
      </c>
      <c r="BW13" s="3">
        <f>IF($C$5="ON",CW13,MyRating(_B1G5,$B13,Barrier!$L$2))</f>
        <v>1</v>
      </c>
      <c r="BX13" s="3">
        <f>IF($C$5="ON",CX13,MyRating(_B2,$B13,Barrier!$F$2))</f>
        <v>1</v>
      </c>
      <c r="BY13" s="6">
        <f>IF($C$5="ON",CY13,MyRating(_B3,$B13,Barrier!$F$2))</f>
        <v>1</v>
      </c>
      <c r="BZ13" s="5">
        <f t="shared" si="9"/>
        <v>7.1303809307835921E-3</v>
      </c>
      <c r="CA13" s="8">
        <f t="shared" si="6"/>
        <v>1</v>
      </c>
      <c r="CB13" s="5">
        <f t="shared" si="7"/>
        <v>1.1764705882352946E-2</v>
      </c>
      <c r="CC13" s="7">
        <f t="shared" si="8"/>
        <v>1.2760615165803312E-3</v>
      </c>
      <c r="CD13" s="4">
        <v>5</v>
      </c>
      <c r="CE13" s="3">
        <v>5</v>
      </c>
      <c r="CF13" s="3">
        <v>5</v>
      </c>
      <c r="CG13" s="3">
        <v>4</v>
      </c>
      <c r="CH13" s="3">
        <v>3</v>
      </c>
      <c r="CI13" s="3">
        <v>3</v>
      </c>
      <c r="CJ13" s="3">
        <v>3</v>
      </c>
      <c r="CK13" s="3">
        <v>4</v>
      </c>
      <c r="CL13" s="3">
        <v>4</v>
      </c>
      <c r="CM13" s="3">
        <v>3</v>
      </c>
      <c r="CN13" s="3">
        <v>3</v>
      </c>
      <c r="CO13" s="3">
        <v>3</v>
      </c>
      <c r="CP13" s="3">
        <v>5</v>
      </c>
      <c r="CQ13" s="3">
        <v>2</v>
      </c>
      <c r="CR13" s="3">
        <v>3</v>
      </c>
      <c r="CS13" s="3">
        <v>2</v>
      </c>
      <c r="CT13" s="3">
        <v>3</v>
      </c>
      <c r="CU13" s="3">
        <v>3</v>
      </c>
      <c r="CV13" s="3">
        <v>1</v>
      </c>
      <c r="CW13" s="3">
        <v>1</v>
      </c>
      <c r="CX13" s="3">
        <v>1</v>
      </c>
      <c r="CY13" s="6">
        <v>1</v>
      </c>
      <c r="CZ13" s="5">
        <v>9.9044671286996639E-3</v>
      </c>
    </row>
    <row r="14" spans="1:104" x14ac:dyDescent="0.25">
      <c r="A14" s="9" t="str">
        <f t="shared" si="0"/>
        <v>UK</v>
      </c>
      <c r="B14" s="9" t="s">
        <v>92</v>
      </c>
      <c r="C14" s="20" t="s">
        <v>3</v>
      </c>
      <c r="D14" s="9" t="s">
        <v>91</v>
      </c>
      <c r="E14" s="9" t="s">
        <v>90</v>
      </c>
      <c r="F14" s="9" t="str">
        <f>INDEX('Unique Asset List'!$C$4:$C$60,MATCH(B14,_CompoundList,0))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INDEX(PTRS!$D$6:$D$12,MATCH('4'!$F14,PTRS!$B$6:$B$12,0))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1"/>
        <v>0</v>
      </c>
      <c r="V14" s="17">
        <v>1</v>
      </c>
      <c r="W14" s="9" t="s">
        <v>54</v>
      </c>
      <c r="X14" s="9">
        <f>INDEX('Unique Asset List'!$Y$4:$AE$60,MATCH('4'!$B14,'Unique Asset List'!$A$4:$A$60,0),MATCH('4'!$C$1,'Unique Asset List'!$Y$3:$AE$3,0))</f>
        <v>2016</v>
      </c>
      <c r="Y14" s="9">
        <f>INDEX('Unique Asset List'!$AF$4:$AL$60,MATCH('4'!$B14,'Unique Asset List'!$A$4:$A$60,0),MATCH('4'!$C$1,'Unique Asset List'!$AF$3:$AL$3,0))</f>
        <v>6.9999999999990905</v>
      </c>
      <c r="Z14" s="9">
        <f>INDEX('Unique Asset List'!$AT$4:$AZ$60,MATCH('4'!$B14,'Unique Asset List'!$A$4:$A$60,0),MATCH('4'!$C$1,'Unique Asset List'!$AT$3:$AZ$3,0))</f>
        <v>2027</v>
      </c>
      <c r="AA14" s="9">
        <f>INDEX('Unique Asset List'!$BA$4:$BG$60,MATCH('4'!$B14,'Unique Asset List'!$A$4:$A$60,0),MATCH('4'!$C$1,'Unique Asset List'!$BA$3:$BG$3,0))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List'!$CJ$4:$CP$60,MATCH('4'!$B14,'Unique Asset List'!$A$4:$A$60,0),MATCH('4'!$C$1,'Unique Asset List'!$CJ$3:$CP$3,0))</f>
        <v>0.05</v>
      </c>
      <c r="AF14" s="15">
        <f>INDEX('Unique Asset List'!$CQ$4:$CW$60,MATCH('4'!$B14,'Unique Asset List'!$A$4:$A$60,0),MATCH('4'!$C$1,'Unique Asset List'!$CQ$3:$CW$3,0))</f>
        <v>0.45</v>
      </c>
      <c r="AG14" s="15">
        <f>INDEX('Unique Asset List'!$BV$4:$CB$60,MATCH('4'!$B14,'Unique Asset List'!$A$4:$A$60,0),MATCH('4'!$C$1,'Unique Asset List'!$BV$3:$CB$3,0))</f>
        <v>0.05</v>
      </c>
      <c r="AH14" s="15">
        <f>INDEX('Unique Asset List'!$CC$4:$CI$60,MATCH('4'!$B14,'Unique Asset List'!$A$4:$A$60,0),MATCH('4'!$C$1,'Unique Asset List'!$CC$3:$CI$3,0))</f>
        <v>0.45</v>
      </c>
      <c r="AI14" s="11">
        <v>0.96187963349867744</v>
      </c>
      <c r="AJ14" s="15">
        <f>INDEX('Unique Asset List'!$BH$4:$BN$60,MATCH('4'!$B14,'Unique Asset List'!$A$4:$A$60,0),MATCH('4'!$C$1,'Unique Asset List'!$BH$3:$BN$3,0))</f>
        <v>1.4542000570988298</v>
      </c>
      <c r="AK14" s="15">
        <f>INDEX('Unique Asset List'!$BO$4:$BU$60,MATCH('4'!$B14,'Unique Asset List'!$A$4:$A$60,0),MATCH('4'!$C$1,'Unique Asset List'!$BO$3:$BU$3,0))</f>
        <v>-0.4950056673809119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1</v>
      </c>
      <c r="AQ14" s="12">
        <v>0</v>
      </c>
      <c r="AR14" s="11">
        <f t="shared" si="5"/>
        <v>1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3</v>
      </c>
      <c r="BE14" s="3">
        <f>IF($C$5="ON",CE14,MyRating(_E2,$B14,Efficacy!$F$1))</f>
        <v>3</v>
      </c>
      <c r="BF14" s="3">
        <f>IF($C$5="ON",CF14,MyRating(_E3,$B14,Efficacy!$F$1))</f>
        <v>3</v>
      </c>
      <c r="BG14" s="3">
        <f>IF($C$5="ON",CG14,MyRating(_E4,$B14,Efficacy!$F$1))</f>
        <v>3</v>
      </c>
      <c r="BH14" s="3">
        <f>IF($C$5="ON",CH14,MyRating(_E5,$B14,Efficacy!$F$1))</f>
        <v>3</v>
      </c>
      <c r="BI14" s="3">
        <f>IF($C$5="ON",CI14,MyRating(_E6,$B14,Efficacy!$F$1))</f>
        <v>3</v>
      </c>
      <c r="BJ14" s="3">
        <f>IF($C$5="ON",CJ14,MyRating(_E7,$B14,Efficacy!$F$1))</f>
        <v>3</v>
      </c>
      <c r="BK14" s="3">
        <f>IF($C$5="ON",CK14,MyRating(_E8,$B14,Efficacy!$F$1))</f>
        <v>3</v>
      </c>
      <c r="BL14" s="3">
        <f>IF($C$5="ON",CL14,MyRating(_S1,$B14,Efficacy!$F$1))</f>
        <v>3</v>
      </c>
      <c r="BM14" s="3">
        <f>IF($C$5="ON",CM14,MyRating(_S2,$B14,Efficacy!$F$1))</f>
        <v>3</v>
      </c>
      <c r="BN14" s="3">
        <f>IF($C$5="ON",CN14,MyRating(_S3,$B14,Efficacy!$F$1))</f>
        <v>3</v>
      </c>
      <c r="BO14" s="3">
        <f>IF($C$5="ON",CO14,MyRating(_S4,$B14,Efficacy!$F$1))</f>
        <v>4</v>
      </c>
      <c r="BP14" s="3">
        <f>IF($C$5="ON",CP14,MyRating(_S5,$B14,Efficacy!$F$1))</f>
        <v>3</v>
      </c>
      <c r="BQ14" s="3">
        <f>IF($C$5="ON",CQ14,MyRating(_S6,$B14,Efficacy!$F$1))</f>
        <v>3</v>
      </c>
      <c r="BR14" s="3">
        <f>IF($C$5="ON",CR14,MyRating(_S7,$B14,Efficacy!$F$1))</f>
        <v>3</v>
      </c>
      <c r="BS14" s="3">
        <f>IF($C$5="ON",CS14,MyRating(_D1,$B14,Efficacy!$F$1))</f>
        <v>3</v>
      </c>
      <c r="BT14" s="3">
        <f>IF($C$5="ON",CT14,MyRating(_D2,$B14,Efficacy!$F$1))</f>
        <v>3</v>
      </c>
      <c r="BU14" s="3">
        <f>IF($C$5="ON",CU14,MyRating(_D3,$B14,Efficacy!$F$1))</f>
        <v>3</v>
      </c>
      <c r="BV14" s="3">
        <f>IF($C$5="ON",CV14,MyRating(_D4,$B14,Efficacy!$F$1))</f>
        <v>3</v>
      </c>
      <c r="BW14" s="3">
        <f>IF($C$5="ON",CW14,MyRating(_B1G5,$B14,Barrier!$L$2))</f>
        <v>2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9"/>
        <v>0</v>
      </c>
      <c r="CA14" s="8">
        <f t="shared" si="6"/>
        <v>2.8000000000000003</v>
      </c>
      <c r="CB14" s="5">
        <f t="shared" si="7"/>
        <v>3.2941176470588251E-2</v>
      </c>
      <c r="CC14" s="7">
        <f t="shared" si="8"/>
        <v>5.9787261089987885E-3</v>
      </c>
      <c r="CD14" s="4">
        <v>3</v>
      </c>
      <c r="CE14" s="3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4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3</v>
      </c>
      <c r="CY14" s="6">
        <v>3</v>
      </c>
      <c r="CZ14" s="5">
        <v>3.7014903427878103E-2</v>
      </c>
    </row>
    <row r="15" spans="1:104" x14ac:dyDescent="0.25">
      <c r="A15" s="9" t="str">
        <f t="shared" si="0"/>
        <v>UK</v>
      </c>
      <c r="B15" s="9" t="s">
        <v>82</v>
      </c>
      <c r="C15" s="20"/>
      <c r="D15" s="9" t="s">
        <v>81</v>
      </c>
      <c r="E15" s="9" t="s">
        <v>186</v>
      </c>
      <c r="F15" s="9" t="str">
        <f>INDEX('Unique Asset List'!$C$4:$C$60,MATCH(B15,_CompoundList,0))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INDEX(PTRS!$D$6:$D$12,MATCH('4'!$F15,PTRS!$B$6:$B$12,0))</f>
        <v>0.58500000000000008</v>
      </c>
      <c r="K15" s="17">
        <f>INDEX('Unique Asset List'!$D$4:$M$60,MATCH($B15,'Unique Asset List'!$A$4:$A$60,0),MATCH(K$8,'Unique Asset List'!$D$3:$M$3,0))</f>
        <v>0</v>
      </c>
      <c r="L15" s="17">
        <f>INDEX('Unique Asset List'!$D$4:$M$60,MATCH($B15,'Unique Asset List'!$A$4:$A$60,0),MATCH(L$8,'Unique Asset List'!$D$3:$M$3,0))</f>
        <v>0</v>
      </c>
      <c r="M15" s="17">
        <v>0.19500000000000003</v>
      </c>
      <c r="N15" s="17">
        <f>INDEX('Unique Asset List'!$D$4:$M$60,MATCH($B15,'Unique Asset List'!$A$4:$A$60,0),MATCH(N$8,'Unique Asset List'!$D$3:$M$3,0))</f>
        <v>0.58500000000000008</v>
      </c>
      <c r="O15" s="17">
        <f>INDEX('Unique Asset List'!$D$4:$M$60,MATCH($B15,'Unique Asset List'!$A$4:$A$60,0),MATCH(O$8,'Unique Asset List'!$D$3:$M$3,0))</f>
        <v>0.58500000000000008</v>
      </c>
      <c r="P15" s="17">
        <f>INDEX('Unique Asset List'!$D$4:$M$60,MATCH($B15,'Unique Asset List'!$A$4:$A$60,0),MATCH(P$8,'Unique Asset List'!$D$3:$M$3,0))</f>
        <v>0.58500000000000008</v>
      </c>
      <c r="Q15" s="17">
        <f>INDEX('Unique Asset List'!$D$4:$M$60,MATCH($B15,'Unique Asset List'!$A$4:$A$60,0),MATCH(Q$8,'Unique Asset List'!$D$3:$M$3,0))</f>
        <v>0.58500000000000008</v>
      </c>
      <c r="R15" s="17">
        <f>INDEX('Unique Asset List'!$D$4:$M$60,MATCH($B15,'Unique Asset List'!$A$4:$A$60,0),MATCH(R$8,'Unique Asset List'!$D$3:$M$3,0))</f>
        <v>0.58500000000000008</v>
      </c>
      <c r="S15" s="17">
        <f>INDEX('Unique Asset List'!$D$4:$M$60,MATCH($B15,'Unique Asset List'!$A$4:$A$60,0),MATCH(S$8,'Unique Asset List'!$D$3:$M$3,0))</f>
        <v>0</v>
      </c>
      <c r="T15" s="17"/>
      <c r="U15" s="17">
        <f t="shared" si="1"/>
        <v>0.90168566420734264</v>
      </c>
      <c r="V15" s="17">
        <v>1</v>
      </c>
      <c r="W15" s="9" t="s">
        <v>188</v>
      </c>
      <c r="X15" s="9">
        <f>INDEX('Unique Asset List'!$Y$4:$AE$60,MATCH('4'!$B15,'Unique Asset List'!$A$4:$A$60,0),MATCH('4'!$C$1,'Unique Asset List'!$Y$3:$AE$3,0))</f>
        <v>2023</v>
      </c>
      <c r="Y15" s="9">
        <f>INDEX('Unique Asset List'!$AF$4:$AL$60,MATCH('4'!$B15,'Unique Asset List'!$A$4:$A$60,0),MATCH('4'!$C$1,'Unique Asset List'!$AF$3:$AL$3,0))</f>
        <v>0.99999999999909051</v>
      </c>
      <c r="Z15" s="9">
        <f>INDEX('Unique Asset List'!$AT$4:$AZ$60,MATCH('4'!$B15,'Unique Asset List'!$A$4:$A$60,0),MATCH('4'!$C$1,'Unique Asset List'!$AT$3:$AZ$3,0))</f>
        <v>2032</v>
      </c>
      <c r="AA15" s="9">
        <f>INDEX('Unique Asset List'!$BA$4:$BG$60,MATCH('4'!$B15,'Unique Asset List'!$A$4:$A$60,0),MATCH('4'!$C$1,'Unique Asset List'!$BA$3:$BG$3,0))</f>
        <v>1</v>
      </c>
      <c r="AB15" s="16">
        <f t="shared" si="2"/>
        <v>1.6860000000000002</v>
      </c>
      <c r="AC15" s="16">
        <f t="shared" si="3"/>
        <v>0.97325250000000008</v>
      </c>
      <c r="AD15" s="16">
        <f t="shared" si="4"/>
        <v>0.38169906301999995</v>
      </c>
      <c r="AE15" s="15">
        <f>INDEX('Unique Asset List'!$CJ$4:$CP$60,MATCH('4'!$B15,'Unique Asset List'!$A$4:$A$60,0),MATCH('4'!$C$1,'Unique Asset List'!$CJ$3:$CP$3,0))</f>
        <v>0.05</v>
      </c>
      <c r="AF15" s="15">
        <f>INDEX('Unique Asset List'!$CQ$4:$CW$60,MATCH('4'!$B15,'Unique Asset List'!$A$4:$A$60,0),MATCH('4'!$C$1,'Unique Asset List'!$CQ$3:$CW$3,0))</f>
        <v>0.45</v>
      </c>
      <c r="AG15" s="15">
        <f>INDEX('Unique Asset List'!$BV$4:$CB$60,MATCH('4'!$B15,'Unique Asset List'!$A$4:$A$60,0),MATCH('4'!$C$1,'Unique Asset List'!$BV$3:$CB$3,0))</f>
        <v>0.05</v>
      </c>
      <c r="AH15" s="15">
        <f>INDEX('Unique Asset List'!$CC$4:$CI$60,MATCH('4'!$B15,'Unique Asset List'!$A$4:$A$60,0),MATCH('4'!$C$1,'Unique Asset List'!$CC$3:$CI$3,0))</f>
        <v>0.45</v>
      </c>
      <c r="AI15" s="11">
        <v>0.96187963349867744</v>
      </c>
      <c r="AJ15" s="15">
        <f>INDEX('Unique Asset List'!$BH$4:$BN$60,MATCH('4'!$B15,'Unique Asset List'!$A$4:$A$60,0),MATCH('4'!$C$1,'Unique Asset List'!$BH$3:$BN$3,0))</f>
        <v>1.4542000570988298</v>
      </c>
      <c r="AK15" s="15">
        <f>INDEX('Unique Asset List'!$BO$4:$BU$60,MATCH('4'!$B15,'Unique Asset List'!$A$4:$A$60,0),MATCH('4'!$C$1,'Unique Asset List'!$BO$3:$BU$3,0))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81">
        <f>INDEX('Unique Asset List'!N$4:N$60,MATCH($B15,_CompoundList,0))</f>
        <v>0</v>
      </c>
      <c r="AU15" s="181">
        <f>INDEX('Unique Asset List'!O$4:O$60,MATCH($B15,_CompoundList,0))</f>
        <v>0</v>
      </c>
      <c r="AV15" s="181">
        <f>INDEX('Unique Asset List'!P$4:P$60,MATCH($B15,_CompoundList,0))</f>
        <v>0</v>
      </c>
      <c r="AW15" s="181">
        <f>INDEX('Unique Asset List'!Q$4:Q$60,MATCH($B15,_CompoundList,0))</f>
        <v>0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0</v>
      </c>
      <c r="AZ15" s="181">
        <f ca="1">INDEX('Unique Asset List'!T$4:T$60,MATCH($B15,_CompoundList,0))</f>
        <v>0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0</v>
      </c>
      <c r="BC15" s="181">
        <f ca="1">INDEX('Unique Asset List'!W$4:W$60,MATCH($B15,_CompoundList,0))</f>
        <v>0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3</v>
      </c>
      <c r="BL15" s="3">
        <f>IF($C$5="ON",CL15,MyRating(_S1,$B15,Efficacy!$F$1))</f>
        <v>4</v>
      </c>
      <c r="BM15" s="3">
        <f>IF($C$5="ON",CM15,MyRating(_S2,$B15,Efficacy!$F$1))</f>
        <v>3</v>
      </c>
      <c r="BN15" s="3">
        <f>IF($C$5="ON",CN15,MyRating(_S3,$B15,Efficacy!$F$1))</f>
        <v>3</v>
      </c>
      <c r="BO15" s="3">
        <f>IF($C$5="ON",CO15,MyRating(_S4,$B15,Efficacy!$F$1))</f>
        <v>4</v>
      </c>
      <c r="BP15" s="3">
        <f>IF($C$5="ON",CP15,MyRating(_S5,$B15,Efficacy!$F$1))</f>
        <v>5</v>
      </c>
      <c r="BQ15" s="3">
        <f>IF($C$5="ON",CQ15,MyRating(_S6,$B15,Efficacy!$F$1))</f>
        <v>3</v>
      </c>
      <c r="BR15" s="3">
        <f>IF($C$5="ON",CR15,MyRating(_S7,$B15,Efficacy!$F$1))</f>
        <v>4</v>
      </c>
      <c r="BS15" s="3">
        <f>IF($C$5="ON",CS15,MyRating(_D1,$B15,Efficacy!$F$1))</f>
        <v>2</v>
      </c>
      <c r="BT15" s="3">
        <f>IF($C$5="ON",CT15,MyRating(_D2,$B15,Efficacy!$F$1))</f>
        <v>3</v>
      </c>
      <c r="BU15" s="3">
        <f>IF($C$5="ON",CU15,MyRating(_D3,$B15,Efficacy!$F$1))</f>
        <v>1</v>
      </c>
      <c r="BV15" s="3">
        <f>IF($C$5="ON",CV15,MyRating(_D4,$B15,Efficacy!$F$1))</f>
        <v>2</v>
      </c>
      <c r="BW15" s="3">
        <f>IF($C$5="ON",CW15,MyRating(_B1G5,$B15,Barrier!$L$2))</f>
        <v>2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9"/>
        <v>3.3407946312985805E-2</v>
      </c>
      <c r="CA15" s="8">
        <f t="shared" si="6"/>
        <v>2.8000000000000003</v>
      </c>
      <c r="CB15" s="5">
        <f t="shared" si="7"/>
        <v>3.2941176470588251E-2</v>
      </c>
      <c r="CC15" s="7">
        <f t="shared" si="8"/>
        <v>5.9787261089987885E-3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5</v>
      </c>
      <c r="CM15" s="3">
        <v>3</v>
      </c>
      <c r="CN15" s="3">
        <v>3</v>
      </c>
      <c r="CO15" s="3">
        <v>4</v>
      </c>
      <c r="CP15" s="3">
        <v>5</v>
      </c>
      <c r="CQ15" s="3">
        <v>3</v>
      </c>
      <c r="CR15" s="3">
        <v>4</v>
      </c>
      <c r="CS15" s="3">
        <v>2</v>
      </c>
      <c r="CT15" s="3">
        <v>3</v>
      </c>
      <c r="CU15" s="3">
        <v>1</v>
      </c>
      <c r="CV15" s="3">
        <v>2</v>
      </c>
      <c r="CW15" s="3">
        <v>2</v>
      </c>
      <c r="CX15" s="3">
        <v>3</v>
      </c>
      <c r="CY15" s="6">
        <v>3</v>
      </c>
      <c r="CZ15" s="5">
        <v>3.6275844714639842E-2</v>
      </c>
    </row>
    <row r="16" spans="1:104" x14ac:dyDescent="0.25">
      <c r="A16" s="9" t="str">
        <f t="shared" si="0"/>
        <v>UK</v>
      </c>
      <c r="B16" s="9" t="s">
        <v>83</v>
      </c>
      <c r="C16" s="20"/>
      <c r="D16" s="9" t="s">
        <v>64</v>
      </c>
      <c r="E16" s="9" t="s">
        <v>186</v>
      </c>
      <c r="F16" s="9" t="str">
        <f>INDEX('Unique Asset List'!$C$4:$C$60,MATCH(B16,_CompoundList,0))</f>
        <v>Ph3</v>
      </c>
      <c r="G16" s="19">
        <v>0</v>
      </c>
      <c r="H16" s="9">
        <v>2014</v>
      </c>
      <c r="I16" s="9">
        <v>6</v>
      </c>
      <c r="J16" s="18">
        <f>INDEX(PTRS!$D$6:$D$12,MATCH('4'!$F16,PTRS!$B$6:$B$12,0))</f>
        <v>0.58500000000000008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7">
        <v>0.19500000000000003</v>
      </c>
      <c r="N16" s="17">
        <f>INDEX('Unique Asset List'!$D$4:$M$60,MATCH($B16,'Unique Asset List'!$A$4:$A$60,0),MATCH(N$8,'Unique Asset List'!$D$3:$M$3,0))</f>
        <v>0.58500000000000008</v>
      </c>
      <c r="O16" s="17">
        <f>INDEX('Unique Asset List'!$D$4:$M$60,MATCH($B16,'Unique Asset List'!$A$4:$A$60,0),MATCH(O$8,'Unique Asset List'!$D$3:$M$3,0))</f>
        <v>0.58500000000000008</v>
      </c>
      <c r="P16" s="17">
        <f>INDEX('Unique Asset List'!$D$4:$M$60,MATCH($B16,'Unique Asset List'!$A$4:$A$60,0),MATCH(P$8,'Unique Asset List'!$D$3:$M$3,0))</f>
        <v>0.58500000000000008</v>
      </c>
      <c r="Q16" s="17">
        <f>INDEX('Unique Asset List'!$D$4:$M$60,MATCH($B16,'Unique Asset List'!$A$4:$A$60,0),MATCH(Q$8,'Unique Asset List'!$D$3:$M$3,0))</f>
        <v>0.58500000000000008</v>
      </c>
      <c r="R16" s="17">
        <f>INDEX('Unique Asset List'!$D$4:$M$60,MATCH($B16,'Unique Asset List'!$A$4:$A$60,0),MATCH(R$8,'Unique Asset List'!$D$3:$M$3,0))</f>
        <v>0.58500000000000008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1"/>
        <v>0.19245008972987526</v>
      </c>
      <c r="V16" s="17">
        <f>V13</f>
        <v>0.42</v>
      </c>
      <c r="W16" s="9" t="s">
        <v>62</v>
      </c>
      <c r="X16" s="9">
        <f>INDEX('Unique Asset List'!$Y$4:$AE$60,MATCH('4'!$B16,'Unique Asset List'!$A$4:$A$60,0),MATCH('4'!$C$1,'Unique Asset List'!$Y$3:$AE$3,0))</f>
        <v>2023</v>
      </c>
      <c r="Y16" s="9">
        <f>INDEX('Unique Asset List'!$AF$4:$AL$60,MATCH('4'!$B16,'Unique Asset List'!$A$4:$A$60,0),MATCH('4'!$C$1,'Unique Asset List'!$AF$3:$AL$3,0))</f>
        <v>2.0000000000009095</v>
      </c>
      <c r="Z16" s="9">
        <f>INDEX('Unique Asset List'!$AT$4:$AZ$60,MATCH('4'!$B16,'Unique Asset List'!$A$4:$A$60,0),MATCH('4'!$C$1,'Unique Asset List'!$AT$3:$AZ$3,0))</f>
        <v>2031</v>
      </c>
      <c r="AA16" s="9">
        <f>INDEX('Unique Asset List'!$BA$4:$BG$60,MATCH('4'!$B16,'Unique Asset List'!$A$4:$A$60,0),MATCH('4'!$C$1,'Unique Asset List'!$BA$3:$BG$3,0))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0.52867185888000001</v>
      </c>
      <c r="AE16" s="15">
        <f>INDEX('Unique Asset List'!$CJ$4:$CP$60,MATCH('4'!$B16,'Unique Asset List'!$A$4:$A$60,0),MATCH('4'!$C$1,'Unique Asset List'!$CJ$3:$CP$3,0))</f>
        <v>0.06</v>
      </c>
      <c r="AF16" s="15">
        <f>INDEX('Unique Asset List'!$CQ$4:$CW$60,MATCH('4'!$B16,'Unique Asset List'!$A$4:$A$60,0),MATCH('4'!$C$1,'Unique Asset List'!$CQ$3:$CW$3,0))</f>
        <v>0.45</v>
      </c>
      <c r="AG16" s="15">
        <f>INDEX('Unique Asset List'!$BV$4:$CB$60,MATCH('4'!$B16,'Unique Asset List'!$A$4:$A$60,0),MATCH('4'!$C$1,'Unique Asset List'!$BV$3:$CB$3,0))</f>
        <v>0.06</v>
      </c>
      <c r="AH16" s="15">
        <f>INDEX('Unique Asset List'!$CC$4:$CI$60,MATCH('4'!$B16,'Unique Asset List'!$A$4:$A$60,0),MATCH('4'!$C$1,'Unique Asset List'!$CC$3:$CI$3,0))</f>
        <v>0.45</v>
      </c>
      <c r="AI16" s="11">
        <v>0.96187963349867744</v>
      </c>
      <c r="AJ16" s="15">
        <f>INDEX('Unique Asset List'!$BH$4:$BN$60,MATCH('4'!$B16,'Unique Asset List'!$A$4:$A$60,0),MATCH('4'!$C$1,'Unique Asset List'!$BH$3:$BN$3,0))</f>
        <v>1.4542000570988298</v>
      </c>
      <c r="AK16" s="15">
        <f>INDEX('Unique Asset List'!$BO$4:$BU$60,MATCH('4'!$B16,'Unique Asset List'!$A$4:$A$60,0),MATCH('4'!$C$1,'Unique Asset List'!$BO$3:$BU$3,0))</f>
        <v>-0.4950056673809119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0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0</v>
      </c>
      <c r="BA16" s="181">
        <f ca="1">INDEX('Unique Asset List'!U$4:U$60,MATCH($B16,_CompoundList,0))</f>
        <v>1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3</v>
      </c>
      <c r="BF16" s="3">
        <f>IF($C$5="ON",CF16,MyRating(_E3,$B16,Efficacy!$F$1))</f>
        <v>3</v>
      </c>
      <c r="BG16" s="3">
        <f>IF($C$5="ON",CG16,MyRating(_E4,$B16,Efficacy!$F$1))</f>
        <v>3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IF($C$5="ON",CL16,MyRating(_S1,$B16,Efficacy!$F$1))</f>
        <v>3</v>
      </c>
      <c r="BM16" s="3">
        <f>IF($C$5="ON",CM16,MyRating(_S2,$B16,Efficacy!$F$1))</f>
        <v>3</v>
      </c>
      <c r="BN16" s="3">
        <f>IF($C$5="ON",CN16,MyRating(_S3,$B16,Efficacy!$F$1))</f>
        <v>3</v>
      </c>
      <c r="BO16" s="3">
        <f>IF($C$5="ON",CO16,MyRating(_S4,$B16,Efficacy!$F$1))</f>
        <v>3</v>
      </c>
      <c r="BP16" s="3">
        <f>IF($C$5="ON",CP16,MyRating(_S5,$B16,Efficacy!$F$1))</f>
        <v>3</v>
      </c>
      <c r="BQ16" s="3">
        <f>IF($C$5="ON",CQ16,MyRating(_S6,$B16,Efficacy!$F$1))</f>
        <v>2</v>
      </c>
      <c r="BR16" s="3">
        <f>IF($C$5="ON",CR16,MyRating(_S7,$B16,Efficacy!$F$1))</f>
        <v>3</v>
      </c>
      <c r="BS16" s="3">
        <f>IF($C$5="ON",CS16,MyRating(_D1,$B16,Efficacy!$F$1))</f>
        <v>3</v>
      </c>
      <c r="BT16" s="3">
        <f>IF($C$5="ON",CT16,MyRating(_D2,$B16,Efficacy!$F$1))</f>
        <v>3</v>
      </c>
      <c r="BU16" s="3">
        <f>IF($C$5="ON",CU16,MyRating(_D3,$B16,Efficacy!$F$1))</f>
        <v>2</v>
      </c>
      <c r="BV16" s="3">
        <f>IF($C$5="ON",CV16,MyRating(_D4,$B16,Efficacy!$F$1))</f>
        <v>3</v>
      </c>
      <c r="BW16" s="3">
        <f>IF($C$5="ON",CW16,MyRating(_B1G5,$B16,Barrier!$L$2))</f>
        <v>1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9"/>
        <v>7.1303809307835921E-3</v>
      </c>
      <c r="CA16" s="8">
        <f t="shared" si="6"/>
        <v>1</v>
      </c>
      <c r="CB16" s="5">
        <f t="shared" si="7"/>
        <v>1.1764705882352946E-2</v>
      </c>
      <c r="CC16" s="7">
        <f t="shared" si="8"/>
        <v>1.2760615165803312E-3</v>
      </c>
      <c r="CD16" s="4">
        <v>3</v>
      </c>
      <c r="CE16" s="3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2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1</v>
      </c>
      <c r="CX16" s="3">
        <v>1</v>
      </c>
      <c r="CY16" s="6">
        <v>1</v>
      </c>
      <c r="CZ16" s="5">
        <v>9.9044671286996639E-3</v>
      </c>
    </row>
    <row r="17" spans="1:104" x14ac:dyDescent="0.25">
      <c r="A17" s="9" t="str">
        <f t="shared" si="0"/>
        <v>UK</v>
      </c>
      <c r="B17" s="9" t="s">
        <v>79</v>
      </c>
      <c r="C17" s="20"/>
      <c r="D17" s="9" t="s">
        <v>78</v>
      </c>
      <c r="E17" s="9" t="s">
        <v>186</v>
      </c>
      <c r="F17" s="9" t="str">
        <f>INDEX('Unique Asset List'!$C$4:$C$60,MATCH(B17,_CompoundList,0))</f>
        <v>Ph2b</v>
      </c>
      <c r="G17" s="19">
        <v>0</v>
      </c>
      <c r="H17" s="9">
        <v>2014</v>
      </c>
      <c r="I17" s="9">
        <v>6</v>
      </c>
      <c r="J17" s="18">
        <f>INDEX(PTRS!$D$6:$D$12,MATCH('4'!$F17,PTRS!$B$6:$B$12,0))</f>
        <v>0.40949999999999998</v>
      </c>
      <c r="K17" s="17">
        <f>INDEX('Unique Asset List'!$D$4:$M$60,MATCH($B17,'Unique Asset List'!$A$4:$A$60,0),MATCH(K$8,'Unique Asset List'!$D$3:$M$3,0))</f>
        <v>0</v>
      </c>
      <c r="L17" s="17">
        <f>INDEX('Unique Asset List'!$D$4:$M$60,MATCH($B17,'Unique Asset List'!$A$4:$A$60,0),MATCH(L$8,'Unique Asset List'!$D$3:$M$3,0))</f>
        <v>0</v>
      </c>
      <c r="M17" s="17">
        <v>0.13649999999999998</v>
      </c>
      <c r="N17" s="17">
        <f>INDEX('Unique Asset List'!$D$4:$M$60,MATCH($B17,'Unique Asset List'!$A$4:$A$60,0),MATCH(N$8,'Unique Asset List'!$D$3:$M$3,0))</f>
        <v>0.40949999999999998</v>
      </c>
      <c r="O17" s="17">
        <f>INDEX('Unique Asset List'!$D$4:$M$60,MATCH($B17,'Unique Asset List'!$A$4:$A$60,0),MATCH(O$8,'Unique Asset List'!$D$3:$M$3,0))</f>
        <v>0.40949999999999998</v>
      </c>
      <c r="P17" s="17">
        <f>INDEX('Unique Asset List'!$D$4:$M$60,MATCH($B17,'Unique Asset List'!$A$4:$A$60,0),MATCH(P$8,'Unique Asset List'!$D$3:$M$3,0))</f>
        <v>0.40949999999999998</v>
      </c>
      <c r="Q17" s="17">
        <f>INDEX('Unique Asset List'!$D$4:$M$60,MATCH($B17,'Unique Asset List'!$A$4:$A$60,0),MATCH(Q$8,'Unique Asset List'!$D$3:$M$3,0))</f>
        <v>0.40949999999999998</v>
      </c>
      <c r="R17" s="17">
        <f>INDEX('Unique Asset List'!$D$4:$M$60,MATCH($B17,'Unique Asset List'!$A$4:$A$60,0),MATCH(R$8,'Unique Asset List'!$D$3:$M$3,0))</f>
        <v>0.40949999999999998</v>
      </c>
      <c r="S17" s="17">
        <f>INDEX('Unique Asset List'!$D$4:$M$60,MATCH($B17,'Unique Asset List'!$A$4:$A$60,0),MATCH(S$8,'Unique Asset List'!$D$3:$M$3,0))</f>
        <v>0</v>
      </c>
      <c r="T17" s="17"/>
      <c r="U17" s="17">
        <f t="shared" si="1"/>
        <v>0.90168566420734264</v>
      </c>
      <c r="V17" s="17">
        <v>1</v>
      </c>
      <c r="W17" s="9" t="s">
        <v>62</v>
      </c>
      <c r="X17" s="9">
        <f>INDEX('Unique Asset List'!$Y$4:$AE$60,MATCH('4'!$B17,'Unique Asset List'!$A$4:$A$60,0),MATCH('4'!$C$1,'Unique Asset List'!$Y$3:$AE$3,0))</f>
        <v>2024</v>
      </c>
      <c r="Y17" s="9">
        <f>INDEX('Unique Asset List'!$AF$4:$AL$60,MATCH('4'!$B17,'Unique Asset List'!$A$4:$A$60,0),MATCH('4'!$C$1,'Unique Asset List'!$AF$3:$AL$3,0))</f>
        <v>3</v>
      </c>
      <c r="Z17" s="9">
        <f>INDEX('Unique Asset List'!$AT$4:$AZ$60,MATCH('4'!$B17,'Unique Asset List'!$A$4:$A$60,0),MATCH('4'!$C$1,'Unique Asset List'!$AT$3:$AZ$3,0))</f>
        <v>2033</v>
      </c>
      <c r="AA17" s="9">
        <f>INDEX('Unique Asset List'!$BA$4:$BG$60,MATCH('4'!$B17,'Unique Asset List'!$A$4:$A$60,0),MATCH('4'!$C$1,'Unique Asset List'!$BA$3:$BG$3,0))</f>
        <v>3</v>
      </c>
      <c r="AB17" s="16">
        <f t="shared" si="2"/>
        <v>2.0719254000000005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List'!$CJ$4:$CP$60,MATCH('4'!$B17,'Unique Asset List'!$A$4:$A$60,0),MATCH('4'!$C$1,'Unique Asset List'!$CJ$3:$CP$3,0))</f>
        <v>0.06</v>
      </c>
      <c r="AF17" s="15">
        <f>INDEX('Unique Asset List'!$CQ$4:$CW$60,MATCH('4'!$B17,'Unique Asset List'!$A$4:$A$60,0),MATCH('4'!$C$1,'Unique Asset List'!$CQ$3:$CW$3,0))</f>
        <v>0.45</v>
      </c>
      <c r="AG17" s="15">
        <f>INDEX('Unique Asset List'!$BV$4:$CB$60,MATCH('4'!$B17,'Unique Asset List'!$A$4:$A$60,0),MATCH('4'!$C$1,'Unique Asset List'!$BV$3:$CB$3,0))</f>
        <v>0.06</v>
      </c>
      <c r="AH17" s="15">
        <f>INDEX('Unique Asset List'!$CC$4:$CI$60,MATCH('4'!$B17,'Unique Asset List'!$A$4:$A$60,0),MATCH('4'!$C$1,'Unique Asset List'!$CC$3:$CI$3,0))</f>
        <v>0.45</v>
      </c>
      <c r="AI17" s="11">
        <v>0.96187963349867744</v>
      </c>
      <c r="AJ17" s="15">
        <f>INDEX('Unique Asset List'!$BH$4:$BN$60,MATCH('4'!$B17,'Unique Asset List'!$A$4:$A$60,0),MATCH('4'!$C$1,'Unique Asset List'!$BH$3:$BN$3,0))</f>
        <v>1.4542000570988298</v>
      </c>
      <c r="AK17" s="15">
        <f>INDEX('Unique Asset List'!$BO$4:$BU$60,MATCH('4'!$B17,'Unique Asset List'!$A$4:$A$60,0),MATCH('4'!$C$1,'Unique Asset List'!$BO$3:$BU$3,0))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81">
        <f>INDEX('Unique Asset List'!N$4:N$60,MATCH($B17,_CompoundList,0))</f>
        <v>0</v>
      </c>
      <c r="AU17" s="181">
        <f>INDEX('Unique Asset List'!O$4:O$60,MATCH($B17,_CompoundList,0))</f>
        <v>0</v>
      </c>
      <c r="AV17" s="181">
        <f>INDEX('Unique Asset List'!P$4:P$60,MATCH($B17,_CompoundList,0))</f>
        <v>0</v>
      </c>
      <c r="AW17" s="181">
        <f>INDEX('Unique Asset List'!Q$4:Q$60,MATCH($B17,_CompoundList,0))</f>
        <v>0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0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4</v>
      </c>
      <c r="BE17" s="3">
        <f>IF($C$5="ON",CE17,MyRating(_E2,$B17,Efficacy!$F$1))</f>
        <v>3</v>
      </c>
      <c r="BF17" s="3">
        <f>IF($C$5="ON",CF17,MyRating(_E3,$B17,Efficacy!$F$1))</f>
        <v>4</v>
      </c>
      <c r="BG17" s="3">
        <f>IF($C$5="ON",CG17,MyRating(_E4,$B17,Efficacy!$F$1))</f>
        <v>4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3</v>
      </c>
      <c r="BK17" s="3">
        <f>IF($C$5="ON",CK17,MyRating(_E8,$B17,Efficacy!$F$1))</f>
        <v>5</v>
      </c>
      <c r="BL17" s="3">
        <f>IF($C$5="ON",CL17,MyRating(_S1,$B17,Efficacy!$F$1))</f>
        <v>4</v>
      </c>
      <c r="BM17" s="3">
        <f>IF($C$5="ON",CM17,MyRating(_S2,$B17,Efficacy!$F$1))</f>
        <v>3</v>
      </c>
      <c r="BN17" s="3">
        <f>IF($C$5="ON",CN17,MyRating(_S3,$B17,Efficacy!$F$1))</f>
        <v>3</v>
      </c>
      <c r="BO17" s="3">
        <f>IF($C$5="ON",CO17,MyRating(_S4,$B17,Efficacy!$F$1))</f>
        <v>3</v>
      </c>
      <c r="BP17" s="3">
        <f>IF($C$5="ON",CP17,MyRating(_S5,$B17,Efficacy!$F$1))</f>
        <v>5</v>
      </c>
      <c r="BQ17" s="3">
        <f>IF($C$5="ON",CQ17,MyRating(_S6,$B17,Efficacy!$F$1))</f>
        <v>2</v>
      </c>
      <c r="BR17" s="3">
        <f>IF($C$5="ON",CR17,MyRating(_S7,$B17,Efficacy!$F$1))</f>
        <v>3</v>
      </c>
      <c r="BS17" s="3">
        <f>IF($C$5="ON",CS17,MyRating(_D1,$B17,Efficacy!$F$1))</f>
        <v>3</v>
      </c>
      <c r="BT17" s="3">
        <f>IF($C$5="ON",CT17,MyRating(_D2,$B17,Efficacy!$F$1))</f>
        <v>3</v>
      </c>
      <c r="BU17" s="3">
        <f>IF($C$5="ON",CU17,MyRating(_D3,$B17,Efficacy!$F$1))</f>
        <v>3</v>
      </c>
      <c r="BV17" s="3">
        <f>IF($C$5="ON",CV17,MyRating(_D4,$B17,Efficacy!$F$1))</f>
        <v>3</v>
      </c>
      <c r="BW17" s="3">
        <f>IF($C$5="ON",CW17,MyRating(_B1G5,$B17,Barrier!$L$2))</f>
        <v>2</v>
      </c>
      <c r="BX17" s="3">
        <f>IF($C$5="ON",CX17,MyRating(_B2,$B17,Barrier!$F$2))</f>
        <v>3</v>
      </c>
      <c r="BY17" s="6">
        <f>IF($C$5="ON",CY17,MyRating(_B3,$B17,Barrier!$F$2))</f>
        <v>3</v>
      </c>
      <c r="BZ17" s="5">
        <f t="shared" si="9"/>
        <v>3.3407946312985805E-2</v>
      </c>
      <c r="CA17" s="8">
        <f t="shared" si="6"/>
        <v>2.8000000000000003</v>
      </c>
      <c r="CB17" s="5">
        <f t="shared" si="7"/>
        <v>3.2941176470588251E-2</v>
      </c>
      <c r="CC17" s="7">
        <f t="shared" si="8"/>
        <v>5.9787261089987885E-3</v>
      </c>
      <c r="CD17" s="4">
        <v>4</v>
      </c>
      <c r="CE17" s="3">
        <v>4</v>
      </c>
      <c r="CF17" s="3">
        <v>4</v>
      </c>
      <c r="CG17" s="3">
        <v>4</v>
      </c>
      <c r="CH17" s="3">
        <v>3</v>
      </c>
      <c r="CI17" s="3">
        <v>3</v>
      </c>
      <c r="CJ17" s="3">
        <v>3</v>
      </c>
      <c r="CK17" s="3">
        <v>5</v>
      </c>
      <c r="CL17" s="3">
        <v>4</v>
      </c>
      <c r="CM17" s="3">
        <v>3</v>
      </c>
      <c r="CN17" s="3">
        <v>3</v>
      </c>
      <c r="CO17" s="3">
        <v>3</v>
      </c>
      <c r="CP17" s="3">
        <v>5</v>
      </c>
      <c r="CQ17" s="3">
        <v>2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2</v>
      </c>
      <c r="CX17" s="3">
        <v>3</v>
      </c>
      <c r="CY17" s="6">
        <v>3</v>
      </c>
      <c r="CZ17" s="5">
        <v>3.6275844714639842E-2</v>
      </c>
    </row>
    <row r="18" spans="1:104" x14ac:dyDescent="0.25">
      <c r="A18" s="9" t="str">
        <f t="shared" si="0"/>
        <v>UK</v>
      </c>
      <c r="B18" s="9" t="s">
        <v>87</v>
      </c>
      <c r="C18" s="20" t="s">
        <v>3</v>
      </c>
      <c r="D18" s="9" t="s">
        <v>64</v>
      </c>
      <c r="E18" s="9" t="s">
        <v>186</v>
      </c>
      <c r="F18" s="9" t="str">
        <f>INDEX('Unique Asset List'!$C$4:$C$60,MATCH(B18,_CompoundList,0))</f>
        <v>Launched</v>
      </c>
      <c r="G18" s="19">
        <v>0</v>
      </c>
      <c r="H18" s="9">
        <v>2014</v>
      </c>
      <c r="I18" s="9">
        <v>6</v>
      </c>
      <c r="J18" s="18">
        <f>INDEX(PTRS!$D$6:$D$12,MATCH('4'!$F18,PTRS!$B$6:$B$12,0))</f>
        <v>1</v>
      </c>
      <c r="K18" s="17">
        <f>INDEX('Unique Asset List'!$D$4:$M$60,MATCH($B18,'Unique Asset List'!$A$4:$A$60,0),MATCH(K$8,'Unique Asset List'!$D$3:$M$3,0))</f>
        <v>1</v>
      </c>
      <c r="L18" s="17">
        <f>INDEX('Unique Asset List'!$D$4:$M$60,MATCH($B18,'Unique Asset List'!$A$4:$A$60,0),MATCH(L$8,'Unique Asset List'!$D$3:$M$3,0))</f>
        <v>1</v>
      </c>
      <c r="M18" s="17">
        <v>1</v>
      </c>
      <c r="N18" s="17">
        <f>INDEX('Unique Asset List'!$D$4:$M$60,MATCH($B18,'Unique Asset List'!$A$4:$A$60,0),MATCH(N$8,'Unique Asset List'!$D$3:$M$3,0))</f>
        <v>1</v>
      </c>
      <c r="O18" s="17">
        <f>INDEX('Unique Asset List'!$D$4:$M$60,MATCH($B18,'Unique Asset List'!$A$4:$A$60,0),MATCH(O$8,'Unique Asset List'!$D$3:$M$3,0))</f>
        <v>1</v>
      </c>
      <c r="P18" s="17">
        <f>INDEX('Unique Asset List'!$D$4:$M$60,MATCH($B18,'Unique Asset List'!$A$4:$A$60,0),MATCH(P$8,'Unique Asset List'!$D$3:$M$3,0))</f>
        <v>1</v>
      </c>
      <c r="Q18" s="17">
        <f>INDEX('Unique Asset List'!$D$4:$M$60,MATCH($B18,'Unique Asset List'!$A$4:$A$60,0),MATCH(Q$8,'Unique Asset List'!$D$3:$M$3,0))</f>
        <v>1</v>
      </c>
      <c r="R18" s="17">
        <f>INDEX('Unique Asset List'!$D$4:$M$60,MATCH($B18,'Unique Asset List'!$A$4:$A$60,0),MATCH(R$8,'Unique Asset List'!$D$3:$M$3,0))</f>
        <v>1</v>
      </c>
      <c r="S18" s="17">
        <f>INDEX('Unique Asset List'!$D$4:$M$60,MATCH($B18,'Unique Asset List'!$A$4:$A$60,0),MATCH(S$8,'Unique Asset List'!$D$3:$M$3,0))</f>
        <v>1</v>
      </c>
      <c r="T18" s="17"/>
      <c r="U18" s="17">
        <f t="shared" si="1"/>
        <v>0</v>
      </c>
      <c r="V18" s="17">
        <v>1</v>
      </c>
      <c r="W18" s="9" t="s">
        <v>54</v>
      </c>
      <c r="X18" s="9">
        <f>INDEX('Unique Asset List'!$Y$4:$AE$60,MATCH('4'!$B18,'Unique Asset List'!$A$4:$A$60,0),MATCH('4'!$C$1,'Unique Asset List'!$Y$3:$AE$3,0))</f>
        <v>2017</v>
      </c>
      <c r="Y18" s="9">
        <f>INDEX('Unique Asset List'!$AF$4:$AL$60,MATCH('4'!$B18,'Unique Asset List'!$A$4:$A$60,0),MATCH('4'!$C$1,'Unique Asset List'!$AF$3:$AL$3,0))</f>
        <v>3</v>
      </c>
      <c r="Z18" s="9">
        <f>INDEX('Unique Asset List'!$AT$4:$AZ$60,MATCH('4'!$B18,'Unique Asset List'!$A$4:$A$60,0),MATCH('4'!$C$1,'Unique Asset List'!$AT$3:$AZ$3,0))</f>
        <v>2033</v>
      </c>
      <c r="AA18" s="9">
        <f>INDEX('Unique Asset List'!$BA$4:$BG$60,MATCH('4'!$B18,'Unique Asset List'!$A$4:$A$60,0),MATCH('4'!$C$1,'Unique Asset List'!$BA$3:$BG$3,0))</f>
        <v>11</v>
      </c>
      <c r="AB18" s="16">
        <f t="shared" si="2"/>
        <v>1.7478200000000002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List'!$CJ$4:$CP$60,MATCH('4'!$B18,'Unique Asset List'!$A$4:$A$60,0),MATCH('4'!$C$1,'Unique Asset List'!$CJ$3:$CP$3,0))</f>
        <v>0.05</v>
      </c>
      <c r="AF18" s="15">
        <f>INDEX('Unique Asset List'!$CQ$4:$CW$60,MATCH('4'!$B18,'Unique Asset List'!$A$4:$A$60,0),MATCH('4'!$C$1,'Unique Asset List'!$CQ$3:$CW$3,0))</f>
        <v>0.45</v>
      </c>
      <c r="AG18" s="15">
        <f>INDEX('Unique Asset List'!$BV$4:$CB$60,MATCH('4'!$B18,'Unique Asset List'!$A$4:$A$60,0),MATCH('4'!$C$1,'Unique Asset List'!$BV$3:$CB$3,0))</f>
        <v>0.05</v>
      </c>
      <c r="AH18" s="15">
        <f>INDEX('Unique Asset List'!$CC$4:$CI$60,MATCH('4'!$B18,'Unique Asset List'!$A$4:$A$60,0),MATCH('4'!$C$1,'Unique Asset List'!$CC$3:$CI$3,0))</f>
        <v>0.45</v>
      </c>
      <c r="AI18" s="11">
        <v>0.96187963349867744</v>
      </c>
      <c r="AJ18" s="15">
        <f>INDEX('Unique Asset List'!$BH$4:$BN$60,MATCH('4'!$B18,'Unique Asset List'!$A$4:$A$60,0),MATCH('4'!$C$1,'Unique Asset List'!$BH$3:$BN$3,0))</f>
        <v>1.4542000570988298</v>
      </c>
      <c r="AK18" s="15">
        <f>INDEX('Unique Asset List'!$BO$4:$BU$60,MATCH('4'!$B18,'Unique Asset List'!$A$4:$A$60,0),MATCH('4'!$C$1,'Unique Asset List'!$BO$3:$BU$3,0))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1</v>
      </c>
      <c r="AQ18" s="12">
        <v>0</v>
      </c>
      <c r="AR18" s="11">
        <f t="shared" si="5"/>
        <v>1</v>
      </c>
      <c r="AS18" s="10">
        <v>1</v>
      </c>
      <c r="AT18" s="181">
        <f>INDEX('Unique Asset List'!N$4:N$60,MATCH($B18,_CompoundList,0))</f>
        <v>1</v>
      </c>
      <c r="AU18" s="181">
        <f>INDEX('Unique Asset List'!O$4:O$60,MATCH($B18,_CompoundList,0))</f>
        <v>1</v>
      </c>
      <c r="AV18" s="181">
        <f>INDEX('Unique Asset List'!P$4:P$60,MATCH($B18,_CompoundList,0))</f>
        <v>1</v>
      </c>
      <c r="AW18" s="181">
        <f>INDEX('Unique Asset List'!Q$4:Q$60,MATCH($B18,_CompoundList,0))</f>
        <v>1</v>
      </c>
      <c r="AX18" s="181">
        <f ca="1">INDEX('Unique Asset List'!R$4:R$60,MATCH($B18,_CompoundList,0))</f>
        <v>1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1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1</v>
      </c>
      <c r="BC18" s="181">
        <f ca="1">INDEX('Unique Asset List'!W$4:W$60,MATCH($B18,_CompoundList,0))</f>
        <v>1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4</v>
      </c>
      <c r="BL18" s="3">
        <f>IF($C$5="ON",CL18,MyRating(_S1,$B18,Efficacy!$F$1))</f>
        <v>3</v>
      </c>
      <c r="BM18" s="3">
        <f>IF($C$5="ON",CM18,MyRating(_S2,$B18,Efficacy!$F$1))</f>
        <v>3</v>
      </c>
      <c r="BN18" s="3">
        <f>IF($C$5="ON",CN18,MyRating(_S3,$B18,Efficacy!$F$1))</f>
        <v>3</v>
      </c>
      <c r="BO18" s="3">
        <f>IF($C$5="ON",CO18,MyRating(_S4,$B18,Efficacy!$F$1))</f>
        <v>3</v>
      </c>
      <c r="BP18" s="3">
        <f>IF($C$5="ON",CP18,MyRating(_S5,$B18,Efficacy!$F$1))</f>
        <v>5</v>
      </c>
      <c r="BQ18" s="3">
        <f>IF($C$5="ON",CQ18,MyRating(_S6,$B18,Efficacy!$F$1))</f>
        <v>2</v>
      </c>
      <c r="BR18" s="3">
        <f>IF($C$5="ON",CR18,MyRating(_S7,$B18,Efficacy!$F$1))</f>
        <v>3</v>
      </c>
      <c r="BS18" s="3">
        <f>IF($C$5="ON",CS18,MyRating(_D1,$B18,Efficacy!$F$1))</f>
        <v>3</v>
      </c>
      <c r="BT18" s="3">
        <f>IF($C$5="ON",CT18,MyRating(_D2,$B18,Efficacy!$F$1))</f>
        <v>2</v>
      </c>
      <c r="BU18" s="3">
        <f>IF($C$5="ON",CU18,MyRating(_D3,$B18,Efficacy!$F$1))</f>
        <v>3</v>
      </c>
      <c r="BV18" s="3">
        <f>IF($C$5="ON",CV18,MyRating(_D4,$B18,Efficacy!$F$1))</f>
        <v>3</v>
      </c>
      <c r="BW18" s="3">
        <f>IF($C$5="ON",CW18,MyRating(_B1G5,$B18,Barrier!$L$2))</f>
        <v>2</v>
      </c>
      <c r="BX18" s="3">
        <f>IF($C$5="ON",CX18,MyRating(_B2,$B18,Barrier!$F$2))</f>
        <v>3</v>
      </c>
      <c r="BY18" s="6">
        <f>IF($C$5="ON",CY18,MyRating(_B3,$B18,Barrier!$F$2))</f>
        <v>3</v>
      </c>
      <c r="BZ18" s="5">
        <f t="shared" si="9"/>
        <v>0</v>
      </c>
      <c r="CA18" s="8">
        <f t="shared" si="6"/>
        <v>2.8000000000000003</v>
      </c>
      <c r="CB18" s="5">
        <f t="shared" si="7"/>
        <v>3.2941176470588251E-2</v>
      </c>
      <c r="CC18" s="7">
        <f t="shared" si="8"/>
        <v>5.9787261089987885E-3</v>
      </c>
      <c r="CD18" s="4">
        <v>3</v>
      </c>
      <c r="CE18" s="3">
        <v>4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4</v>
      </c>
      <c r="CL18" s="3">
        <v>3</v>
      </c>
      <c r="CM18" s="3">
        <v>3</v>
      </c>
      <c r="CN18" s="3">
        <v>3</v>
      </c>
      <c r="CO18" s="3">
        <v>3</v>
      </c>
      <c r="CP18" s="3">
        <v>5</v>
      </c>
      <c r="CQ18" s="3">
        <v>2</v>
      </c>
      <c r="CR18" s="3">
        <v>3</v>
      </c>
      <c r="CS18" s="3">
        <v>3</v>
      </c>
      <c r="CT18" s="3">
        <v>2</v>
      </c>
      <c r="CU18" s="3">
        <v>3</v>
      </c>
      <c r="CV18" s="3">
        <v>3</v>
      </c>
      <c r="CW18" s="3">
        <v>2</v>
      </c>
      <c r="CX18" s="3">
        <v>3</v>
      </c>
      <c r="CY18" s="6">
        <v>3</v>
      </c>
      <c r="CZ18" s="5">
        <v>3.6275844714639842E-2</v>
      </c>
    </row>
    <row r="19" spans="1:104" x14ac:dyDescent="0.25">
      <c r="A19" s="9" t="str">
        <f t="shared" si="0"/>
        <v>UK</v>
      </c>
      <c r="B19" s="9" t="s">
        <v>77</v>
      </c>
      <c r="C19" s="20"/>
      <c r="D19" s="9" t="s">
        <v>76</v>
      </c>
      <c r="E19" s="9" t="s">
        <v>186</v>
      </c>
      <c r="F19" s="9" t="str">
        <f>INDEX('Unique Asset List'!$C$4:$C$60,MATCH(B19,_CompoundList,0))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INDEX(PTRS!$D$6:$D$12,MATCH('4'!$F19,PTRS!$B$6:$B$12,0))</f>
        <v>0.1638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7">
        <v>5.4600000000000003E-2</v>
      </c>
      <c r="N19" s="17">
        <f>INDEX('Unique Asset List'!$D$4:$M$60,MATCH($B19,'Unique Asset List'!$A$4:$A$60,0),MATCH(N$8,'Unique Asset List'!$D$3:$M$3,0))</f>
        <v>0.1638</v>
      </c>
      <c r="O19" s="17">
        <f>INDEX('Unique Asset List'!$D$4:$M$60,MATCH($B19,'Unique Asset List'!$A$4:$A$60,0),MATCH(O$8,'Unique Asset List'!$D$3:$M$3,0))</f>
        <v>0.1638</v>
      </c>
      <c r="P19" s="17">
        <f>INDEX('Unique Asset List'!$D$4:$M$60,MATCH($B19,'Unique Asset List'!$A$4:$A$60,0),MATCH(P$8,'Unique Asset List'!$D$3:$M$3,0))</f>
        <v>0.1638</v>
      </c>
      <c r="Q19" s="17">
        <f>INDEX('Unique Asset List'!$D$4:$M$60,MATCH($B19,'Unique Asset List'!$A$4:$A$60,0),MATCH(Q$8,'Unique Asset List'!$D$3:$M$3,0))</f>
        <v>0.1638</v>
      </c>
      <c r="R19" s="17">
        <f>INDEX('Unique Asset List'!$D$4:$M$60,MATCH($B19,'Unique Asset List'!$A$4:$A$60,0),MATCH(R$8,'Unique Asset List'!$D$3:$M$3,0))</f>
        <v>0.1638</v>
      </c>
      <c r="S19" s="17">
        <f>INDEX('Unique Asset List'!$D$4:$M$60,MATCH($B19,'Unique Asset List'!$A$4:$A$60,0),MATCH(S$8,'Unique Asset List'!$D$3:$M$3,0))</f>
        <v>1</v>
      </c>
      <c r="T19" s="17"/>
      <c r="U19" s="17">
        <f t="shared" si="1"/>
        <v>0.90168566420734264</v>
      </c>
      <c r="V19" s="17">
        <v>1</v>
      </c>
      <c r="W19" s="9" t="s">
        <v>62</v>
      </c>
      <c r="X19" s="9">
        <f>INDEX('Unique Asset List'!$Y$4:$AE$60,MATCH('4'!$B19,'Unique Asset List'!$A$4:$A$60,0),MATCH('4'!$C$1,'Unique Asset List'!$Y$3:$AE$3,0))</f>
        <v>2024</v>
      </c>
      <c r="Y19" s="9">
        <f>INDEX('Unique Asset List'!$AF$4:$AL$60,MATCH('4'!$B19,'Unique Asset List'!$A$4:$A$60,0),MATCH('4'!$C$1,'Unique Asset List'!$AF$3:$AL$3,0))</f>
        <v>6.9999999999990905</v>
      </c>
      <c r="Z19" s="9">
        <f>INDEX('Unique Asset List'!$AT$4:$AZ$60,MATCH('4'!$B19,'Unique Asset List'!$A$4:$A$60,0),MATCH('4'!$C$1,'Unique Asset List'!$AT$3:$AZ$3,0))</f>
        <v>2034</v>
      </c>
      <c r="AA19" s="9">
        <f>INDEX('Unique Asset List'!$BA$4:$BG$60,MATCH('4'!$B19,'Unique Asset List'!$A$4:$A$60,0),MATCH('4'!$C$1,'Unique Asset List'!$BA$3:$BG$3,0))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List'!$CJ$4:$CP$60,MATCH('4'!$B19,'Unique Asset List'!$A$4:$A$60,0),MATCH('4'!$C$1,'Unique Asset List'!$CJ$3:$CP$3,0))</f>
        <v>0.06</v>
      </c>
      <c r="AF19" s="15">
        <f>INDEX('Unique Asset List'!$CQ$4:$CW$60,MATCH('4'!$B19,'Unique Asset List'!$A$4:$A$60,0),MATCH('4'!$C$1,'Unique Asset List'!$CQ$3:$CW$3,0))</f>
        <v>0.45</v>
      </c>
      <c r="AG19" s="15">
        <f>INDEX('Unique Asset List'!$BV$4:$CB$60,MATCH('4'!$B19,'Unique Asset List'!$A$4:$A$60,0),MATCH('4'!$C$1,'Unique Asset List'!$BV$3:$CB$3,0))</f>
        <v>0.06</v>
      </c>
      <c r="AH19" s="15">
        <f>INDEX('Unique Asset List'!$CC$4:$CI$60,MATCH('4'!$B19,'Unique Asset List'!$A$4:$A$60,0),MATCH('4'!$C$1,'Unique Asset List'!$CC$3:$CI$3,0))</f>
        <v>0.45</v>
      </c>
      <c r="AI19" s="11">
        <v>0.96187963349867744</v>
      </c>
      <c r="AJ19" s="15">
        <f>INDEX('Unique Asset List'!$BH$4:$BN$60,MATCH('4'!$B19,'Unique Asset List'!$A$4:$A$60,0),MATCH('4'!$C$1,'Unique Asset List'!$BH$3:$BN$3,0))</f>
        <v>1.4542000570988298</v>
      </c>
      <c r="AK19" s="15">
        <f>INDEX('Unique Asset List'!$BO$4:$BU$60,MATCH('4'!$B19,'Unique Asset List'!$A$4:$A$60,0),MATCH('4'!$C$1,'Unique Asset List'!$BO$3:$BU$3,0))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1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4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5</v>
      </c>
      <c r="BL19" s="3">
        <f>IF($C$5="ON",CL19,MyRating(_S1,$B19,Efficacy!$F$1))</f>
        <v>4</v>
      </c>
      <c r="BM19" s="3">
        <f>IF($C$5="ON",CM19,MyRating(_S2,$B19,Efficacy!$F$1))</f>
        <v>3</v>
      </c>
      <c r="BN19" s="3">
        <f>IF($C$5="ON",CN19,MyRating(_S3,$B19,Efficacy!$F$1))</f>
        <v>3</v>
      </c>
      <c r="BO19" s="3">
        <f>IF($C$5="ON",CO19,MyRating(_S4,$B19,Efficacy!$F$1))</f>
        <v>3</v>
      </c>
      <c r="BP19" s="3">
        <f>IF($C$5="ON",CP19,MyRating(_S5,$B19,Efficacy!$F$1))</f>
        <v>5</v>
      </c>
      <c r="BQ19" s="3">
        <f>IF($C$5="ON",CQ19,MyRating(_S6,$B19,Efficacy!$F$1))</f>
        <v>2</v>
      </c>
      <c r="BR19" s="3">
        <f>IF($C$5="ON",CR19,MyRating(_S7,$B19,Efficacy!$F$1))</f>
        <v>3</v>
      </c>
      <c r="BS19" s="3">
        <f>IF($C$5="ON",CS19,MyRating(_D1,$B19,Efficacy!$F$1))</f>
        <v>3</v>
      </c>
      <c r="BT19" s="3">
        <f>IF($C$5="ON",CT19,MyRating(_D2,$B19,Efficacy!$F$1))</f>
        <v>3</v>
      </c>
      <c r="BU19" s="3">
        <f>IF($C$5="ON",CU19,MyRating(_D3,$B19,Efficacy!$F$1))</f>
        <v>3</v>
      </c>
      <c r="BV19" s="3">
        <f>IF($C$5="ON",CV19,MyRating(_D4,$B19,Efficacy!$F$1))</f>
        <v>3</v>
      </c>
      <c r="BW19" s="3">
        <f>IF($C$5="ON",CW19,MyRating(_B1G5,$B19,Barrier!$L$2))</f>
        <v>2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9"/>
        <v>3.3407946312985805E-2</v>
      </c>
      <c r="CA19" s="8">
        <f t="shared" si="6"/>
        <v>2.8000000000000003</v>
      </c>
      <c r="CB19" s="5">
        <f t="shared" si="7"/>
        <v>3.2941176470588251E-2</v>
      </c>
      <c r="CC19" s="7">
        <f t="shared" si="8"/>
        <v>5.9787261089987885E-3</v>
      </c>
      <c r="CD19" s="4">
        <v>3</v>
      </c>
      <c r="CE19" s="3">
        <v>3</v>
      </c>
      <c r="CF19" s="3">
        <v>3</v>
      </c>
      <c r="CG19" s="3">
        <v>4</v>
      </c>
      <c r="CH19" s="3">
        <v>3</v>
      </c>
      <c r="CI19" s="3">
        <v>3</v>
      </c>
      <c r="CJ19" s="3">
        <v>3</v>
      </c>
      <c r="CK19" s="3">
        <v>5</v>
      </c>
      <c r="CL19" s="3">
        <v>4</v>
      </c>
      <c r="CM19" s="3">
        <v>3</v>
      </c>
      <c r="CN19" s="3">
        <v>3</v>
      </c>
      <c r="CO19" s="3">
        <v>3</v>
      </c>
      <c r="CP19" s="3">
        <v>5</v>
      </c>
      <c r="CQ19" s="3">
        <v>2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2</v>
      </c>
      <c r="CX19" s="3">
        <v>3</v>
      </c>
      <c r="CY19" s="6">
        <v>3</v>
      </c>
      <c r="CZ19" s="5">
        <v>3.6275844714639842E-2</v>
      </c>
    </row>
    <row r="20" spans="1:104" x14ac:dyDescent="0.25">
      <c r="A20" s="9" t="str">
        <f t="shared" si="0"/>
        <v>UK</v>
      </c>
      <c r="B20" s="9" t="s">
        <v>39</v>
      </c>
      <c r="C20" s="20"/>
      <c r="D20" s="9" t="s">
        <v>2</v>
      </c>
      <c r="E20" s="9" t="s">
        <v>186</v>
      </c>
      <c r="F20" s="9" t="str">
        <f>INDEX('Unique Asset List'!$C$4:$C$60,MATCH(B20,_CompoundList,0))</f>
        <v>Ph2b</v>
      </c>
      <c r="G20" s="19">
        <v>0</v>
      </c>
      <c r="H20" s="9">
        <v>2014</v>
      </c>
      <c r="I20" s="9">
        <v>6</v>
      </c>
      <c r="J20" s="18">
        <f>INDEX(PTRS!$D$6:$D$12,MATCH('4'!$F20,PTRS!$B$6:$B$12,0))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1</v>
      </c>
      <c r="M20" s="17">
        <v>0.40949999999999998</v>
      </c>
      <c r="N20" s="17">
        <f>INDEX('Unique Asset List'!$D$4:$M$60,MATCH($B20,'Unique Asset List'!$A$4:$A$60,0),MATCH(N$8,'Unique Asset List'!$D$3:$M$3,0))</f>
        <v>0.4</v>
      </c>
      <c r="O20" s="17">
        <f>INDEX('Unique Asset List'!$D$4:$M$60,MATCH($B20,'Unique Asset List'!$A$4:$A$60,0),MATCH(O$8,'Unique Asset List'!$D$3:$M$3,0))</f>
        <v>0</v>
      </c>
      <c r="P20" s="17">
        <f>INDEX('Unique Asset List'!$D$4:$M$60,MATCH($B20,'Unique Asset List'!$A$4:$A$60,0),MATCH(P$8,'Unique Asset List'!$D$3:$M$3,0))</f>
        <v>1</v>
      </c>
      <c r="Q20" s="17">
        <f>INDEX('Unique Asset List'!$D$4:$M$60,MATCH($B20,'Unique Asset List'!$A$4:$A$60,0),MATCH(Q$8,'Unique Asset List'!$D$3:$M$3,0))</f>
        <v>0</v>
      </c>
      <c r="R20" s="17">
        <f>INDEX('Unique Asset List'!$D$4:$M$60,MATCH($B20,'Unique Asset List'!$A$4:$A$60,0),MATCH(R$8,'Unique Asset List'!$D$3:$M$3,0))</f>
        <v>1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1"/>
        <v>0.54433105395181736</v>
      </c>
      <c r="V20" s="17">
        <v>1</v>
      </c>
      <c r="W20" s="9" t="s">
        <v>38</v>
      </c>
      <c r="X20" s="9">
        <f>INDEX('Unique Asset List'!$Y$4:$AE$60,MATCH('4'!$B20,'Unique Asset List'!$A$4:$A$60,0),MATCH('4'!$C$1,'Unique Asset List'!$Y$3:$AE$3,0))</f>
        <v>2023</v>
      </c>
      <c r="Y20" s="9">
        <f>INDEX('Unique Asset List'!$AF$4:$AL$60,MATCH('4'!$B20,'Unique Asset List'!$A$4:$A$60,0),MATCH('4'!$C$1,'Unique Asset List'!$AF$3:$AL$3,0))</f>
        <v>11.000000000000909</v>
      </c>
      <c r="Z20" s="9">
        <f>INDEX('Unique Asset List'!$AT$4:$AZ$60,MATCH('4'!$B20,'Unique Asset List'!$A$4:$A$60,0),MATCH('4'!$C$1,'Unique Asset List'!$AT$3:$AZ$3,0))</f>
        <v>2034</v>
      </c>
      <c r="AA20" s="9">
        <f>INDEX('Unique Asset List'!$BA$4:$BG$60,MATCH('4'!$B20,'Unique Asset List'!$A$4:$A$60,0),MATCH('4'!$C$1,'Unique Asset List'!$BA$3:$BG$3,0))</f>
        <v>10</v>
      </c>
      <c r="AB20" s="16">
        <f t="shared" si="2"/>
        <v>2.1511674000000003</v>
      </c>
      <c r="AC20" s="16">
        <f t="shared" si="3"/>
        <v>0.95118959999999997</v>
      </c>
      <c r="AD20" s="16">
        <f t="shared" si="4"/>
        <v>0.56099999999999994</v>
      </c>
      <c r="AE20" s="15">
        <f>INDEX('Unique Asset List'!$CJ$4:$CP$60,MATCH('4'!$B20,'Unique Asset List'!$A$4:$A$60,0),MATCH('4'!$C$1,'Unique Asset List'!$CJ$3:$CP$3,0))</f>
        <v>0.05</v>
      </c>
      <c r="AF20" s="15">
        <f>INDEX('Unique Asset List'!$CQ$4:$CW$60,MATCH('4'!$B20,'Unique Asset List'!$A$4:$A$60,0),MATCH('4'!$C$1,'Unique Asset List'!$CQ$3:$CW$3,0))</f>
        <v>0.45</v>
      </c>
      <c r="AG20" s="15">
        <f>INDEX('Unique Asset List'!$BV$4:$CB$60,MATCH('4'!$B20,'Unique Asset List'!$A$4:$A$60,0),MATCH('4'!$C$1,'Unique Asset List'!$BV$3:$CB$3,0))</f>
        <v>0.05</v>
      </c>
      <c r="AH20" s="15">
        <f>INDEX('Unique Asset List'!$CC$4:$CI$60,MATCH('4'!$B20,'Unique Asset List'!$A$4:$A$60,0),MATCH('4'!$C$1,'Unique Asset List'!$CC$3:$CI$3,0))</f>
        <v>0.45</v>
      </c>
      <c r="AI20" s="11">
        <v>0.96187963349867744</v>
      </c>
      <c r="AJ20" s="15">
        <f>INDEX('Unique Asset List'!$BH$4:$BN$60,MATCH('4'!$B20,'Unique Asset List'!$A$4:$A$60,0),MATCH('4'!$C$1,'Unique Asset List'!$BH$3:$BN$3,0))</f>
        <v>1.4542000570988298</v>
      </c>
      <c r="AK20" s="15">
        <f>INDEX('Unique Asset List'!$BO$4:$BU$60,MATCH('4'!$B20,'Unique Asset List'!$A$4:$A$60,0),MATCH('4'!$C$1,'Unique Asset List'!$BO$3:$BU$3,0))</f>
        <v>-0.4950056673809119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1</v>
      </c>
      <c r="AV20" s="181">
        <f>INDEX('Unique Asset List'!P$4:P$60,MATCH($B20,_CompoundList,0))</f>
        <v>0</v>
      </c>
      <c r="AW20" s="181">
        <f>INDEX('Unique Asset List'!Q$4:Q$60,MATCH($B20,_CompoundList,0))</f>
        <v>1</v>
      </c>
      <c r="AX20" s="181">
        <f ca="1">INDEX('Unique Asset List'!R$4:R$60,MATCH($B20,_CompoundList,0))</f>
        <v>0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0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0</v>
      </c>
      <c r="BD20" s="4">
        <f>IF($C$5="ON",CD20,MyRating(_E1,$B20,Efficacy!$F$1))</f>
        <v>4</v>
      </c>
      <c r="BE20" s="3">
        <f>IF($C$5="ON",CE20,MyRating(_E2,$B20,Efficacy!$F$1))</f>
        <v>4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5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3</v>
      </c>
      <c r="BL20" s="3">
        <f>IF($C$5="ON",CL20,MyRating(_S1,$B20,Efficacy!$F$1))</f>
        <v>4</v>
      </c>
      <c r="BM20" s="3">
        <f>IF($C$5="ON",CM20,MyRating(_S2,$B20,Efficacy!$F$1))</f>
        <v>4</v>
      </c>
      <c r="BN20" s="3">
        <f>IF($C$5="ON",CN20,MyRating(_S3,$B20,Efficacy!$F$1))</f>
        <v>4</v>
      </c>
      <c r="BO20" s="3">
        <f>IF($C$5="ON",CO20,MyRating(_S4,$B20,Efficacy!$F$1))</f>
        <v>3</v>
      </c>
      <c r="BP20" s="3">
        <f>IF($C$5="ON",CP20,MyRating(_S5,$B20,Efficacy!$F$1))</f>
        <v>5</v>
      </c>
      <c r="BQ20" s="3">
        <f>IF($C$5="ON",CQ20,MyRating(_S6,$B20,Efficacy!$F$1))</f>
        <v>4</v>
      </c>
      <c r="BR20" s="3">
        <f>IF($C$5="ON",CR20,MyRating(_S7,$B20,Efficacy!$F$1))</f>
        <v>2</v>
      </c>
      <c r="BS20" s="3">
        <f>IF($C$5="ON",CS20,MyRating(_D1,$B20,Efficacy!$F$1))</f>
        <v>3</v>
      </c>
      <c r="BT20" s="3">
        <f>IF($C$5="ON",CT20,MyRating(_D2,$B20,Efficacy!$F$1))</f>
        <v>3</v>
      </c>
      <c r="BU20" s="3">
        <f>IF($C$5="ON",CU20,MyRating(_D3,$B20,Efficacy!$F$1))</f>
        <v>3</v>
      </c>
      <c r="BV20" s="3">
        <f>IF($C$5="ON",CV20,MyRating(_D4,$B20,Efficacy!$F$1))</f>
        <v>3</v>
      </c>
      <c r="BW20" s="3">
        <f>IF($C$5="ON",CW20,MyRating(_B1G5,$B20,Barrier!$L$2))</f>
        <v>2</v>
      </c>
      <c r="BX20" s="3">
        <f>IF($C$5="ON",CX20,MyRating(_B2,$B20,Barrier!$F$2))</f>
        <v>2</v>
      </c>
      <c r="BY20" s="6">
        <f>IF($C$5="ON",CY20,MyRating(_B3,$B20,Barrier!$F$2))</f>
        <v>2</v>
      </c>
      <c r="BZ20" s="5">
        <f t="shared" si="9"/>
        <v>2.01677628344013E-2</v>
      </c>
      <c r="CA20" s="8">
        <f t="shared" si="6"/>
        <v>2</v>
      </c>
      <c r="CB20" s="5">
        <f t="shared" si="7"/>
        <v>2.3529411764705892E-2</v>
      </c>
      <c r="CC20" s="7">
        <f t="shared" si="8"/>
        <v>3.6092470063405695E-3</v>
      </c>
      <c r="CD20" s="4">
        <v>4</v>
      </c>
      <c r="CE20" s="3">
        <v>3</v>
      </c>
      <c r="CF20" s="3">
        <v>3</v>
      </c>
      <c r="CG20" s="3">
        <v>4</v>
      </c>
      <c r="CH20" s="3">
        <v>3</v>
      </c>
      <c r="CI20" s="3">
        <v>2</v>
      </c>
      <c r="CJ20" s="3">
        <v>3</v>
      </c>
      <c r="CK20" s="3">
        <v>3</v>
      </c>
      <c r="CL20" s="3">
        <v>4</v>
      </c>
      <c r="CM20" s="3">
        <v>4</v>
      </c>
      <c r="CN20" s="3">
        <v>3</v>
      </c>
      <c r="CO20" s="3">
        <v>4</v>
      </c>
      <c r="CP20" s="3">
        <v>5</v>
      </c>
      <c r="CQ20" s="3">
        <v>2</v>
      </c>
      <c r="CR20" s="3">
        <v>3</v>
      </c>
      <c r="CS20" s="3">
        <v>3</v>
      </c>
      <c r="CT20" s="3">
        <v>2</v>
      </c>
      <c r="CU20" s="3">
        <v>3</v>
      </c>
      <c r="CV20" s="3">
        <v>3</v>
      </c>
      <c r="CW20" s="3">
        <v>2</v>
      </c>
      <c r="CX20" s="3">
        <v>3</v>
      </c>
      <c r="CY20" s="6">
        <v>3</v>
      </c>
      <c r="CZ20" s="5">
        <v>3.6275844714639842E-2</v>
      </c>
    </row>
    <row r="21" spans="1:104" x14ac:dyDescent="0.25">
      <c r="A21" s="9" t="str">
        <f t="shared" si="0"/>
        <v>UK</v>
      </c>
      <c r="B21" s="9" t="s">
        <v>75</v>
      </c>
      <c r="C21" s="20"/>
      <c r="D21" s="9" t="s">
        <v>74</v>
      </c>
      <c r="E21" s="9" t="s">
        <v>186</v>
      </c>
      <c r="F21" s="9" t="str">
        <f>INDEX('Unique Asset List'!$C$4:$C$60,MATCH(B21,_CompoundList,0))</f>
        <v>Ph2a</v>
      </c>
      <c r="G21" s="19">
        <v>0</v>
      </c>
      <c r="H21" s="9">
        <v>2014</v>
      </c>
      <c r="I21" s="9">
        <v>6</v>
      </c>
      <c r="J21" s="18">
        <f>INDEX(PTRS!$D$6:$D$12,MATCH('4'!$F21,PTRS!$B$6:$B$12,0))</f>
        <v>0.1638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7">
        <v>0.1638</v>
      </c>
      <c r="N21" s="17">
        <f>INDEX('Unique Asset List'!$D$4:$M$60,MATCH($B21,'Unique Asset List'!$A$4:$A$60,0),MATCH(N$8,'Unique Asset List'!$D$3:$M$3,0))</f>
        <v>0.1638</v>
      </c>
      <c r="O21" s="17">
        <f>INDEX('Unique Asset List'!$D$4:$M$60,MATCH($B21,'Unique Asset List'!$A$4:$A$60,0),MATCH(O$8,'Unique Asset List'!$D$3:$M$3,0))</f>
        <v>0.1638</v>
      </c>
      <c r="P21" s="17">
        <f>INDEX('Unique Asset List'!$D$4:$M$60,MATCH($B21,'Unique Asset List'!$A$4:$A$60,0),MATCH(P$8,'Unique Asset List'!$D$3:$M$3,0))</f>
        <v>0.1638</v>
      </c>
      <c r="Q21" s="17">
        <f>INDEX('Unique Asset List'!$D$4:$M$60,MATCH($B21,'Unique Asset List'!$A$4:$A$60,0),MATCH(Q$8,'Unique Asset List'!$D$3:$M$3,0))</f>
        <v>0.1638</v>
      </c>
      <c r="R21" s="17">
        <f>INDEX('Unique Asset List'!$D$4:$M$60,MATCH($B21,'Unique Asset List'!$A$4:$A$60,0),MATCH(R$8,'Unique Asset List'!$D$3:$M$3,0))</f>
        <v>0.1638</v>
      </c>
      <c r="S21" s="17">
        <f>INDEX('Unique Asset List'!$D$4:$M$60,MATCH($B21,'Unique Asset List'!$A$4:$A$60,0),MATCH(S$8,'Unique Asset List'!$D$3:$M$3,0))</f>
        <v>1</v>
      </c>
      <c r="T21" s="17"/>
      <c r="U21" s="17">
        <f t="shared" si="1"/>
        <v>0.90168566420734264</v>
      </c>
      <c r="V21" s="17">
        <v>1</v>
      </c>
      <c r="W21" s="9" t="s">
        <v>27</v>
      </c>
      <c r="X21" s="9">
        <f>INDEX('Unique Asset List'!$Y$4:$AE$60,MATCH('4'!$B21,'Unique Asset List'!$A$4:$A$60,0),MATCH('4'!$C$1,'Unique Asset List'!$Y$3:$AE$3,0))</f>
        <v>2024</v>
      </c>
      <c r="Y21" s="9">
        <f>INDEX('Unique Asset List'!$AF$4:$AL$60,MATCH('4'!$B21,'Unique Asset List'!$A$4:$A$60,0),MATCH('4'!$C$1,'Unique Asset List'!$AF$3:$AL$3,0))</f>
        <v>6</v>
      </c>
      <c r="Z21" s="9">
        <f>INDEX('Unique Asset List'!$AT$4:$AZ$60,MATCH('4'!$B21,'Unique Asset List'!$A$4:$A$60,0),MATCH('4'!$C$1,'Unique Asset List'!$AT$3:$AZ$3,0))</f>
        <v>2034</v>
      </c>
      <c r="AA21" s="9">
        <f>INDEX('Unique Asset List'!$BA$4:$BG$60,MATCH('4'!$B21,'Unique Asset List'!$A$4:$A$60,0),MATCH('4'!$C$1,'Unique Asset List'!$BA$3:$BG$3,0))</f>
        <v>6</v>
      </c>
      <c r="AB21" s="16">
        <f t="shared" si="2"/>
        <v>1.9312568000000003</v>
      </c>
      <c r="AC21" s="16">
        <f t="shared" si="3"/>
        <v>0.82350590000000001</v>
      </c>
      <c r="AD21" s="16">
        <f t="shared" si="4"/>
        <v>0.45111879999999999</v>
      </c>
      <c r="AE21" s="15">
        <f>INDEX('Unique Asset List'!$CJ$4:$CP$60,MATCH('4'!$B21,'Unique Asset List'!$A$4:$A$60,0),MATCH('4'!$C$1,'Unique Asset List'!$CJ$3:$CP$3,0))</f>
        <v>0.05</v>
      </c>
      <c r="AF21" s="15">
        <f>INDEX('Unique Asset List'!$CQ$4:$CW$60,MATCH('4'!$B21,'Unique Asset List'!$A$4:$A$60,0),MATCH('4'!$C$1,'Unique Asset List'!$CQ$3:$CW$3,0))</f>
        <v>0.45</v>
      </c>
      <c r="AG21" s="15">
        <f>INDEX('Unique Asset List'!$BV$4:$CB$60,MATCH('4'!$B21,'Unique Asset List'!$A$4:$A$60,0),MATCH('4'!$C$1,'Unique Asset List'!$BV$3:$CB$3,0))</f>
        <v>0.05</v>
      </c>
      <c r="AH21" s="15">
        <f>INDEX('Unique Asset List'!$CC$4:$CI$60,MATCH('4'!$B21,'Unique Asset List'!$A$4:$A$60,0),MATCH('4'!$C$1,'Unique Asset List'!$CC$3:$CI$3,0))</f>
        <v>0.45</v>
      </c>
      <c r="AI21" s="11">
        <v>0.96187963349867744</v>
      </c>
      <c r="AJ21" s="15">
        <f>INDEX('Unique Asset List'!$BH$4:$BN$60,MATCH('4'!$B21,'Unique Asset List'!$A$4:$A$60,0),MATCH('4'!$C$1,'Unique Asset List'!$BH$3:$BN$3,0))</f>
        <v>1.4542000570988298</v>
      </c>
      <c r="AK21" s="15">
        <f>INDEX('Unique Asset List'!$BO$4:$BU$60,MATCH('4'!$B21,'Unique Asset List'!$A$4:$A$60,0),MATCH('4'!$C$1,'Unique Asset List'!$BO$3:$BU$3,0))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0</v>
      </c>
      <c r="AY21" s="181">
        <f ca="1">INDEX('Unique Asset List'!S$4:S$60,MATCH($B21,_CompoundList,0))</f>
        <v>0</v>
      </c>
      <c r="AZ21" s="181">
        <f ca="1">INDEX('Unique Asset List'!T$4:T$60,MATCH($B21,_CompoundList,0))</f>
        <v>0</v>
      </c>
      <c r="BA21" s="181">
        <f ca="1">INDEX('Unique Asset List'!U$4:U$60,MATCH($B21,_CompoundList,0))</f>
        <v>1</v>
      </c>
      <c r="BB21" s="181">
        <f ca="1">INDEX('Unique Asset List'!V$4:V$60,MATCH($B21,_CompoundList,0))</f>
        <v>0</v>
      </c>
      <c r="BC21" s="181">
        <f ca="1">INDEX('Unique Asset List'!W$4:W$60,MATCH($B21,_CompoundList,0))</f>
        <v>1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4</v>
      </c>
      <c r="BG21" s="3">
        <f>IF($C$5="ON",CG21,MyRating(_E4,$B21,Efficacy!$F$1))</f>
        <v>3</v>
      </c>
      <c r="BH21" s="3">
        <f>IF($C$5="ON",CH21,MyRating(_E5,$B21,Efficacy!$F$1))</f>
        <v>3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5</v>
      </c>
      <c r="BL21" s="3">
        <f>IF($C$5="ON",CL21,MyRating(_S1,$B21,Efficacy!$F$1))</f>
        <v>3</v>
      </c>
      <c r="BM21" s="3">
        <f>IF($C$5="ON",CM21,MyRating(_S2,$B21,Efficacy!$F$1))</f>
        <v>3</v>
      </c>
      <c r="BN21" s="3">
        <f>IF($C$5="ON",CN21,MyRating(_S3,$B21,Efficacy!$F$1))</f>
        <v>3</v>
      </c>
      <c r="BO21" s="3">
        <f>IF($C$5="ON",CO21,MyRating(_S4,$B21,Efficacy!$F$1))</f>
        <v>3</v>
      </c>
      <c r="BP21" s="3">
        <f>IF($C$5="ON",CP21,MyRating(_S5,$B21,Efficacy!$F$1))</f>
        <v>5</v>
      </c>
      <c r="BQ21" s="3">
        <f>IF($C$5="ON",CQ21,MyRating(_S6,$B21,Efficacy!$F$1))</f>
        <v>2</v>
      </c>
      <c r="BR21" s="3">
        <f>IF($C$5="ON",CR21,MyRating(_S7,$B21,Efficacy!$F$1))</f>
        <v>3</v>
      </c>
      <c r="BS21" s="3">
        <f>IF($C$5="ON",CS21,MyRating(_D1,$B21,Efficacy!$F$1))</f>
        <v>3</v>
      </c>
      <c r="BT21" s="3">
        <f>IF($C$5="ON",CT21,MyRating(_D2,$B21,Efficacy!$F$1))</f>
        <v>3</v>
      </c>
      <c r="BU21" s="3">
        <f>IF($C$5="ON",CU21,MyRating(_D3,$B21,Efficacy!$F$1))</f>
        <v>3</v>
      </c>
      <c r="BV21" s="3">
        <f>IF($C$5="ON",CV21,MyRating(_D4,$B21,Efficacy!$F$1))</f>
        <v>1</v>
      </c>
      <c r="BW21" s="3">
        <f>IF($C$5="ON",CW21,MyRating(_B1G5,$B21,Barrier!$L$2))</f>
        <v>2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9"/>
        <v>3.3407946312985805E-2</v>
      </c>
      <c r="CA21" s="8">
        <f t="shared" si="6"/>
        <v>2.8000000000000003</v>
      </c>
      <c r="CB21" s="5">
        <f t="shared" si="7"/>
        <v>3.2941176470588251E-2</v>
      </c>
      <c r="CC21" s="7">
        <f t="shared" si="8"/>
        <v>5.9787261089987885E-3</v>
      </c>
      <c r="CD21" s="4">
        <v>4</v>
      </c>
      <c r="CE21" s="3">
        <v>4</v>
      </c>
      <c r="CF21" s="3">
        <v>4</v>
      </c>
      <c r="CG21" s="3">
        <v>3</v>
      </c>
      <c r="CH21" s="3">
        <v>3</v>
      </c>
      <c r="CI21" s="3">
        <v>2</v>
      </c>
      <c r="CJ21" s="3">
        <v>3</v>
      </c>
      <c r="CK21" s="3">
        <v>5</v>
      </c>
      <c r="CL21" s="3">
        <v>2</v>
      </c>
      <c r="CM21" s="3">
        <v>3</v>
      </c>
      <c r="CN21" s="3">
        <v>3</v>
      </c>
      <c r="CO21" s="3">
        <v>3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2</v>
      </c>
      <c r="CX21" s="3">
        <v>3</v>
      </c>
      <c r="CY21" s="6">
        <v>3</v>
      </c>
      <c r="CZ21" s="5">
        <v>3.6275844714639842E-2</v>
      </c>
    </row>
    <row r="22" spans="1:104" x14ac:dyDescent="0.25">
      <c r="A22" s="9" t="str">
        <f t="shared" si="0"/>
        <v>UK</v>
      </c>
      <c r="B22" s="9" t="s">
        <v>295</v>
      </c>
      <c r="C22" s="20"/>
      <c r="D22" s="9" t="s">
        <v>2</v>
      </c>
      <c r="E22" s="9" t="s">
        <v>186</v>
      </c>
      <c r="F22" s="9" t="str">
        <f>INDEX('Unique Asset List'!$C$4:$C$60,MATCH(B22,_CompoundList,0))</f>
        <v>PCD</v>
      </c>
      <c r="G22" s="19">
        <v>0</v>
      </c>
      <c r="H22" s="9">
        <v>2014</v>
      </c>
      <c r="I22" s="9">
        <v>6</v>
      </c>
      <c r="J22" s="18">
        <f>INDEX(PTRS!$D$6:$D$12,MATCH('4'!$F22,PTRS!$B$6:$B$12,0))</f>
        <v>0.1044225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7">
        <v>0</v>
      </c>
      <c r="N22" s="17">
        <f>INDEX('Unique Asset List'!$D$4:$M$60,MATCH($B22,'Unique Asset List'!$A$4:$A$60,0),MATCH(N$8,'Unique Asset List'!$D$3:$M$3,0))</f>
        <v>0.16400000000000001</v>
      </c>
      <c r="O22" s="17">
        <f>INDEX('Unique Asset List'!$D$4:$M$60,MATCH($B22,'Unique Asset List'!$A$4:$A$60,0),MATCH(O$8,'Unique Asset List'!$D$3:$M$3,0))</f>
        <v>0.16400000000000001</v>
      </c>
      <c r="P22" s="17">
        <f>INDEX('Unique Asset List'!$D$4:$M$60,MATCH($B22,'Unique Asset List'!$A$4:$A$60,0),MATCH(P$8,'Unique Asset List'!$D$3:$M$3,0))</f>
        <v>0.16400000000000001</v>
      </c>
      <c r="Q22" s="17">
        <f>INDEX('Unique Asset List'!$D$4:$M$60,MATCH($B22,'Unique Asset List'!$A$4:$A$60,0),MATCH(Q$8,'Unique Asset List'!$D$3:$M$3,0))</f>
        <v>0.16400000000000001</v>
      </c>
      <c r="R22" s="17">
        <f>INDEX('Unique Asset List'!$D$4:$M$60,MATCH($B22,'Unique Asset List'!$A$4:$A$60,0),MATCH(R$8,'Unique Asset List'!$D$3:$M$3,0))</f>
        <v>0.16400000000000001</v>
      </c>
      <c r="S22" s="17">
        <f>INDEX('Unique Asset List'!$D$4:$M$60,MATCH($B22,'Unique Asset List'!$A$4:$A$60,0),MATCH(S$8,'Unique Asset List'!$D$3:$M$3,0))</f>
        <v>0</v>
      </c>
      <c r="T22" s="17"/>
      <c r="U22" s="17">
        <f t="shared" si="1"/>
        <v>0.80682275808442805</v>
      </c>
      <c r="V22" s="17">
        <f>(42%+N("TRD as % of aMDD"))*(5/6+N("Maintenance only"))</f>
        <v>0.35</v>
      </c>
      <c r="W22" s="9" t="s">
        <v>62</v>
      </c>
      <c r="X22" s="9">
        <f>INDEX('Unique Asset List'!$Y$4:$AE$60,MATCH('4'!$B22,'Unique Asset List'!$A$4:$A$60,0),MATCH('4'!$C$1,'Unique Asset List'!$Y$3:$AE$3,0))</f>
        <v>2026</v>
      </c>
      <c r="Y22" s="9">
        <f>INDEX('Unique Asset List'!$AF$4:$AL$60,MATCH('4'!$B22,'Unique Asset List'!$A$4:$A$60,0),MATCH('4'!$C$1,'Unique Asset List'!$AF$3:$AL$3,0))</f>
        <v>9</v>
      </c>
      <c r="Z22" s="9">
        <f>INDEX('Unique Asset List'!$AT$4:$AZ$60,MATCH('4'!$B22,'Unique Asset List'!$A$4:$A$60,0),MATCH('4'!$C$1,'Unique Asset List'!$AT$3:$AZ$3,0))</f>
        <v>2046</v>
      </c>
      <c r="AA22" s="9">
        <f>INDEX('Unique Asset List'!$BA$4:$BG$60,MATCH('4'!$B22,'Unique Asset List'!$A$4:$A$60,0),MATCH('4'!$C$1,'Unique Asset List'!$BA$3:$BG$3,0))</f>
        <v>9</v>
      </c>
      <c r="AB22" s="16">
        <f t="shared" si="2"/>
        <v>2.3950192000000001</v>
      </c>
      <c r="AC22" s="16">
        <f t="shared" si="3"/>
        <v>0.88497580000000009</v>
      </c>
      <c r="AD22" s="16">
        <f t="shared" si="4"/>
        <v>0.56099999999999994</v>
      </c>
      <c r="AE22" s="15">
        <f>INDEX('Unique Asset List'!$CJ$4:$CP$60,MATCH('4'!$B22,'Unique Asset List'!$A$4:$A$60,0),MATCH('4'!$C$1,'Unique Asset List'!$CJ$3:$CP$3,0))</f>
        <v>0.06</v>
      </c>
      <c r="AF22" s="15">
        <f>INDEX('Unique Asset List'!$CQ$4:$CW$60,MATCH('4'!$B22,'Unique Asset List'!$A$4:$A$60,0),MATCH('4'!$C$1,'Unique Asset List'!$CQ$3:$CW$3,0))</f>
        <v>0.45</v>
      </c>
      <c r="AG22" s="15">
        <f>INDEX('Unique Asset List'!$BV$4:$CB$60,MATCH('4'!$B22,'Unique Asset List'!$A$4:$A$60,0),MATCH('4'!$C$1,'Unique Asset List'!$BV$3:$CB$3,0))</f>
        <v>0.06</v>
      </c>
      <c r="AH22" s="15">
        <f>INDEX('Unique Asset List'!$CC$4:$CI$60,MATCH('4'!$B22,'Unique Asset List'!$A$4:$A$60,0),MATCH('4'!$C$1,'Unique Asset List'!$CC$3:$CI$3,0))</f>
        <v>0.45</v>
      </c>
      <c r="AI22" s="11">
        <v>0.96187963349867744</v>
      </c>
      <c r="AJ22" s="15">
        <f>INDEX('Unique Asset List'!$BH$4:$BN$60,MATCH('4'!$B22,'Unique Asset List'!$A$4:$A$60,0),MATCH('4'!$C$1,'Unique Asset List'!$BH$3:$BN$3,0))</f>
        <v>1.4542000570988298</v>
      </c>
      <c r="AK22" s="15">
        <f>INDEX('Unique Asset List'!$BO$4:$BU$60,MATCH('4'!$B22,'Unique Asset List'!$A$4:$A$60,0),MATCH('4'!$C$1,'Unique Asset List'!$BO$3:$BU$3,0))</f>
        <v>-0.4950056673809119</v>
      </c>
      <c r="AL22" s="40">
        <f>177.567567567568-28</f>
        <v>149.56756756756801</v>
      </c>
      <c r="AM22" s="14">
        <f>AM13*0.9</f>
        <v>32.504547945205481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2/7</f>
        <v>0.2857142857142857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0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5</v>
      </c>
      <c r="BE22" s="3">
        <f>IF($C$5="ON",CE22,MyRating(_E2,$B22,Efficacy!$F$1))</f>
        <v>5</v>
      </c>
      <c r="BF22" s="3">
        <f>IF($C$5="ON",CF22,MyRating(_E3,$B22,Efficacy!$F$1))</f>
        <v>5</v>
      </c>
      <c r="BG22" s="3">
        <f>IF($C$5="ON",CG22,MyRating(_E4,$B22,Efficacy!$F$1))</f>
        <v>5</v>
      </c>
      <c r="BH22" s="3">
        <f>IF($C$5="ON",CH22,MyRating(_E5,$B22,Efficacy!$F$1))</f>
        <v>4</v>
      </c>
      <c r="BI22" s="3">
        <f>IF($C$5="ON",CI22,MyRating(_E6,$B22,Efficacy!$F$1))</f>
        <v>3</v>
      </c>
      <c r="BJ22" s="3">
        <f>IF($C$5="ON",CJ22,MyRating(_E7,$B22,Efficacy!$F$1))</f>
        <v>2</v>
      </c>
      <c r="BK22" s="3">
        <f>IF($C$5="ON",CK22,MyRating(_E8,$B22,Efficacy!$F$1))</f>
        <v>3</v>
      </c>
      <c r="BL22" s="3">
        <f>IF($C$5="ON",CL22,MyRating(_S1,$B22,Efficacy!$F$1))</f>
        <v>4</v>
      </c>
      <c r="BM22" s="3">
        <f>IF($C$5="ON",CM22,MyRating(_S2,$B22,Efficacy!$F$1))</f>
        <v>3</v>
      </c>
      <c r="BN22" s="3">
        <f>IF($C$5="ON",CN22,MyRating(_S3,$B22,Efficacy!$F$1))</f>
        <v>3</v>
      </c>
      <c r="BO22" s="3">
        <f>IF($C$5="ON",CO22,MyRating(_S4,$B22,Efficacy!$F$1))</f>
        <v>3</v>
      </c>
      <c r="BP22" s="3">
        <f>IF($C$5="ON",CP22,MyRating(_S5,$B22,Efficacy!$F$1))</f>
        <v>5</v>
      </c>
      <c r="BQ22" s="3">
        <f>IF($C$5="ON",CQ22,MyRating(_S6,$B22,Efficacy!$F$1))</f>
        <v>2</v>
      </c>
      <c r="BR22" s="3">
        <f>IF($C$5="ON",CR22,MyRating(_S7,$B22,Efficacy!$F$1))</f>
        <v>3</v>
      </c>
      <c r="BS22" s="3">
        <f>IF($C$5="ON",CS22,MyRating(_D1,$B22,Efficacy!$F$1))</f>
        <v>3</v>
      </c>
      <c r="BT22" s="3">
        <f>IF($C$5="ON",CT22,MyRating(_D2,$B22,Efficacy!$F$1))</f>
        <v>3</v>
      </c>
      <c r="BU22" s="3">
        <f>IF($C$5="ON",CU22,MyRating(_D3,$B22,Efficacy!$F$1))</f>
        <v>3</v>
      </c>
      <c r="BV22" s="3">
        <f>IF($C$5="ON",CV22,MyRating(_D4,$B22,Efficacy!$F$1))</f>
        <v>3</v>
      </c>
      <c r="BW22" s="3">
        <f>IF($C$5="ON",CW22,MyRating(_B1G5,$B22,Barrier!$L$2))</f>
        <v>1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9"/>
        <v>2.9893223831915738E-2</v>
      </c>
      <c r="CA22" s="8">
        <f t="shared" si="6"/>
        <v>2.6000000000000005</v>
      </c>
      <c r="CB22" s="5">
        <f t="shared" si="7"/>
        <v>3.058823529411767E-2</v>
      </c>
      <c r="CC22" s="7">
        <f t="shared" si="8"/>
        <v>5.3497271616647964E-3</v>
      </c>
      <c r="CD22" s="4">
        <v>5</v>
      </c>
      <c r="CE22" s="3">
        <v>5</v>
      </c>
      <c r="CF22" s="3">
        <v>5</v>
      </c>
      <c r="CG22" s="3">
        <v>4</v>
      </c>
      <c r="CH22" s="3">
        <v>3</v>
      </c>
      <c r="CI22" s="3">
        <v>3</v>
      </c>
      <c r="CJ22" s="3">
        <v>3</v>
      </c>
      <c r="CK22" s="3">
        <v>4</v>
      </c>
      <c r="CL22" s="3">
        <v>5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2</v>
      </c>
      <c r="CT22" s="3">
        <v>3</v>
      </c>
      <c r="CU22" s="3">
        <v>3</v>
      </c>
      <c r="CV22" s="3">
        <v>1</v>
      </c>
      <c r="CW22" s="3">
        <v>1</v>
      </c>
      <c r="CX22" s="3">
        <v>1</v>
      </c>
      <c r="CY22" s="6">
        <v>1</v>
      </c>
      <c r="CZ22" s="5">
        <v>9.9044671286996639E-3</v>
      </c>
    </row>
    <row r="23" spans="1:104" x14ac:dyDescent="0.25">
      <c r="A23" s="9" t="str">
        <f t="shared" si="0"/>
        <v>UK</v>
      </c>
      <c r="B23" s="9" t="s">
        <v>73</v>
      </c>
      <c r="C23" s="20" t="s">
        <v>3</v>
      </c>
      <c r="D23" s="9" t="s">
        <v>72</v>
      </c>
      <c r="E23" s="9" t="s">
        <v>186</v>
      </c>
      <c r="F23" s="9" t="str">
        <f>INDEX('Unique Asset List'!$C$4:$C$60,MATCH(B23,_CompoundList,0))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INDEX(PTRS!$D$6:$D$12,MATCH('4'!$F23,PTRS!$B$6:$B$12,0))</f>
        <v>0.13923000000000002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0</v>
      </c>
      <c r="M23" s="17">
        <v>4.6410000000000007E-2</v>
      </c>
      <c r="N23" s="17">
        <f>INDEX('Unique Asset List'!$D$4:$M$60,MATCH($B23,'Unique Asset List'!$A$4:$A$60,0),MATCH(N$8,'Unique Asset List'!$D$3:$M$3,0))</f>
        <v>0.13923000000000002</v>
      </c>
      <c r="O23" s="17">
        <f>INDEX('Unique Asset List'!$D$4:$M$60,MATCH($B23,'Unique Asset List'!$A$4:$A$60,0),MATCH(O$8,'Unique Asset List'!$D$3:$M$3,0))</f>
        <v>0.13923000000000002</v>
      </c>
      <c r="P23" s="17">
        <f>INDEX('Unique Asset List'!$D$4:$M$60,MATCH($B23,'Unique Asset List'!$A$4:$A$60,0),MATCH(P$8,'Unique Asset List'!$D$3:$M$3,0))</f>
        <v>0.13923000000000002</v>
      </c>
      <c r="Q23" s="17">
        <f>INDEX('Unique Asset List'!$D$4:$M$60,MATCH($B23,'Unique Asset List'!$A$4:$A$60,0),MATCH(Q$8,'Unique Asset List'!$D$3:$M$3,0))</f>
        <v>0.13923000000000002</v>
      </c>
      <c r="R23" s="17">
        <f>INDEX('Unique Asset List'!$D$4:$M$60,MATCH($B23,'Unique Asset List'!$A$4:$A$60,0),MATCH(R$8,'Unique Asset List'!$D$3:$M$3,0))</f>
        <v>0.13923000000000002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1"/>
        <v>0</v>
      </c>
      <c r="V23" s="17">
        <v>1</v>
      </c>
      <c r="W23" s="9" t="s">
        <v>27</v>
      </c>
      <c r="X23" s="9">
        <f>INDEX('Unique Asset List'!$Y$4:$AE$60,MATCH('4'!$B23,'Unique Asset List'!$A$4:$A$60,0),MATCH('4'!$C$1,'Unique Asset List'!$Y$3:$AE$3,0))</f>
        <v>2026</v>
      </c>
      <c r="Y23" s="9">
        <f>INDEX('Unique Asset List'!$AF$4:$AL$60,MATCH('4'!$B23,'Unique Asset List'!$A$4:$A$60,0),MATCH('4'!$C$1,'Unique Asset List'!$AF$3:$AL$3,0))</f>
        <v>3</v>
      </c>
      <c r="Z23" s="9">
        <f>INDEX('Unique Asset List'!$AT$4:$AZ$60,MATCH('4'!$B23,'Unique Asset List'!$A$4:$A$60,0),MATCH('4'!$C$1,'Unique Asset List'!$AT$3:$AZ$3,0))</f>
        <v>2036</v>
      </c>
      <c r="AA23" s="9">
        <f>INDEX('Unique Asset List'!$BA$4:$BG$60,MATCH('4'!$B23,'Unique Asset List'!$A$4:$A$60,0),MATCH('4'!$C$1,'Unique Asset List'!$BA$3:$BG$3,0))</f>
        <v>3</v>
      </c>
      <c r="AB23" s="16">
        <f t="shared" si="2"/>
        <v>1.9312568000000003</v>
      </c>
      <c r="AC23" s="16">
        <f t="shared" si="3"/>
        <v>0.76203600000000005</v>
      </c>
      <c r="AD23" s="16">
        <f t="shared" si="4"/>
        <v>0.45111879999999999</v>
      </c>
      <c r="AE23" s="15">
        <f>INDEX('Unique Asset List'!$CJ$4:$CP$60,MATCH('4'!$B23,'Unique Asset List'!$A$4:$A$60,0),MATCH('4'!$C$1,'Unique Asset List'!$CJ$3:$CP$3,0))</f>
        <v>0.05</v>
      </c>
      <c r="AF23" s="15">
        <f>INDEX('Unique Asset List'!$CQ$4:$CW$60,MATCH('4'!$B23,'Unique Asset List'!$A$4:$A$60,0),MATCH('4'!$C$1,'Unique Asset List'!$CQ$3:$CW$3,0))</f>
        <v>0.45</v>
      </c>
      <c r="AG23" s="15">
        <f>INDEX('Unique Asset List'!$BV$4:$CB$60,MATCH('4'!$B23,'Unique Asset List'!$A$4:$A$60,0),MATCH('4'!$C$1,'Unique Asset List'!$BV$3:$CB$3,0))</f>
        <v>0.05</v>
      </c>
      <c r="AH23" s="15">
        <f>INDEX('Unique Asset List'!$CC$4:$CI$60,MATCH('4'!$B23,'Unique Asset List'!$A$4:$A$60,0),MATCH('4'!$C$1,'Unique Asset List'!$CC$3:$CI$3,0))</f>
        <v>0.45</v>
      </c>
      <c r="AI23" s="11">
        <v>0.96187963349867744</v>
      </c>
      <c r="AJ23" s="15">
        <f>INDEX('Unique Asset List'!$BH$4:$BN$60,MATCH('4'!$B23,'Unique Asset List'!$A$4:$A$60,0),MATCH('4'!$C$1,'Unique Asset List'!$BH$3:$BN$3,0))</f>
        <v>1.4542000570988298</v>
      </c>
      <c r="AK23" s="15">
        <f>INDEX('Unique Asset List'!$BO$4:$BU$60,MATCH('4'!$B23,'Unique Asset List'!$A$4:$A$60,0),MATCH('4'!$C$1,'Unique Asset List'!$BO$3:$BU$3,0))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0</v>
      </c>
      <c r="AV23" s="181">
        <f>INDEX('Unique Asset List'!P$4:P$60,MATCH($B23,_CompoundList,0))</f>
        <v>0</v>
      </c>
      <c r="AW23" s="181">
        <f>INDEX('Unique Asset List'!Q$4:Q$60,MATCH($B23,_CompoundList,0))</f>
        <v>0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1</v>
      </c>
      <c r="AZ23" s="181">
        <f ca="1">INDEX('Unique Asset List'!T$4:T$60,MATCH($B23,_CompoundList,0))</f>
        <v>1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1</v>
      </c>
      <c r="BD23" s="4">
        <f>IF($C$5="ON",CD23,MyRating(_E1,$B23,Efficacy!$F$1))</f>
        <v>4</v>
      </c>
      <c r="BE23" s="3">
        <f>IF($C$5="ON",CE23,MyRating(_E2,$B23,Efficacy!$F$1))</f>
        <v>3</v>
      </c>
      <c r="BF23" s="3">
        <f>IF($C$5="ON",CF23,MyRating(_E3,$B23,Efficacy!$F$1))</f>
        <v>4</v>
      </c>
      <c r="BG23" s="3">
        <f>IF($C$5="ON",CG23,MyRating(_E4,$B23,Efficacy!$F$1))</f>
        <v>3</v>
      </c>
      <c r="BH23" s="3">
        <f>IF($C$5="ON",CH23,MyRating(_E5,$B23,Efficacy!$F$1))</f>
        <v>3</v>
      </c>
      <c r="BI23" s="3">
        <f>IF($C$5="ON",CI23,MyRating(_E6,$B23,Efficacy!$F$1))</f>
        <v>2</v>
      </c>
      <c r="BJ23" s="3">
        <f>IF($C$5="ON",CJ23,MyRating(_E7,$B23,Efficacy!$F$1))</f>
        <v>3</v>
      </c>
      <c r="BK23" s="3">
        <f>IF($C$5="ON",CK23,MyRating(_E8,$B23,Efficacy!$F$1))</f>
        <v>5</v>
      </c>
      <c r="BL23" s="3">
        <f>IF($C$5="ON",CL23,MyRating(_S1,$B23,Efficacy!$F$1))</f>
        <v>2</v>
      </c>
      <c r="BM23" s="3">
        <f>IF($C$5="ON",CM23,MyRating(_S2,$B23,Efficacy!$F$1))</f>
        <v>3</v>
      </c>
      <c r="BN23" s="3">
        <f>IF($C$5="ON",CN23,MyRating(_S3,$B23,Efficacy!$F$1))</f>
        <v>3</v>
      </c>
      <c r="BO23" s="3">
        <f>IF($C$5="ON",CO23,MyRating(_S4,$B23,Efficacy!$F$1))</f>
        <v>3</v>
      </c>
      <c r="BP23" s="3">
        <f>IF($C$5="ON",CP23,MyRating(_S5,$B23,Efficacy!$F$1))</f>
        <v>5</v>
      </c>
      <c r="BQ23" s="3">
        <f>IF($C$5="ON",CQ23,MyRating(_S6,$B23,Efficacy!$F$1))</f>
        <v>2</v>
      </c>
      <c r="BR23" s="3">
        <f>IF($C$5="ON",CR23,MyRating(_S7,$B23,Efficacy!$F$1))</f>
        <v>3</v>
      </c>
      <c r="BS23" s="3">
        <f>IF($C$5="ON",CS23,MyRating(_D1,$B23,Efficacy!$F$1))</f>
        <v>3</v>
      </c>
      <c r="BT23" s="3">
        <f>IF($C$5="ON",CT23,MyRating(_D2,$B23,Efficacy!$F$1))</f>
        <v>3</v>
      </c>
      <c r="BU23" s="3">
        <f>IF($C$5="ON",CU23,MyRating(_D3,$B23,Efficacy!$F$1))</f>
        <v>3</v>
      </c>
      <c r="BV23" s="3">
        <f>IF($C$5="ON",CV23,MyRating(_D4,$B23,Efficacy!$F$1))</f>
        <v>1</v>
      </c>
      <c r="BW23" s="3">
        <f>IF($C$5="ON",CW23,MyRating(_B1G5,$B23,Barrier!$L$2))</f>
        <v>2</v>
      </c>
      <c r="BX23" s="3">
        <f>IF($C$5="ON",CX23,MyRating(_B2,$B23,Barrier!$F$2))</f>
        <v>3</v>
      </c>
      <c r="BY23" s="6">
        <f>IF($C$5="ON",CY23,MyRating(_B3,$B23,Barrier!$F$2))</f>
        <v>0</v>
      </c>
      <c r="BZ23" s="5">
        <f t="shared" si="9"/>
        <v>0</v>
      </c>
      <c r="CA23" s="8">
        <f t="shared" si="6"/>
        <v>1.6</v>
      </c>
      <c r="CB23" s="5">
        <f t="shared" si="7"/>
        <v>1.8823529411764715E-2</v>
      </c>
      <c r="CC23" s="7">
        <f t="shared" si="8"/>
        <v>2.5825669292048399E-3</v>
      </c>
      <c r="CD23" s="4">
        <v>4</v>
      </c>
      <c r="CE23" s="3">
        <v>4</v>
      </c>
      <c r="CF23" s="3">
        <v>4</v>
      </c>
      <c r="CG23" s="3">
        <v>3</v>
      </c>
      <c r="CH23" s="3">
        <v>3</v>
      </c>
      <c r="CI23" s="3">
        <v>2</v>
      </c>
      <c r="CJ23" s="3">
        <v>3</v>
      </c>
      <c r="CK23" s="3">
        <v>5</v>
      </c>
      <c r="CL23" s="3">
        <v>2</v>
      </c>
      <c r="CM23" s="3">
        <v>3</v>
      </c>
      <c r="CN23" s="3">
        <v>3</v>
      </c>
      <c r="CO23" s="3">
        <v>3</v>
      </c>
      <c r="CP23" s="3">
        <v>5</v>
      </c>
      <c r="CQ23" s="3">
        <v>2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2</v>
      </c>
      <c r="CX23" s="3">
        <v>3</v>
      </c>
      <c r="CY23" s="6">
        <v>3</v>
      </c>
      <c r="CZ23" s="5">
        <v>3.6275844714639842E-2</v>
      </c>
    </row>
    <row r="24" spans="1:104" x14ac:dyDescent="0.25">
      <c r="A24" s="9" t="str">
        <f t="shared" si="0"/>
        <v>UK</v>
      </c>
      <c r="B24" s="9" t="s">
        <v>17</v>
      </c>
      <c r="C24" s="20"/>
      <c r="D24" s="9" t="s">
        <v>2</v>
      </c>
      <c r="E24" s="9" t="s">
        <v>186</v>
      </c>
      <c r="F24" s="9" t="str">
        <f>INDEX('Unique Asset List'!$C$4:$C$60,MATCH(B24,_CompoundList,0))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INDEX(PTRS!$D$6:$D$12,MATCH('4'!$F24,PTRS!$B$6:$B$12,0))</f>
        <v>0.13923000000000002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v>0.25</v>
      </c>
      <c r="N24" s="17">
        <f>INDEX('Unique Asset List'!$D$4:$M$60,MATCH($B24,'Unique Asset List'!$A$4:$A$60,0),MATCH(N$8,'Unique Asset List'!$D$3:$M$3,0))</f>
        <v>0.25</v>
      </c>
      <c r="O24" s="17">
        <f>INDEX('Unique Asset List'!$D$4:$M$60,MATCH($B24,'Unique Asset List'!$A$4:$A$60,0),MATCH(O$8,'Unique Asset List'!$D$3:$M$3,0))</f>
        <v>0.25</v>
      </c>
      <c r="P24" s="17">
        <f>INDEX('Unique Asset List'!$D$4:$M$60,MATCH($B24,'Unique Asset List'!$A$4:$A$60,0),MATCH(P$8,'Unique Asset List'!$D$3:$M$3,0))</f>
        <v>0.25</v>
      </c>
      <c r="Q24" s="17">
        <f>INDEX('Unique Asset List'!$D$4:$M$60,MATCH($B24,'Unique Asset List'!$A$4:$A$60,0),MATCH(Q$8,'Unique Asset List'!$D$3:$M$3,0))</f>
        <v>0.25</v>
      </c>
      <c r="R24" s="17">
        <f>INDEX('Unique Asset List'!$D$4:$M$60,MATCH($B24,'Unique Asset List'!$A$4:$A$60,0),MATCH(R$8,'Unique Asset List'!$D$3:$M$3,0))</f>
        <v>0.25</v>
      </c>
      <c r="S24" s="17">
        <f>INDEX('Unique Asset List'!$D$4:$M$60,MATCH($B24,'Unique Asset List'!$A$4:$A$60,0),MATCH(S$8,'Unique Asset List'!$D$3:$M$3,0))</f>
        <v>0</v>
      </c>
      <c r="T24" s="17"/>
      <c r="U24" s="17">
        <f t="shared" si="1"/>
        <v>0.90168566420734264</v>
      </c>
      <c r="V24" s="17">
        <v>1</v>
      </c>
      <c r="W24" s="9" t="s">
        <v>16</v>
      </c>
      <c r="X24" s="9">
        <f>INDEX('Unique Asset List'!$Y$4:$AE$60,MATCH('4'!$B24,'Unique Asset List'!$A$4:$A$60,0),MATCH('4'!$C$1,'Unique Asset List'!$Y$3:$AE$3,0))</f>
        <v>2027</v>
      </c>
      <c r="Y24" s="9">
        <f>INDEX('Unique Asset List'!$AF$4:$AL$60,MATCH('4'!$B24,'Unique Asset List'!$A$4:$A$60,0),MATCH('4'!$C$1,'Unique Asset List'!$AF$3:$AL$3,0))</f>
        <v>0.99999999999909051</v>
      </c>
      <c r="Z24" s="9">
        <f>INDEX('Unique Asset List'!$AT$4:$AZ$60,MATCH('4'!$B24,'Unique Asset List'!$A$4:$A$60,0),MATCH('4'!$C$1,'Unique Asset List'!$AT$3:$AZ$3,0))</f>
        <v>2034</v>
      </c>
      <c r="AA24" s="9">
        <f>INDEX('Unique Asset List'!$BA$4:$BG$60,MATCH('4'!$B24,'Unique Asset List'!$A$4:$A$60,0),MATCH('4'!$C$1,'Unique Asset List'!$BA$3:$BG$3,0))</f>
        <v>1</v>
      </c>
      <c r="AB24" s="16">
        <f t="shared" si="2"/>
        <v>1.8562298000000002</v>
      </c>
      <c r="AC24" s="16">
        <f t="shared" si="3"/>
        <v>0.97947730000000011</v>
      </c>
      <c r="AD24" s="16">
        <f t="shared" si="4"/>
        <v>0.56099999999999994</v>
      </c>
      <c r="AE24" s="15">
        <f>INDEX('Unique Asset List'!$CJ$4:$CP$60,MATCH('4'!$B24,'Unique Asset List'!$A$4:$A$60,0),MATCH('4'!$C$1,'Unique Asset List'!$CJ$3:$CP$3,0))</f>
        <v>0.05</v>
      </c>
      <c r="AF24" s="15">
        <f>INDEX('Unique Asset List'!$CQ$4:$CW$60,MATCH('4'!$B24,'Unique Asset List'!$A$4:$A$60,0),MATCH('4'!$C$1,'Unique Asset List'!$CQ$3:$CW$3,0))</f>
        <v>0.45</v>
      </c>
      <c r="AG24" s="15">
        <f>INDEX('Unique Asset List'!$BV$4:$CB$60,MATCH('4'!$B24,'Unique Asset List'!$A$4:$A$60,0),MATCH('4'!$C$1,'Unique Asset List'!$BV$3:$CB$3,0))</f>
        <v>0.05</v>
      </c>
      <c r="AH24" s="15">
        <f>INDEX('Unique Asset List'!$CC$4:$CI$60,MATCH('4'!$B24,'Unique Asset List'!$A$4:$A$60,0),MATCH('4'!$C$1,'Unique Asset List'!$CC$3:$CI$3,0))</f>
        <v>0.45</v>
      </c>
      <c r="AI24" s="11">
        <v>0.96187963349867744</v>
      </c>
      <c r="AJ24" s="15">
        <f>INDEX('Unique Asset List'!$BH$4:$BN$60,MATCH('4'!$B24,'Unique Asset List'!$A$4:$A$60,0),MATCH('4'!$C$1,'Unique Asset List'!$BH$3:$BN$3,0))</f>
        <v>1.4542000570988298</v>
      </c>
      <c r="AK24" s="15">
        <f>INDEX('Unique Asset List'!$BO$4:$BU$60,MATCH('4'!$B24,'Unique Asset List'!$A$4:$A$60,0),MATCH('4'!$C$1,'Unique Asset List'!$BO$3:$BU$3,0))</f>
        <v>-0.4950056673809119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1</v>
      </c>
      <c r="AY24" s="181">
        <f ca="1">INDEX('Unique Asset List'!S$4:S$60,MATCH($B24,_CompoundList,0))</f>
        <v>1</v>
      </c>
      <c r="AZ24" s="181">
        <f ca="1">INDEX('Unique Asset List'!T$4:T$60,MATCH($B24,_CompoundList,0))</f>
        <v>1</v>
      </c>
      <c r="BA24" s="181">
        <f ca="1">INDEX('Unique Asset List'!U$4:U$60,MATCH($B24,_CompoundList,0))</f>
        <v>0</v>
      </c>
      <c r="BB24" s="181">
        <f ca="1">INDEX('Unique Asset List'!V$4:V$60,MATCH($B24,_CompoundList,0))</f>
        <v>1</v>
      </c>
      <c r="BC24" s="181">
        <f ca="1">INDEX('Unique Asset List'!W$4:W$60,MATCH($B24,_CompoundList,0))</f>
        <v>0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3</v>
      </c>
      <c r="BG24" s="3">
        <f>IF($C$5="ON",CG24,MyRating(_E4,$B24,Efficacy!$F$1))</f>
        <v>4</v>
      </c>
      <c r="BH24" s="3">
        <f>IF($C$5="ON",CH24,MyRating(_E5,$B24,Efficacy!$F$1))</f>
        <v>4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3</v>
      </c>
      <c r="BL24" s="3">
        <f>IF($C$5="ON",CL24,MyRating(_S1,$B24,Efficacy!$F$1))</f>
        <v>4</v>
      </c>
      <c r="BM24" s="3">
        <f>IF($C$5="ON",CM24,MyRating(_S2,$B24,Efficacy!$F$1))</f>
        <v>4</v>
      </c>
      <c r="BN24" s="3">
        <f>IF($C$5="ON",CN24,MyRating(_S3,$B24,Efficacy!$F$1))</f>
        <v>3</v>
      </c>
      <c r="BO24" s="3">
        <f>IF($C$5="ON",CO24,MyRating(_S4,$B24,Efficacy!$F$1))</f>
        <v>5</v>
      </c>
      <c r="BP24" s="3">
        <f>IF($C$5="ON",CP24,MyRating(_S5,$B24,Efficacy!$F$1))</f>
        <v>5</v>
      </c>
      <c r="BQ24" s="3">
        <f>IF($C$5="ON",CQ24,MyRating(_S6,$B24,Efficacy!$F$1))</f>
        <v>2</v>
      </c>
      <c r="BR24" s="3">
        <f>IF($C$5="ON",CR24,MyRating(_S7,$B24,Efficacy!$F$1))</f>
        <v>3</v>
      </c>
      <c r="BS24" s="3">
        <f>IF($C$5="ON",CS24,MyRating(_D1,$B24,Efficacy!$F$1))</f>
        <v>3</v>
      </c>
      <c r="BT24" s="3">
        <f>IF($C$5="ON",CT24,MyRating(_D2,$B24,Efficacy!$F$1))</f>
        <v>3</v>
      </c>
      <c r="BU24" s="3">
        <f>IF($C$5="ON",CU24,MyRating(_D3,$B24,Efficacy!$F$1))</f>
        <v>3</v>
      </c>
      <c r="BV24" s="3">
        <f>IF($C$5="ON",CV24,MyRating(_D4,$B24,Efficacy!$F$1))</f>
        <v>3</v>
      </c>
      <c r="BW24" s="3">
        <f>IF($C$5="ON",CW24,MyRating(_B1G5,$B24,Barrier!$L$2))</f>
        <v>2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9"/>
        <v>3.3407946312985805E-2</v>
      </c>
      <c r="CA24" s="8">
        <f t="shared" si="6"/>
        <v>2.8000000000000003</v>
      </c>
      <c r="CB24" s="5">
        <f t="shared" si="7"/>
        <v>3.2941176470588251E-2</v>
      </c>
      <c r="CC24" s="7">
        <f t="shared" si="8"/>
        <v>5.9787261089987885E-3</v>
      </c>
      <c r="CD24" s="4">
        <v>4</v>
      </c>
      <c r="CE24" s="3">
        <v>3</v>
      </c>
      <c r="CF24" s="3">
        <v>3</v>
      </c>
      <c r="CG24" s="3">
        <v>4</v>
      </c>
      <c r="CH24" s="3">
        <v>3</v>
      </c>
      <c r="CI24" s="3">
        <v>2</v>
      </c>
      <c r="CJ24" s="3">
        <v>3</v>
      </c>
      <c r="CK24" s="3">
        <v>3</v>
      </c>
      <c r="CL24" s="3">
        <v>4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2</v>
      </c>
      <c r="CX24" s="3">
        <v>3</v>
      </c>
      <c r="CY24" s="6">
        <v>3</v>
      </c>
      <c r="CZ24" s="5">
        <v>3.6275844714639842E-2</v>
      </c>
    </row>
    <row r="25" spans="1:104" x14ac:dyDescent="0.25">
      <c r="A25" s="9" t="str">
        <f t="shared" si="0"/>
        <v>UK</v>
      </c>
      <c r="B25" s="9" t="s">
        <v>21</v>
      </c>
      <c r="C25" s="20"/>
      <c r="D25" s="9" t="s">
        <v>2</v>
      </c>
      <c r="E25" s="9" t="s">
        <v>186</v>
      </c>
      <c r="F25" s="9" t="str">
        <f>INDEX('Unique Asset List'!$C$4:$C$60,MATCH(B25,_CompoundList,0))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INDEX(PTRS!$D$6:$D$12,MATCH('4'!$F25,PTRS!$B$6:$B$12,0))</f>
        <v>0.1638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7">
        <v>0.1638</v>
      </c>
      <c r="N25" s="17">
        <f>INDEX('Unique Asset List'!$D$4:$M$60,MATCH($B25,'Unique Asset List'!$A$4:$A$60,0),MATCH(N$8,'Unique Asset List'!$D$3:$M$3,0))</f>
        <v>0.16400000000000001</v>
      </c>
      <c r="O25" s="17">
        <f>INDEX('Unique Asset List'!$D$4:$M$60,MATCH($B25,'Unique Asset List'!$A$4:$A$60,0),MATCH(O$8,'Unique Asset List'!$D$3:$M$3,0))</f>
        <v>0</v>
      </c>
      <c r="P25" s="17">
        <f>INDEX('Unique Asset List'!$D$4:$M$60,MATCH($B25,'Unique Asset List'!$A$4:$A$60,0),MATCH(P$8,'Unique Asset List'!$D$3:$M$3,0))</f>
        <v>0</v>
      </c>
      <c r="Q25" s="17">
        <f>INDEX('Unique Asset List'!$D$4:$M$60,MATCH($B25,'Unique Asset List'!$A$4:$A$60,0),MATCH(Q$8,'Unique Asset List'!$D$3:$M$3,0))</f>
        <v>1</v>
      </c>
      <c r="R25" s="17">
        <f>INDEX('Unique Asset List'!$D$4:$M$60,MATCH($B25,'Unique Asset List'!$A$4:$A$60,0),MATCH(R$8,'Unique Asset List'!$D$3:$M$3,0))</f>
        <v>1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1"/>
        <v>0.90168566420734264</v>
      </c>
      <c r="V25" s="17">
        <v>0.7</v>
      </c>
      <c r="W25" s="9" t="s">
        <v>20</v>
      </c>
      <c r="X25" s="9">
        <f>INDEX('Unique Asset List'!$Y$4:$AE$60,MATCH('4'!$B25,'Unique Asset List'!$A$4:$A$60,0),MATCH('4'!$C$1,'Unique Asset List'!$Y$3:$AE$3,0))</f>
        <v>2027</v>
      </c>
      <c r="Y25" s="9">
        <f>INDEX('Unique Asset List'!$AF$4:$AL$60,MATCH('4'!$B25,'Unique Asset List'!$A$4:$A$60,0),MATCH('4'!$C$1,'Unique Asset List'!$AF$3:$AL$3,0))</f>
        <v>6.9999999999990905</v>
      </c>
      <c r="Z25" s="9">
        <f>INDEX('Unique Asset List'!$AT$4:$AZ$60,MATCH('4'!$B25,'Unique Asset List'!$A$4:$A$60,0),MATCH('4'!$C$1,'Unique Asset List'!$AT$3:$AZ$3,0))</f>
        <v>2035</v>
      </c>
      <c r="AA25" s="9">
        <f>INDEX('Unique Asset List'!$BA$4:$BG$60,MATCH('4'!$B25,'Unique Asset List'!$A$4:$A$60,0),MATCH('4'!$C$1,'Unique Asset List'!$BA$3:$BG$3,0))</f>
        <v>5</v>
      </c>
      <c r="AB25" s="16">
        <f t="shared" si="2"/>
        <v>1.6822346000000001</v>
      </c>
      <c r="AC25" s="16">
        <f t="shared" si="3"/>
        <v>0.91486990000000001</v>
      </c>
      <c r="AD25" s="16">
        <f t="shared" si="4"/>
        <v>0.56099999999999994</v>
      </c>
      <c r="AE25" s="15">
        <f>INDEX('Unique Asset List'!$CJ$4:$CP$60,MATCH('4'!$B25,'Unique Asset List'!$A$4:$A$60,0),MATCH('4'!$C$1,'Unique Asset List'!$CJ$3:$CP$3,0))</f>
        <v>0.05</v>
      </c>
      <c r="AF25" s="15">
        <f>INDEX('Unique Asset List'!$CQ$4:$CW$60,MATCH('4'!$B25,'Unique Asset List'!$A$4:$A$60,0),MATCH('4'!$C$1,'Unique Asset List'!$CQ$3:$CW$3,0))</f>
        <v>0.45</v>
      </c>
      <c r="AG25" s="15">
        <f>INDEX('Unique Asset List'!$BV$4:$CB$60,MATCH('4'!$B25,'Unique Asset List'!$A$4:$A$60,0),MATCH('4'!$C$1,'Unique Asset List'!$BV$3:$CB$3,0))</f>
        <v>0.05</v>
      </c>
      <c r="AH25" s="15">
        <f>INDEX('Unique Asset List'!$CC$4:$CI$60,MATCH('4'!$B25,'Unique Asset List'!$A$4:$A$60,0),MATCH('4'!$C$1,'Unique Asset List'!$CC$3:$CI$3,0))</f>
        <v>0.45</v>
      </c>
      <c r="AI25" s="11">
        <v>0.96187963349867744</v>
      </c>
      <c r="AJ25" s="15">
        <f>INDEX('Unique Asset List'!$BH$4:$BN$60,MATCH('4'!$B25,'Unique Asset List'!$A$4:$A$60,0),MATCH('4'!$C$1,'Unique Asset List'!$BH$3:$BN$3,0))</f>
        <v>1.4542000570988298</v>
      </c>
      <c r="AK25" s="15">
        <f>INDEX('Unique Asset List'!$BO$4:$BU$60,MATCH('4'!$B25,'Unique Asset List'!$A$4:$A$60,0),MATCH('4'!$C$1,'Unique Asset List'!$BO$3:$BU$3,0))</f>
        <v>-0.4950056673809119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1</v>
      </c>
      <c r="AW25" s="181">
        <f>INDEX('Unique Asset List'!Q$4:Q$60,MATCH($B25,_CompoundList,0))</f>
        <v>1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0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0</v>
      </c>
      <c r="BC25" s="181">
        <f ca="1">INDEX('Unique Asset List'!W$4:W$60,MATCH($B25,_CompoundList,0))</f>
        <v>0</v>
      </c>
      <c r="BD25" s="4">
        <f>IF($C$5="ON",CD25,MyRating(_E1,$B25,Efficacy!$F$1))</f>
        <v>3</v>
      </c>
      <c r="BE25" s="3">
        <f>IF($C$5="ON",CE25,MyRating(_E2,$B25,Efficacy!$F$1))</f>
        <v>3</v>
      </c>
      <c r="BF25" s="3">
        <f>IF($C$5="ON",CF25,MyRating(_E3,$B25,Efficacy!$F$1))</f>
        <v>3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4</v>
      </c>
      <c r="BJ25" s="3">
        <f>IF($C$5="ON",CJ25,MyRating(_E7,$B25,Efficacy!$F$1))</f>
        <v>3</v>
      </c>
      <c r="BK25" s="3">
        <f>IF($C$5="ON",CK25,MyRating(_E8,$B25,Efficacy!$F$1))</f>
        <v>2</v>
      </c>
      <c r="BL25" s="3">
        <f>IF($C$5="ON",CL25,MyRating(_S1,$B25,Efficacy!$F$1))</f>
        <v>3</v>
      </c>
      <c r="BM25" s="3">
        <f>IF($C$5="ON",CM25,MyRating(_S2,$B25,Efficacy!$F$1))</f>
        <v>4</v>
      </c>
      <c r="BN25" s="3">
        <f>IF($C$5="ON",CN25,MyRating(_S3,$B25,Efficacy!$F$1))</f>
        <v>3</v>
      </c>
      <c r="BO25" s="3">
        <f>IF($C$5="ON",CO25,MyRating(_S4,$B25,Efficacy!$F$1))</f>
        <v>5</v>
      </c>
      <c r="BP25" s="3">
        <f>IF($C$5="ON",CP25,MyRating(_S5,$B25,Efficacy!$F$1))</f>
        <v>4</v>
      </c>
      <c r="BQ25" s="3">
        <f>IF($C$5="ON",CQ25,MyRating(_S6,$B25,Efficacy!$F$1))</f>
        <v>4</v>
      </c>
      <c r="BR25" s="3">
        <f>IF($C$5="ON",CR25,MyRating(_S7,$B25,Efficacy!$F$1))</f>
        <v>3</v>
      </c>
      <c r="BS25" s="3">
        <f>IF($C$5="ON",CS25,MyRating(_D1,$B25,Efficacy!$F$1))</f>
        <v>3</v>
      </c>
      <c r="BT25" s="3">
        <f>IF($C$5="ON",CT25,MyRating(_D2,$B25,Efficacy!$F$1))</f>
        <v>3</v>
      </c>
      <c r="BU25" s="3">
        <f>IF($C$5="ON",CU25,MyRating(_D3,$B25,Efficacy!$F$1))</f>
        <v>3</v>
      </c>
      <c r="BV25" s="3">
        <f>IF($C$5="ON",CV25,MyRating(_D4,$B25,Efficacy!$F$1))</f>
        <v>3</v>
      </c>
      <c r="BW25" s="3">
        <f>IF($C$5="ON",CW25,MyRating(_B1G5,$B25,Barrier!$L$2))</f>
        <v>2</v>
      </c>
      <c r="BX25" s="3">
        <f>IF($C$5="ON",CX25,MyRating(_B2,$B25,Barrier!$F$2))</f>
        <v>3</v>
      </c>
      <c r="BY25" s="6">
        <f>IF($C$5="ON",CY25,MyRating(_B3,$B25,Barrier!$F$2))</f>
        <v>3</v>
      </c>
      <c r="BZ25" s="5">
        <f t="shared" si="9"/>
        <v>3.3407946312985805E-2</v>
      </c>
      <c r="CA25" s="8">
        <f t="shared" si="6"/>
        <v>2.8000000000000003</v>
      </c>
      <c r="CB25" s="5">
        <f t="shared" si="7"/>
        <v>3.2941176470588251E-2</v>
      </c>
      <c r="CC25" s="7">
        <f t="shared" si="8"/>
        <v>5.9787261089987885E-3</v>
      </c>
      <c r="CD25" s="4">
        <v>3</v>
      </c>
      <c r="CE25" s="3">
        <v>3</v>
      </c>
      <c r="CF25" s="3">
        <v>3</v>
      </c>
      <c r="CG25" s="3">
        <v>3</v>
      </c>
      <c r="CH25" s="3">
        <v>3</v>
      </c>
      <c r="CI25" s="3">
        <v>4</v>
      </c>
      <c r="CJ25" s="3">
        <v>3</v>
      </c>
      <c r="CK25" s="3">
        <v>2</v>
      </c>
      <c r="CL25" s="3">
        <v>3</v>
      </c>
      <c r="CM25" s="3">
        <v>4</v>
      </c>
      <c r="CN25" s="3">
        <v>2</v>
      </c>
      <c r="CO25" s="3">
        <v>5</v>
      </c>
      <c r="CP25" s="3">
        <v>4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2</v>
      </c>
      <c r="CX25" s="3">
        <v>3</v>
      </c>
      <c r="CY25" s="6">
        <v>3</v>
      </c>
      <c r="CZ25" s="5">
        <v>3.6275844714639842E-2</v>
      </c>
    </row>
    <row r="26" spans="1:104" x14ac:dyDescent="0.25">
      <c r="A26" s="9" t="str">
        <f t="shared" si="0"/>
        <v>UK</v>
      </c>
      <c r="B26" s="9" t="s">
        <v>71</v>
      </c>
      <c r="C26" s="20" t="s">
        <v>3</v>
      </c>
      <c r="D26" s="9" t="s">
        <v>2</v>
      </c>
      <c r="E26" s="9" t="s">
        <v>186</v>
      </c>
      <c r="F26" s="9" t="str">
        <f>INDEX('Unique Asset List'!$C$4:$C$60,MATCH(B26,_CompoundList,0))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INDEX(PTRS!$D$6:$D$12,MATCH('4'!$F26,PTRS!$B$6:$B$12,0))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0.1638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1"/>
        <v>0</v>
      </c>
      <c r="V26" s="17">
        <v>0.05</v>
      </c>
      <c r="W26" s="9" t="s">
        <v>70</v>
      </c>
      <c r="X26" s="9">
        <f>INDEX('Unique Asset List'!$Y$4:$AE$60,MATCH('4'!$B26,'Unique Asset List'!$A$4:$A$60,0),MATCH('4'!$C$1,'Unique Asset List'!$Y$3:$AE$3,0))</f>
        <v>2026</v>
      </c>
      <c r="Y26" s="9">
        <f>INDEX('Unique Asset List'!$AF$4:$AL$60,MATCH('4'!$B26,'Unique Asset List'!$A$4:$A$60,0),MATCH('4'!$C$1,'Unique Asset List'!$AF$3:$AL$3,0))</f>
        <v>8.0000000000009095</v>
      </c>
      <c r="Z26" s="9">
        <f>INDEX('Unique Asset List'!$AT$4:$AZ$60,MATCH('4'!$B26,'Unique Asset List'!$A$4:$A$60,0),MATCH('4'!$C$1,'Unique Asset List'!$AT$3:$AZ$3,0))</f>
        <v>2035</v>
      </c>
      <c r="AA26" s="9">
        <f>INDEX('Unique Asset List'!$BA$4:$BG$60,MATCH('4'!$B26,'Unique Asset List'!$A$4:$A$60,0),MATCH('4'!$C$1,'Unique Asset List'!$BA$3:$BG$3,0))</f>
        <v>7</v>
      </c>
      <c r="AB26" s="16">
        <f t="shared" si="2"/>
        <v>1.911081</v>
      </c>
      <c r="AC26" s="16">
        <f t="shared" si="3"/>
        <v>0.85759169999999996</v>
      </c>
      <c r="AD26" s="16">
        <f t="shared" si="4"/>
        <v>0.41402720413999994</v>
      </c>
      <c r="AE26" s="15">
        <f>INDEX('Unique Asset List'!$CJ$4:$CP$60,MATCH('4'!$B26,'Unique Asset List'!$A$4:$A$60,0),MATCH('4'!$C$1,'Unique Asset List'!$CJ$3:$CP$3,0))</f>
        <v>0.06</v>
      </c>
      <c r="AF26" s="15">
        <f>INDEX('Unique Asset List'!$CQ$4:$CW$60,MATCH('4'!$B26,'Unique Asset List'!$A$4:$A$60,0),MATCH('4'!$C$1,'Unique Asset List'!$CQ$3:$CW$3,0))</f>
        <v>0.45</v>
      </c>
      <c r="AG26" s="15">
        <f>INDEX('Unique Asset List'!$BV$4:$CB$60,MATCH('4'!$B26,'Unique Asset List'!$A$4:$A$60,0),MATCH('4'!$C$1,'Unique Asset List'!$BV$3:$CB$3,0))</f>
        <v>0.06</v>
      </c>
      <c r="AH26" s="15">
        <f>INDEX('Unique Asset List'!$CC$4:$CI$60,MATCH('4'!$B26,'Unique Asset List'!$A$4:$A$60,0),MATCH('4'!$C$1,'Unique Asset List'!$CC$3:$CI$3,0))</f>
        <v>0.45</v>
      </c>
      <c r="AI26" s="11">
        <v>0.96187963349867744</v>
      </c>
      <c r="AJ26" s="15">
        <f>INDEX('Unique Asset List'!$BH$4:$BN$60,MATCH('4'!$B26,'Unique Asset List'!$A$4:$A$60,0),MATCH('4'!$C$1,'Unique Asset List'!$BH$3:$BN$3,0))</f>
        <v>1.4542000570988298</v>
      </c>
      <c r="AK26" s="15">
        <f>INDEX('Unique Asset List'!$BO$4:$BU$60,MATCH('4'!$B26,'Unique Asset List'!$A$4:$A$60,0),MATCH('4'!$C$1,'Unique Asset List'!$BO$3:$BU$3,0))</f>
        <v>-0.4950056673809119</v>
      </c>
      <c r="AL26" s="9">
        <v>169</v>
      </c>
      <c r="AM26" s="14">
        <v>52.8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IF($C$5="ON",CL26,MyRating(_S1,$B26,Efficacy!$F$1))</f>
        <v>1</v>
      </c>
      <c r="BM26" s="3">
        <f>IF($C$5="ON",CM26,MyRating(_S2,$B26,Efficacy!$F$1))</f>
        <v>4</v>
      </c>
      <c r="BN26" s="3">
        <f>IF($C$5="ON",CN26,MyRating(_S3,$B26,Efficacy!$F$1))</f>
        <v>4</v>
      </c>
      <c r="BO26" s="3">
        <f>IF($C$5="ON",CO26,MyRating(_S4,$B26,Efficacy!$F$1))</f>
        <v>5</v>
      </c>
      <c r="BP26" s="3">
        <f>IF($C$5="ON",CP26,MyRating(_S5,$B26,Efficacy!$F$1))</f>
        <v>5</v>
      </c>
      <c r="BQ26" s="3">
        <f>IF($C$5="ON",CQ26,MyRating(_S6,$B26,Efficacy!$F$1))</f>
        <v>2</v>
      </c>
      <c r="BR26" s="3">
        <f>IF($C$5="ON",CR26,MyRating(_S7,$B26,Efficacy!$F$1))</f>
        <v>4</v>
      </c>
      <c r="BS26" s="3">
        <f>IF($C$5="ON",CS26,MyRating(_D1,$B26,Efficacy!$F$1))</f>
        <v>2</v>
      </c>
      <c r="BT26" s="3">
        <f>IF($C$5="ON",CT26,MyRating(_D2,$B26,Efficacy!$F$1))</f>
        <v>3</v>
      </c>
      <c r="BU26" s="3">
        <f>IF($C$5="ON",CU26,MyRating(_D3,$B26,Efficacy!$F$1))</f>
        <v>2</v>
      </c>
      <c r="BV26" s="3">
        <f>IF($C$5="ON",CV26,MyRating(_D4,$B26,Efficacy!$F$1))</f>
        <v>2</v>
      </c>
      <c r="BW26" s="3">
        <f>IF($C$5="ON",CW26,MyRating(_B1G5,$B26,Barrier!$L$2))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9"/>
        <v>0</v>
      </c>
      <c r="CA26" s="8">
        <f t="shared" si="6"/>
        <v>0</v>
      </c>
      <c r="CB26" s="5">
        <f t="shared" si="7"/>
        <v>0</v>
      </c>
      <c r="CC26" s="7">
        <f t="shared" si="8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1</v>
      </c>
      <c r="CL26" s="3">
        <v>3</v>
      </c>
      <c r="CM26" s="3">
        <v>4</v>
      </c>
      <c r="CN26" s="3">
        <v>3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3</v>
      </c>
      <c r="CY26" s="6">
        <v>5</v>
      </c>
      <c r="CZ26" s="5">
        <v>4.9932578149053504E-2</v>
      </c>
    </row>
    <row r="27" spans="1:104" x14ac:dyDescent="0.25">
      <c r="A27" s="9" t="str">
        <f t="shared" si="0"/>
        <v>UK</v>
      </c>
      <c r="B27" s="9" t="s">
        <v>31</v>
      </c>
      <c r="C27" s="20"/>
      <c r="D27" s="9" t="s">
        <v>2</v>
      </c>
      <c r="E27" s="9" t="s">
        <v>186</v>
      </c>
      <c r="F27" s="9" t="str">
        <f>INDEX('Unique Asset List'!$C$4:$C$60,MATCH(B27,_CompoundList,0))</f>
        <v>Ph1</v>
      </c>
      <c r="G27" s="19">
        <v>0</v>
      </c>
      <c r="H27" s="9">
        <v>2014</v>
      </c>
      <c r="I27" s="9">
        <v>6</v>
      </c>
      <c r="J27" s="18">
        <f>INDEX(PTRS!$D$6:$D$12,MATCH('4'!$F27,PTRS!$B$6:$B$12,0))</f>
        <v>0.13923000000000002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0.13923000000000002</v>
      </c>
      <c r="N27" s="17">
        <f>INDEX('Unique Asset List'!$D$4:$M$60,MATCH($B27,'Unique Asset List'!$A$4:$A$60,0),MATCH(N$8,'Unique Asset List'!$D$3:$M$3,0))</f>
        <v>0.14000000000000001</v>
      </c>
      <c r="O27" s="17">
        <f>INDEX('Unique Asset List'!$D$4:$M$60,MATCH($B27,'Unique Asset List'!$A$4:$A$60,0),MATCH(O$8,'Unique Asset List'!$D$3:$M$3,0))</f>
        <v>0.14000000000000001</v>
      </c>
      <c r="P27" s="17">
        <f>INDEX('Unique Asset List'!$D$4:$M$60,MATCH($B27,'Unique Asset List'!$A$4:$A$60,0),MATCH(P$8,'Unique Asset List'!$D$3:$M$3,0))</f>
        <v>0.14000000000000001</v>
      </c>
      <c r="Q27" s="17">
        <f>INDEX('Unique Asset List'!$D$4:$M$60,MATCH($B27,'Unique Asset List'!$A$4:$A$60,0),MATCH(Q$8,'Unique Asset List'!$D$3:$M$3,0))</f>
        <v>0.14000000000000001</v>
      </c>
      <c r="R27" s="17">
        <f>INDEX('Unique Asset List'!$D$4:$M$60,MATCH($B27,'Unique Asset List'!$A$4:$A$60,0),MATCH(R$8,'Unique Asset List'!$D$3:$M$3,0))</f>
        <v>0.14000000000000001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1"/>
        <v>0.90168566420734264</v>
      </c>
      <c r="V27" s="17">
        <v>1</v>
      </c>
      <c r="W27" s="9" t="s">
        <v>31</v>
      </c>
      <c r="X27" s="9">
        <f>INDEX('Unique Asset List'!$Y$4:$AE$60,MATCH('4'!$B27,'Unique Asset List'!$A$4:$A$60,0),MATCH('4'!$C$1,'Unique Asset List'!$Y$3:$AE$3,0))</f>
        <v>2028</v>
      </c>
      <c r="Y27" s="9">
        <f>INDEX('Unique Asset List'!$AF$4:$AL$60,MATCH('4'!$B27,'Unique Asset List'!$A$4:$A$60,0),MATCH('4'!$C$1,'Unique Asset List'!$AF$3:$AL$3,0))</f>
        <v>2.0000000000009095</v>
      </c>
      <c r="Z27" s="9">
        <f>INDEX('Unique Asset List'!$AT$4:$AZ$60,MATCH('4'!$B27,'Unique Asset List'!$A$4:$A$60,0),MATCH('4'!$C$1,'Unique Asset List'!$AT$3:$AZ$3,0))</f>
        <v>2037</v>
      </c>
      <c r="AA27" s="9">
        <f>INDEX('Unique Asset List'!$BA$4:$BG$60,MATCH('4'!$B27,'Unique Asset List'!$A$4:$A$60,0),MATCH('4'!$C$1,'Unique Asset List'!$BA$3:$BG$3,0))</f>
        <v>2</v>
      </c>
      <c r="AB27" s="16">
        <f t="shared" si="2"/>
        <v>2.0063400000000007</v>
      </c>
      <c r="AC27" s="16">
        <f t="shared" si="3"/>
        <v>0.94137550000000003</v>
      </c>
      <c r="AD27" s="16">
        <f t="shared" si="4"/>
        <v>0.56099999999999994</v>
      </c>
      <c r="AE27" s="15">
        <f>INDEX('Unique Asset List'!$CJ$4:$CP$60,MATCH('4'!$B27,'Unique Asset List'!$A$4:$A$60,0),MATCH('4'!$C$1,'Unique Asset List'!$CJ$3:$CP$3,0))</f>
        <v>0.05</v>
      </c>
      <c r="AF27" s="15">
        <f>INDEX('Unique Asset List'!$CQ$4:$CW$60,MATCH('4'!$B27,'Unique Asset List'!$A$4:$A$60,0),MATCH('4'!$C$1,'Unique Asset List'!$CQ$3:$CW$3,0))</f>
        <v>0.45</v>
      </c>
      <c r="AG27" s="15">
        <f>INDEX('Unique Asset List'!$BV$4:$CB$60,MATCH('4'!$B27,'Unique Asset List'!$A$4:$A$60,0),MATCH('4'!$C$1,'Unique Asset List'!$BV$3:$CB$3,0))</f>
        <v>0.05</v>
      </c>
      <c r="AH27" s="15">
        <f>INDEX('Unique Asset List'!$CC$4:$CI$60,MATCH('4'!$B27,'Unique Asset List'!$A$4:$A$60,0),MATCH('4'!$C$1,'Unique Asset List'!$CC$3:$CI$3,0))</f>
        <v>0.45</v>
      </c>
      <c r="AI27" s="11">
        <v>0.96187963349867744</v>
      </c>
      <c r="AJ27" s="15">
        <f>INDEX('Unique Asset List'!$BH$4:$BN$60,MATCH('4'!$B27,'Unique Asset List'!$A$4:$A$60,0),MATCH('4'!$C$1,'Unique Asset List'!$BH$3:$BN$3,0))</f>
        <v>1.4542000570988298</v>
      </c>
      <c r="AK27" s="15">
        <f>INDEX('Unique Asset List'!$BO$4:$BU$60,MATCH('4'!$B27,'Unique Asset List'!$A$4:$A$60,0),MATCH('4'!$C$1,'Unique Asset List'!$BO$3:$BU$3,0))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0</v>
      </c>
      <c r="AW27" s="181">
        <f>INDEX('Unique Asset List'!Q$4:Q$60,MATCH($B27,_CompoundList,0))</f>
        <v>0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1</v>
      </c>
      <c r="BD27" s="4">
        <f>IF($C$5="ON",CD27,MyRating(_E1,$B27,Efficacy!$F$1))</f>
        <v>4</v>
      </c>
      <c r="BE27" s="3">
        <f>IF($C$5="ON",CE27,MyRating(_E2,$B27,Efficacy!$F$1))</f>
        <v>3</v>
      </c>
      <c r="BF27" s="3">
        <f>IF($C$5="ON",CF27,MyRating(_E3,$B27,Efficacy!$F$1))</f>
        <v>4</v>
      </c>
      <c r="BG27" s="3">
        <f>IF($C$5="ON",CG27,MyRating(_E4,$B27,Efficacy!$F$1))</f>
        <v>4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3</v>
      </c>
      <c r="BL27" s="3">
        <f>IF($C$5="ON",CL27,MyRating(_S1,$B27,Efficacy!$F$1))</f>
        <v>4</v>
      </c>
      <c r="BM27" s="3">
        <f>IF($C$5="ON",CM27,MyRating(_S2,$B27,Efficacy!$F$1))</f>
        <v>3</v>
      </c>
      <c r="BN27" s="3">
        <f>IF($C$5="ON",CN27,MyRating(_S3,$B27,Efficacy!$F$1))</f>
        <v>3</v>
      </c>
      <c r="BO27" s="3">
        <f>IF($C$5="ON",CO27,MyRating(_S4,$B27,Efficacy!$F$1))</f>
        <v>4</v>
      </c>
      <c r="BP27" s="3">
        <f>IF($C$5="ON",CP27,MyRating(_S5,$B27,Efficacy!$F$1))</f>
        <v>5</v>
      </c>
      <c r="BQ27" s="3">
        <f>IF($C$5="ON",CQ27,MyRating(_S6,$B27,Efficacy!$F$1))</f>
        <v>3</v>
      </c>
      <c r="BR27" s="3">
        <f>IF($C$5="ON",CR27,MyRating(_S7,$B27,Efficacy!$F$1))</f>
        <v>3</v>
      </c>
      <c r="BS27" s="3">
        <f>IF($C$5="ON",CS27,MyRating(_D1,$B27,Efficacy!$F$1))</f>
        <v>3</v>
      </c>
      <c r="BT27" s="3">
        <f>IF($C$5="ON",CT27,MyRating(_D2,$B27,Efficacy!$F$1))</f>
        <v>3</v>
      </c>
      <c r="BU27" s="3">
        <f>IF($C$5="ON",CU27,MyRating(_D3,$B27,Efficacy!$F$1))</f>
        <v>3</v>
      </c>
      <c r="BV27" s="3">
        <f>IF($C$5="ON",CV27,MyRating(_D4,$B27,Efficacy!$F$1))</f>
        <v>3</v>
      </c>
      <c r="BW27" s="3">
        <f>IF($C$5="ON",CW27,MyRating(_B1G5,$B27,Barrier!$L$2))</f>
        <v>2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9"/>
        <v>3.3407946312985805E-2</v>
      </c>
      <c r="CA27" s="8">
        <f t="shared" si="6"/>
        <v>2.8000000000000003</v>
      </c>
      <c r="CB27" s="5">
        <f t="shared" si="7"/>
        <v>3.2941176470588251E-2</v>
      </c>
      <c r="CC27" s="7">
        <f t="shared" si="8"/>
        <v>5.9787261089987885E-3</v>
      </c>
      <c r="CD27" s="4">
        <v>4</v>
      </c>
      <c r="CE27" s="3">
        <v>4</v>
      </c>
      <c r="CF27" s="3">
        <v>4</v>
      </c>
      <c r="CG27" s="3">
        <v>4</v>
      </c>
      <c r="CH27" s="3">
        <v>3</v>
      </c>
      <c r="CI27" s="3">
        <v>4</v>
      </c>
      <c r="CJ27" s="3">
        <v>4</v>
      </c>
      <c r="CK27" s="3">
        <v>3</v>
      </c>
      <c r="CL27" s="3">
        <v>4</v>
      </c>
      <c r="CM27" s="3">
        <v>3</v>
      </c>
      <c r="CN27" s="3">
        <v>3</v>
      </c>
      <c r="CO27" s="3">
        <v>4</v>
      </c>
      <c r="CP27" s="3">
        <v>5</v>
      </c>
      <c r="CQ27" s="3">
        <v>3</v>
      </c>
      <c r="CR27" s="3">
        <v>4</v>
      </c>
      <c r="CS27" s="3">
        <v>3</v>
      </c>
      <c r="CT27" s="3">
        <v>3</v>
      </c>
      <c r="CU27" s="3">
        <v>3</v>
      </c>
      <c r="CV27" s="3">
        <v>3</v>
      </c>
      <c r="CW27" s="3">
        <v>2</v>
      </c>
      <c r="CX27" s="3">
        <v>3</v>
      </c>
      <c r="CY27" s="6">
        <v>3</v>
      </c>
      <c r="CZ27" s="5">
        <v>3.6275844714639842E-2</v>
      </c>
    </row>
    <row r="28" spans="1:104" x14ac:dyDescent="0.25">
      <c r="A28" s="9" t="str">
        <f t="shared" si="0"/>
        <v>UK</v>
      </c>
      <c r="B28" s="9" t="s">
        <v>35</v>
      </c>
      <c r="C28" s="20"/>
      <c r="D28" s="9" t="s">
        <v>2</v>
      </c>
      <c r="E28" s="9" t="s">
        <v>186</v>
      </c>
      <c r="F28" s="9" t="str">
        <f>INDEX('Unique Asset List'!$C$4:$C$60,MATCH(B28,_CompoundList,0))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INDEX(PTRS!$D$6:$D$12,MATCH('4'!$F28,PTRS!$B$6:$B$12,0))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v>0.13923000000000002</v>
      </c>
      <c r="N28" s="17">
        <f>INDEX('Unique Asset List'!$D$4:$M$60,MATCH($B28,'Unique Asset List'!$A$4:$A$60,0),MATCH(N$8,'Unique Asset List'!$D$3:$M$3,0))</f>
        <v>0.14000000000000001</v>
      </c>
      <c r="O28" s="17">
        <f>INDEX('Unique Asset List'!$D$4:$M$60,MATCH($B28,'Unique Asset List'!$A$4:$A$60,0),MATCH(O$8,'Unique Asset List'!$D$3:$M$3,0))</f>
        <v>0.14000000000000001</v>
      </c>
      <c r="P28" s="17">
        <f>INDEX('Unique Asset List'!$D$4:$M$60,MATCH($B28,'Unique Asset List'!$A$4:$A$60,0),MATCH(P$8,'Unique Asset List'!$D$3:$M$3,0))</f>
        <v>0.14000000000000001</v>
      </c>
      <c r="Q28" s="17">
        <f>INDEX('Unique Asset List'!$D$4:$M$60,MATCH($B28,'Unique Asset List'!$A$4:$A$60,0),MATCH(Q$8,'Unique Asset List'!$D$3:$M$3,0))</f>
        <v>0.14000000000000001</v>
      </c>
      <c r="R28" s="17">
        <f>INDEX('Unique Asset List'!$D$4:$M$60,MATCH($B28,'Unique Asset List'!$A$4:$A$60,0),MATCH(R$8,'Unique Asset List'!$D$3:$M$3,0))</f>
        <v>0.14000000000000001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1"/>
        <v>0.90168566420734264</v>
      </c>
      <c r="V28" s="17">
        <v>1</v>
      </c>
      <c r="W28" s="9" t="s">
        <v>34</v>
      </c>
      <c r="X28" s="9">
        <f>INDEX('Unique Asset List'!$Y$4:$AE$60,MATCH('4'!$B28,'Unique Asset List'!$A$4:$A$60,0),MATCH('4'!$C$1,'Unique Asset List'!$Y$3:$AE$3,0))</f>
        <v>2028</v>
      </c>
      <c r="Y28" s="9">
        <f>INDEX('Unique Asset List'!$AF$4:$AL$60,MATCH('4'!$B28,'Unique Asset List'!$A$4:$A$60,0),MATCH('4'!$C$1,'Unique Asset List'!$AF$3:$AL$3,0))</f>
        <v>3.9999999999990905</v>
      </c>
      <c r="Z28" s="9">
        <f>INDEX('Unique Asset List'!$AT$4:$AZ$60,MATCH('4'!$B28,'Unique Asset List'!$A$4:$A$60,0),MATCH('4'!$C$1,'Unique Asset List'!$AT$3:$AZ$3,0))</f>
        <v>2039</v>
      </c>
      <c r="AA28" s="9">
        <f>INDEX('Unique Asset List'!$BA$4:$BG$60,MATCH('4'!$B28,'Unique Asset List'!$A$4:$A$60,0),MATCH('4'!$C$1,'Unique Asset List'!$BA$3:$BG$3,0))</f>
        <v>3</v>
      </c>
      <c r="AB28" s="16">
        <f t="shared" si="2"/>
        <v>2.0681600000000007</v>
      </c>
      <c r="AC28" s="16">
        <f t="shared" si="3"/>
        <v>0.94137550000000003</v>
      </c>
      <c r="AD28" s="16">
        <f t="shared" si="4"/>
        <v>0.56099999999999994</v>
      </c>
      <c r="AE28" s="15">
        <f>INDEX('Unique Asset List'!$CJ$4:$CP$60,MATCH('4'!$B28,'Unique Asset List'!$A$4:$A$60,0),MATCH('4'!$C$1,'Unique Asset List'!$CJ$3:$CP$3,0))</f>
        <v>0.05</v>
      </c>
      <c r="AF28" s="15">
        <f>INDEX('Unique Asset List'!$CQ$4:$CW$60,MATCH('4'!$B28,'Unique Asset List'!$A$4:$A$60,0),MATCH('4'!$C$1,'Unique Asset List'!$CQ$3:$CW$3,0))</f>
        <v>0.45</v>
      </c>
      <c r="AG28" s="15">
        <f>INDEX('Unique Asset List'!$BV$4:$CB$60,MATCH('4'!$B28,'Unique Asset List'!$A$4:$A$60,0),MATCH('4'!$C$1,'Unique Asset List'!$BV$3:$CB$3,0))</f>
        <v>0.05</v>
      </c>
      <c r="AH28" s="15">
        <f>INDEX('Unique Asset List'!$CC$4:$CI$60,MATCH('4'!$B28,'Unique Asset List'!$A$4:$A$60,0),MATCH('4'!$C$1,'Unique Asset List'!$CC$3:$CI$3,0))</f>
        <v>0.45</v>
      </c>
      <c r="AI28" s="11">
        <v>0.96187963349867744</v>
      </c>
      <c r="AJ28" s="15">
        <f>INDEX('Unique Asset List'!$BH$4:$BN$60,MATCH('4'!$B28,'Unique Asset List'!$A$4:$A$60,0),MATCH('4'!$C$1,'Unique Asset List'!$BH$3:$BN$3,0))</f>
        <v>1.4542000570988298</v>
      </c>
      <c r="AK28" s="15">
        <f>INDEX('Unique Asset List'!$BO$4:$BU$60,MATCH('4'!$B28,'Unique Asset List'!$A$4:$A$60,0),MATCH('4'!$C$1,'Unique Asset List'!$BO$3:$BU$3,0))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0</v>
      </c>
      <c r="AZ28" s="181">
        <f ca="1">INDEX('Unique Asset List'!T$4:T$60,MATCH($B28,_CompoundList,0))</f>
        <v>0</v>
      </c>
      <c r="BA28" s="181">
        <f ca="1">INDEX('Unique Asset List'!U$4:U$60,MATCH($B28,_CompoundList,0))</f>
        <v>0</v>
      </c>
      <c r="BB28" s="181">
        <f ca="1">INDEX('Unique Asset List'!V$4:V$60,MATCH($B28,_CompoundList,0))</f>
        <v>0</v>
      </c>
      <c r="BC28" s="181">
        <f ca="1">INDEX('Unique Asset List'!W$4:W$60,MATCH($B28,_CompoundList,0))</f>
        <v>1</v>
      </c>
      <c r="BD28" s="4">
        <f>IF($C$5="ON",CD28,MyRating(_E1,$B28,Efficacy!$F$1))</f>
        <v>4</v>
      </c>
      <c r="BE28" s="3">
        <f>IF($C$5="ON",CE28,MyRating(_E2,$B28,Efficacy!$F$1))</f>
        <v>3</v>
      </c>
      <c r="BF28" s="3">
        <f>IF($C$5="ON",CF28,MyRating(_E3,$B28,Efficacy!$F$1))</f>
        <v>4</v>
      </c>
      <c r="BG28" s="3">
        <f>IF($C$5="ON",CG28,MyRating(_E4,$B28,Efficacy!$F$1))</f>
        <v>4</v>
      </c>
      <c r="BH28" s="3">
        <f>IF($C$5="ON",CH28,MyRating(_E5,$B28,Efficacy!$F$1))</f>
        <v>3</v>
      </c>
      <c r="BI28" s="3">
        <f>IF($C$5="ON",CI28,MyRating(_E6,$B28,Efficacy!$F$1))</f>
        <v>4</v>
      </c>
      <c r="BJ28" s="3">
        <f>IF($C$5="ON",CJ28,MyRating(_E7,$B28,Efficacy!$F$1))</f>
        <v>3</v>
      </c>
      <c r="BK28" s="3">
        <f>IF($C$5="ON",CK28,MyRating(_E8,$B28,Efficacy!$F$1))</f>
        <v>4</v>
      </c>
      <c r="BL28" s="3">
        <f>IF($C$5="ON",CL28,MyRating(_S1,$B28,Efficacy!$F$1))</f>
        <v>4</v>
      </c>
      <c r="BM28" s="3">
        <f>IF($C$5="ON",CM28,MyRating(_S2,$B28,Efficacy!$F$1))</f>
        <v>3</v>
      </c>
      <c r="BN28" s="3">
        <f>IF($C$5="ON",CN28,MyRating(_S3,$B28,Efficacy!$F$1))</f>
        <v>3</v>
      </c>
      <c r="BO28" s="3">
        <f>IF($C$5="ON",CO28,MyRating(_S4,$B28,Efficacy!$F$1))</f>
        <v>4</v>
      </c>
      <c r="BP28" s="3">
        <f>IF($C$5="ON",CP28,MyRating(_S5,$B28,Efficacy!$F$1))</f>
        <v>5</v>
      </c>
      <c r="BQ28" s="3">
        <f>IF($C$5="ON",CQ28,MyRating(_S6,$B28,Efficacy!$F$1))</f>
        <v>3</v>
      </c>
      <c r="BR28" s="3">
        <f>IF($C$5="ON",CR28,MyRating(_S7,$B28,Efficacy!$F$1))</f>
        <v>3</v>
      </c>
      <c r="BS28" s="3">
        <f>IF($C$5="ON",CS28,MyRating(_D1,$B28,Efficacy!$F$1))</f>
        <v>3</v>
      </c>
      <c r="BT28" s="3">
        <f>IF($C$5="ON",CT28,MyRating(_D2,$B28,Efficacy!$F$1))</f>
        <v>3</v>
      </c>
      <c r="BU28" s="3">
        <f>IF($C$5="ON",CU28,MyRating(_D3,$B28,Efficacy!$F$1))</f>
        <v>3</v>
      </c>
      <c r="BV28" s="3">
        <f>IF($C$5="ON",CV28,MyRating(_D4,$B28,Efficacy!$F$1))</f>
        <v>3</v>
      </c>
      <c r="BW28" s="3">
        <f>IF($C$5="ON",CW28,MyRating(_B1G5,$B28,Barrier!$L$2))</f>
        <v>2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9"/>
        <v>3.3407946312985805E-2</v>
      </c>
      <c r="CA28" s="8">
        <f t="shared" si="6"/>
        <v>2.8000000000000003</v>
      </c>
      <c r="CB28" s="5">
        <f t="shared" si="7"/>
        <v>3.2941176470588251E-2</v>
      </c>
      <c r="CC28" s="7">
        <f t="shared" si="8"/>
        <v>5.9787261089987885E-3</v>
      </c>
      <c r="CD28" s="4">
        <v>4</v>
      </c>
      <c r="CE28" s="3">
        <v>4</v>
      </c>
      <c r="CF28" s="3">
        <v>4</v>
      </c>
      <c r="CG28" s="3">
        <v>4</v>
      </c>
      <c r="CH28" s="3">
        <v>3</v>
      </c>
      <c r="CI28" s="3">
        <v>3</v>
      </c>
      <c r="CJ28" s="3">
        <v>3</v>
      </c>
      <c r="CK28" s="3">
        <v>4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3</v>
      </c>
      <c r="CR28" s="3">
        <v>4</v>
      </c>
      <c r="CS28" s="3">
        <v>3</v>
      </c>
      <c r="CT28" s="3">
        <v>3</v>
      </c>
      <c r="CU28" s="3">
        <v>3</v>
      </c>
      <c r="CV28" s="3">
        <v>3</v>
      </c>
      <c r="CW28" s="3">
        <v>2</v>
      </c>
      <c r="CX28" s="3">
        <v>3</v>
      </c>
      <c r="CY28" s="6">
        <v>3</v>
      </c>
      <c r="CZ28" s="5">
        <v>3.6275844714639842E-2</v>
      </c>
    </row>
    <row r="29" spans="1:104" x14ac:dyDescent="0.25">
      <c r="A29" s="9" t="str">
        <f t="shared" si="0"/>
        <v>UK</v>
      </c>
      <c r="B29" s="9" t="s">
        <v>69</v>
      </c>
      <c r="C29" s="20"/>
      <c r="D29" s="9" t="s">
        <v>64</v>
      </c>
      <c r="E29" s="9" t="s">
        <v>186</v>
      </c>
      <c r="F29" s="9" t="str">
        <f>INDEX('Unique Asset List'!$C$4:$C$60,MATCH(B29,_CompoundList,0))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INDEX(PTRS!$D$6:$D$12,MATCH('4'!$F29,PTRS!$B$6:$B$12,0))</f>
        <v>0.13923000000000002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0.13923000000000002</v>
      </c>
      <c r="N29" s="17">
        <f>INDEX('Unique Asset List'!$D$4:$M$60,MATCH($B29,'Unique Asset List'!$A$4:$A$60,0),MATCH(N$8,'Unique Asset List'!$D$3:$M$3,0))</f>
        <v>0.13923000000000002</v>
      </c>
      <c r="O29" s="17">
        <f>INDEX('Unique Asset List'!$D$4:$M$60,MATCH($B29,'Unique Asset List'!$A$4:$A$60,0),MATCH(O$8,'Unique Asset List'!$D$3:$M$3,0))</f>
        <v>0.13923000000000002</v>
      </c>
      <c r="P29" s="17">
        <f>INDEX('Unique Asset List'!$D$4:$M$60,MATCH($B29,'Unique Asset List'!$A$4:$A$60,0),MATCH(P$8,'Unique Asset List'!$D$3:$M$3,0))</f>
        <v>0.13923000000000002</v>
      </c>
      <c r="Q29" s="17">
        <f>INDEX('Unique Asset List'!$D$4:$M$60,MATCH($B29,'Unique Asset List'!$A$4:$A$60,0),MATCH(Q$8,'Unique Asset List'!$D$3:$M$3,0))</f>
        <v>0.13923000000000002</v>
      </c>
      <c r="R29" s="17">
        <f>INDEX('Unique Asset List'!$D$4:$M$60,MATCH($B29,'Unique Asset List'!$A$4:$A$60,0),MATCH(R$8,'Unique Asset List'!$D$3:$M$3,0))</f>
        <v>0.13923000000000002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1"/>
        <v>0.90168566420734264</v>
      </c>
      <c r="V29" s="17">
        <v>1</v>
      </c>
      <c r="W29" s="9" t="s">
        <v>62</v>
      </c>
      <c r="X29" s="9">
        <f>INDEX('Unique Asset List'!$Y$4:$AE$60,MATCH('4'!$B29,'Unique Asset List'!$A$4:$A$60,0),MATCH('4'!$C$1,'Unique Asset List'!$Y$3:$AE$3,0))</f>
        <v>2024</v>
      </c>
      <c r="Y29" s="9">
        <f>INDEX('Unique Asset List'!$AF$4:$AL$60,MATCH('4'!$B29,'Unique Asset List'!$A$4:$A$60,0),MATCH('4'!$C$1,'Unique Asset List'!$AF$3:$AL$3,0))</f>
        <v>3</v>
      </c>
      <c r="Z29" s="9">
        <f>INDEX('Unique Asset List'!$AT$4:$AZ$60,MATCH('4'!$B29,'Unique Asset List'!$A$4:$A$60,0),MATCH('4'!$C$1,'Unique Asset List'!$AT$3:$AZ$3,0))</f>
        <v>2037</v>
      </c>
      <c r="AA29" s="9">
        <f>INDEX('Unique Asset List'!$BA$4:$BG$60,MATCH('4'!$B29,'Unique Asset List'!$A$4:$A$60,0),MATCH('4'!$C$1,'Unique Asset List'!$BA$3:$BG$3,0))</f>
        <v>3</v>
      </c>
      <c r="AB29" s="16">
        <f t="shared" si="2"/>
        <v>1.6860000000000002</v>
      </c>
      <c r="AC29" s="16">
        <f t="shared" si="3"/>
        <v>0.91994010000000004</v>
      </c>
      <c r="AD29" s="16">
        <f t="shared" si="4"/>
        <v>0.50129594525999999</v>
      </c>
      <c r="AE29" s="15">
        <f>INDEX('Unique Asset List'!$CJ$4:$CP$60,MATCH('4'!$B29,'Unique Asset List'!$A$4:$A$60,0),MATCH('4'!$C$1,'Unique Asset List'!$CJ$3:$CP$3,0))</f>
        <v>0.06</v>
      </c>
      <c r="AF29" s="15">
        <f>INDEX('Unique Asset List'!$CQ$4:$CW$60,MATCH('4'!$B29,'Unique Asset List'!$A$4:$A$60,0),MATCH('4'!$C$1,'Unique Asset List'!$CQ$3:$CW$3,0))</f>
        <v>0.45</v>
      </c>
      <c r="AG29" s="15">
        <f>INDEX('Unique Asset List'!$BV$4:$CB$60,MATCH('4'!$B29,'Unique Asset List'!$A$4:$A$60,0),MATCH('4'!$C$1,'Unique Asset List'!$BV$3:$CB$3,0))</f>
        <v>0.06</v>
      </c>
      <c r="AH29" s="15">
        <f>INDEX('Unique Asset List'!$CC$4:$CI$60,MATCH('4'!$B29,'Unique Asset List'!$A$4:$A$60,0),MATCH('4'!$C$1,'Unique Asset List'!$CC$3:$CI$3,0))</f>
        <v>0.45</v>
      </c>
      <c r="AI29" s="11">
        <v>0.96187963349867744</v>
      </c>
      <c r="AJ29" s="15">
        <f>INDEX('Unique Asset List'!$BH$4:$BN$60,MATCH('4'!$B29,'Unique Asset List'!$A$4:$A$60,0),MATCH('4'!$C$1,'Unique Asset List'!$BH$3:$BN$3,0))</f>
        <v>1.4542000570988298</v>
      </c>
      <c r="AK29" s="15">
        <f>INDEX('Unique Asset List'!$BO$4:$BU$60,MATCH('4'!$B29,'Unique Asset List'!$A$4:$A$60,0),MATCH('4'!$C$1,'Unique Asset List'!$BO$3:$BU$3,0))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0</v>
      </c>
      <c r="AY29" s="181">
        <f ca="1">INDEX('Unique Asset List'!S$4:S$60,MATCH($B29,_CompoundList,0))</f>
        <v>1</v>
      </c>
      <c r="AZ29" s="181">
        <f ca="1">INDEX('Unique Asset List'!T$4:T$60,MATCH($B29,_CompoundList,0))</f>
        <v>1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1</v>
      </c>
      <c r="BC29" s="181">
        <f ca="1">INDEX('Unique Asset List'!W$4:W$60,MATCH($B29,_CompoundList,0))</f>
        <v>1</v>
      </c>
      <c r="BD29" s="4">
        <f>IF($C$5="ON",CD29,MyRating(_E1,$B29,Efficacy!$F$1))</f>
        <v>3</v>
      </c>
      <c r="BE29" s="3">
        <f>IF($C$5="ON",CE29,MyRating(_E2,$B29,Efficacy!$F$1))</f>
        <v>3</v>
      </c>
      <c r="BF29" s="3">
        <f>IF($C$5="ON",CF29,MyRating(_E3,$B29,Efficacy!$F$1))</f>
        <v>3</v>
      </c>
      <c r="BG29" s="3">
        <f>IF($C$5="ON",CG29,MyRating(_E4,$B29,Efficacy!$F$1))</f>
        <v>3</v>
      </c>
      <c r="BH29" s="3">
        <f>IF($C$5="ON",CH29,MyRating(_E5,$B29,Efficacy!$F$1))</f>
        <v>3</v>
      </c>
      <c r="BI29" s="3">
        <f>IF($C$5="ON",CI29,MyRating(_E6,$B29,Efficacy!$F$1))</f>
        <v>3</v>
      </c>
      <c r="BJ29" s="3">
        <f>IF($C$5="ON",CJ29,MyRating(_E7,$B29,Efficacy!$F$1))</f>
        <v>3</v>
      </c>
      <c r="BK29" s="3">
        <f>IF($C$5="ON",CK29,MyRating(_E8,$B29,Efficacy!$F$1))</f>
        <v>3</v>
      </c>
      <c r="BL29" s="3">
        <f>IF($C$5="ON",CL29,MyRating(_S1,$B29,Efficacy!$F$1))</f>
        <v>4</v>
      </c>
      <c r="BM29" s="3">
        <f>IF($C$5="ON",CM29,MyRating(_S2,$B29,Efficacy!$F$1))</f>
        <v>3</v>
      </c>
      <c r="BN29" s="3">
        <f>IF($C$5="ON",CN29,MyRating(_S3,$B29,Efficacy!$F$1))</f>
        <v>3</v>
      </c>
      <c r="BO29" s="3">
        <f>IF($C$5="ON",CO29,MyRating(_S4,$B29,Efficacy!$F$1))</f>
        <v>4</v>
      </c>
      <c r="BP29" s="3">
        <f>IF($C$5="ON",CP29,MyRating(_S5,$B29,Efficacy!$F$1))</f>
        <v>5</v>
      </c>
      <c r="BQ29" s="3">
        <f>IF($C$5="ON",CQ29,MyRating(_S6,$B29,Efficacy!$F$1))</f>
        <v>2</v>
      </c>
      <c r="BR29" s="3">
        <f>IF($C$5="ON",CR29,MyRating(_S7,$B29,Efficacy!$F$1))</f>
        <v>3</v>
      </c>
      <c r="BS29" s="3">
        <f>IF($C$5="ON",CS29,MyRating(_D1,$B29,Efficacy!$F$1))</f>
        <v>2</v>
      </c>
      <c r="BT29" s="3">
        <f>IF($C$5="ON",CT29,MyRating(_D2,$B29,Efficacy!$F$1))</f>
        <v>3</v>
      </c>
      <c r="BU29" s="3">
        <f>IF($C$5="ON",CU29,MyRating(_D3,$B29,Efficacy!$F$1))</f>
        <v>3</v>
      </c>
      <c r="BV29" s="3">
        <f>IF($C$5="ON",CV29,MyRating(_D4,$B29,Efficacy!$F$1))</f>
        <v>3</v>
      </c>
      <c r="BW29" s="3">
        <f>IF($C$5="ON",CW29,MyRating(_B1G5,$B29,Barrier!$L$2))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9"/>
        <v>3.3407946312985805E-2</v>
      </c>
      <c r="CA29" s="8">
        <f t="shared" si="6"/>
        <v>2.8000000000000003</v>
      </c>
      <c r="CB29" s="5">
        <f t="shared" si="7"/>
        <v>3.2941176470588251E-2</v>
      </c>
      <c r="CC29" s="7">
        <f t="shared" si="8"/>
        <v>5.9787261089987885E-3</v>
      </c>
      <c r="CD29" s="4">
        <v>3</v>
      </c>
      <c r="CE29" s="3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5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3</v>
      </c>
      <c r="CW29" s="3">
        <v>2</v>
      </c>
      <c r="CX29" s="3">
        <v>3</v>
      </c>
      <c r="CY29" s="6">
        <v>3</v>
      </c>
      <c r="CZ29" s="5">
        <v>3.6275844714639842E-2</v>
      </c>
    </row>
    <row r="30" spans="1:104" x14ac:dyDescent="0.25">
      <c r="A30" s="9" t="str">
        <f t="shared" si="0"/>
        <v>UK</v>
      </c>
      <c r="B30" s="9" t="s">
        <v>24</v>
      </c>
      <c r="C30" s="20" t="s">
        <v>3</v>
      </c>
      <c r="D30" s="9" t="s">
        <v>2</v>
      </c>
      <c r="E30" s="9" t="s">
        <v>186</v>
      </c>
      <c r="F30" s="9" t="str">
        <f>INDEX('Unique Asset List'!$C$4:$C$60,MATCH(B30,_CompoundList,0))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INDEX(PTRS!$D$6:$D$12,MATCH('4'!$F30,PTRS!$B$6:$B$12,0))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0.13923000000000002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1"/>
        <v>0</v>
      </c>
      <c r="V30" s="17">
        <v>1</v>
      </c>
      <c r="W30" s="9" t="s">
        <v>24</v>
      </c>
      <c r="X30" s="9">
        <f>INDEX('Unique Asset List'!$Y$4:$AE$60,MATCH('4'!$B30,'Unique Asset List'!$A$4:$A$60,0),MATCH('4'!$C$1,'Unique Asset List'!$Y$3:$AE$3,0))</f>
        <v>2027</v>
      </c>
      <c r="Y30" s="9">
        <f>INDEX('Unique Asset List'!$AF$4:$AL$60,MATCH('4'!$B30,'Unique Asset List'!$A$4:$A$60,0),MATCH('4'!$C$1,'Unique Asset List'!$AF$3:$AL$3,0))</f>
        <v>6</v>
      </c>
      <c r="Z30" s="9">
        <f>INDEX('Unique Asset List'!$AT$4:$AZ$60,MATCH('4'!$B30,'Unique Asset List'!$A$4:$A$60,0),MATCH('4'!$C$1,'Unique Asset List'!$AT$3:$AZ$3,0))</f>
        <v>2034</v>
      </c>
      <c r="AA30" s="9">
        <f>INDEX('Unique Asset List'!$BA$4:$BG$60,MATCH('4'!$B30,'Unique Asset List'!$A$4:$A$60,0),MATCH('4'!$C$1,'Unique Asset List'!$BA$3:$BG$3,0))</f>
        <v>5</v>
      </c>
      <c r="AB30" s="16">
        <f t="shared" si="2"/>
        <v>2.1518980000000005</v>
      </c>
      <c r="AC30" s="16">
        <f t="shared" si="3"/>
        <v>0.94137550000000003</v>
      </c>
      <c r="AD30" s="16">
        <f t="shared" si="4"/>
        <v>0.56099999999999994</v>
      </c>
      <c r="AE30" s="15">
        <f>INDEX('Unique Asset List'!$CJ$4:$CP$60,MATCH('4'!$B30,'Unique Asset List'!$A$4:$A$60,0),MATCH('4'!$C$1,'Unique Asset List'!$CJ$3:$CP$3,0))</f>
        <v>0.05</v>
      </c>
      <c r="AF30" s="15">
        <f>INDEX('Unique Asset List'!$CQ$4:$CW$60,MATCH('4'!$B30,'Unique Asset List'!$A$4:$A$60,0),MATCH('4'!$C$1,'Unique Asset List'!$CQ$3:$CW$3,0))</f>
        <v>0.45</v>
      </c>
      <c r="AG30" s="15">
        <f>INDEX('Unique Asset List'!$BV$4:$CB$60,MATCH('4'!$B30,'Unique Asset List'!$A$4:$A$60,0),MATCH('4'!$C$1,'Unique Asset List'!$BV$3:$CB$3,0))</f>
        <v>0.05</v>
      </c>
      <c r="AH30" s="15">
        <f>INDEX('Unique Asset List'!$CC$4:$CI$60,MATCH('4'!$B30,'Unique Asset List'!$A$4:$A$60,0),MATCH('4'!$C$1,'Unique Asset List'!$CC$3:$CI$3,0))</f>
        <v>0.45</v>
      </c>
      <c r="AI30" s="11">
        <v>0.96187963349867744</v>
      </c>
      <c r="AJ30" s="15">
        <f>INDEX('Unique Asset List'!$BH$4:$BN$60,MATCH('4'!$B30,'Unique Asset List'!$A$4:$A$60,0),MATCH('4'!$C$1,'Unique Asset List'!$BH$3:$BN$3,0))</f>
        <v>1.4542000570988298</v>
      </c>
      <c r="AK30" s="15">
        <f>INDEX('Unique Asset List'!$BO$4:$BU$60,MATCH('4'!$B30,'Unique Asset List'!$A$4:$A$60,0),MATCH('4'!$C$1,'Unique Asset List'!$BO$3:$BU$3,0))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IF($C$5="ON",CL30,MyRating(_S1,$B30,Efficacy!$F$1))</f>
        <v>4</v>
      </c>
      <c r="BM30" s="3">
        <f>IF($C$5="ON",CM30,MyRating(_S2,$B30,Efficacy!$F$1))</f>
        <v>3</v>
      </c>
      <c r="BN30" s="3">
        <f>IF($C$5="ON",CN30,MyRating(_S3,$B30,Efficacy!$F$1))</f>
        <v>3</v>
      </c>
      <c r="BO30" s="3">
        <f>IF($C$5="ON",CO30,MyRating(_S4,$B30,Efficacy!$F$1))</f>
        <v>4</v>
      </c>
      <c r="BP30" s="3">
        <f>IF($C$5="ON",CP30,MyRating(_S5,$B30,Efficacy!$F$1))</f>
        <v>5</v>
      </c>
      <c r="BQ30" s="3">
        <f>IF($C$5="ON",CQ30,MyRating(_S6,$B30,Efficacy!$F$1))</f>
        <v>3</v>
      </c>
      <c r="BR30" s="3">
        <f>IF($C$5="ON",CR30,MyRating(_S7,$B30,Efficacy!$F$1))</f>
        <v>3</v>
      </c>
      <c r="BS30" s="3">
        <f>IF($C$5="ON",CS30,MyRating(_D1,$B30,Efficacy!$F$1))</f>
        <v>3</v>
      </c>
      <c r="BT30" s="3">
        <f>IF($C$5="ON",CT30,MyRating(_D2,$B30,Efficacy!$F$1))</f>
        <v>3</v>
      </c>
      <c r="BU30" s="3">
        <f>IF($C$5="ON",CU30,MyRating(_D3,$B30,Efficacy!$F$1))</f>
        <v>3</v>
      </c>
      <c r="BV30" s="3">
        <f>IF($C$5="ON",CV30,MyRating(_D4,$B30,Efficacy!$F$1))</f>
        <v>3</v>
      </c>
      <c r="BW30" s="3">
        <f>IF($C$5="ON",CW30,MyRating(_B1G5,$B30,Barrier!$L$2))</f>
        <v>2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9"/>
        <v>0</v>
      </c>
      <c r="CA30" s="8">
        <f t="shared" si="6"/>
        <v>0.4</v>
      </c>
      <c r="CB30" s="5">
        <f t="shared" si="7"/>
        <v>4.7058823529411787E-3</v>
      </c>
      <c r="CC30" s="7">
        <f t="shared" si="8"/>
        <v>3.2282086615060515E-4</v>
      </c>
      <c r="CD30" s="4">
        <v>4</v>
      </c>
      <c r="CE30" s="3">
        <v>5</v>
      </c>
      <c r="CF30" s="3">
        <v>5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5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2</v>
      </c>
      <c r="CX30" s="3">
        <v>3</v>
      </c>
      <c r="CY30" s="6">
        <v>3</v>
      </c>
      <c r="CZ30" s="5">
        <v>3.6275844714639842E-2</v>
      </c>
    </row>
    <row r="31" spans="1:104" x14ac:dyDescent="0.25">
      <c r="A31" s="9" t="str">
        <f t="shared" si="0"/>
        <v>UK</v>
      </c>
      <c r="B31" s="9" t="s">
        <v>66</v>
      </c>
      <c r="C31" s="20" t="s">
        <v>3</v>
      </c>
      <c r="D31" s="9" t="s">
        <v>2</v>
      </c>
      <c r="E31" s="9" t="s">
        <v>186</v>
      </c>
      <c r="F31" s="9" t="str">
        <f>INDEX('Unique Asset List'!$C$4:$C$60,MATCH(B31,_CompoundList,0))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INDEX(PTRS!$D$6:$D$12,MATCH('4'!$F31,PTRS!$B$6:$B$12,0))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v>0.1044225</v>
      </c>
      <c r="N31" s="17">
        <f>INDEX('Unique Asset List'!$D$4:$M$60,MATCH($B31,'Unique Asset List'!$A$4:$A$60,0),MATCH(N$8,'Unique Asset List'!$D$3:$M$3,0))</f>
        <v>0</v>
      </c>
      <c r="O31" s="17">
        <f>INDEX('Unique Asset List'!$D$4:$M$60,MATCH($B31,'Unique Asset List'!$A$4:$A$60,0),MATCH(O$8,'Unique Asset List'!$D$3:$M$3,0))</f>
        <v>0</v>
      </c>
      <c r="P31" s="17">
        <f>INDEX('Unique Asset List'!$D$4:$M$60,MATCH($B31,'Unique Asset List'!$A$4:$A$60,0),MATCH(P$8,'Unique Asset List'!$D$3:$M$3,0))</f>
        <v>0</v>
      </c>
      <c r="Q31" s="17">
        <f>INDEX('Unique Asset List'!$D$4:$M$60,MATCH($B31,'Unique Asset List'!$A$4:$A$60,0),MATCH(Q$8,'Unique Asset List'!$D$3:$M$3,0))</f>
        <v>0</v>
      </c>
      <c r="R31" s="17">
        <f>INDEX('Unique Asset List'!$D$4:$M$60,MATCH($B31,'Unique Asset List'!$A$4:$A$60,0),MATCH(R$8,'Unique Asset List'!$D$3:$M$3,0))</f>
        <v>0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1"/>
        <v>0</v>
      </c>
      <c r="V31" s="17">
        <v>1</v>
      </c>
      <c r="W31" s="9" t="s">
        <v>62</v>
      </c>
      <c r="X31" s="9">
        <f>INDEX('Unique Asset List'!$Y$4:$AE$60,MATCH('4'!$B31,'Unique Asset List'!$A$4:$A$60,0),MATCH('4'!$C$1,'Unique Asset List'!$Y$3:$AE$3,0))</f>
        <v>2029</v>
      </c>
      <c r="Y31" s="9">
        <f>INDEX('Unique Asset List'!$AF$4:$AL$60,MATCH('4'!$B31,'Unique Asset List'!$A$4:$A$60,0),MATCH('4'!$C$1,'Unique Asset List'!$AF$3:$AL$3,0))</f>
        <v>3</v>
      </c>
      <c r="Z31" s="9">
        <f>INDEX('Unique Asset List'!$AT$4:$AZ$60,MATCH('4'!$B31,'Unique Asset List'!$A$4:$A$60,0),MATCH('4'!$C$1,'Unique Asset List'!$AT$3:$AZ$3,0))</f>
        <v>2038</v>
      </c>
      <c r="AA31" s="9">
        <f>INDEX('Unique Asset List'!$BA$4:$BG$60,MATCH('4'!$B31,'Unique Asset List'!$A$4:$A$60,0),MATCH('4'!$C$1,'Unique Asset List'!$BA$3:$BG$3,0))</f>
        <v>3</v>
      </c>
      <c r="AB31" s="16">
        <f t="shared" si="2"/>
        <v>2.1518980000000005</v>
      </c>
      <c r="AC31" s="16">
        <f t="shared" si="3"/>
        <v>0.94137550000000003</v>
      </c>
      <c r="AD31" s="16">
        <f t="shared" si="4"/>
        <v>0.56099999999999994</v>
      </c>
      <c r="AE31" s="15">
        <f>INDEX('Unique Asset List'!$CJ$4:$CP$60,MATCH('4'!$B31,'Unique Asset List'!$A$4:$A$60,0),MATCH('4'!$C$1,'Unique Asset List'!$CJ$3:$CP$3,0))</f>
        <v>0.06</v>
      </c>
      <c r="AF31" s="15">
        <f>INDEX('Unique Asset List'!$CQ$4:$CW$60,MATCH('4'!$B31,'Unique Asset List'!$A$4:$A$60,0),MATCH('4'!$C$1,'Unique Asset List'!$CQ$3:$CW$3,0))</f>
        <v>0.45</v>
      </c>
      <c r="AG31" s="15">
        <f>INDEX('Unique Asset List'!$BV$4:$CB$60,MATCH('4'!$B31,'Unique Asset List'!$A$4:$A$60,0),MATCH('4'!$C$1,'Unique Asset List'!$BV$3:$CB$3,0))</f>
        <v>0.06</v>
      </c>
      <c r="AH31" s="15">
        <f>INDEX('Unique Asset List'!$CC$4:$CI$60,MATCH('4'!$B31,'Unique Asset List'!$A$4:$A$60,0),MATCH('4'!$C$1,'Unique Asset List'!$CC$3:$CI$3,0))</f>
        <v>0.45</v>
      </c>
      <c r="AI31" s="11">
        <v>0.96187963349867744</v>
      </c>
      <c r="AJ31" s="15">
        <f>INDEX('Unique Asset List'!$BH$4:$BN$60,MATCH('4'!$B31,'Unique Asset List'!$A$4:$A$60,0),MATCH('4'!$C$1,'Unique Asset List'!$BH$3:$BN$3,0))</f>
        <v>1.4542000570988298</v>
      </c>
      <c r="AK31" s="15">
        <f>INDEX('Unique Asset List'!$BO$4:$BU$60,MATCH('4'!$B31,'Unique Asset List'!$A$4:$A$60,0),MATCH('4'!$C$1,'Unique Asset List'!$BO$3:$BU$3,0))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1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0</v>
      </c>
      <c r="BC31" s="181">
        <f ca="1">INDEX('Unique Asset List'!W$4:W$60,MATCH($B31,_CompoundList,0))</f>
        <v>1</v>
      </c>
      <c r="BD31" s="4">
        <f>IF($C$5="ON",CD31,MyRating(_E1,$B31,Efficacy!$F$1))</f>
        <v>4</v>
      </c>
      <c r="BE31" s="3">
        <f>IF($C$5="ON",CE31,MyRating(_E2,$B31,Efficacy!$F$1))</f>
        <v>4</v>
      </c>
      <c r="BF31" s="3">
        <f>IF($C$5="ON",CF31,MyRating(_E3,$B31,Efficacy!$F$1))</f>
        <v>4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IF($C$5="ON",CL31,MyRating(_S1,$B31,Efficacy!$F$1))</f>
        <v>4</v>
      </c>
      <c r="BM31" s="3">
        <f>IF($C$5="ON",CM31,MyRating(_S2,$B31,Efficacy!$F$1))</f>
        <v>3</v>
      </c>
      <c r="BN31" s="3">
        <f>IF($C$5="ON",CN31,MyRating(_S3,$B31,Efficacy!$F$1))</f>
        <v>3</v>
      </c>
      <c r="BO31" s="3">
        <f>IF($C$5="ON",CO31,MyRating(_S4,$B31,Efficacy!$F$1))</f>
        <v>4</v>
      </c>
      <c r="BP31" s="3">
        <f>IF($C$5="ON",CP31,MyRating(_S5,$B31,Efficacy!$F$1))</f>
        <v>5</v>
      </c>
      <c r="BQ31" s="3">
        <f>IF($C$5="ON",CQ31,MyRating(_S6,$B31,Efficacy!$F$1))</f>
        <v>3</v>
      </c>
      <c r="BR31" s="3">
        <f>IF($C$5="ON",CR31,MyRating(_S7,$B31,Efficacy!$F$1))</f>
        <v>3</v>
      </c>
      <c r="BS31" s="3">
        <f>IF($C$5="ON",CS31,MyRating(_D1,$B31,Efficacy!$F$1))</f>
        <v>3</v>
      </c>
      <c r="BT31" s="3">
        <f>IF($C$5="ON",CT31,MyRating(_D2,$B31,Efficacy!$F$1))</f>
        <v>3</v>
      </c>
      <c r="BU31" s="3">
        <f>IF($C$5="ON",CU31,MyRating(_D3,$B31,Efficacy!$F$1))</f>
        <v>3</v>
      </c>
      <c r="BV31" s="3">
        <f>IF($C$5="ON",CV31,MyRating(_D4,$B31,Efficacy!$F$1))</f>
        <v>3</v>
      </c>
      <c r="BW31" s="3">
        <f>IF($C$5="ON",CW31,MyRating(_B1G5,$B31,Barrier!$L$2))</f>
        <v>2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9"/>
        <v>0</v>
      </c>
      <c r="CA31" s="8">
        <f t="shared" si="6"/>
        <v>2.8000000000000003</v>
      </c>
      <c r="CB31" s="5">
        <f t="shared" si="7"/>
        <v>3.2941176470588251E-2</v>
      </c>
      <c r="CC31" s="7">
        <f t="shared" si="8"/>
        <v>5.9787261089987885E-3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5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2</v>
      </c>
      <c r="CX31" s="3">
        <v>3</v>
      </c>
      <c r="CY31" s="6">
        <v>3</v>
      </c>
      <c r="CZ31" s="5">
        <v>3.6275844714639842E-2</v>
      </c>
    </row>
    <row r="32" spans="1:104" x14ac:dyDescent="0.25">
      <c r="A32" s="9" t="str">
        <f t="shared" si="0"/>
        <v>UK</v>
      </c>
      <c r="B32" s="9" t="s">
        <v>57</v>
      </c>
      <c r="C32" s="20" t="s">
        <v>3</v>
      </c>
      <c r="D32" s="9" t="s">
        <v>2</v>
      </c>
      <c r="E32" s="9" t="s">
        <v>186</v>
      </c>
      <c r="F32" s="9" t="str">
        <f>INDEX('Unique Asset List'!$C$4:$C$60,MATCH(B32,_CompoundList,0))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INDEX(PTRS!$D$6:$D$12,MATCH('4'!$F32,PTRS!$B$6:$B$12,0))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1"/>
        <v>0</v>
      </c>
      <c r="V32" s="17">
        <v>1</v>
      </c>
      <c r="W32" s="9" t="s">
        <v>57</v>
      </c>
      <c r="X32" s="9">
        <f>INDEX('Unique Asset List'!$Y$4:$AE$60,MATCH('4'!$B32,'Unique Asset List'!$A$4:$A$60,0),MATCH('4'!$C$1,'Unique Asset List'!$Y$3:$AE$3,0))</f>
        <v>2029</v>
      </c>
      <c r="Y32" s="9">
        <f>INDEX('Unique Asset List'!$AF$4:$AL$60,MATCH('4'!$B32,'Unique Asset List'!$A$4:$A$60,0),MATCH('4'!$C$1,'Unique Asset List'!$AF$3:$AL$3,0))</f>
        <v>9</v>
      </c>
      <c r="Z32" s="9">
        <f>INDEX('Unique Asset List'!$AT$4:$AZ$60,MATCH('4'!$B32,'Unique Asset List'!$A$4:$A$60,0),MATCH('4'!$C$1,'Unique Asset List'!$AT$3:$AZ$3,0))</f>
        <v>2038</v>
      </c>
      <c r="AA32" s="9">
        <f>INDEX('Unique Asset List'!$BA$4:$BG$60,MATCH('4'!$B32,'Unique Asset List'!$A$4:$A$60,0),MATCH('4'!$C$1,'Unique Asset List'!$BA$3:$BG$3,0))</f>
        <v>9</v>
      </c>
      <c r="AB32" s="16">
        <f t="shared" si="2"/>
        <v>2.3276916000000001</v>
      </c>
      <c r="AC32" s="16">
        <f t="shared" si="3"/>
        <v>0.94137550000000003</v>
      </c>
      <c r="AD32" s="16">
        <f t="shared" si="4"/>
        <v>0.56099999999999994</v>
      </c>
      <c r="AE32" s="15">
        <f>INDEX('Unique Asset List'!$CJ$4:$CP$60,MATCH('4'!$B32,'Unique Asset List'!$A$4:$A$60,0),MATCH('4'!$C$1,'Unique Asset List'!$CJ$3:$CP$3,0))</f>
        <v>0.06</v>
      </c>
      <c r="AF32" s="15">
        <f>INDEX('Unique Asset List'!$CQ$4:$CW$60,MATCH('4'!$B32,'Unique Asset List'!$A$4:$A$60,0),MATCH('4'!$C$1,'Unique Asset List'!$CQ$3:$CW$3,0))</f>
        <v>0.45</v>
      </c>
      <c r="AG32" s="15">
        <f>INDEX('Unique Asset List'!$BV$4:$CB$60,MATCH('4'!$B32,'Unique Asset List'!$A$4:$A$60,0),MATCH('4'!$C$1,'Unique Asset List'!$BV$3:$CB$3,0))</f>
        <v>0.06</v>
      </c>
      <c r="AH32" s="15">
        <f>INDEX('Unique Asset List'!$CC$4:$CI$60,MATCH('4'!$B32,'Unique Asset List'!$A$4:$A$60,0),MATCH('4'!$C$1,'Unique Asset List'!$CC$3:$CI$3,0))</f>
        <v>0.45</v>
      </c>
      <c r="AI32" s="11">
        <v>0.96187963349867744</v>
      </c>
      <c r="AJ32" s="15">
        <f>INDEX('Unique Asset List'!$BH$4:$BN$60,MATCH('4'!$B32,'Unique Asset List'!$A$4:$A$60,0),MATCH('4'!$C$1,'Unique Asset List'!$BH$3:$BN$3,0))</f>
        <v>1.4542000570988298</v>
      </c>
      <c r="AK32" s="15">
        <f>INDEX('Unique Asset List'!$BO$4:$BU$60,MATCH('4'!$B32,'Unique Asset List'!$A$4:$A$60,0),MATCH('4'!$C$1,'Unique Asset List'!$BO$3:$BU$3,0))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0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0</v>
      </c>
      <c r="BD32" s="4">
        <f>IF($C$5="ON",CD32,MyRating(_E1,$B32,Efficacy!$F$1))</f>
        <v>4</v>
      </c>
      <c r="BE32" s="3">
        <f>IF($C$5="ON",CE32,MyRating(_E2,$B32,Efficacy!$F$1))</f>
        <v>5</v>
      </c>
      <c r="BF32" s="3">
        <f>IF($C$5="ON",CF32,MyRating(_E3,$B32,Efficacy!$F$1))</f>
        <v>5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IF($C$5="ON",CL32,MyRating(_S1,$B32,Efficacy!$F$1))</f>
        <v>4</v>
      </c>
      <c r="BM32" s="3">
        <f>IF($C$5="ON",CM32,MyRating(_S2,$B32,Efficacy!$F$1))</f>
        <v>3</v>
      </c>
      <c r="BN32" s="3">
        <f>IF($C$5="ON",CN32,MyRating(_S3,$B32,Efficacy!$F$1))</f>
        <v>3</v>
      </c>
      <c r="BO32" s="3">
        <f>IF($C$5="ON",CO32,MyRating(_S4,$B32,Efficacy!$F$1))</f>
        <v>4</v>
      </c>
      <c r="BP32" s="3">
        <f>IF($C$5="ON",CP32,MyRating(_S5,$B32,Efficacy!$F$1))</f>
        <v>5</v>
      </c>
      <c r="BQ32" s="3">
        <f>IF($C$5="ON",CQ32,MyRating(_S6,$B32,Efficacy!$F$1))</f>
        <v>3</v>
      </c>
      <c r="BR32" s="3">
        <f>IF($C$5="ON",CR32,MyRating(_S7,$B32,Efficacy!$F$1))</f>
        <v>3</v>
      </c>
      <c r="BS32" s="3">
        <f>IF($C$5="ON",CS32,MyRating(_D1,$B32,Efficacy!$F$1))</f>
        <v>3</v>
      </c>
      <c r="BT32" s="3">
        <f>IF($C$5="ON",CT32,MyRating(_D2,$B32,Efficacy!$F$1))</f>
        <v>3</v>
      </c>
      <c r="BU32" s="3">
        <f>IF($C$5="ON",CU32,MyRating(_D3,$B32,Efficacy!$F$1))</f>
        <v>3</v>
      </c>
      <c r="BV32" s="3">
        <f>IF($C$5="ON",CV32,MyRating(_D4,$B32,Efficacy!$F$1))</f>
        <v>3</v>
      </c>
      <c r="BW32" s="3">
        <f>IF($C$5="ON",CW32,MyRating(_B1G5,$B32,Barrier!$L$2))</f>
        <v>2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9"/>
        <v>0</v>
      </c>
      <c r="CA32" s="8">
        <f t="shared" si="6"/>
        <v>2.8000000000000003</v>
      </c>
      <c r="CB32" s="5">
        <f t="shared" si="7"/>
        <v>3.2941176470588251E-2</v>
      </c>
      <c r="CC32" s="7">
        <f t="shared" si="8"/>
        <v>5.9787261089987885E-3</v>
      </c>
      <c r="CD32" s="4">
        <v>4</v>
      </c>
      <c r="CE32" s="3">
        <v>5</v>
      </c>
      <c r="CF32" s="3">
        <v>5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5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2</v>
      </c>
      <c r="CX32" s="3">
        <v>3</v>
      </c>
      <c r="CY32" s="6">
        <v>3</v>
      </c>
      <c r="CZ32" s="5">
        <v>3.6275844714639842E-2</v>
      </c>
    </row>
    <row r="33" spans="1:104" x14ac:dyDescent="0.25">
      <c r="A33" s="9" t="str">
        <f t="shared" si="0"/>
        <v>UK</v>
      </c>
      <c r="B33" s="9" t="s">
        <v>28</v>
      </c>
      <c r="C33" s="20"/>
      <c r="D33" s="9" t="s">
        <v>2</v>
      </c>
      <c r="E33" s="9" t="s">
        <v>186</v>
      </c>
      <c r="F33" s="9" t="str">
        <f>INDEX('Unique Asset List'!$C$4:$C$60,MATCH(B33,_CompoundList,0))</f>
        <v>Ph1</v>
      </c>
      <c r="G33" s="19">
        <v>0</v>
      </c>
      <c r="H33" s="9">
        <v>2014</v>
      </c>
      <c r="I33" s="9">
        <v>6</v>
      </c>
      <c r="J33" s="18">
        <f>INDEX(PTRS!$D$6:$D$12,MATCH('4'!$F33,PTRS!$B$6:$B$12,0))</f>
        <v>0.13923000000000002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v>0.13923000000000002</v>
      </c>
      <c r="N33" s="17">
        <f>INDEX('Unique Asset List'!$D$4:$M$60,MATCH($B33,'Unique Asset List'!$A$4:$A$60,0),MATCH(N$8,'Unique Asset List'!$D$3:$M$3,0))</f>
        <v>0.09</v>
      </c>
      <c r="O33" s="17">
        <f>INDEX('Unique Asset List'!$D$4:$M$60,MATCH($B33,'Unique Asset List'!$A$4:$A$60,0),MATCH(O$8,'Unique Asset List'!$D$3:$M$3,0))</f>
        <v>0.09</v>
      </c>
      <c r="P33" s="17">
        <f>INDEX('Unique Asset List'!$D$4:$M$60,MATCH($B33,'Unique Asset List'!$A$4:$A$60,0),MATCH(P$8,'Unique Asset List'!$D$3:$M$3,0))</f>
        <v>0.09</v>
      </c>
      <c r="Q33" s="17">
        <f>INDEX('Unique Asset List'!$D$4:$M$60,MATCH($B33,'Unique Asset List'!$A$4:$A$60,0),MATCH(Q$8,'Unique Asset List'!$D$3:$M$3,0))</f>
        <v>0.09</v>
      </c>
      <c r="R33" s="17">
        <f>INDEX('Unique Asset List'!$D$4:$M$60,MATCH($B33,'Unique Asset List'!$A$4:$A$60,0),MATCH(R$8,'Unique Asset List'!$D$3:$M$3,0))</f>
        <v>0.09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1"/>
        <v>0.90168566420734264</v>
      </c>
      <c r="V33" s="17">
        <v>1</v>
      </c>
      <c r="W33" s="9" t="s">
        <v>27</v>
      </c>
      <c r="X33" s="9">
        <f>INDEX('Unique Asset List'!$Y$4:$AE$60,MATCH('4'!$B33,'Unique Asset List'!$A$4:$A$60,0),MATCH('4'!$C$1,'Unique Asset List'!$Y$3:$AE$3,0))</f>
        <v>2031</v>
      </c>
      <c r="Y33" s="9">
        <f>INDEX('Unique Asset List'!$AF$4:$AL$60,MATCH('4'!$B33,'Unique Asset List'!$A$4:$A$60,0),MATCH('4'!$C$1,'Unique Asset List'!$AF$3:$AL$3,0))</f>
        <v>6</v>
      </c>
      <c r="Z33" s="9">
        <f>INDEX('Unique Asset List'!$AT$4:$AZ$60,MATCH('4'!$B33,'Unique Asset List'!$A$4:$A$60,0),MATCH('4'!$C$1,'Unique Asset List'!$AT$3:$AZ$3,0))</f>
        <v>2038</v>
      </c>
      <c r="AA33" s="9">
        <f>INDEX('Unique Asset List'!$BA$4:$BG$60,MATCH('4'!$B33,'Unique Asset List'!$A$4:$A$60,0),MATCH('4'!$C$1,'Unique Asset List'!$BA$3:$BG$3,0))</f>
        <v>9</v>
      </c>
      <c r="AB33" s="16">
        <f t="shared" si="2"/>
        <v>2.0289886000000004</v>
      </c>
      <c r="AC33" s="16">
        <f t="shared" si="3"/>
        <v>0.81843569999999999</v>
      </c>
      <c r="AD33" s="16">
        <f t="shared" si="4"/>
        <v>0.56099999999999994</v>
      </c>
      <c r="AE33" s="15">
        <f>INDEX('Unique Asset List'!$CJ$4:$CP$60,MATCH('4'!$B33,'Unique Asset List'!$A$4:$A$60,0),MATCH('4'!$C$1,'Unique Asset List'!$CJ$3:$CP$3,0))</f>
        <v>0.05</v>
      </c>
      <c r="AF33" s="15">
        <f>INDEX('Unique Asset List'!$CQ$4:$CW$60,MATCH('4'!$B33,'Unique Asset List'!$A$4:$A$60,0),MATCH('4'!$C$1,'Unique Asset List'!$CQ$3:$CW$3,0))</f>
        <v>0.45</v>
      </c>
      <c r="AG33" s="15">
        <f>INDEX('Unique Asset List'!$BV$4:$CB$60,MATCH('4'!$B33,'Unique Asset List'!$A$4:$A$60,0),MATCH('4'!$C$1,'Unique Asset List'!$BV$3:$CB$3,0))</f>
        <v>0.05</v>
      </c>
      <c r="AH33" s="15">
        <f>INDEX('Unique Asset List'!$CC$4:$CI$60,MATCH('4'!$B33,'Unique Asset List'!$A$4:$A$60,0),MATCH('4'!$C$1,'Unique Asset List'!$CC$3:$CI$3,0))</f>
        <v>0.45</v>
      </c>
      <c r="AI33" s="11">
        <v>0.96187963349867744</v>
      </c>
      <c r="AJ33" s="15">
        <f>INDEX('Unique Asset List'!$BH$4:$BN$60,MATCH('4'!$B33,'Unique Asset List'!$A$4:$A$60,0),MATCH('4'!$C$1,'Unique Asset List'!$BH$3:$BN$3,0))</f>
        <v>1.4542000570988298</v>
      </c>
      <c r="AK33" s="15">
        <f>INDEX('Unique Asset List'!$BO$4:$BU$60,MATCH('4'!$B33,'Unique Asset List'!$A$4:$A$60,0),MATCH('4'!$C$1,'Unique Asset List'!$BO$3:$BU$3,0))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1</v>
      </c>
      <c r="AY33" s="181">
        <f ca="1">INDEX('Unique Asset List'!S$4:S$60,MATCH($B33,_CompoundList,0))</f>
        <v>1</v>
      </c>
      <c r="AZ33" s="181">
        <f ca="1">INDEX('Unique Asset List'!T$4:T$60,MATCH($B33,_CompoundList,0))</f>
        <v>1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1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3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3</v>
      </c>
      <c r="BL33" s="3">
        <f>IF($C$5="ON",CL33,MyRating(_S1,$B33,Efficacy!$F$1))</f>
        <v>2</v>
      </c>
      <c r="BM33" s="3">
        <f>IF($C$5="ON",CM33,MyRating(_S2,$B33,Efficacy!$F$1))</f>
        <v>3</v>
      </c>
      <c r="BN33" s="3">
        <f>IF($C$5="ON",CN33,MyRating(_S3,$B33,Efficacy!$F$1))</f>
        <v>3</v>
      </c>
      <c r="BO33" s="3">
        <f>IF($C$5="ON",CO33,MyRating(_S4,$B33,Efficacy!$F$1))</f>
        <v>4</v>
      </c>
      <c r="BP33" s="3">
        <f>IF($C$5="ON",CP33,MyRating(_S5,$B33,Efficacy!$F$1))</f>
        <v>5</v>
      </c>
      <c r="BQ33" s="3">
        <f>IF($C$5="ON",CQ33,MyRating(_S6,$B33,Efficacy!$F$1))</f>
        <v>3</v>
      </c>
      <c r="BR33" s="3">
        <f>IF($C$5="ON",CR33,MyRating(_S7,$B33,Efficacy!$F$1))</f>
        <v>3</v>
      </c>
      <c r="BS33" s="3">
        <f>IF($C$5="ON",CS33,MyRating(_D1,$B33,Efficacy!$F$1))</f>
        <v>3</v>
      </c>
      <c r="BT33" s="3">
        <f>IF($C$5="ON",CT33,MyRating(_D2,$B33,Efficacy!$F$1))</f>
        <v>3</v>
      </c>
      <c r="BU33" s="3">
        <f>IF($C$5="ON",CU33,MyRating(_D3,$B33,Efficacy!$F$1))</f>
        <v>3</v>
      </c>
      <c r="BV33" s="3">
        <f>IF($C$5="ON",CV33,MyRating(_D4,$B33,Efficacy!$F$1))</f>
        <v>3</v>
      </c>
      <c r="BW33" s="3">
        <f>IF($C$5="ON",CW33,MyRating(_B1G5,$B33,Barrier!$L$2))</f>
        <v>2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9"/>
        <v>3.3407946312985805E-2</v>
      </c>
      <c r="CA33" s="8">
        <f t="shared" si="6"/>
        <v>2.8000000000000003</v>
      </c>
      <c r="CB33" s="5">
        <f t="shared" si="7"/>
        <v>3.2941176470588251E-2</v>
      </c>
      <c r="CC33" s="7">
        <f t="shared" si="8"/>
        <v>5.9787261089987885E-3</v>
      </c>
      <c r="CD33" s="4">
        <v>4</v>
      </c>
      <c r="CE33" s="3">
        <v>4</v>
      </c>
      <c r="CF33" s="3">
        <v>4</v>
      </c>
      <c r="CG33" s="3">
        <v>4</v>
      </c>
      <c r="CH33" s="3">
        <v>3</v>
      </c>
      <c r="CI33" s="3">
        <v>3</v>
      </c>
      <c r="CJ33" s="3">
        <v>3</v>
      </c>
      <c r="CK33" s="3">
        <v>3</v>
      </c>
      <c r="CL33" s="3">
        <v>2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4</v>
      </c>
      <c r="CS33" s="3">
        <v>3</v>
      </c>
      <c r="CT33" s="3">
        <v>3</v>
      </c>
      <c r="CU33" s="3">
        <v>3</v>
      </c>
      <c r="CV33" s="3">
        <v>3</v>
      </c>
      <c r="CW33" s="3">
        <v>2</v>
      </c>
      <c r="CX33" s="3">
        <v>3</v>
      </c>
      <c r="CY33" s="6">
        <v>3</v>
      </c>
      <c r="CZ33" s="5">
        <v>3.6275844714639842E-2</v>
      </c>
    </row>
    <row r="34" spans="1:104" x14ac:dyDescent="0.25">
      <c r="A34" s="9" t="str">
        <f t="shared" si="0"/>
        <v>UK</v>
      </c>
      <c r="B34" s="9" t="s">
        <v>61</v>
      </c>
      <c r="C34" s="20"/>
      <c r="D34" s="9" t="s">
        <v>60</v>
      </c>
      <c r="E34" s="9" t="s">
        <v>59</v>
      </c>
      <c r="F34" s="9" t="str">
        <f>INDEX('Unique Asset List'!$C$4:$C$60,MATCH(B34,_CompoundList,0))</f>
        <v>Ph1</v>
      </c>
      <c r="G34" s="19">
        <v>0</v>
      </c>
      <c r="H34" s="9">
        <v>2014</v>
      </c>
      <c r="I34" s="9">
        <v>6</v>
      </c>
      <c r="J34" s="18">
        <f>INDEX(PTRS!$D$6:$D$12,MATCH('4'!$F34,PTRS!$B$6:$B$12,0))</f>
        <v>0.13923000000000002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v>0.13923000000000002</v>
      </c>
      <c r="N34" s="17">
        <f>INDEX('Unique Asset List'!$D$4:$M$60,MATCH($B34,'Unique Asset List'!$A$4:$A$60,0),MATCH(N$8,'Unique Asset List'!$D$3:$M$3,0))</f>
        <v>0.13923000000000002</v>
      </c>
      <c r="O34" s="17">
        <f>INDEX('Unique Asset List'!$D$4:$M$60,MATCH($B34,'Unique Asset List'!$A$4:$A$60,0),MATCH(O$8,'Unique Asset List'!$D$3:$M$3,0))</f>
        <v>0.13923000000000002</v>
      </c>
      <c r="P34" s="17">
        <f>INDEX('Unique Asset List'!$D$4:$M$60,MATCH($B34,'Unique Asset List'!$A$4:$A$60,0),MATCH(P$8,'Unique Asset List'!$D$3:$M$3,0))</f>
        <v>0.13923000000000002</v>
      </c>
      <c r="Q34" s="17">
        <f>INDEX('Unique Asset List'!$D$4:$M$60,MATCH($B34,'Unique Asset List'!$A$4:$A$60,0),MATCH(Q$8,'Unique Asset List'!$D$3:$M$3,0))</f>
        <v>0.13923000000000002</v>
      </c>
      <c r="R34" s="17">
        <f>INDEX('Unique Asset List'!$D$4:$M$60,MATCH($B34,'Unique Asset List'!$A$4:$A$60,0),MATCH(R$8,'Unique Asset List'!$D$3:$M$3,0))</f>
        <v>0.13923000000000002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1"/>
        <v>0.90168566420734264</v>
      </c>
      <c r="V34" s="17">
        <v>1</v>
      </c>
      <c r="W34" s="9" t="s">
        <v>57</v>
      </c>
      <c r="X34" s="9">
        <f>INDEX('Unique Asset List'!$Y$4:$AE$60,MATCH('4'!$B34,'Unique Asset List'!$A$4:$A$60,0),MATCH('4'!$C$1,'Unique Asset List'!$Y$3:$AE$3,0))</f>
        <v>2028</v>
      </c>
      <c r="Y34" s="9">
        <f>INDEX('Unique Asset List'!$AF$4:$AL$60,MATCH('4'!$B34,'Unique Asset List'!$A$4:$A$60,0),MATCH('4'!$C$1,'Unique Asset List'!$AF$3:$AL$3,0))</f>
        <v>9</v>
      </c>
      <c r="Z34" s="9">
        <f>INDEX('Unique Asset List'!$AT$4:$AZ$60,MATCH('4'!$B34,'Unique Asset List'!$A$4:$A$60,0),MATCH('4'!$C$1,'Unique Asset List'!$AT$3:$AZ$3,0))</f>
        <v>2036</v>
      </c>
      <c r="AA34" s="9">
        <f>INDEX('Unique Asset List'!$BA$4:$BG$60,MATCH('4'!$B34,'Unique Asset List'!$A$4:$A$60,0),MATCH('4'!$C$1,'Unique Asset List'!$BA$3:$BG$3,0))</f>
        <v>9</v>
      </c>
      <c r="AB34" s="16">
        <f t="shared" si="2"/>
        <v>2.3276916000000001</v>
      </c>
      <c r="AC34" s="16">
        <f t="shared" si="3"/>
        <v>0.87990560000000007</v>
      </c>
      <c r="AD34" s="16">
        <f t="shared" si="4"/>
        <v>0.56099999999999994</v>
      </c>
      <c r="AE34" s="15">
        <f>INDEX('Unique Asset List'!$CJ$4:$CP$60,MATCH('4'!$B34,'Unique Asset List'!$A$4:$A$60,0),MATCH('4'!$C$1,'Unique Asset List'!$CJ$3:$CP$3,0))</f>
        <v>0.06</v>
      </c>
      <c r="AF34" s="15">
        <f>INDEX('Unique Asset List'!$CQ$4:$CW$60,MATCH('4'!$B34,'Unique Asset List'!$A$4:$A$60,0),MATCH('4'!$C$1,'Unique Asset List'!$CQ$3:$CW$3,0))</f>
        <v>0.45</v>
      </c>
      <c r="AG34" s="15">
        <f>INDEX('Unique Asset List'!$BV$4:$CB$60,MATCH('4'!$B34,'Unique Asset List'!$A$4:$A$60,0),MATCH('4'!$C$1,'Unique Asset List'!$BV$3:$CB$3,0))</f>
        <v>0.06</v>
      </c>
      <c r="AH34" s="15">
        <f>INDEX('Unique Asset List'!$CC$4:$CI$60,MATCH('4'!$B34,'Unique Asset List'!$A$4:$A$60,0),MATCH('4'!$C$1,'Unique Asset List'!$CC$3:$CI$3,0))</f>
        <v>0.45</v>
      </c>
      <c r="AI34" s="11">
        <v>0.96187963349867744</v>
      </c>
      <c r="AJ34" s="15">
        <f>INDEX('Unique Asset List'!$BH$4:$BN$60,MATCH('4'!$B34,'Unique Asset List'!$A$4:$A$60,0),MATCH('4'!$C$1,'Unique Asset List'!$BH$3:$BN$3,0))</f>
        <v>1.4542000570988298</v>
      </c>
      <c r="AK34" s="15">
        <f>INDEX('Unique Asset List'!$BO$4:$BU$60,MATCH('4'!$B34,'Unique Asset List'!$A$4:$A$60,0),MATCH('4'!$C$1,'Unique Asset List'!$BO$3:$BU$3,0))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0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1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5</v>
      </c>
      <c r="BF34" s="3">
        <f>IF($C$5="ON",CF34,MyRating(_E3,$B34,Efficacy!$F$1))</f>
        <v>5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IF($C$5="ON",CL34,MyRating(_S1,$B34,Efficacy!$F$1))</f>
        <v>3</v>
      </c>
      <c r="BM34" s="3">
        <f>IF($C$5="ON",CM34,MyRating(_S2,$B34,Efficacy!$F$1))</f>
        <v>3</v>
      </c>
      <c r="BN34" s="3">
        <f>IF($C$5="ON",CN34,MyRating(_S3,$B34,Efficacy!$F$1))</f>
        <v>3</v>
      </c>
      <c r="BO34" s="3">
        <f>IF($C$5="ON",CO34,MyRating(_S4,$B34,Efficacy!$F$1))</f>
        <v>4</v>
      </c>
      <c r="BP34" s="3">
        <f>IF($C$5="ON",CP34,MyRating(_S5,$B34,Efficacy!$F$1))</f>
        <v>5</v>
      </c>
      <c r="BQ34" s="3">
        <f>IF($C$5="ON",CQ34,MyRating(_S6,$B34,Efficacy!$F$1))</f>
        <v>3</v>
      </c>
      <c r="BR34" s="3">
        <f>IF($C$5="ON",CR34,MyRating(_S7,$B34,Efficacy!$F$1))</f>
        <v>3</v>
      </c>
      <c r="BS34" s="3">
        <f>IF($C$5="ON",CS34,MyRating(_D1,$B34,Efficacy!$F$1))</f>
        <v>3</v>
      </c>
      <c r="BT34" s="3">
        <f>IF($C$5="ON",CT34,MyRating(_D2,$B34,Efficacy!$F$1))</f>
        <v>3</v>
      </c>
      <c r="BU34" s="3">
        <f>IF($C$5="ON",CU34,MyRating(_D3,$B34,Efficacy!$F$1))</f>
        <v>3</v>
      </c>
      <c r="BV34" s="3">
        <f>IF($C$5="ON",CV34,MyRating(_D4,$B34,Efficacy!$F$1))</f>
        <v>3</v>
      </c>
      <c r="BW34" s="3">
        <f>IF($C$5="ON",CW34,MyRating(_B1G5,$B34,Barrier!$L$2))</f>
        <v>2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9"/>
        <v>3.3407946312985805E-2</v>
      </c>
      <c r="CA34" s="8">
        <f t="shared" si="6"/>
        <v>2.8000000000000003</v>
      </c>
      <c r="CB34" s="5">
        <f t="shared" si="7"/>
        <v>3.2941176470588251E-2</v>
      </c>
      <c r="CC34" s="7">
        <f t="shared" si="8"/>
        <v>5.9787261089987885E-3</v>
      </c>
      <c r="CD34" s="4">
        <v>4</v>
      </c>
      <c r="CE34" s="3">
        <v>5</v>
      </c>
      <c r="CF34" s="3">
        <v>5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5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2</v>
      </c>
      <c r="CX34" s="3">
        <v>3</v>
      </c>
      <c r="CY34" s="6">
        <v>3</v>
      </c>
      <c r="CZ34" s="5">
        <v>3.6275844714639842E-2</v>
      </c>
    </row>
    <row r="35" spans="1:104" x14ac:dyDescent="0.25">
      <c r="A35" s="9" t="str">
        <f t="shared" si="0"/>
        <v>UK</v>
      </c>
      <c r="B35" s="9" t="s">
        <v>278</v>
      </c>
      <c r="C35" s="20" t="s">
        <v>3</v>
      </c>
      <c r="D35" s="9" t="s">
        <v>55</v>
      </c>
      <c r="E35" s="9" t="s">
        <v>186</v>
      </c>
      <c r="F35" s="9" t="str">
        <f>INDEX('Unique Asset List'!$C$4:$C$60,MATCH(B35,_CompoundList,0))</f>
        <v>Ph2a</v>
      </c>
      <c r="G35" s="19">
        <v>0</v>
      </c>
      <c r="H35" s="9">
        <v>2014</v>
      </c>
      <c r="I35" s="9">
        <v>6</v>
      </c>
      <c r="J35" s="18">
        <f>INDEX(PTRS!$D$6:$D$12,MATCH('4'!$F35,PTRS!$B$6:$B$12,0))</f>
        <v>0.1638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v>5.4600000000000003E-2</v>
      </c>
      <c r="N35" s="17">
        <f>INDEX('Unique Asset List'!$D$4:$M$60,MATCH($B35,'Unique Asset List'!$A$4:$A$60,0),MATCH(N$8,'Unique Asset List'!$D$3:$M$3,0))</f>
        <v>0.1638</v>
      </c>
      <c r="O35" s="17">
        <f>INDEX('Unique Asset List'!$D$4:$M$60,MATCH($B35,'Unique Asset List'!$A$4:$A$60,0),MATCH(O$8,'Unique Asset List'!$D$3:$M$3,0))</f>
        <v>0.1638</v>
      </c>
      <c r="P35" s="17">
        <f>INDEX('Unique Asset List'!$D$4:$M$60,MATCH($B35,'Unique Asset List'!$A$4:$A$60,0),MATCH(P$8,'Unique Asset List'!$D$3:$M$3,0))</f>
        <v>0.1638</v>
      </c>
      <c r="Q35" s="17">
        <f>INDEX('Unique Asset List'!$D$4:$M$60,MATCH($B35,'Unique Asset List'!$A$4:$A$60,0),MATCH(Q$8,'Unique Asset List'!$D$3:$M$3,0))</f>
        <v>0.1638</v>
      </c>
      <c r="R35" s="17">
        <f>INDEX('Unique Asset List'!$D$4:$M$60,MATCH($B35,'Unique Asset List'!$A$4:$A$60,0),MATCH(R$8,'Unique Asset List'!$D$3:$M$3,0))</f>
        <v>0.1638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1"/>
        <v>0</v>
      </c>
      <c r="V35" s="17">
        <v>1</v>
      </c>
      <c r="W35" s="9" t="s">
        <v>54</v>
      </c>
      <c r="X35" s="9">
        <f>INDEX('Unique Asset List'!$Y$4:$AE$60,MATCH('4'!$B35,'Unique Asset List'!$A$4:$A$60,0),MATCH('4'!$C$1,'Unique Asset List'!$Y$3:$AE$3,0))</f>
        <v>2023</v>
      </c>
      <c r="Y35" s="9">
        <f>INDEX('Unique Asset List'!$AF$4:$AL$60,MATCH('4'!$B35,'Unique Asset List'!$A$4:$A$60,0),MATCH('4'!$C$1,'Unique Asset List'!$AF$3:$AL$3,0))</f>
        <v>9</v>
      </c>
      <c r="Z35" s="9">
        <f>INDEX('Unique Asset List'!$AT$4:$AZ$60,MATCH('4'!$B35,'Unique Asset List'!$A$4:$A$60,0),MATCH('4'!$C$1,'Unique Asset List'!$AT$3:$AZ$3,0))</f>
        <v>2036</v>
      </c>
      <c r="AA35" s="9">
        <f>INDEX('Unique Asset List'!$BA$4:$BG$60,MATCH('4'!$B35,'Unique Asset List'!$A$4:$A$60,0),MATCH('4'!$C$1,'Unique Asset List'!$BA$3:$BG$3,0))</f>
        <v>9</v>
      </c>
      <c r="AB35" s="16">
        <f t="shared" si="2"/>
        <v>0</v>
      </c>
      <c r="AC35" s="16">
        <f t="shared" si="3"/>
        <v>0</v>
      </c>
      <c r="AD35" s="16">
        <f t="shared" si="4"/>
        <v>0</v>
      </c>
      <c r="AE35" s="15">
        <f>INDEX('Unique Asset List'!$CJ$4:$CP$60,MATCH('4'!$B35,'Unique Asset List'!$A$4:$A$60,0),MATCH('4'!$C$1,'Unique Asset List'!$CJ$3:$CP$3,0))</f>
        <v>0.05</v>
      </c>
      <c r="AF35" s="15">
        <f>INDEX('Unique Asset List'!$CQ$4:$CW$60,MATCH('4'!$B35,'Unique Asset List'!$A$4:$A$60,0),MATCH('4'!$C$1,'Unique Asset List'!$CQ$3:$CW$3,0))</f>
        <v>0.45</v>
      </c>
      <c r="AG35" s="15">
        <f>INDEX('Unique Asset List'!$BV$4:$CB$60,MATCH('4'!$B35,'Unique Asset List'!$A$4:$A$60,0),MATCH('4'!$C$1,'Unique Asset List'!$BV$3:$CB$3,0))</f>
        <v>0.05</v>
      </c>
      <c r="AH35" s="15">
        <f>INDEX('Unique Asset List'!$CC$4:$CI$60,MATCH('4'!$B35,'Unique Asset List'!$A$4:$A$60,0),MATCH('4'!$C$1,'Unique Asset List'!$CC$3:$CI$3,0))</f>
        <v>0.45</v>
      </c>
      <c r="AI35" s="11">
        <v>0.96187963349867744</v>
      </c>
      <c r="AJ35" s="15">
        <f>INDEX('Unique Asset List'!$BH$4:$BN$60,MATCH('4'!$B35,'Unique Asset List'!$A$4:$A$60,0),MATCH('4'!$C$1,'Unique Asset List'!$BH$3:$BN$3,0))</f>
        <v>1.4542000570988298</v>
      </c>
      <c r="AK35" s="15">
        <f>INDEX('Unique Asset List'!$BO$4:$BU$60,MATCH('4'!$B35,'Unique Asset List'!$A$4:$A$60,0),MATCH('4'!$C$1,'Unique Asset List'!$BO$3:$BU$3,0))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0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0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0</v>
      </c>
      <c r="BC35" s="181">
        <f ca="1">INDEX('Unique Asset List'!W$4:W$60,MATCH($B35,_CompoundList,0))</f>
        <v>1</v>
      </c>
      <c r="BD35" s="4">
        <f>IF($C$5="ON",CD35,MyRating(_E1,$B35,Efficacy!$F$1))</f>
        <v>0</v>
      </c>
      <c r="BE35" s="3">
        <f>IF($C$5="ON",CE35,MyRating(_E2,$B35,Efficacy!$F$1))</f>
        <v>0</v>
      </c>
      <c r="BF35" s="3">
        <f>IF($C$5="ON",CF35,MyRating(_E3,$B35,Efficacy!$F$1))</f>
        <v>0</v>
      </c>
      <c r="BG35" s="3">
        <f>IF($C$5="ON",CG35,MyRating(_E4,$B35,Efficacy!$F$1))</f>
        <v>0</v>
      </c>
      <c r="BH35" s="3">
        <f>IF($C$5="ON",CH35,MyRating(_E5,$B35,Efficacy!$F$1))</f>
        <v>0</v>
      </c>
      <c r="BI35" s="3">
        <f>IF($C$5="ON",CI35,MyRating(_E6,$B35,Efficacy!$F$1))</f>
        <v>0</v>
      </c>
      <c r="BJ35" s="3">
        <f>IF($C$5="ON",CJ35,MyRating(_E7,$B35,Efficacy!$F$1))</f>
        <v>0</v>
      </c>
      <c r="BK35" s="3">
        <f>IF($C$5="ON",CK35,MyRating(_E8,$B35,Efficacy!$F$1))</f>
        <v>0</v>
      </c>
      <c r="BL35" s="3">
        <f>IF($C$5="ON",CL35,MyRating(_S1,$B35,Efficacy!$F$1))</f>
        <v>0</v>
      </c>
      <c r="BM35" s="3">
        <f>IF($C$5="ON",CM35,MyRating(_S2,$B35,Efficacy!$F$1))</f>
        <v>0</v>
      </c>
      <c r="BN35" s="3">
        <f>IF($C$5="ON",CN35,MyRating(_S3,$B35,Efficacy!$F$1))</f>
        <v>0</v>
      </c>
      <c r="BO35" s="3">
        <f>IF($C$5="ON",CO35,MyRating(_S4,$B35,Efficacy!$F$1))</f>
        <v>0</v>
      </c>
      <c r="BP35" s="3">
        <f>IF($C$5="ON",CP35,MyRating(_S5,$B35,Efficacy!$F$1))</f>
        <v>0</v>
      </c>
      <c r="BQ35" s="3">
        <f>IF($C$5="ON",CQ35,MyRating(_S6,$B35,Efficacy!$F$1))</f>
        <v>0</v>
      </c>
      <c r="BR35" s="3">
        <f>IF($C$5="ON",CR35,MyRating(_S7,$B35,Efficacy!$F$1))</f>
        <v>0</v>
      </c>
      <c r="BS35" s="3">
        <f>IF($C$5="ON",CS35,MyRating(_D1,$B35,Efficacy!$F$1))</f>
        <v>0</v>
      </c>
      <c r="BT35" s="3">
        <f>IF($C$5="ON",CT35,MyRating(_D2,$B35,Efficacy!$F$1))</f>
        <v>0</v>
      </c>
      <c r="BU35" s="3">
        <f>IF($C$5="ON",CU35,MyRating(_D3,$B35,Efficacy!$F$1))</f>
        <v>0</v>
      </c>
      <c r="BV35" s="3">
        <f>IF($C$5="ON",CV35,MyRating(_D4,$B35,Efficacy!$F$1))</f>
        <v>0</v>
      </c>
      <c r="BW35" s="3">
        <f>IF($C$5="ON",CW35,MyRating(_B1G5,$B35,Barrier!$L$2))</f>
        <v>0</v>
      </c>
      <c r="BX35" s="3">
        <f>IF($C$5="ON",CX35,MyRating(_B2,$B35,Barrier!$F$2))</f>
        <v>0</v>
      </c>
      <c r="BY35" s="6">
        <f>IF($C$5="ON",CY35,MyRating(_B3,$B35,Barrier!$F$2))</f>
        <v>0</v>
      </c>
      <c r="BZ35" s="5">
        <f t="shared" si="9"/>
        <v>0</v>
      </c>
      <c r="CA35" s="8">
        <f t="shared" si="6"/>
        <v>0</v>
      </c>
      <c r="CB35" s="5">
        <f t="shared" si="7"/>
        <v>0</v>
      </c>
      <c r="CC35" s="7">
        <f t="shared" si="8"/>
        <v>0</v>
      </c>
      <c r="CD35" s="4">
        <v>2</v>
      </c>
      <c r="CE35" s="3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4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2</v>
      </c>
      <c r="CX35" s="3">
        <v>3</v>
      </c>
      <c r="CY35" s="6">
        <v>3</v>
      </c>
      <c r="CZ35" s="5">
        <v>3.6275844714639842E-2</v>
      </c>
    </row>
    <row r="36" spans="1:104" x14ac:dyDescent="0.25">
      <c r="A36" s="9" t="str">
        <f t="shared" si="0"/>
        <v>UK</v>
      </c>
      <c r="B36" s="9" t="s">
        <v>53</v>
      </c>
      <c r="C36" s="20"/>
      <c r="D36" s="9" t="s">
        <v>52</v>
      </c>
      <c r="E36" s="9" t="s">
        <v>186</v>
      </c>
      <c r="F36" s="9" t="str">
        <f>INDEX('Unique Asset List'!$C$4:$C$60,MATCH(B36,_CompoundList,0))</f>
        <v>Ph2a</v>
      </c>
      <c r="G36" s="19">
        <v>0</v>
      </c>
      <c r="H36" s="9">
        <v>2014</v>
      </c>
      <c r="I36" s="9">
        <v>6</v>
      </c>
      <c r="J36" s="18">
        <f>INDEX(PTRS!$D$6:$D$12,MATCH('4'!$F36,PTRS!$B$6:$B$12,0))</f>
        <v>0.1638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0.1638</v>
      </c>
      <c r="N36" s="17">
        <f>INDEX('Unique Asset List'!$D$4:$M$60,MATCH($B36,'Unique Asset List'!$A$4:$A$60,0),MATCH(N$8,'Unique Asset List'!$D$3:$M$3,0))</f>
        <v>0.1638</v>
      </c>
      <c r="O36" s="17">
        <f>INDEX('Unique Asset List'!$D$4:$M$60,MATCH($B36,'Unique Asset List'!$A$4:$A$60,0),MATCH(O$8,'Unique Asset List'!$D$3:$M$3,0))</f>
        <v>0.1638</v>
      </c>
      <c r="P36" s="17">
        <f>INDEX('Unique Asset List'!$D$4:$M$60,MATCH($B36,'Unique Asset List'!$A$4:$A$60,0),MATCH(P$8,'Unique Asset List'!$D$3:$M$3,0))</f>
        <v>0.1638</v>
      </c>
      <c r="Q36" s="17">
        <f>INDEX('Unique Asset List'!$D$4:$M$60,MATCH($B36,'Unique Asset List'!$A$4:$A$60,0),MATCH(Q$8,'Unique Asset List'!$D$3:$M$3,0))</f>
        <v>0.1638</v>
      </c>
      <c r="R36" s="17">
        <f>INDEX('Unique Asset List'!$D$4:$M$60,MATCH($B36,'Unique Asset List'!$A$4:$A$60,0),MATCH(R$8,'Unique Asset List'!$D$3:$M$3,0))</f>
        <v>0.1638</v>
      </c>
      <c r="S36" s="17">
        <f>INDEX('Unique Asset List'!$D$4:$M$60,MATCH($B36,'Unique Asset List'!$A$4:$A$60,0),MATCH(S$8,'Unique Asset List'!$D$3:$M$3,0))</f>
        <v>0</v>
      </c>
      <c r="T36" s="17"/>
      <c r="U36" s="17">
        <f t="shared" si="1"/>
        <v>0.90168566420734264</v>
      </c>
      <c r="V36" s="17">
        <v>1</v>
      </c>
      <c r="W36" s="9" t="s">
        <v>50</v>
      </c>
      <c r="X36" s="9">
        <f>INDEX('Unique Asset List'!$Y$4:$AE$60,MATCH('4'!$B36,'Unique Asset List'!$A$4:$A$60,0),MATCH('4'!$C$1,'Unique Asset List'!$Y$3:$AE$3,0))</f>
        <v>2024</v>
      </c>
      <c r="Y36" s="9">
        <f>INDEX('Unique Asset List'!$AF$4:$AL$60,MATCH('4'!$B36,'Unique Asset List'!$A$4:$A$60,0),MATCH('4'!$C$1,'Unique Asset List'!$AF$3:$AL$3,0))</f>
        <v>9</v>
      </c>
      <c r="Z36" s="9">
        <f>INDEX('Unique Asset List'!$AT$4:$AZ$60,MATCH('4'!$B36,'Unique Asset List'!$A$4:$A$60,0),MATCH('4'!$C$1,'Unique Asset List'!$AT$3:$AZ$3,0))</f>
        <v>2036</v>
      </c>
      <c r="AA36" s="9">
        <f>INDEX('Unique Asset List'!$BA$4:$BG$60,MATCH('4'!$B36,'Unique Asset List'!$A$4:$A$60,0),MATCH('4'!$C$1,'Unique Asset List'!$BA$3:$BG$3,0))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List'!$CJ$4:$CP$60,MATCH('4'!$B36,'Unique Asset List'!$A$4:$A$60,0),MATCH('4'!$C$1,'Unique Asset List'!$CJ$3:$CP$3,0))</f>
        <v>0.05</v>
      </c>
      <c r="AF36" s="15">
        <f>INDEX('Unique Asset List'!$CQ$4:$CW$60,MATCH('4'!$B36,'Unique Asset List'!$A$4:$A$60,0),MATCH('4'!$C$1,'Unique Asset List'!$CQ$3:$CW$3,0))</f>
        <v>0.45</v>
      </c>
      <c r="AG36" s="15">
        <f>INDEX('Unique Asset List'!$BV$4:$CB$60,MATCH('4'!$B36,'Unique Asset List'!$A$4:$A$60,0),MATCH('4'!$C$1,'Unique Asset List'!$BV$3:$CB$3,0))</f>
        <v>0.05</v>
      </c>
      <c r="AH36" s="15">
        <f>INDEX('Unique Asset List'!$CC$4:$CI$60,MATCH('4'!$B36,'Unique Asset List'!$A$4:$A$60,0),MATCH('4'!$C$1,'Unique Asset List'!$CC$3:$CI$3,0))</f>
        <v>0.45</v>
      </c>
      <c r="AI36" s="11">
        <v>0.96187963349867744</v>
      </c>
      <c r="AJ36" s="15">
        <f>INDEX('Unique Asset List'!$BH$4:$BN$60,MATCH('4'!$B36,'Unique Asset List'!$A$4:$A$60,0),MATCH('4'!$C$1,'Unique Asset List'!$BH$3:$BN$3,0))</f>
        <v>1.4542000570988298</v>
      </c>
      <c r="AK36" s="15">
        <f>INDEX('Unique Asset List'!$BO$4:$BU$60,MATCH('4'!$B36,'Unique Asset List'!$A$4:$A$60,0),MATCH('4'!$C$1,'Unique Asset List'!$BO$3:$BU$3,0))</f>
        <v>-0.4950056673809119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1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1</v>
      </c>
      <c r="BB36" s="181">
        <f ca="1">INDEX('Unique Asset List'!V$4:V$60,MATCH($B36,_CompoundList,0))</f>
        <v>1</v>
      </c>
      <c r="BC36" s="181">
        <f ca="1">INDEX('Unique Asset List'!W$4:W$60,MATCH($B36,_CompoundList,0))</f>
        <v>0</v>
      </c>
      <c r="BD36" s="4">
        <f>IF($C$5="ON",CD36,MyRating(_E1,$B36,Efficacy!$F$1))</f>
        <v>3</v>
      </c>
      <c r="BE36" s="3">
        <f>IF($C$5="ON",CE36,MyRating(_E2,$B36,Efficacy!$F$1))</f>
        <v>3</v>
      </c>
      <c r="BF36" s="3">
        <f>IF($C$5="ON",CF36,MyRating(_E3,$B36,Efficacy!$F$1))</f>
        <v>3</v>
      </c>
      <c r="BG36" s="3">
        <f>IF($C$5="ON",CG36,MyRating(_E4,$B36,Efficacy!$F$1))</f>
        <v>3</v>
      </c>
      <c r="BH36" s="3">
        <f>IF($C$5="ON",CH36,MyRating(_E5,$B36,Efficacy!$F$1))</f>
        <v>3</v>
      </c>
      <c r="BI36" s="3">
        <f>IF($C$5="ON",CI36,MyRating(_E6,$B36,Efficacy!$F$1))</f>
        <v>3</v>
      </c>
      <c r="BJ36" s="3">
        <f>IF($C$5="ON",CJ36,MyRating(_E7,$B36,Efficacy!$F$1))</f>
        <v>3</v>
      </c>
      <c r="BK36" s="3">
        <f>IF($C$5="ON",CK36,MyRating(_E8,$B36,Efficacy!$F$1))</f>
        <v>3</v>
      </c>
      <c r="BL36" s="3">
        <f>IF($C$5="ON",CL36,MyRating(_S1,$B36,Efficacy!$F$1))</f>
        <v>3</v>
      </c>
      <c r="BM36" s="3">
        <f>IF($C$5="ON",CM36,MyRating(_S2,$B36,Efficacy!$F$1))</f>
        <v>3</v>
      </c>
      <c r="BN36" s="3">
        <f>IF($C$5="ON",CN36,MyRating(_S3,$B36,Efficacy!$F$1))</f>
        <v>3</v>
      </c>
      <c r="BO36" s="3">
        <f>IF($C$5="ON",CO36,MyRating(_S4,$B36,Efficacy!$F$1))</f>
        <v>3</v>
      </c>
      <c r="BP36" s="3">
        <f>IF($C$5="ON",CP36,MyRating(_S5,$B36,Efficacy!$F$1))</f>
        <v>3</v>
      </c>
      <c r="BQ36" s="3">
        <f>IF($C$5="ON",CQ36,MyRating(_S6,$B36,Efficacy!$F$1))</f>
        <v>3</v>
      </c>
      <c r="BR36" s="3">
        <f>IF($C$5="ON",CR36,MyRating(_S7,$B36,Efficacy!$F$1))</f>
        <v>3</v>
      </c>
      <c r="BS36" s="3">
        <f>IF($C$5="ON",CS36,MyRating(_D1,$B36,Efficacy!$F$1))</f>
        <v>3</v>
      </c>
      <c r="BT36" s="3">
        <f>IF($C$5="ON",CT36,MyRating(_D2,$B36,Efficacy!$F$1))</f>
        <v>3</v>
      </c>
      <c r="BU36" s="3">
        <f>IF($C$5="ON",CU36,MyRating(_D3,$B36,Efficacy!$F$1))</f>
        <v>3</v>
      </c>
      <c r="BV36" s="3">
        <f>IF($C$5="ON",CV36,MyRating(_D4,$B36,Efficacy!$F$1))</f>
        <v>3</v>
      </c>
      <c r="BW36" s="3">
        <f>IF($C$5="ON",CW36,MyRating(_B1G5,$B36,Barrier!$L$2))</f>
        <v>2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9"/>
        <v>3.3407946312985805E-2</v>
      </c>
      <c r="CA36" s="8">
        <f t="shared" si="6"/>
        <v>2.8000000000000003</v>
      </c>
      <c r="CB36" s="5">
        <f t="shared" si="7"/>
        <v>3.2941176470588251E-2</v>
      </c>
      <c r="CC36" s="7">
        <f t="shared" si="8"/>
        <v>5.9787261089987885E-3</v>
      </c>
      <c r="CD36" s="4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2</v>
      </c>
      <c r="CX36" s="3">
        <v>3</v>
      </c>
      <c r="CY36" s="6">
        <v>3</v>
      </c>
      <c r="CZ36" s="5">
        <v>3.6275844714639842E-2</v>
      </c>
    </row>
    <row r="37" spans="1:104" x14ac:dyDescent="0.25">
      <c r="A37" s="9" t="str">
        <f t="shared" si="0"/>
        <v>UK</v>
      </c>
      <c r="B37" s="9" t="s">
        <v>45</v>
      </c>
      <c r="C37" s="20"/>
      <c r="D37" s="9" t="s">
        <v>44</v>
      </c>
      <c r="E37" s="9" t="s">
        <v>186</v>
      </c>
      <c r="F37" s="9" t="str">
        <f>INDEX('Unique Asset List'!$C$4:$C$60,MATCH(B37,_CompoundList,0))</f>
        <v>Ph2b</v>
      </c>
      <c r="G37" s="19">
        <v>0</v>
      </c>
      <c r="H37" s="9">
        <v>2014</v>
      </c>
      <c r="I37" s="9">
        <v>6</v>
      </c>
      <c r="J37" s="18">
        <f>INDEX(PTRS!$D$6:$D$12,MATCH('4'!$F37,PTRS!$B$6:$B$12,0))</f>
        <v>0.40949999999999998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0.40949999999999998</v>
      </c>
      <c r="N37" s="17">
        <f>INDEX('Unique Asset List'!$D$4:$M$60,MATCH($B37,'Unique Asset List'!$A$4:$A$60,0),MATCH(N$8,'Unique Asset List'!$D$3:$M$3,0))</f>
        <v>0.59</v>
      </c>
      <c r="O37" s="17">
        <f>INDEX('Unique Asset List'!$D$4:$M$60,MATCH($B37,'Unique Asset List'!$A$4:$A$60,0),MATCH(O$8,'Unique Asset List'!$D$3:$M$3,0))</f>
        <v>0.59</v>
      </c>
      <c r="P37" s="17">
        <f>INDEX('Unique Asset List'!$D$4:$M$60,MATCH($B37,'Unique Asset List'!$A$4:$A$60,0),MATCH(P$8,'Unique Asset List'!$D$3:$M$3,0))</f>
        <v>0.59</v>
      </c>
      <c r="Q37" s="17">
        <f>INDEX('Unique Asset List'!$D$4:$M$60,MATCH($B37,'Unique Asset List'!$A$4:$A$60,0),MATCH(Q$8,'Unique Asset List'!$D$3:$M$3,0))</f>
        <v>0.59</v>
      </c>
      <c r="R37" s="17">
        <f>INDEX('Unique Asset List'!$D$4:$M$60,MATCH($B37,'Unique Asset List'!$A$4:$A$60,0),MATCH(R$8,'Unique Asset List'!$D$3:$M$3,0))</f>
        <v>0.59</v>
      </c>
      <c r="S37" s="17">
        <f>INDEX('Unique Asset List'!$D$4:$M$60,MATCH($B37,'Unique Asset List'!$A$4:$A$60,0),MATCH(S$8,'Unique Asset List'!$D$3:$M$3,0))</f>
        <v>1</v>
      </c>
      <c r="T37" s="17"/>
      <c r="U37" s="17">
        <f t="shared" si="1"/>
        <v>0.80682275808442805</v>
      </c>
      <c r="V37" s="17">
        <f>5*7/Simulation!G5</f>
        <v>0.17857142857142858</v>
      </c>
      <c r="W37" s="9" t="s">
        <v>42</v>
      </c>
      <c r="X37" s="9">
        <f>INDEX('Unique Asset List'!$Y$4:$AE$60,MATCH('4'!$B37,'Unique Asset List'!$A$4:$A$60,0),MATCH('4'!$C$1,'Unique Asset List'!$Y$3:$AE$3,0))</f>
        <v>2024</v>
      </c>
      <c r="Y37" s="9">
        <f>INDEX('Unique Asset List'!$AF$4:$AL$60,MATCH('4'!$B37,'Unique Asset List'!$A$4:$A$60,0),MATCH('4'!$C$1,'Unique Asset List'!$AF$3:$AL$3,0))</f>
        <v>0.99999999999909051</v>
      </c>
      <c r="Z37" s="9">
        <f>INDEX('Unique Asset List'!$AT$4:$AZ$60,MATCH('4'!$B37,'Unique Asset List'!$A$4:$A$60,0),MATCH('4'!$C$1,'Unique Asset List'!$AT$3:$AZ$3,0))</f>
        <v>2035</v>
      </c>
      <c r="AA37" s="9">
        <f>INDEX('Unique Asset List'!$BA$4:$BG$60,MATCH('4'!$B37,'Unique Asset List'!$A$4:$A$60,0),MATCH('4'!$C$1,'Unique Asset List'!$BA$3:$BG$3,0))</f>
        <v>1</v>
      </c>
      <c r="AB37" s="16">
        <f t="shared" si="2"/>
        <v>2.1065446000000003</v>
      </c>
      <c r="AC37" s="16">
        <f t="shared" si="3"/>
        <v>0.86040290000000008</v>
      </c>
      <c r="AD37" s="16">
        <f t="shared" si="4"/>
        <v>0.56099999999999994</v>
      </c>
      <c r="AE37" s="15">
        <f>INDEX('Unique Asset List'!$CJ$4:$CP$60,MATCH('4'!$B37,'Unique Asset List'!$A$4:$A$60,0),MATCH('4'!$C$1,'Unique Asset List'!$CJ$3:$CP$3,0))</f>
        <v>0.05</v>
      </c>
      <c r="AF37" s="15">
        <f>INDEX('Unique Asset List'!$CQ$4:$CW$60,MATCH('4'!$B37,'Unique Asset List'!$A$4:$A$60,0),MATCH('4'!$C$1,'Unique Asset List'!$CQ$3:$CW$3,0))</f>
        <v>0.45</v>
      </c>
      <c r="AG37" s="15">
        <f>INDEX('Unique Asset List'!$BV$4:$CB$60,MATCH('4'!$B37,'Unique Asset List'!$A$4:$A$60,0),MATCH('4'!$C$1,'Unique Asset List'!$BV$3:$CB$3,0))</f>
        <v>0.05</v>
      </c>
      <c r="AH37" s="15">
        <f>INDEX('Unique Asset List'!$CC$4:$CI$60,MATCH('4'!$B37,'Unique Asset List'!$A$4:$A$60,0),MATCH('4'!$C$1,'Unique Asset List'!$CC$3:$CI$3,0))</f>
        <v>0.45</v>
      </c>
      <c r="AI37" s="11">
        <v>0.96187963349867744</v>
      </c>
      <c r="AJ37" s="15">
        <f>INDEX('Unique Asset List'!$BH$4:$BN$60,MATCH('4'!$B37,'Unique Asset List'!$A$4:$A$60,0),MATCH('4'!$C$1,'Unique Asset List'!$BH$3:$BN$3,0))</f>
        <v>1.4542000570988298</v>
      </c>
      <c r="AK37" s="15">
        <f>INDEX('Unique Asset List'!$BO$4:$BU$60,MATCH('4'!$B37,'Unique Asset List'!$A$4:$A$60,0),MATCH('4'!$C$1,'Unique Asset List'!$BO$3:$BU$3,0))</f>
        <v>-0.4950056673809119</v>
      </c>
      <c r="AL37" s="40">
        <v>35</v>
      </c>
      <c r="AM37" s="14">
        <f>3.5*365*0.8/AL37</f>
        <v>29.2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0</v>
      </c>
      <c r="BA37" s="181">
        <f ca="1">INDEX('Unique Asset List'!U$4:U$60,MATCH($B37,_CompoundList,0))</f>
        <v>0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4</v>
      </c>
      <c r="BF37" s="3">
        <f>IF($C$5="ON",CF37,MyRating(_E3,$B37,Efficacy!$F$1))</f>
        <v>4</v>
      </c>
      <c r="BG37" s="3">
        <f>IF($C$5="ON",CG37,MyRating(_E4,$B37,Efficacy!$F$1))</f>
        <v>2</v>
      </c>
      <c r="BH37" s="3">
        <f>IF($C$5="ON",CH37,MyRating(_E5,$B37,Efficacy!$F$1))</f>
        <v>4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5</v>
      </c>
      <c r="BL37" s="3">
        <f>IF($C$5="ON",CL37,MyRating(_S1,$B37,Efficacy!$F$1))</f>
        <v>4</v>
      </c>
      <c r="BM37" s="3">
        <f>IF($C$5="ON",CM37,MyRating(_S2,$B37,Efficacy!$F$1))</f>
        <v>3</v>
      </c>
      <c r="BN37" s="3">
        <f>IF($C$5="ON",CN37,MyRating(_S3,$B37,Efficacy!$F$1))</f>
        <v>3</v>
      </c>
      <c r="BO37" s="3">
        <f>IF($C$5="ON",CO37,MyRating(_S4,$B37,Efficacy!$F$1))</f>
        <v>3</v>
      </c>
      <c r="BP37" s="3">
        <f>IF($C$5="ON",CP37,MyRating(_S5,$B37,Efficacy!$F$1))</f>
        <v>4</v>
      </c>
      <c r="BQ37" s="3">
        <f>IF($C$5="ON",CQ37,MyRating(_S6,$B37,Efficacy!$F$1))</f>
        <v>3</v>
      </c>
      <c r="BR37" s="3">
        <f>IF($C$5="ON",CR37,MyRating(_S7,$B37,Efficacy!$F$1))</f>
        <v>3</v>
      </c>
      <c r="BS37" s="3">
        <f>IF($C$5="ON",CS37,MyRating(_D1,$B37,Efficacy!$F$1))</f>
        <v>3</v>
      </c>
      <c r="BT37" s="3">
        <f>IF($C$5="ON",CT37,MyRating(_D2,$B37,Efficacy!$F$1))</f>
        <v>3</v>
      </c>
      <c r="BU37" s="3">
        <f>IF($C$5="ON",CU37,MyRating(_D3,$B37,Efficacy!$F$1))</f>
        <v>3</v>
      </c>
      <c r="BV37" s="3">
        <f>IF($C$5="ON",CV37,MyRating(_D4,$B37,Efficacy!$F$1))</f>
        <v>3</v>
      </c>
      <c r="BW37" s="3">
        <f>IF($C$5="ON",CW37,MyRating(_B1G5,$B37,Barrier!$L$2))</f>
        <v>1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9"/>
        <v>2.9893223831915738E-2</v>
      </c>
      <c r="CA37" s="8">
        <f t="shared" si="6"/>
        <v>2.6000000000000005</v>
      </c>
      <c r="CB37" s="5">
        <f t="shared" si="7"/>
        <v>3.058823529411767E-2</v>
      </c>
      <c r="CC37" s="7">
        <f t="shared" si="8"/>
        <v>5.3497271616647964E-3</v>
      </c>
      <c r="CD37" s="4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6">
        <v>0</v>
      </c>
      <c r="CZ37" s="5">
        <v>0</v>
      </c>
    </row>
    <row r="38" spans="1:104" x14ac:dyDescent="0.25">
      <c r="A38" s="9" t="str">
        <f t="shared" si="0"/>
        <v>UK</v>
      </c>
      <c r="B38" s="9" t="s">
        <v>41</v>
      </c>
      <c r="C38" s="20"/>
      <c r="D38" s="9" t="s">
        <v>187</v>
      </c>
      <c r="E38" s="9" t="s">
        <v>186</v>
      </c>
      <c r="F38" s="9" t="str">
        <f>INDEX('Unique Asset List'!$C$4:$C$60,MATCH(B38,_CompoundList,0))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INDEX(PTRS!$D$6:$D$12,MATCH('4'!$F38,PTRS!$B$6:$B$12,0))</f>
        <v>0.1044225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0.1044225</v>
      </c>
      <c r="N38" s="17">
        <f>INDEX('Unique Asset List'!$D$4:$M$60,MATCH($B38,'Unique Asset List'!$A$4:$A$60,0),MATCH(N$8,'Unique Asset List'!$D$3:$M$3,0))</f>
        <v>0.1044225</v>
      </c>
      <c r="O38" s="17">
        <f>INDEX('Unique Asset List'!$D$4:$M$60,MATCH($B38,'Unique Asset List'!$A$4:$A$60,0),MATCH(O$8,'Unique Asset List'!$D$3:$M$3,0))</f>
        <v>0.1044225</v>
      </c>
      <c r="P38" s="17">
        <f>INDEX('Unique Asset List'!$D$4:$M$60,MATCH($B38,'Unique Asset List'!$A$4:$A$60,0),MATCH(P$8,'Unique Asset List'!$D$3:$M$3,0))</f>
        <v>0.1044225</v>
      </c>
      <c r="Q38" s="17">
        <f>INDEX('Unique Asset List'!$D$4:$M$60,MATCH($B38,'Unique Asset List'!$A$4:$A$60,0),MATCH(Q$8,'Unique Asset List'!$D$3:$M$3,0))</f>
        <v>0.1044225</v>
      </c>
      <c r="R38" s="17">
        <f>INDEX('Unique Asset List'!$D$4:$M$60,MATCH($B38,'Unique Asset List'!$A$4:$A$60,0),MATCH(R$8,'Unique Asset List'!$D$3:$M$3,0))</f>
        <v>0.1044225</v>
      </c>
      <c r="S38" s="17">
        <f>INDEX('Unique Asset List'!$D$4:$M$60,MATCH($B38,'Unique Asset List'!$A$4:$A$60,0),MATCH(S$8,'Unique Asset List'!$D$3:$M$3,0))</f>
        <v>0</v>
      </c>
      <c r="T38" s="17" t="s">
        <v>39</v>
      </c>
      <c r="U38" s="17">
        <f t="shared" si="1"/>
        <v>0.90168566420734264</v>
      </c>
      <c r="V38" s="17">
        <v>1</v>
      </c>
      <c r="W38" s="57" t="s">
        <v>38</v>
      </c>
      <c r="X38" s="9">
        <f>INDEX('Unique Asset List'!$Y$4:$AE$60,MATCH('4'!$B38,'Unique Asset List'!$A$4:$A$60,0),MATCH('4'!$C$1,'Unique Asset List'!$Y$3:$AE$3,0))</f>
        <v>2028</v>
      </c>
      <c r="Y38" s="9">
        <f>INDEX('Unique Asset List'!$AF$4:$AL$60,MATCH('4'!$B38,'Unique Asset List'!$A$4:$A$60,0),MATCH('4'!$C$1,'Unique Asset List'!$AF$3:$AL$3,0))</f>
        <v>3</v>
      </c>
      <c r="Z38" s="9">
        <f>INDEX('Unique Asset List'!$AT$4:$AZ$60,MATCH('4'!$B38,'Unique Asset List'!$A$4:$A$60,0),MATCH('4'!$C$1,'Unique Asset List'!$AT$3:$AZ$3,0))</f>
        <v>2038</v>
      </c>
      <c r="AA38" s="9">
        <f>INDEX('Unique Asset List'!$BA$4:$BG$60,MATCH('4'!$B38,'Unique Asset List'!$A$4:$A$60,0),MATCH('4'!$C$1,'Unique Asset List'!$BA$3:$BG$3,0))</f>
        <v>3</v>
      </c>
      <c r="AB38" s="16">
        <f>AB20</f>
        <v>2.1511674000000003</v>
      </c>
      <c r="AC38" s="16">
        <f>AC20</f>
        <v>0.95118959999999997</v>
      </c>
      <c r="AD38" s="16">
        <f>AD20</f>
        <v>0.56099999999999994</v>
      </c>
      <c r="AE38" s="15">
        <f>INDEX('Unique Asset List'!$CJ$4:$CP$60,MATCH('4'!$B38,'Unique Asset List'!$A$4:$A$60,0),MATCH('4'!$C$1,'Unique Asset List'!$CJ$3:$CP$3,0))</f>
        <v>0.05</v>
      </c>
      <c r="AF38" s="15">
        <f>INDEX('Unique Asset List'!$CQ$4:$CW$60,MATCH('4'!$B38,'Unique Asset List'!$A$4:$A$60,0),MATCH('4'!$C$1,'Unique Asset List'!$CQ$3:$CW$3,0))</f>
        <v>0.45</v>
      </c>
      <c r="AG38" s="15">
        <f>INDEX('Unique Asset List'!$BV$4:$CB$60,MATCH('4'!$B38,'Unique Asset List'!$A$4:$A$60,0),MATCH('4'!$C$1,'Unique Asset List'!$BV$3:$CB$3,0))</f>
        <v>0.05</v>
      </c>
      <c r="AH38" s="15">
        <f>INDEX('Unique Asset List'!$CC$4:$CI$60,MATCH('4'!$B38,'Unique Asset List'!$A$4:$A$60,0),MATCH('4'!$C$1,'Unique Asset List'!$CC$3:$CI$3,0))</f>
        <v>0.45</v>
      </c>
      <c r="AI38" s="11">
        <v>0.96187963349867744</v>
      </c>
      <c r="AJ38" s="15">
        <f>INDEX('Unique Asset List'!$BH$4:$BN$60,MATCH('4'!$B38,'Unique Asset List'!$A$4:$A$60,0),MATCH('4'!$C$1,'Unique Asset List'!$BH$3:$BN$3,0))</f>
        <v>1.4542000570988298</v>
      </c>
      <c r="AK38" s="15">
        <f>INDEX('Unique Asset List'!$BO$4:$BU$60,MATCH('4'!$B38,'Unique Asset List'!$A$4:$A$60,0),MATCH('4'!$C$1,'Unique Asset List'!$BO$3:$BU$3,0))</f>
        <v>-0.4950056673809119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0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0</v>
      </c>
      <c r="BB38" s="181">
        <f ca="1">INDEX('Unique Asset List'!V$4:V$60,MATCH($B38,_CompoundList,0))</f>
        <v>0</v>
      </c>
      <c r="BC38" s="181">
        <f ca="1">INDEX('Unique Asset List'!W$4:W$60,MATCH($B38,_CompoundList,0))</f>
        <v>0</v>
      </c>
      <c r="BD38" s="4">
        <f>IF($C$5="ON",CD38,MyRating(_E1,$B38,Efficacy!$F$1))</f>
        <v>0</v>
      </c>
      <c r="BE38" s="3">
        <f>IF($C$5="ON",CE38,MyRating(_E2,$B38,Efficacy!$F$1))</f>
        <v>0</v>
      </c>
      <c r="BF38" s="3">
        <f>IF($C$5="ON",CF38,MyRating(_E3,$B38,Efficacy!$F$1))</f>
        <v>0</v>
      </c>
      <c r="BG38" s="3">
        <f>IF($C$5="ON",CG38,MyRating(_E4,$B38,Efficacy!$F$1))</f>
        <v>0</v>
      </c>
      <c r="BH38" s="3">
        <f>IF($C$5="ON",CH38,MyRating(_E5,$B38,Efficacy!$F$1))</f>
        <v>0</v>
      </c>
      <c r="BI38" s="3">
        <f>IF($C$5="ON",CI38,MyRating(_E6,$B38,Efficacy!$F$1))</f>
        <v>0</v>
      </c>
      <c r="BJ38" s="3">
        <f>IF($C$5="ON",CJ38,MyRating(_E7,$B38,Efficacy!$F$1))</f>
        <v>0</v>
      </c>
      <c r="BK38" s="3">
        <f>IF($C$5="ON",CK38,MyRating(_E8,$B38,Efficacy!$F$1))</f>
        <v>0</v>
      </c>
      <c r="BL38" s="3">
        <f>IF($C$5="ON",CL38,MyRating(_S1,$B38,Efficacy!$F$1))</f>
        <v>0</v>
      </c>
      <c r="BM38" s="3">
        <f>IF($C$5="ON",CM38,MyRating(_S2,$B38,Efficacy!$F$1))</f>
        <v>0</v>
      </c>
      <c r="BN38" s="3">
        <f>IF($C$5="ON",CN38,MyRating(_S3,$B38,Efficacy!$F$1))</f>
        <v>0</v>
      </c>
      <c r="BO38" s="3">
        <f>IF($C$5="ON",CO38,MyRating(_S4,$B38,Efficacy!$F$1))</f>
        <v>0</v>
      </c>
      <c r="BP38" s="3">
        <f>IF($C$5="ON",CP38,MyRating(_S5,$B38,Efficacy!$F$1))</f>
        <v>0</v>
      </c>
      <c r="BQ38" s="3">
        <f>IF($C$5="ON",CQ38,MyRating(_S6,$B38,Efficacy!$F$1))</f>
        <v>0</v>
      </c>
      <c r="BR38" s="3">
        <f>IF($C$5="ON",CR38,MyRating(_S7,$B38,Efficacy!$F$1))</f>
        <v>0</v>
      </c>
      <c r="BS38" s="3">
        <f>IF($C$5="ON",CS38,MyRating(_D1,$B38,Efficacy!$F$1))</f>
        <v>0</v>
      </c>
      <c r="BT38" s="3">
        <f>IF($C$5="ON",CT38,MyRating(_D2,$B38,Efficacy!$F$1))</f>
        <v>0</v>
      </c>
      <c r="BU38" s="3">
        <f>IF($C$5="ON",CU38,MyRating(_D3,$B38,Efficacy!$F$1))</f>
        <v>0</v>
      </c>
      <c r="BV38" s="3">
        <f>IF($C$5="ON",CV38,MyRating(_D4,$B38,Efficacy!$F$1))</f>
        <v>0</v>
      </c>
      <c r="BW38" s="3">
        <f>IF($C$5="ON",CW38,MyRating(_B1G5,$B38,Barrier!$L$2))</f>
        <v>2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9"/>
        <v>3.3407946312985805E-2</v>
      </c>
      <c r="CA38" s="8">
        <f t="shared" si="6"/>
        <v>2.8000000000000003</v>
      </c>
      <c r="CB38" s="5">
        <f t="shared" si="7"/>
        <v>3.2941176470588251E-2</v>
      </c>
      <c r="CC38" s="7">
        <f t="shared" si="8"/>
        <v>5.9787261089987885E-3</v>
      </c>
      <c r="CD38" s="4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6">
        <v>0</v>
      </c>
      <c r="CZ38" s="5">
        <v>0</v>
      </c>
    </row>
    <row r="39" spans="1:104" x14ac:dyDescent="0.25">
      <c r="A39" s="9" t="str">
        <f t="shared" si="0"/>
        <v>UK</v>
      </c>
      <c r="B39" s="9" t="s">
        <v>37</v>
      </c>
      <c r="C39" s="20"/>
      <c r="D39" s="9" t="s">
        <v>36</v>
      </c>
      <c r="E39" s="9" t="s">
        <v>186</v>
      </c>
      <c r="F39" s="9" t="str">
        <f>INDEX('Unique Asset List'!$C$4:$C$60,MATCH(B39,_CompoundList,0))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INDEX(PTRS!$D$6:$D$12,MATCH('4'!$F39,PTRS!$B$6:$B$12,0))</f>
        <v>0.1044225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v>0.1044225</v>
      </c>
      <c r="N39" s="17">
        <f>INDEX('Unique Asset List'!$D$4:$M$60,MATCH($B39,'Unique Asset List'!$A$4:$A$60,0),MATCH(N$8,'Unique Asset List'!$D$3:$M$3,0))</f>
        <v>0.1044225</v>
      </c>
      <c r="O39" s="17">
        <f>INDEX('Unique Asset List'!$D$4:$M$60,MATCH($B39,'Unique Asset List'!$A$4:$A$60,0),MATCH(O$8,'Unique Asset List'!$D$3:$M$3,0))</f>
        <v>0.1044225</v>
      </c>
      <c r="P39" s="17">
        <f>INDEX('Unique Asset List'!$D$4:$M$60,MATCH($B39,'Unique Asset List'!$A$4:$A$60,0),MATCH(P$8,'Unique Asset List'!$D$3:$M$3,0))</f>
        <v>0.1044225</v>
      </c>
      <c r="Q39" s="17">
        <f>INDEX('Unique Asset List'!$D$4:$M$60,MATCH($B39,'Unique Asset List'!$A$4:$A$60,0),MATCH(Q$8,'Unique Asset List'!$D$3:$M$3,0))</f>
        <v>0.1044225</v>
      </c>
      <c r="R39" s="17">
        <f>INDEX('Unique Asset List'!$D$4:$M$60,MATCH($B39,'Unique Asset List'!$A$4:$A$60,0),MATCH(R$8,'Unique Asset List'!$D$3:$M$3,0))</f>
        <v>0.1044225</v>
      </c>
      <c r="S39" s="17">
        <f>INDEX('Unique Asset List'!$D$4:$M$60,MATCH($B39,'Unique Asset List'!$A$4:$A$60,0),MATCH(S$8,'Unique Asset List'!$D$3:$M$3,0))</f>
        <v>0</v>
      </c>
      <c r="T39" s="17" t="s">
        <v>35</v>
      </c>
      <c r="U39" s="17">
        <f t="shared" si="1"/>
        <v>0.90168566420734264</v>
      </c>
      <c r="V39" s="17">
        <v>1</v>
      </c>
      <c r="W39" s="9" t="s">
        <v>34</v>
      </c>
      <c r="X39" s="9">
        <f>INDEX('Unique Asset List'!$Y$4:$AE$60,MATCH('4'!$B39,'Unique Asset List'!$A$4:$A$60,0),MATCH('4'!$C$1,'Unique Asset List'!$Y$3:$AE$3,0))</f>
        <v>2033</v>
      </c>
      <c r="Y39" s="9">
        <f>INDEX('Unique Asset List'!$AF$4:$AL$60,MATCH('4'!$B39,'Unique Asset List'!$A$4:$A$60,0),MATCH('4'!$C$1,'Unique Asset List'!$AF$3:$AL$3,0))</f>
        <v>2.0000000000009095</v>
      </c>
      <c r="Z39" s="9">
        <f>INDEX('Unique Asset List'!$AT$4:$AZ$60,MATCH('4'!$B39,'Unique Asset List'!$A$4:$A$60,0),MATCH('4'!$C$1,'Unique Asset List'!$AT$3:$AZ$3,0))</f>
        <v>2043</v>
      </c>
      <c r="AA39" s="9">
        <f>INDEX('Unique Asset List'!$BA$4:$BG$60,MATCH('4'!$B39,'Unique Asset List'!$A$4:$A$60,0),MATCH('4'!$C$1,'Unique Asset List'!$BA$3:$BG$3,0))</f>
        <v>2</v>
      </c>
      <c r="AB39" s="16">
        <f>AB28</f>
        <v>2.0681600000000007</v>
      </c>
      <c r="AC39" s="16">
        <f>AC28</f>
        <v>0.94137550000000003</v>
      </c>
      <c r="AD39" s="16">
        <f>AD28</f>
        <v>0.56099999999999994</v>
      </c>
      <c r="AE39" s="15">
        <f>INDEX('Unique Asset List'!$CJ$4:$CP$60,MATCH('4'!$B39,'Unique Asset List'!$A$4:$A$60,0),MATCH('4'!$C$1,'Unique Asset List'!$CJ$3:$CP$3,0))</f>
        <v>0.05</v>
      </c>
      <c r="AF39" s="15">
        <f>INDEX('Unique Asset List'!$CQ$4:$CW$60,MATCH('4'!$B39,'Unique Asset List'!$A$4:$A$60,0),MATCH('4'!$C$1,'Unique Asset List'!$CQ$3:$CW$3,0))</f>
        <v>0.45</v>
      </c>
      <c r="AG39" s="15">
        <f>INDEX('Unique Asset List'!$BV$4:$CB$60,MATCH('4'!$B39,'Unique Asset List'!$A$4:$A$60,0),MATCH('4'!$C$1,'Unique Asset List'!$BV$3:$CB$3,0))</f>
        <v>0.05</v>
      </c>
      <c r="AH39" s="15">
        <f>INDEX('Unique Asset List'!$CC$4:$CI$60,MATCH('4'!$B39,'Unique Asset List'!$A$4:$A$60,0),MATCH('4'!$C$1,'Unique Asset List'!$CC$3:$CI$3,0))</f>
        <v>0.45</v>
      </c>
      <c r="AI39" s="11">
        <v>0.96187963349867744</v>
      </c>
      <c r="AJ39" s="15">
        <f>INDEX('Unique Asset List'!$BH$4:$BN$60,MATCH('4'!$B39,'Unique Asset List'!$A$4:$A$60,0),MATCH('4'!$C$1,'Unique Asset List'!$BH$3:$BN$3,0))</f>
        <v>1.4542000570988298</v>
      </c>
      <c r="AK39" s="15">
        <f>INDEX('Unique Asset List'!$BO$4:$BU$60,MATCH('4'!$B39,'Unique Asset List'!$A$4:$A$60,0),MATCH('4'!$C$1,'Unique Asset List'!$BO$3:$BU$3,0))</f>
        <v>-0.4950056673809119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1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0</v>
      </c>
      <c r="BA39" s="181">
        <f ca="1">INDEX('Unique Asset List'!U$4:U$60,MATCH($B39,_CompoundList,0))</f>
        <v>0</v>
      </c>
      <c r="BB39" s="181">
        <f ca="1">INDEX('Unique Asset List'!V$4:V$60,MATCH($B39,_CompoundList,0))</f>
        <v>0</v>
      </c>
      <c r="BC39" s="181">
        <f ca="1">INDEX('Unique Asset List'!W$4:W$60,MATCH($B39,_CompoundList,0))</f>
        <v>0</v>
      </c>
      <c r="BD39" s="4">
        <f>IF($C$5="ON",CD39,MyRating(_E1,$B39,Efficacy!$F$1))</f>
        <v>0</v>
      </c>
      <c r="BE39" s="3">
        <f>IF($C$5="ON",CE39,MyRating(_E2,$B39,Efficacy!$F$1))</f>
        <v>0</v>
      </c>
      <c r="BF39" s="3">
        <f>IF($C$5="ON",CF39,MyRating(_E3,$B39,Efficacy!$F$1))</f>
        <v>0</v>
      </c>
      <c r="BG39" s="3">
        <f>IF($C$5="ON",CG39,MyRating(_E4,$B39,Efficacy!$F$1))</f>
        <v>0</v>
      </c>
      <c r="BH39" s="3">
        <f>IF($C$5="ON",CH39,MyRating(_E5,$B39,Efficacy!$F$1))</f>
        <v>0</v>
      </c>
      <c r="BI39" s="3">
        <f>IF($C$5="ON",CI39,MyRating(_E6,$B39,Efficacy!$F$1))</f>
        <v>0</v>
      </c>
      <c r="BJ39" s="3">
        <f>IF($C$5="ON",CJ39,MyRating(_E7,$B39,Efficacy!$F$1))</f>
        <v>0</v>
      </c>
      <c r="BK39" s="3">
        <f>IF($C$5="ON",CK39,MyRating(_E8,$B39,Efficacy!$F$1))</f>
        <v>0</v>
      </c>
      <c r="BL39" s="3">
        <f>IF($C$5="ON",CL39,MyRating(_S1,$B39,Efficacy!$F$1))</f>
        <v>0</v>
      </c>
      <c r="BM39" s="3">
        <f>IF($C$5="ON",CM39,MyRating(_S2,$B39,Efficacy!$F$1))</f>
        <v>0</v>
      </c>
      <c r="BN39" s="3">
        <f>IF($C$5="ON",CN39,MyRating(_S3,$B39,Efficacy!$F$1))</f>
        <v>0</v>
      </c>
      <c r="BO39" s="3">
        <f>IF($C$5="ON",CO39,MyRating(_S4,$B39,Efficacy!$F$1))</f>
        <v>0</v>
      </c>
      <c r="BP39" s="3">
        <f>IF($C$5="ON",CP39,MyRating(_S5,$B39,Efficacy!$F$1))</f>
        <v>0</v>
      </c>
      <c r="BQ39" s="3">
        <f>IF($C$5="ON",CQ39,MyRating(_S6,$B39,Efficacy!$F$1))</f>
        <v>0</v>
      </c>
      <c r="BR39" s="3">
        <f>IF($C$5="ON",CR39,MyRating(_S7,$B39,Efficacy!$F$1))</f>
        <v>0</v>
      </c>
      <c r="BS39" s="3">
        <f>IF($C$5="ON",CS39,MyRating(_D1,$B39,Efficacy!$F$1))</f>
        <v>0</v>
      </c>
      <c r="BT39" s="3">
        <f>IF($C$5="ON",CT39,MyRating(_D2,$B39,Efficacy!$F$1))</f>
        <v>0</v>
      </c>
      <c r="BU39" s="3">
        <f>IF($C$5="ON",CU39,MyRating(_D3,$B39,Efficacy!$F$1))</f>
        <v>0</v>
      </c>
      <c r="BV39" s="3">
        <f>IF($C$5="ON",CV39,MyRating(_D4,$B39,Efficacy!$F$1))</f>
        <v>0</v>
      </c>
      <c r="BW39" s="3">
        <f>IF($C$5="ON",CW39,MyRating(_B1G5,$B39,Barrier!$L$2))</f>
        <v>2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9"/>
        <v>3.3407946312985805E-2</v>
      </c>
      <c r="CA39" s="8">
        <f t="shared" si="6"/>
        <v>2.8000000000000003</v>
      </c>
      <c r="CB39" s="5">
        <f t="shared" si="7"/>
        <v>3.2941176470588251E-2</v>
      </c>
      <c r="CC39" s="7">
        <f t="shared" si="8"/>
        <v>5.9787261089987885E-3</v>
      </c>
      <c r="CD39" s="4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6">
        <v>0</v>
      </c>
      <c r="CZ39" s="5">
        <v>0</v>
      </c>
    </row>
    <row r="40" spans="1:104" x14ac:dyDescent="0.25">
      <c r="A40" s="9" t="str">
        <f t="shared" si="0"/>
        <v>UK</v>
      </c>
      <c r="B40" s="9" t="s">
        <v>33</v>
      </c>
      <c r="C40" s="20"/>
      <c r="D40" s="9" t="s">
        <v>32</v>
      </c>
      <c r="E40" s="9" t="s">
        <v>186</v>
      </c>
      <c r="F40" s="9" t="str">
        <f>INDEX('Unique Asset List'!$C$4:$C$60,MATCH(B40,_CompoundList,0))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INDEX(PTRS!$D$6:$D$12,MATCH('4'!$F40,PTRS!$B$6:$B$12,0))</f>
        <v>0.1044225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7">
        <v>0.1044225</v>
      </c>
      <c r="N40" s="17">
        <f>INDEX('Unique Asset List'!$D$4:$M$60,MATCH($B40,'Unique Asset List'!$A$4:$A$60,0),MATCH(N$8,'Unique Asset List'!$D$3:$M$3,0))</f>
        <v>0.1044225</v>
      </c>
      <c r="O40" s="17">
        <f>INDEX('Unique Asset List'!$D$4:$M$60,MATCH($B40,'Unique Asset List'!$A$4:$A$60,0),MATCH(O$8,'Unique Asset List'!$D$3:$M$3,0))</f>
        <v>0.1044225</v>
      </c>
      <c r="P40" s="17">
        <f>INDEX('Unique Asset List'!$D$4:$M$60,MATCH($B40,'Unique Asset List'!$A$4:$A$60,0),MATCH(P$8,'Unique Asset List'!$D$3:$M$3,0))</f>
        <v>0.1044225</v>
      </c>
      <c r="Q40" s="17">
        <f>INDEX('Unique Asset List'!$D$4:$M$60,MATCH($B40,'Unique Asset List'!$A$4:$A$60,0),MATCH(Q$8,'Unique Asset List'!$D$3:$M$3,0))</f>
        <v>0.1044225</v>
      </c>
      <c r="R40" s="17">
        <f>INDEX('Unique Asset List'!$D$4:$M$60,MATCH($B40,'Unique Asset List'!$A$4:$A$60,0),MATCH(R$8,'Unique Asset List'!$D$3:$M$3,0))</f>
        <v>0.1044225</v>
      </c>
      <c r="S40" s="17">
        <f>INDEX('Unique Asset List'!$D$4:$M$60,MATCH($B40,'Unique Asset List'!$A$4:$A$60,0),MATCH(S$8,'Unique Asset List'!$D$3:$M$3,0))</f>
        <v>0</v>
      </c>
      <c r="T40" s="17" t="s">
        <v>31</v>
      </c>
      <c r="U40" s="17">
        <f t="shared" si="1"/>
        <v>0.90168566420734264</v>
      </c>
      <c r="V40" s="17">
        <v>1</v>
      </c>
      <c r="W40" s="9" t="s">
        <v>31</v>
      </c>
      <c r="X40" s="9">
        <f>INDEX('Unique Asset List'!$Y$4:$AE$60,MATCH('4'!$B40,'Unique Asset List'!$A$4:$A$60,0),MATCH('4'!$C$1,'Unique Asset List'!$Y$3:$AE$3,0))</f>
        <v>2032</v>
      </c>
      <c r="Y40" s="9">
        <f>INDEX('Unique Asset List'!$AF$4:$AL$60,MATCH('4'!$B40,'Unique Asset List'!$A$4:$A$60,0),MATCH('4'!$C$1,'Unique Asset List'!$AF$3:$AL$3,0))</f>
        <v>2.0000000000009095</v>
      </c>
      <c r="Z40" s="9">
        <f>INDEX('Unique Asset List'!$AT$4:$AZ$60,MATCH('4'!$B40,'Unique Asset List'!$A$4:$A$60,0),MATCH('4'!$C$1,'Unique Asset List'!$AT$3:$AZ$3,0))</f>
        <v>2042</v>
      </c>
      <c r="AA40" s="9">
        <f>INDEX('Unique Asset List'!$BA$4:$BG$60,MATCH('4'!$B40,'Unique Asset List'!$A$4:$A$60,0),MATCH('4'!$C$1,'Unique Asset List'!$BA$3:$BG$3,0))</f>
        <v>2</v>
      </c>
      <c r="AB40" s="16">
        <f>AB27</f>
        <v>2.0063400000000007</v>
      </c>
      <c r="AC40" s="16">
        <f>AC27</f>
        <v>0.94137550000000003</v>
      </c>
      <c r="AD40" s="16">
        <f>AD27</f>
        <v>0.56099999999999994</v>
      </c>
      <c r="AE40" s="15">
        <f>INDEX('Unique Asset List'!$CJ$4:$CP$60,MATCH('4'!$B40,'Unique Asset List'!$A$4:$A$60,0),MATCH('4'!$C$1,'Unique Asset List'!$CJ$3:$CP$3,0))</f>
        <v>0.05</v>
      </c>
      <c r="AF40" s="15">
        <f>INDEX('Unique Asset List'!$CQ$4:$CW$60,MATCH('4'!$B40,'Unique Asset List'!$A$4:$A$60,0),MATCH('4'!$C$1,'Unique Asset List'!$CQ$3:$CW$3,0))</f>
        <v>0.45</v>
      </c>
      <c r="AG40" s="15">
        <f>INDEX('Unique Asset List'!$BV$4:$CB$60,MATCH('4'!$B40,'Unique Asset List'!$A$4:$A$60,0),MATCH('4'!$C$1,'Unique Asset List'!$BV$3:$CB$3,0))</f>
        <v>0.05</v>
      </c>
      <c r="AH40" s="15">
        <f>INDEX('Unique Asset List'!$CC$4:$CI$60,MATCH('4'!$B40,'Unique Asset List'!$A$4:$A$60,0),MATCH('4'!$C$1,'Unique Asset List'!$CC$3:$CI$3,0))</f>
        <v>0.45</v>
      </c>
      <c r="AI40" s="11">
        <v>0.96187963349867744</v>
      </c>
      <c r="AJ40" s="15">
        <f>INDEX('Unique Asset List'!$BH$4:$BN$60,MATCH('4'!$B40,'Unique Asset List'!$A$4:$A$60,0),MATCH('4'!$C$1,'Unique Asset List'!$BH$3:$BN$3,0))</f>
        <v>1.4542000570988298</v>
      </c>
      <c r="AK40" s="15">
        <f>INDEX('Unique Asset List'!$BO$4:$BU$60,MATCH('4'!$B40,'Unique Asset List'!$A$4:$A$60,0),MATCH('4'!$C$1,'Unique Asset List'!$BO$3:$BU$3,0))</f>
        <v>-0.4950056673809119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1</v>
      </c>
      <c r="AY40" s="181">
        <f ca="1">INDEX('Unique Asset List'!S$4:S$60,MATCH($B40,_CompoundList,0))</f>
        <v>1</v>
      </c>
      <c r="AZ40" s="181">
        <f ca="1">INDEX('Unique Asset List'!T$4:T$60,MATCH($B40,_CompoundList,0))</f>
        <v>1</v>
      </c>
      <c r="BA40" s="181">
        <f ca="1">INDEX('Unique Asset List'!U$4:U$60,MATCH($B40,_CompoundList,0))</f>
        <v>0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0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IF($C$5="ON",CL40,MyRating(_S1,$B40,Efficacy!$F$1))</f>
        <v>0</v>
      </c>
      <c r="BM40" s="3">
        <f>IF($C$5="ON",CM40,MyRating(_S2,$B40,Efficacy!$F$1))</f>
        <v>0</v>
      </c>
      <c r="BN40" s="3">
        <f>IF($C$5="ON",CN40,MyRating(_S3,$B40,Efficacy!$F$1))</f>
        <v>0</v>
      </c>
      <c r="BO40" s="3">
        <f>IF($C$5="ON",CO40,MyRating(_S4,$B40,Efficacy!$F$1))</f>
        <v>0</v>
      </c>
      <c r="BP40" s="3">
        <f>IF($C$5="ON",CP40,MyRating(_S5,$B40,Efficacy!$F$1))</f>
        <v>0</v>
      </c>
      <c r="BQ40" s="3">
        <f>IF($C$5="ON",CQ40,MyRating(_S6,$B40,Efficacy!$F$1))</f>
        <v>0</v>
      </c>
      <c r="BR40" s="3">
        <f>IF($C$5="ON",CR40,MyRating(_S7,$B40,Efficacy!$F$1))</f>
        <v>0</v>
      </c>
      <c r="BS40" s="3">
        <f>IF($C$5="ON",CS40,MyRating(_D1,$B40,Efficacy!$F$1))</f>
        <v>0</v>
      </c>
      <c r="BT40" s="3">
        <f>IF($C$5="ON",CT40,MyRating(_D2,$B40,Efficacy!$F$1))</f>
        <v>0</v>
      </c>
      <c r="BU40" s="3">
        <f>IF($C$5="ON",CU40,MyRating(_D3,$B40,Efficacy!$F$1))</f>
        <v>0</v>
      </c>
      <c r="BV40" s="3">
        <f>IF($C$5="ON",CV40,MyRating(_D4,$B40,Efficacy!$F$1))</f>
        <v>0</v>
      </c>
      <c r="BW40" s="3">
        <f>IF($C$5="ON",CW40,MyRating(_B1G5,$B40,Barrier!$L$2))</f>
        <v>2</v>
      </c>
      <c r="BX40" s="3">
        <f>IF($C$5="ON",CX40,MyRating(_B2,$B40,Barrier!$F$2))</f>
        <v>3</v>
      </c>
      <c r="BY40" s="6">
        <f>IF($C$5="ON",CY40,MyRating(_B3,$B40,Barrier!$F$2))</f>
        <v>3</v>
      </c>
      <c r="BZ40" s="5">
        <f t="shared" si="9"/>
        <v>3.3407946312985805E-2</v>
      </c>
      <c r="CA40" s="8">
        <f t="shared" si="6"/>
        <v>2.8000000000000003</v>
      </c>
      <c r="CB40" s="5">
        <f t="shared" si="7"/>
        <v>3.2941176470588251E-2</v>
      </c>
      <c r="CC40" s="7">
        <f t="shared" si="8"/>
        <v>5.9787261089987885E-3</v>
      </c>
      <c r="CD40" s="4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6">
        <v>0</v>
      </c>
      <c r="CZ40" s="5">
        <v>0</v>
      </c>
    </row>
    <row r="41" spans="1:104" x14ac:dyDescent="0.25">
      <c r="A41" s="9" t="str">
        <f t="shared" ref="A41:A58" si="10">$C$1</f>
        <v>UK</v>
      </c>
      <c r="B41" s="9" t="s">
        <v>30</v>
      </c>
      <c r="C41" s="20"/>
      <c r="D41" s="9" t="s">
        <v>29</v>
      </c>
      <c r="E41" s="9" t="s">
        <v>186</v>
      </c>
      <c r="F41" s="9" t="str">
        <f>INDEX('Unique Asset List'!$C$4:$C$60,MATCH(B41,_CompoundList,0))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INDEX(PTRS!$D$6:$D$12,MATCH('4'!$F41,PTRS!$B$6:$B$12,0))</f>
        <v>0.1044225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v>0.1044225</v>
      </c>
      <c r="N41" s="17">
        <f>INDEX('Unique Asset List'!$D$4:$M$60,MATCH($B41,'Unique Asset List'!$A$4:$A$60,0),MATCH(N$8,'Unique Asset List'!$D$3:$M$3,0))</f>
        <v>0.1044225</v>
      </c>
      <c r="O41" s="17">
        <f>INDEX('Unique Asset List'!$D$4:$M$60,MATCH($B41,'Unique Asset List'!$A$4:$A$60,0),MATCH(O$8,'Unique Asset List'!$D$3:$M$3,0))</f>
        <v>0.1044225</v>
      </c>
      <c r="P41" s="17">
        <f>INDEX('Unique Asset List'!$D$4:$M$60,MATCH($B41,'Unique Asset List'!$A$4:$A$60,0),MATCH(P$8,'Unique Asset List'!$D$3:$M$3,0))</f>
        <v>0.1044225</v>
      </c>
      <c r="Q41" s="17">
        <f>INDEX('Unique Asset List'!$D$4:$M$60,MATCH($B41,'Unique Asset List'!$A$4:$A$60,0),MATCH(Q$8,'Unique Asset List'!$D$3:$M$3,0))</f>
        <v>0.1044225</v>
      </c>
      <c r="R41" s="17">
        <f>INDEX('Unique Asset List'!$D$4:$M$60,MATCH($B41,'Unique Asset List'!$A$4:$A$60,0),MATCH(R$8,'Unique Asset List'!$D$3:$M$3,0))</f>
        <v>0.1044225</v>
      </c>
      <c r="S41" s="17">
        <f>INDEX('Unique Asset List'!$D$4:$M$60,MATCH($B41,'Unique Asset List'!$A$4:$A$60,0),MATCH(S$8,'Unique Asset List'!$D$3:$M$3,0))</f>
        <v>0</v>
      </c>
      <c r="T41" s="17" t="s">
        <v>28</v>
      </c>
      <c r="U41" s="17">
        <f t="shared" si="1"/>
        <v>0.90168566420734264</v>
      </c>
      <c r="V41" s="17">
        <v>1</v>
      </c>
      <c r="W41" s="9" t="s">
        <v>27</v>
      </c>
      <c r="X41" s="9">
        <f>INDEX('Unique Asset List'!$Y$4:$AE$60,MATCH('4'!$B41,'Unique Asset List'!$A$4:$A$60,0),MATCH('4'!$C$1,'Unique Asset List'!$Y$3:$AE$3,0))</f>
        <v>2034</v>
      </c>
      <c r="Y41" s="9">
        <f>INDEX('Unique Asset List'!$AF$4:$AL$60,MATCH('4'!$B41,'Unique Asset List'!$A$4:$A$60,0),MATCH('4'!$C$1,'Unique Asset List'!$AF$3:$AL$3,0))</f>
        <v>6</v>
      </c>
      <c r="Z41" s="9">
        <f>INDEX('Unique Asset List'!$AT$4:$AZ$60,MATCH('4'!$B41,'Unique Asset List'!$A$4:$A$60,0),MATCH('4'!$C$1,'Unique Asset List'!$AT$3:$AZ$3,0))</f>
        <v>2044</v>
      </c>
      <c r="AA41" s="9">
        <f>INDEX('Unique Asset List'!$BA$4:$BG$60,MATCH('4'!$B41,'Unique Asset List'!$A$4:$A$60,0),MATCH('4'!$C$1,'Unique Asset List'!$BA$3:$BG$3,0))</f>
        <v>6</v>
      </c>
      <c r="AB41" s="16">
        <f>AB33</f>
        <v>2.0289886000000004</v>
      </c>
      <c r="AC41" s="16">
        <f>AC33</f>
        <v>0.81843569999999999</v>
      </c>
      <c r="AD41" s="16">
        <f>AD33</f>
        <v>0.56099999999999994</v>
      </c>
      <c r="AE41" s="15">
        <f>INDEX('Unique Asset List'!$CJ$4:$CP$60,MATCH('4'!$B41,'Unique Asset List'!$A$4:$A$60,0),MATCH('4'!$C$1,'Unique Asset List'!$CJ$3:$CP$3,0))</f>
        <v>0.05</v>
      </c>
      <c r="AF41" s="15">
        <f>INDEX('Unique Asset List'!$CQ$4:$CW$60,MATCH('4'!$B41,'Unique Asset List'!$A$4:$A$60,0),MATCH('4'!$C$1,'Unique Asset List'!$CQ$3:$CW$3,0))</f>
        <v>0.45</v>
      </c>
      <c r="AG41" s="15">
        <f>INDEX('Unique Asset List'!$BV$4:$CB$60,MATCH('4'!$B41,'Unique Asset List'!$A$4:$A$60,0),MATCH('4'!$C$1,'Unique Asset List'!$BV$3:$CB$3,0))</f>
        <v>0.05</v>
      </c>
      <c r="AH41" s="15">
        <f>INDEX('Unique Asset List'!$CC$4:$CI$60,MATCH('4'!$B41,'Unique Asset List'!$A$4:$A$60,0),MATCH('4'!$C$1,'Unique Asset List'!$CC$3:$CI$3,0))</f>
        <v>0.45</v>
      </c>
      <c r="AI41" s="11">
        <v>0.96187963349867744</v>
      </c>
      <c r="AJ41" s="15">
        <f>INDEX('Unique Asset List'!$BH$4:$BN$60,MATCH('4'!$B41,'Unique Asset List'!$A$4:$A$60,0),MATCH('4'!$C$1,'Unique Asset List'!$BH$3:$BN$3,0))</f>
        <v>1.4542000570988298</v>
      </c>
      <c r="AK41" s="15">
        <f>INDEX('Unique Asset List'!$BO$4:$BU$60,MATCH('4'!$B41,'Unique Asset List'!$A$4:$A$60,0),MATCH('4'!$C$1,'Unique Asset List'!$BO$3:$BU$3,0))</f>
        <v>-0.4950056673809119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1">AP41</f>
        <v>0.82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0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0</v>
      </c>
      <c r="BB41" s="181">
        <f ca="1">INDEX('Unique Asset List'!V$4:V$60,MATCH($B41,_CompoundList,0))</f>
        <v>0</v>
      </c>
      <c r="BC41" s="181">
        <f ca="1">INDEX('Unique Asset List'!W$4:W$60,MATCH($B41,_CompoundList,0))</f>
        <v>1</v>
      </c>
      <c r="BD41" s="4">
        <f>IF($C$5="ON",CD41,MyRating(_E1,$B41,Efficacy!$F$1))</f>
        <v>0</v>
      </c>
      <c r="BE41" s="3">
        <f>IF($C$5="ON",CE41,MyRating(_E2,$B41,Efficacy!$F$1))</f>
        <v>0</v>
      </c>
      <c r="BF41" s="3">
        <f>IF($C$5="ON",CF41,MyRating(_E3,$B41,Efficacy!$F$1))</f>
        <v>0</v>
      </c>
      <c r="BG41" s="3">
        <f>IF($C$5="ON",CG41,MyRating(_E4,$B41,Efficacy!$F$1))</f>
        <v>0</v>
      </c>
      <c r="BH41" s="3">
        <f>IF($C$5="ON",CH41,MyRating(_E5,$B41,Efficacy!$F$1))</f>
        <v>0</v>
      </c>
      <c r="BI41" s="3">
        <f>IF($C$5="ON",CI41,MyRating(_E6,$B41,Efficacy!$F$1))</f>
        <v>0</v>
      </c>
      <c r="BJ41" s="3">
        <f>IF($C$5="ON",CJ41,MyRating(_E7,$B41,Efficacy!$F$1))</f>
        <v>0</v>
      </c>
      <c r="BK41" s="3">
        <f>IF($C$5="ON",CK41,MyRating(_E8,$B41,Efficacy!$F$1))</f>
        <v>0</v>
      </c>
      <c r="BL41" s="3">
        <f>IF($C$5="ON",CL41,MyRating(_S1,$B41,Efficacy!$F$1))</f>
        <v>0</v>
      </c>
      <c r="BM41" s="3">
        <f>IF($C$5="ON",CM41,MyRating(_S2,$B41,Efficacy!$F$1))</f>
        <v>0</v>
      </c>
      <c r="BN41" s="3">
        <f>IF($C$5="ON",CN41,MyRating(_S3,$B41,Efficacy!$F$1))</f>
        <v>0</v>
      </c>
      <c r="BO41" s="3">
        <f>IF($C$5="ON",CO41,MyRating(_S4,$B41,Efficacy!$F$1))</f>
        <v>0</v>
      </c>
      <c r="BP41" s="3">
        <f>IF($C$5="ON",CP41,MyRating(_S5,$B41,Efficacy!$F$1))</f>
        <v>0</v>
      </c>
      <c r="BQ41" s="3">
        <f>IF($C$5="ON",CQ41,MyRating(_S6,$B41,Efficacy!$F$1))</f>
        <v>0</v>
      </c>
      <c r="BR41" s="3">
        <f>IF($C$5="ON",CR41,MyRating(_S7,$B41,Efficacy!$F$1))</f>
        <v>0</v>
      </c>
      <c r="BS41" s="3">
        <f>IF($C$5="ON",CS41,MyRating(_D1,$B41,Efficacy!$F$1))</f>
        <v>0</v>
      </c>
      <c r="BT41" s="3">
        <f>IF($C$5="ON",CT41,MyRating(_D2,$B41,Efficacy!$F$1))</f>
        <v>0</v>
      </c>
      <c r="BU41" s="3">
        <f>IF($C$5="ON",CU41,MyRating(_D3,$B41,Efficacy!$F$1))</f>
        <v>0</v>
      </c>
      <c r="BV41" s="3">
        <f>IF($C$5="ON",CV41,MyRating(_D4,$B41,Efficacy!$F$1))</f>
        <v>0</v>
      </c>
      <c r="BW41" s="3">
        <f>IF($C$5="ON",CW41,MyRating(_B1G5,$B41,Barrier!$L$2))</f>
        <v>2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9"/>
        <v>3.3407946312985805E-2</v>
      </c>
      <c r="CA41" s="8">
        <f t="shared" ref="CA41:CA58" si="12">SUMPRODUCT($BW41:$BY41,$BW$7:$BY$7)</f>
        <v>2.8000000000000003</v>
      </c>
      <c r="CB41" s="5">
        <f t="shared" ref="CB41:CB58" si="13">CA41/$CA$7</f>
        <v>3.2941176470588251E-2</v>
      </c>
      <c r="CC41" s="7">
        <f t="shared" ref="CC41:CC58" si="14">CB41^$X$4</f>
        <v>5.9787261089987885E-3</v>
      </c>
      <c r="CD41" s="4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6">
        <v>0</v>
      </c>
      <c r="CZ41" s="5">
        <v>0</v>
      </c>
    </row>
    <row r="42" spans="1:104" x14ac:dyDescent="0.25">
      <c r="A42" s="9" t="str">
        <f t="shared" si="10"/>
        <v>UK</v>
      </c>
      <c r="B42" s="9" t="s">
        <v>26</v>
      </c>
      <c r="C42" s="20" t="s">
        <v>3</v>
      </c>
      <c r="D42" s="9" t="s">
        <v>25</v>
      </c>
      <c r="E42" s="9" t="s">
        <v>186</v>
      </c>
      <c r="F42" s="9" t="str">
        <f>INDEX('Unique Asset List'!$C$4:$C$60,MATCH(B42,_CompoundList,0))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INDEX(PTRS!$D$6:$D$12,MATCH('4'!$F42,PTRS!$B$6:$B$12,0))</f>
        <v>0.1044225</v>
      </c>
      <c r="K42" s="17">
        <f>INDEX('Unique Asset List'!$D$4:$M$60,MATCH($B42,'Unique Asset List'!$A$4:$A$60,0),MATCH(K$8,'Unique Asset List'!$D$3:$M$3,0))</f>
        <v>0</v>
      </c>
      <c r="L42" s="17">
        <f>INDEX('Unique Asset List'!$D$4:$M$60,MATCH($B42,'Unique Asset List'!$A$4:$A$60,0),MATCH(L$8,'Unique Asset List'!$D$3:$M$3,0))</f>
        <v>0</v>
      </c>
      <c r="M42" s="17">
        <v>0.1044225</v>
      </c>
      <c r="N42" s="17">
        <f>INDEX('Unique Asset List'!$D$4:$M$60,MATCH($B42,'Unique Asset List'!$A$4:$A$60,0),MATCH(N$8,'Unique Asset List'!$D$3:$M$3,0))</f>
        <v>0.1044225</v>
      </c>
      <c r="O42" s="17">
        <f>INDEX('Unique Asset List'!$D$4:$M$60,MATCH($B42,'Unique Asset List'!$A$4:$A$60,0),MATCH(O$8,'Unique Asset List'!$D$3:$M$3,0))</f>
        <v>0.1044225</v>
      </c>
      <c r="P42" s="17">
        <f>INDEX('Unique Asset List'!$D$4:$M$60,MATCH($B42,'Unique Asset List'!$A$4:$A$60,0),MATCH(P$8,'Unique Asset List'!$D$3:$M$3,0))</f>
        <v>0.1044225</v>
      </c>
      <c r="Q42" s="17">
        <f>INDEX('Unique Asset List'!$D$4:$M$60,MATCH($B42,'Unique Asset List'!$A$4:$A$60,0),MATCH(Q$8,'Unique Asset List'!$D$3:$M$3,0))</f>
        <v>0.1044225</v>
      </c>
      <c r="R42" s="17">
        <f>INDEX('Unique Asset List'!$D$4:$M$60,MATCH($B42,'Unique Asset List'!$A$4:$A$60,0),MATCH(R$8,'Unique Asset List'!$D$3:$M$3,0))</f>
        <v>0.1044225</v>
      </c>
      <c r="S42" s="17">
        <f>INDEX('Unique Asset List'!$D$4:$M$60,MATCH($B42,'Unique Asset List'!$A$4:$A$60,0),MATCH(S$8,'Unique Asset List'!$D$3:$M$3,0))</f>
        <v>0</v>
      </c>
      <c r="T42" s="17" t="s">
        <v>24</v>
      </c>
      <c r="U42" s="17">
        <f t="shared" si="1"/>
        <v>0</v>
      </c>
      <c r="V42" s="17">
        <v>1</v>
      </c>
      <c r="W42" s="9" t="s">
        <v>24</v>
      </c>
      <c r="X42" s="9">
        <f>INDEX('Unique Asset List'!$Y$4:$AE$60,MATCH('4'!$B42,'Unique Asset List'!$A$4:$A$60,0),MATCH('4'!$C$1,'Unique Asset List'!$Y$3:$AE$3,0))</f>
        <v>2032</v>
      </c>
      <c r="Y42" s="9">
        <f>INDEX('Unique Asset List'!$AF$4:$AL$60,MATCH('4'!$B42,'Unique Asset List'!$A$4:$A$60,0),MATCH('4'!$C$1,'Unique Asset List'!$AF$3:$AL$3,0))</f>
        <v>2.0000000000009095</v>
      </c>
      <c r="Z42" s="9">
        <f>INDEX('Unique Asset List'!$AT$4:$AZ$60,MATCH('4'!$B42,'Unique Asset List'!$A$4:$A$60,0),MATCH('4'!$C$1,'Unique Asset List'!$AT$3:$AZ$3,0))</f>
        <v>2042</v>
      </c>
      <c r="AA42" s="9">
        <f>INDEX('Unique Asset List'!$BA$4:$BG$60,MATCH('4'!$B42,'Unique Asset List'!$A$4:$A$60,0),MATCH('4'!$C$1,'Unique Asset List'!$BA$3:$BG$3,0))</f>
        <v>2</v>
      </c>
      <c r="AB42" s="16">
        <f>AB30</f>
        <v>2.1518980000000005</v>
      </c>
      <c r="AC42" s="16">
        <f>AC30</f>
        <v>0.94137550000000003</v>
      </c>
      <c r="AD42" s="16">
        <f>AD30</f>
        <v>0.56099999999999994</v>
      </c>
      <c r="AE42" s="15">
        <f>INDEX('Unique Asset List'!$CJ$4:$CP$60,MATCH('4'!$B42,'Unique Asset List'!$A$4:$A$60,0),MATCH('4'!$C$1,'Unique Asset List'!$CJ$3:$CP$3,0))</f>
        <v>0.05</v>
      </c>
      <c r="AF42" s="15">
        <f>INDEX('Unique Asset List'!$CQ$4:$CW$60,MATCH('4'!$B42,'Unique Asset List'!$A$4:$A$60,0),MATCH('4'!$C$1,'Unique Asset List'!$CQ$3:$CW$3,0))</f>
        <v>0.45</v>
      </c>
      <c r="AG42" s="15">
        <f>INDEX('Unique Asset List'!$BV$4:$CB$60,MATCH('4'!$B42,'Unique Asset List'!$A$4:$A$60,0),MATCH('4'!$C$1,'Unique Asset List'!$BV$3:$CB$3,0))</f>
        <v>0.05</v>
      </c>
      <c r="AH42" s="15">
        <f>INDEX('Unique Asset List'!$CC$4:$CI$60,MATCH('4'!$B42,'Unique Asset List'!$A$4:$A$60,0),MATCH('4'!$C$1,'Unique Asset List'!$CC$3:$CI$3,0))</f>
        <v>0.45</v>
      </c>
      <c r="AI42" s="11">
        <v>0.96187963349867744</v>
      </c>
      <c r="AJ42" s="15">
        <f>INDEX('Unique Asset List'!$BH$4:$BN$60,MATCH('4'!$B42,'Unique Asset List'!$A$4:$A$60,0),MATCH('4'!$C$1,'Unique Asset List'!$BH$3:$BN$3,0))</f>
        <v>1.4542000570988298</v>
      </c>
      <c r="AK42" s="15">
        <f>INDEX('Unique Asset List'!$BO$4:$BU$60,MATCH('4'!$B42,'Unique Asset List'!$A$4:$A$60,0),MATCH('4'!$C$1,'Unique Asset List'!$BO$3:$BU$3,0))</f>
        <v>-0.4950056673809119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81">
        <f>INDEX('Unique Asset List'!N$4:N$60,MATCH($B42,_CompoundList,0))</f>
        <v>0</v>
      </c>
      <c r="AU42" s="181">
        <f>INDEX('Unique Asset List'!O$4:O$60,MATCH($B42,_CompoundList,0))</f>
        <v>0</v>
      </c>
      <c r="AV42" s="181">
        <f>INDEX('Unique Asset List'!P$4:P$60,MATCH($B42,_CompoundList,0))</f>
        <v>0</v>
      </c>
      <c r="AW42" s="181">
        <f>INDEX('Unique Asset List'!Q$4:Q$60,MATCH($B42,_CompoundList,0))</f>
        <v>0</v>
      </c>
      <c r="AX42" s="181">
        <f ca="1">INDEX('Unique Asset List'!R$4:R$60,MATCH($B42,_CompoundList,0))</f>
        <v>0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0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0</v>
      </c>
      <c r="BD42" s="4">
        <f>IF($C$5="ON",CD42,MyRating(_E1,$B42,Efficacy!$F$1))</f>
        <v>0</v>
      </c>
      <c r="BE42" s="3">
        <f>IF($C$5="ON",CE42,MyRating(_E2,$B42,Efficacy!$F$1))</f>
        <v>0</v>
      </c>
      <c r="BF42" s="3">
        <f>IF($C$5="ON",CF42,MyRating(_E3,$B42,Efficacy!$F$1))</f>
        <v>0</v>
      </c>
      <c r="BG42" s="3">
        <f>IF($C$5="ON",CG42,MyRating(_E4,$B42,Efficacy!$F$1))</f>
        <v>0</v>
      </c>
      <c r="BH42" s="3">
        <f>IF($C$5="ON",CH42,MyRating(_E5,$B42,Efficacy!$F$1))</f>
        <v>0</v>
      </c>
      <c r="BI42" s="3">
        <f>IF($C$5="ON",CI42,MyRating(_E6,$B42,Efficacy!$F$1))</f>
        <v>0</v>
      </c>
      <c r="BJ42" s="3">
        <f>IF($C$5="ON",CJ42,MyRating(_E7,$B42,Efficacy!$F$1))</f>
        <v>0</v>
      </c>
      <c r="BK42" s="3">
        <f>IF($C$5="ON",CK42,MyRating(_E8,$B42,Efficacy!$F$1))</f>
        <v>0</v>
      </c>
      <c r="BL42" s="3">
        <f>IF($C$5="ON",CL42,MyRating(_S1,$B42,Efficacy!$F$1))</f>
        <v>0</v>
      </c>
      <c r="BM42" s="3">
        <f>IF($C$5="ON",CM42,MyRating(_S2,$B42,Efficacy!$F$1))</f>
        <v>0</v>
      </c>
      <c r="BN42" s="3">
        <f>IF($C$5="ON",CN42,MyRating(_S3,$B42,Efficacy!$F$1))</f>
        <v>0</v>
      </c>
      <c r="BO42" s="3">
        <f>IF($C$5="ON",CO42,MyRating(_S4,$B42,Efficacy!$F$1))</f>
        <v>0</v>
      </c>
      <c r="BP42" s="3">
        <f>IF($C$5="ON",CP42,MyRating(_S5,$B42,Efficacy!$F$1))</f>
        <v>0</v>
      </c>
      <c r="BQ42" s="3">
        <f>IF($C$5="ON",CQ42,MyRating(_S6,$B42,Efficacy!$F$1))</f>
        <v>0</v>
      </c>
      <c r="BR42" s="3">
        <f>IF($C$5="ON",CR42,MyRating(_S7,$B42,Efficacy!$F$1))</f>
        <v>0</v>
      </c>
      <c r="BS42" s="3">
        <f>IF($C$5="ON",CS42,MyRating(_D1,$B42,Efficacy!$F$1))</f>
        <v>0</v>
      </c>
      <c r="BT42" s="3">
        <f>IF($C$5="ON",CT42,MyRating(_D2,$B42,Efficacy!$F$1))</f>
        <v>0</v>
      </c>
      <c r="BU42" s="3">
        <f>IF($C$5="ON",CU42,MyRating(_D3,$B42,Efficacy!$F$1))</f>
        <v>0</v>
      </c>
      <c r="BV42" s="3">
        <f>IF($C$5="ON",CV42,MyRating(_D4,$B42,Efficacy!$F$1))</f>
        <v>0</v>
      </c>
      <c r="BW42" s="3">
        <f>IF($C$5="ON",CW42,MyRating(_B1G5,$B42,Barrier!$L$2))</f>
        <v>2</v>
      </c>
      <c r="BX42" s="3">
        <f>IF($C$5="ON",CX42,MyRating(_B2,$B42,Barrier!$F$2))</f>
        <v>0</v>
      </c>
      <c r="BY42" s="6">
        <f>IF($C$5="ON",CY42,MyRating(_B3,$B42,Barrier!$F$2))</f>
        <v>0</v>
      </c>
      <c r="BZ42" s="5">
        <f t="shared" si="9"/>
        <v>0</v>
      </c>
      <c r="CA42" s="8">
        <f t="shared" si="12"/>
        <v>0.4</v>
      </c>
      <c r="CB42" s="5">
        <f t="shared" si="13"/>
        <v>4.7058823529411787E-3</v>
      </c>
      <c r="CC42" s="7">
        <f t="shared" si="14"/>
        <v>3.2282086615060515E-4</v>
      </c>
      <c r="CD42" s="4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6">
        <v>0</v>
      </c>
      <c r="CZ42" s="5">
        <v>0</v>
      </c>
    </row>
    <row r="43" spans="1:104" x14ac:dyDescent="0.25">
      <c r="A43" s="9" t="str">
        <f t="shared" si="10"/>
        <v>UK</v>
      </c>
      <c r="B43" s="9" t="s">
        <v>23</v>
      </c>
      <c r="C43" s="20"/>
      <c r="D43" s="9" t="s">
        <v>22</v>
      </c>
      <c r="E43" s="9" t="s">
        <v>186</v>
      </c>
      <c r="F43" s="9" t="str">
        <f>INDEX('Unique Asset List'!$C$4:$C$60,MATCH(B43,_CompoundList,0))</f>
        <v>PCD</v>
      </c>
      <c r="G43" s="19">
        <v>0</v>
      </c>
      <c r="H43" s="9">
        <v>2014</v>
      </c>
      <c r="I43" s="9">
        <v>6</v>
      </c>
      <c r="J43" s="18">
        <f>INDEX(PTRS!$D$6:$D$12,MATCH('4'!$F43,PTRS!$B$6:$B$12,0))</f>
        <v>0.1044225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0.1044225</v>
      </c>
      <c r="N43" s="17">
        <f>INDEX('Unique Asset List'!$D$4:$M$60,MATCH($B43,'Unique Asset List'!$A$4:$A$60,0),MATCH(N$8,'Unique Asset List'!$D$3:$M$3,0))</f>
        <v>0.1044225</v>
      </c>
      <c r="O43" s="17">
        <f>INDEX('Unique Asset List'!$D$4:$M$60,MATCH($B43,'Unique Asset List'!$A$4:$A$60,0),MATCH(O$8,'Unique Asset List'!$D$3:$M$3,0))</f>
        <v>0.1044225</v>
      </c>
      <c r="P43" s="17">
        <f>INDEX('Unique Asset List'!$D$4:$M$60,MATCH($B43,'Unique Asset List'!$A$4:$A$60,0),MATCH(P$8,'Unique Asset List'!$D$3:$M$3,0))</f>
        <v>0.1044225</v>
      </c>
      <c r="Q43" s="17">
        <f>INDEX('Unique Asset List'!$D$4:$M$60,MATCH($B43,'Unique Asset List'!$A$4:$A$60,0),MATCH(Q$8,'Unique Asset List'!$D$3:$M$3,0))</f>
        <v>0.1044225</v>
      </c>
      <c r="R43" s="17">
        <f>INDEX('Unique Asset List'!$D$4:$M$60,MATCH($B43,'Unique Asset List'!$A$4:$A$60,0),MATCH(R$8,'Unique Asset List'!$D$3:$M$3,0))</f>
        <v>0.1044225</v>
      </c>
      <c r="S43" s="17">
        <f>INDEX('Unique Asset List'!$D$4:$M$60,MATCH($B43,'Unique Asset List'!$A$4:$A$60,0),MATCH(S$8,'Unique Asset List'!$D$3:$M$3,0))</f>
        <v>0</v>
      </c>
      <c r="T43" s="9" t="s">
        <v>21</v>
      </c>
      <c r="U43" s="17">
        <f t="shared" si="1"/>
        <v>0.90168566420734264</v>
      </c>
      <c r="V43" s="17">
        <v>1</v>
      </c>
      <c r="W43" s="9" t="s">
        <v>20</v>
      </c>
      <c r="X43" s="9">
        <f>INDEX('Unique Asset List'!$Y$4:$AE$60,MATCH('4'!$B43,'Unique Asset List'!$A$4:$A$60,0),MATCH('4'!$C$1,'Unique Asset List'!$Y$3:$AE$3,0))</f>
        <v>2031</v>
      </c>
      <c r="Y43" s="9">
        <f>INDEX('Unique Asset List'!$AF$4:$AL$60,MATCH('4'!$B43,'Unique Asset List'!$A$4:$A$60,0),MATCH('4'!$C$1,'Unique Asset List'!$AF$3:$AL$3,0))</f>
        <v>3</v>
      </c>
      <c r="Z43" s="9">
        <f>INDEX('Unique Asset List'!$AT$4:$AZ$60,MATCH('4'!$B43,'Unique Asset List'!$A$4:$A$60,0),MATCH('4'!$C$1,'Unique Asset List'!$AT$3:$AZ$3,0))</f>
        <v>2041</v>
      </c>
      <c r="AA43" s="9">
        <f>INDEX('Unique Asset List'!$BA$4:$BG$60,MATCH('4'!$B43,'Unique Asset List'!$A$4:$A$60,0),MATCH('4'!$C$1,'Unique Asset List'!$BA$3:$BG$3,0))</f>
        <v>3</v>
      </c>
      <c r="AB43" s="16">
        <f>AB25</f>
        <v>1.6822346000000001</v>
      </c>
      <c r="AC43" s="16">
        <f>AC25</f>
        <v>0.91486990000000001</v>
      </c>
      <c r="AD43" s="16">
        <f>AD25</f>
        <v>0.56099999999999994</v>
      </c>
      <c r="AE43" s="15">
        <f>INDEX('Unique Asset List'!$CJ$4:$CP$60,MATCH('4'!$B43,'Unique Asset List'!$A$4:$A$60,0),MATCH('4'!$C$1,'Unique Asset List'!$CJ$3:$CP$3,0))</f>
        <v>0.05</v>
      </c>
      <c r="AF43" s="15">
        <f>INDEX('Unique Asset List'!$CQ$4:$CW$60,MATCH('4'!$B43,'Unique Asset List'!$A$4:$A$60,0),MATCH('4'!$C$1,'Unique Asset List'!$CQ$3:$CW$3,0))</f>
        <v>0.45</v>
      </c>
      <c r="AG43" s="15">
        <f>INDEX('Unique Asset List'!$BV$4:$CB$60,MATCH('4'!$B43,'Unique Asset List'!$A$4:$A$60,0),MATCH('4'!$C$1,'Unique Asset List'!$BV$3:$CB$3,0))</f>
        <v>0.05</v>
      </c>
      <c r="AH43" s="15">
        <f>INDEX('Unique Asset List'!$CC$4:$CI$60,MATCH('4'!$B43,'Unique Asset List'!$A$4:$A$60,0),MATCH('4'!$C$1,'Unique Asset List'!$CC$3:$CI$3,0))</f>
        <v>0.45</v>
      </c>
      <c r="AI43" s="11">
        <v>0.96187963349867744</v>
      </c>
      <c r="AJ43" s="15">
        <f>INDEX('Unique Asset List'!$BH$4:$BN$60,MATCH('4'!$B43,'Unique Asset List'!$A$4:$A$60,0),MATCH('4'!$C$1,'Unique Asset List'!$BH$3:$BN$3,0))</f>
        <v>1.4542000570988298</v>
      </c>
      <c r="AK43" s="15">
        <f>INDEX('Unique Asset List'!$BO$4:$BU$60,MATCH('4'!$B43,'Unique Asset List'!$A$4:$A$60,0),MATCH('4'!$C$1,'Unique Asset List'!$BO$3:$BU$3,0))</f>
        <v>-0.4950056673809119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1"/>
        <v>0.82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1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0</v>
      </c>
      <c r="BD43" s="4">
        <f>IF($C$5="ON",CD43,MyRating(_E1,$B43,Efficacy!$F$1))</f>
        <v>0</v>
      </c>
      <c r="BE43" s="3">
        <f>IF($C$5="ON",CE43,MyRating(_E2,$B43,Efficacy!$F$1))</f>
        <v>0</v>
      </c>
      <c r="BF43" s="3">
        <f>IF($C$5="ON",CF43,MyRating(_E3,$B43,Efficacy!$F$1))</f>
        <v>0</v>
      </c>
      <c r="BG43" s="3">
        <f>IF($C$5="ON",CG43,MyRating(_E4,$B43,Efficacy!$F$1))</f>
        <v>0</v>
      </c>
      <c r="BH43" s="3">
        <f>IF($C$5="ON",CH43,MyRating(_E5,$B43,Efficacy!$F$1))</f>
        <v>0</v>
      </c>
      <c r="BI43" s="3">
        <f>IF($C$5="ON",CI43,MyRating(_E6,$B43,Efficacy!$F$1))</f>
        <v>0</v>
      </c>
      <c r="BJ43" s="3">
        <f>IF($C$5="ON",CJ43,MyRating(_E7,$B43,Efficacy!$F$1))</f>
        <v>0</v>
      </c>
      <c r="BK43" s="3">
        <f>IF($C$5="ON",CK43,MyRating(_E8,$B43,Efficacy!$F$1))</f>
        <v>0</v>
      </c>
      <c r="BL43" s="3">
        <f>IF($C$5="ON",CL43,MyRating(_S1,$B43,Efficacy!$F$1))</f>
        <v>0</v>
      </c>
      <c r="BM43" s="3">
        <f>IF($C$5="ON",CM43,MyRating(_S2,$B43,Efficacy!$F$1))</f>
        <v>0</v>
      </c>
      <c r="BN43" s="3">
        <f>IF($C$5="ON",CN43,MyRating(_S3,$B43,Efficacy!$F$1))</f>
        <v>0</v>
      </c>
      <c r="BO43" s="3">
        <f>IF($C$5="ON",CO43,MyRating(_S4,$B43,Efficacy!$F$1))</f>
        <v>0</v>
      </c>
      <c r="BP43" s="3">
        <f>IF($C$5="ON",CP43,MyRating(_S5,$B43,Efficacy!$F$1))</f>
        <v>0</v>
      </c>
      <c r="BQ43" s="3">
        <f>IF($C$5="ON",CQ43,MyRating(_S6,$B43,Efficacy!$F$1))</f>
        <v>0</v>
      </c>
      <c r="BR43" s="3">
        <f>IF($C$5="ON",CR43,MyRating(_S7,$B43,Efficacy!$F$1))</f>
        <v>0</v>
      </c>
      <c r="BS43" s="3">
        <f>IF($C$5="ON",CS43,MyRating(_D1,$B43,Efficacy!$F$1))</f>
        <v>0</v>
      </c>
      <c r="BT43" s="3">
        <f>IF($C$5="ON",CT43,MyRating(_D2,$B43,Efficacy!$F$1))</f>
        <v>0</v>
      </c>
      <c r="BU43" s="3">
        <f>IF($C$5="ON",CU43,MyRating(_D3,$B43,Efficacy!$F$1))</f>
        <v>0</v>
      </c>
      <c r="BV43" s="3">
        <f>IF($C$5="ON",CV43,MyRating(_D4,$B43,Efficacy!$F$1))</f>
        <v>0</v>
      </c>
      <c r="BW43" s="3">
        <f>IF($C$5="ON",CW43,MyRating(_B1G5,$B43,Barrier!$L$2))</f>
        <v>2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9"/>
        <v>3.3407946312985805E-2</v>
      </c>
      <c r="CA43" s="8">
        <f t="shared" si="12"/>
        <v>2.8000000000000003</v>
      </c>
      <c r="CB43" s="5">
        <f t="shared" si="13"/>
        <v>3.2941176470588251E-2</v>
      </c>
      <c r="CC43" s="7">
        <f t="shared" si="14"/>
        <v>5.9787261089987885E-3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>
        <v>0</v>
      </c>
    </row>
    <row r="44" spans="1:104" x14ac:dyDescent="0.25">
      <c r="A44" s="9" t="str">
        <f t="shared" si="10"/>
        <v>UK</v>
      </c>
      <c r="B44" s="9" t="s">
        <v>19</v>
      </c>
      <c r="C44" s="20"/>
      <c r="D44" s="9" t="s">
        <v>18</v>
      </c>
      <c r="E44" s="9" t="s">
        <v>186</v>
      </c>
      <c r="F44" s="9" t="str">
        <f>INDEX('Unique Asset List'!$C$4:$C$60,MATCH(B44,_CompoundList,0))</f>
        <v>PCD</v>
      </c>
      <c r="G44" s="19">
        <v>0</v>
      </c>
      <c r="H44" s="9">
        <v>2014</v>
      </c>
      <c r="I44" s="9">
        <v>6</v>
      </c>
      <c r="J44" s="18">
        <f>INDEX(PTRS!$D$6:$D$12,MATCH('4'!$F44,PTRS!$B$6:$B$12,0))</f>
        <v>0.1044225</v>
      </c>
      <c r="K44" s="17">
        <f>K23</f>
        <v>0</v>
      </c>
      <c r="L44" s="17">
        <f>L23</f>
        <v>0</v>
      </c>
      <c r="M44" s="17">
        <v>0.1044225</v>
      </c>
      <c r="N44" s="17">
        <f>N23</f>
        <v>0.13923000000000002</v>
      </c>
      <c r="O44" s="17">
        <f>INDEX('Unique Asset List'!$D$4:$M$60,MATCH($B44,'Unique Asset List'!$A$4:$A$60,0),MATCH(O$8,'Unique Asset List'!$D$3:$M$3,0))</f>
        <v>0.1044225</v>
      </c>
      <c r="P44" s="17">
        <f>INDEX('Unique Asset List'!$D$4:$M$60,MATCH($B44,'Unique Asset List'!$A$4:$A$60,0),MATCH(P$8,'Unique Asset List'!$D$3:$M$3,0))</f>
        <v>0.1044225</v>
      </c>
      <c r="Q44" s="17">
        <f>INDEX('Unique Asset List'!$D$4:$M$60,MATCH($B44,'Unique Asset List'!$A$4:$A$60,0),MATCH(Q$8,'Unique Asset List'!$D$3:$M$3,0))</f>
        <v>0.1044225</v>
      </c>
      <c r="R44" s="17">
        <f>INDEX('Unique Asset List'!$D$4:$M$60,MATCH($B44,'Unique Asset List'!$A$4:$A$60,0),MATCH(R$8,'Unique Asset List'!$D$3:$M$3,0))</f>
        <v>0.1044225</v>
      </c>
      <c r="S44" s="17">
        <f>S23</f>
        <v>0</v>
      </c>
      <c r="T44" s="9" t="s">
        <v>17</v>
      </c>
      <c r="U44" s="17">
        <f t="shared" si="1"/>
        <v>0.90168566420734264</v>
      </c>
      <c r="V44" s="17">
        <v>1</v>
      </c>
      <c r="W44" s="9" t="s">
        <v>16</v>
      </c>
      <c r="X44" s="9">
        <f>INDEX('Unique Asset List'!$Y$4:$AE$60,MATCH('4'!$B44,'Unique Asset List'!$A$4:$A$60,0),MATCH('4'!$C$1,'Unique Asset List'!$Y$3:$AE$3,0))</f>
        <v>2030</v>
      </c>
      <c r="Y44" s="9">
        <f>INDEX('Unique Asset List'!$AF$4:$AL$60,MATCH('4'!$B44,'Unique Asset List'!$A$4:$A$60,0),MATCH('4'!$C$1,'Unique Asset List'!$AF$3:$AL$3,0))</f>
        <v>8.0000000000009095</v>
      </c>
      <c r="Z44" s="9">
        <f>INDEX('Unique Asset List'!$AT$4:$AZ$60,MATCH('4'!$B44,'Unique Asset List'!$A$4:$A$60,0),MATCH('4'!$C$1,'Unique Asset List'!$AT$3:$AZ$3,0))</f>
        <v>2040</v>
      </c>
      <c r="AA44" s="9">
        <f>INDEX('Unique Asset List'!$BA$4:$BG$60,MATCH('4'!$B44,'Unique Asset List'!$A$4:$A$60,0),MATCH('4'!$C$1,'Unique Asset List'!$BA$3:$BG$3,0))</f>
        <v>8</v>
      </c>
      <c r="AB44" s="16">
        <f>AB24</f>
        <v>1.8562298000000002</v>
      </c>
      <c r="AC44" s="16">
        <f>AC24</f>
        <v>0.97947730000000011</v>
      </c>
      <c r="AD44" s="16">
        <f>AD24</f>
        <v>0.56099999999999994</v>
      </c>
      <c r="AE44" s="15">
        <f>INDEX('Unique Asset List'!$CJ$4:$CP$60,MATCH('4'!$B44,'Unique Asset List'!$A$4:$A$60,0),MATCH('4'!$C$1,'Unique Asset List'!$CJ$3:$CP$3,0))</f>
        <v>0.05</v>
      </c>
      <c r="AF44" s="15">
        <f>INDEX('Unique Asset List'!$CQ$4:$CW$60,MATCH('4'!$B44,'Unique Asset List'!$A$4:$A$60,0),MATCH('4'!$C$1,'Unique Asset List'!$CQ$3:$CW$3,0))</f>
        <v>0.45</v>
      </c>
      <c r="AG44" s="15">
        <f>INDEX('Unique Asset List'!$BV$4:$CB$60,MATCH('4'!$B44,'Unique Asset List'!$A$4:$A$60,0),MATCH('4'!$C$1,'Unique Asset List'!$BV$3:$CB$3,0))</f>
        <v>0.05</v>
      </c>
      <c r="AH44" s="15">
        <f>INDEX('Unique Asset List'!$CC$4:$CI$60,MATCH('4'!$B44,'Unique Asset List'!$A$4:$A$60,0),MATCH('4'!$C$1,'Unique Asset List'!$CC$3:$CI$3,0))</f>
        <v>0.45</v>
      </c>
      <c r="AI44" s="11">
        <v>0.96187963349867744</v>
      </c>
      <c r="AJ44" s="15">
        <f>INDEX('Unique Asset List'!$BH$4:$BN$60,MATCH('4'!$B44,'Unique Asset List'!$A$4:$A$60,0),MATCH('4'!$C$1,'Unique Asset List'!$BH$3:$BN$3,0))</f>
        <v>1.4542000570988298</v>
      </c>
      <c r="AK44" s="15">
        <f>INDEX('Unique Asset List'!$BO$4:$BU$60,MATCH('4'!$B44,'Unique Asset List'!$A$4:$A$60,0),MATCH('4'!$C$1,'Unique Asset List'!$BO$3:$BU$3,0))</f>
        <v>-0.4950056673809119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1"/>
        <v>0.82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0</v>
      </c>
      <c r="AY44" s="181">
        <f ca="1">INDEX('Unique Asset List'!S$4:S$60,MATCH($B44,_CompoundList,0))</f>
        <v>1</v>
      </c>
      <c r="AZ44" s="181">
        <f ca="1">INDEX('Unique Asset List'!T$4:T$60,MATCH($B44,_CompoundList,0))</f>
        <v>0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1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IF($C$5="ON",CL44,MyRating(_S1,$B44,Efficacy!$F$1))</f>
        <v>0</v>
      </c>
      <c r="BM44" s="3">
        <f>IF($C$5="ON",CM44,MyRating(_S2,$B44,Efficacy!$F$1))</f>
        <v>0</v>
      </c>
      <c r="BN44" s="3">
        <f>IF($C$5="ON",CN44,MyRating(_S3,$B44,Efficacy!$F$1))</f>
        <v>0</v>
      </c>
      <c r="BO44" s="3">
        <f>IF($C$5="ON",CO44,MyRating(_S4,$B44,Efficacy!$F$1))</f>
        <v>0</v>
      </c>
      <c r="BP44" s="3">
        <f>IF($C$5="ON",CP44,MyRating(_S5,$B44,Efficacy!$F$1))</f>
        <v>0</v>
      </c>
      <c r="BQ44" s="3">
        <f>IF($C$5="ON",CQ44,MyRating(_S6,$B44,Efficacy!$F$1))</f>
        <v>0</v>
      </c>
      <c r="BR44" s="3">
        <f>IF($C$5="ON",CR44,MyRating(_S7,$B44,Efficacy!$F$1))</f>
        <v>0</v>
      </c>
      <c r="BS44" s="3">
        <f>IF($C$5="ON",CS44,MyRating(_D1,$B44,Efficacy!$F$1))</f>
        <v>0</v>
      </c>
      <c r="BT44" s="3">
        <f>IF($C$5="ON",CT44,MyRating(_D2,$B44,Efficacy!$F$1))</f>
        <v>0</v>
      </c>
      <c r="BU44" s="3">
        <f>IF($C$5="ON",CU44,MyRating(_D3,$B44,Efficacy!$F$1))</f>
        <v>0</v>
      </c>
      <c r="BV44" s="3">
        <f>IF($C$5="ON",CV44,MyRating(_D4,$B44,Efficacy!$F$1))</f>
        <v>0</v>
      </c>
      <c r="BW44" s="3">
        <f>IF($C$5="ON",CW44,MyRating(_B1G5,$B44,Barrier!$L$2))</f>
        <v>2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9"/>
        <v>3.3407946312985805E-2</v>
      </c>
      <c r="CA44" s="8">
        <f t="shared" si="12"/>
        <v>2.8000000000000003</v>
      </c>
      <c r="CB44" s="5">
        <f t="shared" si="13"/>
        <v>3.2941176470588251E-2</v>
      </c>
      <c r="CC44" s="7">
        <f t="shared" si="14"/>
        <v>5.9787261089987885E-3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>
        <v>0</v>
      </c>
    </row>
    <row r="45" spans="1:104" x14ac:dyDescent="0.25">
      <c r="A45" s="9" t="str">
        <f t="shared" si="10"/>
        <v>UK</v>
      </c>
      <c r="B45" s="9" t="s">
        <v>13</v>
      </c>
      <c r="C45" s="20"/>
      <c r="D45" s="9" t="s">
        <v>2</v>
      </c>
      <c r="E45" s="9" t="s">
        <v>186</v>
      </c>
      <c r="F45" s="9" t="str">
        <f>INDEX('Unique Asset List'!$C$4:$C$60,MATCH(B45,_CompoundList,0))</f>
        <v>PCD</v>
      </c>
      <c r="G45" s="19">
        <v>0</v>
      </c>
      <c r="H45" s="9">
        <v>2014</v>
      </c>
      <c r="I45" s="9">
        <v>6</v>
      </c>
      <c r="J45" s="18">
        <f>INDEX(PTRS!$D$6:$D$12,MATCH('4'!$F45,PTRS!$B$6:$B$12,0))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v>0.1044225</v>
      </c>
      <c r="N45" s="17">
        <f>INDEX('Unique Asset List'!$D$4:$M$60,MATCH($B45,'Unique Asset List'!$A$4:$A$60,0),MATCH(N$8,'Unique Asset List'!$D$3:$M$3,0))</f>
        <v>1</v>
      </c>
      <c r="O45" s="17">
        <f>INDEX('Unique Asset List'!$D$4:$M$60,MATCH($B45,'Unique Asset List'!$A$4:$A$60,0),MATCH(O$8,'Unique Asset List'!$D$3:$M$3,0))</f>
        <v>1</v>
      </c>
      <c r="P45" s="17">
        <f>INDEX('Unique Asset List'!$D$4:$M$60,MATCH($B45,'Unique Asset List'!$A$4:$A$60,0),MATCH(P$8,'Unique Asset List'!$D$3:$M$3,0))</f>
        <v>1</v>
      </c>
      <c r="Q45" s="17">
        <f>INDEX('Unique Asset List'!$D$4:$M$60,MATCH($B45,'Unique Asset List'!$A$4:$A$60,0),MATCH(Q$8,'Unique Asset List'!$D$3:$M$3,0))</f>
        <v>1</v>
      </c>
      <c r="R45" s="17">
        <f>INDEX('Unique Asset List'!$D$4:$M$60,MATCH($B45,'Unique Asset List'!$A$4:$A$60,0),MATCH(R$8,'Unique Asset List'!$D$3:$M$3,0))</f>
        <v>1</v>
      </c>
      <c r="S45" s="17">
        <f>INDEX('Unique Asset List'!$D$4:$M$60,MATCH($B45,'Unique Asset List'!$A$4:$A$60,0),MATCH(S$8,'Unique Asset List'!$D$3:$M$3,0))</f>
        <v>1</v>
      </c>
      <c r="T45" s="17"/>
      <c r="U45" s="17">
        <f t="shared" si="1"/>
        <v>0.90168566420734264</v>
      </c>
      <c r="V45" s="17">
        <v>1</v>
      </c>
      <c r="W45" s="9" t="s">
        <v>13</v>
      </c>
      <c r="X45" s="9">
        <f>INDEX('Unique Asset List'!$Y$4:$AE$60,MATCH('4'!$B45,'Unique Asset List'!$A$4:$A$60,0),MATCH('4'!$C$1,'Unique Asset List'!$Y$3:$AE$3,0))</f>
        <v>2030</v>
      </c>
      <c r="Y45" s="9">
        <f>INDEX('Unique Asset List'!$AF$4:$AL$60,MATCH('4'!$B45,'Unique Asset List'!$A$4:$A$60,0),MATCH('4'!$C$1,'Unique Asset List'!$AF$3:$AL$3,0))</f>
        <v>6</v>
      </c>
      <c r="Z45" s="9">
        <f>INDEX('Unique Asset List'!$AT$4:$AZ$60,MATCH('4'!$B45,'Unique Asset List'!$A$4:$A$60,0),MATCH('4'!$C$1,'Unique Asset List'!$AT$3:$AZ$3,0))</f>
        <v>2042</v>
      </c>
      <c r="AA45" s="9">
        <f>INDEX('Unique Asset List'!$BA$4:$BG$60,MATCH('4'!$B45,'Unique Asset List'!$A$4:$A$60,0),MATCH('4'!$C$1,'Unique Asset List'!$BA$3:$BG$3,0))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List'!$CJ$4:$CP$60,MATCH('4'!$B45,'Unique Asset List'!$A$4:$A$60,0),MATCH('4'!$C$1,'Unique Asset List'!$CJ$3:$CP$3,0))</f>
        <v>0.05</v>
      </c>
      <c r="AF45" s="15">
        <f>INDEX('Unique Asset List'!$CQ$4:$CW$60,MATCH('4'!$B45,'Unique Asset List'!$A$4:$A$60,0),MATCH('4'!$C$1,'Unique Asset List'!$CQ$3:$CW$3,0))</f>
        <v>0.45</v>
      </c>
      <c r="AG45" s="15">
        <f>INDEX('Unique Asset List'!$BV$4:$CB$60,MATCH('4'!$B45,'Unique Asset List'!$A$4:$A$60,0),MATCH('4'!$C$1,'Unique Asset List'!$BV$3:$CB$3,0))</f>
        <v>0.05</v>
      </c>
      <c r="AH45" s="15">
        <f>INDEX('Unique Asset List'!$CC$4:$CI$60,MATCH('4'!$B45,'Unique Asset List'!$A$4:$A$60,0),MATCH('4'!$C$1,'Unique Asset List'!$CC$3:$CI$3,0))</f>
        <v>0.45</v>
      </c>
      <c r="AI45" s="11">
        <v>0.96187963349867744</v>
      </c>
      <c r="AJ45" s="15">
        <f>INDEX('Unique Asset List'!$BH$4:$BN$60,MATCH('4'!$B45,'Unique Asset List'!$A$4:$A$60,0),MATCH('4'!$C$1,'Unique Asset List'!$BH$3:$BN$3,0))</f>
        <v>1.4542000570988298</v>
      </c>
      <c r="AK45" s="15">
        <f>INDEX('Unique Asset List'!$BO$4:$BU$60,MATCH('4'!$B45,'Unique Asset List'!$A$4:$A$60,0),MATCH('4'!$C$1,'Unique Asset List'!$BO$3:$BU$3,0))</f>
        <v>-0.4950056673809119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1"/>
        <v>0.82</v>
      </c>
      <c r="AS45" s="10">
        <v>1</v>
      </c>
      <c r="AT45" s="181">
        <f>INDEX('Unique Asset List'!N$4:N$60,MATCH($B45,_CompoundList,0))</f>
        <v>1</v>
      </c>
      <c r="AU45" s="181">
        <f>INDEX('Unique Asset List'!O$4:O$60,MATCH($B45,_CompoundList,0))</f>
        <v>1</v>
      </c>
      <c r="AV45" s="181">
        <f>INDEX('Unique Asset List'!P$4:P$60,MATCH($B45,_CompoundList,0))</f>
        <v>1</v>
      </c>
      <c r="AW45" s="181">
        <f>INDEX('Unique Asset List'!Q$4:Q$60,MATCH($B45,_CompoundList,0))</f>
        <v>1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1</v>
      </c>
      <c r="BA45" s="181">
        <f ca="1">INDEX('Unique Asset List'!U$4:U$60,MATCH($B45,_CompoundList,0))</f>
        <v>1</v>
      </c>
      <c r="BB45" s="181">
        <f ca="1">INDEX('Unique Asset List'!V$4:V$60,MATCH($B45,_CompoundList,0))</f>
        <v>1</v>
      </c>
      <c r="BC45" s="181">
        <f ca="1">INDEX('Unique Asset List'!W$4:W$60,MATCH($B45,_CompoundList,0))</f>
        <v>1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IF($C$5="ON",CL45,MyRating(_S1,$B45,Efficacy!$F$1))</f>
        <v>0</v>
      </c>
      <c r="BM45" s="3">
        <f>IF($C$5="ON",CM45,MyRating(_S2,$B45,Efficacy!$F$1))</f>
        <v>0</v>
      </c>
      <c r="BN45" s="3">
        <f>IF($C$5="ON",CN45,MyRating(_S3,$B45,Efficacy!$F$1))</f>
        <v>0</v>
      </c>
      <c r="BO45" s="3">
        <f>IF($C$5="ON",CO45,MyRating(_S4,$B45,Efficacy!$F$1))</f>
        <v>0</v>
      </c>
      <c r="BP45" s="3">
        <f>IF($C$5="ON",CP45,MyRating(_S5,$B45,Efficacy!$F$1))</f>
        <v>0</v>
      </c>
      <c r="BQ45" s="3">
        <f>IF($C$5="ON",CQ45,MyRating(_S6,$B45,Efficacy!$F$1))</f>
        <v>0</v>
      </c>
      <c r="BR45" s="3">
        <f>IF($C$5="ON",CR45,MyRating(_S7,$B45,Efficacy!$F$1))</f>
        <v>0</v>
      </c>
      <c r="BS45" s="3">
        <f>IF($C$5="ON",CS45,MyRating(_D1,$B45,Efficacy!$F$1))</f>
        <v>0</v>
      </c>
      <c r="BT45" s="3">
        <f>IF($C$5="ON",CT45,MyRating(_D2,$B45,Efficacy!$F$1))</f>
        <v>0</v>
      </c>
      <c r="BU45" s="3">
        <f>IF($C$5="ON",CU45,MyRating(_D3,$B45,Efficacy!$F$1))</f>
        <v>0</v>
      </c>
      <c r="BV45" s="3">
        <f>IF($C$5="ON",CV45,MyRating(_D4,$B45,Efficacy!$F$1))</f>
        <v>0</v>
      </c>
      <c r="BW45" s="3">
        <f>IF($C$5="ON",CW45,MyRating(_B1G5,$B45,Barrier!$L$2))</f>
        <v>2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9"/>
        <v>3.3407946312985805E-2</v>
      </c>
      <c r="CA45" s="8">
        <f t="shared" si="12"/>
        <v>2.8000000000000003</v>
      </c>
      <c r="CB45" s="5">
        <f t="shared" si="13"/>
        <v>3.2941176470588251E-2</v>
      </c>
      <c r="CC45" s="7">
        <f t="shared" si="14"/>
        <v>5.9787261089987885E-3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>
        <v>0</v>
      </c>
    </row>
    <row r="46" spans="1:104" x14ac:dyDescent="0.25">
      <c r="A46" s="9" t="str">
        <f t="shared" si="10"/>
        <v>UK</v>
      </c>
      <c r="B46" s="9" t="s">
        <v>10</v>
      </c>
      <c r="C46" s="20"/>
      <c r="D46" s="9" t="s">
        <v>2</v>
      </c>
      <c r="E46" s="9" t="s">
        <v>186</v>
      </c>
      <c r="F46" s="9" t="str">
        <f>INDEX('Unique Asset List'!$C$4:$C$60,MATCH(B46,_CompoundList,0))</f>
        <v>PCD</v>
      </c>
      <c r="G46" s="19">
        <v>0</v>
      </c>
      <c r="H46" s="9">
        <v>2014</v>
      </c>
      <c r="I46" s="9">
        <v>6</v>
      </c>
      <c r="J46" s="18">
        <f>INDEX(PTRS!$D$6:$D$12,MATCH('4'!$F46,PTRS!$B$6:$B$12,0))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v>0.1044225</v>
      </c>
      <c r="N46" s="17">
        <f>INDEX('Unique Asset List'!$D$4:$M$60,MATCH($B46,'Unique Asset List'!$A$4:$A$60,0),MATCH(N$8,'Unique Asset List'!$D$3:$M$3,0))</f>
        <v>1</v>
      </c>
      <c r="O46" s="17">
        <f>INDEX('Unique Asset List'!$D$4:$M$60,MATCH($B46,'Unique Asset List'!$A$4:$A$60,0),MATCH(O$8,'Unique Asset List'!$D$3:$M$3,0))</f>
        <v>1</v>
      </c>
      <c r="P46" s="17">
        <f>INDEX('Unique Asset List'!$D$4:$M$60,MATCH($B46,'Unique Asset List'!$A$4:$A$60,0),MATCH(P$8,'Unique Asset List'!$D$3:$M$3,0))</f>
        <v>1</v>
      </c>
      <c r="Q46" s="17">
        <f>INDEX('Unique Asset List'!$D$4:$M$60,MATCH($B46,'Unique Asset List'!$A$4:$A$60,0),MATCH(Q$8,'Unique Asset List'!$D$3:$M$3,0))</f>
        <v>1</v>
      </c>
      <c r="R46" s="17">
        <f>INDEX('Unique Asset List'!$D$4:$M$60,MATCH($B46,'Unique Asset List'!$A$4:$A$60,0),MATCH(R$8,'Unique Asset List'!$D$3:$M$3,0))</f>
        <v>1</v>
      </c>
      <c r="S46" s="17">
        <f>INDEX('Unique Asset List'!$D$4:$M$60,MATCH($B46,'Unique Asset List'!$A$4:$A$60,0),MATCH(S$8,'Unique Asset List'!$D$3:$M$3,0))</f>
        <v>1</v>
      </c>
      <c r="T46" s="17"/>
      <c r="U46" s="17">
        <f t="shared" si="1"/>
        <v>0.90168566420734264</v>
      </c>
      <c r="V46" s="17">
        <v>1</v>
      </c>
      <c r="W46" s="9" t="s">
        <v>10</v>
      </c>
      <c r="X46" s="9">
        <f>INDEX('Unique Asset List'!$Y$4:$AE$60,MATCH('4'!$B46,'Unique Asset List'!$A$4:$A$60,0),MATCH('4'!$C$1,'Unique Asset List'!$Y$3:$AE$3,0))</f>
        <v>2034</v>
      </c>
      <c r="Y46" s="9">
        <f>INDEX('Unique Asset List'!$AF$4:$AL$60,MATCH('4'!$B46,'Unique Asset List'!$A$4:$A$60,0),MATCH('4'!$C$1,'Unique Asset List'!$AF$3:$AL$3,0))</f>
        <v>6</v>
      </c>
      <c r="Z46" s="9">
        <f>INDEX('Unique Asset List'!$AT$4:$AZ$60,MATCH('4'!$B46,'Unique Asset List'!$A$4:$A$60,0),MATCH('4'!$C$1,'Unique Asset List'!$AT$3:$AZ$3,0))</f>
        <v>2046</v>
      </c>
      <c r="AA46" s="9">
        <f>INDEX('Unique Asset List'!$BA$4:$BG$60,MATCH('4'!$B46,'Unique Asset List'!$A$4:$A$60,0),MATCH('4'!$C$1,'Unique Asset List'!$BA$3:$BG$3,0))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List'!$CJ$4:$CP$60,MATCH('4'!$B46,'Unique Asset List'!$A$4:$A$60,0),MATCH('4'!$C$1,'Unique Asset List'!$CJ$3:$CP$3,0))</f>
        <v>0.05</v>
      </c>
      <c r="AF46" s="15">
        <f>INDEX('Unique Asset List'!$CQ$4:$CW$60,MATCH('4'!$B46,'Unique Asset List'!$A$4:$A$60,0),MATCH('4'!$C$1,'Unique Asset List'!$CQ$3:$CW$3,0))</f>
        <v>0.45</v>
      </c>
      <c r="AG46" s="15">
        <f>INDEX('Unique Asset List'!$BV$4:$CB$60,MATCH('4'!$B46,'Unique Asset List'!$A$4:$A$60,0),MATCH('4'!$C$1,'Unique Asset List'!$BV$3:$CB$3,0))</f>
        <v>0.05</v>
      </c>
      <c r="AH46" s="15">
        <f>INDEX('Unique Asset List'!$CC$4:$CI$60,MATCH('4'!$B46,'Unique Asset List'!$A$4:$A$60,0),MATCH('4'!$C$1,'Unique Asset List'!$CC$3:$CI$3,0))</f>
        <v>0.45</v>
      </c>
      <c r="AI46" s="11">
        <v>0.96187963349867744</v>
      </c>
      <c r="AJ46" s="15">
        <f>INDEX('Unique Asset List'!$BH$4:$BN$60,MATCH('4'!$B46,'Unique Asset List'!$A$4:$A$60,0),MATCH('4'!$C$1,'Unique Asset List'!$BH$3:$BN$3,0))</f>
        <v>1.4542000570988298</v>
      </c>
      <c r="AK46" s="15">
        <f>INDEX('Unique Asset List'!$BO$4:$BU$60,MATCH('4'!$B46,'Unique Asset List'!$A$4:$A$60,0),MATCH('4'!$C$1,'Unique Asset List'!$BO$3:$BU$3,0))</f>
        <v>-0.4950056673809119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1"/>
        <v>0.82</v>
      </c>
      <c r="AS46" s="10">
        <v>1</v>
      </c>
      <c r="AT46" s="181">
        <f>INDEX('Unique Asset List'!N$4:N$60,MATCH($B46,_CompoundList,0))</f>
        <v>1</v>
      </c>
      <c r="AU46" s="181">
        <f>INDEX('Unique Asset List'!O$4:O$60,MATCH($B46,_CompoundList,0))</f>
        <v>1</v>
      </c>
      <c r="AV46" s="181">
        <f>INDEX('Unique Asset List'!P$4:P$60,MATCH($B46,_CompoundList,0))</f>
        <v>1</v>
      </c>
      <c r="AW46" s="181">
        <f>INDEX('Unique Asset List'!Q$4:Q$60,MATCH($B46,_CompoundList,0))</f>
        <v>1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1</v>
      </c>
      <c r="BB46" s="181">
        <f ca="1">INDEX('Unique Asset List'!V$4:V$60,MATCH($B46,_CompoundList,0))</f>
        <v>1</v>
      </c>
      <c r="BC46" s="181">
        <f ca="1">INDEX('Unique Asset List'!W$4:W$60,MATCH($B46,_CompoundList,0))</f>
        <v>1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IF($C$5="ON",CL46,MyRating(_S1,$B46,Efficacy!$F$1))</f>
        <v>0</v>
      </c>
      <c r="BM46" s="3">
        <f>IF($C$5="ON",CM46,MyRating(_S2,$B46,Efficacy!$F$1))</f>
        <v>0</v>
      </c>
      <c r="BN46" s="3">
        <f>IF($C$5="ON",CN46,MyRating(_S3,$B46,Efficacy!$F$1))</f>
        <v>0</v>
      </c>
      <c r="BO46" s="3">
        <f>IF($C$5="ON",CO46,MyRating(_S4,$B46,Efficacy!$F$1))</f>
        <v>0</v>
      </c>
      <c r="BP46" s="3">
        <f>IF($C$5="ON",CP46,MyRating(_S5,$B46,Efficacy!$F$1))</f>
        <v>0</v>
      </c>
      <c r="BQ46" s="3">
        <f>IF($C$5="ON",CQ46,MyRating(_S6,$B46,Efficacy!$F$1))</f>
        <v>0</v>
      </c>
      <c r="BR46" s="3">
        <f>IF($C$5="ON",CR46,MyRating(_S7,$B46,Efficacy!$F$1))</f>
        <v>0</v>
      </c>
      <c r="BS46" s="3">
        <f>IF($C$5="ON",CS46,MyRating(_D1,$B46,Efficacy!$F$1))</f>
        <v>0</v>
      </c>
      <c r="BT46" s="3">
        <f>IF($C$5="ON",CT46,MyRating(_D2,$B46,Efficacy!$F$1))</f>
        <v>0</v>
      </c>
      <c r="BU46" s="3">
        <f>IF($C$5="ON",CU46,MyRating(_D3,$B46,Efficacy!$F$1))</f>
        <v>0</v>
      </c>
      <c r="BV46" s="3">
        <f>IF($C$5="ON",CV46,MyRating(_D4,$B46,Efficacy!$F$1))</f>
        <v>0</v>
      </c>
      <c r="BW46" s="3">
        <f>IF($C$5="ON",CW46,MyRating(_B1G5,$B46,Barrier!$L$2))</f>
        <v>2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9"/>
        <v>3.3407946312985805E-2</v>
      </c>
      <c r="CA46" s="8">
        <f t="shared" si="12"/>
        <v>2.8000000000000003</v>
      </c>
      <c r="CB46" s="5">
        <f t="shared" si="13"/>
        <v>3.2941176470588251E-2</v>
      </c>
      <c r="CC46" s="7">
        <f t="shared" si="14"/>
        <v>5.9787261089987885E-3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>
        <v>0</v>
      </c>
    </row>
    <row r="47" spans="1:104" x14ac:dyDescent="0.25">
      <c r="A47" s="9" t="str">
        <f t="shared" si="10"/>
        <v>UK</v>
      </c>
      <c r="B47" s="9" t="s">
        <v>7</v>
      </c>
      <c r="C47" s="20"/>
      <c r="D47" s="9" t="s">
        <v>2</v>
      </c>
      <c r="E47" s="9" t="s">
        <v>186</v>
      </c>
      <c r="F47" s="9" t="str">
        <f>INDEX('Unique Asset List'!$C$4:$C$60,MATCH(B47,_CompoundList,0))</f>
        <v>PCD</v>
      </c>
      <c r="G47" s="19">
        <v>0</v>
      </c>
      <c r="H47" s="9">
        <v>2014</v>
      </c>
      <c r="I47" s="9">
        <v>6</v>
      </c>
      <c r="J47" s="18">
        <f>INDEX(PTRS!$D$6:$D$12,MATCH('4'!$F47,PTRS!$B$6:$B$12,0))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v>0.1044225</v>
      </c>
      <c r="N47" s="17">
        <f>INDEX('Unique Asset List'!$D$4:$M$60,MATCH($B47,'Unique Asset List'!$A$4:$A$60,0),MATCH(N$8,'Unique Asset List'!$D$3:$M$3,0))</f>
        <v>1</v>
      </c>
      <c r="O47" s="17">
        <f>INDEX('Unique Asset List'!$D$4:$M$60,MATCH($B47,'Unique Asset List'!$A$4:$A$60,0),MATCH(O$8,'Unique Asset List'!$D$3:$M$3,0))</f>
        <v>1</v>
      </c>
      <c r="P47" s="17">
        <f>INDEX('Unique Asset List'!$D$4:$M$60,MATCH($B47,'Unique Asset List'!$A$4:$A$60,0),MATCH(P$8,'Unique Asset List'!$D$3:$M$3,0))</f>
        <v>1</v>
      </c>
      <c r="Q47" s="17">
        <f>INDEX('Unique Asset List'!$D$4:$M$60,MATCH($B47,'Unique Asset List'!$A$4:$A$60,0),MATCH(Q$8,'Unique Asset List'!$D$3:$M$3,0))</f>
        <v>1</v>
      </c>
      <c r="R47" s="17">
        <f>INDEX('Unique Asset List'!$D$4:$M$60,MATCH($B47,'Unique Asset List'!$A$4:$A$60,0),MATCH(R$8,'Unique Asset List'!$D$3:$M$3,0))</f>
        <v>1</v>
      </c>
      <c r="S47" s="17">
        <f>INDEX('Unique Asset List'!$D$4:$M$60,MATCH($B47,'Unique Asset List'!$A$4:$A$60,0),MATCH(S$8,'Unique Asset List'!$D$3:$M$3,0))</f>
        <v>1</v>
      </c>
      <c r="T47" s="17"/>
      <c r="U47" s="17">
        <f t="shared" si="1"/>
        <v>0.90168566420734264</v>
      </c>
      <c r="V47" s="17">
        <v>1</v>
      </c>
      <c r="W47" s="9" t="s">
        <v>7</v>
      </c>
      <c r="X47" s="9">
        <f>INDEX('Unique Asset List'!$Y$4:$AE$60,MATCH('4'!$B47,'Unique Asset List'!$A$4:$A$60,0),MATCH('4'!$C$1,'Unique Asset List'!$Y$3:$AE$3,0))</f>
        <v>2038</v>
      </c>
      <c r="Y47" s="9">
        <f>INDEX('Unique Asset List'!$AF$4:$AL$60,MATCH('4'!$B47,'Unique Asset List'!$A$4:$A$60,0),MATCH('4'!$C$1,'Unique Asset List'!$AF$3:$AL$3,0))</f>
        <v>6</v>
      </c>
      <c r="Z47" s="9">
        <f>INDEX('Unique Asset List'!$AT$4:$AZ$60,MATCH('4'!$B47,'Unique Asset List'!$A$4:$A$60,0),MATCH('4'!$C$1,'Unique Asset List'!$AT$3:$AZ$3,0))</f>
        <v>2050</v>
      </c>
      <c r="AA47" s="9">
        <f>INDEX('Unique Asset List'!$BA$4:$BG$60,MATCH('4'!$B47,'Unique Asset List'!$A$4:$A$60,0),MATCH('4'!$C$1,'Unique Asset List'!$BA$3:$BG$3,0))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List'!$CJ$4:$CP$60,MATCH('4'!$B47,'Unique Asset List'!$A$4:$A$60,0),MATCH('4'!$C$1,'Unique Asset List'!$CJ$3:$CP$3,0))</f>
        <v>0.05</v>
      </c>
      <c r="AF47" s="15">
        <f>INDEX('Unique Asset List'!$CQ$4:$CW$60,MATCH('4'!$B47,'Unique Asset List'!$A$4:$A$60,0),MATCH('4'!$C$1,'Unique Asset List'!$CQ$3:$CW$3,0))</f>
        <v>0.45</v>
      </c>
      <c r="AG47" s="15">
        <f>INDEX('Unique Asset List'!$BV$4:$CB$60,MATCH('4'!$B47,'Unique Asset List'!$A$4:$A$60,0),MATCH('4'!$C$1,'Unique Asset List'!$BV$3:$CB$3,0))</f>
        <v>0.05</v>
      </c>
      <c r="AH47" s="15">
        <f>INDEX('Unique Asset List'!$CC$4:$CI$60,MATCH('4'!$B47,'Unique Asset List'!$A$4:$A$60,0),MATCH('4'!$C$1,'Unique Asset List'!$CC$3:$CI$3,0))</f>
        <v>0.45</v>
      </c>
      <c r="AI47" s="11">
        <v>0.96187963349867744</v>
      </c>
      <c r="AJ47" s="15">
        <f>INDEX('Unique Asset List'!$BH$4:$BN$60,MATCH('4'!$B47,'Unique Asset List'!$A$4:$A$60,0),MATCH('4'!$C$1,'Unique Asset List'!$BH$3:$BN$3,0))</f>
        <v>1.4542000570988298</v>
      </c>
      <c r="AK47" s="15">
        <f>INDEX('Unique Asset List'!$BO$4:$BU$60,MATCH('4'!$B47,'Unique Asset List'!$A$4:$A$60,0),MATCH('4'!$C$1,'Unique Asset List'!$BO$3:$BU$3,0))</f>
        <v>-0.4950056673809119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1"/>
        <v>0.82</v>
      </c>
      <c r="AS47" s="10">
        <v>1</v>
      </c>
      <c r="AT47" s="181">
        <f>INDEX('Unique Asset List'!N$4:N$60,MATCH($B47,_CompoundList,0))</f>
        <v>1</v>
      </c>
      <c r="AU47" s="181">
        <f>INDEX('Unique Asset List'!O$4:O$60,MATCH($B47,_CompoundList,0))</f>
        <v>1</v>
      </c>
      <c r="AV47" s="181">
        <f>INDEX('Unique Asset List'!P$4:P$60,MATCH($B47,_CompoundList,0))</f>
        <v>1</v>
      </c>
      <c r="AW47" s="181">
        <f>INDEX('Unique Asset List'!Q$4:Q$60,MATCH($B47,_CompoundList,0))</f>
        <v>1</v>
      </c>
      <c r="AX47" s="181">
        <f ca="1">INDEX('Unique Asset List'!R$4:R$60,MATCH($B47,_CompoundList,0))</f>
        <v>1</v>
      </c>
      <c r="AY47" s="181">
        <f ca="1">INDEX('Unique Asset List'!S$4:S$60,MATCH($B47,_CompoundList,0))</f>
        <v>1</v>
      </c>
      <c r="AZ47" s="181">
        <f ca="1">INDEX('Unique Asset List'!T$4:T$60,MATCH($B47,_CompoundList,0))</f>
        <v>1</v>
      </c>
      <c r="BA47" s="181">
        <f ca="1">INDEX('Unique Asset List'!U$4:U$60,MATCH($B47,_CompoundList,0))</f>
        <v>1</v>
      </c>
      <c r="BB47" s="181">
        <f ca="1">INDEX('Unique Asset List'!V$4:V$60,MATCH($B47,_CompoundList,0))</f>
        <v>1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IF($C$5="ON",CL47,MyRating(_S1,$B47,Efficacy!$F$1))</f>
        <v>0</v>
      </c>
      <c r="BM47" s="3">
        <f>IF($C$5="ON",CM47,MyRating(_S2,$B47,Efficacy!$F$1))</f>
        <v>0</v>
      </c>
      <c r="BN47" s="3">
        <f>IF($C$5="ON",CN47,MyRating(_S3,$B47,Efficacy!$F$1))</f>
        <v>0</v>
      </c>
      <c r="BO47" s="3">
        <f>IF($C$5="ON",CO47,MyRating(_S4,$B47,Efficacy!$F$1))</f>
        <v>0</v>
      </c>
      <c r="BP47" s="3">
        <f>IF($C$5="ON",CP47,MyRating(_S5,$B47,Efficacy!$F$1))</f>
        <v>0</v>
      </c>
      <c r="BQ47" s="3">
        <f>IF($C$5="ON",CQ47,MyRating(_S6,$B47,Efficacy!$F$1))</f>
        <v>0</v>
      </c>
      <c r="BR47" s="3">
        <f>IF($C$5="ON",CR47,MyRating(_S7,$B47,Efficacy!$F$1))</f>
        <v>0</v>
      </c>
      <c r="BS47" s="3">
        <f>IF($C$5="ON",CS47,MyRating(_D1,$B47,Efficacy!$F$1))</f>
        <v>0</v>
      </c>
      <c r="BT47" s="3">
        <f>IF($C$5="ON",CT47,MyRating(_D2,$B47,Efficacy!$F$1))</f>
        <v>0</v>
      </c>
      <c r="BU47" s="3">
        <f>IF($C$5="ON",CU47,MyRating(_D3,$B47,Efficacy!$F$1))</f>
        <v>0</v>
      </c>
      <c r="BV47" s="3">
        <f>IF($C$5="ON",CV47,MyRating(_D4,$B47,Efficacy!$F$1))</f>
        <v>0</v>
      </c>
      <c r="BW47" s="3">
        <f>IF($C$5="ON",CW47,MyRating(_B1G5,$B47,Barrier!$L$2))</f>
        <v>2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9"/>
        <v>3.3407946312985805E-2</v>
      </c>
      <c r="CA47" s="8">
        <f t="shared" si="12"/>
        <v>2.8000000000000003</v>
      </c>
      <c r="CB47" s="5">
        <f t="shared" si="13"/>
        <v>3.2941176470588251E-2</v>
      </c>
      <c r="CC47" s="7">
        <f t="shared" si="14"/>
        <v>5.9787261089987885E-3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>
        <v>0</v>
      </c>
    </row>
    <row r="48" spans="1:104" x14ac:dyDescent="0.25">
      <c r="A48" s="9" t="str">
        <f t="shared" si="10"/>
        <v>UK</v>
      </c>
      <c r="B48" s="9" t="s">
        <v>15</v>
      </c>
      <c r="C48" s="20"/>
      <c r="D48" s="9" t="s">
        <v>14</v>
      </c>
      <c r="E48" s="9" t="s">
        <v>186</v>
      </c>
      <c r="F48" s="9" t="str">
        <f>INDEX('Unique Asset List'!$C$4:$C$60,MATCH(B48,_CompoundList,0))</f>
        <v>PCD</v>
      </c>
      <c r="G48" s="19">
        <v>0</v>
      </c>
      <c r="H48" s="9">
        <v>2014</v>
      </c>
      <c r="I48" s="9">
        <v>6</v>
      </c>
      <c r="J48" s="18">
        <f>INDEX(PTRS!$D$6:$D$12,MATCH('4'!$F48,PTRS!$B$6:$B$12,0))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v>0.1044225</v>
      </c>
      <c r="N48" s="17">
        <f>INDEX('Unique Asset List'!$D$4:$M$60,MATCH($B48,'Unique Asset List'!$A$4:$A$60,0),MATCH(N$8,'Unique Asset List'!$D$3:$M$3,0))</f>
        <v>1</v>
      </c>
      <c r="O48" s="17">
        <f>INDEX('Unique Asset List'!$D$4:$M$60,MATCH($B48,'Unique Asset List'!$A$4:$A$60,0),MATCH(O$8,'Unique Asset List'!$D$3:$M$3,0))</f>
        <v>1</v>
      </c>
      <c r="P48" s="17">
        <f>INDEX('Unique Asset List'!$D$4:$M$60,MATCH($B48,'Unique Asset List'!$A$4:$A$60,0),MATCH(P$8,'Unique Asset List'!$D$3:$M$3,0))</f>
        <v>1</v>
      </c>
      <c r="Q48" s="17">
        <f>INDEX('Unique Asset List'!$D$4:$M$60,MATCH($B48,'Unique Asset List'!$A$4:$A$60,0),MATCH(Q$8,'Unique Asset List'!$D$3:$M$3,0))</f>
        <v>1</v>
      </c>
      <c r="R48" s="17">
        <f>INDEX('Unique Asset List'!$D$4:$M$60,MATCH($B48,'Unique Asset List'!$A$4:$A$60,0),MATCH(R$8,'Unique Asset List'!$D$3:$M$3,0))</f>
        <v>1</v>
      </c>
      <c r="S48" s="17">
        <f>INDEX('Unique Asset List'!$D$4:$M$60,MATCH($B48,'Unique Asset List'!$A$4:$A$60,0),MATCH(S$8,'Unique Asset List'!$D$3:$M$3,0))</f>
        <v>1</v>
      </c>
      <c r="T48" s="17" t="s">
        <v>13</v>
      </c>
      <c r="U48" s="17">
        <f t="shared" si="1"/>
        <v>0.90168566420734264</v>
      </c>
      <c r="V48" s="17">
        <v>1</v>
      </c>
      <c r="W48" s="9" t="s">
        <v>13</v>
      </c>
      <c r="X48" s="9">
        <f>INDEX('Unique Asset List'!$Y$4:$AE$60,MATCH('4'!$B48,'Unique Asset List'!$A$4:$A$60,0),MATCH('4'!$C$1,'Unique Asset List'!$Y$3:$AE$3,0))</f>
        <v>2032</v>
      </c>
      <c r="Y48" s="9">
        <f>INDEX('Unique Asset List'!$AF$4:$AL$60,MATCH('4'!$B48,'Unique Asset List'!$A$4:$A$60,0),MATCH('4'!$C$1,'Unique Asset List'!$AF$3:$AL$3,0))</f>
        <v>6</v>
      </c>
      <c r="Z48" s="9">
        <f>INDEX('Unique Asset List'!$AT$4:$AZ$60,MATCH('4'!$B48,'Unique Asset List'!$A$4:$A$60,0),MATCH('4'!$C$1,'Unique Asset List'!$AT$3:$AZ$3,0))</f>
        <v>2044</v>
      </c>
      <c r="AA48" s="9">
        <f>INDEX('Unique Asset List'!$BA$4:$BG$60,MATCH('4'!$B48,'Unique Asset List'!$A$4:$A$60,0),MATCH('4'!$C$1,'Unique Asset List'!$BA$3:$BG$3,0))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List'!$CJ$4:$CP$60,MATCH('4'!$B48,'Unique Asset List'!$A$4:$A$60,0),MATCH('4'!$C$1,'Unique Asset List'!$CJ$3:$CP$3,0))</f>
        <v>0.05</v>
      </c>
      <c r="AF48" s="15">
        <f>INDEX('Unique Asset List'!$CQ$4:$CW$60,MATCH('4'!$B48,'Unique Asset List'!$A$4:$A$60,0),MATCH('4'!$C$1,'Unique Asset List'!$CQ$3:$CW$3,0))</f>
        <v>0.45</v>
      </c>
      <c r="AG48" s="15">
        <f>INDEX('Unique Asset List'!$BV$4:$CB$60,MATCH('4'!$B48,'Unique Asset List'!$A$4:$A$60,0),MATCH('4'!$C$1,'Unique Asset List'!$BV$3:$CB$3,0))</f>
        <v>0.05</v>
      </c>
      <c r="AH48" s="15">
        <f>INDEX('Unique Asset List'!$CC$4:$CI$60,MATCH('4'!$B48,'Unique Asset List'!$A$4:$A$60,0),MATCH('4'!$C$1,'Unique Asset List'!$CC$3:$CI$3,0))</f>
        <v>0.45</v>
      </c>
      <c r="AI48" s="11">
        <v>0.96187963349867744</v>
      </c>
      <c r="AJ48" s="15">
        <f>INDEX('Unique Asset List'!$BH$4:$BN$60,MATCH('4'!$B48,'Unique Asset List'!$A$4:$A$60,0),MATCH('4'!$C$1,'Unique Asset List'!$BH$3:$BN$3,0))</f>
        <v>1.4542000570988298</v>
      </c>
      <c r="AK48" s="15">
        <f>INDEX('Unique Asset List'!$BO$4:$BU$60,MATCH('4'!$B48,'Unique Asset List'!$A$4:$A$60,0),MATCH('4'!$C$1,'Unique Asset List'!$BO$3:$BU$3,0))</f>
        <v>-0.4950056673809119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1"/>
        <v>0.82</v>
      </c>
      <c r="AS48" s="10">
        <v>1</v>
      </c>
      <c r="AT48" s="181">
        <f>INDEX('Unique Asset List'!N$4:N$60,MATCH($B48,_CompoundList,0))</f>
        <v>1</v>
      </c>
      <c r="AU48" s="181">
        <f>INDEX('Unique Asset List'!O$4:O$60,MATCH($B48,_CompoundList,0))</f>
        <v>1</v>
      </c>
      <c r="AV48" s="181">
        <f>INDEX('Unique Asset List'!P$4:P$60,MATCH($B48,_CompoundList,0))</f>
        <v>1</v>
      </c>
      <c r="AW48" s="181">
        <f>INDEX('Unique Asset List'!Q$4:Q$60,MATCH($B48,_CompoundList,0))</f>
        <v>1</v>
      </c>
      <c r="AX48" s="181">
        <f ca="1">INDEX('Unique Asset List'!R$4:R$60,MATCH($B48,_CompoundList,0))</f>
        <v>1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1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1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IF($C$5="ON",CL48,MyRating(_S1,$B48,Efficacy!$F$1))</f>
        <v>0</v>
      </c>
      <c r="BM48" s="3">
        <f>IF($C$5="ON",CM48,MyRating(_S2,$B48,Efficacy!$F$1))</f>
        <v>0</v>
      </c>
      <c r="BN48" s="3">
        <f>IF($C$5="ON",CN48,MyRating(_S3,$B48,Efficacy!$F$1))</f>
        <v>0</v>
      </c>
      <c r="BO48" s="3">
        <f>IF($C$5="ON",CO48,MyRating(_S4,$B48,Efficacy!$F$1))</f>
        <v>0</v>
      </c>
      <c r="BP48" s="3">
        <f>IF($C$5="ON",CP48,MyRating(_S5,$B48,Efficacy!$F$1))</f>
        <v>0</v>
      </c>
      <c r="BQ48" s="3">
        <f>IF($C$5="ON",CQ48,MyRating(_S6,$B48,Efficacy!$F$1))</f>
        <v>0</v>
      </c>
      <c r="BR48" s="3">
        <f>IF($C$5="ON",CR48,MyRating(_S7,$B48,Efficacy!$F$1))</f>
        <v>0</v>
      </c>
      <c r="BS48" s="3">
        <f>IF($C$5="ON",CS48,MyRating(_D1,$B48,Efficacy!$F$1))</f>
        <v>0</v>
      </c>
      <c r="BT48" s="3">
        <f>IF($C$5="ON",CT48,MyRating(_D2,$B48,Efficacy!$F$1))</f>
        <v>0</v>
      </c>
      <c r="BU48" s="3">
        <f>IF($C$5="ON",CU48,MyRating(_D3,$B48,Efficacy!$F$1))</f>
        <v>0</v>
      </c>
      <c r="BV48" s="3">
        <f>IF($C$5="ON",CV48,MyRating(_D4,$B48,Efficacy!$F$1))</f>
        <v>0</v>
      </c>
      <c r="BW48" s="3">
        <f>IF($C$5="ON",CW48,MyRating(_B1G5,$B48,Barrier!$L$2))</f>
        <v>2</v>
      </c>
      <c r="BX48" s="3">
        <f>IF($C$5="ON",CX48,MyRating(_B2,$B48,Barrier!$F$2))</f>
        <v>3</v>
      </c>
      <c r="BY48" s="6">
        <f>IF($C$5="ON",CY48,MyRating(_B3,$B48,Barrier!$F$2))</f>
        <v>3</v>
      </c>
      <c r="BZ48" s="5">
        <f t="shared" si="9"/>
        <v>3.3407946312985805E-2</v>
      </c>
      <c r="CA48" s="8">
        <f t="shared" si="12"/>
        <v>2.8000000000000003</v>
      </c>
      <c r="CB48" s="5">
        <f t="shared" si="13"/>
        <v>3.2941176470588251E-2</v>
      </c>
      <c r="CC48" s="7">
        <f t="shared" si="14"/>
        <v>5.9787261089987885E-3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>
        <v>0</v>
      </c>
    </row>
    <row r="49" spans="1:104" x14ac:dyDescent="0.25">
      <c r="A49" s="9" t="str">
        <f t="shared" si="10"/>
        <v>UK</v>
      </c>
      <c r="B49" s="9" t="s">
        <v>12</v>
      </c>
      <c r="C49" s="20"/>
      <c r="D49" s="9" t="s">
        <v>11</v>
      </c>
      <c r="E49" s="9" t="s">
        <v>186</v>
      </c>
      <c r="F49" s="9" t="str">
        <f>INDEX('Unique Asset List'!$C$4:$C$60,MATCH(B49,_CompoundList,0))</f>
        <v>PCD</v>
      </c>
      <c r="G49" s="19">
        <v>0</v>
      </c>
      <c r="H49" s="9">
        <v>2014</v>
      </c>
      <c r="I49" s="9">
        <v>6</v>
      </c>
      <c r="J49" s="18">
        <f>INDEX(PTRS!$D$6:$D$12,MATCH('4'!$F49,PTRS!$B$6:$B$12,0))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v>0.1044225</v>
      </c>
      <c r="N49" s="17">
        <f>INDEX('Unique Asset List'!$D$4:$M$60,MATCH($B49,'Unique Asset List'!$A$4:$A$60,0),MATCH(N$8,'Unique Asset List'!$D$3:$M$3,0))</f>
        <v>1</v>
      </c>
      <c r="O49" s="17">
        <f>INDEX('Unique Asset List'!$D$4:$M$60,MATCH($B49,'Unique Asset List'!$A$4:$A$60,0),MATCH(O$8,'Unique Asset List'!$D$3:$M$3,0))</f>
        <v>1</v>
      </c>
      <c r="P49" s="17">
        <f>INDEX('Unique Asset List'!$D$4:$M$60,MATCH($B49,'Unique Asset List'!$A$4:$A$60,0),MATCH(P$8,'Unique Asset List'!$D$3:$M$3,0))</f>
        <v>1</v>
      </c>
      <c r="Q49" s="17">
        <f>INDEX('Unique Asset List'!$D$4:$M$60,MATCH($B49,'Unique Asset List'!$A$4:$A$60,0),MATCH(Q$8,'Unique Asset List'!$D$3:$M$3,0))</f>
        <v>1</v>
      </c>
      <c r="R49" s="17">
        <f>INDEX('Unique Asset List'!$D$4:$M$60,MATCH($B49,'Unique Asset List'!$A$4:$A$60,0),MATCH(R$8,'Unique Asset List'!$D$3:$M$3,0))</f>
        <v>1</v>
      </c>
      <c r="S49" s="17">
        <f>INDEX('Unique Asset List'!$D$4:$M$60,MATCH($B49,'Unique Asset List'!$A$4:$A$60,0),MATCH(S$8,'Unique Asset List'!$D$3:$M$3,0))</f>
        <v>1</v>
      </c>
      <c r="T49" s="17" t="s">
        <v>10</v>
      </c>
      <c r="U49" s="17">
        <f t="shared" si="1"/>
        <v>0.90168566420734264</v>
      </c>
      <c r="V49" s="17">
        <v>1</v>
      </c>
      <c r="W49" s="9" t="s">
        <v>10</v>
      </c>
      <c r="X49" s="9">
        <f>INDEX('Unique Asset List'!$Y$4:$AE$60,MATCH('4'!$B49,'Unique Asset List'!$A$4:$A$60,0),MATCH('4'!$C$1,'Unique Asset List'!$Y$3:$AE$3,0))</f>
        <v>2036</v>
      </c>
      <c r="Y49" s="9">
        <f>INDEX('Unique Asset List'!$AF$4:$AL$60,MATCH('4'!$B49,'Unique Asset List'!$A$4:$A$60,0),MATCH('4'!$C$1,'Unique Asset List'!$AF$3:$AL$3,0))</f>
        <v>6</v>
      </c>
      <c r="Z49" s="9">
        <f>INDEX('Unique Asset List'!$AT$4:$AZ$60,MATCH('4'!$B49,'Unique Asset List'!$A$4:$A$60,0),MATCH('4'!$C$1,'Unique Asset List'!$AT$3:$AZ$3,0))</f>
        <v>2048</v>
      </c>
      <c r="AA49" s="9">
        <f>INDEX('Unique Asset List'!$BA$4:$BG$60,MATCH('4'!$B49,'Unique Asset List'!$A$4:$A$60,0),MATCH('4'!$C$1,'Unique Asset List'!$BA$3:$BG$3,0))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List'!$CJ$4:$CP$60,MATCH('4'!$B49,'Unique Asset List'!$A$4:$A$60,0),MATCH('4'!$C$1,'Unique Asset List'!$CJ$3:$CP$3,0))</f>
        <v>0.05</v>
      </c>
      <c r="AF49" s="15">
        <f>INDEX('Unique Asset List'!$CQ$4:$CW$60,MATCH('4'!$B49,'Unique Asset List'!$A$4:$A$60,0),MATCH('4'!$C$1,'Unique Asset List'!$CQ$3:$CW$3,0))</f>
        <v>0.45</v>
      </c>
      <c r="AG49" s="15">
        <f>INDEX('Unique Asset List'!$BV$4:$CB$60,MATCH('4'!$B49,'Unique Asset List'!$A$4:$A$60,0),MATCH('4'!$C$1,'Unique Asset List'!$BV$3:$CB$3,0))</f>
        <v>0.05</v>
      </c>
      <c r="AH49" s="15">
        <f>INDEX('Unique Asset List'!$CC$4:$CI$60,MATCH('4'!$B49,'Unique Asset List'!$A$4:$A$60,0),MATCH('4'!$C$1,'Unique Asset List'!$CC$3:$CI$3,0))</f>
        <v>0.45</v>
      </c>
      <c r="AI49" s="11">
        <v>0.96187963349867744</v>
      </c>
      <c r="AJ49" s="15">
        <f>INDEX('Unique Asset List'!$BH$4:$BN$60,MATCH('4'!$B49,'Unique Asset List'!$A$4:$A$60,0),MATCH('4'!$C$1,'Unique Asset List'!$BH$3:$BN$3,0))</f>
        <v>1.4542000570988298</v>
      </c>
      <c r="AK49" s="15">
        <f>INDEX('Unique Asset List'!$BO$4:$BU$60,MATCH('4'!$B49,'Unique Asset List'!$A$4:$A$60,0),MATCH('4'!$C$1,'Unique Asset List'!$BO$3:$BU$3,0))</f>
        <v>-0.4950056673809119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1"/>
        <v>0.82</v>
      </c>
      <c r="AS49" s="10">
        <v>1</v>
      </c>
      <c r="AT49" s="181">
        <f>INDEX('Unique Asset List'!N$4:N$60,MATCH($B49,_CompoundList,0))</f>
        <v>1</v>
      </c>
      <c r="AU49" s="181">
        <f>INDEX('Unique Asset List'!O$4:O$60,MATCH($B49,_CompoundList,0))</f>
        <v>1</v>
      </c>
      <c r="AV49" s="181">
        <f>INDEX('Unique Asset List'!P$4:P$60,MATCH($B49,_CompoundList,0))</f>
        <v>1</v>
      </c>
      <c r="AW49" s="181">
        <f>INDEX('Unique Asset List'!Q$4:Q$60,MATCH($B49,_CompoundList,0))</f>
        <v>1</v>
      </c>
      <c r="AX49" s="181">
        <f ca="1">INDEX('Unique Asset List'!R$4:R$60,MATCH($B49,_CompoundList,0))</f>
        <v>1</v>
      </c>
      <c r="AY49" s="181">
        <f ca="1">INDEX('Unique Asset List'!S$4:S$60,MATCH($B49,_CompoundList,0))</f>
        <v>1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1</v>
      </c>
      <c r="BB49" s="181">
        <f ca="1">INDEX('Unique Asset List'!V$4:V$60,MATCH($B49,_CompoundList,0))</f>
        <v>1</v>
      </c>
      <c r="BC49" s="181">
        <f ca="1">INDEX('Unique Asset List'!W$4:W$60,MATCH($B49,_CompoundList,0))</f>
        <v>1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IF($C$5="ON",CL49,MyRating(_S1,$B49,Efficacy!$F$1))</f>
        <v>0</v>
      </c>
      <c r="BM49" s="3">
        <f>IF($C$5="ON",CM49,MyRating(_S2,$B49,Efficacy!$F$1))</f>
        <v>0</v>
      </c>
      <c r="BN49" s="3">
        <f>IF($C$5="ON",CN49,MyRating(_S3,$B49,Efficacy!$F$1))</f>
        <v>0</v>
      </c>
      <c r="BO49" s="3">
        <f>IF($C$5="ON",CO49,MyRating(_S4,$B49,Efficacy!$F$1))</f>
        <v>0</v>
      </c>
      <c r="BP49" s="3">
        <f>IF($C$5="ON",CP49,MyRating(_S5,$B49,Efficacy!$F$1))</f>
        <v>0</v>
      </c>
      <c r="BQ49" s="3">
        <f>IF($C$5="ON",CQ49,MyRating(_S6,$B49,Efficacy!$F$1))</f>
        <v>0</v>
      </c>
      <c r="BR49" s="3">
        <f>IF($C$5="ON",CR49,MyRating(_S7,$B49,Efficacy!$F$1))</f>
        <v>0</v>
      </c>
      <c r="BS49" s="3">
        <f>IF($C$5="ON",CS49,MyRating(_D1,$B49,Efficacy!$F$1))</f>
        <v>0</v>
      </c>
      <c r="BT49" s="3">
        <f>IF($C$5="ON",CT49,MyRating(_D2,$B49,Efficacy!$F$1))</f>
        <v>0</v>
      </c>
      <c r="BU49" s="3">
        <f>IF($C$5="ON",CU49,MyRating(_D3,$B49,Efficacy!$F$1))</f>
        <v>0</v>
      </c>
      <c r="BV49" s="3">
        <f>IF($C$5="ON",CV49,MyRating(_D4,$B49,Efficacy!$F$1))</f>
        <v>0</v>
      </c>
      <c r="BW49" s="3">
        <f>IF($C$5="ON",CW49,MyRating(_B1G5,$B49,Barrier!$L$2))</f>
        <v>2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9"/>
        <v>3.3407946312985805E-2</v>
      </c>
      <c r="CA49" s="8">
        <f t="shared" si="12"/>
        <v>2.8000000000000003</v>
      </c>
      <c r="CB49" s="5">
        <f t="shared" si="13"/>
        <v>3.2941176470588251E-2</v>
      </c>
      <c r="CC49" s="7">
        <f t="shared" si="14"/>
        <v>5.9787261089987885E-3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>
        <v>0</v>
      </c>
    </row>
    <row r="50" spans="1:104" x14ac:dyDescent="0.25">
      <c r="A50" s="9" t="str">
        <f t="shared" si="10"/>
        <v>UK</v>
      </c>
      <c r="B50" s="9" t="s">
        <v>9</v>
      </c>
      <c r="C50" s="20"/>
      <c r="D50" s="9" t="s">
        <v>8</v>
      </c>
      <c r="E50" s="9" t="s">
        <v>186</v>
      </c>
      <c r="F50" s="9" t="str">
        <f>INDEX('Unique Asset List'!$C$4:$C$60,MATCH(B50,_CompoundList,0))</f>
        <v>PCD</v>
      </c>
      <c r="G50" s="19">
        <v>0</v>
      </c>
      <c r="H50" s="9">
        <v>2014</v>
      </c>
      <c r="I50" s="9">
        <v>6</v>
      </c>
      <c r="J50" s="18">
        <f>INDEX(PTRS!$D$6:$D$12,MATCH('4'!$F50,PTRS!$B$6:$B$12,0))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v>0.1044225</v>
      </c>
      <c r="N50" s="17">
        <f>INDEX('Unique Asset List'!$D$4:$M$60,MATCH($B50,'Unique Asset List'!$A$4:$A$60,0),MATCH(N$8,'Unique Asset List'!$D$3:$M$3,0))</f>
        <v>1</v>
      </c>
      <c r="O50" s="17">
        <f>INDEX('Unique Asset List'!$D$4:$M$60,MATCH($B50,'Unique Asset List'!$A$4:$A$60,0),MATCH(O$8,'Unique Asset List'!$D$3:$M$3,0))</f>
        <v>1</v>
      </c>
      <c r="P50" s="17">
        <f>INDEX('Unique Asset List'!$D$4:$M$60,MATCH($B50,'Unique Asset List'!$A$4:$A$60,0),MATCH(P$8,'Unique Asset List'!$D$3:$M$3,0))</f>
        <v>1</v>
      </c>
      <c r="Q50" s="17">
        <f>INDEX('Unique Asset List'!$D$4:$M$60,MATCH($B50,'Unique Asset List'!$A$4:$A$60,0),MATCH(Q$8,'Unique Asset List'!$D$3:$M$3,0))</f>
        <v>1</v>
      </c>
      <c r="R50" s="17">
        <f>INDEX('Unique Asset List'!$D$4:$M$60,MATCH($B50,'Unique Asset List'!$A$4:$A$60,0),MATCH(R$8,'Unique Asset List'!$D$3:$M$3,0))</f>
        <v>1</v>
      </c>
      <c r="S50" s="17">
        <f>INDEX('Unique Asset List'!$D$4:$M$60,MATCH($B50,'Unique Asset List'!$A$4:$A$60,0),MATCH(S$8,'Unique Asset List'!$D$3:$M$3,0))</f>
        <v>1</v>
      </c>
      <c r="T50" s="17" t="s">
        <v>7</v>
      </c>
      <c r="U50" s="17">
        <f t="shared" si="1"/>
        <v>0.90168566420734264</v>
      </c>
      <c r="V50" s="17">
        <v>1</v>
      </c>
      <c r="W50" s="9" t="s">
        <v>7</v>
      </c>
      <c r="X50" s="9">
        <f>INDEX('Unique Asset List'!$Y$4:$AE$60,MATCH('4'!$B50,'Unique Asset List'!$A$4:$A$60,0),MATCH('4'!$C$1,'Unique Asset List'!$Y$3:$AE$3,0))</f>
        <v>2041</v>
      </c>
      <c r="Y50" s="9">
        <f>INDEX('Unique Asset List'!$AF$4:$AL$60,MATCH('4'!$B50,'Unique Asset List'!$A$4:$A$60,0),MATCH('4'!$C$1,'Unique Asset List'!$AF$3:$AL$3,0))</f>
        <v>6</v>
      </c>
      <c r="Z50" s="9">
        <f>INDEX('Unique Asset List'!$AT$4:$AZ$60,MATCH('4'!$B50,'Unique Asset List'!$A$4:$A$60,0),MATCH('4'!$C$1,'Unique Asset List'!$AT$3:$AZ$3,0))</f>
        <v>2053</v>
      </c>
      <c r="AA50" s="9">
        <f>INDEX('Unique Asset List'!$BA$4:$BG$60,MATCH('4'!$B50,'Unique Asset List'!$A$4:$A$60,0),MATCH('4'!$C$1,'Unique Asset List'!$BA$3:$BG$3,0))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List'!$CJ$4:$CP$60,MATCH('4'!$B50,'Unique Asset List'!$A$4:$A$60,0),MATCH('4'!$C$1,'Unique Asset List'!$CJ$3:$CP$3,0))</f>
        <v>0.05</v>
      </c>
      <c r="AF50" s="15">
        <f>INDEX('Unique Asset List'!$CQ$4:$CW$60,MATCH('4'!$B50,'Unique Asset List'!$A$4:$A$60,0),MATCH('4'!$C$1,'Unique Asset List'!$CQ$3:$CW$3,0))</f>
        <v>0.45</v>
      </c>
      <c r="AG50" s="15">
        <f>INDEX('Unique Asset List'!$BV$4:$CB$60,MATCH('4'!$B50,'Unique Asset List'!$A$4:$A$60,0),MATCH('4'!$C$1,'Unique Asset List'!$BV$3:$CB$3,0))</f>
        <v>0.05</v>
      </c>
      <c r="AH50" s="15">
        <f>INDEX('Unique Asset List'!$CC$4:$CI$60,MATCH('4'!$B50,'Unique Asset List'!$A$4:$A$60,0),MATCH('4'!$C$1,'Unique Asset List'!$CC$3:$CI$3,0))</f>
        <v>0.45</v>
      </c>
      <c r="AI50" s="11">
        <v>0.96187963349867744</v>
      </c>
      <c r="AJ50" s="15">
        <f>INDEX('Unique Asset List'!$BH$4:$BN$60,MATCH('4'!$B50,'Unique Asset List'!$A$4:$A$60,0),MATCH('4'!$C$1,'Unique Asset List'!$BH$3:$BN$3,0))</f>
        <v>1.4542000570988298</v>
      </c>
      <c r="AK50" s="15">
        <f>INDEX('Unique Asset List'!$BO$4:$BU$60,MATCH('4'!$B50,'Unique Asset List'!$A$4:$A$60,0),MATCH('4'!$C$1,'Unique Asset List'!$BO$3:$BU$3,0))</f>
        <v>-0.4950056673809119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1"/>
        <v>0.82</v>
      </c>
      <c r="AS50" s="10">
        <v>1</v>
      </c>
      <c r="AT50" s="181">
        <f>INDEX('Unique Asset List'!N$4:N$60,MATCH($B50,_CompoundList,0))</f>
        <v>1</v>
      </c>
      <c r="AU50" s="181">
        <f>INDEX('Unique Asset List'!O$4:O$60,MATCH($B50,_CompoundList,0))</f>
        <v>1</v>
      </c>
      <c r="AV50" s="181">
        <f>INDEX('Unique Asset List'!P$4:P$60,MATCH($B50,_CompoundList,0))</f>
        <v>1</v>
      </c>
      <c r="AW50" s="181">
        <f>INDEX('Unique Asset List'!Q$4:Q$60,MATCH($B50,_CompoundList,0))</f>
        <v>1</v>
      </c>
      <c r="AX50" s="181">
        <f ca="1">INDEX('Unique Asset List'!R$4:R$60,MATCH($B50,_CompoundList,0))</f>
        <v>1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1</v>
      </c>
      <c r="BA50" s="181">
        <f ca="1">INDEX('Unique Asset List'!U$4:U$60,MATCH($B50,_CompoundList,0))</f>
        <v>1</v>
      </c>
      <c r="BB50" s="181">
        <f ca="1">INDEX('Unique Asset List'!V$4:V$60,MATCH($B50,_CompoundList,0))</f>
        <v>1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IF($C$5="ON",CL50,MyRating(_S1,$B50,Efficacy!$F$1))</f>
        <v>0</v>
      </c>
      <c r="BM50" s="3">
        <f>IF($C$5="ON",CM50,MyRating(_S2,$B50,Efficacy!$F$1))</f>
        <v>0</v>
      </c>
      <c r="BN50" s="3">
        <f>IF($C$5="ON",CN50,MyRating(_S3,$B50,Efficacy!$F$1))</f>
        <v>0</v>
      </c>
      <c r="BO50" s="3">
        <f>IF($C$5="ON",CO50,MyRating(_S4,$B50,Efficacy!$F$1))</f>
        <v>0</v>
      </c>
      <c r="BP50" s="3">
        <f>IF($C$5="ON",CP50,MyRating(_S5,$B50,Efficacy!$F$1))</f>
        <v>0</v>
      </c>
      <c r="BQ50" s="3">
        <f>IF($C$5="ON",CQ50,MyRating(_S6,$B50,Efficacy!$F$1))</f>
        <v>0</v>
      </c>
      <c r="BR50" s="3">
        <f>IF($C$5="ON",CR50,MyRating(_S7,$B50,Efficacy!$F$1))</f>
        <v>0</v>
      </c>
      <c r="BS50" s="3">
        <f>IF($C$5="ON",CS50,MyRating(_D1,$B50,Efficacy!$F$1))</f>
        <v>0</v>
      </c>
      <c r="BT50" s="3">
        <f>IF($C$5="ON",CT50,MyRating(_D2,$B50,Efficacy!$F$1))</f>
        <v>0</v>
      </c>
      <c r="BU50" s="3">
        <f>IF($C$5="ON",CU50,MyRating(_D3,$B50,Efficacy!$F$1))</f>
        <v>0</v>
      </c>
      <c r="BV50" s="3">
        <f>IF($C$5="ON",CV50,MyRating(_D4,$B50,Efficacy!$F$1))</f>
        <v>0</v>
      </c>
      <c r="BW50" s="3">
        <f>IF($C$5="ON",CW50,MyRating(_B1G5,$B50,Barrier!$L$2))</f>
        <v>2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9"/>
        <v>3.3407946312985805E-2</v>
      </c>
      <c r="CA50" s="8">
        <f t="shared" si="12"/>
        <v>2.8000000000000003</v>
      </c>
      <c r="CB50" s="5">
        <f t="shared" si="13"/>
        <v>3.2941176470588251E-2</v>
      </c>
      <c r="CC50" s="7">
        <f t="shared" si="14"/>
        <v>5.9787261089987885E-3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>
        <v>0</v>
      </c>
    </row>
    <row r="51" spans="1:104" x14ac:dyDescent="0.25">
      <c r="A51" s="9" t="str">
        <f t="shared" si="10"/>
        <v>UK</v>
      </c>
      <c r="B51" s="9" t="s">
        <v>4</v>
      </c>
      <c r="C51" s="20" t="s">
        <v>3</v>
      </c>
      <c r="D51" s="9" t="s">
        <v>2</v>
      </c>
      <c r="E51" s="9" t="s">
        <v>186</v>
      </c>
      <c r="F51" s="9" t="str">
        <f>INDEX('Unique Asset List'!$C$4:$C$60,MATCH(B51,_CompoundList,0))</f>
        <v>PCD</v>
      </c>
      <c r="G51" s="19">
        <v>0</v>
      </c>
      <c r="H51" s="9">
        <v>2014</v>
      </c>
      <c r="I51" s="9">
        <v>6</v>
      </c>
      <c r="J51" s="18">
        <f>INDEX(PTRS!$D$6:$D$12,MATCH('4'!$F51,PTRS!$B$6:$B$12,0))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v>0.1044225</v>
      </c>
      <c r="N51" s="17">
        <f>INDEX('Unique Asset List'!$D$4:$M$60,MATCH($B51,'Unique Asset List'!$A$4:$A$60,0),MATCH(N$8,'Unique Asset List'!$D$3:$M$3,0))</f>
        <v>0</v>
      </c>
      <c r="O51" s="17">
        <f>INDEX('Unique Asset List'!$D$4:$M$60,MATCH($B51,'Unique Asset List'!$A$4:$A$60,0),MATCH(O$8,'Unique Asset List'!$D$3:$M$3,0))</f>
        <v>0</v>
      </c>
      <c r="P51" s="17">
        <f>INDEX('Unique Asset List'!$D$4:$M$60,MATCH($B51,'Unique Asset List'!$A$4:$A$60,0),MATCH(P$8,'Unique Asset List'!$D$3:$M$3,0))</f>
        <v>0</v>
      </c>
      <c r="Q51" s="17">
        <f>INDEX('Unique Asset List'!$D$4:$M$60,MATCH($B51,'Unique Asset List'!$A$4:$A$60,0),MATCH(Q$8,'Unique Asset List'!$D$3:$M$3,0))</f>
        <v>0</v>
      </c>
      <c r="R51" s="17">
        <f>INDEX('Unique Asset List'!$D$4:$M$60,MATCH($B51,'Unique Asset List'!$A$4:$A$60,0),MATCH(R$8,'Unique Asset List'!$D$3:$M$3,0))</f>
        <v>0</v>
      </c>
      <c r="S51" s="17">
        <f>INDEX('Unique Asset List'!$D$4:$M$60,MATCH($B51,'Unique Asset List'!$A$4:$A$60,0),MATCH(S$8,'Unique Asset List'!$D$3:$M$3,0))</f>
        <v>0</v>
      </c>
      <c r="T51" s="17"/>
      <c r="U51" s="17">
        <f t="shared" ref="U51:U58" si="15">BZ51/$BZ$7</f>
        <v>0</v>
      </c>
      <c r="V51" s="17">
        <v>1</v>
      </c>
      <c r="W51" s="9" t="s">
        <v>0</v>
      </c>
      <c r="X51" s="9">
        <f>INDEX('Unique Asset List'!$Y$4:$AE$60,MATCH('4'!$B51,'Unique Asset List'!$A$4:$A$60,0),MATCH('4'!$C$1,'Unique Asset List'!$Y$3:$AE$3,0))</f>
        <v>2051</v>
      </c>
      <c r="Y51" s="9">
        <f>INDEX('Unique Asset List'!$AF$4:$AL$60,MATCH('4'!$B51,'Unique Asset List'!$A$4:$A$60,0),MATCH('4'!$C$1,'Unique Asset List'!$AF$3:$AL$3,0))</f>
        <v>6</v>
      </c>
      <c r="Z51" s="9">
        <f>INDEX('Unique Asset List'!$AT$4:$AZ$60,MATCH('4'!$B51,'Unique Asset List'!$A$4:$A$60,0),MATCH('4'!$C$1,'Unique Asset List'!$AT$3:$AZ$3,0))</f>
        <v>2060</v>
      </c>
      <c r="AA51" s="9">
        <f>INDEX('Unique Asset List'!$BA$4:$BG$60,MATCH('4'!$B51,'Unique Asset List'!$A$4:$A$60,0),MATCH('4'!$C$1,'Unique Asset List'!$BA$3:$BG$3,0))</f>
        <v>6</v>
      </c>
      <c r="AB51" s="16">
        <f t="shared" ref="AB51:AB58" si="16">SUMPRODUCT($BD51:$BK51,$BD$7:$BK$7)</f>
        <v>0</v>
      </c>
      <c r="AC51" s="16">
        <f t="shared" ref="AC51:AC58" si="17">SUMPRODUCT($BL51:$BR51,$BL$7:$BR$7)</f>
        <v>0</v>
      </c>
      <c r="AD51" s="16">
        <f t="shared" ref="AD51:AD58" si="18">SUMPRODUCT($BS51:$BV51,$BS$7:$BV$7)</f>
        <v>0</v>
      </c>
      <c r="AE51" s="15">
        <f>INDEX('Unique Asset List'!$CJ$4:$CP$60,MATCH('4'!$B51,'Unique Asset List'!$A$4:$A$60,0),MATCH('4'!$C$1,'Unique Asset List'!$CJ$3:$CP$3,0))</f>
        <v>0.05</v>
      </c>
      <c r="AF51" s="15">
        <f>INDEX('Unique Asset List'!$CQ$4:$CW$60,MATCH('4'!$B51,'Unique Asset List'!$A$4:$A$60,0),MATCH('4'!$C$1,'Unique Asset List'!$CQ$3:$CW$3,0))</f>
        <v>0.45</v>
      </c>
      <c r="AG51" s="15">
        <f>INDEX('Unique Asset List'!$BV$4:$CB$60,MATCH('4'!$B51,'Unique Asset List'!$A$4:$A$60,0),MATCH('4'!$C$1,'Unique Asset List'!$BV$3:$CB$3,0))</f>
        <v>0.05</v>
      </c>
      <c r="AH51" s="15">
        <f>INDEX('Unique Asset List'!$CC$4:$CI$60,MATCH('4'!$B51,'Unique Asset List'!$A$4:$A$60,0),MATCH('4'!$C$1,'Unique Asset List'!$CC$3:$CI$3,0))</f>
        <v>0.45</v>
      </c>
      <c r="AI51" s="11">
        <v>0.96187963349867744</v>
      </c>
      <c r="AJ51" s="15">
        <f>INDEX('Unique Asset List'!$BH$4:$BN$60,MATCH('4'!$B51,'Unique Asset List'!$A$4:$A$60,0),MATCH('4'!$C$1,'Unique Asset List'!$BH$3:$BN$3,0))</f>
        <v>1.4542000570988298</v>
      </c>
      <c r="AK51" s="15">
        <f>INDEX('Unique Asset List'!$BO$4:$BU$60,MATCH('4'!$B51,'Unique Asset List'!$A$4:$A$60,0),MATCH('4'!$C$1,'Unique Asset List'!$BO$3:$BU$3,0))</f>
        <v>-0.4950056673809119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1"/>
        <v>0.82</v>
      </c>
      <c r="AS51" s="10">
        <v>1</v>
      </c>
      <c r="AT51" s="181">
        <f>INDEX('Unique Asset List'!N$4:N$60,MATCH($B51,_CompoundList,0))</f>
        <v>0</v>
      </c>
      <c r="AU51" s="181">
        <f>INDEX('Unique Asset List'!O$4:O$60,MATCH($B51,_CompoundList,0))</f>
        <v>0</v>
      </c>
      <c r="AV51" s="181">
        <f>INDEX('Unique Asset List'!P$4:P$60,MATCH($B51,_CompoundList,0))</f>
        <v>0</v>
      </c>
      <c r="AW51" s="181">
        <f>INDEX('Unique Asset List'!Q$4:Q$60,MATCH($B51,_CompoundList,0))</f>
        <v>0</v>
      </c>
      <c r="AX51" s="181">
        <f ca="1">INDEX('Unique Asset List'!R$4:R$60,MATCH($B51,_CompoundList,0))</f>
        <v>0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0</v>
      </c>
      <c r="BA51" s="181">
        <f ca="1">INDEX('Unique Asset List'!U$4:U$60,MATCH($B51,_CompoundList,0))</f>
        <v>0</v>
      </c>
      <c r="BB51" s="181">
        <f ca="1">INDEX('Unique Asset List'!V$4:V$60,MATCH($B51,_CompoundList,0))</f>
        <v>0</v>
      </c>
      <c r="BC51" s="181">
        <f ca="1">INDEX('Unique Asset List'!W$4:W$60,MATCH($B51,_CompoundList,0))</f>
        <v>0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IF($C$5="ON",CL51,MyRating(_S1,$B51,Efficacy!$F$1))</f>
        <v>0</v>
      </c>
      <c r="BM51" s="3">
        <f>IF($C$5="ON",CM51,MyRating(_S2,$B51,Efficacy!$F$1))</f>
        <v>0</v>
      </c>
      <c r="BN51" s="3">
        <f>IF($C$5="ON",CN51,MyRating(_S3,$B51,Efficacy!$F$1))</f>
        <v>0</v>
      </c>
      <c r="BO51" s="3">
        <f>IF($C$5="ON",CO51,MyRating(_S4,$B51,Efficacy!$F$1))</f>
        <v>0</v>
      </c>
      <c r="BP51" s="3">
        <f>IF($C$5="ON",CP51,MyRating(_S5,$B51,Efficacy!$F$1))</f>
        <v>0</v>
      </c>
      <c r="BQ51" s="3">
        <f>IF($C$5="ON",CQ51,MyRating(_S6,$B51,Efficacy!$F$1))</f>
        <v>0</v>
      </c>
      <c r="BR51" s="3">
        <f>IF($C$5="ON",CR51,MyRating(_S7,$B51,Efficacy!$F$1))</f>
        <v>0</v>
      </c>
      <c r="BS51" s="3">
        <f>IF($C$5="ON",CS51,MyRating(_D1,$B51,Efficacy!$F$1))</f>
        <v>0</v>
      </c>
      <c r="BT51" s="3">
        <f>IF($C$5="ON",CT51,MyRating(_D2,$B51,Efficacy!$F$1))</f>
        <v>0</v>
      </c>
      <c r="BU51" s="3">
        <f>IF($C$5="ON",CU51,MyRating(_D3,$B51,Efficacy!$F$1))</f>
        <v>0</v>
      </c>
      <c r="BV51" s="3">
        <f>IF($C$5="ON",CV51,MyRating(_D4,$B51,Efficacy!$F$1))</f>
        <v>0</v>
      </c>
      <c r="BW51" s="3">
        <f>IF($C$5="ON",CW51,MyRating(_B1G5,$B51,Barrier!$L$2))</f>
        <v>0</v>
      </c>
      <c r="BX51" s="3">
        <f>IF($C$5="ON",CX51,MyRating(_B2,$B51,Barrier!$F$2))</f>
        <v>0</v>
      </c>
      <c r="BY51" s="6">
        <f>IF($C$5="ON",CY51,MyRating(_B3,$B51,Barrier!$F$2))</f>
        <v>0</v>
      </c>
      <c r="BZ51" s="5">
        <f t="shared" si="9"/>
        <v>0</v>
      </c>
      <c r="CA51" s="8">
        <f t="shared" si="12"/>
        <v>0</v>
      </c>
      <c r="CB51" s="5">
        <f t="shared" si="13"/>
        <v>0</v>
      </c>
      <c r="CC51" s="7">
        <f t="shared" si="14"/>
        <v>0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>
        <v>0</v>
      </c>
    </row>
    <row r="52" spans="1:104" x14ac:dyDescent="0.25">
      <c r="A52" s="9" t="str">
        <f t="shared" si="10"/>
        <v>UK</v>
      </c>
      <c r="B52" s="9" t="s">
        <v>68</v>
      </c>
      <c r="C52" s="20" t="s">
        <v>3</v>
      </c>
      <c r="D52" s="9" t="s">
        <v>2</v>
      </c>
      <c r="E52" s="9" t="s">
        <v>186</v>
      </c>
      <c r="F52" s="9" t="str">
        <f>INDEX('Unique Asset List'!$C$4:$C$60,MATCH(B52,_CompoundList,0))</f>
        <v>PCD</v>
      </c>
      <c r="G52" s="19">
        <v>0</v>
      </c>
      <c r="H52" s="9">
        <v>2014</v>
      </c>
      <c r="I52" s="9">
        <v>6</v>
      </c>
      <c r="J52" s="18">
        <f>INDEX(PTRS!$D$6:$D$12,MATCH('4'!$F52,PTRS!$B$6:$B$12,0))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v>0.1044225</v>
      </c>
      <c r="N52" s="17">
        <f>INDEX('Unique Asset List'!$D$4:$M$60,MATCH($B52,'Unique Asset List'!$A$4:$A$60,0),MATCH(N$8,'Unique Asset List'!$D$3:$M$3,0))</f>
        <v>0.1044225</v>
      </c>
      <c r="O52" s="17">
        <f>INDEX('Unique Asset List'!$D$4:$M$60,MATCH($B52,'Unique Asset List'!$A$4:$A$60,0),MATCH(O$8,'Unique Asset List'!$D$3:$M$3,0))</f>
        <v>0.1044225</v>
      </c>
      <c r="P52" s="17">
        <f>INDEX('Unique Asset List'!$D$4:$M$60,MATCH($B52,'Unique Asset List'!$A$4:$A$60,0),MATCH(P$8,'Unique Asset List'!$D$3:$M$3,0))</f>
        <v>0.1044225</v>
      </c>
      <c r="Q52" s="17">
        <f>INDEX('Unique Asset List'!$D$4:$M$60,MATCH($B52,'Unique Asset List'!$A$4:$A$60,0),MATCH(Q$8,'Unique Asset List'!$D$3:$M$3,0))</f>
        <v>0.1044225</v>
      </c>
      <c r="R52" s="17">
        <f>INDEX('Unique Asset List'!$D$4:$M$60,MATCH($B52,'Unique Asset List'!$A$4:$A$60,0),MATCH(R$8,'Unique Asset List'!$D$3:$M$3,0))</f>
        <v>0.1044225</v>
      </c>
      <c r="S52" s="17">
        <f>INDEX('Unique Asset List'!$D$4:$M$60,MATCH($B52,'Unique Asset List'!$A$4:$A$60,0),MATCH(S$8,'Unique Asset List'!$D$3:$M$3,0))</f>
        <v>0</v>
      </c>
      <c r="T52" s="17"/>
      <c r="U52" s="17">
        <f t="shared" si="15"/>
        <v>0</v>
      </c>
      <c r="V52" s="17">
        <v>1</v>
      </c>
      <c r="W52" s="9" t="s">
        <v>68</v>
      </c>
      <c r="X52" s="9">
        <f>INDEX('Unique Asset List'!$Y$4:$AE$60,MATCH('4'!$B52,'Unique Asset List'!$A$4:$A$60,0),MATCH('4'!$C$1,'Unique Asset List'!$Y$3:$AE$3,0))</f>
        <v>2032</v>
      </c>
      <c r="Y52" s="9">
        <f>INDEX('Unique Asset List'!$AF$4:$AL$60,MATCH('4'!$B52,'Unique Asset List'!$A$4:$A$60,0),MATCH('4'!$C$1,'Unique Asset List'!$AF$3:$AL$3,0))</f>
        <v>3</v>
      </c>
      <c r="Z52" s="9">
        <f>INDEX('Unique Asset List'!$AT$4:$AZ$60,MATCH('4'!$B52,'Unique Asset List'!$A$4:$A$60,0),MATCH('4'!$C$1,'Unique Asset List'!$AT$3:$AZ$3,0))</f>
        <v>2041</v>
      </c>
      <c r="AA52" s="9">
        <f>INDEX('Unique Asset List'!$BA$4:$BG$60,MATCH('4'!$B52,'Unique Asset List'!$A$4:$A$60,0),MATCH('4'!$C$1,'Unique Asset List'!$BA$3:$BG$3,0))</f>
        <v>3</v>
      </c>
      <c r="AB52" s="16">
        <f t="shared" si="16"/>
        <v>2.1518980000000005</v>
      </c>
      <c r="AC52" s="16">
        <f t="shared" si="17"/>
        <v>0.94137550000000003</v>
      </c>
      <c r="AD52" s="16">
        <f t="shared" si="18"/>
        <v>0.56099999999999994</v>
      </c>
      <c r="AE52" s="15">
        <f>INDEX('Unique Asset List'!$CJ$4:$CP$60,MATCH('4'!$B52,'Unique Asset List'!$A$4:$A$60,0),MATCH('4'!$C$1,'Unique Asset List'!$CJ$3:$CP$3,0))</f>
        <v>0.05</v>
      </c>
      <c r="AF52" s="15">
        <f>INDEX('Unique Asset List'!$CQ$4:$CW$60,MATCH('4'!$B52,'Unique Asset List'!$A$4:$A$60,0),MATCH('4'!$C$1,'Unique Asset List'!$CQ$3:$CW$3,0))</f>
        <v>0.45</v>
      </c>
      <c r="AG52" s="15">
        <f>INDEX('Unique Asset List'!$BV$4:$CB$60,MATCH('4'!$B52,'Unique Asset List'!$A$4:$A$60,0),MATCH('4'!$C$1,'Unique Asset List'!$BV$3:$CB$3,0))</f>
        <v>0.05</v>
      </c>
      <c r="AH52" s="15">
        <f>INDEX('Unique Asset List'!$CC$4:$CI$60,MATCH('4'!$B52,'Unique Asset List'!$A$4:$A$60,0),MATCH('4'!$C$1,'Unique Asset List'!$CC$3:$CI$3,0))</f>
        <v>0.45</v>
      </c>
      <c r="AI52" s="11">
        <v>0.96187963349867744</v>
      </c>
      <c r="AJ52" s="15">
        <f>INDEX('Unique Asset List'!$BH$4:$BN$60,MATCH('4'!$B52,'Unique Asset List'!$A$4:$A$60,0),MATCH('4'!$C$1,'Unique Asset List'!$BH$3:$BN$3,0))</f>
        <v>1.4542000570988298</v>
      </c>
      <c r="AK52" s="15">
        <f>INDEX('Unique Asset List'!$BO$4:$BU$60,MATCH('4'!$B52,'Unique Asset List'!$A$4:$A$60,0),MATCH('4'!$C$1,'Unique Asset List'!$BO$3:$BU$3,0))</f>
        <v>-0.4950056673809119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1"/>
        <v>0.82</v>
      </c>
      <c r="AS52" s="10">
        <v>1</v>
      </c>
      <c r="AT52" s="181">
        <f>INDEX('Unique Asset List'!N$4:N$60,MATCH($B52,_CompoundList,0))</f>
        <v>0</v>
      </c>
      <c r="AU52" s="181">
        <f>INDEX('Unique Asset List'!O$4:O$60,MATCH($B52,_CompoundList,0))</f>
        <v>0</v>
      </c>
      <c r="AV52" s="181">
        <f>INDEX('Unique Asset List'!P$4:P$60,MATCH($B52,_CompoundList,0))</f>
        <v>0</v>
      </c>
      <c r="AW52" s="181">
        <f>INDEX('Unique Asset List'!Q$4:Q$60,MATCH($B52,_CompoundList,0))</f>
        <v>0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4</v>
      </c>
      <c r="BE52" s="3">
        <f>IF($C$5="ON",CE52,MyRating(_E2,$B52,Efficacy!$F$1))</f>
        <v>4</v>
      </c>
      <c r="BF52" s="3">
        <f>IF($C$5="ON",CF52,MyRating(_E3,$B52,Efficacy!$F$1))</f>
        <v>4</v>
      </c>
      <c r="BG52" s="3">
        <f>IF($C$5="ON",CG52,MyRating(_E4,$B52,Efficacy!$F$1))</f>
        <v>4</v>
      </c>
      <c r="BH52" s="3">
        <f>IF($C$5="ON",CH52,MyRating(_E5,$B52,Efficacy!$F$1))</f>
        <v>4</v>
      </c>
      <c r="BI52" s="3">
        <f>IF($C$5="ON",CI52,MyRating(_E6,$B52,Efficacy!$F$1))</f>
        <v>3</v>
      </c>
      <c r="BJ52" s="3">
        <f>IF($C$5="ON",CJ52,MyRating(_E7,$B52,Efficacy!$F$1))</f>
        <v>3</v>
      </c>
      <c r="BK52" s="3">
        <f>IF($C$5="ON",CK52,MyRating(_E8,$B52,Efficacy!$F$1))</f>
        <v>4</v>
      </c>
      <c r="BL52" s="3">
        <f>IF($C$5="ON",CL52,MyRating(_S1,$B52,Efficacy!$F$1))</f>
        <v>4</v>
      </c>
      <c r="BM52" s="3">
        <f>IF($C$5="ON",CM52,MyRating(_S2,$B52,Efficacy!$F$1))</f>
        <v>3</v>
      </c>
      <c r="BN52" s="3">
        <f>IF($C$5="ON",CN52,MyRating(_S3,$B52,Efficacy!$F$1))</f>
        <v>3</v>
      </c>
      <c r="BO52" s="3">
        <f>IF($C$5="ON",CO52,MyRating(_S4,$B52,Efficacy!$F$1))</f>
        <v>4</v>
      </c>
      <c r="BP52" s="3">
        <f>IF($C$5="ON",CP52,MyRating(_S5,$B52,Efficacy!$F$1))</f>
        <v>5</v>
      </c>
      <c r="BQ52" s="3">
        <f>IF($C$5="ON",CQ52,MyRating(_S6,$B52,Efficacy!$F$1))</f>
        <v>3</v>
      </c>
      <c r="BR52" s="3">
        <f>IF($C$5="ON",CR52,MyRating(_S7,$B52,Efficacy!$F$1))</f>
        <v>3</v>
      </c>
      <c r="BS52" s="3">
        <f>IF($C$5="ON",CS52,MyRating(_D1,$B52,Efficacy!$F$1))</f>
        <v>3</v>
      </c>
      <c r="BT52" s="3">
        <f>IF($C$5="ON",CT52,MyRating(_D2,$B52,Efficacy!$F$1))</f>
        <v>3</v>
      </c>
      <c r="BU52" s="3">
        <f>IF($C$5="ON",CU52,MyRating(_D3,$B52,Efficacy!$F$1))</f>
        <v>3</v>
      </c>
      <c r="BV52" s="3">
        <f>IF($C$5="ON",CV52,MyRating(_D4,$B52,Efficacy!$F$1))</f>
        <v>3</v>
      </c>
      <c r="BW52" s="3">
        <f>IF($C$5="ON",CW52,MyRating(_B1G5,$B52,Barrier!$L$2))</f>
        <v>2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9"/>
        <v>0</v>
      </c>
      <c r="CA52" s="8">
        <f t="shared" si="12"/>
        <v>2.8000000000000003</v>
      </c>
      <c r="CB52" s="5">
        <f t="shared" si="13"/>
        <v>3.2941176470588251E-2</v>
      </c>
      <c r="CC52" s="7">
        <f t="shared" si="14"/>
        <v>5.9787261089987885E-3</v>
      </c>
      <c r="CD52" s="4">
        <v>4</v>
      </c>
      <c r="CE52" s="3">
        <v>5</v>
      </c>
      <c r="CF52" s="3">
        <v>5</v>
      </c>
      <c r="CG52" s="3">
        <v>4</v>
      </c>
      <c r="CH52" s="3">
        <v>4</v>
      </c>
      <c r="CI52" s="3">
        <v>3</v>
      </c>
      <c r="CJ52" s="3">
        <v>3</v>
      </c>
      <c r="CK52" s="3">
        <v>4</v>
      </c>
      <c r="CL52" s="3">
        <v>5</v>
      </c>
      <c r="CM52" s="3">
        <v>3</v>
      </c>
      <c r="CN52" s="3">
        <v>3</v>
      </c>
      <c r="CO52" s="3">
        <v>4</v>
      </c>
      <c r="CP52" s="3">
        <v>5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2</v>
      </c>
      <c r="CX52" s="3">
        <v>3</v>
      </c>
      <c r="CY52" s="6">
        <v>3</v>
      </c>
      <c r="CZ52" s="5">
        <v>3.6275844714639842E-2</v>
      </c>
    </row>
    <row r="53" spans="1:104" x14ac:dyDescent="0.25">
      <c r="A53" s="9" t="str">
        <f t="shared" si="10"/>
        <v>UK</v>
      </c>
      <c r="B53" s="9" t="s">
        <v>67</v>
      </c>
      <c r="C53" s="20" t="s">
        <v>3</v>
      </c>
      <c r="D53" s="9" t="s">
        <v>2</v>
      </c>
      <c r="E53" s="9" t="s">
        <v>186</v>
      </c>
      <c r="F53" s="9" t="str">
        <f>INDEX('Unique Asset List'!$C$4:$C$60,MATCH(B53,_CompoundList,0))</f>
        <v>PCD</v>
      </c>
      <c r="G53" s="19">
        <v>0</v>
      </c>
      <c r="H53" s="9">
        <v>2014</v>
      </c>
      <c r="I53" s="9">
        <v>6</v>
      </c>
      <c r="J53" s="18">
        <f>INDEX(PTRS!$D$6:$D$12,MATCH('4'!$F53,PTRS!$B$6:$B$12,0))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v>0.1044225</v>
      </c>
      <c r="N53" s="17">
        <f>INDEX('Unique Asset List'!$D$4:$M$60,MATCH($B53,'Unique Asset List'!$A$4:$A$60,0),MATCH(N$8,'Unique Asset List'!$D$3:$M$3,0))</f>
        <v>0.1044225</v>
      </c>
      <c r="O53" s="17">
        <f>INDEX('Unique Asset List'!$D$4:$M$60,MATCH($B53,'Unique Asset List'!$A$4:$A$60,0),MATCH(O$8,'Unique Asset List'!$D$3:$M$3,0))</f>
        <v>0.1044225</v>
      </c>
      <c r="P53" s="17">
        <f>INDEX('Unique Asset List'!$D$4:$M$60,MATCH($B53,'Unique Asset List'!$A$4:$A$60,0),MATCH(P$8,'Unique Asset List'!$D$3:$M$3,0))</f>
        <v>0.1044225</v>
      </c>
      <c r="Q53" s="17">
        <f>INDEX('Unique Asset List'!$D$4:$M$60,MATCH($B53,'Unique Asset List'!$A$4:$A$60,0),MATCH(Q$8,'Unique Asset List'!$D$3:$M$3,0))</f>
        <v>0.1044225</v>
      </c>
      <c r="R53" s="17">
        <f>INDEX('Unique Asset List'!$D$4:$M$60,MATCH($B53,'Unique Asset List'!$A$4:$A$60,0),MATCH(R$8,'Unique Asset List'!$D$3:$M$3,0))</f>
        <v>0.1044225</v>
      </c>
      <c r="S53" s="17">
        <f>INDEX('Unique Asset List'!$D$4:$M$60,MATCH($B53,'Unique Asset List'!$A$4:$A$60,0),MATCH(S$8,'Unique Asset List'!$D$3:$M$3,0))</f>
        <v>0</v>
      </c>
      <c r="T53" s="17"/>
      <c r="U53" s="17">
        <f t="shared" si="15"/>
        <v>0</v>
      </c>
      <c r="V53" s="17">
        <v>1</v>
      </c>
      <c r="W53" s="9" t="s">
        <v>67</v>
      </c>
      <c r="X53" s="9">
        <f>INDEX('Unique Asset List'!$Y$4:$AE$60,MATCH('4'!$B53,'Unique Asset List'!$A$4:$A$60,0),MATCH('4'!$C$1,'Unique Asset List'!$Y$3:$AE$3,0))</f>
        <v>2032</v>
      </c>
      <c r="Y53" s="9">
        <f>INDEX('Unique Asset List'!$AF$4:$AL$60,MATCH('4'!$B53,'Unique Asset List'!$A$4:$A$60,0),MATCH('4'!$C$1,'Unique Asset List'!$AF$3:$AL$3,0))</f>
        <v>3</v>
      </c>
      <c r="Z53" s="9">
        <f>INDEX('Unique Asset List'!$AT$4:$AZ$60,MATCH('4'!$B53,'Unique Asset List'!$A$4:$A$60,0),MATCH('4'!$C$1,'Unique Asset List'!$AT$3:$AZ$3,0))</f>
        <v>2041</v>
      </c>
      <c r="AA53" s="9">
        <f>INDEX('Unique Asset List'!$BA$4:$BG$60,MATCH('4'!$B53,'Unique Asset List'!$A$4:$A$60,0),MATCH('4'!$C$1,'Unique Asset List'!$BA$3:$BG$3,0))</f>
        <v>3</v>
      </c>
      <c r="AB53" s="16">
        <f t="shared" si="16"/>
        <v>2.1518980000000005</v>
      </c>
      <c r="AC53" s="16">
        <f t="shared" si="17"/>
        <v>0.94137550000000003</v>
      </c>
      <c r="AD53" s="16">
        <f t="shared" si="18"/>
        <v>0.56099999999999994</v>
      </c>
      <c r="AE53" s="15">
        <f>INDEX('Unique Asset List'!$CJ$4:$CP$60,MATCH('4'!$B53,'Unique Asset List'!$A$4:$A$60,0),MATCH('4'!$C$1,'Unique Asset List'!$CJ$3:$CP$3,0))</f>
        <v>0.05</v>
      </c>
      <c r="AF53" s="15">
        <f>INDEX('Unique Asset List'!$CQ$4:$CW$60,MATCH('4'!$B53,'Unique Asset List'!$A$4:$A$60,0),MATCH('4'!$C$1,'Unique Asset List'!$CQ$3:$CW$3,0))</f>
        <v>0.45</v>
      </c>
      <c r="AG53" s="15">
        <f>INDEX('Unique Asset List'!$BV$4:$CB$60,MATCH('4'!$B53,'Unique Asset List'!$A$4:$A$60,0),MATCH('4'!$C$1,'Unique Asset List'!$BV$3:$CB$3,0))</f>
        <v>0.05</v>
      </c>
      <c r="AH53" s="15">
        <f>INDEX('Unique Asset List'!$CC$4:$CI$60,MATCH('4'!$B53,'Unique Asset List'!$A$4:$A$60,0),MATCH('4'!$C$1,'Unique Asset List'!$CC$3:$CI$3,0))</f>
        <v>0.45</v>
      </c>
      <c r="AI53" s="11">
        <v>0.96187963349867744</v>
      </c>
      <c r="AJ53" s="15">
        <f>INDEX('Unique Asset List'!$BH$4:$BN$60,MATCH('4'!$B53,'Unique Asset List'!$A$4:$A$60,0),MATCH('4'!$C$1,'Unique Asset List'!$BH$3:$BN$3,0))</f>
        <v>1.4542000570988298</v>
      </c>
      <c r="AK53" s="15">
        <f>INDEX('Unique Asset List'!$BO$4:$BU$60,MATCH('4'!$B53,'Unique Asset List'!$A$4:$A$60,0),MATCH('4'!$C$1,'Unique Asset List'!$BO$3:$BU$3,0))</f>
        <v>-0.4950056673809119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1"/>
        <v>0.82</v>
      </c>
      <c r="AS53" s="10">
        <v>1</v>
      </c>
      <c r="AT53" s="181">
        <f>INDEX('Unique Asset List'!N$4:N$60,MATCH($B53,_CompoundList,0))</f>
        <v>0</v>
      </c>
      <c r="AU53" s="181">
        <f>INDEX('Unique Asset List'!O$4:O$60,MATCH($B53,_CompoundList,0))</f>
        <v>0</v>
      </c>
      <c r="AV53" s="181">
        <f>INDEX('Unique Asset List'!P$4:P$60,MATCH($B53,_CompoundList,0))</f>
        <v>0</v>
      </c>
      <c r="AW53" s="181">
        <f>INDEX('Unique Asset List'!Q$4:Q$60,MATCH($B53,_CompoundList,0))</f>
        <v>0</v>
      </c>
      <c r="AX53" s="181">
        <f ca="1">INDEX('Unique Asset List'!R$4:R$60,MATCH($B53,_CompoundList,0))</f>
        <v>0</v>
      </c>
      <c r="AY53" s="181">
        <f ca="1">INDEX('Unique Asset List'!S$4:S$60,MATCH($B53,_CompoundList,0))</f>
        <v>0</v>
      </c>
      <c r="AZ53" s="181">
        <f ca="1">INDEX('Unique Asset List'!T$4:T$60,MATCH($B53,_CompoundList,0))</f>
        <v>0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0</v>
      </c>
      <c r="BC53" s="181">
        <f ca="1">INDEX('Unique Asset List'!W$4:W$60,MATCH($B53,_CompoundList,0))</f>
        <v>0</v>
      </c>
      <c r="BD53" s="4">
        <f>IF($C$5="ON",CD53,MyRating(_E1,$B53,Efficacy!$F$1))</f>
        <v>4</v>
      </c>
      <c r="BE53" s="3">
        <f>IF($C$5="ON",CE53,MyRating(_E2,$B53,Efficacy!$F$1))</f>
        <v>4</v>
      </c>
      <c r="BF53" s="3">
        <f>IF($C$5="ON",CF53,MyRating(_E3,$B53,Efficacy!$F$1))</f>
        <v>4</v>
      </c>
      <c r="BG53" s="3">
        <f>IF($C$5="ON",CG53,MyRating(_E4,$B53,Efficacy!$F$1))</f>
        <v>4</v>
      </c>
      <c r="BH53" s="3">
        <f>IF($C$5="ON",CH53,MyRating(_E5,$B53,Efficacy!$F$1))</f>
        <v>4</v>
      </c>
      <c r="BI53" s="3">
        <f>IF($C$5="ON",CI53,MyRating(_E6,$B53,Efficacy!$F$1))</f>
        <v>3</v>
      </c>
      <c r="BJ53" s="3">
        <f>IF($C$5="ON",CJ53,MyRating(_E7,$B53,Efficacy!$F$1))</f>
        <v>3</v>
      </c>
      <c r="BK53" s="3">
        <f>IF($C$5="ON",CK53,MyRating(_E8,$B53,Efficacy!$F$1))</f>
        <v>4</v>
      </c>
      <c r="BL53" s="3">
        <f>IF($C$5="ON",CL53,MyRating(_S1,$B53,Efficacy!$F$1))</f>
        <v>4</v>
      </c>
      <c r="BM53" s="3">
        <f>IF($C$5="ON",CM53,MyRating(_S2,$B53,Efficacy!$F$1))</f>
        <v>3</v>
      </c>
      <c r="BN53" s="3">
        <f>IF($C$5="ON",CN53,MyRating(_S3,$B53,Efficacy!$F$1))</f>
        <v>3</v>
      </c>
      <c r="BO53" s="3">
        <f>IF($C$5="ON",CO53,MyRating(_S4,$B53,Efficacy!$F$1))</f>
        <v>4</v>
      </c>
      <c r="BP53" s="3">
        <f>IF($C$5="ON",CP53,MyRating(_S5,$B53,Efficacy!$F$1))</f>
        <v>5</v>
      </c>
      <c r="BQ53" s="3">
        <f>IF($C$5="ON",CQ53,MyRating(_S6,$B53,Efficacy!$F$1))</f>
        <v>3</v>
      </c>
      <c r="BR53" s="3">
        <f>IF($C$5="ON",CR53,MyRating(_S7,$B53,Efficacy!$F$1))</f>
        <v>3</v>
      </c>
      <c r="BS53" s="3">
        <f>IF($C$5="ON",CS53,MyRating(_D1,$B53,Efficacy!$F$1))</f>
        <v>3</v>
      </c>
      <c r="BT53" s="3">
        <f>IF($C$5="ON",CT53,MyRating(_D2,$B53,Efficacy!$F$1))</f>
        <v>3</v>
      </c>
      <c r="BU53" s="3">
        <f>IF($C$5="ON",CU53,MyRating(_D3,$B53,Efficacy!$F$1))</f>
        <v>3</v>
      </c>
      <c r="BV53" s="3">
        <f>IF($C$5="ON",CV53,MyRating(_D4,$B53,Efficacy!$F$1))</f>
        <v>3</v>
      </c>
      <c r="BW53" s="3">
        <f>IF($C$5="ON",CW53,MyRating(_B1G5,$B53,Barrier!$L$2))</f>
        <v>2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9"/>
        <v>0</v>
      </c>
      <c r="CA53" s="8">
        <f t="shared" si="12"/>
        <v>2.8000000000000003</v>
      </c>
      <c r="CB53" s="5">
        <f t="shared" si="13"/>
        <v>3.2941176470588251E-2</v>
      </c>
      <c r="CC53" s="7">
        <f t="shared" si="14"/>
        <v>5.9787261089987885E-3</v>
      </c>
      <c r="CD53" s="4">
        <v>4</v>
      </c>
      <c r="CE53" s="3">
        <v>5</v>
      </c>
      <c r="CF53" s="3">
        <v>5</v>
      </c>
      <c r="CG53" s="3">
        <v>4</v>
      </c>
      <c r="CH53" s="3">
        <v>4</v>
      </c>
      <c r="CI53" s="3">
        <v>3</v>
      </c>
      <c r="CJ53" s="3">
        <v>3</v>
      </c>
      <c r="CK53" s="3">
        <v>4</v>
      </c>
      <c r="CL53" s="3">
        <v>5</v>
      </c>
      <c r="CM53" s="3">
        <v>3</v>
      </c>
      <c r="CN53" s="3">
        <v>3</v>
      </c>
      <c r="CO53" s="3">
        <v>4</v>
      </c>
      <c r="CP53" s="3">
        <v>5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2</v>
      </c>
      <c r="CX53" s="3">
        <v>3</v>
      </c>
      <c r="CY53" s="6">
        <v>3</v>
      </c>
      <c r="CZ53" s="5">
        <v>3.6275844714639842E-2</v>
      </c>
    </row>
    <row r="54" spans="1:104" x14ac:dyDescent="0.25">
      <c r="A54" s="9" t="str">
        <f t="shared" si="10"/>
        <v>UK</v>
      </c>
      <c r="B54" s="9" t="s">
        <v>279</v>
      </c>
      <c r="C54" s="20"/>
      <c r="D54" s="9" t="s">
        <v>2</v>
      </c>
      <c r="E54" s="9"/>
      <c r="F54" s="9" t="str">
        <f>INDEX('Unique Asset List'!$C$4:$C$60,MATCH(B54,_CompoundList,0))</f>
        <v>PCD</v>
      </c>
      <c r="G54" s="19">
        <v>0</v>
      </c>
      <c r="H54" s="9">
        <v>2014</v>
      </c>
      <c r="I54" s="9">
        <v>6</v>
      </c>
      <c r="J54" s="18">
        <f>INDEX(PTRS!$D$6:$D$12,MATCH('4'!$F54,PTRS!$B$6:$B$12,0))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v>0.1044225</v>
      </c>
      <c r="N54" s="17">
        <f>INDEX('Unique Asset List'!$D$4:$M$60,MATCH($B54,'Unique Asset List'!$A$4:$A$60,0),MATCH(N$8,'Unique Asset List'!$D$3:$M$3,0))</f>
        <v>0.1</v>
      </c>
      <c r="O54" s="17">
        <f>INDEX('Unique Asset List'!$D$4:$M$60,MATCH($B54,'Unique Asset List'!$A$4:$A$60,0),MATCH(O$8,'Unique Asset List'!$D$3:$M$3,0))</f>
        <v>0.1</v>
      </c>
      <c r="P54" s="17">
        <f>INDEX('Unique Asset List'!$D$4:$M$60,MATCH($B54,'Unique Asset List'!$A$4:$A$60,0),MATCH(P$8,'Unique Asset List'!$D$3:$M$3,0))</f>
        <v>0.1</v>
      </c>
      <c r="Q54" s="17">
        <f>INDEX('Unique Asset List'!$D$4:$M$60,MATCH($B54,'Unique Asset List'!$A$4:$A$60,0),MATCH(Q$8,'Unique Asset List'!$D$3:$M$3,0))</f>
        <v>0.1</v>
      </c>
      <c r="R54" s="17">
        <f>INDEX('Unique Asset List'!$D$4:$M$60,MATCH($B54,'Unique Asset List'!$A$4:$A$60,0),MATCH(R$8,'Unique Asset List'!$D$3:$M$3,0))</f>
        <v>0.1</v>
      </c>
      <c r="S54" s="17">
        <f>INDEX('Unique Asset List'!$D$4:$M$60,MATCH($B54,'Unique Asset List'!$A$4:$A$60,0),MATCH(S$8,'Unique Asset List'!$D$3:$M$3,0))</f>
        <v>0</v>
      </c>
      <c r="T54" s="17"/>
      <c r="U54" s="17">
        <f t="shared" si="15"/>
        <v>0.80682275808442805</v>
      </c>
      <c r="V54" s="17">
        <f>V13</f>
        <v>0.42</v>
      </c>
      <c r="W54" s="9" t="s">
        <v>0</v>
      </c>
      <c r="X54" s="9">
        <f>INDEX('Unique Asset List'!$Y$4:$AE$60,MATCH('4'!$B54,'Unique Asset List'!$A$4:$A$60,0),MATCH('4'!$C$1,'Unique Asset List'!$Y$3:$AE$3,0))</f>
        <v>2027</v>
      </c>
      <c r="Y54" s="9">
        <f>INDEX('Unique Asset List'!$AF$4:$AL$60,MATCH('4'!$B54,'Unique Asset List'!$A$4:$A$60,0),MATCH('4'!$C$1,'Unique Asset List'!$AF$3:$AL$3,0))</f>
        <v>6</v>
      </c>
      <c r="Z54" s="9">
        <f>INDEX('Unique Asset List'!$AT$4:$AZ$60,MATCH('4'!$B54,'Unique Asset List'!$A$4:$A$60,0),MATCH('4'!$C$1,'Unique Asset List'!$AT$3:$AZ$3,0))</f>
        <v>2037</v>
      </c>
      <c r="AA54" s="9">
        <f>INDEX('Unique Asset List'!$BA$4:$BG$60,MATCH('4'!$B54,'Unique Asset List'!$A$4:$A$60,0),MATCH('4'!$C$1,'Unique Asset List'!$BA$3:$BG$3,0))</f>
        <v>6</v>
      </c>
      <c r="AB54" s="16">
        <f t="shared" si="16"/>
        <v>2.471114</v>
      </c>
      <c r="AC54" s="16">
        <f t="shared" si="17"/>
        <v>0.91994010000000004</v>
      </c>
      <c r="AD54" s="16">
        <f t="shared" si="18"/>
        <v>0.50129594525999999</v>
      </c>
      <c r="AE54" s="15">
        <f>INDEX('Unique Asset List'!$CJ$4:$CP$60,MATCH('4'!$B54,'Unique Asset List'!$A$4:$A$60,0),MATCH('4'!$C$1,'Unique Asset List'!$CJ$3:$CP$3,0))</f>
        <v>0.05</v>
      </c>
      <c r="AF54" s="15">
        <f>INDEX('Unique Asset List'!$CQ$4:$CW$60,MATCH('4'!$B54,'Unique Asset List'!$A$4:$A$60,0),MATCH('4'!$C$1,'Unique Asset List'!$CQ$3:$CW$3,0))</f>
        <v>0.45</v>
      </c>
      <c r="AG54" s="15">
        <f>INDEX('Unique Asset List'!$BV$4:$CB$60,MATCH('4'!$B54,'Unique Asset List'!$A$4:$A$60,0),MATCH('4'!$C$1,'Unique Asset List'!$BV$3:$CB$3,0))</f>
        <v>0.05</v>
      </c>
      <c r="AH54" s="15">
        <f>INDEX('Unique Asset List'!$CC$4:$CI$60,MATCH('4'!$B54,'Unique Asset List'!$A$4:$A$60,0),MATCH('4'!$C$1,'Unique Asset List'!$CC$3:$CI$3,0))</f>
        <v>0.45</v>
      </c>
      <c r="AI54" s="11">
        <v>0.96187963349867744</v>
      </c>
      <c r="AJ54" s="15">
        <f>INDEX('Unique Asset List'!$BH$4:$BN$60,MATCH('4'!$B54,'Unique Asset List'!$A$4:$A$60,0),MATCH('4'!$C$1,'Unique Asset List'!$BH$3:$BN$3,0))</f>
        <v>1.4542000570988298</v>
      </c>
      <c r="AK54" s="15">
        <f>INDEX('Unique Asset List'!$BO$4:$BU$60,MATCH('4'!$B54,'Unique Asset List'!$A$4:$A$60,0),MATCH('4'!$C$1,'Unique Asset List'!$BO$3:$BU$3,0))</f>
        <v>-0.4950056673809119</v>
      </c>
      <c r="AL54" s="9">
        <v>146.07692307692309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1"/>
        <v>0.82</v>
      </c>
      <c r="AS54" s="10">
        <v>0.28767123287671198</v>
      </c>
      <c r="AT54" s="181">
        <f>INDEX('Unique Asset List'!N$4:N$60,MATCH($B54,_CompoundList,0))</f>
        <v>0</v>
      </c>
      <c r="AU54" s="181">
        <f>INDEX('Unique Asset List'!O$4:O$60,MATCH($B54,_CompoundList,0))</f>
        <v>0</v>
      </c>
      <c r="AV54" s="181">
        <f>INDEX('Unique Asset List'!P$4:P$60,MATCH($B54,_CompoundList,0))</f>
        <v>0</v>
      </c>
      <c r="AW54" s="181">
        <f>INDEX('Unique Asset List'!Q$4:Q$60,MATCH($B54,_CompoundList,0))</f>
        <v>0</v>
      </c>
      <c r="AX54" s="181">
        <f ca="1">INDEX('Unique Asset List'!R$4:R$60,MATCH($B54,_CompoundList,0))</f>
        <v>0</v>
      </c>
      <c r="AY54" s="181">
        <f ca="1">INDEX('Unique Asset List'!S$4:S$60,MATCH($B54,_CompoundList,0))</f>
        <v>0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0</v>
      </c>
      <c r="BB54" s="181">
        <f ca="1">INDEX('Unique Asset List'!V$4:V$60,MATCH($B54,_CompoundList,0))</f>
        <v>0</v>
      </c>
      <c r="BC54" s="181">
        <f ca="1">INDEX('Unique Asset List'!W$4:W$60,MATCH($B54,_CompoundList,0))</f>
        <v>1</v>
      </c>
      <c r="BD54" s="4">
        <f>IF($C$5="ON",CD54,MyRating(_E1,$B54,Efficacy!$F$1))</f>
        <v>5</v>
      </c>
      <c r="BE54" s="3">
        <f>IF($C$5="ON",CE54,MyRating(_E2,$B54,Efficacy!$F$1))</f>
        <v>5</v>
      </c>
      <c r="BF54" s="3">
        <f>IF($C$5="ON",CF54,MyRating(_E3,$B54,Efficacy!$F$1))</f>
        <v>5</v>
      </c>
      <c r="BG54" s="3">
        <f>IF($C$5="ON",CG54,MyRating(_E4,$B54,Efficacy!$F$1))</f>
        <v>5</v>
      </c>
      <c r="BH54" s="3">
        <f>IF($C$5="ON",CH54,MyRating(_E5,$B54,Efficacy!$F$1))</f>
        <v>4</v>
      </c>
      <c r="BI54" s="3">
        <f>IF($C$5="ON",CI54,MyRating(_E6,$B54,Efficacy!$F$1))</f>
        <v>3</v>
      </c>
      <c r="BJ54" s="3">
        <f>IF($C$5="ON",CJ54,MyRating(_E7,$B54,Efficacy!$F$1))</f>
        <v>4</v>
      </c>
      <c r="BK54" s="3">
        <f>IF($C$5="ON",CK54,MyRating(_E8,$B54,Efficacy!$F$1))</f>
        <v>3</v>
      </c>
      <c r="BL54" s="3">
        <f>IF($C$5="ON",CL54,MyRating(_S1,$B54,Efficacy!$F$1))</f>
        <v>4</v>
      </c>
      <c r="BM54" s="3">
        <f>IF($C$5="ON",CM54,MyRating(_S2,$B54,Efficacy!$F$1))</f>
        <v>3</v>
      </c>
      <c r="BN54" s="3">
        <f>IF($C$5="ON",CN54,MyRating(_S3,$B54,Efficacy!$F$1))</f>
        <v>3</v>
      </c>
      <c r="BO54" s="3">
        <f>IF($C$5="ON",CO54,MyRating(_S4,$B54,Efficacy!$F$1))</f>
        <v>4</v>
      </c>
      <c r="BP54" s="3">
        <f>IF($C$5="ON",CP54,MyRating(_S5,$B54,Efficacy!$F$1))</f>
        <v>5</v>
      </c>
      <c r="BQ54" s="3">
        <f>IF($C$5="ON",CQ54,MyRating(_S6,$B54,Efficacy!$F$1))</f>
        <v>2</v>
      </c>
      <c r="BR54" s="3">
        <f>IF($C$5="ON",CR54,MyRating(_S7,$B54,Efficacy!$F$1))</f>
        <v>3</v>
      </c>
      <c r="BS54" s="3">
        <f>IF($C$5="ON",CS54,MyRating(_D1,$B54,Efficacy!$F$1))</f>
        <v>2</v>
      </c>
      <c r="BT54" s="3">
        <f>IF($C$5="ON",CT54,MyRating(_D2,$B54,Efficacy!$F$1))</f>
        <v>3</v>
      </c>
      <c r="BU54" s="3">
        <f>IF($C$5="ON",CU54,MyRating(_D3,$B54,Efficacy!$F$1))</f>
        <v>3</v>
      </c>
      <c r="BV54" s="3">
        <f>IF($C$5="ON",CV54,MyRating(_D4,$B54,Efficacy!$F$1))</f>
        <v>3</v>
      </c>
      <c r="BW54" s="3">
        <f>IF($C$5="ON",CW54,MyRating(_B1G5,$B54,Barrier!$L$2))</f>
        <v>1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9"/>
        <v>2.9893223831915738E-2</v>
      </c>
      <c r="CA54" s="8">
        <f t="shared" si="12"/>
        <v>2.6000000000000005</v>
      </c>
      <c r="CB54" s="5">
        <f t="shared" si="13"/>
        <v>3.058823529411767E-2</v>
      </c>
      <c r="CC54" s="7">
        <f t="shared" si="14"/>
        <v>5.3497271616647964E-3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>
        <v>0</v>
      </c>
    </row>
    <row r="55" spans="1:104" x14ac:dyDescent="0.25">
      <c r="A55" s="9" t="str">
        <f t="shared" si="10"/>
        <v>UK</v>
      </c>
      <c r="B55" s="9" t="s">
        <v>185</v>
      </c>
      <c r="C55" s="20" t="s">
        <v>3</v>
      </c>
      <c r="D55" s="9" t="s">
        <v>2</v>
      </c>
      <c r="E55" s="9"/>
      <c r="F55" s="9" t="str">
        <f>INDEX('Unique Asset List'!$C$4:$C$60,MATCH(B55,_CompoundList,0))</f>
        <v>PCD</v>
      </c>
      <c r="G55" s="19">
        <v>0</v>
      </c>
      <c r="H55" s="9">
        <v>2014</v>
      </c>
      <c r="I55" s="9">
        <v>6</v>
      </c>
      <c r="J55" s="18">
        <f>INDEX(PTRS!$D$6:$D$12,MATCH('4'!$F55,PTRS!$B$6:$B$12,0))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v>0.1044225</v>
      </c>
      <c r="N55" s="17">
        <f>INDEX('Unique Asset List'!$D$4:$M$60,MATCH($B55,'Unique Asset List'!$A$4:$A$60,0),MATCH(N$8,'Unique Asset List'!$D$3:$M$3,0))</f>
        <v>0</v>
      </c>
      <c r="O55" s="17">
        <f>INDEX('Unique Asset List'!$D$4:$M$60,MATCH($B55,'Unique Asset List'!$A$4:$A$60,0),MATCH(O$8,'Unique Asset List'!$D$3:$M$3,0))</f>
        <v>0</v>
      </c>
      <c r="P55" s="17">
        <f>INDEX('Unique Asset List'!$D$4:$M$60,MATCH($B55,'Unique Asset List'!$A$4:$A$60,0),MATCH(P$8,'Unique Asset List'!$D$3:$M$3,0))</f>
        <v>0</v>
      </c>
      <c r="Q55" s="17">
        <f>INDEX('Unique Asset List'!$D$4:$M$60,MATCH($B55,'Unique Asset List'!$A$4:$A$60,0),MATCH(Q$8,'Unique Asset List'!$D$3:$M$3,0))</f>
        <v>0</v>
      </c>
      <c r="R55" s="17">
        <f>INDEX('Unique Asset List'!$D$4:$M$60,MATCH($B55,'Unique Asset List'!$A$4:$A$60,0),MATCH(R$8,'Unique Asset List'!$D$3:$M$3,0))</f>
        <v>0</v>
      </c>
      <c r="S55" s="17">
        <f>INDEX('Unique Asset List'!$D$4:$M$60,MATCH($B55,'Unique Asset List'!$A$4:$A$60,0),MATCH(S$8,'Unique Asset List'!$D$3:$M$3,0))</f>
        <v>0</v>
      </c>
      <c r="T55" s="17"/>
      <c r="U55" s="17">
        <f t="shared" si="15"/>
        <v>0</v>
      </c>
      <c r="V55" s="17">
        <v>1</v>
      </c>
      <c r="W55" s="9" t="s">
        <v>0</v>
      </c>
      <c r="X55" s="9">
        <f>INDEX('Unique Asset List'!$Y$4:$AE$60,MATCH('4'!$B55,'Unique Asset List'!$A$4:$A$60,0),MATCH('4'!$C$1,'Unique Asset List'!$Y$3:$AE$3,0))</f>
        <v>2051</v>
      </c>
      <c r="Y55" s="9">
        <f>INDEX('Unique Asset List'!$AF$4:$AL$60,MATCH('4'!$B55,'Unique Asset List'!$A$4:$A$60,0),MATCH('4'!$C$1,'Unique Asset List'!$AF$3:$AL$3,0))</f>
        <v>6</v>
      </c>
      <c r="Z55" s="9">
        <f>INDEX('Unique Asset List'!$AT$4:$AZ$60,MATCH('4'!$B55,'Unique Asset List'!$A$4:$A$60,0),MATCH('4'!$C$1,'Unique Asset List'!$AT$3:$AZ$3,0))</f>
        <v>2060</v>
      </c>
      <c r="AA55" s="9">
        <f>INDEX('Unique Asset List'!$BA$4:$BG$60,MATCH('4'!$B55,'Unique Asset List'!$A$4:$A$60,0),MATCH('4'!$C$1,'Unique Asset List'!$BA$3:$BG$3,0))</f>
        <v>6</v>
      </c>
      <c r="AB55" s="16">
        <f t="shared" si="16"/>
        <v>0</v>
      </c>
      <c r="AC55" s="16">
        <f t="shared" si="17"/>
        <v>0</v>
      </c>
      <c r="AD55" s="16">
        <f t="shared" si="18"/>
        <v>0</v>
      </c>
      <c r="AE55" s="15">
        <f>INDEX('Unique Asset List'!$CJ$4:$CP$60,MATCH('4'!$B55,'Unique Asset List'!$A$4:$A$60,0),MATCH('4'!$C$1,'Unique Asset List'!$CJ$3:$CP$3,0))</f>
        <v>0.05</v>
      </c>
      <c r="AF55" s="15">
        <f>INDEX('Unique Asset List'!$CQ$4:$CW$60,MATCH('4'!$B55,'Unique Asset List'!$A$4:$A$60,0),MATCH('4'!$C$1,'Unique Asset List'!$CQ$3:$CW$3,0))</f>
        <v>0.45</v>
      </c>
      <c r="AG55" s="15">
        <f>INDEX('Unique Asset List'!$BV$4:$CB$60,MATCH('4'!$B55,'Unique Asset List'!$A$4:$A$60,0),MATCH('4'!$C$1,'Unique Asset List'!$BV$3:$CB$3,0))</f>
        <v>0.05</v>
      </c>
      <c r="AH55" s="15">
        <f>INDEX('Unique Asset List'!$CC$4:$CI$60,MATCH('4'!$B55,'Unique Asset List'!$A$4:$A$60,0),MATCH('4'!$C$1,'Unique Asset List'!$CC$3:$CI$3,0))</f>
        <v>0.45</v>
      </c>
      <c r="AI55" s="11">
        <v>0.96187963349867744</v>
      </c>
      <c r="AJ55" s="15">
        <f>INDEX('Unique Asset List'!$BH$4:$BN$60,MATCH('4'!$B55,'Unique Asset List'!$A$4:$A$60,0),MATCH('4'!$C$1,'Unique Asset List'!$BH$3:$BN$3,0))</f>
        <v>1.4542000570988298</v>
      </c>
      <c r="AK55" s="15">
        <f>INDEX('Unique Asset List'!$BO$4:$BU$60,MATCH('4'!$B55,'Unique Asset List'!$A$4:$A$60,0),MATCH('4'!$C$1,'Unique Asset List'!$BO$3:$BU$3,0))</f>
        <v>-0.4950056673809119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1"/>
        <v>0.82</v>
      </c>
      <c r="AS55" s="10">
        <v>1</v>
      </c>
      <c r="AT55" s="181">
        <f>INDEX('Unique Asset List'!N$4:N$60,MATCH($B55,_CompoundList,0))</f>
        <v>0</v>
      </c>
      <c r="AU55" s="181">
        <f>INDEX('Unique Asset List'!O$4:O$60,MATCH($B55,_CompoundList,0))</f>
        <v>0</v>
      </c>
      <c r="AV55" s="181">
        <f>INDEX('Unique Asset List'!P$4:P$60,MATCH($B55,_CompoundList,0))</f>
        <v>0</v>
      </c>
      <c r="AW55" s="181">
        <f>INDEX('Unique Asset List'!Q$4:Q$60,MATCH($B55,_CompoundList,0))</f>
        <v>0</v>
      </c>
      <c r="AX55" s="181">
        <f ca="1">INDEX('Unique Asset List'!R$4:R$60,MATCH($B55,_CompoundList,0))</f>
        <v>0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0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0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IF($C$5="ON",CL55,MyRating(_S1,$B55,Efficacy!$F$1))</f>
        <v>0</v>
      </c>
      <c r="BM55" s="3">
        <f>IF($C$5="ON",CM55,MyRating(_S2,$B55,Efficacy!$F$1))</f>
        <v>0</v>
      </c>
      <c r="BN55" s="3">
        <f>IF($C$5="ON",CN55,MyRating(_S3,$B55,Efficacy!$F$1))</f>
        <v>0</v>
      </c>
      <c r="BO55" s="3">
        <f>IF($C$5="ON",CO55,MyRating(_S4,$B55,Efficacy!$F$1))</f>
        <v>0</v>
      </c>
      <c r="BP55" s="3">
        <f>IF($C$5="ON",CP55,MyRating(_S5,$B55,Efficacy!$F$1))</f>
        <v>0</v>
      </c>
      <c r="BQ55" s="3">
        <f>IF($C$5="ON",CQ55,MyRating(_S6,$B55,Efficacy!$F$1))</f>
        <v>0</v>
      </c>
      <c r="BR55" s="3">
        <f>IF($C$5="ON",CR55,MyRating(_S7,$B55,Efficacy!$F$1))</f>
        <v>0</v>
      </c>
      <c r="BS55" s="3">
        <f>IF($C$5="ON",CS55,MyRating(_D1,$B55,Efficacy!$F$1))</f>
        <v>0</v>
      </c>
      <c r="BT55" s="3">
        <f>IF($C$5="ON",CT55,MyRating(_D2,$B55,Efficacy!$F$1))</f>
        <v>0</v>
      </c>
      <c r="BU55" s="3">
        <f>IF($C$5="ON",CU55,MyRating(_D3,$B55,Efficacy!$F$1))</f>
        <v>0</v>
      </c>
      <c r="BV55" s="3">
        <f>IF($C$5="ON",CV55,MyRating(_D4,$B55,Efficacy!$F$1))</f>
        <v>0</v>
      </c>
      <c r="BW55" s="3">
        <f>IF($C$5="ON",CW55,MyRating(_B1G5,$B55,Barrier!$L$2))</f>
        <v>0</v>
      </c>
      <c r="BX55" s="3">
        <f>IF($C$5="ON",CX55,MyRating(_B2,$B55,Barrier!$F$2))</f>
        <v>0</v>
      </c>
      <c r="BY55" s="6">
        <f>IF($C$5="ON",CY55,MyRating(_B3,$B55,Barrier!$F$2))</f>
        <v>0</v>
      </c>
      <c r="BZ55" s="5">
        <f t="shared" si="9"/>
        <v>0</v>
      </c>
      <c r="CA55" s="8">
        <f t="shared" si="12"/>
        <v>0</v>
      </c>
      <c r="CB55" s="5">
        <f t="shared" si="13"/>
        <v>0</v>
      </c>
      <c r="CC55" s="7">
        <f t="shared" si="14"/>
        <v>0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>
        <v>0</v>
      </c>
    </row>
    <row r="56" spans="1:104" x14ac:dyDescent="0.25">
      <c r="A56" s="9" t="str">
        <f t="shared" si="10"/>
        <v>UK</v>
      </c>
      <c r="B56" s="9" t="s">
        <v>184</v>
      </c>
      <c r="C56" s="20" t="s">
        <v>3</v>
      </c>
      <c r="D56" s="9" t="s">
        <v>2</v>
      </c>
      <c r="E56" s="9"/>
      <c r="F56" s="9" t="str">
        <f>INDEX('Unique Asset List'!$C$4:$C$60,MATCH(B56,_CompoundList,0))</f>
        <v>PCD</v>
      </c>
      <c r="G56" s="19">
        <v>0</v>
      </c>
      <c r="H56" s="9">
        <v>2014</v>
      </c>
      <c r="I56" s="9">
        <v>6</v>
      </c>
      <c r="J56" s="18">
        <f>INDEX(PTRS!$D$6:$D$12,MATCH('4'!$F56,PTRS!$B$6:$B$12,0))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v>0.1044225</v>
      </c>
      <c r="N56" s="17">
        <f>INDEX('Unique Asset List'!$D$4:$M$60,MATCH($B56,'Unique Asset List'!$A$4:$A$60,0),MATCH(N$8,'Unique Asset List'!$D$3:$M$3,0))</f>
        <v>0</v>
      </c>
      <c r="O56" s="17">
        <f>INDEX('Unique Asset List'!$D$4:$M$60,MATCH($B56,'Unique Asset List'!$A$4:$A$60,0),MATCH(O$8,'Unique Asset List'!$D$3:$M$3,0))</f>
        <v>0</v>
      </c>
      <c r="P56" s="17">
        <f>INDEX('Unique Asset List'!$D$4:$M$60,MATCH($B56,'Unique Asset List'!$A$4:$A$60,0),MATCH(P$8,'Unique Asset List'!$D$3:$M$3,0))</f>
        <v>0</v>
      </c>
      <c r="Q56" s="17">
        <f>INDEX('Unique Asset List'!$D$4:$M$60,MATCH($B56,'Unique Asset List'!$A$4:$A$60,0),MATCH(Q$8,'Unique Asset List'!$D$3:$M$3,0))</f>
        <v>0</v>
      </c>
      <c r="R56" s="17">
        <f>INDEX('Unique Asset List'!$D$4:$M$60,MATCH($B56,'Unique Asset List'!$A$4:$A$60,0),MATCH(R$8,'Unique Asset List'!$D$3:$M$3,0))</f>
        <v>0</v>
      </c>
      <c r="S56" s="17">
        <f>INDEX('Unique Asset List'!$D$4:$M$60,MATCH($B56,'Unique Asset List'!$A$4:$A$60,0),MATCH(S$8,'Unique Asset List'!$D$3:$M$3,0))</f>
        <v>0</v>
      </c>
      <c r="T56" s="17"/>
      <c r="U56" s="17">
        <f t="shared" si="15"/>
        <v>0</v>
      </c>
      <c r="V56" s="17">
        <v>1</v>
      </c>
      <c r="W56" s="9" t="s">
        <v>0</v>
      </c>
      <c r="X56" s="9">
        <f>INDEX('Unique Asset List'!$Y$4:$AE$60,MATCH('4'!$B56,'Unique Asset List'!$A$4:$A$60,0),MATCH('4'!$C$1,'Unique Asset List'!$Y$3:$AE$3,0))</f>
        <v>2051</v>
      </c>
      <c r="Y56" s="9">
        <f>INDEX('Unique Asset List'!$AF$4:$AL$60,MATCH('4'!$B56,'Unique Asset List'!$A$4:$A$60,0),MATCH('4'!$C$1,'Unique Asset List'!$AF$3:$AL$3,0))</f>
        <v>6</v>
      </c>
      <c r="Z56" s="9">
        <f>INDEX('Unique Asset List'!$AT$4:$AZ$60,MATCH('4'!$B56,'Unique Asset List'!$A$4:$A$60,0),MATCH('4'!$C$1,'Unique Asset List'!$AT$3:$AZ$3,0))</f>
        <v>2060</v>
      </c>
      <c r="AA56" s="9">
        <f>INDEX('Unique Asset List'!$BA$4:$BG$60,MATCH('4'!$B56,'Unique Asset List'!$A$4:$A$60,0),MATCH('4'!$C$1,'Unique Asset List'!$BA$3:$BG$3,0))</f>
        <v>6</v>
      </c>
      <c r="AB56" s="16">
        <f t="shared" si="16"/>
        <v>0</v>
      </c>
      <c r="AC56" s="16">
        <f t="shared" si="17"/>
        <v>0</v>
      </c>
      <c r="AD56" s="16">
        <f t="shared" si="18"/>
        <v>0</v>
      </c>
      <c r="AE56" s="15">
        <f>INDEX('Unique Asset List'!$CJ$4:$CP$60,MATCH('4'!$B56,'Unique Asset List'!$A$4:$A$60,0),MATCH('4'!$C$1,'Unique Asset List'!$CJ$3:$CP$3,0))</f>
        <v>0.05</v>
      </c>
      <c r="AF56" s="15">
        <f>INDEX('Unique Asset List'!$CQ$4:$CW$60,MATCH('4'!$B56,'Unique Asset List'!$A$4:$A$60,0),MATCH('4'!$C$1,'Unique Asset List'!$CQ$3:$CW$3,0))</f>
        <v>0.45</v>
      </c>
      <c r="AG56" s="15">
        <f>INDEX('Unique Asset List'!$BV$4:$CB$60,MATCH('4'!$B56,'Unique Asset List'!$A$4:$A$60,0),MATCH('4'!$C$1,'Unique Asset List'!$BV$3:$CB$3,0))</f>
        <v>0.05</v>
      </c>
      <c r="AH56" s="15">
        <f>INDEX('Unique Asset List'!$CC$4:$CI$60,MATCH('4'!$B56,'Unique Asset List'!$A$4:$A$60,0),MATCH('4'!$C$1,'Unique Asset List'!$CC$3:$CI$3,0))</f>
        <v>0.45</v>
      </c>
      <c r="AI56" s="11">
        <v>0.96187963349867744</v>
      </c>
      <c r="AJ56" s="15">
        <f>INDEX('Unique Asset List'!$BH$4:$BN$60,MATCH('4'!$B56,'Unique Asset List'!$A$4:$A$60,0),MATCH('4'!$C$1,'Unique Asset List'!$BH$3:$BN$3,0))</f>
        <v>1.4542000570988298</v>
      </c>
      <c r="AK56" s="15">
        <f>INDEX('Unique Asset List'!$BO$4:$BU$60,MATCH('4'!$B56,'Unique Asset List'!$A$4:$A$60,0),MATCH('4'!$C$1,'Unique Asset List'!$BO$3:$BU$3,0))</f>
        <v>-0.4950056673809119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1"/>
        <v>0.82</v>
      </c>
      <c r="AS56" s="10">
        <v>1</v>
      </c>
      <c r="AT56" s="181">
        <f>INDEX('Unique Asset List'!N$4:N$60,MATCH($B56,_CompoundList,0))</f>
        <v>0</v>
      </c>
      <c r="AU56" s="181">
        <f>INDEX('Unique Asset List'!O$4:O$60,MATCH($B56,_CompoundList,0))</f>
        <v>0</v>
      </c>
      <c r="AV56" s="181">
        <f>INDEX('Unique Asset List'!P$4:P$60,MATCH($B56,_CompoundList,0))</f>
        <v>0</v>
      </c>
      <c r="AW56" s="181">
        <f>INDEX('Unique Asset List'!Q$4:Q$60,MATCH($B56,_CompoundList,0))</f>
        <v>0</v>
      </c>
      <c r="AX56" s="181">
        <f ca="1">INDEX('Unique Asset List'!R$4:R$60,MATCH($B56,_CompoundList,0))</f>
        <v>0</v>
      </c>
      <c r="AY56" s="181">
        <f ca="1">INDEX('Unique Asset List'!S$4:S$60,MATCH($B56,_CompoundList,0))</f>
        <v>0</v>
      </c>
      <c r="AZ56" s="181">
        <f ca="1">INDEX('Unique Asset List'!T$4:T$60,MATCH($B56,_CompoundList,0))</f>
        <v>0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0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IF($C$5="ON",CL56,MyRating(_S1,$B56,Efficacy!$F$1))</f>
        <v>0</v>
      </c>
      <c r="BM56" s="3">
        <f>IF($C$5="ON",CM56,MyRating(_S2,$B56,Efficacy!$F$1))</f>
        <v>0</v>
      </c>
      <c r="BN56" s="3">
        <f>IF($C$5="ON",CN56,MyRating(_S3,$B56,Efficacy!$F$1))</f>
        <v>0</v>
      </c>
      <c r="BO56" s="3">
        <f>IF($C$5="ON",CO56,MyRating(_S4,$B56,Efficacy!$F$1))</f>
        <v>0</v>
      </c>
      <c r="BP56" s="3">
        <f>IF($C$5="ON",CP56,MyRating(_S5,$B56,Efficacy!$F$1))</f>
        <v>0</v>
      </c>
      <c r="BQ56" s="3">
        <f>IF($C$5="ON",CQ56,MyRating(_S6,$B56,Efficacy!$F$1))</f>
        <v>0</v>
      </c>
      <c r="BR56" s="3">
        <f>IF($C$5="ON",CR56,MyRating(_S7,$B56,Efficacy!$F$1))</f>
        <v>0</v>
      </c>
      <c r="BS56" s="3">
        <f>IF($C$5="ON",CS56,MyRating(_D1,$B56,Efficacy!$F$1))</f>
        <v>0</v>
      </c>
      <c r="BT56" s="3">
        <f>IF($C$5="ON",CT56,MyRating(_D2,$B56,Efficacy!$F$1))</f>
        <v>0</v>
      </c>
      <c r="BU56" s="3">
        <f>IF($C$5="ON",CU56,MyRating(_D3,$B56,Efficacy!$F$1))</f>
        <v>0</v>
      </c>
      <c r="BV56" s="3">
        <f>IF($C$5="ON",CV56,MyRating(_D4,$B56,Efficacy!$F$1))</f>
        <v>0</v>
      </c>
      <c r="BW56" s="3">
        <f>IF($C$5="ON",CW56,MyRating(_B1G5,$B56,Barrier!$L$2))</f>
        <v>0</v>
      </c>
      <c r="BX56" s="3">
        <f>IF($C$5="ON",CX56,MyRating(_B2,$B56,Barrier!$F$2))</f>
        <v>0</v>
      </c>
      <c r="BY56" s="6">
        <f>IF($C$5="ON",CY56,MyRating(_B3,$B56,Barrier!$F$2))</f>
        <v>0</v>
      </c>
      <c r="BZ56" s="5">
        <f t="shared" si="9"/>
        <v>0</v>
      </c>
      <c r="CA56" s="8">
        <f t="shared" si="12"/>
        <v>0</v>
      </c>
      <c r="CB56" s="5">
        <f t="shared" si="13"/>
        <v>0</v>
      </c>
      <c r="CC56" s="7">
        <f t="shared" si="14"/>
        <v>0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>
        <v>0</v>
      </c>
    </row>
    <row r="57" spans="1:104" x14ac:dyDescent="0.25">
      <c r="A57" s="9" t="str">
        <f t="shared" si="10"/>
        <v>UK</v>
      </c>
      <c r="B57" s="9" t="s">
        <v>183</v>
      </c>
      <c r="C57" s="20" t="s">
        <v>3</v>
      </c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2014</v>
      </c>
      <c r="I57" s="9">
        <v>6</v>
      </c>
      <c r="J57" s="18">
        <f>INDEX(PTRS!$D$6:$D$12,MATCH('4'!$F57,PTRS!$B$6:$B$12,0))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v>0.1044225</v>
      </c>
      <c r="N57" s="17">
        <f>INDEX('Unique Asset List'!$D$4:$M$60,MATCH($B57,'Unique Asset List'!$A$4:$A$60,0),MATCH(N$8,'Unique Asset List'!$D$3:$M$3,0))</f>
        <v>0</v>
      </c>
      <c r="O57" s="17">
        <f>INDEX('Unique Asset List'!$D$4:$M$60,MATCH($B57,'Unique Asset List'!$A$4:$A$60,0),MATCH(O$8,'Unique Asset List'!$D$3:$M$3,0))</f>
        <v>0</v>
      </c>
      <c r="P57" s="17">
        <f>INDEX('Unique Asset List'!$D$4:$M$60,MATCH($B57,'Unique Asset List'!$A$4:$A$60,0),MATCH(P$8,'Unique Asset List'!$D$3:$M$3,0))</f>
        <v>0</v>
      </c>
      <c r="Q57" s="17">
        <f>INDEX('Unique Asset List'!$D$4:$M$60,MATCH($B57,'Unique Asset List'!$A$4:$A$60,0),MATCH(Q$8,'Unique Asset List'!$D$3:$M$3,0))</f>
        <v>0</v>
      </c>
      <c r="R57" s="17">
        <f>INDEX('Unique Asset List'!$D$4:$M$60,MATCH($B57,'Unique Asset List'!$A$4:$A$60,0),MATCH(R$8,'Unique Asset List'!$D$3:$M$3,0))</f>
        <v>0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15"/>
        <v>0</v>
      </c>
      <c r="V57" s="17">
        <v>1</v>
      </c>
      <c r="W57" s="9" t="s">
        <v>0</v>
      </c>
      <c r="X57" s="9">
        <f>INDEX('Unique Asset List'!$Y$4:$AE$60,MATCH('4'!$B57,'Unique Asset List'!$A$4:$A$60,0),MATCH('4'!$C$1,'Unique Asset List'!$Y$3:$AE$3,0))</f>
        <v>2051</v>
      </c>
      <c r="Y57" s="9">
        <f>INDEX('Unique Asset List'!$AF$4:$AL$60,MATCH('4'!$B57,'Unique Asset List'!$A$4:$A$60,0),MATCH('4'!$C$1,'Unique Asset List'!$AF$3:$AL$3,0))</f>
        <v>6</v>
      </c>
      <c r="Z57" s="9">
        <f>INDEX('Unique Asset List'!$AT$4:$AZ$60,MATCH('4'!$B57,'Unique Asset List'!$A$4:$A$60,0),MATCH('4'!$C$1,'Unique Asset List'!$AT$3:$AZ$3,0))</f>
        <v>2060</v>
      </c>
      <c r="AA57" s="9">
        <f>INDEX('Unique Asset List'!$BA$4:$BG$60,MATCH('4'!$B57,'Unique Asset List'!$A$4:$A$60,0),MATCH('4'!$C$1,'Unique Asset List'!$BA$3:$BG$3,0))</f>
        <v>6</v>
      </c>
      <c r="AB57" s="16">
        <f t="shared" si="16"/>
        <v>0</v>
      </c>
      <c r="AC57" s="16">
        <f t="shared" si="17"/>
        <v>0</v>
      </c>
      <c r="AD57" s="16">
        <f t="shared" si="18"/>
        <v>0</v>
      </c>
      <c r="AE57" s="15">
        <f>INDEX('Unique Asset List'!$CJ$4:$CP$60,MATCH('4'!$B57,'Unique Asset List'!$A$4:$A$60,0),MATCH('4'!$C$1,'Unique Asset List'!$CJ$3:$CP$3,0))</f>
        <v>0.05</v>
      </c>
      <c r="AF57" s="15">
        <f>INDEX('Unique Asset List'!$CQ$4:$CW$60,MATCH('4'!$B57,'Unique Asset List'!$A$4:$A$60,0),MATCH('4'!$C$1,'Unique Asset List'!$CQ$3:$CW$3,0))</f>
        <v>0.45</v>
      </c>
      <c r="AG57" s="15">
        <f>INDEX('Unique Asset List'!$BV$4:$CB$60,MATCH('4'!$B57,'Unique Asset List'!$A$4:$A$60,0),MATCH('4'!$C$1,'Unique Asset List'!$BV$3:$CB$3,0))</f>
        <v>0.05</v>
      </c>
      <c r="AH57" s="15">
        <f>INDEX('Unique Asset List'!$CC$4:$CI$60,MATCH('4'!$B57,'Unique Asset List'!$A$4:$A$60,0),MATCH('4'!$C$1,'Unique Asset List'!$CC$3:$CI$3,0))</f>
        <v>0.45</v>
      </c>
      <c r="AI57" s="11">
        <v>0.96187963349867744</v>
      </c>
      <c r="AJ57" s="15">
        <f>INDEX('Unique Asset List'!$BH$4:$BN$60,MATCH('4'!$B57,'Unique Asset List'!$A$4:$A$60,0),MATCH('4'!$C$1,'Unique Asset List'!$BH$3:$BN$3,0))</f>
        <v>1.4542000570988298</v>
      </c>
      <c r="AK57" s="15">
        <f>INDEX('Unique Asset List'!$BO$4:$BU$60,MATCH('4'!$B57,'Unique Asset List'!$A$4:$A$60,0),MATCH('4'!$C$1,'Unique Asset List'!$BO$3:$BU$3,0))</f>
        <v>-0.4950056673809119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1"/>
        <v>0.82</v>
      </c>
      <c r="AS57" s="10">
        <v>1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1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1</v>
      </c>
      <c r="BB57" s="181">
        <f ca="1">INDEX('Unique Asset List'!V$4:V$60,MATCH($B57,_CompoundList,0))</f>
        <v>1</v>
      </c>
      <c r="BC57" s="181">
        <f ca="1">INDEX('Unique Asset List'!W$4:W$60,MATCH($B57,_CompoundList,0))</f>
        <v>0</v>
      </c>
      <c r="BD57" s="4">
        <f>IF($C$5="ON",CD57,MyRating(_E1,$B57,Efficacy!$F$1))</f>
        <v>0</v>
      </c>
      <c r="BE57" s="3">
        <f>IF($C$5="ON",CE57,MyRating(_E2,$B57,Efficacy!$F$1))</f>
        <v>0</v>
      </c>
      <c r="BF57" s="3">
        <f>IF($C$5="ON",CF57,MyRating(_E3,$B57,Efficacy!$F$1))</f>
        <v>0</v>
      </c>
      <c r="BG57" s="3">
        <f>IF($C$5="ON",CG57,MyRating(_E4,$B57,Efficacy!$F$1))</f>
        <v>0</v>
      </c>
      <c r="BH57" s="3">
        <f>IF($C$5="ON",CH57,MyRating(_E5,$B57,Efficacy!$F$1))</f>
        <v>0</v>
      </c>
      <c r="BI57" s="3">
        <f>IF($C$5="ON",CI57,MyRating(_E6,$B57,Efficacy!$F$1))</f>
        <v>0</v>
      </c>
      <c r="BJ57" s="3">
        <f>IF($C$5="ON",CJ57,MyRating(_E7,$B57,Efficacy!$F$1))</f>
        <v>0</v>
      </c>
      <c r="BK57" s="3">
        <f>IF($C$5="ON",CK57,MyRating(_E8,$B57,Efficacy!$F$1))</f>
        <v>0</v>
      </c>
      <c r="BL57" s="3">
        <f>IF($C$5="ON",CL57,MyRating(_S1,$B57,Efficacy!$F$1))</f>
        <v>0</v>
      </c>
      <c r="BM57" s="3">
        <f>IF($C$5="ON",CM57,MyRating(_S2,$B57,Efficacy!$F$1))</f>
        <v>0</v>
      </c>
      <c r="BN57" s="3">
        <f>IF($C$5="ON",CN57,MyRating(_S3,$B57,Efficacy!$F$1))</f>
        <v>0</v>
      </c>
      <c r="BO57" s="3">
        <f>IF($C$5="ON",CO57,MyRating(_S4,$B57,Efficacy!$F$1))</f>
        <v>0</v>
      </c>
      <c r="BP57" s="3">
        <f>IF($C$5="ON",CP57,MyRating(_S5,$B57,Efficacy!$F$1))</f>
        <v>0</v>
      </c>
      <c r="BQ57" s="3">
        <f>IF($C$5="ON",CQ57,MyRating(_S6,$B57,Efficacy!$F$1))</f>
        <v>0</v>
      </c>
      <c r="BR57" s="3">
        <f>IF($C$5="ON",CR57,MyRating(_S7,$B57,Efficacy!$F$1))</f>
        <v>0</v>
      </c>
      <c r="BS57" s="3">
        <f>IF($C$5="ON",CS57,MyRating(_D1,$B57,Efficacy!$F$1))</f>
        <v>0</v>
      </c>
      <c r="BT57" s="3">
        <f>IF($C$5="ON",CT57,MyRating(_D2,$B57,Efficacy!$F$1))</f>
        <v>0</v>
      </c>
      <c r="BU57" s="3">
        <f>IF($C$5="ON",CU57,MyRating(_D3,$B57,Efficacy!$F$1))</f>
        <v>0</v>
      </c>
      <c r="BV57" s="3">
        <f>IF($C$5="ON",CV57,MyRating(_D4,$B57,Efficacy!$F$1))</f>
        <v>0</v>
      </c>
      <c r="BW57" s="3">
        <f>IF($C$5="ON",CW57,MyRating(_B1G5,$B57,Barrier!$L$2))</f>
        <v>0</v>
      </c>
      <c r="BX57" s="3">
        <f>IF($C$5="ON",CX57,MyRating(_B2,$B57,Barrier!$F$2))</f>
        <v>0</v>
      </c>
      <c r="BY57" s="6">
        <f>IF($C$5="ON",CY57,MyRating(_B3,$B57,Barrier!$F$2))</f>
        <v>0</v>
      </c>
      <c r="BZ57" s="5">
        <f t="shared" si="9"/>
        <v>0</v>
      </c>
      <c r="CA57" s="8">
        <f t="shared" si="12"/>
        <v>0</v>
      </c>
      <c r="CB57" s="5">
        <f t="shared" si="13"/>
        <v>0</v>
      </c>
      <c r="CC57" s="7">
        <f t="shared" si="14"/>
        <v>0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>
        <v>0</v>
      </c>
    </row>
    <row r="58" spans="1:104" x14ac:dyDescent="0.25">
      <c r="A58" s="9" t="str">
        <f t="shared" si="10"/>
        <v>UK</v>
      </c>
      <c r="B58" s="9" t="s">
        <v>182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2014</v>
      </c>
      <c r="I58" s="9">
        <v>6</v>
      </c>
      <c r="J58" s="18">
        <f>INDEX(PTRS!$D$6:$D$12,MATCH('4'!$F58,PTRS!$B$6:$B$12,0))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v>0.1044225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 t="shared" si="15"/>
        <v>0</v>
      </c>
      <c r="V58" s="17">
        <v>1</v>
      </c>
      <c r="W58" s="9" t="s">
        <v>0</v>
      </c>
      <c r="X58" s="9">
        <f>INDEX('Unique Asset List'!$Y$4:$AE$60,MATCH('4'!$B58,'Unique Asset List'!$A$4:$A$60,0),MATCH('4'!$C$1,'Unique Asset List'!$Y$3:$AE$3,0))</f>
        <v>2051</v>
      </c>
      <c r="Y58" s="9">
        <f>INDEX('Unique Asset List'!$AF$4:$AL$60,MATCH('4'!$B58,'Unique Asset List'!$A$4:$A$60,0),MATCH('4'!$C$1,'Unique Asset List'!$AF$3:$AL$3,0))</f>
        <v>6</v>
      </c>
      <c r="Z58" s="9">
        <f>INDEX('Unique Asset List'!$AT$4:$AZ$60,MATCH('4'!$B58,'Unique Asset List'!$A$4:$A$60,0),MATCH('4'!$C$1,'Unique Asset List'!$AT$3:$AZ$3,0))</f>
        <v>2060</v>
      </c>
      <c r="AA58" s="9">
        <f>INDEX('Unique Asset List'!$BA$4:$BG$60,MATCH('4'!$B58,'Unique Asset List'!$A$4:$A$60,0),MATCH('4'!$C$1,'Unique Asset List'!$BA$3:$BG$3,0))</f>
        <v>6</v>
      </c>
      <c r="AB58" s="16">
        <f t="shared" si="16"/>
        <v>0</v>
      </c>
      <c r="AC58" s="16">
        <f t="shared" si="17"/>
        <v>0</v>
      </c>
      <c r="AD58" s="16">
        <f t="shared" si="18"/>
        <v>0</v>
      </c>
      <c r="AE58" s="15">
        <f>INDEX('Unique Asset List'!$CJ$4:$CP$60,MATCH('4'!$B58,'Unique Asset List'!$A$4:$A$60,0),MATCH('4'!$C$1,'Unique Asset List'!$CJ$3:$CP$3,0))</f>
        <v>0.05</v>
      </c>
      <c r="AF58" s="15">
        <f>INDEX('Unique Asset List'!$CQ$4:$CW$60,MATCH('4'!$B58,'Unique Asset List'!$A$4:$A$60,0),MATCH('4'!$C$1,'Unique Asset List'!$CQ$3:$CW$3,0))</f>
        <v>0.45</v>
      </c>
      <c r="AG58" s="15">
        <f>INDEX('Unique Asset List'!$BV$4:$CB$60,MATCH('4'!$B58,'Unique Asset List'!$A$4:$A$60,0),MATCH('4'!$C$1,'Unique Asset List'!$BV$3:$CB$3,0))</f>
        <v>0.05</v>
      </c>
      <c r="AH58" s="15">
        <f>INDEX('Unique Asset List'!$CC$4:$CI$60,MATCH('4'!$B58,'Unique Asset List'!$A$4:$A$60,0),MATCH('4'!$C$1,'Unique Asset List'!$CC$3:$CI$3,0))</f>
        <v>0.45</v>
      </c>
      <c r="AI58" s="11">
        <v>0.96187963349867744</v>
      </c>
      <c r="AJ58" s="15">
        <f>INDEX('Unique Asset List'!$BH$4:$BN$60,MATCH('4'!$B58,'Unique Asset List'!$A$4:$A$60,0),MATCH('4'!$C$1,'Unique Asset List'!$BH$3:$BN$3,0))</f>
        <v>1.4542000570988298</v>
      </c>
      <c r="AK58" s="15">
        <f>INDEX('Unique Asset List'!$BO$4:$BU$60,MATCH('4'!$B58,'Unique Asset List'!$A$4:$A$60,0),MATCH('4'!$C$1,'Unique Asset List'!$BO$3:$BU$3,0))</f>
        <v>-0.4950056673809119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1"/>
        <v>0.82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1</v>
      </c>
      <c r="AY58" s="181">
        <f ca="1">INDEX('Unique Asset List'!S$4:S$60,MATCH($B58,_CompoundList,0))</f>
        <v>0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1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IF($C$5="ON",CL58,MyRating(_S1,$B58,Efficacy!$F$1))</f>
        <v>0</v>
      </c>
      <c r="BM58" s="3">
        <f>IF($C$5="ON",CM58,MyRating(_S2,$B58,Efficacy!$F$1))</f>
        <v>0</v>
      </c>
      <c r="BN58" s="3">
        <f>IF($C$5="ON",CN58,MyRating(_S3,$B58,Efficacy!$F$1))</f>
        <v>0</v>
      </c>
      <c r="BO58" s="3">
        <f>IF($C$5="ON",CO58,MyRating(_S4,$B58,Efficacy!$F$1))</f>
        <v>0</v>
      </c>
      <c r="BP58" s="3">
        <f>IF($C$5="ON",CP58,MyRating(_S5,$B58,Efficacy!$F$1))</f>
        <v>0</v>
      </c>
      <c r="BQ58" s="3">
        <f>IF($C$5="ON",CQ58,MyRating(_S6,$B58,Efficacy!$F$1))</f>
        <v>0</v>
      </c>
      <c r="BR58" s="3">
        <f>IF($C$5="ON",CR58,MyRating(_S7,$B58,Efficacy!$F$1))</f>
        <v>0</v>
      </c>
      <c r="BS58" s="3">
        <f>IF($C$5="ON",CS58,MyRating(_D1,$B58,Efficacy!$F$1))</f>
        <v>0</v>
      </c>
      <c r="BT58" s="3">
        <f>IF($C$5="ON",CT58,MyRating(_D2,$B58,Efficacy!$F$1))</f>
        <v>0</v>
      </c>
      <c r="BU58" s="3">
        <f>IF($C$5="ON",CU58,MyRating(_D3,$B58,Efficacy!$F$1))</f>
        <v>0</v>
      </c>
      <c r="BV58" s="3">
        <f>IF($C$5="ON",CV58,MyRating(_D4,$B58,Efficacy!$F$1))</f>
        <v>0</v>
      </c>
      <c r="BW58" s="3">
        <f>IF($C$5="ON",CW58,MyRating(_B1G5,$B58,Barrier!$L$2))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9"/>
        <v>0</v>
      </c>
      <c r="CA58" s="8">
        <f t="shared" si="12"/>
        <v>0</v>
      </c>
      <c r="CB58" s="5">
        <f t="shared" si="13"/>
        <v>0</v>
      </c>
      <c r="CC58" s="7">
        <f t="shared" si="14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>
        <v>0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0F00-000000000000}">
      <formula1>"ON,OFF"</formula1>
    </dataValidation>
    <dataValidation type="list" allowBlank="1" showInputMessage="1" showErrorMessage="1" sqref="C1" xr:uid="{00000000-0002-0000-0F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2000000}">
          <x14:formula1>
            <xm:f>'Unique Asset List'!$D$3:$M$3</xm:f>
          </x14:formula1>
          <xm:sqref>J1:S1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>
    <outlinePr summaryBelow="0" summaryRight="0"/>
  </sheetPr>
  <dimension ref="A1:DB58"/>
  <sheetViews>
    <sheetView workbookViewId="0">
      <selection activeCell="C18" sqref="C18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28515625" customWidth="1"/>
    <col min="25" max="25" width="3.140625" bestFit="1" customWidth="1"/>
    <col min="26" max="26" width="5.7109375" bestFit="1" customWidth="1"/>
    <col min="27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bestFit="1" customWidth="1"/>
    <col min="57" max="57" width="3.5703125" bestFit="1" customWidth="1"/>
    <col min="58" max="58" width="4.5703125" bestFit="1" customWidth="1"/>
    <col min="59" max="74" width="3.5703125" bestFit="1" customWidth="1"/>
    <col min="75" max="75" width="4.5703125" bestFit="1" customWidth="1"/>
    <col min="76" max="77" width="5.85546875" bestFit="1" customWidth="1"/>
    <col min="78" max="81" width="7.7109375" style="1" bestFit="1" customWidth="1"/>
    <col min="82" max="83" width="3.5703125" bestFit="1" customWidth="1"/>
    <col min="84" max="84" width="4.5703125" bestFit="1" customWidth="1"/>
    <col min="85" max="101" width="3.5703125" bestFit="1" customWidth="1"/>
    <col min="102" max="103" width="4.5703125" bestFit="1" customWidth="1"/>
    <col min="104" max="104" width="5.140625" style="1" bestFit="1" customWidth="1"/>
  </cols>
  <sheetData>
    <row r="1" spans="1:106" x14ac:dyDescent="0.25">
      <c r="A1" s="209" t="s">
        <v>181</v>
      </c>
      <c r="B1" s="211"/>
      <c r="C1" s="56" t="s">
        <v>177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L1"/>
      <c r="AM1"/>
      <c r="AN1"/>
      <c r="AO1"/>
      <c r="AQ1"/>
      <c r="CA1" s="35"/>
    </row>
    <row r="2" spans="1:106" x14ac:dyDescent="0.25">
      <c r="B2" t="s">
        <v>172</v>
      </c>
      <c r="C2" s="48">
        <v>3</v>
      </c>
      <c r="T2" s="209" t="s">
        <v>168</v>
      </c>
      <c r="U2" s="210"/>
      <c r="V2" s="210"/>
      <c r="W2" s="211"/>
      <c r="X2" s="47">
        <v>0.2</v>
      </c>
      <c r="AL2"/>
      <c r="AM2"/>
      <c r="AN2"/>
      <c r="AO2"/>
      <c r="AQ2"/>
      <c r="CA2" s="35"/>
    </row>
    <row r="3" spans="1:106" x14ac:dyDescent="0.25">
      <c r="B3" t="s">
        <v>166</v>
      </c>
      <c r="C3" s="48">
        <v>2</v>
      </c>
      <c r="T3" s="209" t="s">
        <v>165</v>
      </c>
      <c r="U3" s="210"/>
      <c r="V3" s="210"/>
      <c r="W3" s="211"/>
      <c r="X3" s="47">
        <v>-0.5</v>
      </c>
      <c r="AL3"/>
      <c r="AM3"/>
      <c r="AN3"/>
      <c r="AO3"/>
      <c r="AQ3"/>
      <c r="CA3" s="35"/>
    </row>
    <row r="4" spans="1:106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1.5</v>
      </c>
      <c r="AL4"/>
      <c r="AM4"/>
      <c r="AN4"/>
      <c r="AO4"/>
      <c r="AQ4"/>
      <c r="CA4" s="35"/>
    </row>
    <row r="5" spans="1:106" x14ac:dyDescent="0.25">
      <c r="B5" t="s">
        <v>160</v>
      </c>
      <c r="C5" s="45" t="s">
        <v>3</v>
      </c>
      <c r="D5" s="44"/>
      <c r="U5" s="43"/>
      <c r="V5" s="42"/>
      <c r="AL5"/>
      <c r="AM5"/>
      <c r="AN5"/>
      <c r="AO5"/>
      <c r="AQ5"/>
      <c r="CA5" s="35"/>
    </row>
    <row r="6" spans="1:106" x14ac:dyDescent="0.25">
      <c r="AL6"/>
      <c r="AM6"/>
      <c r="AN6"/>
      <c r="AO6"/>
      <c r="AQ6"/>
      <c r="CA6" s="35"/>
    </row>
    <row r="7" spans="1:106" x14ac:dyDescent="0.25">
      <c r="AL7"/>
      <c r="AM7"/>
      <c r="AN7"/>
      <c r="AO7"/>
      <c r="AQ7"/>
      <c r="BD7" s="27">
        <f>IF($C$5="ON",CD7,INDEX(Conjoint!$F$9:$F$33,MATCH(BD8,Conjoint!$B$9:$B$33,0)))</f>
        <v>8.4581000000000003E-2</v>
      </c>
      <c r="BE7" s="27">
        <f>IF($C$5="ON",CE7,INDEX(Conjoint!$F$9:$F$33,MATCH(BE8,Conjoint!$B$9:$B$33,0)))</f>
        <v>8.0703200000000017E-2</v>
      </c>
      <c r="BF7" s="27">
        <f>IF($C$5="ON",CF7,INDEX(Conjoint!$F$9:$F$33,MATCH(BF8,Conjoint!$B$9:$B$33,0)))</f>
        <v>9.5090400000000005E-2</v>
      </c>
      <c r="BG7" s="27">
        <f>IF($C$5="ON",CG7,INDEX(Conjoint!$F$9:$F$33,MATCH(BG8,Conjoint!$B$9:$B$33,0)))</f>
        <v>8.2614000000000007E-2</v>
      </c>
      <c r="BH7" s="27">
        <f>IF($C$5="ON",CH7,INDEX(Conjoint!$F$9:$F$33,MATCH(BH8,Conjoint!$B$9:$B$33,0)))</f>
        <v>6.1089400000000009E-2</v>
      </c>
      <c r="BI7" s="27">
        <f>IF($C$5="ON",CI7,INDEX(Conjoint!$F$9:$F$33,MATCH(BI8,Conjoint!$B$9:$B$33,0)))</f>
        <v>5.8054600000000005E-2</v>
      </c>
      <c r="BJ7" s="27">
        <f>IF($C$5="ON",CJ7,INDEX(Conjoint!$F$9:$F$33,MATCH(BJ8,Conjoint!$B$9:$B$33,0)))</f>
        <v>3.8047400000000002E-2</v>
      </c>
      <c r="BK7" s="27">
        <f>IF($C$5="ON",CK7,INDEX(Conjoint!$F$9:$F$33,MATCH(BK8,Conjoint!$B$9:$B$33,0)))</f>
        <v>6.1820000000000007E-2</v>
      </c>
      <c r="BL7" s="27">
        <f>IF($C$5="ON",CL7,INDEX(Conjoint!$F$9:$F$33,MATCH(BL8,Conjoint!$B$9:$B$33,0)))</f>
        <v>6.1469900000000001E-2</v>
      </c>
      <c r="BM7" s="27">
        <f>IF($C$5="ON",CM7,INDEX(Conjoint!$F$9:$F$33,MATCH(BM8,Conjoint!$B$9:$B$33,0)))</f>
        <v>2.4572900000000002E-2</v>
      </c>
      <c r="BN7" s="27">
        <f>IF($C$5="ON",CN7,INDEX(Conjoint!$F$9:$F$33,MATCH(BN8,Conjoint!$B$9:$B$33,0)))</f>
        <v>3.06471E-2</v>
      </c>
      <c r="BO7" s="27">
        <f>IF($C$5="ON",CO7,INDEX(Conjoint!$F$9:$F$33,MATCH(BO8,Conjoint!$B$9:$B$33,0)))</f>
        <v>3.4964300000000004E-2</v>
      </c>
      <c r="BP7" s="27">
        <f>IF($C$5="ON",CP7,INDEX(Conjoint!$F$9:$F$33,MATCH(BP8,Conjoint!$B$9:$B$33,0)))</f>
        <v>4.6008299999999995E-2</v>
      </c>
      <c r="BQ7" s="27">
        <f>IF($C$5="ON",CQ7,INDEX(Conjoint!$F$9:$F$33,MATCH(BQ8,Conjoint!$B$9:$B$33,0)))</f>
        <v>2.14354E-2</v>
      </c>
      <c r="BR7" s="27">
        <f>IF($C$5="ON",CR7,INDEX(Conjoint!$F$9:$F$33,MATCH(BR8,Conjoint!$B$9:$B$33,0)))</f>
        <v>3.1877000000000003E-2</v>
      </c>
      <c r="BS7" s="27">
        <f>IF($C$5="ON",CS7,INDEX(Conjoint!$F$9:$F$33,MATCH(BS8,Conjoint!$B$9:$B$33,0)))</f>
        <v>5.9704054739999991E-2</v>
      </c>
      <c r="BT7" s="27">
        <f>IF($C$5="ON",CT7,INDEX(Conjoint!$F$9:$F$33,MATCH(BT8,Conjoint!$B$9:$B$33,0)))</f>
        <v>4.0027204139999994E-2</v>
      </c>
      <c r="BU7" s="27">
        <f>IF($C$5="ON",CU7,INDEX(Conjoint!$F$9:$F$33,MATCH(BU8,Conjoint!$B$9:$B$33,0)))</f>
        <v>3.2328141120000001E-2</v>
      </c>
      <c r="BV7" s="27">
        <f>IF($C$5="ON",CV7,INDEX(Conjoint!$F$9:$F$33,MATCH(BV8,Conjoint!$B$9:$B$33,0)))</f>
        <v>5.4940599999999999E-2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3.7050546148312331E-2</v>
      </c>
      <c r="CA7" s="34">
        <f>SUMIF($C$9:$C$58,"",CA9:CA58)</f>
        <v>84.999999999999957</v>
      </c>
      <c r="CB7" s="33"/>
      <c r="CC7" s="32">
        <f>SUMIF($C$9:$C$58,"",CC9:CC58)</f>
        <v>0.17896119842226979</v>
      </c>
      <c r="CD7" s="27">
        <v>8.4581000000000003E-2</v>
      </c>
      <c r="CE7" s="27">
        <v>8.0703200000000017E-2</v>
      </c>
      <c r="CF7" s="27">
        <v>9.5090400000000005E-2</v>
      </c>
      <c r="CG7" s="27">
        <v>8.2614000000000007E-2</v>
      </c>
      <c r="CH7" s="27">
        <v>6.1089400000000009E-2</v>
      </c>
      <c r="CI7" s="27">
        <v>5.8054600000000005E-2</v>
      </c>
      <c r="CJ7" s="27">
        <v>3.8047400000000002E-2</v>
      </c>
      <c r="CK7" s="27">
        <v>6.1820000000000007E-2</v>
      </c>
      <c r="CL7" s="27">
        <v>6.1469900000000001E-2</v>
      </c>
      <c r="CM7" s="27">
        <v>2.4572900000000002E-2</v>
      </c>
      <c r="CN7" s="27">
        <v>3.06471E-2</v>
      </c>
      <c r="CO7" s="27">
        <v>3.4964300000000004E-2</v>
      </c>
      <c r="CP7" s="27">
        <v>4.6008299999999995E-2</v>
      </c>
      <c r="CQ7" s="27">
        <v>2.14354E-2</v>
      </c>
      <c r="CR7" s="27">
        <v>3.1877000000000003E-2</v>
      </c>
      <c r="CS7" s="27">
        <v>5.9704054739999991E-2</v>
      </c>
      <c r="CT7" s="27">
        <v>4.0027204139999994E-2</v>
      </c>
      <c r="CU7" s="27">
        <v>3.2328141120000001E-2</v>
      </c>
      <c r="CV7" s="27">
        <v>5.4940599999999999E-2</v>
      </c>
      <c r="CW7" s="27">
        <v>0.05</v>
      </c>
      <c r="CX7" s="27">
        <v>0.47499999999999998</v>
      </c>
      <c r="CY7" s="26">
        <v>0.47499999999999998</v>
      </c>
      <c r="CZ7" s="31">
        <v>5.3883834849545127E-2</v>
      </c>
    </row>
    <row r="8" spans="1:106" ht="104.25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 t="s">
        <v>118</v>
      </c>
    </row>
    <row r="9" spans="1:106" x14ac:dyDescent="0.25">
      <c r="A9" s="9" t="str">
        <f t="shared" ref="A9:A40" si="0">$C$1</f>
        <v>FR</v>
      </c>
      <c r="B9" s="9" t="s">
        <v>49</v>
      </c>
      <c r="C9" s="20" t="s">
        <v>3</v>
      </c>
      <c r="D9" s="9" t="s">
        <v>48</v>
      </c>
      <c r="E9" s="9" t="s">
        <v>186</v>
      </c>
      <c r="F9" s="9" t="str">
        <f>INDEX('Unique Asset List'!$C$4:$C$60,MATCH(B9,_CompoundList,0))</f>
        <v>Launched</v>
      </c>
      <c r="G9" s="19">
        <v>0</v>
      </c>
      <c r="H9" s="9">
        <v>2014</v>
      </c>
      <c r="I9" s="9">
        <v>6</v>
      </c>
      <c r="J9" s="18">
        <f>INDEX(PTRS!$D$6:$D$12,MATCH('3'!$F9,PTRS!$B$6:$B$12,0))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35" si="1">BZ9/$BZ$7</f>
        <v>0</v>
      </c>
      <c r="V9" s="17">
        <v>1</v>
      </c>
      <c r="W9" s="9" t="s">
        <v>46</v>
      </c>
      <c r="X9" s="9">
        <f>INDEX('Unique Asset List'!$Y$4:$AE$60,MATCH('3'!$B9,'Unique Asset List'!$A$4:$A$60,0),MATCH('3'!$C$1,'Unique Asset List'!$Y$3:$AE$3,0))</f>
        <v>1984</v>
      </c>
      <c r="Y9" s="9">
        <f>INDEX('Unique Asset List'!$AF$4:$AL$60,MATCH('3'!$B9,'Unique Asset List'!$A$4:$A$60,0),MATCH('3'!$C$1,'Unique Asset List'!$AF$3:$AL$3,0))</f>
        <v>7</v>
      </c>
      <c r="Z9" s="9">
        <f>INDEX('Unique Asset List'!$AT$4:$AZ$60,MATCH('3'!$B9,'Unique Asset List'!$A$4:$A$60,0),MATCH('3'!$C$1,'Unique Asset List'!$AT$3:$AZ$3,0))</f>
        <v>1994</v>
      </c>
      <c r="AA9" s="9">
        <f>INDEX('Unique Asset List'!$BA$4:$BG$60,MATCH('3'!$B9,'Unique Asset List'!$A$4:$A$60,0),MATCH('3'!$C$1,'Unique Asset List'!$BA$3:$BG$3,0))</f>
        <v>7</v>
      </c>
      <c r="AB9" s="16">
        <f t="shared" ref="AB9:AB37" si="2">SUMPRODUCT($BD9:$BK9,$BD$7:$BK$7)</f>
        <v>1.3070995999999999</v>
      </c>
      <c r="AC9" s="16">
        <f t="shared" ref="AC9:AC37" si="3">SUMPRODUCT($BL9:$BR9,$BL$7:$BR$7)</f>
        <v>0.69770470000000007</v>
      </c>
      <c r="AD9" s="16">
        <f t="shared" ref="AD9:AD37" si="4">SUMPRODUCT($BS9:$BV9,$BS$7:$BV$7)</f>
        <v>0.56099999999999994</v>
      </c>
      <c r="AE9" s="15">
        <f>INDEX('Unique Asset List'!$CJ$4:$CP$60,MATCH('3'!$B9,'Unique Asset List'!$A$4:$A$60,0),MATCH('3'!$C$1,'Unique Asset List'!$CJ$3:$CP$3,0))</f>
        <v>0.12</v>
      </c>
      <c r="AF9" s="15">
        <f>INDEX('Unique Asset List'!$CQ$4:$CW$60,MATCH('3'!$B9,'Unique Asset List'!$A$4:$A$60,0),MATCH('3'!$C$1,'Unique Asset List'!$CQ$3:$CW$3,0))</f>
        <v>0.38</v>
      </c>
      <c r="AG9" s="15">
        <f>INDEX('Unique Asset List'!$BV$4:$CB$60,MATCH('3'!$B9,'Unique Asset List'!$A$4:$A$60,0),MATCH('3'!$C$1,'Unique Asset List'!$BV$3:$CB$3,0))</f>
        <v>0.12</v>
      </c>
      <c r="AH9" s="15">
        <f>INDEX('Unique Asset List'!$CC$4:$CI$60,MATCH('3'!$B9,'Unique Asset List'!$A$4:$A$60,0),MATCH('3'!$C$1,'Unique Asset List'!$CC$3:$CI$3,0))</f>
        <v>0.38</v>
      </c>
      <c r="AI9" s="11">
        <v>0.96187963349867744</v>
      </c>
      <c r="AJ9" s="15">
        <f>INDEX('Unique Asset List'!$BH$4:$BN$60,MATCH('3'!$B9,'Unique Asset List'!$A$4:$A$60,0),MATCH('3'!$C$1,'Unique Asset List'!$BH$3:$BN$3,0))</f>
        <v>2.1252009430760062</v>
      </c>
      <c r="AK9" s="15">
        <f>INDEX('Unique Asset List'!$BO$4:$BU$60,MATCH('3'!$B9,'Unique Asset List'!$A$4:$A$60,0),MATCH('3'!$C$1,'Unique Asset List'!$BO$3:$BU$3,0))</f>
        <v>-1.7169645793441486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40" si="5">AP9</f>
        <v>1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2</v>
      </c>
      <c r="BE9" s="3">
        <f>IF($C$5="ON",CE9,MyRating(_E2,$B9,Efficacy!$F$1))</f>
        <v>1</v>
      </c>
      <c r="BF9" s="3">
        <f>IF($C$5="ON",CF9,MyRating(_E3,$B9,Efficacy!$F$1))</f>
        <v>1</v>
      </c>
      <c r="BG9" s="3">
        <f>IF($C$5="ON",CG9,MyRating(_E4,$B9,Efficacy!$F$1))</f>
        <v>2</v>
      </c>
      <c r="BH9" s="3">
        <f>IF($C$5="ON",CH9,MyRating(_E5,$B9,Efficacy!$F$1))</f>
        <v>3</v>
      </c>
      <c r="BI9" s="3">
        <f>IF($C$5="ON",CI9,MyRating(_E6,$B9,Efficacy!$F$1))</f>
        <v>5</v>
      </c>
      <c r="BJ9" s="3">
        <f>IF($C$5="ON",CJ9,MyRating(_E7,$B9,Efficacy!$F$1))</f>
        <v>2</v>
      </c>
      <c r="BK9" s="3">
        <f>IF($C$5="ON",CK9,MyRating(_E8,$B9,Efficacy!$F$1))</f>
        <v>4</v>
      </c>
      <c r="BL9" s="3">
        <f>IF($C$5="ON",CL9,MyRating(_S1,$B9,Efficacy!$F$1))</f>
        <v>3</v>
      </c>
      <c r="BM9" s="3">
        <f>IF($C$5="ON",CM9,MyRating(_S2,$B9,Efficacy!$F$1))</f>
        <v>2</v>
      </c>
      <c r="BN9" s="3">
        <f>IF($C$5="ON",CN9,MyRating(_S3,$B9,Efficacy!$F$1))</f>
        <v>2</v>
      </c>
      <c r="BO9" s="3">
        <f>IF($C$5="ON",CO9,MyRating(_S4,$B9,Efficacy!$F$1))</f>
        <v>3</v>
      </c>
      <c r="BP9" s="3">
        <f>IF($C$5="ON",CP9,MyRating(_S5,$B9,Efficacy!$F$1))</f>
        <v>3</v>
      </c>
      <c r="BQ9" s="3">
        <f>IF($C$5="ON",CQ9,MyRating(_S6,$B9,Efficacy!$F$1))</f>
        <v>3</v>
      </c>
      <c r="BR9" s="3">
        <f>IF($C$5="ON",CR9,MyRating(_S7,$B9,Efficacy!$F$1))</f>
        <v>3</v>
      </c>
      <c r="BS9" s="3">
        <f>IF($C$5="ON",CS9,MyRating(_D1,$B9,Efficacy!$F$1))</f>
        <v>3</v>
      </c>
      <c r="BT9" s="3">
        <f>IF($C$5="ON",CT9,MyRating(_D2,$B9,Efficacy!$F$1))</f>
        <v>3</v>
      </c>
      <c r="BU9" s="3">
        <f>IF($C$5="ON",CU9,MyRating(_D3,$B9,Efficacy!$F$1))</f>
        <v>3</v>
      </c>
      <c r="BV9" s="3">
        <f>IF($C$5="ON",CV9,MyRating(_D4,$B9,Efficacy!$F$1))</f>
        <v>3</v>
      </c>
      <c r="BW9" s="3">
        <f>IF($C$5="ON",CW9,MyRating(_B1G5,$B9,Barrier!$L$2))</f>
        <v>3</v>
      </c>
      <c r="BX9" s="3">
        <f>IF($C$5="ON",CX9,MyRating(_B2,$B9,Barrier!$F$2))</f>
        <v>3</v>
      </c>
      <c r="BY9" s="6">
        <f>IF($C$5="ON",CY9,MyRating(_B3,$B9,Barrier!$F$2))</f>
        <v>0</v>
      </c>
      <c r="BZ9" s="5">
        <f>IF(C9="",CC9/$CC$7,0)</f>
        <v>0</v>
      </c>
      <c r="CA9" s="8">
        <f t="shared" ref="CA9:CA40" si="6">SUMPRODUCT($BW9:$BY9,$BW$7:$BY$7)</f>
        <v>1.8000000000000003</v>
      </c>
      <c r="CB9" s="5">
        <f t="shared" ref="CB9:CB40" si="7">CA9/$CA$7</f>
        <v>2.1176470588235307E-2</v>
      </c>
      <c r="CC9" s="7">
        <f t="shared" ref="CC9:CC40" si="8">CB9^$X$4</f>
        <v>3.081629118108704E-3</v>
      </c>
      <c r="CD9" s="4">
        <v>2</v>
      </c>
      <c r="CE9" s="3">
        <v>2</v>
      </c>
      <c r="CF9" s="3">
        <v>2</v>
      </c>
      <c r="CG9" s="3">
        <v>2</v>
      </c>
      <c r="CH9" s="3">
        <v>2</v>
      </c>
      <c r="CI9" s="3">
        <v>5</v>
      </c>
      <c r="CJ9" s="3">
        <v>2</v>
      </c>
      <c r="CK9" s="3">
        <v>4</v>
      </c>
      <c r="CL9" s="3">
        <v>3</v>
      </c>
      <c r="CM9" s="3">
        <v>2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3</v>
      </c>
      <c r="CY9" s="6">
        <v>3</v>
      </c>
      <c r="CZ9" s="5">
        <v>3.7014903427878103E-2</v>
      </c>
      <c r="DA9" s="59">
        <f t="shared" ref="DA9:DA40" si="9">X9+1</f>
        <v>1985</v>
      </c>
      <c r="DB9">
        <f t="shared" ref="DB9:DB40" si="10">MOD(Y9+15,12)</f>
        <v>10</v>
      </c>
    </row>
    <row r="10" spans="1:106" x14ac:dyDescent="0.25">
      <c r="A10" s="9" t="str">
        <f t="shared" si="0"/>
        <v>FR</v>
      </c>
      <c r="B10" s="9" t="s">
        <v>190</v>
      </c>
      <c r="C10" s="20"/>
      <c r="D10" s="9" t="s">
        <v>48</v>
      </c>
      <c r="E10" s="9" t="s">
        <v>186</v>
      </c>
      <c r="F10" s="9" t="str">
        <f>INDEX('Unique Asset List'!$C$4:$C$60,MATCH(B10,_CompoundList,0))</f>
        <v>Launched</v>
      </c>
      <c r="G10" s="19">
        <v>0.86114417145478495</v>
      </c>
      <c r="H10" s="9">
        <v>2014</v>
      </c>
      <c r="I10" s="9">
        <v>6</v>
      </c>
      <c r="J10" s="18">
        <f>INDEX(PTRS!$D$6:$D$12,MATCH('3'!$F10,PTRS!$B$6:$B$12,0))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1"/>
        <v>1</v>
      </c>
      <c r="V10" s="17">
        <v>1</v>
      </c>
      <c r="W10" s="9" t="s">
        <v>188</v>
      </c>
      <c r="X10" s="9">
        <f>INDEX('Unique Asset List'!$Y$4:$AE$60,MATCH('3'!$B10,'Unique Asset List'!$A$4:$A$60,0),MATCH('3'!$C$1,'Unique Asset List'!$Y$3:$AE$3,0))</f>
        <v>1980</v>
      </c>
      <c r="Y10" s="9">
        <f>INDEX('Unique Asset List'!$AF$4:$AL$60,MATCH('3'!$B10,'Unique Asset List'!$A$4:$A$60,0),MATCH('3'!$C$1,'Unique Asset List'!$AF$3:$AL$3,0))</f>
        <v>7</v>
      </c>
      <c r="Z10" s="9">
        <f>INDEX('Unique Asset List'!$AT$4:$AZ$60,MATCH('3'!$B10,'Unique Asset List'!$A$4:$A$60,0),MATCH('3'!$C$1,'Unique Asset List'!$AT$3:$AZ$3,0))</f>
        <v>2001</v>
      </c>
      <c r="AA10" s="9">
        <f>INDEX('Unique Asset List'!$BA$4:$BG$60,MATCH('3'!$B10,'Unique Asset List'!$A$4:$A$60,0),MATCH('3'!$C$1,'Unique Asset List'!$BA$3:$BG$3,0))</f>
        <v>7</v>
      </c>
      <c r="AB10" s="16">
        <f t="shared" si="2"/>
        <v>1.4234898</v>
      </c>
      <c r="AC10" s="16">
        <f t="shared" si="3"/>
        <v>0.91994010000000004</v>
      </c>
      <c r="AD10" s="16">
        <f t="shared" si="4"/>
        <v>0.50129594525999999</v>
      </c>
      <c r="AE10" s="15">
        <f>INDEX('Unique Asset List'!$CJ$4:$CP$60,MATCH('3'!$B10,'Unique Asset List'!$A$4:$A$60,0),MATCH('3'!$C$1,'Unique Asset List'!$CJ$3:$CP$3,0))</f>
        <v>0.12</v>
      </c>
      <c r="AF10" s="15">
        <f>INDEX('Unique Asset List'!$CQ$4:$CW$60,MATCH('3'!$B10,'Unique Asset List'!$A$4:$A$60,0),MATCH('3'!$C$1,'Unique Asset List'!$CQ$3:$CW$3,0))</f>
        <v>0.38</v>
      </c>
      <c r="AG10" s="15">
        <f>INDEX('Unique Asset List'!$BV$4:$CB$60,MATCH('3'!$B10,'Unique Asset List'!$A$4:$A$60,0),MATCH('3'!$C$1,'Unique Asset List'!$BV$3:$CB$3,0))</f>
        <v>0.12</v>
      </c>
      <c r="AH10" s="15">
        <f>INDEX('Unique Asset List'!$CC$4:$CI$60,MATCH('3'!$B10,'Unique Asset List'!$A$4:$A$60,0),MATCH('3'!$C$1,'Unique Asset List'!$CC$3:$CI$3,0))</f>
        <v>0.38</v>
      </c>
      <c r="AI10" s="11">
        <v>0.96187963349867744</v>
      </c>
      <c r="AJ10" s="15">
        <f>INDEX('Unique Asset List'!$BH$4:$BN$60,MATCH('3'!$B10,'Unique Asset List'!$A$4:$A$60,0),MATCH('3'!$C$1,'Unique Asset List'!$BH$3:$BN$3,0))</f>
        <v>2.1252009430760062</v>
      </c>
      <c r="AK10" s="15">
        <f>INDEX('Unique Asset List'!$BO$4:$BU$60,MATCH('3'!$B10,'Unique Asset List'!$A$4:$A$60,0),MATCH('3'!$C$1,'Unique Asset List'!$BO$3:$BU$3,0))</f>
        <v>-1.7169645793441486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2</v>
      </c>
      <c r="BE10" s="3">
        <f>IF($C$5="ON",CE10,MyRating(_E2,$B10,Efficacy!$F$1))</f>
        <v>3</v>
      </c>
      <c r="BF10" s="3">
        <f>IF($C$5="ON",CF10,MyRating(_E3,$B10,Efficacy!$F$1))</f>
        <v>3</v>
      </c>
      <c r="BG10" s="3">
        <f>IF($C$5="ON",CG10,MyRating(_E4,$B10,Efficacy!$F$1))</f>
        <v>3</v>
      </c>
      <c r="BH10" s="3">
        <f>IF($C$5="ON",CH10,MyRating(_E5,$B10,Efficacy!$F$1))</f>
        <v>3</v>
      </c>
      <c r="BI10" s="3">
        <f>IF($C$5="ON",CI10,MyRating(_E6,$B10,Efficacy!$F$1))</f>
        <v>1</v>
      </c>
      <c r="BJ10" s="3">
        <f>IF($C$5="ON",CJ10,MyRating(_E7,$B10,Efficacy!$F$1))</f>
        <v>3</v>
      </c>
      <c r="BK10" s="3">
        <f>IF($C$5="ON",CK10,MyRating(_E8,$B10,Efficacy!$F$1))</f>
        <v>2</v>
      </c>
      <c r="BL10" s="3">
        <f>IF($C$5="ON",CL10,MyRating(_S1,$B10,Efficacy!$F$1))</f>
        <v>4</v>
      </c>
      <c r="BM10" s="3">
        <f>IF($C$5="ON",CM10,MyRating(_S2,$B10,Efficacy!$F$1))</f>
        <v>3</v>
      </c>
      <c r="BN10" s="3">
        <f>IF($C$5="ON",CN10,MyRating(_S3,$B10,Efficacy!$F$1))</f>
        <v>3</v>
      </c>
      <c r="BO10" s="3">
        <f>IF($C$5="ON",CO10,MyRating(_S4,$B10,Efficacy!$F$1))</f>
        <v>4</v>
      </c>
      <c r="BP10" s="3">
        <f>IF($C$5="ON",CP10,MyRating(_S5,$B10,Efficacy!$F$1))</f>
        <v>5</v>
      </c>
      <c r="BQ10" s="3">
        <f>IF($C$5="ON",CQ10,MyRating(_S6,$B10,Efficacy!$F$1))</f>
        <v>2</v>
      </c>
      <c r="BR10" s="3">
        <f>IF($C$5="ON",CR10,MyRating(_S7,$B10,Efficacy!$F$1))</f>
        <v>3</v>
      </c>
      <c r="BS10" s="3">
        <f>IF($C$5="ON",CS10,MyRating(_D1,$B10,Efficacy!$F$1))</f>
        <v>2</v>
      </c>
      <c r="BT10" s="3">
        <f>IF($C$5="ON",CT10,MyRating(_D2,$B10,Efficacy!$F$1))</f>
        <v>3</v>
      </c>
      <c r="BU10" s="3">
        <f>IF($C$5="ON",CU10,MyRating(_D3,$B10,Efficacy!$F$1))</f>
        <v>3</v>
      </c>
      <c r="BV10" s="3">
        <f>IF($C$5="ON",CV10,MyRating(_D4,$B10,Efficacy!$F$1))</f>
        <v>3</v>
      </c>
      <c r="BW10" s="3">
        <f>IF($C$5="ON",CW10,MyRating(_B1G5,$B10,Barrier!$L$2))</f>
        <v>3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11">IF(C10="",CC10/$CC$7,0)</f>
        <v>3.7050546148312331E-2</v>
      </c>
      <c r="CA10" s="8">
        <f t="shared" si="6"/>
        <v>3.0000000000000004</v>
      </c>
      <c r="CB10" s="5">
        <f t="shared" si="7"/>
        <v>3.5294117647058844E-2</v>
      </c>
      <c r="CC10" s="7">
        <f t="shared" si="8"/>
        <v>6.6306101409015867E-3</v>
      </c>
      <c r="CD10" s="4">
        <v>3</v>
      </c>
      <c r="CE10" s="3">
        <v>3</v>
      </c>
      <c r="CF10" s="3">
        <v>3</v>
      </c>
      <c r="CG10" s="3">
        <v>3</v>
      </c>
      <c r="CH10" s="3">
        <v>3</v>
      </c>
      <c r="CI10" s="3">
        <v>1</v>
      </c>
      <c r="CJ10" s="3">
        <v>3</v>
      </c>
      <c r="CK10" s="3">
        <v>3</v>
      </c>
      <c r="CL10" s="3">
        <v>4</v>
      </c>
      <c r="CM10" s="3">
        <v>5</v>
      </c>
      <c r="CN10" s="3">
        <v>4</v>
      </c>
      <c r="CO10" s="3">
        <v>4</v>
      </c>
      <c r="CP10" s="3">
        <v>5</v>
      </c>
      <c r="CQ10" s="3">
        <v>2</v>
      </c>
      <c r="CR10" s="3">
        <v>3</v>
      </c>
      <c r="CS10" s="3">
        <v>2</v>
      </c>
      <c r="CT10" s="3">
        <v>2</v>
      </c>
      <c r="CU10" s="3">
        <v>3</v>
      </c>
      <c r="CV10" s="3">
        <v>3</v>
      </c>
      <c r="CW10" s="3">
        <v>3</v>
      </c>
      <c r="CX10" s="3">
        <v>3</v>
      </c>
      <c r="CY10" s="6">
        <v>3</v>
      </c>
      <c r="CZ10" s="5">
        <v>3.7014903427878103E-2</v>
      </c>
      <c r="DA10" s="59">
        <f t="shared" si="9"/>
        <v>1981</v>
      </c>
      <c r="DB10">
        <f t="shared" si="10"/>
        <v>10</v>
      </c>
    </row>
    <row r="11" spans="1:106" x14ac:dyDescent="0.25">
      <c r="A11" s="9" t="str">
        <f t="shared" si="0"/>
        <v>FR</v>
      </c>
      <c r="B11" s="9" t="s">
        <v>189</v>
      </c>
      <c r="C11" s="20"/>
      <c r="D11" s="9" t="s">
        <v>88</v>
      </c>
      <c r="E11" s="9" t="s">
        <v>186</v>
      </c>
      <c r="F11" s="9" t="str">
        <f>INDEX('Unique Asset List'!$C$4:$C$60,MATCH(B11,_CompoundList,0))</f>
        <v>Launched</v>
      </c>
      <c r="G11" s="19">
        <v>0.13885582854521503</v>
      </c>
      <c r="H11" s="9">
        <v>2014</v>
      </c>
      <c r="I11" s="9">
        <v>6</v>
      </c>
      <c r="J11" s="18">
        <f>INDEX(PTRS!$D$6:$D$12,MATCH('2'!$F11,PTRS!$B$6:$B$12,0))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1"/>
        <v>1</v>
      </c>
      <c r="V11" s="17">
        <v>1</v>
      </c>
      <c r="W11" s="9" t="s">
        <v>54</v>
      </c>
      <c r="X11" s="9">
        <f>INDEX('Unique Asset List'!$Y$4:$AE$60,MATCH('3'!$B11,'Unique Asset List'!$A$4:$A$60,0),MATCH('3'!$C$1,'Unique Asset List'!$Y$3:$AE$3,0))</f>
        <v>2010</v>
      </c>
      <c r="Y11" s="9">
        <f>INDEX('Unique Asset List'!$AF$4:$AL$60,MATCH('3'!$B11,'Unique Asset List'!$A$4:$A$60,0),MATCH('3'!$C$1,'Unique Asset List'!$AF$3:$AL$3,0))</f>
        <v>9</v>
      </c>
      <c r="Z11" s="9">
        <f>INDEX('Unique Asset List'!$AT$4:$AZ$60,MATCH('3'!$B11,'Unique Asset List'!$A$4:$A$60,0),MATCH('3'!$C$1,'Unique Asset List'!$AT$3:$AZ$3,0))</f>
        <v>2017</v>
      </c>
      <c r="AA11" s="9">
        <f>INDEX('Unique Asset List'!$BA$4:$BG$60,MATCH('3'!$B11,'Unique Asset List'!$A$4:$A$60,0),MATCH('3'!$C$1,'Unique Asset List'!$BA$3:$BG$3,0))</f>
        <v>3</v>
      </c>
      <c r="AB11" s="16">
        <f t="shared" si="2"/>
        <v>1.6860000000000002</v>
      </c>
      <c r="AC11" s="16">
        <f t="shared" si="3"/>
        <v>0.7069164</v>
      </c>
      <c r="AD11" s="16">
        <f t="shared" si="4"/>
        <v>0.56099999999999994</v>
      </c>
      <c r="AE11" s="15">
        <f>INDEX('Unique Asset List'!$CJ$4:$CP$60,MATCH('3'!$B11,'Unique Asset List'!$A$4:$A$60,0),MATCH('3'!$C$1,'Unique Asset List'!$CJ$3:$CP$3,0))</f>
        <v>0.12</v>
      </c>
      <c r="AF11" s="15">
        <f>INDEX('Unique Asset List'!$CQ$4:$CW$60,MATCH('3'!$B11,'Unique Asset List'!$A$4:$A$60,0),MATCH('3'!$C$1,'Unique Asset List'!$CQ$3:$CW$3,0))</f>
        <v>0.38</v>
      </c>
      <c r="AG11" s="15">
        <f>INDEX('Unique Asset List'!$BV$4:$CB$60,MATCH('3'!$B11,'Unique Asset List'!$A$4:$A$60,0),MATCH('3'!$C$1,'Unique Asset List'!$BV$3:$CB$3,0))</f>
        <v>0.12</v>
      </c>
      <c r="AH11" s="15">
        <f>INDEX('Unique Asset List'!$CC$4:$CI$60,MATCH('3'!$B11,'Unique Asset List'!$A$4:$A$60,0),MATCH('3'!$C$1,'Unique Asset List'!$CC$3:$CI$3,0))</f>
        <v>0.38</v>
      </c>
      <c r="AI11" s="11">
        <v>0.96187963349867744</v>
      </c>
      <c r="AJ11" s="15">
        <f>INDEX('Unique Asset List'!$BH$4:$BN$60,MATCH('3'!$B11,'Unique Asset List'!$A$4:$A$60,0),MATCH('3'!$C$1,'Unique Asset List'!$BH$3:$BN$3,0))</f>
        <v>2.1252009430760062</v>
      </c>
      <c r="AK11" s="15">
        <f>INDEX('Unique Asset List'!$BO$4:$BU$60,MATCH('3'!$B11,'Unique Asset List'!$A$4:$A$60,0),MATCH('3'!$C$1,'Unique Asset List'!$BO$3:$BU$3,0))</f>
        <v>-1.7169645793441486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1</v>
      </c>
      <c r="AQ11" s="12">
        <v>0</v>
      </c>
      <c r="AR11" s="11">
        <f t="shared" si="5"/>
        <v>1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3</v>
      </c>
      <c r="BE11" s="3">
        <f>IF($C$5="ON",CE11,MyRating(_E2,$B11,Efficacy!$F$1))</f>
        <v>3</v>
      </c>
      <c r="BF11" s="3">
        <f>IF($C$5="ON",CF11,MyRating(_E3,$B11,Efficacy!$F$1))</f>
        <v>3</v>
      </c>
      <c r="BG11" s="3">
        <f>IF($C$5="ON",CG11,MyRating(_E4,$B11,Efficacy!$F$1))</f>
        <v>3</v>
      </c>
      <c r="BH11" s="3">
        <f>IF($C$5="ON",CH11,MyRating(_E5,$B11,Efficacy!$F$1))</f>
        <v>3</v>
      </c>
      <c r="BI11" s="3">
        <f>IF($C$5="ON",CI11,MyRating(_E6,$B11,Efficacy!$F$1))</f>
        <v>3</v>
      </c>
      <c r="BJ11" s="3">
        <f>IF($C$5="ON",CJ11,MyRating(_E7,$B11,Efficacy!$F$1))</f>
        <v>3</v>
      </c>
      <c r="BK11" s="3">
        <f>IF($C$5="ON",CK11,MyRating(_E8,$B11,Efficacy!$F$1))</f>
        <v>3</v>
      </c>
      <c r="BL11" s="3">
        <f>IF($C$5="ON",CL11,MyRating(_S1,$B11,Efficacy!$F$1))</f>
        <v>3</v>
      </c>
      <c r="BM11" s="3">
        <f>IF($C$5="ON",CM11,MyRating(_S2,$B11,Efficacy!$F$1))</f>
        <v>3</v>
      </c>
      <c r="BN11" s="3">
        <f>IF($C$5="ON",CN11,MyRating(_S3,$B11,Efficacy!$F$1))</f>
        <v>3</v>
      </c>
      <c r="BO11" s="3">
        <f>IF($C$5="ON",CO11,MyRating(_S4,$B11,Efficacy!$F$1))</f>
        <v>3</v>
      </c>
      <c r="BP11" s="3">
        <f>IF($C$5="ON",CP11,MyRating(_S5,$B11,Efficacy!$F$1))</f>
        <v>2</v>
      </c>
      <c r="BQ11" s="3">
        <f>IF($C$5="ON",CQ11,MyRating(_S6,$B11,Efficacy!$F$1))</f>
        <v>3</v>
      </c>
      <c r="BR11" s="3">
        <f>IF($C$5="ON",CR11,MyRating(_S7,$B11,Efficacy!$F$1))</f>
        <v>3</v>
      </c>
      <c r="BS11" s="3">
        <f>IF($C$5="ON",CS11,MyRating(_D1,$B11,Efficacy!$F$1))</f>
        <v>3</v>
      </c>
      <c r="BT11" s="3">
        <f>IF($C$5="ON",CT11,MyRating(_D2,$B11,Efficacy!$F$1))</f>
        <v>3</v>
      </c>
      <c r="BU11" s="3">
        <f>IF($C$5="ON",CU11,MyRating(_D3,$B11,Efficacy!$F$1))</f>
        <v>3</v>
      </c>
      <c r="BV11" s="3">
        <f>IF($C$5="ON",CV11,MyRating(_D4,$B11,Efficacy!$F$1))</f>
        <v>3</v>
      </c>
      <c r="BW11" s="3">
        <f>IF($C$5="ON",CW11,MyRating(_B1G5,$B11,Barrier!$L$2))</f>
        <v>3</v>
      </c>
      <c r="BX11" s="3">
        <f>IF($C$5="ON",CX11,MyRating(_B2,$B11,Barrier!$F$2))</f>
        <v>3</v>
      </c>
      <c r="BY11" s="6">
        <f>IF($C$5="ON",CY11,MyRating(_B3,$B11,Barrier!$F$2))</f>
        <v>3</v>
      </c>
      <c r="BZ11" s="5">
        <f t="shared" si="11"/>
        <v>3.7050546148312331E-2</v>
      </c>
      <c r="CA11" s="8">
        <f t="shared" si="6"/>
        <v>3.0000000000000004</v>
      </c>
      <c r="CB11" s="5">
        <f t="shared" si="7"/>
        <v>3.5294117647058844E-2</v>
      </c>
      <c r="CC11" s="7">
        <f t="shared" si="8"/>
        <v>6.6306101409015867E-3</v>
      </c>
      <c r="CD11" s="4">
        <v>3</v>
      </c>
      <c r="CE11" s="3">
        <v>2</v>
      </c>
      <c r="CF11" s="3">
        <v>3</v>
      </c>
      <c r="CG11" s="3">
        <v>3</v>
      </c>
      <c r="CH11" s="3">
        <v>2</v>
      </c>
      <c r="CI11" s="3">
        <v>5</v>
      </c>
      <c r="CJ11" s="3">
        <v>3</v>
      </c>
      <c r="CK11" s="3">
        <v>3</v>
      </c>
      <c r="CL11" s="3">
        <v>3</v>
      </c>
      <c r="CM11" s="3">
        <v>1</v>
      </c>
      <c r="CN11" s="3">
        <v>3</v>
      </c>
      <c r="CO11" s="3">
        <v>3</v>
      </c>
      <c r="CP11" s="3">
        <v>2</v>
      </c>
      <c r="CQ11" s="3">
        <v>3</v>
      </c>
      <c r="CR11" s="3">
        <v>3</v>
      </c>
      <c r="CS11" s="3">
        <v>3</v>
      </c>
      <c r="CT11" s="3">
        <v>2</v>
      </c>
      <c r="CU11" s="3">
        <v>3</v>
      </c>
      <c r="CV11" s="3">
        <v>3</v>
      </c>
      <c r="CW11" s="3">
        <v>3</v>
      </c>
      <c r="CX11" s="3">
        <v>3</v>
      </c>
      <c r="CY11" s="6">
        <v>3</v>
      </c>
      <c r="CZ11" s="5">
        <v>3.7014903427878103E-2</v>
      </c>
      <c r="DA11" s="59">
        <f t="shared" si="9"/>
        <v>2011</v>
      </c>
      <c r="DB11">
        <f t="shared" si="10"/>
        <v>0</v>
      </c>
    </row>
    <row r="12" spans="1:106" x14ac:dyDescent="0.25">
      <c r="A12" s="9" t="str">
        <f t="shared" si="0"/>
        <v>FR</v>
      </c>
      <c r="B12" s="9" t="s">
        <v>86</v>
      </c>
      <c r="C12" s="20" t="s">
        <v>3</v>
      </c>
      <c r="D12" s="9" t="s">
        <v>85</v>
      </c>
      <c r="E12" s="9" t="s">
        <v>186</v>
      </c>
      <c r="F12" s="9" t="str">
        <f>INDEX('Unique Asset List'!$C$4:$C$60,MATCH(B12,_CompoundList,0))</f>
        <v>REG</v>
      </c>
      <c r="G12" s="19">
        <v>0</v>
      </c>
      <c r="H12" s="9">
        <v>2014</v>
      </c>
      <c r="I12" s="9">
        <v>6</v>
      </c>
      <c r="J12" s="18">
        <f>INDEX(PTRS!$D$6:$D$12,MATCH('2'!$F12,PTRS!$B$6:$B$12,0))</f>
        <v>0.9</v>
      </c>
      <c r="K12" s="17">
        <f>INDEX('Unique Asset List'!$D$4:$M$60,MATCH($B12,'Unique Asset List'!$A$4:$A$60,0),MATCH(K$8,'Unique Asset List'!$D$3:$M$3,0))</f>
        <v>0</v>
      </c>
      <c r="L12" s="17">
        <f>INDEX('Unique Asset List'!$D$4:$M$60,MATCH($B12,'Unique Asset List'!$A$4:$A$60,0),MATCH(L$8,'Unique Asset List'!$D$3:$M$3,0))</f>
        <v>0</v>
      </c>
      <c r="M12" s="17">
        <v>0.5</v>
      </c>
      <c r="N12" s="17">
        <f>INDEX('Unique Asset List'!$D$4:$M$60,MATCH($B12,'Unique Asset List'!$A$4:$A$60,0),MATCH(N$8,'Unique Asset List'!$D$3:$M$3,0))</f>
        <v>0.2</v>
      </c>
      <c r="O12" s="17">
        <f>INDEX('Unique Asset List'!$D$4:$M$60,MATCH($B12,'Unique Asset List'!$A$4:$A$60,0),MATCH(O$8,'Unique Asset List'!$D$3:$M$3,0))</f>
        <v>0.2</v>
      </c>
      <c r="P12" s="17">
        <f>INDEX('Unique Asset List'!$D$4:$M$60,MATCH($B12,'Unique Asset List'!$A$4:$A$60,0),MATCH(P$8,'Unique Asset List'!$D$3:$M$3,0))</f>
        <v>0.2</v>
      </c>
      <c r="Q12" s="17">
        <f>INDEX('Unique Asset List'!$D$4:$M$60,MATCH($B12,'Unique Asset List'!$A$4:$A$60,0),MATCH(Q$8,'Unique Asset List'!$D$3:$M$3,0))</f>
        <v>0.2</v>
      </c>
      <c r="R12" s="17">
        <f>INDEX('Unique Asset List'!$D$4:$M$60,MATCH($B12,'Unique Asset List'!$A$4:$A$60,0),MATCH(R$8,'Unique Asset List'!$D$3:$M$3,0))</f>
        <v>0.2</v>
      </c>
      <c r="S12" s="17">
        <f>INDEX('Unique Asset List'!$D$4:$M$60,MATCH($B12,'Unique Asset List'!$A$4:$A$60,0),MATCH(S$8,'Unique Asset List'!$D$3:$M$3,0))</f>
        <v>0</v>
      </c>
      <c r="T12" s="17"/>
      <c r="U12" s="17">
        <f t="shared" si="1"/>
        <v>0</v>
      </c>
      <c r="V12" s="17">
        <v>1</v>
      </c>
      <c r="W12" s="9" t="s">
        <v>16</v>
      </c>
      <c r="X12" s="9">
        <f>INDEX('Unique Asset List'!$Y$4:$AE$60,MATCH('3'!$B12,'Unique Asset List'!$A$4:$A$60,0),MATCH('3'!$C$1,'Unique Asset List'!$Y$3:$AE$3,0))</f>
        <v>2024</v>
      </c>
      <c r="Y12" s="9">
        <f>INDEX('Unique Asset List'!$AF$4:$AL$60,MATCH('3'!$B12,'Unique Asset List'!$A$4:$A$60,0),MATCH('3'!$C$1,'Unique Asset List'!$AF$3:$AL$3,0))</f>
        <v>6.9999999999990905</v>
      </c>
      <c r="Z12" s="9">
        <f>INDEX('Unique Asset List'!$AT$4:$AZ$60,MATCH('3'!$B12,'Unique Asset List'!$A$4:$A$60,0),MATCH('3'!$C$1,'Unique Asset List'!$AT$3:$AZ$3,0))</f>
        <v>2029</v>
      </c>
      <c r="AA12" s="9">
        <f>INDEX('Unique Asset List'!$BA$4:$BG$60,MATCH('3'!$B12,'Unique Asset List'!$A$4:$A$60,0),MATCH('3'!$C$1,'Unique Asset List'!$BA$3:$BG$3,0))</f>
        <v>7</v>
      </c>
      <c r="AB12" s="16">
        <f t="shared" si="2"/>
        <v>2.1202012000000003</v>
      </c>
      <c r="AC12" s="16">
        <f t="shared" si="3"/>
        <v>0.91994010000000004</v>
      </c>
      <c r="AD12" s="16">
        <f t="shared" si="4"/>
        <v>0.31905939999999999</v>
      </c>
      <c r="AE12" s="15">
        <f>INDEX('Unique Asset List'!$CJ$4:$CP$60,MATCH('3'!$B12,'Unique Asset List'!$A$4:$A$60,0),MATCH('3'!$C$1,'Unique Asset List'!$CJ$3:$CP$3,0))</f>
        <v>0.12</v>
      </c>
      <c r="AF12" s="15">
        <f>INDEX('Unique Asset List'!$CQ$4:$CW$60,MATCH('3'!$B12,'Unique Asset List'!$A$4:$A$60,0),MATCH('3'!$C$1,'Unique Asset List'!$CQ$3:$CW$3,0))</f>
        <v>0.38</v>
      </c>
      <c r="AG12" s="15">
        <f>INDEX('Unique Asset List'!$BV$4:$CB$60,MATCH('3'!$B12,'Unique Asset List'!$A$4:$A$60,0),MATCH('3'!$C$1,'Unique Asset List'!$BV$3:$CB$3,0))</f>
        <v>0.12</v>
      </c>
      <c r="AH12" s="15">
        <f>INDEX('Unique Asset List'!$CC$4:$CI$60,MATCH('3'!$B12,'Unique Asset List'!$A$4:$A$60,0),MATCH('3'!$C$1,'Unique Asset List'!$CC$3:$CI$3,0))</f>
        <v>0.38</v>
      </c>
      <c r="AI12" s="11">
        <v>0.96187963349867744</v>
      </c>
      <c r="AJ12" s="15">
        <f>INDEX('Unique Asset List'!$BH$4:$BN$60,MATCH('3'!$B12,'Unique Asset List'!$A$4:$A$60,0),MATCH('3'!$C$1,'Unique Asset List'!$BH$3:$BN$3,0))</f>
        <v>2.1252009430760062</v>
      </c>
      <c r="AK12" s="15">
        <f>INDEX('Unique Asset List'!$BO$4:$BU$60,MATCH('3'!$B12,'Unique Asset List'!$A$4:$A$60,0),MATCH('3'!$C$1,'Unique Asset List'!$BO$3:$BU$3,0))</f>
        <v>-1.7169645793441486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81">
        <f>INDEX('Unique Asset List'!N$4:N$60,MATCH($B12,_CompoundList,0))</f>
        <v>0</v>
      </c>
      <c r="AU12" s="181">
        <f>INDEX('Unique Asset List'!O$4:O$60,MATCH($B12,_CompoundList,0))</f>
        <v>0</v>
      </c>
      <c r="AV12" s="181">
        <f>INDEX('Unique Asset List'!P$4:P$60,MATCH($B12,_CompoundList,0))</f>
        <v>0</v>
      </c>
      <c r="AW12" s="181">
        <f>INDEX('Unique Asset List'!Q$4:Q$60,MATCH($B12,_CompoundList,0))</f>
        <v>0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0</v>
      </c>
      <c r="BB12" s="181">
        <f ca="1">INDEX('Unique Asset List'!V$4:V$60,MATCH($B12,_CompoundList,0))</f>
        <v>0</v>
      </c>
      <c r="BC12" s="181">
        <f ca="1">INDEX('Unique Asset List'!W$4:W$60,MATCH($B12,_CompoundList,0))</f>
        <v>0</v>
      </c>
      <c r="BD12" s="4">
        <f>IF($C$5="ON",CD12,MyRating(_E1,$B12,Efficacy!$F$1))</f>
        <v>3</v>
      </c>
      <c r="BE12" s="3">
        <f>IF($C$5="ON",CE12,MyRating(_E2,$B12,Efficacy!$F$1))</f>
        <v>5</v>
      </c>
      <c r="BF12" s="3">
        <f>IF($C$5="ON",CF12,MyRating(_E3,$B12,Efficacy!$F$1))</f>
        <v>5</v>
      </c>
      <c r="BG12" s="3">
        <f>IF($C$5="ON",CG12,MyRating(_E4,$B12,Efficacy!$F$1))</f>
        <v>4</v>
      </c>
      <c r="BH12" s="3">
        <f>IF($C$5="ON",CH12,MyRating(_E5,$B12,Efficacy!$F$1))</f>
        <v>3</v>
      </c>
      <c r="BI12" s="3">
        <f>IF($C$5="ON",CI12,MyRating(_E6,$B12,Efficacy!$F$1))</f>
        <v>3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IF($C$5="ON",CL12,MyRating(_S1,$B12,Efficacy!$F$1))</f>
        <v>4</v>
      </c>
      <c r="BM12" s="3">
        <f>IF($C$5="ON",CM12,MyRating(_S2,$B12,Efficacy!$F$1))</f>
        <v>3</v>
      </c>
      <c r="BN12" s="3">
        <f>IF($C$5="ON",CN12,MyRating(_S3,$B12,Efficacy!$F$1))</f>
        <v>3</v>
      </c>
      <c r="BO12" s="3">
        <f>IF($C$5="ON",CO12,MyRating(_S4,$B12,Efficacy!$F$1))</f>
        <v>4</v>
      </c>
      <c r="BP12" s="3">
        <f>IF($C$5="ON",CP12,MyRating(_S5,$B12,Efficacy!$F$1))</f>
        <v>5</v>
      </c>
      <c r="BQ12" s="3">
        <f>IF($C$5="ON",CQ12,MyRating(_S6,$B12,Efficacy!$F$1))</f>
        <v>2</v>
      </c>
      <c r="BR12" s="3">
        <f>IF($C$5="ON",CR12,MyRating(_S7,$B12,Efficacy!$F$1))</f>
        <v>3</v>
      </c>
      <c r="BS12" s="3">
        <f>IF($C$5="ON",CS12,MyRating(_D1,$B12,Efficacy!$F$1))</f>
        <v>2</v>
      </c>
      <c r="BT12" s="3">
        <f>IF($C$5="ON",CT12,MyRating(_D2,$B12,Efficacy!$F$1))</f>
        <v>2</v>
      </c>
      <c r="BU12" s="3">
        <f>IF($C$5="ON",CU12,MyRating(_D3,$B12,Efficacy!$F$1))</f>
        <v>2</v>
      </c>
      <c r="BV12" s="3">
        <f>IF($C$5="ON",CV12,MyRating(_D4,$B12,Efficacy!$F$1))</f>
        <v>1</v>
      </c>
      <c r="BW12" s="3">
        <f>IF($C$5="ON",CW12,MyRating(_B1G5,$B12,Barrier!$L$2))</f>
        <v>2</v>
      </c>
      <c r="BX12" s="3">
        <f>IF($C$5="ON",CX12,MyRating(_B2,$B12,Barrier!$F$2))</f>
        <v>1</v>
      </c>
      <c r="BY12" s="6">
        <f>IF($C$5="ON",CY12,MyRating(_B3,$B12,Barrier!$F$2))</f>
        <v>1</v>
      </c>
      <c r="BZ12" s="5">
        <f t="shared" si="11"/>
        <v>0</v>
      </c>
      <c r="CA12" s="8">
        <f t="shared" si="6"/>
        <v>1.2000000000000002</v>
      </c>
      <c r="CB12" s="5">
        <f t="shared" si="7"/>
        <v>1.4117647058823539E-2</v>
      </c>
      <c r="CC12" s="7">
        <f t="shared" si="8"/>
        <v>1.6774264257487204E-3</v>
      </c>
      <c r="CD12" s="4">
        <v>3</v>
      </c>
      <c r="CE12" s="3">
        <v>5</v>
      </c>
      <c r="CF12" s="3">
        <v>5</v>
      </c>
      <c r="CG12" s="3">
        <v>4</v>
      </c>
      <c r="CH12" s="3">
        <v>3</v>
      </c>
      <c r="CI12" s="3">
        <v>3</v>
      </c>
      <c r="CJ12" s="3">
        <v>3</v>
      </c>
      <c r="CK12" s="3">
        <v>3</v>
      </c>
      <c r="CL12" s="3">
        <v>5</v>
      </c>
      <c r="CM12" s="3">
        <v>3</v>
      </c>
      <c r="CN12" s="3">
        <v>3</v>
      </c>
      <c r="CO12" s="3">
        <v>4</v>
      </c>
      <c r="CP12" s="3">
        <v>5</v>
      </c>
      <c r="CQ12" s="3">
        <v>2</v>
      </c>
      <c r="CR12" s="3">
        <v>3</v>
      </c>
      <c r="CS12" s="3">
        <v>2</v>
      </c>
      <c r="CT12" s="3">
        <v>2</v>
      </c>
      <c r="CU12" s="3">
        <v>2</v>
      </c>
      <c r="CV12" s="3">
        <v>1</v>
      </c>
      <c r="CW12" s="3">
        <v>2</v>
      </c>
      <c r="CX12" s="3">
        <v>1</v>
      </c>
      <c r="CY12" s="6">
        <v>1</v>
      </c>
      <c r="CZ12" s="5">
        <v>1.0501667745898752E-2</v>
      </c>
      <c r="DA12" s="59">
        <f t="shared" si="9"/>
        <v>2025</v>
      </c>
      <c r="DB12">
        <f t="shared" si="10"/>
        <v>9.9999999999990905</v>
      </c>
    </row>
    <row r="13" spans="1:106" x14ac:dyDescent="0.25">
      <c r="A13" s="9" t="str">
        <f t="shared" si="0"/>
        <v>FR</v>
      </c>
      <c r="B13" s="9" t="s">
        <v>280</v>
      </c>
      <c r="C13" s="20"/>
      <c r="D13" s="9" t="s">
        <v>2</v>
      </c>
      <c r="E13" s="9" t="s">
        <v>186</v>
      </c>
      <c r="F13" s="9" t="str">
        <f>INDEX('Unique Asset List'!$C$4:$C$60,MATCH(B13,_CompoundList,0))</f>
        <v>REG</v>
      </c>
      <c r="G13" s="19">
        <v>0</v>
      </c>
      <c r="H13" s="9">
        <v>2014</v>
      </c>
      <c r="I13" s="9">
        <v>6</v>
      </c>
      <c r="J13" s="18">
        <f>INDEX(PTRS!$D$6:$D$12,MATCH('3'!$F13,PTRS!$B$6:$B$12,0))</f>
        <v>0.9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v>0.58500000000000008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1"/>
        <v>0.19245008972987526</v>
      </c>
      <c r="V13" s="17">
        <v>0.42</v>
      </c>
      <c r="W13" s="9" t="s">
        <v>62</v>
      </c>
      <c r="X13" s="9">
        <f>INDEX('Unique Asset List'!$Y$4:$AE$60,MATCH('3'!$B13,'Unique Asset List'!$A$4:$A$60,0),MATCH('3'!$C$1,'Unique Asset List'!$Y$3:$AE$3,0))</f>
        <v>2020</v>
      </c>
      <c r="Y13" s="9">
        <f>INDEX('Unique Asset List'!$AF$4:$AL$60,MATCH('3'!$B13,'Unique Asset List'!$A$4:$A$60,0),MATCH('3'!$C$1,'Unique Asset List'!$AF$3:$AL$3,0))</f>
        <v>11.000000000000909</v>
      </c>
      <c r="Z13" s="9">
        <f>INDEX('Unique Asset List'!$AT$4:$AZ$60,MATCH('3'!$B13,'Unique Asset List'!$A$4:$A$60,0),MATCH('3'!$C$1,'Unique Asset List'!$AT$3:$AZ$3,0))</f>
        <v>2031</v>
      </c>
      <c r="AA13" s="9">
        <f>INDEX('Unique Asset List'!$BA$4:$BG$60,MATCH('3'!$B13,'Unique Asset List'!$A$4:$A$60,0),MATCH('3'!$C$1,'Unique Asset List'!$BA$3:$BG$3,0))</f>
        <v>1</v>
      </c>
      <c r="AB13" s="16">
        <f t="shared" si="2"/>
        <v>2.4575697999999999</v>
      </c>
      <c r="AC13" s="16">
        <f t="shared" si="3"/>
        <v>0.91994010000000004</v>
      </c>
      <c r="AD13" s="16">
        <f t="shared" si="4"/>
        <v>0.35908660413999993</v>
      </c>
      <c r="AE13" s="15">
        <f>INDEX('Unique Asset List'!$CJ$4:$CP$60,MATCH('3'!$B13,'Unique Asset List'!$A$4:$A$60,0),MATCH('3'!$C$1,'Unique Asset List'!$CJ$3:$CP$3,0))</f>
        <v>0.17</v>
      </c>
      <c r="AF13" s="15">
        <f>INDEX('Unique Asset List'!$CQ$4:$CW$60,MATCH('3'!$B13,'Unique Asset List'!$A$4:$A$60,0),MATCH('3'!$C$1,'Unique Asset List'!$CQ$3:$CW$3,0))</f>
        <v>0.33</v>
      </c>
      <c r="AG13" s="15">
        <f>INDEX('Unique Asset List'!$BV$4:$CB$60,MATCH('3'!$B13,'Unique Asset List'!$A$4:$A$60,0),MATCH('3'!$C$1,'Unique Asset List'!$BV$3:$CB$3,0))</f>
        <v>0.17</v>
      </c>
      <c r="AH13" s="15">
        <f>INDEX('Unique Asset List'!$CC$4:$CI$60,MATCH('3'!$B13,'Unique Asset List'!$A$4:$A$60,0),MATCH('3'!$C$1,'Unique Asset List'!$CC$3:$CI$3,0))</f>
        <v>0.33</v>
      </c>
      <c r="AI13" s="11">
        <v>0.96187963349867744</v>
      </c>
      <c r="AJ13" s="15">
        <f>INDEX('Unique Asset List'!$BH$4:$BN$60,MATCH('3'!$B13,'Unique Asset List'!$A$4:$A$60,0),MATCH('3'!$C$1,'Unique Asset List'!$BH$3:$BN$3,0))</f>
        <v>2.1252009430760062</v>
      </c>
      <c r="AK13" s="15">
        <f>INDEX('Unique Asset List'!$BO$4:$BU$60,MATCH('3'!$B13,'Unique Asset List'!$A$4:$A$60,0),MATCH('3'!$C$1,'Unique Asset List'!$BO$3:$BU$3,0))</f>
        <v>-1.7169645793441486</v>
      </c>
      <c r="AL13" s="9">
        <v>184.20560747663552</v>
      </c>
      <c r="AM13" s="14">
        <v>36.116164383561646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0.32340383561643832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5</v>
      </c>
      <c r="BE13" s="3">
        <f>IF($C$5="ON",CE13,MyRating(_E2,$B13,Efficacy!$F$1))</f>
        <v>5</v>
      </c>
      <c r="BF13" s="3">
        <f>IF($C$5="ON",CF13,MyRating(_E3,$B13,Efficacy!$F$1))</f>
        <v>5</v>
      </c>
      <c r="BG13" s="3">
        <f>IF($C$5="ON",CG13,MyRating(_E4,$B13,Efficacy!$F$1))</f>
        <v>5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2</v>
      </c>
      <c r="BK13" s="3">
        <f>IF($C$5="ON",CK13,MyRating(_E8,$B13,Efficacy!$F$1))</f>
        <v>5</v>
      </c>
      <c r="BL13" s="3">
        <f>IF($C$5="ON",CL13,MyRating(_S1,$B13,Efficacy!$F$1))</f>
        <v>4</v>
      </c>
      <c r="BM13" s="3">
        <f>IF($C$5="ON",CM13,MyRating(_S2,$B13,Efficacy!$F$1))</f>
        <v>3</v>
      </c>
      <c r="BN13" s="3">
        <f>IF($C$5="ON",CN13,MyRating(_S3,$B13,Efficacy!$F$1))</f>
        <v>3</v>
      </c>
      <c r="BO13" s="3">
        <f>IF($C$5="ON",CO13,MyRating(_S4,$B13,Efficacy!$F$1))</f>
        <v>4</v>
      </c>
      <c r="BP13" s="3">
        <f>IF($C$5="ON",CP13,MyRating(_S5,$B13,Efficacy!$F$1))</f>
        <v>5</v>
      </c>
      <c r="BQ13" s="3">
        <f>IF($C$5="ON",CQ13,MyRating(_S6,$B13,Efficacy!$F$1))</f>
        <v>2</v>
      </c>
      <c r="BR13" s="3">
        <f>IF($C$5="ON",CR13,MyRating(_S7,$B13,Efficacy!$F$1))</f>
        <v>3</v>
      </c>
      <c r="BS13" s="3">
        <f>IF($C$5="ON",CS13,MyRating(_D1,$B13,Efficacy!$F$1))</f>
        <v>2</v>
      </c>
      <c r="BT13" s="3">
        <f>IF($C$5="ON",CT13,MyRating(_D2,$B13,Efficacy!$F$1))</f>
        <v>3</v>
      </c>
      <c r="BU13" s="3">
        <f>IF($C$5="ON",CU13,MyRating(_D3,$B13,Efficacy!$F$1))</f>
        <v>2</v>
      </c>
      <c r="BV13" s="3">
        <f>IF($C$5="ON",CV13,MyRating(_D4,$B13,Efficacy!$F$1))</f>
        <v>1</v>
      </c>
      <c r="BW13" s="3">
        <f>IF($C$5="ON",CW13,MyRating(_B1G5,$B13,Barrier!$L$2))</f>
        <v>1</v>
      </c>
      <c r="BX13" s="3">
        <f>IF($C$5="ON",CX13,MyRating(_B2,$B13,Barrier!$F$2))</f>
        <v>1</v>
      </c>
      <c r="BY13" s="6">
        <f>IF($C$5="ON",CY13,MyRating(_B3,$B13,Barrier!$F$2))</f>
        <v>1</v>
      </c>
      <c r="BZ13" s="5">
        <f t="shared" si="11"/>
        <v>7.1303809307835921E-3</v>
      </c>
      <c r="CA13" s="8">
        <f t="shared" si="6"/>
        <v>1</v>
      </c>
      <c r="CB13" s="5">
        <f t="shared" si="7"/>
        <v>1.1764705882352946E-2</v>
      </c>
      <c r="CC13" s="7">
        <f t="shared" si="8"/>
        <v>1.2760615165803312E-3</v>
      </c>
      <c r="CD13" s="4">
        <v>5</v>
      </c>
      <c r="CE13" s="3">
        <v>5</v>
      </c>
      <c r="CF13" s="3">
        <v>5</v>
      </c>
      <c r="CG13" s="3">
        <v>4</v>
      </c>
      <c r="CH13" s="3">
        <v>3</v>
      </c>
      <c r="CI13" s="3">
        <v>3</v>
      </c>
      <c r="CJ13" s="3">
        <v>3</v>
      </c>
      <c r="CK13" s="3">
        <v>4</v>
      </c>
      <c r="CL13" s="3">
        <v>4</v>
      </c>
      <c r="CM13" s="3">
        <v>3</v>
      </c>
      <c r="CN13" s="3">
        <v>3</v>
      </c>
      <c r="CO13" s="3">
        <v>3</v>
      </c>
      <c r="CP13" s="3">
        <v>5</v>
      </c>
      <c r="CQ13" s="3">
        <v>2</v>
      </c>
      <c r="CR13" s="3">
        <v>3</v>
      </c>
      <c r="CS13" s="3">
        <v>2</v>
      </c>
      <c r="CT13" s="3">
        <v>3</v>
      </c>
      <c r="CU13" s="3">
        <v>3</v>
      </c>
      <c r="CV13" s="3">
        <v>1</v>
      </c>
      <c r="CW13" s="3">
        <v>1</v>
      </c>
      <c r="CX13" s="3">
        <v>1</v>
      </c>
      <c r="CY13" s="6">
        <v>1</v>
      </c>
      <c r="CZ13" s="5">
        <v>9.9044671286996639E-3</v>
      </c>
      <c r="DA13" s="59">
        <f t="shared" si="9"/>
        <v>2021</v>
      </c>
      <c r="DB13">
        <f t="shared" si="10"/>
        <v>2.0000000000009095</v>
      </c>
    </row>
    <row r="14" spans="1:106" x14ac:dyDescent="0.25">
      <c r="A14" s="9" t="str">
        <f t="shared" si="0"/>
        <v>FR</v>
      </c>
      <c r="B14" s="9" t="s">
        <v>92</v>
      </c>
      <c r="C14" s="20" t="s">
        <v>3</v>
      </c>
      <c r="D14" s="9" t="s">
        <v>91</v>
      </c>
      <c r="E14" s="9" t="s">
        <v>90</v>
      </c>
      <c r="F14" s="9" t="str">
        <f>INDEX('Unique Asset List'!$C$4:$C$60,MATCH(B14,_CompoundList,0))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INDEX(PTRS!$D$6:$D$12,MATCH('3'!$F14,PTRS!$B$6:$B$12,0))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1"/>
        <v>0</v>
      </c>
      <c r="V14" s="17">
        <v>1</v>
      </c>
      <c r="W14" s="9" t="s">
        <v>54</v>
      </c>
      <c r="X14" s="9">
        <f>INDEX('Unique Asset List'!$Y$4:$AE$60,MATCH('3'!$B14,'Unique Asset List'!$A$4:$A$60,0),MATCH('3'!$C$1,'Unique Asset List'!$Y$3:$AE$3,0))</f>
        <v>2017</v>
      </c>
      <c r="Y14" s="9">
        <f>INDEX('Unique Asset List'!$AF$4:$AL$60,MATCH('3'!$B14,'Unique Asset List'!$A$4:$A$60,0),MATCH('3'!$C$1,'Unique Asset List'!$AF$3:$AL$3,0))</f>
        <v>6.9999999999990905</v>
      </c>
      <c r="Z14" s="9">
        <f>INDEX('Unique Asset List'!$AT$4:$AZ$60,MATCH('3'!$B14,'Unique Asset List'!$A$4:$A$60,0),MATCH('3'!$C$1,'Unique Asset List'!$AT$3:$AZ$3,0))</f>
        <v>2027</v>
      </c>
      <c r="AA14" s="9">
        <f>INDEX('Unique Asset List'!$BA$4:$BG$60,MATCH('3'!$B14,'Unique Asset List'!$A$4:$A$60,0),MATCH('3'!$C$1,'Unique Asset List'!$BA$3:$BG$3,0))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List'!$CJ$4:$CP$60,MATCH('3'!$B14,'Unique Asset List'!$A$4:$A$60,0),MATCH('3'!$C$1,'Unique Asset List'!$CJ$3:$CP$3,0))</f>
        <v>0.12</v>
      </c>
      <c r="AF14" s="15">
        <f>INDEX('Unique Asset List'!$CQ$4:$CW$60,MATCH('3'!$B14,'Unique Asset List'!$A$4:$A$60,0),MATCH('3'!$C$1,'Unique Asset List'!$CQ$3:$CW$3,0))</f>
        <v>0.38</v>
      </c>
      <c r="AG14" s="15">
        <f>INDEX('Unique Asset List'!$BV$4:$CB$60,MATCH('3'!$B14,'Unique Asset List'!$A$4:$A$60,0),MATCH('3'!$C$1,'Unique Asset List'!$BV$3:$CB$3,0))</f>
        <v>0.12</v>
      </c>
      <c r="AH14" s="15">
        <f>INDEX('Unique Asset List'!$CC$4:$CI$60,MATCH('3'!$B14,'Unique Asset List'!$A$4:$A$60,0),MATCH('3'!$C$1,'Unique Asset List'!$CC$3:$CI$3,0))</f>
        <v>0.38</v>
      </c>
      <c r="AI14" s="11">
        <v>0.96187963349867744</v>
      </c>
      <c r="AJ14" s="15">
        <f>INDEX('Unique Asset List'!$BH$4:$BN$60,MATCH('3'!$B14,'Unique Asset List'!$A$4:$A$60,0),MATCH('3'!$C$1,'Unique Asset List'!$BH$3:$BN$3,0))</f>
        <v>2.1252009430760062</v>
      </c>
      <c r="AK14" s="15">
        <f>INDEX('Unique Asset List'!$BO$4:$BU$60,MATCH('3'!$B14,'Unique Asset List'!$A$4:$A$60,0),MATCH('3'!$C$1,'Unique Asset List'!$BO$3:$BU$3,0))</f>
        <v>-1.7169645793441486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1</v>
      </c>
      <c r="AQ14" s="12">
        <v>0</v>
      </c>
      <c r="AR14" s="11">
        <f t="shared" si="5"/>
        <v>1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3</v>
      </c>
      <c r="BE14" s="3">
        <f>IF($C$5="ON",CE14,MyRating(_E2,$B14,Efficacy!$F$1))</f>
        <v>3</v>
      </c>
      <c r="BF14" s="3">
        <f>IF($C$5="ON",CF14,MyRating(_E3,$B14,Efficacy!$F$1))</f>
        <v>3</v>
      </c>
      <c r="BG14" s="3">
        <f>IF($C$5="ON",CG14,MyRating(_E4,$B14,Efficacy!$F$1))</f>
        <v>3</v>
      </c>
      <c r="BH14" s="3">
        <f>IF($C$5="ON",CH14,MyRating(_E5,$B14,Efficacy!$F$1))</f>
        <v>3</v>
      </c>
      <c r="BI14" s="3">
        <f>IF($C$5="ON",CI14,MyRating(_E6,$B14,Efficacy!$F$1))</f>
        <v>3</v>
      </c>
      <c r="BJ14" s="3">
        <f>IF($C$5="ON",CJ14,MyRating(_E7,$B14,Efficacy!$F$1))</f>
        <v>3</v>
      </c>
      <c r="BK14" s="3">
        <f>IF($C$5="ON",CK14,MyRating(_E8,$B14,Efficacy!$F$1))</f>
        <v>3</v>
      </c>
      <c r="BL14" s="3">
        <f>IF($C$5="ON",CL14,MyRating(_S1,$B14,Efficacy!$F$1))</f>
        <v>3</v>
      </c>
      <c r="BM14" s="3">
        <f>IF($C$5="ON",CM14,MyRating(_S2,$B14,Efficacy!$F$1))</f>
        <v>3</v>
      </c>
      <c r="BN14" s="3">
        <f>IF($C$5="ON",CN14,MyRating(_S3,$B14,Efficacy!$F$1))</f>
        <v>3</v>
      </c>
      <c r="BO14" s="3">
        <f>IF($C$5="ON",CO14,MyRating(_S4,$B14,Efficacy!$F$1))</f>
        <v>4</v>
      </c>
      <c r="BP14" s="3">
        <f>IF($C$5="ON",CP14,MyRating(_S5,$B14,Efficacy!$F$1))</f>
        <v>3</v>
      </c>
      <c r="BQ14" s="3">
        <f>IF($C$5="ON",CQ14,MyRating(_S6,$B14,Efficacy!$F$1))</f>
        <v>3</v>
      </c>
      <c r="BR14" s="3">
        <f>IF($C$5="ON",CR14,MyRating(_S7,$B14,Efficacy!$F$1))</f>
        <v>3</v>
      </c>
      <c r="BS14" s="3">
        <f>IF($C$5="ON",CS14,MyRating(_D1,$B14,Efficacy!$F$1))</f>
        <v>3</v>
      </c>
      <c r="BT14" s="3">
        <f>IF($C$5="ON",CT14,MyRating(_D2,$B14,Efficacy!$F$1))</f>
        <v>3</v>
      </c>
      <c r="BU14" s="3">
        <f>IF($C$5="ON",CU14,MyRating(_D3,$B14,Efficacy!$F$1))</f>
        <v>3</v>
      </c>
      <c r="BV14" s="3">
        <f>IF($C$5="ON",CV14,MyRating(_D4,$B14,Efficacy!$F$1))</f>
        <v>3</v>
      </c>
      <c r="BW14" s="3">
        <f>IF($C$5="ON",CW14,MyRating(_B1G5,$B14,Barrier!$L$2))</f>
        <v>2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11"/>
        <v>0</v>
      </c>
      <c r="CA14" s="8">
        <f t="shared" si="6"/>
        <v>2.8000000000000003</v>
      </c>
      <c r="CB14" s="5">
        <f t="shared" si="7"/>
        <v>3.2941176470588251E-2</v>
      </c>
      <c r="CC14" s="7">
        <f t="shared" si="8"/>
        <v>5.9787261089987885E-3</v>
      </c>
      <c r="CD14" s="4">
        <v>3</v>
      </c>
      <c r="CE14" s="3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4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3</v>
      </c>
      <c r="CY14" s="6">
        <v>3</v>
      </c>
      <c r="CZ14" s="5">
        <v>3.7014903427878103E-2</v>
      </c>
      <c r="DA14" s="59">
        <f t="shared" si="9"/>
        <v>2018</v>
      </c>
      <c r="DB14">
        <f t="shared" si="10"/>
        <v>9.9999999999990905</v>
      </c>
    </row>
    <row r="15" spans="1:106" x14ac:dyDescent="0.25">
      <c r="A15" s="9" t="str">
        <f t="shared" si="0"/>
        <v>FR</v>
      </c>
      <c r="B15" s="9" t="s">
        <v>82</v>
      </c>
      <c r="C15" s="20"/>
      <c r="D15" s="9" t="s">
        <v>81</v>
      </c>
      <c r="E15" s="9" t="s">
        <v>186</v>
      </c>
      <c r="F15" s="9" t="str">
        <f>INDEX('Unique Asset List'!$C$4:$C$60,MATCH(B15,_CompoundList,0))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INDEX(PTRS!$D$6:$D$12,MATCH('3'!$F15,PTRS!$B$6:$B$12,0))</f>
        <v>0.58500000000000008</v>
      </c>
      <c r="K15" s="17">
        <f>INDEX('Unique Asset List'!$D$4:$M$60,MATCH($B15,'Unique Asset List'!$A$4:$A$60,0),MATCH(K$8,'Unique Asset List'!$D$3:$M$3,0))</f>
        <v>0</v>
      </c>
      <c r="L15" s="17">
        <f>INDEX('Unique Asset List'!$D$4:$M$60,MATCH($B15,'Unique Asset List'!$A$4:$A$60,0),MATCH(L$8,'Unique Asset List'!$D$3:$M$3,0))</f>
        <v>0</v>
      </c>
      <c r="M15" s="17">
        <v>0.19500000000000003</v>
      </c>
      <c r="N15" s="17">
        <f>INDEX('Unique Asset List'!$D$4:$M$60,MATCH($B15,'Unique Asset List'!$A$4:$A$60,0),MATCH(N$8,'Unique Asset List'!$D$3:$M$3,0))</f>
        <v>0.58500000000000008</v>
      </c>
      <c r="O15" s="17">
        <f>INDEX('Unique Asset List'!$D$4:$M$60,MATCH($B15,'Unique Asset List'!$A$4:$A$60,0),MATCH(O$8,'Unique Asset List'!$D$3:$M$3,0))</f>
        <v>0.58500000000000008</v>
      </c>
      <c r="P15" s="17">
        <f>INDEX('Unique Asset List'!$D$4:$M$60,MATCH($B15,'Unique Asset List'!$A$4:$A$60,0),MATCH(P$8,'Unique Asset List'!$D$3:$M$3,0))</f>
        <v>0.58500000000000008</v>
      </c>
      <c r="Q15" s="17">
        <f>INDEX('Unique Asset List'!$D$4:$M$60,MATCH($B15,'Unique Asset List'!$A$4:$A$60,0),MATCH(Q$8,'Unique Asset List'!$D$3:$M$3,0))</f>
        <v>0.58500000000000008</v>
      </c>
      <c r="R15" s="17">
        <f>INDEX('Unique Asset List'!$D$4:$M$60,MATCH($B15,'Unique Asset List'!$A$4:$A$60,0),MATCH(R$8,'Unique Asset List'!$D$3:$M$3,0))</f>
        <v>0.58500000000000008</v>
      </c>
      <c r="S15" s="17">
        <f>INDEX('Unique Asset List'!$D$4:$M$60,MATCH($B15,'Unique Asset List'!$A$4:$A$60,0),MATCH(S$8,'Unique Asset List'!$D$3:$M$3,0))</f>
        <v>0</v>
      </c>
      <c r="T15" s="17"/>
      <c r="U15" s="17">
        <f t="shared" si="1"/>
        <v>0.90168566420734264</v>
      </c>
      <c r="V15" s="17">
        <v>1</v>
      </c>
      <c r="W15" s="9" t="s">
        <v>188</v>
      </c>
      <c r="X15" s="9">
        <f>INDEX('Unique Asset List'!$Y$4:$AE$60,MATCH('3'!$B15,'Unique Asset List'!$A$4:$A$60,0),MATCH('3'!$C$1,'Unique Asset List'!$Y$3:$AE$3,0))</f>
        <v>2024</v>
      </c>
      <c r="Y15" s="9">
        <f>INDEX('Unique Asset List'!$AF$4:$AL$60,MATCH('3'!$B15,'Unique Asset List'!$A$4:$A$60,0),MATCH('3'!$C$1,'Unique Asset List'!$AF$3:$AL$3,0))</f>
        <v>0.99999999999909051</v>
      </c>
      <c r="Z15" s="9">
        <f>INDEX('Unique Asset List'!$AT$4:$AZ$60,MATCH('3'!$B15,'Unique Asset List'!$A$4:$A$60,0),MATCH('3'!$C$1,'Unique Asset List'!$AT$3:$AZ$3,0))</f>
        <v>2032</v>
      </c>
      <c r="AA15" s="9">
        <f>INDEX('Unique Asset List'!$BA$4:$BG$60,MATCH('3'!$B15,'Unique Asset List'!$A$4:$A$60,0),MATCH('3'!$C$1,'Unique Asset List'!$BA$3:$BG$3,0))</f>
        <v>1</v>
      </c>
      <c r="AB15" s="16">
        <f t="shared" si="2"/>
        <v>1.6860000000000002</v>
      </c>
      <c r="AC15" s="16">
        <f t="shared" si="3"/>
        <v>0.97325250000000008</v>
      </c>
      <c r="AD15" s="16">
        <f t="shared" si="4"/>
        <v>0.38169906301999995</v>
      </c>
      <c r="AE15" s="15">
        <f>INDEX('Unique Asset List'!$CJ$4:$CP$60,MATCH('3'!$B15,'Unique Asset List'!$A$4:$A$60,0),MATCH('3'!$C$1,'Unique Asset List'!$CJ$3:$CP$3,0))</f>
        <v>0.12</v>
      </c>
      <c r="AF15" s="15">
        <f>INDEX('Unique Asset List'!$CQ$4:$CW$60,MATCH('3'!$B15,'Unique Asset List'!$A$4:$A$60,0),MATCH('3'!$C$1,'Unique Asset List'!$CQ$3:$CW$3,0))</f>
        <v>0.38</v>
      </c>
      <c r="AG15" s="15">
        <f>INDEX('Unique Asset List'!$BV$4:$CB$60,MATCH('3'!$B15,'Unique Asset List'!$A$4:$A$60,0),MATCH('3'!$C$1,'Unique Asset List'!$BV$3:$CB$3,0))</f>
        <v>0.12</v>
      </c>
      <c r="AH15" s="15">
        <f>INDEX('Unique Asset List'!$CC$4:$CI$60,MATCH('3'!$B15,'Unique Asset List'!$A$4:$A$60,0),MATCH('3'!$C$1,'Unique Asset List'!$CC$3:$CI$3,0))</f>
        <v>0.38</v>
      </c>
      <c r="AI15" s="11">
        <v>0.96187963349867744</v>
      </c>
      <c r="AJ15" s="15">
        <f>INDEX('Unique Asset List'!$BH$4:$BN$60,MATCH('3'!$B15,'Unique Asset List'!$A$4:$A$60,0),MATCH('3'!$C$1,'Unique Asset List'!$BH$3:$BN$3,0))</f>
        <v>2.1252009430760062</v>
      </c>
      <c r="AK15" s="15">
        <f>INDEX('Unique Asset List'!$BO$4:$BU$60,MATCH('3'!$B15,'Unique Asset List'!$A$4:$A$60,0),MATCH('3'!$C$1,'Unique Asset List'!$BO$3:$BU$3,0))</f>
        <v>-1.7169645793441486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81">
        <f>INDEX('Unique Asset List'!N$4:N$60,MATCH($B15,_CompoundList,0))</f>
        <v>0</v>
      </c>
      <c r="AU15" s="181">
        <f>INDEX('Unique Asset List'!O$4:O$60,MATCH($B15,_CompoundList,0))</f>
        <v>0</v>
      </c>
      <c r="AV15" s="181">
        <f>INDEX('Unique Asset List'!P$4:P$60,MATCH($B15,_CompoundList,0))</f>
        <v>0</v>
      </c>
      <c r="AW15" s="181">
        <f>INDEX('Unique Asset List'!Q$4:Q$60,MATCH($B15,_CompoundList,0))</f>
        <v>0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0</v>
      </c>
      <c r="AZ15" s="181">
        <f ca="1">INDEX('Unique Asset List'!T$4:T$60,MATCH($B15,_CompoundList,0))</f>
        <v>0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0</v>
      </c>
      <c r="BC15" s="181">
        <f ca="1">INDEX('Unique Asset List'!W$4:W$60,MATCH($B15,_CompoundList,0))</f>
        <v>0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3</v>
      </c>
      <c r="BL15" s="3">
        <f>IF($C$5="ON",CL15,MyRating(_S1,$B15,Efficacy!$F$1))</f>
        <v>4</v>
      </c>
      <c r="BM15" s="3">
        <f>IF($C$5="ON",CM15,MyRating(_S2,$B15,Efficacy!$F$1))</f>
        <v>3</v>
      </c>
      <c r="BN15" s="3">
        <f>IF($C$5="ON",CN15,MyRating(_S3,$B15,Efficacy!$F$1))</f>
        <v>3</v>
      </c>
      <c r="BO15" s="3">
        <f>IF($C$5="ON",CO15,MyRating(_S4,$B15,Efficacy!$F$1))</f>
        <v>4</v>
      </c>
      <c r="BP15" s="3">
        <f>IF($C$5="ON",CP15,MyRating(_S5,$B15,Efficacy!$F$1))</f>
        <v>5</v>
      </c>
      <c r="BQ15" s="3">
        <f>IF($C$5="ON",CQ15,MyRating(_S6,$B15,Efficacy!$F$1))</f>
        <v>3</v>
      </c>
      <c r="BR15" s="3">
        <f>IF($C$5="ON",CR15,MyRating(_S7,$B15,Efficacy!$F$1))</f>
        <v>4</v>
      </c>
      <c r="BS15" s="3">
        <f>IF($C$5="ON",CS15,MyRating(_D1,$B15,Efficacy!$F$1))</f>
        <v>2</v>
      </c>
      <c r="BT15" s="3">
        <f>IF($C$5="ON",CT15,MyRating(_D2,$B15,Efficacy!$F$1))</f>
        <v>3</v>
      </c>
      <c r="BU15" s="3">
        <f>IF($C$5="ON",CU15,MyRating(_D3,$B15,Efficacy!$F$1))</f>
        <v>1</v>
      </c>
      <c r="BV15" s="3">
        <f>IF($C$5="ON",CV15,MyRating(_D4,$B15,Efficacy!$F$1))</f>
        <v>2</v>
      </c>
      <c r="BW15" s="3">
        <f>IF($C$5="ON",CW15,MyRating(_B1G5,$B15,Barrier!$L$2))</f>
        <v>2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11"/>
        <v>3.3407946312985805E-2</v>
      </c>
      <c r="CA15" s="8">
        <f t="shared" si="6"/>
        <v>2.8000000000000003</v>
      </c>
      <c r="CB15" s="5">
        <f t="shared" si="7"/>
        <v>3.2941176470588251E-2</v>
      </c>
      <c r="CC15" s="7">
        <f t="shared" si="8"/>
        <v>5.9787261089987885E-3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5</v>
      </c>
      <c r="CM15" s="3">
        <v>3</v>
      </c>
      <c r="CN15" s="3">
        <v>3</v>
      </c>
      <c r="CO15" s="3">
        <v>4</v>
      </c>
      <c r="CP15" s="3">
        <v>5</v>
      </c>
      <c r="CQ15" s="3">
        <v>3</v>
      </c>
      <c r="CR15" s="3">
        <v>4</v>
      </c>
      <c r="CS15" s="3">
        <v>2</v>
      </c>
      <c r="CT15" s="3">
        <v>3</v>
      </c>
      <c r="CU15" s="3">
        <v>1</v>
      </c>
      <c r="CV15" s="3">
        <v>2</v>
      </c>
      <c r="CW15" s="3">
        <v>2</v>
      </c>
      <c r="CX15" s="3">
        <v>3</v>
      </c>
      <c r="CY15" s="6">
        <v>3</v>
      </c>
      <c r="CZ15" s="5">
        <v>3.6275844714639842E-2</v>
      </c>
      <c r="DA15" s="59">
        <f t="shared" si="9"/>
        <v>2025</v>
      </c>
      <c r="DB15">
        <f t="shared" si="10"/>
        <v>3.9999999999990905</v>
      </c>
    </row>
    <row r="16" spans="1:106" x14ac:dyDescent="0.25">
      <c r="A16" s="9" t="str">
        <f t="shared" si="0"/>
        <v>FR</v>
      </c>
      <c r="B16" s="9" t="s">
        <v>83</v>
      </c>
      <c r="C16" s="20"/>
      <c r="D16" s="9" t="s">
        <v>64</v>
      </c>
      <c r="E16" s="9" t="s">
        <v>186</v>
      </c>
      <c r="F16" s="9" t="str">
        <f>INDEX('Unique Asset List'!$C$4:$C$60,MATCH(B16,_CompoundList,0))</f>
        <v>Ph3</v>
      </c>
      <c r="G16" s="19">
        <v>0</v>
      </c>
      <c r="H16" s="9">
        <v>2014</v>
      </c>
      <c r="I16" s="9">
        <v>6</v>
      </c>
      <c r="J16" s="18">
        <f>INDEX(PTRS!$D$6:$D$12,MATCH('3'!$F16,PTRS!$B$6:$B$12,0))</f>
        <v>0.58500000000000008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7">
        <v>0.19500000000000003</v>
      </c>
      <c r="N16" s="17">
        <f>INDEX('Unique Asset List'!$D$4:$M$60,MATCH($B16,'Unique Asset List'!$A$4:$A$60,0),MATCH(N$8,'Unique Asset List'!$D$3:$M$3,0))</f>
        <v>0.58500000000000008</v>
      </c>
      <c r="O16" s="17">
        <f>INDEX('Unique Asset List'!$D$4:$M$60,MATCH($B16,'Unique Asset List'!$A$4:$A$60,0),MATCH(O$8,'Unique Asset List'!$D$3:$M$3,0))</f>
        <v>0.58500000000000008</v>
      </c>
      <c r="P16" s="17">
        <f>INDEX('Unique Asset List'!$D$4:$M$60,MATCH($B16,'Unique Asset List'!$A$4:$A$60,0),MATCH(P$8,'Unique Asset List'!$D$3:$M$3,0))</f>
        <v>0.58500000000000008</v>
      </c>
      <c r="Q16" s="17">
        <f>INDEX('Unique Asset List'!$D$4:$M$60,MATCH($B16,'Unique Asset List'!$A$4:$A$60,0),MATCH(Q$8,'Unique Asset List'!$D$3:$M$3,0))</f>
        <v>0.58500000000000008</v>
      </c>
      <c r="R16" s="17">
        <f>INDEX('Unique Asset List'!$D$4:$M$60,MATCH($B16,'Unique Asset List'!$A$4:$A$60,0),MATCH(R$8,'Unique Asset List'!$D$3:$M$3,0))</f>
        <v>0.58500000000000008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1"/>
        <v>0.19245008972987526</v>
      </c>
      <c r="V16" s="17">
        <f>V13</f>
        <v>0.42</v>
      </c>
      <c r="W16" s="9" t="s">
        <v>62</v>
      </c>
      <c r="X16" s="9">
        <f>INDEX('Unique Asset List'!$Y$4:$AE$60,MATCH('3'!$B16,'Unique Asset List'!$A$4:$A$60,0),MATCH('3'!$C$1,'Unique Asset List'!$Y$3:$AE$3,0))</f>
        <v>2024</v>
      </c>
      <c r="Y16" s="9">
        <f>INDEX('Unique Asset List'!$AF$4:$AL$60,MATCH('3'!$B16,'Unique Asset List'!$A$4:$A$60,0),MATCH('3'!$C$1,'Unique Asset List'!$AF$3:$AL$3,0))</f>
        <v>2.0000000000009095</v>
      </c>
      <c r="Z16" s="9">
        <f>INDEX('Unique Asset List'!$AT$4:$AZ$60,MATCH('3'!$B16,'Unique Asset List'!$A$4:$A$60,0),MATCH('3'!$C$1,'Unique Asset List'!$AT$3:$AZ$3,0))</f>
        <v>2031</v>
      </c>
      <c r="AA16" s="9">
        <f>INDEX('Unique Asset List'!$BA$4:$BG$60,MATCH('3'!$B16,'Unique Asset List'!$A$4:$A$60,0),MATCH('3'!$C$1,'Unique Asset List'!$BA$3:$BG$3,0))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0.52867185888000001</v>
      </c>
      <c r="AE16" s="15">
        <f>INDEX('Unique Asset List'!$CJ$4:$CP$60,MATCH('3'!$B16,'Unique Asset List'!$A$4:$A$60,0),MATCH('3'!$C$1,'Unique Asset List'!$CJ$3:$CP$3,0))</f>
        <v>0.17</v>
      </c>
      <c r="AF16" s="15">
        <f>INDEX('Unique Asset List'!$CQ$4:$CW$60,MATCH('3'!$B16,'Unique Asset List'!$A$4:$A$60,0),MATCH('3'!$C$1,'Unique Asset List'!$CQ$3:$CW$3,0))</f>
        <v>0.33</v>
      </c>
      <c r="AG16" s="15">
        <f>INDEX('Unique Asset List'!$BV$4:$CB$60,MATCH('3'!$B16,'Unique Asset List'!$A$4:$A$60,0),MATCH('3'!$C$1,'Unique Asset List'!$BV$3:$CB$3,0))</f>
        <v>0.17</v>
      </c>
      <c r="AH16" s="15">
        <f>INDEX('Unique Asset List'!$CC$4:$CI$60,MATCH('3'!$B16,'Unique Asset List'!$A$4:$A$60,0),MATCH('3'!$C$1,'Unique Asset List'!$CC$3:$CI$3,0))</f>
        <v>0.33</v>
      </c>
      <c r="AI16" s="11">
        <v>0.96187963349867744</v>
      </c>
      <c r="AJ16" s="15">
        <f>INDEX('Unique Asset List'!$BH$4:$BN$60,MATCH('3'!$B16,'Unique Asset List'!$A$4:$A$60,0),MATCH('3'!$C$1,'Unique Asset List'!$BH$3:$BN$3,0))</f>
        <v>2.1252009430760062</v>
      </c>
      <c r="AK16" s="15">
        <f>INDEX('Unique Asset List'!$BO$4:$BU$60,MATCH('3'!$B16,'Unique Asset List'!$A$4:$A$60,0),MATCH('3'!$C$1,'Unique Asset List'!$BO$3:$BU$3,0))</f>
        <v>-1.7169645793441486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0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0</v>
      </c>
      <c r="BA16" s="181">
        <f ca="1">INDEX('Unique Asset List'!U$4:U$60,MATCH($B16,_CompoundList,0))</f>
        <v>1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3</v>
      </c>
      <c r="BF16" s="3">
        <f>IF($C$5="ON",CF16,MyRating(_E3,$B16,Efficacy!$F$1))</f>
        <v>3</v>
      </c>
      <c r="BG16" s="3">
        <f>IF($C$5="ON",CG16,MyRating(_E4,$B16,Efficacy!$F$1))</f>
        <v>3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IF($C$5="ON",CL16,MyRating(_S1,$B16,Efficacy!$F$1))</f>
        <v>3</v>
      </c>
      <c r="BM16" s="3">
        <f>IF($C$5="ON",CM16,MyRating(_S2,$B16,Efficacy!$F$1))</f>
        <v>3</v>
      </c>
      <c r="BN16" s="3">
        <f>IF($C$5="ON",CN16,MyRating(_S3,$B16,Efficacy!$F$1))</f>
        <v>3</v>
      </c>
      <c r="BO16" s="3">
        <f>IF($C$5="ON",CO16,MyRating(_S4,$B16,Efficacy!$F$1))</f>
        <v>3</v>
      </c>
      <c r="BP16" s="3">
        <f>IF($C$5="ON",CP16,MyRating(_S5,$B16,Efficacy!$F$1))</f>
        <v>3</v>
      </c>
      <c r="BQ16" s="3">
        <f>IF($C$5="ON",CQ16,MyRating(_S6,$B16,Efficacy!$F$1))</f>
        <v>2</v>
      </c>
      <c r="BR16" s="3">
        <f>IF($C$5="ON",CR16,MyRating(_S7,$B16,Efficacy!$F$1))</f>
        <v>3</v>
      </c>
      <c r="BS16" s="3">
        <f>IF($C$5="ON",CS16,MyRating(_D1,$B16,Efficacy!$F$1))</f>
        <v>3</v>
      </c>
      <c r="BT16" s="3">
        <f>IF($C$5="ON",CT16,MyRating(_D2,$B16,Efficacy!$F$1))</f>
        <v>3</v>
      </c>
      <c r="BU16" s="3">
        <f>IF($C$5="ON",CU16,MyRating(_D3,$B16,Efficacy!$F$1))</f>
        <v>2</v>
      </c>
      <c r="BV16" s="3">
        <f>IF($C$5="ON",CV16,MyRating(_D4,$B16,Efficacy!$F$1))</f>
        <v>3</v>
      </c>
      <c r="BW16" s="3">
        <f>IF($C$5="ON",CW16,MyRating(_B1G5,$B16,Barrier!$L$2))</f>
        <v>1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11"/>
        <v>7.1303809307835921E-3</v>
      </c>
      <c r="CA16" s="8">
        <f t="shared" si="6"/>
        <v>1</v>
      </c>
      <c r="CB16" s="5">
        <f t="shared" si="7"/>
        <v>1.1764705882352946E-2</v>
      </c>
      <c r="CC16" s="7">
        <f t="shared" si="8"/>
        <v>1.2760615165803312E-3</v>
      </c>
      <c r="CD16" s="4">
        <v>3</v>
      </c>
      <c r="CE16" s="3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2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1</v>
      </c>
      <c r="CX16" s="3">
        <v>1</v>
      </c>
      <c r="CY16" s="6">
        <v>1</v>
      </c>
      <c r="CZ16" s="5">
        <v>9.9044671286996639E-3</v>
      </c>
      <c r="DA16" s="59">
        <f t="shared" si="9"/>
        <v>2025</v>
      </c>
      <c r="DB16">
        <f t="shared" si="10"/>
        <v>5.0000000000009095</v>
      </c>
    </row>
    <row r="17" spans="1:106" x14ac:dyDescent="0.25">
      <c r="A17" s="9" t="str">
        <f t="shared" si="0"/>
        <v>FR</v>
      </c>
      <c r="B17" s="9" t="s">
        <v>79</v>
      </c>
      <c r="C17" s="20"/>
      <c r="D17" s="9" t="s">
        <v>78</v>
      </c>
      <c r="E17" s="9" t="s">
        <v>186</v>
      </c>
      <c r="F17" s="9" t="str">
        <f>INDEX('Unique Asset List'!$C$4:$C$60,MATCH(B17,_CompoundList,0))</f>
        <v>Ph2b</v>
      </c>
      <c r="G17" s="19">
        <v>0</v>
      </c>
      <c r="H17" s="9">
        <v>2014</v>
      </c>
      <c r="I17" s="9">
        <v>6</v>
      </c>
      <c r="J17" s="18">
        <f>INDEX(PTRS!$D$6:$D$12,MATCH('3'!$F17,PTRS!$B$6:$B$12,0))</f>
        <v>0.40949999999999998</v>
      </c>
      <c r="K17" s="17">
        <f>INDEX('Unique Asset List'!$D$4:$M$60,MATCH($B17,'Unique Asset List'!$A$4:$A$60,0),MATCH(K$8,'Unique Asset List'!$D$3:$M$3,0))</f>
        <v>0</v>
      </c>
      <c r="L17" s="17">
        <f>INDEX('Unique Asset List'!$D$4:$M$60,MATCH($B17,'Unique Asset List'!$A$4:$A$60,0),MATCH(L$8,'Unique Asset List'!$D$3:$M$3,0))</f>
        <v>0</v>
      </c>
      <c r="M17" s="17">
        <v>0.13649999999999998</v>
      </c>
      <c r="N17" s="17">
        <f>INDEX('Unique Asset List'!$D$4:$M$60,MATCH($B17,'Unique Asset List'!$A$4:$A$60,0),MATCH(N$8,'Unique Asset List'!$D$3:$M$3,0))</f>
        <v>0.40949999999999998</v>
      </c>
      <c r="O17" s="17">
        <f>INDEX('Unique Asset List'!$D$4:$M$60,MATCH($B17,'Unique Asset List'!$A$4:$A$60,0),MATCH(O$8,'Unique Asset List'!$D$3:$M$3,0))</f>
        <v>0.40949999999999998</v>
      </c>
      <c r="P17" s="17">
        <f>INDEX('Unique Asset List'!$D$4:$M$60,MATCH($B17,'Unique Asset List'!$A$4:$A$60,0),MATCH(P$8,'Unique Asset List'!$D$3:$M$3,0))</f>
        <v>0.40949999999999998</v>
      </c>
      <c r="Q17" s="17">
        <f>INDEX('Unique Asset List'!$D$4:$M$60,MATCH($B17,'Unique Asset List'!$A$4:$A$60,0),MATCH(Q$8,'Unique Asset List'!$D$3:$M$3,0))</f>
        <v>0.40949999999999998</v>
      </c>
      <c r="R17" s="17">
        <f>INDEX('Unique Asset List'!$D$4:$M$60,MATCH($B17,'Unique Asset List'!$A$4:$A$60,0),MATCH(R$8,'Unique Asset List'!$D$3:$M$3,0))</f>
        <v>0.40949999999999998</v>
      </c>
      <c r="S17" s="17">
        <f>INDEX('Unique Asset List'!$D$4:$M$60,MATCH($B17,'Unique Asset List'!$A$4:$A$60,0),MATCH(S$8,'Unique Asset List'!$D$3:$M$3,0))</f>
        <v>0</v>
      </c>
      <c r="T17" s="17"/>
      <c r="U17" s="17">
        <f t="shared" si="1"/>
        <v>0.90168566420734264</v>
      </c>
      <c r="V17" s="17">
        <v>1</v>
      </c>
      <c r="W17" s="9" t="s">
        <v>62</v>
      </c>
      <c r="X17" s="9">
        <f>INDEX('Unique Asset List'!$Y$4:$AE$60,MATCH('3'!$B17,'Unique Asset List'!$A$4:$A$60,0),MATCH('3'!$C$1,'Unique Asset List'!$Y$3:$AE$3,0))</f>
        <v>2025</v>
      </c>
      <c r="Y17" s="9">
        <f>INDEX('Unique Asset List'!$AF$4:$AL$60,MATCH('3'!$B17,'Unique Asset List'!$A$4:$A$60,0),MATCH('3'!$C$1,'Unique Asset List'!$AF$3:$AL$3,0))</f>
        <v>3</v>
      </c>
      <c r="Z17" s="9">
        <f>INDEX('Unique Asset List'!$AT$4:$AZ$60,MATCH('3'!$B17,'Unique Asset List'!$A$4:$A$60,0),MATCH('3'!$C$1,'Unique Asset List'!$AT$3:$AZ$3,0))</f>
        <v>2033</v>
      </c>
      <c r="AA17" s="9">
        <f>INDEX('Unique Asset List'!$BA$4:$BG$60,MATCH('3'!$B17,'Unique Asset List'!$A$4:$A$60,0),MATCH('3'!$C$1,'Unique Asset List'!$BA$3:$BG$3,0))</f>
        <v>3</v>
      </c>
      <c r="AB17" s="16">
        <f t="shared" si="2"/>
        <v>2.0719254000000005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List'!$CJ$4:$CP$60,MATCH('3'!$B17,'Unique Asset List'!$A$4:$A$60,0),MATCH('3'!$C$1,'Unique Asset List'!$CJ$3:$CP$3,0))</f>
        <v>0.17</v>
      </c>
      <c r="AF17" s="15">
        <f>INDEX('Unique Asset List'!$CQ$4:$CW$60,MATCH('3'!$B17,'Unique Asset List'!$A$4:$A$60,0),MATCH('3'!$C$1,'Unique Asset List'!$CQ$3:$CW$3,0))</f>
        <v>0.33</v>
      </c>
      <c r="AG17" s="15">
        <f>INDEX('Unique Asset List'!$BV$4:$CB$60,MATCH('3'!$B17,'Unique Asset List'!$A$4:$A$60,0),MATCH('3'!$C$1,'Unique Asset List'!$BV$3:$CB$3,0))</f>
        <v>0.17</v>
      </c>
      <c r="AH17" s="15">
        <f>INDEX('Unique Asset List'!$CC$4:$CI$60,MATCH('3'!$B17,'Unique Asset List'!$A$4:$A$60,0),MATCH('3'!$C$1,'Unique Asset List'!$CC$3:$CI$3,0))</f>
        <v>0.33</v>
      </c>
      <c r="AI17" s="11">
        <v>0.96187963349867744</v>
      </c>
      <c r="AJ17" s="15">
        <f>INDEX('Unique Asset List'!$BH$4:$BN$60,MATCH('3'!$B17,'Unique Asset List'!$A$4:$A$60,0),MATCH('3'!$C$1,'Unique Asset List'!$BH$3:$BN$3,0))</f>
        <v>2.1252009430760062</v>
      </c>
      <c r="AK17" s="15">
        <f>INDEX('Unique Asset List'!$BO$4:$BU$60,MATCH('3'!$B17,'Unique Asset List'!$A$4:$A$60,0),MATCH('3'!$C$1,'Unique Asset List'!$BO$3:$BU$3,0))</f>
        <v>-1.7169645793441486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81">
        <f>INDEX('Unique Asset List'!N$4:N$60,MATCH($B17,_CompoundList,0))</f>
        <v>0</v>
      </c>
      <c r="AU17" s="181">
        <f>INDEX('Unique Asset List'!O$4:O$60,MATCH($B17,_CompoundList,0))</f>
        <v>0</v>
      </c>
      <c r="AV17" s="181">
        <f>INDEX('Unique Asset List'!P$4:P$60,MATCH($B17,_CompoundList,0))</f>
        <v>0</v>
      </c>
      <c r="AW17" s="181">
        <f>INDEX('Unique Asset List'!Q$4:Q$60,MATCH($B17,_CompoundList,0))</f>
        <v>0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0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4</v>
      </c>
      <c r="BE17" s="3">
        <f>IF($C$5="ON",CE17,MyRating(_E2,$B17,Efficacy!$F$1))</f>
        <v>3</v>
      </c>
      <c r="BF17" s="3">
        <f>IF($C$5="ON",CF17,MyRating(_E3,$B17,Efficacy!$F$1))</f>
        <v>4</v>
      </c>
      <c r="BG17" s="3">
        <f>IF($C$5="ON",CG17,MyRating(_E4,$B17,Efficacy!$F$1))</f>
        <v>4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3</v>
      </c>
      <c r="BK17" s="3">
        <f>IF($C$5="ON",CK17,MyRating(_E8,$B17,Efficacy!$F$1))</f>
        <v>5</v>
      </c>
      <c r="BL17" s="3">
        <f>IF($C$5="ON",CL17,MyRating(_S1,$B17,Efficacy!$F$1))</f>
        <v>4</v>
      </c>
      <c r="BM17" s="3">
        <f>IF($C$5="ON",CM17,MyRating(_S2,$B17,Efficacy!$F$1))</f>
        <v>3</v>
      </c>
      <c r="BN17" s="3">
        <f>IF($C$5="ON",CN17,MyRating(_S3,$B17,Efficacy!$F$1))</f>
        <v>3</v>
      </c>
      <c r="BO17" s="3">
        <f>IF($C$5="ON",CO17,MyRating(_S4,$B17,Efficacy!$F$1))</f>
        <v>3</v>
      </c>
      <c r="BP17" s="3">
        <f>IF($C$5="ON",CP17,MyRating(_S5,$B17,Efficacy!$F$1))</f>
        <v>5</v>
      </c>
      <c r="BQ17" s="3">
        <f>IF($C$5="ON",CQ17,MyRating(_S6,$B17,Efficacy!$F$1))</f>
        <v>2</v>
      </c>
      <c r="BR17" s="3">
        <f>IF($C$5="ON",CR17,MyRating(_S7,$B17,Efficacy!$F$1))</f>
        <v>3</v>
      </c>
      <c r="BS17" s="3">
        <f>IF($C$5="ON",CS17,MyRating(_D1,$B17,Efficacy!$F$1))</f>
        <v>3</v>
      </c>
      <c r="BT17" s="3">
        <f>IF($C$5="ON",CT17,MyRating(_D2,$B17,Efficacy!$F$1))</f>
        <v>3</v>
      </c>
      <c r="BU17" s="3">
        <f>IF($C$5="ON",CU17,MyRating(_D3,$B17,Efficacy!$F$1))</f>
        <v>3</v>
      </c>
      <c r="BV17" s="3">
        <f>IF($C$5="ON",CV17,MyRating(_D4,$B17,Efficacy!$F$1))</f>
        <v>3</v>
      </c>
      <c r="BW17" s="3">
        <f>IF($C$5="ON",CW17,MyRating(_B1G5,$B17,Barrier!$L$2))</f>
        <v>2</v>
      </c>
      <c r="BX17" s="3">
        <f>IF($C$5="ON",CX17,MyRating(_B2,$B17,Barrier!$F$2))</f>
        <v>3</v>
      </c>
      <c r="BY17" s="6">
        <f>IF($C$5="ON",CY17,MyRating(_B3,$B17,Barrier!$F$2))</f>
        <v>3</v>
      </c>
      <c r="BZ17" s="5">
        <f t="shared" si="11"/>
        <v>3.3407946312985805E-2</v>
      </c>
      <c r="CA17" s="8">
        <f t="shared" si="6"/>
        <v>2.8000000000000003</v>
      </c>
      <c r="CB17" s="5">
        <f t="shared" si="7"/>
        <v>3.2941176470588251E-2</v>
      </c>
      <c r="CC17" s="7">
        <f t="shared" si="8"/>
        <v>5.9787261089987885E-3</v>
      </c>
      <c r="CD17" s="4">
        <v>4</v>
      </c>
      <c r="CE17" s="3">
        <v>4</v>
      </c>
      <c r="CF17" s="3">
        <v>4</v>
      </c>
      <c r="CG17" s="3">
        <v>4</v>
      </c>
      <c r="CH17" s="3">
        <v>3</v>
      </c>
      <c r="CI17" s="3">
        <v>3</v>
      </c>
      <c r="CJ17" s="3">
        <v>3</v>
      </c>
      <c r="CK17" s="3">
        <v>5</v>
      </c>
      <c r="CL17" s="3">
        <v>4</v>
      </c>
      <c r="CM17" s="3">
        <v>3</v>
      </c>
      <c r="CN17" s="3">
        <v>3</v>
      </c>
      <c r="CO17" s="3">
        <v>3</v>
      </c>
      <c r="CP17" s="3">
        <v>5</v>
      </c>
      <c r="CQ17" s="3">
        <v>2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2</v>
      </c>
      <c r="CX17" s="3">
        <v>3</v>
      </c>
      <c r="CY17" s="6">
        <v>3</v>
      </c>
      <c r="CZ17" s="5">
        <v>3.6275844714639842E-2</v>
      </c>
      <c r="DA17" s="59">
        <f t="shared" si="9"/>
        <v>2026</v>
      </c>
      <c r="DB17">
        <f t="shared" si="10"/>
        <v>6</v>
      </c>
    </row>
    <row r="18" spans="1:106" x14ac:dyDescent="0.25">
      <c r="A18" s="9" t="str">
        <f t="shared" si="0"/>
        <v>FR</v>
      </c>
      <c r="B18" s="9" t="s">
        <v>87</v>
      </c>
      <c r="C18" s="20" t="s">
        <v>3</v>
      </c>
      <c r="D18" s="9" t="s">
        <v>64</v>
      </c>
      <c r="E18" s="9" t="s">
        <v>186</v>
      </c>
      <c r="F18" s="9" t="str">
        <f>INDEX('Unique Asset List'!$C$4:$C$60,MATCH(B18,_CompoundList,0))</f>
        <v>Launched</v>
      </c>
      <c r="G18" s="19">
        <v>0</v>
      </c>
      <c r="H18" s="9">
        <v>2014</v>
      </c>
      <c r="I18" s="9">
        <v>6</v>
      </c>
      <c r="J18" s="18">
        <f>INDEX(PTRS!$D$6:$D$12,MATCH('3'!$F18,PTRS!$B$6:$B$12,0))</f>
        <v>1</v>
      </c>
      <c r="K18" s="17">
        <f>INDEX('Unique Asset List'!$D$4:$M$60,MATCH($B18,'Unique Asset List'!$A$4:$A$60,0),MATCH(K$8,'Unique Asset List'!$D$3:$M$3,0))</f>
        <v>1</v>
      </c>
      <c r="L18" s="17">
        <f>INDEX('Unique Asset List'!$D$4:$M$60,MATCH($B18,'Unique Asset List'!$A$4:$A$60,0),MATCH(L$8,'Unique Asset List'!$D$3:$M$3,0))</f>
        <v>1</v>
      </c>
      <c r="M18" s="17">
        <v>1</v>
      </c>
      <c r="N18" s="17">
        <f>INDEX('Unique Asset List'!$D$4:$M$60,MATCH($B18,'Unique Asset List'!$A$4:$A$60,0),MATCH(N$8,'Unique Asset List'!$D$3:$M$3,0))</f>
        <v>1</v>
      </c>
      <c r="O18" s="17">
        <f>INDEX('Unique Asset List'!$D$4:$M$60,MATCH($B18,'Unique Asset List'!$A$4:$A$60,0),MATCH(O$8,'Unique Asset List'!$D$3:$M$3,0))</f>
        <v>1</v>
      </c>
      <c r="P18" s="17">
        <f>INDEX('Unique Asset List'!$D$4:$M$60,MATCH($B18,'Unique Asset List'!$A$4:$A$60,0),MATCH(P$8,'Unique Asset List'!$D$3:$M$3,0))</f>
        <v>1</v>
      </c>
      <c r="Q18" s="17">
        <f>INDEX('Unique Asset List'!$D$4:$M$60,MATCH($B18,'Unique Asset List'!$A$4:$A$60,0),MATCH(Q$8,'Unique Asset List'!$D$3:$M$3,0))</f>
        <v>1</v>
      </c>
      <c r="R18" s="17">
        <f>INDEX('Unique Asset List'!$D$4:$M$60,MATCH($B18,'Unique Asset List'!$A$4:$A$60,0),MATCH(R$8,'Unique Asset List'!$D$3:$M$3,0))</f>
        <v>1</v>
      </c>
      <c r="S18" s="17">
        <f>INDEX('Unique Asset List'!$D$4:$M$60,MATCH($B18,'Unique Asset List'!$A$4:$A$60,0),MATCH(S$8,'Unique Asset List'!$D$3:$M$3,0))</f>
        <v>1</v>
      </c>
      <c r="T18" s="17"/>
      <c r="U18" s="17">
        <f t="shared" si="1"/>
        <v>0</v>
      </c>
      <c r="V18" s="17">
        <v>1</v>
      </c>
      <c r="W18" s="9" t="s">
        <v>54</v>
      </c>
      <c r="X18" s="9">
        <f>INDEX('Unique Asset List'!$Y$4:$AE$60,MATCH('3'!$B18,'Unique Asset List'!$A$4:$A$60,0),MATCH('3'!$C$1,'Unique Asset List'!$Y$3:$AE$3,0))</f>
        <v>2018</v>
      </c>
      <c r="Y18" s="9">
        <f>INDEX('Unique Asset List'!$AF$4:$AL$60,MATCH('3'!$B18,'Unique Asset List'!$A$4:$A$60,0),MATCH('3'!$C$1,'Unique Asset List'!$AF$3:$AL$3,0))</f>
        <v>3</v>
      </c>
      <c r="Z18" s="9">
        <f>INDEX('Unique Asset List'!$AT$4:$AZ$60,MATCH('3'!$B18,'Unique Asset List'!$A$4:$A$60,0),MATCH('3'!$C$1,'Unique Asset List'!$AT$3:$AZ$3,0))</f>
        <v>2033</v>
      </c>
      <c r="AA18" s="9">
        <f>INDEX('Unique Asset List'!$BA$4:$BG$60,MATCH('3'!$B18,'Unique Asset List'!$A$4:$A$60,0),MATCH('3'!$C$1,'Unique Asset List'!$BA$3:$BG$3,0))</f>
        <v>11</v>
      </c>
      <c r="AB18" s="16">
        <f t="shared" si="2"/>
        <v>1.7478200000000002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List'!$CJ$4:$CP$60,MATCH('3'!$B18,'Unique Asset List'!$A$4:$A$60,0),MATCH('3'!$C$1,'Unique Asset List'!$CJ$3:$CP$3,0))</f>
        <v>0.12</v>
      </c>
      <c r="AF18" s="15">
        <f>INDEX('Unique Asset List'!$CQ$4:$CW$60,MATCH('3'!$B18,'Unique Asset List'!$A$4:$A$60,0),MATCH('3'!$C$1,'Unique Asset List'!$CQ$3:$CW$3,0))</f>
        <v>0.38</v>
      </c>
      <c r="AG18" s="15">
        <f>INDEX('Unique Asset List'!$BV$4:$CB$60,MATCH('3'!$B18,'Unique Asset List'!$A$4:$A$60,0),MATCH('3'!$C$1,'Unique Asset List'!$BV$3:$CB$3,0))</f>
        <v>0.12</v>
      </c>
      <c r="AH18" s="15">
        <f>INDEX('Unique Asset List'!$CC$4:$CI$60,MATCH('3'!$B18,'Unique Asset List'!$A$4:$A$60,0),MATCH('3'!$C$1,'Unique Asset List'!$CC$3:$CI$3,0))</f>
        <v>0.38</v>
      </c>
      <c r="AI18" s="11">
        <v>0.96187963349867744</v>
      </c>
      <c r="AJ18" s="15">
        <f>INDEX('Unique Asset List'!$BH$4:$BN$60,MATCH('3'!$B18,'Unique Asset List'!$A$4:$A$60,0),MATCH('3'!$C$1,'Unique Asset List'!$BH$3:$BN$3,0))</f>
        <v>2.1252009430760062</v>
      </c>
      <c r="AK18" s="15">
        <f>INDEX('Unique Asset List'!$BO$4:$BU$60,MATCH('3'!$B18,'Unique Asset List'!$A$4:$A$60,0),MATCH('3'!$C$1,'Unique Asset List'!$BO$3:$BU$3,0))</f>
        <v>-1.7169645793441486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1</v>
      </c>
      <c r="AQ18" s="12">
        <v>0</v>
      </c>
      <c r="AR18" s="11">
        <f t="shared" si="5"/>
        <v>1</v>
      </c>
      <c r="AS18" s="10">
        <v>1</v>
      </c>
      <c r="AT18" s="181">
        <f>INDEX('Unique Asset List'!N$4:N$60,MATCH($B18,_CompoundList,0))</f>
        <v>1</v>
      </c>
      <c r="AU18" s="181">
        <f>INDEX('Unique Asset List'!O$4:O$60,MATCH($B18,_CompoundList,0))</f>
        <v>1</v>
      </c>
      <c r="AV18" s="181">
        <f>INDEX('Unique Asset List'!P$4:P$60,MATCH($B18,_CompoundList,0))</f>
        <v>1</v>
      </c>
      <c r="AW18" s="181">
        <f>INDEX('Unique Asset List'!Q$4:Q$60,MATCH($B18,_CompoundList,0))</f>
        <v>1</v>
      </c>
      <c r="AX18" s="181">
        <f ca="1">INDEX('Unique Asset List'!R$4:R$60,MATCH($B18,_CompoundList,0))</f>
        <v>1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1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1</v>
      </c>
      <c r="BC18" s="181">
        <f ca="1">INDEX('Unique Asset List'!W$4:W$60,MATCH($B18,_CompoundList,0))</f>
        <v>1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4</v>
      </c>
      <c r="BL18" s="3">
        <f>IF($C$5="ON",CL18,MyRating(_S1,$B18,Efficacy!$F$1))</f>
        <v>3</v>
      </c>
      <c r="BM18" s="3">
        <f>IF($C$5="ON",CM18,MyRating(_S2,$B18,Efficacy!$F$1))</f>
        <v>3</v>
      </c>
      <c r="BN18" s="3">
        <f>IF($C$5="ON",CN18,MyRating(_S3,$B18,Efficacy!$F$1))</f>
        <v>3</v>
      </c>
      <c r="BO18" s="3">
        <f>IF($C$5="ON",CO18,MyRating(_S4,$B18,Efficacy!$F$1))</f>
        <v>3</v>
      </c>
      <c r="BP18" s="3">
        <f>IF($C$5="ON",CP18,MyRating(_S5,$B18,Efficacy!$F$1))</f>
        <v>5</v>
      </c>
      <c r="BQ18" s="3">
        <f>IF($C$5="ON",CQ18,MyRating(_S6,$B18,Efficacy!$F$1))</f>
        <v>2</v>
      </c>
      <c r="BR18" s="3">
        <f>IF($C$5="ON",CR18,MyRating(_S7,$B18,Efficacy!$F$1))</f>
        <v>3</v>
      </c>
      <c r="BS18" s="3">
        <f>IF($C$5="ON",CS18,MyRating(_D1,$B18,Efficacy!$F$1))</f>
        <v>3</v>
      </c>
      <c r="BT18" s="3">
        <f>IF($C$5="ON",CT18,MyRating(_D2,$B18,Efficacy!$F$1))</f>
        <v>2</v>
      </c>
      <c r="BU18" s="3">
        <f>IF($C$5="ON",CU18,MyRating(_D3,$B18,Efficacy!$F$1))</f>
        <v>3</v>
      </c>
      <c r="BV18" s="3">
        <f>IF($C$5="ON",CV18,MyRating(_D4,$B18,Efficacy!$F$1))</f>
        <v>3</v>
      </c>
      <c r="BW18" s="3">
        <f>IF($C$5="ON",CW18,MyRating(_B1G5,$B18,Barrier!$L$2))</f>
        <v>2</v>
      </c>
      <c r="BX18" s="3">
        <f>IF($C$5="ON",CX18,MyRating(_B2,$B18,Barrier!$F$2))</f>
        <v>3</v>
      </c>
      <c r="BY18" s="6">
        <f>IF($C$5="ON",CY18,MyRating(_B3,$B18,Barrier!$F$2))</f>
        <v>3</v>
      </c>
      <c r="BZ18" s="5">
        <f t="shared" si="11"/>
        <v>0</v>
      </c>
      <c r="CA18" s="8">
        <f t="shared" si="6"/>
        <v>2.8000000000000003</v>
      </c>
      <c r="CB18" s="5">
        <f t="shared" si="7"/>
        <v>3.2941176470588251E-2</v>
      </c>
      <c r="CC18" s="7">
        <f t="shared" si="8"/>
        <v>5.9787261089987885E-3</v>
      </c>
      <c r="CD18" s="4">
        <v>3</v>
      </c>
      <c r="CE18" s="3">
        <v>4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4</v>
      </c>
      <c r="CL18" s="3">
        <v>3</v>
      </c>
      <c r="CM18" s="3">
        <v>3</v>
      </c>
      <c r="CN18" s="3">
        <v>3</v>
      </c>
      <c r="CO18" s="3">
        <v>3</v>
      </c>
      <c r="CP18" s="3">
        <v>5</v>
      </c>
      <c r="CQ18" s="3">
        <v>2</v>
      </c>
      <c r="CR18" s="3">
        <v>3</v>
      </c>
      <c r="CS18" s="3">
        <v>3</v>
      </c>
      <c r="CT18" s="3">
        <v>2</v>
      </c>
      <c r="CU18" s="3">
        <v>3</v>
      </c>
      <c r="CV18" s="3">
        <v>3</v>
      </c>
      <c r="CW18" s="3">
        <v>2</v>
      </c>
      <c r="CX18" s="3">
        <v>3</v>
      </c>
      <c r="CY18" s="6">
        <v>3</v>
      </c>
      <c r="CZ18" s="5">
        <v>3.6275844714639842E-2</v>
      </c>
      <c r="DA18" s="59">
        <f t="shared" si="9"/>
        <v>2019</v>
      </c>
      <c r="DB18">
        <f t="shared" si="10"/>
        <v>6</v>
      </c>
    </row>
    <row r="19" spans="1:106" x14ac:dyDescent="0.25">
      <c r="A19" s="9" t="str">
        <f t="shared" si="0"/>
        <v>FR</v>
      </c>
      <c r="B19" s="9" t="s">
        <v>77</v>
      </c>
      <c r="C19" s="20"/>
      <c r="D19" s="9" t="s">
        <v>76</v>
      </c>
      <c r="E19" s="9" t="s">
        <v>186</v>
      </c>
      <c r="F19" s="9" t="str">
        <f>INDEX('Unique Asset List'!$C$4:$C$60,MATCH(B19,_CompoundList,0))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INDEX(PTRS!$D$6:$D$12,MATCH('3'!$F19,PTRS!$B$6:$B$12,0))</f>
        <v>0.1638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7">
        <v>5.4600000000000003E-2</v>
      </c>
      <c r="N19" s="17">
        <f>INDEX('Unique Asset List'!$D$4:$M$60,MATCH($B19,'Unique Asset List'!$A$4:$A$60,0),MATCH(N$8,'Unique Asset List'!$D$3:$M$3,0))</f>
        <v>0.1638</v>
      </c>
      <c r="O19" s="17">
        <f>INDEX('Unique Asset List'!$D$4:$M$60,MATCH($B19,'Unique Asset List'!$A$4:$A$60,0),MATCH(O$8,'Unique Asset List'!$D$3:$M$3,0))</f>
        <v>0.1638</v>
      </c>
      <c r="P19" s="17">
        <f>INDEX('Unique Asset List'!$D$4:$M$60,MATCH($B19,'Unique Asset List'!$A$4:$A$60,0),MATCH(P$8,'Unique Asset List'!$D$3:$M$3,0))</f>
        <v>0.1638</v>
      </c>
      <c r="Q19" s="17">
        <f>INDEX('Unique Asset List'!$D$4:$M$60,MATCH($B19,'Unique Asset List'!$A$4:$A$60,0),MATCH(Q$8,'Unique Asset List'!$D$3:$M$3,0))</f>
        <v>0.1638</v>
      </c>
      <c r="R19" s="17">
        <f>INDEX('Unique Asset List'!$D$4:$M$60,MATCH($B19,'Unique Asset List'!$A$4:$A$60,0),MATCH(R$8,'Unique Asset List'!$D$3:$M$3,0))</f>
        <v>0.1638</v>
      </c>
      <c r="S19" s="17">
        <f>INDEX('Unique Asset List'!$D$4:$M$60,MATCH($B19,'Unique Asset List'!$A$4:$A$60,0),MATCH(S$8,'Unique Asset List'!$D$3:$M$3,0))</f>
        <v>1</v>
      </c>
      <c r="T19" s="17"/>
      <c r="U19" s="17">
        <f t="shared" si="1"/>
        <v>0.90168566420734264</v>
      </c>
      <c r="V19" s="17">
        <v>1</v>
      </c>
      <c r="W19" s="9" t="s">
        <v>62</v>
      </c>
      <c r="X19" s="9">
        <f>INDEX('Unique Asset List'!$Y$4:$AE$60,MATCH('3'!$B19,'Unique Asset List'!$A$4:$A$60,0),MATCH('3'!$C$1,'Unique Asset List'!$Y$3:$AE$3,0))</f>
        <v>2025</v>
      </c>
      <c r="Y19" s="9">
        <f>INDEX('Unique Asset List'!$AF$4:$AL$60,MATCH('3'!$B19,'Unique Asset List'!$A$4:$A$60,0),MATCH('3'!$C$1,'Unique Asset List'!$AF$3:$AL$3,0))</f>
        <v>6.9999999999990905</v>
      </c>
      <c r="Z19" s="9">
        <f>INDEX('Unique Asset List'!$AT$4:$AZ$60,MATCH('3'!$B19,'Unique Asset List'!$A$4:$A$60,0),MATCH('3'!$C$1,'Unique Asset List'!$AT$3:$AZ$3,0))</f>
        <v>2034</v>
      </c>
      <c r="AA19" s="9">
        <f>INDEX('Unique Asset List'!$BA$4:$BG$60,MATCH('3'!$B19,'Unique Asset List'!$A$4:$A$60,0),MATCH('3'!$C$1,'Unique Asset List'!$BA$3:$BG$3,0))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List'!$CJ$4:$CP$60,MATCH('3'!$B19,'Unique Asset List'!$A$4:$A$60,0),MATCH('3'!$C$1,'Unique Asset List'!$CJ$3:$CP$3,0))</f>
        <v>0.17</v>
      </c>
      <c r="AF19" s="15">
        <f>INDEX('Unique Asset List'!$CQ$4:$CW$60,MATCH('3'!$B19,'Unique Asset List'!$A$4:$A$60,0),MATCH('3'!$C$1,'Unique Asset List'!$CQ$3:$CW$3,0))</f>
        <v>0.33</v>
      </c>
      <c r="AG19" s="15">
        <f>INDEX('Unique Asset List'!$BV$4:$CB$60,MATCH('3'!$B19,'Unique Asset List'!$A$4:$A$60,0),MATCH('3'!$C$1,'Unique Asset List'!$BV$3:$CB$3,0))</f>
        <v>0.17</v>
      </c>
      <c r="AH19" s="15">
        <f>INDEX('Unique Asset List'!$CC$4:$CI$60,MATCH('3'!$B19,'Unique Asset List'!$A$4:$A$60,0),MATCH('3'!$C$1,'Unique Asset List'!$CC$3:$CI$3,0))</f>
        <v>0.33</v>
      </c>
      <c r="AI19" s="11">
        <v>0.96187963349867744</v>
      </c>
      <c r="AJ19" s="15">
        <f>INDEX('Unique Asset List'!$BH$4:$BN$60,MATCH('3'!$B19,'Unique Asset List'!$A$4:$A$60,0),MATCH('3'!$C$1,'Unique Asset List'!$BH$3:$BN$3,0))</f>
        <v>2.1252009430760062</v>
      </c>
      <c r="AK19" s="15">
        <f>INDEX('Unique Asset List'!$BO$4:$BU$60,MATCH('3'!$B19,'Unique Asset List'!$A$4:$A$60,0),MATCH('3'!$C$1,'Unique Asset List'!$BO$3:$BU$3,0))</f>
        <v>-1.7169645793441486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1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4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5</v>
      </c>
      <c r="BL19" s="3">
        <f>IF($C$5="ON",CL19,MyRating(_S1,$B19,Efficacy!$F$1))</f>
        <v>4</v>
      </c>
      <c r="BM19" s="3">
        <f>IF($C$5="ON",CM19,MyRating(_S2,$B19,Efficacy!$F$1))</f>
        <v>3</v>
      </c>
      <c r="BN19" s="3">
        <f>IF($C$5="ON",CN19,MyRating(_S3,$B19,Efficacy!$F$1))</f>
        <v>3</v>
      </c>
      <c r="BO19" s="3">
        <f>IF($C$5="ON",CO19,MyRating(_S4,$B19,Efficacy!$F$1))</f>
        <v>3</v>
      </c>
      <c r="BP19" s="3">
        <f>IF($C$5="ON",CP19,MyRating(_S5,$B19,Efficacy!$F$1))</f>
        <v>5</v>
      </c>
      <c r="BQ19" s="3">
        <f>IF($C$5="ON",CQ19,MyRating(_S6,$B19,Efficacy!$F$1))</f>
        <v>2</v>
      </c>
      <c r="BR19" s="3">
        <f>IF($C$5="ON",CR19,MyRating(_S7,$B19,Efficacy!$F$1))</f>
        <v>3</v>
      </c>
      <c r="BS19" s="3">
        <f>IF($C$5="ON",CS19,MyRating(_D1,$B19,Efficacy!$F$1))</f>
        <v>3</v>
      </c>
      <c r="BT19" s="3">
        <f>IF($C$5="ON",CT19,MyRating(_D2,$B19,Efficacy!$F$1))</f>
        <v>3</v>
      </c>
      <c r="BU19" s="3">
        <f>IF($C$5="ON",CU19,MyRating(_D3,$B19,Efficacy!$F$1))</f>
        <v>3</v>
      </c>
      <c r="BV19" s="3">
        <f>IF($C$5="ON",CV19,MyRating(_D4,$B19,Efficacy!$F$1))</f>
        <v>3</v>
      </c>
      <c r="BW19" s="3">
        <f>IF($C$5="ON",CW19,MyRating(_B1G5,$B19,Barrier!$L$2))</f>
        <v>2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11"/>
        <v>3.3407946312985805E-2</v>
      </c>
      <c r="CA19" s="8">
        <f t="shared" si="6"/>
        <v>2.8000000000000003</v>
      </c>
      <c r="CB19" s="5">
        <f t="shared" si="7"/>
        <v>3.2941176470588251E-2</v>
      </c>
      <c r="CC19" s="7">
        <f t="shared" si="8"/>
        <v>5.9787261089987885E-3</v>
      </c>
      <c r="CD19" s="4">
        <v>3</v>
      </c>
      <c r="CE19" s="3">
        <v>3</v>
      </c>
      <c r="CF19" s="3">
        <v>3</v>
      </c>
      <c r="CG19" s="3">
        <v>4</v>
      </c>
      <c r="CH19" s="3">
        <v>3</v>
      </c>
      <c r="CI19" s="3">
        <v>3</v>
      </c>
      <c r="CJ19" s="3">
        <v>3</v>
      </c>
      <c r="CK19" s="3">
        <v>5</v>
      </c>
      <c r="CL19" s="3">
        <v>4</v>
      </c>
      <c r="CM19" s="3">
        <v>3</v>
      </c>
      <c r="CN19" s="3">
        <v>3</v>
      </c>
      <c r="CO19" s="3">
        <v>3</v>
      </c>
      <c r="CP19" s="3">
        <v>5</v>
      </c>
      <c r="CQ19" s="3">
        <v>2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2</v>
      </c>
      <c r="CX19" s="3">
        <v>3</v>
      </c>
      <c r="CY19" s="6">
        <v>3</v>
      </c>
      <c r="CZ19" s="5">
        <v>3.6275844714639842E-2</v>
      </c>
      <c r="DA19" s="59">
        <f t="shared" si="9"/>
        <v>2026</v>
      </c>
      <c r="DB19">
        <f t="shared" si="10"/>
        <v>9.9999999999990905</v>
      </c>
    </row>
    <row r="20" spans="1:106" x14ac:dyDescent="0.25">
      <c r="A20" s="9" t="str">
        <f t="shared" si="0"/>
        <v>FR</v>
      </c>
      <c r="B20" s="9" t="s">
        <v>39</v>
      </c>
      <c r="C20" s="20"/>
      <c r="D20" s="9" t="s">
        <v>2</v>
      </c>
      <c r="E20" s="9" t="s">
        <v>186</v>
      </c>
      <c r="F20" s="9" t="str">
        <f>INDEX('Unique Asset List'!$C$4:$C$60,MATCH(B20,_CompoundList,0))</f>
        <v>Ph2b</v>
      </c>
      <c r="G20" s="19">
        <v>0</v>
      </c>
      <c r="H20" s="9">
        <v>2014</v>
      </c>
      <c r="I20" s="9">
        <v>6</v>
      </c>
      <c r="J20" s="18">
        <f>INDEX(PTRS!$D$6:$D$12,MATCH('3'!$F20,PTRS!$B$6:$B$12,0))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1</v>
      </c>
      <c r="M20" s="17">
        <v>0.40949999999999998</v>
      </c>
      <c r="N20" s="17">
        <f>INDEX('Unique Asset List'!$D$4:$M$60,MATCH($B20,'Unique Asset List'!$A$4:$A$60,0),MATCH(N$8,'Unique Asset List'!$D$3:$M$3,0))</f>
        <v>0.4</v>
      </c>
      <c r="O20" s="17">
        <f>INDEX('Unique Asset List'!$D$4:$M$60,MATCH($B20,'Unique Asset List'!$A$4:$A$60,0),MATCH(O$8,'Unique Asset List'!$D$3:$M$3,0))</f>
        <v>0</v>
      </c>
      <c r="P20" s="17">
        <f>INDEX('Unique Asset List'!$D$4:$M$60,MATCH($B20,'Unique Asset List'!$A$4:$A$60,0),MATCH(P$8,'Unique Asset List'!$D$3:$M$3,0))</f>
        <v>1</v>
      </c>
      <c r="Q20" s="17">
        <f>INDEX('Unique Asset List'!$D$4:$M$60,MATCH($B20,'Unique Asset List'!$A$4:$A$60,0),MATCH(Q$8,'Unique Asset List'!$D$3:$M$3,0))</f>
        <v>0</v>
      </c>
      <c r="R20" s="17">
        <f>INDEX('Unique Asset List'!$D$4:$M$60,MATCH($B20,'Unique Asset List'!$A$4:$A$60,0),MATCH(R$8,'Unique Asset List'!$D$3:$M$3,0))</f>
        <v>1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1"/>
        <v>0.54433105395181736</v>
      </c>
      <c r="V20" s="17">
        <v>1</v>
      </c>
      <c r="W20" s="9" t="s">
        <v>38</v>
      </c>
      <c r="X20" s="9">
        <f>INDEX('Unique Asset List'!$Y$4:$AE$60,MATCH('3'!$B20,'Unique Asset List'!$A$4:$A$60,0),MATCH('3'!$C$1,'Unique Asset List'!$Y$3:$AE$3,0))</f>
        <v>2024</v>
      </c>
      <c r="Y20" s="9">
        <f>INDEX('Unique Asset List'!$AF$4:$AL$60,MATCH('3'!$B20,'Unique Asset List'!$A$4:$A$60,0),MATCH('3'!$C$1,'Unique Asset List'!$AF$3:$AL$3,0))</f>
        <v>11.000000000000909</v>
      </c>
      <c r="Z20" s="9">
        <f>INDEX('Unique Asset List'!$AT$4:$AZ$60,MATCH('3'!$B20,'Unique Asset List'!$A$4:$A$60,0),MATCH('3'!$C$1,'Unique Asset List'!$AT$3:$AZ$3,0))</f>
        <v>2034</v>
      </c>
      <c r="AA20" s="9">
        <f>INDEX('Unique Asset List'!$BA$4:$BG$60,MATCH('3'!$B20,'Unique Asset List'!$A$4:$A$60,0),MATCH('3'!$C$1,'Unique Asset List'!$BA$3:$BG$3,0))</f>
        <v>10</v>
      </c>
      <c r="AB20" s="16">
        <f t="shared" si="2"/>
        <v>2.1511674000000003</v>
      </c>
      <c r="AC20" s="16">
        <f t="shared" si="3"/>
        <v>0.95118959999999997</v>
      </c>
      <c r="AD20" s="16">
        <f t="shared" si="4"/>
        <v>0.56099999999999994</v>
      </c>
      <c r="AE20" s="15">
        <f>INDEX('Unique Asset List'!$CJ$4:$CP$60,MATCH('3'!$B20,'Unique Asset List'!$A$4:$A$60,0),MATCH('3'!$C$1,'Unique Asset List'!$CJ$3:$CP$3,0))</f>
        <v>0.12</v>
      </c>
      <c r="AF20" s="15">
        <f>INDEX('Unique Asset List'!$CQ$4:$CW$60,MATCH('3'!$B20,'Unique Asset List'!$A$4:$A$60,0),MATCH('3'!$C$1,'Unique Asset List'!$CQ$3:$CW$3,0))</f>
        <v>0.38</v>
      </c>
      <c r="AG20" s="15">
        <f>INDEX('Unique Asset List'!$BV$4:$CB$60,MATCH('3'!$B20,'Unique Asset List'!$A$4:$A$60,0),MATCH('3'!$C$1,'Unique Asset List'!$BV$3:$CB$3,0))</f>
        <v>0.12</v>
      </c>
      <c r="AH20" s="15">
        <f>INDEX('Unique Asset List'!$CC$4:$CI$60,MATCH('3'!$B20,'Unique Asset List'!$A$4:$A$60,0),MATCH('3'!$C$1,'Unique Asset List'!$CC$3:$CI$3,0))</f>
        <v>0.38</v>
      </c>
      <c r="AI20" s="11">
        <v>0.96187963349867744</v>
      </c>
      <c r="AJ20" s="15">
        <f>INDEX('Unique Asset List'!$BH$4:$BN$60,MATCH('3'!$B20,'Unique Asset List'!$A$4:$A$60,0),MATCH('3'!$C$1,'Unique Asset List'!$BH$3:$BN$3,0))</f>
        <v>2.1252009430760062</v>
      </c>
      <c r="AK20" s="15">
        <f>INDEX('Unique Asset List'!$BO$4:$BU$60,MATCH('3'!$B20,'Unique Asset List'!$A$4:$A$60,0),MATCH('3'!$C$1,'Unique Asset List'!$BO$3:$BU$3,0))</f>
        <v>-1.7169645793441486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1</v>
      </c>
      <c r="AV20" s="181">
        <f>INDEX('Unique Asset List'!P$4:P$60,MATCH($B20,_CompoundList,0))</f>
        <v>0</v>
      </c>
      <c r="AW20" s="181">
        <f>INDEX('Unique Asset List'!Q$4:Q$60,MATCH($B20,_CompoundList,0))</f>
        <v>1</v>
      </c>
      <c r="AX20" s="181">
        <f ca="1">INDEX('Unique Asset List'!R$4:R$60,MATCH($B20,_CompoundList,0))</f>
        <v>0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0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0</v>
      </c>
      <c r="BD20" s="4">
        <f>IF($C$5="ON",CD20,MyRating(_E1,$B20,Efficacy!$F$1))</f>
        <v>4</v>
      </c>
      <c r="BE20" s="3">
        <f>IF($C$5="ON",CE20,MyRating(_E2,$B20,Efficacy!$F$1))</f>
        <v>4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5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3</v>
      </c>
      <c r="BL20" s="3">
        <f>IF($C$5="ON",CL20,MyRating(_S1,$B20,Efficacy!$F$1))</f>
        <v>4</v>
      </c>
      <c r="BM20" s="3">
        <f>IF($C$5="ON",CM20,MyRating(_S2,$B20,Efficacy!$F$1))</f>
        <v>4</v>
      </c>
      <c r="BN20" s="3">
        <f>IF($C$5="ON",CN20,MyRating(_S3,$B20,Efficacy!$F$1))</f>
        <v>4</v>
      </c>
      <c r="BO20" s="3">
        <f>IF($C$5="ON",CO20,MyRating(_S4,$B20,Efficacy!$F$1))</f>
        <v>3</v>
      </c>
      <c r="BP20" s="3">
        <f>IF($C$5="ON",CP20,MyRating(_S5,$B20,Efficacy!$F$1))</f>
        <v>5</v>
      </c>
      <c r="BQ20" s="3">
        <f>IF($C$5="ON",CQ20,MyRating(_S6,$B20,Efficacy!$F$1))</f>
        <v>4</v>
      </c>
      <c r="BR20" s="3">
        <f>IF($C$5="ON",CR20,MyRating(_S7,$B20,Efficacy!$F$1))</f>
        <v>2</v>
      </c>
      <c r="BS20" s="3">
        <f>IF($C$5="ON",CS20,MyRating(_D1,$B20,Efficacy!$F$1))</f>
        <v>3</v>
      </c>
      <c r="BT20" s="3">
        <f>IF($C$5="ON",CT20,MyRating(_D2,$B20,Efficacy!$F$1))</f>
        <v>3</v>
      </c>
      <c r="BU20" s="3">
        <f>IF($C$5="ON",CU20,MyRating(_D3,$B20,Efficacy!$F$1))</f>
        <v>3</v>
      </c>
      <c r="BV20" s="3">
        <f>IF($C$5="ON",CV20,MyRating(_D4,$B20,Efficacy!$F$1))</f>
        <v>3</v>
      </c>
      <c r="BW20" s="3">
        <f>IF($C$5="ON",CW20,MyRating(_B1G5,$B20,Barrier!$L$2))</f>
        <v>2</v>
      </c>
      <c r="BX20" s="3">
        <f>IF($C$5="ON",CX20,MyRating(_B2,$B20,Barrier!$F$2))</f>
        <v>2</v>
      </c>
      <c r="BY20" s="6">
        <f>IF($C$5="ON",CY20,MyRating(_B3,$B20,Barrier!$F$2))</f>
        <v>2</v>
      </c>
      <c r="BZ20" s="5">
        <f t="shared" si="11"/>
        <v>2.01677628344013E-2</v>
      </c>
      <c r="CA20" s="8">
        <f t="shared" si="6"/>
        <v>2</v>
      </c>
      <c r="CB20" s="5">
        <f t="shared" si="7"/>
        <v>2.3529411764705892E-2</v>
      </c>
      <c r="CC20" s="7">
        <f t="shared" si="8"/>
        <v>3.6092470063405695E-3</v>
      </c>
      <c r="CD20" s="4">
        <v>4</v>
      </c>
      <c r="CE20" s="3">
        <v>3</v>
      </c>
      <c r="CF20" s="3">
        <v>3</v>
      </c>
      <c r="CG20" s="3">
        <v>4</v>
      </c>
      <c r="CH20" s="3">
        <v>3</v>
      </c>
      <c r="CI20" s="3">
        <v>2</v>
      </c>
      <c r="CJ20" s="3">
        <v>3</v>
      </c>
      <c r="CK20" s="3">
        <v>3</v>
      </c>
      <c r="CL20" s="3">
        <v>4</v>
      </c>
      <c r="CM20" s="3">
        <v>4</v>
      </c>
      <c r="CN20" s="3">
        <v>3</v>
      </c>
      <c r="CO20" s="3">
        <v>4</v>
      </c>
      <c r="CP20" s="3">
        <v>5</v>
      </c>
      <c r="CQ20" s="3">
        <v>2</v>
      </c>
      <c r="CR20" s="3">
        <v>3</v>
      </c>
      <c r="CS20" s="3">
        <v>3</v>
      </c>
      <c r="CT20" s="3">
        <v>2</v>
      </c>
      <c r="CU20" s="3">
        <v>3</v>
      </c>
      <c r="CV20" s="3">
        <v>3</v>
      </c>
      <c r="CW20" s="3">
        <v>2</v>
      </c>
      <c r="CX20" s="3">
        <v>3</v>
      </c>
      <c r="CY20" s="6">
        <v>3</v>
      </c>
      <c r="CZ20" s="5">
        <v>3.6275844714639842E-2</v>
      </c>
      <c r="DA20" s="59">
        <f t="shared" si="9"/>
        <v>2025</v>
      </c>
      <c r="DB20">
        <f t="shared" si="10"/>
        <v>2.0000000000009095</v>
      </c>
    </row>
    <row r="21" spans="1:106" x14ac:dyDescent="0.25">
      <c r="A21" s="9" t="str">
        <f t="shared" si="0"/>
        <v>FR</v>
      </c>
      <c r="B21" s="9" t="s">
        <v>75</v>
      </c>
      <c r="C21" s="20"/>
      <c r="D21" s="9" t="s">
        <v>74</v>
      </c>
      <c r="E21" s="9" t="s">
        <v>186</v>
      </c>
      <c r="F21" s="9" t="str">
        <f>INDEX('Unique Asset List'!$C$4:$C$60,MATCH(B21,_CompoundList,0))</f>
        <v>Ph2a</v>
      </c>
      <c r="G21" s="19">
        <v>0</v>
      </c>
      <c r="H21" s="9">
        <v>2014</v>
      </c>
      <c r="I21" s="9">
        <v>6</v>
      </c>
      <c r="J21" s="18">
        <f>INDEX(PTRS!$D$6:$D$12,MATCH('3'!$F21,PTRS!$B$6:$B$12,0))</f>
        <v>0.1638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7">
        <v>0.1638</v>
      </c>
      <c r="N21" s="17">
        <f>INDEX('Unique Asset List'!$D$4:$M$60,MATCH($B21,'Unique Asset List'!$A$4:$A$60,0),MATCH(N$8,'Unique Asset List'!$D$3:$M$3,0))</f>
        <v>0.1638</v>
      </c>
      <c r="O21" s="17">
        <f>INDEX('Unique Asset List'!$D$4:$M$60,MATCH($B21,'Unique Asset List'!$A$4:$A$60,0),MATCH(O$8,'Unique Asset List'!$D$3:$M$3,0))</f>
        <v>0.1638</v>
      </c>
      <c r="P21" s="17">
        <f>INDEX('Unique Asset List'!$D$4:$M$60,MATCH($B21,'Unique Asset List'!$A$4:$A$60,0),MATCH(P$8,'Unique Asset List'!$D$3:$M$3,0))</f>
        <v>0.1638</v>
      </c>
      <c r="Q21" s="17">
        <f>INDEX('Unique Asset List'!$D$4:$M$60,MATCH($B21,'Unique Asset List'!$A$4:$A$60,0),MATCH(Q$8,'Unique Asset List'!$D$3:$M$3,0))</f>
        <v>0.1638</v>
      </c>
      <c r="R21" s="17">
        <f>INDEX('Unique Asset List'!$D$4:$M$60,MATCH($B21,'Unique Asset List'!$A$4:$A$60,0),MATCH(R$8,'Unique Asset List'!$D$3:$M$3,0))</f>
        <v>0.1638</v>
      </c>
      <c r="S21" s="17">
        <f>INDEX('Unique Asset List'!$D$4:$M$60,MATCH($B21,'Unique Asset List'!$A$4:$A$60,0),MATCH(S$8,'Unique Asset List'!$D$3:$M$3,0))</f>
        <v>1</v>
      </c>
      <c r="T21" s="17"/>
      <c r="U21" s="17">
        <f t="shared" si="1"/>
        <v>0.90168566420734264</v>
      </c>
      <c r="V21" s="17">
        <v>1</v>
      </c>
      <c r="W21" s="9" t="s">
        <v>27</v>
      </c>
      <c r="X21" s="9">
        <f>INDEX('Unique Asset List'!$Y$4:$AE$60,MATCH('3'!$B21,'Unique Asset List'!$A$4:$A$60,0),MATCH('3'!$C$1,'Unique Asset List'!$Y$3:$AE$3,0))</f>
        <v>2025</v>
      </c>
      <c r="Y21" s="9">
        <f>INDEX('Unique Asset List'!$AF$4:$AL$60,MATCH('3'!$B21,'Unique Asset List'!$A$4:$A$60,0),MATCH('3'!$C$1,'Unique Asset List'!$AF$3:$AL$3,0))</f>
        <v>6</v>
      </c>
      <c r="Z21" s="9">
        <f>INDEX('Unique Asset List'!$AT$4:$AZ$60,MATCH('3'!$B21,'Unique Asset List'!$A$4:$A$60,0),MATCH('3'!$C$1,'Unique Asset List'!$AT$3:$AZ$3,0))</f>
        <v>2034</v>
      </c>
      <c r="AA21" s="9">
        <f>INDEX('Unique Asset List'!$BA$4:$BG$60,MATCH('3'!$B21,'Unique Asset List'!$A$4:$A$60,0),MATCH('3'!$C$1,'Unique Asset List'!$BA$3:$BG$3,0))</f>
        <v>6</v>
      </c>
      <c r="AB21" s="16">
        <f t="shared" si="2"/>
        <v>1.9312568000000003</v>
      </c>
      <c r="AC21" s="16">
        <f t="shared" si="3"/>
        <v>0.82350590000000001</v>
      </c>
      <c r="AD21" s="16">
        <f t="shared" si="4"/>
        <v>0.45111879999999999</v>
      </c>
      <c r="AE21" s="15">
        <f>INDEX('Unique Asset List'!$CJ$4:$CP$60,MATCH('3'!$B21,'Unique Asset List'!$A$4:$A$60,0),MATCH('3'!$C$1,'Unique Asset List'!$CJ$3:$CP$3,0))</f>
        <v>0.12</v>
      </c>
      <c r="AF21" s="15">
        <f>INDEX('Unique Asset List'!$CQ$4:$CW$60,MATCH('3'!$B21,'Unique Asset List'!$A$4:$A$60,0),MATCH('3'!$C$1,'Unique Asset List'!$CQ$3:$CW$3,0))</f>
        <v>0.38</v>
      </c>
      <c r="AG21" s="15">
        <f>INDEX('Unique Asset List'!$BV$4:$CB$60,MATCH('3'!$B21,'Unique Asset List'!$A$4:$A$60,0),MATCH('3'!$C$1,'Unique Asset List'!$BV$3:$CB$3,0))</f>
        <v>0.12</v>
      </c>
      <c r="AH21" s="15">
        <f>INDEX('Unique Asset List'!$CC$4:$CI$60,MATCH('3'!$B21,'Unique Asset List'!$A$4:$A$60,0),MATCH('3'!$C$1,'Unique Asset List'!$CC$3:$CI$3,0))</f>
        <v>0.38</v>
      </c>
      <c r="AI21" s="11">
        <v>0.96187963349867744</v>
      </c>
      <c r="AJ21" s="15">
        <f>INDEX('Unique Asset List'!$BH$4:$BN$60,MATCH('3'!$B21,'Unique Asset List'!$A$4:$A$60,0),MATCH('3'!$C$1,'Unique Asset List'!$BH$3:$BN$3,0))</f>
        <v>2.1252009430760062</v>
      </c>
      <c r="AK21" s="15">
        <f>INDEX('Unique Asset List'!$BO$4:$BU$60,MATCH('3'!$B21,'Unique Asset List'!$A$4:$A$60,0),MATCH('3'!$C$1,'Unique Asset List'!$BO$3:$BU$3,0))</f>
        <v>-1.7169645793441486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0</v>
      </c>
      <c r="AY21" s="181">
        <f ca="1">INDEX('Unique Asset List'!S$4:S$60,MATCH($B21,_CompoundList,0))</f>
        <v>0</v>
      </c>
      <c r="AZ21" s="181">
        <f ca="1">INDEX('Unique Asset List'!T$4:T$60,MATCH($B21,_CompoundList,0))</f>
        <v>0</v>
      </c>
      <c r="BA21" s="181">
        <f ca="1">INDEX('Unique Asset List'!U$4:U$60,MATCH($B21,_CompoundList,0))</f>
        <v>1</v>
      </c>
      <c r="BB21" s="181">
        <f ca="1">INDEX('Unique Asset List'!V$4:V$60,MATCH($B21,_CompoundList,0))</f>
        <v>0</v>
      </c>
      <c r="BC21" s="181">
        <f ca="1">INDEX('Unique Asset List'!W$4:W$60,MATCH($B21,_CompoundList,0))</f>
        <v>1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4</v>
      </c>
      <c r="BG21" s="3">
        <f>IF($C$5="ON",CG21,MyRating(_E4,$B21,Efficacy!$F$1))</f>
        <v>3</v>
      </c>
      <c r="BH21" s="3">
        <f>IF($C$5="ON",CH21,MyRating(_E5,$B21,Efficacy!$F$1))</f>
        <v>3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5</v>
      </c>
      <c r="BL21" s="3">
        <f>IF($C$5="ON",CL21,MyRating(_S1,$B21,Efficacy!$F$1))</f>
        <v>3</v>
      </c>
      <c r="BM21" s="3">
        <f>IF($C$5="ON",CM21,MyRating(_S2,$B21,Efficacy!$F$1))</f>
        <v>3</v>
      </c>
      <c r="BN21" s="3">
        <f>IF($C$5="ON",CN21,MyRating(_S3,$B21,Efficacy!$F$1))</f>
        <v>3</v>
      </c>
      <c r="BO21" s="3">
        <f>IF($C$5="ON",CO21,MyRating(_S4,$B21,Efficacy!$F$1))</f>
        <v>3</v>
      </c>
      <c r="BP21" s="3">
        <f>IF($C$5="ON",CP21,MyRating(_S5,$B21,Efficacy!$F$1))</f>
        <v>5</v>
      </c>
      <c r="BQ21" s="3">
        <f>IF($C$5="ON",CQ21,MyRating(_S6,$B21,Efficacy!$F$1))</f>
        <v>2</v>
      </c>
      <c r="BR21" s="3">
        <f>IF($C$5="ON",CR21,MyRating(_S7,$B21,Efficacy!$F$1))</f>
        <v>3</v>
      </c>
      <c r="BS21" s="3">
        <f>IF($C$5="ON",CS21,MyRating(_D1,$B21,Efficacy!$F$1))</f>
        <v>3</v>
      </c>
      <c r="BT21" s="3">
        <f>IF($C$5="ON",CT21,MyRating(_D2,$B21,Efficacy!$F$1))</f>
        <v>3</v>
      </c>
      <c r="BU21" s="3">
        <f>IF($C$5="ON",CU21,MyRating(_D3,$B21,Efficacy!$F$1))</f>
        <v>3</v>
      </c>
      <c r="BV21" s="3">
        <f>IF($C$5="ON",CV21,MyRating(_D4,$B21,Efficacy!$F$1))</f>
        <v>1</v>
      </c>
      <c r="BW21" s="3">
        <f>IF($C$5="ON",CW21,MyRating(_B1G5,$B21,Barrier!$L$2))</f>
        <v>2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11"/>
        <v>3.3407946312985805E-2</v>
      </c>
      <c r="CA21" s="8">
        <f t="shared" si="6"/>
        <v>2.8000000000000003</v>
      </c>
      <c r="CB21" s="5">
        <f t="shared" si="7"/>
        <v>3.2941176470588251E-2</v>
      </c>
      <c r="CC21" s="7">
        <f t="shared" si="8"/>
        <v>5.9787261089987885E-3</v>
      </c>
      <c r="CD21" s="4">
        <v>4</v>
      </c>
      <c r="CE21" s="3">
        <v>4</v>
      </c>
      <c r="CF21" s="3">
        <v>4</v>
      </c>
      <c r="CG21" s="3">
        <v>3</v>
      </c>
      <c r="CH21" s="3">
        <v>3</v>
      </c>
      <c r="CI21" s="3">
        <v>2</v>
      </c>
      <c r="CJ21" s="3">
        <v>3</v>
      </c>
      <c r="CK21" s="3">
        <v>5</v>
      </c>
      <c r="CL21" s="3">
        <v>2</v>
      </c>
      <c r="CM21" s="3">
        <v>3</v>
      </c>
      <c r="CN21" s="3">
        <v>3</v>
      </c>
      <c r="CO21" s="3">
        <v>3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2</v>
      </c>
      <c r="CX21" s="3">
        <v>3</v>
      </c>
      <c r="CY21" s="6">
        <v>3</v>
      </c>
      <c r="CZ21" s="5">
        <v>3.6275844714639842E-2</v>
      </c>
      <c r="DA21" s="59">
        <f t="shared" si="9"/>
        <v>2026</v>
      </c>
      <c r="DB21">
        <f t="shared" si="10"/>
        <v>9</v>
      </c>
    </row>
    <row r="22" spans="1:106" x14ac:dyDescent="0.25">
      <c r="A22" s="9" t="str">
        <f t="shared" si="0"/>
        <v>FR</v>
      </c>
      <c r="B22" s="9" t="s">
        <v>295</v>
      </c>
      <c r="C22" s="20"/>
      <c r="D22" s="9" t="s">
        <v>2</v>
      </c>
      <c r="E22" s="9" t="s">
        <v>186</v>
      </c>
      <c r="F22" s="9" t="str">
        <f>INDEX('Unique Asset List'!$C$4:$C$60,MATCH(B22,_CompoundList,0))</f>
        <v>PCD</v>
      </c>
      <c r="G22" s="19">
        <v>0</v>
      </c>
      <c r="H22" s="9">
        <v>2014</v>
      </c>
      <c r="I22" s="9">
        <v>6</v>
      </c>
      <c r="J22" s="18">
        <f>INDEX(PTRS!$D$6:$D$12,MATCH('3'!$F22,PTRS!$B$6:$B$12,0))</f>
        <v>0.1044225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7">
        <v>0</v>
      </c>
      <c r="N22" s="17">
        <f>INDEX('Unique Asset List'!$D$4:$M$60,MATCH($B22,'Unique Asset List'!$A$4:$A$60,0),MATCH(N$8,'Unique Asset List'!$D$3:$M$3,0))</f>
        <v>0.16400000000000001</v>
      </c>
      <c r="O22" s="17">
        <f>INDEX('Unique Asset List'!$D$4:$M$60,MATCH($B22,'Unique Asset List'!$A$4:$A$60,0),MATCH(O$8,'Unique Asset List'!$D$3:$M$3,0))</f>
        <v>0.16400000000000001</v>
      </c>
      <c r="P22" s="17">
        <f>INDEX('Unique Asset List'!$D$4:$M$60,MATCH($B22,'Unique Asset List'!$A$4:$A$60,0),MATCH(P$8,'Unique Asset List'!$D$3:$M$3,0))</f>
        <v>0.16400000000000001</v>
      </c>
      <c r="Q22" s="17">
        <f>INDEX('Unique Asset List'!$D$4:$M$60,MATCH($B22,'Unique Asset List'!$A$4:$A$60,0),MATCH(Q$8,'Unique Asset List'!$D$3:$M$3,0))</f>
        <v>0.16400000000000001</v>
      </c>
      <c r="R22" s="17">
        <f>INDEX('Unique Asset List'!$D$4:$M$60,MATCH($B22,'Unique Asset List'!$A$4:$A$60,0),MATCH(R$8,'Unique Asset List'!$D$3:$M$3,0))</f>
        <v>0.16400000000000001</v>
      </c>
      <c r="S22" s="17">
        <f>INDEX('Unique Asset List'!$D$4:$M$60,MATCH($B22,'Unique Asset List'!$A$4:$A$60,0),MATCH(S$8,'Unique Asset List'!$D$3:$M$3,0))</f>
        <v>0</v>
      </c>
      <c r="T22" s="17"/>
      <c r="U22" s="17">
        <f t="shared" si="1"/>
        <v>0.80682275808442805</v>
      </c>
      <c r="V22" s="17">
        <f>(42%+N("TRD as % of aMDD"))*(5/6+N("Maintenance only"))</f>
        <v>0.35</v>
      </c>
      <c r="W22" s="9" t="s">
        <v>62</v>
      </c>
      <c r="X22" s="9">
        <f>INDEX('Unique Asset List'!$Y$4:$AE$60,MATCH('3'!$B22,'Unique Asset List'!$A$4:$A$60,0),MATCH('3'!$C$1,'Unique Asset List'!$Y$3:$AE$3,0))</f>
        <v>2027</v>
      </c>
      <c r="Y22" s="9">
        <f>INDEX('Unique Asset List'!$AF$4:$AL$60,MATCH('3'!$B22,'Unique Asset List'!$A$4:$A$60,0),MATCH('3'!$C$1,'Unique Asset List'!$AF$3:$AL$3,0))</f>
        <v>9</v>
      </c>
      <c r="Z22" s="9">
        <f>INDEX('Unique Asset List'!$AT$4:$AZ$60,MATCH('3'!$B22,'Unique Asset List'!$A$4:$A$60,0),MATCH('3'!$C$1,'Unique Asset List'!$AT$3:$AZ$3,0))</f>
        <v>2046</v>
      </c>
      <c r="AA22" s="9">
        <f>INDEX('Unique Asset List'!$BA$4:$BG$60,MATCH('3'!$B22,'Unique Asset List'!$A$4:$A$60,0),MATCH('3'!$C$1,'Unique Asset List'!$BA$3:$BG$3,0))</f>
        <v>9</v>
      </c>
      <c r="AB22" s="16">
        <f t="shared" si="2"/>
        <v>2.3950192000000001</v>
      </c>
      <c r="AC22" s="16">
        <f t="shared" si="3"/>
        <v>0.88497580000000009</v>
      </c>
      <c r="AD22" s="16">
        <f t="shared" si="4"/>
        <v>0.56099999999999994</v>
      </c>
      <c r="AE22" s="15">
        <f>INDEX('Unique Asset List'!$CJ$4:$CP$60,MATCH('3'!$B22,'Unique Asset List'!$A$4:$A$60,0),MATCH('3'!$C$1,'Unique Asset List'!$CJ$3:$CP$3,0))</f>
        <v>0.17</v>
      </c>
      <c r="AF22" s="15">
        <f>INDEX('Unique Asset List'!$CQ$4:$CW$60,MATCH('3'!$B22,'Unique Asset List'!$A$4:$A$60,0),MATCH('3'!$C$1,'Unique Asset List'!$CQ$3:$CW$3,0))</f>
        <v>0.33</v>
      </c>
      <c r="AG22" s="15">
        <f>INDEX('Unique Asset List'!$BV$4:$CB$60,MATCH('3'!$B22,'Unique Asset List'!$A$4:$A$60,0),MATCH('3'!$C$1,'Unique Asset List'!$BV$3:$CB$3,0))</f>
        <v>0.17</v>
      </c>
      <c r="AH22" s="15">
        <f>INDEX('Unique Asset List'!$CC$4:$CI$60,MATCH('3'!$B22,'Unique Asset List'!$A$4:$A$60,0),MATCH('3'!$C$1,'Unique Asset List'!$CC$3:$CI$3,0))</f>
        <v>0.33</v>
      </c>
      <c r="AI22" s="11">
        <v>0.96187963349867744</v>
      </c>
      <c r="AJ22" s="15">
        <f>INDEX('Unique Asset List'!$BH$4:$BN$60,MATCH('3'!$B22,'Unique Asset List'!$A$4:$A$60,0),MATCH('3'!$C$1,'Unique Asset List'!$BH$3:$BN$3,0))</f>
        <v>2.1252009430760062</v>
      </c>
      <c r="AK22" s="15">
        <f>INDEX('Unique Asset List'!$BO$4:$BU$60,MATCH('3'!$B22,'Unique Asset List'!$A$4:$A$60,0),MATCH('3'!$C$1,'Unique Asset List'!$BO$3:$BU$3,0))</f>
        <v>-1.7169645793441486</v>
      </c>
      <c r="AL22" s="40">
        <f>177.567567567568-28</f>
        <v>149.56756756756801</v>
      </c>
      <c r="AM22" s="14">
        <f>AM13*0.9</f>
        <v>32.504547945205481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2/7</f>
        <v>0.2857142857142857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0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5</v>
      </c>
      <c r="BE22" s="3">
        <f>IF($C$5="ON",CE22,MyRating(_E2,$B22,Efficacy!$F$1))</f>
        <v>5</v>
      </c>
      <c r="BF22" s="3">
        <f>IF($C$5="ON",CF22,MyRating(_E3,$B22,Efficacy!$F$1))</f>
        <v>5</v>
      </c>
      <c r="BG22" s="3">
        <f>IF($C$5="ON",CG22,MyRating(_E4,$B22,Efficacy!$F$1))</f>
        <v>5</v>
      </c>
      <c r="BH22" s="3">
        <f>IF($C$5="ON",CH22,MyRating(_E5,$B22,Efficacy!$F$1))</f>
        <v>4</v>
      </c>
      <c r="BI22" s="3">
        <f>IF($C$5="ON",CI22,MyRating(_E6,$B22,Efficacy!$F$1))</f>
        <v>3</v>
      </c>
      <c r="BJ22" s="3">
        <f>IF($C$5="ON",CJ22,MyRating(_E7,$B22,Efficacy!$F$1))</f>
        <v>2</v>
      </c>
      <c r="BK22" s="3">
        <f>IF($C$5="ON",CK22,MyRating(_E8,$B22,Efficacy!$F$1))</f>
        <v>3</v>
      </c>
      <c r="BL22" s="3">
        <f>IF($C$5="ON",CL22,MyRating(_S1,$B22,Efficacy!$F$1))</f>
        <v>4</v>
      </c>
      <c r="BM22" s="3">
        <f>IF($C$5="ON",CM22,MyRating(_S2,$B22,Efficacy!$F$1))</f>
        <v>3</v>
      </c>
      <c r="BN22" s="3">
        <f>IF($C$5="ON",CN22,MyRating(_S3,$B22,Efficacy!$F$1))</f>
        <v>3</v>
      </c>
      <c r="BO22" s="3">
        <f>IF($C$5="ON",CO22,MyRating(_S4,$B22,Efficacy!$F$1))</f>
        <v>3</v>
      </c>
      <c r="BP22" s="3">
        <f>IF($C$5="ON",CP22,MyRating(_S5,$B22,Efficacy!$F$1))</f>
        <v>5</v>
      </c>
      <c r="BQ22" s="3">
        <f>IF($C$5="ON",CQ22,MyRating(_S6,$B22,Efficacy!$F$1))</f>
        <v>2</v>
      </c>
      <c r="BR22" s="3">
        <f>IF($C$5="ON",CR22,MyRating(_S7,$B22,Efficacy!$F$1))</f>
        <v>3</v>
      </c>
      <c r="BS22" s="3">
        <f>IF($C$5="ON",CS22,MyRating(_D1,$B22,Efficacy!$F$1))</f>
        <v>3</v>
      </c>
      <c r="BT22" s="3">
        <f>IF($C$5="ON",CT22,MyRating(_D2,$B22,Efficacy!$F$1))</f>
        <v>3</v>
      </c>
      <c r="BU22" s="3">
        <f>IF($C$5="ON",CU22,MyRating(_D3,$B22,Efficacy!$F$1))</f>
        <v>3</v>
      </c>
      <c r="BV22" s="3">
        <f>IF($C$5="ON",CV22,MyRating(_D4,$B22,Efficacy!$F$1))</f>
        <v>3</v>
      </c>
      <c r="BW22" s="3">
        <f>IF($C$5="ON",CW22,MyRating(_B1G5,$B22,Barrier!$L$2))</f>
        <v>1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11"/>
        <v>2.9893223831915738E-2</v>
      </c>
      <c r="CA22" s="8">
        <f t="shared" si="6"/>
        <v>2.6000000000000005</v>
      </c>
      <c r="CB22" s="5">
        <f t="shared" si="7"/>
        <v>3.058823529411767E-2</v>
      </c>
      <c r="CC22" s="7">
        <f t="shared" si="8"/>
        <v>5.3497271616647964E-3</v>
      </c>
      <c r="CD22" s="4">
        <v>5</v>
      </c>
      <c r="CE22" s="3">
        <v>5</v>
      </c>
      <c r="CF22" s="3">
        <v>5</v>
      </c>
      <c r="CG22" s="3">
        <v>4</v>
      </c>
      <c r="CH22" s="3">
        <v>3</v>
      </c>
      <c r="CI22" s="3">
        <v>3</v>
      </c>
      <c r="CJ22" s="3">
        <v>3</v>
      </c>
      <c r="CK22" s="3">
        <v>4</v>
      </c>
      <c r="CL22" s="3">
        <v>5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2</v>
      </c>
      <c r="CT22" s="3">
        <v>3</v>
      </c>
      <c r="CU22" s="3">
        <v>3</v>
      </c>
      <c r="CV22" s="3">
        <v>1</v>
      </c>
      <c r="CW22" s="3">
        <v>1</v>
      </c>
      <c r="CX22" s="3">
        <v>1</v>
      </c>
      <c r="CY22" s="6">
        <v>1</v>
      </c>
      <c r="CZ22" s="5">
        <v>9.9044671286996639E-3</v>
      </c>
      <c r="DA22" s="59">
        <f t="shared" si="9"/>
        <v>2028</v>
      </c>
      <c r="DB22">
        <f t="shared" si="10"/>
        <v>0</v>
      </c>
    </row>
    <row r="23" spans="1:106" x14ac:dyDescent="0.25">
      <c r="A23" s="9" t="str">
        <f t="shared" si="0"/>
        <v>FR</v>
      </c>
      <c r="B23" s="9" t="s">
        <v>73</v>
      </c>
      <c r="C23" s="20" t="s">
        <v>3</v>
      </c>
      <c r="D23" s="9" t="s">
        <v>72</v>
      </c>
      <c r="E23" s="9" t="s">
        <v>186</v>
      </c>
      <c r="F23" s="9" t="str">
        <f>INDEX('Unique Asset List'!$C$4:$C$60,MATCH(B23,_CompoundList,0))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INDEX(PTRS!$D$6:$D$12,MATCH('3'!$F23,PTRS!$B$6:$B$12,0))</f>
        <v>0.13923000000000002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0</v>
      </c>
      <c r="M23" s="17">
        <v>4.6410000000000007E-2</v>
      </c>
      <c r="N23" s="17">
        <f>INDEX('Unique Asset List'!$D$4:$M$60,MATCH($B23,'Unique Asset List'!$A$4:$A$60,0),MATCH(N$8,'Unique Asset List'!$D$3:$M$3,0))</f>
        <v>0.13923000000000002</v>
      </c>
      <c r="O23" s="17">
        <f>INDEX('Unique Asset List'!$D$4:$M$60,MATCH($B23,'Unique Asset List'!$A$4:$A$60,0),MATCH(O$8,'Unique Asset List'!$D$3:$M$3,0))</f>
        <v>0.13923000000000002</v>
      </c>
      <c r="P23" s="17">
        <f>INDEX('Unique Asset List'!$D$4:$M$60,MATCH($B23,'Unique Asset List'!$A$4:$A$60,0),MATCH(P$8,'Unique Asset List'!$D$3:$M$3,0))</f>
        <v>0.13923000000000002</v>
      </c>
      <c r="Q23" s="17">
        <f>INDEX('Unique Asset List'!$D$4:$M$60,MATCH($B23,'Unique Asset List'!$A$4:$A$60,0),MATCH(Q$8,'Unique Asset List'!$D$3:$M$3,0))</f>
        <v>0.13923000000000002</v>
      </c>
      <c r="R23" s="17">
        <f>INDEX('Unique Asset List'!$D$4:$M$60,MATCH($B23,'Unique Asset List'!$A$4:$A$60,0),MATCH(R$8,'Unique Asset List'!$D$3:$M$3,0))</f>
        <v>0.13923000000000002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1"/>
        <v>0</v>
      </c>
      <c r="V23" s="17">
        <v>1</v>
      </c>
      <c r="W23" s="9" t="s">
        <v>27</v>
      </c>
      <c r="X23" s="9">
        <f>INDEX('Unique Asset List'!$Y$4:$AE$60,MATCH('3'!$B23,'Unique Asset List'!$A$4:$A$60,0),MATCH('3'!$C$1,'Unique Asset List'!$Y$3:$AE$3,0))</f>
        <v>2027</v>
      </c>
      <c r="Y23" s="9">
        <f>INDEX('Unique Asset List'!$AF$4:$AL$60,MATCH('3'!$B23,'Unique Asset List'!$A$4:$A$60,0),MATCH('3'!$C$1,'Unique Asset List'!$AF$3:$AL$3,0))</f>
        <v>3</v>
      </c>
      <c r="Z23" s="9">
        <f>INDEX('Unique Asset List'!$AT$4:$AZ$60,MATCH('3'!$B23,'Unique Asset List'!$A$4:$A$60,0),MATCH('3'!$C$1,'Unique Asset List'!$AT$3:$AZ$3,0))</f>
        <v>2036</v>
      </c>
      <c r="AA23" s="9">
        <f>INDEX('Unique Asset List'!$BA$4:$BG$60,MATCH('3'!$B23,'Unique Asset List'!$A$4:$A$60,0),MATCH('3'!$C$1,'Unique Asset List'!$BA$3:$BG$3,0))</f>
        <v>3</v>
      </c>
      <c r="AB23" s="16">
        <f t="shared" si="2"/>
        <v>1.9312568000000003</v>
      </c>
      <c r="AC23" s="16">
        <f t="shared" si="3"/>
        <v>0.76203600000000005</v>
      </c>
      <c r="AD23" s="16">
        <f t="shared" si="4"/>
        <v>0.45111879999999999</v>
      </c>
      <c r="AE23" s="15">
        <f>INDEX('Unique Asset List'!$CJ$4:$CP$60,MATCH('3'!$B23,'Unique Asset List'!$A$4:$A$60,0),MATCH('3'!$C$1,'Unique Asset List'!$CJ$3:$CP$3,0))</f>
        <v>0.12</v>
      </c>
      <c r="AF23" s="15">
        <f>INDEX('Unique Asset List'!$CQ$4:$CW$60,MATCH('3'!$B23,'Unique Asset List'!$A$4:$A$60,0),MATCH('3'!$C$1,'Unique Asset List'!$CQ$3:$CW$3,0))</f>
        <v>0.38</v>
      </c>
      <c r="AG23" s="15">
        <f>INDEX('Unique Asset List'!$BV$4:$CB$60,MATCH('3'!$B23,'Unique Asset List'!$A$4:$A$60,0),MATCH('3'!$C$1,'Unique Asset List'!$BV$3:$CB$3,0))</f>
        <v>0.12</v>
      </c>
      <c r="AH23" s="15">
        <f>INDEX('Unique Asset List'!$CC$4:$CI$60,MATCH('3'!$B23,'Unique Asset List'!$A$4:$A$60,0),MATCH('3'!$C$1,'Unique Asset List'!$CC$3:$CI$3,0))</f>
        <v>0.38</v>
      </c>
      <c r="AI23" s="11">
        <v>0.96187963349867744</v>
      </c>
      <c r="AJ23" s="15">
        <f>INDEX('Unique Asset List'!$BH$4:$BN$60,MATCH('3'!$B23,'Unique Asset List'!$A$4:$A$60,0),MATCH('3'!$C$1,'Unique Asset List'!$BH$3:$BN$3,0))</f>
        <v>2.1252009430760062</v>
      </c>
      <c r="AK23" s="15">
        <f>INDEX('Unique Asset List'!$BO$4:$BU$60,MATCH('3'!$B23,'Unique Asset List'!$A$4:$A$60,0),MATCH('3'!$C$1,'Unique Asset List'!$BO$3:$BU$3,0))</f>
        <v>-1.7169645793441486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0</v>
      </c>
      <c r="AV23" s="181">
        <f>INDEX('Unique Asset List'!P$4:P$60,MATCH($B23,_CompoundList,0))</f>
        <v>0</v>
      </c>
      <c r="AW23" s="181">
        <f>INDEX('Unique Asset List'!Q$4:Q$60,MATCH($B23,_CompoundList,0))</f>
        <v>0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1</v>
      </c>
      <c r="AZ23" s="181">
        <f ca="1">INDEX('Unique Asset List'!T$4:T$60,MATCH($B23,_CompoundList,0))</f>
        <v>1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1</v>
      </c>
      <c r="BD23" s="4">
        <f>IF($C$5="ON",CD23,MyRating(_E1,$B23,Efficacy!$F$1))</f>
        <v>4</v>
      </c>
      <c r="BE23" s="3">
        <f>IF($C$5="ON",CE23,MyRating(_E2,$B23,Efficacy!$F$1))</f>
        <v>3</v>
      </c>
      <c r="BF23" s="3">
        <f>IF($C$5="ON",CF23,MyRating(_E3,$B23,Efficacy!$F$1))</f>
        <v>4</v>
      </c>
      <c r="BG23" s="3">
        <f>IF($C$5="ON",CG23,MyRating(_E4,$B23,Efficacy!$F$1))</f>
        <v>3</v>
      </c>
      <c r="BH23" s="3">
        <f>IF($C$5="ON",CH23,MyRating(_E5,$B23,Efficacy!$F$1))</f>
        <v>3</v>
      </c>
      <c r="BI23" s="3">
        <f>IF($C$5="ON",CI23,MyRating(_E6,$B23,Efficacy!$F$1))</f>
        <v>2</v>
      </c>
      <c r="BJ23" s="3">
        <f>IF($C$5="ON",CJ23,MyRating(_E7,$B23,Efficacy!$F$1))</f>
        <v>3</v>
      </c>
      <c r="BK23" s="3">
        <f>IF($C$5="ON",CK23,MyRating(_E8,$B23,Efficacy!$F$1))</f>
        <v>5</v>
      </c>
      <c r="BL23" s="3">
        <f>IF($C$5="ON",CL23,MyRating(_S1,$B23,Efficacy!$F$1))</f>
        <v>2</v>
      </c>
      <c r="BM23" s="3">
        <f>IF($C$5="ON",CM23,MyRating(_S2,$B23,Efficacy!$F$1))</f>
        <v>3</v>
      </c>
      <c r="BN23" s="3">
        <f>IF($C$5="ON",CN23,MyRating(_S3,$B23,Efficacy!$F$1))</f>
        <v>3</v>
      </c>
      <c r="BO23" s="3">
        <f>IF($C$5="ON",CO23,MyRating(_S4,$B23,Efficacy!$F$1))</f>
        <v>3</v>
      </c>
      <c r="BP23" s="3">
        <f>IF($C$5="ON",CP23,MyRating(_S5,$B23,Efficacy!$F$1))</f>
        <v>5</v>
      </c>
      <c r="BQ23" s="3">
        <f>IF($C$5="ON",CQ23,MyRating(_S6,$B23,Efficacy!$F$1))</f>
        <v>2</v>
      </c>
      <c r="BR23" s="3">
        <f>IF($C$5="ON",CR23,MyRating(_S7,$B23,Efficacy!$F$1))</f>
        <v>3</v>
      </c>
      <c r="BS23" s="3">
        <f>IF($C$5="ON",CS23,MyRating(_D1,$B23,Efficacy!$F$1))</f>
        <v>3</v>
      </c>
      <c r="BT23" s="3">
        <f>IF($C$5="ON",CT23,MyRating(_D2,$B23,Efficacy!$F$1))</f>
        <v>3</v>
      </c>
      <c r="BU23" s="3">
        <f>IF($C$5="ON",CU23,MyRating(_D3,$B23,Efficacy!$F$1))</f>
        <v>3</v>
      </c>
      <c r="BV23" s="3">
        <f>IF($C$5="ON",CV23,MyRating(_D4,$B23,Efficacy!$F$1))</f>
        <v>1</v>
      </c>
      <c r="BW23" s="3">
        <f>IF($C$5="ON",CW23,MyRating(_B1G5,$B23,Barrier!$L$2))</f>
        <v>2</v>
      </c>
      <c r="BX23" s="3">
        <f>IF($C$5="ON",CX23,MyRating(_B2,$B23,Barrier!$F$2))</f>
        <v>3</v>
      </c>
      <c r="BY23" s="6">
        <f>IF($C$5="ON",CY23,MyRating(_B3,$B23,Barrier!$F$2))</f>
        <v>0</v>
      </c>
      <c r="BZ23" s="5">
        <f t="shared" si="11"/>
        <v>0</v>
      </c>
      <c r="CA23" s="8">
        <f t="shared" si="6"/>
        <v>1.6</v>
      </c>
      <c r="CB23" s="5">
        <f t="shared" si="7"/>
        <v>1.8823529411764715E-2</v>
      </c>
      <c r="CC23" s="7">
        <f t="shared" si="8"/>
        <v>2.5825669292048399E-3</v>
      </c>
      <c r="CD23" s="4">
        <v>4</v>
      </c>
      <c r="CE23" s="3">
        <v>4</v>
      </c>
      <c r="CF23" s="3">
        <v>4</v>
      </c>
      <c r="CG23" s="3">
        <v>3</v>
      </c>
      <c r="CH23" s="3">
        <v>3</v>
      </c>
      <c r="CI23" s="3">
        <v>2</v>
      </c>
      <c r="CJ23" s="3">
        <v>3</v>
      </c>
      <c r="CK23" s="3">
        <v>5</v>
      </c>
      <c r="CL23" s="3">
        <v>2</v>
      </c>
      <c r="CM23" s="3">
        <v>3</v>
      </c>
      <c r="CN23" s="3">
        <v>3</v>
      </c>
      <c r="CO23" s="3">
        <v>3</v>
      </c>
      <c r="CP23" s="3">
        <v>5</v>
      </c>
      <c r="CQ23" s="3">
        <v>2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2</v>
      </c>
      <c r="CX23" s="3">
        <v>3</v>
      </c>
      <c r="CY23" s="6">
        <v>3</v>
      </c>
      <c r="CZ23" s="5">
        <v>3.6275844714639842E-2</v>
      </c>
      <c r="DA23" s="59">
        <f t="shared" si="9"/>
        <v>2028</v>
      </c>
      <c r="DB23">
        <f t="shared" si="10"/>
        <v>6</v>
      </c>
    </row>
    <row r="24" spans="1:106" x14ac:dyDescent="0.25">
      <c r="A24" s="9" t="str">
        <f t="shared" si="0"/>
        <v>FR</v>
      </c>
      <c r="B24" s="9" t="s">
        <v>17</v>
      </c>
      <c r="C24" s="20"/>
      <c r="D24" s="9" t="s">
        <v>2</v>
      </c>
      <c r="E24" s="9" t="s">
        <v>186</v>
      </c>
      <c r="F24" s="9" t="str">
        <f>INDEX('Unique Asset List'!$C$4:$C$60,MATCH(B24,_CompoundList,0))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INDEX(PTRS!$D$6:$D$12,MATCH('3'!$F24,PTRS!$B$6:$B$12,0))</f>
        <v>0.13923000000000002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v>0.25</v>
      </c>
      <c r="N24" s="17">
        <f>INDEX('Unique Asset List'!$D$4:$M$60,MATCH($B24,'Unique Asset List'!$A$4:$A$60,0),MATCH(N$8,'Unique Asset List'!$D$3:$M$3,0))</f>
        <v>0.25</v>
      </c>
      <c r="O24" s="17">
        <f>INDEX('Unique Asset List'!$D$4:$M$60,MATCH($B24,'Unique Asset List'!$A$4:$A$60,0),MATCH(O$8,'Unique Asset List'!$D$3:$M$3,0))</f>
        <v>0.25</v>
      </c>
      <c r="P24" s="17">
        <f>INDEX('Unique Asset List'!$D$4:$M$60,MATCH($B24,'Unique Asset List'!$A$4:$A$60,0),MATCH(P$8,'Unique Asset List'!$D$3:$M$3,0))</f>
        <v>0.25</v>
      </c>
      <c r="Q24" s="17">
        <f>INDEX('Unique Asset List'!$D$4:$M$60,MATCH($B24,'Unique Asset List'!$A$4:$A$60,0),MATCH(Q$8,'Unique Asset List'!$D$3:$M$3,0))</f>
        <v>0.25</v>
      </c>
      <c r="R24" s="17">
        <f>INDEX('Unique Asset List'!$D$4:$M$60,MATCH($B24,'Unique Asset List'!$A$4:$A$60,0),MATCH(R$8,'Unique Asset List'!$D$3:$M$3,0))</f>
        <v>0.25</v>
      </c>
      <c r="S24" s="17">
        <f>INDEX('Unique Asset List'!$D$4:$M$60,MATCH($B24,'Unique Asset List'!$A$4:$A$60,0),MATCH(S$8,'Unique Asset List'!$D$3:$M$3,0))</f>
        <v>0</v>
      </c>
      <c r="T24" s="17"/>
      <c r="U24" s="17">
        <f t="shared" si="1"/>
        <v>0.90168566420734264</v>
      </c>
      <c r="V24" s="17">
        <v>1</v>
      </c>
      <c r="W24" s="9" t="s">
        <v>16</v>
      </c>
      <c r="X24" s="9">
        <f>INDEX('Unique Asset List'!$Y$4:$AE$60,MATCH('3'!$B24,'Unique Asset List'!$A$4:$A$60,0),MATCH('3'!$C$1,'Unique Asset List'!$Y$3:$AE$3,0))</f>
        <v>2028</v>
      </c>
      <c r="Y24" s="9">
        <f>INDEX('Unique Asset List'!$AF$4:$AL$60,MATCH('3'!$B24,'Unique Asset List'!$A$4:$A$60,0),MATCH('3'!$C$1,'Unique Asset List'!$AF$3:$AL$3,0))</f>
        <v>0.99999999999909051</v>
      </c>
      <c r="Z24" s="9">
        <f>INDEX('Unique Asset List'!$AT$4:$AZ$60,MATCH('3'!$B24,'Unique Asset List'!$A$4:$A$60,0),MATCH('3'!$C$1,'Unique Asset List'!$AT$3:$AZ$3,0))</f>
        <v>2035</v>
      </c>
      <c r="AA24" s="9">
        <f>INDEX('Unique Asset List'!$BA$4:$BG$60,MATCH('3'!$B24,'Unique Asset List'!$A$4:$A$60,0),MATCH('3'!$C$1,'Unique Asset List'!$BA$3:$BG$3,0))</f>
        <v>1</v>
      </c>
      <c r="AB24" s="16">
        <f t="shared" si="2"/>
        <v>1.8562298000000002</v>
      </c>
      <c r="AC24" s="16">
        <f t="shared" si="3"/>
        <v>0.97947730000000011</v>
      </c>
      <c r="AD24" s="16">
        <f t="shared" si="4"/>
        <v>0.56099999999999994</v>
      </c>
      <c r="AE24" s="15">
        <f>INDEX('Unique Asset List'!$CJ$4:$CP$60,MATCH('3'!$B24,'Unique Asset List'!$A$4:$A$60,0),MATCH('3'!$C$1,'Unique Asset List'!$CJ$3:$CP$3,0))</f>
        <v>0.12</v>
      </c>
      <c r="AF24" s="15">
        <f>INDEX('Unique Asset List'!$CQ$4:$CW$60,MATCH('3'!$B24,'Unique Asset List'!$A$4:$A$60,0),MATCH('3'!$C$1,'Unique Asset List'!$CQ$3:$CW$3,0))</f>
        <v>0.38</v>
      </c>
      <c r="AG24" s="15">
        <f>INDEX('Unique Asset List'!$BV$4:$CB$60,MATCH('3'!$B24,'Unique Asset List'!$A$4:$A$60,0),MATCH('3'!$C$1,'Unique Asset List'!$BV$3:$CB$3,0))</f>
        <v>0.12</v>
      </c>
      <c r="AH24" s="15">
        <f>INDEX('Unique Asset List'!$CC$4:$CI$60,MATCH('3'!$B24,'Unique Asset List'!$A$4:$A$60,0),MATCH('3'!$C$1,'Unique Asset List'!$CC$3:$CI$3,0))</f>
        <v>0.38</v>
      </c>
      <c r="AI24" s="11">
        <v>0.96187963349867744</v>
      </c>
      <c r="AJ24" s="15">
        <f>INDEX('Unique Asset List'!$BH$4:$BN$60,MATCH('3'!$B24,'Unique Asset List'!$A$4:$A$60,0),MATCH('3'!$C$1,'Unique Asset List'!$BH$3:$BN$3,0))</f>
        <v>2.1252009430760062</v>
      </c>
      <c r="AK24" s="15">
        <f>INDEX('Unique Asset List'!$BO$4:$BU$60,MATCH('3'!$B24,'Unique Asset List'!$A$4:$A$60,0),MATCH('3'!$C$1,'Unique Asset List'!$BO$3:$BU$3,0))</f>
        <v>-1.7169645793441486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1</v>
      </c>
      <c r="AY24" s="181">
        <f ca="1">INDEX('Unique Asset List'!S$4:S$60,MATCH($B24,_CompoundList,0))</f>
        <v>1</v>
      </c>
      <c r="AZ24" s="181">
        <f ca="1">INDEX('Unique Asset List'!T$4:T$60,MATCH($B24,_CompoundList,0))</f>
        <v>1</v>
      </c>
      <c r="BA24" s="181">
        <f ca="1">INDEX('Unique Asset List'!U$4:U$60,MATCH($B24,_CompoundList,0))</f>
        <v>0</v>
      </c>
      <c r="BB24" s="181">
        <f ca="1">INDEX('Unique Asset List'!V$4:V$60,MATCH($B24,_CompoundList,0))</f>
        <v>1</v>
      </c>
      <c r="BC24" s="181">
        <f ca="1">INDEX('Unique Asset List'!W$4:W$60,MATCH($B24,_CompoundList,0))</f>
        <v>0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3</v>
      </c>
      <c r="BG24" s="3">
        <f>IF($C$5="ON",CG24,MyRating(_E4,$B24,Efficacy!$F$1))</f>
        <v>4</v>
      </c>
      <c r="BH24" s="3">
        <f>IF($C$5="ON",CH24,MyRating(_E5,$B24,Efficacy!$F$1))</f>
        <v>4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3</v>
      </c>
      <c r="BL24" s="3">
        <f>IF($C$5="ON",CL24,MyRating(_S1,$B24,Efficacy!$F$1))</f>
        <v>4</v>
      </c>
      <c r="BM24" s="3">
        <f>IF($C$5="ON",CM24,MyRating(_S2,$B24,Efficacy!$F$1))</f>
        <v>4</v>
      </c>
      <c r="BN24" s="3">
        <f>IF($C$5="ON",CN24,MyRating(_S3,$B24,Efficacy!$F$1))</f>
        <v>3</v>
      </c>
      <c r="BO24" s="3">
        <f>IF($C$5="ON",CO24,MyRating(_S4,$B24,Efficacy!$F$1))</f>
        <v>5</v>
      </c>
      <c r="BP24" s="3">
        <f>IF($C$5="ON",CP24,MyRating(_S5,$B24,Efficacy!$F$1))</f>
        <v>5</v>
      </c>
      <c r="BQ24" s="3">
        <f>IF($C$5="ON",CQ24,MyRating(_S6,$B24,Efficacy!$F$1))</f>
        <v>2</v>
      </c>
      <c r="BR24" s="3">
        <f>IF($C$5="ON",CR24,MyRating(_S7,$B24,Efficacy!$F$1))</f>
        <v>3</v>
      </c>
      <c r="BS24" s="3">
        <f>IF($C$5="ON",CS24,MyRating(_D1,$B24,Efficacy!$F$1))</f>
        <v>3</v>
      </c>
      <c r="BT24" s="3">
        <f>IF($C$5="ON",CT24,MyRating(_D2,$B24,Efficacy!$F$1))</f>
        <v>3</v>
      </c>
      <c r="BU24" s="3">
        <f>IF($C$5="ON",CU24,MyRating(_D3,$B24,Efficacy!$F$1))</f>
        <v>3</v>
      </c>
      <c r="BV24" s="3">
        <f>IF($C$5="ON",CV24,MyRating(_D4,$B24,Efficacy!$F$1))</f>
        <v>3</v>
      </c>
      <c r="BW24" s="3">
        <f>IF($C$5="ON",CW24,MyRating(_B1G5,$B24,Barrier!$L$2))</f>
        <v>2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11"/>
        <v>3.3407946312985805E-2</v>
      </c>
      <c r="CA24" s="8">
        <f t="shared" si="6"/>
        <v>2.8000000000000003</v>
      </c>
      <c r="CB24" s="5">
        <f t="shared" si="7"/>
        <v>3.2941176470588251E-2</v>
      </c>
      <c r="CC24" s="7">
        <f t="shared" si="8"/>
        <v>5.9787261089987885E-3</v>
      </c>
      <c r="CD24" s="4">
        <v>4</v>
      </c>
      <c r="CE24" s="3">
        <v>3</v>
      </c>
      <c r="CF24" s="3">
        <v>3</v>
      </c>
      <c r="CG24" s="3">
        <v>4</v>
      </c>
      <c r="CH24" s="3">
        <v>3</v>
      </c>
      <c r="CI24" s="3">
        <v>2</v>
      </c>
      <c r="CJ24" s="3">
        <v>3</v>
      </c>
      <c r="CK24" s="3">
        <v>3</v>
      </c>
      <c r="CL24" s="3">
        <v>4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2</v>
      </c>
      <c r="CX24" s="3">
        <v>3</v>
      </c>
      <c r="CY24" s="6">
        <v>3</v>
      </c>
      <c r="CZ24" s="5">
        <v>3.6275844714639842E-2</v>
      </c>
      <c r="DA24" s="59">
        <f t="shared" si="9"/>
        <v>2029</v>
      </c>
      <c r="DB24">
        <f t="shared" si="10"/>
        <v>3.9999999999990905</v>
      </c>
    </row>
    <row r="25" spans="1:106" x14ac:dyDescent="0.25">
      <c r="A25" s="9" t="str">
        <f t="shared" si="0"/>
        <v>FR</v>
      </c>
      <c r="B25" s="9" t="s">
        <v>21</v>
      </c>
      <c r="C25" s="20"/>
      <c r="D25" s="9" t="s">
        <v>2</v>
      </c>
      <c r="E25" s="9" t="s">
        <v>186</v>
      </c>
      <c r="F25" s="9" t="str">
        <f>INDEX('Unique Asset List'!$C$4:$C$60,MATCH(B25,_CompoundList,0))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INDEX(PTRS!$D$6:$D$12,MATCH('3'!$F25,PTRS!$B$6:$B$12,0))</f>
        <v>0.1638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7">
        <v>0.1638</v>
      </c>
      <c r="N25" s="17">
        <f>INDEX('Unique Asset List'!$D$4:$M$60,MATCH($B25,'Unique Asset List'!$A$4:$A$60,0),MATCH(N$8,'Unique Asset List'!$D$3:$M$3,0))</f>
        <v>0.16400000000000001</v>
      </c>
      <c r="O25" s="17">
        <f>INDEX('Unique Asset List'!$D$4:$M$60,MATCH($B25,'Unique Asset List'!$A$4:$A$60,0),MATCH(O$8,'Unique Asset List'!$D$3:$M$3,0))</f>
        <v>0</v>
      </c>
      <c r="P25" s="17">
        <f>INDEX('Unique Asset List'!$D$4:$M$60,MATCH($B25,'Unique Asset List'!$A$4:$A$60,0),MATCH(P$8,'Unique Asset List'!$D$3:$M$3,0))</f>
        <v>0</v>
      </c>
      <c r="Q25" s="17">
        <f>INDEX('Unique Asset List'!$D$4:$M$60,MATCH($B25,'Unique Asset List'!$A$4:$A$60,0),MATCH(Q$8,'Unique Asset List'!$D$3:$M$3,0))</f>
        <v>1</v>
      </c>
      <c r="R25" s="17">
        <f>INDEX('Unique Asset List'!$D$4:$M$60,MATCH($B25,'Unique Asset List'!$A$4:$A$60,0),MATCH(R$8,'Unique Asset List'!$D$3:$M$3,0))</f>
        <v>1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1"/>
        <v>0.90168566420734264</v>
      </c>
      <c r="V25" s="17">
        <v>0.69</v>
      </c>
      <c r="W25" s="9" t="s">
        <v>20</v>
      </c>
      <c r="X25" s="9">
        <f>INDEX('Unique Asset List'!$Y$4:$AE$60,MATCH('3'!$B25,'Unique Asset List'!$A$4:$A$60,0),MATCH('3'!$C$1,'Unique Asset List'!$Y$3:$AE$3,0))</f>
        <v>2028</v>
      </c>
      <c r="Y25" s="9">
        <f>INDEX('Unique Asset List'!$AF$4:$AL$60,MATCH('3'!$B25,'Unique Asset List'!$A$4:$A$60,0),MATCH('3'!$C$1,'Unique Asset List'!$AF$3:$AL$3,0))</f>
        <v>6.9999999999990905</v>
      </c>
      <c r="Z25" s="9">
        <f>INDEX('Unique Asset List'!$AT$4:$AZ$60,MATCH('3'!$B25,'Unique Asset List'!$A$4:$A$60,0),MATCH('3'!$C$1,'Unique Asset List'!$AT$3:$AZ$3,0))</f>
        <v>2035</v>
      </c>
      <c r="AA25" s="9">
        <f>INDEX('Unique Asset List'!$BA$4:$BG$60,MATCH('3'!$B25,'Unique Asset List'!$A$4:$A$60,0),MATCH('3'!$C$1,'Unique Asset List'!$BA$3:$BG$3,0))</f>
        <v>5</v>
      </c>
      <c r="AB25" s="16">
        <f t="shared" si="2"/>
        <v>1.6822346000000001</v>
      </c>
      <c r="AC25" s="16">
        <f t="shared" si="3"/>
        <v>0.91486990000000001</v>
      </c>
      <c r="AD25" s="16">
        <f t="shared" si="4"/>
        <v>0.56099999999999994</v>
      </c>
      <c r="AE25" s="15">
        <f>INDEX('Unique Asset List'!$CJ$4:$CP$60,MATCH('3'!$B25,'Unique Asset List'!$A$4:$A$60,0),MATCH('3'!$C$1,'Unique Asset List'!$CJ$3:$CP$3,0))</f>
        <v>0.12</v>
      </c>
      <c r="AF25" s="15">
        <f>INDEX('Unique Asset List'!$CQ$4:$CW$60,MATCH('3'!$B25,'Unique Asset List'!$A$4:$A$60,0),MATCH('3'!$C$1,'Unique Asset List'!$CQ$3:$CW$3,0))</f>
        <v>0.38</v>
      </c>
      <c r="AG25" s="15">
        <f>INDEX('Unique Asset List'!$BV$4:$CB$60,MATCH('3'!$B25,'Unique Asset List'!$A$4:$A$60,0),MATCH('3'!$C$1,'Unique Asset List'!$BV$3:$CB$3,0))</f>
        <v>0.12</v>
      </c>
      <c r="AH25" s="15">
        <f>INDEX('Unique Asset List'!$CC$4:$CI$60,MATCH('3'!$B25,'Unique Asset List'!$A$4:$A$60,0),MATCH('3'!$C$1,'Unique Asset List'!$CC$3:$CI$3,0))</f>
        <v>0.38</v>
      </c>
      <c r="AI25" s="11">
        <v>0.96187963349867744</v>
      </c>
      <c r="AJ25" s="15">
        <f>INDEX('Unique Asset List'!$BH$4:$BN$60,MATCH('3'!$B25,'Unique Asset List'!$A$4:$A$60,0),MATCH('3'!$C$1,'Unique Asset List'!$BH$3:$BN$3,0))</f>
        <v>2.1252009430760062</v>
      </c>
      <c r="AK25" s="15">
        <f>INDEX('Unique Asset List'!$BO$4:$BU$60,MATCH('3'!$B25,'Unique Asset List'!$A$4:$A$60,0),MATCH('3'!$C$1,'Unique Asset List'!$BO$3:$BU$3,0))</f>
        <v>-1.7169645793441486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1</v>
      </c>
      <c r="AW25" s="181">
        <f>INDEX('Unique Asset List'!Q$4:Q$60,MATCH($B25,_CompoundList,0))</f>
        <v>1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0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0</v>
      </c>
      <c r="BC25" s="181">
        <f ca="1">INDEX('Unique Asset List'!W$4:W$60,MATCH($B25,_CompoundList,0))</f>
        <v>0</v>
      </c>
      <c r="BD25" s="4">
        <f>IF($C$5="ON",CD25,MyRating(_E1,$B25,Efficacy!$F$1))</f>
        <v>3</v>
      </c>
      <c r="BE25" s="3">
        <f>IF($C$5="ON",CE25,MyRating(_E2,$B25,Efficacy!$F$1))</f>
        <v>3</v>
      </c>
      <c r="BF25" s="3">
        <f>IF($C$5="ON",CF25,MyRating(_E3,$B25,Efficacy!$F$1))</f>
        <v>3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4</v>
      </c>
      <c r="BJ25" s="3">
        <f>IF($C$5="ON",CJ25,MyRating(_E7,$B25,Efficacy!$F$1))</f>
        <v>3</v>
      </c>
      <c r="BK25" s="3">
        <f>IF($C$5="ON",CK25,MyRating(_E8,$B25,Efficacy!$F$1))</f>
        <v>2</v>
      </c>
      <c r="BL25" s="3">
        <f>IF($C$5="ON",CL25,MyRating(_S1,$B25,Efficacy!$F$1))</f>
        <v>3</v>
      </c>
      <c r="BM25" s="3">
        <f>IF($C$5="ON",CM25,MyRating(_S2,$B25,Efficacy!$F$1))</f>
        <v>4</v>
      </c>
      <c r="BN25" s="3">
        <f>IF($C$5="ON",CN25,MyRating(_S3,$B25,Efficacy!$F$1))</f>
        <v>3</v>
      </c>
      <c r="BO25" s="3">
        <f>IF($C$5="ON",CO25,MyRating(_S4,$B25,Efficacy!$F$1))</f>
        <v>5</v>
      </c>
      <c r="BP25" s="3">
        <f>IF($C$5="ON",CP25,MyRating(_S5,$B25,Efficacy!$F$1))</f>
        <v>4</v>
      </c>
      <c r="BQ25" s="3">
        <f>IF($C$5="ON",CQ25,MyRating(_S6,$B25,Efficacy!$F$1))</f>
        <v>4</v>
      </c>
      <c r="BR25" s="3">
        <f>IF($C$5="ON",CR25,MyRating(_S7,$B25,Efficacy!$F$1))</f>
        <v>3</v>
      </c>
      <c r="BS25" s="3">
        <f>IF($C$5="ON",CS25,MyRating(_D1,$B25,Efficacy!$F$1))</f>
        <v>3</v>
      </c>
      <c r="BT25" s="3">
        <f>IF($C$5="ON",CT25,MyRating(_D2,$B25,Efficacy!$F$1))</f>
        <v>3</v>
      </c>
      <c r="BU25" s="3">
        <f>IF($C$5="ON",CU25,MyRating(_D3,$B25,Efficacy!$F$1))</f>
        <v>3</v>
      </c>
      <c r="BV25" s="3">
        <f>IF($C$5="ON",CV25,MyRating(_D4,$B25,Efficacy!$F$1))</f>
        <v>3</v>
      </c>
      <c r="BW25" s="3">
        <f>IF($C$5="ON",CW25,MyRating(_B1G5,$B25,Barrier!$L$2))</f>
        <v>2</v>
      </c>
      <c r="BX25" s="3">
        <f>IF($C$5="ON",CX25,MyRating(_B2,$B25,Barrier!$F$2))</f>
        <v>3</v>
      </c>
      <c r="BY25" s="6">
        <f>IF($C$5="ON",CY25,MyRating(_B3,$B25,Barrier!$F$2))</f>
        <v>3</v>
      </c>
      <c r="BZ25" s="5">
        <f t="shared" si="11"/>
        <v>3.3407946312985805E-2</v>
      </c>
      <c r="CA25" s="8">
        <f t="shared" si="6"/>
        <v>2.8000000000000003</v>
      </c>
      <c r="CB25" s="5">
        <f t="shared" si="7"/>
        <v>3.2941176470588251E-2</v>
      </c>
      <c r="CC25" s="7">
        <f t="shared" si="8"/>
        <v>5.9787261089987885E-3</v>
      </c>
      <c r="CD25" s="4">
        <v>3</v>
      </c>
      <c r="CE25" s="3">
        <v>3</v>
      </c>
      <c r="CF25" s="3">
        <v>3</v>
      </c>
      <c r="CG25" s="3">
        <v>3</v>
      </c>
      <c r="CH25" s="3">
        <v>3</v>
      </c>
      <c r="CI25" s="3">
        <v>4</v>
      </c>
      <c r="CJ25" s="3">
        <v>3</v>
      </c>
      <c r="CK25" s="3">
        <v>2</v>
      </c>
      <c r="CL25" s="3">
        <v>3</v>
      </c>
      <c r="CM25" s="3">
        <v>4</v>
      </c>
      <c r="CN25" s="3">
        <v>2</v>
      </c>
      <c r="CO25" s="3">
        <v>5</v>
      </c>
      <c r="CP25" s="3">
        <v>4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2</v>
      </c>
      <c r="CX25" s="3">
        <v>3</v>
      </c>
      <c r="CY25" s="6">
        <v>3</v>
      </c>
      <c r="CZ25" s="5">
        <v>3.6275844714639842E-2</v>
      </c>
      <c r="DA25" s="59">
        <f t="shared" si="9"/>
        <v>2029</v>
      </c>
      <c r="DB25">
        <f t="shared" si="10"/>
        <v>9.9999999999990905</v>
      </c>
    </row>
    <row r="26" spans="1:106" x14ac:dyDescent="0.25">
      <c r="A26" s="9" t="str">
        <f t="shared" si="0"/>
        <v>FR</v>
      </c>
      <c r="B26" s="9" t="s">
        <v>71</v>
      </c>
      <c r="C26" s="20" t="s">
        <v>3</v>
      </c>
      <c r="D26" s="9" t="s">
        <v>2</v>
      </c>
      <c r="E26" s="9" t="s">
        <v>186</v>
      </c>
      <c r="F26" s="9" t="str">
        <f>INDEX('Unique Asset List'!$C$4:$C$60,MATCH(B26,_CompoundList,0))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INDEX(PTRS!$D$6:$D$12,MATCH('3'!$F26,PTRS!$B$6:$B$12,0))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0.1638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1"/>
        <v>0</v>
      </c>
      <c r="V26" s="17">
        <v>0.05</v>
      </c>
      <c r="W26" s="9" t="s">
        <v>70</v>
      </c>
      <c r="X26" s="9">
        <f>INDEX('Unique Asset List'!$Y$4:$AE$60,MATCH('3'!$B26,'Unique Asset List'!$A$4:$A$60,0),MATCH('3'!$C$1,'Unique Asset List'!$Y$3:$AE$3,0))</f>
        <v>2027</v>
      </c>
      <c r="Y26" s="9">
        <f>INDEX('Unique Asset List'!$AF$4:$AL$60,MATCH('3'!$B26,'Unique Asset List'!$A$4:$A$60,0),MATCH('3'!$C$1,'Unique Asset List'!$AF$3:$AL$3,0))</f>
        <v>8.0000000000009095</v>
      </c>
      <c r="Z26" s="9">
        <f>INDEX('Unique Asset List'!$AT$4:$AZ$60,MATCH('3'!$B26,'Unique Asset List'!$A$4:$A$60,0),MATCH('3'!$C$1,'Unique Asset List'!$AT$3:$AZ$3,0))</f>
        <v>2035</v>
      </c>
      <c r="AA26" s="9">
        <f>INDEX('Unique Asset List'!$BA$4:$BG$60,MATCH('3'!$B26,'Unique Asset List'!$A$4:$A$60,0),MATCH('3'!$C$1,'Unique Asset List'!$BA$3:$BG$3,0))</f>
        <v>7</v>
      </c>
      <c r="AB26" s="16">
        <f t="shared" si="2"/>
        <v>1.911081</v>
      </c>
      <c r="AC26" s="16">
        <f t="shared" si="3"/>
        <v>0.85759169999999996</v>
      </c>
      <c r="AD26" s="16">
        <f t="shared" si="4"/>
        <v>0.41402720413999994</v>
      </c>
      <c r="AE26" s="15">
        <f>INDEX('Unique Asset List'!$CJ$4:$CP$60,MATCH('3'!$B26,'Unique Asset List'!$A$4:$A$60,0),MATCH('3'!$C$1,'Unique Asset List'!$CJ$3:$CP$3,0))</f>
        <v>0.17</v>
      </c>
      <c r="AF26" s="15">
        <f>INDEX('Unique Asset List'!$CQ$4:$CW$60,MATCH('3'!$B26,'Unique Asset List'!$A$4:$A$60,0),MATCH('3'!$C$1,'Unique Asset List'!$CQ$3:$CW$3,0))</f>
        <v>0.33</v>
      </c>
      <c r="AG26" s="15">
        <f>INDEX('Unique Asset List'!$BV$4:$CB$60,MATCH('3'!$B26,'Unique Asset List'!$A$4:$A$60,0),MATCH('3'!$C$1,'Unique Asset List'!$BV$3:$CB$3,0))</f>
        <v>0.17</v>
      </c>
      <c r="AH26" s="15">
        <f>INDEX('Unique Asset List'!$CC$4:$CI$60,MATCH('3'!$B26,'Unique Asset List'!$A$4:$A$60,0),MATCH('3'!$C$1,'Unique Asset List'!$CC$3:$CI$3,0))</f>
        <v>0.33</v>
      </c>
      <c r="AI26" s="11">
        <v>0.96187963349867744</v>
      </c>
      <c r="AJ26" s="15">
        <f>INDEX('Unique Asset List'!$BH$4:$BN$60,MATCH('3'!$B26,'Unique Asset List'!$A$4:$A$60,0),MATCH('3'!$C$1,'Unique Asset List'!$BH$3:$BN$3,0))</f>
        <v>2.1252009430760062</v>
      </c>
      <c r="AK26" s="15">
        <f>INDEX('Unique Asset List'!$BO$4:$BU$60,MATCH('3'!$B26,'Unique Asset List'!$A$4:$A$60,0),MATCH('3'!$C$1,'Unique Asset List'!$BO$3:$BU$3,0))</f>
        <v>-1.7169645793441486</v>
      </c>
      <c r="AL26" s="9">
        <v>169</v>
      </c>
      <c r="AM26" s="14">
        <v>30.85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IF($C$5="ON",CL26,MyRating(_S1,$B26,Efficacy!$F$1))</f>
        <v>1</v>
      </c>
      <c r="BM26" s="3">
        <f>IF($C$5="ON",CM26,MyRating(_S2,$B26,Efficacy!$F$1))</f>
        <v>4</v>
      </c>
      <c r="BN26" s="3">
        <f>IF($C$5="ON",CN26,MyRating(_S3,$B26,Efficacy!$F$1))</f>
        <v>4</v>
      </c>
      <c r="BO26" s="3">
        <f>IF($C$5="ON",CO26,MyRating(_S4,$B26,Efficacy!$F$1))</f>
        <v>5</v>
      </c>
      <c r="BP26" s="3">
        <f>IF($C$5="ON",CP26,MyRating(_S5,$B26,Efficacy!$F$1))</f>
        <v>5</v>
      </c>
      <c r="BQ26" s="3">
        <f>IF($C$5="ON",CQ26,MyRating(_S6,$B26,Efficacy!$F$1))</f>
        <v>2</v>
      </c>
      <c r="BR26" s="3">
        <f>IF($C$5="ON",CR26,MyRating(_S7,$B26,Efficacy!$F$1))</f>
        <v>4</v>
      </c>
      <c r="BS26" s="3">
        <f>IF($C$5="ON",CS26,MyRating(_D1,$B26,Efficacy!$F$1))</f>
        <v>2</v>
      </c>
      <c r="BT26" s="3">
        <f>IF($C$5="ON",CT26,MyRating(_D2,$B26,Efficacy!$F$1))</f>
        <v>3</v>
      </c>
      <c r="BU26" s="3">
        <f>IF($C$5="ON",CU26,MyRating(_D3,$B26,Efficacy!$F$1))</f>
        <v>2</v>
      </c>
      <c r="BV26" s="3">
        <f>IF($C$5="ON",CV26,MyRating(_D4,$B26,Efficacy!$F$1))</f>
        <v>2</v>
      </c>
      <c r="BW26" s="3">
        <f>IF($C$5="ON",CW26,MyRating(_B1G5,$B26,Barrier!$L$2))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11"/>
        <v>0</v>
      </c>
      <c r="CA26" s="8">
        <f t="shared" si="6"/>
        <v>0</v>
      </c>
      <c r="CB26" s="5">
        <f t="shared" si="7"/>
        <v>0</v>
      </c>
      <c r="CC26" s="7">
        <f t="shared" si="8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1</v>
      </c>
      <c r="CL26" s="3">
        <v>3</v>
      </c>
      <c r="CM26" s="3">
        <v>4</v>
      </c>
      <c r="CN26" s="3">
        <v>3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3</v>
      </c>
      <c r="CY26" s="6">
        <v>5</v>
      </c>
      <c r="CZ26" s="5">
        <v>4.9932578149053504E-2</v>
      </c>
      <c r="DA26" s="59">
        <f t="shared" si="9"/>
        <v>2028</v>
      </c>
      <c r="DB26">
        <f t="shared" si="10"/>
        <v>11.000000000000909</v>
      </c>
    </row>
    <row r="27" spans="1:106" x14ac:dyDescent="0.25">
      <c r="A27" s="9" t="str">
        <f t="shared" si="0"/>
        <v>FR</v>
      </c>
      <c r="B27" s="9" t="s">
        <v>31</v>
      </c>
      <c r="C27" s="20"/>
      <c r="D27" s="9" t="s">
        <v>2</v>
      </c>
      <c r="E27" s="9" t="s">
        <v>186</v>
      </c>
      <c r="F27" s="9" t="str">
        <f>INDEX('Unique Asset List'!$C$4:$C$60,MATCH(B27,_CompoundList,0))</f>
        <v>Ph1</v>
      </c>
      <c r="G27" s="19">
        <v>0</v>
      </c>
      <c r="H27" s="9">
        <v>2014</v>
      </c>
      <c r="I27" s="9">
        <v>6</v>
      </c>
      <c r="J27" s="18">
        <f>INDEX(PTRS!$D$6:$D$12,MATCH('3'!$F27,PTRS!$B$6:$B$12,0))</f>
        <v>0.13923000000000002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0.13923000000000002</v>
      </c>
      <c r="N27" s="17">
        <f>INDEX('Unique Asset List'!$D$4:$M$60,MATCH($B27,'Unique Asset List'!$A$4:$A$60,0),MATCH(N$8,'Unique Asset List'!$D$3:$M$3,0))</f>
        <v>0.14000000000000001</v>
      </c>
      <c r="O27" s="17">
        <f>INDEX('Unique Asset List'!$D$4:$M$60,MATCH($B27,'Unique Asset List'!$A$4:$A$60,0),MATCH(O$8,'Unique Asset List'!$D$3:$M$3,0))</f>
        <v>0.14000000000000001</v>
      </c>
      <c r="P27" s="17">
        <f>INDEX('Unique Asset List'!$D$4:$M$60,MATCH($B27,'Unique Asset List'!$A$4:$A$60,0),MATCH(P$8,'Unique Asset List'!$D$3:$M$3,0))</f>
        <v>0.14000000000000001</v>
      </c>
      <c r="Q27" s="17">
        <f>INDEX('Unique Asset List'!$D$4:$M$60,MATCH($B27,'Unique Asset List'!$A$4:$A$60,0),MATCH(Q$8,'Unique Asset List'!$D$3:$M$3,0))</f>
        <v>0.14000000000000001</v>
      </c>
      <c r="R27" s="17">
        <f>INDEX('Unique Asset List'!$D$4:$M$60,MATCH($B27,'Unique Asset List'!$A$4:$A$60,0),MATCH(R$8,'Unique Asset List'!$D$3:$M$3,0))</f>
        <v>0.14000000000000001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1"/>
        <v>0.90168566420734264</v>
      </c>
      <c r="V27" s="17">
        <v>1</v>
      </c>
      <c r="W27" s="9" t="s">
        <v>31</v>
      </c>
      <c r="X27" s="9">
        <f>INDEX('Unique Asset List'!$Y$4:$AE$60,MATCH('3'!$B27,'Unique Asset List'!$A$4:$A$60,0),MATCH('3'!$C$1,'Unique Asset List'!$Y$3:$AE$3,0))</f>
        <v>2029</v>
      </c>
      <c r="Y27" s="9">
        <f>INDEX('Unique Asset List'!$AF$4:$AL$60,MATCH('3'!$B27,'Unique Asset List'!$A$4:$A$60,0),MATCH('3'!$C$1,'Unique Asset List'!$AF$3:$AL$3,0))</f>
        <v>2.0000000000009095</v>
      </c>
      <c r="Z27" s="9">
        <f>INDEX('Unique Asset List'!$AT$4:$AZ$60,MATCH('3'!$B27,'Unique Asset List'!$A$4:$A$60,0),MATCH('3'!$C$1,'Unique Asset List'!$AT$3:$AZ$3,0))</f>
        <v>2037</v>
      </c>
      <c r="AA27" s="9">
        <f>INDEX('Unique Asset List'!$BA$4:$BG$60,MATCH('3'!$B27,'Unique Asset List'!$A$4:$A$60,0),MATCH('3'!$C$1,'Unique Asset List'!$BA$3:$BG$3,0))</f>
        <v>2</v>
      </c>
      <c r="AB27" s="16">
        <f t="shared" si="2"/>
        <v>2.0063400000000007</v>
      </c>
      <c r="AC27" s="16">
        <f t="shared" si="3"/>
        <v>0.94137550000000003</v>
      </c>
      <c r="AD27" s="16">
        <f t="shared" si="4"/>
        <v>0.56099999999999994</v>
      </c>
      <c r="AE27" s="15">
        <f>INDEX('Unique Asset List'!$CJ$4:$CP$60,MATCH('3'!$B27,'Unique Asset List'!$A$4:$A$60,0),MATCH('3'!$C$1,'Unique Asset List'!$CJ$3:$CP$3,0))</f>
        <v>0.12</v>
      </c>
      <c r="AF27" s="15">
        <f>INDEX('Unique Asset List'!$CQ$4:$CW$60,MATCH('3'!$B27,'Unique Asset List'!$A$4:$A$60,0),MATCH('3'!$C$1,'Unique Asset List'!$CQ$3:$CW$3,0))</f>
        <v>0.38</v>
      </c>
      <c r="AG27" s="15">
        <f>INDEX('Unique Asset List'!$BV$4:$CB$60,MATCH('3'!$B27,'Unique Asset List'!$A$4:$A$60,0),MATCH('3'!$C$1,'Unique Asset List'!$BV$3:$CB$3,0))</f>
        <v>0.12</v>
      </c>
      <c r="AH27" s="15">
        <f>INDEX('Unique Asset List'!$CC$4:$CI$60,MATCH('3'!$B27,'Unique Asset List'!$A$4:$A$60,0),MATCH('3'!$C$1,'Unique Asset List'!$CC$3:$CI$3,0))</f>
        <v>0.38</v>
      </c>
      <c r="AI27" s="11">
        <v>0.96187963349867744</v>
      </c>
      <c r="AJ27" s="15">
        <f>INDEX('Unique Asset List'!$BH$4:$BN$60,MATCH('3'!$B27,'Unique Asset List'!$A$4:$A$60,0),MATCH('3'!$C$1,'Unique Asset List'!$BH$3:$BN$3,0))</f>
        <v>2.1252009430760062</v>
      </c>
      <c r="AK27" s="15">
        <f>INDEX('Unique Asset List'!$BO$4:$BU$60,MATCH('3'!$B27,'Unique Asset List'!$A$4:$A$60,0),MATCH('3'!$C$1,'Unique Asset List'!$BO$3:$BU$3,0))</f>
        <v>-1.7169645793441486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0</v>
      </c>
      <c r="AW27" s="181">
        <f>INDEX('Unique Asset List'!Q$4:Q$60,MATCH($B27,_CompoundList,0))</f>
        <v>0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1</v>
      </c>
      <c r="BD27" s="4">
        <f>IF($C$5="ON",CD27,MyRating(_E1,$B27,Efficacy!$F$1))</f>
        <v>4</v>
      </c>
      <c r="BE27" s="3">
        <f>IF($C$5="ON",CE27,MyRating(_E2,$B27,Efficacy!$F$1))</f>
        <v>3</v>
      </c>
      <c r="BF27" s="3">
        <f>IF($C$5="ON",CF27,MyRating(_E3,$B27,Efficacy!$F$1))</f>
        <v>4</v>
      </c>
      <c r="BG27" s="3">
        <f>IF($C$5="ON",CG27,MyRating(_E4,$B27,Efficacy!$F$1))</f>
        <v>4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3</v>
      </c>
      <c r="BL27" s="3">
        <f>IF($C$5="ON",CL27,MyRating(_S1,$B27,Efficacy!$F$1))</f>
        <v>4</v>
      </c>
      <c r="BM27" s="3">
        <f>IF($C$5="ON",CM27,MyRating(_S2,$B27,Efficacy!$F$1))</f>
        <v>3</v>
      </c>
      <c r="BN27" s="3">
        <f>IF($C$5="ON",CN27,MyRating(_S3,$B27,Efficacy!$F$1))</f>
        <v>3</v>
      </c>
      <c r="BO27" s="3">
        <f>IF($C$5="ON",CO27,MyRating(_S4,$B27,Efficacy!$F$1))</f>
        <v>4</v>
      </c>
      <c r="BP27" s="3">
        <f>IF($C$5="ON",CP27,MyRating(_S5,$B27,Efficacy!$F$1))</f>
        <v>5</v>
      </c>
      <c r="BQ27" s="3">
        <f>IF($C$5="ON",CQ27,MyRating(_S6,$B27,Efficacy!$F$1))</f>
        <v>3</v>
      </c>
      <c r="BR27" s="3">
        <f>IF($C$5="ON",CR27,MyRating(_S7,$B27,Efficacy!$F$1))</f>
        <v>3</v>
      </c>
      <c r="BS27" s="3">
        <f>IF($C$5="ON",CS27,MyRating(_D1,$B27,Efficacy!$F$1))</f>
        <v>3</v>
      </c>
      <c r="BT27" s="3">
        <f>IF($C$5="ON",CT27,MyRating(_D2,$B27,Efficacy!$F$1))</f>
        <v>3</v>
      </c>
      <c r="BU27" s="3">
        <f>IF($C$5="ON",CU27,MyRating(_D3,$B27,Efficacy!$F$1))</f>
        <v>3</v>
      </c>
      <c r="BV27" s="3">
        <f>IF($C$5="ON",CV27,MyRating(_D4,$B27,Efficacy!$F$1))</f>
        <v>3</v>
      </c>
      <c r="BW27" s="3">
        <f>IF($C$5="ON",CW27,MyRating(_B1G5,$B27,Barrier!$L$2))</f>
        <v>2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11"/>
        <v>3.3407946312985805E-2</v>
      </c>
      <c r="CA27" s="8">
        <f t="shared" si="6"/>
        <v>2.8000000000000003</v>
      </c>
      <c r="CB27" s="5">
        <f t="shared" si="7"/>
        <v>3.2941176470588251E-2</v>
      </c>
      <c r="CC27" s="7">
        <f t="shared" si="8"/>
        <v>5.9787261089987885E-3</v>
      </c>
      <c r="CD27" s="4">
        <v>4</v>
      </c>
      <c r="CE27" s="3">
        <v>4</v>
      </c>
      <c r="CF27" s="3">
        <v>4</v>
      </c>
      <c r="CG27" s="3">
        <v>4</v>
      </c>
      <c r="CH27" s="3">
        <v>3</v>
      </c>
      <c r="CI27" s="3">
        <v>4</v>
      </c>
      <c r="CJ27" s="3">
        <v>4</v>
      </c>
      <c r="CK27" s="3">
        <v>3</v>
      </c>
      <c r="CL27" s="3">
        <v>4</v>
      </c>
      <c r="CM27" s="3">
        <v>3</v>
      </c>
      <c r="CN27" s="3">
        <v>3</v>
      </c>
      <c r="CO27" s="3">
        <v>4</v>
      </c>
      <c r="CP27" s="3">
        <v>5</v>
      </c>
      <c r="CQ27" s="3">
        <v>3</v>
      </c>
      <c r="CR27" s="3">
        <v>4</v>
      </c>
      <c r="CS27" s="3">
        <v>3</v>
      </c>
      <c r="CT27" s="3">
        <v>3</v>
      </c>
      <c r="CU27" s="3">
        <v>3</v>
      </c>
      <c r="CV27" s="3">
        <v>3</v>
      </c>
      <c r="CW27" s="3">
        <v>2</v>
      </c>
      <c r="CX27" s="3">
        <v>3</v>
      </c>
      <c r="CY27" s="6">
        <v>3</v>
      </c>
      <c r="CZ27" s="5">
        <v>3.6275844714639842E-2</v>
      </c>
      <c r="DA27" s="59">
        <f t="shared" si="9"/>
        <v>2030</v>
      </c>
      <c r="DB27">
        <f t="shared" si="10"/>
        <v>5.0000000000009095</v>
      </c>
    </row>
    <row r="28" spans="1:106" x14ac:dyDescent="0.25">
      <c r="A28" s="9" t="str">
        <f t="shared" si="0"/>
        <v>FR</v>
      </c>
      <c r="B28" s="9" t="s">
        <v>35</v>
      </c>
      <c r="C28" s="20"/>
      <c r="D28" s="9" t="s">
        <v>2</v>
      </c>
      <c r="E28" s="9" t="s">
        <v>186</v>
      </c>
      <c r="F28" s="9" t="str">
        <f>INDEX('Unique Asset List'!$C$4:$C$60,MATCH(B28,_CompoundList,0))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INDEX(PTRS!$D$6:$D$12,MATCH('3'!$F28,PTRS!$B$6:$B$12,0))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v>0.13923000000000002</v>
      </c>
      <c r="N28" s="17">
        <f>INDEX('Unique Asset List'!$D$4:$M$60,MATCH($B28,'Unique Asset List'!$A$4:$A$60,0),MATCH(N$8,'Unique Asset List'!$D$3:$M$3,0))</f>
        <v>0.14000000000000001</v>
      </c>
      <c r="O28" s="17">
        <f>INDEX('Unique Asset List'!$D$4:$M$60,MATCH($B28,'Unique Asset List'!$A$4:$A$60,0),MATCH(O$8,'Unique Asset List'!$D$3:$M$3,0))</f>
        <v>0.14000000000000001</v>
      </c>
      <c r="P28" s="17">
        <f>INDEX('Unique Asset List'!$D$4:$M$60,MATCH($B28,'Unique Asset List'!$A$4:$A$60,0),MATCH(P$8,'Unique Asset List'!$D$3:$M$3,0))</f>
        <v>0.14000000000000001</v>
      </c>
      <c r="Q28" s="17">
        <f>INDEX('Unique Asset List'!$D$4:$M$60,MATCH($B28,'Unique Asset List'!$A$4:$A$60,0),MATCH(Q$8,'Unique Asset List'!$D$3:$M$3,0))</f>
        <v>0.14000000000000001</v>
      </c>
      <c r="R28" s="17">
        <f>INDEX('Unique Asset List'!$D$4:$M$60,MATCH($B28,'Unique Asset List'!$A$4:$A$60,0),MATCH(R$8,'Unique Asset List'!$D$3:$M$3,0))</f>
        <v>0.14000000000000001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1"/>
        <v>0.90168566420734264</v>
      </c>
      <c r="V28" s="17">
        <v>1</v>
      </c>
      <c r="W28" s="9" t="s">
        <v>34</v>
      </c>
      <c r="X28" s="9">
        <f>INDEX('Unique Asset List'!$Y$4:$AE$60,MATCH('3'!$B28,'Unique Asset List'!$A$4:$A$60,0),MATCH('3'!$C$1,'Unique Asset List'!$Y$3:$AE$3,0))</f>
        <v>2029</v>
      </c>
      <c r="Y28" s="9">
        <f>INDEX('Unique Asset List'!$AF$4:$AL$60,MATCH('3'!$B28,'Unique Asset List'!$A$4:$A$60,0),MATCH('3'!$C$1,'Unique Asset List'!$AF$3:$AL$3,0))</f>
        <v>3.9999999999990905</v>
      </c>
      <c r="Z28" s="9">
        <f>INDEX('Unique Asset List'!$AT$4:$AZ$60,MATCH('3'!$B28,'Unique Asset List'!$A$4:$A$60,0),MATCH('3'!$C$1,'Unique Asset List'!$AT$3:$AZ$3,0))</f>
        <v>2039</v>
      </c>
      <c r="AA28" s="9">
        <f>INDEX('Unique Asset List'!$BA$4:$BG$60,MATCH('3'!$B28,'Unique Asset List'!$A$4:$A$60,0),MATCH('3'!$C$1,'Unique Asset List'!$BA$3:$BG$3,0))</f>
        <v>3</v>
      </c>
      <c r="AB28" s="16">
        <f t="shared" si="2"/>
        <v>2.0681600000000007</v>
      </c>
      <c r="AC28" s="16">
        <f t="shared" si="3"/>
        <v>0.94137550000000003</v>
      </c>
      <c r="AD28" s="16">
        <f t="shared" si="4"/>
        <v>0.56099999999999994</v>
      </c>
      <c r="AE28" s="15">
        <f>INDEX('Unique Asset List'!$CJ$4:$CP$60,MATCH('3'!$B28,'Unique Asset List'!$A$4:$A$60,0),MATCH('3'!$C$1,'Unique Asset List'!$CJ$3:$CP$3,0))</f>
        <v>0.12</v>
      </c>
      <c r="AF28" s="15">
        <f>INDEX('Unique Asset List'!$CQ$4:$CW$60,MATCH('3'!$B28,'Unique Asset List'!$A$4:$A$60,0),MATCH('3'!$C$1,'Unique Asset List'!$CQ$3:$CW$3,0))</f>
        <v>0.38</v>
      </c>
      <c r="AG28" s="15">
        <f>INDEX('Unique Asset List'!$BV$4:$CB$60,MATCH('3'!$B28,'Unique Asset List'!$A$4:$A$60,0),MATCH('3'!$C$1,'Unique Asset List'!$BV$3:$CB$3,0))</f>
        <v>0.12</v>
      </c>
      <c r="AH28" s="15">
        <f>INDEX('Unique Asset List'!$CC$4:$CI$60,MATCH('3'!$B28,'Unique Asset List'!$A$4:$A$60,0),MATCH('3'!$C$1,'Unique Asset List'!$CC$3:$CI$3,0))</f>
        <v>0.38</v>
      </c>
      <c r="AI28" s="11">
        <v>0.96187963349867744</v>
      </c>
      <c r="AJ28" s="15">
        <f>INDEX('Unique Asset List'!$BH$4:$BN$60,MATCH('3'!$B28,'Unique Asset List'!$A$4:$A$60,0),MATCH('3'!$C$1,'Unique Asset List'!$BH$3:$BN$3,0))</f>
        <v>2.1252009430760062</v>
      </c>
      <c r="AK28" s="15">
        <f>INDEX('Unique Asset List'!$BO$4:$BU$60,MATCH('3'!$B28,'Unique Asset List'!$A$4:$A$60,0),MATCH('3'!$C$1,'Unique Asset List'!$BO$3:$BU$3,0))</f>
        <v>-1.7169645793441486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0</v>
      </c>
      <c r="AZ28" s="181">
        <f ca="1">INDEX('Unique Asset List'!T$4:T$60,MATCH($B28,_CompoundList,0))</f>
        <v>0</v>
      </c>
      <c r="BA28" s="181">
        <f ca="1">INDEX('Unique Asset List'!U$4:U$60,MATCH($B28,_CompoundList,0))</f>
        <v>0</v>
      </c>
      <c r="BB28" s="181">
        <f ca="1">INDEX('Unique Asset List'!V$4:V$60,MATCH($B28,_CompoundList,0))</f>
        <v>0</v>
      </c>
      <c r="BC28" s="181">
        <f ca="1">INDEX('Unique Asset List'!W$4:W$60,MATCH($B28,_CompoundList,0))</f>
        <v>1</v>
      </c>
      <c r="BD28" s="4">
        <f>IF($C$5="ON",CD28,MyRating(_E1,$B28,Efficacy!$F$1))</f>
        <v>4</v>
      </c>
      <c r="BE28" s="3">
        <f>IF($C$5="ON",CE28,MyRating(_E2,$B28,Efficacy!$F$1))</f>
        <v>3</v>
      </c>
      <c r="BF28" s="3">
        <f>IF($C$5="ON",CF28,MyRating(_E3,$B28,Efficacy!$F$1))</f>
        <v>4</v>
      </c>
      <c r="BG28" s="3">
        <f>IF($C$5="ON",CG28,MyRating(_E4,$B28,Efficacy!$F$1))</f>
        <v>4</v>
      </c>
      <c r="BH28" s="3">
        <f>IF($C$5="ON",CH28,MyRating(_E5,$B28,Efficacy!$F$1))</f>
        <v>3</v>
      </c>
      <c r="BI28" s="3">
        <f>IF($C$5="ON",CI28,MyRating(_E6,$B28,Efficacy!$F$1))</f>
        <v>4</v>
      </c>
      <c r="BJ28" s="3">
        <f>IF($C$5="ON",CJ28,MyRating(_E7,$B28,Efficacy!$F$1))</f>
        <v>3</v>
      </c>
      <c r="BK28" s="3">
        <f>IF($C$5="ON",CK28,MyRating(_E8,$B28,Efficacy!$F$1))</f>
        <v>4</v>
      </c>
      <c r="BL28" s="3">
        <f>IF($C$5="ON",CL28,MyRating(_S1,$B28,Efficacy!$F$1))</f>
        <v>4</v>
      </c>
      <c r="BM28" s="3">
        <f>IF($C$5="ON",CM28,MyRating(_S2,$B28,Efficacy!$F$1))</f>
        <v>3</v>
      </c>
      <c r="BN28" s="3">
        <f>IF($C$5="ON",CN28,MyRating(_S3,$B28,Efficacy!$F$1))</f>
        <v>3</v>
      </c>
      <c r="BO28" s="3">
        <f>IF($C$5="ON",CO28,MyRating(_S4,$B28,Efficacy!$F$1))</f>
        <v>4</v>
      </c>
      <c r="BP28" s="3">
        <f>IF($C$5="ON",CP28,MyRating(_S5,$B28,Efficacy!$F$1))</f>
        <v>5</v>
      </c>
      <c r="BQ28" s="3">
        <f>IF($C$5="ON",CQ28,MyRating(_S6,$B28,Efficacy!$F$1))</f>
        <v>3</v>
      </c>
      <c r="BR28" s="3">
        <f>IF($C$5="ON",CR28,MyRating(_S7,$B28,Efficacy!$F$1))</f>
        <v>3</v>
      </c>
      <c r="BS28" s="3">
        <f>IF($C$5="ON",CS28,MyRating(_D1,$B28,Efficacy!$F$1))</f>
        <v>3</v>
      </c>
      <c r="BT28" s="3">
        <f>IF($C$5="ON",CT28,MyRating(_D2,$B28,Efficacy!$F$1))</f>
        <v>3</v>
      </c>
      <c r="BU28" s="3">
        <f>IF($C$5="ON",CU28,MyRating(_D3,$B28,Efficacy!$F$1))</f>
        <v>3</v>
      </c>
      <c r="BV28" s="3">
        <f>IF($C$5="ON",CV28,MyRating(_D4,$B28,Efficacy!$F$1))</f>
        <v>3</v>
      </c>
      <c r="BW28" s="3">
        <f>IF($C$5="ON",CW28,MyRating(_B1G5,$B28,Barrier!$L$2))</f>
        <v>2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11"/>
        <v>3.3407946312985805E-2</v>
      </c>
      <c r="CA28" s="8">
        <f t="shared" si="6"/>
        <v>2.8000000000000003</v>
      </c>
      <c r="CB28" s="5">
        <f t="shared" si="7"/>
        <v>3.2941176470588251E-2</v>
      </c>
      <c r="CC28" s="7">
        <f t="shared" si="8"/>
        <v>5.9787261089987885E-3</v>
      </c>
      <c r="CD28" s="4">
        <v>4</v>
      </c>
      <c r="CE28" s="3">
        <v>4</v>
      </c>
      <c r="CF28" s="3">
        <v>4</v>
      </c>
      <c r="CG28" s="3">
        <v>4</v>
      </c>
      <c r="CH28" s="3">
        <v>3</v>
      </c>
      <c r="CI28" s="3">
        <v>3</v>
      </c>
      <c r="CJ28" s="3">
        <v>3</v>
      </c>
      <c r="CK28" s="3">
        <v>4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3</v>
      </c>
      <c r="CR28" s="3">
        <v>4</v>
      </c>
      <c r="CS28" s="3">
        <v>3</v>
      </c>
      <c r="CT28" s="3">
        <v>3</v>
      </c>
      <c r="CU28" s="3">
        <v>3</v>
      </c>
      <c r="CV28" s="3">
        <v>3</v>
      </c>
      <c r="CW28" s="3">
        <v>2</v>
      </c>
      <c r="CX28" s="3">
        <v>3</v>
      </c>
      <c r="CY28" s="6">
        <v>3</v>
      </c>
      <c r="CZ28" s="5">
        <v>3.6275844714639842E-2</v>
      </c>
      <c r="DA28" s="59">
        <f t="shared" si="9"/>
        <v>2030</v>
      </c>
      <c r="DB28">
        <f t="shared" si="10"/>
        <v>6.9999999999990905</v>
      </c>
    </row>
    <row r="29" spans="1:106" x14ac:dyDescent="0.25">
      <c r="A29" s="9" t="str">
        <f t="shared" si="0"/>
        <v>FR</v>
      </c>
      <c r="B29" s="9" t="s">
        <v>69</v>
      </c>
      <c r="C29" s="20"/>
      <c r="D29" s="9" t="s">
        <v>64</v>
      </c>
      <c r="E29" s="9" t="s">
        <v>186</v>
      </c>
      <c r="F29" s="9" t="str">
        <f>INDEX('Unique Asset List'!$C$4:$C$60,MATCH(B29,_CompoundList,0))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INDEX(PTRS!$D$6:$D$12,MATCH('3'!$F29,PTRS!$B$6:$B$12,0))</f>
        <v>0.13923000000000002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0.13923000000000002</v>
      </c>
      <c r="N29" s="17">
        <f>INDEX('Unique Asset List'!$D$4:$M$60,MATCH($B29,'Unique Asset List'!$A$4:$A$60,0),MATCH(N$8,'Unique Asset List'!$D$3:$M$3,0))</f>
        <v>0.13923000000000002</v>
      </c>
      <c r="O29" s="17">
        <f>INDEX('Unique Asset List'!$D$4:$M$60,MATCH($B29,'Unique Asset List'!$A$4:$A$60,0),MATCH(O$8,'Unique Asset List'!$D$3:$M$3,0))</f>
        <v>0.13923000000000002</v>
      </c>
      <c r="P29" s="17">
        <f>INDEX('Unique Asset List'!$D$4:$M$60,MATCH($B29,'Unique Asset List'!$A$4:$A$60,0),MATCH(P$8,'Unique Asset List'!$D$3:$M$3,0))</f>
        <v>0.13923000000000002</v>
      </c>
      <c r="Q29" s="17">
        <f>INDEX('Unique Asset List'!$D$4:$M$60,MATCH($B29,'Unique Asset List'!$A$4:$A$60,0),MATCH(Q$8,'Unique Asset List'!$D$3:$M$3,0))</f>
        <v>0.13923000000000002</v>
      </c>
      <c r="R29" s="17">
        <f>INDEX('Unique Asset List'!$D$4:$M$60,MATCH($B29,'Unique Asset List'!$A$4:$A$60,0),MATCH(R$8,'Unique Asset List'!$D$3:$M$3,0))</f>
        <v>0.13923000000000002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1"/>
        <v>0.90168566420734264</v>
      </c>
      <c r="V29" s="17">
        <v>1</v>
      </c>
      <c r="W29" s="9" t="s">
        <v>62</v>
      </c>
      <c r="X29" s="9">
        <f>INDEX('Unique Asset List'!$Y$4:$AE$60,MATCH('3'!$B29,'Unique Asset List'!$A$4:$A$60,0),MATCH('3'!$C$1,'Unique Asset List'!$Y$3:$AE$3,0))</f>
        <v>2025</v>
      </c>
      <c r="Y29" s="9">
        <f>INDEX('Unique Asset List'!$AF$4:$AL$60,MATCH('3'!$B29,'Unique Asset List'!$A$4:$A$60,0),MATCH('3'!$C$1,'Unique Asset List'!$AF$3:$AL$3,0))</f>
        <v>3</v>
      </c>
      <c r="Z29" s="9">
        <f>INDEX('Unique Asset List'!$AT$4:$AZ$60,MATCH('3'!$B29,'Unique Asset List'!$A$4:$A$60,0),MATCH('3'!$C$1,'Unique Asset List'!$AT$3:$AZ$3,0))</f>
        <v>2037</v>
      </c>
      <c r="AA29" s="9">
        <f>INDEX('Unique Asset List'!$BA$4:$BG$60,MATCH('3'!$B29,'Unique Asset List'!$A$4:$A$60,0),MATCH('3'!$C$1,'Unique Asset List'!$BA$3:$BG$3,0))</f>
        <v>3</v>
      </c>
      <c r="AB29" s="16">
        <f t="shared" si="2"/>
        <v>1.6860000000000002</v>
      </c>
      <c r="AC29" s="16">
        <f t="shared" si="3"/>
        <v>0.91994010000000004</v>
      </c>
      <c r="AD29" s="16">
        <f t="shared" si="4"/>
        <v>0.50129594525999999</v>
      </c>
      <c r="AE29" s="15">
        <f>INDEX('Unique Asset List'!$CJ$4:$CP$60,MATCH('3'!$B29,'Unique Asset List'!$A$4:$A$60,0),MATCH('3'!$C$1,'Unique Asset List'!$CJ$3:$CP$3,0))</f>
        <v>0.17</v>
      </c>
      <c r="AF29" s="15">
        <f>INDEX('Unique Asset List'!$CQ$4:$CW$60,MATCH('3'!$B29,'Unique Asset List'!$A$4:$A$60,0),MATCH('3'!$C$1,'Unique Asset List'!$CQ$3:$CW$3,0))</f>
        <v>0.33</v>
      </c>
      <c r="AG29" s="15">
        <f>INDEX('Unique Asset List'!$BV$4:$CB$60,MATCH('3'!$B29,'Unique Asset List'!$A$4:$A$60,0),MATCH('3'!$C$1,'Unique Asset List'!$BV$3:$CB$3,0))</f>
        <v>0.17</v>
      </c>
      <c r="AH29" s="15">
        <f>INDEX('Unique Asset List'!$CC$4:$CI$60,MATCH('3'!$B29,'Unique Asset List'!$A$4:$A$60,0),MATCH('3'!$C$1,'Unique Asset List'!$CC$3:$CI$3,0))</f>
        <v>0.33</v>
      </c>
      <c r="AI29" s="11">
        <v>0.96187963349867744</v>
      </c>
      <c r="AJ29" s="15">
        <f>INDEX('Unique Asset List'!$BH$4:$BN$60,MATCH('3'!$B29,'Unique Asset List'!$A$4:$A$60,0),MATCH('3'!$C$1,'Unique Asset List'!$BH$3:$BN$3,0))</f>
        <v>2.1252009430760062</v>
      </c>
      <c r="AK29" s="15">
        <f>INDEX('Unique Asset List'!$BO$4:$BU$60,MATCH('3'!$B29,'Unique Asset List'!$A$4:$A$60,0),MATCH('3'!$C$1,'Unique Asset List'!$BO$3:$BU$3,0))</f>
        <v>-1.7169645793441486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0</v>
      </c>
      <c r="AY29" s="181">
        <f ca="1">INDEX('Unique Asset List'!S$4:S$60,MATCH($B29,_CompoundList,0))</f>
        <v>1</v>
      </c>
      <c r="AZ29" s="181">
        <f ca="1">INDEX('Unique Asset List'!T$4:T$60,MATCH($B29,_CompoundList,0))</f>
        <v>1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1</v>
      </c>
      <c r="BC29" s="181">
        <f ca="1">INDEX('Unique Asset List'!W$4:W$60,MATCH($B29,_CompoundList,0))</f>
        <v>1</v>
      </c>
      <c r="BD29" s="4">
        <f>IF($C$5="ON",CD29,MyRating(_E1,$B29,Efficacy!$F$1))</f>
        <v>3</v>
      </c>
      <c r="BE29" s="3">
        <f>IF($C$5="ON",CE29,MyRating(_E2,$B29,Efficacy!$F$1))</f>
        <v>3</v>
      </c>
      <c r="BF29" s="3">
        <f>IF($C$5="ON",CF29,MyRating(_E3,$B29,Efficacy!$F$1))</f>
        <v>3</v>
      </c>
      <c r="BG29" s="3">
        <f>IF($C$5="ON",CG29,MyRating(_E4,$B29,Efficacy!$F$1))</f>
        <v>3</v>
      </c>
      <c r="BH29" s="3">
        <f>IF($C$5="ON",CH29,MyRating(_E5,$B29,Efficacy!$F$1))</f>
        <v>3</v>
      </c>
      <c r="BI29" s="3">
        <f>IF($C$5="ON",CI29,MyRating(_E6,$B29,Efficacy!$F$1))</f>
        <v>3</v>
      </c>
      <c r="BJ29" s="3">
        <f>IF($C$5="ON",CJ29,MyRating(_E7,$B29,Efficacy!$F$1))</f>
        <v>3</v>
      </c>
      <c r="BK29" s="3">
        <f>IF($C$5="ON",CK29,MyRating(_E8,$B29,Efficacy!$F$1))</f>
        <v>3</v>
      </c>
      <c r="BL29" s="3">
        <f>IF($C$5="ON",CL29,MyRating(_S1,$B29,Efficacy!$F$1))</f>
        <v>4</v>
      </c>
      <c r="BM29" s="3">
        <f>IF($C$5="ON",CM29,MyRating(_S2,$B29,Efficacy!$F$1))</f>
        <v>3</v>
      </c>
      <c r="BN29" s="3">
        <f>IF($C$5="ON",CN29,MyRating(_S3,$B29,Efficacy!$F$1))</f>
        <v>3</v>
      </c>
      <c r="BO29" s="3">
        <f>IF($C$5="ON",CO29,MyRating(_S4,$B29,Efficacy!$F$1))</f>
        <v>4</v>
      </c>
      <c r="BP29" s="3">
        <f>IF($C$5="ON",CP29,MyRating(_S5,$B29,Efficacy!$F$1))</f>
        <v>5</v>
      </c>
      <c r="BQ29" s="3">
        <f>IF($C$5="ON",CQ29,MyRating(_S6,$B29,Efficacy!$F$1))</f>
        <v>2</v>
      </c>
      <c r="BR29" s="3">
        <f>IF($C$5="ON",CR29,MyRating(_S7,$B29,Efficacy!$F$1))</f>
        <v>3</v>
      </c>
      <c r="BS29" s="3">
        <f>IF($C$5="ON",CS29,MyRating(_D1,$B29,Efficacy!$F$1))</f>
        <v>2</v>
      </c>
      <c r="BT29" s="3">
        <f>IF($C$5="ON",CT29,MyRating(_D2,$B29,Efficacy!$F$1))</f>
        <v>3</v>
      </c>
      <c r="BU29" s="3">
        <f>IF($C$5="ON",CU29,MyRating(_D3,$B29,Efficacy!$F$1))</f>
        <v>3</v>
      </c>
      <c r="BV29" s="3">
        <f>IF($C$5="ON",CV29,MyRating(_D4,$B29,Efficacy!$F$1))</f>
        <v>3</v>
      </c>
      <c r="BW29" s="3">
        <f>IF($C$5="ON",CW29,MyRating(_B1G5,$B29,Barrier!$L$2))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11"/>
        <v>3.3407946312985805E-2</v>
      </c>
      <c r="CA29" s="8">
        <f t="shared" si="6"/>
        <v>2.8000000000000003</v>
      </c>
      <c r="CB29" s="5">
        <f t="shared" si="7"/>
        <v>3.2941176470588251E-2</v>
      </c>
      <c r="CC29" s="7">
        <f t="shared" si="8"/>
        <v>5.9787261089987885E-3</v>
      </c>
      <c r="CD29" s="4">
        <v>3</v>
      </c>
      <c r="CE29" s="3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5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3</v>
      </c>
      <c r="CW29" s="3">
        <v>2</v>
      </c>
      <c r="CX29" s="3">
        <v>3</v>
      </c>
      <c r="CY29" s="6">
        <v>3</v>
      </c>
      <c r="CZ29" s="5">
        <v>3.6275844714639842E-2</v>
      </c>
      <c r="DA29" s="59">
        <f t="shared" si="9"/>
        <v>2026</v>
      </c>
      <c r="DB29">
        <f t="shared" si="10"/>
        <v>6</v>
      </c>
    </row>
    <row r="30" spans="1:106" x14ac:dyDescent="0.25">
      <c r="A30" s="9" t="str">
        <f t="shared" si="0"/>
        <v>FR</v>
      </c>
      <c r="B30" s="9" t="s">
        <v>24</v>
      </c>
      <c r="C30" s="20" t="s">
        <v>3</v>
      </c>
      <c r="D30" s="9" t="s">
        <v>2</v>
      </c>
      <c r="E30" s="9" t="s">
        <v>186</v>
      </c>
      <c r="F30" s="9" t="str">
        <f>INDEX('Unique Asset List'!$C$4:$C$60,MATCH(B30,_CompoundList,0))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INDEX(PTRS!$D$6:$D$12,MATCH('3'!$F30,PTRS!$B$6:$B$12,0))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0.13923000000000002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1"/>
        <v>0</v>
      </c>
      <c r="V30" s="17">
        <v>1</v>
      </c>
      <c r="W30" s="9" t="s">
        <v>24</v>
      </c>
      <c r="X30" s="9">
        <f>INDEX('Unique Asset List'!$Y$4:$AE$60,MATCH('3'!$B30,'Unique Asset List'!$A$4:$A$60,0),MATCH('3'!$C$1,'Unique Asset List'!$Y$3:$AE$3,0))</f>
        <v>2028</v>
      </c>
      <c r="Y30" s="9">
        <f>INDEX('Unique Asset List'!$AF$4:$AL$60,MATCH('3'!$B30,'Unique Asset List'!$A$4:$A$60,0),MATCH('3'!$C$1,'Unique Asset List'!$AF$3:$AL$3,0))</f>
        <v>6</v>
      </c>
      <c r="Z30" s="9">
        <f>INDEX('Unique Asset List'!$AT$4:$AZ$60,MATCH('3'!$B30,'Unique Asset List'!$A$4:$A$60,0),MATCH('3'!$C$1,'Unique Asset List'!$AT$3:$AZ$3,0))</f>
        <v>2034</v>
      </c>
      <c r="AA30" s="9">
        <f>INDEX('Unique Asset List'!$BA$4:$BG$60,MATCH('3'!$B30,'Unique Asset List'!$A$4:$A$60,0),MATCH('3'!$C$1,'Unique Asset List'!$BA$3:$BG$3,0))</f>
        <v>5</v>
      </c>
      <c r="AB30" s="16">
        <f t="shared" si="2"/>
        <v>2.1518980000000005</v>
      </c>
      <c r="AC30" s="16">
        <f t="shared" si="3"/>
        <v>0.94137550000000003</v>
      </c>
      <c r="AD30" s="16">
        <f t="shared" si="4"/>
        <v>0.56099999999999994</v>
      </c>
      <c r="AE30" s="15">
        <f>INDEX('Unique Asset List'!$CJ$4:$CP$60,MATCH('3'!$B30,'Unique Asset List'!$A$4:$A$60,0),MATCH('3'!$C$1,'Unique Asset List'!$CJ$3:$CP$3,0))</f>
        <v>0.12</v>
      </c>
      <c r="AF30" s="15">
        <f>INDEX('Unique Asset List'!$CQ$4:$CW$60,MATCH('3'!$B30,'Unique Asset List'!$A$4:$A$60,0),MATCH('3'!$C$1,'Unique Asset List'!$CQ$3:$CW$3,0))</f>
        <v>0.38</v>
      </c>
      <c r="AG30" s="15">
        <f>INDEX('Unique Asset List'!$BV$4:$CB$60,MATCH('3'!$B30,'Unique Asset List'!$A$4:$A$60,0),MATCH('3'!$C$1,'Unique Asset List'!$BV$3:$CB$3,0))</f>
        <v>0.12</v>
      </c>
      <c r="AH30" s="15">
        <f>INDEX('Unique Asset List'!$CC$4:$CI$60,MATCH('3'!$B30,'Unique Asset List'!$A$4:$A$60,0),MATCH('3'!$C$1,'Unique Asset List'!$CC$3:$CI$3,0))</f>
        <v>0.38</v>
      </c>
      <c r="AI30" s="11">
        <v>0.96187963349867744</v>
      </c>
      <c r="AJ30" s="15">
        <f>INDEX('Unique Asset List'!$BH$4:$BN$60,MATCH('3'!$B30,'Unique Asset List'!$A$4:$A$60,0),MATCH('3'!$C$1,'Unique Asset List'!$BH$3:$BN$3,0))</f>
        <v>2.1252009430760062</v>
      </c>
      <c r="AK30" s="15">
        <f>INDEX('Unique Asset List'!$BO$4:$BU$60,MATCH('3'!$B30,'Unique Asset List'!$A$4:$A$60,0),MATCH('3'!$C$1,'Unique Asset List'!$BO$3:$BU$3,0))</f>
        <v>-1.7169645793441486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IF($C$5="ON",CL30,MyRating(_S1,$B30,Efficacy!$F$1))</f>
        <v>4</v>
      </c>
      <c r="BM30" s="3">
        <f>IF($C$5="ON",CM30,MyRating(_S2,$B30,Efficacy!$F$1))</f>
        <v>3</v>
      </c>
      <c r="BN30" s="3">
        <f>IF($C$5="ON",CN30,MyRating(_S3,$B30,Efficacy!$F$1))</f>
        <v>3</v>
      </c>
      <c r="BO30" s="3">
        <f>IF($C$5="ON",CO30,MyRating(_S4,$B30,Efficacy!$F$1))</f>
        <v>4</v>
      </c>
      <c r="BP30" s="3">
        <f>IF($C$5="ON",CP30,MyRating(_S5,$B30,Efficacy!$F$1))</f>
        <v>5</v>
      </c>
      <c r="BQ30" s="3">
        <f>IF($C$5="ON",CQ30,MyRating(_S6,$B30,Efficacy!$F$1))</f>
        <v>3</v>
      </c>
      <c r="BR30" s="3">
        <f>IF($C$5="ON",CR30,MyRating(_S7,$B30,Efficacy!$F$1))</f>
        <v>3</v>
      </c>
      <c r="BS30" s="3">
        <f>IF($C$5="ON",CS30,MyRating(_D1,$B30,Efficacy!$F$1))</f>
        <v>3</v>
      </c>
      <c r="BT30" s="3">
        <f>IF($C$5="ON",CT30,MyRating(_D2,$B30,Efficacy!$F$1))</f>
        <v>3</v>
      </c>
      <c r="BU30" s="3">
        <f>IF($C$5="ON",CU30,MyRating(_D3,$B30,Efficacy!$F$1))</f>
        <v>3</v>
      </c>
      <c r="BV30" s="3">
        <f>IF($C$5="ON",CV30,MyRating(_D4,$B30,Efficacy!$F$1))</f>
        <v>3</v>
      </c>
      <c r="BW30" s="3">
        <f>IF($C$5="ON",CW30,MyRating(_B1G5,$B30,Barrier!$L$2))</f>
        <v>2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11"/>
        <v>0</v>
      </c>
      <c r="CA30" s="8">
        <f t="shared" si="6"/>
        <v>0.4</v>
      </c>
      <c r="CB30" s="5">
        <f t="shared" si="7"/>
        <v>4.7058823529411787E-3</v>
      </c>
      <c r="CC30" s="7">
        <f t="shared" si="8"/>
        <v>3.2282086615060515E-4</v>
      </c>
      <c r="CD30" s="4">
        <v>4</v>
      </c>
      <c r="CE30" s="3">
        <v>5</v>
      </c>
      <c r="CF30" s="3">
        <v>5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5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2</v>
      </c>
      <c r="CX30" s="3">
        <v>3</v>
      </c>
      <c r="CY30" s="6">
        <v>3</v>
      </c>
      <c r="CZ30" s="5">
        <v>3.6275844714639842E-2</v>
      </c>
      <c r="DA30" s="59">
        <f t="shared" si="9"/>
        <v>2029</v>
      </c>
      <c r="DB30">
        <f t="shared" si="10"/>
        <v>9</v>
      </c>
    </row>
    <row r="31" spans="1:106" x14ac:dyDescent="0.25">
      <c r="A31" s="9" t="str">
        <f t="shared" si="0"/>
        <v>FR</v>
      </c>
      <c r="B31" s="9" t="s">
        <v>66</v>
      </c>
      <c r="C31" s="20" t="s">
        <v>3</v>
      </c>
      <c r="D31" s="9" t="s">
        <v>2</v>
      </c>
      <c r="E31" s="9" t="s">
        <v>186</v>
      </c>
      <c r="F31" s="9" t="str">
        <f>INDEX('Unique Asset List'!$C$4:$C$60,MATCH(B31,_CompoundList,0))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INDEX(PTRS!$D$6:$D$12,MATCH('3'!$F31,PTRS!$B$6:$B$12,0))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v>0.1044225</v>
      </c>
      <c r="N31" s="17">
        <f>INDEX('Unique Asset List'!$D$4:$M$60,MATCH($B31,'Unique Asset List'!$A$4:$A$60,0),MATCH(N$8,'Unique Asset List'!$D$3:$M$3,0))</f>
        <v>0</v>
      </c>
      <c r="O31" s="17">
        <f>INDEX('Unique Asset List'!$D$4:$M$60,MATCH($B31,'Unique Asset List'!$A$4:$A$60,0),MATCH(O$8,'Unique Asset List'!$D$3:$M$3,0))</f>
        <v>0</v>
      </c>
      <c r="P31" s="17">
        <f>INDEX('Unique Asset List'!$D$4:$M$60,MATCH($B31,'Unique Asset List'!$A$4:$A$60,0),MATCH(P$8,'Unique Asset List'!$D$3:$M$3,0))</f>
        <v>0</v>
      </c>
      <c r="Q31" s="17">
        <f>INDEX('Unique Asset List'!$D$4:$M$60,MATCH($B31,'Unique Asset List'!$A$4:$A$60,0),MATCH(Q$8,'Unique Asset List'!$D$3:$M$3,0))</f>
        <v>0</v>
      </c>
      <c r="R31" s="17">
        <f>INDEX('Unique Asset List'!$D$4:$M$60,MATCH($B31,'Unique Asset List'!$A$4:$A$60,0),MATCH(R$8,'Unique Asset List'!$D$3:$M$3,0))</f>
        <v>0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1"/>
        <v>0</v>
      </c>
      <c r="V31" s="17">
        <v>1</v>
      </c>
      <c r="W31" s="9" t="s">
        <v>62</v>
      </c>
      <c r="X31" s="9">
        <f>INDEX('Unique Asset List'!$Y$4:$AE$60,MATCH('3'!$B31,'Unique Asset List'!$A$4:$A$60,0),MATCH('3'!$C$1,'Unique Asset List'!$Y$3:$AE$3,0))</f>
        <v>2030</v>
      </c>
      <c r="Y31" s="9">
        <f>INDEX('Unique Asset List'!$AF$4:$AL$60,MATCH('3'!$B31,'Unique Asset List'!$A$4:$A$60,0),MATCH('3'!$C$1,'Unique Asset List'!$AF$3:$AL$3,0))</f>
        <v>3</v>
      </c>
      <c r="Z31" s="9">
        <f>INDEX('Unique Asset List'!$AT$4:$AZ$60,MATCH('3'!$B31,'Unique Asset List'!$A$4:$A$60,0),MATCH('3'!$C$1,'Unique Asset List'!$AT$3:$AZ$3,0))</f>
        <v>2038</v>
      </c>
      <c r="AA31" s="9">
        <f>INDEX('Unique Asset List'!$BA$4:$BG$60,MATCH('3'!$B31,'Unique Asset List'!$A$4:$A$60,0),MATCH('3'!$C$1,'Unique Asset List'!$BA$3:$BG$3,0))</f>
        <v>3</v>
      </c>
      <c r="AB31" s="16">
        <f t="shared" si="2"/>
        <v>2.1518980000000005</v>
      </c>
      <c r="AC31" s="16">
        <f t="shared" si="3"/>
        <v>0.94137550000000003</v>
      </c>
      <c r="AD31" s="16">
        <f t="shared" si="4"/>
        <v>0.56099999999999994</v>
      </c>
      <c r="AE31" s="15">
        <f>INDEX('Unique Asset List'!$CJ$4:$CP$60,MATCH('3'!$B31,'Unique Asset List'!$A$4:$A$60,0),MATCH('3'!$C$1,'Unique Asset List'!$CJ$3:$CP$3,0))</f>
        <v>0.17</v>
      </c>
      <c r="AF31" s="15">
        <f>INDEX('Unique Asset List'!$CQ$4:$CW$60,MATCH('3'!$B31,'Unique Asset List'!$A$4:$A$60,0),MATCH('3'!$C$1,'Unique Asset List'!$CQ$3:$CW$3,0))</f>
        <v>0.33</v>
      </c>
      <c r="AG31" s="15">
        <f>INDEX('Unique Asset List'!$BV$4:$CB$60,MATCH('3'!$B31,'Unique Asset List'!$A$4:$A$60,0),MATCH('3'!$C$1,'Unique Asset List'!$BV$3:$CB$3,0))</f>
        <v>0.17</v>
      </c>
      <c r="AH31" s="15">
        <f>INDEX('Unique Asset List'!$CC$4:$CI$60,MATCH('3'!$B31,'Unique Asset List'!$A$4:$A$60,0),MATCH('3'!$C$1,'Unique Asset List'!$CC$3:$CI$3,0))</f>
        <v>0.33</v>
      </c>
      <c r="AI31" s="11">
        <v>0.96187963349867744</v>
      </c>
      <c r="AJ31" s="15">
        <f>INDEX('Unique Asset List'!$BH$4:$BN$60,MATCH('3'!$B31,'Unique Asset List'!$A$4:$A$60,0),MATCH('3'!$C$1,'Unique Asset List'!$BH$3:$BN$3,0))</f>
        <v>2.1252009430760062</v>
      </c>
      <c r="AK31" s="15">
        <f>INDEX('Unique Asset List'!$BO$4:$BU$60,MATCH('3'!$B31,'Unique Asset List'!$A$4:$A$60,0),MATCH('3'!$C$1,'Unique Asset List'!$BO$3:$BU$3,0))</f>
        <v>-1.7169645793441486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1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0</v>
      </c>
      <c r="BC31" s="181">
        <f ca="1">INDEX('Unique Asset List'!W$4:W$60,MATCH($B31,_CompoundList,0))</f>
        <v>1</v>
      </c>
      <c r="BD31" s="4">
        <f>IF($C$5="ON",CD31,MyRating(_E1,$B31,Efficacy!$F$1))</f>
        <v>4</v>
      </c>
      <c r="BE31" s="3">
        <f>IF($C$5="ON",CE31,MyRating(_E2,$B31,Efficacy!$F$1))</f>
        <v>4</v>
      </c>
      <c r="BF31" s="3">
        <f>IF($C$5="ON",CF31,MyRating(_E3,$B31,Efficacy!$F$1))</f>
        <v>4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IF($C$5="ON",CL31,MyRating(_S1,$B31,Efficacy!$F$1))</f>
        <v>4</v>
      </c>
      <c r="BM31" s="3">
        <f>IF($C$5="ON",CM31,MyRating(_S2,$B31,Efficacy!$F$1))</f>
        <v>3</v>
      </c>
      <c r="BN31" s="3">
        <f>IF($C$5="ON",CN31,MyRating(_S3,$B31,Efficacy!$F$1))</f>
        <v>3</v>
      </c>
      <c r="BO31" s="3">
        <f>IF($C$5="ON",CO31,MyRating(_S4,$B31,Efficacy!$F$1))</f>
        <v>4</v>
      </c>
      <c r="BP31" s="3">
        <f>IF($C$5="ON",CP31,MyRating(_S5,$B31,Efficacy!$F$1))</f>
        <v>5</v>
      </c>
      <c r="BQ31" s="3">
        <f>IF($C$5="ON",CQ31,MyRating(_S6,$B31,Efficacy!$F$1))</f>
        <v>3</v>
      </c>
      <c r="BR31" s="3">
        <f>IF($C$5="ON",CR31,MyRating(_S7,$B31,Efficacy!$F$1))</f>
        <v>3</v>
      </c>
      <c r="BS31" s="3">
        <f>IF($C$5="ON",CS31,MyRating(_D1,$B31,Efficacy!$F$1))</f>
        <v>3</v>
      </c>
      <c r="BT31" s="3">
        <f>IF($C$5="ON",CT31,MyRating(_D2,$B31,Efficacy!$F$1))</f>
        <v>3</v>
      </c>
      <c r="BU31" s="3">
        <f>IF($C$5="ON",CU31,MyRating(_D3,$B31,Efficacy!$F$1))</f>
        <v>3</v>
      </c>
      <c r="BV31" s="3">
        <f>IF($C$5="ON",CV31,MyRating(_D4,$B31,Efficacy!$F$1))</f>
        <v>3</v>
      </c>
      <c r="BW31" s="3">
        <f>IF($C$5="ON",CW31,MyRating(_B1G5,$B31,Barrier!$L$2))</f>
        <v>2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11"/>
        <v>0</v>
      </c>
      <c r="CA31" s="8">
        <f t="shared" si="6"/>
        <v>2.8000000000000003</v>
      </c>
      <c r="CB31" s="5">
        <f t="shared" si="7"/>
        <v>3.2941176470588251E-2</v>
      </c>
      <c r="CC31" s="7">
        <f t="shared" si="8"/>
        <v>5.9787261089987885E-3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5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2</v>
      </c>
      <c r="CX31" s="3">
        <v>3</v>
      </c>
      <c r="CY31" s="6">
        <v>3</v>
      </c>
      <c r="CZ31" s="5">
        <v>3.6275844714639842E-2</v>
      </c>
      <c r="DA31" s="59">
        <f t="shared" si="9"/>
        <v>2031</v>
      </c>
      <c r="DB31">
        <f t="shared" si="10"/>
        <v>6</v>
      </c>
    </row>
    <row r="32" spans="1:106" x14ac:dyDescent="0.25">
      <c r="A32" s="9" t="str">
        <f t="shared" si="0"/>
        <v>FR</v>
      </c>
      <c r="B32" s="9" t="s">
        <v>57</v>
      </c>
      <c r="C32" s="20" t="s">
        <v>3</v>
      </c>
      <c r="D32" s="9" t="s">
        <v>2</v>
      </c>
      <c r="E32" s="9" t="s">
        <v>186</v>
      </c>
      <c r="F32" s="9" t="str">
        <f>INDEX('Unique Asset List'!$C$4:$C$60,MATCH(B32,_CompoundList,0))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INDEX(PTRS!$D$6:$D$12,MATCH('3'!$F32,PTRS!$B$6:$B$12,0))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1"/>
        <v>0</v>
      </c>
      <c r="V32" s="17">
        <v>1</v>
      </c>
      <c r="W32" s="9" t="s">
        <v>57</v>
      </c>
      <c r="X32" s="9">
        <f>INDEX('Unique Asset List'!$Y$4:$AE$60,MATCH('3'!$B32,'Unique Asset List'!$A$4:$A$60,0),MATCH('3'!$C$1,'Unique Asset List'!$Y$3:$AE$3,0))</f>
        <v>2030</v>
      </c>
      <c r="Y32" s="9">
        <f>INDEX('Unique Asset List'!$AF$4:$AL$60,MATCH('3'!$B32,'Unique Asset List'!$A$4:$A$60,0),MATCH('3'!$C$1,'Unique Asset List'!$AF$3:$AL$3,0))</f>
        <v>9</v>
      </c>
      <c r="Z32" s="9">
        <f>INDEX('Unique Asset List'!$AT$4:$AZ$60,MATCH('3'!$B32,'Unique Asset List'!$A$4:$A$60,0),MATCH('3'!$C$1,'Unique Asset List'!$AT$3:$AZ$3,0))</f>
        <v>2038</v>
      </c>
      <c r="AA32" s="9">
        <f>INDEX('Unique Asset List'!$BA$4:$BG$60,MATCH('3'!$B32,'Unique Asset List'!$A$4:$A$60,0),MATCH('3'!$C$1,'Unique Asset List'!$BA$3:$BG$3,0))</f>
        <v>9</v>
      </c>
      <c r="AB32" s="16">
        <f t="shared" si="2"/>
        <v>2.3276916000000001</v>
      </c>
      <c r="AC32" s="16">
        <f t="shared" si="3"/>
        <v>0.94137550000000003</v>
      </c>
      <c r="AD32" s="16">
        <f t="shared" si="4"/>
        <v>0.56099999999999994</v>
      </c>
      <c r="AE32" s="15">
        <f>INDEX('Unique Asset List'!$CJ$4:$CP$60,MATCH('3'!$B32,'Unique Asset List'!$A$4:$A$60,0),MATCH('3'!$C$1,'Unique Asset List'!$CJ$3:$CP$3,0))</f>
        <v>0.17</v>
      </c>
      <c r="AF32" s="15">
        <f>INDEX('Unique Asset List'!$CQ$4:$CW$60,MATCH('3'!$B32,'Unique Asset List'!$A$4:$A$60,0),MATCH('3'!$C$1,'Unique Asset List'!$CQ$3:$CW$3,0))</f>
        <v>0.33</v>
      </c>
      <c r="AG32" s="15">
        <f>INDEX('Unique Asset List'!$BV$4:$CB$60,MATCH('3'!$B32,'Unique Asset List'!$A$4:$A$60,0),MATCH('3'!$C$1,'Unique Asset List'!$BV$3:$CB$3,0))</f>
        <v>0.17</v>
      </c>
      <c r="AH32" s="15">
        <f>INDEX('Unique Asset List'!$CC$4:$CI$60,MATCH('3'!$B32,'Unique Asset List'!$A$4:$A$60,0),MATCH('3'!$C$1,'Unique Asset List'!$CC$3:$CI$3,0))</f>
        <v>0.33</v>
      </c>
      <c r="AI32" s="11">
        <v>0.96187963349867744</v>
      </c>
      <c r="AJ32" s="15">
        <f>INDEX('Unique Asset List'!$BH$4:$BN$60,MATCH('3'!$B32,'Unique Asset List'!$A$4:$A$60,0),MATCH('3'!$C$1,'Unique Asset List'!$BH$3:$BN$3,0))</f>
        <v>2.1252009430760062</v>
      </c>
      <c r="AK32" s="15">
        <f>INDEX('Unique Asset List'!$BO$4:$BU$60,MATCH('3'!$B32,'Unique Asset List'!$A$4:$A$60,0),MATCH('3'!$C$1,'Unique Asset List'!$BO$3:$BU$3,0))</f>
        <v>-1.7169645793441486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0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0</v>
      </c>
      <c r="BD32" s="4">
        <f>IF($C$5="ON",CD32,MyRating(_E1,$B32,Efficacy!$F$1))</f>
        <v>4</v>
      </c>
      <c r="BE32" s="3">
        <f>IF($C$5="ON",CE32,MyRating(_E2,$B32,Efficacy!$F$1))</f>
        <v>5</v>
      </c>
      <c r="BF32" s="3">
        <f>IF($C$5="ON",CF32,MyRating(_E3,$B32,Efficacy!$F$1))</f>
        <v>5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IF($C$5="ON",CL32,MyRating(_S1,$B32,Efficacy!$F$1))</f>
        <v>4</v>
      </c>
      <c r="BM32" s="3">
        <f>IF($C$5="ON",CM32,MyRating(_S2,$B32,Efficacy!$F$1))</f>
        <v>3</v>
      </c>
      <c r="BN32" s="3">
        <f>IF($C$5="ON",CN32,MyRating(_S3,$B32,Efficacy!$F$1))</f>
        <v>3</v>
      </c>
      <c r="BO32" s="3">
        <f>IF($C$5="ON",CO32,MyRating(_S4,$B32,Efficacy!$F$1))</f>
        <v>4</v>
      </c>
      <c r="BP32" s="3">
        <f>IF($C$5="ON",CP32,MyRating(_S5,$B32,Efficacy!$F$1))</f>
        <v>5</v>
      </c>
      <c r="BQ32" s="3">
        <f>IF($C$5="ON",CQ32,MyRating(_S6,$B32,Efficacy!$F$1))</f>
        <v>3</v>
      </c>
      <c r="BR32" s="3">
        <f>IF($C$5="ON",CR32,MyRating(_S7,$B32,Efficacy!$F$1))</f>
        <v>3</v>
      </c>
      <c r="BS32" s="3">
        <f>IF($C$5="ON",CS32,MyRating(_D1,$B32,Efficacy!$F$1))</f>
        <v>3</v>
      </c>
      <c r="BT32" s="3">
        <f>IF($C$5="ON",CT32,MyRating(_D2,$B32,Efficacy!$F$1))</f>
        <v>3</v>
      </c>
      <c r="BU32" s="3">
        <f>IF($C$5="ON",CU32,MyRating(_D3,$B32,Efficacy!$F$1))</f>
        <v>3</v>
      </c>
      <c r="BV32" s="3">
        <f>IF($C$5="ON",CV32,MyRating(_D4,$B32,Efficacy!$F$1))</f>
        <v>3</v>
      </c>
      <c r="BW32" s="3">
        <f>IF($C$5="ON",CW32,MyRating(_B1G5,$B32,Barrier!$L$2))</f>
        <v>2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11"/>
        <v>0</v>
      </c>
      <c r="CA32" s="8">
        <f t="shared" si="6"/>
        <v>2.8000000000000003</v>
      </c>
      <c r="CB32" s="5">
        <f t="shared" si="7"/>
        <v>3.2941176470588251E-2</v>
      </c>
      <c r="CC32" s="7">
        <f t="shared" si="8"/>
        <v>5.9787261089987885E-3</v>
      </c>
      <c r="CD32" s="4">
        <v>4</v>
      </c>
      <c r="CE32" s="3">
        <v>5</v>
      </c>
      <c r="CF32" s="3">
        <v>5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5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2</v>
      </c>
      <c r="CX32" s="3">
        <v>3</v>
      </c>
      <c r="CY32" s="6">
        <v>3</v>
      </c>
      <c r="CZ32" s="5">
        <v>3.6275844714639842E-2</v>
      </c>
      <c r="DA32" s="59">
        <f t="shared" si="9"/>
        <v>2031</v>
      </c>
      <c r="DB32">
        <f t="shared" si="10"/>
        <v>0</v>
      </c>
    </row>
    <row r="33" spans="1:106" x14ac:dyDescent="0.25">
      <c r="A33" s="9" t="str">
        <f t="shared" si="0"/>
        <v>FR</v>
      </c>
      <c r="B33" s="9" t="s">
        <v>28</v>
      </c>
      <c r="C33" s="20"/>
      <c r="D33" s="9" t="s">
        <v>2</v>
      </c>
      <c r="E33" s="9" t="s">
        <v>186</v>
      </c>
      <c r="F33" s="9" t="str">
        <f>INDEX('Unique Asset List'!$C$4:$C$60,MATCH(B33,_CompoundList,0))</f>
        <v>Ph1</v>
      </c>
      <c r="G33" s="19">
        <v>0</v>
      </c>
      <c r="H33" s="9">
        <v>2014</v>
      </c>
      <c r="I33" s="9">
        <v>6</v>
      </c>
      <c r="J33" s="18">
        <f>INDEX(PTRS!$D$6:$D$12,MATCH('3'!$F33,PTRS!$B$6:$B$12,0))</f>
        <v>0.13923000000000002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v>0.13923000000000002</v>
      </c>
      <c r="N33" s="17">
        <f>INDEX('Unique Asset List'!$D$4:$M$60,MATCH($B33,'Unique Asset List'!$A$4:$A$60,0),MATCH(N$8,'Unique Asset List'!$D$3:$M$3,0))</f>
        <v>0.09</v>
      </c>
      <c r="O33" s="17">
        <f>INDEX('Unique Asset List'!$D$4:$M$60,MATCH($B33,'Unique Asset List'!$A$4:$A$60,0),MATCH(O$8,'Unique Asset List'!$D$3:$M$3,0))</f>
        <v>0.09</v>
      </c>
      <c r="P33" s="17">
        <f>INDEX('Unique Asset List'!$D$4:$M$60,MATCH($B33,'Unique Asset List'!$A$4:$A$60,0),MATCH(P$8,'Unique Asset List'!$D$3:$M$3,0))</f>
        <v>0.09</v>
      </c>
      <c r="Q33" s="17">
        <f>INDEX('Unique Asset List'!$D$4:$M$60,MATCH($B33,'Unique Asset List'!$A$4:$A$60,0),MATCH(Q$8,'Unique Asset List'!$D$3:$M$3,0))</f>
        <v>0.09</v>
      </c>
      <c r="R33" s="17">
        <f>INDEX('Unique Asset List'!$D$4:$M$60,MATCH($B33,'Unique Asset List'!$A$4:$A$60,0),MATCH(R$8,'Unique Asset List'!$D$3:$M$3,0))</f>
        <v>0.09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1"/>
        <v>0.90168566420734264</v>
      </c>
      <c r="V33" s="17">
        <v>1</v>
      </c>
      <c r="W33" s="9" t="s">
        <v>27</v>
      </c>
      <c r="X33" s="9">
        <f>INDEX('Unique Asset List'!$Y$4:$AE$60,MATCH('3'!$B33,'Unique Asset List'!$A$4:$A$60,0),MATCH('3'!$C$1,'Unique Asset List'!$Y$3:$AE$3,0))</f>
        <v>2032</v>
      </c>
      <c r="Y33" s="9">
        <f>INDEX('Unique Asset List'!$AF$4:$AL$60,MATCH('3'!$B33,'Unique Asset List'!$A$4:$A$60,0),MATCH('3'!$C$1,'Unique Asset List'!$AF$3:$AL$3,0))</f>
        <v>6</v>
      </c>
      <c r="Z33" s="9">
        <f>INDEX('Unique Asset List'!$AT$4:$AZ$60,MATCH('3'!$B33,'Unique Asset List'!$A$4:$A$60,0),MATCH('3'!$C$1,'Unique Asset List'!$AT$3:$AZ$3,0))</f>
        <v>2038</v>
      </c>
      <c r="AA33" s="9">
        <f>INDEX('Unique Asset List'!$BA$4:$BG$60,MATCH('3'!$B33,'Unique Asset List'!$A$4:$A$60,0),MATCH('3'!$C$1,'Unique Asset List'!$BA$3:$BG$3,0))</f>
        <v>9</v>
      </c>
      <c r="AB33" s="16">
        <f t="shared" si="2"/>
        <v>2.0289886000000004</v>
      </c>
      <c r="AC33" s="16">
        <f t="shared" si="3"/>
        <v>0.81843569999999999</v>
      </c>
      <c r="AD33" s="16">
        <f t="shared" si="4"/>
        <v>0.56099999999999994</v>
      </c>
      <c r="AE33" s="15">
        <f>INDEX('Unique Asset List'!$CJ$4:$CP$60,MATCH('3'!$B33,'Unique Asset List'!$A$4:$A$60,0),MATCH('3'!$C$1,'Unique Asset List'!$CJ$3:$CP$3,0))</f>
        <v>0.12</v>
      </c>
      <c r="AF33" s="15">
        <f>INDEX('Unique Asset List'!$CQ$4:$CW$60,MATCH('3'!$B33,'Unique Asset List'!$A$4:$A$60,0),MATCH('3'!$C$1,'Unique Asset List'!$CQ$3:$CW$3,0))</f>
        <v>0.38</v>
      </c>
      <c r="AG33" s="15">
        <f>INDEX('Unique Asset List'!$BV$4:$CB$60,MATCH('3'!$B33,'Unique Asset List'!$A$4:$A$60,0),MATCH('3'!$C$1,'Unique Asset List'!$BV$3:$CB$3,0))</f>
        <v>0.12</v>
      </c>
      <c r="AH33" s="15">
        <f>INDEX('Unique Asset List'!$CC$4:$CI$60,MATCH('3'!$B33,'Unique Asset List'!$A$4:$A$60,0),MATCH('3'!$C$1,'Unique Asset List'!$CC$3:$CI$3,0))</f>
        <v>0.38</v>
      </c>
      <c r="AI33" s="11">
        <v>0.96187963349867744</v>
      </c>
      <c r="AJ33" s="15">
        <f>INDEX('Unique Asset List'!$BH$4:$BN$60,MATCH('3'!$B33,'Unique Asset List'!$A$4:$A$60,0),MATCH('3'!$C$1,'Unique Asset List'!$BH$3:$BN$3,0))</f>
        <v>2.1252009430760062</v>
      </c>
      <c r="AK33" s="15">
        <f>INDEX('Unique Asset List'!$BO$4:$BU$60,MATCH('3'!$B33,'Unique Asset List'!$A$4:$A$60,0),MATCH('3'!$C$1,'Unique Asset List'!$BO$3:$BU$3,0))</f>
        <v>-1.7169645793441486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1</v>
      </c>
      <c r="AY33" s="181">
        <f ca="1">INDEX('Unique Asset List'!S$4:S$60,MATCH($B33,_CompoundList,0))</f>
        <v>1</v>
      </c>
      <c r="AZ33" s="181">
        <f ca="1">INDEX('Unique Asset List'!T$4:T$60,MATCH($B33,_CompoundList,0))</f>
        <v>1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1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3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3</v>
      </c>
      <c r="BL33" s="3">
        <f>IF($C$5="ON",CL33,MyRating(_S1,$B33,Efficacy!$F$1))</f>
        <v>2</v>
      </c>
      <c r="BM33" s="3">
        <f>IF($C$5="ON",CM33,MyRating(_S2,$B33,Efficacy!$F$1))</f>
        <v>3</v>
      </c>
      <c r="BN33" s="3">
        <f>IF($C$5="ON",CN33,MyRating(_S3,$B33,Efficacy!$F$1))</f>
        <v>3</v>
      </c>
      <c r="BO33" s="3">
        <f>IF($C$5="ON",CO33,MyRating(_S4,$B33,Efficacy!$F$1))</f>
        <v>4</v>
      </c>
      <c r="BP33" s="3">
        <f>IF($C$5="ON",CP33,MyRating(_S5,$B33,Efficacy!$F$1))</f>
        <v>5</v>
      </c>
      <c r="BQ33" s="3">
        <f>IF($C$5="ON",CQ33,MyRating(_S6,$B33,Efficacy!$F$1))</f>
        <v>3</v>
      </c>
      <c r="BR33" s="3">
        <f>IF($C$5="ON",CR33,MyRating(_S7,$B33,Efficacy!$F$1))</f>
        <v>3</v>
      </c>
      <c r="BS33" s="3">
        <f>IF($C$5="ON",CS33,MyRating(_D1,$B33,Efficacy!$F$1))</f>
        <v>3</v>
      </c>
      <c r="BT33" s="3">
        <f>IF($C$5="ON",CT33,MyRating(_D2,$B33,Efficacy!$F$1))</f>
        <v>3</v>
      </c>
      <c r="BU33" s="3">
        <f>IF($C$5="ON",CU33,MyRating(_D3,$B33,Efficacy!$F$1))</f>
        <v>3</v>
      </c>
      <c r="BV33" s="3">
        <f>IF($C$5="ON",CV33,MyRating(_D4,$B33,Efficacy!$F$1))</f>
        <v>3</v>
      </c>
      <c r="BW33" s="3">
        <f>IF($C$5="ON",CW33,MyRating(_B1G5,$B33,Barrier!$L$2))</f>
        <v>2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11"/>
        <v>3.3407946312985805E-2</v>
      </c>
      <c r="CA33" s="8">
        <f t="shared" si="6"/>
        <v>2.8000000000000003</v>
      </c>
      <c r="CB33" s="5">
        <f t="shared" si="7"/>
        <v>3.2941176470588251E-2</v>
      </c>
      <c r="CC33" s="7">
        <f t="shared" si="8"/>
        <v>5.9787261089987885E-3</v>
      </c>
      <c r="CD33" s="4">
        <v>4</v>
      </c>
      <c r="CE33" s="3">
        <v>4</v>
      </c>
      <c r="CF33" s="3">
        <v>4</v>
      </c>
      <c r="CG33" s="3">
        <v>4</v>
      </c>
      <c r="CH33" s="3">
        <v>3</v>
      </c>
      <c r="CI33" s="3">
        <v>3</v>
      </c>
      <c r="CJ33" s="3">
        <v>3</v>
      </c>
      <c r="CK33" s="3">
        <v>3</v>
      </c>
      <c r="CL33" s="3">
        <v>2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4</v>
      </c>
      <c r="CS33" s="3">
        <v>3</v>
      </c>
      <c r="CT33" s="3">
        <v>3</v>
      </c>
      <c r="CU33" s="3">
        <v>3</v>
      </c>
      <c r="CV33" s="3">
        <v>3</v>
      </c>
      <c r="CW33" s="3">
        <v>2</v>
      </c>
      <c r="CX33" s="3">
        <v>3</v>
      </c>
      <c r="CY33" s="6">
        <v>3</v>
      </c>
      <c r="CZ33" s="5">
        <v>3.6275844714639842E-2</v>
      </c>
      <c r="DA33" s="59">
        <f t="shared" si="9"/>
        <v>2033</v>
      </c>
      <c r="DB33">
        <f t="shared" si="10"/>
        <v>9</v>
      </c>
    </row>
    <row r="34" spans="1:106" x14ac:dyDescent="0.25">
      <c r="A34" s="9" t="str">
        <f t="shared" si="0"/>
        <v>FR</v>
      </c>
      <c r="B34" s="9" t="s">
        <v>61</v>
      </c>
      <c r="C34" s="20"/>
      <c r="D34" s="9" t="s">
        <v>60</v>
      </c>
      <c r="E34" s="9" t="s">
        <v>59</v>
      </c>
      <c r="F34" s="9" t="str">
        <f>INDEX('Unique Asset List'!$C$4:$C$60,MATCH(B34,_CompoundList,0))</f>
        <v>Ph1</v>
      </c>
      <c r="G34" s="19">
        <v>0</v>
      </c>
      <c r="H34" s="9">
        <v>2014</v>
      </c>
      <c r="I34" s="9">
        <v>6</v>
      </c>
      <c r="J34" s="18">
        <f>INDEX(PTRS!$D$6:$D$12,MATCH('3'!$F34,PTRS!$B$6:$B$12,0))</f>
        <v>0.13923000000000002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v>0.13923000000000002</v>
      </c>
      <c r="N34" s="17">
        <f>INDEX('Unique Asset List'!$D$4:$M$60,MATCH($B34,'Unique Asset List'!$A$4:$A$60,0),MATCH(N$8,'Unique Asset List'!$D$3:$M$3,0))</f>
        <v>0.13923000000000002</v>
      </c>
      <c r="O34" s="17">
        <f>INDEX('Unique Asset List'!$D$4:$M$60,MATCH($B34,'Unique Asset List'!$A$4:$A$60,0),MATCH(O$8,'Unique Asset List'!$D$3:$M$3,0))</f>
        <v>0.13923000000000002</v>
      </c>
      <c r="P34" s="17">
        <f>INDEX('Unique Asset List'!$D$4:$M$60,MATCH($B34,'Unique Asset List'!$A$4:$A$60,0),MATCH(P$8,'Unique Asset List'!$D$3:$M$3,0))</f>
        <v>0.13923000000000002</v>
      </c>
      <c r="Q34" s="17">
        <f>INDEX('Unique Asset List'!$D$4:$M$60,MATCH($B34,'Unique Asset List'!$A$4:$A$60,0),MATCH(Q$8,'Unique Asset List'!$D$3:$M$3,0))</f>
        <v>0.13923000000000002</v>
      </c>
      <c r="R34" s="17">
        <f>INDEX('Unique Asset List'!$D$4:$M$60,MATCH($B34,'Unique Asset List'!$A$4:$A$60,0),MATCH(R$8,'Unique Asset List'!$D$3:$M$3,0))</f>
        <v>0.13923000000000002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1"/>
        <v>0.90168566420734264</v>
      </c>
      <c r="V34" s="17">
        <v>1</v>
      </c>
      <c r="W34" s="9" t="s">
        <v>57</v>
      </c>
      <c r="X34" s="9">
        <f>INDEX('Unique Asset List'!$Y$4:$AE$60,MATCH('3'!$B34,'Unique Asset List'!$A$4:$A$60,0),MATCH('3'!$C$1,'Unique Asset List'!$Y$3:$AE$3,0))</f>
        <v>2029</v>
      </c>
      <c r="Y34" s="9">
        <f>INDEX('Unique Asset List'!$AF$4:$AL$60,MATCH('3'!$B34,'Unique Asset List'!$A$4:$A$60,0),MATCH('3'!$C$1,'Unique Asset List'!$AF$3:$AL$3,0))</f>
        <v>9</v>
      </c>
      <c r="Z34" s="9">
        <f>INDEX('Unique Asset List'!$AT$4:$AZ$60,MATCH('3'!$B34,'Unique Asset List'!$A$4:$A$60,0),MATCH('3'!$C$1,'Unique Asset List'!$AT$3:$AZ$3,0))</f>
        <v>2036</v>
      </c>
      <c r="AA34" s="9">
        <f>INDEX('Unique Asset List'!$BA$4:$BG$60,MATCH('3'!$B34,'Unique Asset List'!$A$4:$A$60,0),MATCH('3'!$C$1,'Unique Asset List'!$BA$3:$BG$3,0))</f>
        <v>9</v>
      </c>
      <c r="AB34" s="16">
        <f t="shared" si="2"/>
        <v>2.3276916000000001</v>
      </c>
      <c r="AC34" s="16">
        <f t="shared" si="3"/>
        <v>0.87990560000000007</v>
      </c>
      <c r="AD34" s="16">
        <f t="shared" si="4"/>
        <v>0.56099999999999994</v>
      </c>
      <c r="AE34" s="15">
        <f>INDEX('Unique Asset List'!$CJ$4:$CP$60,MATCH('3'!$B34,'Unique Asset List'!$A$4:$A$60,0),MATCH('3'!$C$1,'Unique Asset List'!$CJ$3:$CP$3,0))</f>
        <v>0.17</v>
      </c>
      <c r="AF34" s="15">
        <f>INDEX('Unique Asset List'!$CQ$4:$CW$60,MATCH('3'!$B34,'Unique Asset List'!$A$4:$A$60,0),MATCH('3'!$C$1,'Unique Asset List'!$CQ$3:$CW$3,0))</f>
        <v>0.33</v>
      </c>
      <c r="AG34" s="15">
        <f>INDEX('Unique Asset List'!$BV$4:$CB$60,MATCH('3'!$B34,'Unique Asset List'!$A$4:$A$60,0),MATCH('3'!$C$1,'Unique Asset List'!$BV$3:$CB$3,0))</f>
        <v>0.17</v>
      </c>
      <c r="AH34" s="15">
        <f>INDEX('Unique Asset List'!$CC$4:$CI$60,MATCH('3'!$B34,'Unique Asset List'!$A$4:$A$60,0),MATCH('3'!$C$1,'Unique Asset List'!$CC$3:$CI$3,0))</f>
        <v>0.33</v>
      </c>
      <c r="AI34" s="11">
        <v>0.96187963349867744</v>
      </c>
      <c r="AJ34" s="15">
        <f>INDEX('Unique Asset List'!$BH$4:$BN$60,MATCH('3'!$B34,'Unique Asset List'!$A$4:$A$60,0),MATCH('3'!$C$1,'Unique Asset List'!$BH$3:$BN$3,0))</f>
        <v>2.1252009430760062</v>
      </c>
      <c r="AK34" s="15">
        <f>INDEX('Unique Asset List'!$BO$4:$BU$60,MATCH('3'!$B34,'Unique Asset List'!$A$4:$A$60,0),MATCH('3'!$C$1,'Unique Asset List'!$BO$3:$BU$3,0))</f>
        <v>-1.7169645793441486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0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1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5</v>
      </c>
      <c r="BF34" s="3">
        <f>IF($C$5="ON",CF34,MyRating(_E3,$B34,Efficacy!$F$1))</f>
        <v>5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IF($C$5="ON",CL34,MyRating(_S1,$B34,Efficacy!$F$1))</f>
        <v>3</v>
      </c>
      <c r="BM34" s="3">
        <f>IF($C$5="ON",CM34,MyRating(_S2,$B34,Efficacy!$F$1))</f>
        <v>3</v>
      </c>
      <c r="BN34" s="3">
        <f>IF($C$5="ON",CN34,MyRating(_S3,$B34,Efficacy!$F$1))</f>
        <v>3</v>
      </c>
      <c r="BO34" s="3">
        <f>IF($C$5="ON",CO34,MyRating(_S4,$B34,Efficacy!$F$1))</f>
        <v>4</v>
      </c>
      <c r="BP34" s="3">
        <f>IF($C$5="ON",CP34,MyRating(_S5,$B34,Efficacy!$F$1))</f>
        <v>5</v>
      </c>
      <c r="BQ34" s="3">
        <f>IF($C$5="ON",CQ34,MyRating(_S6,$B34,Efficacy!$F$1))</f>
        <v>3</v>
      </c>
      <c r="BR34" s="3">
        <f>IF($C$5="ON",CR34,MyRating(_S7,$B34,Efficacy!$F$1))</f>
        <v>3</v>
      </c>
      <c r="BS34" s="3">
        <f>IF($C$5="ON",CS34,MyRating(_D1,$B34,Efficacy!$F$1))</f>
        <v>3</v>
      </c>
      <c r="BT34" s="3">
        <f>IF($C$5="ON",CT34,MyRating(_D2,$B34,Efficacy!$F$1))</f>
        <v>3</v>
      </c>
      <c r="BU34" s="3">
        <f>IF($C$5="ON",CU34,MyRating(_D3,$B34,Efficacy!$F$1))</f>
        <v>3</v>
      </c>
      <c r="BV34" s="3">
        <f>IF($C$5="ON",CV34,MyRating(_D4,$B34,Efficacy!$F$1))</f>
        <v>3</v>
      </c>
      <c r="BW34" s="3">
        <f>IF($C$5="ON",CW34,MyRating(_B1G5,$B34,Barrier!$L$2))</f>
        <v>2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11"/>
        <v>3.3407946312985805E-2</v>
      </c>
      <c r="CA34" s="8">
        <f t="shared" si="6"/>
        <v>2.8000000000000003</v>
      </c>
      <c r="CB34" s="5">
        <f t="shared" si="7"/>
        <v>3.2941176470588251E-2</v>
      </c>
      <c r="CC34" s="7">
        <f t="shared" si="8"/>
        <v>5.9787261089987885E-3</v>
      </c>
      <c r="CD34" s="4">
        <v>4</v>
      </c>
      <c r="CE34" s="3">
        <v>5</v>
      </c>
      <c r="CF34" s="3">
        <v>5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5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2</v>
      </c>
      <c r="CX34" s="3">
        <v>3</v>
      </c>
      <c r="CY34" s="6">
        <v>3</v>
      </c>
      <c r="CZ34" s="5">
        <v>3.6275844714639842E-2</v>
      </c>
      <c r="DA34" s="59">
        <f t="shared" si="9"/>
        <v>2030</v>
      </c>
      <c r="DB34">
        <f t="shared" si="10"/>
        <v>0</v>
      </c>
    </row>
    <row r="35" spans="1:106" x14ac:dyDescent="0.25">
      <c r="A35" s="9" t="str">
        <f t="shared" si="0"/>
        <v>FR</v>
      </c>
      <c r="B35" s="9" t="s">
        <v>278</v>
      </c>
      <c r="C35" s="20" t="s">
        <v>3</v>
      </c>
      <c r="D35" s="9" t="s">
        <v>55</v>
      </c>
      <c r="E35" s="9" t="s">
        <v>186</v>
      </c>
      <c r="F35" s="9" t="str">
        <f>INDEX('Unique Asset List'!$C$4:$C$60,MATCH(B35,_CompoundList,0))</f>
        <v>Ph2a</v>
      </c>
      <c r="G35" s="19">
        <v>0</v>
      </c>
      <c r="H35" s="9">
        <v>2014</v>
      </c>
      <c r="I35" s="9">
        <v>6</v>
      </c>
      <c r="J35" s="18">
        <f>INDEX(PTRS!$D$6:$D$12,MATCH('3'!$F35,PTRS!$B$6:$B$12,0))</f>
        <v>0.1638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v>5.4600000000000003E-2</v>
      </c>
      <c r="N35" s="17">
        <f>INDEX('Unique Asset List'!$D$4:$M$60,MATCH($B35,'Unique Asset List'!$A$4:$A$60,0),MATCH(N$8,'Unique Asset List'!$D$3:$M$3,0))</f>
        <v>0.1638</v>
      </c>
      <c r="O35" s="17">
        <f>INDEX('Unique Asset List'!$D$4:$M$60,MATCH($B35,'Unique Asset List'!$A$4:$A$60,0),MATCH(O$8,'Unique Asset List'!$D$3:$M$3,0))</f>
        <v>0.1638</v>
      </c>
      <c r="P35" s="17">
        <f>INDEX('Unique Asset List'!$D$4:$M$60,MATCH($B35,'Unique Asset List'!$A$4:$A$60,0),MATCH(P$8,'Unique Asset List'!$D$3:$M$3,0))</f>
        <v>0.1638</v>
      </c>
      <c r="Q35" s="17">
        <f>INDEX('Unique Asset List'!$D$4:$M$60,MATCH($B35,'Unique Asset List'!$A$4:$A$60,0),MATCH(Q$8,'Unique Asset List'!$D$3:$M$3,0))</f>
        <v>0.1638</v>
      </c>
      <c r="R35" s="17">
        <f>INDEX('Unique Asset List'!$D$4:$M$60,MATCH($B35,'Unique Asset List'!$A$4:$A$60,0),MATCH(R$8,'Unique Asset List'!$D$3:$M$3,0))</f>
        <v>0.1638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1"/>
        <v>0</v>
      </c>
      <c r="V35" s="17">
        <v>1</v>
      </c>
      <c r="W35" s="9" t="s">
        <v>54</v>
      </c>
      <c r="X35" s="9">
        <f>INDEX('Unique Asset List'!$Y$4:$AE$60,MATCH('3'!$B35,'Unique Asset List'!$A$4:$A$60,0),MATCH('3'!$C$1,'Unique Asset List'!$Y$3:$AE$3,0))</f>
        <v>2024</v>
      </c>
      <c r="Y35" s="9">
        <f>INDEX('Unique Asset List'!$AF$4:$AL$60,MATCH('3'!$B35,'Unique Asset List'!$A$4:$A$60,0),MATCH('3'!$C$1,'Unique Asset List'!$AF$3:$AL$3,0))</f>
        <v>9</v>
      </c>
      <c r="Z35" s="9">
        <f>INDEX('Unique Asset List'!$AT$4:$AZ$60,MATCH('3'!$B35,'Unique Asset List'!$A$4:$A$60,0),MATCH('3'!$C$1,'Unique Asset List'!$AT$3:$AZ$3,0))</f>
        <v>2036</v>
      </c>
      <c r="AA35" s="9">
        <f>INDEX('Unique Asset List'!$BA$4:$BG$60,MATCH('3'!$B35,'Unique Asset List'!$A$4:$A$60,0),MATCH('3'!$C$1,'Unique Asset List'!$BA$3:$BG$3,0))</f>
        <v>9</v>
      </c>
      <c r="AB35" s="16">
        <f t="shared" si="2"/>
        <v>0</v>
      </c>
      <c r="AC35" s="16">
        <f t="shared" si="3"/>
        <v>0</v>
      </c>
      <c r="AD35" s="16">
        <f t="shared" si="4"/>
        <v>0</v>
      </c>
      <c r="AE35" s="15">
        <f>INDEX('Unique Asset List'!$CJ$4:$CP$60,MATCH('3'!$B35,'Unique Asset List'!$A$4:$A$60,0),MATCH('3'!$C$1,'Unique Asset List'!$CJ$3:$CP$3,0))</f>
        <v>0.12</v>
      </c>
      <c r="AF35" s="15">
        <f>INDEX('Unique Asset List'!$CQ$4:$CW$60,MATCH('3'!$B35,'Unique Asset List'!$A$4:$A$60,0),MATCH('3'!$C$1,'Unique Asset List'!$CQ$3:$CW$3,0))</f>
        <v>0.38</v>
      </c>
      <c r="AG35" s="15">
        <f>INDEX('Unique Asset List'!$BV$4:$CB$60,MATCH('3'!$B35,'Unique Asset List'!$A$4:$A$60,0),MATCH('3'!$C$1,'Unique Asset List'!$BV$3:$CB$3,0))</f>
        <v>0.12</v>
      </c>
      <c r="AH35" s="15">
        <f>INDEX('Unique Asset List'!$CC$4:$CI$60,MATCH('3'!$B35,'Unique Asset List'!$A$4:$A$60,0),MATCH('3'!$C$1,'Unique Asset List'!$CC$3:$CI$3,0))</f>
        <v>0.38</v>
      </c>
      <c r="AI35" s="11">
        <v>0.96187963349867744</v>
      </c>
      <c r="AJ35" s="15">
        <f>INDEX('Unique Asset List'!$BH$4:$BN$60,MATCH('3'!$B35,'Unique Asset List'!$A$4:$A$60,0),MATCH('3'!$C$1,'Unique Asset List'!$BH$3:$BN$3,0))</f>
        <v>2.1252009430760062</v>
      </c>
      <c r="AK35" s="15">
        <f>INDEX('Unique Asset List'!$BO$4:$BU$60,MATCH('3'!$B35,'Unique Asset List'!$A$4:$A$60,0),MATCH('3'!$C$1,'Unique Asset List'!$BO$3:$BU$3,0))</f>
        <v>-1.7169645793441486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0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0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0</v>
      </c>
      <c r="BC35" s="181">
        <f ca="1">INDEX('Unique Asset List'!W$4:W$60,MATCH($B35,_CompoundList,0))</f>
        <v>1</v>
      </c>
      <c r="BD35" s="4">
        <f>IF($C$5="ON",CD35,MyRating(_E1,$B35,Efficacy!$F$1))</f>
        <v>0</v>
      </c>
      <c r="BE35" s="3">
        <f>IF($C$5="ON",CE35,MyRating(_E2,$B35,Efficacy!$F$1))</f>
        <v>0</v>
      </c>
      <c r="BF35" s="3">
        <f>IF($C$5="ON",CF35,MyRating(_E3,$B35,Efficacy!$F$1))</f>
        <v>0</v>
      </c>
      <c r="BG35" s="3">
        <f>IF($C$5="ON",CG35,MyRating(_E4,$B35,Efficacy!$F$1))</f>
        <v>0</v>
      </c>
      <c r="BH35" s="3">
        <f>IF($C$5="ON",CH35,MyRating(_E5,$B35,Efficacy!$F$1))</f>
        <v>0</v>
      </c>
      <c r="BI35" s="3">
        <f>IF($C$5="ON",CI35,MyRating(_E6,$B35,Efficacy!$F$1))</f>
        <v>0</v>
      </c>
      <c r="BJ35" s="3">
        <f>IF($C$5="ON",CJ35,MyRating(_E7,$B35,Efficacy!$F$1))</f>
        <v>0</v>
      </c>
      <c r="BK35" s="3">
        <f>IF($C$5="ON",CK35,MyRating(_E8,$B35,Efficacy!$F$1))</f>
        <v>0</v>
      </c>
      <c r="BL35" s="3">
        <f>IF($C$5="ON",CL35,MyRating(_S1,$B35,Efficacy!$F$1))</f>
        <v>0</v>
      </c>
      <c r="BM35" s="3">
        <f>IF($C$5="ON",CM35,MyRating(_S2,$B35,Efficacy!$F$1))</f>
        <v>0</v>
      </c>
      <c r="BN35" s="3">
        <f>IF($C$5="ON",CN35,MyRating(_S3,$B35,Efficacy!$F$1))</f>
        <v>0</v>
      </c>
      <c r="BO35" s="3">
        <f>IF($C$5="ON",CO35,MyRating(_S4,$B35,Efficacy!$F$1))</f>
        <v>0</v>
      </c>
      <c r="BP35" s="3">
        <f>IF($C$5="ON",CP35,MyRating(_S5,$B35,Efficacy!$F$1))</f>
        <v>0</v>
      </c>
      <c r="BQ35" s="3">
        <f>IF($C$5="ON",CQ35,MyRating(_S6,$B35,Efficacy!$F$1))</f>
        <v>0</v>
      </c>
      <c r="BR35" s="3">
        <f>IF($C$5="ON",CR35,MyRating(_S7,$B35,Efficacy!$F$1))</f>
        <v>0</v>
      </c>
      <c r="BS35" s="3">
        <f>IF($C$5="ON",CS35,MyRating(_D1,$B35,Efficacy!$F$1))</f>
        <v>0</v>
      </c>
      <c r="BT35" s="3">
        <f>IF($C$5="ON",CT35,MyRating(_D2,$B35,Efficacy!$F$1))</f>
        <v>0</v>
      </c>
      <c r="BU35" s="3">
        <f>IF($C$5="ON",CU35,MyRating(_D3,$B35,Efficacy!$F$1))</f>
        <v>0</v>
      </c>
      <c r="BV35" s="3">
        <f>IF($C$5="ON",CV35,MyRating(_D4,$B35,Efficacy!$F$1))</f>
        <v>0</v>
      </c>
      <c r="BW35" s="3">
        <f>IF($C$5="ON",CW35,MyRating(_B1G5,$B35,Barrier!$L$2))</f>
        <v>0</v>
      </c>
      <c r="BX35" s="3">
        <f>IF($C$5="ON",CX35,MyRating(_B2,$B35,Barrier!$F$2))</f>
        <v>0</v>
      </c>
      <c r="BY35" s="6">
        <f>IF($C$5="ON",CY35,MyRating(_B3,$B35,Barrier!$F$2))</f>
        <v>0</v>
      </c>
      <c r="BZ35" s="5">
        <f t="shared" si="11"/>
        <v>0</v>
      </c>
      <c r="CA35" s="8">
        <f t="shared" si="6"/>
        <v>0</v>
      </c>
      <c r="CB35" s="5">
        <f t="shared" si="7"/>
        <v>0</v>
      </c>
      <c r="CC35" s="7">
        <f t="shared" si="8"/>
        <v>0</v>
      </c>
      <c r="CD35" s="4">
        <v>2</v>
      </c>
      <c r="CE35" s="3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4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2</v>
      </c>
      <c r="CX35" s="3">
        <v>3</v>
      </c>
      <c r="CY35" s="6">
        <v>3</v>
      </c>
      <c r="CZ35" s="5">
        <v>3.6275844714639842E-2</v>
      </c>
      <c r="DA35" s="59">
        <f t="shared" si="9"/>
        <v>2025</v>
      </c>
      <c r="DB35">
        <f t="shared" si="10"/>
        <v>0</v>
      </c>
    </row>
    <row r="36" spans="1:106" x14ac:dyDescent="0.25">
      <c r="A36" s="9" t="str">
        <f t="shared" si="0"/>
        <v>FR</v>
      </c>
      <c r="B36" s="9" t="s">
        <v>53</v>
      </c>
      <c r="C36" s="20"/>
      <c r="D36" s="9" t="s">
        <v>52</v>
      </c>
      <c r="E36" s="9" t="s">
        <v>186</v>
      </c>
      <c r="F36" s="9" t="str">
        <f>INDEX('Unique Asset List'!$C$4:$C$60,MATCH(B36,_CompoundList,0))</f>
        <v>Ph2a</v>
      </c>
      <c r="G36" s="19">
        <v>0</v>
      </c>
      <c r="H36" s="9">
        <v>2014</v>
      </c>
      <c r="I36" s="9">
        <v>6</v>
      </c>
      <c r="J36" s="18">
        <f>INDEX(PTRS!$D$6:$D$12,MATCH('3'!$F36,PTRS!$B$6:$B$12,0))</f>
        <v>0.1638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0.1638</v>
      </c>
      <c r="N36" s="17">
        <f>INDEX('Unique Asset List'!$D$4:$M$60,MATCH($B36,'Unique Asset List'!$A$4:$A$60,0),MATCH(N$8,'Unique Asset List'!$D$3:$M$3,0))</f>
        <v>0.1638</v>
      </c>
      <c r="O36" s="17">
        <f>INDEX('Unique Asset List'!$D$4:$M$60,MATCH($B36,'Unique Asset List'!$A$4:$A$60,0),MATCH(O$8,'Unique Asset List'!$D$3:$M$3,0))</f>
        <v>0.1638</v>
      </c>
      <c r="P36" s="17">
        <f>INDEX('Unique Asset List'!$D$4:$M$60,MATCH($B36,'Unique Asset List'!$A$4:$A$60,0),MATCH(P$8,'Unique Asset List'!$D$3:$M$3,0))</f>
        <v>0.1638</v>
      </c>
      <c r="Q36" s="17">
        <f>INDEX('Unique Asset List'!$D$4:$M$60,MATCH($B36,'Unique Asset List'!$A$4:$A$60,0),MATCH(Q$8,'Unique Asset List'!$D$3:$M$3,0))</f>
        <v>0.1638</v>
      </c>
      <c r="R36" s="17">
        <f>INDEX('Unique Asset List'!$D$4:$M$60,MATCH($B36,'Unique Asset List'!$A$4:$A$60,0),MATCH(R$8,'Unique Asset List'!$D$3:$M$3,0))</f>
        <v>0.1638</v>
      </c>
      <c r="S36" s="17">
        <f>INDEX('Unique Asset List'!$D$4:$M$60,MATCH($B36,'Unique Asset List'!$A$4:$A$60,0),MATCH(S$8,'Unique Asset List'!$D$3:$M$3,0))</f>
        <v>0</v>
      </c>
      <c r="T36" s="17"/>
      <c r="U36" s="17">
        <f>BZ36/$BZ$7</f>
        <v>0.90168566420734264</v>
      </c>
      <c r="V36" s="17">
        <v>1</v>
      </c>
      <c r="W36" s="9" t="s">
        <v>50</v>
      </c>
      <c r="X36" s="9">
        <f>INDEX('Unique Asset List'!$Y$4:$AE$60,MATCH('3'!$B36,'Unique Asset List'!$A$4:$A$60,0),MATCH('3'!$C$1,'Unique Asset List'!$Y$3:$AE$3,0))</f>
        <v>2025</v>
      </c>
      <c r="Y36" s="9">
        <f>INDEX('Unique Asset List'!$AF$4:$AL$60,MATCH('3'!$B36,'Unique Asset List'!$A$4:$A$60,0),MATCH('3'!$C$1,'Unique Asset List'!$AF$3:$AL$3,0))</f>
        <v>9</v>
      </c>
      <c r="Z36" s="9">
        <f>INDEX('Unique Asset List'!$AT$4:$AZ$60,MATCH('3'!$B36,'Unique Asset List'!$A$4:$A$60,0),MATCH('3'!$C$1,'Unique Asset List'!$AT$3:$AZ$3,0))</f>
        <v>2036</v>
      </c>
      <c r="AA36" s="9">
        <f>INDEX('Unique Asset List'!$BA$4:$BG$60,MATCH('3'!$B36,'Unique Asset List'!$A$4:$A$60,0),MATCH('3'!$C$1,'Unique Asset List'!$BA$3:$BG$3,0))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List'!$CJ$4:$CP$60,MATCH('3'!$B36,'Unique Asset List'!$A$4:$A$60,0),MATCH('3'!$C$1,'Unique Asset List'!$CJ$3:$CP$3,0))</f>
        <v>0.12</v>
      </c>
      <c r="AF36" s="15">
        <f>INDEX('Unique Asset List'!$CQ$4:$CW$60,MATCH('3'!$B36,'Unique Asset List'!$A$4:$A$60,0),MATCH('3'!$C$1,'Unique Asset List'!$CQ$3:$CW$3,0))</f>
        <v>0.38</v>
      </c>
      <c r="AG36" s="15">
        <f>INDEX('Unique Asset List'!$BV$4:$CB$60,MATCH('3'!$B36,'Unique Asset List'!$A$4:$A$60,0),MATCH('3'!$C$1,'Unique Asset List'!$BV$3:$CB$3,0))</f>
        <v>0.12</v>
      </c>
      <c r="AH36" s="15">
        <f>INDEX('Unique Asset List'!$CC$4:$CI$60,MATCH('3'!$B36,'Unique Asset List'!$A$4:$A$60,0),MATCH('3'!$C$1,'Unique Asset List'!$CC$3:$CI$3,0))</f>
        <v>0.38</v>
      </c>
      <c r="AI36" s="11">
        <v>0.96187963349867744</v>
      </c>
      <c r="AJ36" s="15">
        <f>INDEX('Unique Asset List'!$BH$4:$BN$60,MATCH('3'!$B36,'Unique Asset List'!$A$4:$A$60,0),MATCH('3'!$C$1,'Unique Asset List'!$BH$3:$BN$3,0))</f>
        <v>2.1252009430760062</v>
      </c>
      <c r="AK36" s="15">
        <f>INDEX('Unique Asset List'!$BO$4:$BU$60,MATCH('3'!$B36,'Unique Asset List'!$A$4:$A$60,0),MATCH('3'!$C$1,'Unique Asset List'!$BO$3:$BU$3,0))</f>
        <v>-1.7169645793441486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1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1</v>
      </c>
      <c r="BB36" s="181">
        <f ca="1">INDEX('Unique Asset List'!V$4:V$60,MATCH($B36,_CompoundList,0))</f>
        <v>1</v>
      </c>
      <c r="BC36" s="181">
        <f ca="1">INDEX('Unique Asset List'!W$4:W$60,MATCH($B36,_CompoundList,0))</f>
        <v>0</v>
      </c>
      <c r="BD36" s="4">
        <f>IF($C$5="ON",CD36,MyRating(_E1,$B36,Efficacy!$F$1))</f>
        <v>3</v>
      </c>
      <c r="BE36" s="3">
        <f>IF($C$5="ON",CE36,MyRating(_E2,$B36,Efficacy!$F$1))</f>
        <v>3</v>
      </c>
      <c r="BF36" s="3">
        <f>IF($C$5="ON",CF36,MyRating(_E3,$B36,Efficacy!$F$1))</f>
        <v>3</v>
      </c>
      <c r="BG36" s="3">
        <f>IF($C$5="ON",CG36,MyRating(_E4,$B36,Efficacy!$F$1))</f>
        <v>3</v>
      </c>
      <c r="BH36" s="3">
        <f>IF($C$5="ON",CH36,MyRating(_E5,$B36,Efficacy!$F$1))</f>
        <v>3</v>
      </c>
      <c r="BI36" s="3">
        <f>IF($C$5="ON",CI36,MyRating(_E6,$B36,Efficacy!$F$1))</f>
        <v>3</v>
      </c>
      <c r="BJ36" s="3">
        <f>IF($C$5="ON",CJ36,MyRating(_E7,$B36,Efficacy!$F$1))</f>
        <v>3</v>
      </c>
      <c r="BK36" s="3">
        <f>IF($C$5="ON",CK36,MyRating(_E8,$B36,Efficacy!$F$1))</f>
        <v>3</v>
      </c>
      <c r="BL36" s="3">
        <f>IF($C$5="ON",CL36,MyRating(_S1,$B36,Efficacy!$F$1))</f>
        <v>3</v>
      </c>
      <c r="BM36" s="3">
        <f>IF($C$5="ON",CM36,MyRating(_S2,$B36,Efficacy!$F$1))</f>
        <v>3</v>
      </c>
      <c r="BN36" s="3">
        <f>IF($C$5="ON",CN36,MyRating(_S3,$B36,Efficacy!$F$1))</f>
        <v>3</v>
      </c>
      <c r="BO36" s="3">
        <f>IF($C$5="ON",CO36,MyRating(_S4,$B36,Efficacy!$F$1))</f>
        <v>3</v>
      </c>
      <c r="BP36" s="3">
        <f>IF($C$5="ON",CP36,MyRating(_S5,$B36,Efficacy!$F$1))</f>
        <v>3</v>
      </c>
      <c r="BQ36" s="3">
        <f>IF($C$5="ON",CQ36,MyRating(_S6,$B36,Efficacy!$F$1))</f>
        <v>3</v>
      </c>
      <c r="BR36" s="3">
        <f>IF($C$5="ON",CR36,MyRating(_S7,$B36,Efficacy!$F$1))</f>
        <v>3</v>
      </c>
      <c r="BS36" s="3">
        <f>IF($C$5="ON",CS36,MyRating(_D1,$B36,Efficacy!$F$1))</f>
        <v>3</v>
      </c>
      <c r="BT36" s="3">
        <f>IF($C$5="ON",CT36,MyRating(_D2,$B36,Efficacy!$F$1))</f>
        <v>3</v>
      </c>
      <c r="BU36" s="3">
        <f>IF($C$5="ON",CU36,MyRating(_D3,$B36,Efficacy!$F$1))</f>
        <v>3</v>
      </c>
      <c r="BV36" s="3">
        <f>IF($C$5="ON",CV36,MyRating(_D4,$B36,Efficacy!$F$1))</f>
        <v>3</v>
      </c>
      <c r="BW36" s="3">
        <f>IF($C$5="ON",CW36,MyRating(_B1G5,$B36,Barrier!$L$2))</f>
        <v>2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11"/>
        <v>3.3407946312985805E-2</v>
      </c>
      <c r="CA36" s="8">
        <f t="shared" si="6"/>
        <v>2.8000000000000003</v>
      </c>
      <c r="CB36" s="5">
        <f t="shared" si="7"/>
        <v>3.2941176470588251E-2</v>
      </c>
      <c r="CC36" s="7">
        <f t="shared" si="8"/>
        <v>5.9787261089987885E-3</v>
      </c>
      <c r="CD36" s="4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2</v>
      </c>
      <c r="CX36" s="3">
        <v>3</v>
      </c>
      <c r="CY36" s="6">
        <v>3</v>
      </c>
      <c r="CZ36" s="5">
        <v>3.6275844714639842E-2</v>
      </c>
      <c r="DA36" s="59">
        <f t="shared" si="9"/>
        <v>2026</v>
      </c>
      <c r="DB36">
        <f t="shared" si="10"/>
        <v>0</v>
      </c>
    </row>
    <row r="37" spans="1:106" x14ac:dyDescent="0.25">
      <c r="A37" s="9" t="str">
        <f t="shared" si="0"/>
        <v>FR</v>
      </c>
      <c r="B37" s="9" t="s">
        <v>45</v>
      </c>
      <c r="C37" s="20"/>
      <c r="D37" s="9" t="s">
        <v>44</v>
      </c>
      <c r="E37" s="9" t="s">
        <v>186</v>
      </c>
      <c r="F37" s="9" t="str">
        <f>INDEX('Unique Asset List'!$C$4:$C$60,MATCH(B37,_CompoundList,0))</f>
        <v>Ph2b</v>
      </c>
      <c r="G37" s="19">
        <v>0</v>
      </c>
      <c r="H37" s="9">
        <v>2014</v>
      </c>
      <c r="I37" s="9">
        <v>6</v>
      </c>
      <c r="J37" s="18">
        <f>INDEX(PTRS!$D$6:$D$12,MATCH('3'!$F37,PTRS!$B$6:$B$12,0))</f>
        <v>0.40949999999999998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0.40949999999999998</v>
      </c>
      <c r="N37" s="17">
        <f>INDEX('Unique Asset List'!$D$4:$M$60,MATCH($B37,'Unique Asset List'!$A$4:$A$60,0),MATCH(N$8,'Unique Asset List'!$D$3:$M$3,0))</f>
        <v>0.59</v>
      </c>
      <c r="O37" s="17">
        <f>INDEX('Unique Asset List'!$D$4:$M$60,MATCH($B37,'Unique Asset List'!$A$4:$A$60,0),MATCH(O$8,'Unique Asset List'!$D$3:$M$3,0))</f>
        <v>0.59</v>
      </c>
      <c r="P37" s="17">
        <f>INDEX('Unique Asset List'!$D$4:$M$60,MATCH($B37,'Unique Asset List'!$A$4:$A$60,0),MATCH(P$8,'Unique Asset List'!$D$3:$M$3,0))</f>
        <v>0.59</v>
      </c>
      <c r="Q37" s="17">
        <f>INDEX('Unique Asset List'!$D$4:$M$60,MATCH($B37,'Unique Asset List'!$A$4:$A$60,0),MATCH(Q$8,'Unique Asset List'!$D$3:$M$3,0))</f>
        <v>0.59</v>
      </c>
      <c r="R37" s="17">
        <f>INDEX('Unique Asset List'!$D$4:$M$60,MATCH($B37,'Unique Asset List'!$A$4:$A$60,0),MATCH(R$8,'Unique Asset List'!$D$3:$M$3,0))</f>
        <v>0.59</v>
      </c>
      <c r="S37" s="17">
        <f>INDEX('Unique Asset List'!$D$4:$M$60,MATCH($B37,'Unique Asset List'!$A$4:$A$60,0),MATCH(S$8,'Unique Asset List'!$D$3:$M$3,0))</f>
        <v>1</v>
      </c>
      <c r="T37" s="17"/>
      <c r="U37" s="17">
        <f t="shared" ref="U37:U50" si="12">BZ37/$BZ$7</f>
        <v>0.80682275808442805</v>
      </c>
      <c r="V37" s="17">
        <f>5*7/Simulation!D5</f>
        <v>0.2</v>
      </c>
      <c r="W37" s="9" t="s">
        <v>42</v>
      </c>
      <c r="X37" s="9">
        <f>INDEX('Unique Asset List'!$Y$4:$AE$60,MATCH('3'!$B37,'Unique Asset List'!$A$4:$A$60,0),MATCH('3'!$C$1,'Unique Asset List'!$Y$3:$AE$3,0))</f>
        <v>2025</v>
      </c>
      <c r="Y37" s="9">
        <f>INDEX('Unique Asset List'!$AF$4:$AL$60,MATCH('3'!$B37,'Unique Asset List'!$A$4:$A$60,0),MATCH('3'!$C$1,'Unique Asset List'!$AF$3:$AL$3,0))</f>
        <v>0.99999999999909051</v>
      </c>
      <c r="Z37" s="9">
        <f>INDEX('Unique Asset List'!$AT$4:$AZ$60,MATCH('3'!$B37,'Unique Asset List'!$A$4:$A$60,0),MATCH('3'!$C$1,'Unique Asset List'!$AT$3:$AZ$3,0))</f>
        <v>2035</v>
      </c>
      <c r="AA37" s="9">
        <f>INDEX('Unique Asset List'!$BA$4:$BG$60,MATCH('3'!$B37,'Unique Asset List'!$A$4:$A$60,0),MATCH('3'!$C$1,'Unique Asset List'!$BA$3:$BG$3,0))</f>
        <v>1</v>
      </c>
      <c r="AB37" s="16">
        <f t="shared" si="2"/>
        <v>2.1065446000000003</v>
      </c>
      <c r="AC37" s="16">
        <f t="shared" si="3"/>
        <v>0.86040290000000008</v>
      </c>
      <c r="AD37" s="16">
        <f t="shared" si="4"/>
        <v>0.56099999999999994</v>
      </c>
      <c r="AE37" s="15">
        <f>INDEX('Unique Asset List'!$CJ$4:$CP$60,MATCH('3'!$B37,'Unique Asset List'!$A$4:$A$60,0),MATCH('3'!$C$1,'Unique Asset List'!$CJ$3:$CP$3,0))</f>
        <v>0.12</v>
      </c>
      <c r="AF37" s="15">
        <f>INDEX('Unique Asset List'!$CQ$4:$CW$60,MATCH('3'!$B37,'Unique Asset List'!$A$4:$A$60,0),MATCH('3'!$C$1,'Unique Asset List'!$CQ$3:$CW$3,0))</f>
        <v>0.38</v>
      </c>
      <c r="AG37" s="15">
        <f>INDEX('Unique Asset List'!$BV$4:$CB$60,MATCH('3'!$B37,'Unique Asset List'!$A$4:$A$60,0),MATCH('3'!$C$1,'Unique Asset List'!$BV$3:$CB$3,0))</f>
        <v>0.12</v>
      </c>
      <c r="AH37" s="15">
        <f>INDEX('Unique Asset List'!$CC$4:$CI$60,MATCH('3'!$B37,'Unique Asset List'!$A$4:$A$60,0),MATCH('3'!$C$1,'Unique Asset List'!$CC$3:$CI$3,0))</f>
        <v>0.38</v>
      </c>
      <c r="AI37" s="11">
        <v>0.96187963349867744</v>
      </c>
      <c r="AJ37" s="15">
        <f>INDEX('Unique Asset List'!$BH$4:$BN$60,MATCH('3'!$B37,'Unique Asset List'!$A$4:$A$60,0),MATCH('3'!$C$1,'Unique Asset List'!$BH$3:$BN$3,0))</f>
        <v>2.1252009430760062</v>
      </c>
      <c r="AK37" s="15">
        <f>INDEX('Unique Asset List'!$BO$4:$BU$60,MATCH('3'!$B37,'Unique Asset List'!$A$4:$A$60,0),MATCH('3'!$C$1,'Unique Asset List'!$BO$3:$BU$3,0))</f>
        <v>-1.7169645793441486</v>
      </c>
      <c r="AL37" s="40">
        <v>35</v>
      </c>
      <c r="AM37" s="14">
        <f>3.5*365*0.8/AL37</f>
        <v>29.2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0</v>
      </c>
      <c r="BA37" s="181">
        <f ca="1">INDEX('Unique Asset List'!U$4:U$60,MATCH($B37,_CompoundList,0))</f>
        <v>0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4</v>
      </c>
      <c r="BF37" s="3">
        <f>IF($C$5="ON",CF37,MyRating(_E3,$B37,Efficacy!$F$1))</f>
        <v>4</v>
      </c>
      <c r="BG37" s="3">
        <f>IF($C$5="ON",CG37,MyRating(_E4,$B37,Efficacy!$F$1))</f>
        <v>2</v>
      </c>
      <c r="BH37" s="3">
        <f>IF($C$5="ON",CH37,MyRating(_E5,$B37,Efficacy!$F$1))</f>
        <v>4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5</v>
      </c>
      <c r="BL37" s="3">
        <f>IF($C$5="ON",CL37,MyRating(_S1,$B37,Efficacy!$F$1))</f>
        <v>4</v>
      </c>
      <c r="BM37" s="3">
        <f>IF($C$5="ON",CM37,MyRating(_S2,$B37,Efficacy!$F$1))</f>
        <v>3</v>
      </c>
      <c r="BN37" s="3">
        <f>IF($C$5="ON",CN37,MyRating(_S3,$B37,Efficacy!$F$1))</f>
        <v>3</v>
      </c>
      <c r="BO37" s="3">
        <f>IF($C$5="ON",CO37,MyRating(_S4,$B37,Efficacy!$F$1))</f>
        <v>3</v>
      </c>
      <c r="BP37" s="3">
        <f>IF($C$5="ON",CP37,MyRating(_S5,$B37,Efficacy!$F$1))</f>
        <v>4</v>
      </c>
      <c r="BQ37" s="3">
        <f>IF($C$5="ON",CQ37,MyRating(_S6,$B37,Efficacy!$F$1))</f>
        <v>3</v>
      </c>
      <c r="BR37" s="3">
        <f>IF($C$5="ON",CR37,MyRating(_S7,$B37,Efficacy!$F$1))</f>
        <v>3</v>
      </c>
      <c r="BS37" s="3">
        <f>IF($C$5="ON",CS37,MyRating(_D1,$B37,Efficacy!$F$1))</f>
        <v>3</v>
      </c>
      <c r="BT37" s="3">
        <f>IF($C$5="ON",CT37,MyRating(_D2,$B37,Efficacy!$F$1))</f>
        <v>3</v>
      </c>
      <c r="BU37" s="3">
        <f>IF($C$5="ON",CU37,MyRating(_D3,$B37,Efficacy!$F$1))</f>
        <v>3</v>
      </c>
      <c r="BV37" s="3">
        <f>IF($C$5="ON",CV37,MyRating(_D4,$B37,Efficacy!$F$1))</f>
        <v>3</v>
      </c>
      <c r="BW37" s="3">
        <f>IF($C$5="ON",CW37,MyRating(_B1G5,$B37,Barrier!$L$2))</f>
        <v>1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11"/>
        <v>2.9893223831915738E-2</v>
      </c>
      <c r="CA37" s="8">
        <f t="shared" si="6"/>
        <v>2.6000000000000005</v>
      </c>
      <c r="CB37" s="5">
        <f t="shared" si="7"/>
        <v>3.058823529411767E-2</v>
      </c>
      <c r="CC37" s="7">
        <f t="shared" si="8"/>
        <v>5.3497271616647964E-3</v>
      </c>
      <c r="CD37" s="4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6">
        <v>0</v>
      </c>
      <c r="CZ37" s="5">
        <v>0</v>
      </c>
      <c r="DA37" s="59">
        <f t="shared" si="9"/>
        <v>2026</v>
      </c>
      <c r="DB37">
        <f t="shared" si="10"/>
        <v>3.9999999999990905</v>
      </c>
    </row>
    <row r="38" spans="1:106" x14ac:dyDescent="0.25">
      <c r="A38" s="9" t="str">
        <f t="shared" si="0"/>
        <v>FR</v>
      </c>
      <c r="B38" s="9" t="s">
        <v>41</v>
      </c>
      <c r="C38" s="20"/>
      <c r="D38" s="9" t="s">
        <v>187</v>
      </c>
      <c r="E38" s="9" t="s">
        <v>186</v>
      </c>
      <c r="F38" s="9" t="str">
        <f>INDEX('Unique Asset List'!$C$4:$C$60,MATCH(B38,_CompoundList,0))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INDEX(PTRS!$D$6:$D$12,MATCH('3'!$F38,PTRS!$B$6:$B$12,0))</f>
        <v>0.1044225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0.1044225</v>
      </c>
      <c r="N38" s="17">
        <f>INDEX('Unique Asset List'!$D$4:$M$60,MATCH($B38,'Unique Asset List'!$A$4:$A$60,0),MATCH(N$8,'Unique Asset List'!$D$3:$M$3,0))</f>
        <v>0.1044225</v>
      </c>
      <c r="O38" s="17">
        <f>INDEX('Unique Asset List'!$D$4:$M$60,MATCH($B38,'Unique Asset List'!$A$4:$A$60,0),MATCH(O$8,'Unique Asset List'!$D$3:$M$3,0))</f>
        <v>0.1044225</v>
      </c>
      <c r="P38" s="17">
        <f>INDEX('Unique Asset List'!$D$4:$M$60,MATCH($B38,'Unique Asset List'!$A$4:$A$60,0),MATCH(P$8,'Unique Asset List'!$D$3:$M$3,0))</f>
        <v>0.1044225</v>
      </c>
      <c r="Q38" s="17">
        <f>INDEX('Unique Asset List'!$D$4:$M$60,MATCH($B38,'Unique Asset List'!$A$4:$A$60,0),MATCH(Q$8,'Unique Asset List'!$D$3:$M$3,0))</f>
        <v>0.1044225</v>
      </c>
      <c r="R38" s="17">
        <f>INDEX('Unique Asset List'!$D$4:$M$60,MATCH($B38,'Unique Asset List'!$A$4:$A$60,0),MATCH(R$8,'Unique Asset List'!$D$3:$M$3,0))</f>
        <v>0.1044225</v>
      </c>
      <c r="S38" s="17">
        <f>INDEX('Unique Asset List'!$D$4:$M$60,MATCH($B38,'Unique Asset List'!$A$4:$A$60,0),MATCH(S$8,'Unique Asset List'!$D$3:$M$3,0))</f>
        <v>0</v>
      </c>
      <c r="T38" s="17" t="s">
        <v>39</v>
      </c>
      <c r="U38" s="17">
        <f t="shared" si="12"/>
        <v>0.90168566420734264</v>
      </c>
      <c r="V38" s="17">
        <v>1</v>
      </c>
      <c r="W38" s="57" t="s">
        <v>38</v>
      </c>
      <c r="X38" s="9">
        <f>INDEX('Unique Asset List'!$Y$4:$AE$60,MATCH('3'!$B38,'Unique Asset List'!$A$4:$A$60,0),MATCH('3'!$C$1,'Unique Asset List'!$Y$3:$AE$3,0))</f>
        <v>2029</v>
      </c>
      <c r="Y38" s="9">
        <f>INDEX('Unique Asset List'!$AF$4:$AL$60,MATCH('3'!$B38,'Unique Asset List'!$A$4:$A$60,0),MATCH('3'!$C$1,'Unique Asset List'!$AF$3:$AL$3,0))</f>
        <v>3</v>
      </c>
      <c r="Z38" s="9">
        <f>INDEX('Unique Asset List'!$AT$4:$AZ$60,MATCH('3'!$B38,'Unique Asset List'!$A$4:$A$60,0),MATCH('3'!$C$1,'Unique Asset List'!$AT$3:$AZ$3,0))</f>
        <v>2038</v>
      </c>
      <c r="AA38" s="9">
        <f>INDEX('Unique Asset List'!$BA$4:$BG$60,MATCH('3'!$B38,'Unique Asset List'!$A$4:$A$60,0),MATCH('3'!$C$1,'Unique Asset List'!$BA$3:$BG$3,0))</f>
        <v>3</v>
      </c>
      <c r="AB38" s="16">
        <f>AB20</f>
        <v>2.1511674000000003</v>
      </c>
      <c r="AC38" s="16">
        <f>AC20</f>
        <v>0.95118959999999997</v>
      </c>
      <c r="AD38" s="16">
        <f>AD20</f>
        <v>0.56099999999999994</v>
      </c>
      <c r="AE38" s="15">
        <f>INDEX('Unique Asset List'!$CJ$4:$CP$60,MATCH('3'!$B38,'Unique Asset List'!$A$4:$A$60,0),MATCH('3'!$C$1,'Unique Asset List'!$CJ$3:$CP$3,0))</f>
        <v>0.12</v>
      </c>
      <c r="AF38" s="15">
        <f>INDEX('Unique Asset List'!$CQ$4:$CW$60,MATCH('3'!$B38,'Unique Asset List'!$A$4:$A$60,0),MATCH('3'!$C$1,'Unique Asset List'!$CQ$3:$CW$3,0))</f>
        <v>0.38</v>
      </c>
      <c r="AG38" s="15">
        <f>INDEX('Unique Asset List'!$BV$4:$CB$60,MATCH('3'!$B38,'Unique Asset List'!$A$4:$A$60,0),MATCH('3'!$C$1,'Unique Asset List'!$BV$3:$CB$3,0))</f>
        <v>0.12</v>
      </c>
      <c r="AH38" s="15">
        <f>INDEX('Unique Asset List'!$CC$4:$CI$60,MATCH('3'!$B38,'Unique Asset List'!$A$4:$A$60,0),MATCH('3'!$C$1,'Unique Asset List'!$CC$3:$CI$3,0))</f>
        <v>0.38</v>
      </c>
      <c r="AI38" s="11">
        <v>0.96187963349867744</v>
      </c>
      <c r="AJ38" s="15">
        <f>INDEX('Unique Asset List'!$BH$4:$BN$60,MATCH('3'!$B38,'Unique Asset List'!$A$4:$A$60,0),MATCH('3'!$C$1,'Unique Asset List'!$BH$3:$BN$3,0))</f>
        <v>2.1252009430760062</v>
      </c>
      <c r="AK38" s="15">
        <f>INDEX('Unique Asset List'!$BO$4:$BU$60,MATCH('3'!$B38,'Unique Asset List'!$A$4:$A$60,0),MATCH('3'!$C$1,'Unique Asset List'!$BO$3:$BU$3,0))</f>
        <v>-1.7169645793441486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0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0</v>
      </c>
      <c r="BB38" s="181">
        <f ca="1">INDEX('Unique Asset List'!V$4:V$60,MATCH($B38,_CompoundList,0))</f>
        <v>0</v>
      </c>
      <c r="BC38" s="181">
        <f ca="1">INDEX('Unique Asset List'!W$4:W$60,MATCH($B38,_CompoundList,0))</f>
        <v>0</v>
      </c>
      <c r="BD38" s="4">
        <f>IF($C$5="ON",CD38,MyRating(_E1,$B38,Efficacy!$F$1))</f>
        <v>0</v>
      </c>
      <c r="BE38" s="3">
        <f>IF($C$5="ON",CE38,MyRating(_E2,$B38,Efficacy!$F$1))</f>
        <v>0</v>
      </c>
      <c r="BF38" s="3">
        <f>IF($C$5="ON",CF38,MyRating(_E3,$B38,Efficacy!$F$1))</f>
        <v>0</v>
      </c>
      <c r="BG38" s="3">
        <f>IF($C$5="ON",CG38,MyRating(_E4,$B38,Efficacy!$F$1))</f>
        <v>0</v>
      </c>
      <c r="BH38" s="3">
        <f>IF($C$5="ON",CH38,MyRating(_E5,$B38,Efficacy!$F$1))</f>
        <v>0</v>
      </c>
      <c r="BI38" s="3">
        <f>IF($C$5="ON",CI38,MyRating(_E6,$B38,Efficacy!$F$1))</f>
        <v>0</v>
      </c>
      <c r="BJ38" s="3">
        <f>IF($C$5="ON",CJ38,MyRating(_E7,$B38,Efficacy!$F$1))</f>
        <v>0</v>
      </c>
      <c r="BK38" s="3">
        <f>IF($C$5="ON",CK38,MyRating(_E8,$B38,Efficacy!$F$1))</f>
        <v>0</v>
      </c>
      <c r="BL38" s="3">
        <f>IF($C$5="ON",CL38,MyRating(_S1,$B38,Efficacy!$F$1))</f>
        <v>0</v>
      </c>
      <c r="BM38" s="3">
        <f>IF($C$5="ON",CM38,MyRating(_S2,$B38,Efficacy!$F$1))</f>
        <v>0</v>
      </c>
      <c r="BN38" s="3">
        <f>IF($C$5="ON",CN38,MyRating(_S3,$B38,Efficacy!$F$1))</f>
        <v>0</v>
      </c>
      <c r="BO38" s="3">
        <f>IF($C$5="ON",CO38,MyRating(_S4,$B38,Efficacy!$F$1))</f>
        <v>0</v>
      </c>
      <c r="BP38" s="3">
        <f>IF($C$5="ON",CP38,MyRating(_S5,$B38,Efficacy!$F$1))</f>
        <v>0</v>
      </c>
      <c r="BQ38" s="3">
        <f>IF($C$5="ON",CQ38,MyRating(_S6,$B38,Efficacy!$F$1))</f>
        <v>0</v>
      </c>
      <c r="BR38" s="3">
        <f>IF($C$5="ON",CR38,MyRating(_S7,$B38,Efficacy!$F$1))</f>
        <v>0</v>
      </c>
      <c r="BS38" s="3">
        <f>IF($C$5="ON",CS38,MyRating(_D1,$B38,Efficacy!$F$1))</f>
        <v>0</v>
      </c>
      <c r="BT38" s="3">
        <f>IF($C$5="ON",CT38,MyRating(_D2,$B38,Efficacy!$F$1))</f>
        <v>0</v>
      </c>
      <c r="BU38" s="3">
        <f>IF($C$5="ON",CU38,MyRating(_D3,$B38,Efficacy!$F$1))</f>
        <v>0</v>
      </c>
      <c r="BV38" s="3">
        <f>IF($C$5="ON",CV38,MyRating(_D4,$B38,Efficacy!$F$1))</f>
        <v>0</v>
      </c>
      <c r="BW38" s="3">
        <f>IF($C$5="ON",CW38,MyRating(_B1G5,$B38,Barrier!$L$2))</f>
        <v>2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11"/>
        <v>3.3407946312985805E-2</v>
      </c>
      <c r="CA38" s="8">
        <f t="shared" si="6"/>
        <v>2.8000000000000003</v>
      </c>
      <c r="CB38" s="5">
        <f t="shared" si="7"/>
        <v>3.2941176470588251E-2</v>
      </c>
      <c r="CC38" s="7">
        <f t="shared" si="8"/>
        <v>5.9787261089987885E-3</v>
      </c>
      <c r="CD38" s="4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6">
        <v>0</v>
      </c>
      <c r="CZ38" s="5">
        <v>0</v>
      </c>
      <c r="DA38" s="59">
        <f t="shared" si="9"/>
        <v>2030</v>
      </c>
      <c r="DB38">
        <f t="shared" si="10"/>
        <v>6</v>
      </c>
    </row>
    <row r="39" spans="1:106" x14ac:dyDescent="0.25">
      <c r="A39" s="9" t="str">
        <f t="shared" si="0"/>
        <v>FR</v>
      </c>
      <c r="B39" s="9" t="s">
        <v>37</v>
      </c>
      <c r="C39" s="20"/>
      <c r="D39" s="9" t="s">
        <v>36</v>
      </c>
      <c r="E39" s="9" t="s">
        <v>186</v>
      </c>
      <c r="F39" s="9" t="str">
        <f>INDEX('Unique Asset List'!$C$4:$C$60,MATCH(B39,_CompoundList,0))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INDEX(PTRS!$D$6:$D$12,MATCH('3'!$F39,PTRS!$B$6:$B$12,0))</f>
        <v>0.1044225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v>0.1044225</v>
      </c>
      <c r="N39" s="17">
        <f>INDEX('Unique Asset List'!$D$4:$M$60,MATCH($B39,'Unique Asset List'!$A$4:$A$60,0),MATCH(N$8,'Unique Asset List'!$D$3:$M$3,0))</f>
        <v>0.1044225</v>
      </c>
      <c r="O39" s="17">
        <f>INDEX('Unique Asset List'!$D$4:$M$60,MATCH($B39,'Unique Asset List'!$A$4:$A$60,0),MATCH(O$8,'Unique Asset List'!$D$3:$M$3,0))</f>
        <v>0.1044225</v>
      </c>
      <c r="P39" s="17">
        <f>INDEX('Unique Asset List'!$D$4:$M$60,MATCH($B39,'Unique Asset List'!$A$4:$A$60,0),MATCH(P$8,'Unique Asset List'!$D$3:$M$3,0))</f>
        <v>0.1044225</v>
      </c>
      <c r="Q39" s="17">
        <f>INDEX('Unique Asset List'!$D$4:$M$60,MATCH($B39,'Unique Asset List'!$A$4:$A$60,0),MATCH(Q$8,'Unique Asset List'!$D$3:$M$3,0))</f>
        <v>0.1044225</v>
      </c>
      <c r="R39" s="17">
        <f>INDEX('Unique Asset List'!$D$4:$M$60,MATCH($B39,'Unique Asset List'!$A$4:$A$60,0),MATCH(R$8,'Unique Asset List'!$D$3:$M$3,0))</f>
        <v>0.1044225</v>
      </c>
      <c r="S39" s="17">
        <f>INDEX('Unique Asset List'!$D$4:$M$60,MATCH($B39,'Unique Asset List'!$A$4:$A$60,0),MATCH(S$8,'Unique Asset List'!$D$3:$M$3,0))</f>
        <v>0</v>
      </c>
      <c r="T39" s="17" t="s">
        <v>35</v>
      </c>
      <c r="U39" s="17">
        <f t="shared" si="12"/>
        <v>0.90168566420734264</v>
      </c>
      <c r="V39" s="17">
        <v>1</v>
      </c>
      <c r="W39" s="9" t="s">
        <v>34</v>
      </c>
      <c r="X39" s="9">
        <f>INDEX('Unique Asset List'!$Y$4:$AE$60,MATCH('3'!$B39,'Unique Asset List'!$A$4:$A$60,0),MATCH('3'!$C$1,'Unique Asset List'!$Y$3:$AE$3,0))</f>
        <v>2034</v>
      </c>
      <c r="Y39" s="9">
        <f>INDEX('Unique Asset List'!$AF$4:$AL$60,MATCH('3'!$B39,'Unique Asset List'!$A$4:$A$60,0),MATCH('3'!$C$1,'Unique Asset List'!$AF$3:$AL$3,0))</f>
        <v>2.0000000000009095</v>
      </c>
      <c r="Z39" s="9">
        <f>INDEX('Unique Asset List'!$AT$4:$AZ$60,MATCH('3'!$B39,'Unique Asset List'!$A$4:$A$60,0),MATCH('3'!$C$1,'Unique Asset List'!$AT$3:$AZ$3,0))</f>
        <v>2043</v>
      </c>
      <c r="AA39" s="9">
        <f>INDEX('Unique Asset List'!$BA$4:$BG$60,MATCH('3'!$B39,'Unique Asset List'!$A$4:$A$60,0),MATCH('3'!$C$1,'Unique Asset List'!$BA$3:$BG$3,0))</f>
        <v>2</v>
      </c>
      <c r="AB39" s="16">
        <f>AB28</f>
        <v>2.0681600000000007</v>
      </c>
      <c r="AC39" s="16">
        <f>AC28</f>
        <v>0.94137550000000003</v>
      </c>
      <c r="AD39" s="16">
        <f>AD28</f>
        <v>0.56099999999999994</v>
      </c>
      <c r="AE39" s="15">
        <f>INDEX('Unique Asset List'!$CJ$4:$CP$60,MATCH('3'!$B39,'Unique Asset List'!$A$4:$A$60,0),MATCH('3'!$C$1,'Unique Asset List'!$CJ$3:$CP$3,0))</f>
        <v>0.12</v>
      </c>
      <c r="AF39" s="15">
        <f>INDEX('Unique Asset List'!$CQ$4:$CW$60,MATCH('3'!$B39,'Unique Asset List'!$A$4:$A$60,0),MATCH('3'!$C$1,'Unique Asset List'!$CQ$3:$CW$3,0))</f>
        <v>0.38</v>
      </c>
      <c r="AG39" s="15">
        <f>INDEX('Unique Asset List'!$BV$4:$CB$60,MATCH('3'!$B39,'Unique Asset List'!$A$4:$A$60,0),MATCH('3'!$C$1,'Unique Asset List'!$BV$3:$CB$3,0))</f>
        <v>0.12</v>
      </c>
      <c r="AH39" s="15">
        <f>INDEX('Unique Asset List'!$CC$4:$CI$60,MATCH('3'!$B39,'Unique Asset List'!$A$4:$A$60,0),MATCH('3'!$C$1,'Unique Asset List'!$CC$3:$CI$3,0))</f>
        <v>0.38</v>
      </c>
      <c r="AI39" s="11">
        <v>0.96187963349867744</v>
      </c>
      <c r="AJ39" s="15">
        <f>INDEX('Unique Asset List'!$BH$4:$BN$60,MATCH('3'!$B39,'Unique Asset List'!$A$4:$A$60,0),MATCH('3'!$C$1,'Unique Asset List'!$BH$3:$BN$3,0))</f>
        <v>2.1252009430760062</v>
      </c>
      <c r="AK39" s="15">
        <f>INDEX('Unique Asset List'!$BO$4:$BU$60,MATCH('3'!$B39,'Unique Asset List'!$A$4:$A$60,0),MATCH('3'!$C$1,'Unique Asset List'!$BO$3:$BU$3,0))</f>
        <v>-1.7169645793441486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1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0</v>
      </c>
      <c r="BA39" s="181">
        <f ca="1">INDEX('Unique Asset List'!U$4:U$60,MATCH($B39,_CompoundList,0))</f>
        <v>0</v>
      </c>
      <c r="BB39" s="181">
        <f ca="1">INDEX('Unique Asset List'!V$4:V$60,MATCH($B39,_CompoundList,0))</f>
        <v>0</v>
      </c>
      <c r="BC39" s="181">
        <f ca="1">INDEX('Unique Asset List'!W$4:W$60,MATCH($B39,_CompoundList,0))</f>
        <v>0</v>
      </c>
      <c r="BD39" s="4">
        <f>IF($C$5="ON",CD39,MyRating(_E1,$B39,Efficacy!$F$1))</f>
        <v>0</v>
      </c>
      <c r="BE39" s="3">
        <f>IF($C$5="ON",CE39,MyRating(_E2,$B39,Efficacy!$F$1))</f>
        <v>0</v>
      </c>
      <c r="BF39" s="3">
        <f>IF($C$5="ON",CF39,MyRating(_E3,$B39,Efficacy!$F$1))</f>
        <v>0</v>
      </c>
      <c r="BG39" s="3">
        <f>IF($C$5="ON",CG39,MyRating(_E4,$B39,Efficacy!$F$1))</f>
        <v>0</v>
      </c>
      <c r="BH39" s="3">
        <f>IF($C$5="ON",CH39,MyRating(_E5,$B39,Efficacy!$F$1))</f>
        <v>0</v>
      </c>
      <c r="BI39" s="3">
        <f>IF($C$5="ON",CI39,MyRating(_E6,$B39,Efficacy!$F$1))</f>
        <v>0</v>
      </c>
      <c r="BJ39" s="3">
        <f>IF($C$5="ON",CJ39,MyRating(_E7,$B39,Efficacy!$F$1))</f>
        <v>0</v>
      </c>
      <c r="BK39" s="3">
        <f>IF($C$5="ON",CK39,MyRating(_E8,$B39,Efficacy!$F$1))</f>
        <v>0</v>
      </c>
      <c r="BL39" s="3">
        <f>IF($C$5="ON",CL39,MyRating(_S1,$B39,Efficacy!$F$1))</f>
        <v>0</v>
      </c>
      <c r="BM39" s="3">
        <f>IF($C$5="ON",CM39,MyRating(_S2,$B39,Efficacy!$F$1))</f>
        <v>0</v>
      </c>
      <c r="BN39" s="3">
        <f>IF($C$5="ON",CN39,MyRating(_S3,$B39,Efficacy!$F$1))</f>
        <v>0</v>
      </c>
      <c r="BO39" s="3">
        <f>IF($C$5="ON",CO39,MyRating(_S4,$B39,Efficacy!$F$1))</f>
        <v>0</v>
      </c>
      <c r="BP39" s="3">
        <f>IF($C$5="ON",CP39,MyRating(_S5,$B39,Efficacy!$F$1))</f>
        <v>0</v>
      </c>
      <c r="BQ39" s="3">
        <f>IF($C$5="ON",CQ39,MyRating(_S6,$B39,Efficacy!$F$1))</f>
        <v>0</v>
      </c>
      <c r="BR39" s="3">
        <f>IF($C$5="ON",CR39,MyRating(_S7,$B39,Efficacy!$F$1))</f>
        <v>0</v>
      </c>
      <c r="BS39" s="3">
        <f>IF($C$5="ON",CS39,MyRating(_D1,$B39,Efficacy!$F$1))</f>
        <v>0</v>
      </c>
      <c r="BT39" s="3">
        <f>IF($C$5="ON",CT39,MyRating(_D2,$B39,Efficacy!$F$1))</f>
        <v>0</v>
      </c>
      <c r="BU39" s="3">
        <f>IF($C$5="ON",CU39,MyRating(_D3,$B39,Efficacy!$F$1))</f>
        <v>0</v>
      </c>
      <c r="BV39" s="3">
        <f>IF($C$5="ON",CV39,MyRating(_D4,$B39,Efficacy!$F$1))</f>
        <v>0</v>
      </c>
      <c r="BW39" s="3">
        <f>IF($C$5="ON",CW39,MyRating(_B1G5,$B39,Barrier!$L$2))</f>
        <v>2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11"/>
        <v>3.3407946312985805E-2</v>
      </c>
      <c r="CA39" s="8">
        <f t="shared" si="6"/>
        <v>2.8000000000000003</v>
      </c>
      <c r="CB39" s="5">
        <f t="shared" si="7"/>
        <v>3.2941176470588251E-2</v>
      </c>
      <c r="CC39" s="7">
        <f t="shared" si="8"/>
        <v>5.9787261089987885E-3</v>
      </c>
      <c r="CD39" s="4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6">
        <v>0</v>
      </c>
      <c r="CZ39" s="5">
        <v>0</v>
      </c>
      <c r="DA39" s="59">
        <f t="shared" si="9"/>
        <v>2035</v>
      </c>
      <c r="DB39">
        <f t="shared" si="10"/>
        <v>5.0000000000009095</v>
      </c>
    </row>
    <row r="40" spans="1:106" x14ac:dyDescent="0.25">
      <c r="A40" s="9" t="str">
        <f t="shared" si="0"/>
        <v>FR</v>
      </c>
      <c r="B40" s="9" t="s">
        <v>33</v>
      </c>
      <c r="C40" s="20"/>
      <c r="D40" s="9" t="s">
        <v>32</v>
      </c>
      <c r="E40" s="9" t="s">
        <v>186</v>
      </c>
      <c r="F40" s="9" t="str">
        <f>INDEX('Unique Asset List'!$C$4:$C$60,MATCH(B40,_CompoundList,0))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INDEX(PTRS!$D$6:$D$12,MATCH('3'!$F40,PTRS!$B$6:$B$12,0))</f>
        <v>0.1044225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7">
        <v>0.1044225</v>
      </c>
      <c r="N40" s="17">
        <f>INDEX('Unique Asset List'!$D$4:$M$60,MATCH($B40,'Unique Asset List'!$A$4:$A$60,0),MATCH(N$8,'Unique Asset List'!$D$3:$M$3,0))</f>
        <v>0.1044225</v>
      </c>
      <c r="O40" s="17">
        <f>INDEX('Unique Asset List'!$D$4:$M$60,MATCH($B40,'Unique Asset List'!$A$4:$A$60,0),MATCH(O$8,'Unique Asset List'!$D$3:$M$3,0))</f>
        <v>0.1044225</v>
      </c>
      <c r="P40" s="17">
        <f>INDEX('Unique Asset List'!$D$4:$M$60,MATCH($B40,'Unique Asset List'!$A$4:$A$60,0),MATCH(P$8,'Unique Asset List'!$D$3:$M$3,0))</f>
        <v>0.1044225</v>
      </c>
      <c r="Q40" s="17">
        <f>INDEX('Unique Asset List'!$D$4:$M$60,MATCH($B40,'Unique Asset List'!$A$4:$A$60,0),MATCH(Q$8,'Unique Asset List'!$D$3:$M$3,0))</f>
        <v>0.1044225</v>
      </c>
      <c r="R40" s="17">
        <f>INDEX('Unique Asset List'!$D$4:$M$60,MATCH($B40,'Unique Asset List'!$A$4:$A$60,0),MATCH(R$8,'Unique Asset List'!$D$3:$M$3,0))</f>
        <v>0.1044225</v>
      </c>
      <c r="S40" s="17">
        <f>INDEX('Unique Asset List'!$D$4:$M$60,MATCH($B40,'Unique Asset List'!$A$4:$A$60,0),MATCH(S$8,'Unique Asset List'!$D$3:$M$3,0))</f>
        <v>0</v>
      </c>
      <c r="T40" s="17" t="s">
        <v>31</v>
      </c>
      <c r="U40" s="17">
        <f t="shared" si="12"/>
        <v>0.90168566420734264</v>
      </c>
      <c r="V40" s="17">
        <v>1</v>
      </c>
      <c r="W40" s="9" t="s">
        <v>31</v>
      </c>
      <c r="X40" s="9">
        <f>INDEX('Unique Asset List'!$Y$4:$AE$60,MATCH('3'!$B40,'Unique Asset List'!$A$4:$A$60,0),MATCH('3'!$C$1,'Unique Asset List'!$Y$3:$AE$3,0))</f>
        <v>2033</v>
      </c>
      <c r="Y40" s="9">
        <f>INDEX('Unique Asset List'!$AF$4:$AL$60,MATCH('3'!$B40,'Unique Asset List'!$A$4:$A$60,0),MATCH('3'!$C$1,'Unique Asset List'!$AF$3:$AL$3,0))</f>
        <v>2.0000000000009095</v>
      </c>
      <c r="Z40" s="9">
        <f>INDEX('Unique Asset List'!$AT$4:$AZ$60,MATCH('3'!$B40,'Unique Asset List'!$A$4:$A$60,0),MATCH('3'!$C$1,'Unique Asset List'!$AT$3:$AZ$3,0))</f>
        <v>2042</v>
      </c>
      <c r="AA40" s="9">
        <f>INDEX('Unique Asset List'!$BA$4:$BG$60,MATCH('3'!$B40,'Unique Asset List'!$A$4:$A$60,0),MATCH('3'!$C$1,'Unique Asset List'!$BA$3:$BG$3,0))</f>
        <v>2</v>
      </c>
      <c r="AB40" s="16">
        <f>AB27</f>
        <v>2.0063400000000007</v>
      </c>
      <c r="AC40" s="16">
        <f>AC27</f>
        <v>0.94137550000000003</v>
      </c>
      <c r="AD40" s="16">
        <f>AD27</f>
        <v>0.56099999999999994</v>
      </c>
      <c r="AE40" s="15">
        <f>INDEX('Unique Asset List'!$CJ$4:$CP$60,MATCH('3'!$B40,'Unique Asset List'!$A$4:$A$60,0),MATCH('3'!$C$1,'Unique Asset List'!$CJ$3:$CP$3,0))</f>
        <v>0.12</v>
      </c>
      <c r="AF40" s="15">
        <f>INDEX('Unique Asset List'!$CQ$4:$CW$60,MATCH('3'!$B40,'Unique Asset List'!$A$4:$A$60,0),MATCH('3'!$C$1,'Unique Asset List'!$CQ$3:$CW$3,0))</f>
        <v>0.38</v>
      </c>
      <c r="AG40" s="15">
        <f>INDEX('Unique Asset List'!$BV$4:$CB$60,MATCH('3'!$B40,'Unique Asset List'!$A$4:$A$60,0),MATCH('3'!$C$1,'Unique Asset List'!$BV$3:$CB$3,0))</f>
        <v>0.12</v>
      </c>
      <c r="AH40" s="15">
        <f>INDEX('Unique Asset List'!$CC$4:$CI$60,MATCH('3'!$B40,'Unique Asset List'!$A$4:$A$60,0),MATCH('3'!$C$1,'Unique Asset List'!$CC$3:$CI$3,0))</f>
        <v>0.38</v>
      </c>
      <c r="AI40" s="11">
        <v>0.96187963349867744</v>
      </c>
      <c r="AJ40" s="15">
        <f>INDEX('Unique Asset List'!$BH$4:$BN$60,MATCH('3'!$B40,'Unique Asset List'!$A$4:$A$60,0),MATCH('3'!$C$1,'Unique Asset List'!$BH$3:$BN$3,0))</f>
        <v>2.1252009430760062</v>
      </c>
      <c r="AK40" s="15">
        <f>INDEX('Unique Asset List'!$BO$4:$BU$60,MATCH('3'!$B40,'Unique Asset List'!$A$4:$A$60,0),MATCH('3'!$C$1,'Unique Asset List'!$BO$3:$BU$3,0))</f>
        <v>-1.7169645793441486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1</v>
      </c>
      <c r="AY40" s="181">
        <f ca="1">INDEX('Unique Asset List'!S$4:S$60,MATCH($B40,_CompoundList,0))</f>
        <v>1</v>
      </c>
      <c r="AZ40" s="181">
        <f ca="1">INDEX('Unique Asset List'!T$4:T$60,MATCH($B40,_CompoundList,0))</f>
        <v>1</v>
      </c>
      <c r="BA40" s="181">
        <f ca="1">INDEX('Unique Asset List'!U$4:U$60,MATCH($B40,_CompoundList,0))</f>
        <v>0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0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IF($C$5="ON",CL40,MyRating(_S1,$B40,Efficacy!$F$1))</f>
        <v>0</v>
      </c>
      <c r="BM40" s="3">
        <f>IF($C$5="ON",CM40,MyRating(_S2,$B40,Efficacy!$F$1))</f>
        <v>0</v>
      </c>
      <c r="BN40" s="3">
        <f>IF($C$5="ON",CN40,MyRating(_S3,$B40,Efficacy!$F$1))</f>
        <v>0</v>
      </c>
      <c r="BO40" s="3">
        <f>IF($C$5="ON",CO40,MyRating(_S4,$B40,Efficacy!$F$1))</f>
        <v>0</v>
      </c>
      <c r="BP40" s="3">
        <f>IF($C$5="ON",CP40,MyRating(_S5,$B40,Efficacy!$F$1))</f>
        <v>0</v>
      </c>
      <c r="BQ40" s="3">
        <f>IF($C$5="ON",CQ40,MyRating(_S6,$B40,Efficacy!$F$1))</f>
        <v>0</v>
      </c>
      <c r="BR40" s="3">
        <f>IF($C$5="ON",CR40,MyRating(_S7,$B40,Efficacy!$F$1))</f>
        <v>0</v>
      </c>
      <c r="BS40" s="3">
        <f>IF($C$5="ON",CS40,MyRating(_D1,$B40,Efficacy!$F$1))</f>
        <v>0</v>
      </c>
      <c r="BT40" s="3">
        <f>IF($C$5="ON",CT40,MyRating(_D2,$B40,Efficacy!$F$1))</f>
        <v>0</v>
      </c>
      <c r="BU40" s="3">
        <f>IF($C$5="ON",CU40,MyRating(_D3,$B40,Efficacy!$F$1))</f>
        <v>0</v>
      </c>
      <c r="BV40" s="3">
        <f>IF($C$5="ON",CV40,MyRating(_D4,$B40,Efficacy!$F$1))</f>
        <v>0</v>
      </c>
      <c r="BW40" s="3">
        <f>IF($C$5="ON",CW40,MyRating(_B1G5,$B40,Barrier!$L$2))</f>
        <v>2</v>
      </c>
      <c r="BX40" s="3">
        <f>IF($C$5="ON",CX40,MyRating(_B2,$B40,Barrier!$F$2))</f>
        <v>3</v>
      </c>
      <c r="BY40" s="6">
        <f>IF($C$5="ON",CY40,MyRating(_B3,$B40,Barrier!$F$2))</f>
        <v>3</v>
      </c>
      <c r="BZ40" s="5">
        <f t="shared" si="11"/>
        <v>3.3407946312985805E-2</v>
      </c>
      <c r="CA40" s="8">
        <f t="shared" si="6"/>
        <v>2.8000000000000003</v>
      </c>
      <c r="CB40" s="5">
        <f t="shared" si="7"/>
        <v>3.2941176470588251E-2</v>
      </c>
      <c r="CC40" s="7">
        <f t="shared" si="8"/>
        <v>5.9787261089987885E-3</v>
      </c>
      <c r="CD40" s="4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6">
        <v>0</v>
      </c>
      <c r="CZ40" s="5">
        <v>0</v>
      </c>
      <c r="DA40" s="59">
        <f t="shared" si="9"/>
        <v>2034</v>
      </c>
      <c r="DB40">
        <f t="shared" si="10"/>
        <v>5.0000000000009095</v>
      </c>
    </row>
    <row r="41" spans="1:106" x14ac:dyDescent="0.25">
      <c r="A41" s="9" t="str">
        <f t="shared" ref="A41:A58" si="13">$C$1</f>
        <v>FR</v>
      </c>
      <c r="B41" s="9" t="s">
        <v>30</v>
      </c>
      <c r="C41" s="20"/>
      <c r="D41" s="9" t="s">
        <v>29</v>
      </c>
      <c r="E41" s="9" t="s">
        <v>186</v>
      </c>
      <c r="F41" s="9" t="str">
        <f>INDEX('Unique Asset List'!$C$4:$C$60,MATCH(B41,_CompoundList,0))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INDEX(PTRS!$D$6:$D$12,MATCH('3'!$F41,PTRS!$B$6:$B$12,0))</f>
        <v>0.1044225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v>0.1044225</v>
      </c>
      <c r="N41" s="17">
        <f>INDEX('Unique Asset List'!$D$4:$M$60,MATCH($B41,'Unique Asset List'!$A$4:$A$60,0),MATCH(N$8,'Unique Asset List'!$D$3:$M$3,0))</f>
        <v>0.1044225</v>
      </c>
      <c r="O41" s="17">
        <f>INDEX('Unique Asset List'!$D$4:$M$60,MATCH($B41,'Unique Asset List'!$A$4:$A$60,0),MATCH(O$8,'Unique Asset List'!$D$3:$M$3,0))</f>
        <v>0.1044225</v>
      </c>
      <c r="P41" s="17">
        <f>INDEX('Unique Asset List'!$D$4:$M$60,MATCH($B41,'Unique Asset List'!$A$4:$A$60,0),MATCH(P$8,'Unique Asset List'!$D$3:$M$3,0))</f>
        <v>0.1044225</v>
      </c>
      <c r="Q41" s="17">
        <f>INDEX('Unique Asset List'!$D$4:$M$60,MATCH($B41,'Unique Asset List'!$A$4:$A$60,0),MATCH(Q$8,'Unique Asset List'!$D$3:$M$3,0))</f>
        <v>0.1044225</v>
      </c>
      <c r="R41" s="17">
        <f>INDEX('Unique Asset List'!$D$4:$M$60,MATCH($B41,'Unique Asset List'!$A$4:$A$60,0),MATCH(R$8,'Unique Asset List'!$D$3:$M$3,0))</f>
        <v>0.1044225</v>
      </c>
      <c r="S41" s="17">
        <f>INDEX('Unique Asset List'!$D$4:$M$60,MATCH($B41,'Unique Asset List'!$A$4:$A$60,0),MATCH(S$8,'Unique Asset List'!$D$3:$M$3,0))</f>
        <v>0</v>
      </c>
      <c r="T41" s="17" t="s">
        <v>28</v>
      </c>
      <c r="U41" s="17">
        <f t="shared" si="12"/>
        <v>0.90168566420734264</v>
      </c>
      <c r="V41" s="17">
        <v>1</v>
      </c>
      <c r="W41" s="9" t="s">
        <v>27</v>
      </c>
      <c r="X41" s="9">
        <f>INDEX('Unique Asset List'!$Y$4:$AE$60,MATCH('3'!$B41,'Unique Asset List'!$A$4:$A$60,0),MATCH('3'!$C$1,'Unique Asset List'!$Y$3:$AE$3,0))</f>
        <v>2035</v>
      </c>
      <c r="Y41" s="9">
        <f>INDEX('Unique Asset List'!$AF$4:$AL$60,MATCH('3'!$B41,'Unique Asset List'!$A$4:$A$60,0),MATCH('3'!$C$1,'Unique Asset List'!$AF$3:$AL$3,0))</f>
        <v>6</v>
      </c>
      <c r="Z41" s="9">
        <f>INDEX('Unique Asset List'!$AT$4:$AZ$60,MATCH('3'!$B41,'Unique Asset List'!$A$4:$A$60,0),MATCH('3'!$C$1,'Unique Asset List'!$AT$3:$AZ$3,0))</f>
        <v>2044</v>
      </c>
      <c r="AA41" s="9">
        <f>INDEX('Unique Asset List'!$BA$4:$BG$60,MATCH('3'!$B41,'Unique Asset List'!$A$4:$A$60,0),MATCH('3'!$C$1,'Unique Asset List'!$BA$3:$BG$3,0))</f>
        <v>6</v>
      </c>
      <c r="AB41" s="16">
        <f>AB33</f>
        <v>2.0289886000000004</v>
      </c>
      <c r="AC41" s="16">
        <f>AC33</f>
        <v>0.81843569999999999</v>
      </c>
      <c r="AD41" s="16">
        <f>AD33</f>
        <v>0.56099999999999994</v>
      </c>
      <c r="AE41" s="15">
        <f>INDEX('Unique Asset List'!$CJ$4:$CP$60,MATCH('3'!$B41,'Unique Asset List'!$A$4:$A$60,0),MATCH('3'!$C$1,'Unique Asset List'!$CJ$3:$CP$3,0))</f>
        <v>0.12</v>
      </c>
      <c r="AF41" s="15">
        <f>INDEX('Unique Asset List'!$CQ$4:$CW$60,MATCH('3'!$B41,'Unique Asset List'!$A$4:$A$60,0),MATCH('3'!$C$1,'Unique Asset List'!$CQ$3:$CW$3,0))</f>
        <v>0.38</v>
      </c>
      <c r="AG41" s="15">
        <f>INDEX('Unique Asset List'!$BV$4:$CB$60,MATCH('3'!$B41,'Unique Asset List'!$A$4:$A$60,0),MATCH('3'!$C$1,'Unique Asset List'!$BV$3:$CB$3,0))</f>
        <v>0.12</v>
      </c>
      <c r="AH41" s="15">
        <f>INDEX('Unique Asset List'!$CC$4:$CI$60,MATCH('3'!$B41,'Unique Asset List'!$A$4:$A$60,0),MATCH('3'!$C$1,'Unique Asset List'!$CC$3:$CI$3,0))</f>
        <v>0.38</v>
      </c>
      <c r="AI41" s="11">
        <v>0.96187963349867744</v>
      </c>
      <c r="AJ41" s="15">
        <f>INDEX('Unique Asset List'!$BH$4:$BN$60,MATCH('3'!$B41,'Unique Asset List'!$A$4:$A$60,0),MATCH('3'!$C$1,'Unique Asset List'!$BH$3:$BN$3,0))</f>
        <v>2.1252009430760062</v>
      </c>
      <c r="AK41" s="15">
        <f>INDEX('Unique Asset List'!$BO$4:$BU$60,MATCH('3'!$B41,'Unique Asset List'!$A$4:$A$60,0),MATCH('3'!$C$1,'Unique Asset List'!$BO$3:$BU$3,0))</f>
        <v>-1.7169645793441486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4">AP41</f>
        <v>0.82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0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0</v>
      </c>
      <c r="BB41" s="181">
        <f ca="1">INDEX('Unique Asset List'!V$4:V$60,MATCH($B41,_CompoundList,0))</f>
        <v>0</v>
      </c>
      <c r="BC41" s="181">
        <f ca="1">INDEX('Unique Asset List'!W$4:W$60,MATCH($B41,_CompoundList,0))</f>
        <v>1</v>
      </c>
      <c r="BD41" s="4">
        <f>IF($C$5="ON",CD41,MyRating(_E1,$B41,Efficacy!$F$1))</f>
        <v>0</v>
      </c>
      <c r="BE41" s="3">
        <f>IF($C$5="ON",CE41,MyRating(_E2,$B41,Efficacy!$F$1))</f>
        <v>0</v>
      </c>
      <c r="BF41" s="3">
        <f>IF($C$5="ON",CF41,MyRating(_E3,$B41,Efficacy!$F$1))</f>
        <v>0</v>
      </c>
      <c r="BG41" s="3">
        <f>IF($C$5="ON",CG41,MyRating(_E4,$B41,Efficacy!$F$1))</f>
        <v>0</v>
      </c>
      <c r="BH41" s="3">
        <f>IF($C$5="ON",CH41,MyRating(_E5,$B41,Efficacy!$F$1))</f>
        <v>0</v>
      </c>
      <c r="BI41" s="3">
        <f>IF($C$5="ON",CI41,MyRating(_E6,$B41,Efficacy!$F$1))</f>
        <v>0</v>
      </c>
      <c r="BJ41" s="3">
        <f>IF($C$5="ON",CJ41,MyRating(_E7,$B41,Efficacy!$F$1))</f>
        <v>0</v>
      </c>
      <c r="BK41" s="3">
        <f>IF($C$5="ON",CK41,MyRating(_E8,$B41,Efficacy!$F$1))</f>
        <v>0</v>
      </c>
      <c r="BL41" s="3">
        <f>IF($C$5="ON",CL41,MyRating(_S1,$B41,Efficacy!$F$1))</f>
        <v>0</v>
      </c>
      <c r="BM41" s="3">
        <f>IF($C$5="ON",CM41,MyRating(_S2,$B41,Efficacy!$F$1))</f>
        <v>0</v>
      </c>
      <c r="BN41" s="3">
        <f>IF($C$5="ON",CN41,MyRating(_S3,$B41,Efficacy!$F$1))</f>
        <v>0</v>
      </c>
      <c r="BO41" s="3">
        <f>IF($C$5="ON",CO41,MyRating(_S4,$B41,Efficacy!$F$1))</f>
        <v>0</v>
      </c>
      <c r="BP41" s="3">
        <f>IF($C$5="ON",CP41,MyRating(_S5,$B41,Efficacy!$F$1))</f>
        <v>0</v>
      </c>
      <c r="BQ41" s="3">
        <f>IF($C$5="ON",CQ41,MyRating(_S6,$B41,Efficacy!$F$1))</f>
        <v>0</v>
      </c>
      <c r="BR41" s="3">
        <f>IF($C$5="ON",CR41,MyRating(_S7,$B41,Efficacy!$F$1))</f>
        <v>0</v>
      </c>
      <c r="BS41" s="3">
        <f>IF($C$5="ON",CS41,MyRating(_D1,$B41,Efficacy!$F$1))</f>
        <v>0</v>
      </c>
      <c r="BT41" s="3">
        <f>IF($C$5="ON",CT41,MyRating(_D2,$B41,Efficacy!$F$1))</f>
        <v>0</v>
      </c>
      <c r="BU41" s="3">
        <f>IF($C$5="ON",CU41,MyRating(_D3,$B41,Efficacy!$F$1))</f>
        <v>0</v>
      </c>
      <c r="BV41" s="3">
        <f>IF($C$5="ON",CV41,MyRating(_D4,$B41,Efficacy!$F$1))</f>
        <v>0</v>
      </c>
      <c r="BW41" s="3">
        <f>IF($C$5="ON",CW41,MyRating(_B1G5,$B41,Barrier!$L$2))</f>
        <v>2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11"/>
        <v>3.3407946312985805E-2</v>
      </c>
      <c r="CA41" s="8">
        <f t="shared" ref="CA41:CA58" si="15">SUMPRODUCT($BW41:$BY41,$BW$7:$BY$7)</f>
        <v>2.8000000000000003</v>
      </c>
      <c r="CB41" s="5">
        <f t="shared" ref="CB41:CB58" si="16">CA41/$CA$7</f>
        <v>3.2941176470588251E-2</v>
      </c>
      <c r="CC41" s="7">
        <f t="shared" ref="CC41:CC58" si="17">CB41^$X$4</f>
        <v>5.9787261089987885E-3</v>
      </c>
      <c r="CD41" s="4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6">
        <v>0</v>
      </c>
      <c r="CZ41" s="5">
        <v>0</v>
      </c>
      <c r="DA41" s="59">
        <f t="shared" ref="DA41:DA58" si="18">X41+1</f>
        <v>2036</v>
      </c>
      <c r="DB41">
        <f t="shared" ref="DB41:DB58" si="19">MOD(Y41+15,12)</f>
        <v>9</v>
      </c>
    </row>
    <row r="42" spans="1:106" x14ac:dyDescent="0.25">
      <c r="A42" s="9" t="str">
        <f t="shared" si="13"/>
        <v>FR</v>
      </c>
      <c r="B42" s="9" t="s">
        <v>26</v>
      </c>
      <c r="C42" s="20" t="s">
        <v>3</v>
      </c>
      <c r="D42" s="9" t="s">
        <v>25</v>
      </c>
      <c r="E42" s="9" t="s">
        <v>186</v>
      </c>
      <c r="F42" s="9" t="str">
        <f>INDEX('Unique Asset List'!$C$4:$C$60,MATCH(B42,_CompoundList,0))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INDEX(PTRS!$D$6:$D$12,MATCH('3'!$F42,PTRS!$B$6:$B$12,0))</f>
        <v>0.1044225</v>
      </c>
      <c r="K42" s="17">
        <f>INDEX('Unique Asset List'!$D$4:$M$60,MATCH($B42,'Unique Asset List'!$A$4:$A$60,0),MATCH(K$8,'Unique Asset List'!$D$3:$M$3,0))</f>
        <v>0</v>
      </c>
      <c r="L42" s="17">
        <f>INDEX('Unique Asset List'!$D$4:$M$60,MATCH($B42,'Unique Asset List'!$A$4:$A$60,0),MATCH(L$8,'Unique Asset List'!$D$3:$M$3,0))</f>
        <v>0</v>
      </c>
      <c r="M42" s="17">
        <v>0.1044225</v>
      </c>
      <c r="N42" s="17">
        <f>INDEX('Unique Asset List'!$D$4:$M$60,MATCH($B42,'Unique Asset List'!$A$4:$A$60,0),MATCH(N$8,'Unique Asset List'!$D$3:$M$3,0))</f>
        <v>0.1044225</v>
      </c>
      <c r="O42" s="17">
        <f>INDEX('Unique Asset List'!$D$4:$M$60,MATCH($B42,'Unique Asset List'!$A$4:$A$60,0),MATCH(O$8,'Unique Asset List'!$D$3:$M$3,0))</f>
        <v>0.1044225</v>
      </c>
      <c r="P42" s="17">
        <f>INDEX('Unique Asset List'!$D$4:$M$60,MATCH($B42,'Unique Asset List'!$A$4:$A$60,0),MATCH(P$8,'Unique Asset List'!$D$3:$M$3,0))</f>
        <v>0.1044225</v>
      </c>
      <c r="Q42" s="17">
        <f>INDEX('Unique Asset List'!$D$4:$M$60,MATCH($B42,'Unique Asset List'!$A$4:$A$60,0),MATCH(Q$8,'Unique Asset List'!$D$3:$M$3,0))</f>
        <v>0.1044225</v>
      </c>
      <c r="R42" s="17">
        <f>INDEX('Unique Asset List'!$D$4:$M$60,MATCH($B42,'Unique Asset List'!$A$4:$A$60,0),MATCH(R$8,'Unique Asset List'!$D$3:$M$3,0))</f>
        <v>0.1044225</v>
      </c>
      <c r="S42" s="17">
        <f>INDEX('Unique Asset List'!$D$4:$M$60,MATCH($B42,'Unique Asset List'!$A$4:$A$60,0),MATCH(S$8,'Unique Asset List'!$D$3:$M$3,0))</f>
        <v>0</v>
      </c>
      <c r="T42" s="17" t="s">
        <v>24</v>
      </c>
      <c r="U42" s="17">
        <f t="shared" si="12"/>
        <v>0</v>
      </c>
      <c r="V42" s="17">
        <v>1</v>
      </c>
      <c r="W42" s="9" t="s">
        <v>24</v>
      </c>
      <c r="X42" s="9">
        <f>INDEX('Unique Asset List'!$Y$4:$AE$60,MATCH('3'!$B42,'Unique Asset List'!$A$4:$A$60,0),MATCH('3'!$C$1,'Unique Asset List'!$Y$3:$AE$3,0))</f>
        <v>2033</v>
      </c>
      <c r="Y42" s="9">
        <f>INDEX('Unique Asset List'!$AF$4:$AL$60,MATCH('3'!$B42,'Unique Asset List'!$A$4:$A$60,0),MATCH('3'!$C$1,'Unique Asset List'!$AF$3:$AL$3,0))</f>
        <v>2.0000000000009095</v>
      </c>
      <c r="Z42" s="9">
        <f>INDEX('Unique Asset List'!$AT$4:$AZ$60,MATCH('3'!$B42,'Unique Asset List'!$A$4:$A$60,0),MATCH('3'!$C$1,'Unique Asset List'!$AT$3:$AZ$3,0))</f>
        <v>2042</v>
      </c>
      <c r="AA42" s="9">
        <f>INDEX('Unique Asset List'!$BA$4:$BG$60,MATCH('3'!$B42,'Unique Asset List'!$A$4:$A$60,0),MATCH('3'!$C$1,'Unique Asset List'!$BA$3:$BG$3,0))</f>
        <v>2</v>
      </c>
      <c r="AB42" s="16">
        <f>AB30</f>
        <v>2.1518980000000005</v>
      </c>
      <c r="AC42" s="16">
        <f>AC30</f>
        <v>0.94137550000000003</v>
      </c>
      <c r="AD42" s="16">
        <f>AD30</f>
        <v>0.56099999999999994</v>
      </c>
      <c r="AE42" s="15">
        <f>INDEX('Unique Asset List'!$CJ$4:$CP$60,MATCH('3'!$B42,'Unique Asset List'!$A$4:$A$60,0),MATCH('3'!$C$1,'Unique Asset List'!$CJ$3:$CP$3,0))</f>
        <v>0.12</v>
      </c>
      <c r="AF42" s="15">
        <f>INDEX('Unique Asset List'!$CQ$4:$CW$60,MATCH('3'!$B42,'Unique Asset List'!$A$4:$A$60,0),MATCH('3'!$C$1,'Unique Asset List'!$CQ$3:$CW$3,0))</f>
        <v>0.38</v>
      </c>
      <c r="AG42" s="15">
        <f>INDEX('Unique Asset List'!$BV$4:$CB$60,MATCH('3'!$B42,'Unique Asset List'!$A$4:$A$60,0),MATCH('3'!$C$1,'Unique Asset List'!$BV$3:$CB$3,0))</f>
        <v>0.12</v>
      </c>
      <c r="AH42" s="15">
        <f>INDEX('Unique Asset List'!$CC$4:$CI$60,MATCH('3'!$B42,'Unique Asset List'!$A$4:$A$60,0),MATCH('3'!$C$1,'Unique Asset List'!$CC$3:$CI$3,0))</f>
        <v>0.38</v>
      </c>
      <c r="AI42" s="11">
        <v>0.96187963349867744</v>
      </c>
      <c r="AJ42" s="15">
        <f>INDEX('Unique Asset List'!$BH$4:$BN$60,MATCH('3'!$B42,'Unique Asset List'!$A$4:$A$60,0),MATCH('3'!$C$1,'Unique Asset List'!$BH$3:$BN$3,0))</f>
        <v>2.1252009430760062</v>
      </c>
      <c r="AK42" s="15">
        <f>INDEX('Unique Asset List'!$BO$4:$BU$60,MATCH('3'!$B42,'Unique Asset List'!$A$4:$A$60,0),MATCH('3'!$C$1,'Unique Asset List'!$BO$3:$BU$3,0))</f>
        <v>-1.7169645793441486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4"/>
        <v>0.82</v>
      </c>
      <c r="AS42" s="10">
        <v>1</v>
      </c>
      <c r="AT42" s="181">
        <f>INDEX('Unique Asset List'!N$4:N$60,MATCH($B42,_CompoundList,0))</f>
        <v>0</v>
      </c>
      <c r="AU42" s="181">
        <f>INDEX('Unique Asset List'!O$4:O$60,MATCH($B42,_CompoundList,0))</f>
        <v>0</v>
      </c>
      <c r="AV42" s="181">
        <f>INDEX('Unique Asset List'!P$4:P$60,MATCH($B42,_CompoundList,0))</f>
        <v>0</v>
      </c>
      <c r="AW42" s="181">
        <f>INDEX('Unique Asset List'!Q$4:Q$60,MATCH($B42,_CompoundList,0))</f>
        <v>0</v>
      </c>
      <c r="AX42" s="181">
        <f ca="1">INDEX('Unique Asset List'!R$4:R$60,MATCH($B42,_CompoundList,0))</f>
        <v>0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0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0</v>
      </c>
      <c r="BD42" s="4">
        <f>IF($C$5="ON",CD42,MyRating(_E1,$B42,Efficacy!$F$1))</f>
        <v>0</v>
      </c>
      <c r="BE42" s="3">
        <f>IF($C$5="ON",CE42,MyRating(_E2,$B42,Efficacy!$F$1))</f>
        <v>0</v>
      </c>
      <c r="BF42" s="3">
        <f>IF($C$5="ON",CF42,MyRating(_E3,$B42,Efficacy!$F$1))</f>
        <v>0</v>
      </c>
      <c r="BG42" s="3">
        <f>IF($C$5="ON",CG42,MyRating(_E4,$B42,Efficacy!$F$1))</f>
        <v>0</v>
      </c>
      <c r="BH42" s="3">
        <f>IF($C$5="ON",CH42,MyRating(_E5,$B42,Efficacy!$F$1))</f>
        <v>0</v>
      </c>
      <c r="BI42" s="3">
        <f>IF($C$5="ON",CI42,MyRating(_E6,$B42,Efficacy!$F$1))</f>
        <v>0</v>
      </c>
      <c r="BJ42" s="3">
        <f>IF($C$5="ON",CJ42,MyRating(_E7,$B42,Efficacy!$F$1))</f>
        <v>0</v>
      </c>
      <c r="BK42" s="3">
        <f>IF($C$5="ON",CK42,MyRating(_E8,$B42,Efficacy!$F$1))</f>
        <v>0</v>
      </c>
      <c r="BL42" s="3">
        <f>IF($C$5="ON",CL42,MyRating(_S1,$B42,Efficacy!$F$1))</f>
        <v>0</v>
      </c>
      <c r="BM42" s="3">
        <f>IF($C$5="ON",CM42,MyRating(_S2,$B42,Efficacy!$F$1))</f>
        <v>0</v>
      </c>
      <c r="BN42" s="3">
        <f>IF($C$5="ON",CN42,MyRating(_S3,$B42,Efficacy!$F$1))</f>
        <v>0</v>
      </c>
      <c r="BO42" s="3">
        <f>IF($C$5="ON",CO42,MyRating(_S4,$B42,Efficacy!$F$1))</f>
        <v>0</v>
      </c>
      <c r="BP42" s="3">
        <f>IF($C$5="ON",CP42,MyRating(_S5,$B42,Efficacy!$F$1))</f>
        <v>0</v>
      </c>
      <c r="BQ42" s="3">
        <f>IF($C$5="ON",CQ42,MyRating(_S6,$B42,Efficacy!$F$1))</f>
        <v>0</v>
      </c>
      <c r="BR42" s="3">
        <f>IF($C$5="ON",CR42,MyRating(_S7,$B42,Efficacy!$F$1))</f>
        <v>0</v>
      </c>
      <c r="BS42" s="3">
        <f>IF($C$5="ON",CS42,MyRating(_D1,$B42,Efficacy!$F$1))</f>
        <v>0</v>
      </c>
      <c r="BT42" s="3">
        <f>IF($C$5="ON",CT42,MyRating(_D2,$B42,Efficacy!$F$1))</f>
        <v>0</v>
      </c>
      <c r="BU42" s="3">
        <f>IF($C$5="ON",CU42,MyRating(_D3,$B42,Efficacy!$F$1))</f>
        <v>0</v>
      </c>
      <c r="BV42" s="3">
        <f>IF($C$5="ON",CV42,MyRating(_D4,$B42,Efficacy!$F$1))</f>
        <v>0</v>
      </c>
      <c r="BW42" s="3">
        <f>IF($C$5="ON",CW42,MyRating(_B1G5,$B42,Barrier!$L$2))</f>
        <v>2</v>
      </c>
      <c r="BX42" s="3">
        <f>IF($C$5="ON",CX42,MyRating(_B2,$B42,Barrier!$F$2))</f>
        <v>0</v>
      </c>
      <c r="BY42" s="6">
        <f>IF($C$5="ON",CY42,MyRating(_B3,$B42,Barrier!$F$2))</f>
        <v>0</v>
      </c>
      <c r="BZ42" s="5">
        <f t="shared" si="11"/>
        <v>0</v>
      </c>
      <c r="CA42" s="8">
        <f t="shared" si="15"/>
        <v>0.4</v>
      </c>
      <c r="CB42" s="5">
        <f t="shared" si="16"/>
        <v>4.7058823529411787E-3</v>
      </c>
      <c r="CC42" s="7">
        <f t="shared" si="17"/>
        <v>3.2282086615060515E-4</v>
      </c>
      <c r="CD42" s="4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6">
        <v>0</v>
      </c>
      <c r="CZ42" s="5">
        <v>0</v>
      </c>
      <c r="DA42" s="59">
        <f t="shared" si="18"/>
        <v>2034</v>
      </c>
      <c r="DB42">
        <f t="shared" si="19"/>
        <v>5.0000000000009095</v>
      </c>
    </row>
    <row r="43" spans="1:106" x14ac:dyDescent="0.25">
      <c r="A43" s="9" t="str">
        <f t="shared" si="13"/>
        <v>FR</v>
      </c>
      <c r="B43" s="9" t="s">
        <v>23</v>
      </c>
      <c r="C43" s="20"/>
      <c r="D43" s="9" t="s">
        <v>22</v>
      </c>
      <c r="E43" s="9" t="s">
        <v>186</v>
      </c>
      <c r="F43" s="9" t="str">
        <f>INDEX('Unique Asset List'!$C$4:$C$60,MATCH(B43,_CompoundList,0))</f>
        <v>PCD</v>
      </c>
      <c r="G43" s="19">
        <v>0</v>
      </c>
      <c r="H43" s="9">
        <v>2014</v>
      </c>
      <c r="I43" s="9">
        <v>6</v>
      </c>
      <c r="J43" s="18">
        <f>INDEX(PTRS!$D$6:$D$12,MATCH('3'!$F43,PTRS!$B$6:$B$12,0))</f>
        <v>0.1044225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0.1044225</v>
      </c>
      <c r="N43" s="17">
        <f>INDEX('Unique Asset List'!$D$4:$M$60,MATCH($B43,'Unique Asset List'!$A$4:$A$60,0),MATCH(N$8,'Unique Asset List'!$D$3:$M$3,0))</f>
        <v>0.1044225</v>
      </c>
      <c r="O43" s="17">
        <f>INDEX('Unique Asset List'!$D$4:$M$60,MATCH($B43,'Unique Asset List'!$A$4:$A$60,0),MATCH(O$8,'Unique Asset List'!$D$3:$M$3,0))</f>
        <v>0.1044225</v>
      </c>
      <c r="P43" s="17">
        <f>INDEX('Unique Asset List'!$D$4:$M$60,MATCH($B43,'Unique Asset List'!$A$4:$A$60,0),MATCH(P$8,'Unique Asset List'!$D$3:$M$3,0))</f>
        <v>0.1044225</v>
      </c>
      <c r="Q43" s="17">
        <f>INDEX('Unique Asset List'!$D$4:$M$60,MATCH($B43,'Unique Asset List'!$A$4:$A$60,0),MATCH(Q$8,'Unique Asset List'!$D$3:$M$3,0))</f>
        <v>0.1044225</v>
      </c>
      <c r="R43" s="17">
        <f>INDEX('Unique Asset List'!$D$4:$M$60,MATCH($B43,'Unique Asset List'!$A$4:$A$60,0),MATCH(R$8,'Unique Asset List'!$D$3:$M$3,0))</f>
        <v>0.1044225</v>
      </c>
      <c r="S43" s="17">
        <f>INDEX('Unique Asset List'!$D$4:$M$60,MATCH($B43,'Unique Asset List'!$A$4:$A$60,0),MATCH(S$8,'Unique Asset List'!$D$3:$M$3,0))</f>
        <v>0</v>
      </c>
      <c r="T43" s="9" t="s">
        <v>21</v>
      </c>
      <c r="U43" s="17">
        <f t="shared" si="12"/>
        <v>0.90168566420734264</v>
      </c>
      <c r="V43" s="17">
        <v>1</v>
      </c>
      <c r="W43" s="9" t="s">
        <v>20</v>
      </c>
      <c r="X43" s="9">
        <f>INDEX('Unique Asset List'!$Y$4:$AE$60,MATCH('3'!$B43,'Unique Asset List'!$A$4:$A$60,0),MATCH('3'!$C$1,'Unique Asset List'!$Y$3:$AE$3,0))</f>
        <v>2032</v>
      </c>
      <c r="Y43" s="9">
        <f>INDEX('Unique Asset List'!$AF$4:$AL$60,MATCH('3'!$B43,'Unique Asset List'!$A$4:$A$60,0),MATCH('3'!$C$1,'Unique Asset List'!$AF$3:$AL$3,0))</f>
        <v>3</v>
      </c>
      <c r="Z43" s="9">
        <f>INDEX('Unique Asset List'!$AT$4:$AZ$60,MATCH('3'!$B43,'Unique Asset List'!$A$4:$A$60,0),MATCH('3'!$C$1,'Unique Asset List'!$AT$3:$AZ$3,0))</f>
        <v>2041</v>
      </c>
      <c r="AA43" s="9">
        <f>INDEX('Unique Asset List'!$BA$4:$BG$60,MATCH('3'!$B43,'Unique Asset List'!$A$4:$A$60,0),MATCH('3'!$C$1,'Unique Asset List'!$BA$3:$BG$3,0))</f>
        <v>3</v>
      </c>
      <c r="AB43" s="16">
        <f>AB25</f>
        <v>1.6822346000000001</v>
      </c>
      <c r="AC43" s="16">
        <f>AC25</f>
        <v>0.91486990000000001</v>
      </c>
      <c r="AD43" s="16">
        <f>AD25</f>
        <v>0.56099999999999994</v>
      </c>
      <c r="AE43" s="15">
        <f>INDEX('Unique Asset List'!$CJ$4:$CP$60,MATCH('3'!$B43,'Unique Asset List'!$A$4:$A$60,0),MATCH('3'!$C$1,'Unique Asset List'!$CJ$3:$CP$3,0))</f>
        <v>0.12</v>
      </c>
      <c r="AF43" s="15">
        <f>INDEX('Unique Asset List'!$CQ$4:$CW$60,MATCH('3'!$B43,'Unique Asset List'!$A$4:$A$60,0),MATCH('3'!$C$1,'Unique Asset List'!$CQ$3:$CW$3,0))</f>
        <v>0.38</v>
      </c>
      <c r="AG43" s="15">
        <f>INDEX('Unique Asset List'!$BV$4:$CB$60,MATCH('3'!$B43,'Unique Asset List'!$A$4:$A$60,0),MATCH('3'!$C$1,'Unique Asset List'!$BV$3:$CB$3,0))</f>
        <v>0.12</v>
      </c>
      <c r="AH43" s="15">
        <f>INDEX('Unique Asset List'!$CC$4:$CI$60,MATCH('3'!$B43,'Unique Asset List'!$A$4:$A$60,0),MATCH('3'!$C$1,'Unique Asset List'!$CC$3:$CI$3,0))</f>
        <v>0.38</v>
      </c>
      <c r="AI43" s="11">
        <v>0.96187963349867744</v>
      </c>
      <c r="AJ43" s="15">
        <f>INDEX('Unique Asset List'!$BH$4:$BN$60,MATCH('3'!$B43,'Unique Asset List'!$A$4:$A$60,0),MATCH('3'!$C$1,'Unique Asset List'!$BH$3:$BN$3,0))</f>
        <v>2.1252009430760062</v>
      </c>
      <c r="AK43" s="15">
        <f>INDEX('Unique Asset List'!$BO$4:$BU$60,MATCH('3'!$B43,'Unique Asset List'!$A$4:$A$60,0),MATCH('3'!$C$1,'Unique Asset List'!$BO$3:$BU$3,0))</f>
        <v>-1.7169645793441486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4"/>
        <v>0.82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1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0</v>
      </c>
      <c r="BD43" s="4">
        <f>IF($C$5="ON",CD43,MyRating(_E1,$B43,Efficacy!$F$1))</f>
        <v>0</v>
      </c>
      <c r="BE43" s="3">
        <f>IF($C$5="ON",CE43,MyRating(_E2,$B43,Efficacy!$F$1))</f>
        <v>0</v>
      </c>
      <c r="BF43" s="3">
        <f>IF($C$5="ON",CF43,MyRating(_E3,$B43,Efficacy!$F$1))</f>
        <v>0</v>
      </c>
      <c r="BG43" s="3">
        <f>IF($C$5="ON",CG43,MyRating(_E4,$B43,Efficacy!$F$1))</f>
        <v>0</v>
      </c>
      <c r="BH43" s="3">
        <f>IF($C$5="ON",CH43,MyRating(_E5,$B43,Efficacy!$F$1))</f>
        <v>0</v>
      </c>
      <c r="BI43" s="3">
        <f>IF($C$5="ON",CI43,MyRating(_E6,$B43,Efficacy!$F$1))</f>
        <v>0</v>
      </c>
      <c r="BJ43" s="3">
        <f>IF($C$5="ON",CJ43,MyRating(_E7,$B43,Efficacy!$F$1))</f>
        <v>0</v>
      </c>
      <c r="BK43" s="3">
        <f>IF($C$5="ON",CK43,MyRating(_E8,$B43,Efficacy!$F$1))</f>
        <v>0</v>
      </c>
      <c r="BL43" s="3">
        <f>IF($C$5="ON",CL43,MyRating(_S1,$B43,Efficacy!$F$1))</f>
        <v>0</v>
      </c>
      <c r="BM43" s="3">
        <f>IF($C$5="ON",CM43,MyRating(_S2,$B43,Efficacy!$F$1))</f>
        <v>0</v>
      </c>
      <c r="BN43" s="3">
        <f>IF($C$5="ON",CN43,MyRating(_S3,$B43,Efficacy!$F$1))</f>
        <v>0</v>
      </c>
      <c r="BO43" s="3">
        <f>IF($C$5="ON",CO43,MyRating(_S4,$B43,Efficacy!$F$1))</f>
        <v>0</v>
      </c>
      <c r="BP43" s="3">
        <f>IF($C$5="ON",CP43,MyRating(_S5,$B43,Efficacy!$F$1))</f>
        <v>0</v>
      </c>
      <c r="BQ43" s="3">
        <f>IF($C$5="ON",CQ43,MyRating(_S6,$B43,Efficacy!$F$1))</f>
        <v>0</v>
      </c>
      <c r="BR43" s="3">
        <f>IF($C$5="ON",CR43,MyRating(_S7,$B43,Efficacy!$F$1))</f>
        <v>0</v>
      </c>
      <c r="BS43" s="3">
        <f>IF($C$5="ON",CS43,MyRating(_D1,$B43,Efficacy!$F$1))</f>
        <v>0</v>
      </c>
      <c r="BT43" s="3">
        <f>IF($C$5="ON",CT43,MyRating(_D2,$B43,Efficacy!$F$1))</f>
        <v>0</v>
      </c>
      <c r="BU43" s="3">
        <f>IF($C$5="ON",CU43,MyRating(_D3,$B43,Efficacy!$F$1))</f>
        <v>0</v>
      </c>
      <c r="BV43" s="3">
        <f>IF($C$5="ON",CV43,MyRating(_D4,$B43,Efficacy!$F$1))</f>
        <v>0</v>
      </c>
      <c r="BW43" s="3">
        <f>IF($C$5="ON",CW43,MyRating(_B1G5,$B43,Barrier!$L$2))</f>
        <v>2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11"/>
        <v>3.3407946312985805E-2</v>
      </c>
      <c r="CA43" s="8">
        <f t="shared" si="15"/>
        <v>2.8000000000000003</v>
      </c>
      <c r="CB43" s="5">
        <f t="shared" si="16"/>
        <v>3.2941176470588251E-2</v>
      </c>
      <c r="CC43" s="7">
        <f t="shared" si="17"/>
        <v>5.9787261089987885E-3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>
        <v>0</v>
      </c>
      <c r="DA43" s="59">
        <f t="shared" si="18"/>
        <v>2033</v>
      </c>
      <c r="DB43">
        <f t="shared" si="19"/>
        <v>6</v>
      </c>
    </row>
    <row r="44" spans="1:106" x14ac:dyDescent="0.25">
      <c r="A44" s="9" t="str">
        <f t="shared" si="13"/>
        <v>FR</v>
      </c>
      <c r="B44" s="9" t="s">
        <v>19</v>
      </c>
      <c r="C44" s="20"/>
      <c r="D44" s="9" t="s">
        <v>18</v>
      </c>
      <c r="E44" s="9" t="s">
        <v>186</v>
      </c>
      <c r="F44" s="9" t="str">
        <f>INDEX('Unique Asset List'!$C$4:$C$60,MATCH(B44,_CompoundList,0))</f>
        <v>PCD</v>
      </c>
      <c r="G44" s="19">
        <v>0</v>
      </c>
      <c r="H44" s="9">
        <v>2014</v>
      </c>
      <c r="I44" s="9">
        <v>6</v>
      </c>
      <c r="J44" s="18">
        <f>INDEX(PTRS!$D$6:$D$12,MATCH('3'!$F44,PTRS!$B$6:$B$12,0))</f>
        <v>0.1044225</v>
      </c>
      <c r="K44" s="17">
        <f>K23</f>
        <v>0</v>
      </c>
      <c r="L44" s="17">
        <f>L23</f>
        <v>0</v>
      </c>
      <c r="M44" s="17">
        <v>0.1044225</v>
      </c>
      <c r="N44" s="17">
        <f>N23</f>
        <v>0.13923000000000002</v>
      </c>
      <c r="O44" s="17">
        <f>INDEX('Unique Asset List'!$D$4:$M$60,MATCH($B44,'Unique Asset List'!$A$4:$A$60,0),MATCH(O$8,'Unique Asset List'!$D$3:$M$3,0))</f>
        <v>0.1044225</v>
      </c>
      <c r="P44" s="17">
        <f>INDEX('Unique Asset List'!$D$4:$M$60,MATCH($B44,'Unique Asset List'!$A$4:$A$60,0),MATCH(P$8,'Unique Asset List'!$D$3:$M$3,0))</f>
        <v>0.1044225</v>
      </c>
      <c r="Q44" s="17">
        <f>INDEX('Unique Asset List'!$D$4:$M$60,MATCH($B44,'Unique Asset List'!$A$4:$A$60,0),MATCH(Q$8,'Unique Asset List'!$D$3:$M$3,0))</f>
        <v>0.1044225</v>
      </c>
      <c r="R44" s="17">
        <f>INDEX('Unique Asset List'!$D$4:$M$60,MATCH($B44,'Unique Asset List'!$A$4:$A$60,0),MATCH(R$8,'Unique Asset List'!$D$3:$M$3,0))</f>
        <v>0.1044225</v>
      </c>
      <c r="S44" s="17">
        <f>S23</f>
        <v>0</v>
      </c>
      <c r="T44" s="9" t="s">
        <v>17</v>
      </c>
      <c r="U44" s="17">
        <f t="shared" si="12"/>
        <v>0.90168566420734264</v>
      </c>
      <c r="V44" s="17">
        <v>1</v>
      </c>
      <c r="W44" s="9" t="s">
        <v>16</v>
      </c>
      <c r="X44" s="9">
        <f>INDEX('Unique Asset List'!$Y$4:$AE$60,MATCH('3'!$B44,'Unique Asset List'!$A$4:$A$60,0),MATCH('3'!$C$1,'Unique Asset List'!$Y$3:$AE$3,0))</f>
        <v>2031</v>
      </c>
      <c r="Y44" s="9">
        <f>INDEX('Unique Asset List'!$AF$4:$AL$60,MATCH('3'!$B44,'Unique Asset List'!$A$4:$A$60,0),MATCH('3'!$C$1,'Unique Asset List'!$AF$3:$AL$3,0))</f>
        <v>8.0000000000009095</v>
      </c>
      <c r="Z44" s="9">
        <f>INDEX('Unique Asset List'!$AT$4:$AZ$60,MATCH('3'!$B44,'Unique Asset List'!$A$4:$A$60,0),MATCH('3'!$C$1,'Unique Asset List'!$AT$3:$AZ$3,0))</f>
        <v>2040</v>
      </c>
      <c r="AA44" s="9">
        <f>INDEX('Unique Asset List'!$BA$4:$BG$60,MATCH('3'!$B44,'Unique Asset List'!$A$4:$A$60,0),MATCH('3'!$C$1,'Unique Asset List'!$BA$3:$BG$3,0))</f>
        <v>8</v>
      </c>
      <c r="AB44" s="16">
        <f>AB24</f>
        <v>1.8562298000000002</v>
      </c>
      <c r="AC44" s="16">
        <f>AC24</f>
        <v>0.97947730000000011</v>
      </c>
      <c r="AD44" s="16">
        <f>AD24</f>
        <v>0.56099999999999994</v>
      </c>
      <c r="AE44" s="15">
        <f>INDEX('Unique Asset List'!$CJ$4:$CP$60,MATCH('3'!$B44,'Unique Asset List'!$A$4:$A$60,0),MATCH('3'!$C$1,'Unique Asset List'!$CJ$3:$CP$3,0))</f>
        <v>0.12</v>
      </c>
      <c r="AF44" s="15">
        <f>INDEX('Unique Asset List'!$CQ$4:$CW$60,MATCH('3'!$B44,'Unique Asset List'!$A$4:$A$60,0),MATCH('3'!$C$1,'Unique Asset List'!$CQ$3:$CW$3,0))</f>
        <v>0.38</v>
      </c>
      <c r="AG44" s="15">
        <f>INDEX('Unique Asset List'!$BV$4:$CB$60,MATCH('3'!$B44,'Unique Asset List'!$A$4:$A$60,0),MATCH('3'!$C$1,'Unique Asset List'!$BV$3:$CB$3,0))</f>
        <v>0.12</v>
      </c>
      <c r="AH44" s="15">
        <f>INDEX('Unique Asset List'!$CC$4:$CI$60,MATCH('3'!$B44,'Unique Asset List'!$A$4:$A$60,0),MATCH('3'!$C$1,'Unique Asset List'!$CC$3:$CI$3,0))</f>
        <v>0.38</v>
      </c>
      <c r="AI44" s="11">
        <v>0.96187963349867744</v>
      </c>
      <c r="AJ44" s="15">
        <f>INDEX('Unique Asset List'!$BH$4:$BN$60,MATCH('3'!$B44,'Unique Asset List'!$A$4:$A$60,0),MATCH('3'!$C$1,'Unique Asset List'!$BH$3:$BN$3,0))</f>
        <v>2.1252009430760062</v>
      </c>
      <c r="AK44" s="15">
        <f>INDEX('Unique Asset List'!$BO$4:$BU$60,MATCH('3'!$B44,'Unique Asset List'!$A$4:$A$60,0),MATCH('3'!$C$1,'Unique Asset List'!$BO$3:$BU$3,0))</f>
        <v>-1.7169645793441486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4"/>
        <v>0.82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0</v>
      </c>
      <c r="AY44" s="181">
        <f ca="1">INDEX('Unique Asset List'!S$4:S$60,MATCH($B44,_CompoundList,0))</f>
        <v>1</v>
      </c>
      <c r="AZ44" s="181">
        <f ca="1">INDEX('Unique Asset List'!T$4:T$60,MATCH($B44,_CompoundList,0))</f>
        <v>0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1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IF($C$5="ON",CL44,MyRating(_S1,$B44,Efficacy!$F$1))</f>
        <v>0</v>
      </c>
      <c r="BM44" s="3">
        <f>IF($C$5="ON",CM44,MyRating(_S2,$B44,Efficacy!$F$1))</f>
        <v>0</v>
      </c>
      <c r="BN44" s="3">
        <f>IF($C$5="ON",CN44,MyRating(_S3,$B44,Efficacy!$F$1))</f>
        <v>0</v>
      </c>
      <c r="BO44" s="3">
        <f>IF($C$5="ON",CO44,MyRating(_S4,$B44,Efficacy!$F$1))</f>
        <v>0</v>
      </c>
      <c r="BP44" s="3">
        <f>IF($C$5="ON",CP44,MyRating(_S5,$B44,Efficacy!$F$1))</f>
        <v>0</v>
      </c>
      <c r="BQ44" s="3">
        <f>IF($C$5="ON",CQ44,MyRating(_S6,$B44,Efficacy!$F$1))</f>
        <v>0</v>
      </c>
      <c r="BR44" s="3">
        <f>IF($C$5="ON",CR44,MyRating(_S7,$B44,Efficacy!$F$1))</f>
        <v>0</v>
      </c>
      <c r="BS44" s="3">
        <f>IF($C$5="ON",CS44,MyRating(_D1,$B44,Efficacy!$F$1))</f>
        <v>0</v>
      </c>
      <c r="BT44" s="3">
        <f>IF($C$5="ON",CT44,MyRating(_D2,$B44,Efficacy!$F$1))</f>
        <v>0</v>
      </c>
      <c r="BU44" s="3">
        <f>IF($C$5="ON",CU44,MyRating(_D3,$B44,Efficacy!$F$1))</f>
        <v>0</v>
      </c>
      <c r="BV44" s="3">
        <f>IF($C$5="ON",CV44,MyRating(_D4,$B44,Efficacy!$F$1))</f>
        <v>0</v>
      </c>
      <c r="BW44" s="3">
        <f>IF($C$5="ON",CW44,MyRating(_B1G5,$B44,Barrier!$L$2))</f>
        <v>2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11"/>
        <v>3.3407946312985805E-2</v>
      </c>
      <c r="CA44" s="8">
        <f t="shared" si="15"/>
        <v>2.8000000000000003</v>
      </c>
      <c r="CB44" s="5">
        <f t="shared" si="16"/>
        <v>3.2941176470588251E-2</v>
      </c>
      <c r="CC44" s="7">
        <f t="shared" si="17"/>
        <v>5.9787261089987885E-3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>
        <v>0</v>
      </c>
      <c r="DA44" s="59">
        <f t="shared" si="18"/>
        <v>2032</v>
      </c>
      <c r="DB44">
        <f t="shared" si="19"/>
        <v>11.000000000000909</v>
      </c>
    </row>
    <row r="45" spans="1:106" x14ac:dyDescent="0.25">
      <c r="A45" s="9" t="str">
        <f t="shared" si="13"/>
        <v>FR</v>
      </c>
      <c r="B45" s="9" t="s">
        <v>13</v>
      </c>
      <c r="C45" s="20"/>
      <c r="D45" s="9" t="s">
        <v>2</v>
      </c>
      <c r="E45" s="9" t="s">
        <v>186</v>
      </c>
      <c r="F45" s="9" t="str">
        <f>INDEX('Unique Asset List'!$C$4:$C$60,MATCH(B45,_CompoundList,0))</f>
        <v>PCD</v>
      </c>
      <c r="G45" s="19">
        <v>0</v>
      </c>
      <c r="H45" s="9">
        <v>2014</v>
      </c>
      <c r="I45" s="9">
        <v>6</v>
      </c>
      <c r="J45" s="18">
        <f>INDEX(PTRS!$D$6:$D$12,MATCH('3'!$F45,PTRS!$B$6:$B$12,0))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v>0</v>
      </c>
      <c r="N45" s="17">
        <f>INDEX('Unique Asset List'!$D$4:$M$60,MATCH($B45,'Unique Asset List'!$A$4:$A$60,0),MATCH(N$8,'Unique Asset List'!$D$3:$M$3,0))</f>
        <v>1</v>
      </c>
      <c r="O45" s="17">
        <f>INDEX('Unique Asset List'!$D$4:$M$60,MATCH($B45,'Unique Asset List'!$A$4:$A$60,0),MATCH(O$8,'Unique Asset List'!$D$3:$M$3,0))</f>
        <v>1</v>
      </c>
      <c r="P45" s="17">
        <f>INDEX('Unique Asset List'!$D$4:$M$60,MATCH($B45,'Unique Asset List'!$A$4:$A$60,0),MATCH(P$8,'Unique Asset List'!$D$3:$M$3,0))</f>
        <v>1</v>
      </c>
      <c r="Q45" s="17">
        <f>INDEX('Unique Asset List'!$D$4:$M$60,MATCH($B45,'Unique Asset List'!$A$4:$A$60,0),MATCH(Q$8,'Unique Asset List'!$D$3:$M$3,0))</f>
        <v>1</v>
      </c>
      <c r="R45" s="17">
        <f>INDEX('Unique Asset List'!$D$4:$M$60,MATCH($B45,'Unique Asset List'!$A$4:$A$60,0),MATCH(R$8,'Unique Asset List'!$D$3:$M$3,0))</f>
        <v>1</v>
      </c>
      <c r="S45" s="17">
        <f>INDEX('Unique Asset List'!$D$4:$M$60,MATCH($B45,'Unique Asset List'!$A$4:$A$60,0),MATCH(S$8,'Unique Asset List'!$D$3:$M$3,0))</f>
        <v>1</v>
      </c>
      <c r="T45" s="17"/>
      <c r="U45" s="17">
        <f t="shared" si="12"/>
        <v>0.90168566420734264</v>
      </c>
      <c r="V45" s="17">
        <v>1</v>
      </c>
      <c r="W45" s="9" t="s">
        <v>13</v>
      </c>
      <c r="X45" s="9">
        <f>INDEX('Unique Asset List'!$Y$4:$AE$60,MATCH('3'!$B45,'Unique Asset List'!$A$4:$A$60,0),MATCH('3'!$C$1,'Unique Asset List'!$Y$3:$AE$3,0))</f>
        <v>2031</v>
      </c>
      <c r="Y45" s="9">
        <f>INDEX('Unique Asset List'!$AF$4:$AL$60,MATCH('3'!$B45,'Unique Asset List'!$A$4:$A$60,0),MATCH('3'!$C$1,'Unique Asset List'!$AF$3:$AL$3,0))</f>
        <v>6</v>
      </c>
      <c r="Z45" s="9">
        <f>INDEX('Unique Asset List'!$AT$4:$AZ$60,MATCH('3'!$B45,'Unique Asset List'!$A$4:$A$60,0),MATCH('3'!$C$1,'Unique Asset List'!$AT$3:$AZ$3,0))</f>
        <v>2042</v>
      </c>
      <c r="AA45" s="9">
        <f>INDEX('Unique Asset List'!$BA$4:$BG$60,MATCH('3'!$B45,'Unique Asset List'!$A$4:$A$60,0),MATCH('3'!$C$1,'Unique Asset List'!$BA$3:$BG$3,0))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List'!$CJ$4:$CP$60,MATCH('3'!$B45,'Unique Asset List'!$A$4:$A$60,0),MATCH('3'!$C$1,'Unique Asset List'!$CJ$3:$CP$3,0))</f>
        <v>0.12</v>
      </c>
      <c r="AF45" s="15">
        <f>INDEX('Unique Asset List'!$CQ$4:$CW$60,MATCH('3'!$B45,'Unique Asset List'!$A$4:$A$60,0),MATCH('3'!$C$1,'Unique Asset List'!$CQ$3:$CW$3,0))</f>
        <v>0.38</v>
      </c>
      <c r="AG45" s="15">
        <f>INDEX('Unique Asset List'!$BV$4:$CB$60,MATCH('3'!$B45,'Unique Asset List'!$A$4:$A$60,0),MATCH('3'!$C$1,'Unique Asset List'!$BV$3:$CB$3,0))</f>
        <v>0.12</v>
      </c>
      <c r="AH45" s="15">
        <f>INDEX('Unique Asset List'!$CC$4:$CI$60,MATCH('3'!$B45,'Unique Asset List'!$A$4:$A$60,0),MATCH('3'!$C$1,'Unique Asset List'!$CC$3:$CI$3,0))</f>
        <v>0.38</v>
      </c>
      <c r="AI45" s="11">
        <v>0.96187963349867744</v>
      </c>
      <c r="AJ45" s="15">
        <f>INDEX('Unique Asset List'!$BH$4:$BN$60,MATCH('3'!$B45,'Unique Asset List'!$A$4:$A$60,0),MATCH('3'!$C$1,'Unique Asset List'!$BH$3:$BN$3,0))</f>
        <v>2.1252009430760062</v>
      </c>
      <c r="AK45" s="15">
        <f>INDEX('Unique Asset List'!$BO$4:$BU$60,MATCH('3'!$B45,'Unique Asset List'!$A$4:$A$60,0),MATCH('3'!$C$1,'Unique Asset List'!$BO$3:$BU$3,0))</f>
        <v>-1.7169645793441486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4"/>
        <v>0.82</v>
      </c>
      <c r="AS45" s="10">
        <v>1</v>
      </c>
      <c r="AT45" s="181">
        <f>INDEX('Unique Asset List'!N$4:N$60,MATCH($B45,_CompoundList,0))</f>
        <v>1</v>
      </c>
      <c r="AU45" s="181">
        <f>INDEX('Unique Asset List'!O$4:O$60,MATCH($B45,_CompoundList,0))</f>
        <v>1</v>
      </c>
      <c r="AV45" s="181">
        <f>INDEX('Unique Asset List'!P$4:P$60,MATCH($B45,_CompoundList,0))</f>
        <v>1</v>
      </c>
      <c r="AW45" s="181">
        <f>INDEX('Unique Asset List'!Q$4:Q$60,MATCH($B45,_CompoundList,0))</f>
        <v>1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1</v>
      </c>
      <c r="BA45" s="181">
        <f ca="1">INDEX('Unique Asset List'!U$4:U$60,MATCH($B45,_CompoundList,0))</f>
        <v>1</v>
      </c>
      <c r="BB45" s="181">
        <f ca="1">INDEX('Unique Asset List'!V$4:V$60,MATCH($B45,_CompoundList,0))</f>
        <v>1</v>
      </c>
      <c r="BC45" s="181">
        <f ca="1">INDEX('Unique Asset List'!W$4:W$60,MATCH($B45,_CompoundList,0))</f>
        <v>1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IF($C$5="ON",CL45,MyRating(_S1,$B45,Efficacy!$F$1))</f>
        <v>0</v>
      </c>
      <c r="BM45" s="3">
        <f>IF($C$5="ON",CM45,MyRating(_S2,$B45,Efficacy!$F$1))</f>
        <v>0</v>
      </c>
      <c r="BN45" s="3">
        <f>IF($C$5="ON",CN45,MyRating(_S3,$B45,Efficacy!$F$1))</f>
        <v>0</v>
      </c>
      <c r="BO45" s="3">
        <f>IF($C$5="ON",CO45,MyRating(_S4,$B45,Efficacy!$F$1))</f>
        <v>0</v>
      </c>
      <c r="BP45" s="3">
        <f>IF($C$5="ON",CP45,MyRating(_S5,$B45,Efficacy!$F$1))</f>
        <v>0</v>
      </c>
      <c r="BQ45" s="3">
        <f>IF($C$5="ON",CQ45,MyRating(_S6,$B45,Efficacy!$F$1))</f>
        <v>0</v>
      </c>
      <c r="BR45" s="3">
        <f>IF($C$5="ON",CR45,MyRating(_S7,$B45,Efficacy!$F$1))</f>
        <v>0</v>
      </c>
      <c r="BS45" s="3">
        <f>IF($C$5="ON",CS45,MyRating(_D1,$B45,Efficacy!$F$1))</f>
        <v>0</v>
      </c>
      <c r="BT45" s="3">
        <f>IF($C$5="ON",CT45,MyRating(_D2,$B45,Efficacy!$F$1))</f>
        <v>0</v>
      </c>
      <c r="BU45" s="3">
        <f>IF($C$5="ON",CU45,MyRating(_D3,$B45,Efficacy!$F$1))</f>
        <v>0</v>
      </c>
      <c r="BV45" s="3">
        <f>IF($C$5="ON",CV45,MyRating(_D4,$B45,Efficacy!$F$1))</f>
        <v>0</v>
      </c>
      <c r="BW45" s="3">
        <f>IF($C$5="ON",CW45,MyRating(_B1G5,$B45,Barrier!$L$2))</f>
        <v>2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11"/>
        <v>3.3407946312985805E-2</v>
      </c>
      <c r="CA45" s="8">
        <f t="shared" si="15"/>
        <v>2.8000000000000003</v>
      </c>
      <c r="CB45" s="5">
        <f t="shared" si="16"/>
        <v>3.2941176470588251E-2</v>
      </c>
      <c r="CC45" s="7">
        <f t="shared" si="17"/>
        <v>5.9787261089987885E-3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>
        <v>0</v>
      </c>
      <c r="DA45" s="59">
        <f t="shared" si="18"/>
        <v>2032</v>
      </c>
      <c r="DB45">
        <f t="shared" si="19"/>
        <v>9</v>
      </c>
    </row>
    <row r="46" spans="1:106" x14ac:dyDescent="0.25">
      <c r="A46" s="9" t="str">
        <f t="shared" si="13"/>
        <v>FR</v>
      </c>
      <c r="B46" s="9" t="s">
        <v>10</v>
      </c>
      <c r="C46" s="20"/>
      <c r="D46" s="9" t="s">
        <v>2</v>
      </c>
      <c r="E46" s="9" t="s">
        <v>186</v>
      </c>
      <c r="F46" s="9" t="str">
        <f>INDEX('Unique Asset List'!$C$4:$C$60,MATCH(B46,_CompoundList,0))</f>
        <v>PCD</v>
      </c>
      <c r="G46" s="19">
        <v>0</v>
      </c>
      <c r="H46" s="9">
        <v>2014</v>
      </c>
      <c r="I46" s="9">
        <v>6</v>
      </c>
      <c r="J46" s="18">
        <f>INDEX(PTRS!$D$6:$D$12,MATCH('3'!$F46,PTRS!$B$6:$B$12,0))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v>0</v>
      </c>
      <c r="N46" s="17">
        <f>INDEX('Unique Asset List'!$D$4:$M$60,MATCH($B46,'Unique Asset List'!$A$4:$A$60,0),MATCH(N$8,'Unique Asset List'!$D$3:$M$3,0))</f>
        <v>1</v>
      </c>
      <c r="O46" s="17">
        <f>INDEX('Unique Asset List'!$D$4:$M$60,MATCH($B46,'Unique Asset List'!$A$4:$A$60,0),MATCH(O$8,'Unique Asset List'!$D$3:$M$3,0))</f>
        <v>1</v>
      </c>
      <c r="P46" s="17">
        <f>INDEX('Unique Asset List'!$D$4:$M$60,MATCH($B46,'Unique Asset List'!$A$4:$A$60,0),MATCH(P$8,'Unique Asset List'!$D$3:$M$3,0))</f>
        <v>1</v>
      </c>
      <c r="Q46" s="17">
        <f>INDEX('Unique Asset List'!$D$4:$M$60,MATCH($B46,'Unique Asset List'!$A$4:$A$60,0),MATCH(Q$8,'Unique Asset List'!$D$3:$M$3,0))</f>
        <v>1</v>
      </c>
      <c r="R46" s="17">
        <f>INDEX('Unique Asset List'!$D$4:$M$60,MATCH($B46,'Unique Asset List'!$A$4:$A$60,0),MATCH(R$8,'Unique Asset List'!$D$3:$M$3,0))</f>
        <v>1</v>
      </c>
      <c r="S46" s="17">
        <f>INDEX('Unique Asset List'!$D$4:$M$60,MATCH($B46,'Unique Asset List'!$A$4:$A$60,0),MATCH(S$8,'Unique Asset List'!$D$3:$M$3,0))</f>
        <v>1</v>
      </c>
      <c r="T46" s="17"/>
      <c r="U46" s="17">
        <f t="shared" si="12"/>
        <v>0.90168566420734264</v>
      </c>
      <c r="V46" s="17">
        <v>1</v>
      </c>
      <c r="W46" s="9" t="s">
        <v>10</v>
      </c>
      <c r="X46" s="9">
        <f>INDEX('Unique Asset List'!$Y$4:$AE$60,MATCH('3'!$B46,'Unique Asset List'!$A$4:$A$60,0),MATCH('3'!$C$1,'Unique Asset List'!$Y$3:$AE$3,0))</f>
        <v>2035</v>
      </c>
      <c r="Y46" s="9">
        <f>INDEX('Unique Asset List'!$AF$4:$AL$60,MATCH('3'!$B46,'Unique Asset List'!$A$4:$A$60,0),MATCH('3'!$C$1,'Unique Asset List'!$AF$3:$AL$3,0))</f>
        <v>6</v>
      </c>
      <c r="Z46" s="9">
        <f>INDEX('Unique Asset List'!$AT$4:$AZ$60,MATCH('3'!$B46,'Unique Asset List'!$A$4:$A$60,0),MATCH('3'!$C$1,'Unique Asset List'!$AT$3:$AZ$3,0))</f>
        <v>2046</v>
      </c>
      <c r="AA46" s="9">
        <f>INDEX('Unique Asset List'!$BA$4:$BG$60,MATCH('3'!$B46,'Unique Asset List'!$A$4:$A$60,0),MATCH('3'!$C$1,'Unique Asset List'!$BA$3:$BG$3,0))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List'!$CJ$4:$CP$60,MATCH('3'!$B46,'Unique Asset List'!$A$4:$A$60,0),MATCH('3'!$C$1,'Unique Asset List'!$CJ$3:$CP$3,0))</f>
        <v>0.12</v>
      </c>
      <c r="AF46" s="15">
        <f>INDEX('Unique Asset List'!$CQ$4:$CW$60,MATCH('3'!$B46,'Unique Asset List'!$A$4:$A$60,0),MATCH('3'!$C$1,'Unique Asset List'!$CQ$3:$CW$3,0))</f>
        <v>0.38</v>
      </c>
      <c r="AG46" s="15">
        <f>INDEX('Unique Asset List'!$BV$4:$CB$60,MATCH('3'!$B46,'Unique Asset List'!$A$4:$A$60,0),MATCH('3'!$C$1,'Unique Asset List'!$BV$3:$CB$3,0))</f>
        <v>0.12</v>
      </c>
      <c r="AH46" s="15">
        <f>INDEX('Unique Asset List'!$CC$4:$CI$60,MATCH('3'!$B46,'Unique Asset List'!$A$4:$A$60,0),MATCH('3'!$C$1,'Unique Asset List'!$CC$3:$CI$3,0))</f>
        <v>0.38</v>
      </c>
      <c r="AI46" s="11">
        <v>0.96187963349867744</v>
      </c>
      <c r="AJ46" s="15">
        <f>INDEX('Unique Asset List'!$BH$4:$BN$60,MATCH('3'!$B46,'Unique Asset List'!$A$4:$A$60,0),MATCH('3'!$C$1,'Unique Asset List'!$BH$3:$BN$3,0))</f>
        <v>2.1252009430760062</v>
      </c>
      <c r="AK46" s="15">
        <f>INDEX('Unique Asset List'!$BO$4:$BU$60,MATCH('3'!$B46,'Unique Asset List'!$A$4:$A$60,0),MATCH('3'!$C$1,'Unique Asset List'!$BO$3:$BU$3,0))</f>
        <v>-1.7169645793441486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4"/>
        <v>0.82</v>
      </c>
      <c r="AS46" s="10">
        <v>1</v>
      </c>
      <c r="AT46" s="181">
        <f>INDEX('Unique Asset List'!N$4:N$60,MATCH($B46,_CompoundList,0))</f>
        <v>1</v>
      </c>
      <c r="AU46" s="181">
        <f>INDEX('Unique Asset List'!O$4:O$60,MATCH($B46,_CompoundList,0))</f>
        <v>1</v>
      </c>
      <c r="AV46" s="181">
        <f>INDEX('Unique Asset List'!P$4:P$60,MATCH($B46,_CompoundList,0))</f>
        <v>1</v>
      </c>
      <c r="AW46" s="181">
        <f>INDEX('Unique Asset List'!Q$4:Q$60,MATCH($B46,_CompoundList,0))</f>
        <v>1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1</v>
      </c>
      <c r="BB46" s="181">
        <f ca="1">INDEX('Unique Asset List'!V$4:V$60,MATCH($B46,_CompoundList,0))</f>
        <v>1</v>
      </c>
      <c r="BC46" s="181">
        <f ca="1">INDEX('Unique Asset List'!W$4:W$60,MATCH($B46,_CompoundList,0))</f>
        <v>1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IF($C$5="ON",CL46,MyRating(_S1,$B46,Efficacy!$F$1))</f>
        <v>0</v>
      </c>
      <c r="BM46" s="3">
        <f>IF($C$5="ON",CM46,MyRating(_S2,$B46,Efficacy!$F$1))</f>
        <v>0</v>
      </c>
      <c r="BN46" s="3">
        <f>IF($C$5="ON",CN46,MyRating(_S3,$B46,Efficacy!$F$1))</f>
        <v>0</v>
      </c>
      <c r="BO46" s="3">
        <f>IF($C$5="ON",CO46,MyRating(_S4,$B46,Efficacy!$F$1))</f>
        <v>0</v>
      </c>
      <c r="BP46" s="3">
        <f>IF($C$5="ON",CP46,MyRating(_S5,$B46,Efficacy!$F$1))</f>
        <v>0</v>
      </c>
      <c r="BQ46" s="3">
        <f>IF($C$5="ON",CQ46,MyRating(_S6,$B46,Efficacy!$F$1))</f>
        <v>0</v>
      </c>
      <c r="BR46" s="3">
        <f>IF($C$5="ON",CR46,MyRating(_S7,$B46,Efficacy!$F$1))</f>
        <v>0</v>
      </c>
      <c r="BS46" s="3">
        <f>IF($C$5="ON",CS46,MyRating(_D1,$B46,Efficacy!$F$1))</f>
        <v>0</v>
      </c>
      <c r="BT46" s="3">
        <f>IF($C$5="ON",CT46,MyRating(_D2,$B46,Efficacy!$F$1))</f>
        <v>0</v>
      </c>
      <c r="BU46" s="3">
        <f>IF($C$5="ON",CU46,MyRating(_D3,$B46,Efficacy!$F$1))</f>
        <v>0</v>
      </c>
      <c r="BV46" s="3">
        <f>IF($C$5="ON",CV46,MyRating(_D4,$B46,Efficacy!$F$1))</f>
        <v>0</v>
      </c>
      <c r="BW46" s="3">
        <f>IF($C$5="ON",CW46,MyRating(_B1G5,$B46,Barrier!$L$2))</f>
        <v>2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11"/>
        <v>3.3407946312985805E-2</v>
      </c>
      <c r="CA46" s="8">
        <f t="shared" si="15"/>
        <v>2.8000000000000003</v>
      </c>
      <c r="CB46" s="5">
        <f t="shared" si="16"/>
        <v>3.2941176470588251E-2</v>
      </c>
      <c r="CC46" s="7">
        <f t="shared" si="17"/>
        <v>5.9787261089987885E-3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>
        <v>0</v>
      </c>
      <c r="DA46" s="59">
        <f t="shared" si="18"/>
        <v>2036</v>
      </c>
      <c r="DB46">
        <f t="shared" si="19"/>
        <v>9</v>
      </c>
    </row>
    <row r="47" spans="1:106" x14ac:dyDescent="0.25">
      <c r="A47" s="9" t="str">
        <f t="shared" si="13"/>
        <v>FR</v>
      </c>
      <c r="B47" s="9" t="s">
        <v>7</v>
      </c>
      <c r="C47" s="20"/>
      <c r="D47" s="9" t="s">
        <v>2</v>
      </c>
      <c r="E47" s="9" t="s">
        <v>186</v>
      </c>
      <c r="F47" s="9" t="str">
        <f>INDEX('Unique Asset List'!$C$4:$C$60,MATCH(B47,_CompoundList,0))</f>
        <v>PCD</v>
      </c>
      <c r="G47" s="19">
        <v>0</v>
      </c>
      <c r="H47" s="9">
        <v>2014</v>
      </c>
      <c r="I47" s="9">
        <v>6</v>
      </c>
      <c r="J47" s="18">
        <f>INDEX(PTRS!$D$6:$D$12,MATCH('3'!$F47,PTRS!$B$6:$B$12,0))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v>0</v>
      </c>
      <c r="N47" s="17">
        <f>INDEX('Unique Asset List'!$D$4:$M$60,MATCH($B47,'Unique Asset List'!$A$4:$A$60,0),MATCH(N$8,'Unique Asset List'!$D$3:$M$3,0))</f>
        <v>1</v>
      </c>
      <c r="O47" s="17">
        <f>INDEX('Unique Asset List'!$D$4:$M$60,MATCH($B47,'Unique Asset List'!$A$4:$A$60,0),MATCH(O$8,'Unique Asset List'!$D$3:$M$3,0))</f>
        <v>1</v>
      </c>
      <c r="P47" s="17">
        <f>INDEX('Unique Asset List'!$D$4:$M$60,MATCH($B47,'Unique Asset List'!$A$4:$A$60,0),MATCH(P$8,'Unique Asset List'!$D$3:$M$3,0))</f>
        <v>1</v>
      </c>
      <c r="Q47" s="17">
        <f>INDEX('Unique Asset List'!$D$4:$M$60,MATCH($B47,'Unique Asset List'!$A$4:$A$60,0),MATCH(Q$8,'Unique Asset List'!$D$3:$M$3,0))</f>
        <v>1</v>
      </c>
      <c r="R47" s="17">
        <f>INDEX('Unique Asset List'!$D$4:$M$60,MATCH($B47,'Unique Asset List'!$A$4:$A$60,0),MATCH(R$8,'Unique Asset List'!$D$3:$M$3,0))</f>
        <v>1</v>
      </c>
      <c r="S47" s="17">
        <f>INDEX('Unique Asset List'!$D$4:$M$60,MATCH($B47,'Unique Asset List'!$A$4:$A$60,0),MATCH(S$8,'Unique Asset List'!$D$3:$M$3,0))</f>
        <v>1</v>
      </c>
      <c r="T47" s="17"/>
      <c r="U47" s="17">
        <f t="shared" si="12"/>
        <v>0.90168566420734264</v>
      </c>
      <c r="V47" s="17">
        <v>1</v>
      </c>
      <c r="W47" s="9" t="s">
        <v>7</v>
      </c>
      <c r="X47" s="9">
        <f>INDEX('Unique Asset List'!$Y$4:$AE$60,MATCH('3'!$B47,'Unique Asset List'!$A$4:$A$60,0),MATCH('3'!$C$1,'Unique Asset List'!$Y$3:$AE$3,0))</f>
        <v>2039</v>
      </c>
      <c r="Y47" s="9">
        <f>INDEX('Unique Asset List'!$AF$4:$AL$60,MATCH('3'!$B47,'Unique Asset List'!$A$4:$A$60,0),MATCH('3'!$C$1,'Unique Asset List'!$AF$3:$AL$3,0))</f>
        <v>6</v>
      </c>
      <c r="Z47" s="9">
        <f>INDEX('Unique Asset List'!$AT$4:$AZ$60,MATCH('3'!$B47,'Unique Asset List'!$A$4:$A$60,0),MATCH('3'!$C$1,'Unique Asset List'!$AT$3:$AZ$3,0))</f>
        <v>2050</v>
      </c>
      <c r="AA47" s="9">
        <f>INDEX('Unique Asset List'!$BA$4:$BG$60,MATCH('3'!$B47,'Unique Asset List'!$A$4:$A$60,0),MATCH('3'!$C$1,'Unique Asset List'!$BA$3:$BG$3,0))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List'!$CJ$4:$CP$60,MATCH('3'!$B47,'Unique Asset List'!$A$4:$A$60,0),MATCH('3'!$C$1,'Unique Asset List'!$CJ$3:$CP$3,0))</f>
        <v>0.12</v>
      </c>
      <c r="AF47" s="15">
        <f>INDEX('Unique Asset List'!$CQ$4:$CW$60,MATCH('3'!$B47,'Unique Asset List'!$A$4:$A$60,0),MATCH('3'!$C$1,'Unique Asset List'!$CQ$3:$CW$3,0))</f>
        <v>0.38</v>
      </c>
      <c r="AG47" s="15">
        <f>INDEX('Unique Asset List'!$BV$4:$CB$60,MATCH('3'!$B47,'Unique Asset List'!$A$4:$A$60,0),MATCH('3'!$C$1,'Unique Asset List'!$BV$3:$CB$3,0))</f>
        <v>0.12</v>
      </c>
      <c r="AH47" s="15">
        <f>INDEX('Unique Asset List'!$CC$4:$CI$60,MATCH('3'!$B47,'Unique Asset List'!$A$4:$A$60,0),MATCH('3'!$C$1,'Unique Asset List'!$CC$3:$CI$3,0))</f>
        <v>0.38</v>
      </c>
      <c r="AI47" s="11">
        <v>0.96187963349867744</v>
      </c>
      <c r="AJ47" s="15">
        <f>INDEX('Unique Asset List'!$BH$4:$BN$60,MATCH('3'!$B47,'Unique Asset List'!$A$4:$A$60,0),MATCH('3'!$C$1,'Unique Asset List'!$BH$3:$BN$3,0))</f>
        <v>2.1252009430760062</v>
      </c>
      <c r="AK47" s="15">
        <f>INDEX('Unique Asset List'!$BO$4:$BU$60,MATCH('3'!$B47,'Unique Asset List'!$A$4:$A$60,0),MATCH('3'!$C$1,'Unique Asset List'!$BO$3:$BU$3,0))</f>
        <v>-1.7169645793441486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4"/>
        <v>0.82</v>
      </c>
      <c r="AS47" s="10">
        <v>1</v>
      </c>
      <c r="AT47" s="181">
        <f>INDEX('Unique Asset List'!N$4:N$60,MATCH($B47,_CompoundList,0))</f>
        <v>1</v>
      </c>
      <c r="AU47" s="181">
        <f>INDEX('Unique Asset List'!O$4:O$60,MATCH($B47,_CompoundList,0))</f>
        <v>1</v>
      </c>
      <c r="AV47" s="181">
        <f>INDEX('Unique Asset List'!P$4:P$60,MATCH($B47,_CompoundList,0))</f>
        <v>1</v>
      </c>
      <c r="AW47" s="181">
        <f>INDEX('Unique Asset List'!Q$4:Q$60,MATCH($B47,_CompoundList,0))</f>
        <v>1</v>
      </c>
      <c r="AX47" s="181">
        <f ca="1">INDEX('Unique Asset List'!R$4:R$60,MATCH($B47,_CompoundList,0))</f>
        <v>1</v>
      </c>
      <c r="AY47" s="181">
        <f ca="1">INDEX('Unique Asset List'!S$4:S$60,MATCH($B47,_CompoundList,0))</f>
        <v>1</v>
      </c>
      <c r="AZ47" s="181">
        <f ca="1">INDEX('Unique Asset List'!T$4:T$60,MATCH($B47,_CompoundList,0))</f>
        <v>1</v>
      </c>
      <c r="BA47" s="181">
        <f ca="1">INDEX('Unique Asset List'!U$4:U$60,MATCH($B47,_CompoundList,0))</f>
        <v>1</v>
      </c>
      <c r="BB47" s="181">
        <f ca="1">INDEX('Unique Asset List'!V$4:V$60,MATCH($B47,_CompoundList,0))</f>
        <v>1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IF($C$5="ON",CL47,MyRating(_S1,$B47,Efficacy!$F$1))</f>
        <v>0</v>
      </c>
      <c r="BM47" s="3">
        <f>IF($C$5="ON",CM47,MyRating(_S2,$B47,Efficacy!$F$1))</f>
        <v>0</v>
      </c>
      <c r="BN47" s="3">
        <f>IF($C$5="ON",CN47,MyRating(_S3,$B47,Efficacy!$F$1))</f>
        <v>0</v>
      </c>
      <c r="BO47" s="3">
        <f>IF($C$5="ON",CO47,MyRating(_S4,$B47,Efficacy!$F$1))</f>
        <v>0</v>
      </c>
      <c r="BP47" s="3">
        <f>IF($C$5="ON",CP47,MyRating(_S5,$B47,Efficacy!$F$1))</f>
        <v>0</v>
      </c>
      <c r="BQ47" s="3">
        <f>IF($C$5="ON",CQ47,MyRating(_S6,$B47,Efficacy!$F$1))</f>
        <v>0</v>
      </c>
      <c r="BR47" s="3">
        <f>IF($C$5="ON",CR47,MyRating(_S7,$B47,Efficacy!$F$1))</f>
        <v>0</v>
      </c>
      <c r="BS47" s="3">
        <f>IF($C$5="ON",CS47,MyRating(_D1,$B47,Efficacy!$F$1))</f>
        <v>0</v>
      </c>
      <c r="BT47" s="3">
        <f>IF($C$5="ON",CT47,MyRating(_D2,$B47,Efficacy!$F$1))</f>
        <v>0</v>
      </c>
      <c r="BU47" s="3">
        <f>IF($C$5="ON",CU47,MyRating(_D3,$B47,Efficacy!$F$1))</f>
        <v>0</v>
      </c>
      <c r="BV47" s="3">
        <f>IF($C$5="ON",CV47,MyRating(_D4,$B47,Efficacy!$F$1))</f>
        <v>0</v>
      </c>
      <c r="BW47" s="3">
        <f>IF($C$5="ON",CW47,MyRating(_B1G5,$B47,Barrier!$L$2))</f>
        <v>2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11"/>
        <v>3.3407946312985805E-2</v>
      </c>
      <c r="CA47" s="8">
        <f t="shared" si="15"/>
        <v>2.8000000000000003</v>
      </c>
      <c r="CB47" s="5">
        <f t="shared" si="16"/>
        <v>3.2941176470588251E-2</v>
      </c>
      <c r="CC47" s="7">
        <f t="shared" si="17"/>
        <v>5.9787261089987885E-3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>
        <v>0</v>
      </c>
      <c r="DA47" s="59">
        <f t="shared" si="18"/>
        <v>2040</v>
      </c>
      <c r="DB47">
        <f t="shared" si="19"/>
        <v>9</v>
      </c>
    </row>
    <row r="48" spans="1:106" x14ac:dyDescent="0.25">
      <c r="A48" s="9" t="str">
        <f t="shared" si="13"/>
        <v>FR</v>
      </c>
      <c r="B48" s="9" t="s">
        <v>15</v>
      </c>
      <c r="C48" s="20"/>
      <c r="D48" s="9" t="s">
        <v>14</v>
      </c>
      <c r="E48" s="9" t="s">
        <v>186</v>
      </c>
      <c r="F48" s="9" t="str">
        <f>INDEX('Unique Asset List'!$C$4:$C$60,MATCH(B48,_CompoundList,0))</f>
        <v>PCD</v>
      </c>
      <c r="G48" s="19">
        <v>0</v>
      </c>
      <c r="H48" s="9">
        <v>2014</v>
      </c>
      <c r="I48" s="9">
        <v>6</v>
      </c>
      <c r="J48" s="18">
        <f>INDEX(PTRS!$D$6:$D$12,MATCH('3'!$F48,PTRS!$B$6:$B$12,0))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v>0</v>
      </c>
      <c r="N48" s="17">
        <f>INDEX('Unique Asset List'!$D$4:$M$60,MATCH($B48,'Unique Asset List'!$A$4:$A$60,0),MATCH(N$8,'Unique Asset List'!$D$3:$M$3,0))</f>
        <v>1</v>
      </c>
      <c r="O48" s="17">
        <f>INDEX('Unique Asset List'!$D$4:$M$60,MATCH($B48,'Unique Asset List'!$A$4:$A$60,0),MATCH(O$8,'Unique Asset List'!$D$3:$M$3,0))</f>
        <v>1</v>
      </c>
      <c r="P48" s="17">
        <f>INDEX('Unique Asset List'!$D$4:$M$60,MATCH($B48,'Unique Asset List'!$A$4:$A$60,0),MATCH(P$8,'Unique Asset List'!$D$3:$M$3,0))</f>
        <v>1</v>
      </c>
      <c r="Q48" s="17">
        <f>INDEX('Unique Asset List'!$D$4:$M$60,MATCH($B48,'Unique Asset List'!$A$4:$A$60,0),MATCH(Q$8,'Unique Asset List'!$D$3:$M$3,0))</f>
        <v>1</v>
      </c>
      <c r="R48" s="17">
        <f>INDEX('Unique Asset List'!$D$4:$M$60,MATCH($B48,'Unique Asset List'!$A$4:$A$60,0),MATCH(R$8,'Unique Asset List'!$D$3:$M$3,0))</f>
        <v>1</v>
      </c>
      <c r="S48" s="17">
        <f>INDEX('Unique Asset List'!$D$4:$M$60,MATCH($B48,'Unique Asset List'!$A$4:$A$60,0),MATCH(S$8,'Unique Asset List'!$D$3:$M$3,0))</f>
        <v>1</v>
      </c>
      <c r="T48" s="17" t="s">
        <v>13</v>
      </c>
      <c r="U48" s="17">
        <f t="shared" si="12"/>
        <v>0.90168566420734264</v>
      </c>
      <c r="V48" s="17">
        <v>1</v>
      </c>
      <c r="W48" s="9" t="s">
        <v>13</v>
      </c>
      <c r="X48" s="9">
        <f>INDEX('Unique Asset List'!$Y$4:$AE$60,MATCH('3'!$B48,'Unique Asset List'!$A$4:$A$60,0),MATCH('3'!$C$1,'Unique Asset List'!$Y$3:$AE$3,0))</f>
        <v>2033</v>
      </c>
      <c r="Y48" s="9">
        <f>INDEX('Unique Asset List'!$AF$4:$AL$60,MATCH('3'!$B48,'Unique Asset List'!$A$4:$A$60,0),MATCH('3'!$C$1,'Unique Asset List'!$AF$3:$AL$3,0))</f>
        <v>6</v>
      </c>
      <c r="Z48" s="9">
        <f>INDEX('Unique Asset List'!$AT$4:$AZ$60,MATCH('3'!$B48,'Unique Asset List'!$A$4:$A$60,0),MATCH('3'!$C$1,'Unique Asset List'!$AT$3:$AZ$3,0))</f>
        <v>2044</v>
      </c>
      <c r="AA48" s="9">
        <f>INDEX('Unique Asset List'!$BA$4:$BG$60,MATCH('3'!$B48,'Unique Asset List'!$A$4:$A$60,0),MATCH('3'!$C$1,'Unique Asset List'!$BA$3:$BG$3,0))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List'!$CJ$4:$CP$60,MATCH('3'!$B48,'Unique Asset List'!$A$4:$A$60,0),MATCH('3'!$C$1,'Unique Asset List'!$CJ$3:$CP$3,0))</f>
        <v>0.12</v>
      </c>
      <c r="AF48" s="15">
        <f>INDEX('Unique Asset List'!$CQ$4:$CW$60,MATCH('3'!$B48,'Unique Asset List'!$A$4:$A$60,0),MATCH('3'!$C$1,'Unique Asset List'!$CQ$3:$CW$3,0))</f>
        <v>0.38</v>
      </c>
      <c r="AG48" s="15">
        <f>INDEX('Unique Asset List'!$BV$4:$CB$60,MATCH('3'!$B48,'Unique Asset List'!$A$4:$A$60,0),MATCH('3'!$C$1,'Unique Asset List'!$BV$3:$CB$3,0))</f>
        <v>0.12</v>
      </c>
      <c r="AH48" s="15">
        <f>INDEX('Unique Asset List'!$CC$4:$CI$60,MATCH('3'!$B48,'Unique Asset List'!$A$4:$A$60,0),MATCH('3'!$C$1,'Unique Asset List'!$CC$3:$CI$3,0))</f>
        <v>0.38</v>
      </c>
      <c r="AI48" s="11">
        <v>0.96187963349867744</v>
      </c>
      <c r="AJ48" s="15">
        <f>INDEX('Unique Asset List'!$BH$4:$BN$60,MATCH('3'!$B48,'Unique Asset List'!$A$4:$A$60,0),MATCH('3'!$C$1,'Unique Asset List'!$BH$3:$BN$3,0))</f>
        <v>2.1252009430760062</v>
      </c>
      <c r="AK48" s="15">
        <f>INDEX('Unique Asset List'!$BO$4:$BU$60,MATCH('3'!$B48,'Unique Asset List'!$A$4:$A$60,0),MATCH('3'!$C$1,'Unique Asset List'!$BO$3:$BU$3,0))</f>
        <v>-1.7169645793441486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4"/>
        <v>0.82</v>
      </c>
      <c r="AS48" s="10">
        <v>1</v>
      </c>
      <c r="AT48" s="181">
        <f>INDEX('Unique Asset List'!N$4:N$60,MATCH($B48,_CompoundList,0))</f>
        <v>1</v>
      </c>
      <c r="AU48" s="181">
        <f>INDEX('Unique Asset List'!O$4:O$60,MATCH($B48,_CompoundList,0))</f>
        <v>1</v>
      </c>
      <c r="AV48" s="181">
        <f>INDEX('Unique Asset List'!P$4:P$60,MATCH($B48,_CompoundList,0))</f>
        <v>1</v>
      </c>
      <c r="AW48" s="181">
        <f>INDEX('Unique Asset List'!Q$4:Q$60,MATCH($B48,_CompoundList,0))</f>
        <v>1</v>
      </c>
      <c r="AX48" s="181">
        <f ca="1">INDEX('Unique Asset List'!R$4:R$60,MATCH($B48,_CompoundList,0))</f>
        <v>1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1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1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IF($C$5="ON",CL48,MyRating(_S1,$B48,Efficacy!$F$1))</f>
        <v>0</v>
      </c>
      <c r="BM48" s="3">
        <f>IF($C$5="ON",CM48,MyRating(_S2,$B48,Efficacy!$F$1))</f>
        <v>0</v>
      </c>
      <c r="BN48" s="3">
        <f>IF($C$5="ON",CN48,MyRating(_S3,$B48,Efficacy!$F$1))</f>
        <v>0</v>
      </c>
      <c r="BO48" s="3">
        <f>IF($C$5="ON",CO48,MyRating(_S4,$B48,Efficacy!$F$1))</f>
        <v>0</v>
      </c>
      <c r="BP48" s="3">
        <f>IF($C$5="ON",CP48,MyRating(_S5,$B48,Efficacy!$F$1))</f>
        <v>0</v>
      </c>
      <c r="BQ48" s="3">
        <f>IF($C$5="ON",CQ48,MyRating(_S6,$B48,Efficacy!$F$1))</f>
        <v>0</v>
      </c>
      <c r="BR48" s="3">
        <f>IF($C$5="ON",CR48,MyRating(_S7,$B48,Efficacy!$F$1))</f>
        <v>0</v>
      </c>
      <c r="BS48" s="3">
        <f>IF($C$5="ON",CS48,MyRating(_D1,$B48,Efficacy!$F$1))</f>
        <v>0</v>
      </c>
      <c r="BT48" s="3">
        <f>IF($C$5="ON",CT48,MyRating(_D2,$B48,Efficacy!$F$1))</f>
        <v>0</v>
      </c>
      <c r="BU48" s="3">
        <f>IF($C$5="ON",CU48,MyRating(_D3,$B48,Efficacy!$F$1))</f>
        <v>0</v>
      </c>
      <c r="BV48" s="3">
        <f>IF($C$5="ON",CV48,MyRating(_D4,$B48,Efficacy!$F$1))</f>
        <v>0</v>
      </c>
      <c r="BW48" s="3">
        <f>IF($C$5="ON",CW48,MyRating(_B1G5,$B48,Barrier!$L$2))</f>
        <v>2</v>
      </c>
      <c r="BX48" s="3">
        <f>IF($C$5="ON",CX48,MyRating(_B2,$B48,Barrier!$F$2))</f>
        <v>3</v>
      </c>
      <c r="BY48" s="6">
        <f>IF($C$5="ON",CY48,MyRating(_B3,$B48,Barrier!$F$2))</f>
        <v>3</v>
      </c>
      <c r="BZ48" s="5">
        <f t="shared" si="11"/>
        <v>3.3407946312985805E-2</v>
      </c>
      <c r="CA48" s="8">
        <f t="shared" si="15"/>
        <v>2.8000000000000003</v>
      </c>
      <c r="CB48" s="5">
        <f t="shared" si="16"/>
        <v>3.2941176470588251E-2</v>
      </c>
      <c r="CC48" s="7">
        <f t="shared" si="17"/>
        <v>5.9787261089987885E-3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>
        <v>0</v>
      </c>
      <c r="DA48" s="59">
        <f t="shared" si="18"/>
        <v>2034</v>
      </c>
      <c r="DB48">
        <f t="shared" si="19"/>
        <v>9</v>
      </c>
    </row>
    <row r="49" spans="1:106" x14ac:dyDescent="0.25">
      <c r="A49" s="9" t="str">
        <f t="shared" si="13"/>
        <v>FR</v>
      </c>
      <c r="B49" s="9" t="s">
        <v>12</v>
      </c>
      <c r="C49" s="20"/>
      <c r="D49" s="9" t="s">
        <v>11</v>
      </c>
      <c r="E49" s="9" t="s">
        <v>186</v>
      </c>
      <c r="F49" s="9" t="str">
        <f>INDEX('Unique Asset List'!$C$4:$C$60,MATCH(B49,_CompoundList,0))</f>
        <v>PCD</v>
      </c>
      <c r="G49" s="19">
        <v>0</v>
      </c>
      <c r="H49" s="9">
        <v>2014</v>
      </c>
      <c r="I49" s="9">
        <v>6</v>
      </c>
      <c r="J49" s="18">
        <f>INDEX(PTRS!$D$6:$D$12,MATCH('3'!$F49,PTRS!$B$6:$B$12,0))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v>0</v>
      </c>
      <c r="N49" s="17">
        <f>INDEX('Unique Asset List'!$D$4:$M$60,MATCH($B49,'Unique Asset List'!$A$4:$A$60,0),MATCH(N$8,'Unique Asset List'!$D$3:$M$3,0))</f>
        <v>1</v>
      </c>
      <c r="O49" s="17">
        <f>INDEX('Unique Asset List'!$D$4:$M$60,MATCH($B49,'Unique Asset List'!$A$4:$A$60,0),MATCH(O$8,'Unique Asset List'!$D$3:$M$3,0))</f>
        <v>1</v>
      </c>
      <c r="P49" s="17">
        <f>INDEX('Unique Asset List'!$D$4:$M$60,MATCH($B49,'Unique Asset List'!$A$4:$A$60,0),MATCH(P$8,'Unique Asset List'!$D$3:$M$3,0))</f>
        <v>1</v>
      </c>
      <c r="Q49" s="17">
        <f>INDEX('Unique Asset List'!$D$4:$M$60,MATCH($B49,'Unique Asset List'!$A$4:$A$60,0),MATCH(Q$8,'Unique Asset List'!$D$3:$M$3,0))</f>
        <v>1</v>
      </c>
      <c r="R49" s="17">
        <f>INDEX('Unique Asset List'!$D$4:$M$60,MATCH($B49,'Unique Asset List'!$A$4:$A$60,0),MATCH(R$8,'Unique Asset List'!$D$3:$M$3,0))</f>
        <v>1</v>
      </c>
      <c r="S49" s="17">
        <f>INDEX('Unique Asset List'!$D$4:$M$60,MATCH($B49,'Unique Asset List'!$A$4:$A$60,0),MATCH(S$8,'Unique Asset List'!$D$3:$M$3,0))</f>
        <v>1</v>
      </c>
      <c r="T49" s="17" t="s">
        <v>10</v>
      </c>
      <c r="U49" s="17">
        <f t="shared" si="12"/>
        <v>0.90168566420734264</v>
      </c>
      <c r="V49" s="17">
        <v>1</v>
      </c>
      <c r="W49" s="9" t="s">
        <v>10</v>
      </c>
      <c r="X49" s="9">
        <f>INDEX('Unique Asset List'!$Y$4:$AE$60,MATCH('3'!$B49,'Unique Asset List'!$A$4:$A$60,0),MATCH('3'!$C$1,'Unique Asset List'!$Y$3:$AE$3,0))</f>
        <v>2037</v>
      </c>
      <c r="Y49" s="9">
        <f>INDEX('Unique Asset List'!$AF$4:$AL$60,MATCH('3'!$B49,'Unique Asset List'!$A$4:$A$60,0),MATCH('3'!$C$1,'Unique Asset List'!$AF$3:$AL$3,0))</f>
        <v>6</v>
      </c>
      <c r="Z49" s="9">
        <f>INDEX('Unique Asset List'!$AT$4:$AZ$60,MATCH('3'!$B49,'Unique Asset List'!$A$4:$A$60,0),MATCH('3'!$C$1,'Unique Asset List'!$AT$3:$AZ$3,0))</f>
        <v>2048</v>
      </c>
      <c r="AA49" s="9">
        <f>INDEX('Unique Asset List'!$BA$4:$BG$60,MATCH('3'!$B49,'Unique Asset List'!$A$4:$A$60,0),MATCH('3'!$C$1,'Unique Asset List'!$BA$3:$BG$3,0))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List'!$CJ$4:$CP$60,MATCH('3'!$B49,'Unique Asset List'!$A$4:$A$60,0),MATCH('3'!$C$1,'Unique Asset List'!$CJ$3:$CP$3,0))</f>
        <v>0.12</v>
      </c>
      <c r="AF49" s="15">
        <f>INDEX('Unique Asset List'!$CQ$4:$CW$60,MATCH('3'!$B49,'Unique Asset List'!$A$4:$A$60,0),MATCH('3'!$C$1,'Unique Asset List'!$CQ$3:$CW$3,0))</f>
        <v>0.38</v>
      </c>
      <c r="AG49" s="15">
        <f>INDEX('Unique Asset List'!$BV$4:$CB$60,MATCH('3'!$B49,'Unique Asset List'!$A$4:$A$60,0),MATCH('3'!$C$1,'Unique Asset List'!$BV$3:$CB$3,0))</f>
        <v>0.12</v>
      </c>
      <c r="AH49" s="15">
        <f>INDEX('Unique Asset List'!$CC$4:$CI$60,MATCH('3'!$B49,'Unique Asset List'!$A$4:$A$60,0),MATCH('3'!$C$1,'Unique Asset List'!$CC$3:$CI$3,0))</f>
        <v>0.38</v>
      </c>
      <c r="AI49" s="11">
        <v>0.96187963349867744</v>
      </c>
      <c r="AJ49" s="15">
        <f>INDEX('Unique Asset List'!$BH$4:$BN$60,MATCH('3'!$B49,'Unique Asset List'!$A$4:$A$60,0),MATCH('3'!$C$1,'Unique Asset List'!$BH$3:$BN$3,0))</f>
        <v>2.1252009430760062</v>
      </c>
      <c r="AK49" s="15">
        <f>INDEX('Unique Asset List'!$BO$4:$BU$60,MATCH('3'!$B49,'Unique Asset List'!$A$4:$A$60,0),MATCH('3'!$C$1,'Unique Asset List'!$BO$3:$BU$3,0))</f>
        <v>-1.7169645793441486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4"/>
        <v>0.82</v>
      </c>
      <c r="AS49" s="10">
        <v>1</v>
      </c>
      <c r="AT49" s="181">
        <f>INDEX('Unique Asset List'!N$4:N$60,MATCH($B49,_CompoundList,0))</f>
        <v>1</v>
      </c>
      <c r="AU49" s="181">
        <f>INDEX('Unique Asset List'!O$4:O$60,MATCH($B49,_CompoundList,0))</f>
        <v>1</v>
      </c>
      <c r="AV49" s="181">
        <f>INDEX('Unique Asset List'!P$4:P$60,MATCH($B49,_CompoundList,0))</f>
        <v>1</v>
      </c>
      <c r="AW49" s="181">
        <f>INDEX('Unique Asset List'!Q$4:Q$60,MATCH($B49,_CompoundList,0))</f>
        <v>1</v>
      </c>
      <c r="AX49" s="181">
        <f ca="1">INDEX('Unique Asset List'!R$4:R$60,MATCH($B49,_CompoundList,0))</f>
        <v>1</v>
      </c>
      <c r="AY49" s="181">
        <f ca="1">INDEX('Unique Asset List'!S$4:S$60,MATCH($B49,_CompoundList,0))</f>
        <v>1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1</v>
      </c>
      <c r="BB49" s="181">
        <f ca="1">INDEX('Unique Asset List'!V$4:V$60,MATCH($B49,_CompoundList,0))</f>
        <v>1</v>
      </c>
      <c r="BC49" s="181">
        <f ca="1">INDEX('Unique Asset List'!W$4:W$60,MATCH($B49,_CompoundList,0))</f>
        <v>1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IF($C$5="ON",CL49,MyRating(_S1,$B49,Efficacy!$F$1))</f>
        <v>0</v>
      </c>
      <c r="BM49" s="3">
        <f>IF($C$5="ON",CM49,MyRating(_S2,$B49,Efficacy!$F$1))</f>
        <v>0</v>
      </c>
      <c r="BN49" s="3">
        <f>IF($C$5="ON",CN49,MyRating(_S3,$B49,Efficacy!$F$1))</f>
        <v>0</v>
      </c>
      <c r="BO49" s="3">
        <f>IF($C$5="ON",CO49,MyRating(_S4,$B49,Efficacy!$F$1))</f>
        <v>0</v>
      </c>
      <c r="BP49" s="3">
        <f>IF($C$5="ON",CP49,MyRating(_S5,$B49,Efficacy!$F$1))</f>
        <v>0</v>
      </c>
      <c r="BQ49" s="3">
        <f>IF($C$5="ON",CQ49,MyRating(_S6,$B49,Efficacy!$F$1))</f>
        <v>0</v>
      </c>
      <c r="BR49" s="3">
        <f>IF($C$5="ON",CR49,MyRating(_S7,$B49,Efficacy!$F$1))</f>
        <v>0</v>
      </c>
      <c r="BS49" s="3">
        <f>IF($C$5="ON",CS49,MyRating(_D1,$B49,Efficacy!$F$1))</f>
        <v>0</v>
      </c>
      <c r="BT49" s="3">
        <f>IF($C$5="ON",CT49,MyRating(_D2,$B49,Efficacy!$F$1))</f>
        <v>0</v>
      </c>
      <c r="BU49" s="3">
        <f>IF($C$5="ON",CU49,MyRating(_D3,$B49,Efficacy!$F$1))</f>
        <v>0</v>
      </c>
      <c r="BV49" s="3">
        <f>IF($C$5="ON",CV49,MyRating(_D4,$B49,Efficacy!$F$1))</f>
        <v>0</v>
      </c>
      <c r="BW49" s="3">
        <f>IF($C$5="ON",CW49,MyRating(_B1G5,$B49,Barrier!$L$2))</f>
        <v>2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11"/>
        <v>3.3407946312985805E-2</v>
      </c>
      <c r="CA49" s="8">
        <f t="shared" si="15"/>
        <v>2.8000000000000003</v>
      </c>
      <c r="CB49" s="5">
        <f t="shared" si="16"/>
        <v>3.2941176470588251E-2</v>
      </c>
      <c r="CC49" s="7">
        <f t="shared" si="17"/>
        <v>5.9787261089987885E-3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>
        <v>0</v>
      </c>
      <c r="DA49" s="59">
        <f t="shared" si="18"/>
        <v>2038</v>
      </c>
      <c r="DB49">
        <f t="shared" si="19"/>
        <v>9</v>
      </c>
    </row>
    <row r="50" spans="1:106" x14ac:dyDescent="0.25">
      <c r="A50" s="9" t="str">
        <f t="shared" si="13"/>
        <v>FR</v>
      </c>
      <c r="B50" s="9" t="s">
        <v>9</v>
      </c>
      <c r="C50" s="20"/>
      <c r="D50" s="9" t="s">
        <v>8</v>
      </c>
      <c r="E50" s="9" t="s">
        <v>186</v>
      </c>
      <c r="F50" s="9" t="str">
        <f>INDEX('Unique Asset List'!$C$4:$C$60,MATCH(B50,_CompoundList,0))</f>
        <v>PCD</v>
      </c>
      <c r="G50" s="19">
        <v>0</v>
      </c>
      <c r="H50" s="9">
        <v>2014</v>
      </c>
      <c r="I50" s="9">
        <v>6</v>
      </c>
      <c r="J50" s="18">
        <f>INDEX(PTRS!$D$6:$D$12,MATCH('3'!$F50,PTRS!$B$6:$B$12,0))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v>0</v>
      </c>
      <c r="N50" s="17">
        <f>INDEX('Unique Asset List'!$D$4:$M$60,MATCH($B50,'Unique Asset List'!$A$4:$A$60,0),MATCH(N$8,'Unique Asset List'!$D$3:$M$3,0))</f>
        <v>1</v>
      </c>
      <c r="O50" s="17">
        <f>INDEX('Unique Asset List'!$D$4:$M$60,MATCH($B50,'Unique Asset List'!$A$4:$A$60,0),MATCH(O$8,'Unique Asset List'!$D$3:$M$3,0))</f>
        <v>1</v>
      </c>
      <c r="P50" s="17">
        <f>INDEX('Unique Asset List'!$D$4:$M$60,MATCH($B50,'Unique Asset List'!$A$4:$A$60,0),MATCH(P$8,'Unique Asset List'!$D$3:$M$3,0))</f>
        <v>1</v>
      </c>
      <c r="Q50" s="17">
        <f>INDEX('Unique Asset List'!$D$4:$M$60,MATCH($B50,'Unique Asset List'!$A$4:$A$60,0),MATCH(Q$8,'Unique Asset List'!$D$3:$M$3,0))</f>
        <v>1</v>
      </c>
      <c r="R50" s="17">
        <f>INDEX('Unique Asset List'!$D$4:$M$60,MATCH($B50,'Unique Asset List'!$A$4:$A$60,0),MATCH(R$8,'Unique Asset List'!$D$3:$M$3,0))</f>
        <v>1</v>
      </c>
      <c r="S50" s="17">
        <f>INDEX('Unique Asset List'!$D$4:$M$60,MATCH($B50,'Unique Asset List'!$A$4:$A$60,0),MATCH(S$8,'Unique Asset List'!$D$3:$M$3,0))</f>
        <v>1</v>
      </c>
      <c r="T50" s="17" t="s">
        <v>7</v>
      </c>
      <c r="U50" s="17">
        <f t="shared" si="12"/>
        <v>0.90168566420734264</v>
      </c>
      <c r="V50" s="17">
        <v>1</v>
      </c>
      <c r="W50" s="9" t="s">
        <v>7</v>
      </c>
      <c r="X50" s="9">
        <f>INDEX('Unique Asset List'!$Y$4:$AE$60,MATCH('3'!$B50,'Unique Asset List'!$A$4:$A$60,0),MATCH('3'!$C$1,'Unique Asset List'!$Y$3:$AE$3,0))</f>
        <v>2042</v>
      </c>
      <c r="Y50" s="9">
        <f>INDEX('Unique Asset List'!$AF$4:$AL$60,MATCH('3'!$B50,'Unique Asset List'!$A$4:$A$60,0),MATCH('3'!$C$1,'Unique Asset List'!$AF$3:$AL$3,0))</f>
        <v>6</v>
      </c>
      <c r="Z50" s="9">
        <f>INDEX('Unique Asset List'!$AT$4:$AZ$60,MATCH('3'!$B50,'Unique Asset List'!$A$4:$A$60,0),MATCH('3'!$C$1,'Unique Asset List'!$AT$3:$AZ$3,0))</f>
        <v>2053</v>
      </c>
      <c r="AA50" s="9">
        <f>INDEX('Unique Asset List'!$BA$4:$BG$60,MATCH('3'!$B50,'Unique Asset List'!$A$4:$A$60,0),MATCH('3'!$C$1,'Unique Asset List'!$BA$3:$BG$3,0))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List'!$CJ$4:$CP$60,MATCH('3'!$B50,'Unique Asset List'!$A$4:$A$60,0),MATCH('3'!$C$1,'Unique Asset List'!$CJ$3:$CP$3,0))</f>
        <v>0.12</v>
      </c>
      <c r="AF50" s="15">
        <f>INDEX('Unique Asset List'!$CQ$4:$CW$60,MATCH('3'!$B50,'Unique Asset List'!$A$4:$A$60,0),MATCH('3'!$C$1,'Unique Asset List'!$CQ$3:$CW$3,0))</f>
        <v>0.38</v>
      </c>
      <c r="AG50" s="15">
        <f>INDEX('Unique Asset List'!$BV$4:$CB$60,MATCH('3'!$B50,'Unique Asset List'!$A$4:$A$60,0),MATCH('3'!$C$1,'Unique Asset List'!$BV$3:$CB$3,0))</f>
        <v>0.12</v>
      </c>
      <c r="AH50" s="15">
        <f>INDEX('Unique Asset List'!$CC$4:$CI$60,MATCH('3'!$B50,'Unique Asset List'!$A$4:$A$60,0),MATCH('3'!$C$1,'Unique Asset List'!$CC$3:$CI$3,0))</f>
        <v>0.38</v>
      </c>
      <c r="AI50" s="11">
        <v>0.96187963349867744</v>
      </c>
      <c r="AJ50" s="15">
        <f>INDEX('Unique Asset List'!$BH$4:$BN$60,MATCH('3'!$B50,'Unique Asset List'!$A$4:$A$60,0),MATCH('3'!$C$1,'Unique Asset List'!$BH$3:$BN$3,0))</f>
        <v>2.1252009430760062</v>
      </c>
      <c r="AK50" s="15">
        <f>INDEX('Unique Asset List'!$BO$4:$BU$60,MATCH('3'!$B50,'Unique Asset List'!$A$4:$A$60,0),MATCH('3'!$C$1,'Unique Asset List'!$BO$3:$BU$3,0))</f>
        <v>-1.7169645793441486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4"/>
        <v>0.82</v>
      </c>
      <c r="AS50" s="10">
        <v>1</v>
      </c>
      <c r="AT50" s="181">
        <f>INDEX('Unique Asset List'!N$4:N$60,MATCH($B50,_CompoundList,0))</f>
        <v>1</v>
      </c>
      <c r="AU50" s="181">
        <f>INDEX('Unique Asset List'!O$4:O$60,MATCH($B50,_CompoundList,0))</f>
        <v>1</v>
      </c>
      <c r="AV50" s="181">
        <f>INDEX('Unique Asset List'!P$4:P$60,MATCH($B50,_CompoundList,0))</f>
        <v>1</v>
      </c>
      <c r="AW50" s="181">
        <f>INDEX('Unique Asset List'!Q$4:Q$60,MATCH($B50,_CompoundList,0))</f>
        <v>1</v>
      </c>
      <c r="AX50" s="181">
        <f ca="1">INDEX('Unique Asset List'!R$4:R$60,MATCH($B50,_CompoundList,0))</f>
        <v>1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1</v>
      </c>
      <c r="BA50" s="181">
        <f ca="1">INDEX('Unique Asset List'!U$4:U$60,MATCH($B50,_CompoundList,0))</f>
        <v>1</v>
      </c>
      <c r="BB50" s="181">
        <f ca="1">INDEX('Unique Asset List'!V$4:V$60,MATCH($B50,_CompoundList,0))</f>
        <v>1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IF($C$5="ON",CL50,MyRating(_S1,$B50,Efficacy!$F$1))</f>
        <v>0</v>
      </c>
      <c r="BM50" s="3">
        <f>IF($C$5="ON",CM50,MyRating(_S2,$B50,Efficacy!$F$1))</f>
        <v>0</v>
      </c>
      <c r="BN50" s="3">
        <f>IF($C$5="ON",CN50,MyRating(_S3,$B50,Efficacy!$F$1))</f>
        <v>0</v>
      </c>
      <c r="BO50" s="3">
        <f>IF($C$5="ON",CO50,MyRating(_S4,$B50,Efficacy!$F$1))</f>
        <v>0</v>
      </c>
      <c r="BP50" s="3">
        <f>IF($C$5="ON",CP50,MyRating(_S5,$B50,Efficacy!$F$1))</f>
        <v>0</v>
      </c>
      <c r="BQ50" s="3">
        <f>IF($C$5="ON",CQ50,MyRating(_S6,$B50,Efficacy!$F$1))</f>
        <v>0</v>
      </c>
      <c r="BR50" s="3">
        <f>IF($C$5="ON",CR50,MyRating(_S7,$B50,Efficacy!$F$1))</f>
        <v>0</v>
      </c>
      <c r="BS50" s="3">
        <f>IF($C$5="ON",CS50,MyRating(_D1,$B50,Efficacy!$F$1))</f>
        <v>0</v>
      </c>
      <c r="BT50" s="3">
        <f>IF($C$5="ON",CT50,MyRating(_D2,$B50,Efficacy!$F$1))</f>
        <v>0</v>
      </c>
      <c r="BU50" s="3">
        <f>IF($C$5="ON",CU50,MyRating(_D3,$B50,Efficacy!$F$1))</f>
        <v>0</v>
      </c>
      <c r="BV50" s="3">
        <f>IF($C$5="ON",CV50,MyRating(_D4,$B50,Efficacy!$F$1))</f>
        <v>0</v>
      </c>
      <c r="BW50" s="3">
        <f>IF($C$5="ON",CW50,MyRating(_B1G5,$B50,Barrier!$L$2))</f>
        <v>2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11"/>
        <v>3.3407946312985805E-2</v>
      </c>
      <c r="CA50" s="8">
        <f t="shared" si="15"/>
        <v>2.8000000000000003</v>
      </c>
      <c r="CB50" s="5">
        <f t="shared" si="16"/>
        <v>3.2941176470588251E-2</v>
      </c>
      <c r="CC50" s="7">
        <f t="shared" si="17"/>
        <v>5.9787261089987885E-3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>
        <v>0</v>
      </c>
      <c r="DA50" s="59">
        <f t="shared" si="18"/>
        <v>2043</v>
      </c>
      <c r="DB50">
        <f t="shared" si="19"/>
        <v>9</v>
      </c>
    </row>
    <row r="51" spans="1:106" x14ac:dyDescent="0.25">
      <c r="A51" s="9" t="str">
        <f t="shared" si="13"/>
        <v>FR</v>
      </c>
      <c r="B51" s="9" t="s">
        <v>4</v>
      </c>
      <c r="C51" s="20" t="s">
        <v>3</v>
      </c>
      <c r="D51" s="9" t="s">
        <v>2</v>
      </c>
      <c r="E51" s="9" t="s">
        <v>186</v>
      </c>
      <c r="F51" s="9" t="str">
        <f>INDEX('Unique Asset List'!$C$4:$C$60,MATCH(B51,_CompoundList,0))</f>
        <v>PCD</v>
      </c>
      <c r="G51" s="19">
        <v>0</v>
      </c>
      <c r="H51" s="9">
        <v>2014</v>
      </c>
      <c r="I51" s="9">
        <v>6</v>
      </c>
      <c r="J51" s="18">
        <f>INDEX(PTRS!$D$6:$D$12,MATCH('3'!$F51,PTRS!$B$6:$B$12,0))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v>0.1044225</v>
      </c>
      <c r="N51" s="17">
        <f>INDEX('Unique Asset List'!$D$4:$M$60,MATCH($B51,'Unique Asset List'!$A$4:$A$60,0),MATCH(N$8,'Unique Asset List'!$D$3:$M$3,0))</f>
        <v>0</v>
      </c>
      <c r="O51" s="17">
        <f>INDEX('Unique Asset List'!$D$4:$M$60,MATCH($B51,'Unique Asset List'!$A$4:$A$60,0),MATCH(O$8,'Unique Asset List'!$D$3:$M$3,0))</f>
        <v>0</v>
      </c>
      <c r="P51" s="17">
        <f>INDEX('Unique Asset List'!$D$4:$M$60,MATCH($B51,'Unique Asset List'!$A$4:$A$60,0),MATCH(P$8,'Unique Asset List'!$D$3:$M$3,0))</f>
        <v>0</v>
      </c>
      <c r="Q51" s="17">
        <f>INDEX('Unique Asset List'!$D$4:$M$60,MATCH($B51,'Unique Asset List'!$A$4:$A$60,0),MATCH(Q$8,'Unique Asset List'!$D$3:$M$3,0))</f>
        <v>0</v>
      </c>
      <c r="R51" s="17">
        <f>INDEX('Unique Asset List'!$D$4:$M$60,MATCH($B51,'Unique Asset List'!$A$4:$A$60,0),MATCH(R$8,'Unique Asset List'!$D$3:$M$3,0))</f>
        <v>0</v>
      </c>
      <c r="S51" s="17">
        <f>INDEX('Unique Asset List'!$D$4:$M$60,MATCH($B51,'Unique Asset List'!$A$4:$A$60,0),MATCH(S$8,'Unique Asset List'!$D$3:$M$3,0))</f>
        <v>0</v>
      </c>
      <c r="T51" s="17"/>
      <c r="U51" s="17">
        <f t="shared" ref="U51:U58" si="20">BZ51/$BZ$7</f>
        <v>0</v>
      </c>
      <c r="V51" s="17">
        <v>1</v>
      </c>
      <c r="W51" s="9" t="s">
        <v>0</v>
      </c>
      <c r="X51" s="9">
        <f>INDEX('Unique Asset List'!$Y$4:$AE$60,MATCH('3'!$B51,'Unique Asset List'!$A$4:$A$60,0),MATCH('3'!$C$1,'Unique Asset List'!$Y$3:$AE$3,0))</f>
        <v>2052</v>
      </c>
      <c r="Y51" s="9">
        <f>INDEX('Unique Asset List'!$AF$4:$AL$60,MATCH('3'!$B51,'Unique Asset List'!$A$4:$A$60,0),MATCH('3'!$C$1,'Unique Asset List'!$AF$3:$AL$3,0))</f>
        <v>6</v>
      </c>
      <c r="Z51" s="9">
        <f>INDEX('Unique Asset List'!$AT$4:$AZ$60,MATCH('3'!$B51,'Unique Asset List'!$A$4:$A$60,0),MATCH('3'!$C$1,'Unique Asset List'!$AT$3:$AZ$3,0))</f>
        <v>2060</v>
      </c>
      <c r="AA51" s="9">
        <f>INDEX('Unique Asset List'!$BA$4:$BG$60,MATCH('3'!$B51,'Unique Asset List'!$A$4:$A$60,0),MATCH('3'!$C$1,'Unique Asset List'!$BA$3:$BG$3,0))</f>
        <v>6</v>
      </c>
      <c r="AB51" s="16">
        <f t="shared" ref="AB51:AB58" si="21">SUMPRODUCT($BD51:$BK51,$BD$7:$BK$7)</f>
        <v>0</v>
      </c>
      <c r="AC51" s="16">
        <f t="shared" ref="AC51:AC58" si="22">SUMPRODUCT($BL51:$BR51,$BL$7:$BR$7)</f>
        <v>0</v>
      </c>
      <c r="AD51" s="16">
        <f t="shared" ref="AD51:AD58" si="23">SUMPRODUCT($BS51:$BV51,$BS$7:$BV$7)</f>
        <v>0</v>
      </c>
      <c r="AE51" s="15">
        <f>INDEX('Unique Asset List'!$CJ$4:$CP$60,MATCH('3'!$B51,'Unique Asset List'!$A$4:$A$60,0),MATCH('3'!$C$1,'Unique Asset List'!$CJ$3:$CP$3,0))</f>
        <v>0.12</v>
      </c>
      <c r="AF51" s="15">
        <f>INDEX('Unique Asset List'!$CQ$4:$CW$60,MATCH('3'!$B51,'Unique Asset List'!$A$4:$A$60,0),MATCH('3'!$C$1,'Unique Asset List'!$CQ$3:$CW$3,0))</f>
        <v>0.38</v>
      </c>
      <c r="AG51" s="15">
        <f>INDEX('Unique Asset List'!$BV$4:$CB$60,MATCH('3'!$B51,'Unique Asset List'!$A$4:$A$60,0),MATCH('3'!$C$1,'Unique Asset List'!$BV$3:$CB$3,0))</f>
        <v>0.12</v>
      </c>
      <c r="AH51" s="15">
        <f>INDEX('Unique Asset List'!$CC$4:$CI$60,MATCH('3'!$B51,'Unique Asset List'!$A$4:$A$60,0),MATCH('3'!$C$1,'Unique Asset List'!$CC$3:$CI$3,0))</f>
        <v>0.38</v>
      </c>
      <c r="AI51" s="11">
        <v>0.96187963349867744</v>
      </c>
      <c r="AJ51" s="15">
        <f>INDEX('Unique Asset List'!$BH$4:$BN$60,MATCH('3'!$B51,'Unique Asset List'!$A$4:$A$60,0),MATCH('3'!$C$1,'Unique Asset List'!$BH$3:$BN$3,0))</f>
        <v>2.1252009430760062</v>
      </c>
      <c r="AK51" s="15">
        <f>INDEX('Unique Asset List'!$BO$4:$BU$60,MATCH('3'!$B51,'Unique Asset List'!$A$4:$A$60,0),MATCH('3'!$C$1,'Unique Asset List'!$BO$3:$BU$3,0))</f>
        <v>-1.7169645793441486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4"/>
        <v>0.82</v>
      </c>
      <c r="AS51" s="10">
        <v>1</v>
      </c>
      <c r="AT51" s="181">
        <f>INDEX('Unique Asset List'!N$4:N$60,MATCH($B51,_CompoundList,0))</f>
        <v>0</v>
      </c>
      <c r="AU51" s="181">
        <f>INDEX('Unique Asset List'!O$4:O$60,MATCH($B51,_CompoundList,0))</f>
        <v>0</v>
      </c>
      <c r="AV51" s="181">
        <f>INDEX('Unique Asset List'!P$4:P$60,MATCH($B51,_CompoundList,0))</f>
        <v>0</v>
      </c>
      <c r="AW51" s="181">
        <f>INDEX('Unique Asset List'!Q$4:Q$60,MATCH($B51,_CompoundList,0))</f>
        <v>0</v>
      </c>
      <c r="AX51" s="181">
        <f ca="1">INDEX('Unique Asset List'!R$4:R$60,MATCH($B51,_CompoundList,0))</f>
        <v>0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0</v>
      </c>
      <c r="BA51" s="181">
        <f ca="1">INDEX('Unique Asset List'!U$4:U$60,MATCH($B51,_CompoundList,0))</f>
        <v>0</v>
      </c>
      <c r="BB51" s="181">
        <f ca="1">INDEX('Unique Asset List'!V$4:V$60,MATCH($B51,_CompoundList,0))</f>
        <v>0</v>
      </c>
      <c r="BC51" s="181">
        <f ca="1">INDEX('Unique Asset List'!W$4:W$60,MATCH($B51,_CompoundList,0))</f>
        <v>0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IF($C$5="ON",CL51,MyRating(_S1,$B51,Efficacy!$F$1))</f>
        <v>0</v>
      </c>
      <c r="BM51" s="3">
        <f>IF($C$5="ON",CM51,MyRating(_S2,$B51,Efficacy!$F$1))</f>
        <v>0</v>
      </c>
      <c r="BN51" s="3">
        <f>IF($C$5="ON",CN51,MyRating(_S3,$B51,Efficacy!$F$1))</f>
        <v>0</v>
      </c>
      <c r="BO51" s="3">
        <f>IF($C$5="ON",CO51,MyRating(_S4,$B51,Efficacy!$F$1))</f>
        <v>0</v>
      </c>
      <c r="BP51" s="3">
        <f>IF($C$5="ON",CP51,MyRating(_S5,$B51,Efficacy!$F$1))</f>
        <v>0</v>
      </c>
      <c r="BQ51" s="3">
        <f>IF($C$5="ON",CQ51,MyRating(_S6,$B51,Efficacy!$F$1))</f>
        <v>0</v>
      </c>
      <c r="BR51" s="3">
        <f>IF($C$5="ON",CR51,MyRating(_S7,$B51,Efficacy!$F$1))</f>
        <v>0</v>
      </c>
      <c r="BS51" s="3">
        <f>IF($C$5="ON",CS51,MyRating(_D1,$B51,Efficacy!$F$1))</f>
        <v>0</v>
      </c>
      <c r="BT51" s="3">
        <f>IF($C$5="ON",CT51,MyRating(_D2,$B51,Efficacy!$F$1))</f>
        <v>0</v>
      </c>
      <c r="BU51" s="3">
        <f>IF($C$5="ON",CU51,MyRating(_D3,$B51,Efficacy!$F$1))</f>
        <v>0</v>
      </c>
      <c r="BV51" s="3">
        <f>IF($C$5="ON",CV51,MyRating(_D4,$B51,Efficacy!$F$1))</f>
        <v>0</v>
      </c>
      <c r="BW51" s="3">
        <f>IF($C$5="ON",CW51,MyRating(_B1G5,$B51,Barrier!$L$2))</f>
        <v>0</v>
      </c>
      <c r="BX51" s="3">
        <f>IF($C$5="ON",CX51,MyRating(_B2,$B51,Barrier!$F$2))</f>
        <v>0</v>
      </c>
      <c r="BY51" s="6">
        <f>IF($C$5="ON",CY51,MyRating(_B3,$B51,Barrier!$F$2))</f>
        <v>0</v>
      </c>
      <c r="BZ51" s="5">
        <f t="shared" si="11"/>
        <v>0</v>
      </c>
      <c r="CA51" s="8">
        <f t="shared" si="15"/>
        <v>0</v>
      </c>
      <c r="CB51" s="5">
        <f t="shared" si="16"/>
        <v>0</v>
      </c>
      <c r="CC51" s="7">
        <f t="shared" si="17"/>
        <v>0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>
        <v>0</v>
      </c>
      <c r="DA51" s="59">
        <f t="shared" si="18"/>
        <v>2053</v>
      </c>
      <c r="DB51">
        <f t="shared" si="19"/>
        <v>9</v>
      </c>
    </row>
    <row r="52" spans="1:106" x14ac:dyDescent="0.25">
      <c r="A52" s="9" t="str">
        <f t="shared" si="13"/>
        <v>FR</v>
      </c>
      <c r="B52" s="9" t="s">
        <v>68</v>
      </c>
      <c r="C52" s="20" t="s">
        <v>3</v>
      </c>
      <c r="D52" s="9" t="s">
        <v>2</v>
      </c>
      <c r="E52" s="9" t="s">
        <v>186</v>
      </c>
      <c r="F52" s="9" t="str">
        <f>INDEX('Unique Asset List'!$C$4:$C$60,MATCH(B52,_CompoundList,0))</f>
        <v>PCD</v>
      </c>
      <c r="G52" s="19">
        <v>0</v>
      </c>
      <c r="H52" s="9">
        <v>2014</v>
      </c>
      <c r="I52" s="9">
        <v>6</v>
      </c>
      <c r="J52" s="18">
        <f>INDEX(PTRS!$D$6:$D$12,MATCH('3'!$F52,PTRS!$B$6:$B$12,0))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v>0.1044225</v>
      </c>
      <c r="N52" s="17">
        <f>INDEX('Unique Asset List'!$D$4:$M$60,MATCH($B52,'Unique Asset List'!$A$4:$A$60,0),MATCH(N$8,'Unique Asset List'!$D$3:$M$3,0))</f>
        <v>0.1044225</v>
      </c>
      <c r="O52" s="17">
        <f>INDEX('Unique Asset List'!$D$4:$M$60,MATCH($B52,'Unique Asset List'!$A$4:$A$60,0),MATCH(O$8,'Unique Asset List'!$D$3:$M$3,0))</f>
        <v>0.1044225</v>
      </c>
      <c r="P52" s="17">
        <f>INDEX('Unique Asset List'!$D$4:$M$60,MATCH($B52,'Unique Asset List'!$A$4:$A$60,0),MATCH(P$8,'Unique Asset List'!$D$3:$M$3,0))</f>
        <v>0.1044225</v>
      </c>
      <c r="Q52" s="17">
        <f>INDEX('Unique Asset List'!$D$4:$M$60,MATCH($B52,'Unique Asset List'!$A$4:$A$60,0),MATCH(Q$8,'Unique Asset List'!$D$3:$M$3,0))</f>
        <v>0.1044225</v>
      </c>
      <c r="R52" s="17">
        <f>INDEX('Unique Asset List'!$D$4:$M$60,MATCH($B52,'Unique Asset List'!$A$4:$A$60,0),MATCH(R$8,'Unique Asset List'!$D$3:$M$3,0))</f>
        <v>0.1044225</v>
      </c>
      <c r="S52" s="17">
        <f>INDEX('Unique Asset List'!$D$4:$M$60,MATCH($B52,'Unique Asset List'!$A$4:$A$60,0),MATCH(S$8,'Unique Asset List'!$D$3:$M$3,0))</f>
        <v>0</v>
      </c>
      <c r="T52" s="17"/>
      <c r="U52" s="17">
        <f t="shared" si="20"/>
        <v>0</v>
      </c>
      <c r="V52" s="17">
        <v>1</v>
      </c>
      <c r="W52" s="9" t="s">
        <v>68</v>
      </c>
      <c r="X52" s="9">
        <f>INDEX('Unique Asset List'!$Y$4:$AE$60,MATCH('3'!$B52,'Unique Asset List'!$A$4:$A$60,0),MATCH('3'!$C$1,'Unique Asset List'!$Y$3:$AE$3,0))</f>
        <v>2033</v>
      </c>
      <c r="Y52" s="9">
        <f>INDEX('Unique Asset List'!$AF$4:$AL$60,MATCH('3'!$B52,'Unique Asset List'!$A$4:$A$60,0),MATCH('3'!$C$1,'Unique Asset List'!$AF$3:$AL$3,0))</f>
        <v>3</v>
      </c>
      <c r="Z52" s="9">
        <f>INDEX('Unique Asset List'!$AT$4:$AZ$60,MATCH('3'!$B52,'Unique Asset List'!$A$4:$A$60,0),MATCH('3'!$C$1,'Unique Asset List'!$AT$3:$AZ$3,0))</f>
        <v>2041</v>
      </c>
      <c r="AA52" s="9">
        <f>INDEX('Unique Asset List'!$BA$4:$BG$60,MATCH('3'!$B52,'Unique Asset List'!$A$4:$A$60,0),MATCH('3'!$C$1,'Unique Asset List'!$BA$3:$BG$3,0))</f>
        <v>3</v>
      </c>
      <c r="AB52" s="16">
        <f t="shared" si="21"/>
        <v>2.1518980000000005</v>
      </c>
      <c r="AC52" s="16">
        <f t="shared" si="22"/>
        <v>0.94137550000000003</v>
      </c>
      <c r="AD52" s="16">
        <f t="shared" si="23"/>
        <v>0.56099999999999994</v>
      </c>
      <c r="AE52" s="15">
        <f>INDEX('Unique Asset List'!$CJ$4:$CP$60,MATCH('3'!$B52,'Unique Asset List'!$A$4:$A$60,0),MATCH('3'!$C$1,'Unique Asset List'!$CJ$3:$CP$3,0))</f>
        <v>0.12</v>
      </c>
      <c r="AF52" s="15">
        <f>INDEX('Unique Asset List'!$CQ$4:$CW$60,MATCH('3'!$B52,'Unique Asset List'!$A$4:$A$60,0),MATCH('3'!$C$1,'Unique Asset List'!$CQ$3:$CW$3,0))</f>
        <v>0.38</v>
      </c>
      <c r="AG52" s="15">
        <f>INDEX('Unique Asset List'!$BV$4:$CB$60,MATCH('3'!$B52,'Unique Asset List'!$A$4:$A$60,0),MATCH('3'!$C$1,'Unique Asset List'!$BV$3:$CB$3,0))</f>
        <v>0.12</v>
      </c>
      <c r="AH52" s="15">
        <f>INDEX('Unique Asset List'!$CC$4:$CI$60,MATCH('3'!$B52,'Unique Asset List'!$A$4:$A$60,0),MATCH('3'!$C$1,'Unique Asset List'!$CC$3:$CI$3,0))</f>
        <v>0.38</v>
      </c>
      <c r="AI52" s="11">
        <v>0.96187963349867744</v>
      </c>
      <c r="AJ52" s="15">
        <f>INDEX('Unique Asset List'!$BH$4:$BN$60,MATCH('3'!$B52,'Unique Asset List'!$A$4:$A$60,0),MATCH('3'!$C$1,'Unique Asset List'!$BH$3:$BN$3,0))</f>
        <v>2.1252009430760062</v>
      </c>
      <c r="AK52" s="15">
        <f>INDEX('Unique Asset List'!$BO$4:$BU$60,MATCH('3'!$B52,'Unique Asset List'!$A$4:$A$60,0),MATCH('3'!$C$1,'Unique Asset List'!$BO$3:$BU$3,0))</f>
        <v>-1.7169645793441486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4"/>
        <v>0.82</v>
      </c>
      <c r="AS52" s="10">
        <v>1</v>
      </c>
      <c r="AT52" s="181">
        <f>INDEX('Unique Asset List'!N$4:N$60,MATCH($B52,_CompoundList,0))</f>
        <v>0</v>
      </c>
      <c r="AU52" s="181">
        <f>INDEX('Unique Asset List'!O$4:O$60,MATCH($B52,_CompoundList,0))</f>
        <v>0</v>
      </c>
      <c r="AV52" s="181">
        <f>INDEX('Unique Asset List'!P$4:P$60,MATCH($B52,_CompoundList,0))</f>
        <v>0</v>
      </c>
      <c r="AW52" s="181">
        <f>INDEX('Unique Asset List'!Q$4:Q$60,MATCH($B52,_CompoundList,0))</f>
        <v>0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4</v>
      </c>
      <c r="BE52" s="3">
        <f>IF($C$5="ON",CE52,MyRating(_E2,$B52,Efficacy!$F$1))</f>
        <v>4</v>
      </c>
      <c r="BF52" s="3">
        <f>IF($C$5="ON",CF52,MyRating(_E3,$B52,Efficacy!$F$1))</f>
        <v>4</v>
      </c>
      <c r="BG52" s="3">
        <f>IF($C$5="ON",CG52,MyRating(_E4,$B52,Efficacy!$F$1))</f>
        <v>4</v>
      </c>
      <c r="BH52" s="3">
        <f>IF($C$5="ON",CH52,MyRating(_E5,$B52,Efficacy!$F$1))</f>
        <v>4</v>
      </c>
      <c r="BI52" s="3">
        <f>IF($C$5="ON",CI52,MyRating(_E6,$B52,Efficacy!$F$1))</f>
        <v>3</v>
      </c>
      <c r="BJ52" s="3">
        <f>IF($C$5="ON",CJ52,MyRating(_E7,$B52,Efficacy!$F$1))</f>
        <v>3</v>
      </c>
      <c r="BK52" s="3">
        <f>IF($C$5="ON",CK52,MyRating(_E8,$B52,Efficacy!$F$1))</f>
        <v>4</v>
      </c>
      <c r="BL52" s="3">
        <f>IF($C$5="ON",CL52,MyRating(_S1,$B52,Efficacy!$F$1))</f>
        <v>4</v>
      </c>
      <c r="BM52" s="3">
        <f>IF($C$5="ON",CM52,MyRating(_S2,$B52,Efficacy!$F$1))</f>
        <v>3</v>
      </c>
      <c r="BN52" s="3">
        <f>IF($C$5="ON",CN52,MyRating(_S3,$B52,Efficacy!$F$1))</f>
        <v>3</v>
      </c>
      <c r="BO52" s="3">
        <f>IF($C$5="ON",CO52,MyRating(_S4,$B52,Efficacy!$F$1))</f>
        <v>4</v>
      </c>
      <c r="BP52" s="3">
        <f>IF($C$5="ON",CP52,MyRating(_S5,$B52,Efficacy!$F$1))</f>
        <v>5</v>
      </c>
      <c r="BQ52" s="3">
        <f>IF($C$5="ON",CQ52,MyRating(_S6,$B52,Efficacy!$F$1))</f>
        <v>3</v>
      </c>
      <c r="BR52" s="3">
        <f>IF($C$5="ON",CR52,MyRating(_S7,$B52,Efficacy!$F$1))</f>
        <v>3</v>
      </c>
      <c r="BS52" s="3">
        <f>IF($C$5="ON",CS52,MyRating(_D1,$B52,Efficacy!$F$1))</f>
        <v>3</v>
      </c>
      <c r="BT52" s="3">
        <f>IF($C$5="ON",CT52,MyRating(_D2,$B52,Efficacy!$F$1))</f>
        <v>3</v>
      </c>
      <c r="BU52" s="3">
        <f>IF($C$5="ON",CU52,MyRating(_D3,$B52,Efficacy!$F$1))</f>
        <v>3</v>
      </c>
      <c r="BV52" s="3">
        <f>IF($C$5="ON",CV52,MyRating(_D4,$B52,Efficacy!$F$1))</f>
        <v>3</v>
      </c>
      <c r="BW52" s="3">
        <f>IF($C$5="ON",CW52,MyRating(_B1G5,$B52,Barrier!$L$2))</f>
        <v>2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11"/>
        <v>0</v>
      </c>
      <c r="CA52" s="8">
        <f t="shared" si="15"/>
        <v>2.8000000000000003</v>
      </c>
      <c r="CB52" s="5">
        <f t="shared" si="16"/>
        <v>3.2941176470588251E-2</v>
      </c>
      <c r="CC52" s="7">
        <f t="shared" si="17"/>
        <v>5.9787261089987885E-3</v>
      </c>
      <c r="CD52" s="4">
        <v>4</v>
      </c>
      <c r="CE52" s="3">
        <v>5</v>
      </c>
      <c r="CF52" s="3">
        <v>5</v>
      </c>
      <c r="CG52" s="3">
        <v>4</v>
      </c>
      <c r="CH52" s="3">
        <v>4</v>
      </c>
      <c r="CI52" s="3">
        <v>3</v>
      </c>
      <c r="CJ52" s="3">
        <v>3</v>
      </c>
      <c r="CK52" s="3">
        <v>4</v>
      </c>
      <c r="CL52" s="3">
        <v>5</v>
      </c>
      <c r="CM52" s="3">
        <v>3</v>
      </c>
      <c r="CN52" s="3">
        <v>3</v>
      </c>
      <c r="CO52" s="3">
        <v>4</v>
      </c>
      <c r="CP52" s="3">
        <v>5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2</v>
      </c>
      <c r="CX52" s="3">
        <v>3</v>
      </c>
      <c r="CY52" s="6">
        <v>3</v>
      </c>
      <c r="CZ52" s="5">
        <v>3.6275844714639842E-2</v>
      </c>
      <c r="DA52" s="59">
        <f t="shared" si="18"/>
        <v>2034</v>
      </c>
      <c r="DB52">
        <f t="shared" si="19"/>
        <v>6</v>
      </c>
    </row>
    <row r="53" spans="1:106" x14ac:dyDescent="0.25">
      <c r="A53" s="9" t="str">
        <f t="shared" si="13"/>
        <v>FR</v>
      </c>
      <c r="B53" s="9" t="s">
        <v>67</v>
      </c>
      <c r="C53" s="20" t="s">
        <v>3</v>
      </c>
      <c r="D53" s="9" t="s">
        <v>2</v>
      </c>
      <c r="E53" s="9" t="s">
        <v>186</v>
      </c>
      <c r="F53" s="9" t="str">
        <f>INDEX('Unique Asset List'!$C$4:$C$60,MATCH(B53,_CompoundList,0))</f>
        <v>PCD</v>
      </c>
      <c r="G53" s="19">
        <v>0</v>
      </c>
      <c r="H53" s="9">
        <v>2014</v>
      </c>
      <c r="I53" s="9">
        <v>6</v>
      </c>
      <c r="J53" s="18">
        <f>INDEX(PTRS!$D$6:$D$12,MATCH('3'!$F53,PTRS!$B$6:$B$12,0))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v>0.1044225</v>
      </c>
      <c r="N53" s="17">
        <f>INDEX('Unique Asset List'!$D$4:$M$60,MATCH($B53,'Unique Asset List'!$A$4:$A$60,0),MATCH(N$8,'Unique Asset List'!$D$3:$M$3,0))</f>
        <v>0.1044225</v>
      </c>
      <c r="O53" s="17">
        <f>INDEX('Unique Asset List'!$D$4:$M$60,MATCH($B53,'Unique Asset List'!$A$4:$A$60,0),MATCH(O$8,'Unique Asset List'!$D$3:$M$3,0))</f>
        <v>0.1044225</v>
      </c>
      <c r="P53" s="17">
        <f>INDEX('Unique Asset List'!$D$4:$M$60,MATCH($B53,'Unique Asset List'!$A$4:$A$60,0),MATCH(P$8,'Unique Asset List'!$D$3:$M$3,0))</f>
        <v>0.1044225</v>
      </c>
      <c r="Q53" s="17">
        <f>INDEX('Unique Asset List'!$D$4:$M$60,MATCH($B53,'Unique Asset List'!$A$4:$A$60,0),MATCH(Q$8,'Unique Asset List'!$D$3:$M$3,0))</f>
        <v>0.1044225</v>
      </c>
      <c r="R53" s="17">
        <f>INDEX('Unique Asset List'!$D$4:$M$60,MATCH($B53,'Unique Asset List'!$A$4:$A$60,0),MATCH(R$8,'Unique Asset List'!$D$3:$M$3,0))</f>
        <v>0.1044225</v>
      </c>
      <c r="S53" s="17">
        <f>INDEX('Unique Asset List'!$D$4:$M$60,MATCH($B53,'Unique Asset List'!$A$4:$A$60,0),MATCH(S$8,'Unique Asset List'!$D$3:$M$3,0))</f>
        <v>0</v>
      </c>
      <c r="T53" s="17"/>
      <c r="U53" s="17">
        <f t="shared" si="20"/>
        <v>0</v>
      </c>
      <c r="V53" s="17">
        <v>1</v>
      </c>
      <c r="W53" s="9" t="s">
        <v>67</v>
      </c>
      <c r="X53" s="9">
        <f>INDEX('Unique Asset List'!$Y$4:$AE$60,MATCH('3'!$B53,'Unique Asset List'!$A$4:$A$60,0),MATCH('3'!$C$1,'Unique Asset List'!$Y$3:$AE$3,0))</f>
        <v>2033</v>
      </c>
      <c r="Y53" s="9">
        <f>INDEX('Unique Asset List'!$AF$4:$AL$60,MATCH('3'!$B53,'Unique Asset List'!$A$4:$A$60,0),MATCH('3'!$C$1,'Unique Asset List'!$AF$3:$AL$3,0))</f>
        <v>3</v>
      </c>
      <c r="Z53" s="9">
        <f>INDEX('Unique Asset List'!$AT$4:$AZ$60,MATCH('3'!$B53,'Unique Asset List'!$A$4:$A$60,0),MATCH('3'!$C$1,'Unique Asset List'!$AT$3:$AZ$3,0))</f>
        <v>2041</v>
      </c>
      <c r="AA53" s="9">
        <f>INDEX('Unique Asset List'!$BA$4:$BG$60,MATCH('3'!$B53,'Unique Asset List'!$A$4:$A$60,0),MATCH('3'!$C$1,'Unique Asset List'!$BA$3:$BG$3,0))</f>
        <v>3</v>
      </c>
      <c r="AB53" s="16">
        <f t="shared" si="21"/>
        <v>2.1518980000000005</v>
      </c>
      <c r="AC53" s="16">
        <f t="shared" si="22"/>
        <v>0.94137550000000003</v>
      </c>
      <c r="AD53" s="16">
        <f t="shared" si="23"/>
        <v>0.56099999999999994</v>
      </c>
      <c r="AE53" s="15">
        <f>INDEX('Unique Asset List'!$CJ$4:$CP$60,MATCH('3'!$B53,'Unique Asset List'!$A$4:$A$60,0),MATCH('3'!$C$1,'Unique Asset List'!$CJ$3:$CP$3,0))</f>
        <v>0.12</v>
      </c>
      <c r="AF53" s="15">
        <f>INDEX('Unique Asset List'!$CQ$4:$CW$60,MATCH('3'!$B53,'Unique Asset List'!$A$4:$A$60,0),MATCH('3'!$C$1,'Unique Asset List'!$CQ$3:$CW$3,0))</f>
        <v>0.38</v>
      </c>
      <c r="AG53" s="15">
        <f>INDEX('Unique Asset List'!$BV$4:$CB$60,MATCH('3'!$B53,'Unique Asset List'!$A$4:$A$60,0),MATCH('3'!$C$1,'Unique Asset List'!$BV$3:$CB$3,0))</f>
        <v>0.12</v>
      </c>
      <c r="AH53" s="15">
        <f>INDEX('Unique Asset List'!$CC$4:$CI$60,MATCH('3'!$B53,'Unique Asset List'!$A$4:$A$60,0),MATCH('3'!$C$1,'Unique Asset List'!$CC$3:$CI$3,0))</f>
        <v>0.38</v>
      </c>
      <c r="AI53" s="11">
        <v>0.96187963349867744</v>
      </c>
      <c r="AJ53" s="15">
        <f>INDEX('Unique Asset List'!$BH$4:$BN$60,MATCH('3'!$B53,'Unique Asset List'!$A$4:$A$60,0),MATCH('3'!$C$1,'Unique Asset List'!$BH$3:$BN$3,0))</f>
        <v>2.1252009430760062</v>
      </c>
      <c r="AK53" s="15">
        <f>INDEX('Unique Asset List'!$BO$4:$BU$60,MATCH('3'!$B53,'Unique Asset List'!$A$4:$A$60,0),MATCH('3'!$C$1,'Unique Asset List'!$BO$3:$BU$3,0))</f>
        <v>-1.7169645793441486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4"/>
        <v>0.82</v>
      </c>
      <c r="AS53" s="10">
        <v>1</v>
      </c>
      <c r="AT53" s="181">
        <f>INDEX('Unique Asset List'!N$4:N$60,MATCH($B53,_CompoundList,0))</f>
        <v>0</v>
      </c>
      <c r="AU53" s="181">
        <f>INDEX('Unique Asset List'!O$4:O$60,MATCH($B53,_CompoundList,0))</f>
        <v>0</v>
      </c>
      <c r="AV53" s="181">
        <f>INDEX('Unique Asset List'!P$4:P$60,MATCH($B53,_CompoundList,0))</f>
        <v>0</v>
      </c>
      <c r="AW53" s="181">
        <f>INDEX('Unique Asset List'!Q$4:Q$60,MATCH($B53,_CompoundList,0))</f>
        <v>0</v>
      </c>
      <c r="AX53" s="181">
        <f ca="1">INDEX('Unique Asset List'!R$4:R$60,MATCH($B53,_CompoundList,0))</f>
        <v>0</v>
      </c>
      <c r="AY53" s="181">
        <f ca="1">INDEX('Unique Asset List'!S$4:S$60,MATCH($B53,_CompoundList,0))</f>
        <v>0</v>
      </c>
      <c r="AZ53" s="181">
        <f ca="1">INDEX('Unique Asset List'!T$4:T$60,MATCH($B53,_CompoundList,0))</f>
        <v>0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0</v>
      </c>
      <c r="BC53" s="181">
        <f ca="1">INDEX('Unique Asset List'!W$4:W$60,MATCH($B53,_CompoundList,0))</f>
        <v>0</v>
      </c>
      <c r="BD53" s="4">
        <f>IF($C$5="ON",CD53,MyRating(_E1,$B53,Efficacy!$F$1))</f>
        <v>4</v>
      </c>
      <c r="BE53" s="3">
        <f>IF($C$5="ON",CE53,MyRating(_E2,$B53,Efficacy!$F$1))</f>
        <v>4</v>
      </c>
      <c r="BF53" s="3">
        <f>IF($C$5="ON",CF53,MyRating(_E3,$B53,Efficacy!$F$1))</f>
        <v>4</v>
      </c>
      <c r="BG53" s="3">
        <f>IF($C$5="ON",CG53,MyRating(_E4,$B53,Efficacy!$F$1))</f>
        <v>4</v>
      </c>
      <c r="BH53" s="3">
        <f>IF($C$5="ON",CH53,MyRating(_E5,$B53,Efficacy!$F$1))</f>
        <v>4</v>
      </c>
      <c r="BI53" s="3">
        <f>IF($C$5="ON",CI53,MyRating(_E6,$B53,Efficacy!$F$1))</f>
        <v>3</v>
      </c>
      <c r="BJ53" s="3">
        <f>IF($C$5="ON",CJ53,MyRating(_E7,$B53,Efficacy!$F$1))</f>
        <v>3</v>
      </c>
      <c r="BK53" s="3">
        <f>IF($C$5="ON",CK53,MyRating(_E8,$B53,Efficacy!$F$1))</f>
        <v>4</v>
      </c>
      <c r="BL53" s="3">
        <f>IF($C$5="ON",CL53,MyRating(_S1,$B53,Efficacy!$F$1))</f>
        <v>4</v>
      </c>
      <c r="BM53" s="3">
        <f>IF($C$5="ON",CM53,MyRating(_S2,$B53,Efficacy!$F$1))</f>
        <v>3</v>
      </c>
      <c r="BN53" s="3">
        <f>IF($C$5="ON",CN53,MyRating(_S3,$B53,Efficacy!$F$1))</f>
        <v>3</v>
      </c>
      <c r="BO53" s="3">
        <f>IF($C$5="ON",CO53,MyRating(_S4,$B53,Efficacy!$F$1))</f>
        <v>4</v>
      </c>
      <c r="BP53" s="3">
        <f>IF($C$5="ON",CP53,MyRating(_S5,$B53,Efficacy!$F$1))</f>
        <v>5</v>
      </c>
      <c r="BQ53" s="3">
        <f>IF($C$5="ON",CQ53,MyRating(_S6,$B53,Efficacy!$F$1))</f>
        <v>3</v>
      </c>
      <c r="BR53" s="3">
        <f>IF($C$5="ON",CR53,MyRating(_S7,$B53,Efficacy!$F$1))</f>
        <v>3</v>
      </c>
      <c r="BS53" s="3">
        <f>IF($C$5="ON",CS53,MyRating(_D1,$B53,Efficacy!$F$1))</f>
        <v>3</v>
      </c>
      <c r="BT53" s="3">
        <f>IF($C$5="ON",CT53,MyRating(_D2,$B53,Efficacy!$F$1))</f>
        <v>3</v>
      </c>
      <c r="BU53" s="3">
        <f>IF($C$5="ON",CU53,MyRating(_D3,$B53,Efficacy!$F$1))</f>
        <v>3</v>
      </c>
      <c r="BV53" s="3">
        <f>IF($C$5="ON",CV53,MyRating(_D4,$B53,Efficacy!$F$1))</f>
        <v>3</v>
      </c>
      <c r="BW53" s="3">
        <f>IF($C$5="ON",CW53,MyRating(_B1G5,$B53,Barrier!$L$2))</f>
        <v>2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11"/>
        <v>0</v>
      </c>
      <c r="CA53" s="8">
        <f t="shared" si="15"/>
        <v>2.8000000000000003</v>
      </c>
      <c r="CB53" s="5">
        <f t="shared" si="16"/>
        <v>3.2941176470588251E-2</v>
      </c>
      <c r="CC53" s="7">
        <f t="shared" si="17"/>
        <v>5.9787261089987885E-3</v>
      </c>
      <c r="CD53" s="4">
        <v>4</v>
      </c>
      <c r="CE53" s="3">
        <v>5</v>
      </c>
      <c r="CF53" s="3">
        <v>5</v>
      </c>
      <c r="CG53" s="3">
        <v>4</v>
      </c>
      <c r="CH53" s="3">
        <v>4</v>
      </c>
      <c r="CI53" s="3">
        <v>3</v>
      </c>
      <c r="CJ53" s="3">
        <v>3</v>
      </c>
      <c r="CK53" s="3">
        <v>4</v>
      </c>
      <c r="CL53" s="3">
        <v>5</v>
      </c>
      <c r="CM53" s="3">
        <v>3</v>
      </c>
      <c r="CN53" s="3">
        <v>3</v>
      </c>
      <c r="CO53" s="3">
        <v>4</v>
      </c>
      <c r="CP53" s="3">
        <v>5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2</v>
      </c>
      <c r="CX53" s="3">
        <v>3</v>
      </c>
      <c r="CY53" s="6">
        <v>3</v>
      </c>
      <c r="CZ53" s="5">
        <v>3.6275844714639842E-2</v>
      </c>
      <c r="DA53" s="59">
        <f t="shared" si="18"/>
        <v>2034</v>
      </c>
      <c r="DB53">
        <f t="shared" si="19"/>
        <v>6</v>
      </c>
    </row>
    <row r="54" spans="1:106" x14ac:dyDescent="0.25">
      <c r="A54" s="9" t="str">
        <f t="shared" si="13"/>
        <v>FR</v>
      </c>
      <c r="B54" s="9" t="s">
        <v>279</v>
      </c>
      <c r="C54" s="20"/>
      <c r="D54" s="9" t="s">
        <v>2</v>
      </c>
      <c r="E54" s="9"/>
      <c r="F54" s="9" t="str">
        <f>INDEX('Unique Asset List'!$C$4:$C$60,MATCH(B54,_CompoundList,0))</f>
        <v>PCD</v>
      </c>
      <c r="G54" s="19">
        <v>0</v>
      </c>
      <c r="H54" s="9">
        <v>2014</v>
      </c>
      <c r="I54" s="9">
        <v>6</v>
      </c>
      <c r="J54" s="18">
        <f>INDEX(PTRS!$D$6:$D$12,MATCH('3'!$F54,PTRS!$B$6:$B$12,0))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v>0.1044225</v>
      </c>
      <c r="N54" s="17">
        <f>INDEX('Unique Asset List'!$D$4:$M$60,MATCH($B54,'Unique Asset List'!$A$4:$A$60,0),MATCH(N$8,'Unique Asset List'!$D$3:$M$3,0))</f>
        <v>0.1</v>
      </c>
      <c r="O54" s="17">
        <f>INDEX('Unique Asset List'!$D$4:$M$60,MATCH($B54,'Unique Asset List'!$A$4:$A$60,0),MATCH(O$8,'Unique Asset List'!$D$3:$M$3,0))</f>
        <v>0.1</v>
      </c>
      <c r="P54" s="17">
        <f>INDEX('Unique Asset List'!$D$4:$M$60,MATCH($B54,'Unique Asset List'!$A$4:$A$60,0),MATCH(P$8,'Unique Asset List'!$D$3:$M$3,0))</f>
        <v>0.1</v>
      </c>
      <c r="Q54" s="17">
        <f>INDEX('Unique Asset List'!$D$4:$M$60,MATCH($B54,'Unique Asset List'!$A$4:$A$60,0),MATCH(Q$8,'Unique Asset List'!$D$3:$M$3,0))</f>
        <v>0.1</v>
      </c>
      <c r="R54" s="17">
        <f>INDEX('Unique Asset List'!$D$4:$M$60,MATCH($B54,'Unique Asset List'!$A$4:$A$60,0),MATCH(R$8,'Unique Asset List'!$D$3:$M$3,0))</f>
        <v>0.1</v>
      </c>
      <c r="S54" s="17">
        <f>INDEX('Unique Asset List'!$D$4:$M$60,MATCH($B54,'Unique Asset List'!$A$4:$A$60,0),MATCH(S$8,'Unique Asset List'!$D$3:$M$3,0))</f>
        <v>0</v>
      </c>
      <c r="T54" s="17"/>
      <c r="U54" s="17">
        <f t="shared" si="20"/>
        <v>0.80682275808442805</v>
      </c>
      <c r="V54" s="17">
        <f>V13</f>
        <v>0.42</v>
      </c>
      <c r="W54" s="9" t="s">
        <v>0</v>
      </c>
      <c r="X54" s="9">
        <f>INDEX('Unique Asset List'!$Y$4:$AE$60,MATCH('3'!$B54,'Unique Asset List'!$A$4:$A$60,0),MATCH('3'!$C$1,'Unique Asset List'!$Y$3:$AE$3,0))</f>
        <v>2028</v>
      </c>
      <c r="Y54" s="9">
        <f>INDEX('Unique Asset List'!$AF$4:$AL$60,MATCH('3'!$B54,'Unique Asset List'!$A$4:$A$60,0),MATCH('3'!$C$1,'Unique Asset List'!$AF$3:$AL$3,0))</f>
        <v>6</v>
      </c>
      <c r="Z54" s="9">
        <f>INDEX('Unique Asset List'!$AT$4:$AZ$60,MATCH('3'!$B54,'Unique Asset List'!$A$4:$A$60,0),MATCH('3'!$C$1,'Unique Asset List'!$AT$3:$AZ$3,0))</f>
        <v>2037</v>
      </c>
      <c r="AA54" s="9">
        <f>INDEX('Unique Asset List'!$BA$4:$BG$60,MATCH('3'!$B54,'Unique Asset List'!$A$4:$A$60,0),MATCH('3'!$C$1,'Unique Asset List'!$BA$3:$BG$3,0))</f>
        <v>6</v>
      </c>
      <c r="AB54" s="16">
        <f t="shared" si="21"/>
        <v>2.471114</v>
      </c>
      <c r="AC54" s="16">
        <f t="shared" si="22"/>
        <v>0.91994010000000004</v>
      </c>
      <c r="AD54" s="16">
        <f t="shared" si="23"/>
        <v>0.50129594525999999</v>
      </c>
      <c r="AE54" s="15">
        <f>INDEX('Unique Asset List'!$CJ$4:$CP$60,MATCH('3'!$B54,'Unique Asset List'!$A$4:$A$60,0),MATCH('3'!$C$1,'Unique Asset List'!$CJ$3:$CP$3,0))</f>
        <v>0.12</v>
      </c>
      <c r="AF54" s="15">
        <f>INDEX('Unique Asset List'!$CQ$4:$CW$60,MATCH('3'!$B54,'Unique Asset List'!$A$4:$A$60,0),MATCH('3'!$C$1,'Unique Asset List'!$CQ$3:$CW$3,0))</f>
        <v>0.38</v>
      </c>
      <c r="AG54" s="15">
        <f>INDEX('Unique Asset List'!$BV$4:$CB$60,MATCH('3'!$B54,'Unique Asset List'!$A$4:$A$60,0),MATCH('3'!$C$1,'Unique Asset List'!$BV$3:$CB$3,0))</f>
        <v>0.12</v>
      </c>
      <c r="AH54" s="15">
        <f>INDEX('Unique Asset List'!$CC$4:$CI$60,MATCH('3'!$B54,'Unique Asset List'!$A$4:$A$60,0),MATCH('3'!$C$1,'Unique Asset List'!$CC$3:$CI$3,0))</f>
        <v>0.38</v>
      </c>
      <c r="AI54" s="11">
        <v>0.96187963349867744</v>
      </c>
      <c r="AJ54" s="15">
        <f>INDEX('Unique Asset List'!$BH$4:$BN$60,MATCH('3'!$B54,'Unique Asset List'!$A$4:$A$60,0),MATCH('3'!$C$1,'Unique Asset List'!$BH$3:$BN$3,0))</f>
        <v>2.1252009430760062</v>
      </c>
      <c r="AK54" s="15">
        <f>INDEX('Unique Asset List'!$BO$4:$BU$60,MATCH('3'!$B54,'Unique Asset List'!$A$4:$A$60,0),MATCH('3'!$C$1,'Unique Asset List'!$BO$3:$BU$3,0))</f>
        <v>-1.7169645793441486</v>
      </c>
      <c r="AL54" s="9">
        <v>146.07692307692309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4"/>
        <v>0.82</v>
      </c>
      <c r="AS54" s="10">
        <v>0.28767123287671198</v>
      </c>
      <c r="AT54" s="181">
        <f>INDEX('Unique Asset List'!N$4:N$60,MATCH($B54,_CompoundList,0))</f>
        <v>0</v>
      </c>
      <c r="AU54" s="181">
        <f>INDEX('Unique Asset List'!O$4:O$60,MATCH($B54,_CompoundList,0))</f>
        <v>0</v>
      </c>
      <c r="AV54" s="181">
        <f>INDEX('Unique Asset List'!P$4:P$60,MATCH($B54,_CompoundList,0))</f>
        <v>0</v>
      </c>
      <c r="AW54" s="181">
        <f>INDEX('Unique Asset List'!Q$4:Q$60,MATCH($B54,_CompoundList,0))</f>
        <v>0</v>
      </c>
      <c r="AX54" s="181">
        <f ca="1">INDEX('Unique Asset List'!R$4:R$60,MATCH($B54,_CompoundList,0))</f>
        <v>0</v>
      </c>
      <c r="AY54" s="181">
        <f ca="1">INDEX('Unique Asset List'!S$4:S$60,MATCH($B54,_CompoundList,0))</f>
        <v>0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0</v>
      </c>
      <c r="BB54" s="181">
        <f ca="1">INDEX('Unique Asset List'!V$4:V$60,MATCH($B54,_CompoundList,0))</f>
        <v>0</v>
      </c>
      <c r="BC54" s="181">
        <f ca="1">INDEX('Unique Asset List'!W$4:W$60,MATCH($B54,_CompoundList,0))</f>
        <v>1</v>
      </c>
      <c r="BD54" s="4">
        <f>IF($C$5="ON",CD54,MyRating(_E1,$B54,Efficacy!$F$1))</f>
        <v>5</v>
      </c>
      <c r="BE54" s="3">
        <f>IF($C$5="ON",CE54,MyRating(_E2,$B54,Efficacy!$F$1))</f>
        <v>5</v>
      </c>
      <c r="BF54" s="3">
        <f>IF($C$5="ON",CF54,MyRating(_E3,$B54,Efficacy!$F$1))</f>
        <v>5</v>
      </c>
      <c r="BG54" s="3">
        <f>IF($C$5="ON",CG54,MyRating(_E4,$B54,Efficacy!$F$1))</f>
        <v>5</v>
      </c>
      <c r="BH54" s="3">
        <f>IF($C$5="ON",CH54,MyRating(_E5,$B54,Efficacy!$F$1))</f>
        <v>4</v>
      </c>
      <c r="BI54" s="3">
        <f>IF($C$5="ON",CI54,MyRating(_E6,$B54,Efficacy!$F$1))</f>
        <v>3</v>
      </c>
      <c r="BJ54" s="3">
        <f>IF($C$5="ON",CJ54,MyRating(_E7,$B54,Efficacy!$F$1))</f>
        <v>4</v>
      </c>
      <c r="BK54" s="3">
        <f>IF($C$5="ON",CK54,MyRating(_E8,$B54,Efficacy!$F$1))</f>
        <v>3</v>
      </c>
      <c r="BL54" s="3">
        <f>IF($C$5="ON",CL54,MyRating(_S1,$B54,Efficacy!$F$1))</f>
        <v>4</v>
      </c>
      <c r="BM54" s="3">
        <f>IF($C$5="ON",CM54,MyRating(_S2,$B54,Efficacy!$F$1))</f>
        <v>3</v>
      </c>
      <c r="BN54" s="3">
        <f>IF($C$5="ON",CN54,MyRating(_S3,$B54,Efficacy!$F$1))</f>
        <v>3</v>
      </c>
      <c r="BO54" s="3">
        <f>IF($C$5="ON",CO54,MyRating(_S4,$B54,Efficacy!$F$1))</f>
        <v>4</v>
      </c>
      <c r="BP54" s="3">
        <f>IF($C$5="ON",CP54,MyRating(_S5,$B54,Efficacy!$F$1))</f>
        <v>5</v>
      </c>
      <c r="BQ54" s="3">
        <f>IF($C$5="ON",CQ54,MyRating(_S6,$B54,Efficacy!$F$1))</f>
        <v>2</v>
      </c>
      <c r="BR54" s="3">
        <f>IF($C$5="ON",CR54,MyRating(_S7,$B54,Efficacy!$F$1))</f>
        <v>3</v>
      </c>
      <c r="BS54" s="3">
        <f>IF($C$5="ON",CS54,MyRating(_D1,$B54,Efficacy!$F$1))</f>
        <v>2</v>
      </c>
      <c r="BT54" s="3">
        <f>IF($C$5="ON",CT54,MyRating(_D2,$B54,Efficacy!$F$1))</f>
        <v>3</v>
      </c>
      <c r="BU54" s="3">
        <f>IF($C$5="ON",CU54,MyRating(_D3,$B54,Efficacy!$F$1))</f>
        <v>3</v>
      </c>
      <c r="BV54" s="3">
        <f>IF($C$5="ON",CV54,MyRating(_D4,$B54,Efficacy!$F$1))</f>
        <v>3</v>
      </c>
      <c r="BW54" s="3">
        <f>IF($C$5="ON",CW54,MyRating(_B1G5,$B54,Barrier!$L$2))</f>
        <v>1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11"/>
        <v>2.9893223831915738E-2</v>
      </c>
      <c r="CA54" s="8">
        <f t="shared" si="15"/>
        <v>2.6000000000000005</v>
      </c>
      <c r="CB54" s="5">
        <f t="shared" si="16"/>
        <v>3.058823529411767E-2</v>
      </c>
      <c r="CC54" s="7">
        <f t="shared" si="17"/>
        <v>5.3497271616647964E-3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>
        <v>0</v>
      </c>
      <c r="DA54" s="59">
        <f t="shared" si="18"/>
        <v>2029</v>
      </c>
      <c r="DB54">
        <f t="shared" si="19"/>
        <v>9</v>
      </c>
    </row>
    <row r="55" spans="1:106" x14ac:dyDescent="0.25">
      <c r="A55" s="9" t="str">
        <f t="shared" si="13"/>
        <v>FR</v>
      </c>
      <c r="B55" s="9" t="s">
        <v>185</v>
      </c>
      <c r="C55" s="20" t="s">
        <v>3</v>
      </c>
      <c r="D55" s="9" t="s">
        <v>2</v>
      </c>
      <c r="E55" s="9"/>
      <c r="F55" s="9" t="str">
        <f>INDEX('Unique Asset List'!$C$4:$C$60,MATCH(B55,_CompoundList,0))</f>
        <v>PCD</v>
      </c>
      <c r="G55" s="19">
        <v>0</v>
      </c>
      <c r="H55" s="9">
        <v>2014</v>
      </c>
      <c r="I55" s="9">
        <v>6</v>
      </c>
      <c r="J55" s="18">
        <f>INDEX(PTRS!$D$6:$D$12,MATCH('3'!$F55,PTRS!$B$6:$B$12,0))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v>0.1044225</v>
      </c>
      <c r="N55" s="17">
        <f>INDEX('Unique Asset List'!$D$4:$M$60,MATCH($B55,'Unique Asset List'!$A$4:$A$60,0),MATCH(N$8,'Unique Asset List'!$D$3:$M$3,0))</f>
        <v>0</v>
      </c>
      <c r="O55" s="17">
        <f>INDEX('Unique Asset List'!$D$4:$M$60,MATCH($B55,'Unique Asset List'!$A$4:$A$60,0),MATCH(O$8,'Unique Asset List'!$D$3:$M$3,0))</f>
        <v>0</v>
      </c>
      <c r="P55" s="17">
        <f>INDEX('Unique Asset List'!$D$4:$M$60,MATCH($B55,'Unique Asset List'!$A$4:$A$60,0),MATCH(P$8,'Unique Asset List'!$D$3:$M$3,0))</f>
        <v>0</v>
      </c>
      <c r="Q55" s="17">
        <f>INDEX('Unique Asset List'!$D$4:$M$60,MATCH($B55,'Unique Asset List'!$A$4:$A$60,0),MATCH(Q$8,'Unique Asset List'!$D$3:$M$3,0))</f>
        <v>0</v>
      </c>
      <c r="R55" s="17">
        <f>INDEX('Unique Asset List'!$D$4:$M$60,MATCH($B55,'Unique Asset List'!$A$4:$A$60,0),MATCH(R$8,'Unique Asset List'!$D$3:$M$3,0))</f>
        <v>0</v>
      </c>
      <c r="S55" s="17">
        <f>INDEX('Unique Asset List'!$D$4:$M$60,MATCH($B55,'Unique Asset List'!$A$4:$A$60,0),MATCH(S$8,'Unique Asset List'!$D$3:$M$3,0))</f>
        <v>0</v>
      </c>
      <c r="T55" s="17"/>
      <c r="U55" s="17">
        <f t="shared" si="20"/>
        <v>0</v>
      </c>
      <c r="V55" s="17">
        <v>1</v>
      </c>
      <c r="W55" s="9" t="s">
        <v>0</v>
      </c>
      <c r="X55" s="9">
        <f>INDEX('Unique Asset List'!$Y$4:$AE$60,MATCH('3'!$B55,'Unique Asset List'!$A$4:$A$60,0),MATCH('3'!$C$1,'Unique Asset List'!$Y$3:$AE$3,0))</f>
        <v>2052</v>
      </c>
      <c r="Y55" s="9">
        <f>INDEX('Unique Asset List'!$AF$4:$AL$60,MATCH('3'!$B55,'Unique Asset List'!$A$4:$A$60,0),MATCH('3'!$C$1,'Unique Asset List'!$AF$3:$AL$3,0))</f>
        <v>6</v>
      </c>
      <c r="Z55" s="9">
        <f>INDEX('Unique Asset List'!$AT$4:$AZ$60,MATCH('3'!$B55,'Unique Asset List'!$A$4:$A$60,0),MATCH('3'!$C$1,'Unique Asset List'!$AT$3:$AZ$3,0))</f>
        <v>2060</v>
      </c>
      <c r="AA55" s="9">
        <f>INDEX('Unique Asset List'!$BA$4:$BG$60,MATCH('3'!$B55,'Unique Asset List'!$A$4:$A$60,0),MATCH('3'!$C$1,'Unique Asset List'!$BA$3:$BG$3,0))</f>
        <v>6</v>
      </c>
      <c r="AB55" s="16">
        <f t="shared" si="21"/>
        <v>0</v>
      </c>
      <c r="AC55" s="16">
        <f t="shared" si="22"/>
        <v>0</v>
      </c>
      <c r="AD55" s="16">
        <f t="shared" si="23"/>
        <v>0</v>
      </c>
      <c r="AE55" s="15">
        <f>INDEX('Unique Asset List'!$CJ$4:$CP$60,MATCH('3'!$B55,'Unique Asset List'!$A$4:$A$60,0),MATCH('3'!$C$1,'Unique Asset List'!$CJ$3:$CP$3,0))</f>
        <v>0.12</v>
      </c>
      <c r="AF55" s="15">
        <f>INDEX('Unique Asset List'!$CQ$4:$CW$60,MATCH('3'!$B55,'Unique Asset List'!$A$4:$A$60,0),MATCH('3'!$C$1,'Unique Asset List'!$CQ$3:$CW$3,0))</f>
        <v>0.38</v>
      </c>
      <c r="AG55" s="15">
        <f>INDEX('Unique Asset List'!$BV$4:$CB$60,MATCH('3'!$B55,'Unique Asset List'!$A$4:$A$60,0),MATCH('3'!$C$1,'Unique Asset List'!$BV$3:$CB$3,0))</f>
        <v>0.12</v>
      </c>
      <c r="AH55" s="15">
        <f>INDEX('Unique Asset List'!$CC$4:$CI$60,MATCH('3'!$B55,'Unique Asset List'!$A$4:$A$60,0),MATCH('3'!$C$1,'Unique Asset List'!$CC$3:$CI$3,0))</f>
        <v>0.38</v>
      </c>
      <c r="AI55" s="11">
        <v>0.96187963349867744</v>
      </c>
      <c r="AJ55" s="15">
        <f>INDEX('Unique Asset List'!$BH$4:$BN$60,MATCH('3'!$B55,'Unique Asset List'!$A$4:$A$60,0),MATCH('3'!$C$1,'Unique Asset List'!$BH$3:$BN$3,0))</f>
        <v>2.1252009430760062</v>
      </c>
      <c r="AK55" s="15">
        <f>INDEX('Unique Asset List'!$BO$4:$BU$60,MATCH('3'!$B55,'Unique Asset List'!$A$4:$A$60,0),MATCH('3'!$C$1,'Unique Asset List'!$BO$3:$BU$3,0))</f>
        <v>-1.7169645793441486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4"/>
        <v>0.82</v>
      </c>
      <c r="AS55" s="10">
        <v>1</v>
      </c>
      <c r="AT55" s="181">
        <f>INDEX('Unique Asset List'!N$4:N$60,MATCH($B55,_CompoundList,0))</f>
        <v>0</v>
      </c>
      <c r="AU55" s="181">
        <f>INDEX('Unique Asset List'!O$4:O$60,MATCH($B55,_CompoundList,0))</f>
        <v>0</v>
      </c>
      <c r="AV55" s="181">
        <f>INDEX('Unique Asset List'!P$4:P$60,MATCH($B55,_CompoundList,0))</f>
        <v>0</v>
      </c>
      <c r="AW55" s="181">
        <f>INDEX('Unique Asset List'!Q$4:Q$60,MATCH($B55,_CompoundList,0))</f>
        <v>0</v>
      </c>
      <c r="AX55" s="181">
        <f ca="1">INDEX('Unique Asset List'!R$4:R$60,MATCH($B55,_CompoundList,0))</f>
        <v>0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0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0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IF($C$5="ON",CL55,MyRating(_S1,$B55,Efficacy!$F$1))</f>
        <v>0</v>
      </c>
      <c r="BM55" s="3">
        <f>IF($C$5="ON",CM55,MyRating(_S2,$B55,Efficacy!$F$1))</f>
        <v>0</v>
      </c>
      <c r="BN55" s="3">
        <f>IF($C$5="ON",CN55,MyRating(_S3,$B55,Efficacy!$F$1))</f>
        <v>0</v>
      </c>
      <c r="BO55" s="3">
        <f>IF($C$5="ON",CO55,MyRating(_S4,$B55,Efficacy!$F$1))</f>
        <v>0</v>
      </c>
      <c r="BP55" s="3">
        <f>IF($C$5="ON",CP55,MyRating(_S5,$B55,Efficacy!$F$1))</f>
        <v>0</v>
      </c>
      <c r="BQ55" s="3">
        <f>IF($C$5="ON",CQ55,MyRating(_S6,$B55,Efficacy!$F$1))</f>
        <v>0</v>
      </c>
      <c r="BR55" s="3">
        <f>IF($C$5="ON",CR55,MyRating(_S7,$B55,Efficacy!$F$1))</f>
        <v>0</v>
      </c>
      <c r="BS55" s="3">
        <f>IF($C$5="ON",CS55,MyRating(_D1,$B55,Efficacy!$F$1))</f>
        <v>0</v>
      </c>
      <c r="BT55" s="3">
        <f>IF($C$5="ON",CT55,MyRating(_D2,$B55,Efficacy!$F$1))</f>
        <v>0</v>
      </c>
      <c r="BU55" s="3">
        <f>IF($C$5="ON",CU55,MyRating(_D3,$B55,Efficacy!$F$1))</f>
        <v>0</v>
      </c>
      <c r="BV55" s="3">
        <f>IF($C$5="ON",CV55,MyRating(_D4,$B55,Efficacy!$F$1))</f>
        <v>0</v>
      </c>
      <c r="BW55" s="3">
        <f>IF($C$5="ON",CW55,MyRating(_B1G5,$B55,Barrier!$L$2))</f>
        <v>0</v>
      </c>
      <c r="BX55" s="3">
        <f>IF($C$5="ON",CX55,MyRating(_B2,$B55,Barrier!$F$2))</f>
        <v>0</v>
      </c>
      <c r="BY55" s="6">
        <f>IF($C$5="ON",CY55,MyRating(_B3,$B55,Barrier!$F$2))</f>
        <v>0</v>
      </c>
      <c r="BZ55" s="5">
        <f t="shared" si="11"/>
        <v>0</v>
      </c>
      <c r="CA55" s="8">
        <f t="shared" si="15"/>
        <v>0</v>
      </c>
      <c r="CB55" s="5">
        <f t="shared" si="16"/>
        <v>0</v>
      </c>
      <c r="CC55" s="7">
        <f t="shared" si="17"/>
        <v>0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>
        <v>0</v>
      </c>
      <c r="DA55" s="59">
        <f t="shared" si="18"/>
        <v>2053</v>
      </c>
      <c r="DB55">
        <f t="shared" si="19"/>
        <v>9</v>
      </c>
    </row>
    <row r="56" spans="1:106" x14ac:dyDescent="0.25">
      <c r="A56" s="9" t="str">
        <f t="shared" si="13"/>
        <v>FR</v>
      </c>
      <c r="B56" s="9" t="s">
        <v>184</v>
      </c>
      <c r="C56" s="20" t="s">
        <v>3</v>
      </c>
      <c r="D56" s="9" t="s">
        <v>2</v>
      </c>
      <c r="E56" s="9"/>
      <c r="F56" s="9" t="str">
        <f>INDEX('Unique Asset List'!$C$4:$C$60,MATCH(B56,_CompoundList,0))</f>
        <v>PCD</v>
      </c>
      <c r="G56" s="19">
        <v>0</v>
      </c>
      <c r="H56" s="9">
        <v>2014</v>
      </c>
      <c r="I56" s="9">
        <v>6</v>
      </c>
      <c r="J56" s="18">
        <f>INDEX(PTRS!$D$6:$D$12,MATCH('3'!$F56,PTRS!$B$6:$B$12,0))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v>0.1044225</v>
      </c>
      <c r="N56" s="17">
        <f>INDEX('Unique Asset List'!$D$4:$M$60,MATCH($B56,'Unique Asset List'!$A$4:$A$60,0),MATCH(N$8,'Unique Asset List'!$D$3:$M$3,0))</f>
        <v>0</v>
      </c>
      <c r="O56" s="17">
        <f>INDEX('Unique Asset List'!$D$4:$M$60,MATCH($B56,'Unique Asset List'!$A$4:$A$60,0),MATCH(O$8,'Unique Asset List'!$D$3:$M$3,0))</f>
        <v>0</v>
      </c>
      <c r="P56" s="17">
        <f>INDEX('Unique Asset List'!$D$4:$M$60,MATCH($B56,'Unique Asset List'!$A$4:$A$60,0),MATCH(P$8,'Unique Asset List'!$D$3:$M$3,0))</f>
        <v>0</v>
      </c>
      <c r="Q56" s="17">
        <f>INDEX('Unique Asset List'!$D$4:$M$60,MATCH($B56,'Unique Asset List'!$A$4:$A$60,0),MATCH(Q$8,'Unique Asset List'!$D$3:$M$3,0))</f>
        <v>0</v>
      </c>
      <c r="R56" s="17">
        <f>INDEX('Unique Asset List'!$D$4:$M$60,MATCH($B56,'Unique Asset List'!$A$4:$A$60,0),MATCH(R$8,'Unique Asset List'!$D$3:$M$3,0))</f>
        <v>0</v>
      </c>
      <c r="S56" s="17">
        <f>INDEX('Unique Asset List'!$D$4:$M$60,MATCH($B56,'Unique Asset List'!$A$4:$A$60,0),MATCH(S$8,'Unique Asset List'!$D$3:$M$3,0))</f>
        <v>0</v>
      </c>
      <c r="T56" s="17"/>
      <c r="U56" s="17">
        <f t="shared" si="20"/>
        <v>0</v>
      </c>
      <c r="V56" s="17">
        <v>1</v>
      </c>
      <c r="W56" s="9" t="s">
        <v>0</v>
      </c>
      <c r="X56" s="9">
        <f>INDEX('Unique Asset List'!$Y$4:$AE$60,MATCH('3'!$B56,'Unique Asset List'!$A$4:$A$60,0),MATCH('3'!$C$1,'Unique Asset List'!$Y$3:$AE$3,0))</f>
        <v>2052</v>
      </c>
      <c r="Y56" s="9">
        <f>INDEX('Unique Asset List'!$AF$4:$AL$60,MATCH('3'!$B56,'Unique Asset List'!$A$4:$A$60,0),MATCH('3'!$C$1,'Unique Asset List'!$AF$3:$AL$3,0))</f>
        <v>6</v>
      </c>
      <c r="Z56" s="9">
        <f>INDEX('Unique Asset List'!$AT$4:$AZ$60,MATCH('3'!$B56,'Unique Asset List'!$A$4:$A$60,0),MATCH('3'!$C$1,'Unique Asset List'!$AT$3:$AZ$3,0))</f>
        <v>2060</v>
      </c>
      <c r="AA56" s="9">
        <f>INDEX('Unique Asset List'!$BA$4:$BG$60,MATCH('3'!$B56,'Unique Asset List'!$A$4:$A$60,0),MATCH('3'!$C$1,'Unique Asset List'!$BA$3:$BG$3,0))</f>
        <v>6</v>
      </c>
      <c r="AB56" s="16">
        <f t="shared" si="21"/>
        <v>0</v>
      </c>
      <c r="AC56" s="16">
        <f t="shared" si="22"/>
        <v>0</v>
      </c>
      <c r="AD56" s="16">
        <f t="shared" si="23"/>
        <v>0</v>
      </c>
      <c r="AE56" s="15">
        <f>INDEX('Unique Asset List'!$CJ$4:$CP$60,MATCH('3'!$B56,'Unique Asset List'!$A$4:$A$60,0),MATCH('3'!$C$1,'Unique Asset List'!$CJ$3:$CP$3,0))</f>
        <v>0.12</v>
      </c>
      <c r="AF56" s="15">
        <f>INDEX('Unique Asset List'!$CQ$4:$CW$60,MATCH('3'!$B56,'Unique Asset List'!$A$4:$A$60,0),MATCH('3'!$C$1,'Unique Asset List'!$CQ$3:$CW$3,0))</f>
        <v>0.38</v>
      </c>
      <c r="AG56" s="15">
        <f>INDEX('Unique Asset List'!$BV$4:$CB$60,MATCH('3'!$B56,'Unique Asset List'!$A$4:$A$60,0),MATCH('3'!$C$1,'Unique Asset List'!$BV$3:$CB$3,0))</f>
        <v>0.12</v>
      </c>
      <c r="AH56" s="15">
        <f>INDEX('Unique Asset List'!$CC$4:$CI$60,MATCH('3'!$B56,'Unique Asset List'!$A$4:$A$60,0),MATCH('3'!$C$1,'Unique Asset List'!$CC$3:$CI$3,0))</f>
        <v>0.38</v>
      </c>
      <c r="AI56" s="11">
        <v>0.96187963349867744</v>
      </c>
      <c r="AJ56" s="15">
        <f>INDEX('Unique Asset List'!$BH$4:$BN$60,MATCH('3'!$B56,'Unique Asset List'!$A$4:$A$60,0),MATCH('3'!$C$1,'Unique Asset List'!$BH$3:$BN$3,0))</f>
        <v>2.1252009430760062</v>
      </c>
      <c r="AK56" s="15">
        <f>INDEX('Unique Asset List'!$BO$4:$BU$60,MATCH('3'!$B56,'Unique Asset List'!$A$4:$A$60,0),MATCH('3'!$C$1,'Unique Asset List'!$BO$3:$BU$3,0))</f>
        <v>-1.7169645793441486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4"/>
        <v>0.82</v>
      </c>
      <c r="AS56" s="10">
        <v>1</v>
      </c>
      <c r="AT56" s="181">
        <f>INDEX('Unique Asset List'!N$4:N$60,MATCH($B56,_CompoundList,0))</f>
        <v>0</v>
      </c>
      <c r="AU56" s="181">
        <f>INDEX('Unique Asset List'!O$4:O$60,MATCH($B56,_CompoundList,0))</f>
        <v>0</v>
      </c>
      <c r="AV56" s="181">
        <f>INDEX('Unique Asset List'!P$4:P$60,MATCH($B56,_CompoundList,0))</f>
        <v>0</v>
      </c>
      <c r="AW56" s="181">
        <f>INDEX('Unique Asset List'!Q$4:Q$60,MATCH($B56,_CompoundList,0))</f>
        <v>0</v>
      </c>
      <c r="AX56" s="181">
        <f ca="1">INDEX('Unique Asset List'!R$4:R$60,MATCH($B56,_CompoundList,0))</f>
        <v>0</v>
      </c>
      <c r="AY56" s="181">
        <f ca="1">INDEX('Unique Asset List'!S$4:S$60,MATCH($B56,_CompoundList,0))</f>
        <v>0</v>
      </c>
      <c r="AZ56" s="181">
        <f ca="1">INDEX('Unique Asset List'!T$4:T$60,MATCH($B56,_CompoundList,0))</f>
        <v>0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0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IF($C$5="ON",CL56,MyRating(_S1,$B56,Efficacy!$F$1))</f>
        <v>0</v>
      </c>
      <c r="BM56" s="3">
        <f>IF($C$5="ON",CM56,MyRating(_S2,$B56,Efficacy!$F$1))</f>
        <v>0</v>
      </c>
      <c r="BN56" s="3">
        <f>IF($C$5="ON",CN56,MyRating(_S3,$B56,Efficacy!$F$1))</f>
        <v>0</v>
      </c>
      <c r="BO56" s="3">
        <f>IF($C$5="ON",CO56,MyRating(_S4,$B56,Efficacy!$F$1))</f>
        <v>0</v>
      </c>
      <c r="BP56" s="3">
        <f>IF($C$5="ON",CP56,MyRating(_S5,$B56,Efficacy!$F$1))</f>
        <v>0</v>
      </c>
      <c r="BQ56" s="3">
        <f>IF($C$5="ON",CQ56,MyRating(_S6,$B56,Efficacy!$F$1))</f>
        <v>0</v>
      </c>
      <c r="BR56" s="3">
        <f>IF($C$5="ON",CR56,MyRating(_S7,$B56,Efficacy!$F$1))</f>
        <v>0</v>
      </c>
      <c r="BS56" s="3">
        <f>IF($C$5="ON",CS56,MyRating(_D1,$B56,Efficacy!$F$1))</f>
        <v>0</v>
      </c>
      <c r="BT56" s="3">
        <f>IF($C$5="ON",CT56,MyRating(_D2,$B56,Efficacy!$F$1))</f>
        <v>0</v>
      </c>
      <c r="BU56" s="3">
        <f>IF($C$5="ON",CU56,MyRating(_D3,$B56,Efficacy!$F$1))</f>
        <v>0</v>
      </c>
      <c r="BV56" s="3">
        <f>IF($C$5="ON",CV56,MyRating(_D4,$B56,Efficacy!$F$1))</f>
        <v>0</v>
      </c>
      <c r="BW56" s="3">
        <f>IF($C$5="ON",CW56,MyRating(_B1G5,$B56,Barrier!$L$2))</f>
        <v>0</v>
      </c>
      <c r="BX56" s="3">
        <f>IF($C$5="ON",CX56,MyRating(_B2,$B56,Barrier!$F$2))</f>
        <v>0</v>
      </c>
      <c r="BY56" s="6">
        <f>IF($C$5="ON",CY56,MyRating(_B3,$B56,Barrier!$F$2))</f>
        <v>0</v>
      </c>
      <c r="BZ56" s="5">
        <f t="shared" si="11"/>
        <v>0</v>
      </c>
      <c r="CA56" s="8">
        <f t="shared" si="15"/>
        <v>0</v>
      </c>
      <c r="CB56" s="5">
        <f t="shared" si="16"/>
        <v>0</v>
      </c>
      <c r="CC56" s="7">
        <f t="shared" si="17"/>
        <v>0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>
        <v>0</v>
      </c>
      <c r="DA56" s="59">
        <f t="shared" si="18"/>
        <v>2053</v>
      </c>
      <c r="DB56">
        <f t="shared" si="19"/>
        <v>9</v>
      </c>
    </row>
    <row r="57" spans="1:106" x14ac:dyDescent="0.25">
      <c r="A57" s="9" t="str">
        <f t="shared" si="13"/>
        <v>FR</v>
      </c>
      <c r="B57" s="9" t="s">
        <v>183</v>
      </c>
      <c r="C57" s="20" t="s">
        <v>3</v>
      </c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2014</v>
      </c>
      <c r="I57" s="9">
        <v>6</v>
      </c>
      <c r="J57" s="18">
        <f>INDEX(PTRS!$D$6:$D$12,MATCH('3'!$F57,PTRS!$B$6:$B$12,0))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v>0.1044225</v>
      </c>
      <c r="N57" s="17">
        <f>INDEX('Unique Asset List'!$D$4:$M$60,MATCH($B57,'Unique Asset List'!$A$4:$A$60,0),MATCH(N$8,'Unique Asset List'!$D$3:$M$3,0))</f>
        <v>0</v>
      </c>
      <c r="O57" s="17">
        <f>INDEX('Unique Asset List'!$D$4:$M$60,MATCH($B57,'Unique Asset List'!$A$4:$A$60,0),MATCH(O$8,'Unique Asset List'!$D$3:$M$3,0))</f>
        <v>0</v>
      </c>
      <c r="P57" s="17">
        <f>INDEX('Unique Asset List'!$D$4:$M$60,MATCH($B57,'Unique Asset List'!$A$4:$A$60,0),MATCH(P$8,'Unique Asset List'!$D$3:$M$3,0))</f>
        <v>0</v>
      </c>
      <c r="Q57" s="17">
        <f>INDEX('Unique Asset List'!$D$4:$M$60,MATCH($B57,'Unique Asset List'!$A$4:$A$60,0),MATCH(Q$8,'Unique Asset List'!$D$3:$M$3,0))</f>
        <v>0</v>
      </c>
      <c r="R57" s="17">
        <f>INDEX('Unique Asset List'!$D$4:$M$60,MATCH($B57,'Unique Asset List'!$A$4:$A$60,0),MATCH(R$8,'Unique Asset List'!$D$3:$M$3,0))</f>
        <v>0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20"/>
        <v>0</v>
      </c>
      <c r="V57" s="17">
        <v>1</v>
      </c>
      <c r="W57" s="9" t="s">
        <v>0</v>
      </c>
      <c r="X57" s="9">
        <f>INDEX('Unique Asset List'!$Y$4:$AE$60,MATCH('3'!$B57,'Unique Asset List'!$A$4:$A$60,0),MATCH('3'!$C$1,'Unique Asset List'!$Y$3:$AE$3,0))</f>
        <v>2052</v>
      </c>
      <c r="Y57" s="9">
        <f>INDEX('Unique Asset List'!$AF$4:$AL$60,MATCH('3'!$B57,'Unique Asset List'!$A$4:$A$60,0),MATCH('3'!$C$1,'Unique Asset List'!$AF$3:$AL$3,0))</f>
        <v>6</v>
      </c>
      <c r="Z57" s="9">
        <f>INDEX('Unique Asset List'!$AT$4:$AZ$60,MATCH('3'!$B57,'Unique Asset List'!$A$4:$A$60,0),MATCH('3'!$C$1,'Unique Asset List'!$AT$3:$AZ$3,0))</f>
        <v>2060</v>
      </c>
      <c r="AA57" s="9">
        <f>INDEX('Unique Asset List'!$BA$4:$BG$60,MATCH('3'!$B57,'Unique Asset List'!$A$4:$A$60,0),MATCH('3'!$C$1,'Unique Asset List'!$BA$3:$BG$3,0))</f>
        <v>6</v>
      </c>
      <c r="AB57" s="16">
        <f t="shared" si="21"/>
        <v>0</v>
      </c>
      <c r="AC57" s="16">
        <f t="shared" si="22"/>
        <v>0</v>
      </c>
      <c r="AD57" s="16">
        <f t="shared" si="23"/>
        <v>0</v>
      </c>
      <c r="AE57" s="15">
        <f>INDEX('Unique Asset List'!$CJ$4:$CP$60,MATCH('3'!$B57,'Unique Asset List'!$A$4:$A$60,0),MATCH('3'!$C$1,'Unique Asset List'!$CJ$3:$CP$3,0))</f>
        <v>0.12</v>
      </c>
      <c r="AF57" s="15">
        <f>INDEX('Unique Asset List'!$CQ$4:$CW$60,MATCH('3'!$B57,'Unique Asset List'!$A$4:$A$60,0),MATCH('3'!$C$1,'Unique Asset List'!$CQ$3:$CW$3,0))</f>
        <v>0.38</v>
      </c>
      <c r="AG57" s="15">
        <f>INDEX('Unique Asset List'!$BV$4:$CB$60,MATCH('3'!$B57,'Unique Asset List'!$A$4:$A$60,0),MATCH('3'!$C$1,'Unique Asset List'!$BV$3:$CB$3,0))</f>
        <v>0.12</v>
      </c>
      <c r="AH57" s="15">
        <f>INDEX('Unique Asset List'!$CC$4:$CI$60,MATCH('3'!$B57,'Unique Asset List'!$A$4:$A$60,0),MATCH('3'!$C$1,'Unique Asset List'!$CC$3:$CI$3,0))</f>
        <v>0.38</v>
      </c>
      <c r="AI57" s="11">
        <v>0.96187963349867744</v>
      </c>
      <c r="AJ57" s="15">
        <f>INDEX('Unique Asset List'!$BH$4:$BN$60,MATCH('3'!$B57,'Unique Asset List'!$A$4:$A$60,0),MATCH('3'!$C$1,'Unique Asset List'!$BH$3:$BN$3,0))</f>
        <v>2.1252009430760062</v>
      </c>
      <c r="AK57" s="15">
        <f>INDEX('Unique Asset List'!$BO$4:$BU$60,MATCH('3'!$B57,'Unique Asset List'!$A$4:$A$60,0),MATCH('3'!$C$1,'Unique Asset List'!$BO$3:$BU$3,0))</f>
        <v>-1.7169645793441486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4"/>
        <v>0.82</v>
      </c>
      <c r="AS57" s="10">
        <v>1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1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1</v>
      </c>
      <c r="BB57" s="181">
        <f ca="1">INDEX('Unique Asset List'!V$4:V$60,MATCH($B57,_CompoundList,0))</f>
        <v>1</v>
      </c>
      <c r="BC57" s="181">
        <f ca="1">INDEX('Unique Asset List'!W$4:W$60,MATCH($B57,_CompoundList,0))</f>
        <v>0</v>
      </c>
      <c r="BD57" s="4">
        <f>IF($C$5="ON",CD57,MyRating(_E1,$B57,Efficacy!$F$1))</f>
        <v>0</v>
      </c>
      <c r="BE57" s="3">
        <f>IF($C$5="ON",CE57,MyRating(_E2,$B57,Efficacy!$F$1))</f>
        <v>0</v>
      </c>
      <c r="BF57" s="3">
        <f>IF($C$5="ON",CF57,MyRating(_E3,$B57,Efficacy!$F$1))</f>
        <v>0</v>
      </c>
      <c r="BG57" s="3">
        <f>IF($C$5="ON",CG57,MyRating(_E4,$B57,Efficacy!$F$1))</f>
        <v>0</v>
      </c>
      <c r="BH57" s="3">
        <f>IF($C$5="ON",CH57,MyRating(_E5,$B57,Efficacy!$F$1))</f>
        <v>0</v>
      </c>
      <c r="BI57" s="3">
        <f>IF($C$5="ON",CI57,MyRating(_E6,$B57,Efficacy!$F$1))</f>
        <v>0</v>
      </c>
      <c r="BJ57" s="3">
        <f>IF($C$5="ON",CJ57,MyRating(_E7,$B57,Efficacy!$F$1))</f>
        <v>0</v>
      </c>
      <c r="BK57" s="3">
        <f>IF($C$5="ON",CK57,MyRating(_E8,$B57,Efficacy!$F$1))</f>
        <v>0</v>
      </c>
      <c r="BL57" s="3">
        <f>IF($C$5="ON",CL57,MyRating(_S1,$B57,Efficacy!$F$1))</f>
        <v>0</v>
      </c>
      <c r="BM57" s="3">
        <f>IF($C$5="ON",CM57,MyRating(_S2,$B57,Efficacy!$F$1))</f>
        <v>0</v>
      </c>
      <c r="BN57" s="3">
        <f>IF($C$5="ON",CN57,MyRating(_S3,$B57,Efficacy!$F$1))</f>
        <v>0</v>
      </c>
      <c r="BO57" s="3">
        <f>IF($C$5="ON",CO57,MyRating(_S4,$B57,Efficacy!$F$1))</f>
        <v>0</v>
      </c>
      <c r="BP57" s="3">
        <f>IF($C$5="ON",CP57,MyRating(_S5,$B57,Efficacy!$F$1))</f>
        <v>0</v>
      </c>
      <c r="BQ57" s="3">
        <f>IF($C$5="ON",CQ57,MyRating(_S6,$B57,Efficacy!$F$1))</f>
        <v>0</v>
      </c>
      <c r="BR57" s="3">
        <f>IF($C$5="ON",CR57,MyRating(_S7,$B57,Efficacy!$F$1))</f>
        <v>0</v>
      </c>
      <c r="BS57" s="3">
        <f>IF($C$5="ON",CS57,MyRating(_D1,$B57,Efficacy!$F$1))</f>
        <v>0</v>
      </c>
      <c r="BT57" s="3">
        <f>IF($C$5="ON",CT57,MyRating(_D2,$B57,Efficacy!$F$1))</f>
        <v>0</v>
      </c>
      <c r="BU57" s="3">
        <f>IF($C$5="ON",CU57,MyRating(_D3,$B57,Efficacy!$F$1))</f>
        <v>0</v>
      </c>
      <c r="BV57" s="3">
        <f>IF($C$5="ON",CV57,MyRating(_D4,$B57,Efficacy!$F$1))</f>
        <v>0</v>
      </c>
      <c r="BW57" s="3">
        <f>IF($C$5="ON",CW57,MyRating(_B1G5,$B57,Barrier!$L$2))</f>
        <v>0</v>
      </c>
      <c r="BX57" s="3">
        <f>IF($C$5="ON",CX57,MyRating(_B2,$B57,Barrier!$F$2))</f>
        <v>0</v>
      </c>
      <c r="BY57" s="6">
        <f>IF($C$5="ON",CY57,MyRating(_B3,$B57,Barrier!$F$2))</f>
        <v>0</v>
      </c>
      <c r="BZ57" s="5">
        <f t="shared" si="11"/>
        <v>0</v>
      </c>
      <c r="CA57" s="8">
        <f t="shared" si="15"/>
        <v>0</v>
      </c>
      <c r="CB57" s="5">
        <f t="shared" si="16"/>
        <v>0</v>
      </c>
      <c r="CC57" s="7">
        <f t="shared" si="17"/>
        <v>0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>
        <v>0</v>
      </c>
      <c r="DA57" s="59">
        <f t="shared" si="18"/>
        <v>2053</v>
      </c>
      <c r="DB57">
        <f t="shared" si="19"/>
        <v>9</v>
      </c>
    </row>
    <row r="58" spans="1:106" x14ac:dyDescent="0.25">
      <c r="A58" s="9" t="str">
        <f t="shared" si="13"/>
        <v>FR</v>
      </c>
      <c r="B58" s="9" t="s">
        <v>182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2014</v>
      </c>
      <c r="I58" s="9">
        <v>6</v>
      </c>
      <c r="J58" s="18">
        <f>INDEX(PTRS!$D$6:$D$12,MATCH('3'!$F58,PTRS!$B$6:$B$12,0))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v>0.1044225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 t="shared" si="20"/>
        <v>0</v>
      </c>
      <c r="V58" s="17">
        <v>1</v>
      </c>
      <c r="W58" s="9" t="s">
        <v>0</v>
      </c>
      <c r="X58" s="9">
        <f>INDEX('Unique Asset List'!$Y$4:$AE$60,MATCH('3'!$B58,'Unique Asset List'!$A$4:$A$60,0),MATCH('3'!$C$1,'Unique Asset List'!$Y$3:$AE$3,0))</f>
        <v>2052</v>
      </c>
      <c r="Y58" s="9">
        <f>INDEX('Unique Asset List'!$AF$4:$AL$60,MATCH('3'!$B58,'Unique Asset List'!$A$4:$A$60,0),MATCH('3'!$C$1,'Unique Asset List'!$AF$3:$AL$3,0))</f>
        <v>6</v>
      </c>
      <c r="Z58" s="9">
        <f>INDEX('Unique Asset List'!$AT$4:$AZ$60,MATCH('3'!$B58,'Unique Asset List'!$A$4:$A$60,0),MATCH('3'!$C$1,'Unique Asset List'!$AT$3:$AZ$3,0))</f>
        <v>2060</v>
      </c>
      <c r="AA58" s="9">
        <f>INDEX('Unique Asset List'!$BA$4:$BG$60,MATCH('3'!$B58,'Unique Asset List'!$A$4:$A$60,0),MATCH('3'!$C$1,'Unique Asset List'!$BA$3:$BG$3,0))</f>
        <v>6</v>
      </c>
      <c r="AB58" s="16">
        <f t="shared" si="21"/>
        <v>0</v>
      </c>
      <c r="AC58" s="16">
        <f t="shared" si="22"/>
        <v>0</v>
      </c>
      <c r="AD58" s="16">
        <f t="shared" si="23"/>
        <v>0</v>
      </c>
      <c r="AE58" s="15">
        <f>INDEX('Unique Asset List'!$CJ$4:$CP$60,MATCH('3'!$B58,'Unique Asset List'!$A$4:$A$60,0),MATCH('3'!$C$1,'Unique Asset List'!$CJ$3:$CP$3,0))</f>
        <v>0.12</v>
      </c>
      <c r="AF58" s="15">
        <f>INDEX('Unique Asset List'!$CQ$4:$CW$60,MATCH('3'!$B58,'Unique Asset List'!$A$4:$A$60,0),MATCH('3'!$C$1,'Unique Asset List'!$CQ$3:$CW$3,0))</f>
        <v>0.38</v>
      </c>
      <c r="AG58" s="15">
        <f>INDEX('Unique Asset List'!$BV$4:$CB$60,MATCH('3'!$B58,'Unique Asset List'!$A$4:$A$60,0),MATCH('3'!$C$1,'Unique Asset List'!$BV$3:$CB$3,0))</f>
        <v>0.12</v>
      </c>
      <c r="AH58" s="15">
        <f>INDEX('Unique Asset List'!$CC$4:$CI$60,MATCH('3'!$B58,'Unique Asset List'!$A$4:$A$60,0),MATCH('3'!$C$1,'Unique Asset List'!$CC$3:$CI$3,0))</f>
        <v>0.38</v>
      </c>
      <c r="AI58" s="11">
        <v>0.96187963349867744</v>
      </c>
      <c r="AJ58" s="15">
        <f>INDEX('Unique Asset List'!$BH$4:$BN$60,MATCH('3'!$B58,'Unique Asset List'!$A$4:$A$60,0),MATCH('3'!$C$1,'Unique Asset List'!$BH$3:$BN$3,0))</f>
        <v>2.1252009430760062</v>
      </c>
      <c r="AK58" s="15">
        <f>INDEX('Unique Asset List'!$BO$4:$BU$60,MATCH('3'!$B58,'Unique Asset List'!$A$4:$A$60,0),MATCH('3'!$C$1,'Unique Asset List'!$BO$3:$BU$3,0))</f>
        <v>-1.7169645793441486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4"/>
        <v>0.82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1</v>
      </c>
      <c r="AY58" s="181">
        <f ca="1">INDEX('Unique Asset List'!S$4:S$60,MATCH($B58,_CompoundList,0))</f>
        <v>0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1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IF($C$5="ON",CL58,MyRating(_S1,$B58,Efficacy!$F$1))</f>
        <v>0</v>
      </c>
      <c r="BM58" s="3">
        <f>IF($C$5="ON",CM58,MyRating(_S2,$B58,Efficacy!$F$1))</f>
        <v>0</v>
      </c>
      <c r="BN58" s="3">
        <f>IF($C$5="ON",CN58,MyRating(_S3,$B58,Efficacy!$F$1))</f>
        <v>0</v>
      </c>
      <c r="BO58" s="3">
        <f>IF($C$5="ON",CO58,MyRating(_S4,$B58,Efficacy!$F$1))</f>
        <v>0</v>
      </c>
      <c r="BP58" s="3">
        <f>IF($C$5="ON",CP58,MyRating(_S5,$B58,Efficacy!$F$1))</f>
        <v>0</v>
      </c>
      <c r="BQ58" s="3">
        <f>IF($C$5="ON",CQ58,MyRating(_S6,$B58,Efficacy!$F$1))</f>
        <v>0</v>
      </c>
      <c r="BR58" s="3">
        <f>IF($C$5="ON",CR58,MyRating(_S7,$B58,Efficacy!$F$1))</f>
        <v>0</v>
      </c>
      <c r="BS58" s="3">
        <f>IF($C$5="ON",CS58,MyRating(_D1,$B58,Efficacy!$F$1))</f>
        <v>0</v>
      </c>
      <c r="BT58" s="3">
        <f>IF($C$5="ON",CT58,MyRating(_D2,$B58,Efficacy!$F$1))</f>
        <v>0</v>
      </c>
      <c r="BU58" s="3">
        <f>IF($C$5="ON",CU58,MyRating(_D3,$B58,Efficacy!$F$1))</f>
        <v>0</v>
      </c>
      <c r="BV58" s="3">
        <f>IF($C$5="ON",CV58,MyRating(_D4,$B58,Efficacy!$F$1))</f>
        <v>0</v>
      </c>
      <c r="BW58" s="3">
        <f>IF($C$5="ON",CW58,MyRating(_B1G5,$B58,Barrier!$L$2))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11"/>
        <v>0</v>
      </c>
      <c r="CA58" s="8">
        <f t="shared" si="15"/>
        <v>0</v>
      </c>
      <c r="CB58" s="5">
        <f t="shared" si="16"/>
        <v>0</v>
      </c>
      <c r="CC58" s="7">
        <f t="shared" si="17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>
        <v>0</v>
      </c>
      <c r="DA58" s="59">
        <f t="shared" si="18"/>
        <v>2053</v>
      </c>
      <c r="DB58">
        <f t="shared" si="19"/>
        <v>9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1000-000000000000}">
      <formula1>"ON,OFF"</formula1>
    </dataValidation>
    <dataValidation type="list" allowBlank="1" showInputMessage="1" showErrorMessage="1" sqref="C1" xr:uid="{00000000-0002-0000-10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2000000}">
          <x14:formula1>
            <xm:f>'Unique Asset List'!$D$3:$M$3</xm:f>
          </x14:formula1>
          <xm:sqref>J1:S1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>
    <outlinePr summaryBelow="0" summaryRight="0"/>
  </sheetPr>
  <dimension ref="A1:CZ58"/>
  <sheetViews>
    <sheetView workbookViewId="0">
      <selection activeCell="C17" sqref="C17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8554687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6.140625" customWidth="1"/>
    <col min="25" max="25" width="3.140625" bestFit="1" customWidth="1"/>
    <col min="26" max="26" width="5.5703125" customWidth="1"/>
    <col min="27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.42578125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3.85546875" bestFit="1" customWidth="1"/>
    <col min="46" max="55" width="2.85546875" bestFit="1" customWidth="1"/>
    <col min="56" max="56" width="3.28515625" bestFit="1" customWidth="1"/>
    <col min="57" max="57" width="3.5703125" bestFit="1" customWidth="1"/>
    <col min="58" max="58" width="4.5703125" bestFit="1" customWidth="1"/>
    <col min="59" max="74" width="3.5703125" bestFit="1" customWidth="1"/>
    <col min="75" max="75" width="6.85546875" customWidth="1"/>
    <col min="76" max="76" width="7.42578125" customWidth="1"/>
    <col min="77" max="77" width="8.7109375" customWidth="1"/>
    <col min="78" max="81" width="7.7109375" style="1" bestFit="1" customWidth="1"/>
    <col min="82" max="83" width="3.5703125" bestFit="1" customWidth="1"/>
    <col min="84" max="84" width="4.5703125" bestFit="1" customWidth="1"/>
    <col min="85" max="101" width="3.5703125" bestFit="1" customWidth="1"/>
    <col min="102" max="103" width="4.5703125" bestFit="1" customWidth="1"/>
    <col min="104" max="104" width="7" style="1" customWidth="1"/>
  </cols>
  <sheetData>
    <row r="1" spans="1:104" x14ac:dyDescent="0.25">
      <c r="A1" s="209" t="s">
        <v>181</v>
      </c>
      <c r="B1" s="211"/>
      <c r="C1" s="56" t="s">
        <v>178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L1"/>
      <c r="AM1"/>
      <c r="AN1"/>
      <c r="AO1"/>
      <c r="AQ1"/>
      <c r="CA1" s="35"/>
    </row>
    <row r="2" spans="1:104" x14ac:dyDescent="0.25">
      <c r="B2" t="s">
        <v>172</v>
      </c>
      <c r="C2" s="48">
        <v>3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T2" s="209" t="s">
        <v>168</v>
      </c>
      <c r="U2" s="210"/>
      <c r="V2" s="210"/>
      <c r="W2" s="211"/>
      <c r="X2" s="47">
        <v>0.2</v>
      </c>
      <c r="AL2"/>
      <c r="AM2"/>
      <c r="AN2"/>
      <c r="AO2"/>
      <c r="AQ2"/>
      <c r="CA2" s="35"/>
    </row>
    <row r="3" spans="1:104" x14ac:dyDescent="0.25">
      <c r="B3" t="s">
        <v>166</v>
      </c>
      <c r="C3" s="48">
        <v>2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T3" s="209" t="s">
        <v>165</v>
      </c>
      <c r="U3" s="210"/>
      <c r="V3" s="210"/>
      <c r="W3" s="211"/>
      <c r="X3" s="47">
        <v>-0.5</v>
      </c>
      <c r="AL3"/>
      <c r="AM3"/>
      <c r="AN3"/>
      <c r="AO3"/>
      <c r="AQ3"/>
      <c r="CA3" s="35"/>
    </row>
    <row r="4" spans="1:104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1.5</v>
      </c>
      <c r="AL4"/>
      <c r="AM4"/>
      <c r="AN4"/>
      <c r="AO4"/>
      <c r="AQ4"/>
      <c r="CA4" s="35"/>
    </row>
    <row r="5" spans="1:104" x14ac:dyDescent="0.25">
      <c r="B5" t="s">
        <v>160</v>
      </c>
      <c r="C5" s="45" t="s">
        <v>3</v>
      </c>
      <c r="D5" s="44"/>
      <c r="U5" s="43"/>
      <c r="V5" s="42"/>
      <c r="AL5"/>
      <c r="AM5"/>
      <c r="AN5"/>
      <c r="AO5"/>
      <c r="AQ5"/>
      <c r="CA5" s="35"/>
    </row>
    <row r="6" spans="1:104" x14ac:dyDescent="0.25">
      <c r="AL6"/>
      <c r="AM6"/>
      <c r="AN6"/>
      <c r="AO6"/>
      <c r="AQ6"/>
      <c r="CA6" s="35"/>
    </row>
    <row r="7" spans="1:104" x14ac:dyDescent="0.25">
      <c r="AL7"/>
      <c r="AM7"/>
      <c r="AN7"/>
      <c r="AO7"/>
      <c r="AQ7"/>
      <c r="BD7" s="27">
        <f>IF($C$5="ON",CD7,INDEX(Conjoint!$F$9:$F$33,MATCH(BD8,Conjoint!$B$9:$B$33,0)))</f>
        <v>8.4581000000000003E-2</v>
      </c>
      <c r="BE7" s="27">
        <f>IF($C$5="ON",CE7,INDEX(Conjoint!$F$9:$F$33,MATCH(BE8,Conjoint!$B$9:$B$33,0)))</f>
        <v>8.0703200000000017E-2</v>
      </c>
      <c r="BF7" s="27">
        <f>IF($C$5="ON",CF7,INDEX(Conjoint!$F$9:$F$33,MATCH(BF8,Conjoint!$B$9:$B$33,0)))</f>
        <v>9.5090400000000005E-2</v>
      </c>
      <c r="BG7" s="27">
        <f>IF($C$5="ON",CG7,INDEX(Conjoint!$F$9:$F$33,MATCH(BG8,Conjoint!$B$9:$B$33,0)))</f>
        <v>8.2614000000000007E-2</v>
      </c>
      <c r="BH7" s="27">
        <f>IF($C$5="ON",CH7,INDEX(Conjoint!$F$9:$F$33,MATCH(BH8,Conjoint!$B$9:$B$33,0)))</f>
        <v>6.1089400000000009E-2</v>
      </c>
      <c r="BI7" s="27">
        <f>IF($C$5="ON",CI7,INDEX(Conjoint!$F$9:$F$33,MATCH(BI8,Conjoint!$B$9:$B$33,0)))</f>
        <v>5.8054600000000005E-2</v>
      </c>
      <c r="BJ7" s="27">
        <f>IF($C$5="ON",CJ7,INDEX(Conjoint!$F$9:$F$33,MATCH(BJ8,Conjoint!$B$9:$B$33,0)))</f>
        <v>3.8047400000000002E-2</v>
      </c>
      <c r="BK7" s="27">
        <f>IF($C$5="ON",CK7,INDEX(Conjoint!$F$9:$F$33,MATCH(BK8,Conjoint!$B$9:$B$33,0)))</f>
        <v>6.1820000000000007E-2</v>
      </c>
      <c r="BL7" s="27">
        <f>IF($C$5="ON",CL7,INDEX(Conjoint!$F$9:$F$33,MATCH(BL8,Conjoint!$B$9:$B$33,0)))</f>
        <v>6.1469900000000001E-2</v>
      </c>
      <c r="BM7" s="27">
        <f>IF($C$5="ON",CM7,INDEX(Conjoint!$F$9:$F$33,MATCH(BM8,Conjoint!$B$9:$B$33,0)))</f>
        <v>2.4572900000000002E-2</v>
      </c>
      <c r="BN7" s="27">
        <f>IF($C$5="ON",CN7,INDEX(Conjoint!$F$9:$F$33,MATCH(BN8,Conjoint!$B$9:$B$33,0)))</f>
        <v>3.06471E-2</v>
      </c>
      <c r="BO7" s="27">
        <f>IF($C$5="ON",CO7,INDEX(Conjoint!$F$9:$F$33,MATCH(BO8,Conjoint!$B$9:$B$33,0)))</f>
        <v>3.4964300000000004E-2</v>
      </c>
      <c r="BP7" s="27">
        <f>IF($C$5="ON",CP7,INDEX(Conjoint!$F$9:$F$33,MATCH(BP8,Conjoint!$B$9:$B$33,0)))</f>
        <v>4.6008299999999995E-2</v>
      </c>
      <c r="BQ7" s="27">
        <f>IF($C$5="ON",CQ7,INDEX(Conjoint!$F$9:$F$33,MATCH(BQ8,Conjoint!$B$9:$B$33,0)))</f>
        <v>2.14354E-2</v>
      </c>
      <c r="BR7" s="27">
        <f>IF($C$5="ON",CR7,INDEX(Conjoint!$F$9:$F$33,MATCH(BR8,Conjoint!$B$9:$B$33,0)))</f>
        <v>3.1877000000000003E-2</v>
      </c>
      <c r="BS7" s="27">
        <f>IF($C$5="ON",CS7,INDEX(Conjoint!$F$9:$F$33,MATCH(BS8,Conjoint!$B$9:$B$33,0)))</f>
        <v>5.9704054739999991E-2</v>
      </c>
      <c r="BT7" s="27">
        <f>IF($C$5="ON",CT7,INDEX(Conjoint!$F$9:$F$33,MATCH(BT8,Conjoint!$B$9:$B$33,0)))</f>
        <v>4.0027204139999994E-2</v>
      </c>
      <c r="BU7" s="27">
        <f>IF($C$5="ON",CU7,INDEX(Conjoint!$F$9:$F$33,MATCH(BU8,Conjoint!$B$9:$B$33,0)))</f>
        <v>3.2328141120000001E-2</v>
      </c>
      <c r="BV7" s="27">
        <f>IF($C$5="ON",CV7,INDEX(Conjoint!$F$9:$F$33,MATCH(BV8,Conjoint!$B$9:$B$33,0)))</f>
        <v>5.4940599999999999E-2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3.6101876722321333E-2</v>
      </c>
      <c r="CA7" s="34">
        <f>SUMIF($C$9:$C$58,"",CA9:CA58)</f>
        <v>86.799999999999955</v>
      </c>
      <c r="CB7" s="33"/>
      <c r="CC7" s="32">
        <f>SUMIF($C$9:$C$58,"",CC9:CC58)</f>
        <v>0.17798053808468481</v>
      </c>
      <c r="CD7" s="27">
        <v>8.4581000000000003E-2</v>
      </c>
      <c r="CE7" s="27">
        <v>8.0703200000000017E-2</v>
      </c>
      <c r="CF7" s="27">
        <v>9.5090400000000005E-2</v>
      </c>
      <c r="CG7" s="27">
        <v>8.2614000000000007E-2</v>
      </c>
      <c r="CH7" s="27">
        <v>6.1089400000000009E-2</v>
      </c>
      <c r="CI7" s="27">
        <v>5.8054600000000005E-2</v>
      </c>
      <c r="CJ7" s="27">
        <v>3.8047400000000002E-2</v>
      </c>
      <c r="CK7" s="27">
        <v>6.1820000000000007E-2</v>
      </c>
      <c r="CL7" s="27">
        <v>6.1469900000000001E-2</v>
      </c>
      <c r="CM7" s="27">
        <v>2.4572900000000002E-2</v>
      </c>
      <c r="CN7" s="27">
        <v>3.06471E-2</v>
      </c>
      <c r="CO7" s="27">
        <v>3.4964300000000004E-2</v>
      </c>
      <c r="CP7" s="27">
        <v>4.6008299999999995E-2</v>
      </c>
      <c r="CQ7" s="27">
        <v>2.14354E-2</v>
      </c>
      <c r="CR7" s="27">
        <v>3.1877000000000003E-2</v>
      </c>
      <c r="CS7" s="27">
        <v>5.9704054739999991E-2</v>
      </c>
      <c r="CT7" s="27">
        <v>4.0027204139999994E-2</v>
      </c>
      <c r="CU7" s="27">
        <v>3.2328141120000001E-2</v>
      </c>
      <c r="CV7" s="27">
        <v>5.4940599999999999E-2</v>
      </c>
      <c r="CW7" s="27">
        <v>0.05</v>
      </c>
      <c r="CX7" s="27">
        <v>0.47499999999999998</v>
      </c>
      <c r="CY7" s="26">
        <v>0.47499999999999998</v>
      </c>
      <c r="CZ7" s="31">
        <v>5.3883834849545127E-2</v>
      </c>
    </row>
    <row r="8" spans="1:104" ht="143.44999999999999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 t="s">
        <v>118</v>
      </c>
    </row>
    <row r="9" spans="1:104" x14ac:dyDescent="0.25">
      <c r="A9" s="9" t="s">
        <v>178</v>
      </c>
      <c r="B9" s="9" t="s">
        <v>49</v>
      </c>
      <c r="C9" s="20" t="s">
        <v>3</v>
      </c>
      <c r="D9" s="9" t="s">
        <v>48</v>
      </c>
      <c r="E9" s="9" t="s">
        <v>186</v>
      </c>
      <c r="F9" s="9" t="str">
        <f>INDEX('Unique Asset List'!$C$4:$C$60,MATCH(B9,_CompoundList,0))</f>
        <v>Launched</v>
      </c>
      <c r="G9" s="19">
        <v>0</v>
      </c>
      <c r="H9" s="9">
        <v>2014</v>
      </c>
      <c r="I9" s="9">
        <v>6</v>
      </c>
      <c r="J9" s="18">
        <f>INDEX(PTRS!$D$6:$D$12,MATCH('2'!$F9,PTRS!$B$6:$B$12,0))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50" si="0">BZ9/$BZ$7</f>
        <v>0</v>
      </c>
      <c r="V9" s="17">
        <v>1</v>
      </c>
      <c r="W9" s="9" t="s">
        <v>46</v>
      </c>
      <c r="X9" s="9">
        <f>INDEX('Unique Asset List'!$Y$4:$AE$60,MATCH('2'!$B9,'Unique Asset List'!$A$4:$A$60,0),MATCH('2'!$C$1,'Unique Asset List'!$Y$3:$AE$3,0))</f>
        <v>1984</v>
      </c>
      <c r="Y9" s="9">
        <f>INDEX('Unique Asset List'!$AF$4:$AL$60,MATCH('2'!$B9,'Unique Asset List'!$A$4:$A$60,0),MATCH('2'!$C$1,'Unique Asset List'!$AF$3:$AL$3,0))</f>
        <v>7</v>
      </c>
      <c r="Z9" s="9">
        <f>INDEX('Unique Asset List'!$AT$4:$AZ$60,MATCH('2'!$B9,'Unique Asset List'!$A$4:$A$60,0),MATCH('2'!$C$1,'Unique Asset List'!$AT$3:$AZ$3,0))</f>
        <v>1994</v>
      </c>
      <c r="AA9" s="9">
        <f>INDEX('Unique Asset List'!$BA$4:$BG$60,MATCH('2'!$B9,'Unique Asset List'!$A$4:$A$60,0),MATCH('2'!$C$1,'Unique Asset List'!$BA$3:$BG$3,0))</f>
        <v>7</v>
      </c>
      <c r="AB9" s="16">
        <f t="shared" ref="AB9:AB37" si="1">SUMPRODUCT($BD9:$BK9,$BD$7:$BK$7)</f>
        <v>1.3070995999999999</v>
      </c>
      <c r="AC9" s="16">
        <f t="shared" ref="AC9:AC37" si="2">SUMPRODUCT($BL9:$BR9,$BL$7:$BR$7)</f>
        <v>0.69770470000000007</v>
      </c>
      <c r="AD9" s="16">
        <f t="shared" ref="AD9:AD37" si="3">SUMPRODUCT($BS9:$BV9,$BS$7:$BV$7)</f>
        <v>0.56099999999999994</v>
      </c>
      <c r="AE9" s="15">
        <f>INDEX('Unique Asset List'!$CJ$4:$CP$60,MATCH('2'!$B9,'Unique Asset List'!$A$4:$A$60,0),MATCH('2'!$C$1,'Unique Asset List'!$CJ$3:$CP$3,0))</f>
        <v>0.2</v>
      </c>
      <c r="AF9" s="15">
        <f>INDEX('Unique Asset List'!$CQ$4:$CW$60,MATCH('2'!$B9,'Unique Asset List'!$A$4:$A$60,0),MATCH('2'!$C$1,'Unique Asset List'!$CQ$3:$CW$3,0))</f>
        <v>0.3</v>
      </c>
      <c r="AG9" s="15">
        <f>INDEX('Unique Asset List'!$BV$4:$CB$60,MATCH('2'!$B9,'Unique Asset List'!$A$4:$A$60,0),MATCH('2'!$C$1,'Unique Asset List'!$BV$3:$CB$3,0))</f>
        <v>0.2</v>
      </c>
      <c r="AH9" s="15">
        <f>INDEX('Unique Asset List'!$CC$4:$CI$60,MATCH('2'!$B9,'Unique Asset List'!$A$4:$A$60,0),MATCH('2'!$C$1,'Unique Asset List'!$CC$3:$CI$3,0))</f>
        <v>0.3</v>
      </c>
      <c r="AI9" s="11">
        <v>0.96187963349867744</v>
      </c>
      <c r="AJ9" s="15">
        <f>INDEX('Unique Asset List'!$BH$4:$BN$60,MATCH('2'!$B9,'Unique Asset List'!$A$4:$A$60,0),MATCH('2'!$C$1,'Unique Asset List'!$BH$3:$BN$3,0))</f>
        <v>2.2612105538192599</v>
      </c>
      <c r="AK9" s="15">
        <f>INDEX('Unique Asset List'!$BO$4:$BU$60,MATCH('2'!$B9,'Unique Asset List'!$A$4:$A$60,0),MATCH('2'!$C$1,'Unique Asset List'!$BO$3:$BU$3,0))</f>
        <v>-1.7475682675103321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40" si="4">AP9</f>
        <v>1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2</v>
      </c>
      <c r="BE9" s="3">
        <f>IF($C$5="ON",CE9,MyRating(_E2,$B9,Efficacy!$F$1))</f>
        <v>1</v>
      </c>
      <c r="BF9" s="3">
        <f>IF($C$5="ON",CF9,MyRating(_E3,$B9,Efficacy!$F$1))</f>
        <v>1</v>
      </c>
      <c r="BG9" s="3">
        <f>IF($C$5="ON",CG9,MyRating(_E4,$B9,Efficacy!$F$1))</f>
        <v>2</v>
      </c>
      <c r="BH9" s="3">
        <f>IF($C$5="ON",CH9,MyRating(_E5,$B9,Efficacy!$F$1))</f>
        <v>3</v>
      </c>
      <c r="BI9" s="3">
        <f>IF($C$5="ON",CI9,MyRating(_E6,$B9,Efficacy!$F$1))</f>
        <v>5</v>
      </c>
      <c r="BJ9" s="3">
        <f>IF($C$5="ON",CJ9,MyRating(_E7,$B9,Efficacy!$F$1))</f>
        <v>2</v>
      </c>
      <c r="BK9" s="3">
        <f>IF($C$5="ON",CK9,MyRating(_E8,$B9,Efficacy!$F$1))</f>
        <v>4</v>
      </c>
      <c r="BL9" s="3">
        <f>IF($C$5="ON",CL9,MyRating(_S1,$B9,'S&amp;T'!$F$1))</f>
        <v>3</v>
      </c>
      <c r="BM9" s="3">
        <f>IF($C$5="ON",CM9,MyRating(_S2,$B9,'S&amp;T'!$F$1))</f>
        <v>2</v>
      </c>
      <c r="BN9" s="3">
        <f>IF($C$5="ON",CN9,MyRating(_S3,$B9,'S&amp;T'!$F$1))</f>
        <v>2</v>
      </c>
      <c r="BO9" s="3">
        <f>IF($C$5="ON",CO9,MyRating(_S4,$B9,'S&amp;T'!$F$1))</f>
        <v>3</v>
      </c>
      <c r="BP9" s="3">
        <f>IF($C$5="ON",CP9,MyRating(_S5,$B9,'S&amp;T'!$F$1))</f>
        <v>3</v>
      </c>
      <c r="BQ9" s="3">
        <f>IF($C$5="ON",CQ9,MyRating(_S6,$B9,'S&amp;T'!$F$1))</f>
        <v>3</v>
      </c>
      <c r="BR9" s="3">
        <f>IF($C$5="ON",CR9,MyRating(_S7,$B9,'S&amp;T'!$F$1))</f>
        <v>3</v>
      </c>
      <c r="BS9" s="3">
        <f>IF($C$5="ON",CS9,MyRating(_D1,$B9,Delivery!$F$1))</f>
        <v>3</v>
      </c>
      <c r="BT9" s="3">
        <f>IF($C$5="ON",CT9,MyRating(_D2,$B9,Delivery!$F$1))</f>
        <v>3</v>
      </c>
      <c r="BU9" s="3">
        <f>IF($C$5="ON",CU9,MyRating(_D3,$B9,Delivery!$F$1))</f>
        <v>3</v>
      </c>
      <c r="BV9" s="3">
        <f>IF($C$5="ON",CV9,MyRating(_D4,$B9,Delivery!$F$1))</f>
        <v>3</v>
      </c>
      <c r="BW9" s="3">
        <f>IF($C$5="ON",CW9,MyRating(_B1G5,$B9,Barrier!$L$2))</f>
        <v>3</v>
      </c>
      <c r="BX9" s="3">
        <f>IF($C$5="ON",CX9,MyRating(_B2,$B9,Barrier!$F$2))</f>
        <v>3</v>
      </c>
      <c r="BY9" s="6">
        <f>IF($C$5="ON",CY9,MyRating(_B3,$B9,Barrier!$F$2))</f>
        <v>0</v>
      </c>
      <c r="BZ9" s="5">
        <f>IF(C9="",CC9/$CC$7,0)</f>
        <v>0</v>
      </c>
      <c r="CA9" s="8">
        <f t="shared" ref="CA9:CA40" si="5">SUMPRODUCT($BW9:$BY9,$BW$7:$BY$7)</f>
        <v>1.8000000000000003</v>
      </c>
      <c r="CB9" s="5">
        <f t="shared" ref="CB9:CB40" si="6">CA9/$CA$7</f>
        <v>2.0737327188940106E-2</v>
      </c>
      <c r="CC9" s="7">
        <f t="shared" ref="CC9:CC40" si="7">CB9^$X$4</f>
        <v>2.9862706773980726E-3</v>
      </c>
      <c r="CD9" s="4">
        <v>2</v>
      </c>
      <c r="CE9" s="3">
        <v>2</v>
      </c>
      <c r="CF9" s="3">
        <v>2</v>
      </c>
      <c r="CG9" s="3">
        <v>2</v>
      </c>
      <c r="CH9" s="3">
        <v>2</v>
      </c>
      <c r="CI9" s="3">
        <v>5</v>
      </c>
      <c r="CJ9" s="3">
        <v>2</v>
      </c>
      <c r="CK9" s="3">
        <v>4</v>
      </c>
      <c r="CL9" s="3">
        <v>3</v>
      </c>
      <c r="CM9" s="3">
        <v>2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3</v>
      </c>
      <c r="CY9" s="6">
        <v>3</v>
      </c>
      <c r="CZ9" s="5">
        <v>3.7014903427878103E-2</v>
      </c>
    </row>
    <row r="10" spans="1:104" x14ac:dyDescent="0.25">
      <c r="A10" s="9" t="s">
        <v>178</v>
      </c>
      <c r="B10" s="9" t="s">
        <v>190</v>
      </c>
      <c r="C10" s="20"/>
      <c r="D10" s="9" t="s">
        <v>48</v>
      </c>
      <c r="E10" s="9" t="s">
        <v>186</v>
      </c>
      <c r="F10" s="9" t="str">
        <f>INDEX('Unique Asset List'!$C$4:$C$60,MATCH(B10,_CompoundList,0))</f>
        <v>Launched</v>
      </c>
      <c r="G10" s="19">
        <v>0.85976119240036719</v>
      </c>
      <c r="H10" s="9">
        <v>2014</v>
      </c>
      <c r="I10" s="9">
        <v>6</v>
      </c>
      <c r="J10" s="18">
        <f>INDEX(PTRS!$D$6:$D$12,MATCH('2'!$F10,PTRS!$B$6:$B$12,0))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0"/>
        <v>1</v>
      </c>
      <c r="V10" s="17">
        <v>1</v>
      </c>
      <c r="W10" s="9" t="s">
        <v>188</v>
      </c>
      <c r="X10" s="9">
        <f>INDEX('Unique Asset List'!$Y$4:$AE$60,MATCH('2'!$B10,'Unique Asset List'!$A$4:$A$60,0),MATCH('2'!$C$1,'Unique Asset List'!$Y$3:$AE$3,0))</f>
        <v>1977</v>
      </c>
      <c r="Y10" s="9">
        <f>INDEX('Unique Asset List'!$AF$4:$AL$60,MATCH('2'!$B10,'Unique Asset List'!$A$4:$A$60,0),MATCH('2'!$C$1,'Unique Asset List'!$AF$3:$AL$3,0))</f>
        <v>7</v>
      </c>
      <c r="Z10" s="9">
        <f>INDEX('Unique Asset List'!$AT$4:$AZ$60,MATCH('2'!$B10,'Unique Asset List'!$A$4:$A$60,0),MATCH('2'!$C$1,'Unique Asset List'!$AT$3:$AZ$3,0))</f>
        <v>2001</v>
      </c>
      <c r="AA10" s="9">
        <f>INDEX('Unique Asset List'!$BA$4:$BG$60,MATCH('2'!$B10,'Unique Asset List'!$A$4:$A$60,0),MATCH('2'!$C$1,'Unique Asset List'!$BA$3:$BG$3,0))</f>
        <v>7</v>
      </c>
      <c r="AB10" s="16">
        <f t="shared" si="1"/>
        <v>1.4234898</v>
      </c>
      <c r="AC10" s="16">
        <f t="shared" si="2"/>
        <v>0.91994010000000004</v>
      </c>
      <c r="AD10" s="16">
        <f t="shared" si="3"/>
        <v>0.50129594525999999</v>
      </c>
      <c r="AE10" s="15">
        <f>INDEX('Unique Asset List'!$CJ$4:$CP$60,MATCH('2'!$B10,'Unique Asset List'!$A$4:$A$60,0),MATCH('2'!$C$1,'Unique Asset List'!$CJ$3:$CP$3,0))</f>
        <v>0.2</v>
      </c>
      <c r="AF10" s="15">
        <f>INDEX('Unique Asset List'!$CQ$4:$CW$60,MATCH('2'!$B10,'Unique Asset List'!$A$4:$A$60,0),MATCH('2'!$C$1,'Unique Asset List'!$CQ$3:$CW$3,0))</f>
        <v>0.3</v>
      </c>
      <c r="AG10" s="15">
        <f>INDEX('Unique Asset List'!$BV$4:$CB$60,MATCH('2'!$B10,'Unique Asset List'!$A$4:$A$60,0),MATCH('2'!$C$1,'Unique Asset List'!$BV$3:$CB$3,0))</f>
        <v>0.2</v>
      </c>
      <c r="AH10" s="15">
        <f>INDEX('Unique Asset List'!$CC$4:$CI$60,MATCH('2'!$B10,'Unique Asset List'!$A$4:$A$60,0),MATCH('2'!$C$1,'Unique Asset List'!$CC$3:$CI$3,0))</f>
        <v>0.3</v>
      </c>
      <c r="AI10" s="11">
        <v>0.96187963349867744</v>
      </c>
      <c r="AJ10" s="15">
        <f>INDEX('Unique Asset List'!$BH$4:$BN$60,MATCH('2'!$B10,'Unique Asset List'!$A$4:$A$60,0),MATCH('2'!$C$1,'Unique Asset List'!$BH$3:$BN$3,0))</f>
        <v>2.2612105538192599</v>
      </c>
      <c r="AK10" s="15">
        <f>INDEX('Unique Asset List'!$BO$4:$BU$60,MATCH('2'!$B10,'Unique Asset List'!$A$4:$A$60,0),MATCH('2'!$C$1,'Unique Asset List'!$BO$3:$BU$3,0))</f>
        <v>-1.7475682675103321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4"/>
        <v>1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2</v>
      </c>
      <c r="BE10" s="3">
        <f>IF($C$5="ON",CE10,MyRating(_E2,$B10,Efficacy!$F$1))</f>
        <v>3</v>
      </c>
      <c r="BF10" s="3">
        <f>IF($C$5="ON",CF10,MyRating(_E3,$B10,Efficacy!$F$1))</f>
        <v>3</v>
      </c>
      <c r="BG10" s="3">
        <f>IF($C$5="ON",CG10,MyRating(_E4,$B10,Efficacy!$F$1))</f>
        <v>3</v>
      </c>
      <c r="BH10" s="3">
        <f>IF($C$5="ON",CH10,MyRating(_E5,$B10,Efficacy!$F$1))</f>
        <v>3</v>
      </c>
      <c r="BI10" s="3">
        <f>IF($C$5="ON",CI10,MyRating(_E6,$B10,Efficacy!$F$1))</f>
        <v>1</v>
      </c>
      <c r="BJ10" s="3">
        <f>IF($C$5="ON",CJ10,MyRating(_E7,$B10,Efficacy!$F$1))</f>
        <v>3</v>
      </c>
      <c r="BK10" s="3">
        <f>IF($C$5="ON",CK10,MyRating(_E8,$B10,Efficacy!$F$1))</f>
        <v>2</v>
      </c>
      <c r="BL10" s="3">
        <f>IF($C$5="ON",CL10,MyRating(_S1,$B10,'S&amp;T'!$F$1))</f>
        <v>4</v>
      </c>
      <c r="BM10" s="3">
        <f>IF($C$5="ON",CM10,MyRating(_S2,$B10,'S&amp;T'!$F$1))</f>
        <v>3</v>
      </c>
      <c r="BN10" s="3">
        <f>IF($C$5="ON",CN10,MyRating(_S3,$B10,'S&amp;T'!$F$1))</f>
        <v>3</v>
      </c>
      <c r="BO10" s="3">
        <f>IF($C$5="ON",CO10,MyRating(_S4,$B10,'S&amp;T'!$F$1))</f>
        <v>4</v>
      </c>
      <c r="BP10" s="3">
        <f>IF($C$5="ON",CP10,MyRating(_S5,$B10,'S&amp;T'!$F$1))</f>
        <v>5</v>
      </c>
      <c r="BQ10" s="3">
        <f>IF($C$5="ON",CQ10,MyRating(_S6,$B10,'S&amp;T'!$F$1))</f>
        <v>2</v>
      </c>
      <c r="BR10" s="3">
        <f>IF($C$5="ON",CR10,MyRating(_S7,$B10,'S&amp;T'!$F$1))</f>
        <v>3</v>
      </c>
      <c r="BS10" s="3">
        <f>IF($C$5="ON",CS10,MyRating(_D1,$B10,Delivery!$F$1))</f>
        <v>2</v>
      </c>
      <c r="BT10" s="3">
        <f>IF($C$5="ON",CT10,MyRating(_D2,$B10,Delivery!$F$1))</f>
        <v>3</v>
      </c>
      <c r="BU10" s="3">
        <f>IF($C$5="ON",CU10,MyRating(_D3,$B10,Delivery!$F$1))</f>
        <v>3</v>
      </c>
      <c r="BV10" s="3">
        <f>IF($C$5="ON",CV10,MyRating(_D4,$B10,Delivery!$F$1))</f>
        <v>3</v>
      </c>
      <c r="BW10" s="3">
        <f>IF($C$5="ON",CW10,MyRating(_B1G5,$B10,Barrier!$L$2))</f>
        <v>3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8">IF(C10="",CC10/$CC$7,0)</f>
        <v>3.6101876722321333E-2</v>
      </c>
      <c r="CA10" s="8">
        <f t="shared" si="5"/>
        <v>3.0000000000000004</v>
      </c>
      <c r="CB10" s="5">
        <f t="shared" si="6"/>
        <v>3.4562211981566844E-2</v>
      </c>
      <c r="CC10" s="7">
        <f t="shared" si="7"/>
        <v>6.4254314449057074E-3</v>
      </c>
      <c r="CD10" s="4">
        <v>3</v>
      </c>
      <c r="CE10" s="3">
        <v>3</v>
      </c>
      <c r="CF10" s="3">
        <v>3</v>
      </c>
      <c r="CG10" s="3">
        <v>3</v>
      </c>
      <c r="CH10" s="3">
        <v>3</v>
      </c>
      <c r="CI10" s="3">
        <v>1</v>
      </c>
      <c r="CJ10" s="3">
        <v>3</v>
      </c>
      <c r="CK10" s="3">
        <v>3</v>
      </c>
      <c r="CL10" s="3">
        <v>4</v>
      </c>
      <c r="CM10" s="3">
        <v>5</v>
      </c>
      <c r="CN10" s="3">
        <v>4</v>
      </c>
      <c r="CO10" s="3">
        <v>4</v>
      </c>
      <c r="CP10" s="3">
        <v>5</v>
      </c>
      <c r="CQ10" s="3">
        <v>2</v>
      </c>
      <c r="CR10" s="3">
        <v>3</v>
      </c>
      <c r="CS10" s="3">
        <v>2</v>
      </c>
      <c r="CT10" s="3">
        <v>2</v>
      </c>
      <c r="CU10" s="3">
        <v>3</v>
      </c>
      <c r="CV10" s="3">
        <v>3</v>
      </c>
      <c r="CW10" s="3">
        <v>3</v>
      </c>
      <c r="CX10" s="3">
        <v>3</v>
      </c>
      <c r="CY10" s="6">
        <v>3</v>
      </c>
      <c r="CZ10" s="5">
        <v>3.7014903427878103E-2</v>
      </c>
    </row>
    <row r="11" spans="1:104" x14ac:dyDescent="0.25">
      <c r="A11" s="9" t="s">
        <v>178</v>
      </c>
      <c r="B11" s="9" t="s">
        <v>189</v>
      </c>
      <c r="C11" s="20"/>
      <c r="D11" s="9" t="s">
        <v>88</v>
      </c>
      <c r="E11" s="9" t="s">
        <v>186</v>
      </c>
      <c r="F11" s="9" t="str">
        <f>INDEX('Unique Asset List'!$C$4:$C$60,MATCH(B11,_CompoundList,0))</f>
        <v>Launched</v>
      </c>
      <c r="G11" s="19">
        <v>0.14023880759963273</v>
      </c>
      <c r="H11" s="9">
        <v>2014</v>
      </c>
      <c r="I11" s="9">
        <v>6</v>
      </c>
      <c r="J11" s="18">
        <f>INDEX(PTRS!$D$6:$D$12,MATCH('2'!$F11,PTRS!$B$6:$B$12,0))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0"/>
        <v>1</v>
      </c>
      <c r="V11" s="17">
        <v>1</v>
      </c>
      <c r="W11" s="9" t="s">
        <v>54</v>
      </c>
      <c r="X11" s="9">
        <f>INDEX('Unique Asset List'!$Y$4:$AE$60,MATCH('2'!$B11,'Unique Asset List'!$A$4:$A$60,0),MATCH('2'!$C$1,'Unique Asset List'!$Y$3:$AE$3,0))</f>
        <v>2010</v>
      </c>
      <c r="Y11" s="9">
        <f>INDEX('Unique Asset List'!$AF$4:$AL$60,MATCH('2'!$B11,'Unique Asset List'!$A$4:$A$60,0),MATCH('2'!$C$1,'Unique Asset List'!$AF$3:$AL$3,0))</f>
        <v>9</v>
      </c>
      <c r="Z11" s="9">
        <f>INDEX('Unique Asset List'!$AT$4:$AZ$60,MATCH('2'!$B11,'Unique Asset List'!$A$4:$A$60,0),MATCH('2'!$C$1,'Unique Asset List'!$AT$3:$AZ$3,0))</f>
        <v>2017</v>
      </c>
      <c r="AA11" s="9">
        <f>INDEX('Unique Asset List'!$BA$4:$BG$60,MATCH('2'!$B11,'Unique Asset List'!$A$4:$A$60,0),MATCH('2'!$C$1,'Unique Asset List'!$BA$3:$BG$3,0))</f>
        <v>3</v>
      </c>
      <c r="AB11" s="16">
        <f t="shared" si="1"/>
        <v>1.6860000000000002</v>
      </c>
      <c r="AC11" s="16">
        <f t="shared" si="2"/>
        <v>0.7069164</v>
      </c>
      <c r="AD11" s="16">
        <f t="shared" si="3"/>
        <v>0.56099999999999994</v>
      </c>
      <c r="AE11" s="15">
        <f>INDEX('Unique Asset List'!$CJ$4:$CP$60,MATCH('2'!$B11,'Unique Asset List'!$A$4:$A$60,0),MATCH('2'!$C$1,'Unique Asset List'!$CJ$3:$CP$3,0))</f>
        <v>0.2</v>
      </c>
      <c r="AF11" s="15">
        <f>INDEX('Unique Asset List'!$CQ$4:$CW$60,MATCH('2'!$B11,'Unique Asset List'!$A$4:$A$60,0),MATCH('2'!$C$1,'Unique Asset List'!$CQ$3:$CW$3,0))</f>
        <v>0.3</v>
      </c>
      <c r="AG11" s="15">
        <f>INDEX('Unique Asset List'!$BV$4:$CB$60,MATCH('2'!$B11,'Unique Asset List'!$A$4:$A$60,0),MATCH('2'!$C$1,'Unique Asset List'!$BV$3:$CB$3,0))</f>
        <v>0.2</v>
      </c>
      <c r="AH11" s="15">
        <f>INDEX('Unique Asset List'!$CC$4:$CI$60,MATCH('2'!$B11,'Unique Asset List'!$A$4:$A$60,0),MATCH('2'!$C$1,'Unique Asset List'!$CC$3:$CI$3,0))</f>
        <v>0.3</v>
      </c>
      <c r="AI11" s="11">
        <v>0.96187963349867744</v>
      </c>
      <c r="AJ11" s="15">
        <f>INDEX('Unique Asset List'!$BH$4:$BN$60,MATCH('2'!$B11,'Unique Asset List'!$A$4:$A$60,0),MATCH('2'!$C$1,'Unique Asset List'!$BH$3:$BN$3,0))</f>
        <v>2.2612105538192599</v>
      </c>
      <c r="AK11" s="15">
        <f>INDEX('Unique Asset List'!$BO$4:$BU$60,MATCH('2'!$B11,'Unique Asset List'!$A$4:$A$60,0),MATCH('2'!$C$1,'Unique Asset List'!$BO$3:$BU$3,0))</f>
        <v>-1.7475682675103321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1</v>
      </c>
      <c r="AQ11" s="12">
        <v>0</v>
      </c>
      <c r="AR11" s="11">
        <f t="shared" si="4"/>
        <v>1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3</v>
      </c>
      <c r="BE11" s="3">
        <f>IF($C$5="ON",CE11,MyRating(_E2,$B11,Efficacy!$F$1))</f>
        <v>3</v>
      </c>
      <c r="BF11" s="3">
        <f>IF($C$5="ON",CF11,MyRating(_E3,$B11,Efficacy!$F$1))</f>
        <v>3</v>
      </c>
      <c r="BG11" s="3">
        <f>IF($C$5="ON",CG11,MyRating(_E4,$B11,Efficacy!$F$1))</f>
        <v>3</v>
      </c>
      <c r="BH11" s="3">
        <f>IF($C$5="ON",CH11,MyRating(_E5,$B11,Efficacy!$F$1))</f>
        <v>3</v>
      </c>
      <c r="BI11" s="3">
        <f>IF($C$5="ON",CI11,MyRating(_E6,$B11,Efficacy!$F$1))</f>
        <v>3</v>
      </c>
      <c r="BJ11" s="3">
        <f>IF($C$5="ON",CJ11,MyRating(_E7,$B11,Efficacy!$F$1))</f>
        <v>3</v>
      </c>
      <c r="BK11" s="3">
        <f>IF($C$5="ON",CK11,MyRating(_E8,$B11,Efficacy!$F$1))</f>
        <v>3</v>
      </c>
      <c r="BL11" s="3">
        <f>IF($C$5="ON",CL11,MyRating(_S1,$B11,'S&amp;T'!$F$1))</f>
        <v>3</v>
      </c>
      <c r="BM11" s="3">
        <f>IF($C$5="ON",CM11,MyRating(_S2,$B11,'S&amp;T'!$F$1))</f>
        <v>3</v>
      </c>
      <c r="BN11" s="3">
        <f>IF($C$5="ON",CN11,MyRating(_S3,$B11,'S&amp;T'!$F$1))</f>
        <v>3</v>
      </c>
      <c r="BO11" s="3">
        <f>IF($C$5="ON",CO11,MyRating(_S4,$B11,'S&amp;T'!$F$1))</f>
        <v>3</v>
      </c>
      <c r="BP11" s="3">
        <f>IF($C$5="ON",CP11,MyRating(_S5,$B11,'S&amp;T'!$F$1))</f>
        <v>2</v>
      </c>
      <c r="BQ11" s="3">
        <f>IF($C$5="ON",CQ11,MyRating(_S6,$B11,'S&amp;T'!$F$1))</f>
        <v>3</v>
      </c>
      <c r="BR11" s="3">
        <f>IF($C$5="ON",CR11,MyRating(_S7,$B11,'S&amp;T'!$F$1))</f>
        <v>3</v>
      </c>
      <c r="BS11" s="3">
        <f>IF($C$5="ON",CS11,MyRating(_D1,$B11,Delivery!$F$1))</f>
        <v>3</v>
      </c>
      <c r="BT11" s="3">
        <f>IF($C$5="ON",CT11,MyRating(_D2,$B11,Delivery!$F$1))</f>
        <v>3</v>
      </c>
      <c r="BU11" s="3">
        <f>IF($C$5="ON",CU11,MyRating(_D3,$B11,Delivery!$F$1))</f>
        <v>3</v>
      </c>
      <c r="BV11" s="3">
        <f>IF($C$5="ON",CV11,MyRating(_D4,$B11,Delivery!$F$1))</f>
        <v>3</v>
      </c>
      <c r="BW11" s="3">
        <f>IF($C$5="ON",CW11,MyRating(_B1G5,$B11,Barrier!$L$2))</f>
        <v>3</v>
      </c>
      <c r="BX11" s="3">
        <f>IF($C$5="ON",CX11,MyRating(_B2,$B11,Barrier!$F$2))</f>
        <v>3</v>
      </c>
      <c r="BY11" s="6">
        <f>IF($C$5="ON",CY11,MyRating(_B3,$B11,Barrier!$F$2))</f>
        <v>3</v>
      </c>
      <c r="BZ11" s="5">
        <f t="shared" si="8"/>
        <v>3.6101876722321333E-2</v>
      </c>
      <c r="CA11" s="8">
        <f t="shared" si="5"/>
        <v>3.0000000000000004</v>
      </c>
      <c r="CB11" s="5">
        <f t="shared" si="6"/>
        <v>3.4562211981566844E-2</v>
      </c>
      <c r="CC11" s="7">
        <f t="shared" si="7"/>
        <v>6.4254314449057074E-3</v>
      </c>
      <c r="CD11" s="4">
        <v>3</v>
      </c>
      <c r="CE11" s="3">
        <v>2</v>
      </c>
      <c r="CF11" s="3">
        <v>3</v>
      </c>
      <c r="CG11" s="3">
        <v>3</v>
      </c>
      <c r="CH11" s="3">
        <v>2</v>
      </c>
      <c r="CI11" s="3">
        <v>5</v>
      </c>
      <c r="CJ11" s="3">
        <v>3</v>
      </c>
      <c r="CK11" s="3">
        <v>3</v>
      </c>
      <c r="CL11" s="3">
        <v>3</v>
      </c>
      <c r="CM11" s="3">
        <v>1</v>
      </c>
      <c r="CN11" s="3">
        <v>3</v>
      </c>
      <c r="CO11" s="3">
        <v>3</v>
      </c>
      <c r="CP11" s="3">
        <v>2</v>
      </c>
      <c r="CQ11" s="3">
        <v>3</v>
      </c>
      <c r="CR11" s="3">
        <v>3</v>
      </c>
      <c r="CS11" s="3">
        <v>3</v>
      </c>
      <c r="CT11" s="3">
        <v>2</v>
      </c>
      <c r="CU11" s="3">
        <v>3</v>
      </c>
      <c r="CV11" s="3">
        <v>3</v>
      </c>
      <c r="CW11" s="3">
        <v>3</v>
      </c>
      <c r="CX11" s="3">
        <v>3</v>
      </c>
      <c r="CY11" s="6">
        <v>3</v>
      </c>
      <c r="CZ11" s="5">
        <v>3.7014903427878103E-2</v>
      </c>
    </row>
    <row r="12" spans="1:104" x14ac:dyDescent="0.25">
      <c r="A12" s="9" t="s">
        <v>178</v>
      </c>
      <c r="B12" s="9" t="s">
        <v>86</v>
      </c>
      <c r="C12" s="20" t="s">
        <v>3</v>
      </c>
      <c r="D12" s="9" t="s">
        <v>85</v>
      </c>
      <c r="E12" s="9" t="s">
        <v>186</v>
      </c>
      <c r="F12" s="9" t="str">
        <f>INDEX('Unique Asset List'!$C$4:$C$60,MATCH(B12,_CompoundList,0))</f>
        <v>REG</v>
      </c>
      <c r="G12" s="19">
        <v>0</v>
      </c>
      <c r="H12" s="9">
        <v>2014</v>
      </c>
      <c r="I12" s="9">
        <v>6</v>
      </c>
      <c r="J12" s="18">
        <f>INDEX(PTRS!$D$6:$D$12,MATCH('2'!$F12,PTRS!$B$6:$B$12,0))</f>
        <v>0.9</v>
      </c>
      <c r="K12" s="17">
        <f>INDEX('Unique Asset List'!$D$4:$M$60,MATCH($B12,'Unique Asset List'!$A$4:$A$60,0),MATCH(K$8,'Unique Asset List'!$D$3:$M$3,0))</f>
        <v>0</v>
      </c>
      <c r="L12" s="17">
        <f>INDEX('Unique Asset List'!$D$4:$M$60,MATCH($B12,'Unique Asset List'!$A$4:$A$60,0),MATCH(L$8,'Unique Asset List'!$D$3:$M$3,0))</f>
        <v>0</v>
      </c>
      <c r="M12" s="17">
        <v>0.5</v>
      </c>
      <c r="N12" s="17">
        <f>INDEX('Unique Asset List'!$D$4:$M$60,MATCH($B12,'Unique Asset List'!$A$4:$A$60,0),MATCH(N$8,'Unique Asset List'!$D$3:$M$3,0))</f>
        <v>0.2</v>
      </c>
      <c r="O12" s="17">
        <f>INDEX('Unique Asset List'!$D$4:$M$60,MATCH($B12,'Unique Asset List'!$A$4:$A$60,0),MATCH(O$8,'Unique Asset List'!$D$3:$M$3,0))</f>
        <v>0.2</v>
      </c>
      <c r="P12" s="17">
        <f>INDEX('Unique Asset List'!$D$4:$M$60,MATCH($B12,'Unique Asset List'!$A$4:$A$60,0),MATCH(P$8,'Unique Asset List'!$D$3:$M$3,0))</f>
        <v>0.2</v>
      </c>
      <c r="Q12" s="17">
        <f>INDEX('Unique Asset List'!$D$4:$M$60,MATCH($B12,'Unique Asset List'!$A$4:$A$60,0),MATCH(Q$8,'Unique Asset List'!$D$3:$M$3,0))</f>
        <v>0.2</v>
      </c>
      <c r="R12" s="17">
        <f>INDEX('Unique Asset List'!$D$4:$M$60,MATCH($B12,'Unique Asset List'!$A$4:$A$60,0),MATCH(R$8,'Unique Asset List'!$D$3:$M$3,0))</f>
        <v>0.2</v>
      </c>
      <c r="S12" s="17">
        <f>INDEX('Unique Asset List'!$D$4:$M$60,MATCH($B12,'Unique Asset List'!$A$4:$A$60,0),MATCH(S$8,'Unique Asset List'!$D$3:$M$3,0))</f>
        <v>0</v>
      </c>
      <c r="T12" s="17"/>
      <c r="U12" s="17">
        <f t="shared" si="0"/>
        <v>0</v>
      </c>
      <c r="V12" s="17">
        <v>1</v>
      </c>
      <c r="W12" s="9" t="s">
        <v>16</v>
      </c>
      <c r="X12" s="9">
        <f>INDEX('Unique Asset List'!$Y$4:$AE$60,MATCH('2'!$B12,'Unique Asset List'!$A$4:$A$60,0),MATCH('2'!$C$1,'Unique Asset List'!$Y$3:$AE$3,0))</f>
        <v>2023</v>
      </c>
      <c r="Y12" s="9">
        <f>INDEX('Unique Asset List'!$AF$4:$AL$60,MATCH('2'!$B12,'Unique Asset List'!$A$4:$A$60,0),MATCH('2'!$C$1,'Unique Asset List'!$AF$3:$AL$3,0))</f>
        <v>7</v>
      </c>
      <c r="Z12" s="9">
        <f>INDEX('Unique Asset List'!$AT$4:$AZ$60,MATCH('2'!$B12,'Unique Asset List'!$A$4:$A$60,0),MATCH('2'!$C$1,'Unique Asset List'!$AT$3:$AZ$3,0))</f>
        <v>2029</v>
      </c>
      <c r="AA12" s="9">
        <f>INDEX('Unique Asset List'!$BA$4:$BG$60,MATCH('2'!$B12,'Unique Asset List'!$A$4:$A$60,0),MATCH('2'!$C$1,'Unique Asset List'!$BA$3:$BG$3,0))</f>
        <v>7</v>
      </c>
      <c r="AB12" s="16">
        <f t="shared" si="1"/>
        <v>2.1202012000000003</v>
      </c>
      <c r="AC12" s="16">
        <f t="shared" si="2"/>
        <v>0.91994010000000004</v>
      </c>
      <c r="AD12" s="16">
        <f t="shared" si="3"/>
        <v>0.31905939999999999</v>
      </c>
      <c r="AE12" s="15">
        <f>INDEX('Unique Asset List'!$CJ$4:$CP$60,MATCH('2'!$B12,'Unique Asset List'!$A$4:$A$60,0),MATCH('2'!$C$1,'Unique Asset List'!$CJ$3:$CP$3,0))</f>
        <v>0.2</v>
      </c>
      <c r="AF12" s="15">
        <f>INDEX('Unique Asset List'!$CQ$4:$CW$60,MATCH('2'!$B12,'Unique Asset List'!$A$4:$A$60,0),MATCH('2'!$C$1,'Unique Asset List'!$CQ$3:$CW$3,0))</f>
        <v>0.3</v>
      </c>
      <c r="AG12" s="15">
        <f>INDEX('Unique Asset List'!$BV$4:$CB$60,MATCH('2'!$B12,'Unique Asset List'!$A$4:$A$60,0),MATCH('2'!$C$1,'Unique Asset List'!$BV$3:$CB$3,0))</f>
        <v>0.2</v>
      </c>
      <c r="AH12" s="15">
        <f>INDEX('Unique Asset List'!$CC$4:$CI$60,MATCH('2'!$B12,'Unique Asset List'!$A$4:$A$60,0),MATCH('2'!$C$1,'Unique Asset List'!$CC$3:$CI$3,0))</f>
        <v>0.3</v>
      </c>
      <c r="AI12" s="11">
        <v>0.96187963349867744</v>
      </c>
      <c r="AJ12" s="15">
        <f>INDEX('Unique Asset List'!$BH$4:$BN$60,MATCH('2'!$B12,'Unique Asset List'!$A$4:$A$60,0),MATCH('2'!$C$1,'Unique Asset List'!$BH$3:$BN$3,0))</f>
        <v>2.2612105538192599</v>
      </c>
      <c r="AK12" s="15">
        <f>INDEX('Unique Asset List'!$BO$4:$BU$60,MATCH('2'!$B12,'Unique Asset List'!$A$4:$A$60,0),MATCH('2'!$C$1,'Unique Asset List'!$BO$3:$BU$3,0))</f>
        <v>-1.7475682675103321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4"/>
        <v>0.82</v>
      </c>
      <c r="AS12" s="10">
        <v>1</v>
      </c>
      <c r="AT12" s="181">
        <f>INDEX('Unique Asset List'!N$4:N$60,MATCH($B12,_CompoundList,0))</f>
        <v>0</v>
      </c>
      <c r="AU12" s="181">
        <f>INDEX('Unique Asset List'!O$4:O$60,MATCH($B12,_CompoundList,0))</f>
        <v>0</v>
      </c>
      <c r="AV12" s="181">
        <f>INDEX('Unique Asset List'!P$4:P$60,MATCH($B12,_CompoundList,0))</f>
        <v>0</v>
      </c>
      <c r="AW12" s="181">
        <f>INDEX('Unique Asset List'!Q$4:Q$60,MATCH($B12,_CompoundList,0))</f>
        <v>0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0</v>
      </c>
      <c r="BB12" s="181">
        <f ca="1">INDEX('Unique Asset List'!V$4:V$60,MATCH($B12,_CompoundList,0))</f>
        <v>0</v>
      </c>
      <c r="BC12" s="181">
        <f ca="1">INDEX('Unique Asset List'!W$4:W$60,MATCH($B12,_CompoundList,0))</f>
        <v>0</v>
      </c>
      <c r="BD12" s="4">
        <f>IF($C$5="ON",CD12,MyRating(_E1,$B12,Efficacy!$F$1))</f>
        <v>3</v>
      </c>
      <c r="BE12" s="3">
        <f>IF($C$5="ON",CE12,MyRating(_E2,$B12,Efficacy!$F$1))</f>
        <v>5</v>
      </c>
      <c r="BF12" s="3">
        <f>IF($C$5="ON",CF12,MyRating(_E3,$B12,Efficacy!$F$1))</f>
        <v>5</v>
      </c>
      <c r="BG12" s="3">
        <f>IF($C$5="ON",CG12,MyRating(_E4,$B12,Efficacy!$F$1))</f>
        <v>4</v>
      </c>
      <c r="BH12" s="3">
        <f>IF($C$5="ON",CH12,MyRating(_E5,$B12,Efficacy!$F$1))</f>
        <v>3</v>
      </c>
      <c r="BI12" s="3">
        <f>IF($C$5="ON",CI12,MyRating(_E6,$B12,Efficacy!$F$1))</f>
        <v>3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IF($C$5="ON",CL12,MyRating(_S1,$B12,'S&amp;T'!$F$1))</f>
        <v>4</v>
      </c>
      <c r="BM12" s="3">
        <f>IF($C$5="ON",CM12,MyRating(_S2,$B12,'S&amp;T'!$F$1))</f>
        <v>3</v>
      </c>
      <c r="BN12" s="3">
        <f>IF($C$5="ON",CN12,MyRating(_S3,$B12,'S&amp;T'!$F$1))</f>
        <v>3</v>
      </c>
      <c r="BO12" s="3">
        <f>IF($C$5="ON",CO12,MyRating(_S4,$B12,'S&amp;T'!$F$1))</f>
        <v>4</v>
      </c>
      <c r="BP12" s="3">
        <f>IF($C$5="ON",CP12,MyRating(_S5,$B12,'S&amp;T'!$F$1))</f>
        <v>5</v>
      </c>
      <c r="BQ12" s="3">
        <f>IF($C$5="ON",CQ12,MyRating(_S6,$B12,'S&amp;T'!$F$1))</f>
        <v>2</v>
      </c>
      <c r="BR12" s="3">
        <f>IF($C$5="ON",CR12,MyRating(_S7,$B12,'S&amp;T'!$F$1))</f>
        <v>3</v>
      </c>
      <c r="BS12" s="3">
        <f>IF($C$5="ON",CS12,MyRating(_D1,$B12,Delivery!$F$1))</f>
        <v>2</v>
      </c>
      <c r="BT12" s="3">
        <f>IF($C$5="ON",CT12,MyRating(_D2,$B12,Delivery!$F$1))</f>
        <v>2</v>
      </c>
      <c r="BU12" s="3">
        <f>IF($C$5="ON",CU12,MyRating(_D3,$B12,Delivery!$F$1))</f>
        <v>2</v>
      </c>
      <c r="BV12" s="3">
        <f>IF($C$5="ON",CV12,MyRating(_D4,$B12,Delivery!$F$1))</f>
        <v>1</v>
      </c>
      <c r="BW12" s="3">
        <f>IF($C$5="ON",CW12,MyRating(_B1G5,$B12,Barrier!$L$2))</f>
        <v>2</v>
      </c>
      <c r="BX12" s="3">
        <f>IF($C$5="ON",CX12,MyRating(_B2,$B12,Barrier!$F$2))</f>
        <v>1</v>
      </c>
      <c r="BY12" s="6">
        <f>IF($C$5="ON",CY12,MyRating(_B3,$B12,Barrier!$F$2))</f>
        <v>1</v>
      </c>
      <c r="BZ12" s="5">
        <f t="shared" si="8"/>
        <v>0</v>
      </c>
      <c r="CA12" s="8">
        <f t="shared" si="5"/>
        <v>1.2000000000000002</v>
      </c>
      <c r="CB12" s="5">
        <f t="shared" si="6"/>
        <v>1.3824884792626738E-2</v>
      </c>
      <c r="CC12" s="7">
        <f t="shared" si="7"/>
        <v>1.6255198652135019E-3</v>
      </c>
      <c r="CD12" s="4">
        <v>3</v>
      </c>
      <c r="CE12" s="3">
        <v>5</v>
      </c>
      <c r="CF12" s="3">
        <v>5</v>
      </c>
      <c r="CG12" s="3">
        <v>4</v>
      </c>
      <c r="CH12" s="3">
        <v>3</v>
      </c>
      <c r="CI12" s="3">
        <v>3</v>
      </c>
      <c r="CJ12" s="3">
        <v>3</v>
      </c>
      <c r="CK12" s="3">
        <v>3</v>
      </c>
      <c r="CL12" s="3">
        <v>5</v>
      </c>
      <c r="CM12" s="3">
        <v>3</v>
      </c>
      <c r="CN12" s="3">
        <v>3</v>
      </c>
      <c r="CO12" s="3">
        <v>4</v>
      </c>
      <c r="CP12" s="3">
        <v>5</v>
      </c>
      <c r="CQ12" s="3">
        <v>2</v>
      </c>
      <c r="CR12" s="3">
        <v>3</v>
      </c>
      <c r="CS12" s="3">
        <v>2</v>
      </c>
      <c r="CT12" s="3">
        <v>2</v>
      </c>
      <c r="CU12" s="3">
        <v>2</v>
      </c>
      <c r="CV12" s="3">
        <v>1</v>
      </c>
      <c r="CW12" s="3">
        <v>2</v>
      </c>
      <c r="CX12" s="3">
        <v>1</v>
      </c>
      <c r="CY12" s="6">
        <v>1</v>
      </c>
      <c r="CZ12" s="5">
        <v>1.0501667745898752E-2</v>
      </c>
    </row>
    <row r="13" spans="1:104" x14ac:dyDescent="0.25">
      <c r="A13" s="9" t="s">
        <v>178</v>
      </c>
      <c r="B13" s="9" t="s">
        <v>280</v>
      </c>
      <c r="C13" s="20"/>
      <c r="D13" s="9" t="s">
        <v>2</v>
      </c>
      <c r="E13" s="9" t="s">
        <v>186</v>
      </c>
      <c r="F13" s="9" t="str">
        <f>INDEX('Unique Asset List'!$C$4:$C$60,MATCH(B13,_CompoundList,0))</f>
        <v>REG</v>
      </c>
      <c r="G13" s="19">
        <v>0</v>
      </c>
      <c r="H13" s="9">
        <v>2014</v>
      </c>
      <c r="I13" s="9">
        <v>6</v>
      </c>
      <c r="J13" s="18">
        <f>INDEX(PTRS!$D$6:$D$12,MATCH('2'!$F13,PTRS!$B$6:$B$12,0))</f>
        <v>0.9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v>0.58500000000000008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0"/>
        <v>0.1924500897298754</v>
      </c>
      <c r="V13" s="17">
        <v>0.42</v>
      </c>
      <c r="W13" s="9" t="s">
        <v>62</v>
      </c>
      <c r="X13" s="9">
        <f>INDEX('Unique Asset List'!$Y$4:$AE$60,MATCH('2'!$B13,'Unique Asset List'!$A$4:$A$60,0),MATCH('2'!$C$1,'Unique Asset List'!$Y$3:$AE$3,0))</f>
        <v>2019</v>
      </c>
      <c r="Y13" s="9">
        <f>INDEX('Unique Asset List'!$AF$4:$AL$60,MATCH('2'!$B13,'Unique Asset List'!$A$4:$A$60,0),MATCH('2'!$C$1,'Unique Asset List'!$AF$3:$AL$3,0))</f>
        <v>11</v>
      </c>
      <c r="Z13" s="9">
        <f>INDEX('Unique Asset List'!$AT$4:$AZ$60,MATCH('2'!$B13,'Unique Asset List'!$A$4:$A$60,0),MATCH('2'!$C$1,'Unique Asset List'!$AT$3:$AZ$3,0))</f>
        <v>2031</v>
      </c>
      <c r="AA13" s="9">
        <f>INDEX('Unique Asset List'!$BA$4:$BG$60,MATCH('2'!$B13,'Unique Asset List'!$A$4:$A$60,0),MATCH('2'!$C$1,'Unique Asset List'!$BA$3:$BG$3,0))</f>
        <v>1</v>
      </c>
      <c r="AB13" s="16">
        <f t="shared" si="1"/>
        <v>2.4575697999999999</v>
      </c>
      <c r="AC13" s="16">
        <f t="shared" si="2"/>
        <v>0.91994010000000004</v>
      </c>
      <c r="AD13" s="16">
        <f t="shared" si="3"/>
        <v>0.35908660413999993</v>
      </c>
      <c r="AE13" s="15">
        <f>INDEX('Unique Asset List'!$CJ$4:$CP$60,MATCH('2'!$B13,'Unique Asset List'!$A$4:$A$60,0),MATCH('2'!$C$1,'Unique Asset List'!$CJ$3:$CP$3,0))</f>
        <v>0.27</v>
      </c>
      <c r="AF13" s="15">
        <f>INDEX('Unique Asset List'!$CQ$4:$CW$60,MATCH('2'!$B13,'Unique Asset List'!$A$4:$A$60,0),MATCH('2'!$C$1,'Unique Asset List'!$CQ$3:$CW$3,0))</f>
        <v>0.23</v>
      </c>
      <c r="AG13" s="15">
        <f>INDEX('Unique Asset List'!$BV$4:$CB$60,MATCH('2'!$B13,'Unique Asset List'!$A$4:$A$60,0),MATCH('2'!$C$1,'Unique Asset List'!$BV$3:$CB$3,0))</f>
        <v>0.27</v>
      </c>
      <c r="AH13" s="15">
        <f>INDEX('Unique Asset List'!$CC$4:$CI$60,MATCH('2'!$B13,'Unique Asset List'!$A$4:$A$60,0),MATCH('2'!$C$1,'Unique Asset List'!$CC$3:$CI$3,0))</f>
        <v>0.23</v>
      </c>
      <c r="AI13" s="11">
        <v>0.96187963349867744</v>
      </c>
      <c r="AJ13" s="15">
        <f>INDEX('Unique Asset List'!$BH$4:$BN$60,MATCH('2'!$B13,'Unique Asset List'!$A$4:$A$60,0),MATCH('2'!$C$1,'Unique Asset List'!$BH$3:$BN$3,0))</f>
        <v>2.2612105538192599</v>
      </c>
      <c r="AK13" s="15">
        <f>INDEX('Unique Asset List'!$BO$4:$BU$60,MATCH('2'!$B13,'Unique Asset List'!$A$4:$A$60,0),MATCH('2'!$C$1,'Unique Asset List'!$BO$3:$BU$3,0))</f>
        <v>-1.7475682675103321</v>
      </c>
      <c r="AL13" s="9">
        <v>184.20560747663552</v>
      </c>
      <c r="AM13" s="14">
        <v>36.116164383561646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4"/>
        <v>0.82</v>
      </c>
      <c r="AS13" s="10">
        <v>0.32340383561643832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5</v>
      </c>
      <c r="BE13" s="3">
        <f>IF($C$5="ON",CE13,MyRating(_E2,$B13,Efficacy!$F$1))</f>
        <v>5</v>
      </c>
      <c r="BF13" s="3">
        <f>IF($C$5="ON",CF13,MyRating(_E3,$B13,Efficacy!$F$1))</f>
        <v>5</v>
      </c>
      <c r="BG13" s="3">
        <f>IF($C$5="ON",CG13,MyRating(_E4,$B13,Efficacy!$F$1))</f>
        <v>5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2</v>
      </c>
      <c r="BK13" s="3">
        <f>IF($C$5="ON",CK13,MyRating(_E8,$B13,Efficacy!$F$1))</f>
        <v>5</v>
      </c>
      <c r="BL13" s="3">
        <f>IF($C$5="ON",CL13,MyRating(_S1,$B13,'S&amp;T'!$F$1))</f>
        <v>4</v>
      </c>
      <c r="BM13" s="3">
        <f>IF($C$5="ON",CM13,MyRating(_S2,$B13,'S&amp;T'!$F$1))</f>
        <v>3</v>
      </c>
      <c r="BN13" s="3">
        <f>IF($C$5="ON",CN13,MyRating(_S3,$B13,'S&amp;T'!$F$1))</f>
        <v>3</v>
      </c>
      <c r="BO13" s="3">
        <f>IF($C$5="ON",CO13,MyRating(_S4,$B13,'S&amp;T'!$F$1))</f>
        <v>4</v>
      </c>
      <c r="BP13" s="3">
        <f>IF($C$5="ON",CP13,MyRating(_S5,$B13,'S&amp;T'!$F$1))</f>
        <v>5</v>
      </c>
      <c r="BQ13" s="3">
        <f>IF($C$5="ON",CQ13,MyRating(_S6,$B13,'S&amp;T'!$F$1))</f>
        <v>2</v>
      </c>
      <c r="BR13" s="3">
        <f>IF($C$5="ON",CR13,MyRating(_S7,$B13,'S&amp;T'!$F$1))</f>
        <v>3</v>
      </c>
      <c r="BS13" s="3">
        <f>IF($C$5="ON",CS13,MyRating(_D1,$B13,Delivery!$F$1))</f>
        <v>2</v>
      </c>
      <c r="BT13" s="3">
        <f>IF($C$5="ON",CT13,MyRating(_D2,$B13,Delivery!$F$1))</f>
        <v>3</v>
      </c>
      <c r="BU13" s="3">
        <f>IF($C$5="ON",CU13,MyRating(_D3,$B13,Delivery!$F$1))</f>
        <v>2</v>
      </c>
      <c r="BV13" s="3">
        <f>IF($C$5="ON",CV13,MyRating(_D4,$B13,Delivery!$F$1))</f>
        <v>1</v>
      </c>
      <c r="BW13" s="3">
        <f>IF($C$5="ON",CW13,MyRating(_B1G5,$B13,Barrier!$L$2))</f>
        <v>1</v>
      </c>
      <c r="BX13" s="3">
        <f>IF($C$5="ON",CX13,MyRating(_B2,$B13,Barrier!$F$2))</f>
        <v>1</v>
      </c>
      <c r="BY13" s="6">
        <f>IF($C$5="ON",CY13,MyRating(_B3,$B13,Barrier!$F$2))</f>
        <v>1</v>
      </c>
      <c r="BZ13" s="5">
        <f t="shared" si="8"/>
        <v>6.9478094146276405E-3</v>
      </c>
      <c r="CA13" s="8">
        <f t="shared" si="5"/>
        <v>1</v>
      </c>
      <c r="CB13" s="5">
        <f t="shared" si="6"/>
        <v>1.1520737327188946E-2</v>
      </c>
      <c r="CC13" s="7">
        <f t="shared" si="7"/>
        <v>1.2365748581252664E-3</v>
      </c>
      <c r="CD13" s="4">
        <v>5</v>
      </c>
      <c r="CE13" s="3">
        <v>5</v>
      </c>
      <c r="CF13" s="3">
        <v>5</v>
      </c>
      <c r="CG13" s="3">
        <v>4</v>
      </c>
      <c r="CH13" s="3">
        <v>3</v>
      </c>
      <c r="CI13" s="3">
        <v>3</v>
      </c>
      <c r="CJ13" s="3">
        <v>3</v>
      </c>
      <c r="CK13" s="3">
        <v>4</v>
      </c>
      <c r="CL13" s="3">
        <v>4</v>
      </c>
      <c r="CM13" s="3">
        <v>3</v>
      </c>
      <c r="CN13" s="3">
        <v>3</v>
      </c>
      <c r="CO13" s="3">
        <v>3</v>
      </c>
      <c r="CP13" s="3">
        <v>5</v>
      </c>
      <c r="CQ13" s="3">
        <v>2</v>
      </c>
      <c r="CR13" s="3">
        <v>3</v>
      </c>
      <c r="CS13" s="3">
        <v>2</v>
      </c>
      <c r="CT13" s="3">
        <v>3</v>
      </c>
      <c r="CU13" s="3">
        <v>3</v>
      </c>
      <c r="CV13" s="3">
        <v>1</v>
      </c>
      <c r="CW13" s="3">
        <v>1</v>
      </c>
      <c r="CX13" s="3">
        <v>1</v>
      </c>
      <c r="CY13" s="6">
        <v>1</v>
      </c>
      <c r="CZ13" s="5">
        <v>9.9044671286996639E-3</v>
      </c>
    </row>
    <row r="14" spans="1:104" x14ac:dyDescent="0.25">
      <c r="A14" s="9" t="s">
        <v>178</v>
      </c>
      <c r="B14" s="9" t="s">
        <v>92</v>
      </c>
      <c r="C14" s="20" t="s">
        <v>3</v>
      </c>
      <c r="D14" s="9" t="s">
        <v>91</v>
      </c>
      <c r="E14" s="9" t="s">
        <v>90</v>
      </c>
      <c r="F14" s="9" t="str">
        <f>INDEX('Unique Asset List'!$C$4:$C$60,MATCH(B14,_CompoundList,0))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INDEX(PTRS!$D$6:$D$12,MATCH('2'!$F14,PTRS!$B$6:$B$12,0))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0"/>
        <v>0</v>
      </c>
      <c r="V14" s="17">
        <v>1</v>
      </c>
      <c r="W14" s="9" t="s">
        <v>54</v>
      </c>
      <c r="X14" s="9">
        <f>INDEX('Unique Asset List'!$Y$4:$AE$60,MATCH('2'!$B14,'Unique Asset List'!$A$4:$A$60,0),MATCH('2'!$C$1,'Unique Asset List'!$Y$3:$AE$3,0))</f>
        <v>2016</v>
      </c>
      <c r="Y14" s="9">
        <f>INDEX('Unique Asset List'!$AF$4:$AL$60,MATCH('2'!$B14,'Unique Asset List'!$A$4:$A$60,0),MATCH('2'!$C$1,'Unique Asset List'!$AF$3:$AL$3,0))</f>
        <v>7</v>
      </c>
      <c r="Z14" s="9">
        <f>INDEX('Unique Asset List'!$AT$4:$AZ$60,MATCH('2'!$B14,'Unique Asset List'!$A$4:$A$60,0),MATCH('2'!$C$1,'Unique Asset List'!$AT$3:$AZ$3,0))</f>
        <v>2027</v>
      </c>
      <c r="AA14" s="9">
        <f>INDEX('Unique Asset List'!$BA$4:$BG$60,MATCH('2'!$B14,'Unique Asset List'!$A$4:$A$60,0),MATCH('2'!$C$1,'Unique Asset List'!$BA$3:$BG$3,0))</f>
        <v>2</v>
      </c>
      <c r="AB14" s="16">
        <f t="shared" si="1"/>
        <v>1.6860000000000002</v>
      </c>
      <c r="AC14" s="16">
        <f t="shared" si="2"/>
        <v>0.78788900000000006</v>
      </c>
      <c r="AD14" s="16">
        <f t="shared" si="3"/>
        <v>0.56099999999999994</v>
      </c>
      <c r="AE14" s="15">
        <f>INDEX('Unique Asset List'!$CJ$4:$CP$60,MATCH('2'!$B14,'Unique Asset List'!$A$4:$A$60,0),MATCH('2'!$C$1,'Unique Asset List'!$CJ$3:$CP$3,0))</f>
        <v>0.2</v>
      </c>
      <c r="AF14" s="15">
        <f>INDEX('Unique Asset List'!$CQ$4:$CW$60,MATCH('2'!$B14,'Unique Asset List'!$A$4:$A$60,0),MATCH('2'!$C$1,'Unique Asset List'!$CQ$3:$CW$3,0))</f>
        <v>0.3</v>
      </c>
      <c r="AG14" s="15">
        <f>INDEX('Unique Asset List'!$BV$4:$CB$60,MATCH('2'!$B14,'Unique Asset List'!$A$4:$A$60,0),MATCH('2'!$C$1,'Unique Asset List'!$BV$3:$CB$3,0))</f>
        <v>0.2</v>
      </c>
      <c r="AH14" s="15">
        <f>INDEX('Unique Asset List'!$CC$4:$CI$60,MATCH('2'!$B14,'Unique Asset List'!$A$4:$A$60,0),MATCH('2'!$C$1,'Unique Asset List'!$CC$3:$CI$3,0))</f>
        <v>0.3</v>
      </c>
      <c r="AI14" s="11">
        <v>0.96187963349867744</v>
      </c>
      <c r="AJ14" s="15">
        <f>INDEX('Unique Asset List'!$BH$4:$BN$60,MATCH('2'!$B14,'Unique Asset List'!$A$4:$A$60,0),MATCH('2'!$C$1,'Unique Asset List'!$BH$3:$BN$3,0))</f>
        <v>2.2612105538192599</v>
      </c>
      <c r="AK14" s="15">
        <f>INDEX('Unique Asset List'!$BO$4:$BU$60,MATCH('2'!$B14,'Unique Asset List'!$A$4:$A$60,0),MATCH('2'!$C$1,'Unique Asset List'!$BO$3:$BU$3,0))</f>
        <v>-1.7475682675103321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1</v>
      </c>
      <c r="AQ14" s="12">
        <v>0</v>
      </c>
      <c r="AR14" s="11">
        <f t="shared" si="4"/>
        <v>1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3</v>
      </c>
      <c r="BE14" s="3">
        <f>IF($C$5="ON",CE14,MyRating(_E2,$B14,Efficacy!$F$1))</f>
        <v>3</v>
      </c>
      <c r="BF14" s="3">
        <f>IF($C$5="ON",CF14,MyRating(_E3,$B14,Efficacy!$F$1))</f>
        <v>3</v>
      </c>
      <c r="BG14" s="3">
        <f>IF($C$5="ON",CG14,MyRating(_E4,$B14,Efficacy!$F$1))</f>
        <v>3</v>
      </c>
      <c r="BH14" s="3">
        <f>IF($C$5="ON",CH14,MyRating(_E5,$B14,Efficacy!$F$1))</f>
        <v>3</v>
      </c>
      <c r="BI14" s="3">
        <f>IF($C$5="ON",CI14,MyRating(_E6,$B14,Efficacy!$F$1))</f>
        <v>3</v>
      </c>
      <c r="BJ14" s="3">
        <f>IF($C$5="ON",CJ14,MyRating(_E7,$B14,Efficacy!$F$1))</f>
        <v>3</v>
      </c>
      <c r="BK14" s="3">
        <f>IF($C$5="ON",CK14,MyRating(_E8,$B14,Efficacy!$F$1))</f>
        <v>3</v>
      </c>
      <c r="BL14" s="3">
        <f>IF($C$5="ON",CL14,MyRating(_S1,$B14,'S&amp;T'!$F$1))</f>
        <v>3</v>
      </c>
      <c r="BM14" s="3">
        <f>IF($C$5="ON",CM14,MyRating(_S2,$B14,'S&amp;T'!$F$1))</f>
        <v>3</v>
      </c>
      <c r="BN14" s="3">
        <f>IF($C$5="ON",CN14,MyRating(_S3,$B14,'S&amp;T'!$F$1))</f>
        <v>3</v>
      </c>
      <c r="BO14" s="3">
        <f>IF($C$5="ON",CO14,MyRating(_S4,$B14,'S&amp;T'!$F$1))</f>
        <v>4</v>
      </c>
      <c r="BP14" s="3">
        <f>IF($C$5="ON",CP14,MyRating(_S5,$B14,'S&amp;T'!$F$1))</f>
        <v>3</v>
      </c>
      <c r="BQ14" s="3">
        <f>IF($C$5="ON",CQ14,MyRating(_S6,$B14,'S&amp;T'!$F$1))</f>
        <v>3</v>
      </c>
      <c r="BR14" s="3">
        <f>IF($C$5="ON",CR14,MyRating(_S7,$B14,'S&amp;T'!$F$1))</f>
        <v>3</v>
      </c>
      <c r="BS14" s="3">
        <f>IF($C$5="ON",CS14,MyRating(_D1,$B14,Delivery!$F$1))</f>
        <v>3</v>
      </c>
      <c r="BT14" s="3">
        <f>IF($C$5="ON",CT14,MyRating(_D2,$B14,Delivery!$F$1))</f>
        <v>3</v>
      </c>
      <c r="BU14" s="3">
        <f>IF($C$5="ON",CU14,MyRating(_D3,$B14,Delivery!$F$1))</f>
        <v>3</v>
      </c>
      <c r="BV14" s="3">
        <f>IF($C$5="ON",CV14,MyRating(_D4,$B14,Delivery!$F$1))</f>
        <v>3</v>
      </c>
      <c r="BW14" s="3">
        <f>IF($C$5="ON",CW14,MyRating(_B1G5,$B14,Barrier!$L$2))</f>
        <v>2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8"/>
        <v>0</v>
      </c>
      <c r="CA14" s="8">
        <f t="shared" si="5"/>
        <v>2.8000000000000003</v>
      </c>
      <c r="CB14" s="5">
        <f t="shared" si="6"/>
        <v>3.2258064516129052E-2</v>
      </c>
      <c r="CC14" s="7">
        <f t="shared" si="7"/>
        <v>5.7937194202185476E-3</v>
      </c>
      <c r="CD14" s="4">
        <v>3</v>
      </c>
      <c r="CE14" s="3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4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3</v>
      </c>
      <c r="CY14" s="6">
        <v>3</v>
      </c>
      <c r="CZ14" s="5">
        <v>3.7014903427878103E-2</v>
      </c>
    </row>
    <row r="15" spans="1:104" x14ac:dyDescent="0.25">
      <c r="A15" s="9" t="s">
        <v>178</v>
      </c>
      <c r="B15" s="9" t="s">
        <v>82</v>
      </c>
      <c r="C15" s="20"/>
      <c r="D15" s="9" t="s">
        <v>81</v>
      </c>
      <c r="E15" s="9" t="s">
        <v>186</v>
      </c>
      <c r="F15" s="9" t="str">
        <f>INDEX('Unique Asset List'!$C$4:$C$60,MATCH(B15,_CompoundList,0))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INDEX(PTRS!$D$6:$D$12,MATCH('2'!$F15,PTRS!$B$6:$B$12,0))</f>
        <v>0.58500000000000008</v>
      </c>
      <c r="K15" s="17">
        <f>INDEX('Unique Asset List'!$D$4:$M$60,MATCH($B15,'Unique Asset List'!$A$4:$A$60,0),MATCH(K$8,'Unique Asset List'!$D$3:$M$3,0))</f>
        <v>0</v>
      </c>
      <c r="L15" s="17">
        <f>INDEX('Unique Asset List'!$D$4:$M$60,MATCH($B15,'Unique Asset List'!$A$4:$A$60,0),MATCH(L$8,'Unique Asset List'!$D$3:$M$3,0))</f>
        <v>0</v>
      </c>
      <c r="M15" s="17">
        <v>0.19500000000000003</v>
      </c>
      <c r="N15" s="17">
        <f>INDEX('Unique Asset List'!$D$4:$M$60,MATCH($B15,'Unique Asset List'!$A$4:$A$60,0),MATCH(N$8,'Unique Asset List'!$D$3:$M$3,0))</f>
        <v>0.58500000000000008</v>
      </c>
      <c r="O15" s="17">
        <f>INDEX('Unique Asset List'!$D$4:$M$60,MATCH($B15,'Unique Asset List'!$A$4:$A$60,0),MATCH(O$8,'Unique Asset List'!$D$3:$M$3,0))</f>
        <v>0.58500000000000008</v>
      </c>
      <c r="P15" s="17">
        <f>INDEX('Unique Asset List'!$D$4:$M$60,MATCH($B15,'Unique Asset List'!$A$4:$A$60,0),MATCH(P$8,'Unique Asset List'!$D$3:$M$3,0))</f>
        <v>0.58500000000000008</v>
      </c>
      <c r="Q15" s="17">
        <f>INDEX('Unique Asset List'!$D$4:$M$60,MATCH($B15,'Unique Asset List'!$A$4:$A$60,0),MATCH(Q$8,'Unique Asset List'!$D$3:$M$3,0))</f>
        <v>0.58500000000000008</v>
      </c>
      <c r="R15" s="17">
        <f>INDEX('Unique Asset List'!$D$4:$M$60,MATCH($B15,'Unique Asset List'!$A$4:$A$60,0),MATCH(R$8,'Unique Asset List'!$D$3:$M$3,0))</f>
        <v>0.58500000000000008</v>
      </c>
      <c r="S15" s="17">
        <f>INDEX('Unique Asset List'!$D$4:$M$60,MATCH($B15,'Unique Asset List'!$A$4:$A$60,0),MATCH(S$8,'Unique Asset List'!$D$3:$M$3,0))</f>
        <v>0</v>
      </c>
      <c r="T15" s="17"/>
      <c r="U15" s="17">
        <f t="shared" si="0"/>
        <v>0.90168566420734253</v>
      </c>
      <c r="V15" s="17">
        <v>1</v>
      </c>
      <c r="W15" s="9" t="s">
        <v>188</v>
      </c>
      <c r="X15" s="9">
        <f>INDEX('Unique Asset List'!$Y$4:$AE$60,MATCH('2'!$B15,'Unique Asset List'!$A$4:$A$60,0),MATCH('2'!$C$1,'Unique Asset List'!$Y$3:$AE$3,0))</f>
        <v>2023</v>
      </c>
      <c r="Y15" s="9">
        <f>INDEX('Unique Asset List'!$AF$4:$AL$60,MATCH('2'!$B15,'Unique Asset List'!$A$4:$A$60,0),MATCH('2'!$C$1,'Unique Asset List'!$AF$3:$AL$3,0))</f>
        <v>1</v>
      </c>
      <c r="Z15" s="9">
        <f>INDEX('Unique Asset List'!$AT$4:$AZ$60,MATCH('2'!$B15,'Unique Asset List'!$A$4:$A$60,0),MATCH('2'!$C$1,'Unique Asset List'!$AT$3:$AZ$3,0))</f>
        <v>2032</v>
      </c>
      <c r="AA15" s="9">
        <f>INDEX('Unique Asset List'!$BA$4:$BG$60,MATCH('2'!$B15,'Unique Asset List'!$A$4:$A$60,0),MATCH('2'!$C$1,'Unique Asset List'!$BA$3:$BG$3,0))</f>
        <v>1</v>
      </c>
      <c r="AB15" s="16">
        <f t="shared" si="1"/>
        <v>1.6860000000000002</v>
      </c>
      <c r="AC15" s="16">
        <f t="shared" si="2"/>
        <v>0.97325250000000008</v>
      </c>
      <c r="AD15" s="16">
        <f t="shared" si="3"/>
        <v>0.38169906301999995</v>
      </c>
      <c r="AE15" s="15">
        <f>INDEX('Unique Asset List'!$CJ$4:$CP$60,MATCH('2'!$B15,'Unique Asset List'!$A$4:$A$60,0),MATCH('2'!$C$1,'Unique Asset List'!$CJ$3:$CP$3,0))</f>
        <v>0.2</v>
      </c>
      <c r="AF15" s="15">
        <f>INDEX('Unique Asset List'!$CQ$4:$CW$60,MATCH('2'!$B15,'Unique Asset List'!$A$4:$A$60,0),MATCH('2'!$C$1,'Unique Asset List'!$CQ$3:$CW$3,0))</f>
        <v>0.3</v>
      </c>
      <c r="AG15" s="15">
        <f>INDEX('Unique Asset List'!$BV$4:$CB$60,MATCH('2'!$B15,'Unique Asset List'!$A$4:$A$60,0),MATCH('2'!$C$1,'Unique Asset List'!$BV$3:$CB$3,0))</f>
        <v>0.2</v>
      </c>
      <c r="AH15" s="15">
        <f>INDEX('Unique Asset List'!$CC$4:$CI$60,MATCH('2'!$B15,'Unique Asset List'!$A$4:$A$60,0),MATCH('2'!$C$1,'Unique Asset List'!$CC$3:$CI$3,0))</f>
        <v>0.3</v>
      </c>
      <c r="AI15" s="11">
        <v>0.96187963349867744</v>
      </c>
      <c r="AJ15" s="15">
        <f>INDEX('Unique Asset List'!$BH$4:$BN$60,MATCH('2'!$B15,'Unique Asset List'!$A$4:$A$60,0),MATCH('2'!$C$1,'Unique Asset List'!$BH$3:$BN$3,0))</f>
        <v>2.2612105538192599</v>
      </c>
      <c r="AK15" s="15">
        <f>INDEX('Unique Asset List'!$BO$4:$BU$60,MATCH('2'!$B15,'Unique Asset List'!$A$4:$A$60,0),MATCH('2'!$C$1,'Unique Asset List'!$BO$3:$BU$3,0))</f>
        <v>-1.7475682675103321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4"/>
        <v>0.82</v>
      </c>
      <c r="AS15" s="10">
        <v>1</v>
      </c>
      <c r="AT15" s="181">
        <f>INDEX('Unique Asset List'!N$4:N$60,MATCH($B15,_CompoundList,0))</f>
        <v>0</v>
      </c>
      <c r="AU15" s="181">
        <f>INDEX('Unique Asset List'!O$4:O$60,MATCH($B15,_CompoundList,0))</f>
        <v>0</v>
      </c>
      <c r="AV15" s="181">
        <f>INDEX('Unique Asset List'!P$4:P$60,MATCH($B15,_CompoundList,0))</f>
        <v>0</v>
      </c>
      <c r="AW15" s="181">
        <f>INDEX('Unique Asset List'!Q$4:Q$60,MATCH($B15,_CompoundList,0))</f>
        <v>0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0</v>
      </c>
      <c r="AZ15" s="181">
        <f ca="1">INDEX('Unique Asset List'!T$4:T$60,MATCH($B15,_CompoundList,0))</f>
        <v>0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0</v>
      </c>
      <c r="BC15" s="181">
        <f ca="1">INDEX('Unique Asset List'!W$4:W$60,MATCH($B15,_CompoundList,0))</f>
        <v>0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3</v>
      </c>
      <c r="BL15" s="3">
        <f>IF($C$5="ON",CL15,MyRating(_S1,$B15,'S&amp;T'!$F$1))</f>
        <v>4</v>
      </c>
      <c r="BM15" s="3">
        <f>IF($C$5="ON",CM15,MyRating(_S2,$B15,'S&amp;T'!$F$1))</f>
        <v>3</v>
      </c>
      <c r="BN15" s="3">
        <f>IF($C$5="ON",CN15,MyRating(_S3,$B15,'S&amp;T'!$F$1))</f>
        <v>3</v>
      </c>
      <c r="BO15" s="3">
        <f>IF($C$5="ON",CO15,MyRating(_S4,$B15,'S&amp;T'!$F$1))</f>
        <v>4</v>
      </c>
      <c r="BP15" s="3">
        <f>IF($C$5="ON",CP15,MyRating(_S5,$B15,'S&amp;T'!$F$1))</f>
        <v>5</v>
      </c>
      <c r="BQ15" s="3">
        <f>IF($C$5="ON",CQ15,MyRating(_S6,$B15,'S&amp;T'!$F$1))</f>
        <v>3</v>
      </c>
      <c r="BR15" s="3">
        <f>IF($C$5="ON",CR15,MyRating(_S7,$B15,'S&amp;T'!$F$1))</f>
        <v>4</v>
      </c>
      <c r="BS15" s="3">
        <f>IF($C$5="ON",CS15,MyRating(_D1,$B15,Delivery!$F$1))</f>
        <v>2</v>
      </c>
      <c r="BT15" s="3">
        <f>IF($C$5="ON",CT15,MyRating(_D2,$B15,Delivery!$F$1))</f>
        <v>3</v>
      </c>
      <c r="BU15" s="3">
        <f>IF($C$5="ON",CU15,MyRating(_D3,$B15,Delivery!$F$1))</f>
        <v>1</v>
      </c>
      <c r="BV15" s="3">
        <f>IF($C$5="ON",CV15,MyRating(_D4,$B15,Delivery!$F$1))</f>
        <v>2</v>
      </c>
      <c r="BW15" s="3">
        <f>IF($C$5="ON",CW15,MyRating(_B1G5,$B15,Barrier!$L$2))</f>
        <v>2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8"/>
        <v>3.255254469149791E-2</v>
      </c>
      <c r="CA15" s="8">
        <f t="shared" si="5"/>
        <v>2.8000000000000003</v>
      </c>
      <c r="CB15" s="5">
        <f t="shared" si="6"/>
        <v>3.2258064516129052E-2</v>
      </c>
      <c r="CC15" s="7">
        <f t="shared" si="7"/>
        <v>5.7937194202185476E-3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5</v>
      </c>
      <c r="CM15" s="3">
        <v>3</v>
      </c>
      <c r="CN15" s="3">
        <v>3</v>
      </c>
      <c r="CO15" s="3">
        <v>4</v>
      </c>
      <c r="CP15" s="3">
        <v>5</v>
      </c>
      <c r="CQ15" s="3">
        <v>3</v>
      </c>
      <c r="CR15" s="3">
        <v>4</v>
      </c>
      <c r="CS15" s="3">
        <v>2</v>
      </c>
      <c r="CT15" s="3">
        <v>3</v>
      </c>
      <c r="CU15" s="3">
        <v>1</v>
      </c>
      <c r="CV15" s="3">
        <v>2</v>
      </c>
      <c r="CW15" s="3">
        <v>2</v>
      </c>
      <c r="CX15" s="3">
        <v>3</v>
      </c>
      <c r="CY15" s="6">
        <v>3</v>
      </c>
      <c r="CZ15" s="5">
        <v>3.6275844714639842E-2</v>
      </c>
    </row>
    <row r="16" spans="1:104" x14ac:dyDescent="0.25">
      <c r="A16" s="9" t="s">
        <v>178</v>
      </c>
      <c r="B16" s="9" t="s">
        <v>83</v>
      </c>
      <c r="C16" s="20" t="s">
        <v>3</v>
      </c>
      <c r="D16" s="9" t="s">
        <v>64</v>
      </c>
      <c r="E16" s="9" t="s">
        <v>186</v>
      </c>
      <c r="F16" s="9" t="str">
        <f>INDEX('Unique Asset List'!$C$4:$C$60,MATCH(B16,_CompoundList,0))</f>
        <v>Ph3</v>
      </c>
      <c r="G16" s="19">
        <v>0</v>
      </c>
      <c r="H16" s="9">
        <v>2014</v>
      </c>
      <c r="I16" s="9">
        <v>6</v>
      </c>
      <c r="J16" s="18">
        <f>INDEX(PTRS!$D$6:$D$12,MATCH('2'!$F16,PTRS!$B$6:$B$12,0))</f>
        <v>0.58500000000000008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7">
        <v>0.19500000000000003</v>
      </c>
      <c r="N16" s="17">
        <f>INDEX('Unique Asset List'!$D$4:$M$60,MATCH($B16,'Unique Asset List'!$A$4:$A$60,0),MATCH(N$8,'Unique Asset List'!$D$3:$M$3,0))</f>
        <v>0.58500000000000008</v>
      </c>
      <c r="O16" s="17">
        <f>INDEX('Unique Asset List'!$D$4:$M$60,MATCH($B16,'Unique Asset List'!$A$4:$A$60,0),MATCH(O$8,'Unique Asset List'!$D$3:$M$3,0))</f>
        <v>0.58500000000000008</v>
      </c>
      <c r="P16" s="17">
        <f>INDEX('Unique Asset List'!$D$4:$M$60,MATCH($B16,'Unique Asset List'!$A$4:$A$60,0),MATCH(P$8,'Unique Asset List'!$D$3:$M$3,0))</f>
        <v>0.58500000000000008</v>
      </c>
      <c r="Q16" s="17">
        <f>INDEX('Unique Asset List'!$D$4:$M$60,MATCH($B16,'Unique Asset List'!$A$4:$A$60,0),MATCH(Q$8,'Unique Asset List'!$D$3:$M$3,0))</f>
        <v>0.58500000000000008</v>
      </c>
      <c r="R16" s="17">
        <f>INDEX('Unique Asset List'!$D$4:$M$60,MATCH($B16,'Unique Asset List'!$A$4:$A$60,0),MATCH(R$8,'Unique Asset List'!$D$3:$M$3,0))</f>
        <v>0.58500000000000008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0"/>
        <v>0</v>
      </c>
      <c r="V16" s="17">
        <f>V13</f>
        <v>0.42</v>
      </c>
      <c r="W16" s="9" t="s">
        <v>62</v>
      </c>
      <c r="X16" s="9">
        <f>INDEX('Unique Asset List'!$Y$4:$AE$60,MATCH('2'!$B16,'Unique Asset List'!$A$4:$A$60,0),MATCH('2'!$C$1,'Unique Asset List'!$Y$3:$AE$3,0))</f>
        <v>2023</v>
      </c>
      <c r="Y16" s="9">
        <f>INDEX('Unique Asset List'!$AF$4:$AL$60,MATCH('2'!$B16,'Unique Asset List'!$A$4:$A$60,0),MATCH('2'!$C$1,'Unique Asset List'!$AF$3:$AL$3,0))</f>
        <v>2</v>
      </c>
      <c r="Z16" s="9">
        <f>INDEX('Unique Asset List'!$AT$4:$AZ$60,MATCH('2'!$B16,'Unique Asset List'!$A$4:$A$60,0),MATCH('2'!$C$1,'Unique Asset List'!$AT$3:$AZ$3,0))</f>
        <v>2031</v>
      </c>
      <c r="AA16" s="9">
        <f>INDEX('Unique Asset List'!$BA$4:$BG$60,MATCH('2'!$B16,'Unique Asset List'!$A$4:$A$60,0),MATCH('2'!$C$1,'Unique Asset List'!$BA$3:$BG$3,0))</f>
        <v>7</v>
      </c>
      <c r="AB16" s="16">
        <f t="shared" si="1"/>
        <v>1.6860000000000002</v>
      </c>
      <c r="AC16" s="16">
        <f t="shared" si="2"/>
        <v>0.73148930000000001</v>
      </c>
      <c r="AD16" s="16">
        <f t="shared" si="3"/>
        <v>0.52867185888000001</v>
      </c>
      <c r="AE16" s="15">
        <f>INDEX('Unique Asset List'!$CJ$4:$CP$60,MATCH('2'!$B16,'Unique Asset List'!$A$4:$A$60,0),MATCH('2'!$C$1,'Unique Asset List'!$CJ$3:$CP$3,0))</f>
        <v>0.27</v>
      </c>
      <c r="AF16" s="15">
        <f>INDEX('Unique Asset List'!$CQ$4:$CW$60,MATCH('2'!$B16,'Unique Asset List'!$A$4:$A$60,0),MATCH('2'!$C$1,'Unique Asset List'!$CQ$3:$CW$3,0))</f>
        <v>0.23</v>
      </c>
      <c r="AG16" s="15">
        <f>INDEX('Unique Asset List'!$BV$4:$CB$60,MATCH('2'!$B16,'Unique Asset List'!$A$4:$A$60,0),MATCH('2'!$C$1,'Unique Asset List'!$BV$3:$CB$3,0))</f>
        <v>0.27</v>
      </c>
      <c r="AH16" s="15">
        <f>INDEX('Unique Asset List'!$CC$4:$CI$60,MATCH('2'!$B16,'Unique Asset List'!$A$4:$A$60,0),MATCH('2'!$C$1,'Unique Asset List'!$CC$3:$CI$3,0))</f>
        <v>0.23</v>
      </c>
      <c r="AI16" s="11">
        <v>0.96187963349867744</v>
      </c>
      <c r="AJ16" s="15">
        <f>INDEX('Unique Asset List'!$BH$4:$BN$60,MATCH('2'!$B16,'Unique Asset List'!$A$4:$A$60,0),MATCH('2'!$C$1,'Unique Asset List'!$BH$3:$BN$3,0))</f>
        <v>2.2612105538192599</v>
      </c>
      <c r="AK16" s="15">
        <f>INDEX('Unique Asset List'!$BO$4:$BU$60,MATCH('2'!$B16,'Unique Asset List'!$A$4:$A$60,0),MATCH('2'!$C$1,'Unique Asset List'!$BO$3:$BU$3,0))</f>
        <v>-1.7475682675103321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4"/>
        <v>0.82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0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0</v>
      </c>
      <c r="BA16" s="181">
        <f ca="1">INDEX('Unique Asset List'!U$4:U$60,MATCH($B16,_CompoundList,0))</f>
        <v>1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3</v>
      </c>
      <c r="BF16" s="3">
        <f>IF($C$5="ON",CF16,MyRating(_E3,$B16,Efficacy!$F$1))</f>
        <v>3</v>
      </c>
      <c r="BG16" s="3">
        <f>IF($C$5="ON",CG16,MyRating(_E4,$B16,Efficacy!$F$1))</f>
        <v>3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IF($C$5="ON",CL16,MyRating(_S1,$B16,'S&amp;T'!$F$1))</f>
        <v>3</v>
      </c>
      <c r="BM16" s="3">
        <f>IF($C$5="ON",CM16,MyRating(_S2,$B16,'S&amp;T'!$F$1))</f>
        <v>3</v>
      </c>
      <c r="BN16" s="3">
        <f>IF($C$5="ON",CN16,MyRating(_S3,$B16,'S&amp;T'!$F$1))</f>
        <v>3</v>
      </c>
      <c r="BO16" s="3">
        <f>IF($C$5="ON",CO16,MyRating(_S4,$B16,'S&amp;T'!$F$1))</f>
        <v>3</v>
      </c>
      <c r="BP16" s="3">
        <f>IF($C$5="ON",CP16,MyRating(_S5,$B16,'S&amp;T'!$F$1))</f>
        <v>3</v>
      </c>
      <c r="BQ16" s="3">
        <f>IF($C$5="ON",CQ16,MyRating(_S6,$B16,'S&amp;T'!$F$1))</f>
        <v>2</v>
      </c>
      <c r="BR16" s="3">
        <f>IF($C$5="ON",CR16,MyRating(_S7,$B16,'S&amp;T'!$F$1))</f>
        <v>3</v>
      </c>
      <c r="BS16" s="3">
        <f>IF($C$5="ON",CS16,MyRating(_D1,$B16,Delivery!$F$1))</f>
        <v>3</v>
      </c>
      <c r="BT16" s="3">
        <f>IF($C$5="ON",CT16,MyRating(_D2,$B16,Delivery!$F$1))</f>
        <v>3</v>
      </c>
      <c r="BU16" s="3">
        <f>IF($C$5="ON",CU16,MyRating(_D3,$B16,Delivery!$F$1))</f>
        <v>2</v>
      </c>
      <c r="BV16" s="3">
        <f>IF($C$5="ON",CV16,MyRating(_D4,$B16,Delivery!$F$1))</f>
        <v>3</v>
      </c>
      <c r="BW16" s="3">
        <f>IF($C$5="ON",CW16,MyRating(_B1G5,$B16,Barrier!$L$2))</f>
        <v>1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8"/>
        <v>0</v>
      </c>
      <c r="CA16" s="8">
        <f t="shared" si="5"/>
        <v>1</v>
      </c>
      <c r="CB16" s="5">
        <f t="shared" si="6"/>
        <v>1.1520737327188946E-2</v>
      </c>
      <c r="CC16" s="7">
        <f t="shared" si="7"/>
        <v>1.2365748581252664E-3</v>
      </c>
      <c r="CD16" s="4">
        <v>3</v>
      </c>
      <c r="CE16" s="3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2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1</v>
      </c>
      <c r="CX16" s="3">
        <v>1</v>
      </c>
      <c r="CY16" s="6">
        <v>1</v>
      </c>
      <c r="CZ16" s="5">
        <v>9.9044671286996639E-3</v>
      </c>
    </row>
    <row r="17" spans="1:104" x14ac:dyDescent="0.25">
      <c r="A17" s="9" t="s">
        <v>178</v>
      </c>
      <c r="B17" s="9" t="s">
        <v>79</v>
      </c>
      <c r="C17" s="20"/>
      <c r="D17" s="9" t="s">
        <v>78</v>
      </c>
      <c r="E17" s="9" t="s">
        <v>186</v>
      </c>
      <c r="F17" s="9" t="str">
        <f>INDEX('Unique Asset List'!$C$4:$C$60,MATCH(B17,_CompoundList,0))</f>
        <v>Ph2b</v>
      </c>
      <c r="G17" s="19">
        <v>0</v>
      </c>
      <c r="H17" s="9">
        <v>2014</v>
      </c>
      <c r="I17" s="9">
        <v>6</v>
      </c>
      <c r="J17" s="18">
        <f>INDEX(PTRS!$D$6:$D$12,MATCH('2'!$F17,PTRS!$B$6:$B$12,0))</f>
        <v>0.40949999999999998</v>
      </c>
      <c r="K17" s="17">
        <f>INDEX('Unique Asset List'!$D$4:$M$60,MATCH($B17,'Unique Asset List'!$A$4:$A$60,0),MATCH(K$8,'Unique Asset List'!$D$3:$M$3,0))</f>
        <v>0</v>
      </c>
      <c r="L17" s="17">
        <f>INDEX('Unique Asset List'!$D$4:$M$60,MATCH($B17,'Unique Asset List'!$A$4:$A$60,0),MATCH(L$8,'Unique Asset List'!$D$3:$M$3,0))</f>
        <v>0</v>
      </c>
      <c r="M17" s="17">
        <v>0.13649999999999998</v>
      </c>
      <c r="N17" s="17">
        <f>INDEX('Unique Asset List'!$D$4:$M$60,MATCH($B17,'Unique Asset List'!$A$4:$A$60,0),MATCH(N$8,'Unique Asset List'!$D$3:$M$3,0))</f>
        <v>0.40949999999999998</v>
      </c>
      <c r="O17" s="17">
        <f>INDEX('Unique Asset List'!$D$4:$M$60,MATCH($B17,'Unique Asset List'!$A$4:$A$60,0),MATCH(O$8,'Unique Asset List'!$D$3:$M$3,0))</f>
        <v>0.40949999999999998</v>
      </c>
      <c r="P17" s="17">
        <f>INDEX('Unique Asset List'!$D$4:$M$60,MATCH($B17,'Unique Asset List'!$A$4:$A$60,0),MATCH(P$8,'Unique Asset List'!$D$3:$M$3,0))</f>
        <v>0.40949999999999998</v>
      </c>
      <c r="Q17" s="17">
        <f>INDEX('Unique Asset List'!$D$4:$M$60,MATCH($B17,'Unique Asset List'!$A$4:$A$60,0),MATCH(Q$8,'Unique Asset List'!$D$3:$M$3,0))</f>
        <v>0.40949999999999998</v>
      </c>
      <c r="R17" s="17">
        <f>INDEX('Unique Asset List'!$D$4:$M$60,MATCH($B17,'Unique Asset List'!$A$4:$A$60,0),MATCH(R$8,'Unique Asset List'!$D$3:$M$3,0))</f>
        <v>0.40949999999999998</v>
      </c>
      <c r="S17" s="17">
        <f>INDEX('Unique Asset List'!$D$4:$M$60,MATCH($B17,'Unique Asset List'!$A$4:$A$60,0),MATCH(S$8,'Unique Asset List'!$D$3:$M$3,0))</f>
        <v>0</v>
      </c>
      <c r="T17" s="17"/>
      <c r="U17" s="17">
        <f t="shared" si="0"/>
        <v>0.90168566420734253</v>
      </c>
      <c r="V17" s="17">
        <v>1</v>
      </c>
      <c r="W17" s="9" t="s">
        <v>62</v>
      </c>
      <c r="X17" s="9">
        <f>INDEX('Unique Asset List'!$Y$4:$AE$60,MATCH('2'!$B17,'Unique Asset List'!$A$4:$A$60,0),MATCH('2'!$C$1,'Unique Asset List'!$Y$3:$AE$3,0))</f>
        <v>2024</v>
      </c>
      <c r="Y17" s="9">
        <f>INDEX('Unique Asset List'!$AF$4:$AL$60,MATCH('2'!$B17,'Unique Asset List'!$A$4:$A$60,0),MATCH('2'!$C$1,'Unique Asset List'!$AF$3:$AL$3,0))</f>
        <v>3</v>
      </c>
      <c r="Z17" s="9">
        <f>INDEX('Unique Asset List'!$AT$4:$AZ$60,MATCH('2'!$B17,'Unique Asset List'!$A$4:$A$60,0),MATCH('2'!$C$1,'Unique Asset List'!$AT$3:$AZ$3,0))</f>
        <v>2033</v>
      </c>
      <c r="AA17" s="9">
        <f>INDEX('Unique Asset List'!$BA$4:$BG$60,MATCH('2'!$B17,'Unique Asset List'!$A$4:$A$60,0),MATCH('2'!$C$1,'Unique Asset List'!$BA$3:$BG$3,0))</f>
        <v>3</v>
      </c>
      <c r="AB17" s="16">
        <f t="shared" si="1"/>
        <v>2.0719254000000005</v>
      </c>
      <c r="AC17" s="16">
        <f t="shared" si="2"/>
        <v>0.88497580000000009</v>
      </c>
      <c r="AD17" s="16">
        <f t="shared" si="3"/>
        <v>0.56099999999999994</v>
      </c>
      <c r="AE17" s="15">
        <f>INDEX('Unique Asset List'!$CJ$4:$CP$60,MATCH('2'!$B17,'Unique Asset List'!$A$4:$A$60,0),MATCH('2'!$C$1,'Unique Asset List'!$CJ$3:$CP$3,0))</f>
        <v>0.27</v>
      </c>
      <c r="AF17" s="15">
        <f>INDEX('Unique Asset List'!$CQ$4:$CW$60,MATCH('2'!$B17,'Unique Asset List'!$A$4:$A$60,0),MATCH('2'!$C$1,'Unique Asset List'!$CQ$3:$CW$3,0))</f>
        <v>0.23</v>
      </c>
      <c r="AG17" s="15">
        <f>INDEX('Unique Asset List'!$BV$4:$CB$60,MATCH('2'!$B17,'Unique Asset List'!$A$4:$A$60,0),MATCH('2'!$C$1,'Unique Asset List'!$BV$3:$CB$3,0))</f>
        <v>0.27</v>
      </c>
      <c r="AH17" s="15">
        <f>INDEX('Unique Asset List'!$CC$4:$CI$60,MATCH('2'!$B17,'Unique Asset List'!$A$4:$A$60,0),MATCH('2'!$C$1,'Unique Asset List'!$CC$3:$CI$3,0))</f>
        <v>0.23</v>
      </c>
      <c r="AI17" s="11">
        <v>0.96187963349867744</v>
      </c>
      <c r="AJ17" s="15">
        <f>INDEX('Unique Asset List'!$BH$4:$BN$60,MATCH('2'!$B17,'Unique Asset List'!$A$4:$A$60,0),MATCH('2'!$C$1,'Unique Asset List'!$BH$3:$BN$3,0))</f>
        <v>2.2612105538192599</v>
      </c>
      <c r="AK17" s="15">
        <f>INDEX('Unique Asset List'!$BO$4:$BU$60,MATCH('2'!$B17,'Unique Asset List'!$A$4:$A$60,0),MATCH('2'!$C$1,'Unique Asset List'!$BO$3:$BU$3,0))</f>
        <v>-1.7475682675103321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4"/>
        <v>0.82</v>
      </c>
      <c r="AS17" s="10">
        <v>1</v>
      </c>
      <c r="AT17" s="181">
        <f>INDEX('Unique Asset List'!N$4:N$60,MATCH($B17,_CompoundList,0))</f>
        <v>0</v>
      </c>
      <c r="AU17" s="181">
        <f>INDEX('Unique Asset List'!O$4:O$60,MATCH($B17,_CompoundList,0))</f>
        <v>0</v>
      </c>
      <c r="AV17" s="181">
        <f>INDEX('Unique Asset List'!P$4:P$60,MATCH($B17,_CompoundList,0))</f>
        <v>0</v>
      </c>
      <c r="AW17" s="181">
        <f>INDEX('Unique Asset List'!Q$4:Q$60,MATCH($B17,_CompoundList,0))</f>
        <v>0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0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4</v>
      </c>
      <c r="BE17" s="3">
        <f>IF($C$5="ON",CE17,MyRating(_E2,$B17,Efficacy!$F$1))</f>
        <v>3</v>
      </c>
      <c r="BF17" s="3">
        <f>IF($C$5="ON",CF17,MyRating(_E3,$B17,Efficacy!$F$1))</f>
        <v>4</v>
      </c>
      <c r="BG17" s="3">
        <f>IF($C$5="ON",CG17,MyRating(_E4,$B17,Efficacy!$F$1))</f>
        <v>4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3</v>
      </c>
      <c r="BK17" s="3">
        <f>IF($C$5="ON",CK17,MyRating(_E8,$B17,Efficacy!$F$1))</f>
        <v>5</v>
      </c>
      <c r="BL17" s="3">
        <f>IF($C$5="ON",CL17,MyRating(_S1,$B17,'S&amp;T'!$F$1))</f>
        <v>4</v>
      </c>
      <c r="BM17" s="3">
        <f>IF($C$5="ON",CM17,MyRating(_S2,$B17,'S&amp;T'!$F$1))</f>
        <v>3</v>
      </c>
      <c r="BN17" s="3">
        <f>IF($C$5="ON",CN17,MyRating(_S3,$B17,'S&amp;T'!$F$1))</f>
        <v>3</v>
      </c>
      <c r="BO17" s="3">
        <f>IF($C$5="ON",CO17,MyRating(_S4,$B17,'S&amp;T'!$F$1))</f>
        <v>3</v>
      </c>
      <c r="BP17" s="3">
        <f>IF($C$5="ON",CP17,MyRating(_S5,$B17,'S&amp;T'!$F$1))</f>
        <v>5</v>
      </c>
      <c r="BQ17" s="3">
        <f>IF($C$5="ON",CQ17,MyRating(_S6,$B17,'S&amp;T'!$F$1))</f>
        <v>2</v>
      </c>
      <c r="BR17" s="3">
        <f>IF($C$5="ON",CR17,MyRating(_S7,$B17,'S&amp;T'!$F$1))</f>
        <v>3</v>
      </c>
      <c r="BS17" s="3">
        <f>IF($C$5="ON",CS17,MyRating(_D1,$B17,Delivery!$F$1))</f>
        <v>3</v>
      </c>
      <c r="BT17" s="3">
        <f>IF($C$5="ON",CT17,MyRating(_D2,$B17,Delivery!$F$1))</f>
        <v>3</v>
      </c>
      <c r="BU17" s="3">
        <f>IF($C$5="ON",CU17,MyRating(_D3,$B17,Delivery!$F$1))</f>
        <v>3</v>
      </c>
      <c r="BV17" s="3">
        <f>IF($C$5="ON",CV17,MyRating(_D4,$B17,Delivery!$F$1))</f>
        <v>3</v>
      </c>
      <c r="BW17" s="3">
        <f>IF($C$5="ON",CW17,MyRating(_B1G5,$B17,Barrier!$L$2))</f>
        <v>2</v>
      </c>
      <c r="BX17" s="3">
        <f>IF($C$5="ON",CX17,MyRating(_B2,$B17,Barrier!$F$2))</f>
        <v>3</v>
      </c>
      <c r="BY17" s="6">
        <f>IF($C$5="ON",CY17,MyRating(_B3,$B17,Barrier!$F$2))</f>
        <v>3</v>
      </c>
      <c r="BZ17" s="5">
        <f t="shared" si="8"/>
        <v>3.255254469149791E-2</v>
      </c>
      <c r="CA17" s="8">
        <f t="shared" si="5"/>
        <v>2.8000000000000003</v>
      </c>
      <c r="CB17" s="5">
        <f t="shared" si="6"/>
        <v>3.2258064516129052E-2</v>
      </c>
      <c r="CC17" s="7">
        <f t="shared" si="7"/>
        <v>5.7937194202185476E-3</v>
      </c>
      <c r="CD17" s="4">
        <v>4</v>
      </c>
      <c r="CE17" s="3">
        <v>4</v>
      </c>
      <c r="CF17" s="3">
        <v>4</v>
      </c>
      <c r="CG17" s="3">
        <v>4</v>
      </c>
      <c r="CH17" s="3">
        <v>3</v>
      </c>
      <c r="CI17" s="3">
        <v>3</v>
      </c>
      <c r="CJ17" s="3">
        <v>3</v>
      </c>
      <c r="CK17" s="3">
        <v>5</v>
      </c>
      <c r="CL17" s="3">
        <v>4</v>
      </c>
      <c r="CM17" s="3">
        <v>3</v>
      </c>
      <c r="CN17" s="3">
        <v>3</v>
      </c>
      <c r="CO17" s="3">
        <v>3</v>
      </c>
      <c r="CP17" s="3">
        <v>5</v>
      </c>
      <c r="CQ17" s="3">
        <v>2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2</v>
      </c>
      <c r="CX17" s="3">
        <v>3</v>
      </c>
      <c r="CY17" s="6">
        <v>3</v>
      </c>
      <c r="CZ17" s="5">
        <v>3.6275844714639842E-2</v>
      </c>
    </row>
    <row r="18" spans="1:104" x14ac:dyDescent="0.25">
      <c r="A18" s="9" t="s">
        <v>178</v>
      </c>
      <c r="B18" s="9" t="s">
        <v>87</v>
      </c>
      <c r="C18" s="20"/>
      <c r="D18" s="9" t="s">
        <v>64</v>
      </c>
      <c r="E18" s="9" t="s">
        <v>186</v>
      </c>
      <c r="F18" s="9" t="str">
        <f>INDEX('Unique Asset List'!$C$4:$C$60,MATCH(B18,_CompoundList,0))</f>
        <v>Launched</v>
      </c>
      <c r="G18" s="19">
        <v>0</v>
      </c>
      <c r="H18" s="9">
        <v>2014</v>
      </c>
      <c r="I18" s="9">
        <v>6</v>
      </c>
      <c r="J18" s="18">
        <f>INDEX(PTRS!$D$6:$D$12,MATCH('2'!$F18,PTRS!$B$6:$B$12,0))</f>
        <v>1</v>
      </c>
      <c r="K18" s="17">
        <f>INDEX('Unique Asset List'!$D$4:$M$60,MATCH($B18,'Unique Asset List'!$A$4:$A$60,0),MATCH(K$8,'Unique Asset List'!$D$3:$M$3,0))</f>
        <v>1</v>
      </c>
      <c r="L18" s="17">
        <f>INDEX('Unique Asset List'!$D$4:$M$60,MATCH($B18,'Unique Asset List'!$A$4:$A$60,0),MATCH(L$8,'Unique Asset List'!$D$3:$M$3,0))</f>
        <v>1</v>
      </c>
      <c r="M18" s="17">
        <v>1</v>
      </c>
      <c r="N18" s="17">
        <f>INDEX('Unique Asset List'!$D$4:$M$60,MATCH($B18,'Unique Asset List'!$A$4:$A$60,0),MATCH(N$8,'Unique Asset List'!$D$3:$M$3,0))</f>
        <v>1</v>
      </c>
      <c r="O18" s="17">
        <f>INDEX('Unique Asset List'!$D$4:$M$60,MATCH($B18,'Unique Asset List'!$A$4:$A$60,0),MATCH(O$8,'Unique Asset List'!$D$3:$M$3,0))</f>
        <v>1</v>
      </c>
      <c r="P18" s="17">
        <f>INDEX('Unique Asset List'!$D$4:$M$60,MATCH($B18,'Unique Asset List'!$A$4:$A$60,0),MATCH(P$8,'Unique Asset List'!$D$3:$M$3,0))</f>
        <v>1</v>
      </c>
      <c r="Q18" s="17">
        <f>INDEX('Unique Asset List'!$D$4:$M$60,MATCH($B18,'Unique Asset List'!$A$4:$A$60,0),MATCH(Q$8,'Unique Asset List'!$D$3:$M$3,0))</f>
        <v>1</v>
      </c>
      <c r="R18" s="17">
        <f>INDEX('Unique Asset List'!$D$4:$M$60,MATCH($B18,'Unique Asset List'!$A$4:$A$60,0),MATCH(R$8,'Unique Asset List'!$D$3:$M$3,0))</f>
        <v>1</v>
      </c>
      <c r="S18" s="17">
        <f>INDEX('Unique Asset List'!$D$4:$M$60,MATCH($B18,'Unique Asset List'!$A$4:$A$60,0),MATCH(S$8,'Unique Asset List'!$D$3:$M$3,0))</f>
        <v>1</v>
      </c>
      <c r="T18" s="17"/>
      <c r="U18" s="17">
        <f t="shared" si="0"/>
        <v>0.90168566420734253</v>
      </c>
      <c r="V18" s="17">
        <v>1</v>
      </c>
      <c r="W18" s="9" t="s">
        <v>54</v>
      </c>
      <c r="X18" s="9">
        <f>INDEX('Unique Asset List'!$Y$4:$AE$60,MATCH('2'!$B18,'Unique Asset List'!$A$4:$A$60,0),MATCH('2'!$C$1,'Unique Asset List'!$Y$3:$AE$3,0))</f>
        <v>2017</v>
      </c>
      <c r="Y18" s="9">
        <f>INDEX('Unique Asset List'!$AF$4:$AL$60,MATCH('2'!$B18,'Unique Asset List'!$A$4:$A$60,0),MATCH('2'!$C$1,'Unique Asset List'!$AF$3:$AL$3,0))</f>
        <v>3</v>
      </c>
      <c r="Z18" s="9">
        <f>INDEX('Unique Asset List'!$AT$4:$AZ$60,MATCH('2'!$B18,'Unique Asset List'!$A$4:$A$60,0),MATCH('2'!$C$1,'Unique Asset List'!$AT$3:$AZ$3,0))</f>
        <v>2033</v>
      </c>
      <c r="AA18" s="9">
        <f>INDEX('Unique Asset List'!$BA$4:$BG$60,MATCH('2'!$B18,'Unique Asset List'!$A$4:$A$60,0),MATCH('2'!$C$1,'Unique Asset List'!$BA$3:$BG$3,0))</f>
        <v>11</v>
      </c>
      <c r="AB18" s="16">
        <f t="shared" si="1"/>
        <v>1.7478200000000002</v>
      </c>
      <c r="AC18" s="16">
        <f t="shared" si="2"/>
        <v>0.82350590000000001</v>
      </c>
      <c r="AD18" s="16">
        <f t="shared" si="3"/>
        <v>0.52097279586</v>
      </c>
      <c r="AE18" s="15">
        <f>INDEX('Unique Asset List'!$CJ$4:$CP$60,MATCH('2'!$B18,'Unique Asset List'!$A$4:$A$60,0),MATCH('2'!$C$1,'Unique Asset List'!$CJ$3:$CP$3,0))</f>
        <v>0.2</v>
      </c>
      <c r="AF18" s="15">
        <f>INDEX('Unique Asset List'!$CQ$4:$CW$60,MATCH('2'!$B18,'Unique Asset List'!$A$4:$A$60,0),MATCH('2'!$C$1,'Unique Asset List'!$CQ$3:$CW$3,0))</f>
        <v>0.3</v>
      </c>
      <c r="AG18" s="15">
        <f>INDEX('Unique Asset List'!$BV$4:$CB$60,MATCH('2'!$B18,'Unique Asset List'!$A$4:$A$60,0),MATCH('2'!$C$1,'Unique Asset List'!$BV$3:$CB$3,0))</f>
        <v>0.2</v>
      </c>
      <c r="AH18" s="15">
        <f>INDEX('Unique Asset List'!$CC$4:$CI$60,MATCH('2'!$B18,'Unique Asset List'!$A$4:$A$60,0),MATCH('2'!$C$1,'Unique Asset List'!$CC$3:$CI$3,0))</f>
        <v>0.3</v>
      </c>
      <c r="AI18" s="11">
        <v>0.96187963349867744</v>
      </c>
      <c r="AJ18" s="15">
        <f>INDEX('Unique Asset List'!$BH$4:$BN$60,MATCH('2'!$B18,'Unique Asset List'!$A$4:$A$60,0),MATCH('2'!$C$1,'Unique Asset List'!$BH$3:$BN$3,0))</f>
        <v>2.2612105538192599</v>
      </c>
      <c r="AK18" s="15">
        <f>INDEX('Unique Asset List'!$BO$4:$BU$60,MATCH('2'!$B18,'Unique Asset List'!$A$4:$A$60,0),MATCH('2'!$C$1,'Unique Asset List'!$BO$3:$BU$3,0))</f>
        <v>-1.7475682675103321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1</v>
      </c>
      <c r="AQ18" s="12">
        <v>0</v>
      </c>
      <c r="AR18" s="11">
        <f t="shared" si="4"/>
        <v>1</v>
      </c>
      <c r="AS18" s="10">
        <v>1</v>
      </c>
      <c r="AT18" s="181">
        <f>INDEX('Unique Asset List'!N$4:N$60,MATCH($B18,_CompoundList,0))</f>
        <v>1</v>
      </c>
      <c r="AU18" s="181">
        <f>INDEX('Unique Asset List'!O$4:O$60,MATCH($B18,_CompoundList,0))</f>
        <v>1</v>
      </c>
      <c r="AV18" s="181">
        <f>INDEX('Unique Asset List'!P$4:P$60,MATCH($B18,_CompoundList,0))</f>
        <v>1</v>
      </c>
      <c r="AW18" s="181">
        <f>INDEX('Unique Asset List'!Q$4:Q$60,MATCH($B18,_CompoundList,0))</f>
        <v>1</v>
      </c>
      <c r="AX18" s="181">
        <f ca="1">INDEX('Unique Asset List'!R$4:R$60,MATCH($B18,_CompoundList,0))</f>
        <v>1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1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1</v>
      </c>
      <c r="BC18" s="181">
        <f ca="1">INDEX('Unique Asset List'!W$4:W$60,MATCH($B18,_CompoundList,0))</f>
        <v>1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4</v>
      </c>
      <c r="BL18" s="3">
        <f>IF($C$5="ON",CL18,MyRating(_S1,$B18,'S&amp;T'!$F$1))</f>
        <v>3</v>
      </c>
      <c r="BM18" s="3">
        <f>IF($C$5="ON",CM18,MyRating(_S2,$B18,'S&amp;T'!$F$1))</f>
        <v>3</v>
      </c>
      <c r="BN18" s="3">
        <f>IF($C$5="ON",CN18,MyRating(_S3,$B18,'S&amp;T'!$F$1))</f>
        <v>3</v>
      </c>
      <c r="BO18" s="3">
        <f>IF($C$5="ON",CO18,MyRating(_S4,$B18,'S&amp;T'!$F$1))</f>
        <v>3</v>
      </c>
      <c r="BP18" s="3">
        <f>IF($C$5="ON",CP18,MyRating(_S5,$B18,'S&amp;T'!$F$1))</f>
        <v>5</v>
      </c>
      <c r="BQ18" s="3">
        <f>IF($C$5="ON",CQ18,MyRating(_S6,$B18,'S&amp;T'!$F$1))</f>
        <v>2</v>
      </c>
      <c r="BR18" s="3">
        <f>IF($C$5="ON",CR18,MyRating(_S7,$B18,'S&amp;T'!$F$1))</f>
        <v>3</v>
      </c>
      <c r="BS18" s="3">
        <f>IF($C$5="ON",CS18,MyRating(_D1,$B18,Delivery!$F$1))</f>
        <v>3</v>
      </c>
      <c r="BT18" s="3">
        <f>IF($C$5="ON",CT18,MyRating(_D2,$B18,Delivery!$F$1))</f>
        <v>2</v>
      </c>
      <c r="BU18" s="3">
        <f>IF($C$5="ON",CU18,MyRating(_D3,$B18,Delivery!$F$1))</f>
        <v>3</v>
      </c>
      <c r="BV18" s="3">
        <f>IF($C$5="ON",CV18,MyRating(_D4,$B18,Delivery!$F$1))</f>
        <v>3</v>
      </c>
      <c r="BW18" s="3">
        <f>IF($C$5="ON",CW18,MyRating(_B1G5,$B18,Barrier!$L$2))</f>
        <v>2</v>
      </c>
      <c r="BX18" s="3">
        <f>IF($C$5="ON",CX18,MyRating(_B2,$B18,Barrier!$F$2))</f>
        <v>3</v>
      </c>
      <c r="BY18" s="6">
        <f>IF($C$5="ON",CY18,MyRating(_B3,$B18,Barrier!$F$2))</f>
        <v>3</v>
      </c>
      <c r="BZ18" s="5">
        <f t="shared" si="8"/>
        <v>3.255254469149791E-2</v>
      </c>
      <c r="CA18" s="8">
        <f t="shared" si="5"/>
        <v>2.8000000000000003</v>
      </c>
      <c r="CB18" s="5">
        <f t="shared" si="6"/>
        <v>3.2258064516129052E-2</v>
      </c>
      <c r="CC18" s="7">
        <f t="shared" si="7"/>
        <v>5.7937194202185476E-3</v>
      </c>
      <c r="CD18" s="4">
        <v>3</v>
      </c>
      <c r="CE18" s="3">
        <v>4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4</v>
      </c>
      <c r="CL18" s="3">
        <v>3</v>
      </c>
      <c r="CM18" s="3">
        <v>3</v>
      </c>
      <c r="CN18" s="3">
        <v>3</v>
      </c>
      <c r="CO18" s="3">
        <v>3</v>
      </c>
      <c r="CP18" s="3">
        <v>5</v>
      </c>
      <c r="CQ18" s="3">
        <v>2</v>
      </c>
      <c r="CR18" s="3">
        <v>3</v>
      </c>
      <c r="CS18" s="3">
        <v>3</v>
      </c>
      <c r="CT18" s="3">
        <v>2</v>
      </c>
      <c r="CU18" s="3">
        <v>3</v>
      </c>
      <c r="CV18" s="3">
        <v>3</v>
      </c>
      <c r="CW18" s="3">
        <v>2</v>
      </c>
      <c r="CX18" s="3">
        <v>3</v>
      </c>
      <c r="CY18" s="6">
        <v>3</v>
      </c>
      <c r="CZ18" s="5">
        <v>3.6275844714639842E-2</v>
      </c>
    </row>
    <row r="19" spans="1:104" x14ac:dyDescent="0.25">
      <c r="A19" s="9" t="s">
        <v>178</v>
      </c>
      <c r="B19" s="9" t="s">
        <v>77</v>
      </c>
      <c r="C19" s="20"/>
      <c r="D19" s="9" t="s">
        <v>76</v>
      </c>
      <c r="E19" s="9" t="s">
        <v>186</v>
      </c>
      <c r="F19" s="9" t="str">
        <f>INDEX('Unique Asset List'!$C$4:$C$60,MATCH(B19,_CompoundList,0))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INDEX(PTRS!$D$6:$D$12,MATCH('2'!$F19,PTRS!$B$6:$B$12,0))</f>
        <v>0.1638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7">
        <v>5.4600000000000003E-2</v>
      </c>
      <c r="N19" s="17">
        <f>INDEX('Unique Asset List'!$D$4:$M$60,MATCH($B19,'Unique Asset List'!$A$4:$A$60,0),MATCH(N$8,'Unique Asset List'!$D$3:$M$3,0))</f>
        <v>0.1638</v>
      </c>
      <c r="O19" s="17">
        <f>INDEX('Unique Asset List'!$D$4:$M$60,MATCH($B19,'Unique Asset List'!$A$4:$A$60,0),MATCH(O$8,'Unique Asset List'!$D$3:$M$3,0))</f>
        <v>0.1638</v>
      </c>
      <c r="P19" s="17">
        <f>INDEX('Unique Asset List'!$D$4:$M$60,MATCH($B19,'Unique Asset List'!$A$4:$A$60,0),MATCH(P$8,'Unique Asset List'!$D$3:$M$3,0))</f>
        <v>0.1638</v>
      </c>
      <c r="Q19" s="17">
        <f>INDEX('Unique Asset List'!$D$4:$M$60,MATCH($B19,'Unique Asset List'!$A$4:$A$60,0),MATCH(Q$8,'Unique Asset List'!$D$3:$M$3,0))</f>
        <v>0.1638</v>
      </c>
      <c r="R19" s="17">
        <f>INDEX('Unique Asset List'!$D$4:$M$60,MATCH($B19,'Unique Asset List'!$A$4:$A$60,0),MATCH(R$8,'Unique Asset List'!$D$3:$M$3,0))</f>
        <v>0.1638</v>
      </c>
      <c r="S19" s="17">
        <f>INDEX('Unique Asset List'!$D$4:$M$60,MATCH($B19,'Unique Asset List'!$A$4:$A$60,0),MATCH(S$8,'Unique Asset List'!$D$3:$M$3,0))</f>
        <v>1</v>
      </c>
      <c r="T19" s="17"/>
      <c r="U19" s="17">
        <f t="shared" si="0"/>
        <v>0.90168566420734253</v>
      </c>
      <c r="V19" s="17">
        <v>1</v>
      </c>
      <c r="W19" s="9" t="s">
        <v>62</v>
      </c>
      <c r="X19" s="9">
        <f>INDEX('Unique Asset List'!$Y$4:$AE$60,MATCH('2'!$B19,'Unique Asset List'!$A$4:$A$60,0),MATCH('2'!$C$1,'Unique Asset List'!$Y$3:$AE$3,0))</f>
        <v>2024</v>
      </c>
      <c r="Y19" s="9">
        <f>INDEX('Unique Asset List'!$AF$4:$AL$60,MATCH('2'!$B19,'Unique Asset List'!$A$4:$A$60,0),MATCH('2'!$C$1,'Unique Asset List'!$AF$3:$AL$3,0))</f>
        <v>7</v>
      </c>
      <c r="Z19" s="9">
        <f>INDEX('Unique Asset List'!$AT$4:$AZ$60,MATCH('2'!$B19,'Unique Asset List'!$A$4:$A$60,0),MATCH('2'!$C$1,'Unique Asset List'!$AT$3:$AZ$3,0))</f>
        <v>2034</v>
      </c>
      <c r="AA19" s="9">
        <f>INDEX('Unique Asset List'!$BA$4:$BG$60,MATCH('2'!$B19,'Unique Asset List'!$A$4:$A$60,0),MATCH('2'!$C$1,'Unique Asset List'!$BA$3:$BG$3,0))</f>
        <v>7</v>
      </c>
      <c r="AB19" s="16">
        <f t="shared" si="1"/>
        <v>1.8922540000000003</v>
      </c>
      <c r="AC19" s="16">
        <f t="shared" si="2"/>
        <v>0.88497580000000009</v>
      </c>
      <c r="AD19" s="16">
        <f t="shared" si="3"/>
        <v>0.56099999999999994</v>
      </c>
      <c r="AE19" s="15">
        <f>INDEX('Unique Asset List'!$CJ$4:$CP$60,MATCH('2'!$B19,'Unique Asset List'!$A$4:$A$60,0),MATCH('2'!$C$1,'Unique Asset List'!$CJ$3:$CP$3,0))</f>
        <v>0.27</v>
      </c>
      <c r="AF19" s="15">
        <f>INDEX('Unique Asset List'!$CQ$4:$CW$60,MATCH('2'!$B19,'Unique Asset List'!$A$4:$A$60,0),MATCH('2'!$C$1,'Unique Asset List'!$CQ$3:$CW$3,0))</f>
        <v>0.23</v>
      </c>
      <c r="AG19" s="15">
        <f>INDEX('Unique Asset List'!$BV$4:$CB$60,MATCH('2'!$B19,'Unique Asset List'!$A$4:$A$60,0),MATCH('2'!$C$1,'Unique Asset List'!$BV$3:$CB$3,0))</f>
        <v>0.27</v>
      </c>
      <c r="AH19" s="15">
        <f>INDEX('Unique Asset List'!$CC$4:$CI$60,MATCH('2'!$B19,'Unique Asset List'!$A$4:$A$60,0),MATCH('2'!$C$1,'Unique Asset List'!$CC$3:$CI$3,0))</f>
        <v>0.23</v>
      </c>
      <c r="AI19" s="11">
        <v>0.96187963349867744</v>
      </c>
      <c r="AJ19" s="15">
        <f>INDEX('Unique Asset List'!$BH$4:$BN$60,MATCH('2'!$B19,'Unique Asset List'!$A$4:$A$60,0),MATCH('2'!$C$1,'Unique Asset List'!$BH$3:$BN$3,0))</f>
        <v>2.2612105538192599</v>
      </c>
      <c r="AK19" s="15">
        <f>INDEX('Unique Asset List'!$BO$4:$BU$60,MATCH('2'!$B19,'Unique Asset List'!$A$4:$A$60,0),MATCH('2'!$C$1,'Unique Asset List'!$BO$3:$BU$3,0))</f>
        <v>-1.7475682675103321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4"/>
        <v>0.82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1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4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5</v>
      </c>
      <c r="BL19" s="3">
        <f>IF($C$5="ON",CL19,MyRating(_S1,$B19,'S&amp;T'!$F$1))</f>
        <v>4</v>
      </c>
      <c r="BM19" s="3">
        <f>IF($C$5="ON",CM19,MyRating(_S2,$B19,'S&amp;T'!$F$1))</f>
        <v>3</v>
      </c>
      <c r="BN19" s="3">
        <f>IF($C$5="ON",CN19,MyRating(_S3,$B19,'S&amp;T'!$F$1))</f>
        <v>3</v>
      </c>
      <c r="BO19" s="3">
        <f>IF($C$5="ON",CO19,MyRating(_S4,$B19,'S&amp;T'!$F$1))</f>
        <v>3</v>
      </c>
      <c r="BP19" s="3">
        <f>IF($C$5="ON",CP19,MyRating(_S5,$B19,'S&amp;T'!$F$1))</f>
        <v>5</v>
      </c>
      <c r="BQ19" s="3">
        <f>IF($C$5="ON",CQ19,MyRating(_S6,$B19,'S&amp;T'!$F$1))</f>
        <v>2</v>
      </c>
      <c r="BR19" s="3">
        <f>IF($C$5="ON",CR19,MyRating(_S7,$B19,'S&amp;T'!$F$1))</f>
        <v>3</v>
      </c>
      <c r="BS19" s="3">
        <f>IF($C$5="ON",CS19,MyRating(_D1,$B19,Delivery!$F$1))</f>
        <v>3</v>
      </c>
      <c r="BT19" s="3">
        <f>IF($C$5="ON",CT19,MyRating(_D2,$B19,Delivery!$F$1))</f>
        <v>3</v>
      </c>
      <c r="BU19" s="3">
        <f>IF($C$5="ON",CU19,MyRating(_D3,$B19,Delivery!$F$1))</f>
        <v>3</v>
      </c>
      <c r="BV19" s="3">
        <f>IF($C$5="ON",CV19,MyRating(_D4,$B19,Delivery!$F$1))</f>
        <v>3</v>
      </c>
      <c r="BW19" s="3">
        <f>IF($C$5="ON",CW19,MyRating(_B1G5,$B19,Barrier!$L$2))</f>
        <v>2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8"/>
        <v>3.255254469149791E-2</v>
      </c>
      <c r="CA19" s="8">
        <f t="shared" si="5"/>
        <v>2.8000000000000003</v>
      </c>
      <c r="CB19" s="5">
        <f t="shared" si="6"/>
        <v>3.2258064516129052E-2</v>
      </c>
      <c r="CC19" s="7">
        <f t="shared" si="7"/>
        <v>5.7937194202185476E-3</v>
      </c>
      <c r="CD19" s="4">
        <v>3</v>
      </c>
      <c r="CE19" s="3">
        <v>3</v>
      </c>
      <c r="CF19" s="3">
        <v>3</v>
      </c>
      <c r="CG19" s="3">
        <v>4</v>
      </c>
      <c r="CH19" s="3">
        <v>3</v>
      </c>
      <c r="CI19" s="3">
        <v>3</v>
      </c>
      <c r="CJ19" s="3">
        <v>3</v>
      </c>
      <c r="CK19" s="3">
        <v>5</v>
      </c>
      <c r="CL19" s="3">
        <v>4</v>
      </c>
      <c r="CM19" s="3">
        <v>3</v>
      </c>
      <c r="CN19" s="3">
        <v>3</v>
      </c>
      <c r="CO19" s="3">
        <v>3</v>
      </c>
      <c r="CP19" s="3">
        <v>5</v>
      </c>
      <c r="CQ19" s="3">
        <v>2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2</v>
      </c>
      <c r="CX19" s="3">
        <v>3</v>
      </c>
      <c r="CY19" s="6">
        <v>3</v>
      </c>
      <c r="CZ19" s="5">
        <v>3.6275844714639842E-2</v>
      </c>
    </row>
    <row r="20" spans="1:104" x14ac:dyDescent="0.25">
      <c r="A20" s="9" t="s">
        <v>178</v>
      </c>
      <c r="B20" s="9" t="s">
        <v>39</v>
      </c>
      <c r="C20" s="20"/>
      <c r="D20" s="9" t="s">
        <v>2</v>
      </c>
      <c r="E20" s="9" t="s">
        <v>186</v>
      </c>
      <c r="F20" s="9" t="str">
        <f>INDEX('Unique Asset List'!$C$4:$C$60,MATCH(B20,_CompoundList,0))</f>
        <v>Ph2b</v>
      </c>
      <c r="G20" s="19">
        <v>0</v>
      </c>
      <c r="H20" s="9">
        <v>2014</v>
      </c>
      <c r="I20" s="9">
        <v>6</v>
      </c>
      <c r="J20" s="18">
        <f>INDEX(PTRS!$D$6:$D$12,MATCH('2'!$F20,PTRS!$B$6:$B$12,0))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1</v>
      </c>
      <c r="M20" s="17">
        <v>0.40949999999999998</v>
      </c>
      <c r="N20" s="17">
        <f>INDEX('Unique Asset List'!$D$4:$M$60,MATCH($B20,'Unique Asset List'!$A$4:$A$60,0),MATCH(N$8,'Unique Asset List'!$D$3:$M$3,0))</f>
        <v>0.4</v>
      </c>
      <c r="O20" s="17">
        <f>INDEX('Unique Asset List'!$D$4:$M$60,MATCH($B20,'Unique Asset List'!$A$4:$A$60,0),MATCH(O$8,'Unique Asset List'!$D$3:$M$3,0))</f>
        <v>0</v>
      </c>
      <c r="P20" s="17">
        <f>INDEX('Unique Asset List'!$D$4:$M$60,MATCH($B20,'Unique Asset List'!$A$4:$A$60,0),MATCH(P$8,'Unique Asset List'!$D$3:$M$3,0))</f>
        <v>1</v>
      </c>
      <c r="Q20" s="17">
        <f>INDEX('Unique Asset List'!$D$4:$M$60,MATCH($B20,'Unique Asset List'!$A$4:$A$60,0),MATCH(Q$8,'Unique Asset List'!$D$3:$M$3,0))</f>
        <v>0</v>
      </c>
      <c r="R20" s="17">
        <f>INDEX('Unique Asset List'!$D$4:$M$60,MATCH($B20,'Unique Asset List'!$A$4:$A$60,0),MATCH(R$8,'Unique Asset List'!$D$3:$M$3,0))</f>
        <v>1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0"/>
        <v>0.54433105395181736</v>
      </c>
      <c r="V20" s="17">
        <v>1</v>
      </c>
      <c r="W20" s="9" t="s">
        <v>38</v>
      </c>
      <c r="X20" s="9">
        <f>INDEX('Unique Asset List'!$Y$4:$AE$60,MATCH('2'!$B20,'Unique Asset List'!$A$4:$A$60,0),MATCH('2'!$C$1,'Unique Asset List'!$Y$3:$AE$3,0))</f>
        <v>2023</v>
      </c>
      <c r="Y20" s="9">
        <f>INDEX('Unique Asset List'!$AF$4:$AL$60,MATCH('2'!$B20,'Unique Asset List'!$A$4:$A$60,0),MATCH('2'!$C$1,'Unique Asset List'!$AF$3:$AL$3,0))</f>
        <v>11</v>
      </c>
      <c r="Z20" s="9">
        <f>INDEX('Unique Asset List'!$AT$4:$AZ$60,MATCH('2'!$B20,'Unique Asset List'!$A$4:$A$60,0),MATCH('2'!$C$1,'Unique Asset List'!$AT$3:$AZ$3,0))</f>
        <v>2034</v>
      </c>
      <c r="AA20" s="9">
        <f>INDEX('Unique Asset List'!$BA$4:$BG$60,MATCH('2'!$B20,'Unique Asset List'!$A$4:$A$60,0),MATCH('2'!$C$1,'Unique Asset List'!$BA$3:$BG$3,0))</f>
        <v>10</v>
      </c>
      <c r="AB20" s="16">
        <f t="shared" si="1"/>
        <v>2.1511674000000003</v>
      </c>
      <c r="AC20" s="16">
        <f t="shared" si="2"/>
        <v>0.95118959999999997</v>
      </c>
      <c r="AD20" s="16">
        <f t="shared" si="3"/>
        <v>0.56099999999999994</v>
      </c>
      <c r="AE20" s="15">
        <f>INDEX('Unique Asset List'!$CJ$4:$CP$60,MATCH('2'!$B20,'Unique Asset List'!$A$4:$A$60,0),MATCH('2'!$C$1,'Unique Asset List'!$CJ$3:$CP$3,0))</f>
        <v>0.2</v>
      </c>
      <c r="AF20" s="15">
        <f>INDEX('Unique Asset List'!$CQ$4:$CW$60,MATCH('2'!$B20,'Unique Asset List'!$A$4:$A$60,0),MATCH('2'!$C$1,'Unique Asset List'!$CQ$3:$CW$3,0))</f>
        <v>0.3</v>
      </c>
      <c r="AG20" s="15">
        <f>INDEX('Unique Asset List'!$BV$4:$CB$60,MATCH('2'!$B20,'Unique Asset List'!$A$4:$A$60,0),MATCH('2'!$C$1,'Unique Asset List'!$BV$3:$CB$3,0))</f>
        <v>0.2</v>
      </c>
      <c r="AH20" s="15">
        <f>INDEX('Unique Asset List'!$CC$4:$CI$60,MATCH('2'!$B20,'Unique Asset List'!$A$4:$A$60,0),MATCH('2'!$C$1,'Unique Asset List'!$CC$3:$CI$3,0))</f>
        <v>0.3</v>
      </c>
      <c r="AI20" s="11">
        <v>0.96187963349867744</v>
      </c>
      <c r="AJ20" s="15">
        <f>INDEX('Unique Asset List'!$BH$4:$BN$60,MATCH('2'!$B20,'Unique Asset List'!$A$4:$A$60,0),MATCH('2'!$C$1,'Unique Asset List'!$BH$3:$BN$3,0))</f>
        <v>2.2612105538192599</v>
      </c>
      <c r="AK20" s="15">
        <f>INDEX('Unique Asset List'!$BO$4:$BU$60,MATCH('2'!$B20,'Unique Asset List'!$A$4:$A$60,0),MATCH('2'!$C$1,'Unique Asset List'!$BO$3:$BU$3,0))</f>
        <v>-1.7475682675103321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4"/>
        <v>0.82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1</v>
      </c>
      <c r="AV20" s="181">
        <f>INDEX('Unique Asset List'!P$4:P$60,MATCH($B20,_CompoundList,0))</f>
        <v>0</v>
      </c>
      <c r="AW20" s="181">
        <f>INDEX('Unique Asset List'!Q$4:Q$60,MATCH($B20,_CompoundList,0))</f>
        <v>1</v>
      </c>
      <c r="AX20" s="181">
        <f ca="1">INDEX('Unique Asset List'!R$4:R$60,MATCH($B20,_CompoundList,0))</f>
        <v>0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0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0</v>
      </c>
      <c r="BD20" s="4">
        <f>IF($C$5="ON",CD20,MyRating(_E1,$B20,Efficacy!$F$1))</f>
        <v>4</v>
      </c>
      <c r="BE20" s="3">
        <f>IF($C$5="ON",CE20,MyRating(_E2,$B20,Efficacy!$F$1))</f>
        <v>4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5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3</v>
      </c>
      <c r="BL20" s="3">
        <f>IF($C$5="ON",CL20,MyRating(_S1,$B20,'S&amp;T'!$F$1))</f>
        <v>4</v>
      </c>
      <c r="BM20" s="3">
        <f>IF($C$5="ON",CM20,MyRating(_S2,$B20,'S&amp;T'!$F$1))</f>
        <v>4</v>
      </c>
      <c r="BN20" s="3">
        <f>IF($C$5="ON",CN20,MyRating(_S3,$B20,'S&amp;T'!$F$1))</f>
        <v>4</v>
      </c>
      <c r="BO20" s="3">
        <f>IF($C$5="ON",CO20,MyRating(_S4,$B20,'S&amp;T'!$F$1))</f>
        <v>3</v>
      </c>
      <c r="BP20" s="3">
        <f>IF($C$5="ON",CP20,MyRating(_S5,$B20,'S&amp;T'!$F$1))</f>
        <v>5</v>
      </c>
      <c r="BQ20" s="3">
        <f>IF($C$5="ON",CQ20,MyRating(_S6,$B20,'S&amp;T'!$F$1))</f>
        <v>4</v>
      </c>
      <c r="BR20" s="3">
        <f>IF($C$5="ON",CR20,MyRating(_S7,$B20,'S&amp;T'!$F$1))</f>
        <v>2</v>
      </c>
      <c r="BS20" s="3">
        <f>IF($C$5="ON",CS20,MyRating(_D1,$B20,Delivery!$F$1))</f>
        <v>3</v>
      </c>
      <c r="BT20" s="3">
        <f>IF($C$5="ON",CT20,MyRating(_D2,$B20,Delivery!$F$1))</f>
        <v>3</v>
      </c>
      <c r="BU20" s="3">
        <f>IF($C$5="ON",CU20,MyRating(_D3,$B20,Delivery!$F$1))</f>
        <v>3</v>
      </c>
      <c r="BV20" s="3">
        <f>IF($C$5="ON",CV20,MyRating(_D4,$B20,Delivery!$F$1))</f>
        <v>3</v>
      </c>
      <c r="BW20" s="3">
        <f>IF($C$5="ON",CW20,MyRating(_B1G5,$B20,Barrier!$L$2))</f>
        <v>2</v>
      </c>
      <c r="BX20" s="3">
        <f>IF($C$5="ON",CX20,MyRating(_B2,$B20,Barrier!$F$2))</f>
        <v>2</v>
      </c>
      <c r="BY20" s="6">
        <f>IF($C$5="ON",CY20,MyRating(_B3,$B20,Barrier!$F$2))</f>
        <v>2</v>
      </c>
      <c r="BZ20" s="5">
        <f t="shared" si="8"/>
        <v>1.9651372605899751E-2</v>
      </c>
      <c r="CA20" s="8">
        <f t="shared" si="5"/>
        <v>2</v>
      </c>
      <c r="CB20" s="5">
        <f t="shared" si="6"/>
        <v>2.3041474654377891E-2</v>
      </c>
      <c r="CC20" s="7">
        <f t="shared" si="7"/>
        <v>3.4975618705006726E-3</v>
      </c>
      <c r="CD20" s="4">
        <v>4</v>
      </c>
      <c r="CE20" s="3">
        <v>3</v>
      </c>
      <c r="CF20" s="3">
        <v>3</v>
      </c>
      <c r="CG20" s="3">
        <v>4</v>
      </c>
      <c r="CH20" s="3">
        <v>3</v>
      </c>
      <c r="CI20" s="3">
        <v>2</v>
      </c>
      <c r="CJ20" s="3">
        <v>3</v>
      </c>
      <c r="CK20" s="3">
        <v>3</v>
      </c>
      <c r="CL20" s="3">
        <v>4</v>
      </c>
      <c r="CM20" s="3">
        <v>4</v>
      </c>
      <c r="CN20" s="3">
        <v>3</v>
      </c>
      <c r="CO20" s="3">
        <v>4</v>
      </c>
      <c r="CP20" s="3">
        <v>5</v>
      </c>
      <c r="CQ20" s="3">
        <v>2</v>
      </c>
      <c r="CR20" s="3">
        <v>3</v>
      </c>
      <c r="CS20" s="3">
        <v>3</v>
      </c>
      <c r="CT20" s="3">
        <v>2</v>
      </c>
      <c r="CU20" s="3">
        <v>3</v>
      </c>
      <c r="CV20" s="3">
        <v>3</v>
      </c>
      <c r="CW20" s="3">
        <v>2</v>
      </c>
      <c r="CX20" s="3">
        <v>3</v>
      </c>
      <c r="CY20" s="6">
        <v>3</v>
      </c>
      <c r="CZ20" s="5">
        <v>3.6275844714639842E-2</v>
      </c>
    </row>
    <row r="21" spans="1:104" x14ac:dyDescent="0.25">
      <c r="A21" s="9" t="s">
        <v>178</v>
      </c>
      <c r="B21" s="9" t="s">
        <v>75</v>
      </c>
      <c r="C21" s="20"/>
      <c r="D21" s="9" t="s">
        <v>74</v>
      </c>
      <c r="E21" s="9" t="s">
        <v>186</v>
      </c>
      <c r="F21" s="9" t="str">
        <f>INDEX('Unique Asset List'!$C$4:$C$60,MATCH(B21,_CompoundList,0))</f>
        <v>Ph2a</v>
      </c>
      <c r="G21" s="19">
        <v>0</v>
      </c>
      <c r="H21" s="9">
        <v>2014</v>
      </c>
      <c r="I21" s="9">
        <v>6</v>
      </c>
      <c r="J21" s="18">
        <f>INDEX(PTRS!$D$6:$D$12,MATCH('2'!$F21,PTRS!$B$6:$B$12,0))</f>
        <v>0.1638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7">
        <v>0.1638</v>
      </c>
      <c r="N21" s="17">
        <f>INDEX('Unique Asset List'!$D$4:$M$60,MATCH($B21,'Unique Asset List'!$A$4:$A$60,0),MATCH(N$8,'Unique Asset List'!$D$3:$M$3,0))</f>
        <v>0.1638</v>
      </c>
      <c r="O21" s="17">
        <f>INDEX('Unique Asset List'!$D$4:$M$60,MATCH($B21,'Unique Asset List'!$A$4:$A$60,0),MATCH(O$8,'Unique Asset List'!$D$3:$M$3,0))</f>
        <v>0.1638</v>
      </c>
      <c r="P21" s="17">
        <f>INDEX('Unique Asset List'!$D$4:$M$60,MATCH($B21,'Unique Asset List'!$A$4:$A$60,0),MATCH(P$8,'Unique Asset List'!$D$3:$M$3,0))</f>
        <v>0.1638</v>
      </c>
      <c r="Q21" s="17">
        <f>INDEX('Unique Asset List'!$D$4:$M$60,MATCH($B21,'Unique Asset List'!$A$4:$A$60,0),MATCH(Q$8,'Unique Asset List'!$D$3:$M$3,0))</f>
        <v>0.1638</v>
      </c>
      <c r="R21" s="17">
        <f>INDEX('Unique Asset List'!$D$4:$M$60,MATCH($B21,'Unique Asset List'!$A$4:$A$60,0),MATCH(R$8,'Unique Asset List'!$D$3:$M$3,0))</f>
        <v>0.1638</v>
      </c>
      <c r="S21" s="17">
        <f>INDEX('Unique Asset List'!$D$4:$M$60,MATCH($B21,'Unique Asset List'!$A$4:$A$60,0),MATCH(S$8,'Unique Asset List'!$D$3:$M$3,0))</f>
        <v>1</v>
      </c>
      <c r="T21" s="17"/>
      <c r="U21" s="17">
        <f t="shared" si="0"/>
        <v>0.90168566420734253</v>
      </c>
      <c r="V21" s="17">
        <v>1</v>
      </c>
      <c r="W21" s="9" t="s">
        <v>27</v>
      </c>
      <c r="X21" s="9">
        <f>INDEX('Unique Asset List'!$Y$4:$AE$60,MATCH('2'!$B21,'Unique Asset List'!$A$4:$A$60,0),MATCH('2'!$C$1,'Unique Asset List'!$Y$3:$AE$3,0))</f>
        <v>2024</v>
      </c>
      <c r="Y21" s="9">
        <f>INDEX('Unique Asset List'!$AF$4:$AL$60,MATCH('2'!$B21,'Unique Asset List'!$A$4:$A$60,0),MATCH('2'!$C$1,'Unique Asset List'!$AF$3:$AL$3,0))</f>
        <v>6</v>
      </c>
      <c r="Z21" s="9">
        <f>INDEX('Unique Asset List'!$AT$4:$AZ$60,MATCH('2'!$B21,'Unique Asset List'!$A$4:$A$60,0),MATCH('2'!$C$1,'Unique Asset List'!$AT$3:$AZ$3,0))</f>
        <v>2034</v>
      </c>
      <c r="AA21" s="9">
        <f>INDEX('Unique Asset List'!$BA$4:$BG$60,MATCH('2'!$B21,'Unique Asset List'!$A$4:$A$60,0),MATCH('2'!$C$1,'Unique Asset List'!$BA$3:$BG$3,0))</f>
        <v>6</v>
      </c>
      <c r="AB21" s="16">
        <f t="shared" si="1"/>
        <v>1.9312568000000003</v>
      </c>
      <c r="AC21" s="16">
        <f t="shared" si="2"/>
        <v>0.82350590000000001</v>
      </c>
      <c r="AD21" s="16">
        <f t="shared" si="3"/>
        <v>0.45111879999999999</v>
      </c>
      <c r="AE21" s="15">
        <f>INDEX('Unique Asset List'!$CJ$4:$CP$60,MATCH('2'!$B21,'Unique Asset List'!$A$4:$A$60,0),MATCH('2'!$C$1,'Unique Asset List'!$CJ$3:$CP$3,0))</f>
        <v>0.2</v>
      </c>
      <c r="AF21" s="15">
        <f>INDEX('Unique Asset List'!$CQ$4:$CW$60,MATCH('2'!$B21,'Unique Asset List'!$A$4:$A$60,0),MATCH('2'!$C$1,'Unique Asset List'!$CQ$3:$CW$3,0))</f>
        <v>0.3</v>
      </c>
      <c r="AG21" s="15">
        <f>INDEX('Unique Asset List'!$BV$4:$CB$60,MATCH('2'!$B21,'Unique Asset List'!$A$4:$A$60,0),MATCH('2'!$C$1,'Unique Asset List'!$BV$3:$CB$3,0))</f>
        <v>0.2</v>
      </c>
      <c r="AH21" s="15">
        <f>INDEX('Unique Asset List'!$CC$4:$CI$60,MATCH('2'!$B21,'Unique Asset List'!$A$4:$A$60,0),MATCH('2'!$C$1,'Unique Asset List'!$CC$3:$CI$3,0))</f>
        <v>0.3</v>
      </c>
      <c r="AI21" s="11">
        <v>0.96187963349867744</v>
      </c>
      <c r="AJ21" s="15">
        <f>INDEX('Unique Asset List'!$BH$4:$BN$60,MATCH('2'!$B21,'Unique Asset List'!$A$4:$A$60,0),MATCH('2'!$C$1,'Unique Asset List'!$BH$3:$BN$3,0))</f>
        <v>2.2612105538192599</v>
      </c>
      <c r="AK21" s="15">
        <f>INDEX('Unique Asset List'!$BO$4:$BU$60,MATCH('2'!$B21,'Unique Asset List'!$A$4:$A$60,0),MATCH('2'!$C$1,'Unique Asset List'!$BO$3:$BU$3,0))</f>
        <v>-1.7475682675103321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4"/>
        <v>0.82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0</v>
      </c>
      <c r="AY21" s="181">
        <f ca="1">INDEX('Unique Asset List'!S$4:S$60,MATCH($B21,_CompoundList,0))</f>
        <v>0</v>
      </c>
      <c r="AZ21" s="181">
        <f ca="1">INDEX('Unique Asset List'!T$4:T$60,MATCH($B21,_CompoundList,0))</f>
        <v>0</v>
      </c>
      <c r="BA21" s="181">
        <f ca="1">INDEX('Unique Asset List'!U$4:U$60,MATCH($B21,_CompoundList,0))</f>
        <v>1</v>
      </c>
      <c r="BB21" s="181">
        <f ca="1">INDEX('Unique Asset List'!V$4:V$60,MATCH($B21,_CompoundList,0))</f>
        <v>0</v>
      </c>
      <c r="BC21" s="181">
        <f ca="1">INDEX('Unique Asset List'!W$4:W$60,MATCH($B21,_CompoundList,0))</f>
        <v>1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4</v>
      </c>
      <c r="BG21" s="3">
        <f>IF($C$5="ON",CG21,MyRating(_E4,$B21,Efficacy!$F$1))</f>
        <v>3</v>
      </c>
      <c r="BH21" s="3">
        <f>IF($C$5="ON",CH21,MyRating(_E5,$B21,Efficacy!$F$1))</f>
        <v>3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5</v>
      </c>
      <c r="BL21" s="3">
        <f>IF($C$5="ON",CL21,MyRating(_S1,$B21,'S&amp;T'!$F$1))</f>
        <v>3</v>
      </c>
      <c r="BM21" s="3">
        <f>IF($C$5="ON",CM21,MyRating(_S2,$B21,'S&amp;T'!$F$1))</f>
        <v>3</v>
      </c>
      <c r="BN21" s="3">
        <f>IF($C$5="ON",CN21,MyRating(_S3,$B21,'S&amp;T'!$F$1))</f>
        <v>3</v>
      </c>
      <c r="BO21" s="3">
        <f>IF($C$5="ON",CO21,MyRating(_S4,$B21,'S&amp;T'!$F$1))</f>
        <v>3</v>
      </c>
      <c r="BP21" s="3">
        <f>IF($C$5="ON",CP21,MyRating(_S5,$B21,'S&amp;T'!$F$1))</f>
        <v>5</v>
      </c>
      <c r="BQ21" s="3">
        <f>IF($C$5="ON",CQ21,MyRating(_S6,$B21,'S&amp;T'!$F$1))</f>
        <v>2</v>
      </c>
      <c r="BR21" s="3">
        <f>IF($C$5="ON",CR21,MyRating(_S7,$B21,'S&amp;T'!$F$1))</f>
        <v>3</v>
      </c>
      <c r="BS21" s="3">
        <f>IF($C$5="ON",CS21,MyRating(_D1,$B21,Delivery!$F$1))</f>
        <v>3</v>
      </c>
      <c r="BT21" s="3">
        <f>IF($C$5="ON",CT21,MyRating(_D2,$B21,Delivery!$F$1))</f>
        <v>3</v>
      </c>
      <c r="BU21" s="3">
        <f>IF($C$5="ON",CU21,MyRating(_D3,$B21,Delivery!$F$1))</f>
        <v>3</v>
      </c>
      <c r="BV21" s="3">
        <f>IF($C$5="ON",CV21,MyRating(_D4,$B21,Delivery!$F$1))</f>
        <v>1</v>
      </c>
      <c r="BW21" s="3">
        <f>IF($C$5="ON",CW21,MyRating(_B1G5,$B21,Barrier!$L$2))</f>
        <v>2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8"/>
        <v>3.255254469149791E-2</v>
      </c>
      <c r="CA21" s="8">
        <f t="shared" si="5"/>
        <v>2.8000000000000003</v>
      </c>
      <c r="CB21" s="5">
        <f t="shared" si="6"/>
        <v>3.2258064516129052E-2</v>
      </c>
      <c r="CC21" s="7">
        <f t="shared" si="7"/>
        <v>5.7937194202185476E-3</v>
      </c>
      <c r="CD21" s="4">
        <v>4</v>
      </c>
      <c r="CE21" s="3">
        <v>4</v>
      </c>
      <c r="CF21" s="3">
        <v>4</v>
      </c>
      <c r="CG21" s="3">
        <v>3</v>
      </c>
      <c r="CH21" s="3">
        <v>3</v>
      </c>
      <c r="CI21" s="3">
        <v>2</v>
      </c>
      <c r="CJ21" s="3">
        <v>3</v>
      </c>
      <c r="CK21" s="3">
        <v>5</v>
      </c>
      <c r="CL21" s="3">
        <v>2</v>
      </c>
      <c r="CM21" s="3">
        <v>3</v>
      </c>
      <c r="CN21" s="3">
        <v>3</v>
      </c>
      <c r="CO21" s="3">
        <v>3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2</v>
      </c>
      <c r="CX21" s="3">
        <v>3</v>
      </c>
      <c r="CY21" s="6">
        <v>3</v>
      </c>
      <c r="CZ21" s="5">
        <v>3.6275844714639842E-2</v>
      </c>
    </row>
    <row r="22" spans="1:104" x14ac:dyDescent="0.25">
      <c r="A22" s="9" t="s">
        <v>178</v>
      </c>
      <c r="B22" s="9" t="s">
        <v>295</v>
      </c>
      <c r="C22" s="20"/>
      <c r="D22" s="9" t="s">
        <v>2</v>
      </c>
      <c r="E22" s="9" t="s">
        <v>186</v>
      </c>
      <c r="F22" s="9" t="str">
        <f>INDEX('Unique Asset List'!$C$4:$C$60,MATCH(B22,_CompoundList,0))</f>
        <v>PCD</v>
      </c>
      <c r="G22" s="19">
        <v>0</v>
      </c>
      <c r="H22" s="9">
        <v>2014</v>
      </c>
      <c r="I22" s="9">
        <v>6</v>
      </c>
      <c r="J22" s="18">
        <f>INDEX(PTRS!$D$6:$D$12,MATCH('2'!$F22,PTRS!$B$6:$B$12,0))</f>
        <v>0.1044225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7">
        <v>0</v>
      </c>
      <c r="N22" s="17">
        <f>INDEX('Unique Asset List'!$D$4:$M$60,MATCH($B22,'Unique Asset List'!$A$4:$A$60,0),MATCH(N$8,'Unique Asset List'!$D$3:$M$3,0))</f>
        <v>0.16400000000000001</v>
      </c>
      <c r="O22" s="17">
        <f>INDEX('Unique Asset List'!$D$4:$M$60,MATCH($B22,'Unique Asset List'!$A$4:$A$60,0),MATCH(O$8,'Unique Asset List'!$D$3:$M$3,0))</f>
        <v>0.16400000000000001</v>
      </c>
      <c r="P22" s="17">
        <f>INDEX('Unique Asset List'!$D$4:$M$60,MATCH($B22,'Unique Asset List'!$A$4:$A$60,0),MATCH(P$8,'Unique Asset List'!$D$3:$M$3,0))</f>
        <v>0.16400000000000001</v>
      </c>
      <c r="Q22" s="17">
        <f>INDEX('Unique Asset List'!$D$4:$M$60,MATCH($B22,'Unique Asset List'!$A$4:$A$60,0),MATCH(Q$8,'Unique Asset List'!$D$3:$M$3,0))</f>
        <v>0.16400000000000001</v>
      </c>
      <c r="R22" s="17">
        <f>INDEX('Unique Asset List'!$D$4:$M$60,MATCH($B22,'Unique Asset List'!$A$4:$A$60,0),MATCH(R$8,'Unique Asset List'!$D$3:$M$3,0))</f>
        <v>0.16400000000000001</v>
      </c>
      <c r="S22" s="17">
        <f>INDEX('Unique Asset List'!$D$4:$M$60,MATCH($B22,'Unique Asset List'!$A$4:$A$60,0),MATCH(S$8,'Unique Asset List'!$D$3:$M$3,0))</f>
        <v>0</v>
      </c>
      <c r="T22" s="17"/>
      <c r="U22" s="17">
        <f t="shared" si="0"/>
        <v>0.80682275808442794</v>
      </c>
      <c r="V22" s="17">
        <f>(42%+N("TRD as % of aMDD"))*(5/6+N("Maintenance only"))</f>
        <v>0.35</v>
      </c>
      <c r="W22" s="9" t="s">
        <v>62</v>
      </c>
      <c r="X22" s="9">
        <f>INDEX('Unique Asset List'!$Y$4:$AE$60,MATCH('2'!$B22,'Unique Asset List'!$A$4:$A$60,0),MATCH('2'!$C$1,'Unique Asset List'!$Y$3:$AE$3,0))</f>
        <v>2026</v>
      </c>
      <c r="Y22" s="9">
        <f>INDEX('Unique Asset List'!$AF$4:$AL$60,MATCH('2'!$B22,'Unique Asset List'!$A$4:$A$60,0),MATCH('2'!$C$1,'Unique Asset List'!$AF$3:$AL$3,0))</f>
        <v>9</v>
      </c>
      <c r="Z22" s="9">
        <f>INDEX('Unique Asset List'!$AT$4:$AZ$60,MATCH('2'!$B22,'Unique Asset List'!$A$4:$A$60,0),MATCH('2'!$C$1,'Unique Asset List'!$AT$3:$AZ$3,0))</f>
        <v>2046</v>
      </c>
      <c r="AA22" s="9">
        <f>INDEX('Unique Asset List'!$BA$4:$BG$60,MATCH('2'!$B22,'Unique Asset List'!$A$4:$A$60,0),MATCH('2'!$C$1,'Unique Asset List'!$BA$3:$BG$3,0))</f>
        <v>9</v>
      </c>
      <c r="AB22" s="16">
        <f t="shared" si="1"/>
        <v>2.3950192000000001</v>
      </c>
      <c r="AC22" s="16">
        <f t="shared" si="2"/>
        <v>0.88497580000000009</v>
      </c>
      <c r="AD22" s="16">
        <f t="shared" si="3"/>
        <v>0.56099999999999994</v>
      </c>
      <c r="AE22" s="15">
        <f>INDEX('Unique Asset List'!$CJ$4:$CP$60,MATCH('2'!$B22,'Unique Asset List'!$A$4:$A$60,0),MATCH('2'!$C$1,'Unique Asset List'!$CJ$3:$CP$3,0))</f>
        <v>0.27</v>
      </c>
      <c r="AF22" s="15">
        <f>INDEX('Unique Asset List'!$CQ$4:$CW$60,MATCH('2'!$B22,'Unique Asset List'!$A$4:$A$60,0),MATCH('2'!$C$1,'Unique Asset List'!$CQ$3:$CW$3,0))</f>
        <v>0.23</v>
      </c>
      <c r="AG22" s="15">
        <f>INDEX('Unique Asset List'!$BV$4:$CB$60,MATCH('2'!$B22,'Unique Asset List'!$A$4:$A$60,0),MATCH('2'!$C$1,'Unique Asset List'!$BV$3:$CB$3,0))</f>
        <v>0.27</v>
      </c>
      <c r="AH22" s="15">
        <f>INDEX('Unique Asset List'!$CC$4:$CI$60,MATCH('2'!$B22,'Unique Asset List'!$A$4:$A$60,0),MATCH('2'!$C$1,'Unique Asset List'!$CC$3:$CI$3,0))</f>
        <v>0.23</v>
      </c>
      <c r="AI22" s="11">
        <v>0.96187963349867744</v>
      </c>
      <c r="AJ22" s="15">
        <f>INDEX('Unique Asset List'!$BH$4:$BN$60,MATCH('2'!$B22,'Unique Asset List'!$A$4:$A$60,0),MATCH('2'!$C$1,'Unique Asset List'!$BH$3:$BN$3,0))</f>
        <v>2.2612105538192599</v>
      </c>
      <c r="AK22" s="15">
        <f>INDEX('Unique Asset List'!$BO$4:$BU$60,MATCH('2'!$B22,'Unique Asset List'!$A$4:$A$60,0),MATCH('2'!$C$1,'Unique Asset List'!$BO$3:$BU$3,0))</f>
        <v>-1.7475682675103321</v>
      </c>
      <c r="AL22" s="40">
        <f>177.567567567568-28</f>
        <v>149.56756756756801</v>
      </c>
      <c r="AM22" s="14">
        <f>AM13*0.9</f>
        <v>32.504547945205481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4"/>
        <v>0.82</v>
      </c>
      <c r="AS22" s="10">
        <f>2/7</f>
        <v>0.2857142857142857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0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5</v>
      </c>
      <c r="BE22" s="3">
        <f>IF($C$5="ON",CE22,MyRating(_E2,$B22,Efficacy!$F$1))</f>
        <v>5</v>
      </c>
      <c r="BF22" s="3">
        <f>IF($C$5="ON",CF22,MyRating(_E3,$B22,Efficacy!$F$1))</f>
        <v>5</v>
      </c>
      <c r="BG22" s="3">
        <f>IF($C$5="ON",CG22,MyRating(_E4,$B22,Efficacy!$F$1))</f>
        <v>5</v>
      </c>
      <c r="BH22" s="3">
        <f>IF($C$5="ON",CH22,MyRating(_E5,$B22,Efficacy!$F$1))</f>
        <v>4</v>
      </c>
      <c r="BI22" s="3">
        <f>IF($C$5="ON",CI22,MyRating(_E6,$B22,Efficacy!$F$1))</f>
        <v>3</v>
      </c>
      <c r="BJ22" s="3">
        <f>IF($C$5="ON",CJ22,MyRating(_E7,$B22,Efficacy!$F$1))</f>
        <v>2</v>
      </c>
      <c r="BK22" s="3">
        <f>IF($C$5="ON",CK22,MyRating(_E8,$B22,Efficacy!$F$1))</f>
        <v>3</v>
      </c>
      <c r="BL22" s="3">
        <f>IF($C$5="ON",CL22,MyRating(_S1,$B22,'S&amp;T'!$F$1))</f>
        <v>4</v>
      </c>
      <c r="BM22" s="3">
        <f>IF($C$5="ON",CM22,MyRating(_S2,$B22,'S&amp;T'!$F$1))</f>
        <v>3</v>
      </c>
      <c r="BN22" s="3">
        <f>IF($C$5="ON",CN22,MyRating(_S3,$B22,'S&amp;T'!$F$1))</f>
        <v>3</v>
      </c>
      <c r="BO22" s="3">
        <f>IF($C$5="ON",CO22,MyRating(_S4,$B22,'S&amp;T'!$F$1))</f>
        <v>3</v>
      </c>
      <c r="BP22" s="3">
        <f>IF($C$5="ON",CP22,MyRating(_S5,$B22,'S&amp;T'!$F$1))</f>
        <v>5</v>
      </c>
      <c r="BQ22" s="3">
        <f>IF($C$5="ON",CQ22,MyRating(_S6,$B22,'S&amp;T'!$F$1))</f>
        <v>2</v>
      </c>
      <c r="BR22" s="3">
        <f>IF($C$5="ON",CR22,MyRating(_S7,$B22,'S&amp;T'!$F$1))</f>
        <v>3</v>
      </c>
      <c r="BS22" s="3">
        <f>IF($C$5="ON",CS22,MyRating(_D1,$B22,Delivery!$F$1))</f>
        <v>3</v>
      </c>
      <c r="BT22" s="3">
        <f>IF($C$5="ON",CT22,MyRating(_D2,$B22,Delivery!$F$1))</f>
        <v>3</v>
      </c>
      <c r="BU22" s="3">
        <f>IF($C$5="ON",CU22,MyRating(_D3,$B22,Delivery!$F$1))</f>
        <v>3</v>
      </c>
      <c r="BV22" s="3">
        <f>IF($C$5="ON",CV22,MyRating(_D4,$B22,Delivery!$F$1))</f>
        <v>3</v>
      </c>
      <c r="BW22" s="3">
        <f>IF($C$5="ON",CW22,MyRating(_B1G5,$B22,Barrier!$L$2))</f>
        <v>1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8"/>
        <v>2.9127815749127307E-2</v>
      </c>
      <c r="CA22" s="8">
        <f t="shared" si="5"/>
        <v>2.6000000000000005</v>
      </c>
      <c r="CB22" s="5">
        <f t="shared" si="6"/>
        <v>2.9953917050691267E-2</v>
      </c>
      <c r="CC22" s="7">
        <f t="shared" si="7"/>
        <v>5.1841843202612347E-3</v>
      </c>
      <c r="CD22" s="4">
        <v>5</v>
      </c>
      <c r="CE22" s="3">
        <v>5</v>
      </c>
      <c r="CF22" s="3">
        <v>5</v>
      </c>
      <c r="CG22" s="3">
        <v>4</v>
      </c>
      <c r="CH22" s="3">
        <v>3</v>
      </c>
      <c r="CI22" s="3">
        <v>3</v>
      </c>
      <c r="CJ22" s="3">
        <v>3</v>
      </c>
      <c r="CK22" s="3">
        <v>4</v>
      </c>
      <c r="CL22" s="3">
        <v>5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2</v>
      </c>
      <c r="CT22" s="3">
        <v>3</v>
      </c>
      <c r="CU22" s="3">
        <v>3</v>
      </c>
      <c r="CV22" s="3">
        <v>1</v>
      </c>
      <c r="CW22" s="3">
        <v>1</v>
      </c>
      <c r="CX22" s="3">
        <v>1</v>
      </c>
      <c r="CY22" s="6">
        <v>1</v>
      </c>
      <c r="CZ22" s="5">
        <v>9.9044671286996639E-3</v>
      </c>
    </row>
    <row r="23" spans="1:104" x14ac:dyDescent="0.25">
      <c r="A23" s="9" t="s">
        <v>178</v>
      </c>
      <c r="B23" s="9" t="s">
        <v>73</v>
      </c>
      <c r="C23" s="20" t="s">
        <v>3</v>
      </c>
      <c r="D23" s="9" t="s">
        <v>72</v>
      </c>
      <c r="E23" s="9" t="s">
        <v>186</v>
      </c>
      <c r="F23" s="9" t="str">
        <f>INDEX('Unique Asset List'!$C$4:$C$60,MATCH(B23,_CompoundList,0))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INDEX(PTRS!$D$6:$D$12,MATCH('2'!$F23,PTRS!$B$6:$B$12,0))</f>
        <v>0.13923000000000002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0</v>
      </c>
      <c r="M23" s="17">
        <v>4.6410000000000007E-2</v>
      </c>
      <c r="N23" s="17">
        <f>INDEX('Unique Asset List'!$D$4:$M$60,MATCH($B23,'Unique Asset List'!$A$4:$A$60,0),MATCH(N$8,'Unique Asset List'!$D$3:$M$3,0))</f>
        <v>0.13923000000000002</v>
      </c>
      <c r="O23" s="17">
        <f>INDEX('Unique Asset List'!$D$4:$M$60,MATCH($B23,'Unique Asset List'!$A$4:$A$60,0),MATCH(O$8,'Unique Asset List'!$D$3:$M$3,0))</f>
        <v>0.13923000000000002</v>
      </c>
      <c r="P23" s="17">
        <f>INDEX('Unique Asset List'!$D$4:$M$60,MATCH($B23,'Unique Asset List'!$A$4:$A$60,0),MATCH(P$8,'Unique Asset List'!$D$3:$M$3,0))</f>
        <v>0.13923000000000002</v>
      </c>
      <c r="Q23" s="17">
        <f>INDEX('Unique Asset List'!$D$4:$M$60,MATCH($B23,'Unique Asset List'!$A$4:$A$60,0),MATCH(Q$8,'Unique Asset List'!$D$3:$M$3,0))</f>
        <v>0.13923000000000002</v>
      </c>
      <c r="R23" s="17">
        <f>INDEX('Unique Asset List'!$D$4:$M$60,MATCH($B23,'Unique Asset List'!$A$4:$A$60,0),MATCH(R$8,'Unique Asset List'!$D$3:$M$3,0))</f>
        <v>0.13923000000000002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0"/>
        <v>0</v>
      </c>
      <c r="V23" s="17">
        <v>1</v>
      </c>
      <c r="W23" s="9" t="s">
        <v>27</v>
      </c>
      <c r="X23" s="9">
        <f>INDEX('Unique Asset List'!$Y$4:$AE$60,MATCH('2'!$B23,'Unique Asset List'!$A$4:$A$60,0),MATCH('2'!$C$1,'Unique Asset List'!$Y$3:$AE$3,0))</f>
        <v>2026</v>
      </c>
      <c r="Y23" s="9">
        <f>INDEX('Unique Asset List'!$AF$4:$AL$60,MATCH('2'!$B23,'Unique Asset List'!$A$4:$A$60,0),MATCH('2'!$C$1,'Unique Asset List'!$AF$3:$AL$3,0))</f>
        <v>3</v>
      </c>
      <c r="Z23" s="9">
        <f>INDEX('Unique Asset List'!$AT$4:$AZ$60,MATCH('2'!$B23,'Unique Asset List'!$A$4:$A$60,0),MATCH('2'!$C$1,'Unique Asset List'!$AT$3:$AZ$3,0))</f>
        <v>2036</v>
      </c>
      <c r="AA23" s="9">
        <f>INDEX('Unique Asset List'!$BA$4:$BG$60,MATCH('2'!$B23,'Unique Asset List'!$A$4:$A$60,0),MATCH('2'!$C$1,'Unique Asset List'!$BA$3:$BG$3,0))</f>
        <v>3</v>
      </c>
      <c r="AB23" s="16">
        <f t="shared" si="1"/>
        <v>1.9312568000000003</v>
      </c>
      <c r="AC23" s="16">
        <f t="shared" si="2"/>
        <v>0.76203600000000005</v>
      </c>
      <c r="AD23" s="16">
        <f t="shared" si="3"/>
        <v>0.45111879999999999</v>
      </c>
      <c r="AE23" s="15">
        <f>INDEX('Unique Asset List'!$CJ$4:$CP$60,MATCH('2'!$B23,'Unique Asset List'!$A$4:$A$60,0),MATCH('2'!$C$1,'Unique Asset List'!$CJ$3:$CP$3,0))</f>
        <v>0.2</v>
      </c>
      <c r="AF23" s="15">
        <f>INDEX('Unique Asset List'!$CQ$4:$CW$60,MATCH('2'!$B23,'Unique Asset List'!$A$4:$A$60,0),MATCH('2'!$C$1,'Unique Asset List'!$CQ$3:$CW$3,0))</f>
        <v>0.3</v>
      </c>
      <c r="AG23" s="15">
        <f>INDEX('Unique Asset List'!$BV$4:$CB$60,MATCH('2'!$B23,'Unique Asset List'!$A$4:$A$60,0),MATCH('2'!$C$1,'Unique Asset List'!$BV$3:$CB$3,0))</f>
        <v>0.2</v>
      </c>
      <c r="AH23" s="15">
        <f>INDEX('Unique Asset List'!$CC$4:$CI$60,MATCH('2'!$B23,'Unique Asset List'!$A$4:$A$60,0),MATCH('2'!$C$1,'Unique Asset List'!$CC$3:$CI$3,0))</f>
        <v>0.3</v>
      </c>
      <c r="AI23" s="11">
        <v>0.96187963349867744</v>
      </c>
      <c r="AJ23" s="15">
        <f>INDEX('Unique Asset List'!$BH$4:$BN$60,MATCH('2'!$B23,'Unique Asset List'!$A$4:$A$60,0),MATCH('2'!$C$1,'Unique Asset List'!$BH$3:$BN$3,0))</f>
        <v>2.2612105538192599</v>
      </c>
      <c r="AK23" s="15">
        <f>INDEX('Unique Asset List'!$BO$4:$BU$60,MATCH('2'!$B23,'Unique Asset List'!$A$4:$A$60,0),MATCH('2'!$C$1,'Unique Asset List'!$BO$3:$BU$3,0))</f>
        <v>-1.7475682675103321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4"/>
        <v>0.82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0</v>
      </c>
      <c r="AV23" s="181">
        <f>INDEX('Unique Asset List'!P$4:P$60,MATCH($B23,_CompoundList,0))</f>
        <v>0</v>
      </c>
      <c r="AW23" s="181">
        <f>INDEX('Unique Asset List'!Q$4:Q$60,MATCH($B23,_CompoundList,0))</f>
        <v>0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1</v>
      </c>
      <c r="AZ23" s="181">
        <f ca="1">INDEX('Unique Asset List'!T$4:T$60,MATCH($B23,_CompoundList,0))</f>
        <v>1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1</v>
      </c>
      <c r="BD23" s="4">
        <f>IF($C$5="ON",CD23,MyRating(_E1,$B23,Efficacy!$F$1))</f>
        <v>4</v>
      </c>
      <c r="BE23" s="3">
        <f>IF($C$5="ON",CE23,MyRating(_E2,$B23,Efficacy!$F$1))</f>
        <v>3</v>
      </c>
      <c r="BF23" s="3">
        <f>IF($C$5="ON",CF23,MyRating(_E3,$B23,Efficacy!$F$1))</f>
        <v>4</v>
      </c>
      <c r="BG23" s="3">
        <f>IF($C$5="ON",CG23,MyRating(_E4,$B23,Efficacy!$F$1))</f>
        <v>3</v>
      </c>
      <c r="BH23" s="3">
        <f>IF($C$5="ON",CH23,MyRating(_E5,$B23,Efficacy!$F$1))</f>
        <v>3</v>
      </c>
      <c r="BI23" s="3">
        <f>IF($C$5="ON",CI23,MyRating(_E6,$B23,Efficacy!$F$1))</f>
        <v>2</v>
      </c>
      <c r="BJ23" s="3">
        <f>IF($C$5="ON",CJ23,MyRating(_E7,$B23,Efficacy!$F$1))</f>
        <v>3</v>
      </c>
      <c r="BK23" s="3">
        <f>IF($C$5="ON",CK23,MyRating(_E8,$B23,Efficacy!$F$1))</f>
        <v>5</v>
      </c>
      <c r="BL23" s="3">
        <f>IF($C$5="ON",CL23,MyRating(_S1,$B23,'S&amp;T'!$F$1))</f>
        <v>2</v>
      </c>
      <c r="BM23" s="3">
        <f>IF($C$5="ON",CM23,MyRating(_S2,$B23,'S&amp;T'!$F$1))</f>
        <v>3</v>
      </c>
      <c r="BN23" s="3">
        <f>IF($C$5="ON",CN23,MyRating(_S3,$B23,'S&amp;T'!$F$1))</f>
        <v>3</v>
      </c>
      <c r="BO23" s="3">
        <f>IF($C$5="ON",CO23,MyRating(_S4,$B23,'S&amp;T'!$F$1))</f>
        <v>3</v>
      </c>
      <c r="BP23" s="3">
        <f>IF($C$5="ON",CP23,MyRating(_S5,$B23,'S&amp;T'!$F$1))</f>
        <v>5</v>
      </c>
      <c r="BQ23" s="3">
        <f>IF($C$5="ON",CQ23,MyRating(_S6,$B23,'S&amp;T'!$F$1))</f>
        <v>2</v>
      </c>
      <c r="BR23" s="3">
        <f>IF($C$5="ON",CR23,MyRating(_S7,$B23,'S&amp;T'!$F$1))</f>
        <v>3</v>
      </c>
      <c r="BS23" s="3">
        <f>IF($C$5="ON",CS23,MyRating(_D1,$B23,Delivery!$F$1))</f>
        <v>3</v>
      </c>
      <c r="BT23" s="3">
        <f>IF($C$5="ON",CT23,MyRating(_D2,$B23,Delivery!$F$1))</f>
        <v>3</v>
      </c>
      <c r="BU23" s="3">
        <f>IF($C$5="ON",CU23,MyRating(_D3,$B23,Delivery!$F$1))</f>
        <v>3</v>
      </c>
      <c r="BV23" s="3">
        <f>IF($C$5="ON",CV23,MyRating(_D4,$B23,Delivery!$F$1))</f>
        <v>1</v>
      </c>
      <c r="BW23" s="3">
        <f>IF($C$5="ON",CW23,MyRating(_B1G5,$B23,Barrier!$L$2))</f>
        <v>2</v>
      </c>
      <c r="BX23" s="3">
        <f>IF($C$5="ON",CX23,MyRating(_B2,$B23,Barrier!$F$2))</f>
        <v>3</v>
      </c>
      <c r="BY23" s="6">
        <f>IF($C$5="ON",CY23,MyRating(_B3,$B23,Barrier!$F$2))</f>
        <v>0</v>
      </c>
      <c r="BZ23" s="5">
        <f t="shared" si="8"/>
        <v>0</v>
      </c>
      <c r="CA23" s="8">
        <f t="shared" si="5"/>
        <v>1.6</v>
      </c>
      <c r="CB23" s="5">
        <f t="shared" si="6"/>
        <v>1.8433179723502315E-2</v>
      </c>
      <c r="CC23" s="7">
        <f t="shared" si="7"/>
        <v>2.5026515513442617E-3</v>
      </c>
      <c r="CD23" s="4">
        <v>4</v>
      </c>
      <c r="CE23" s="3">
        <v>4</v>
      </c>
      <c r="CF23" s="3">
        <v>4</v>
      </c>
      <c r="CG23" s="3">
        <v>3</v>
      </c>
      <c r="CH23" s="3">
        <v>3</v>
      </c>
      <c r="CI23" s="3">
        <v>2</v>
      </c>
      <c r="CJ23" s="3">
        <v>3</v>
      </c>
      <c r="CK23" s="3">
        <v>5</v>
      </c>
      <c r="CL23" s="3">
        <v>2</v>
      </c>
      <c r="CM23" s="3">
        <v>3</v>
      </c>
      <c r="CN23" s="3">
        <v>3</v>
      </c>
      <c r="CO23" s="3">
        <v>3</v>
      </c>
      <c r="CP23" s="3">
        <v>5</v>
      </c>
      <c r="CQ23" s="3">
        <v>2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2</v>
      </c>
      <c r="CX23" s="3">
        <v>3</v>
      </c>
      <c r="CY23" s="6">
        <v>3</v>
      </c>
      <c r="CZ23" s="5">
        <v>3.6275844714639842E-2</v>
      </c>
    </row>
    <row r="24" spans="1:104" x14ac:dyDescent="0.25">
      <c r="A24" s="9" t="s">
        <v>178</v>
      </c>
      <c r="B24" s="9" t="s">
        <v>17</v>
      </c>
      <c r="C24" s="20"/>
      <c r="D24" s="9" t="s">
        <v>2</v>
      </c>
      <c r="E24" s="9" t="s">
        <v>186</v>
      </c>
      <c r="F24" s="9" t="str">
        <f>INDEX('Unique Asset List'!$C$4:$C$60,MATCH(B24,_CompoundList,0))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INDEX(PTRS!$D$6:$D$12,MATCH('2'!$F24,PTRS!$B$6:$B$12,0))</f>
        <v>0.13923000000000002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v>0.25</v>
      </c>
      <c r="N24" s="17">
        <f>INDEX('Unique Asset List'!$D$4:$M$60,MATCH($B24,'Unique Asset List'!$A$4:$A$60,0),MATCH(N$8,'Unique Asset List'!$D$3:$M$3,0))</f>
        <v>0.25</v>
      </c>
      <c r="O24" s="17">
        <f>INDEX('Unique Asset List'!$D$4:$M$60,MATCH($B24,'Unique Asset List'!$A$4:$A$60,0),MATCH(O$8,'Unique Asset List'!$D$3:$M$3,0))</f>
        <v>0.25</v>
      </c>
      <c r="P24" s="17">
        <f>INDEX('Unique Asset List'!$D$4:$M$60,MATCH($B24,'Unique Asset List'!$A$4:$A$60,0),MATCH(P$8,'Unique Asset List'!$D$3:$M$3,0))</f>
        <v>0.25</v>
      </c>
      <c r="Q24" s="17">
        <f>INDEX('Unique Asset List'!$D$4:$M$60,MATCH($B24,'Unique Asset List'!$A$4:$A$60,0),MATCH(Q$8,'Unique Asset List'!$D$3:$M$3,0))</f>
        <v>0.25</v>
      </c>
      <c r="R24" s="17">
        <f>INDEX('Unique Asset List'!$D$4:$M$60,MATCH($B24,'Unique Asset List'!$A$4:$A$60,0),MATCH(R$8,'Unique Asset List'!$D$3:$M$3,0))</f>
        <v>0.25</v>
      </c>
      <c r="S24" s="17">
        <f>INDEX('Unique Asset List'!$D$4:$M$60,MATCH($B24,'Unique Asset List'!$A$4:$A$60,0),MATCH(S$8,'Unique Asset List'!$D$3:$M$3,0))</f>
        <v>0</v>
      </c>
      <c r="T24" s="17"/>
      <c r="U24" s="17">
        <f t="shared" si="0"/>
        <v>0.90168566420734253</v>
      </c>
      <c r="V24" s="17">
        <v>1</v>
      </c>
      <c r="W24" s="9" t="s">
        <v>16</v>
      </c>
      <c r="X24" s="9">
        <f>INDEX('Unique Asset List'!$Y$4:$AE$60,MATCH('2'!$B24,'Unique Asset List'!$A$4:$A$60,0),MATCH('2'!$C$1,'Unique Asset List'!$Y$3:$AE$3,0))</f>
        <v>2027</v>
      </c>
      <c r="Y24" s="9">
        <f>INDEX('Unique Asset List'!$AF$4:$AL$60,MATCH('2'!$B24,'Unique Asset List'!$A$4:$A$60,0),MATCH('2'!$C$1,'Unique Asset List'!$AF$3:$AL$3,0))</f>
        <v>1</v>
      </c>
      <c r="Z24" s="9">
        <f>INDEX('Unique Asset List'!$AT$4:$AZ$60,MATCH('2'!$B24,'Unique Asset List'!$A$4:$A$60,0),MATCH('2'!$C$1,'Unique Asset List'!$AT$3:$AZ$3,0))</f>
        <v>2034</v>
      </c>
      <c r="AA24" s="9">
        <f>INDEX('Unique Asset List'!$BA$4:$BG$60,MATCH('2'!$B24,'Unique Asset List'!$A$4:$A$60,0),MATCH('2'!$C$1,'Unique Asset List'!$BA$3:$BG$3,0))</f>
        <v>1</v>
      </c>
      <c r="AB24" s="16">
        <f t="shared" si="1"/>
        <v>1.8562298000000002</v>
      </c>
      <c r="AC24" s="16">
        <f t="shared" si="2"/>
        <v>0.97947730000000011</v>
      </c>
      <c r="AD24" s="16">
        <f t="shared" si="3"/>
        <v>0.56099999999999994</v>
      </c>
      <c r="AE24" s="15">
        <f>INDEX('Unique Asset List'!$CJ$4:$CP$60,MATCH('2'!$B24,'Unique Asset List'!$A$4:$A$60,0),MATCH('2'!$C$1,'Unique Asset List'!$CJ$3:$CP$3,0))</f>
        <v>0.2</v>
      </c>
      <c r="AF24" s="15">
        <f>INDEX('Unique Asset List'!$CQ$4:$CW$60,MATCH('2'!$B24,'Unique Asset List'!$A$4:$A$60,0),MATCH('2'!$C$1,'Unique Asset List'!$CQ$3:$CW$3,0))</f>
        <v>0.3</v>
      </c>
      <c r="AG24" s="15">
        <f>INDEX('Unique Asset List'!$BV$4:$CB$60,MATCH('2'!$B24,'Unique Asset List'!$A$4:$A$60,0),MATCH('2'!$C$1,'Unique Asset List'!$BV$3:$CB$3,0))</f>
        <v>0.2</v>
      </c>
      <c r="AH24" s="15">
        <f>INDEX('Unique Asset List'!$CC$4:$CI$60,MATCH('2'!$B24,'Unique Asset List'!$A$4:$A$60,0),MATCH('2'!$C$1,'Unique Asset List'!$CC$3:$CI$3,0))</f>
        <v>0.3</v>
      </c>
      <c r="AI24" s="11">
        <v>0.96187963349867744</v>
      </c>
      <c r="AJ24" s="15">
        <f>INDEX('Unique Asset List'!$BH$4:$BN$60,MATCH('2'!$B24,'Unique Asset List'!$A$4:$A$60,0),MATCH('2'!$C$1,'Unique Asset List'!$BH$3:$BN$3,0))</f>
        <v>2.2612105538192599</v>
      </c>
      <c r="AK24" s="15">
        <f>INDEX('Unique Asset List'!$BO$4:$BU$60,MATCH('2'!$B24,'Unique Asset List'!$A$4:$A$60,0),MATCH('2'!$C$1,'Unique Asset List'!$BO$3:$BU$3,0))</f>
        <v>-1.7475682675103321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4"/>
        <v>0.82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1</v>
      </c>
      <c r="AY24" s="181">
        <f ca="1">INDEX('Unique Asset List'!S$4:S$60,MATCH($B24,_CompoundList,0))</f>
        <v>1</v>
      </c>
      <c r="AZ24" s="181">
        <f ca="1">INDEX('Unique Asset List'!T$4:T$60,MATCH($B24,_CompoundList,0))</f>
        <v>1</v>
      </c>
      <c r="BA24" s="181">
        <f ca="1">INDEX('Unique Asset List'!U$4:U$60,MATCH($B24,_CompoundList,0))</f>
        <v>0</v>
      </c>
      <c r="BB24" s="181">
        <f ca="1">INDEX('Unique Asset List'!V$4:V$60,MATCH($B24,_CompoundList,0))</f>
        <v>1</v>
      </c>
      <c r="BC24" s="181">
        <f ca="1">INDEX('Unique Asset List'!W$4:W$60,MATCH($B24,_CompoundList,0))</f>
        <v>0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3</v>
      </c>
      <c r="BG24" s="3">
        <f>IF($C$5="ON",CG24,MyRating(_E4,$B24,Efficacy!$F$1))</f>
        <v>4</v>
      </c>
      <c r="BH24" s="3">
        <f>IF($C$5="ON",CH24,MyRating(_E5,$B24,Efficacy!$F$1))</f>
        <v>4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3</v>
      </c>
      <c r="BL24" s="3">
        <f>IF($C$5="ON",CL24,MyRating(_S1,$B24,'S&amp;T'!$F$1))</f>
        <v>4</v>
      </c>
      <c r="BM24" s="3">
        <f>IF($C$5="ON",CM24,MyRating(_S2,$B24,'S&amp;T'!$F$1))</f>
        <v>4</v>
      </c>
      <c r="BN24" s="3">
        <f>IF($C$5="ON",CN24,MyRating(_S3,$B24,'S&amp;T'!$F$1))</f>
        <v>3</v>
      </c>
      <c r="BO24" s="3">
        <f>IF($C$5="ON",CO24,MyRating(_S4,$B24,'S&amp;T'!$F$1))</f>
        <v>5</v>
      </c>
      <c r="BP24" s="3">
        <f>IF($C$5="ON",CP24,MyRating(_S5,$B24,'S&amp;T'!$F$1))</f>
        <v>5</v>
      </c>
      <c r="BQ24" s="3">
        <f>IF($C$5="ON",CQ24,MyRating(_S6,$B24,'S&amp;T'!$F$1))</f>
        <v>2</v>
      </c>
      <c r="BR24" s="3">
        <f>IF($C$5="ON",CR24,MyRating(_S7,$B24,'S&amp;T'!$F$1))</f>
        <v>3</v>
      </c>
      <c r="BS24" s="3">
        <f>IF($C$5="ON",CS24,MyRating(_D1,$B24,Delivery!$F$1))</f>
        <v>3</v>
      </c>
      <c r="BT24" s="3">
        <f>IF($C$5="ON",CT24,MyRating(_D2,$B24,Delivery!$F$1))</f>
        <v>3</v>
      </c>
      <c r="BU24" s="3">
        <f>IF($C$5="ON",CU24,MyRating(_D3,$B24,Delivery!$F$1))</f>
        <v>3</v>
      </c>
      <c r="BV24" s="3">
        <f>IF($C$5="ON",CV24,MyRating(_D4,$B24,Delivery!$F$1))</f>
        <v>3</v>
      </c>
      <c r="BW24" s="3">
        <f>IF($C$5="ON",CW24,MyRating(_B1G5,$B24,Barrier!$L$2))</f>
        <v>2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8"/>
        <v>3.255254469149791E-2</v>
      </c>
      <c r="CA24" s="8">
        <f t="shared" si="5"/>
        <v>2.8000000000000003</v>
      </c>
      <c r="CB24" s="5">
        <f t="shared" si="6"/>
        <v>3.2258064516129052E-2</v>
      </c>
      <c r="CC24" s="7">
        <f t="shared" si="7"/>
        <v>5.7937194202185476E-3</v>
      </c>
      <c r="CD24" s="4">
        <v>4</v>
      </c>
      <c r="CE24" s="3">
        <v>3</v>
      </c>
      <c r="CF24" s="3">
        <v>3</v>
      </c>
      <c r="CG24" s="3">
        <v>4</v>
      </c>
      <c r="CH24" s="3">
        <v>3</v>
      </c>
      <c r="CI24" s="3">
        <v>2</v>
      </c>
      <c r="CJ24" s="3">
        <v>3</v>
      </c>
      <c r="CK24" s="3">
        <v>3</v>
      </c>
      <c r="CL24" s="3">
        <v>4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2</v>
      </c>
      <c r="CX24" s="3">
        <v>3</v>
      </c>
      <c r="CY24" s="6">
        <v>3</v>
      </c>
      <c r="CZ24" s="5">
        <v>3.6275844714639842E-2</v>
      </c>
    </row>
    <row r="25" spans="1:104" x14ac:dyDescent="0.25">
      <c r="A25" s="9" t="s">
        <v>178</v>
      </c>
      <c r="B25" s="9" t="s">
        <v>21</v>
      </c>
      <c r="C25" s="20"/>
      <c r="D25" s="9" t="s">
        <v>2</v>
      </c>
      <c r="E25" s="9" t="s">
        <v>186</v>
      </c>
      <c r="F25" s="9" t="str">
        <f>INDEX('Unique Asset List'!$C$4:$C$60,MATCH(B25,_CompoundList,0))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INDEX(PTRS!$D$6:$D$12,MATCH('2'!$F25,PTRS!$B$6:$B$12,0))</f>
        <v>0.1638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7">
        <v>0.1638</v>
      </c>
      <c r="N25" s="17">
        <f>INDEX('Unique Asset List'!$D$4:$M$60,MATCH($B25,'Unique Asset List'!$A$4:$A$60,0),MATCH(N$8,'Unique Asset List'!$D$3:$M$3,0))</f>
        <v>0.16400000000000001</v>
      </c>
      <c r="O25" s="17">
        <f>INDEX('Unique Asset List'!$D$4:$M$60,MATCH($B25,'Unique Asset List'!$A$4:$A$60,0),MATCH(O$8,'Unique Asset List'!$D$3:$M$3,0))</f>
        <v>0</v>
      </c>
      <c r="P25" s="17">
        <f>INDEX('Unique Asset List'!$D$4:$M$60,MATCH($B25,'Unique Asset List'!$A$4:$A$60,0),MATCH(P$8,'Unique Asset List'!$D$3:$M$3,0))</f>
        <v>0</v>
      </c>
      <c r="Q25" s="17">
        <f>INDEX('Unique Asset List'!$D$4:$M$60,MATCH($B25,'Unique Asset List'!$A$4:$A$60,0),MATCH(Q$8,'Unique Asset List'!$D$3:$M$3,0))</f>
        <v>1</v>
      </c>
      <c r="R25" s="17">
        <f>INDEX('Unique Asset List'!$D$4:$M$60,MATCH($B25,'Unique Asset List'!$A$4:$A$60,0),MATCH(R$8,'Unique Asset List'!$D$3:$M$3,0))</f>
        <v>1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0"/>
        <v>0.90168566420734253</v>
      </c>
      <c r="V25" s="17">
        <v>0.63</v>
      </c>
      <c r="W25" s="9" t="s">
        <v>20</v>
      </c>
      <c r="X25" s="9">
        <f>INDEX('Unique Asset List'!$Y$4:$AE$60,MATCH('2'!$B25,'Unique Asset List'!$A$4:$A$60,0),MATCH('2'!$C$1,'Unique Asset List'!$Y$3:$AE$3,0))</f>
        <v>2027</v>
      </c>
      <c r="Y25" s="9">
        <f>INDEX('Unique Asset List'!$AF$4:$AL$60,MATCH('2'!$B25,'Unique Asset List'!$A$4:$A$60,0),MATCH('2'!$C$1,'Unique Asset List'!$AF$3:$AL$3,0))</f>
        <v>7</v>
      </c>
      <c r="Z25" s="9">
        <f>INDEX('Unique Asset List'!$AT$4:$AZ$60,MATCH('2'!$B25,'Unique Asset List'!$A$4:$A$60,0),MATCH('2'!$C$1,'Unique Asset List'!$AT$3:$AZ$3,0))</f>
        <v>2035</v>
      </c>
      <c r="AA25" s="9">
        <f>INDEX('Unique Asset List'!$BA$4:$BG$60,MATCH('2'!$B25,'Unique Asset List'!$A$4:$A$60,0),MATCH('2'!$C$1,'Unique Asset List'!$BA$3:$BG$3,0))</f>
        <v>5</v>
      </c>
      <c r="AB25" s="16">
        <f t="shared" si="1"/>
        <v>1.6822346000000001</v>
      </c>
      <c r="AC25" s="16">
        <f t="shared" si="2"/>
        <v>0.91486990000000001</v>
      </c>
      <c r="AD25" s="16">
        <f t="shared" si="3"/>
        <v>0.56099999999999994</v>
      </c>
      <c r="AE25" s="15">
        <f>INDEX('Unique Asset List'!$CJ$4:$CP$60,MATCH('2'!$B25,'Unique Asset List'!$A$4:$A$60,0),MATCH('2'!$C$1,'Unique Asset List'!$CJ$3:$CP$3,0))</f>
        <v>0.2</v>
      </c>
      <c r="AF25" s="15">
        <f>INDEX('Unique Asset List'!$CQ$4:$CW$60,MATCH('2'!$B25,'Unique Asset List'!$A$4:$A$60,0),MATCH('2'!$C$1,'Unique Asset List'!$CQ$3:$CW$3,0))</f>
        <v>0.3</v>
      </c>
      <c r="AG25" s="15">
        <f>INDEX('Unique Asset List'!$BV$4:$CB$60,MATCH('2'!$B25,'Unique Asset List'!$A$4:$A$60,0),MATCH('2'!$C$1,'Unique Asset List'!$BV$3:$CB$3,0))</f>
        <v>0.2</v>
      </c>
      <c r="AH25" s="15">
        <f>INDEX('Unique Asset List'!$CC$4:$CI$60,MATCH('2'!$B25,'Unique Asset List'!$A$4:$A$60,0),MATCH('2'!$C$1,'Unique Asset List'!$CC$3:$CI$3,0))</f>
        <v>0.3</v>
      </c>
      <c r="AI25" s="11">
        <v>0.96187963349867744</v>
      </c>
      <c r="AJ25" s="15">
        <f>INDEX('Unique Asset List'!$BH$4:$BN$60,MATCH('2'!$B25,'Unique Asset List'!$A$4:$A$60,0),MATCH('2'!$C$1,'Unique Asset List'!$BH$3:$BN$3,0))</f>
        <v>2.2612105538192599</v>
      </c>
      <c r="AK25" s="15">
        <f>INDEX('Unique Asset List'!$BO$4:$BU$60,MATCH('2'!$B25,'Unique Asset List'!$A$4:$A$60,0),MATCH('2'!$C$1,'Unique Asset List'!$BO$3:$BU$3,0))</f>
        <v>-1.7475682675103321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4"/>
        <v>0.82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1</v>
      </c>
      <c r="AW25" s="181">
        <f>INDEX('Unique Asset List'!Q$4:Q$60,MATCH($B25,_CompoundList,0))</f>
        <v>1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0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0</v>
      </c>
      <c r="BC25" s="181">
        <f ca="1">INDEX('Unique Asset List'!W$4:W$60,MATCH($B25,_CompoundList,0))</f>
        <v>0</v>
      </c>
      <c r="BD25" s="4">
        <f>IF($C$5="ON",CD25,MyRating(_E1,$B25,Efficacy!$F$1))</f>
        <v>3</v>
      </c>
      <c r="BE25" s="3">
        <f>IF($C$5="ON",CE25,MyRating(_E2,$B25,Efficacy!$F$1))</f>
        <v>3</v>
      </c>
      <c r="BF25" s="3">
        <f>IF($C$5="ON",CF25,MyRating(_E3,$B25,Efficacy!$F$1))</f>
        <v>3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4</v>
      </c>
      <c r="BJ25" s="3">
        <f>IF($C$5="ON",CJ25,MyRating(_E7,$B25,Efficacy!$F$1))</f>
        <v>3</v>
      </c>
      <c r="BK25" s="3">
        <f>IF($C$5="ON",CK25,MyRating(_E8,$B25,Efficacy!$F$1))</f>
        <v>2</v>
      </c>
      <c r="BL25" s="3">
        <f>IF($C$5="ON",CL25,MyRating(_S1,$B25,'S&amp;T'!$F$1))</f>
        <v>3</v>
      </c>
      <c r="BM25" s="3">
        <f>IF($C$5="ON",CM25,MyRating(_S2,$B25,'S&amp;T'!$F$1))</f>
        <v>4</v>
      </c>
      <c r="BN25" s="3">
        <f>IF($C$5="ON",CN25,MyRating(_S3,$B25,'S&amp;T'!$F$1))</f>
        <v>3</v>
      </c>
      <c r="BO25" s="3">
        <f>IF($C$5="ON",CO25,MyRating(_S4,$B25,'S&amp;T'!$F$1))</f>
        <v>5</v>
      </c>
      <c r="BP25" s="3">
        <f>IF($C$5="ON",CP25,MyRating(_S5,$B25,'S&amp;T'!$F$1))</f>
        <v>4</v>
      </c>
      <c r="BQ25" s="3">
        <f>IF($C$5="ON",CQ25,MyRating(_S6,$B25,'S&amp;T'!$F$1))</f>
        <v>4</v>
      </c>
      <c r="BR25" s="3">
        <f>IF($C$5="ON",CR25,MyRating(_S7,$B25,'S&amp;T'!$F$1))</f>
        <v>3</v>
      </c>
      <c r="BS25" s="3">
        <f>IF($C$5="ON",CS25,MyRating(_D1,$B25,Delivery!$F$1))</f>
        <v>3</v>
      </c>
      <c r="BT25" s="3">
        <f>IF($C$5="ON",CT25,MyRating(_D2,$B25,Delivery!$F$1))</f>
        <v>3</v>
      </c>
      <c r="BU25" s="3">
        <f>IF($C$5="ON",CU25,MyRating(_D3,$B25,Delivery!$F$1))</f>
        <v>3</v>
      </c>
      <c r="BV25" s="3">
        <f>IF($C$5="ON",CV25,MyRating(_D4,$B25,Delivery!$F$1))</f>
        <v>3</v>
      </c>
      <c r="BW25" s="3">
        <f>IF($C$5="ON",CW25,MyRating(_B1G5,$B25,Barrier!$L$2))</f>
        <v>2</v>
      </c>
      <c r="BX25" s="3">
        <f>IF($C$5="ON",CX25,MyRating(_B2,$B25,Barrier!$F$2))</f>
        <v>3</v>
      </c>
      <c r="BY25" s="6">
        <f>IF($C$5="ON",CY25,MyRating(_B3,$B25,Barrier!$F$2))</f>
        <v>3</v>
      </c>
      <c r="BZ25" s="5">
        <f t="shared" si="8"/>
        <v>3.255254469149791E-2</v>
      </c>
      <c r="CA25" s="8">
        <f t="shared" si="5"/>
        <v>2.8000000000000003</v>
      </c>
      <c r="CB25" s="5">
        <f t="shared" si="6"/>
        <v>3.2258064516129052E-2</v>
      </c>
      <c r="CC25" s="7">
        <f t="shared" si="7"/>
        <v>5.7937194202185476E-3</v>
      </c>
      <c r="CD25" s="4">
        <v>3</v>
      </c>
      <c r="CE25" s="3">
        <v>3</v>
      </c>
      <c r="CF25" s="3">
        <v>3</v>
      </c>
      <c r="CG25" s="3">
        <v>3</v>
      </c>
      <c r="CH25" s="3">
        <v>3</v>
      </c>
      <c r="CI25" s="3">
        <v>4</v>
      </c>
      <c r="CJ25" s="3">
        <v>3</v>
      </c>
      <c r="CK25" s="3">
        <v>2</v>
      </c>
      <c r="CL25" s="3">
        <v>3</v>
      </c>
      <c r="CM25" s="3">
        <v>4</v>
      </c>
      <c r="CN25" s="3">
        <v>2</v>
      </c>
      <c r="CO25" s="3">
        <v>5</v>
      </c>
      <c r="CP25" s="3">
        <v>4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2</v>
      </c>
      <c r="CX25" s="3">
        <v>3</v>
      </c>
      <c r="CY25" s="6">
        <v>3</v>
      </c>
      <c r="CZ25" s="5">
        <v>3.6275844714639842E-2</v>
      </c>
    </row>
    <row r="26" spans="1:104" x14ac:dyDescent="0.25">
      <c r="A26" s="9" t="s">
        <v>178</v>
      </c>
      <c r="B26" s="9" t="s">
        <v>71</v>
      </c>
      <c r="C26" s="20" t="s">
        <v>3</v>
      </c>
      <c r="D26" s="9" t="s">
        <v>2</v>
      </c>
      <c r="E26" s="9" t="s">
        <v>186</v>
      </c>
      <c r="F26" s="9" t="str">
        <f>INDEX('Unique Asset List'!$C$4:$C$60,MATCH(B26,_CompoundList,0))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INDEX(PTRS!$D$6:$D$12,MATCH('2'!$F26,PTRS!$B$6:$B$12,0))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0.1638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0"/>
        <v>0</v>
      </c>
      <c r="V26" s="17">
        <v>0.05</v>
      </c>
      <c r="W26" s="9" t="s">
        <v>70</v>
      </c>
      <c r="X26" s="9">
        <f>INDEX('Unique Asset List'!$Y$4:$AE$60,MATCH('2'!$B26,'Unique Asset List'!$A$4:$A$60,0),MATCH('2'!$C$1,'Unique Asset List'!$Y$3:$AE$3,0))</f>
        <v>2026</v>
      </c>
      <c r="Y26" s="9">
        <f>INDEX('Unique Asset List'!$AF$4:$AL$60,MATCH('2'!$B26,'Unique Asset List'!$A$4:$A$60,0),MATCH('2'!$C$1,'Unique Asset List'!$AF$3:$AL$3,0))</f>
        <v>8</v>
      </c>
      <c r="Z26" s="9">
        <f>INDEX('Unique Asset List'!$AT$4:$AZ$60,MATCH('2'!$B26,'Unique Asset List'!$A$4:$A$60,0),MATCH('2'!$C$1,'Unique Asset List'!$AT$3:$AZ$3,0))</f>
        <v>2035</v>
      </c>
      <c r="AA26" s="9">
        <f>INDEX('Unique Asset List'!$BA$4:$BG$60,MATCH('2'!$B26,'Unique Asset List'!$A$4:$A$60,0),MATCH('2'!$C$1,'Unique Asset List'!$BA$3:$BG$3,0))</f>
        <v>7</v>
      </c>
      <c r="AB26" s="16">
        <f t="shared" si="1"/>
        <v>1.911081</v>
      </c>
      <c r="AC26" s="16">
        <f t="shared" si="2"/>
        <v>0.85759169999999996</v>
      </c>
      <c r="AD26" s="16">
        <f t="shared" si="3"/>
        <v>0.41402720413999994</v>
      </c>
      <c r="AE26" s="15">
        <f>INDEX('Unique Asset List'!$CJ$4:$CP$60,MATCH('2'!$B26,'Unique Asset List'!$A$4:$A$60,0),MATCH('2'!$C$1,'Unique Asset List'!$CJ$3:$CP$3,0))</f>
        <v>0.27</v>
      </c>
      <c r="AF26" s="15">
        <f>INDEX('Unique Asset List'!$CQ$4:$CW$60,MATCH('2'!$B26,'Unique Asset List'!$A$4:$A$60,0),MATCH('2'!$C$1,'Unique Asset List'!$CQ$3:$CW$3,0))</f>
        <v>0.23</v>
      </c>
      <c r="AG26" s="15">
        <f>INDEX('Unique Asset List'!$BV$4:$CB$60,MATCH('2'!$B26,'Unique Asset List'!$A$4:$A$60,0),MATCH('2'!$C$1,'Unique Asset List'!$BV$3:$CB$3,0))</f>
        <v>0.27</v>
      </c>
      <c r="AH26" s="15">
        <f>INDEX('Unique Asset List'!$CC$4:$CI$60,MATCH('2'!$B26,'Unique Asset List'!$A$4:$A$60,0),MATCH('2'!$C$1,'Unique Asset List'!$CC$3:$CI$3,0))</f>
        <v>0.23</v>
      </c>
      <c r="AI26" s="11">
        <v>0.96187963349867744</v>
      </c>
      <c r="AJ26" s="15">
        <f>INDEX('Unique Asset List'!$BH$4:$BN$60,MATCH('2'!$B26,'Unique Asset List'!$A$4:$A$60,0),MATCH('2'!$C$1,'Unique Asset List'!$BH$3:$BN$3,0))</f>
        <v>2.2612105538192599</v>
      </c>
      <c r="AK26" s="15">
        <f>INDEX('Unique Asset List'!$BO$4:$BU$60,MATCH('2'!$B26,'Unique Asset List'!$A$4:$A$60,0),MATCH('2'!$C$1,'Unique Asset List'!$BO$3:$BU$3,0))</f>
        <v>-1.7475682675103321</v>
      </c>
      <c r="AL26" s="9">
        <v>169</v>
      </c>
      <c r="AM26" s="14">
        <v>75.05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4"/>
        <v>0.82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IF($C$5="ON",CL26,MyRating(_S1,$B26,'S&amp;T'!$F$1))</f>
        <v>1</v>
      </c>
      <c r="BM26" s="3">
        <f>IF($C$5="ON",CM26,MyRating(_S2,$B26,'S&amp;T'!$F$1))</f>
        <v>4</v>
      </c>
      <c r="BN26" s="3">
        <f>IF($C$5="ON",CN26,MyRating(_S3,$B26,'S&amp;T'!$F$1))</f>
        <v>4</v>
      </c>
      <c r="BO26" s="3">
        <f>IF($C$5="ON",CO26,MyRating(_S4,$B26,'S&amp;T'!$F$1))</f>
        <v>5</v>
      </c>
      <c r="BP26" s="3">
        <f>IF($C$5="ON",CP26,MyRating(_S5,$B26,'S&amp;T'!$F$1))</f>
        <v>5</v>
      </c>
      <c r="BQ26" s="3">
        <f>IF($C$5="ON",CQ26,MyRating(_S6,$B26,'S&amp;T'!$F$1))</f>
        <v>2</v>
      </c>
      <c r="BR26" s="3">
        <f>IF($C$5="ON",CR26,MyRating(_S7,$B26,'S&amp;T'!$F$1))</f>
        <v>4</v>
      </c>
      <c r="BS26" s="3">
        <f>IF($C$5="ON",CS26,MyRating(_D1,$B26,Delivery!$F$1))</f>
        <v>2</v>
      </c>
      <c r="BT26" s="3">
        <f>IF($C$5="ON",CT26,MyRating(_D2,$B26,Delivery!$F$1))</f>
        <v>3</v>
      </c>
      <c r="BU26" s="3">
        <f>IF($C$5="ON",CU26,MyRating(_D3,$B26,Delivery!$F$1))</f>
        <v>2</v>
      </c>
      <c r="BV26" s="3">
        <f>IF($C$5="ON",CV26,MyRating(_D4,$B26,Delivery!$F$1))</f>
        <v>2</v>
      </c>
      <c r="BW26" s="3">
        <f>IF($C$5="ON",CW26,MyRating(_B1G5,$B26,Barrier!$L$2))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8"/>
        <v>0</v>
      </c>
      <c r="CA26" s="8">
        <f t="shared" si="5"/>
        <v>0</v>
      </c>
      <c r="CB26" s="5">
        <f t="shared" si="6"/>
        <v>0</v>
      </c>
      <c r="CC26" s="7">
        <f t="shared" si="7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1</v>
      </c>
      <c r="CL26" s="3">
        <v>3</v>
      </c>
      <c r="CM26" s="3">
        <v>4</v>
      </c>
      <c r="CN26" s="3">
        <v>3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3</v>
      </c>
      <c r="CY26" s="6">
        <v>5</v>
      </c>
      <c r="CZ26" s="5">
        <v>4.9932578149053504E-2</v>
      </c>
    </row>
    <row r="27" spans="1:104" x14ac:dyDescent="0.25">
      <c r="A27" s="9" t="s">
        <v>178</v>
      </c>
      <c r="B27" s="9" t="s">
        <v>31</v>
      </c>
      <c r="C27" s="20"/>
      <c r="D27" s="9" t="s">
        <v>2</v>
      </c>
      <c r="E27" s="9" t="s">
        <v>186</v>
      </c>
      <c r="F27" s="9" t="str">
        <f>INDEX('Unique Asset List'!$C$4:$C$60,MATCH(B27,_CompoundList,0))</f>
        <v>Ph1</v>
      </c>
      <c r="G27" s="19">
        <v>0</v>
      </c>
      <c r="H27" s="9">
        <v>2014</v>
      </c>
      <c r="I27" s="9">
        <v>6</v>
      </c>
      <c r="J27" s="18">
        <f>INDEX(PTRS!$D$6:$D$12,MATCH('2'!$F27,PTRS!$B$6:$B$12,0))</f>
        <v>0.13923000000000002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0.13923000000000002</v>
      </c>
      <c r="N27" s="17">
        <f>INDEX('Unique Asset List'!$D$4:$M$60,MATCH($B27,'Unique Asset List'!$A$4:$A$60,0),MATCH(N$8,'Unique Asset List'!$D$3:$M$3,0))</f>
        <v>0.14000000000000001</v>
      </c>
      <c r="O27" s="17">
        <f>INDEX('Unique Asset List'!$D$4:$M$60,MATCH($B27,'Unique Asset List'!$A$4:$A$60,0),MATCH(O$8,'Unique Asset List'!$D$3:$M$3,0))</f>
        <v>0.14000000000000001</v>
      </c>
      <c r="P27" s="17">
        <f>INDEX('Unique Asset List'!$D$4:$M$60,MATCH($B27,'Unique Asset List'!$A$4:$A$60,0),MATCH(P$8,'Unique Asset List'!$D$3:$M$3,0))</f>
        <v>0.14000000000000001</v>
      </c>
      <c r="Q27" s="17">
        <f>INDEX('Unique Asset List'!$D$4:$M$60,MATCH($B27,'Unique Asset List'!$A$4:$A$60,0),MATCH(Q$8,'Unique Asset List'!$D$3:$M$3,0))</f>
        <v>0.14000000000000001</v>
      </c>
      <c r="R27" s="17">
        <f>INDEX('Unique Asset List'!$D$4:$M$60,MATCH($B27,'Unique Asset List'!$A$4:$A$60,0),MATCH(R$8,'Unique Asset List'!$D$3:$M$3,0))</f>
        <v>0.14000000000000001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0"/>
        <v>0.90168566420734253</v>
      </c>
      <c r="V27" s="17">
        <v>1</v>
      </c>
      <c r="W27" s="9" t="s">
        <v>31</v>
      </c>
      <c r="X27" s="9">
        <f>INDEX('Unique Asset List'!$Y$4:$AE$60,MATCH('2'!$B27,'Unique Asset List'!$A$4:$A$60,0),MATCH('2'!$C$1,'Unique Asset List'!$Y$3:$AE$3,0))</f>
        <v>2028</v>
      </c>
      <c r="Y27" s="9">
        <f>INDEX('Unique Asset List'!$AF$4:$AL$60,MATCH('2'!$B27,'Unique Asset List'!$A$4:$A$60,0),MATCH('2'!$C$1,'Unique Asset List'!$AF$3:$AL$3,0))</f>
        <v>2</v>
      </c>
      <c r="Z27" s="9">
        <f>INDEX('Unique Asset List'!$AT$4:$AZ$60,MATCH('2'!$B27,'Unique Asset List'!$A$4:$A$60,0),MATCH('2'!$C$1,'Unique Asset List'!$AT$3:$AZ$3,0))</f>
        <v>2037</v>
      </c>
      <c r="AA27" s="9">
        <f>INDEX('Unique Asset List'!$BA$4:$BG$60,MATCH('2'!$B27,'Unique Asset List'!$A$4:$A$60,0),MATCH('2'!$C$1,'Unique Asset List'!$BA$3:$BG$3,0))</f>
        <v>2</v>
      </c>
      <c r="AB27" s="16">
        <f t="shared" si="1"/>
        <v>2.0063400000000007</v>
      </c>
      <c r="AC27" s="16">
        <f t="shared" si="2"/>
        <v>0.94137550000000003</v>
      </c>
      <c r="AD27" s="16">
        <f t="shared" si="3"/>
        <v>0.56099999999999994</v>
      </c>
      <c r="AE27" s="15">
        <f>INDEX('Unique Asset List'!$CJ$4:$CP$60,MATCH('2'!$B27,'Unique Asset List'!$A$4:$A$60,0),MATCH('2'!$C$1,'Unique Asset List'!$CJ$3:$CP$3,0))</f>
        <v>0.2</v>
      </c>
      <c r="AF27" s="15">
        <f>INDEX('Unique Asset List'!$CQ$4:$CW$60,MATCH('2'!$B27,'Unique Asset List'!$A$4:$A$60,0),MATCH('2'!$C$1,'Unique Asset List'!$CQ$3:$CW$3,0))</f>
        <v>0.3</v>
      </c>
      <c r="AG27" s="15">
        <f>INDEX('Unique Asset List'!$BV$4:$CB$60,MATCH('2'!$B27,'Unique Asset List'!$A$4:$A$60,0),MATCH('2'!$C$1,'Unique Asset List'!$BV$3:$CB$3,0))</f>
        <v>0.2</v>
      </c>
      <c r="AH27" s="15">
        <f>INDEX('Unique Asset List'!$CC$4:$CI$60,MATCH('2'!$B27,'Unique Asset List'!$A$4:$A$60,0),MATCH('2'!$C$1,'Unique Asset List'!$CC$3:$CI$3,0))</f>
        <v>0.3</v>
      </c>
      <c r="AI27" s="11">
        <v>0.96187963349867744</v>
      </c>
      <c r="AJ27" s="15">
        <f>INDEX('Unique Asset List'!$BH$4:$BN$60,MATCH('2'!$B27,'Unique Asset List'!$A$4:$A$60,0),MATCH('2'!$C$1,'Unique Asset List'!$BH$3:$BN$3,0))</f>
        <v>2.2612105538192599</v>
      </c>
      <c r="AK27" s="15">
        <f>INDEX('Unique Asset List'!$BO$4:$BU$60,MATCH('2'!$B27,'Unique Asset List'!$A$4:$A$60,0),MATCH('2'!$C$1,'Unique Asset List'!$BO$3:$BU$3,0))</f>
        <v>-1.7475682675103321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4"/>
        <v>0.82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0</v>
      </c>
      <c r="AW27" s="181">
        <f>INDEX('Unique Asset List'!Q$4:Q$60,MATCH($B27,_CompoundList,0))</f>
        <v>0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1</v>
      </c>
      <c r="BD27" s="4">
        <f>IF($C$5="ON",CD27,MyRating(_E1,$B27,Efficacy!$F$1))</f>
        <v>4</v>
      </c>
      <c r="BE27" s="3">
        <f>IF($C$5="ON",CE27,MyRating(_E2,$B27,Efficacy!$F$1))</f>
        <v>3</v>
      </c>
      <c r="BF27" s="3">
        <f>IF($C$5="ON",CF27,MyRating(_E3,$B27,Efficacy!$F$1))</f>
        <v>4</v>
      </c>
      <c r="BG27" s="3">
        <f>IF($C$5="ON",CG27,MyRating(_E4,$B27,Efficacy!$F$1))</f>
        <v>4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3</v>
      </c>
      <c r="BL27" s="3">
        <f>IF($C$5="ON",CL27,MyRating(_S1,$B27,'S&amp;T'!$F$1))</f>
        <v>4</v>
      </c>
      <c r="BM27" s="3">
        <f>IF($C$5="ON",CM27,MyRating(_S2,$B27,'S&amp;T'!$F$1))</f>
        <v>3</v>
      </c>
      <c r="BN27" s="3">
        <f>IF($C$5="ON",CN27,MyRating(_S3,$B27,'S&amp;T'!$F$1))</f>
        <v>3</v>
      </c>
      <c r="BO27" s="3">
        <f>IF($C$5="ON",CO27,MyRating(_S4,$B27,'S&amp;T'!$F$1))</f>
        <v>4</v>
      </c>
      <c r="BP27" s="3">
        <f>IF($C$5="ON",CP27,MyRating(_S5,$B27,'S&amp;T'!$F$1))</f>
        <v>5</v>
      </c>
      <c r="BQ27" s="3">
        <f>IF($C$5="ON",CQ27,MyRating(_S6,$B27,'S&amp;T'!$F$1))</f>
        <v>3</v>
      </c>
      <c r="BR27" s="3">
        <f>IF($C$5="ON",CR27,MyRating(_S7,$B27,'S&amp;T'!$F$1))</f>
        <v>3</v>
      </c>
      <c r="BS27" s="3">
        <f>IF($C$5="ON",CS27,MyRating(_D1,$B27,Delivery!$F$1))</f>
        <v>3</v>
      </c>
      <c r="BT27" s="3">
        <f>IF($C$5="ON",CT27,MyRating(_D2,$B27,Delivery!$F$1))</f>
        <v>3</v>
      </c>
      <c r="BU27" s="3">
        <f>IF($C$5="ON",CU27,MyRating(_D3,$B27,Delivery!$F$1))</f>
        <v>3</v>
      </c>
      <c r="BV27" s="3">
        <f>IF($C$5="ON",CV27,MyRating(_D4,$B27,Delivery!$F$1))</f>
        <v>3</v>
      </c>
      <c r="BW27" s="3">
        <f>IF($C$5="ON",CW27,MyRating(_B1G5,$B27,Barrier!$L$2))</f>
        <v>2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8"/>
        <v>3.255254469149791E-2</v>
      </c>
      <c r="CA27" s="8">
        <f t="shared" si="5"/>
        <v>2.8000000000000003</v>
      </c>
      <c r="CB27" s="5">
        <f t="shared" si="6"/>
        <v>3.2258064516129052E-2</v>
      </c>
      <c r="CC27" s="7">
        <f t="shared" si="7"/>
        <v>5.7937194202185476E-3</v>
      </c>
      <c r="CD27" s="4">
        <v>4</v>
      </c>
      <c r="CE27" s="3">
        <v>4</v>
      </c>
      <c r="CF27" s="3">
        <v>4</v>
      </c>
      <c r="CG27" s="3">
        <v>4</v>
      </c>
      <c r="CH27" s="3">
        <v>3</v>
      </c>
      <c r="CI27" s="3">
        <v>4</v>
      </c>
      <c r="CJ27" s="3">
        <v>4</v>
      </c>
      <c r="CK27" s="3">
        <v>3</v>
      </c>
      <c r="CL27" s="3">
        <v>4</v>
      </c>
      <c r="CM27" s="3">
        <v>3</v>
      </c>
      <c r="CN27" s="3">
        <v>3</v>
      </c>
      <c r="CO27" s="3">
        <v>4</v>
      </c>
      <c r="CP27" s="3">
        <v>5</v>
      </c>
      <c r="CQ27" s="3">
        <v>3</v>
      </c>
      <c r="CR27" s="3">
        <v>4</v>
      </c>
      <c r="CS27" s="3">
        <v>3</v>
      </c>
      <c r="CT27" s="3">
        <v>3</v>
      </c>
      <c r="CU27" s="3">
        <v>3</v>
      </c>
      <c r="CV27" s="3">
        <v>3</v>
      </c>
      <c r="CW27" s="3">
        <v>2</v>
      </c>
      <c r="CX27" s="3">
        <v>3</v>
      </c>
      <c r="CY27" s="6">
        <v>3</v>
      </c>
      <c r="CZ27" s="5">
        <v>3.6275844714639842E-2</v>
      </c>
    </row>
    <row r="28" spans="1:104" x14ac:dyDescent="0.25">
      <c r="A28" s="9" t="s">
        <v>178</v>
      </c>
      <c r="B28" s="9" t="s">
        <v>35</v>
      </c>
      <c r="C28" s="20"/>
      <c r="D28" s="9" t="s">
        <v>2</v>
      </c>
      <c r="E28" s="9" t="s">
        <v>186</v>
      </c>
      <c r="F28" s="9" t="str">
        <f>INDEX('Unique Asset List'!$C$4:$C$60,MATCH(B28,_CompoundList,0))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INDEX(PTRS!$D$6:$D$12,MATCH('2'!$F28,PTRS!$B$6:$B$12,0))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v>0.13923000000000002</v>
      </c>
      <c r="N28" s="17">
        <f>INDEX('Unique Asset List'!$D$4:$M$60,MATCH($B28,'Unique Asset List'!$A$4:$A$60,0),MATCH(N$8,'Unique Asset List'!$D$3:$M$3,0))</f>
        <v>0.14000000000000001</v>
      </c>
      <c r="O28" s="17">
        <f>INDEX('Unique Asset List'!$D$4:$M$60,MATCH($B28,'Unique Asset List'!$A$4:$A$60,0),MATCH(O$8,'Unique Asset List'!$D$3:$M$3,0))</f>
        <v>0.14000000000000001</v>
      </c>
      <c r="P28" s="17">
        <f>INDEX('Unique Asset List'!$D$4:$M$60,MATCH($B28,'Unique Asset List'!$A$4:$A$60,0),MATCH(P$8,'Unique Asset List'!$D$3:$M$3,0))</f>
        <v>0.14000000000000001</v>
      </c>
      <c r="Q28" s="17">
        <f>INDEX('Unique Asset List'!$D$4:$M$60,MATCH($B28,'Unique Asset List'!$A$4:$A$60,0),MATCH(Q$8,'Unique Asset List'!$D$3:$M$3,0))</f>
        <v>0.14000000000000001</v>
      </c>
      <c r="R28" s="17">
        <f>INDEX('Unique Asset List'!$D$4:$M$60,MATCH($B28,'Unique Asset List'!$A$4:$A$60,0),MATCH(R$8,'Unique Asset List'!$D$3:$M$3,0))</f>
        <v>0.14000000000000001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0"/>
        <v>0.90168566420734253</v>
      </c>
      <c r="V28" s="17">
        <v>1</v>
      </c>
      <c r="W28" s="9" t="s">
        <v>34</v>
      </c>
      <c r="X28" s="9">
        <f>INDEX('Unique Asset List'!$Y$4:$AE$60,MATCH('2'!$B28,'Unique Asset List'!$A$4:$A$60,0),MATCH('2'!$C$1,'Unique Asset List'!$Y$3:$AE$3,0))</f>
        <v>2028</v>
      </c>
      <c r="Y28" s="9">
        <f>INDEX('Unique Asset List'!$AF$4:$AL$60,MATCH('2'!$B28,'Unique Asset List'!$A$4:$A$60,0),MATCH('2'!$C$1,'Unique Asset List'!$AF$3:$AL$3,0))</f>
        <v>4</v>
      </c>
      <c r="Z28" s="9">
        <f>INDEX('Unique Asset List'!$AT$4:$AZ$60,MATCH('2'!$B28,'Unique Asset List'!$A$4:$A$60,0),MATCH('2'!$C$1,'Unique Asset List'!$AT$3:$AZ$3,0))</f>
        <v>2039</v>
      </c>
      <c r="AA28" s="9">
        <f>INDEX('Unique Asset List'!$BA$4:$BG$60,MATCH('2'!$B28,'Unique Asset List'!$A$4:$A$60,0),MATCH('2'!$C$1,'Unique Asset List'!$BA$3:$BG$3,0))</f>
        <v>3</v>
      </c>
      <c r="AB28" s="16">
        <f t="shared" si="1"/>
        <v>2.0681600000000007</v>
      </c>
      <c r="AC28" s="16">
        <f t="shared" si="2"/>
        <v>0.94137550000000003</v>
      </c>
      <c r="AD28" s="16">
        <f t="shared" si="3"/>
        <v>0.56099999999999994</v>
      </c>
      <c r="AE28" s="15">
        <f>INDEX('Unique Asset List'!$CJ$4:$CP$60,MATCH('2'!$B28,'Unique Asset List'!$A$4:$A$60,0),MATCH('2'!$C$1,'Unique Asset List'!$CJ$3:$CP$3,0))</f>
        <v>0.2</v>
      </c>
      <c r="AF28" s="15">
        <f>INDEX('Unique Asset List'!$CQ$4:$CW$60,MATCH('2'!$B28,'Unique Asset List'!$A$4:$A$60,0),MATCH('2'!$C$1,'Unique Asset List'!$CQ$3:$CW$3,0))</f>
        <v>0.3</v>
      </c>
      <c r="AG28" s="15">
        <f>INDEX('Unique Asset List'!$BV$4:$CB$60,MATCH('2'!$B28,'Unique Asset List'!$A$4:$A$60,0),MATCH('2'!$C$1,'Unique Asset List'!$BV$3:$CB$3,0))</f>
        <v>0.2</v>
      </c>
      <c r="AH28" s="15">
        <f>INDEX('Unique Asset List'!$CC$4:$CI$60,MATCH('2'!$B28,'Unique Asset List'!$A$4:$A$60,0),MATCH('2'!$C$1,'Unique Asset List'!$CC$3:$CI$3,0))</f>
        <v>0.3</v>
      </c>
      <c r="AI28" s="11">
        <v>0.96187963349867744</v>
      </c>
      <c r="AJ28" s="15">
        <f>INDEX('Unique Asset List'!$BH$4:$BN$60,MATCH('2'!$B28,'Unique Asset List'!$A$4:$A$60,0),MATCH('2'!$C$1,'Unique Asset List'!$BH$3:$BN$3,0))</f>
        <v>2.2612105538192599</v>
      </c>
      <c r="AK28" s="15">
        <f>INDEX('Unique Asset List'!$BO$4:$BU$60,MATCH('2'!$B28,'Unique Asset List'!$A$4:$A$60,0),MATCH('2'!$C$1,'Unique Asset List'!$BO$3:$BU$3,0))</f>
        <v>-1.7475682675103321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4"/>
        <v>0.82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0</v>
      </c>
      <c r="AZ28" s="181">
        <f ca="1">INDEX('Unique Asset List'!T$4:T$60,MATCH($B28,_CompoundList,0))</f>
        <v>0</v>
      </c>
      <c r="BA28" s="181">
        <f ca="1">INDEX('Unique Asset List'!U$4:U$60,MATCH($B28,_CompoundList,0))</f>
        <v>0</v>
      </c>
      <c r="BB28" s="181">
        <f ca="1">INDEX('Unique Asset List'!V$4:V$60,MATCH($B28,_CompoundList,0))</f>
        <v>0</v>
      </c>
      <c r="BC28" s="181">
        <f ca="1">INDEX('Unique Asset List'!W$4:W$60,MATCH($B28,_CompoundList,0))</f>
        <v>1</v>
      </c>
      <c r="BD28" s="4">
        <f>IF($C$5="ON",CD28,MyRating(_E1,$B28,Efficacy!$F$1))</f>
        <v>4</v>
      </c>
      <c r="BE28" s="3">
        <f>IF($C$5="ON",CE28,MyRating(_E2,$B28,Efficacy!$F$1))</f>
        <v>3</v>
      </c>
      <c r="BF28" s="3">
        <f>IF($C$5="ON",CF28,MyRating(_E3,$B28,Efficacy!$F$1))</f>
        <v>4</v>
      </c>
      <c r="BG28" s="3">
        <f>IF($C$5="ON",CG28,MyRating(_E4,$B28,Efficacy!$F$1))</f>
        <v>4</v>
      </c>
      <c r="BH28" s="3">
        <f>IF($C$5="ON",CH28,MyRating(_E5,$B28,Efficacy!$F$1))</f>
        <v>3</v>
      </c>
      <c r="BI28" s="3">
        <f>IF($C$5="ON",CI28,MyRating(_E6,$B28,Efficacy!$F$1))</f>
        <v>4</v>
      </c>
      <c r="BJ28" s="3">
        <f>IF($C$5="ON",CJ28,MyRating(_E7,$B28,Efficacy!$F$1))</f>
        <v>3</v>
      </c>
      <c r="BK28" s="3">
        <f>IF($C$5="ON",CK28,MyRating(_E8,$B28,Efficacy!$F$1))</f>
        <v>4</v>
      </c>
      <c r="BL28" s="3">
        <f>IF($C$5="ON",CL28,MyRating(_S1,$B28,'S&amp;T'!$F$1))</f>
        <v>4</v>
      </c>
      <c r="BM28" s="3">
        <f>IF($C$5="ON",CM28,MyRating(_S2,$B28,'S&amp;T'!$F$1))</f>
        <v>3</v>
      </c>
      <c r="BN28" s="3">
        <f>IF($C$5="ON",CN28,MyRating(_S3,$B28,'S&amp;T'!$F$1))</f>
        <v>3</v>
      </c>
      <c r="BO28" s="3">
        <f>IF($C$5="ON",CO28,MyRating(_S4,$B28,'S&amp;T'!$F$1))</f>
        <v>4</v>
      </c>
      <c r="BP28" s="3">
        <f>IF($C$5="ON",CP28,MyRating(_S5,$B28,'S&amp;T'!$F$1))</f>
        <v>5</v>
      </c>
      <c r="BQ28" s="3">
        <f>IF($C$5="ON",CQ28,MyRating(_S6,$B28,'S&amp;T'!$F$1))</f>
        <v>3</v>
      </c>
      <c r="BR28" s="3">
        <f>IF($C$5="ON",CR28,MyRating(_S7,$B28,'S&amp;T'!$F$1))</f>
        <v>3</v>
      </c>
      <c r="BS28" s="3">
        <f>IF($C$5="ON",CS28,MyRating(_D1,$B28,Delivery!$F$1))</f>
        <v>3</v>
      </c>
      <c r="BT28" s="3">
        <f>IF($C$5="ON",CT28,MyRating(_D2,$B28,Delivery!$F$1))</f>
        <v>3</v>
      </c>
      <c r="BU28" s="3">
        <f>IF($C$5="ON",CU28,MyRating(_D3,$B28,Delivery!$F$1))</f>
        <v>3</v>
      </c>
      <c r="BV28" s="3">
        <f>IF($C$5="ON",CV28,MyRating(_D4,$B28,Delivery!$F$1))</f>
        <v>3</v>
      </c>
      <c r="BW28" s="3">
        <f>IF($C$5="ON",CW28,MyRating(_B1G5,$B28,Barrier!$L$2))</f>
        <v>2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8"/>
        <v>3.255254469149791E-2</v>
      </c>
      <c r="CA28" s="8">
        <f t="shared" si="5"/>
        <v>2.8000000000000003</v>
      </c>
      <c r="CB28" s="5">
        <f t="shared" si="6"/>
        <v>3.2258064516129052E-2</v>
      </c>
      <c r="CC28" s="7">
        <f t="shared" si="7"/>
        <v>5.7937194202185476E-3</v>
      </c>
      <c r="CD28" s="4">
        <v>4</v>
      </c>
      <c r="CE28" s="3">
        <v>4</v>
      </c>
      <c r="CF28" s="3">
        <v>4</v>
      </c>
      <c r="CG28" s="3">
        <v>4</v>
      </c>
      <c r="CH28" s="3">
        <v>3</v>
      </c>
      <c r="CI28" s="3">
        <v>3</v>
      </c>
      <c r="CJ28" s="3">
        <v>3</v>
      </c>
      <c r="CK28" s="3">
        <v>4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3</v>
      </c>
      <c r="CR28" s="3">
        <v>4</v>
      </c>
      <c r="CS28" s="3">
        <v>3</v>
      </c>
      <c r="CT28" s="3">
        <v>3</v>
      </c>
      <c r="CU28" s="3">
        <v>3</v>
      </c>
      <c r="CV28" s="3">
        <v>3</v>
      </c>
      <c r="CW28" s="3">
        <v>2</v>
      </c>
      <c r="CX28" s="3">
        <v>3</v>
      </c>
      <c r="CY28" s="6">
        <v>3</v>
      </c>
      <c r="CZ28" s="5">
        <v>3.6275844714639842E-2</v>
      </c>
    </row>
    <row r="29" spans="1:104" x14ac:dyDescent="0.25">
      <c r="A29" s="9" t="s">
        <v>178</v>
      </c>
      <c r="B29" s="9" t="s">
        <v>69</v>
      </c>
      <c r="C29" s="20"/>
      <c r="D29" s="9" t="s">
        <v>64</v>
      </c>
      <c r="E29" s="9" t="s">
        <v>186</v>
      </c>
      <c r="F29" s="9" t="str">
        <f>INDEX('Unique Asset List'!$C$4:$C$60,MATCH(B29,_CompoundList,0))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INDEX(PTRS!$D$6:$D$12,MATCH('2'!$F29,PTRS!$B$6:$B$12,0))</f>
        <v>0.13923000000000002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0.13923000000000002</v>
      </c>
      <c r="N29" s="17">
        <f>INDEX('Unique Asset List'!$D$4:$M$60,MATCH($B29,'Unique Asset List'!$A$4:$A$60,0),MATCH(N$8,'Unique Asset List'!$D$3:$M$3,0))</f>
        <v>0.13923000000000002</v>
      </c>
      <c r="O29" s="17">
        <f>INDEX('Unique Asset List'!$D$4:$M$60,MATCH($B29,'Unique Asset List'!$A$4:$A$60,0),MATCH(O$8,'Unique Asset List'!$D$3:$M$3,0))</f>
        <v>0.13923000000000002</v>
      </c>
      <c r="P29" s="17">
        <f>INDEX('Unique Asset List'!$D$4:$M$60,MATCH($B29,'Unique Asset List'!$A$4:$A$60,0),MATCH(P$8,'Unique Asset List'!$D$3:$M$3,0))</f>
        <v>0.13923000000000002</v>
      </c>
      <c r="Q29" s="17">
        <f>INDEX('Unique Asset List'!$D$4:$M$60,MATCH($B29,'Unique Asset List'!$A$4:$A$60,0),MATCH(Q$8,'Unique Asset List'!$D$3:$M$3,0))</f>
        <v>0.13923000000000002</v>
      </c>
      <c r="R29" s="17">
        <f>INDEX('Unique Asset List'!$D$4:$M$60,MATCH($B29,'Unique Asset List'!$A$4:$A$60,0),MATCH(R$8,'Unique Asset List'!$D$3:$M$3,0))</f>
        <v>0.13923000000000002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0"/>
        <v>0.90168566420734253</v>
      </c>
      <c r="V29" s="17">
        <v>1</v>
      </c>
      <c r="W29" s="9" t="s">
        <v>62</v>
      </c>
      <c r="X29" s="9">
        <f>INDEX('Unique Asset List'!$Y$4:$AE$60,MATCH('2'!$B29,'Unique Asset List'!$A$4:$A$60,0),MATCH('2'!$C$1,'Unique Asset List'!$Y$3:$AE$3,0))</f>
        <v>2024</v>
      </c>
      <c r="Y29" s="9">
        <f>INDEX('Unique Asset List'!$AF$4:$AL$60,MATCH('2'!$B29,'Unique Asset List'!$A$4:$A$60,0),MATCH('2'!$C$1,'Unique Asset List'!$AF$3:$AL$3,0))</f>
        <v>3</v>
      </c>
      <c r="Z29" s="9">
        <f>INDEX('Unique Asset List'!$AT$4:$AZ$60,MATCH('2'!$B29,'Unique Asset List'!$A$4:$A$60,0),MATCH('2'!$C$1,'Unique Asset List'!$AT$3:$AZ$3,0))</f>
        <v>2037</v>
      </c>
      <c r="AA29" s="9">
        <f>INDEX('Unique Asset List'!$BA$4:$BG$60,MATCH('2'!$B29,'Unique Asset List'!$A$4:$A$60,0),MATCH('2'!$C$1,'Unique Asset List'!$BA$3:$BG$3,0))</f>
        <v>3</v>
      </c>
      <c r="AB29" s="16">
        <f t="shared" si="1"/>
        <v>1.6860000000000002</v>
      </c>
      <c r="AC29" s="16">
        <f t="shared" si="2"/>
        <v>0.91994010000000004</v>
      </c>
      <c r="AD29" s="16">
        <f t="shared" si="3"/>
        <v>0.50129594525999999</v>
      </c>
      <c r="AE29" s="15">
        <f>INDEX('Unique Asset List'!$CJ$4:$CP$60,MATCH('2'!$B29,'Unique Asset List'!$A$4:$A$60,0),MATCH('2'!$C$1,'Unique Asset List'!$CJ$3:$CP$3,0))</f>
        <v>0.27</v>
      </c>
      <c r="AF29" s="15">
        <f>INDEX('Unique Asset List'!$CQ$4:$CW$60,MATCH('2'!$B29,'Unique Asset List'!$A$4:$A$60,0),MATCH('2'!$C$1,'Unique Asset List'!$CQ$3:$CW$3,0))</f>
        <v>0.23</v>
      </c>
      <c r="AG29" s="15">
        <f>INDEX('Unique Asset List'!$BV$4:$CB$60,MATCH('2'!$B29,'Unique Asset List'!$A$4:$A$60,0),MATCH('2'!$C$1,'Unique Asset List'!$BV$3:$CB$3,0))</f>
        <v>0.27</v>
      </c>
      <c r="AH29" s="15">
        <f>INDEX('Unique Asset List'!$CC$4:$CI$60,MATCH('2'!$B29,'Unique Asset List'!$A$4:$A$60,0),MATCH('2'!$C$1,'Unique Asset List'!$CC$3:$CI$3,0))</f>
        <v>0.23</v>
      </c>
      <c r="AI29" s="11">
        <v>0.96187963349867744</v>
      </c>
      <c r="AJ29" s="15">
        <f>INDEX('Unique Asset List'!$BH$4:$BN$60,MATCH('2'!$B29,'Unique Asset List'!$A$4:$A$60,0),MATCH('2'!$C$1,'Unique Asset List'!$BH$3:$BN$3,0))</f>
        <v>2.2612105538192599</v>
      </c>
      <c r="AK29" s="15">
        <f>INDEX('Unique Asset List'!$BO$4:$BU$60,MATCH('2'!$B29,'Unique Asset List'!$A$4:$A$60,0),MATCH('2'!$C$1,'Unique Asset List'!$BO$3:$BU$3,0))</f>
        <v>-1.7475682675103321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4"/>
        <v>0.82</v>
      </c>
      <c r="AS29" s="10">
        <v>1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0</v>
      </c>
      <c r="AY29" s="181">
        <f ca="1">INDEX('Unique Asset List'!S$4:S$60,MATCH($B29,_CompoundList,0))</f>
        <v>1</v>
      </c>
      <c r="AZ29" s="181">
        <f ca="1">INDEX('Unique Asset List'!T$4:T$60,MATCH($B29,_CompoundList,0))</f>
        <v>1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1</v>
      </c>
      <c r="BC29" s="181">
        <f ca="1">INDEX('Unique Asset List'!W$4:W$60,MATCH($B29,_CompoundList,0))</f>
        <v>1</v>
      </c>
      <c r="BD29" s="4">
        <f>IF($C$5="ON",CD29,MyRating(_E1,$B29,Efficacy!$F$1))</f>
        <v>3</v>
      </c>
      <c r="BE29" s="3">
        <f>IF($C$5="ON",CE29,MyRating(_E2,$B29,Efficacy!$F$1))</f>
        <v>3</v>
      </c>
      <c r="BF29" s="3">
        <f>IF($C$5="ON",CF29,MyRating(_E3,$B29,Efficacy!$F$1))</f>
        <v>3</v>
      </c>
      <c r="BG29" s="3">
        <f>IF($C$5="ON",CG29,MyRating(_E4,$B29,Efficacy!$F$1))</f>
        <v>3</v>
      </c>
      <c r="BH29" s="3">
        <f>IF($C$5="ON",CH29,MyRating(_E5,$B29,Efficacy!$F$1))</f>
        <v>3</v>
      </c>
      <c r="BI29" s="3">
        <f>IF($C$5="ON",CI29,MyRating(_E6,$B29,Efficacy!$F$1))</f>
        <v>3</v>
      </c>
      <c r="BJ29" s="3">
        <f>IF($C$5="ON",CJ29,MyRating(_E7,$B29,Efficacy!$F$1))</f>
        <v>3</v>
      </c>
      <c r="BK29" s="3">
        <f>IF($C$5="ON",CK29,MyRating(_E8,$B29,Efficacy!$F$1))</f>
        <v>3</v>
      </c>
      <c r="BL29" s="3">
        <f>IF($C$5="ON",CL29,MyRating(_S1,$B29,'S&amp;T'!$F$1))</f>
        <v>4</v>
      </c>
      <c r="BM29" s="3">
        <f>IF($C$5="ON",CM29,MyRating(_S2,$B29,'S&amp;T'!$F$1))</f>
        <v>3</v>
      </c>
      <c r="BN29" s="3">
        <f>IF($C$5="ON",CN29,MyRating(_S3,$B29,'S&amp;T'!$F$1))</f>
        <v>3</v>
      </c>
      <c r="BO29" s="3">
        <f>IF($C$5="ON",CO29,MyRating(_S4,$B29,'S&amp;T'!$F$1))</f>
        <v>4</v>
      </c>
      <c r="BP29" s="3">
        <f>IF($C$5="ON",CP29,MyRating(_S5,$B29,'S&amp;T'!$F$1))</f>
        <v>5</v>
      </c>
      <c r="BQ29" s="3">
        <f>IF($C$5="ON",CQ29,MyRating(_S6,$B29,'S&amp;T'!$F$1))</f>
        <v>2</v>
      </c>
      <c r="BR29" s="3">
        <f>IF($C$5="ON",CR29,MyRating(_S7,$B29,'S&amp;T'!$F$1))</f>
        <v>3</v>
      </c>
      <c r="BS29" s="3">
        <f>IF($C$5="ON",CS29,MyRating(_D1,$B29,Delivery!$F$1))</f>
        <v>2</v>
      </c>
      <c r="BT29" s="3">
        <f>IF($C$5="ON",CT29,MyRating(_D2,$B29,Delivery!$F$1))</f>
        <v>3</v>
      </c>
      <c r="BU29" s="3">
        <f>IF($C$5="ON",CU29,MyRating(_D3,$B29,Delivery!$F$1))</f>
        <v>3</v>
      </c>
      <c r="BV29" s="3">
        <f>IF($C$5="ON",CV29,MyRating(_D4,$B29,Delivery!$F$1))</f>
        <v>3</v>
      </c>
      <c r="BW29" s="3">
        <f>IF($C$5="ON",CW29,MyRating(_B1G5,$B29,Barrier!$L$2))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8"/>
        <v>3.255254469149791E-2</v>
      </c>
      <c r="CA29" s="8">
        <f t="shared" si="5"/>
        <v>2.8000000000000003</v>
      </c>
      <c r="CB29" s="5">
        <f t="shared" si="6"/>
        <v>3.2258064516129052E-2</v>
      </c>
      <c r="CC29" s="7">
        <f t="shared" si="7"/>
        <v>5.7937194202185476E-3</v>
      </c>
      <c r="CD29" s="4">
        <v>3</v>
      </c>
      <c r="CE29" s="3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5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3</v>
      </c>
      <c r="CW29" s="3">
        <v>2</v>
      </c>
      <c r="CX29" s="3">
        <v>3</v>
      </c>
      <c r="CY29" s="6">
        <v>3</v>
      </c>
      <c r="CZ29" s="5">
        <v>3.6275844714639842E-2</v>
      </c>
    </row>
    <row r="30" spans="1:104" x14ac:dyDescent="0.25">
      <c r="A30" s="9" t="s">
        <v>178</v>
      </c>
      <c r="B30" s="9" t="s">
        <v>24</v>
      </c>
      <c r="C30" s="20" t="s">
        <v>3</v>
      </c>
      <c r="D30" s="9" t="s">
        <v>2</v>
      </c>
      <c r="E30" s="9" t="s">
        <v>186</v>
      </c>
      <c r="F30" s="9" t="str">
        <f>INDEX('Unique Asset List'!$C$4:$C$60,MATCH(B30,_CompoundList,0))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INDEX(PTRS!$D$6:$D$12,MATCH('2'!$F30,PTRS!$B$6:$B$12,0))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0.13923000000000002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0"/>
        <v>0</v>
      </c>
      <c r="V30" s="17">
        <v>1</v>
      </c>
      <c r="W30" s="9" t="s">
        <v>24</v>
      </c>
      <c r="X30" s="9">
        <f>INDEX('Unique Asset List'!$Y$4:$AE$60,MATCH('2'!$B30,'Unique Asset List'!$A$4:$A$60,0),MATCH('2'!$C$1,'Unique Asset List'!$Y$3:$AE$3,0))</f>
        <v>2027</v>
      </c>
      <c r="Y30" s="9">
        <f>INDEX('Unique Asset List'!$AF$4:$AL$60,MATCH('2'!$B30,'Unique Asset List'!$A$4:$A$60,0),MATCH('2'!$C$1,'Unique Asset List'!$AF$3:$AL$3,0))</f>
        <v>6</v>
      </c>
      <c r="Z30" s="9">
        <f>INDEX('Unique Asset List'!$AT$4:$AZ$60,MATCH('2'!$B30,'Unique Asset List'!$A$4:$A$60,0),MATCH('2'!$C$1,'Unique Asset List'!$AT$3:$AZ$3,0))</f>
        <v>2034</v>
      </c>
      <c r="AA30" s="9">
        <f>INDEX('Unique Asset List'!$BA$4:$BG$60,MATCH('2'!$B30,'Unique Asset List'!$A$4:$A$60,0),MATCH('2'!$C$1,'Unique Asset List'!$BA$3:$BG$3,0))</f>
        <v>5</v>
      </c>
      <c r="AB30" s="16">
        <f t="shared" si="1"/>
        <v>2.1518980000000005</v>
      </c>
      <c r="AC30" s="16">
        <f t="shared" si="2"/>
        <v>0.94137550000000003</v>
      </c>
      <c r="AD30" s="16">
        <f t="shared" si="3"/>
        <v>0.56099999999999994</v>
      </c>
      <c r="AE30" s="15">
        <f>INDEX('Unique Asset List'!$CJ$4:$CP$60,MATCH('2'!$B30,'Unique Asset List'!$A$4:$A$60,0),MATCH('2'!$C$1,'Unique Asset List'!$CJ$3:$CP$3,0))</f>
        <v>0.2</v>
      </c>
      <c r="AF30" s="15">
        <f>INDEX('Unique Asset List'!$CQ$4:$CW$60,MATCH('2'!$B30,'Unique Asset List'!$A$4:$A$60,0),MATCH('2'!$C$1,'Unique Asset List'!$CQ$3:$CW$3,0))</f>
        <v>0.3</v>
      </c>
      <c r="AG30" s="15">
        <f>INDEX('Unique Asset List'!$BV$4:$CB$60,MATCH('2'!$B30,'Unique Asset List'!$A$4:$A$60,0),MATCH('2'!$C$1,'Unique Asset List'!$BV$3:$CB$3,0))</f>
        <v>0.2</v>
      </c>
      <c r="AH30" s="15">
        <f>INDEX('Unique Asset List'!$CC$4:$CI$60,MATCH('2'!$B30,'Unique Asset List'!$A$4:$A$60,0),MATCH('2'!$C$1,'Unique Asset List'!$CC$3:$CI$3,0))</f>
        <v>0.3</v>
      </c>
      <c r="AI30" s="11">
        <v>0.96187963349867744</v>
      </c>
      <c r="AJ30" s="15">
        <f>INDEX('Unique Asset List'!$BH$4:$BN$60,MATCH('2'!$B30,'Unique Asset List'!$A$4:$A$60,0),MATCH('2'!$C$1,'Unique Asset List'!$BH$3:$BN$3,0))</f>
        <v>2.2612105538192599</v>
      </c>
      <c r="AK30" s="15">
        <f>INDEX('Unique Asset List'!$BO$4:$BU$60,MATCH('2'!$B30,'Unique Asset List'!$A$4:$A$60,0),MATCH('2'!$C$1,'Unique Asset List'!$BO$3:$BU$3,0))</f>
        <v>-1.7475682675103321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4"/>
        <v>0.82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IF($C$5="ON",CL30,MyRating(_S1,$B30,'S&amp;T'!$F$1))</f>
        <v>4</v>
      </c>
      <c r="BM30" s="3">
        <f>IF($C$5="ON",CM30,MyRating(_S2,$B30,'S&amp;T'!$F$1))</f>
        <v>3</v>
      </c>
      <c r="BN30" s="3">
        <f>IF($C$5="ON",CN30,MyRating(_S3,$B30,'S&amp;T'!$F$1))</f>
        <v>3</v>
      </c>
      <c r="BO30" s="3">
        <f>IF($C$5="ON",CO30,MyRating(_S4,$B30,'S&amp;T'!$F$1))</f>
        <v>4</v>
      </c>
      <c r="BP30" s="3">
        <f>IF($C$5="ON",CP30,MyRating(_S5,$B30,'S&amp;T'!$F$1))</f>
        <v>5</v>
      </c>
      <c r="BQ30" s="3">
        <f>IF($C$5="ON",CQ30,MyRating(_S6,$B30,'S&amp;T'!$F$1))</f>
        <v>3</v>
      </c>
      <c r="BR30" s="3">
        <f>IF($C$5="ON",CR30,MyRating(_S7,$B30,'S&amp;T'!$F$1))</f>
        <v>3</v>
      </c>
      <c r="BS30" s="3">
        <f>IF($C$5="ON",CS30,MyRating(_D1,$B30,Delivery!$F$1))</f>
        <v>3</v>
      </c>
      <c r="BT30" s="3">
        <f>IF($C$5="ON",CT30,MyRating(_D2,$B30,Delivery!$F$1))</f>
        <v>3</v>
      </c>
      <c r="BU30" s="3">
        <f>IF($C$5="ON",CU30,MyRating(_D3,$B30,Delivery!$F$1))</f>
        <v>3</v>
      </c>
      <c r="BV30" s="3">
        <f>IF($C$5="ON",CV30,MyRating(_D4,$B30,Delivery!$F$1))</f>
        <v>3</v>
      </c>
      <c r="BW30" s="3">
        <f>IF($C$5="ON",CW30,MyRating(_B1G5,$B30,Barrier!$L$2))</f>
        <v>2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8"/>
        <v>0</v>
      </c>
      <c r="CA30" s="8">
        <f t="shared" si="5"/>
        <v>0.4</v>
      </c>
      <c r="CB30" s="5">
        <f t="shared" si="6"/>
        <v>4.6082949308755786E-3</v>
      </c>
      <c r="CC30" s="7">
        <f t="shared" si="7"/>
        <v>3.1283144391803261E-4</v>
      </c>
      <c r="CD30" s="4">
        <v>4</v>
      </c>
      <c r="CE30" s="3">
        <v>5</v>
      </c>
      <c r="CF30" s="3">
        <v>5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5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2</v>
      </c>
      <c r="CX30" s="3">
        <v>3</v>
      </c>
      <c r="CY30" s="6">
        <v>3</v>
      </c>
      <c r="CZ30" s="5">
        <v>3.6275844714639842E-2</v>
      </c>
    </row>
    <row r="31" spans="1:104" x14ac:dyDescent="0.25">
      <c r="A31" s="9" t="s">
        <v>178</v>
      </c>
      <c r="B31" s="9" t="s">
        <v>66</v>
      </c>
      <c r="C31" s="20" t="s">
        <v>3</v>
      </c>
      <c r="D31" s="9" t="s">
        <v>2</v>
      </c>
      <c r="E31" s="9" t="s">
        <v>186</v>
      </c>
      <c r="F31" s="9" t="str">
        <f>INDEX('Unique Asset List'!$C$4:$C$60,MATCH(B31,_CompoundList,0))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INDEX(PTRS!$D$6:$D$12,MATCH('2'!$F31,PTRS!$B$6:$B$12,0))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v>0.1044225</v>
      </c>
      <c r="N31" s="17">
        <f>INDEX('Unique Asset List'!$D$4:$M$60,MATCH($B31,'Unique Asset List'!$A$4:$A$60,0),MATCH(N$8,'Unique Asset List'!$D$3:$M$3,0))</f>
        <v>0</v>
      </c>
      <c r="O31" s="17">
        <f>INDEX('Unique Asset List'!$D$4:$M$60,MATCH($B31,'Unique Asset List'!$A$4:$A$60,0),MATCH(O$8,'Unique Asset List'!$D$3:$M$3,0))</f>
        <v>0</v>
      </c>
      <c r="P31" s="17">
        <f>INDEX('Unique Asset List'!$D$4:$M$60,MATCH($B31,'Unique Asset List'!$A$4:$A$60,0),MATCH(P$8,'Unique Asset List'!$D$3:$M$3,0))</f>
        <v>0</v>
      </c>
      <c r="Q31" s="17">
        <f>INDEX('Unique Asset List'!$D$4:$M$60,MATCH($B31,'Unique Asset List'!$A$4:$A$60,0),MATCH(Q$8,'Unique Asset List'!$D$3:$M$3,0))</f>
        <v>0</v>
      </c>
      <c r="R31" s="17">
        <f>INDEX('Unique Asset List'!$D$4:$M$60,MATCH($B31,'Unique Asset List'!$A$4:$A$60,0),MATCH(R$8,'Unique Asset List'!$D$3:$M$3,0))</f>
        <v>0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0"/>
        <v>0</v>
      </c>
      <c r="V31" s="17">
        <v>1</v>
      </c>
      <c r="W31" s="9" t="s">
        <v>62</v>
      </c>
      <c r="X31" s="9">
        <f>INDEX('Unique Asset List'!$Y$4:$AE$60,MATCH('2'!$B31,'Unique Asset List'!$A$4:$A$60,0),MATCH('2'!$C$1,'Unique Asset List'!$Y$3:$AE$3,0))</f>
        <v>2029</v>
      </c>
      <c r="Y31" s="9">
        <f>INDEX('Unique Asset List'!$AF$4:$AL$60,MATCH('2'!$B31,'Unique Asset List'!$A$4:$A$60,0),MATCH('2'!$C$1,'Unique Asset List'!$AF$3:$AL$3,0))</f>
        <v>3</v>
      </c>
      <c r="Z31" s="9">
        <f>INDEX('Unique Asset List'!$AT$4:$AZ$60,MATCH('2'!$B31,'Unique Asset List'!$A$4:$A$60,0),MATCH('2'!$C$1,'Unique Asset List'!$AT$3:$AZ$3,0))</f>
        <v>2038</v>
      </c>
      <c r="AA31" s="9">
        <f>INDEX('Unique Asset List'!$BA$4:$BG$60,MATCH('2'!$B31,'Unique Asset List'!$A$4:$A$60,0),MATCH('2'!$C$1,'Unique Asset List'!$BA$3:$BG$3,0))</f>
        <v>3</v>
      </c>
      <c r="AB31" s="16">
        <f t="shared" si="1"/>
        <v>2.1518980000000005</v>
      </c>
      <c r="AC31" s="16">
        <f t="shared" si="2"/>
        <v>0.94137550000000003</v>
      </c>
      <c r="AD31" s="16">
        <f t="shared" si="3"/>
        <v>0.56099999999999994</v>
      </c>
      <c r="AE31" s="15">
        <f>INDEX('Unique Asset List'!$CJ$4:$CP$60,MATCH('2'!$B31,'Unique Asset List'!$A$4:$A$60,0),MATCH('2'!$C$1,'Unique Asset List'!$CJ$3:$CP$3,0))</f>
        <v>0.27</v>
      </c>
      <c r="AF31" s="15">
        <f>INDEX('Unique Asset List'!$CQ$4:$CW$60,MATCH('2'!$B31,'Unique Asset List'!$A$4:$A$60,0),MATCH('2'!$C$1,'Unique Asset List'!$CQ$3:$CW$3,0))</f>
        <v>0.23</v>
      </c>
      <c r="AG31" s="15">
        <f>INDEX('Unique Asset List'!$BV$4:$CB$60,MATCH('2'!$B31,'Unique Asset List'!$A$4:$A$60,0),MATCH('2'!$C$1,'Unique Asset List'!$BV$3:$CB$3,0))</f>
        <v>0.27</v>
      </c>
      <c r="AH31" s="15">
        <f>INDEX('Unique Asset List'!$CC$4:$CI$60,MATCH('2'!$B31,'Unique Asset List'!$A$4:$A$60,0),MATCH('2'!$C$1,'Unique Asset List'!$CC$3:$CI$3,0))</f>
        <v>0.23</v>
      </c>
      <c r="AI31" s="11">
        <v>0.96187963349867744</v>
      </c>
      <c r="AJ31" s="15">
        <f>INDEX('Unique Asset List'!$BH$4:$BN$60,MATCH('2'!$B31,'Unique Asset List'!$A$4:$A$60,0),MATCH('2'!$C$1,'Unique Asset List'!$BH$3:$BN$3,0))</f>
        <v>2.2612105538192599</v>
      </c>
      <c r="AK31" s="15">
        <f>INDEX('Unique Asset List'!$BO$4:$BU$60,MATCH('2'!$B31,'Unique Asset List'!$A$4:$A$60,0),MATCH('2'!$C$1,'Unique Asset List'!$BO$3:$BU$3,0))</f>
        <v>-1.7475682675103321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4"/>
        <v>0.82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1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0</v>
      </c>
      <c r="BC31" s="181">
        <f ca="1">INDEX('Unique Asset List'!W$4:W$60,MATCH($B31,_CompoundList,0))</f>
        <v>1</v>
      </c>
      <c r="BD31" s="4">
        <f>IF($C$5="ON",CD31,MyRating(_E1,$B31,Efficacy!$F$1))</f>
        <v>4</v>
      </c>
      <c r="BE31" s="3">
        <f>IF($C$5="ON",CE31,MyRating(_E2,$B31,Efficacy!$F$1))</f>
        <v>4</v>
      </c>
      <c r="BF31" s="3">
        <f>IF($C$5="ON",CF31,MyRating(_E3,$B31,Efficacy!$F$1))</f>
        <v>4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IF($C$5="ON",CL31,MyRating(_S1,$B31,'S&amp;T'!$F$1))</f>
        <v>4</v>
      </c>
      <c r="BM31" s="3">
        <f>IF($C$5="ON",CM31,MyRating(_S2,$B31,'S&amp;T'!$F$1))</f>
        <v>3</v>
      </c>
      <c r="BN31" s="3">
        <f>IF($C$5="ON",CN31,MyRating(_S3,$B31,'S&amp;T'!$F$1))</f>
        <v>3</v>
      </c>
      <c r="BO31" s="3">
        <f>IF($C$5="ON",CO31,MyRating(_S4,$B31,'S&amp;T'!$F$1))</f>
        <v>4</v>
      </c>
      <c r="BP31" s="3">
        <f>IF($C$5="ON",CP31,MyRating(_S5,$B31,'S&amp;T'!$F$1))</f>
        <v>5</v>
      </c>
      <c r="BQ31" s="3">
        <f>IF($C$5="ON",CQ31,MyRating(_S6,$B31,'S&amp;T'!$F$1))</f>
        <v>3</v>
      </c>
      <c r="BR31" s="3">
        <f>IF($C$5="ON",CR31,MyRating(_S7,$B31,'S&amp;T'!$F$1))</f>
        <v>3</v>
      </c>
      <c r="BS31" s="3">
        <f>IF($C$5="ON",CS31,MyRating(_D1,$B31,Delivery!$F$1))</f>
        <v>3</v>
      </c>
      <c r="BT31" s="3">
        <f>IF($C$5="ON",CT31,MyRating(_D2,$B31,Delivery!$F$1))</f>
        <v>3</v>
      </c>
      <c r="BU31" s="3">
        <f>IF($C$5="ON",CU31,MyRating(_D3,$B31,Delivery!$F$1))</f>
        <v>3</v>
      </c>
      <c r="BV31" s="3">
        <f>IF($C$5="ON",CV31,MyRating(_D4,$B31,Delivery!$F$1))</f>
        <v>3</v>
      </c>
      <c r="BW31" s="3">
        <f>IF($C$5="ON",CW31,MyRating(_B1G5,$B31,Barrier!$L$2))</f>
        <v>2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8"/>
        <v>0</v>
      </c>
      <c r="CA31" s="8">
        <f t="shared" si="5"/>
        <v>2.8000000000000003</v>
      </c>
      <c r="CB31" s="5">
        <f t="shared" si="6"/>
        <v>3.2258064516129052E-2</v>
      </c>
      <c r="CC31" s="7">
        <f t="shared" si="7"/>
        <v>5.7937194202185476E-3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5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2</v>
      </c>
      <c r="CX31" s="3">
        <v>3</v>
      </c>
      <c r="CY31" s="6">
        <v>3</v>
      </c>
      <c r="CZ31" s="5">
        <v>3.6275844714639842E-2</v>
      </c>
    </row>
    <row r="32" spans="1:104" x14ac:dyDescent="0.25">
      <c r="A32" s="9" t="s">
        <v>178</v>
      </c>
      <c r="B32" s="9" t="s">
        <v>57</v>
      </c>
      <c r="C32" s="20" t="s">
        <v>3</v>
      </c>
      <c r="D32" s="9" t="s">
        <v>2</v>
      </c>
      <c r="E32" s="9" t="s">
        <v>186</v>
      </c>
      <c r="F32" s="9" t="str">
        <f>INDEX('Unique Asset List'!$C$4:$C$60,MATCH(B32,_CompoundList,0))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INDEX(PTRS!$D$6:$D$12,MATCH('2'!$F32,PTRS!$B$6:$B$12,0))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0"/>
        <v>0</v>
      </c>
      <c r="V32" s="17">
        <v>1</v>
      </c>
      <c r="W32" s="9" t="s">
        <v>57</v>
      </c>
      <c r="X32" s="9">
        <f>INDEX('Unique Asset List'!$Y$4:$AE$60,MATCH('2'!$B32,'Unique Asset List'!$A$4:$A$60,0),MATCH('2'!$C$1,'Unique Asset List'!$Y$3:$AE$3,0))</f>
        <v>2029</v>
      </c>
      <c r="Y32" s="9">
        <f>INDEX('Unique Asset List'!$AF$4:$AL$60,MATCH('2'!$B32,'Unique Asset List'!$A$4:$A$60,0),MATCH('2'!$C$1,'Unique Asset List'!$AF$3:$AL$3,0))</f>
        <v>9</v>
      </c>
      <c r="Z32" s="9">
        <f>INDEX('Unique Asset List'!$AT$4:$AZ$60,MATCH('2'!$B32,'Unique Asset List'!$A$4:$A$60,0),MATCH('2'!$C$1,'Unique Asset List'!$AT$3:$AZ$3,0))</f>
        <v>2038</v>
      </c>
      <c r="AA32" s="9">
        <f>INDEX('Unique Asset List'!$BA$4:$BG$60,MATCH('2'!$B32,'Unique Asset List'!$A$4:$A$60,0),MATCH('2'!$C$1,'Unique Asset List'!$BA$3:$BG$3,0))</f>
        <v>9</v>
      </c>
      <c r="AB32" s="16">
        <f t="shared" si="1"/>
        <v>2.3276916000000001</v>
      </c>
      <c r="AC32" s="16">
        <f t="shared" si="2"/>
        <v>0.94137550000000003</v>
      </c>
      <c r="AD32" s="16">
        <f t="shared" si="3"/>
        <v>0.56099999999999994</v>
      </c>
      <c r="AE32" s="15">
        <f>INDEX('Unique Asset List'!$CJ$4:$CP$60,MATCH('2'!$B32,'Unique Asset List'!$A$4:$A$60,0),MATCH('2'!$C$1,'Unique Asset List'!$CJ$3:$CP$3,0))</f>
        <v>0.27</v>
      </c>
      <c r="AF32" s="15">
        <f>INDEX('Unique Asset List'!$CQ$4:$CW$60,MATCH('2'!$B32,'Unique Asset List'!$A$4:$A$60,0),MATCH('2'!$C$1,'Unique Asset List'!$CQ$3:$CW$3,0))</f>
        <v>0.23</v>
      </c>
      <c r="AG32" s="15">
        <f>INDEX('Unique Asset List'!$BV$4:$CB$60,MATCH('2'!$B32,'Unique Asset List'!$A$4:$A$60,0),MATCH('2'!$C$1,'Unique Asset List'!$BV$3:$CB$3,0))</f>
        <v>0.27</v>
      </c>
      <c r="AH32" s="15">
        <f>INDEX('Unique Asset List'!$CC$4:$CI$60,MATCH('2'!$B32,'Unique Asset List'!$A$4:$A$60,0),MATCH('2'!$C$1,'Unique Asset List'!$CC$3:$CI$3,0))</f>
        <v>0.23</v>
      </c>
      <c r="AI32" s="11">
        <v>0.96187963349867744</v>
      </c>
      <c r="AJ32" s="15">
        <f>INDEX('Unique Asset List'!$BH$4:$BN$60,MATCH('2'!$B32,'Unique Asset List'!$A$4:$A$60,0),MATCH('2'!$C$1,'Unique Asset List'!$BH$3:$BN$3,0))</f>
        <v>2.2612105538192599</v>
      </c>
      <c r="AK32" s="15">
        <f>INDEX('Unique Asset List'!$BO$4:$BU$60,MATCH('2'!$B32,'Unique Asset List'!$A$4:$A$60,0),MATCH('2'!$C$1,'Unique Asset List'!$BO$3:$BU$3,0))</f>
        <v>-1.7475682675103321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4"/>
        <v>0.82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0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0</v>
      </c>
      <c r="BD32" s="4">
        <f>IF($C$5="ON",CD32,MyRating(_E1,$B32,Efficacy!$F$1))</f>
        <v>4</v>
      </c>
      <c r="BE32" s="3">
        <f>IF($C$5="ON",CE32,MyRating(_E2,$B32,Efficacy!$F$1))</f>
        <v>5</v>
      </c>
      <c r="BF32" s="3">
        <f>IF($C$5="ON",CF32,MyRating(_E3,$B32,Efficacy!$F$1))</f>
        <v>5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IF($C$5="ON",CL32,MyRating(_S1,$B32,'S&amp;T'!$F$1))</f>
        <v>4</v>
      </c>
      <c r="BM32" s="3">
        <f>IF($C$5="ON",CM32,MyRating(_S2,$B32,'S&amp;T'!$F$1))</f>
        <v>3</v>
      </c>
      <c r="BN32" s="3">
        <f>IF($C$5="ON",CN32,MyRating(_S3,$B32,'S&amp;T'!$F$1))</f>
        <v>3</v>
      </c>
      <c r="BO32" s="3">
        <f>IF($C$5="ON",CO32,MyRating(_S4,$B32,'S&amp;T'!$F$1))</f>
        <v>4</v>
      </c>
      <c r="BP32" s="3">
        <f>IF($C$5="ON",CP32,MyRating(_S5,$B32,'S&amp;T'!$F$1))</f>
        <v>5</v>
      </c>
      <c r="BQ32" s="3">
        <f>IF($C$5="ON",CQ32,MyRating(_S6,$B32,'S&amp;T'!$F$1))</f>
        <v>3</v>
      </c>
      <c r="BR32" s="3">
        <f>IF($C$5="ON",CR32,MyRating(_S7,$B32,'S&amp;T'!$F$1))</f>
        <v>3</v>
      </c>
      <c r="BS32" s="3">
        <f>IF($C$5="ON",CS32,MyRating(_D1,$B32,Delivery!$F$1))</f>
        <v>3</v>
      </c>
      <c r="BT32" s="3">
        <f>IF($C$5="ON",CT32,MyRating(_D2,$B32,Delivery!$F$1))</f>
        <v>3</v>
      </c>
      <c r="BU32" s="3">
        <f>IF($C$5="ON",CU32,MyRating(_D3,$B32,Delivery!$F$1))</f>
        <v>3</v>
      </c>
      <c r="BV32" s="3">
        <f>IF($C$5="ON",CV32,MyRating(_D4,$B32,Delivery!$F$1))</f>
        <v>3</v>
      </c>
      <c r="BW32" s="3">
        <f>IF($C$5="ON",CW32,MyRating(_B1G5,$B32,Barrier!$L$2))</f>
        <v>2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8"/>
        <v>0</v>
      </c>
      <c r="CA32" s="8">
        <f t="shared" si="5"/>
        <v>2.8000000000000003</v>
      </c>
      <c r="CB32" s="5">
        <f t="shared" si="6"/>
        <v>3.2258064516129052E-2</v>
      </c>
      <c r="CC32" s="7">
        <f t="shared" si="7"/>
        <v>5.7937194202185476E-3</v>
      </c>
      <c r="CD32" s="4">
        <v>4</v>
      </c>
      <c r="CE32" s="3">
        <v>5</v>
      </c>
      <c r="CF32" s="3">
        <v>5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5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2</v>
      </c>
      <c r="CX32" s="3">
        <v>3</v>
      </c>
      <c r="CY32" s="6">
        <v>3</v>
      </c>
      <c r="CZ32" s="5">
        <v>3.6275844714639842E-2</v>
      </c>
    </row>
    <row r="33" spans="1:104" x14ac:dyDescent="0.25">
      <c r="A33" s="9" t="s">
        <v>178</v>
      </c>
      <c r="B33" s="9" t="s">
        <v>28</v>
      </c>
      <c r="C33" s="20"/>
      <c r="D33" s="9" t="s">
        <v>2</v>
      </c>
      <c r="E33" s="9" t="s">
        <v>186</v>
      </c>
      <c r="F33" s="9" t="str">
        <f>INDEX('Unique Asset List'!$C$4:$C$60,MATCH(B33,_CompoundList,0))</f>
        <v>Ph1</v>
      </c>
      <c r="G33" s="19">
        <v>0</v>
      </c>
      <c r="H33" s="9">
        <v>2014</v>
      </c>
      <c r="I33" s="9">
        <v>6</v>
      </c>
      <c r="J33" s="18">
        <f>INDEX(PTRS!$D$6:$D$12,MATCH('2'!$F33,PTRS!$B$6:$B$12,0))</f>
        <v>0.13923000000000002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v>0.13923000000000002</v>
      </c>
      <c r="N33" s="17">
        <f>INDEX('Unique Asset List'!$D$4:$M$60,MATCH($B33,'Unique Asset List'!$A$4:$A$60,0),MATCH(N$8,'Unique Asset List'!$D$3:$M$3,0))</f>
        <v>0.09</v>
      </c>
      <c r="O33" s="17">
        <f>INDEX('Unique Asset List'!$D$4:$M$60,MATCH($B33,'Unique Asset List'!$A$4:$A$60,0),MATCH(O$8,'Unique Asset List'!$D$3:$M$3,0))</f>
        <v>0.09</v>
      </c>
      <c r="P33" s="17">
        <f>INDEX('Unique Asset List'!$D$4:$M$60,MATCH($B33,'Unique Asset List'!$A$4:$A$60,0),MATCH(P$8,'Unique Asset List'!$D$3:$M$3,0))</f>
        <v>0.09</v>
      </c>
      <c r="Q33" s="17">
        <f>INDEX('Unique Asset List'!$D$4:$M$60,MATCH($B33,'Unique Asset List'!$A$4:$A$60,0),MATCH(Q$8,'Unique Asset List'!$D$3:$M$3,0))</f>
        <v>0.09</v>
      </c>
      <c r="R33" s="17">
        <f>INDEX('Unique Asset List'!$D$4:$M$60,MATCH($B33,'Unique Asset List'!$A$4:$A$60,0),MATCH(R$8,'Unique Asset List'!$D$3:$M$3,0))</f>
        <v>0.09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0"/>
        <v>0.90168566420734253</v>
      </c>
      <c r="V33" s="17">
        <v>1</v>
      </c>
      <c r="W33" s="9" t="s">
        <v>27</v>
      </c>
      <c r="X33" s="9">
        <f>INDEX('Unique Asset List'!$Y$4:$AE$60,MATCH('2'!$B33,'Unique Asset List'!$A$4:$A$60,0),MATCH('2'!$C$1,'Unique Asset List'!$Y$3:$AE$3,0))</f>
        <v>2031</v>
      </c>
      <c r="Y33" s="9">
        <f>INDEX('Unique Asset List'!$AF$4:$AL$60,MATCH('2'!$B33,'Unique Asset List'!$A$4:$A$60,0),MATCH('2'!$C$1,'Unique Asset List'!$AF$3:$AL$3,0))</f>
        <v>6</v>
      </c>
      <c r="Z33" s="9">
        <f>INDEX('Unique Asset List'!$AT$4:$AZ$60,MATCH('2'!$B33,'Unique Asset List'!$A$4:$A$60,0),MATCH('2'!$C$1,'Unique Asset List'!$AT$3:$AZ$3,0))</f>
        <v>2038</v>
      </c>
      <c r="AA33" s="9">
        <f>INDEX('Unique Asset List'!$BA$4:$BG$60,MATCH('2'!$B33,'Unique Asset List'!$A$4:$A$60,0),MATCH('2'!$C$1,'Unique Asset List'!$BA$3:$BG$3,0))</f>
        <v>9</v>
      </c>
      <c r="AB33" s="16">
        <f t="shared" si="1"/>
        <v>2.0289886000000004</v>
      </c>
      <c r="AC33" s="16">
        <f t="shared" si="2"/>
        <v>0.81843569999999999</v>
      </c>
      <c r="AD33" s="16">
        <f t="shared" si="3"/>
        <v>0.56099999999999994</v>
      </c>
      <c r="AE33" s="15">
        <f>INDEX('Unique Asset List'!$CJ$4:$CP$60,MATCH('2'!$B33,'Unique Asset List'!$A$4:$A$60,0),MATCH('2'!$C$1,'Unique Asset List'!$CJ$3:$CP$3,0))</f>
        <v>0.2</v>
      </c>
      <c r="AF33" s="15">
        <f>INDEX('Unique Asset List'!$CQ$4:$CW$60,MATCH('2'!$B33,'Unique Asset List'!$A$4:$A$60,0),MATCH('2'!$C$1,'Unique Asset List'!$CQ$3:$CW$3,0))</f>
        <v>0.3</v>
      </c>
      <c r="AG33" s="15">
        <f>INDEX('Unique Asset List'!$BV$4:$CB$60,MATCH('2'!$B33,'Unique Asset List'!$A$4:$A$60,0),MATCH('2'!$C$1,'Unique Asset List'!$BV$3:$CB$3,0))</f>
        <v>0.2</v>
      </c>
      <c r="AH33" s="15">
        <f>INDEX('Unique Asset List'!$CC$4:$CI$60,MATCH('2'!$B33,'Unique Asset List'!$A$4:$A$60,0),MATCH('2'!$C$1,'Unique Asset List'!$CC$3:$CI$3,0))</f>
        <v>0.3</v>
      </c>
      <c r="AI33" s="11">
        <v>0.96187963349867744</v>
      </c>
      <c r="AJ33" s="15">
        <f>INDEX('Unique Asset List'!$BH$4:$BN$60,MATCH('2'!$B33,'Unique Asset List'!$A$4:$A$60,0),MATCH('2'!$C$1,'Unique Asset List'!$BH$3:$BN$3,0))</f>
        <v>2.2612105538192599</v>
      </c>
      <c r="AK33" s="15">
        <f>INDEX('Unique Asset List'!$BO$4:$BU$60,MATCH('2'!$B33,'Unique Asset List'!$A$4:$A$60,0),MATCH('2'!$C$1,'Unique Asset List'!$BO$3:$BU$3,0))</f>
        <v>-1.7475682675103321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4"/>
        <v>0.82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1</v>
      </c>
      <c r="AY33" s="181">
        <f ca="1">INDEX('Unique Asset List'!S$4:S$60,MATCH($B33,_CompoundList,0))</f>
        <v>1</v>
      </c>
      <c r="AZ33" s="181">
        <f ca="1">INDEX('Unique Asset List'!T$4:T$60,MATCH($B33,_CompoundList,0))</f>
        <v>1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1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3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3</v>
      </c>
      <c r="BL33" s="3">
        <f>IF($C$5="ON",CL33,MyRating(_S1,$B33,'S&amp;T'!$F$1))</f>
        <v>2</v>
      </c>
      <c r="BM33" s="3">
        <f>IF($C$5="ON",CM33,MyRating(_S2,$B33,'S&amp;T'!$F$1))</f>
        <v>3</v>
      </c>
      <c r="BN33" s="3">
        <f>IF($C$5="ON",CN33,MyRating(_S3,$B33,'S&amp;T'!$F$1))</f>
        <v>3</v>
      </c>
      <c r="BO33" s="3">
        <f>IF($C$5="ON",CO33,MyRating(_S4,$B33,'S&amp;T'!$F$1))</f>
        <v>4</v>
      </c>
      <c r="BP33" s="3">
        <f>IF($C$5="ON",CP33,MyRating(_S5,$B33,'S&amp;T'!$F$1))</f>
        <v>5</v>
      </c>
      <c r="BQ33" s="3">
        <f>IF($C$5="ON",CQ33,MyRating(_S6,$B33,'S&amp;T'!$F$1))</f>
        <v>3</v>
      </c>
      <c r="BR33" s="3">
        <f>IF($C$5="ON",CR33,MyRating(_S7,$B33,'S&amp;T'!$F$1))</f>
        <v>3</v>
      </c>
      <c r="BS33" s="3">
        <f>IF($C$5="ON",CS33,MyRating(_D1,$B33,Delivery!$F$1))</f>
        <v>3</v>
      </c>
      <c r="BT33" s="3">
        <f>IF($C$5="ON",CT33,MyRating(_D2,$B33,Delivery!$F$1))</f>
        <v>3</v>
      </c>
      <c r="BU33" s="3">
        <f>IF($C$5="ON",CU33,MyRating(_D3,$B33,Delivery!$F$1))</f>
        <v>3</v>
      </c>
      <c r="BV33" s="3">
        <f>IF($C$5="ON",CV33,MyRating(_D4,$B33,Delivery!$F$1))</f>
        <v>3</v>
      </c>
      <c r="BW33" s="3">
        <f>IF($C$5="ON",CW33,MyRating(_B1G5,$B33,Barrier!$L$2))</f>
        <v>2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8"/>
        <v>3.255254469149791E-2</v>
      </c>
      <c r="CA33" s="8">
        <f t="shared" si="5"/>
        <v>2.8000000000000003</v>
      </c>
      <c r="CB33" s="5">
        <f t="shared" si="6"/>
        <v>3.2258064516129052E-2</v>
      </c>
      <c r="CC33" s="7">
        <f t="shared" si="7"/>
        <v>5.7937194202185476E-3</v>
      </c>
      <c r="CD33" s="4">
        <v>4</v>
      </c>
      <c r="CE33" s="3">
        <v>4</v>
      </c>
      <c r="CF33" s="3">
        <v>4</v>
      </c>
      <c r="CG33" s="3">
        <v>4</v>
      </c>
      <c r="CH33" s="3">
        <v>3</v>
      </c>
      <c r="CI33" s="3">
        <v>3</v>
      </c>
      <c r="CJ33" s="3">
        <v>3</v>
      </c>
      <c r="CK33" s="3">
        <v>3</v>
      </c>
      <c r="CL33" s="3">
        <v>2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4</v>
      </c>
      <c r="CS33" s="3">
        <v>3</v>
      </c>
      <c r="CT33" s="3">
        <v>3</v>
      </c>
      <c r="CU33" s="3">
        <v>3</v>
      </c>
      <c r="CV33" s="3">
        <v>3</v>
      </c>
      <c r="CW33" s="3">
        <v>2</v>
      </c>
      <c r="CX33" s="3">
        <v>3</v>
      </c>
      <c r="CY33" s="6">
        <v>3</v>
      </c>
      <c r="CZ33" s="5">
        <v>3.6275844714639842E-2</v>
      </c>
    </row>
    <row r="34" spans="1:104" x14ac:dyDescent="0.25">
      <c r="A34" s="9" t="s">
        <v>178</v>
      </c>
      <c r="B34" s="9" t="s">
        <v>61</v>
      </c>
      <c r="C34" s="20"/>
      <c r="D34" s="9" t="s">
        <v>60</v>
      </c>
      <c r="E34" s="9" t="s">
        <v>59</v>
      </c>
      <c r="F34" s="9" t="str">
        <f>INDEX('Unique Asset List'!$C$4:$C$60,MATCH(B34,_CompoundList,0))</f>
        <v>Ph1</v>
      </c>
      <c r="G34" s="19">
        <v>0</v>
      </c>
      <c r="H34" s="9">
        <v>2014</v>
      </c>
      <c r="I34" s="9">
        <v>6</v>
      </c>
      <c r="J34" s="18">
        <f>INDEX(PTRS!$D$6:$D$12,MATCH('2'!$F34,PTRS!$B$6:$B$12,0))</f>
        <v>0.13923000000000002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v>0.13923000000000002</v>
      </c>
      <c r="N34" s="17">
        <f>INDEX('Unique Asset List'!$D$4:$M$60,MATCH($B34,'Unique Asset List'!$A$4:$A$60,0),MATCH(N$8,'Unique Asset List'!$D$3:$M$3,0))</f>
        <v>0.13923000000000002</v>
      </c>
      <c r="O34" s="17">
        <f>INDEX('Unique Asset List'!$D$4:$M$60,MATCH($B34,'Unique Asset List'!$A$4:$A$60,0),MATCH(O$8,'Unique Asset List'!$D$3:$M$3,0))</f>
        <v>0.13923000000000002</v>
      </c>
      <c r="P34" s="17">
        <f>INDEX('Unique Asset List'!$D$4:$M$60,MATCH($B34,'Unique Asset List'!$A$4:$A$60,0),MATCH(P$8,'Unique Asset List'!$D$3:$M$3,0))</f>
        <v>0.13923000000000002</v>
      </c>
      <c r="Q34" s="17">
        <f>INDEX('Unique Asset List'!$D$4:$M$60,MATCH($B34,'Unique Asset List'!$A$4:$A$60,0),MATCH(Q$8,'Unique Asset List'!$D$3:$M$3,0))</f>
        <v>0.13923000000000002</v>
      </c>
      <c r="R34" s="17">
        <f>INDEX('Unique Asset List'!$D$4:$M$60,MATCH($B34,'Unique Asset List'!$A$4:$A$60,0),MATCH(R$8,'Unique Asset List'!$D$3:$M$3,0))</f>
        <v>0.13923000000000002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0"/>
        <v>0.90168566420734253</v>
      </c>
      <c r="V34" s="17">
        <v>1</v>
      </c>
      <c r="W34" s="9" t="s">
        <v>57</v>
      </c>
      <c r="X34" s="9">
        <f>INDEX('Unique Asset List'!$Y$4:$AE$60,MATCH('2'!$B34,'Unique Asset List'!$A$4:$A$60,0),MATCH('2'!$C$1,'Unique Asset List'!$Y$3:$AE$3,0))</f>
        <v>2028</v>
      </c>
      <c r="Y34" s="9">
        <f>INDEX('Unique Asset List'!$AF$4:$AL$60,MATCH('2'!$B34,'Unique Asset List'!$A$4:$A$60,0),MATCH('2'!$C$1,'Unique Asset List'!$AF$3:$AL$3,0))</f>
        <v>9</v>
      </c>
      <c r="Z34" s="9">
        <f>INDEX('Unique Asset List'!$AT$4:$AZ$60,MATCH('2'!$B34,'Unique Asset List'!$A$4:$A$60,0),MATCH('2'!$C$1,'Unique Asset List'!$AT$3:$AZ$3,0))</f>
        <v>2036</v>
      </c>
      <c r="AA34" s="9">
        <f>INDEX('Unique Asset List'!$BA$4:$BG$60,MATCH('2'!$B34,'Unique Asset List'!$A$4:$A$60,0),MATCH('2'!$C$1,'Unique Asset List'!$BA$3:$BG$3,0))</f>
        <v>9</v>
      </c>
      <c r="AB34" s="16">
        <f t="shared" si="1"/>
        <v>2.3276916000000001</v>
      </c>
      <c r="AC34" s="16">
        <f t="shared" si="2"/>
        <v>0.87990560000000007</v>
      </c>
      <c r="AD34" s="16">
        <f t="shared" si="3"/>
        <v>0.56099999999999994</v>
      </c>
      <c r="AE34" s="15">
        <f>INDEX('Unique Asset List'!$CJ$4:$CP$60,MATCH('2'!$B34,'Unique Asset List'!$A$4:$A$60,0),MATCH('2'!$C$1,'Unique Asset List'!$CJ$3:$CP$3,0))</f>
        <v>0.27</v>
      </c>
      <c r="AF34" s="15">
        <f>INDEX('Unique Asset List'!$CQ$4:$CW$60,MATCH('2'!$B34,'Unique Asset List'!$A$4:$A$60,0),MATCH('2'!$C$1,'Unique Asset List'!$CQ$3:$CW$3,0))</f>
        <v>0.23</v>
      </c>
      <c r="AG34" s="15">
        <f>INDEX('Unique Asset List'!$BV$4:$CB$60,MATCH('2'!$B34,'Unique Asset List'!$A$4:$A$60,0),MATCH('2'!$C$1,'Unique Asset List'!$BV$3:$CB$3,0))</f>
        <v>0.27</v>
      </c>
      <c r="AH34" s="15">
        <f>INDEX('Unique Asset List'!$CC$4:$CI$60,MATCH('2'!$B34,'Unique Asset List'!$A$4:$A$60,0),MATCH('2'!$C$1,'Unique Asset List'!$CC$3:$CI$3,0))</f>
        <v>0.23</v>
      </c>
      <c r="AI34" s="11">
        <v>0.96187963349867744</v>
      </c>
      <c r="AJ34" s="15">
        <f>INDEX('Unique Asset List'!$BH$4:$BN$60,MATCH('2'!$B34,'Unique Asset List'!$A$4:$A$60,0),MATCH('2'!$C$1,'Unique Asset List'!$BH$3:$BN$3,0))</f>
        <v>2.2612105538192599</v>
      </c>
      <c r="AK34" s="15">
        <f>INDEX('Unique Asset List'!$BO$4:$BU$60,MATCH('2'!$B34,'Unique Asset List'!$A$4:$A$60,0),MATCH('2'!$C$1,'Unique Asset List'!$BO$3:$BU$3,0))</f>
        <v>-1.7475682675103321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4"/>
        <v>0.82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0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1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5</v>
      </c>
      <c r="BF34" s="3">
        <f>IF($C$5="ON",CF34,MyRating(_E3,$B34,Efficacy!$F$1))</f>
        <v>5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IF($C$5="ON",CL34,MyRating(_S1,$B34,'S&amp;T'!$F$1))</f>
        <v>3</v>
      </c>
      <c r="BM34" s="3">
        <f>IF($C$5="ON",CM34,MyRating(_S2,$B34,'S&amp;T'!$F$1))</f>
        <v>3</v>
      </c>
      <c r="BN34" s="3">
        <f>IF($C$5="ON",CN34,MyRating(_S3,$B34,'S&amp;T'!$F$1))</f>
        <v>3</v>
      </c>
      <c r="BO34" s="3">
        <f>IF($C$5="ON",CO34,MyRating(_S4,$B34,'S&amp;T'!$F$1))</f>
        <v>4</v>
      </c>
      <c r="BP34" s="3">
        <f>IF($C$5="ON",CP34,MyRating(_S5,$B34,'S&amp;T'!$F$1))</f>
        <v>5</v>
      </c>
      <c r="BQ34" s="3">
        <f>IF($C$5="ON",CQ34,MyRating(_S6,$B34,'S&amp;T'!$F$1))</f>
        <v>3</v>
      </c>
      <c r="BR34" s="3">
        <f>IF($C$5="ON",CR34,MyRating(_S7,$B34,'S&amp;T'!$F$1))</f>
        <v>3</v>
      </c>
      <c r="BS34" s="3">
        <f>IF($C$5="ON",CS34,MyRating(_D1,$B34,Delivery!$F$1))</f>
        <v>3</v>
      </c>
      <c r="BT34" s="3">
        <f>IF($C$5="ON",CT34,MyRating(_D2,$B34,Delivery!$F$1))</f>
        <v>3</v>
      </c>
      <c r="BU34" s="3">
        <f>IF($C$5="ON",CU34,MyRating(_D3,$B34,Delivery!$F$1))</f>
        <v>3</v>
      </c>
      <c r="BV34" s="3">
        <f>IF($C$5="ON",CV34,MyRating(_D4,$B34,Delivery!$F$1))</f>
        <v>3</v>
      </c>
      <c r="BW34" s="3">
        <f>IF($C$5="ON",CW34,MyRating(_B1G5,$B34,Barrier!$L$2))</f>
        <v>2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8"/>
        <v>3.255254469149791E-2</v>
      </c>
      <c r="CA34" s="8">
        <f t="shared" si="5"/>
        <v>2.8000000000000003</v>
      </c>
      <c r="CB34" s="5">
        <f t="shared" si="6"/>
        <v>3.2258064516129052E-2</v>
      </c>
      <c r="CC34" s="7">
        <f t="shared" si="7"/>
        <v>5.7937194202185476E-3</v>
      </c>
      <c r="CD34" s="4">
        <v>4</v>
      </c>
      <c r="CE34" s="3">
        <v>5</v>
      </c>
      <c r="CF34" s="3">
        <v>5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5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2</v>
      </c>
      <c r="CX34" s="3">
        <v>3</v>
      </c>
      <c r="CY34" s="6">
        <v>3</v>
      </c>
      <c r="CZ34" s="5">
        <v>3.6275844714639842E-2</v>
      </c>
    </row>
    <row r="35" spans="1:104" x14ac:dyDescent="0.25">
      <c r="A35" s="9" t="s">
        <v>178</v>
      </c>
      <c r="B35" s="9" t="s">
        <v>278</v>
      </c>
      <c r="C35" s="20" t="s">
        <v>3</v>
      </c>
      <c r="D35" s="9" t="s">
        <v>55</v>
      </c>
      <c r="E35" s="9" t="s">
        <v>186</v>
      </c>
      <c r="F35" s="9" t="str">
        <f>INDEX('Unique Asset List'!$C$4:$C$60,MATCH(B35,_CompoundList,0))</f>
        <v>Ph2a</v>
      </c>
      <c r="G35" s="19">
        <v>0</v>
      </c>
      <c r="H35" s="9">
        <v>2014</v>
      </c>
      <c r="I35" s="9">
        <v>6</v>
      </c>
      <c r="J35" s="18">
        <f>INDEX(PTRS!$D$6:$D$12,MATCH('2'!$F35,PTRS!$B$6:$B$12,0))</f>
        <v>0.1638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v>5.4600000000000003E-2</v>
      </c>
      <c r="N35" s="17">
        <f>INDEX('Unique Asset List'!$D$4:$M$60,MATCH($B35,'Unique Asset List'!$A$4:$A$60,0),MATCH(N$8,'Unique Asset List'!$D$3:$M$3,0))</f>
        <v>0.1638</v>
      </c>
      <c r="O35" s="17">
        <f>INDEX('Unique Asset List'!$D$4:$M$60,MATCH($B35,'Unique Asset List'!$A$4:$A$60,0),MATCH(O$8,'Unique Asset List'!$D$3:$M$3,0))</f>
        <v>0.1638</v>
      </c>
      <c r="P35" s="17">
        <f>INDEX('Unique Asset List'!$D$4:$M$60,MATCH($B35,'Unique Asset List'!$A$4:$A$60,0),MATCH(P$8,'Unique Asset List'!$D$3:$M$3,0))</f>
        <v>0.1638</v>
      </c>
      <c r="Q35" s="17">
        <f>INDEX('Unique Asset List'!$D$4:$M$60,MATCH($B35,'Unique Asset List'!$A$4:$A$60,0),MATCH(Q$8,'Unique Asset List'!$D$3:$M$3,0))</f>
        <v>0.1638</v>
      </c>
      <c r="R35" s="17">
        <f>INDEX('Unique Asset List'!$D$4:$M$60,MATCH($B35,'Unique Asset List'!$A$4:$A$60,0),MATCH(R$8,'Unique Asset List'!$D$3:$M$3,0))</f>
        <v>0.1638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0"/>
        <v>0</v>
      </c>
      <c r="V35" s="17">
        <v>1</v>
      </c>
      <c r="W35" s="9" t="s">
        <v>54</v>
      </c>
      <c r="X35" s="9">
        <f>INDEX('Unique Asset List'!$Y$4:$AE$60,MATCH('2'!$B35,'Unique Asset List'!$A$4:$A$60,0),MATCH('2'!$C$1,'Unique Asset List'!$Y$3:$AE$3,0))</f>
        <v>2023</v>
      </c>
      <c r="Y35" s="9">
        <f>INDEX('Unique Asset List'!$AF$4:$AL$60,MATCH('2'!$B35,'Unique Asset List'!$A$4:$A$60,0),MATCH('2'!$C$1,'Unique Asset List'!$AF$3:$AL$3,0))</f>
        <v>9</v>
      </c>
      <c r="Z35" s="9">
        <f>INDEX('Unique Asset List'!$AT$4:$AZ$60,MATCH('2'!$B35,'Unique Asset List'!$A$4:$A$60,0),MATCH('2'!$C$1,'Unique Asset List'!$AT$3:$AZ$3,0))</f>
        <v>2036</v>
      </c>
      <c r="AA35" s="9">
        <f>INDEX('Unique Asset List'!$BA$4:$BG$60,MATCH('2'!$B35,'Unique Asset List'!$A$4:$A$60,0),MATCH('2'!$C$1,'Unique Asset List'!$BA$3:$BG$3,0))</f>
        <v>9</v>
      </c>
      <c r="AB35" s="16">
        <f t="shared" si="1"/>
        <v>0</v>
      </c>
      <c r="AC35" s="16">
        <f t="shared" si="2"/>
        <v>0</v>
      </c>
      <c r="AD35" s="16">
        <f t="shared" si="3"/>
        <v>0</v>
      </c>
      <c r="AE35" s="15">
        <f>INDEX('Unique Asset List'!$CJ$4:$CP$60,MATCH('2'!$B35,'Unique Asset List'!$A$4:$A$60,0),MATCH('2'!$C$1,'Unique Asset List'!$CJ$3:$CP$3,0))</f>
        <v>0.2</v>
      </c>
      <c r="AF35" s="15">
        <f>INDEX('Unique Asset List'!$CQ$4:$CW$60,MATCH('2'!$B35,'Unique Asset List'!$A$4:$A$60,0),MATCH('2'!$C$1,'Unique Asset List'!$CQ$3:$CW$3,0))</f>
        <v>0.3</v>
      </c>
      <c r="AG35" s="15">
        <f>INDEX('Unique Asset List'!$BV$4:$CB$60,MATCH('2'!$B35,'Unique Asset List'!$A$4:$A$60,0),MATCH('2'!$C$1,'Unique Asset List'!$BV$3:$CB$3,0))</f>
        <v>0.2</v>
      </c>
      <c r="AH35" s="15">
        <f>INDEX('Unique Asset List'!$CC$4:$CI$60,MATCH('2'!$B35,'Unique Asset List'!$A$4:$A$60,0),MATCH('2'!$C$1,'Unique Asset List'!$CC$3:$CI$3,0))</f>
        <v>0.3</v>
      </c>
      <c r="AI35" s="11">
        <v>0.96187963349867744</v>
      </c>
      <c r="AJ35" s="15">
        <f>INDEX('Unique Asset List'!$BH$4:$BN$60,MATCH('2'!$B35,'Unique Asset List'!$A$4:$A$60,0),MATCH('2'!$C$1,'Unique Asset List'!$BH$3:$BN$3,0))</f>
        <v>2.2612105538192599</v>
      </c>
      <c r="AK35" s="15">
        <f>INDEX('Unique Asset List'!$BO$4:$BU$60,MATCH('2'!$B35,'Unique Asset List'!$A$4:$A$60,0),MATCH('2'!$C$1,'Unique Asset List'!$BO$3:$BU$3,0))</f>
        <v>-1.7475682675103321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4"/>
        <v>0.82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0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0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0</v>
      </c>
      <c r="BC35" s="181">
        <f ca="1">INDEX('Unique Asset List'!W$4:W$60,MATCH($B35,_CompoundList,0))</f>
        <v>1</v>
      </c>
      <c r="BD35" s="4">
        <f>IF($C$5="ON",CD35,MyRating(_E1,$B35,Efficacy!$F$1))</f>
        <v>0</v>
      </c>
      <c r="BE35" s="3">
        <f>IF($C$5="ON",CE35,MyRating(_E2,$B35,Efficacy!$F$1))</f>
        <v>0</v>
      </c>
      <c r="BF35" s="3">
        <f>IF($C$5="ON",CF35,MyRating(_E3,$B35,Efficacy!$F$1))</f>
        <v>0</v>
      </c>
      <c r="BG35" s="3">
        <f>IF($C$5="ON",CG35,MyRating(_E4,$B35,Efficacy!$F$1))</f>
        <v>0</v>
      </c>
      <c r="BH35" s="3">
        <f>IF($C$5="ON",CH35,MyRating(_E5,$B35,Efficacy!$F$1))</f>
        <v>0</v>
      </c>
      <c r="BI35" s="3">
        <f>IF($C$5="ON",CI35,MyRating(_E6,$B35,Efficacy!$F$1))</f>
        <v>0</v>
      </c>
      <c r="BJ35" s="3">
        <f>IF($C$5="ON",CJ35,MyRating(_E7,$B35,Efficacy!$F$1))</f>
        <v>0</v>
      </c>
      <c r="BK35" s="3">
        <f>IF($C$5="ON",CK35,MyRating(_E8,$B35,Efficacy!$F$1))</f>
        <v>0</v>
      </c>
      <c r="BL35" s="3">
        <f>IF($C$5="ON",CL35,MyRating(_S1,$B35,'S&amp;T'!$F$1))</f>
        <v>0</v>
      </c>
      <c r="BM35" s="3">
        <f>IF($C$5="ON",CM35,MyRating(_S2,$B35,'S&amp;T'!$F$1))</f>
        <v>0</v>
      </c>
      <c r="BN35" s="3">
        <f>IF($C$5="ON",CN35,MyRating(_S3,$B35,'S&amp;T'!$F$1))</f>
        <v>0</v>
      </c>
      <c r="BO35" s="3">
        <f>IF($C$5="ON",CO35,MyRating(_S4,$B35,'S&amp;T'!$F$1))</f>
        <v>0</v>
      </c>
      <c r="BP35" s="3">
        <f>IF($C$5="ON",CP35,MyRating(_S5,$B35,'S&amp;T'!$F$1))</f>
        <v>0</v>
      </c>
      <c r="BQ35" s="3">
        <f>IF($C$5="ON",CQ35,MyRating(_S6,$B35,'S&amp;T'!$F$1))</f>
        <v>0</v>
      </c>
      <c r="BR35" s="3">
        <f>IF($C$5="ON",CR35,MyRating(_S7,$B35,'S&amp;T'!$F$1))</f>
        <v>0</v>
      </c>
      <c r="BS35" s="3">
        <f>IF($C$5="ON",CS35,MyRating(_D1,$B35,Delivery!$F$1))</f>
        <v>0</v>
      </c>
      <c r="BT35" s="3">
        <f>IF($C$5="ON",CT35,MyRating(_D2,$B35,Delivery!$F$1))</f>
        <v>0</v>
      </c>
      <c r="BU35" s="3">
        <f>IF($C$5="ON",CU35,MyRating(_D3,$B35,Delivery!$F$1))</f>
        <v>0</v>
      </c>
      <c r="BV35" s="3">
        <f>IF($C$5="ON",CV35,MyRating(_D4,$B35,Delivery!$F$1))</f>
        <v>0</v>
      </c>
      <c r="BW35" s="3">
        <f>IF($C$5="ON",CW35,MyRating(_B1G5,$B35,Barrier!$L$2))</f>
        <v>0</v>
      </c>
      <c r="BX35" s="3">
        <f>IF($C$5="ON",CX35,MyRating(_B2,$B35,Barrier!$F$2))</f>
        <v>0</v>
      </c>
      <c r="BY35" s="6">
        <f>IF($C$5="ON",CY35,MyRating(_B3,$B35,Barrier!$F$2))</f>
        <v>0</v>
      </c>
      <c r="BZ35" s="5">
        <f t="shared" si="8"/>
        <v>0</v>
      </c>
      <c r="CA35" s="8">
        <f t="shared" si="5"/>
        <v>0</v>
      </c>
      <c r="CB35" s="5">
        <f t="shared" si="6"/>
        <v>0</v>
      </c>
      <c r="CC35" s="7">
        <f t="shared" si="7"/>
        <v>0</v>
      </c>
      <c r="CD35" s="4">
        <v>2</v>
      </c>
      <c r="CE35" s="3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4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2</v>
      </c>
      <c r="CX35" s="3">
        <v>3</v>
      </c>
      <c r="CY35" s="6">
        <v>3</v>
      </c>
      <c r="CZ35" s="5">
        <v>3.6275844714639842E-2</v>
      </c>
    </row>
    <row r="36" spans="1:104" x14ac:dyDescent="0.25">
      <c r="A36" s="9" t="s">
        <v>178</v>
      </c>
      <c r="B36" s="9" t="s">
        <v>53</v>
      </c>
      <c r="C36" s="20"/>
      <c r="D36" s="9" t="s">
        <v>52</v>
      </c>
      <c r="E36" s="9" t="s">
        <v>186</v>
      </c>
      <c r="F36" s="9" t="str">
        <f>INDEX('Unique Asset List'!$C$4:$C$60,MATCH(B36,_CompoundList,0))</f>
        <v>Ph2a</v>
      </c>
      <c r="G36" s="19">
        <v>0</v>
      </c>
      <c r="H36" s="9">
        <v>2014</v>
      </c>
      <c r="I36" s="9">
        <v>6</v>
      </c>
      <c r="J36" s="18">
        <f>INDEX(PTRS!$D$6:$D$12,MATCH('2'!$F36,PTRS!$B$6:$B$12,0))</f>
        <v>0.1638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0.1638</v>
      </c>
      <c r="N36" s="17">
        <f>INDEX('Unique Asset List'!$D$4:$M$60,MATCH($B36,'Unique Asset List'!$A$4:$A$60,0),MATCH(N$8,'Unique Asset List'!$D$3:$M$3,0))</f>
        <v>0.1638</v>
      </c>
      <c r="O36" s="17">
        <f>INDEX('Unique Asset List'!$D$4:$M$60,MATCH($B36,'Unique Asset List'!$A$4:$A$60,0),MATCH(O$8,'Unique Asset List'!$D$3:$M$3,0))</f>
        <v>0.1638</v>
      </c>
      <c r="P36" s="17">
        <f>INDEX('Unique Asset List'!$D$4:$M$60,MATCH($B36,'Unique Asset List'!$A$4:$A$60,0),MATCH(P$8,'Unique Asset List'!$D$3:$M$3,0))</f>
        <v>0.1638</v>
      </c>
      <c r="Q36" s="17">
        <f>INDEX('Unique Asset List'!$D$4:$M$60,MATCH($B36,'Unique Asset List'!$A$4:$A$60,0),MATCH(Q$8,'Unique Asset List'!$D$3:$M$3,0))</f>
        <v>0.1638</v>
      </c>
      <c r="R36" s="17">
        <f>INDEX('Unique Asset List'!$D$4:$M$60,MATCH($B36,'Unique Asset List'!$A$4:$A$60,0),MATCH(R$8,'Unique Asset List'!$D$3:$M$3,0))</f>
        <v>0.1638</v>
      </c>
      <c r="S36" s="17">
        <f>INDEX('Unique Asset List'!$D$4:$M$60,MATCH($B36,'Unique Asset List'!$A$4:$A$60,0),MATCH(S$8,'Unique Asset List'!$D$3:$M$3,0))</f>
        <v>0</v>
      </c>
      <c r="T36" s="17"/>
      <c r="U36" s="17">
        <f t="shared" si="0"/>
        <v>0.90168566420734253</v>
      </c>
      <c r="V36" s="17">
        <v>1</v>
      </c>
      <c r="W36" s="9" t="s">
        <v>50</v>
      </c>
      <c r="X36" s="9">
        <f>INDEX('Unique Asset List'!$Y$4:$AE$60,MATCH('2'!$B36,'Unique Asset List'!$A$4:$A$60,0),MATCH('2'!$C$1,'Unique Asset List'!$Y$3:$AE$3,0))</f>
        <v>2024</v>
      </c>
      <c r="Y36" s="9">
        <f>INDEX('Unique Asset List'!$AF$4:$AL$60,MATCH('2'!$B36,'Unique Asset List'!$A$4:$A$60,0),MATCH('2'!$C$1,'Unique Asset List'!$AF$3:$AL$3,0))</f>
        <v>9</v>
      </c>
      <c r="Z36" s="9">
        <f>INDEX('Unique Asset List'!$AT$4:$AZ$60,MATCH('2'!$B36,'Unique Asset List'!$A$4:$A$60,0),MATCH('2'!$C$1,'Unique Asset List'!$AT$3:$AZ$3,0))</f>
        <v>2036</v>
      </c>
      <c r="AA36" s="9">
        <f>INDEX('Unique Asset List'!$BA$4:$BG$60,MATCH('2'!$B36,'Unique Asset List'!$A$4:$A$60,0),MATCH('2'!$C$1,'Unique Asset List'!$BA$3:$BG$3,0))</f>
        <v>9</v>
      </c>
      <c r="AB36" s="16">
        <f t="shared" si="1"/>
        <v>1.6860000000000002</v>
      </c>
      <c r="AC36" s="16">
        <f t="shared" si="2"/>
        <v>0.7529247</v>
      </c>
      <c r="AD36" s="16">
        <f t="shared" si="3"/>
        <v>0.56099999999999994</v>
      </c>
      <c r="AE36" s="15">
        <f>INDEX('Unique Asset List'!$CJ$4:$CP$60,MATCH('2'!$B36,'Unique Asset List'!$A$4:$A$60,0),MATCH('2'!$C$1,'Unique Asset List'!$CJ$3:$CP$3,0))</f>
        <v>0.2</v>
      </c>
      <c r="AF36" s="15">
        <f>INDEX('Unique Asset List'!$CQ$4:$CW$60,MATCH('2'!$B36,'Unique Asset List'!$A$4:$A$60,0),MATCH('2'!$C$1,'Unique Asset List'!$CQ$3:$CW$3,0))</f>
        <v>0.3</v>
      </c>
      <c r="AG36" s="15">
        <f>INDEX('Unique Asset List'!$BV$4:$CB$60,MATCH('2'!$B36,'Unique Asset List'!$A$4:$A$60,0),MATCH('2'!$C$1,'Unique Asset List'!$BV$3:$CB$3,0))</f>
        <v>0.2</v>
      </c>
      <c r="AH36" s="15">
        <f>INDEX('Unique Asset List'!$CC$4:$CI$60,MATCH('2'!$B36,'Unique Asset List'!$A$4:$A$60,0),MATCH('2'!$C$1,'Unique Asset List'!$CC$3:$CI$3,0))</f>
        <v>0.3</v>
      </c>
      <c r="AI36" s="11">
        <v>0.96187963349867744</v>
      </c>
      <c r="AJ36" s="15">
        <f>INDEX('Unique Asset List'!$BH$4:$BN$60,MATCH('2'!$B36,'Unique Asset List'!$A$4:$A$60,0),MATCH('2'!$C$1,'Unique Asset List'!$BH$3:$BN$3,0))</f>
        <v>2.2612105538192599</v>
      </c>
      <c r="AK36" s="15">
        <f>INDEX('Unique Asset List'!$BO$4:$BU$60,MATCH('2'!$B36,'Unique Asset List'!$A$4:$A$60,0),MATCH('2'!$C$1,'Unique Asset List'!$BO$3:$BU$3,0))</f>
        <v>-1.7475682675103321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4"/>
        <v>0.82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1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1</v>
      </c>
      <c r="BB36" s="181">
        <f ca="1">INDEX('Unique Asset List'!V$4:V$60,MATCH($B36,_CompoundList,0))</f>
        <v>1</v>
      </c>
      <c r="BC36" s="181">
        <f ca="1">INDEX('Unique Asset List'!W$4:W$60,MATCH($B36,_CompoundList,0))</f>
        <v>0</v>
      </c>
      <c r="BD36" s="4">
        <f>IF($C$5="ON",CD36,MyRating(_E1,$B36,Efficacy!$F$1))</f>
        <v>3</v>
      </c>
      <c r="BE36" s="3">
        <f>IF($C$5="ON",CE36,MyRating(_E2,$B36,Efficacy!$F$1))</f>
        <v>3</v>
      </c>
      <c r="BF36" s="3">
        <f>IF($C$5="ON",CF36,MyRating(_E3,$B36,Efficacy!$F$1))</f>
        <v>3</v>
      </c>
      <c r="BG36" s="3">
        <f>IF($C$5="ON",CG36,MyRating(_E4,$B36,Efficacy!$F$1))</f>
        <v>3</v>
      </c>
      <c r="BH36" s="3">
        <f>IF($C$5="ON",CH36,MyRating(_E5,$B36,Efficacy!$F$1))</f>
        <v>3</v>
      </c>
      <c r="BI36" s="3">
        <f>IF($C$5="ON",CI36,MyRating(_E6,$B36,Efficacy!$F$1))</f>
        <v>3</v>
      </c>
      <c r="BJ36" s="3">
        <f>IF($C$5="ON",CJ36,MyRating(_E7,$B36,Efficacy!$F$1))</f>
        <v>3</v>
      </c>
      <c r="BK36" s="3">
        <f>IF($C$5="ON",CK36,MyRating(_E8,$B36,Efficacy!$F$1))</f>
        <v>3</v>
      </c>
      <c r="BL36" s="3">
        <f>IF($C$5="ON",CL36,MyRating(_S1,$B36,'S&amp;T'!$F$1))</f>
        <v>3</v>
      </c>
      <c r="BM36" s="3">
        <f>IF($C$5="ON",CM36,MyRating(_S2,$B36,'S&amp;T'!$F$1))</f>
        <v>3</v>
      </c>
      <c r="BN36" s="3">
        <f>IF($C$5="ON",CN36,MyRating(_S3,$B36,'S&amp;T'!$F$1))</f>
        <v>3</v>
      </c>
      <c r="BO36" s="3">
        <f>IF($C$5="ON",CO36,MyRating(_S4,$B36,'S&amp;T'!$F$1))</f>
        <v>3</v>
      </c>
      <c r="BP36" s="3">
        <f>IF($C$5="ON",CP36,MyRating(_S5,$B36,'S&amp;T'!$F$1))</f>
        <v>3</v>
      </c>
      <c r="BQ36" s="3">
        <f>IF($C$5="ON",CQ36,MyRating(_S6,$B36,'S&amp;T'!$F$1))</f>
        <v>3</v>
      </c>
      <c r="BR36" s="3">
        <f>IF($C$5="ON",CR36,MyRating(_S7,$B36,'S&amp;T'!$F$1))</f>
        <v>3</v>
      </c>
      <c r="BS36" s="3">
        <f>IF($C$5="ON",CS36,MyRating(_D1,$B36,Delivery!$F$1))</f>
        <v>3</v>
      </c>
      <c r="BT36" s="3">
        <f>IF($C$5="ON",CT36,MyRating(_D2,$B36,Delivery!$F$1))</f>
        <v>3</v>
      </c>
      <c r="BU36" s="3">
        <f>IF($C$5="ON",CU36,MyRating(_D3,$B36,Delivery!$F$1))</f>
        <v>3</v>
      </c>
      <c r="BV36" s="3">
        <f>IF($C$5="ON",CV36,MyRating(_D4,$B36,Delivery!$F$1))</f>
        <v>3</v>
      </c>
      <c r="BW36" s="3">
        <f>IF($C$5="ON",CW36,MyRating(_B1G5,$B36,Barrier!$L$2))</f>
        <v>2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8"/>
        <v>3.255254469149791E-2</v>
      </c>
      <c r="CA36" s="8">
        <f t="shared" si="5"/>
        <v>2.8000000000000003</v>
      </c>
      <c r="CB36" s="5">
        <f t="shared" si="6"/>
        <v>3.2258064516129052E-2</v>
      </c>
      <c r="CC36" s="7">
        <f t="shared" si="7"/>
        <v>5.7937194202185476E-3</v>
      </c>
      <c r="CD36" s="4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2</v>
      </c>
      <c r="CX36" s="3">
        <v>3</v>
      </c>
      <c r="CY36" s="6">
        <v>3</v>
      </c>
      <c r="CZ36" s="5">
        <v>3.6275844714639842E-2</v>
      </c>
    </row>
    <row r="37" spans="1:104" x14ac:dyDescent="0.25">
      <c r="A37" s="9" t="s">
        <v>178</v>
      </c>
      <c r="B37" s="9" t="s">
        <v>45</v>
      </c>
      <c r="C37" s="20"/>
      <c r="D37" s="9" t="s">
        <v>44</v>
      </c>
      <c r="E37" s="9" t="s">
        <v>186</v>
      </c>
      <c r="F37" s="9" t="str">
        <f>INDEX('Unique Asset List'!$C$4:$C$60,MATCH(B37,_CompoundList,0))</f>
        <v>Ph2b</v>
      </c>
      <c r="G37" s="19">
        <v>0</v>
      </c>
      <c r="H37" s="9">
        <v>2014</v>
      </c>
      <c r="I37" s="9">
        <v>6</v>
      </c>
      <c r="J37" s="18">
        <f>INDEX(PTRS!$D$6:$D$12,MATCH('2'!$F37,PTRS!$B$6:$B$12,0))</f>
        <v>0.40949999999999998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0.40949999999999998</v>
      </c>
      <c r="N37" s="17">
        <f>INDEX('Unique Asset List'!$D$4:$M$60,MATCH($B37,'Unique Asset List'!$A$4:$A$60,0),MATCH(N$8,'Unique Asset List'!$D$3:$M$3,0))</f>
        <v>0.59</v>
      </c>
      <c r="O37" s="17">
        <f>INDEX('Unique Asset List'!$D$4:$M$60,MATCH($B37,'Unique Asset List'!$A$4:$A$60,0),MATCH(O$8,'Unique Asset List'!$D$3:$M$3,0))</f>
        <v>0.59</v>
      </c>
      <c r="P37" s="17">
        <f>INDEX('Unique Asset List'!$D$4:$M$60,MATCH($B37,'Unique Asset List'!$A$4:$A$60,0),MATCH(P$8,'Unique Asset List'!$D$3:$M$3,0))</f>
        <v>0.59</v>
      </c>
      <c r="Q37" s="17">
        <f>INDEX('Unique Asset List'!$D$4:$M$60,MATCH($B37,'Unique Asset List'!$A$4:$A$60,0),MATCH(Q$8,'Unique Asset List'!$D$3:$M$3,0))</f>
        <v>0.59</v>
      </c>
      <c r="R37" s="17">
        <f>INDEX('Unique Asset List'!$D$4:$M$60,MATCH($B37,'Unique Asset List'!$A$4:$A$60,0),MATCH(R$8,'Unique Asset List'!$D$3:$M$3,0))</f>
        <v>0.59</v>
      </c>
      <c r="S37" s="17">
        <f>INDEX('Unique Asset List'!$D$4:$M$60,MATCH($B37,'Unique Asset List'!$A$4:$A$60,0),MATCH(S$8,'Unique Asset List'!$D$3:$M$3,0))</f>
        <v>1</v>
      </c>
      <c r="T37" s="17"/>
      <c r="U37" s="17">
        <f t="shared" si="0"/>
        <v>0.80682275808442794</v>
      </c>
      <c r="V37" s="17">
        <f>5*7/Simulation!C5</f>
        <v>0.18817204301075269</v>
      </c>
      <c r="W37" s="9" t="s">
        <v>42</v>
      </c>
      <c r="X37" s="9">
        <f>INDEX('Unique Asset List'!$Y$4:$AE$60,MATCH('2'!$B37,'Unique Asset List'!$A$4:$A$60,0),MATCH('2'!$C$1,'Unique Asset List'!$Y$3:$AE$3,0))</f>
        <v>2024</v>
      </c>
      <c r="Y37" s="9">
        <f>INDEX('Unique Asset List'!$AF$4:$AL$60,MATCH('2'!$B37,'Unique Asset List'!$A$4:$A$60,0),MATCH('2'!$C$1,'Unique Asset List'!$AF$3:$AL$3,0))</f>
        <v>1</v>
      </c>
      <c r="Z37" s="9">
        <f>INDEX('Unique Asset List'!$AT$4:$AZ$60,MATCH('2'!$B37,'Unique Asset List'!$A$4:$A$60,0),MATCH('2'!$C$1,'Unique Asset List'!$AT$3:$AZ$3,0))</f>
        <v>2035</v>
      </c>
      <c r="AA37" s="9">
        <f>INDEX('Unique Asset List'!$BA$4:$BG$60,MATCH('2'!$B37,'Unique Asset List'!$A$4:$A$60,0),MATCH('2'!$C$1,'Unique Asset List'!$BA$3:$BG$3,0))</f>
        <v>1</v>
      </c>
      <c r="AB37" s="16">
        <f t="shared" si="1"/>
        <v>2.1065446000000003</v>
      </c>
      <c r="AC37" s="16">
        <f t="shared" si="2"/>
        <v>0.86040290000000008</v>
      </c>
      <c r="AD37" s="16">
        <f t="shared" si="3"/>
        <v>0.56099999999999994</v>
      </c>
      <c r="AE37" s="15">
        <f>INDEX('Unique Asset List'!$CJ$4:$CP$60,MATCH('2'!$B37,'Unique Asset List'!$A$4:$A$60,0),MATCH('2'!$C$1,'Unique Asset List'!$CJ$3:$CP$3,0))</f>
        <v>0.2</v>
      </c>
      <c r="AF37" s="15">
        <f>INDEX('Unique Asset List'!$CQ$4:$CW$60,MATCH('2'!$B37,'Unique Asset List'!$A$4:$A$60,0),MATCH('2'!$C$1,'Unique Asset List'!$CQ$3:$CW$3,0))</f>
        <v>0.3</v>
      </c>
      <c r="AG37" s="15">
        <f>INDEX('Unique Asset List'!$BV$4:$CB$60,MATCH('2'!$B37,'Unique Asset List'!$A$4:$A$60,0),MATCH('2'!$C$1,'Unique Asset List'!$BV$3:$CB$3,0))</f>
        <v>0.2</v>
      </c>
      <c r="AH37" s="15">
        <f>INDEX('Unique Asset List'!$CC$4:$CI$60,MATCH('2'!$B37,'Unique Asset List'!$A$4:$A$60,0),MATCH('2'!$C$1,'Unique Asset List'!$CC$3:$CI$3,0))</f>
        <v>0.3</v>
      </c>
      <c r="AI37" s="11">
        <v>0.96187963349867744</v>
      </c>
      <c r="AJ37" s="15">
        <f>INDEX('Unique Asset List'!$BH$4:$BN$60,MATCH('2'!$B37,'Unique Asset List'!$A$4:$A$60,0),MATCH('2'!$C$1,'Unique Asset List'!$BH$3:$BN$3,0))</f>
        <v>2.2612105538192599</v>
      </c>
      <c r="AK37" s="15">
        <f>INDEX('Unique Asset List'!$BO$4:$BU$60,MATCH('2'!$B37,'Unique Asset List'!$A$4:$A$60,0),MATCH('2'!$C$1,'Unique Asset List'!$BO$3:$BU$3,0))</f>
        <v>-1.7475682675103321</v>
      </c>
      <c r="AL37" s="40">
        <v>35</v>
      </c>
      <c r="AM37" s="14">
        <f>3.5*365*0.8/AL37</f>
        <v>29.2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4"/>
        <v>0.82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0</v>
      </c>
      <c r="BA37" s="181">
        <f ca="1">INDEX('Unique Asset List'!U$4:U$60,MATCH($B37,_CompoundList,0))</f>
        <v>0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4</v>
      </c>
      <c r="BF37" s="3">
        <f>IF($C$5="ON",CF37,MyRating(_E3,$B37,Efficacy!$F$1))</f>
        <v>4</v>
      </c>
      <c r="BG37" s="3">
        <f>IF($C$5="ON",CG37,MyRating(_E4,$B37,Efficacy!$F$1))</f>
        <v>2</v>
      </c>
      <c r="BH37" s="3">
        <f>IF($C$5="ON",CH37,MyRating(_E5,$B37,Efficacy!$F$1))</f>
        <v>4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5</v>
      </c>
      <c r="BL37" s="3">
        <f>IF($C$5="ON",CL37,MyRating(_S1,$B37,'S&amp;T'!$F$1))</f>
        <v>4</v>
      </c>
      <c r="BM37" s="3">
        <f>IF($C$5="ON",CM37,MyRating(_S2,$B37,'S&amp;T'!$F$1))</f>
        <v>3</v>
      </c>
      <c r="BN37" s="3">
        <f>IF($C$5="ON",CN37,MyRating(_S3,$B37,'S&amp;T'!$F$1))</f>
        <v>3</v>
      </c>
      <c r="BO37" s="3">
        <f>IF($C$5="ON",CO37,MyRating(_S4,$B37,'S&amp;T'!$F$1))</f>
        <v>3</v>
      </c>
      <c r="BP37" s="3">
        <f>IF($C$5="ON",CP37,MyRating(_S5,$B37,'S&amp;T'!$F$1))</f>
        <v>4</v>
      </c>
      <c r="BQ37" s="3">
        <f>IF($C$5="ON",CQ37,MyRating(_S6,$B37,'S&amp;T'!$F$1))</f>
        <v>3</v>
      </c>
      <c r="BR37" s="3">
        <f>IF($C$5="ON",CR37,MyRating(_S7,$B37,'S&amp;T'!$F$1))</f>
        <v>3</v>
      </c>
      <c r="BS37" s="3">
        <f>IF($C$5="ON",CS37,MyRating(_D1,$B37,Delivery!$F$1))</f>
        <v>3</v>
      </c>
      <c r="BT37" s="3">
        <f>IF($C$5="ON",CT37,MyRating(_D2,$B37,Delivery!$F$1))</f>
        <v>3</v>
      </c>
      <c r="BU37" s="3">
        <f>IF($C$5="ON",CU37,MyRating(_D3,$B37,Delivery!$F$1))</f>
        <v>3</v>
      </c>
      <c r="BV37" s="3">
        <f>IF($C$5="ON",CV37,MyRating(_D4,$B37,Delivery!$F$1))</f>
        <v>3</v>
      </c>
      <c r="BW37" s="3">
        <f>IF($C$5="ON",CW37,MyRating(_B1G5,$B37,Barrier!$L$2))</f>
        <v>1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8"/>
        <v>2.9127815749127307E-2</v>
      </c>
      <c r="CA37" s="8">
        <f t="shared" si="5"/>
        <v>2.6000000000000005</v>
      </c>
      <c r="CB37" s="5">
        <f t="shared" si="6"/>
        <v>2.9953917050691267E-2</v>
      </c>
      <c r="CC37" s="7">
        <f t="shared" si="7"/>
        <v>5.1841843202612347E-3</v>
      </c>
      <c r="CD37" s="4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6">
        <v>0</v>
      </c>
      <c r="CZ37" s="5">
        <v>0</v>
      </c>
    </row>
    <row r="38" spans="1:104" x14ac:dyDescent="0.25">
      <c r="A38" s="9" t="s">
        <v>178</v>
      </c>
      <c r="B38" s="9" t="s">
        <v>41</v>
      </c>
      <c r="C38" s="20"/>
      <c r="D38" s="9" t="s">
        <v>187</v>
      </c>
      <c r="E38" s="9" t="s">
        <v>186</v>
      </c>
      <c r="F38" s="9" t="str">
        <f>INDEX('Unique Asset List'!$C$4:$C$60,MATCH(B38,_CompoundList,0))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INDEX(PTRS!$D$6:$D$12,MATCH('2'!$F38,PTRS!$B$6:$B$12,0))</f>
        <v>0.1044225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0.1044225</v>
      </c>
      <c r="N38" s="17">
        <f>INDEX('Unique Asset List'!$D$4:$M$60,MATCH($B38,'Unique Asset List'!$A$4:$A$60,0),MATCH(N$8,'Unique Asset List'!$D$3:$M$3,0))</f>
        <v>0.1044225</v>
      </c>
      <c r="O38" s="17">
        <f>INDEX('Unique Asset List'!$D$4:$M$60,MATCH($B38,'Unique Asset List'!$A$4:$A$60,0),MATCH(O$8,'Unique Asset List'!$D$3:$M$3,0))</f>
        <v>0.1044225</v>
      </c>
      <c r="P38" s="17">
        <f>INDEX('Unique Asset List'!$D$4:$M$60,MATCH($B38,'Unique Asset List'!$A$4:$A$60,0),MATCH(P$8,'Unique Asset List'!$D$3:$M$3,0))</f>
        <v>0.1044225</v>
      </c>
      <c r="Q38" s="17">
        <f>INDEX('Unique Asset List'!$D$4:$M$60,MATCH($B38,'Unique Asset List'!$A$4:$A$60,0),MATCH(Q$8,'Unique Asset List'!$D$3:$M$3,0))</f>
        <v>0.1044225</v>
      </c>
      <c r="R38" s="17">
        <f>INDEX('Unique Asset List'!$D$4:$M$60,MATCH($B38,'Unique Asset List'!$A$4:$A$60,0),MATCH(R$8,'Unique Asset List'!$D$3:$M$3,0))</f>
        <v>0.1044225</v>
      </c>
      <c r="S38" s="17">
        <f>INDEX('Unique Asset List'!$D$4:$M$60,MATCH($B38,'Unique Asset List'!$A$4:$A$60,0),MATCH(S$8,'Unique Asset List'!$D$3:$M$3,0))</f>
        <v>0</v>
      </c>
      <c r="T38" s="17" t="s">
        <v>39</v>
      </c>
      <c r="U38" s="17">
        <f t="shared" si="0"/>
        <v>0.90168566420734253</v>
      </c>
      <c r="V38" s="17">
        <v>1</v>
      </c>
      <c r="W38" s="57" t="s">
        <v>38</v>
      </c>
      <c r="X38" s="9">
        <f>INDEX('Unique Asset List'!$Y$4:$AE$60,MATCH('2'!$B38,'Unique Asset List'!$A$4:$A$60,0),MATCH('2'!$C$1,'Unique Asset List'!$Y$3:$AE$3,0))</f>
        <v>2028</v>
      </c>
      <c r="Y38" s="9">
        <f>INDEX('Unique Asset List'!$AF$4:$AL$60,MATCH('2'!$B38,'Unique Asset List'!$A$4:$A$60,0),MATCH('2'!$C$1,'Unique Asset List'!$AF$3:$AL$3,0))</f>
        <v>3</v>
      </c>
      <c r="Z38" s="9">
        <f>INDEX('Unique Asset List'!$AT$4:$AZ$60,MATCH('2'!$B38,'Unique Asset List'!$A$4:$A$60,0),MATCH('2'!$C$1,'Unique Asset List'!$AT$3:$AZ$3,0))</f>
        <v>2038</v>
      </c>
      <c r="AA38" s="9">
        <f>INDEX('Unique Asset List'!$BA$4:$BG$60,MATCH('2'!$B38,'Unique Asset List'!$A$4:$A$60,0),MATCH('2'!$C$1,'Unique Asset List'!$BA$3:$BG$3,0))</f>
        <v>3</v>
      </c>
      <c r="AB38" s="16">
        <f>AB20</f>
        <v>2.1511674000000003</v>
      </c>
      <c r="AC38" s="16">
        <f>AC20</f>
        <v>0.95118959999999997</v>
      </c>
      <c r="AD38" s="16">
        <f>AD20</f>
        <v>0.56099999999999994</v>
      </c>
      <c r="AE38" s="15">
        <f>INDEX('Unique Asset List'!$CJ$4:$CP$60,MATCH('2'!$B38,'Unique Asset List'!$A$4:$A$60,0),MATCH('2'!$C$1,'Unique Asset List'!$CJ$3:$CP$3,0))</f>
        <v>0.2</v>
      </c>
      <c r="AF38" s="15">
        <f>INDEX('Unique Asset List'!$CQ$4:$CW$60,MATCH('2'!$B38,'Unique Asset List'!$A$4:$A$60,0),MATCH('2'!$C$1,'Unique Asset List'!$CQ$3:$CW$3,0))</f>
        <v>0.3</v>
      </c>
      <c r="AG38" s="15">
        <f>INDEX('Unique Asset List'!$BV$4:$CB$60,MATCH('2'!$B38,'Unique Asset List'!$A$4:$A$60,0),MATCH('2'!$C$1,'Unique Asset List'!$BV$3:$CB$3,0))</f>
        <v>0.2</v>
      </c>
      <c r="AH38" s="15">
        <f>INDEX('Unique Asset List'!$CC$4:$CI$60,MATCH('2'!$B38,'Unique Asset List'!$A$4:$A$60,0),MATCH('2'!$C$1,'Unique Asset List'!$CC$3:$CI$3,0))</f>
        <v>0.3</v>
      </c>
      <c r="AI38" s="11">
        <v>0.96187963349867744</v>
      </c>
      <c r="AJ38" s="15">
        <f>INDEX('Unique Asset List'!$BH$4:$BN$60,MATCH('2'!$B38,'Unique Asset List'!$A$4:$A$60,0),MATCH('2'!$C$1,'Unique Asset List'!$BH$3:$BN$3,0))</f>
        <v>2.2612105538192599</v>
      </c>
      <c r="AK38" s="15">
        <f>INDEX('Unique Asset List'!$BO$4:$BU$60,MATCH('2'!$B38,'Unique Asset List'!$A$4:$A$60,0),MATCH('2'!$C$1,'Unique Asset List'!$BO$3:$BU$3,0))</f>
        <v>-1.7475682675103321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4"/>
        <v>0.82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0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0</v>
      </c>
      <c r="BB38" s="181">
        <f ca="1">INDEX('Unique Asset List'!V$4:V$60,MATCH($B38,_CompoundList,0))</f>
        <v>0</v>
      </c>
      <c r="BC38" s="181">
        <f ca="1">INDEX('Unique Asset List'!W$4:W$60,MATCH($B38,_CompoundList,0))</f>
        <v>0</v>
      </c>
      <c r="BD38" s="4">
        <f>IF($C$5="ON",CD38,MyRating(_E1,$B38,Efficacy!$F$1))</f>
        <v>0</v>
      </c>
      <c r="BE38" s="3">
        <f>IF($C$5="ON",CE38,MyRating(_E2,$B38,Efficacy!$F$1))</f>
        <v>0</v>
      </c>
      <c r="BF38" s="3">
        <f>IF($C$5="ON",CF38,MyRating(_E3,$B38,Efficacy!$F$1))</f>
        <v>0</v>
      </c>
      <c r="BG38" s="3">
        <f>IF($C$5="ON",CG38,MyRating(_E4,$B38,Efficacy!$F$1))</f>
        <v>0</v>
      </c>
      <c r="BH38" s="3">
        <f>IF($C$5="ON",CH38,MyRating(_E5,$B38,Efficacy!$F$1))</f>
        <v>0</v>
      </c>
      <c r="BI38" s="3">
        <f>IF($C$5="ON",CI38,MyRating(_E6,$B38,Efficacy!$F$1))</f>
        <v>0</v>
      </c>
      <c r="BJ38" s="3">
        <f>IF($C$5="ON",CJ38,MyRating(_E7,$B38,Efficacy!$F$1))</f>
        <v>0</v>
      </c>
      <c r="BK38" s="3">
        <f>IF($C$5="ON",CK38,MyRating(_E8,$B38,Efficacy!$F$1))</f>
        <v>0</v>
      </c>
      <c r="BL38" s="3">
        <f>IF($C$5="ON",CL38,MyRating(_S1,$B38,'S&amp;T'!$F$1))</f>
        <v>0</v>
      </c>
      <c r="BM38" s="3">
        <f>IF($C$5="ON",CM38,MyRating(_S2,$B38,'S&amp;T'!$F$1))</f>
        <v>0</v>
      </c>
      <c r="BN38" s="3">
        <f>IF($C$5="ON",CN38,MyRating(_S3,$B38,'S&amp;T'!$F$1))</f>
        <v>0</v>
      </c>
      <c r="BO38" s="3">
        <f>IF($C$5="ON",CO38,MyRating(_S4,$B38,'S&amp;T'!$F$1))</f>
        <v>0</v>
      </c>
      <c r="BP38" s="3">
        <f>IF($C$5="ON",CP38,MyRating(_S5,$B38,'S&amp;T'!$F$1))</f>
        <v>0</v>
      </c>
      <c r="BQ38" s="3">
        <f>IF($C$5="ON",CQ38,MyRating(_S6,$B38,'S&amp;T'!$F$1))</f>
        <v>0</v>
      </c>
      <c r="BR38" s="3">
        <f>IF($C$5="ON",CR38,MyRating(_S7,$B38,'S&amp;T'!$F$1))</f>
        <v>0</v>
      </c>
      <c r="BS38" s="3">
        <f>IF($C$5="ON",CS38,MyRating(_D1,$B38,Delivery!$F$1))</f>
        <v>0</v>
      </c>
      <c r="BT38" s="3">
        <f>IF($C$5="ON",CT38,MyRating(_D2,$B38,Delivery!$F$1))</f>
        <v>0</v>
      </c>
      <c r="BU38" s="3">
        <f>IF($C$5="ON",CU38,MyRating(_D3,$B38,Delivery!$F$1))</f>
        <v>0</v>
      </c>
      <c r="BV38" s="3">
        <f>IF($C$5="ON",CV38,MyRating(_D4,$B38,Delivery!$F$1))</f>
        <v>0</v>
      </c>
      <c r="BW38" s="3">
        <f>IF($C$5="ON",CW38,MyRating(_B1G5,$B38,Barrier!$L$2))</f>
        <v>2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8"/>
        <v>3.255254469149791E-2</v>
      </c>
      <c r="CA38" s="8">
        <f t="shared" si="5"/>
        <v>2.8000000000000003</v>
      </c>
      <c r="CB38" s="5">
        <f t="shared" si="6"/>
        <v>3.2258064516129052E-2</v>
      </c>
      <c r="CC38" s="7">
        <f t="shared" si="7"/>
        <v>5.7937194202185476E-3</v>
      </c>
      <c r="CD38" s="4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6">
        <v>0</v>
      </c>
      <c r="CZ38" s="5">
        <v>0</v>
      </c>
    </row>
    <row r="39" spans="1:104" x14ac:dyDescent="0.25">
      <c r="A39" s="9" t="s">
        <v>178</v>
      </c>
      <c r="B39" s="9" t="s">
        <v>37</v>
      </c>
      <c r="C39" s="20"/>
      <c r="D39" s="9" t="s">
        <v>36</v>
      </c>
      <c r="E39" s="9" t="s">
        <v>186</v>
      </c>
      <c r="F39" s="9" t="str">
        <f>INDEX('Unique Asset List'!$C$4:$C$60,MATCH(B39,_CompoundList,0))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INDEX(PTRS!$D$6:$D$12,MATCH('2'!$F39,PTRS!$B$6:$B$12,0))</f>
        <v>0.1044225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v>0.1044225</v>
      </c>
      <c r="N39" s="17">
        <f>INDEX('Unique Asset List'!$D$4:$M$60,MATCH($B39,'Unique Asset List'!$A$4:$A$60,0),MATCH(N$8,'Unique Asset List'!$D$3:$M$3,0))</f>
        <v>0.1044225</v>
      </c>
      <c r="O39" s="17">
        <f>INDEX('Unique Asset List'!$D$4:$M$60,MATCH($B39,'Unique Asset List'!$A$4:$A$60,0),MATCH(O$8,'Unique Asset List'!$D$3:$M$3,0))</f>
        <v>0.1044225</v>
      </c>
      <c r="P39" s="17">
        <f>INDEX('Unique Asset List'!$D$4:$M$60,MATCH($B39,'Unique Asset List'!$A$4:$A$60,0),MATCH(P$8,'Unique Asset List'!$D$3:$M$3,0))</f>
        <v>0.1044225</v>
      </c>
      <c r="Q39" s="17">
        <f>INDEX('Unique Asset List'!$D$4:$M$60,MATCH($B39,'Unique Asset List'!$A$4:$A$60,0),MATCH(Q$8,'Unique Asset List'!$D$3:$M$3,0))</f>
        <v>0.1044225</v>
      </c>
      <c r="R39" s="17">
        <f>INDEX('Unique Asset List'!$D$4:$M$60,MATCH($B39,'Unique Asset List'!$A$4:$A$60,0),MATCH(R$8,'Unique Asset List'!$D$3:$M$3,0))</f>
        <v>0.1044225</v>
      </c>
      <c r="S39" s="17">
        <f>INDEX('Unique Asset List'!$D$4:$M$60,MATCH($B39,'Unique Asset List'!$A$4:$A$60,0),MATCH(S$8,'Unique Asset List'!$D$3:$M$3,0))</f>
        <v>0</v>
      </c>
      <c r="T39" s="17" t="s">
        <v>35</v>
      </c>
      <c r="U39" s="17">
        <f t="shared" si="0"/>
        <v>0.90168566420734253</v>
      </c>
      <c r="V39" s="17">
        <v>1</v>
      </c>
      <c r="W39" s="9" t="s">
        <v>34</v>
      </c>
      <c r="X39" s="9">
        <f>INDEX('Unique Asset List'!$Y$4:$AE$60,MATCH('2'!$B39,'Unique Asset List'!$A$4:$A$60,0),MATCH('2'!$C$1,'Unique Asset List'!$Y$3:$AE$3,0))</f>
        <v>2033</v>
      </c>
      <c r="Y39" s="9">
        <f>INDEX('Unique Asset List'!$AF$4:$AL$60,MATCH('2'!$B39,'Unique Asset List'!$A$4:$A$60,0),MATCH('2'!$C$1,'Unique Asset List'!$AF$3:$AL$3,0))</f>
        <v>2</v>
      </c>
      <c r="Z39" s="9">
        <f>INDEX('Unique Asset List'!$AT$4:$AZ$60,MATCH('2'!$B39,'Unique Asset List'!$A$4:$A$60,0),MATCH('2'!$C$1,'Unique Asset List'!$AT$3:$AZ$3,0))</f>
        <v>2043</v>
      </c>
      <c r="AA39" s="9">
        <f>INDEX('Unique Asset List'!$BA$4:$BG$60,MATCH('2'!$B39,'Unique Asset List'!$A$4:$A$60,0),MATCH('2'!$C$1,'Unique Asset List'!$BA$3:$BG$3,0))</f>
        <v>2</v>
      </c>
      <c r="AB39" s="16">
        <f>AB28</f>
        <v>2.0681600000000007</v>
      </c>
      <c r="AC39" s="16">
        <f>AC28</f>
        <v>0.94137550000000003</v>
      </c>
      <c r="AD39" s="16">
        <f>AD28</f>
        <v>0.56099999999999994</v>
      </c>
      <c r="AE39" s="15">
        <f>INDEX('Unique Asset List'!$CJ$4:$CP$60,MATCH('2'!$B39,'Unique Asset List'!$A$4:$A$60,0),MATCH('2'!$C$1,'Unique Asset List'!$CJ$3:$CP$3,0))</f>
        <v>0.2</v>
      </c>
      <c r="AF39" s="15">
        <f>INDEX('Unique Asset List'!$CQ$4:$CW$60,MATCH('2'!$B39,'Unique Asset List'!$A$4:$A$60,0),MATCH('2'!$C$1,'Unique Asset List'!$CQ$3:$CW$3,0))</f>
        <v>0.3</v>
      </c>
      <c r="AG39" s="15">
        <f>INDEX('Unique Asset List'!$BV$4:$CB$60,MATCH('2'!$B39,'Unique Asset List'!$A$4:$A$60,0),MATCH('2'!$C$1,'Unique Asset List'!$BV$3:$CB$3,0))</f>
        <v>0.2</v>
      </c>
      <c r="AH39" s="15">
        <f>INDEX('Unique Asset List'!$CC$4:$CI$60,MATCH('2'!$B39,'Unique Asset List'!$A$4:$A$60,0),MATCH('2'!$C$1,'Unique Asset List'!$CC$3:$CI$3,0))</f>
        <v>0.3</v>
      </c>
      <c r="AI39" s="11">
        <v>0.96187963349867744</v>
      </c>
      <c r="AJ39" s="15">
        <f>INDEX('Unique Asset List'!$BH$4:$BN$60,MATCH('2'!$B39,'Unique Asset List'!$A$4:$A$60,0),MATCH('2'!$C$1,'Unique Asset List'!$BH$3:$BN$3,0))</f>
        <v>2.2612105538192599</v>
      </c>
      <c r="AK39" s="15">
        <f>INDEX('Unique Asset List'!$BO$4:$BU$60,MATCH('2'!$B39,'Unique Asset List'!$A$4:$A$60,0),MATCH('2'!$C$1,'Unique Asset List'!$BO$3:$BU$3,0))</f>
        <v>-1.7475682675103321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4"/>
        <v>0.82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1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0</v>
      </c>
      <c r="BA39" s="181">
        <f ca="1">INDEX('Unique Asset List'!U$4:U$60,MATCH($B39,_CompoundList,0))</f>
        <v>0</v>
      </c>
      <c r="BB39" s="181">
        <f ca="1">INDEX('Unique Asset List'!V$4:V$60,MATCH($B39,_CompoundList,0))</f>
        <v>0</v>
      </c>
      <c r="BC39" s="181">
        <f ca="1">INDEX('Unique Asset List'!W$4:W$60,MATCH($B39,_CompoundList,0))</f>
        <v>0</v>
      </c>
      <c r="BD39" s="4">
        <f>IF($C$5="ON",CD39,MyRating(_E1,$B39,Efficacy!$F$1))</f>
        <v>0</v>
      </c>
      <c r="BE39" s="3">
        <f>IF($C$5="ON",CE39,MyRating(_E2,$B39,Efficacy!$F$1))</f>
        <v>0</v>
      </c>
      <c r="BF39" s="3">
        <f>IF($C$5="ON",CF39,MyRating(_E3,$B39,Efficacy!$F$1))</f>
        <v>0</v>
      </c>
      <c r="BG39" s="3">
        <f>IF($C$5="ON",CG39,MyRating(_E4,$B39,Efficacy!$F$1))</f>
        <v>0</v>
      </c>
      <c r="BH39" s="3">
        <f>IF($C$5="ON",CH39,MyRating(_E5,$B39,Efficacy!$F$1))</f>
        <v>0</v>
      </c>
      <c r="BI39" s="3">
        <f>IF($C$5="ON",CI39,MyRating(_E6,$B39,Efficacy!$F$1))</f>
        <v>0</v>
      </c>
      <c r="BJ39" s="3">
        <f>IF($C$5="ON",CJ39,MyRating(_E7,$B39,Efficacy!$F$1))</f>
        <v>0</v>
      </c>
      <c r="BK39" s="3">
        <f>IF($C$5="ON",CK39,MyRating(_E8,$B39,Efficacy!$F$1))</f>
        <v>0</v>
      </c>
      <c r="BL39" s="3">
        <f>IF($C$5="ON",CL39,MyRating(_S1,$B39,'S&amp;T'!$F$1))</f>
        <v>0</v>
      </c>
      <c r="BM39" s="3">
        <f>IF($C$5="ON",CM39,MyRating(_S2,$B39,'S&amp;T'!$F$1))</f>
        <v>0</v>
      </c>
      <c r="BN39" s="3">
        <f>IF($C$5="ON",CN39,MyRating(_S3,$B39,'S&amp;T'!$F$1))</f>
        <v>0</v>
      </c>
      <c r="BO39" s="3">
        <f>IF($C$5="ON",CO39,MyRating(_S4,$B39,'S&amp;T'!$F$1))</f>
        <v>0</v>
      </c>
      <c r="BP39" s="3">
        <f>IF($C$5="ON",CP39,MyRating(_S5,$B39,'S&amp;T'!$F$1))</f>
        <v>0</v>
      </c>
      <c r="BQ39" s="3">
        <f>IF($C$5="ON",CQ39,MyRating(_S6,$B39,'S&amp;T'!$F$1))</f>
        <v>0</v>
      </c>
      <c r="BR39" s="3">
        <f>IF($C$5="ON",CR39,MyRating(_S7,$B39,'S&amp;T'!$F$1))</f>
        <v>0</v>
      </c>
      <c r="BS39" s="3">
        <f>IF($C$5="ON",CS39,MyRating(_D1,$B39,Delivery!$F$1))</f>
        <v>0</v>
      </c>
      <c r="BT39" s="3">
        <f>IF($C$5="ON",CT39,MyRating(_D2,$B39,Delivery!$F$1))</f>
        <v>0</v>
      </c>
      <c r="BU39" s="3">
        <f>IF($C$5="ON",CU39,MyRating(_D3,$B39,Delivery!$F$1))</f>
        <v>0</v>
      </c>
      <c r="BV39" s="3">
        <f>IF($C$5="ON",CV39,MyRating(_D4,$B39,Delivery!$F$1))</f>
        <v>0</v>
      </c>
      <c r="BW39" s="3">
        <f>IF($C$5="ON",CW39,MyRating(_B1G5,$B39,Barrier!$L$2))</f>
        <v>2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8"/>
        <v>3.255254469149791E-2</v>
      </c>
      <c r="CA39" s="8">
        <f t="shared" si="5"/>
        <v>2.8000000000000003</v>
      </c>
      <c r="CB39" s="5">
        <f t="shared" si="6"/>
        <v>3.2258064516129052E-2</v>
      </c>
      <c r="CC39" s="7">
        <f t="shared" si="7"/>
        <v>5.7937194202185476E-3</v>
      </c>
      <c r="CD39" s="4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6">
        <v>0</v>
      </c>
      <c r="CZ39" s="5">
        <v>0</v>
      </c>
    </row>
    <row r="40" spans="1:104" x14ac:dyDescent="0.25">
      <c r="A40" s="9" t="s">
        <v>178</v>
      </c>
      <c r="B40" s="9" t="s">
        <v>33</v>
      </c>
      <c r="C40" s="20"/>
      <c r="D40" s="9" t="s">
        <v>32</v>
      </c>
      <c r="E40" s="9" t="s">
        <v>186</v>
      </c>
      <c r="F40" s="9" t="str">
        <f>INDEX('Unique Asset List'!$C$4:$C$60,MATCH(B40,_CompoundList,0))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INDEX(PTRS!$D$6:$D$12,MATCH('2'!$F40,PTRS!$B$6:$B$12,0))</f>
        <v>0.1044225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7">
        <v>0.1044225</v>
      </c>
      <c r="N40" s="17">
        <f>INDEX('Unique Asset List'!$D$4:$M$60,MATCH($B40,'Unique Asset List'!$A$4:$A$60,0),MATCH(N$8,'Unique Asset List'!$D$3:$M$3,0))</f>
        <v>0.1044225</v>
      </c>
      <c r="O40" s="17">
        <f>INDEX('Unique Asset List'!$D$4:$M$60,MATCH($B40,'Unique Asset List'!$A$4:$A$60,0),MATCH(O$8,'Unique Asset List'!$D$3:$M$3,0))</f>
        <v>0.1044225</v>
      </c>
      <c r="P40" s="17">
        <f>INDEX('Unique Asset List'!$D$4:$M$60,MATCH($B40,'Unique Asset List'!$A$4:$A$60,0),MATCH(P$8,'Unique Asset List'!$D$3:$M$3,0))</f>
        <v>0.1044225</v>
      </c>
      <c r="Q40" s="17">
        <f>INDEX('Unique Asset List'!$D$4:$M$60,MATCH($B40,'Unique Asset List'!$A$4:$A$60,0),MATCH(Q$8,'Unique Asset List'!$D$3:$M$3,0))</f>
        <v>0.1044225</v>
      </c>
      <c r="R40" s="17">
        <f>INDEX('Unique Asset List'!$D$4:$M$60,MATCH($B40,'Unique Asset List'!$A$4:$A$60,0),MATCH(R$8,'Unique Asset List'!$D$3:$M$3,0))</f>
        <v>0.1044225</v>
      </c>
      <c r="S40" s="17">
        <f>INDEX('Unique Asset List'!$D$4:$M$60,MATCH($B40,'Unique Asset List'!$A$4:$A$60,0),MATCH(S$8,'Unique Asset List'!$D$3:$M$3,0))</f>
        <v>0</v>
      </c>
      <c r="T40" s="17" t="s">
        <v>31</v>
      </c>
      <c r="U40" s="17">
        <f t="shared" si="0"/>
        <v>0.90168566420734253</v>
      </c>
      <c r="V40" s="17">
        <v>1</v>
      </c>
      <c r="W40" s="9" t="s">
        <v>31</v>
      </c>
      <c r="X40" s="9">
        <f>INDEX('Unique Asset List'!$Y$4:$AE$60,MATCH('2'!$B40,'Unique Asset List'!$A$4:$A$60,0),MATCH('2'!$C$1,'Unique Asset List'!$Y$3:$AE$3,0))</f>
        <v>2032</v>
      </c>
      <c r="Y40" s="9">
        <f>INDEX('Unique Asset List'!$AF$4:$AL$60,MATCH('2'!$B40,'Unique Asset List'!$A$4:$A$60,0),MATCH('2'!$C$1,'Unique Asset List'!$AF$3:$AL$3,0))</f>
        <v>2</v>
      </c>
      <c r="Z40" s="9">
        <f>INDEX('Unique Asset List'!$AT$4:$AZ$60,MATCH('2'!$B40,'Unique Asset List'!$A$4:$A$60,0),MATCH('2'!$C$1,'Unique Asset List'!$AT$3:$AZ$3,0))</f>
        <v>2042</v>
      </c>
      <c r="AA40" s="9">
        <f>INDEX('Unique Asset List'!$BA$4:$BG$60,MATCH('2'!$B40,'Unique Asset List'!$A$4:$A$60,0),MATCH('2'!$C$1,'Unique Asset List'!$BA$3:$BG$3,0))</f>
        <v>2</v>
      </c>
      <c r="AB40" s="16">
        <f>AB27</f>
        <v>2.0063400000000007</v>
      </c>
      <c r="AC40" s="16">
        <f>AC27</f>
        <v>0.94137550000000003</v>
      </c>
      <c r="AD40" s="16">
        <f>AD27</f>
        <v>0.56099999999999994</v>
      </c>
      <c r="AE40" s="15">
        <f>INDEX('Unique Asset List'!$CJ$4:$CP$60,MATCH('2'!$B40,'Unique Asset List'!$A$4:$A$60,0),MATCH('2'!$C$1,'Unique Asset List'!$CJ$3:$CP$3,0))</f>
        <v>0.2</v>
      </c>
      <c r="AF40" s="15">
        <f>INDEX('Unique Asset List'!$CQ$4:$CW$60,MATCH('2'!$B40,'Unique Asset List'!$A$4:$A$60,0),MATCH('2'!$C$1,'Unique Asset List'!$CQ$3:$CW$3,0))</f>
        <v>0.3</v>
      </c>
      <c r="AG40" s="15">
        <f>INDEX('Unique Asset List'!$BV$4:$CB$60,MATCH('2'!$B40,'Unique Asset List'!$A$4:$A$60,0),MATCH('2'!$C$1,'Unique Asset List'!$BV$3:$CB$3,0))</f>
        <v>0.2</v>
      </c>
      <c r="AH40" s="15">
        <f>INDEX('Unique Asset List'!$CC$4:$CI$60,MATCH('2'!$B40,'Unique Asset List'!$A$4:$A$60,0),MATCH('2'!$C$1,'Unique Asset List'!$CC$3:$CI$3,0))</f>
        <v>0.3</v>
      </c>
      <c r="AI40" s="11">
        <v>0.96187963349867744</v>
      </c>
      <c r="AJ40" s="15">
        <f>INDEX('Unique Asset List'!$BH$4:$BN$60,MATCH('2'!$B40,'Unique Asset List'!$A$4:$A$60,0),MATCH('2'!$C$1,'Unique Asset List'!$BH$3:$BN$3,0))</f>
        <v>2.2612105538192599</v>
      </c>
      <c r="AK40" s="15">
        <f>INDEX('Unique Asset List'!$BO$4:$BU$60,MATCH('2'!$B40,'Unique Asset List'!$A$4:$A$60,0),MATCH('2'!$C$1,'Unique Asset List'!$BO$3:$BU$3,0))</f>
        <v>-1.7475682675103321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4"/>
        <v>0.82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1</v>
      </c>
      <c r="AY40" s="181">
        <f ca="1">INDEX('Unique Asset List'!S$4:S$60,MATCH($B40,_CompoundList,0))</f>
        <v>1</v>
      </c>
      <c r="AZ40" s="181">
        <f ca="1">INDEX('Unique Asset List'!T$4:T$60,MATCH($B40,_CompoundList,0))</f>
        <v>1</v>
      </c>
      <c r="BA40" s="181">
        <f ca="1">INDEX('Unique Asset List'!U$4:U$60,MATCH($B40,_CompoundList,0))</f>
        <v>0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0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IF($C$5="ON",CL40,MyRating(_S1,$B40,'S&amp;T'!$F$1))</f>
        <v>0</v>
      </c>
      <c r="BM40" s="3">
        <f>IF($C$5="ON",CM40,MyRating(_S2,$B40,'S&amp;T'!$F$1))</f>
        <v>0</v>
      </c>
      <c r="BN40" s="3">
        <f>IF($C$5="ON",CN40,MyRating(_S3,$B40,'S&amp;T'!$F$1))</f>
        <v>0</v>
      </c>
      <c r="BO40" s="3">
        <f>IF($C$5="ON",CO40,MyRating(_S4,$B40,'S&amp;T'!$F$1))</f>
        <v>0</v>
      </c>
      <c r="BP40" s="3">
        <f>IF($C$5="ON",CP40,MyRating(_S5,$B40,'S&amp;T'!$F$1))</f>
        <v>0</v>
      </c>
      <c r="BQ40" s="3">
        <f>IF($C$5="ON",CQ40,MyRating(_S6,$B40,'S&amp;T'!$F$1))</f>
        <v>0</v>
      </c>
      <c r="BR40" s="3">
        <f>IF($C$5="ON",CR40,MyRating(_S7,$B40,'S&amp;T'!$F$1))</f>
        <v>0</v>
      </c>
      <c r="BS40" s="3">
        <f>IF($C$5="ON",CS40,MyRating(_D1,$B40,Delivery!$F$1))</f>
        <v>0</v>
      </c>
      <c r="BT40" s="3">
        <f>IF($C$5="ON",CT40,MyRating(_D2,$B40,Delivery!$F$1))</f>
        <v>0</v>
      </c>
      <c r="BU40" s="3">
        <f>IF($C$5="ON",CU40,MyRating(_D3,$B40,Delivery!$F$1))</f>
        <v>0</v>
      </c>
      <c r="BV40" s="3">
        <f>IF($C$5="ON",CV40,MyRating(_D4,$B40,Delivery!$F$1))</f>
        <v>0</v>
      </c>
      <c r="BW40" s="3">
        <f>IF($C$5="ON",CW40,MyRating(_B1G5,$B40,Barrier!$L$2))</f>
        <v>2</v>
      </c>
      <c r="BX40" s="3">
        <f>IF($C$5="ON",CX40,MyRating(_B2,$B40,Barrier!$F$2))</f>
        <v>3</v>
      </c>
      <c r="BY40" s="6">
        <f>IF($C$5="ON",CY40,MyRating(_B3,$B40,Barrier!$F$2))</f>
        <v>3</v>
      </c>
      <c r="BZ40" s="5">
        <f t="shared" si="8"/>
        <v>3.255254469149791E-2</v>
      </c>
      <c r="CA40" s="8">
        <f t="shared" si="5"/>
        <v>2.8000000000000003</v>
      </c>
      <c r="CB40" s="5">
        <f t="shared" si="6"/>
        <v>3.2258064516129052E-2</v>
      </c>
      <c r="CC40" s="7">
        <f t="shared" si="7"/>
        <v>5.7937194202185476E-3</v>
      </c>
      <c r="CD40" s="4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6">
        <v>0</v>
      </c>
      <c r="CZ40" s="5">
        <v>0</v>
      </c>
    </row>
    <row r="41" spans="1:104" x14ac:dyDescent="0.25">
      <c r="A41" s="9" t="s">
        <v>178</v>
      </c>
      <c r="B41" s="9" t="s">
        <v>30</v>
      </c>
      <c r="C41" s="20"/>
      <c r="D41" s="9" t="s">
        <v>29</v>
      </c>
      <c r="E41" s="9" t="s">
        <v>186</v>
      </c>
      <c r="F41" s="9" t="str">
        <f>INDEX('Unique Asset List'!$C$4:$C$60,MATCH(B41,_CompoundList,0))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INDEX(PTRS!$D$6:$D$12,MATCH('2'!$F41,PTRS!$B$6:$B$12,0))</f>
        <v>0.1044225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v>0.1044225</v>
      </c>
      <c r="N41" s="17">
        <f>INDEX('Unique Asset List'!$D$4:$M$60,MATCH($B41,'Unique Asset List'!$A$4:$A$60,0),MATCH(N$8,'Unique Asset List'!$D$3:$M$3,0))</f>
        <v>0.1044225</v>
      </c>
      <c r="O41" s="17">
        <f>INDEX('Unique Asset List'!$D$4:$M$60,MATCH($B41,'Unique Asset List'!$A$4:$A$60,0),MATCH(O$8,'Unique Asset List'!$D$3:$M$3,0))</f>
        <v>0.1044225</v>
      </c>
      <c r="P41" s="17">
        <f>INDEX('Unique Asset List'!$D$4:$M$60,MATCH($B41,'Unique Asset List'!$A$4:$A$60,0),MATCH(P$8,'Unique Asset List'!$D$3:$M$3,0))</f>
        <v>0.1044225</v>
      </c>
      <c r="Q41" s="17">
        <f>INDEX('Unique Asset List'!$D$4:$M$60,MATCH($B41,'Unique Asset List'!$A$4:$A$60,0),MATCH(Q$8,'Unique Asset List'!$D$3:$M$3,0))</f>
        <v>0.1044225</v>
      </c>
      <c r="R41" s="17">
        <f>INDEX('Unique Asset List'!$D$4:$M$60,MATCH($B41,'Unique Asset List'!$A$4:$A$60,0),MATCH(R$8,'Unique Asset List'!$D$3:$M$3,0))</f>
        <v>0.1044225</v>
      </c>
      <c r="S41" s="17">
        <f>INDEX('Unique Asset List'!$D$4:$M$60,MATCH($B41,'Unique Asset List'!$A$4:$A$60,0),MATCH(S$8,'Unique Asset List'!$D$3:$M$3,0))</f>
        <v>0</v>
      </c>
      <c r="T41" s="17" t="s">
        <v>28</v>
      </c>
      <c r="U41" s="17">
        <f t="shared" si="0"/>
        <v>0.90168566420734253</v>
      </c>
      <c r="V41" s="17">
        <v>1</v>
      </c>
      <c r="W41" s="9" t="s">
        <v>27</v>
      </c>
      <c r="X41" s="9">
        <f>INDEX('Unique Asset List'!$Y$4:$AE$60,MATCH('2'!$B41,'Unique Asset List'!$A$4:$A$60,0),MATCH('2'!$C$1,'Unique Asset List'!$Y$3:$AE$3,0))</f>
        <v>2034</v>
      </c>
      <c r="Y41" s="9">
        <f>INDEX('Unique Asset List'!$AF$4:$AL$60,MATCH('2'!$B41,'Unique Asset List'!$A$4:$A$60,0),MATCH('2'!$C$1,'Unique Asset List'!$AF$3:$AL$3,0))</f>
        <v>6</v>
      </c>
      <c r="Z41" s="9">
        <f>INDEX('Unique Asset List'!$AT$4:$AZ$60,MATCH('2'!$B41,'Unique Asset List'!$A$4:$A$60,0),MATCH('2'!$C$1,'Unique Asset List'!$AT$3:$AZ$3,0))</f>
        <v>2044</v>
      </c>
      <c r="AA41" s="9">
        <f>INDEX('Unique Asset List'!$BA$4:$BG$60,MATCH('2'!$B41,'Unique Asset List'!$A$4:$A$60,0),MATCH('2'!$C$1,'Unique Asset List'!$BA$3:$BG$3,0))</f>
        <v>6</v>
      </c>
      <c r="AB41" s="16">
        <f>AB33</f>
        <v>2.0289886000000004</v>
      </c>
      <c r="AC41" s="16">
        <f>AC33</f>
        <v>0.81843569999999999</v>
      </c>
      <c r="AD41" s="16">
        <f>AD33</f>
        <v>0.56099999999999994</v>
      </c>
      <c r="AE41" s="15">
        <f>INDEX('Unique Asset List'!$CJ$4:$CP$60,MATCH('2'!$B41,'Unique Asset List'!$A$4:$A$60,0),MATCH('2'!$C$1,'Unique Asset List'!$CJ$3:$CP$3,0))</f>
        <v>0.2</v>
      </c>
      <c r="AF41" s="15">
        <f>INDEX('Unique Asset List'!$CQ$4:$CW$60,MATCH('2'!$B41,'Unique Asset List'!$A$4:$A$60,0),MATCH('2'!$C$1,'Unique Asset List'!$CQ$3:$CW$3,0))</f>
        <v>0.3</v>
      </c>
      <c r="AG41" s="15">
        <f>INDEX('Unique Asset List'!$BV$4:$CB$60,MATCH('2'!$B41,'Unique Asset List'!$A$4:$A$60,0),MATCH('2'!$C$1,'Unique Asset List'!$BV$3:$CB$3,0))</f>
        <v>0.2</v>
      </c>
      <c r="AH41" s="15">
        <f>INDEX('Unique Asset List'!$CC$4:$CI$60,MATCH('2'!$B41,'Unique Asset List'!$A$4:$A$60,0),MATCH('2'!$C$1,'Unique Asset List'!$CC$3:$CI$3,0))</f>
        <v>0.3</v>
      </c>
      <c r="AI41" s="11">
        <v>0.96187963349867744</v>
      </c>
      <c r="AJ41" s="15">
        <f>INDEX('Unique Asset List'!$BH$4:$BN$60,MATCH('2'!$B41,'Unique Asset List'!$A$4:$A$60,0),MATCH('2'!$C$1,'Unique Asset List'!$BH$3:$BN$3,0))</f>
        <v>2.2612105538192599</v>
      </c>
      <c r="AK41" s="15">
        <f>INDEX('Unique Asset List'!$BO$4:$BU$60,MATCH('2'!$B41,'Unique Asset List'!$A$4:$A$60,0),MATCH('2'!$C$1,'Unique Asset List'!$BO$3:$BU$3,0))</f>
        <v>-1.7475682675103321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9">AP41</f>
        <v>0.82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0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0</v>
      </c>
      <c r="BB41" s="181">
        <f ca="1">INDEX('Unique Asset List'!V$4:V$60,MATCH($B41,_CompoundList,0))</f>
        <v>0</v>
      </c>
      <c r="BC41" s="181">
        <f ca="1">INDEX('Unique Asset List'!W$4:W$60,MATCH($B41,_CompoundList,0))</f>
        <v>1</v>
      </c>
      <c r="BD41" s="4">
        <f>IF($C$5="ON",CD41,MyRating(_E1,$B41,Efficacy!$F$1))</f>
        <v>0</v>
      </c>
      <c r="BE41" s="3">
        <f>IF($C$5="ON",CE41,MyRating(_E2,$B41,Efficacy!$F$1))</f>
        <v>0</v>
      </c>
      <c r="BF41" s="3">
        <f>IF($C$5="ON",CF41,MyRating(_E3,$B41,Efficacy!$F$1))</f>
        <v>0</v>
      </c>
      <c r="BG41" s="3">
        <f>IF($C$5="ON",CG41,MyRating(_E4,$B41,Efficacy!$F$1))</f>
        <v>0</v>
      </c>
      <c r="BH41" s="3">
        <f>IF($C$5="ON",CH41,MyRating(_E5,$B41,Efficacy!$F$1))</f>
        <v>0</v>
      </c>
      <c r="BI41" s="3">
        <f>IF($C$5="ON",CI41,MyRating(_E6,$B41,Efficacy!$F$1))</f>
        <v>0</v>
      </c>
      <c r="BJ41" s="3">
        <f>IF($C$5="ON",CJ41,MyRating(_E7,$B41,Efficacy!$F$1))</f>
        <v>0</v>
      </c>
      <c r="BK41" s="3">
        <f>IF($C$5="ON",CK41,MyRating(_E8,$B41,Efficacy!$F$1))</f>
        <v>0</v>
      </c>
      <c r="BL41" s="3">
        <f>IF($C$5="ON",CL41,MyRating(_S1,$B41,'S&amp;T'!$F$1))</f>
        <v>0</v>
      </c>
      <c r="BM41" s="3">
        <f>IF($C$5="ON",CM41,MyRating(_S2,$B41,'S&amp;T'!$F$1))</f>
        <v>0</v>
      </c>
      <c r="BN41" s="3">
        <f>IF($C$5="ON",CN41,MyRating(_S3,$B41,'S&amp;T'!$F$1))</f>
        <v>0</v>
      </c>
      <c r="BO41" s="3">
        <f>IF($C$5="ON",CO41,MyRating(_S4,$B41,'S&amp;T'!$F$1))</f>
        <v>0</v>
      </c>
      <c r="BP41" s="3">
        <f>IF($C$5="ON",CP41,MyRating(_S5,$B41,'S&amp;T'!$F$1))</f>
        <v>0</v>
      </c>
      <c r="BQ41" s="3">
        <f>IF($C$5="ON",CQ41,MyRating(_S6,$B41,'S&amp;T'!$F$1))</f>
        <v>0</v>
      </c>
      <c r="BR41" s="3">
        <f>IF($C$5="ON",CR41,MyRating(_S7,$B41,'S&amp;T'!$F$1))</f>
        <v>0</v>
      </c>
      <c r="BS41" s="3">
        <f>IF($C$5="ON",CS41,MyRating(_D1,$B41,Delivery!$F$1))</f>
        <v>0</v>
      </c>
      <c r="BT41" s="3">
        <f>IF($C$5="ON",CT41,MyRating(_D2,$B41,Delivery!$F$1))</f>
        <v>0</v>
      </c>
      <c r="BU41" s="3">
        <f>IF($C$5="ON",CU41,MyRating(_D3,$B41,Delivery!$F$1))</f>
        <v>0</v>
      </c>
      <c r="BV41" s="3">
        <f>IF($C$5="ON",CV41,MyRating(_D4,$B41,Delivery!$F$1))</f>
        <v>0</v>
      </c>
      <c r="BW41" s="3">
        <f>IF($C$5="ON",CW41,MyRating(_B1G5,$B41,Barrier!$L$2))</f>
        <v>2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8"/>
        <v>3.255254469149791E-2</v>
      </c>
      <c r="CA41" s="8">
        <f t="shared" ref="CA41:CA58" si="10">SUMPRODUCT($BW41:$BY41,$BW$7:$BY$7)</f>
        <v>2.8000000000000003</v>
      </c>
      <c r="CB41" s="5">
        <f t="shared" ref="CB41:CB58" si="11">CA41/$CA$7</f>
        <v>3.2258064516129052E-2</v>
      </c>
      <c r="CC41" s="7">
        <f t="shared" ref="CC41:CC58" si="12">CB41^$X$4</f>
        <v>5.7937194202185476E-3</v>
      </c>
      <c r="CD41" s="4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6">
        <v>0</v>
      </c>
      <c r="CZ41" s="5">
        <v>0</v>
      </c>
    </row>
    <row r="42" spans="1:104" x14ac:dyDescent="0.25">
      <c r="A42" s="9" t="s">
        <v>178</v>
      </c>
      <c r="B42" s="9" t="s">
        <v>26</v>
      </c>
      <c r="C42" s="20" t="s">
        <v>3</v>
      </c>
      <c r="D42" s="9" t="s">
        <v>25</v>
      </c>
      <c r="E42" s="9" t="s">
        <v>186</v>
      </c>
      <c r="F42" s="9" t="str">
        <f>INDEX('Unique Asset List'!$C$4:$C$60,MATCH(B42,_CompoundList,0))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INDEX(PTRS!$D$6:$D$12,MATCH('2'!$F42,PTRS!$B$6:$B$12,0))</f>
        <v>0.1044225</v>
      </c>
      <c r="K42" s="17">
        <f>INDEX('Unique Asset List'!$D$4:$M$60,MATCH($B42,'Unique Asset List'!$A$4:$A$60,0),MATCH(K$8,'Unique Asset List'!$D$3:$M$3,0))</f>
        <v>0</v>
      </c>
      <c r="L42" s="17">
        <f>INDEX('Unique Asset List'!$D$4:$M$60,MATCH($B42,'Unique Asset List'!$A$4:$A$60,0),MATCH(L$8,'Unique Asset List'!$D$3:$M$3,0))</f>
        <v>0</v>
      </c>
      <c r="M42" s="17">
        <v>0.1044225</v>
      </c>
      <c r="N42" s="17">
        <f>INDEX('Unique Asset List'!$D$4:$M$60,MATCH($B42,'Unique Asset List'!$A$4:$A$60,0),MATCH(N$8,'Unique Asset List'!$D$3:$M$3,0))</f>
        <v>0.1044225</v>
      </c>
      <c r="O42" s="17">
        <f>INDEX('Unique Asset List'!$D$4:$M$60,MATCH($B42,'Unique Asset List'!$A$4:$A$60,0),MATCH(O$8,'Unique Asset List'!$D$3:$M$3,0))</f>
        <v>0.1044225</v>
      </c>
      <c r="P42" s="17">
        <f>INDEX('Unique Asset List'!$D$4:$M$60,MATCH($B42,'Unique Asset List'!$A$4:$A$60,0),MATCH(P$8,'Unique Asset List'!$D$3:$M$3,0))</f>
        <v>0.1044225</v>
      </c>
      <c r="Q42" s="17">
        <f>INDEX('Unique Asset List'!$D$4:$M$60,MATCH($B42,'Unique Asset List'!$A$4:$A$60,0),MATCH(Q$8,'Unique Asset List'!$D$3:$M$3,0))</f>
        <v>0.1044225</v>
      </c>
      <c r="R42" s="17">
        <f>INDEX('Unique Asset List'!$D$4:$M$60,MATCH($B42,'Unique Asset List'!$A$4:$A$60,0),MATCH(R$8,'Unique Asset List'!$D$3:$M$3,0))</f>
        <v>0.1044225</v>
      </c>
      <c r="S42" s="17">
        <f>INDEX('Unique Asset List'!$D$4:$M$60,MATCH($B42,'Unique Asset List'!$A$4:$A$60,0),MATCH(S$8,'Unique Asset List'!$D$3:$M$3,0))</f>
        <v>0</v>
      </c>
      <c r="T42" s="17" t="s">
        <v>24</v>
      </c>
      <c r="U42" s="17">
        <f t="shared" si="0"/>
        <v>0</v>
      </c>
      <c r="V42" s="17">
        <v>1</v>
      </c>
      <c r="W42" s="9" t="s">
        <v>24</v>
      </c>
      <c r="X42" s="9">
        <f>INDEX('Unique Asset List'!$Y$4:$AE$60,MATCH('2'!$B42,'Unique Asset List'!$A$4:$A$60,0),MATCH('2'!$C$1,'Unique Asset List'!$Y$3:$AE$3,0))</f>
        <v>2032</v>
      </c>
      <c r="Y42" s="9">
        <f>INDEX('Unique Asset List'!$AF$4:$AL$60,MATCH('2'!$B42,'Unique Asset List'!$A$4:$A$60,0),MATCH('2'!$C$1,'Unique Asset List'!$AF$3:$AL$3,0))</f>
        <v>2</v>
      </c>
      <c r="Z42" s="9">
        <f>INDEX('Unique Asset List'!$AT$4:$AZ$60,MATCH('2'!$B42,'Unique Asset List'!$A$4:$A$60,0),MATCH('2'!$C$1,'Unique Asset List'!$AT$3:$AZ$3,0))</f>
        <v>2042</v>
      </c>
      <c r="AA42" s="9">
        <f>INDEX('Unique Asset List'!$BA$4:$BG$60,MATCH('2'!$B42,'Unique Asset List'!$A$4:$A$60,0),MATCH('2'!$C$1,'Unique Asset List'!$BA$3:$BG$3,0))</f>
        <v>2</v>
      </c>
      <c r="AB42" s="16">
        <f>AB30</f>
        <v>2.1518980000000005</v>
      </c>
      <c r="AC42" s="16">
        <f>AC30</f>
        <v>0.94137550000000003</v>
      </c>
      <c r="AD42" s="16">
        <f>AD30</f>
        <v>0.56099999999999994</v>
      </c>
      <c r="AE42" s="15">
        <f>INDEX('Unique Asset List'!$CJ$4:$CP$60,MATCH('2'!$B42,'Unique Asset List'!$A$4:$A$60,0),MATCH('2'!$C$1,'Unique Asset List'!$CJ$3:$CP$3,0))</f>
        <v>0.2</v>
      </c>
      <c r="AF42" s="15">
        <f>INDEX('Unique Asset List'!$CQ$4:$CW$60,MATCH('2'!$B42,'Unique Asset List'!$A$4:$A$60,0),MATCH('2'!$C$1,'Unique Asset List'!$CQ$3:$CW$3,0))</f>
        <v>0.3</v>
      </c>
      <c r="AG42" s="15">
        <f>INDEX('Unique Asset List'!$BV$4:$CB$60,MATCH('2'!$B42,'Unique Asset List'!$A$4:$A$60,0),MATCH('2'!$C$1,'Unique Asset List'!$BV$3:$CB$3,0))</f>
        <v>0.2</v>
      </c>
      <c r="AH42" s="15">
        <f>INDEX('Unique Asset List'!$CC$4:$CI$60,MATCH('2'!$B42,'Unique Asset List'!$A$4:$A$60,0),MATCH('2'!$C$1,'Unique Asset List'!$CC$3:$CI$3,0))</f>
        <v>0.3</v>
      </c>
      <c r="AI42" s="11">
        <v>0.96187963349867744</v>
      </c>
      <c r="AJ42" s="15">
        <f>INDEX('Unique Asset List'!$BH$4:$BN$60,MATCH('2'!$B42,'Unique Asset List'!$A$4:$A$60,0),MATCH('2'!$C$1,'Unique Asset List'!$BH$3:$BN$3,0))</f>
        <v>2.2612105538192599</v>
      </c>
      <c r="AK42" s="15">
        <f>INDEX('Unique Asset List'!$BO$4:$BU$60,MATCH('2'!$B42,'Unique Asset List'!$A$4:$A$60,0),MATCH('2'!$C$1,'Unique Asset List'!$BO$3:$BU$3,0))</f>
        <v>-1.7475682675103321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9"/>
        <v>0.82</v>
      </c>
      <c r="AS42" s="10">
        <v>1</v>
      </c>
      <c r="AT42" s="181">
        <f>INDEX('Unique Asset List'!N$4:N$60,MATCH($B42,_CompoundList,0))</f>
        <v>0</v>
      </c>
      <c r="AU42" s="181">
        <f>INDEX('Unique Asset List'!O$4:O$60,MATCH($B42,_CompoundList,0))</f>
        <v>0</v>
      </c>
      <c r="AV42" s="181">
        <f>INDEX('Unique Asset List'!P$4:P$60,MATCH($B42,_CompoundList,0))</f>
        <v>0</v>
      </c>
      <c r="AW42" s="181">
        <f>INDEX('Unique Asset List'!Q$4:Q$60,MATCH($B42,_CompoundList,0))</f>
        <v>0</v>
      </c>
      <c r="AX42" s="181">
        <f ca="1">INDEX('Unique Asset List'!R$4:R$60,MATCH($B42,_CompoundList,0))</f>
        <v>0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0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0</v>
      </c>
      <c r="BD42" s="4">
        <f>IF($C$5="ON",CD42,MyRating(_E1,$B42,Efficacy!$F$1))</f>
        <v>0</v>
      </c>
      <c r="BE42" s="3">
        <f>IF($C$5="ON",CE42,MyRating(_E2,$B42,Efficacy!$F$1))</f>
        <v>0</v>
      </c>
      <c r="BF42" s="3">
        <f>IF($C$5="ON",CF42,MyRating(_E3,$B42,Efficacy!$F$1))</f>
        <v>0</v>
      </c>
      <c r="BG42" s="3">
        <f>IF($C$5="ON",CG42,MyRating(_E4,$B42,Efficacy!$F$1))</f>
        <v>0</v>
      </c>
      <c r="BH42" s="3">
        <f>IF($C$5="ON",CH42,MyRating(_E5,$B42,Efficacy!$F$1))</f>
        <v>0</v>
      </c>
      <c r="BI42" s="3">
        <f>IF($C$5="ON",CI42,MyRating(_E6,$B42,Efficacy!$F$1))</f>
        <v>0</v>
      </c>
      <c r="BJ42" s="3">
        <f>IF($C$5="ON",CJ42,MyRating(_E7,$B42,Efficacy!$F$1))</f>
        <v>0</v>
      </c>
      <c r="BK42" s="3">
        <f>IF($C$5="ON",CK42,MyRating(_E8,$B42,Efficacy!$F$1))</f>
        <v>0</v>
      </c>
      <c r="BL42" s="3">
        <f>IF($C$5="ON",CL42,MyRating(_S1,$B42,'S&amp;T'!$F$1))</f>
        <v>0</v>
      </c>
      <c r="BM42" s="3">
        <f>IF($C$5="ON",CM42,MyRating(_S2,$B42,'S&amp;T'!$F$1))</f>
        <v>0</v>
      </c>
      <c r="BN42" s="3">
        <f>IF($C$5="ON",CN42,MyRating(_S3,$B42,'S&amp;T'!$F$1))</f>
        <v>0</v>
      </c>
      <c r="BO42" s="3">
        <f>IF($C$5="ON",CO42,MyRating(_S4,$B42,'S&amp;T'!$F$1))</f>
        <v>0</v>
      </c>
      <c r="BP42" s="3">
        <f>IF($C$5="ON",CP42,MyRating(_S5,$B42,'S&amp;T'!$F$1))</f>
        <v>0</v>
      </c>
      <c r="BQ42" s="3">
        <f>IF($C$5="ON",CQ42,MyRating(_S6,$B42,'S&amp;T'!$F$1))</f>
        <v>0</v>
      </c>
      <c r="BR42" s="3">
        <f>IF($C$5="ON",CR42,MyRating(_S7,$B42,'S&amp;T'!$F$1))</f>
        <v>0</v>
      </c>
      <c r="BS42" s="3">
        <f>IF($C$5="ON",CS42,MyRating(_D1,$B42,Delivery!$F$1))</f>
        <v>0</v>
      </c>
      <c r="BT42" s="3">
        <f>IF($C$5="ON",CT42,MyRating(_D2,$B42,Delivery!$F$1))</f>
        <v>0</v>
      </c>
      <c r="BU42" s="3">
        <f>IF($C$5="ON",CU42,MyRating(_D3,$B42,Delivery!$F$1))</f>
        <v>0</v>
      </c>
      <c r="BV42" s="3">
        <f>IF($C$5="ON",CV42,MyRating(_D4,$B42,Delivery!$F$1))</f>
        <v>0</v>
      </c>
      <c r="BW42" s="3">
        <f>IF($C$5="ON",CW42,MyRating(_B1G5,$B42,Barrier!$L$2))</f>
        <v>2</v>
      </c>
      <c r="BX42" s="3">
        <f>IF($C$5="ON",CX42,MyRating(_B2,$B42,Barrier!$F$2))</f>
        <v>0</v>
      </c>
      <c r="BY42" s="6">
        <f>IF($C$5="ON",CY42,MyRating(_B3,$B42,Barrier!$F$2))</f>
        <v>0</v>
      </c>
      <c r="BZ42" s="5">
        <f t="shared" si="8"/>
        <v>0</v>
      </c>
      <c r="CA42" s="8">
        <f t="shared" si="10"/>
        <v>0.4</v>
      </c>
      <c r="CB42" s="5">
        <f t="shared" si="11"/>
        <v>4.6082949308755786E-3</v>
      </c>
      <c r="CC42" s="7">
        <f t="shared" si="12"/>
        <v>3.1283144391803261E-4</v>
      </c>
      <c r="CD42" s="4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6">
        <v>0</v>
      </c>
      <c r="CZ42" s="5">
        <v>0</v>
      </c>
    </row>
    <row r="43" spans="1:104" x14ac:dyDescent="0.25">
      <c r="A43" s="9" t="s">
        <v>178</v>
      </c>
      <c r="B43" s="9" t="s">
        <v>23</v>
      </c>
      <c r="C43" s="20"/>
      <c r="D43" s="9" t="s">
        <v>22</v>
      </c>
      <c r="E43" s="9" t="s">
        <v>186</v>
      </c>
      <c r="F43" s="9" t="str">
        <f>INDEX('Unique Asset List'!$C$4:$C$60,MATCH(B43,_CompoundList,0))</f>
        <v>PCD</v>
      </c>
      <c r="G43" s="19">
        <v>0</v>
      </c>
      <c r="H43" s="9">
        <v>2014</v>
      </c>
      <c r="I43" s="9">
        <v>6</v>
      </c>
      <c r="J43" s="18">
        <f>INDEX(PTRS!$D$6:$D$12,MATCH('2'!$F43,PTRS!$B$6:$B$12,0))</f>
        <v>0.1044225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0.1044225</v>
      </c>
      <c r="N43" s="17">
        <f>INDEX('Unique Asset List'!$D$4:$M$60,MATCH($B43,'Unique Asset List'!$A$4:$A$60,0),MATCH(N$8,'Unique Asset List'!$D$3:$M$3,0))</f>
        <v>0.1044225</v>
      </c>
      <c r="O43" s="17">
        <f>INDEX('Unique Asset List'!$D$4:$M$60,MATCH($B43,'Unique Asset List'!$A$4:$A$60,0),MATCH(O$8,'Unique Asset List'!$D$3:$M$3,0))</f>
        <v>0.1044225</v>
      </c>
      <c r="P43" s="17">
        <f>INDEX('Unique Asset List'!$D$4:$M$60,MATCH($B43,'Unique Asset List'!$A$4:$A$60,0),MATCH(P$8,'Unique Asset List'!$D$3:$M$3,0))</f>
        <v>0.1044225</v>
      </c>
      <c r="Q43" s="17">
        <f>INDEX('Unique Asset List'!$D$4:$M$60,MATCH($B43,'Unique Asset List'!$A$4:$A$60,0),MATCH(Q$8,'Unique Asset List'!$D$3:$M$3,0))</f>
        <v>0.1044225</v>
      </c>
      <c r="R43" s="17">
        <f>INDEX('Unique Asset List'!$D$4:$M$60,MATCH($B43,'Unique Asset List'!$A$4:$A$60,0),MATCH(R$8,'Unique Asset List'!$D$3:$M$3,0))</f>
        <v>0.1044225</v>
      </c>
      <c r="S43" s="17">
        <f>INDEX('Unique Asset List'!$D$4:$M$60,MATCH($B43,'Unique Asset List'!$A$4:$A$60,0),MATCH(S$8,'Unique Asset List'!$D$3:$M$3,0))</f>
        <v>0</v>
      </c>
      <c r="T43" s="9" t="s">
        <v>21</v>
      </c>
      <c r="U43" s="17">
        <f t="shared" si="0"/>
        <v>0.90168566420734253</v>
      </c>
      <c r="V43" s="17">
        <v>1</v>
      </c>
      <c r="W43" s="9" t="s">
        <v>20</v>
      </c>
      <c r="X43" s="9">
        <f>INDEX('Unique Asset List'!$Y$4:$AE$60,MATCH('2'!$B43,'Unique Asset List'!$A$4:$A$60,0),MATCH('2'!$C$1,'Unique Asset List'!$Y$3:$AE$3,0))</f>
        <v>2031</v>
      </c>
      <c r="Y43" s="9">
        <f>INDEX('Unique Asset List'!$AF$4:$AL$60,MATCH('2'!$B43,'Unique Asset List'!$A$4:$A$60,0),MATCH('2'!$C$1,'Unique Asset List'!$AF$3:$AL$3,0))</f>
        <v>3</v>
      </c>
      <c r="Z43" s="9">
        <f>INDEX('Unique Asset List'!$AT$4:$AZ$60,MATCH('2'!$B43,'Unique Asset List'!$A$4:$A$60,0),MATCH('2'!$C$1,'Unique Asset List'!$AT$3:$AZ$3,0))</f>
        <v>2041</v>
      </c>
      <c r="AA43" s="9">
        <f>INDEX('Unique Asset List'!$BA$4:$BG$60,MATCH('2'!$B43,'Unique Asset List'!$A$4:$A$60,0),MATCH('2'!$C$1,'Unique Asset List'!$BA$3:$BG$3,0))</f>
        <v>3</v>
      </c>
      <c r="AB43" s="16">
        <f>AB25</f>
        <v>1.6822346000000001</v>
      </c>
      <c r="AC43" s="16">
        <f>AC25</f>
        <v>0.91486990000000001</v>
      </c>
      <c r="AD43" s="16">
        <f>AD25</f>
        <v>0.56099999999999994</v>
      </c>
      <c r="AE43" s="15">
        <f>INDEX('Unique Asset List'!$CJ$4:$CP$60,MATCH('2'!$B43,'Unique Asset List'!$A$4:$A$60,0),MATCH('2'!$C$1,'Unique Asset List'!$CJ$3:$CP$3,0))</f>
        <v>0.2</v>
      </c>
      <c r="AF43" s="15">
        <f>INDEX('Unique Asset List'!$CQ$4:$CW$60,MATCH('2'!$B43,'Unique Asset List'!$A$4:$A$60,0),MATCH('2'!$C$1,'Unique Asset List'!$CQ$3:$CW$3,0))</f>
        <v>0.3</v>
      </c>
      <c r="AG43" s="15">
        <f>INDEX('Unique Asset List'!$BV$4:$CB$60,MATCH('2'!$B43,'Unique Asset List'!$A$4:$A$60,0),MATCH('2'!$C$1,'Unique Asset List'!$BV$3:$CB$3,0))</f>
        <v>0.2</v>
      </c>
      <c r="AH43" s="15">
        <f>INDEX('Unique Asset List'!$CC$4:$CI$60,MATCH('2'!$B43,'Unique Asset List'!$A$4:$A$60,0),MATCH('2'!$C$1,'Unique Asset List'!$CC$3:$CI$3,0))</f>
        <v>0.3</v>
      </c>
      <c r="AI43" s="11">
        <v>0.96187963349867744</v>
      </c>
      <c r="AJ43" s="15">
        <f>INDEX('Unique Asset List'!$BH$4:$BN$60,MATCH('2'!$B43,'Unique Asset List'!$A$4:$A$60,0),MATCH('2'!$C$1,'Unique Asset List'!$BH$3:$BN$3,0))</f>
        <v>2.2612105538192599</v>
      </c>
      <c r="AK43" s="15">
        <f>INDEX('Unique Asset List'!$BO$4:$BU$60,MATCH('2'!$B43,'Unique Asset List'!$A$4:$A$60,0),MATCH('2'!$C$1,'Unique Asset List'!$BO$3:$BU$3,0))</f>
        <v>-1.7475682675103321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9"/>
        <v>0.82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1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0</v>
      </c>
      <c r="BD43" s="4">
        <f>IF($C$5="ON",CD43,MyRating(_E1,$B43,Efficacy!$F$1))</f>
        <v>0</v>
      </c>
      <c r="BE43" s="3">
        <f>IF($C$5="ON",CE43,MyRating(_E2,$B43,Efficacy!$F$1))</f>
        <v>0</v>
      </c>
      <c r="BF43" s="3">
        <f>IF($C$5="ON",CF43,MyRating(_E3,$B43,Efficacy!$F$1))</f>
        <v>0</v>
      </c>
      <c r="BG43" s="3">
        <f>IF($C$5="ON",CG43,MyRating(_E4,$B43,Efficacy!$F$1))</f>
        <v>0</v>
      </c>
      <c r="BH43" s="3">
        <f>IF($C$5="ON",CH43,MyRating(_E5,$B43,Efficacy!$F$1))</f>
        <v>0</v>
      </c>
      <c r="BI43" s="3">
        <f>IF($C$5="ON",CI43,MyRating(_E6,$B43,Efficacy!$F$1))</f>
        <v>0</v>
      </c>
      <c r="BJ43" s="3">
        <f>IF($C$5="ON",CJ43,MyRating(_E7,$B43,Efficacy!$F$1))</f>
        <v>0</v>
      </c>
      <c r="BK43" s="3">
        <f>IF($C$5="ON",CK43,MyRating(_E8,$B43,Efficacy!$F$1))</f>
        <v>0</v>
      </c>
      <c r="BL43" s="3">
        <f>IF($C$5="ON",CL43,MyRating(_S1,$B43,'S&amp;T'!$F$1))</f>
        <v>0</v>
      </c>
      <c r="BM43" s="3">
        <f>IF($C$5="ON",CM43,MyRating(_S2,$B43,'S&amp;T'!$F$1))</f>
        <v>0</v>
      </c>
      <c r="BN43" s="3">
        <f>IF($C$5="ON",CN43,MyRating(_S3,$B43,'S&amp;T'!$F$1))</f>
        <v>0</v>
      </c>
      <c r="BO43" s="3">
        <f>IF($C$5="ON",CO43,MyRating(_S4,$B43,'S&amp;T'!$F$1))</f>
        <v>0</v>
      </c>
      <c r="BP43" s="3">
        <f>IF($C$5="ON",CP43,MyRating(_S5,$B43,'S&amp;T'!$F$1))</f>
        <v>0</v>
      </c>
      <c r="BQ43" s="3">
        <f>IF($C$5="ON",CQ43,MyRating(_S6,$B43,'S&amp;T'!$F$1))</f>
        <v>0</v>
      </c>
      <c r="BR43" s="3">
        <f>IF($C$5="ON",CR43,MyRating(_S7,$B43,'S&amp;T'!$F$1))</f>
        <v>0</v>
      </c>
      <c r="BS43" s="3">
        <f>IF($C$5="ON",CS43,MyRating(_D1,$B43,Delivery!$F$1))</f>
        <v>0</v>
      </c>
      <c r="BT43" s="3">
        <f>IF($C$5="ON",CT43,MyRating(_D2,$B43,Delivery!$F$1))</f>
        <v>0</v>
      </c>
      <c r="BU43" s="3">
        <f>IF($C$5="ON",CU43,MyRating(_D3,$B43,Delivery!$F$1))</f>
        <v>0</v>
      </c>
      <c r="BV43" s="3">
        <f>IF($C$5="ON",CV43,MyRating(_D4,$B43,Delivery!$F$1))</f>
        <v>0</v>
      </c>
      <c r="BW43" s="3">
        <f>IF($C$5="ON",CW43,MyRating(_B1G5,$B43,Barrier!$L$2))</f>
        <v>2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8"/>
        <v>3.255254469149791E-2</v>
      </c>
      <c r="CA43" s="8">
        <f t="shared" si="10"/>
        <v>2.8000000000000003</v>
      </c>
      <c r="CB43" s="5">
        <f t="shared" si="11"/>
        <v>3.2258064516129052E-2</v>
      </c>
      <c r="CC43" s="7">
        <f t="shared" si="12"/>
        <v>5.7937194202185476E-3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>
        <v>0</v>
      </c>
    </row>
    <row r="44" spans="1:104" x14ac:dyDescent="0.25">
      <c r="A44" s="9" t="s">
        <v>178</v>
      </c>
      <c r="B44" s="9" t="s">
        <v>19</v>
      </c>
      <c r="C44" s="20"/>
      <c r="D44" s="9" t="s">
        <v>18</v>
      </c>
      <c r="E44" s="9" t="s">
        <v>186</v>
      </c>
      <c r="F44" s="9" t="str">
        <f>INDEX('Unique Asset List'!$C$4:$C$60,MATCH(B44,_CompoundList,0))</f>
        <v>PCD</v>
      </c>
      <c r="G44" s="19">
        <v>0</v>
      </c>
      <c r="H44" s="9">
        <v>2014</v>
      </c>
      <c r="I44" s="9">
        <v>6</v>
      </c>
      <c r="J44" s="18">
        <f>INDEX(PTRS!$D$6:$D$12,MATCH('2'!$F44,PTRS!$B$6:$B$12,0))</f>
        <v>0.1044225</v>
      </c>
      <c r="K44" s="17">
        <f>K23</f>
        <v>0</v>
      </c>
      <c r="L44" s="17">
        <f>L23</f>
        <v>0</v>
      </c>
      <c r="M44" s="17">
        <v>0.1044225</v>
      </c>
      <c r="N44" s="17">
        <f>N23</f>
        <v>0.13923000000000002</v>
      </c>
      <c r="O44" s="17">
        <f>INDEX('Unique Asset List'!$D$4:$M$60,MATCH($B44,'Unique Asset List'!$A$4:$A$60,0),MATCH(O$8,'Unique Asset List'!$D$3:$M$3,0))</f>
        <v>0.1044225</v>
      </c>
      <c r="P44" s="17">
        <f>INDEX('Unique Asset List'!$D$4:$M$60,MATCH($B44,'Unique Asset List'!$A$4:$A$60,0),MATCH(P$8,'Unique Asset List'!$D$3:$M$3,0))</f>
        <v>0.1044225</v>
      </c>
      <c r="Q44" s="17">
        <f>INDEX('Unique Asset List'!$D$4:$M$60,MATCH($B44,'Unique Asset List'!$A$4:$A$60,0),MATCH(Q$8,'Unique Asset List'!$D$3:$M$3,0))</f>
        <v>0.1044225</v>
      </c>
      <c r="R44" s="17">
        <f>INDEX('Unique Asset List'!$D$4:$M$60,MATCH($B44,'Unique Asset List'!$A$4:$A$60,0),MATCH(R$8,'Unique Asset List'!$D$3:$M$3,0))</f>
        <v>0.1044225</v>
      </c>
      <c r="S44" s="17">
        <f>S23</f>
        <v>0</v>
      </c>
      <c r="T44" s="9" t="s">
        <v>17</v>
      </c>
      <c r="U44" s="17">
        <f t="shared" si="0"/>
        <v>0.90168566420734253</v>
      </c>
      <c r="V44" s="17">
        <v>1</v>
      </c>
      <c r="W44" s="9" t="s">
        <v>16</v>
      </c>
      <c r="X44" s="9">
        <f>INDEX('Unique Asset List'!$Y$4:$AE$60,MATCH('2'!$B44,'Unique Asset List'!$A$4:$A$60,0),MATCH('2'!$C$1,'Unique Asset List'!$Y$3:$AE$3,0))</f>
        <v>2030</v>
      </c>
      <c r="Y44" s="9">
        <f>INDEX('Unique Asset List'!$AF$4:$AL$60,MATCH('2'!$B44,'Unique Asset List'!$A$4:$A$60,0),MATCH('2'!$C$1,'Unique Asset List'!$AF$3:$AL$3,0))</f>
        <v>8</v>
      </c>
      <c r="Z44" s="9">
        <f>INDEX('Unique Asset List'!$AT$4:$AZ$60,MATCH('2'!$B44,'Unique Asset List'!$A$4:$A$60,0),MATCH('2'!$C$1,'Unique Asset List'!$AT$3:$AZ$3,0))</f>
        <v>2040</v>
      </c>
      <c r="AA44" s="9">
        <f>INDEX('Unique Asset List'!$BA$4:$BG$60,MATCH('2'!$B44,'Unique Asset List'!$A$4:$A$60,0),MATCH('2'!$C$1,'Unique Asset List'!$BA$3:$BG$3,0))</f>
        <v>8</v>
      </c>
      <c r="AB44" s="16">
        <f>AB24</f>
        <v>1.8562298000000002</v>
      </c>
      <c r="AC44" s="16">
        <f>AC24</f>
        <v>0.97947730000000011</v>
      </c>
      <c r="AD44" s="16">
        <f>AD24</f>
        <v>0.56099999999999994</v>
      </c>
      <c r="AE44" s="15">
        <f>INDEX('Unique Asset List'!$CJ$4:$CP$60,MATCH('2'!$B44,'Unique Asset List'!$A$4:$A$60,0),MATCH('2'!$C$1,'Unique Asset List'!$CJ$3:$CP$3,0))</f>
        <v>0.2</v>
      </c>
      <c r="AF44" s="15">
        <f>INDEX('Unique Asset List'!$CQ$4:$CW$60,MATCH('2'!$B44,'Unique Asset List'!$A$4:$A$60,0),MATCH('2'!$C$1,'Unique Asset List'!$CQ$3:$CW$3,0))</f>
        <v>0.3</v>
      </c>
      <c r="AG44" s="15">
        <f>INDEX('Unique Asset List'!$BV$4:$CB$60,MATCH('2'!$B44,'Unique Asset List'!$A$4:$A$60,0),MATCH('2'!$C$1,'Unique Asset List'!$BV$3:$CB$3,0))</f>
        <v>0.2</v>
      </c>
      <c r="AH44" s="15">
        <f>INDEX('Unique Asset List'!$CC$4:$CI$60,MATCH('2'!$B44,'Unique Asset List'!$A$4:$A$60,0),MATCH('2'!$C$1,'Unique Asset List'!$CC$3:$CI$3,0))</f>
        <v>0.3</v>
      </c>
      <c r="AI44" s="11">
        <v>0.96187963349867744</v>
      </c>
      <c r="AJ44" s="15">
        <f>INDEX('Unique Asset List'!$BH$4:$BN$60,MATCH('2'!$B44,'Unique Asset List'!$A$4:$A$60,0),MATCH('2'!$C$1,'Unique Asset List'!$BH$3:$BN$3,0))</f>
        <v>2.2612105538192599</v>
      </c>
      <c r="AK44" s="15">
        <f>INDEX('Unique Asset List'!$BO$4:$BU$60,MATCH('2'!$B44,'Unique Asset List'!$A$4:$A$60,0),MATCH('2'!$C$1,'Unique Asset List'!$BO$3:$BU$3,0))</f>
        <v>-1.7475682675103321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9"/>
        <v>0.82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0</v>
      </c>
      <c r="AY44" s="181">
        <f ca="1">INDEX('Unique Asset List'!S$4:S$60,MATCH($B44,_CompoundList,0))</f>
        <v>1</v>
      </c>
      <c r="AZ44" s="181">
        <f ca="1">INDEX('Unique Asset List'!T$4:T$60,MATCH($B44,_CompoundList,0))</f>
        <v>0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1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IF($C$5="ON",CL44,MyRating(_S1,$B44,'S&amp;T'!$F$1))</f>
        <v>0</v>
      </c>
      <c r="BM44" s="3">
        <f>IF($C$5="ON",CM44,MyRating(_S2,$B44,'S&amp;T'!$F$1))</f>
        <v>0</v>
      </c>
      <c r="BN44" s="3">
        <f>IF($C$5="ON",CN44,MyRating(_S3,$B44,'S&amp;T'!$F$1))</f>
        <v>0</v>
      </c>
      <c r="BO44" s="3">
        <f>IF($C$5="ON",CO44,MyRating(_S4,$B44,'S&amp;T'!$F$1))</f>
        <v>0</v>
      </c>
      <c r="BP44" s="3">
        <f>IF($C$5="ON",CP44,MyRating(_S5,$B44,'S&amp;T'!$F$1))</f>
        <v>0</v>
      </c>
      <c r="BQ44" s="3">
        <f>IF($C$5="ON",CQ44,MyRating(_S6,$B44,'S&amp;T'!$F$1))</f>
        <v>0</v>
      </c>
      <c r="BR44" s="3">
        <f>IF($C$5="ON",CR44,MyRating(_S7,$B44,'S&amp;T'!$F$1))</f>
        <v>0</v>
      </c>
      <c r="BS44" s="3">
        <f>IF($C$5="ON",CS44,MyRating(_D1,$B44,Delivery!$F$1))</f>
        <v>0</v>
      </c>
      <c r="BT44" s="3">
        <f>IF($C$5="ON",CT44,MyRating(_D2,$B44,Delivery!$F$1))</f>
        <v>0</v>
      </c>
      <c r="BU44" s="3">
        <f>IF($C$5="ON",CU44,MyRating(_D3,$B44,Delivery!$F$1))</f>
        <v>0</v>
      </c>
      <c r="BV44" s="3">
        <f>IF($C$5="ON",CV44,MyRating(_D4,$B44,Delivery!$F$1))</f>
        <v>0</v>
      </c>
      <c r="BW44" s="3">
        <f>IF($C$5="ON",CW44,MyRating(_B1G5,$B44,Barrier!$L$2))</f>
        <v>2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8"/>
        <v>3.255254469149791E-2</v>
      </c>
      <c r="CA44" s="8">
        <f t="shared" si="10"/>
        <v>2.8000000000000003</v>
      </c>
      <c r="CB44" s="5">
        <f t="shared" si="11"/>
        <v>3.2258064516129052E-2</v>
      </c>
      <c r="CC44" s="7">
        <f t="shared" si="12"/>
        <v>5.7937194202185476E-3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>
        <v>0</v>
      </c>
    </row>
    <row r="45" spans="1:104" x14ac:dyDescent="0.25">
      <c r="A45" s="9" t="s">
        <v>178</v>
      </c>
      <c r="B45" s="9" t="s">
        <v>13</v>
      </c>
      <c r="C45" s="20"/>
      <c r="D45" s="9" t="s">
        <v>2</v>
      </c>
      <c r="E45" s="9" t="s">
        <v>186</v>
      </c>
      <c r="F45" s="9" t="str">
        <f>INDEX('Unique Asset List'!$C$4:$C$60,MATCH(B45,_CompoundList,0))</f>
        <v>PCD</v>
      </c>
      <c r="G45" s="19">
        <v>0</v>
      </c>
      <c r="H45" s="9">
        <v>2014</v>
      </c>
      <c r="I45" s="9">
        <v>6</v>
      </c>
      <c r="J45" s="18">
        <f>INDEX(PTRS!$D$6:$D$12,MATCH('2'!$F45,PTRS!$B$6:$B$12,0))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v>0.1044225</v>
      </c>
      <c r="N45" s="17">
        <f>INDEX('Unique Asset List'!$D$4:$M$60,MATCH($B45,'Unique Asset List'!$A$4:$A$60,0),MATCH(N$8,'Unique Asset List'!$D$3:$M$3,0))</f>
        <v>1</v>
      </c>
      <c r="O45" s="17">
        <f>INDEX('Unique Asset List'!$D$4:$M$60,MATCH($B45,'Unique Asset List'!$A$4:$A$60,0),MATCH(O$8,'Unique Asset List'!$D$3:$M$3,0))</f>
        <v>1</v>
      </c>
      <c r="P45" s="17">
        <f>INDEX('Unique Asset List'!$D$4:$M$60,MATCH($B45,'Unique Asset List'!$A$4:$A$60,0),MATCH(P$8,'Unique Asset List'!$D$3:$M$3,0))</f>
        <v>1</v>
      </c>
      <c r="Q45" s="17">
        <f>INDEX('Unique Asset List'!$D$4:$M$60,MATCH($B45,'Unique Asset List'!$A$4:$A$60,0),MATCH(Q$8,'Unique Asset List'!$D$3:$M$3,0))</f>
        <v>1</v>
      </c>
      <c r="R45" s="17">
        <f>INDEX('Unique Asset List'!$D$4:$M$60,MATCH($B45,'Unique Asset List'!$A$4:$A$60,0),MATCH(R$8,'Unique Asset List'!$D$3:$M$3,0))</f>
        <v>1</v>
      </c>
      <c r="S45" s="17">
        <f>INDEX('Unique Asset List'!$D$4:$M$60,MATCH($B45,'Unique Asset List'!$A$4:$A$60,0),MATCH(S$8,'Unique Asset List'!$D$3:$M$3,0))</f>
        <v>1</v>
      </c>
      <c r="T45" s="17"/>
      <c r="U45" s="17">
        <f t="shared" si="0"/>
        <v>0.90168566420734253</v>
      </c>
      <c r="V45" s="17">
        <v>1</v>
      </c>
      <c r="W45" s="9" t="s">
        <v>13</v>
      </c>
      <c r="X45" s="9">
        <f>INDEX('Unique Asset List'!$Y$4:$AE$60,MATCH('2'!$B45,'Unique Asset List'!$A$4:$A$60,0),MATCH('2'!$C$1,'Unique Asset List'!$Y$3:$AE$3,0))</f>
        <v>2030</v>
      </c>
      <c r="Y45" s="9">
        <f>INDEX('Unique Asset List'!$AF$4:$AL$60,MATCH('2'!$B45,'Unique Asset List'!$A$4:$A$60,0),MATCH('2'!$C$1,'Unique Asset List'!$AF$3:$AL$3,0))</f>
        <v>6</v>
      </c>
      <c r="Z45" s="9">
        <f>INDEX('Unique Asset List'!$AT$4:$AZ$60,MATCH('2'!$B45,'Unique Asset List'!$A$4:$A$60,0),MATCH('2'!$C$1,'Unique Asset List'!$AT$3:$AZ$3,0))</f>
        <v>2042</v>
      </c>
      <c r="AA45" s="9">
        <f>INDEX('Unique Asset List'!$BA$4:$BG$60,MATCH('2'!$B45,'Unique Asset List'!$A$4:$A$60,0),MATCH('2'!$C$1,'Unique Asset List'!$BA$3:$BG$3,0))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List'!$CJ$4:$CP$60,MATCH('2'!$B45,'Unique Asset List'!$A$4:$A$60,0),MATCH('2'!$C$1,'Unique Asset List'!$CJ$3:$CP$3,0))</f>
        <v>0.2</v>
      </c>
      <c r="AF45" s="15">
        <f>INDEX('Unique Asset List'!$CQ$4:$CW$60,MATCH('2'!$B45,'Unique Asset List'!$A$4:$A$60,0),MATCH('2'!$C$1,'Unique Asset List'!$CQ$3:$CW$3,0))</f>
        <v>0.3</v>
      </c>
      <c r="AG45" s="15">
        <f>INDEX('Unique Asset List'!$BV$4:$CB$60,MATCH('2'!$B45,'Unique Asset List'!$A$4:$A$60,0),MATCH('2'!$C$1,'Unique Asset List'!$BV$3:$CB$3,0))</f>
        <v>0.2</v>
      </c>
      <c r="AH45" s="15">
        <f>INDEX('Unique Asset List'!$CC$4:$CI$60,MATCH('2'!$B45,'Unique Asset List'!$A$4:$A$60,0),MATCH('2'!$C$1,'Unique Asset List'!$CC$3:$CI$3,0))</f>
        <v>0.3</v>
      </c>
      <c r="AI45" s="11">
        <v>0.96187963349867744</v>
      </c>
      <c r="AJ45" s="15">
        <f>INDEX('Unique Asset List'!$BH$4:$BN$60,MATCH('2'!$B45,'Unique Asset List'!$A$4:$A$60,0),MATCH('2'!$C$1,'Unique Asset List'!$BH$3:$BN$3,0))</f>
        <v>2.2612105538192599</v>
      </c>
      <c r="AK45" s="15">
        <f>INDEX('Unique Asset List'!$BO$4:$BU$60,MATCH('2'!$B45,'Unique Asset List'!$A$4:$A$60,0),MATCH('2'!$C$1,'Unique Asset List'!$BO$3:$BU$3,0))</f>
        <v>-1.7475682675103321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9"/>
        <v>0.82</v>
      </c>
      <c r="AS45" s="10">
        <v>1</v>
      </c>
      <c r="AT45" s="181">
        <f>INDEX('Unique Asset List'!N$4:N$60,MATCH($B45,_CompoundList,0))</f>
        <v>1</v>
      </c>
      <c r="AU45" s="181">
        <f>INDEX('Unique Asset List'!O$4:O$60,MATCH($B45,_CompoundList,0))</f>
        <v>1</v>
      </c>
      <c r="AV45" s="181">
        <f>INDEX('Unique Asset List'!P$4:P$60,MATCH($B45,_CompoundList,0))</f>
        <v>1</v>
      </c>
      <c r="AW45" s="181">
        <f>INDEX('Unique Asset List'!Q$4:Q$60,MATCH($B45,_CompoundList,0))</f>
        <v>1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1</v>
      </c>
      <c r="BA45" s="181">
        <f ca="1">INDEX('Unique Asset List'!U$4:U$60,MATCH($B45,_CompoundList,0))</f>
        <v>1</v>
      </c>
      <c r="BB45" s="181">
        <f ca="1">INDEX('Unique Asset List'!V$4:V$60,MATCH($B45,_CompoundList,0))</f>
        <v>1</v>
      </c>
      <c r="BC45" s="181">
        <f ca="1">INDEX('Unique Asset List'!W$4:W$60,MATCH($B45,_CompoundList,0))</f>
        <v>1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IF($C$5="ON",CL45,MyRating(_S1,$B45,'S&amp;T'!$F$1))</f>
        <v>0</v>
      </c>
      <c r="BM45" s="3">
        <f>IF($C$5="ON",CM45,MyRating(_S2,$B45,'S&amp;T'!$F$1))</f>
        <v>0</v>
      </c>
      <c r="BN45" s="3">
        <f>IF($C$5="ON",CN45,MyRating(_S3,$B45,'S&amp;T'!$F$1))</f>
        <v>0</v>
      </c>
      <c r="BO45" s="3">
        <f>IF($C$5="ON",CO45,MyRating(_S4,$B45,'S&amp;T'!$F$1))</f>
        <v>0</v>
      </c>
      <c r="BP45" s="3">
        <f>IF($C$5="ON",CP45,MyRating(_S5,$B45,'S&amp;T'!$F$1))</f>
        <v>0</v>
      </c>
      <c r="BQ45" s="3">
        <f>IF($C$5="ON",CQ45,MyRating(_S6,$B45,'S&amp;T'!$F$1))</f>
        <v>0</v>
      </c>
      <c r="BR45" s="3">
        <f>IF($C$5="ON",CR45,MyRating(_S7,$B45,'S&amp;T'!$F$1))</f>
        <v>0</v>
      </c>
      <c r="BS45" s="3">
        <f>IF($C$5="ON",CS45,MyRating(_D1,$B45,Delivery!$F$1))</f>
        <v>0</v>
      </c>
      <c r="BT45" s="3">
        <f>IF($C$5="ON",CT45,MyRating(_D2,$B45,Delivery!$F$1))</f>
        <v>0</v>
      </c>
      <c r="BU45" s="3">
        <f>IF($C$5="ON",CU45,MyRating(_D3,$B45,Delivery!$F$1))</f>
        <v>0</v>
      </c>
      <c r="BV45" s="3">
        <f>IF($C$5="ON",CV45,MyRating(_D4,$B45,Delivery!$F$1))</f>
        <v>0</v>
      </c>
      <c r="BW45" s="3">
        <f>IF($C$5="ON",CW45,MyRating(_B1G5,$B45,Barrier!$L$2))</f>
        <v>2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8"/>
        <v>3.255254469149791E-2</v>
      </c>
      <c r="CA45" s="8">
        <f t="shared" si="10"/>
        <v>2.8000000000000003</v>
      </c>
      <c r="CB45" s="5">
        <f t="shared" si="11"/>
        <v>3.2258064516129052E-2</v>
      </c>
      <c r="CC45" s="7">
        <f t="shared" si="12"/>
        <v>5.7937194202185476E-3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>
        <v>0</v>
      </c>
    </row>
    <row r="46" spans="1:104" x14ac:dyDescent="0.25">
      <c r="A46" s="9" t="s">
        <v>178</v>
      </c>
      <c r="B46" s="9" t="s">
        <v>10</v>
      </c>
      <c r="C46" s="20"/>
      <c r="D46" s="9" t="s">
        <v>2</v>
      </c>
      <c r="E46" s="9" t="s">
        <v>186</v>
      </c>
      <c r="F46" s="9" t="str">
        <f>INDEX('Unique Asset List'!$C$4:$C$60,MATCH(B46,_CompoundList,0))</f>
        <v>PCD</v>
      </c>
      <c r="G46" s="19">
        <v>0</v>
      </c>
      <c r="H46" s="9">
        <v>2014</v>
      </c>
      <c r="I46" s="9">
        <v>6</v>
      </c>
      <c r="J46" s="18">
        <f>INDEX(PTRS!$D$6:$D$12,MATCH('2'!$F46,PTRS!$B$6:$B$12,0))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v>0.1044225</v>
      </c>
      <c r="N46" s="17">
        <f>INDEX('Unique Asset List'!$D$4:$M$60,MATCH($B46,'Unique Asset List'!$A$4:$A$60,0),MATCH(N$8,'Unique Asset List'!$D$3:$M$3,0))</f>
        <v>1</v>
      </c>
      <c r="O46" s="17">
        <f>INDEX('Unique Asset List'!$D$4:$M$60,MATCH($B46,'Unique Asset List'!$A$4:$A$60,0),MATCH(O$8,'Unique Asset List'!$D$3:$M$3,0))</f>
        <v>1</v>
      </c>
      <c r="P46" s="17">
        <f>INDEX('Unique Asset List'!$D$4:$M$60,MATCH($B46,'Unique Asset List'!$A$4:$A$60,0),MATCH(P$8,'Unique Asset List'!$D$3:$M$3,0))</f>
        <v>1</v>
      </c>
      <c r="Q46" s="17">
        <f>INDEX('Unique Asset List'!$D$4:$M$60,MATCH($B46,'Unique Asset List'!$A$4:$A$60,0),MATCH(Q$8,'Unique Asset List'!$D$3:$M$3,0))</f>
        <v>1</v>
      </c>
      <c r="R46" s="17">
        <f>INDEX('Unique Asset List'!$D$4:$M$60,MATCH($B46,'Unique Asset List'!$A$4:$A$60,0),MATCH(R$8,'Unique Asset List'!$D$3:$M$3,0))</f>
        <v>1</v>
      </c>
      <c r="S46" s="17">
        <f>INDEX('Unique Asset List'!$D$4:$M$60,MATCH($B46,'Unique Asset List'!$A$4:$A$60,0),MATCH(S$8,'Unique Asset List'!$D$3:$M$3,0))</f>
        <v>1</v>
      </c>
      <c r="T46" s="17"/>
      <c r="U46" s="17">
        <f t="shared" si="0"/>
        <v>0.90168566420734253</v>
      </c>
      <c r="V46" s="17">
        <v>1</v>
      </c>
      <c r="W46" s="9" t="s">
        <v>10</v>
      </c>
      <c r="X46" s="9">
        <f>INDEX('Unique Asset List'!$Y$4:$AE$60,MATCH('2'!$B46,'Unique Asset List'!$A$4:$A$60,0),MATCH('2'!$C$1,'Unique Asset List'!$Y$3:$AE$3,0))</f>
        <v>2034</v>
      </c>
      <c r="Y46" s="9">
        <f>INDEX('Unique Asset List'!$AF$4:$AL$60,MATCH('2'!$B46,'Unique Asset List'!$A$4:$A$60,0),MATCH('2'!$C$1,'Unique Asset List'!$AF$3:$AL$3,0))</f>
        <v>6</v>
      </c>
      <c r="Z46" s="9">
        <f>INDEX('Unique Asset List'!$AT$4:$AZ$60,MATCH('2'!$B46,'Unique Asset List'!$A$4:$A$60,0),MATCH('2'!$C$1,'Unique Asset List'!$AT$3:$AZ$3,0))</f>
        <v>2046</v>
      </c>
      <c r="AA46" s="9">
        <f>INDEX('Unique Asset List'!$BA$4:$BG$60,MATCH('2'!$B46,'Unique Asset List'!$A$4:$A$60,0),MATCH('2'!$C$1,'Unique Asset List'!$BA$3:$BG$3,0))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List'!$CJ$4:$CP$60,MATCH('2'!$B46,'Unique Asset List'!$A$4:$A$60,0),MATCH('2'!$C$1,'Unique Asset List'!$CJ$3:$CP$3,0))</f>
        <v>0.2</v>
      </c>
      <c r="AF46" s="15">
        <f>INDEX('Unique Asset List'!$CQ$4:$CW$60,MATCH('2'!$B46,'Unique Asset List'!$A$4:$A$60,0),MATCH('2'!$C$1,'Unique Asset List'!$CQ$3:$CW$3,0))</f>
        <v>0.3</v>
      </c>
      <c r="AG46" s="15">
        <f>INDEX('Unique Asset List'!$BV$4:$CB$60,MATCH('2'!$B46,'Unique Asset List'!$A$4:$A$60,0),MATCH('2'!$C$1,'Unique Asset List'!$BV$3:$CB$3,0))</f>
        <v>0.2</v>
      </c>
      <c r="AH46" s="15">
        <f>INDEX('Unique Asset List'!$CC$4:$CI$60,MATCH('2'!$B46,'Unique Asset List'!$A$4:$A$60,0),MATCH('2'!$C$1,'Unique Asset List'!$CC$3:$CI$3,0))</f>
        <v>0.3</v>
      </c>
      <c r="AI46" s="11">
        <v>0.96187963349867744</v>
      </c>
      <c r="AJ46" s="15">
        <f>INDEX('Unique Asset List'!$BH$4:$BN$60,MATCH('2'!$B46,'Unique Asset List'!$A$4:$A$60,0),MATCH('2'!$C$1,'Unique Asset List'!$BH$3:$BN$3,0))</f>
        <v>2.2612105538192599</v>
      </c>
      <c r="AK46" s="15">
        <f>INDEX('Unique Asset List'!$BO$4:$BU$60,MATCH('2'!$B46,'Unique Asset List'!$A$4:$A$60,0),MATCH('2'!$C$1,'Unique Asset List'!$BO$3:$BU$3,0))</f>
        <v>-1.7475682675103321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9"/>
        <v>0.82</v>
      </c>
      <c r="AS46" s="10">
        <v>1</v>
      </c>
      <c r="AT46" s="181">
        <f>INDEX('Unique Asset List'!N$4:N$60,MATCH($B46,_CompoundList,0))</f>
        <v>1</v>
      </c>
      <c r="AU46" s="181">
        <f>INDEX('Unique Asset List'!O$4:O$60,MATCH($B46,_CompoundList,0))</f>
        <v>1</v>
      </c>
      <c r="AV46" s="181">
        <f>INDEX('Unique Asset List'!P$4:P$60,MATCH($B46,_CompoundList,0))</f>
        <v>1</v>
      </c>
      <c r="AW46" s="181">
        <f>INDEX('Unique Asset List'!Q$4:Q$60,MATCH($B46,_CompoundList,0))</f>
        <v>1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1</v>
      </c>
      <c r="BB46" s="181">
        <f ca="1">INDEX('Unique Asset List'!V$4:V$60,MATCH($B46,_CompoundList,0))</f>
        <v>1</v>
      </c>
      <c r="BC46" s="181">
        <f ca="1">INDEX('Unique Asset List'!W$4:W$60,MATCH($B46,_CompoundList,0))</f>
        <v>1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IF($C$5="ON",CL46,MyRating(_S1,$B46,'S&amp;T'!$F$1))</f>
        <v>0</v>
      </c>
      <c r="BM46" s="3">
        <f>IF($C$5="ON",CM46,MyRating(_S2,$B46,'S&amp;T'!$F$1))</f>
        <v>0</v>
      </c>
      <c r="BN46" s="3">
        <f>IF($C$5="ON",CN46,MyRating(_S3,$B46,'S&amp;T'!$F$1))</f>
        <v>0</v>
      </c>
      <c r="BO46" s="3">
        <f>IF($C$5="ON",CO46,MyRating(_S4,$B46,'S&amp;T'!$F$1))</f>
        <v>0</v>
      </c>
      <c r="BP46" s="3">
        <f>IF($C$5="ON",CP46,MyRating(_S5,$B46,'S&amp;T'!$F$1))</f>
        <v>0</v>
      </c>
      <c r="BQ46" s="3">
        <f>IF($C$5="ON",CQ46,MyRating(_S6,$B46,'S&amp;T'!$F$1))</f>
        <v>0</v>
      </c>
      <c r="BR46" s="3">
        <f>IF($C$5="ON",CR46,MyRating(_S7,$B46,'S&amp;T'!$F$1))</f>
        <v>0</v>
      </c>
      <c r="BS46" s="3">
        <f>IF($C$5="ON",CS46,MyRating(_D1,$B46,Delivery!$F$1))</f>
        <v>0</v>
      </c>
      <c r="BT46" s="3">
        <f>IF($C$5="ON",CT46,MyRating(_D2,$B46,Delivery!$F$1))</f>
        <v>0</v>
      </c>
      <c r="BU46" s="3">
        <f>IF($C$5="ON",CU46,MyRating(_D3,$B46,Delivery!$F$1))</f>
        <v>0</v>
      </c>
      <c r="BV46" s="3">
        <f>IF($C$5="ON",CV46,MyRating(_D4,$B46,Delivery!$F$1))</f>
        <v>0</v>
      </c>
      <c r="BW46" s="3">
        <f>IF($C$5="ON",CW46,MyRating(_B1G5,$B46,Barrier!$L$2))</f>
        <v>2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8"/>
        <v>3.255254469149791E-2</v>
      </c>
      <c r="CA46" s="8">
        <f t="shared" si="10"/>
        <v>2.8000000000000003</v>
      </c>
      <c r="CB46" s="5">
        <f t="shared" si="11"/>
        <v>3.2258064516129052E-2</v>
      </c>
      <c r="CC46" s="7">
        <f t="shared" si="12"/>
        <v>5.7937194202185476E-3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>
        <v>0</v>
      </c>
    </row>
    <row r="47" spans="1:104" x14ac:dyDescent="0.25">
      <c r="A47" s="9" t="s">
        <v>178</v>
      </c>
      <c r="B47" s="9" t="s">
        <v>7</v>
      </c>
      <c r="C47" s="20"/>
      <c r="D47" s="9" t="s">
        <v>2</v>
      </c>
      <c r="E47" s="9" t="s">
        <v>186</v>
      </c>
      <c r="F47" s="9" t="str">
        <f>INDEX('Unique Asset List'!$C$4:$C$60,MATCH(B47,_CompoundList,0))</f>
        <v>PCD</v>
      </c>
      <c r="G47" s="19">
        <v>0</v>
      </c>
      <c r="H47" s="9">
        <v>2014</v>
      </c>
      <c r="I47" s="9">
        <v>6</v>
      </c>
      <c r="J47" s="18">
        <f>INDEX(PTRS!$D$6:$D$12,MATCH('2'!$F47,PTRS!$B$6:$B$12,0))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v>0.1044225</v>
      </c>
      <c r="N47" s="17">
        <f>INDEX('Unique Asset List'!$D$4:$M$60,MATCH($B47,'Unique Asset List'!$A$4:$A$60,0),MATCH(N$8,'Unique Asset List'!$D$3:$M$3,0))</f>
        <v>1</v>
      </c>
      <c r="O47" s="17">
        <f>INDEX('Unique Asset List'!$D$4:$M$60,MATCH($B47,'Unique Asset List'!$A$4:$A$60,0),MATCH(O$8,'Unique Asset List'!$D$3:$M$3,0))</f>
        <v>1</v>
      </c>
      <c r="P47" s="17">
        <f>INDEX('Unique Asset List'!$D$4:$M$60,MATCH($B47,'Unique Asset List'!$A$4:$A$60,0),MATCH(P$8,'Unique Asset List'!$D$3:$M$3,0))</f>
        <v>1</v>
      </c>
      <c r="Q47" s="17">
        <f>INDEX('Unique Asset List'!$D$4:$M$60,MATCH($B47,'Unique Asset List'!$A$4:$A$60,0),MATCH(Q$8,'Unique Asset List'!$D$3:$M$3,0))</f>
        <v>1</v>
      </c>
      <c r="R47" s="17">
        <f>INDEX('Unique Asset List'!$D$4:$M$60,MATCH($B47,'Unique Asset List'!$A$4:$A$60,0),MATCH(R$8,'Unique Asset List'!$D$3:$M$3,0))</f>
        <v>1</v>
      </c>
      <c r="S47" s="17">
        <f>INDEX('Unique Asset List'!$D$4:$M$60,MATCH($B47,'Unique Asset List'!$A$4:$A$60,0),MATCH(S$8,'Unique Asset List'!$D$3:$M$3,0))</f>
        <v>1</v>
      </c>
      <c r="T47" s="17"/>
      <c r="U47" s="17">
        <f t="shared" si="0"/>
        <v>0.90168566420734253</v>
      </c>
      <c r="V47" s="17">
        <v>1</v>
      </c>
      <c r="W47" s="9" t="s">
        <v>7</v>
      </c>
      <c r="X47" s="9">
        <f>INDEX('Unique Asset List'!$Y$4:$AE$60,MATCH('2'!$B47,'Unique Asset List'!$A$4:$A$60,0),MATCH('2'!$C$1,'Unique Asset List'!$Y$3:$AE$3,0))</f>
        <v>2038</v>
      </c>
      <c r="Y47" s="9">
        <f>INDEX('Unique Asset List'!$AF$4:$AL$60,MATCH('2'!$B47,'Unique Asset List'!$A$4:$A$60,0),MATCH('2'!$C$1,'Unique Asset List'!$AF$3:$AL$3,0))</f>
        <v>6</v>
      </c>
      <c r="Z47" s="9">
        <f>INDEX('Unique Asset List'!$AT$4:$AZ$60,MATCH('2'!$B47,'Unique Asset List'!$A$4:$A$60,0),MATCH('2'!$C$1,'Unique Asset List'!$AT$3:$AZ$3,0))</f>
        <v>2050</v>
      </c>
      <c r="AA47" s="9">
        <f>INDEX('Unique Asset List'!$BA$4:$BG$60,MATCH('2'!$B47,'Unique Asset List'!$A$4:$A$60,0),MATCH('2'!$C$1,'Unique Asset List'!$BA$3:$BG$3,0))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List'!$CJ$4:$CP$60,MATCH('2'!$B47,'Unique Asset List'!$A$4:$A$60,0),MATCH('2'!$C$1,'Unique Asset List'!$CJ$3:$CP$3,0))</f>
        <v>0.2</v>
      </c>
      <c r="AF47" s="15">
        <f>INDEX('Unique Asset List'!$CQ$4:$CW$60,MATCH('2'!$B47,'Unique Asset List'!$A$4:$A$60,0),MATCH('2'!$C$1,'Unique Asset List'!$CQ$3:$CW$3,0))</f>
        <v>0.3</v>
      </c>
      <c r="AG47" s="15">
        <f>INDEX('Unique Asset List'!$BV$4:$CB$60,MATCH('2'!$B47,'Unique Asset List'!$A$4:$A$60,0),MATCH('2'!$C$1,'Unique Asset List'!$BV$3:$CB$3,0))</f>
        <v>0.2</v>
      </c>
      <c r="AH47" s="15">
        <f>INDEX('Unique Asset List'!$CC$4:$CI$60,MATCH('2'!$B47,'Unique Asset List'!$A$4:$A$60,0),MATCH('2'!$C$1,'Unique Asset List'!$CC$3:$CI$3,0))</f>
        <v>0.3</v>
      </c>
      <c r="AI47" s="11">
        <v>0.96187963349867744</v>
      </c>
      <c r="AJ47" s="15">
        <f>INDEX('Unique Asset List'!$BH$4:$BN$60,MATCH('2'!$B47,'Unique Asset List'!$A$4:$A$60,0),MATCH('2'!$C$1,'Unique Asset List'!$BH$3:$BN$3,0))</f>
        <v>2.2612105538192599</v>
      </c>
      <c r="AK47" s="15">
        <f>INDEX('Unique Asset List'!$BO$4:$BU$60,MATCH('2'!$B47,'Unique Asset List'!$A$4:$A$60,0),MATCH('2'!$C$1,'Unique Asset List'!$BO$3:$BU$3,0))</f>
        <v>-1.7475682675103321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9"/>
        <v>0.82</v>
      </c>
      <c r="AS47" s="10">
        <v>1</v>
      </c>
      <c r="AT47" s="181">
        <f>INDEX('Unique Asset List'!N$4:N$60,MATCH($B47,_CompoundList,0))</f>
        <v>1</v>
      </c>
      <c r="AU47" s="181">
        <f>INDEX('Unique Asset List'!O$4:O$60,MATCH($B47,_CompoundList,0))</f>
        <v>1</v>
      </c>
      <c r="AV47" s="181">
        <f>INDEX('Unique Asset List'!P$4:P$60,MATCH($B47,_CompoundList,0))</f>
        <v>1</v>
      </c>
      <c r="AW47" s="181">
        <f>INDEX('Unique Asset List'!Q$4:Q$60,MATCH($B47,_CompoundList,0))</f>
        <v>1</v>
      </c>
      <c r="AX47" s="181">
        <f ca="1">INDEX('Unique Asset List'!R$4:R$60,MATCH($B47,_CompoundList,0))</f>
        <v>1</v>
      </c>
      <c r="AY47" s="181">
        <f ca="1">INDEX('Unique Asset List'!S$4:S$60,MATCH($B47,_CompoundList,0))</f>
        <v>1</v>
      </c>
      <c r="AZ47" s="181">
        <f ca="1">INDEX('Unique Asset List'!T$4:T$60,MATCH($B47,_CompoundList,0))</f>
        <v>1</v>
      </c>
      <c r="BA47" s="181">
        <f ca="1">INDEX('Unique Asset List'!U$4:U$60,MATCH($B47,_CompoundList,0))</f>
        <v>1</v>
      </c>
      <c r="BB47" s="181">
        <f ca="1">INDEX('Unique Asset List'!V$4:V$60,MATCH($B47,_CompoundList,0))</f>
        <v>1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IF($C$5="ON",CL47,MyRating(_S1,$B47,'S&amp;T'!$F$1))</f>
        <v>0</v>
      </c>
      <c r="BM47" s="3">
        <f>IF($C$5="ON",CM47,MyRating(_S2,$B47,'S&amp;T'!$F$1))</f>
        <v>0</v>
      </c>
      <c r="BN47" s="3">
        <f>IF($C$5="ON",CN47,MyRating(_S3,$B47,'S&amp;T'!$F$1))</f>
        <v>0</v>
      </c>
      <c r="BO47" s="3">
        <f>IF($C$5="ON",CO47,MyRating(_S4,$B47,'S&amp;T'!$F$1))</f>
        <v>0</v>
      </c>
      <c r="BP47" s="3">
        <f>IF($C$5="ON",CP47,MyRating(_S5,$B47,'S&amp;T'!$F$1))</f>
        <v>0</v>
      </c>
      <c r="BQ47" s="3">
        <f>IF($C$5="ON",CQ47,MyRating(_S6,$B47,'S&amp;T'!$F$1))</f>
        <v>0</v>
      </c>
      <c r="BR47" s="3">
        <f>IF($C$5="ON",CR47,MyRating(_S7,$B47,'S&amp;T'!$F$1))</f>
        <v>0</v>
      </c>
      <c r="BS47" s="3">
        <f>IF($C$5="ON",CS47,MyRating(_D1,$B47,Delivery!$F$1))</f>
        <v>0</v>
      </c>
      <c r="BT47" s="3">
        <f>IF($C$5="ON",CT47,MyRating(_D2,$B47,Delivery!$F$1))</f>
        <v>0</v>
      </c>
      <c r="BU47" s="3">
        <f>IF($C$5="ON",CU47,MyRating(_D3,$B47,Delivery!$F$1))</f>
        <v>0</v>
      </c>
      <c r="BV47" s="3">
        <f>IF($C$5="ON",CV47,MyRating(_D4,$B47,Delivery!$F$1))</f>
        <v>0</v>
      </c>
      <c r="BW47" s="3">
        <f>IF($C$5="ON",CW47,MyRating(_B1G5,$B47,Barrier!$L$2))</f>
        <v>2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8"/>
        <v>3.255254469149791E-2</v>
      </c>
      <c r="CA47" s="8">
        <f t="shared" si="10"/>
        <v>2.8000000000000003</v>
      </c>
      <c r="CB47" s="5">
        <f t="shared" si="11"/>
        <v>3.2258064516129052E-2</v>
      </c>
      <c r="CC47" s="7">
        <f t="shared" si="12"/>
        <v>5.7937194202185476E-3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>
        <v>0</v>
      </c>
    </row>
    <row r="48" spans="1:104" x14ac:dyDescent="0.25">
      <c r="A48" s="9" t="s">
        <v>178</v>
      </c>
      <c r="B48" s="9" t="s">
        <v>15</v>
      </c>
      <c r="C48" s="20"/>
      <c r="D48" s="9" t="s">
        <v>14</v>
      </c>
      <c r="E48" s="9" t="s">
        <v>186</v>
      </c>
      <c r="F48" s="9" t="str">
        <f>INDEX('Unique Asset List'!$C$4:$C$60,MATCH(B48,_CompoundList,0))</f>
        <v>PCD</v>
      </c>
      <c r="G48" s="19">
        <v>0</v>
      </c>
      <c r="H48" s="9">
        <v>2014</v>
      </c>
      <c r="I48" s="9">
        <v>6</v>
      </c>
      <c r="J48" s="18">
        <f>INDEX(PTRS!$D$6:$D$12,MATCH('2'!$F48,PTRS!$B$6:$B$12,0))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v>0.1044225</v>
      </c>
      <c r="N48" s="17">
        <f>INDEX('Unique Asset List'!$D$4:$M$60,MATCH($B48,'Unique Asset List'!$A$4:$A$60,0),MATCH(N$8,'Unique Asset List'!$D$3:$M$3,0))</f>
        <v>1</v>
      </c>
      <c r="O48" s="17">
        <f>INDEX('Unique Asset List'!$D$4:$M$60,MATCH($B48,'Unique Asset List'!$A$4:$A$60,0),MATCH(O$8,'Unique Asset List'!$D$3:$M$3,0))</f>
        <v>1</v>
      </c>
      <c r="P48" s="17">
        <f>INDEX('Unique Asset List'!$D$4:$M$60,MATCH($B48,'Unique Asset List'!$A$4:$A$60,0),MATCH(P$8,'Unique Asset List'!$D$3:$M$3,0))</f>
        <v>1</v>
      </c>
      <c r="Q48" s="17">
        <f>INDEX('Unique Asset List'!$D$4:$M$60,MATCH($B48,'Unique Asset List'!$A$4:$A$60,0),MATCH(Q$8,'Unique Asset List'!$D$3:$M$3,0))</f>
        <v>1</v>
      </c>
      <c r="R48" s="17">
        <f>INDEX('Unique Asset List'!$D$4:$M$60,MATCH($B48,'Unique Asset List'!$A$4:$A$60,0),MATCH(R$8,'Unique Asset List'!$D$3:$M$3,0))</f>
        <v>1</v>
      </c>
      <c r="S48" s="17">
        <f>INDEX('Unique Asset List'!$D$4:$M$60,MATCH($B48,'Unique Asset List'!$A$4:$A$60,0),MATCH(S$8,'Unique Asset List'!$D$3:$M$3,0))</f>
        <v>1</v>
      </c>
      <c r="T48" s="17" t="s">
        <v>13</v>
      </c>
      <c r="U48" s="17">
        <f t="shared" si="0"/>
        <v>0.90168566420734253</v>
      </c>
      <c r="V48" s="17">
        <v>1</v>
      </c>
      <c r="W48" s="9" t="s">
        <v>13</v>
      </c>
      <c r="X48" s="9">
        <f>INDEX('Unique Asset List'!$Y$4:$AE$60,MATCH('2'!$B48,'Unique Asset List'!$A$4:$A$60,0),MATCH('2'!$C$1,'Unique Asset List'!$Y$3:$AE$3,0))</f>
        <v>2032</v>
      </c>
      <c r="Y48" s="9">
        <f>INDEX('Unique Asset List'!$AF$4:$AL$60,MATCH('2'!$B48,'Unique Asset List'!$A$4:$A$60,0),MATCH('2'!$C$1,'Unique Asset List'!$AF$3:$AL$3,0))</f>
        <v>6</v>
      </c>
      <c r="Z48" s="9">
        <f>INDEX('Unique Asset List'!$AT$4:$AZ$60,MATCH('2'!$B48,'Unique Asset List'!$A$4:$A$60,0),MATCH('2'!$C$1,'Unique Asset List'!$AT$3:$AZ$3,0))</f>
        <v>2044</v>
      </c>
      <c r="AA48" s="9">
        <f>INDEX('Unique Asset List'!$BA$4:$BG$60,MATCH('2'!$B48,'Unique Asset List'!$A$4:$A$60,0),MATCH('2'!$C$1,'Unique Asset List'!$BA$3:$BG$3,0))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List'!$CJ$4:$CP$60,MATCH('2'!$B48,'Unique Asset List'!$A$4:$A$60,0),MATCH('2'!$C$1,'Unique Asset List'!$CJ$3:$CP$3,0))</f>
        <v>0.2</v>
      </c>
      <c r="AF48" s="15">
        <f>INDEX('Unique Asset List'!$CQ$4:$CW$60,MATCH('2'!$B48,'Unique Asset List'!$A$4:$A$60,0),MATCH('2'!$C$1,'Unique Asset List'!$CQ$3:$CW$3,0))</f>
        <v>0.3</v>
      </c>
      <c r="AG48" s="15">
        <f>INDEX('Unique Asset List'!$BV$4:$CB$60,MATCH('2'!$B48,'Unique Asset List'!$A$4:$A$60,0),MATCH('2'!$C$1,'Unique Asset List'!$BV$3:$CB$3,0))</f>
        <v>0.2</v>
      </c>
      <c r="AH48" s="15">
        <f>INDEX('Unique Asset List'!$CC$4:$CI$60,MATCH('2'!$B48,'Unique Asset List'!$A$4:$A$60,0),MATCH('2'!$C$1,'Unique Asset List'!$CC$3:$CI$3,0))</f>
        <v>0.3</v>
      </c>
      <c r="AI48" s="11">
        <v>0.96187963349867744</v>
      </c>
      <c r="AJ48" s="15">
        <f>INDEX('Unique Asset List'!$BH$4:$BN$60,MATCH('2'!$B48,'Unique Asset List'!$A$4:$A$60,0),MATCH('2'!$C$1,'Unique Asset List'!$BH$3:$BN$3,0))</f>
        <v>2.2612105538192599</v>
      </c>
      <c r="AK48" s="15">
        <f>INDEX('Unique Asset List'!$BO$4:$BU$60,MATCH('2'!$B48,'Unique Asset List'!$A$4:$A$60,0),MATCH('2'!$C$1,'Unique Asset List'!$BO$3:$BU$3,0))</f>
        <v>-1.7475682675103321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9"/>
        <v>0.82</v>
      </c>
      <c r="AS48" s="10">
        <v>1</v>
      </c>
      <c r="AT48" s="181">
        <f>INDEX('Unique Asset List'!N$4:N$60,MATCH($B48,_CompoundList,0))</f>
        <v>1</v>
      </c>
      <c r="AU48" s="181">
        <f>INDEX('Unique Asset List'!O$4:O$60,MATCH($B48,_CompoundList,0))</f>
        <v>1</v>
      </c>
      <c r="AV48" s="181">
        <f>INDEX('Unique Asset List'!P$4:P$60,MATCH($B48,_CompoundList,0))</f>
        <v>1</v>
      </c>
      <c r="AW48" s="181">
        <f>INDEX('Unique Asset List'!Q$4:Q$60,MATCH($B48,_CompoundList,0))</f>
        <v>1</v>
      </c>
      <c r="AX48" s="181">
        <f ca="1">INDEX('Unique Asset List'!R$4:R$60,MATCH($B48,_CompoundList,0))</f>
        <v>1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1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1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IF($C$5="ON",CL48,MyRating(_S1,$B48,'S&amp;T'!$F$1))</f>
        <v>0</v>
      </c>
      <c r="BM48" s="3">
        <f>IF($C$5="ON",CM48,MyRating(_S2,$B48,'S&amp;T'!$F$1))</f>
        <v>0</v>
      </c>
      <c r="BN48" s="3">
        <f>IF($C$5="ON",CN48,MyRating(_S3,$B48,'S&amp;T'!$F$1))</f>
        <v>0</v>
      </c>
      <c r="BO48" s="3">
        <f>IF($C$5="ON",CO48,MyRating(_S4,$B48,'S&amp;T'!$F$1))</f>
        <v>0</v>
      </c>
      <c r="BP48" s="3">
        <f>IF($C$5="ON",CP48,MyRating(_S5,$B48,'S&amp;T'!$F$1))</f>
        <v>0</v>
      </c>
      <c r="BQ48" s="3">
        <f>IF($C$5="ON",CQ48,MyRating(_S6,$B48,'S&amp;T'!$F$1))</f>
        <v>0</v>
      </c>
      <c r="BR48" s="3">
        <f>IF($C$5="ON",CR48,MyRating(_S7,$B48,'S&amp;T'!$F$1))</f>
        <v>0</v>
      </c>
      <c r="BS48" s="3">
        <f>IF($C$5="ON",CS48,MyRating(_D1,$B48,Delivery!$F$1))</f>
        <v>0</v>
      </c>
      <c r="BT48" s="3">
        <f>IF($C$5="ON",CT48,MyRating(_D2,$B48,Delivery!$F$1))</f>
        <v>0</v>
      </c>
      <c r="BU48" s="3">
        <f>IF($C$5="ON",CU48,MyRating(_D3,$B48,Delivery!$F$1))</f>
        <v>0</v>
      </c>
      <c r="BV48" s="3">
        <f>IF($C$5="ON",CV48,MyRating(_D4,$B48,Delivery!$F$1))</f>
        <v>0</v>
      </c>
      <c r="BW48" s="3">
        <f>IF($C$5="ON",CW48,MyRating(_B1G5,$B48,Barrier!$L$2))</f>
        <v>2</v>
      </c>
      <c r="BX48" s="3">
        <f>IF($C$5="ON",CX48,MyRating(_B2,$B48,Barrier!$F$2))</f>
        <v>3</v>
      </c>
      <c r="BY48" s="6">
        <f>IF($C$5="ON",CY48,MyRating(_B3,$B48,Barrier!$F$2))</f>
        <v>3</v>
      </c>
      <c r="BZ48" s="5">
        <f t="shared" si="8"/>
        <v>3.255254469149791E-2</v>
      </c>
      <c r="CA48" s="8">
        <f t="shared" si="10"/>
        <v>2.8000000000000003</v>
      </c>
      <c r="CB48" s="5">
        <f t="shared" si="11"/>
        <v>3.2258064516129052E-2</v>
      </c>
      <c r="CC48" s="7">
        <f t="shared" si="12"/>
        <v>5.7937194202185476E-3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>
        <v>0</v>
      </c>
    </row>
    <row r="49" spans="1:104" x14ac:dyDescent="0.25">
      <c r="A49" s="9" t="s">
        <v>178</v>
      </c>
      <c r="B49" s="9" t="s">
        <v>12</v>
      </c>
      <c r="C49" s="20"/>
      <c r="D49" s="9" t="s">
        <v>11</v>
      </c>
      <c r="E49" s="9" t="s">
        <v>186</v>
      </c>
      <c r="F49" s="9" t="str">
        <f>INDEX('Unique Asset List'!$C$4:$C$60,MATCH(B49,_CompoundList,0))</f>
        <v>PCD</v>
      </c>
      <c r="G49" s="19">
        <v>0</v>
      </c>
      <c r="H49" s="9">
        <v>2014</v>
      </c>
      <c r="I49" s="9">
        <v>6</v>
      </c>
      <c r="J49" s="18">
        <f>INDEX(PTRS!$D$6:$D$12,MATCH('2'!$F49,PTRS!$B$6:$B$12,0))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v>0.1044225</v>
      </c>
      <c r="N49" s="17">
        <f>INDEX('Unique Asset List'!$D$4:$M$60,MATCH($B49,'Unique Asset List'!$A$4:$A$60,0),MATCH(N$8,'Unique Asset List'!$D$3:$M$3,0))</f>
        <v>1</v>
      </c>
      <c r="O49" s="17">
        <f>INDEX('Unique Asset List'!$D$4:$M$60,MATCH($B49,'Unique Asset List'!$A$4:$A$60,0),MATCH(O$8,'Unique Asset List'!$D$3:$M$3,0))</f>
        <v>1</v>
      </c>
      <c r="P49" s="17">
        <f>INDEX('Unique Asset List'!$D$4:$M$60,MATCH($B49,'Unique Asset List'!$A$4:$A$60,0),MATCH(P$8,'Unique Asset List'!$D$3:$M$3,0))</f>
        <v>1</v>
      </c>
      <c r="Q49" s="17">
        <f>INDEX('Unique Asset List'!$D$4:$M$60,MATCH($B49,'Unique Asset List'!$A$4:$A$60,0),MATCH(Q$8,'Unique Asset List'!$D$3:$M$3,0))</f>
        <v>1</v>
      </c>
      <c r="R49" s="17">
        <f>INDEX('Unique Asset List'!$D$4:$M$60,MATCH($B49,'Unique Asset List'!$A$4:$A$60,0),MATCH(R$8,'Unique Asset List'!$D$3:$M$3,0))</f>
        <v>1</v>
      </c>
      <c r="S49" s="17">
        <f>INDEX('Unique Asset List'!$D$4:$M$60,MATCH($B49,'Unique Asset List'!$A$4:$A$60,0),MATCH(S$8,'Unique Asset List'!$D$3:$M$3,0))</f>
        <v>1</v>
      </c>
      <c r="T49" s="17" t="s">
        <v>10</v>
      </c>
      <c r="U49" s="17">
        <f t="shared" si="0"/>
        <v>0.90168566420734253</v>
      </c>
      <c r="V49" s="17">
        <v>1</v>
      </c>
      <c r="W49" s="9" t="s">
        <v>10</v>
      </c>
      <c r="X49" s="9">
        <f>INDEX('Unique Asset List'!$Y$4:$AE$60,MATCH('2'!$B49,'Unique Asset List'!$A$4:$A$60,0),MATCH('2'!$C$1,'Unique Asset List'!$Y$3:$AE$3,0))</f>
        <v>2036</v>
      </c>
      <c r="Y49" s="9">
        <f>INDEX('Unique Asset List'!$AF$4:$AL$60,MATCH('2'!$B49,'Unique Asset List'!$A$4:$A$60,0),MATCH('2'!$C$1,'Unique Asset List'!$AF$3:$AL$3,0))</f>
        <v>6</v>
      </c>
      <c r="Z49" s="9">
        <f>INDEX('Unique Asset List'!$AT$4:$AZ$60,MATCH('2'!$B49,'Unique Asset List'!$A$4:$A$60,0),MATCH('2'!$C$1,'Unique Asset List'!$AT$3:$AZ$3,0))</f>
        <v>2048</v>
      </c>
      <c r="AA49" s="9">
        <f>INDEX('Unique Asset List'!$BA$4:$BG$60,MATCH('2'!$B49,'Unique Asset List'!$A$4:$A$60,0),MATCH('2'!$C$1,'Unique Asset List'!$BA$3:$BG$3,0))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List'!$CJ$4:$CP$60,MATCH('2'!$B49,'Unique Asset List'!$A$4:$A$60,0),MATCH('2'!$C$1,'Unique Asset List'!$CJ$3:$CP$3,0))</f>
        <v>0.2</v>
      </c>
      <c r="AF49" s="15">
        <f>INDEX('Unique Asset List'!$CQ$4:$CW$60,MATCH('2'!$B49,'Unique Asset List'!$A$4:$A$60,0),MATCH('2'!$C$1,'Unique Asset List'!$CQ$3:$CW$3,0))</f>
        <v>0.3</v>
      </c>
      <c r="AG49" s="15">
        <f>INDEX('Unique Asset List'!$BV$4:$CB$60,MATCH('2'!$B49,'Unique Asset List'!$A$4:$A$60,0),MATCH('2'!$C$1,'Unique Asset List'!$BV$3:$CB$3,0))</f>
        <v>0.2</v>
      </c>
      <c r="AH49" s="15">
        <f>INDEX('Unique Asset List'!$CC$4:$CI$60,MATCH('2'!$B49,'Unique Asset List'!$A$4:$A$60,0),MATCH('2'!$C$1,'Unique Asset List'!$CC$3:$CI$3,0))</f>
        <v>0.3</v>
      </c>
      <c r="AI49" s="11">
        <v>0.96187963349867744</v>
      </c>
      <c r="AJ49" s="15">
        <f>INDEX('Unique Asset List'!$BH$4:$BN$60,MATCH('2'!$B49,'Unique Asset List'!$A$4:$A$60,0),MATCH('2'!$C$1,'Unique Asset List'!$BH$3:$BN$3,0))</f>
        <v>2.2612105538192599</v>
      </c>
      <c r="AK49" s="15">
        <f>INDEX('Unique Asset List'!$BO$4:$BU$60,MATCH('2'!$B49,'Unique Asset List'!$A$4:$A$60,0),MATCH('2'!$C$1,'Unique Asset List'!$BO$3:$BU$3,0))</f>
        <v>-1.7475682675103321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9"/>
        <v>0.82</v>
      </c>
      <c r="AS49" s="10">
        <v>1</v>
      </c>
      <c r="AT49" s="181">
        <f>INDEX('Unique Asset List'!N$4:N$60,MATCH($B49,_CompoundList,0))</f>
        <v>1</v>
      </c>
      <c r="AU49" s="181">
        <f>INDEX('Unique Asset List'!O$4:O$60,MATCH($B49,_CompoundList,0))</f>
        <v>1</v>
      </c>
      <c r="AV49" s="181">
        <f>INDEX('Unique Asset List'!P$4:P$60,MATCH($B49,_CompoundList,0))</f>
        <v>1</v>
      </c>
      <c r="AW49" s="181">
        <f>INDEX('Unique Asset List'!Q$4:Q$60,MATCH($B49,_CompoundList,0))</f>
        <v>1</v>
      </c>
      <c r="AX49" s="181">
        <f ca="1">INDEX('Unique Asset List'!R$4:R$60,MATCH($B49,_CompoundList,0))</f>
        <v>1</v>
      </c>
      <c r="AY49" s="181">
        <f ca="1">INDEX('Unique Asset List'!S$4:S$60,MATCH($B49,_CompoundList,0))</f>
        <v>1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1</v>
      </c>
      <c r="BB49" s="181">
        <f ca="1">INDEX('Unique Asset List'!V$4:V$60,MATCH($B49,_CompoundList,0))</f>
        <v>1</v>
      </c>
      <c r="BC49" s="181">
        <f ca="1">INDEX('Unique Asset List'!W$4:W$60,MATCH($B49,_CompoundList,0))</f>
        <v>1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IF($C$5="ON",CL49,MyRating(_S1,$B49,'S&amp;T'!$F$1))</f>
        <v>0</v>
      </c>
      <c r="BM49" s="3">
        <f>IF($C$5="ON",CM49,MyRating(_S2,$B49,'S&amp;T'!$F$1))</f>
        <v>0</v>
      </c>
      <c r="BN49" s="3">
        <f>IF($C$5="ON",CN49,MyRating(_S3,$B49,'S&amp;T'!$F$1))</f>
        <v>0</v>
      </c>
      <c r="BO49" s="3">
        <f>IF($C$5="ON",CO49,MyRating(_S4,$B49,'S&amp;T'!$F$1))</f>
        <v>0</v>
      </c>
      <c r="BP49" s="3">
        <f>IF($C$5="ON",CP49,MyRating(_S5,$B49,'S&amp;T'!$F$1))</f>
        <v>0</v>
      </c>
      <c r="BQ49" s="3">
        <f>IF($C$5="ON",CQ49,MyRating(_S6,$B49,'S&amp;T'!$F$1))</f>
        <v>0</v>
      </c>
      <c r="BR49" s="3">
        <f>IF($C$5="ON",CR49,MyRating(_S7,$B49,'S&amp;T'!$F$1))</f>
        <v>0</v>
      </c>
      <c r="BS49" s="3">
        <f>IF($C$5="ON",CS49,MyRating(_D1,$B49,Delivery!$F$1))</f>
        <v>0</v>
      </c>
      <c r="BT49" s="3">
        <f>IF($C$5="ON",CT49,MyRating(_D2,$B49,Delivery!$F$1))</f>
        <v>0</v>
      </c>
      <c r="BU49" s="3">
        <f>IF($C$5="ON",CU49,MyRating(_D3,$B49,Delivery!$F$1))</f>
        <v>0</v>
      </c>
      <c r="BV49" s="3">
        <f>IF($C$5="ON",CV49,MyRating(_D4,$B49,Delivery!$F$1))</f>
        <v>0</v>
      </c>
      <c r="BW49" s="3">
        <f>IF($C$5="ON",CW49,MyRating(_B1G5,$B49,Barrier!$L$2))</f>
        <v>2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8"/>
        <v>3.255254469149791E-2</v>
      </c>
      <c r="CA49" s="8">
        <f t="shared" si="10"/>
        <v>2.8000000000000003</v>
      </c>
      <c r="CB49" s="5">
        <f t="shared" si="11"/>
        <v>3.2258064516129052E-2</v>
      </c>
      <c r="CC49" s="7">
        <f t="shared" si="12"/>
        <v>5.7937194202185476E-3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>
        <v>0</v>
      </c>
    </row>
    <row r="50" spans="1:104" x14ac:dyDescent="0.25">
      <c r="A50" s="9" t="s">
        <v>178</v>
      </c>
      <c r="B50" s="9" t="s">
        <v>9</v>
      </c>
      <c r="C50" s="20"/>
      <c r="D50" s="9" t="s">
        <v>8</v>
      </c>
      <c r="E50" s="9" t="s">
        <v>186</v>
      </c>
      <c r="F50" s="9" t="str">
        <f>INDEX('Unique Asset List'!$C$4:$C$60,MATCH(B50,_CompoundList,0))</f>
        <v>PCD</v>
      </c>
      <c r="G50" s="19">
        <v>0</v>
      </c>
      <c r="H50" s="9">
        <v>2014</v>
      </c>
      <c r="I50" s="9">
        <v>6</v>
      </c>
      <c r="J50" s="18">
        <f>INDEX(PTRS!$D$6:$D$12,MATCH('2'!$F50,PTRS!$B$6:$B$12,0))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v>0.1044225</v>
      </c>
      <c r="N50" s="17">
        <f>INDEX('Unique Asset List'!$D$4:$M$60,MATCH($B50,'Unique Asset List'!$A$4:$A$60,0),MATCH(N$8,'Unique Asset List'!$D$3:$M$3,0))</f>
        <v>1</v>
      </c>
      <c r="O50" s="17">
        <f>INDEX('Unique Asset List'!$D$4:$M$60,MATCH($B50,'Unique Asset List'!$A$4:$A$60,0),MATCH(O$8,'Unique Asset List'!$D$3:$M$3,0))</f>
        <v>1</v>
      </c>
      <c r="P50" s="17">
        <f>INDEX('Unique Asset List'!$D$4:$M$60,MATCH($B50,'Unique Asset List'!$A$4:$A$60,0),MATCH(P$8,'Unique Asset List'!$D$3:$M$3,0))</f>
        <v>1</v>
      </c>
      <c r="Q50" s="17">
        <f>INDEX('Unique Asset List'!$D$4:$M$60,MATCH($B50,'Unique Asset List'!$A$4:$A$60,0),MATCH(Q$8,'Unique Asset List'!$D$3:$M$3,0))</f>
        <v>1</v>
      </c>
      <c r="R50" s="17">
        <f>INDEX('Unique Asset List'!$D$4:$M$60,MATCH($B50,'Unique Asset List'!$A$4:$A$60,0),MATCH(R$8,'Unique Asset List'!$D$3:$M$3,0))</f>
        <v>1</v>
      </c>
      <c r="S50" s="17">
        <f>INDEX('Unique Asset List'!$D$4:$M$60,MATCH($B50,'Unique Asset List'!$A$4:$A$60,0),MATCH(S$8,'Unique Asset List'!$D$3:$M$3,0))</f>
        <v>1</v>
      </c>
      <c r="T50" s="17" t="s">
        <v>7</v>
      </c>
      <c r="U50" s="17">
        <f t="shared" si="0"/>
        <v>0.90168566420734253</v>
      </c>
      <c r="V50" s="17">
        <v>1</v>
      </c>
      <c r="W50" s="9" t="s">
        <v>7</v>
      </c>
      <c r="X50" s="9">
        <f>INDEX('Unique Asset List'!$Y$4:$AE$60,MATCH('2'!$B50,'Unique Asset List'!$A$4:$A$60,0),MATCH('2'!$C$1,'Unique Asset List'!$Y$3:$AE$3,0))</f>
        <v>2041</v>
      </c>
      <c r="Y50" s="9">
        <f>INDEX('Unique Asset List'!$AF$4:$AL$60,MATCH('2'!$B50,'Unique Asset List'!$A$4:$A$60,0),MATCH('2'!$C$1,'Unique Asset List'!$AF$3:$AL$3,0))</f>
        <v>6</v>
      </c>
      <c r="Z50" s="9">
        <f>INDEX('Unique Asset List'!$AT$4:$AZ$60,MATCH('2'!$B50,'Unique Asset List'!$A$4:$A$60,0),MATCH('2'!$C$1,'Unique Asset List'!$AT$3:$AZ$3,0))</f>
        <v>2053</v>
      </c>
      <c r="AA50" s="9">
        <f>INDEX('Unique Asset List'!$BA$4:$BG$60,MATCH('2'!$B50,'Unique Asset List'!$A$4:$A$60,0),MATCH('2'!$C$1,'Unique Asset List'!$BA$3:$BG$3,0))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List'!$CJ$4:$CP$60,MATCH('2'!$B50,'Unique Asset List'!$A$4:$A$60,0),MATCH('2'!$C$1,'Unique Asset List'!$CJ$3:$CP$3,0))</f>
        <v>0.2</v>
      </c>
      <c r="AF50" s="15">
        <f>INDEX('Unique Asset List'!$CQ$4:$CW$60,MATCH('2'!$B50,'Unique Asset List'!$A$4:$A$60,0),MATCH('2'!$C$1,'Unique Asset List'!$CQ$3:$CW$3,0))</f>
        <v>0.3</v>
      </c>
      <c r="AG50" s="15">
        <f>INDEX('Unique Asset List'!$BV$4:$CB$60,MATCH('2'!$B50,'Unique Asset List'!$A$4:$A$60,0),MATCH('2'!$C$1,'Unique Asset List'!$BV$3:$CB$3,0))</f>
        <v>0.2</v>
      </c>
      <c r="AH50" s="15">
        <f>INDEX('Unique Asset List'!$CC$4:$CI$60,MATCH('2'!$B50,'Unique Asset List'!$A$4:$A$60,0),MATCH('2'!$C$1,'Unique Asset List'!$CC$3:$CI$3,0))</f>
        <v>0.3</v>
      </c>
      <c r="AI50" s="11">
        <v>0.96187963349867744</v>
      </c>
      <c r="AJ50" s="15">
        <f>INDEX('Unique Asset List'!$BH$4:$BN$60,MATCH('2'!$B50,'Unique Asset List'!$A$4:$A$60,0),MATCH('2'!$C$1,'Unique Asset List'!$BH$3:$BN$3,0))</f>
        <v>2.2612105538192599</v>
      </c>
      <c r="AK50" s="15">
        <f>INDEX('Unique Asset List'!$BO$4:$BU$60,MATCH('2'!$B50,'Unique Asset List'!$A$4:$A$60,0),MATCH('2'!$C$1,'Unique Asset List'!$BO$3:$BU$3,0))</f>
        <v>-1.7475682675103321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9"/>
        <v>0.82</v>
      </c>
      <c r="AS50" s="10">
        <v>1</v>
      </c>
      <c r="AT50" s="181">
        <f>INDEX('Unique Asset List'!N$4:N$60,MATCH($B50,_CompoundList,0))</f>
        <v>1</v>
      </c>
      <c r="AU50" s="181">
        <f>INDEX('Unique Asset List'!O$4:O$60,MATCH($B50,_CompoundList,0))</f>
        <v>1</v>
      </c>
      <c r="AV50" s="181">
        <f>INDEX('Unique Asset List'!P$4:P$60,MATCH($B50,_CompoundList,0))</f>
        <v>1</v>
      </c>
      <c r="AW50" s="181">
        <f>INDEX('Unique Asset List'!Q$4:Q$60,MATCH($B50,_CompoundList,0))</f>
        <v>1</v>
      </c>
      <c r="AX50" s="181">
        <f ca="1">INDEX('Unique Asset List'!R$4:R$60,MATCH($B50,_CompoundList,0))</f>
        <v>1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1</v>
      </c>
      <c r="BA50" s="181">
        <f ca="1">INDEX('Unique Asset List'!U$4:U$60,MATCH($B50,_CompoundList,0))</f>
        <v>1</v>
      </c>
      <c r="BB50" s="181">
        <f ca="1">INDEX('Unique Asset List'!V$4:V$60,MATCH($B50,_CompoundList,0))</f>
        <v>1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IF($C$5="ON",CL50,MyRating(_S1,$B50,'S&amp;T'!$F$1))</f>
        <v>0</v>
      </c>
      <c r="BM50" s="3">
        <f>IF($C$5="ON",CM50,MyRating(_S2,$B50,'S&amp;T'!$F$1))</f>
        <v>0</v>
      </c>
      <c r="BN50" s="3">
        <f>IF($C$5="ON",CN50,MyRating(_S3,$B50,'S&amp;T'!$F$1))</f>
        <v>0</v>
      </c>
      <c r="BO50" s="3">
        <f>IF($C$5="ON",CO50,MyRating(_S4,$B50,'S&amp;T'!$F$1))</f>
        <v>0</v>
      </c>
      <c r="BP50" s="3">
        <f>IF($C$5="ON",CP50,MyRating(_S5,$B50,'S&amp;T'!$F$1))</f>
        <v>0</v>
      </c>
      <c r="BQ50" s="3">
        <f>IF($C$5="ON",CQ50,MyRating(_S6,$B50,'S&amp;T'!$F$1))</f>
        <v>0</v>
      </c>
      <c r="BR50" s="3">
        <f>IF($C$5="ON",CR50,MyRating(_S7,$B50,'S&amp;T'!$F$1))</f>
        <v>0</v>
      </c>
      <c r="BS50" s="3">
        <f>IF($C$5="ON",CS50,MyRating(_D1,$B50,Delivery!$F$1))</f>
        <v>0</v>
      </c>
      <c r="BT50" s="3">
        <f>IF($C$5="ON",CT50,MyRating(_D2,$B50,Delivery!$F$1))</f>
        <v>0</v>
      </c>
      <c r="BU50" s="3">
        <f>IF($C$5="ON",CU50,MyRating(_D3,$B50,Delivery!$F$1))</f>
        <v>0</v>
      </c>
      <c r="BV50" s="3">
        <f>IF($C$5="ON",CV50,MyRating(_D4,$B50,Delivery!$F$1))</f>
        <v>0</v>
      </c>
      <c r="BW50" s="3">
        <f>IF($C$5="ON",CW50,MyRating(_B1G5,$B50,Barrier!$L$2))</f>
        <v>2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8"/>
        <v>3.255254469149791E-2</v>
      </c>
      <c r="CA50" s="8">
        <f t="shared" si="10"/>
        <v>2.8000000000000003</v>
      </c>
      <c r="CB50" s="5">
        <f t="shared" si="11"/>
        <v>3.2258064516129052E-2</v>
      </c>
      <c r="CC50" s="7">
        <f t="shared" si="12"/>
        <v>5.7937194202185476E-3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>
        <v>0</v>
      </c>
    </row>
    <row r="51" spans="1:104" x14ac:dyDescent="0.25">
      <c r="A51" s="9" t="s">
        <v>178</v>
      </c>
      <c r="B51" s="9" t="s">
        <v>4</v>
      </c>
      <c r="C51" s="20" t="s">
        <v>3</v>
      </c>
      <c r="D51" s="9" t="s">
        <v>2</v>
      </c>
      <c r="E51" s="9" t="s">
        <v>186</v>
      </c>
      <c r="F51" s="9" t="str">
        <f>INDEX('Unique Asset List'!$C$4:$C$60,MATCH(B51,_CompoundList,0))</f>
        <v>PCD</v>
      </c>
      <c r="G51" s="19">
        <v>0</v>
      </c>
      <c r="H51" s="9">
        <v>2014</v>
      </c>
      <c r="I51" s="9">
        <v>6</v>
      </c>
      <c r="J51" s="18">
        <f>INDEX(PTRS!$D$6:$D$12,MATCH('2'!$F51,PTRS!$B$6:$B$12,0))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v>0.1044225</v>
      </c>
      <c r="N51" s="17">
        <f>INDEX('Unique Asset List'!$D$4:$M$60,MATCH($B51,'Unique Asset List'!$A$4:$A$60,0),MATCH(N$8,'Unique Asset List'!$D$3:$M$3,0))</f>
        <v>0</v>
      </c>
      <c r="O51" s="17">
        <f>INDEX('Unique Asset List'!$D$4:$M$60,MATCH($B51,'Unique Asset List'!$A$4:$A$60,0),MATCH(O$8,'Unique Asset List'!$D$3:$M$3,0))</f>
        <v>0</v>
      </c>
      <c r="P51" s="17">
        <f>INDEX('Unique Asset List'!$D$4:$M$60,MATCH($B51,'Unique Asset List'!$A$4:$A$60,0),MATCH(P$8,'Unique Asset List'!$D$3:$M$3,0))</f>
        <v>0</v>
      </c>
      <c r="Q51" s="17">
        <f>INDEX('Unique Asset List'!$D$4:$M$60,MATCH($B51,'Unique Asset List'!$A$4:$A$60,0),MATCH(Q$8,'Unique Asset List'!$D$3:$M$3,0))</f>
        <v>0</v>
      </c>
      <c r="R51" s="17">
        <f>INDEX('Unique Asset List'!$D$4:$M$60,MATCH($B51,'Unique Asset List'!$A$4:$A$60,0),MATCH(R$8,'Unique Asset List'!$D$3:$M$3,0))</f>
        <v>0</v>
      </c>
      <c r="S51" s="17">
        <f>INDEX('Unique Asset List'!$D$4:$M$60,MATCH($B51,'Unique Asset List'!$A$4:$A$60,0),MATCH(S$8,'Unique Asset List'!$D$3:$M$3,0))</f>
        <v>0</v>
      </c>
      <c r="T51" s="17"/>
      <c r="U51" s="17">
        <f t="shared" ref="U51:U58" si="13">BZ51/$BZ$7</f>
        <v>0</v>
      </c>
      <c r="V51" s="17">
        <v>1</v>
      </c>
      <c r="W51" s="9" t="s">
        <v>0</v>
      </c>
      <c r="X51" s="9">
        <f>INDEX('Unique Asset List'!$Y$4:$AE$60,MATCH('2'!$B51,'Unique Asset List'!$A$4:$A$60,0),MATCH('2'!$C$1,'Unique Asset List'!$Y$3:$AE$3,0))</f>
        <v>2051</v>
      </c>
      <c r="Y51" s="9">
        <f>INDEX('Unique Asset List'!$AF$4:$AL$60,MATCH('2'!$B51,'Unique Asset List'!$A$4:$A$60,0),MATCH('2'!$C$1,'Unique Asset List'!$AF$3:$AL$3,0))</f>
        <v>6</v>
      </c>
      <c r="Z51" s="9">
        <f>INDEX('Unique Asset List'!$AT$4:$AZ$60,MATCH('2'!$B51,'Unique Asset List'!$A$4:$A$60,0),MATCH('2'!$C$1,'Unique Asset List'!$AT$3:$AZ$3,0))</f>
        <v>2060</v>
      </c>
      <c r="AA51" s="9">
        <f>INDEX('Unique Asset List'!$BA$4:$BG$60,MATCH('2'!$B51,'Unique Asset List'!$A$4:$A$60,0),MATCH('2'!$C$1,'Unique Asset List'!$BA$3:$BG$3,0))</f>
        <v>6</v>
      </c>
      <c r="AB51" s="16">
        <f t="shared" ref="AB51:AB58" si="14">SUMPRODUCT($BD51:$BK51,$BD$7:$BK$7)</f>
        <v>0</v>
      </c>
      <c r="AC51" s="16">
        <f t="shared" ref="AC51:AC58" si="15">SUMPRODUCT($BL51:$BR51,$BL$7:$BR$7)</f>
        <v>0</v>
      </c>
      <c r="AD51" s="16">
        <f t="shared" ref="AD51:AD58" si="16">SUMPRODUCT($BS51:$BV51,$BS$7:$BV$7)</f>
        <v>0</v>
      </c>
      <c r="AE51" s="15">
        <f>INDEX('Unique Asset List'!$CJ$4:$CP$60,MATCH('2'!$B51,'Unique Asset List'!$A$4:$A$60,0),MATCH('2'!$C$1,'Unique Asset List'!$CJ$3:$CP$3,0))</f>
        <v>0.2</v>
      </c>
      <c r="AF51" s="15">
        <f>INDEX('Unique Asset List'!$CQ$4:$CW$60,MATCH('2'!$B51,'Unique Asset List'!$A$4:$A$60,0),MATCH('2'!$C$1,'Unique Asset List'!$CQ$3:$CW$3,0))</f>
        <v>0.3</v>
      </c>
      <c r="AG51" s="15">
        <f>INDEX('Unique Asset List'!$BV$4:$CB$60,MATCH('2'!$B51,'Unique Asset List'!$A$4:$A$60,0),MATCH('2'!$C$1,'Unique Asset List'!$BV$3:$CB$3,0))</f>
        <v>0.2</v>
      </c>
      <c r="AH51" s="15">
        <f>INDEX('Unique Asset List'!$CC$4:$CI$60,MATCH('2'!$B51,'Unique Asset List'!$A$4:$A$60,0),MATCH('2'!$C$1,'Unique Asset List'!$CC$3:$CI$3,0))</f>
        <v>0.3</v>
      </c>
      <c r="AI51" s="11">
        <v>0.96187963349867744</v>
      </c>
      <c r="AJ51" s="15">
        <f>INDEX('Unique Asset List'!$BH$4:$BN$60,MATCH('2'!$B51,'Unique Asset List'!$A$4:$A$60,0),MATCH('2'!$C$1,'Unique Asset List'!$BH$3:$BN$3,0))</f>
        <v>2.2612105538192599</v>
      </c>
      <c r="AK51" s="15">
        <f>INDEX('Unique Asset List'!$BO$4:$BU$60,MATCH('2'!$B51,'Unique Asset List'!$A$4:$A$60,0),MATCH('2'!$C$1,'Unique Asset List'!$BO$3:$BU$3,0))</f>
        <v>-1.7475682675103321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9"/>
        <v>0.82</v>
      </c>
      <c r="AS51" s="10">
        <v>1</v>
      </c>
      <c r="AT51" s="181">
        <f>INDEX('Unique Asset List'!N$4:N$60,MATCH($B51,_CompoundList,0))</f>
        <v>0</v>
      </c>
      <c r="AU51" s="181">
        <f>INDEX('Unique Asset List'!O$4:O$60,MATCH($B51,_CompoundList,0))</f>
        <v>0</v>
      </c>
      <c r="AV51" s="181">
        <f>INDEX('Unique Asset List'!P$4:P$60,MATCH($B51,_CompoundList,0))</f>
        <v>0</v>
      </c>
      <c r="AW51" s="181">
        <f>INDEX('Unique Asset List'!Q$4:Q$60,MATCH($B51,_CompoundList,0))</f>
        <v>0</v>
      </c>
      <c r="AX51" s="181">
        <f ca="1">INDEX('Unique Asset List'!R$4:R$60,MATCH($B51,_CompoundList,0))</f>
        <v>0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0</v>
      </c>
      <c r="BA51" s="181">
        <f ca="1">INDEX('Unique Asset List'!U$4:U$60,MATCH($B51,_CompoundList,0))</f>
        <v>0</v>
      </c>
      <c r="BB51" s="181">
        <f ca="1">INDEX('Unique Asset List'!V$4:V$60,MATCH($B51,_CompoundList,0))</f>
        <v>0</v>
      </c>
      <c r="BC51" s="181">
        <f ca="1">INDEX('Unique Asset List'!W$4:W$60,MATCH($B51,_CompoundList,0))</f>
        <v>0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IF($C$5="ON",CL51,MyRating(_S1,$B51,'S&amp;T'!$F$1))</f>
        <v>0</v>
      </c>
      <c r="BM51" s="3">
        <f>IF($C$5="ON",CM51,MyRating(_S2,$B51,'S&amp;T'!$F$1))</f>
        <v>0</v>
      </c>
      <c r="BN51" s="3">
        <f>IF($C$5="ON",CN51,MyRating(_S3,$B51,'S&amp;T'!$F$1))</f>
        <v>0</v>
      </c>
      <c r="BO51" s="3">
        <f>IF($C$5="ON",CO51,MyRating(_S4,$B51,'S&amp;T'!$F$1))</f>
        <v>0</v>
      </c>
      <c r="BP51" s="3">
        <f>IF($C$5="ON",CP51,MyRating(_S5,$B51,'S&amp;T'!$F$1))</f>
        <v>0</v>
      </c>
      <c r="BQ51" s="3">
        <f>IF($C$5="ON",CQ51,MyRating(_S6,$B51,'S&amp;T'!$F$1))</f>
        <v>0</v>
      </c>
      <c r="BR51" s="3">
        <f>IF($C$5="ON",CR51,MyRating(_S7,$B51,'S&amp;T'!$F$1))</f>
        <v>0</v>
      </c>
      <c r="BS51" s="3">
        <f>IF($C$5="ON",CS51,MyRating(_D1,$B51,Delivery!$F$1))</f>
        <v>0</v>
      </c>
      <c r="BT51" s="3">
        <f>IF($C$5="ON",CT51,MyRating(_D2,$B51,Delivery!$F$1))</f>
        <v>0</v>
      </c>
      <c r="BU51" s="3">
        <f>IF($C$5="ON",CU51,MyRating(_D3,$B51,Delivery!$F$1))</f>
        <v>0</v>
      </c>
      <c r="BV51" s="3">
        <f>IF($C$5="ON",CV51,MyRating(_D4,$B51,Delivery!$F$1))</f>
        <v>0</v>
      </c>
      <c r="BW51" s="3">
        <f>IF($C$5="ON",CW51,MyRating(_B1G5,$B51,Barrier!$L$2))</f>
        <v>0</v>
      </c>
      <c r="BX51" s="3">
        <f>IF($C$5="ON",CX51,MyRating(_B2,$B51,Barrier!$F$2))</f>
        <v>0</v>
      </c>
      <c r="BY51" s="6">
        <f>IF($C$5="ON",CY51,MyRating(_B3,$B51,Barrier!$F$2))</f>
        <v>0</v>
      </c>
      <c r="BZ51" s="5">
        <f t="shared" si="8"/>
        <v>0</v>
      </c>
      <c r="CA51" s="8">
        <f t="shared" si="10"/>
        <v>0</v>
      </c>
      <c r="CB51" s="5">
        <f t="shared" si="11"/>
        <v>0</v>
      </c>
      <c r="CC51" s="7">
        <f t="shared" si="12"/>
        <v>0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>
        <v>0</v>
      </c>
    </row>
    <row r="52" spans="1:104" x14ac:dyDescent="0.25">
      <c r="A52" s="9" t="s">
        <v>178</v>
      </c>
      <c r="B52" s="9" t="s">
        <v>68</v>
      </c>
      <c r="C52" s="20" t="s">
        <v>3</v>
      </c>
      <c r="D52" s="9" t="s">
        <v>2</v>
      </c>
      <c r="E52" s="9" t="s">
        <v>186</v>
      </c>
      <c r="F52" s="9" t="str">
        <f>INDEX('Unique Asset List'!$C$4:$C$60,MATCH(B52,_CompoundList,0))</f>
        <v>PCD</v>
      </c>
      <c r="G52" s="19">
        <v>0</v>
      </c>
      <c r="H52" s="9">
        <v>2014</v>
      </c>
      <c r="I52" s="9">
        <v>6</v>
      </c>
      <c r="J52" s="18">
        <f>INDEX(PTRS!$D$6:$D$12,MATCH('2'!$F52,PTRS!$B$6:$B$12,0))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v>0.1044225</v>
      </c>
      <c r="N52" s="17">
        <f>INDEX('Unique Asset List'!$D$4:$M$60,MATCH($B52,'Unique Asset List'!$A$4:$A$60,0),MATCH(N$8,'Unique Asset List'!$D$3:$M$3,0))</f>
        <v>0.1044225</v>
      </c>
      <c r="O52" s="17">
        <f>INDEX('Unique Asset List'!$D$4:$M$60,MATCH($B52,'Unique Asset List'!$A$4:$A$60,0),MATCH(O$8,'Unique Asset List'!$D$3:$M$3,0))</f>
        <v>0.1044225</v>
      </c>
      <c r="P52" s="17">
        <f>INDEX('Unique Asset List'!$D$4:$M$60,MATCH($B52,'Unique Asset List'!$A$4:$A$60,0),MATCH(P$8,'Unique Asset List'!$D$3:$M$3,0))</f>
        <v>0.1044225</v>
      </c>
      <c r="Q52" s="17">
        <f>INDEX('Unique Asset List'!$D$4:$M$60,MATCH($B52,'Unique Asset List'!$A$4:$A$60,0),MATCH(Q$8,'Unique Asset List'!$D$3:$M$3,0))</f>
        <v>0.1044225</v>
      </c>
      <c r="R52" s="17">
        <f>INDEX('Unique Asset List'!$D$4:$M$60,MATCH($B52,'Unique Asset List'!$A$4:$A$60,0),MATCH(R$8,'Unique Asset List'!$D$3:$M$3,0))</f>
        <v>0.1044225</v>
      </c>
      <c r="S52" s="17">
        <f>INDEX('Unique Asset List'!$D$4:$M$60,MATCH($B52,'Unique Asset List'!$A$4:$A$60,0),MATCH(S$8,'Unique Asset List'!$D$3:$M$3,0))</f>
        <v>0</v>
      </c>
      <c r="T52" s="17"/>
      <c r="U52" s="17">
        <f t="shared" si="13"/>
        <v>0</v>
      </c>
      <c r="V52" s="17">
        <v>1</v>
      </c>
      <c r="W52" s="9" t="s">
        <v>68</v>
      </c>
      <c r="X52" s="9">
        <f>INDEX('Unique Asset List'!$Y$4:$AE$60,MATCH('2'!$B52,'Unique Asset List'!$A$4:$A$60,0),MATCH('2'!$C$1,'Unique Asset List'!$Y$3:$AE$3,0))</f>
        <v>2032</v>
      </c>
      <c r="Y52" s="9">
        <f>INDEX('Unique Asset List'!$AF$4:$AL$60,MATCH('2'!$B52,'Unique Asset List'!$A$4:$A$60,0),MATCH('2'!$C$1,'Unique Asset List'!$AF$3:$AL$3,0))</f>
        <v>3</v>
      </c>
      <c r="Z52" s="9">
        <f>INDEX('Unique Asset List'!$AT$4:$AZ$60,MATCH('2'!$B52,'Unique Asset List'!$A$4:$A$60,0),MATCH('2'!$C$1,'Unique Asset List'!$AT$3:$AZ$3,0))</f>
        <v>2041</v>
      </c>
      <c r="AA52" s="9">
        <f>INDEX('Unique Asset List'!$BA$4:$BG$60,MATCH('2'!$B52,'Unique Asset List'!$A$4:$A$60,0),MATCH('2'!$C$1,'Unique Asset List'!$BA$3:$BG$3,0))</f>
        <v>3</v>
      </c>
      <c r="AB52" s="16">
        <f t="shared" si="14"/>
        <v>2.1518980000000005</v>
      </c>
      <c r="AC52" s="16">
        <f t="shared" si="15"/>
        <v>0.94137550000000003</v>
      </c>
      <c r="AD52" s="16">
        <f t="shared" si="16"/>
        <v>0.56099999999999994</v>
      </c>
      <c r="AE52" s="15">
        <f>INDEX('Unique Asset List'!$CJ$4:$CP$60,MATCH('2'!$B52,'Unique Asset List'!$A$4:$A$60,0),MATCH('2'!$C$1,'Unique Asset List'!$CJ$3:$CP$3,0))</f>
        <v>0.2</v>
      </c>
      <c r="AF52" s="15">
        <f>INDEX('Unique Asset List'!$CQ$4:$CW$60,MATCH('2'!$B52,'Unique Asset List'!$A$4:$A$60,0),MATCH('2'!$C$1,'Unique Asset List'!$CQ$3:$CW$3,0))</f>
        <v>0.3</v>
      </c>
      <c r="AG52" s="15">
        <f>INDEX('Unique Asset List'!$BV$4:$CB$60,MATCH('2'!$B52,'Unique Asset List'!$A$4:$A$60,0),MATCH('2'!$C$1,'Unique Asset List'!$BV$3:$CB$3,0))</f>
        <v>0.2</v>
      </c>
      <c r="AH52" s="15">
        <f>INDEX('Unique Asset List'!$CC$4:$CI$60,MATCH('2'!$B52,'Unique Asset List'!$A$4:$A$60,0),MATCH('2'!$C$1,'Unique Asset List'!$CC$3:$CI$3,0))</f>
        <v>0.3</v>
      </c>
      <c r="AI52" s="11">
        <v>0.96187963349867744</v>
      </c>
      <c r="AJ52" s="15">
        <f>INDEX('Unique Asset List'!$BH$4:$BN$60,MATCH('2'!$B52,'Unique Asset List'!$A$4:$A$60,0),MATCH('2'!$C$1,'Unique Asset List'!$BH$3:$BN$3,0))</f>
        <v>2.2612105538192599</v>
      </c>
      <c r="AK52" s="15">
        <f>INDEX('Unique Asset List'!$BO$4:$BU$60,MATCH('2'!$B52,'Unique Asset List'!$A$4:$A$60,0),MATCH('2'!$C$1,'Unique Asset List'!$BO$3:$BU$3,0))</f>
        <v>-1.7475682675103321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9"/>
        <v>0.82</v>
      </c>
      <c r="AS52" s="10">
        <v>1</v>
      </c>
      <c r="AT52" s="181">
        <f>INDEX('Unique Asset List'!N$4:N$60,MATCH($B52,_CompoundList,0))</f>
        <v>0</v>
      </c>
      <c r="AU52" s="181">
        <f>INDEX('Unique Asset List'!O$4:O$60,MATCH($B52,_CompoundList,0))</f>
        <v>0</v>
      </c>
      <c r="AV52" s="181">
        <f>INDEX('Unique Asset List'!P$4:P$60,MATCH($B52,_CompoundList,0))</f>
        <v>0</v>
      </c>
      <c r="AW52" s="181">
        <f>INDEX('Unique Asset List'!Q$4:Q$60,MATCH($B52,_CompoundList,0))</f>
        <v>0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4</v>
      </c>
      <c r="BE52" s="3">
        <f>IF($C$5="ON",CE52,MyRating(_E2,$B52,Efficacy!$F$1))</f>
        <v>4</v>
      </c>
      <c r="BF52" s="3">
        <f>IF($C$5="ON",CF52,MyRating(_E3,$B52,Efficacy!$F$1))</f>
        <v>4</v>
      </c>
      <c r="BG52" s="3">
        <f>IF($C$5="ON",CG52,MyRating(_E4,$B52,Efficacy!$F$1))</f>
        <v>4</v>
      </c>
      <c r="BH52" s="3">
        <f>IF($C$5="ON",CH52,MyRating(_E5,$B52,Efficacy!$F$1))</f>
        <v>4</v>
      </c>
      <c r="BI52" s="3">
        <f>IF($C$5="ON",CI52,MyRating(_E6,$B52,Efficacy!$F$1))</f>
        <v>3</v>
      </c>
      <c r="BJ52" s="3">
        <f>IF($C$5="ON",CJ52,MyRating(_E7,$B52,Efficacy!$F$1))</f>
        <v>3</v>
      </c>
      <c r="BK52" s="3">
        <f>IF($C$5="ON",CK52,MyRating(_E8,$B52,Efficacy!$F$1))</f>
        <v>4</v>
      </c>
      <c r="BL52" s="3">
        <f>IF($C$5="ON",CL52,MyRating(_S1,$B52,'S&amp;T'!$F$1))</f>
        <v>4</v>
      </c>
      <c r="BM52" s="3">
        <f>IF($C$5="ON",CM52,MyRating(_S2,$B52,'S&amp;T'!$F$1))</f>
        <v>3</v>
      </c>
      <c r="BN52" s="3">
        <f>IF($C$5="ON",CN52,MyRating(_S3,$B52,'S&amp;T'!$F$1))</f>
        <v>3</v>
      </c>
      <c r="BO52" s="3">
        <f>IF($C$5="ON",CO52,MyRating(_S4,$B52,'S&amp;T'!$F$1))</f>
        <v>4</v>
      </c>
      <c r="BP52" s="3">
        <f>IF($C$5="ON",CP52,MyRating(_S5,$B52,'S&amp;T'!$F$1))</f>
        <v>5</v>
      </c>
      <c r="BQ52" s="3">
        <f>IF($C$5="ON",CQ52,MyRating(_S6,$B52,'S&amp;T'!$F$1))</f>
        <v>3</v>
      </c>
      <c r="BR52" s="3">
        <f>IF($C$5="ON",CR52,MyRating(_S7,$B52,'S&amp;T'!$F$1))</f>
        <v>3</v>
      </c>
      <c r="BS52" s="3">
        <f>IF($C$5="ON",CS52,MyRating(_D1,$B52,Delivery!$F$1))</f>
        <v>3</v>
      </c>
      <c r="BT52" s="3">
        <f>IF($C$5="ON",CT52,MyRating(_D2,$B52,Delivery!$F$1))</f>
        <v>3</v>
      </c>
      <c r="BU52" s="3">
        <f>IF($C$5="ON",CU52,MyRating(_D3,$B52,Delivery!$F$1))</f>
        <v>3</v>
      </c>
      <c r="BV52" s="3">
        <f>IF($C$5="ON",CV52,MyRating(_D4,$B52,Delivery!$F$1))</f>
        <v>3</v>
      </c>
      <c r="BW52" s="3">
        <f>IF($C$5="ON",CW52,MyRating(_B1G5,$B52,Barrier!$L$2))</f>
        <v>2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8"/>
        <v>0</v>
      </c>
      <c r="CA52" s="8">
        <f t="shared" si="10"/>
        <v>2.8000000000000003</v>
      </c>
      <c r="CB52" s="5">
        <f t="shared" si="11"/>
        <v>3.2258064516129052E-2</v>
      </c>
      <c r="CC52" s="7">
        <f t="shared" si="12"/>
        <v>5.7937194202185476E-3</v>
      </c>
      <c r="CD52" s="4">
        <v>4</v>
      </c>
      <c r="CE52" s="3">
        <v>5</v>
      </c>
      <c r="CF52" s="3">
        <v>5</v>
      </c>
      <c r="CG52" s="3">
        <v>4</v>
      </c>
      <c r="CH52" s="3">
        <v>4</v>
      </c>
      <c r="CI52" s="3">
        <v>3</v>
      </c>
      <c r="CJ52" s="3">
        <v>3</v>
      </c>
      <c r="CK52" s="3">
        <v>4</v>
      </c>
      <c r="CL52" s="3">
        <v>5</v>
      </c>
      <c r="CM52" s="3">
        <v>3</v>
      </c>
      <c r="CN52" s="3">
        <v>3</v>
      </c>
      <c r="CO52" s="3">
        <v>4</v>
      </c>
      <c r="CP52" s="3">
        <v>5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2</v>
      </c>
      <c r="CX52" s="3">
        <v>3</v>
      </c>
      <c r="CY52" s="6">
        <v>3</v>
      </c>
      <c r="CZ52" s="5">
        <v>3.6275844714639842E-2</v>
      </c>
    </row>
    <row r="53" spans="1:104" x14ac:dyDescent="0.25">
      <c r="A53" s="9" t="s">
        <v>178</v>
      </c>
      <c r="B53" s="9" t="s">
        <v>67</v>
      </c>
      <c r="C53" s="20" t="s">
        <v>3</v>
      </c>
      <c r="D53" s="9" t="s">
        <v>2</v>
      </c>
      <c r="E53" s="9" t="s">
        <v>186</v>
      </c>
      <c r="F53" s="9" t="str">
        <f>INDEX('Unique Asset List'!$C$4:$C$60,MATCH(B53,_CompoundList,0))</f>
        <v>PCD</v>
      </c>
      <c r="G53" s="19">
        <v>0</v>
      </c>
      <c r="H53" s="9">
        <v>2014</v>
      </c>
      <c r="I53" s="9">
        <v>6</v>
      </c>
      <c r="J53" s="18">
        <f>INDEX(PTRS!$D$6:$D$12,MATCH('2'!$F53,PTRS!$B$6:$B$12,0))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v>0.1044225</v>
      </c>
      <c r="N53" s="17">
        <f>INDEX('Unique Asset List'!$D$4:$M$60,MATCH($B53,'Unique Asset List'!$A$4:$A$60,0),MATCH(N$8,'Unique Asset List'!$D$3:$M$3,0))</f>
        <v>0.1044225</v>
      </c>
      <c r="O53" s="17">
        <f>INDEX('Unique Asset List'!$D$4:$M$60,MATCH($B53,'Unique Asset List'!$A$4:$A$60,0),MATCH(O$8,'Unique Asset List'!$D$3:$M$3,0))</f>
        <v>0.1044225</v>
      </c>
      <c r="P53" s="17">
        <f>INDEX('Unique Asset List'!$D$4:$M$60,MATCH($B53,'Unique Asset List'!$A$4:$A$60,0),MATCH(P$8,'Unique Asset List'!$D$3:$M$3,0))</f>
        <v>0.1044225</v>
      </c>
      <c r="Q53" s="17">
        <f>INDEX('Unique Asset List'!$D$4:$M$60,MATCH($B53,'Unique Asset List'!$A$4:$A$60,0),MATCH(Q$8,'Unique Asset List'!$D$3:$M$3,0))</f>
        <v>0.1044225</v>
      </c>
      <c r="R53" s="17">
        <f>INDEX('Unique Asset List'!$D$4:$M$60,MATCH($B53,'Unique Asset List'!$A$4:$A$60,0),MATCH(R$8,'Unique Asset List'!$D$3:$M$3,0))</f>
        <v>0.1044225</v>
      </c>
      <c r="S53" s="17">
        <f>INDEX('Unique Asset List'!$D$4:$M$60,MATCH($B53,'Unique Asset List'!$A$4:$A$60,0),MATCH(S$8,'Unique Asset List'!$D$3:$M$3,0))</f>
        <v>0</v>
      </c>
      <c r="T53" s="17"/>
      <c r="U53" s="17">
        <f t="shared" si="13"/>
        <v>0</v>
      </c>
      <c r="V53" s="17">
        <v>1</v>
      </c>
      <c r="W53" s="9" t="s">
        <v>67</v>
      </c>
      <c r="X53" s="9">
        <f>INDEX('Unique Asset List'!$Y$4:$AE$60,MATCH('2'!$B53,'Unique Asset List'!$A$4:$A$60,0),MATCH('2'!$C$1,'Unique Asset List'!$Y$3:$AE$3,0))</f>
        <v>2032</v>
      </c>
      <c r="Y53" s="9">
        <f>INDEX('Unique Asset List'!$AF$4:$AL$60,MATCH('2'!$B53,'Unique Asset List'!$A$4:$A$60,0),MATCH('2'!$C$1,'Unique Asset List'!$AF$3:$AL$3,0))</f>
        <v>3</v>
      </c>
      <c r="Z53" s="9">
        <f>INDEX('Unique Asset List'!$AT$4:$AZ$60,MATCH('2'!$B53,'Unique Asset List'!$A$4:$A$60,0),MATCH('2'!$C$1,'Unique Asset List'!$AT$3:$AZ$3,0))</f>
        <v>2041</v>
      </c>
      <c r="AA53" s="9">
        <f>INDEX('Unique Asset List'!$BA$4:$BG$60,MATCH('2'!$B53,'Unique Asset List'!$A$4:$A$60,0),MATCH('2'!$C$1,'Unique Asset List'!$BA$3:$BG$3,0))</f>
        <v>3</v>
      </c>
      <c r="AB53" s="16">
        <f t="shared" si="14"/>
        <v>2.1518980000000005</v>
      </c>
      <c r="AC53" s="16">
        <f t="shared" si="15"/>
        <v>0.94137550000000003</v>
      </c>
      <c r="AD53" s="16">
        <f t="shared" si="16"/>
        <v>0.56099999999999994</v>
      </c>
      <c r="AE53" s="15">
        <f>INDEX('Unique Asset List'!$CJ$4:$CP$60,MATCH('2'!$B53,'Unique Asset List'!$A$4:$A$60,0),MATCH('2'!$C$1,'Unique Asset List'!$CJ$3:$CP$3,0))</f>
        <v>0.2</v>
      </c>
      <c r="AF53" s="15">
        <f>INDEX('Unique Asset List'!$CQ$4:$CW$60,MATCH('2'!$B53,'Unique Asset List'!$A$4:$A$60,0),MATCH('2'!$C$1,'Unique Asset List'!$CQ$3:$CW$3,0))</f>
        <v>0.3</v>
      </c>
      <c r="AG53" s="15">
        <f>INDEX('Unique Asset List'!$BV$4:$CB$60,MATCH('2'!$B53,'Unique Asset List'!$A$4:$A$60,0),MATCH('2'!$C$1,'Unique Asset List'!$BV$3:$CB$3,0))</f>
        <v>0.2</v>
      </c>
      <c r="AH53" s="15">
        <f>INDEX('Unique Asset List'!$CC$4:$CI$60,MATCH('2'!$B53,'Unique Asset List'!$A$4:$A$60,0),MATCH('2'!$C$1,'Unique Asset List'!$CC$3:$CI$3,0))</f>
        <v>0.3</v>
      </c>
      <c r="AI53" s="11">
        <v>0.96187963349867744</v>
      </c>
      <c r="AJ53" s="15">
        <f>INDEX('Unique Asset List'!$BH$4:$BN$60,MATCH('2'!$B53,'Unique Asset List'!$A$4:$A$60,0),MATCH('2'!$C$1,'Unique Asset List'!$BH$3:$BN$3,0))</f>
        <v>2.2612105538192599</v>
      </c>
      <c r="AK53" s="15">
        <f>INDEX('Unique Asset List'!$BO$4:$BU$60,MATCH('2'!$B53,'Unique Asset List'!$A$4:$A$60,0),MATCH('2'!$C$1,'Unique Asset List'!$BO$3:$BU$3,0))</f>
        <v>-1.7475682675103321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9"/>
        <v>0.82</v>
      </c>
      <c r="AS53" s="10">
        <v>1</v>
      </c>
      <c r="AT53" s="181">
        <f>INDEX('Unique Asset List'!N$4:N$60,MATCH($B53,_CompoundList,0))</f>
        <v>0</v>
      </c>
      <c r="AU53" s="181">
        <f>INDEX('Unique Asset List'!O$4:O$60,MATCH($B53,_CompoundList,0))</f>
        <v>0</v>
      </c>
      <c r="AV53" s="181">
        <f>INDEX('Unique Asset List'!P$4:P$60,MATCH($B53,_CompoundList,0))</f>
        <v>0</v>
      </c>
      <c r="AW53" s="181">
        <f>INDEX('Unique Asset List'!Q$4:Q$60,MATCH($B53,_CompoundList,0))</f>
        <v>0</v>
      </c>
      <c r="AX53" s="181">
        <f ca="1">INDEX('Unique Asset List'!R$4:R$60,MATCH($B53,_CompoundList,0))</f>
        <v>0</v>
      </c>
      <c r="AY53" s="181">
        <f ca="1">INDEX('Unique Asset List'!S$4:S$60,MATCH($B53,_CompoundList,0))</f>
        <v>0</v>
      </c>
      <c r="AZ53" s="181">
        <f ca="1">INDEX('Unique Asset List'!T$4:T$60,MATCH($B53,_CompoundList,0))</f>
        <v>0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0</v>
      </c>
      <c r="BC53" s="181">
        <f ca="1">INDEX('Unique Asset List'!W$4:W$60,MATCH($B53,_CompoundList,0))</f>
        <v>0</v>
      </c>
      <c r="BD53" s="4">
        <f>IF($C$5="ON",CD53,MyRating(_E1,$B53,Efficacy!$F$1))</f>
        <v>4</v>
      </c>
      <c r="BE53" s="3">
        <f>IF($C$5="ON",CE53,MyRating(_E2,$B53,Efficacy!$F$1))</f>
        <v>4</v>
      </c>
      <c r="BF53" s="3">
        <f>IF($C$5="ON",CF53,MyRating(_E3,$B53,Efficacy!$F$1))</f>
        <v>4</v>
      </c>
      <c r="BG53" s="3">
        <f>IF($C$5="ON",CG53,MyRating(_E4,$B53,Efficacy!$F$1))</f>
        <v>4</v>
      </c>
      <c r="BH53" s="3">
        <f>IF($C$5="ON",CH53,MyRating(_E5,$B53,Efficacy!$F$1))</f>
        <v>4</v>
      </c>
      <c r="BI53" s="3">
        <f>IF($C$5="ON",CI53,MyRating(_E6,$B53,Efficacy!$F$1))</f>
        <v>3</v>
      </c>
      <c r="BJ53" s="3">
        <f>IF($C$5="ON",CJ53,MyRating(_E7,$B53,Efficacy!$F$1))</f>
        <v>3</v>
      </c>
      <c r="BK53" s="3">
        <f>IF($C$5="ON",CK53,MyRating(_E8,$B53,Efficacy!$F$1))</f>
        <v>4</v>
      </c>
      <c r="BL53" s="3">
        <f>IF($C$5="ON",CL53,MyRating(_S1,$B53,'S&amp;T'!$F$1))</f>
        <v>4</v>
      </c>
      <c r="BM53" s="3">
        <f>IF($C$5="ON",CM53,MyRating(_S2,$B53,'S&amp;T'!$F$1))</f>
        <v>3</v>
      </c>
      <c r="BN53" s="3">
        <f>IF($C$5="ON",CN53,MyRating(_S3,$B53,'S&amp;T'!$F$1))</f>
        <v>3</v>
      </c>
      <c r="BO53" s="3">
        <f>IF($C$5="ON",CO53,MyRating(_S4,$B53,'S&amp;T'!$F$1))</f>
        <v>4</v>
      </c>
      <c r="BP53" s="3">
        <f>IF($C$5="ON",CP53,MyRating(_S5,$B53,'S&amp;T'!$F$1))</f>
        <v>5</v>
      </c>
      <c r="BQ53" s="3">
        <f>IF($C$5="ON",CQ53,MyRating(_S6,$B53,'S&amp;T'!$F$1))</f>
        <v>3</v>
      </c>
      <c r="BR53" s="3">
        <f>IF($C$5="ON",CR53,MyRating(_S7,$B53,'S&amp;T'!$F$1))</f>
        <v>3</v>
      </c>
      <c r="BS53" s="3">
        <f>IF($C$5="ON",CS53,MyRating(_D1,$B53,Delivery!$F$1))</f>
        <v>3</v>
      </c>
      <c r="BT53" s="3">
        <f>IF($C$5="ON",CT53,MyRating(_D2,$B53,Delivery!$F$1))</f>
        <v>3</v>
      </c>
      <c r="BU53" s="3">
        <f>IF($C$5="ON",CU53,MyRating(_D3,$B53,Delivery!$F$1))</f>
        <v>3</v>
      </c>
      <c r="BV53" s="3">
        <f>IF($C$5="ON",CV53,MyRating(_D4,$B53,Delivery!$F$1))</f>
        <v>3</v>
      </c>
      <c r="BW53" s="3">
        <f>IF($C$5="ON",CW53,MyRating(_B1G5,$B53,Barrier!$L$2))</f>
        <v>2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8"/>
        <v>0</v>
      </c>
      <c r="CA53" s="8">
        <f t="shared" si="10"/>
        <v>2.8000000000000003</v>
      </c>
      <c r="CB53" s="5">
        <f t="shared" si="11"/>
        <v>3.2258064516129052E-2</v>
      </c>
      <c r="CC53" s="7">
        <f t="shared" si="12"/>
        <v>5.7937194202185476E-3</v>
      </c>
      <c r="CD53" s="4">
        <v>4</v>
      </c>
      <c r="CE53" s="3">
        <v>5</v>
      </c>
      <c r="CF53" s="3">
        <v>5</v>
      </c>
      <c r="CG53" s="3">
        <v>4</v>
      </c>
      <c r="CH53" s="3">
        <v>4</v>
      </c>
      <c r="CI53" s="3">
        <v>3</v>
      </c>
      <c r="CJ53" s="3">
        <v>3</v>
      </c>
      <c r="CK53" s="3">
        <v>4</v>
      </c>
      <c r="CL53" s="3">
        <v>5</v>
      </c>
      <c r="CM53" s="3">
        <v>3</v>
      </c>
      <c r="CN53" s="3">
        <v>3</v>
      </c>
      <c r="CO53" s="3">
        <v>4</v>
      </c>
      <c r="CP53" s="3">
        <v>5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2</v>
      </c>
      <c r="CX53" s="3">
        <v>3</v>
      </c>
      <c r="CY53" s="6">
        <v>3</v>
      </c>
      <c r="CZ53" s="5">
        <v>3.6275844714639842E-2</v>
      </c>
    </row>
    <row r="54" spans="1:104" x14ac:dyDescent="0.25">
      <c r="A54" s="9" t="s">
        <v>178</v>
      </c>
      <c r="B54" s="9" t="s">
        <v>279</v>
      </c>
      <c r="C54" s="20"/>
      <c r="D54" s="9" t="s">
        <v>2</v>
      </c>
      <c r="E54" s="9"/>
      <c r="F54" s="9" t="str">
        <f>INDEX('Unique Asset List'!$C$4:$C$60,MATCH(B54,_CompoundList,0))</f>
        <v>PCD</v>
      </c>
      <c r="G54" s="19">
        <v>0</v>
      </c>
      <c r="H54" s="9">
        <v>2014</v>
      </c>
      <c r="I54" s="9">
        <v>6</v>
      </c>
      <c r="J54" s="18">
        <f>INDEX(PTRS!$D$6:$D$12,MATCH('2'!$F54,PTRS!$B$6:$B$12,0))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v>0.1044225</v>
      </c>
      <c r="N54" s="17">
        <f>INDEX('Unique Asset List'!$D$4:$M$60,MATCH($B54,'Unique Asset List'!$A$4:$A$60,0),MATCH(N$8,'Unique Asset List'!$D$3:$M$3,0))</f>
        <v>0.1</v>
      </c>
      <c r="O54" s="17">
        <f>INDEX('Unique Asset List'!$D$4:$M$60,MATCH($B54,'Unique Asset List'!$A$4:$A$60,0),MATCH(O$8,'Unique Asset List'!$D$3:$M$3,0))</f>
        <v>0.1</v>
      </c>
      <c r="P54" s="17">
        <f>INDEX('Unique Asset List'!$D$4:$M$60,MATCH($B54,'Unique Asset List'!$A$4:$A$60,0),MATCH(P$8,'Unique Asset List'!$D$3:$M$3,0))</f>
        <v>0.1</v>
      </c>
      <c r="Q54" s="17">
        <f>INDEX('Unique Asset List'!$D$4:$M$60,MATCH($B54,'Unique Asset List'!$A$4:$A$60,0),MATCH(Q$8,'Unique Asset List'!$D$3:$M$3,0))</f>
        <v>0.1</v>
      </c>
      <c r="R54" s="17">
        <f>INDEX('Unique Asset List'!$D$4:$M$60,MATCH($B54,'Unique Asset List'!$A$4:$A$60,0),MATCH(R$8,'Unique Asset List'!$D$3:$M$3,0))</f>
        <v>0.1</v>
      </c>
      <c r="S54" s="17">
        <f>INDEX('Unique Asset List'!$D$4:$M$60,MATCH($B54,'Unique Asset List'!$A$4:$A$60,0),MATCH(S$8,'Unique Asset List'!$D$3:$M$3,0))</f>
        <v>0</v>
      </c>
      <c r="T54" s="17"/>
      <c r="U54" s="17">
        <f t="shared" si="13"/>
        <v>0.80682275808442794</v>
      </c>
      <c r="V54" s="17">
        <f>V13</f>
        <v>0.42</v>
      </c>
      <c r="W54" s="9" t="s">
        <v>0</v>
      </c>
      <c r="X54" s="9">
        <f>INDEX('Unique Asset List'!$Y$4:$AE$60,MATCH('2'!$B54,'Unique Asset List'!$A$4:$A$60,0),MATCH('2'!$C$1,'Unique Asset List'!$Y$3:$AE$3,0))</f>
        <v>2027</v>
      </c>
      <c r="Y54" s="9">
        <f>INDEX('Unique Asset List'!$AF$4:$AL$60,MATCH('2'!$B54,'Unique Asset List'!$A$4:$A$60,0),MATCH('2'!$C$1,'Unique Asset List'!$AF$3:$AL$3,0))</f>
        <v>6</v>
      </c>
      <c r="Z54" s="9">
        <f>INDEX('Unique Asset List'!$AT$4:$AZ$60,MATCH('2'!$B54,'Unique Asset List'!$A$4:$A$60,0),MATCH('2'!$C$1,'Unique Asset List'!$AT$3:$AZ$3,0))</f>
        <v>2037</v>
      </c>
      <c r="AA54" s="9">
        <f>INDEX('Unique Asset List'!$BA$4:$BG$60,MATCH('2'!$B54,'Unique Asset List'!$A$4:$A$60,0),MATCH('2'!$C$1,'Unique Asset List'!$BA$3:$BG$3,0))</f>
        <v>6</v>
      </c>
      <c r="AB54" s="16">
        <f t="shared" si="14"/>
        <v>2.471114</v>
      </c>
      <c r="AC54" s="16">
        <f t="shared" si="15"/>
        <v>0.91994010000000004</v>
      </c>
      <c r="AD54" s="16">
        <f t="shared" si="16"/>
        <v>0.50129594525999999</v>
      </c>
      <c r="AE54" s="15">
        <f>INDEX('Unique Asset List'!$CJ$4:$CP$60,MATCH('2'!$B54,'Unique Asset List'!$A$4:$A$60,0),MATCH('2'!$C$1,'Unique Asset List'!$CJ$3:$CP$3,0))</f>
        <v>0.2</v>
      </c>
      <c r="AF54" s="15">
        <f>INDEX('Unique Asset List'!$CQ$4:$CW$60,MATCH('2'!$B54,'Unique Asset List'!$A$4:$A$60,0),MATCH('2'!$C$1,'Unique Asset List'!$CQ$3:$CW$3,0))</f>
        <v>0.3</v>
      </c>
      <c r="AG54" s="15">
        <f>INDEX('Unique Asset List'!$BV$4:$CB$60,MATCH('2'!$B54,'Unique Asset List'!$A$4:$A$60,0),MATCH('2'!$C$1,'Unique Asset List'!$BV$3:$CB$3,0))</f>
        <v>0.2</v>
      </c>
      <c r="AH54" s="15">
        <f>INDEX('Unique Asset List'!$CC$4:$CI$60,MATCH('2'!$B54,'Unique Asset List'!$A$4:$A$60,0),MATCH('2'!$C$1,'Unique Asset List'!$CC$3:$CI$3,0))</f>
        <v>0.3</v>
      </c>
      <c r="AI54" s="11">
        <v>0.96187963349867744</v>
      </c>
      <c r="AJ54" s="15">
        <f>INDEX('Unique Asset List'!$BH$4:$BN$60,MATCH('2'!$B54,'Unique Asset List'!$A$4:$A$60,0),MATCH('2'!$C$1,'Unique Asset List'!$BH$3:$BN$3,0))</f>
        <v>2.2612105538192599</v>
      </c>
      <c r="AK54" s="15">
        <f>INDEX('Unique Asset List'!$BO$4:$BU$60,MATCH('2'!$B54,'Unique Asset List'!$A$4:$A$60,0),MATCH('2'!$C$1,'Unique Asset List'!$BO$3:$BU$3,0))</f>
        <v>-1.7475682675103321</v>
      </c>
      <c r="AL54" s="9">
        <v>146.07692307692309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9"/>
        <v>0.82</v>
      </c>
      <c r="AS54" s="10">
        <v>0.28767123287671198</v>
      </c>
      <c r="AT54" s="181">
        <f>INDEX('Unique Asset List'!N$4:N$60,MATCH($B54,_CompoundList,0))</f>
        <v>0</v>
      </c>
      <c r="AU54" s="181">
        <f>INDEX('Unique Asset List'!O$4:O$60,MATCH($B54,_CompoundList,0))</f>
        <v>0</v>
      </c>
      <c r="AV54" s="181">
        <f>INDEX('Unique Asset List'!P$4:P$60,MATCH($B54,_CompoundList,0))</f>
        <v>0</v>
      </c>
      <c r="AW54" s="181">
        <f>INDEX('Unique Asset List'!Q$4:Q$60,MATCH($B54,_CompoundList,0))</f>
        <v>0</v>
      </c>
      <c r="AX54" s="181">
        <f ca="1">INDEX('Unique Asset List'!R$4:R$60,MATCH($B54,_CompoundList,0))</f>
        <v>0</v>
      </c>
      <c r="AY54" s="181">
        <f ca="1">INDEX('Unique Asset List'!S$4:S$60,MATCH($B54,_CompoundList,0))</f>
        <v>0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0</v>
      </c>
      <c r="BB54" s="181">
        <f ca="1">INDEX('Unique Asset List'!V$4:V$60,MATCH($B54,_CompoundList,0))</f>
        <v>0</v>
      </c>
      <c r="BC54" s="181">
        <f ca="1">INDEX('Unique Asset List'!W$4:W$60,MATCH($B54,_CompoundList,0))</f>
        <v>1</v>
      </c>
      <c r="BD54" s="4">
        <f>IF($C$5="ON",CD54,MyRating(_E1,$B54,Efficacy!$F$1))</f>
        <v>5</v>
      </c>
      <c r="BE54" s="3">
        <f>IF($C$5="ON",CE54,MyRating(_E2,$B54,Efficacy!$F$1))</f>
        <v>5</v>
      </c>
      <c r="BF54" s="3">
        <f>IF($C$5="ON",CF54,MyRating(_E3,$B54,Efficacy!$F$1))</f>
        <v>5</v>
      </c>
      <c r="BG54" s="3">
        <f>IF($C$5="ON",CG54,MyRating(_E4,$B54,Efficacy!$F$1))</f>
        <v>5</v>
      </c>
      <c r="BH54" s="3">
        <f>IF($C$5="ON",CH54,MyRating(_E5,$B54,Efficacy!$F$1))</f>
        <v>4</v>
      </c>
      <c r="BI54" s="3">
        <f>IF($C$5="ON",CI54,MyRating(_E6,$B54,Efficacy!$F$1))</f>
        <v>3</v>
      </c>
      <c r="BJ54" s="3">
        <f>IF($C$5="ON",CJ54,MyRating(_E7,$B54,Efficacy!$F$1))</f>
        <v>4</v>
      </c>
      <c r="BK54" s="3">
        <f>IF($C$5="ON",CK54,MyRating(_E8,$B54,Efficacy!$F$1))</f>
        <v>3</v>
      </c>
      <c r="BL54" s="3">
        <f>IF($C$5="ON",CL54,MyRating(_S1,$B54,'S&amp;T'!$F$1))</f>
        <v>4</v>
      </c>
      <c r="BM54" s="3">
        <f>IF($C$5="ON",CM54,MyRating(_S2,$B54,'S&amp;T'!$F$1))</f>
        <v>3</v>
      </c>
      <c r="BN54" s="3">
        <f>IF($C$5="ON",CN54,MyRating(_S3,$B54,'S&amp;T'!$F$1))</f>
        <v>3</v>
      </c>
      <c r="BO54" s="3">
        <f>IF($C$5="ON",CO54,MyRating(_S4,$B54,'S&amp;T'!$F$1))</f>
        <v>4</v>
      </c>
      <c r="BP54" s="3">
        <f>IF($C$5="ON",CP54,MyRating(_S5,$B54,'S&amp;T'!$F$1))</f>
        <v>5</v>
      </c>
      <c r="BQ54" s="3">
        <f>IF($C$5="ON",CQ54,MyRating(_S6,$B54,'S&amp;T'!$F$1))</f>
        <v>2</v>
      </c>
      <c r="BR54" s="3">
        <f>IF($C$5="ON",CR54,MyRating(_S7,$B54,'S&amp;T'!$F$1))</f>
        <v>3</v>
      </c>
      <c r="BS54" s="3">
        <f>IF($C$5="ON",CS54,MyRating(_D1,$B54,Delivery!$F$1))</f>
        <v>2</v>
      </c>
      <c r="BT54" s="3">
        <f>IF($C$5="ON",CT54,MyRating(_D2,$B54,Delivery!$F$1))</f>
        <v>3</v>
      </c>
      <c r="BU54" s="3">
        <f>IF($C$5="ON",CU54,MyRating(_D3,$B54,Delivery!$F$1))</f>
        <v>3</v>
      </c>
      <c r="BV54" s="3">
        <f>IF($C$5="ON",CV54,MyRating(_D4,$B54,Delivery!$F$1))</f>
        <v>3</v>
      </c>
      <c r="BW54" s="3">
        <f>IF($C$5="ON",CW54,MyRating(_B1G5,$B54,Barrier!$L$2))</f>
        <v>1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8"/>
        <v>2.9127815749127307E-2</v>
      </c>
      <c r="CA54" s="8">
        <f t="shared" si="10"/>
        <v>2.6000000000000005</v>
      </c>
      <c r="CB54" s="5">
        <f t="shared" si="11"/>
        <v>2.9953917050691267E-2</v>
      </c>
      <c r="CC54" s="7">
        <f t="shared" si="12"/>
        <v>5.1841843202612347E-3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>
        <v>0</v>
      </c>
    </row>
    <row r="55" spans="1:104" x14ac:dyDescent="0.25">
      <c r="A55" s="9" t="s">
        <v>178</v>
      </c>
      <c r="B55" s="9" t="s">
        <v>185</v>
      </c>
      <c r="C55" s="20" t="s">
        <v>3</v>
      </c>
      <c r="D55" s="9" t="s">
        <v>2</v>
      </c>
      <c r="E55" s="9"/>
      <c r="F55" s="9" t="str">
        <f>INDEX('Unique Asset List'!$C$4:$C$60,MATCH(B55,_CompoundList,0))</f>
        <v>PCD</v>
      </c>
      <c r="G55" s="19">
        <v>0</v>
      </c>
      <c r="H55" s="9">
        <v>2014</v>
      </c>
      <c r="I55" s="9">
        <v>6</v>
      </c>
      <c r="J55" s="18">
        <f>INDEX(PTRS!$D$6:$D$12,MATCH('2'!$F55,PTRS!$B$6:$B$12,0))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v>0.1044225</v>
      </c>
      <c r="N55" s="17">
        <f>INDEX('Unique Asset List'!$D$4:$M$60,MATCH($B55,'Unique Asset List'!$A$4:$A$60,0),MATCH(N$8,'Unique Asset List'!$D$3:$M$3,0))</f>
        <v>0</v>
      </c>
      <c r="O55" s="17">
        <f>INDEX('Unique Asset List'!$D$4:$M$60,MATCH($B55,'Unique Asset List'!$A$4:$A$60,0),MATCH(O$8,'Unique Asset List'!$D$3:$M$3,0))</f>
        <v>0</v>
      </c>
      <c r="P55" s="17">
        <f>INDEX('Unique Asset List'!$D$4:$M$60,MATCH($B55,'Unique Asset List'!$A$4:$A$60,0),MATCH(P$8,'Unique Asset List'!$D$3:$M$3,0))</f>
        <v>0</v>
      </c>
      <c r="Q55" s="17">
        <f>INDEX('Unique Asset List'!$D$4:$M$60,MATCH($B55,'Unique Asset List'!$A$4:$A$60,0),MATCH(Q$8,'Unique Asset List'!$D$3:$M$3,0))</f>
        <v>0</v>
      </c>
      <c r="R55" s="17">
        <f>INDEX('Unique Asset List'!$D$4:$M$60,MATCH($B55,'Unique Asset List'!$A$4:$A$60,0),MATCH(R$8,'Unique Asset List'!$D$3:$M$3,0))</f>
        <v>0</v>
      </c>
      <c r="S55" s="17">
        <f>INDEX('Unique Asset List'!$D$4:$M$60,MATCH($B55,'Unique Asset List'!$A$4:$A$60,0),MATCH(S$8,'Unique Asset List'!$D$3:$M$3,0))</f>
        <v>0</v>
      </c>
      <c r="T55" s="17"/>
      <c r="U55" s="17">
        <f t="shared" si="13"/>
        <v>0</v>
      </c>
      <c r="V55" s="17">
        <v>1</v>
      </c>
      <c r="W55" s="9" t="s">
        <v>0</v>
      </c>
      <c r="X55" s="9">
        <f>INDEX('Unique Asset List'!$Y$4:$AE$60,MATCH('2'!$B55,'Unique Asset List'!$A$4:$A$60,0),MATCH('2'!$C$1,'Unique Asset List'!$Y$3:$AE$3,0))</f>
        <v>2051</v>
      </c>
      <c r="Y55" s="9">
        <f>INDEX('Unique Asset List'!$AF$4:$AL$60,MATCH('2'!$B55,'Unique Asset List'!$A$4:$A$60,0),MATCH('2'!$C$1,'Unique Asset List'!$AF$3:$AL$3,0))</f>
        <v>6</v>
      </c>
      <c r="Z55" s="9">
        <f>INDEX('Unique Asset List'!$AT$4:$AZ$60,MATCH('2'!$B55,'Unique Asset List'!$A$4:$A$60,0),MATCH('2'!$C$1,'Unique Asset List'!$AT$3:$AZ$3,0))</f>
        <v>2060</v>
      </c>
      <c r="AA55" s="9">
        <f>INDEX('Unique Asset List'!$BA$4:$BG$60,MATCH('2'!$B55,'Unique Asset List'!$A$4:$A$60,0),MATCH('2'!$C$1,'Unique Asset List'!$BA$3:$BG$3,0))</f>
        <v>6</v>
      </c>
      <c r="AB55" s="16">
        <f t="shared" si="14"/>
        <v>0</v>
      </c>
      <c r="AC55" s="16">
        <f t="shared" si="15"/>
        <v>0</v>
      </c>
      <c r="AD55" s="16">
        <f t="shared" si="16"/>
        <v>0</v>
      </c>
      <c r="AE55" s="15">
        <f>INDEX('Unique Asset List'!$CJ$4:$CP$60,MATCH('2'!$B55,'Unique Asset List'!$A$4:$A$60,0),MATCH('2'!$C$1,'Unique Asset List'!$CJ$3:$CP$3,0))</f>
        <v>0.2</v>
      </c>
      <c r="AF55" s="15">
        <f>INDEX('Unique Asset List'!$CQ$4:$CW$60,MATCH('2'!$B55,'Unique Asset List'!$A$4:$A$60,0),MATCH('2'!$C$1,'Unique Asset List'!$CQ$3:$CW$3,0))</f>
        <v>0.3</v>
      </c>
      <c r="AG55" s="15">
        <f>INDEX('Unique Asset List'!$BV$4:$CB$60,MATCH('2'!$B55,'Unique Asset List'!$A$4:$A$60,0),MATCH('2'!$C$1,'Unique Asset List'!$BV$3:$CB$3,0))</f>
        <v>0.2</v>
      </c>
      <c r="AH55" s="15">
        <f>INDEX('Unique Asset List'!$CC$4:$CI$60,MATCH('2'!$B55,'Unique Asset List'!$A$4:$A$60,0),MATCH('2'!$C$1,'Unique Asset List'!$CC$3:$CI$3,0))</f>
        <v>0.3</v>
      </c>
      <c r="AI55" s="11">
        <v>0.96187963349867744</v>
      </c>
      <c r="AJ55" s="15">
        <f>INDEX('Unique Asset List'!$BH$4:$BN$60,MATCH('2'!$B55,'Unique Asset List'!$A$4:$A$60,0),MATCH('2'!$C$1,'Unique Asset List'!$BH$3:$BN$3,0))</f>
        <v>2.2612105538192599</v>
      </c>
      <c r="AK55" s="15">
        <f>INDEX('Unique Asset List'!$BO$4:$BU$60,MATCH('2'!$B55,'Unique Asset List'!$A$4:$A$60,0),MATCH('2'!$C$1,'Unique Asset List'!$BO$3:$BU$3,0))</f>
        <v>-1.7475682675103321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9"/>
        <v>0.82</v>
      </c>
      <c r="AS55" s="10">
        <v>1</v>
      </c>
      <c r="AT55" s="181">
        <f>INDEX('Unique Asset List'!N$4:N$60,MATCH($B55,_CompoundList,0))</f>
        <v>0</v>
      </c>
      <c r="AU55" s="181">
        <f>INDEX('Unique Asset List'!O$4:O$60,MATCH($B55,_CompoundList,0))</f>
        <v>0</v>
      </c>
      <c r="AV55" s="181">
        <f>INDEX('Unique Asset List'!P$4:P$60,MATCH($B55,_CompoundList,0))</f>
        <v>0</v>
      </c>
      <c r="AW55" s="181">
        <f>INDEX('Unique Asset List'!Q$4:Q$60,MATCH($B55,_CompoundList,0))</f>
        <v>0</v>
      </c>
      <c r="AX55" s="181">
        <f ca="1">INDEX('Unique Asset List'!R$4:R$60,MATCH($B55,_CompoundList,0))</f>
        <v>0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0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0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IF($C$5="ON",CL55,MyRating(_S1,$B55,'S&amp;T'!$F$1))</f>
        <v>0</v>
      </c>
      <c r="BM55" s="3">
        <f>IF($C$5="ON",CM55,MyRating(_S2,$B55,'S&amp;T'!$F$1))</f>
        <v>0</v>
      </c>
      <c r="BN55" s="3">
        <f>IF($C$5="ON",CN55,MyRating(_S3,$B55,'S&amp;T'!$F$1))</f>
        <v>0</v>
      </c>
      <c r="BO55" s="3">
        <f>IF($C$5="ON",CO55,MyRating(_S4,$B55,'S&amp;T'!$F$1))</f>
        <v>0</v>
      </c>
      <c r="BP55" s="3">
        <f>IF($C$5="ON",CP55,MyRating(_S5,$B55,'S&amp;T'!$F$1))</f>
        <v>0</v>
      </c>
      <c r="BQ55" s="3">
        <f>IF($C$5="ON",CQ55,MyRating(_S6,$B55,'S&amp;T'!$F$1))</f>
        <v>0</v>
      </c>
      <c r="BR55" s="3">
        <f>IF($C$5="ON",CR55,MyRating(_S7,$B55,'S&amp;T'!$F$1))</f>
        <v>0</v>
      </c>
      <c r="BS55" s="3">
        <f>IF($C$5="ON",CS55,MyRating(_D1,$B55,Delivery!$F$1))</f>
        <v>0</v>
      </c>
      <c r="BT55" s="3">
        <f>IF($C$5="ON",CT55,MyRating(_D2,$B55,Delivery!$F$1))</f>
        <v>0</v>
      </c>
      <c r="BU55" s="3">
        <f>IF($C$5="ON",CU55,MyRating(_D3,$B55,Delivery!$F$1))</f>
        <v>0</v>
      </c>
      <c r="BV55" s="3">
        <f>IF($C$5="ON",CV55,MyRating(_D4,$B55,Delivery!$F$1))</f>
        <v>0</v>
      </c>
      <c r="BW55" s="3">
        <f>IF($C$5="ON",CW55,MyRating(_B1G5,$B55,Barrier!$L$2))</f>
        <v>0</v>
      </c>
      <c r="BX55" s="3">
        <f>IF($C$5="ON",CX55,MyRating(_B2,$B55,Barrier!$F$2))</f>
        <v>0</v>
      </c>
      <c r="BY55" s="6">
        <f>IF($C$5="ON",CY55,MyRating(_B3,$B55,Barrier!$F$2))</f>
        <v>0</v>
      </c>
      <c r="BZ55" s="5">
        <f t="shared" si="8"/>
        <v>0</v>
      </c>
      <c r="CA55" s="8">
        <f t="shared" si="10"/>
        <v>0</v>
      </c>
      <c r="CB55" s="5">
        <f t="shared" si="11"/>
        <v>0</v>
      </c>
      <c r="CC55" s="7">
        <f t="shared" si="12"/>
        <v>0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>
        <v>0</v>
      </c>
    </row>
    <row r="56" spans="1:104" x14ac:dyDescent="0.25">
      <c r="A56" s="9" t="s">
        <v>178</v>
      </c>
      <c r="B56" s="9" t="s">
        <v>184</v>
      </c>
      <c r="C56" s="20" t="s">
        <v>3</v>
      </c>
      <c r="D56" s="9" t="s">
        <v>2</v>
      </c>
      <c r="E56" s="9"/>
      <c r="F56" s="9" t="str">
        <f>INDEX('Unique Asset List'!$C$4:$C$60,MATCH(B56,_CompoundList,0))</f>
        <v>PCD</v>
      </c>
      <c r="G56" s="19">
        <v>0</v>
      </c>
      <c r="H56" s="9">
        <v>2014</v>
      </c>
      <c r="I56" s="9">
        <v>6</v>
      </c>
      <c r="J56" s="18">
        <f>INDEX(PTRS!$D$6:$D$12,MATCH('2'!$F56,PTRS!$B$6:$B$12,0))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v>0.1044225</v>
      </c>
      <c r="N56" s="17">
        <f>INDEX('Unique Asset List'!$D$4:$M$60,MATCH($B56,'Unique Asset List'!$A$4:$A$60,0),MATCH(N$8,'Unique Asset List'!$D$3:$M$3,0))</f>
        <v>0</v>
      </c>
      <c r="O56" s="17">
        <f>INDEX('Unique Asset List'!$D$4:$M$60,MATCH($B56,'Unique Asset List'!$A$4:$A$60,0),MATCH(O$8,'Unique Asset List'!$D$3:$M$3,0))</f>
        <v>0</v>
      </c>
      <c r="P56" s="17">
        <f>INDEX('Unique Asset List'!$D$4:$M$60,MATCH($B56,'Unique Asset List'!$A$4:$A$60,0),MATCH(P$8,'Unique Asset List'!$D$3:$M$3,0))</f>
        <v>0</v>
      </c>
      <c r="Q56" s="17">
        <f>INDEX('Unique Asset List'!$D$4:$M$60,MATCH($B56,'Unique Asset List'!$A$4:$A$60,0),MATCH(Q$8,'Unique Asset List'!$D$3:$M$3,0))</f>
        <v>0</v>
      </c>
      <c r="R56" s="17">
        <f>INDEX('Unique Asset List'!$D$4:$M$60,MATCH($B56,'Unique Asset List'!$A$4:$A$60,0),MATCH(R$8,'Unique Asset List'!$D$3:$M$3,0))</f>
        <v>0</v>
      </c>
      <c r="S56" s="17">
        <f>INDEX('Unique Asset List'!$D$4:$M$60,MATCH($B56,'Unique Asset List'!$A$4:$A$60,0),MATCH(S$8,'Unique Asset List'!$D$3:$M$3,0))</f>
        <v>0</v>
      </c>
      <c r="T56" s="17"/>
      <c r="U56" s="17">
        <f t="shared" si="13"/>
        <v>0</v>
      </c>
      <c r="V56" s="17">
        <v>1</v>
      </c>
      <c r="W56" s="9" t="s">
        <v>0</v>
      </c>
      <c r="X56" s="9">
        <f>INDEX('Unique Asset List'!$Y$4:$AE$60,MATCH('2'!$B56,'Unique Asset List'!$A$4:$A$60,0),MATCH('2'!$C$1,'Unique Asset List'!$Y$3:$AE$3,0))</f>
        <v>2051</v>
      </c>
      <c r="Y56" s="9">
        <f>INDEX('Unique Asset List'!$AF$4:$AL$60,MATCH('2'!$B56,'Unique Asset List'!$A$4:$A$60,0),MATCH('2'!$C$1,'Unique Asset List'!$AF$3:$AL$3,0))</f>
        <v>6</v>
      </c>
      <c r="Z56" s="9">
        <f>INDEX('Unique Asset List'!$AT$4:$AZ$60,MATCH('2'!$B56,'Unique Asset List'!$A$4:$A$60,0),MATCH('2'!$C$1,'Unique Asset List'!$AT$3:$AZ$3,0))</f>
        <v>2060</v>
      </c>
      <c r="AA56" s="9">
        <f>INDEX('Unique Asset List'!$BA$4:$BG$60,MATCH('2'!$B56,'Unique Asset List'!$A$4:$A$60,0),MATCH('2'!$C$1,'Unique Asset List'!$BA$3:$BG$3,0))</f>
        <v>6</v>
      </c>
      <c r="AB56" s="16">
        <f t="shared" si="14"/>
        <v>0</v>
      </c>
      <c r="AC56" s="16">
        <f t="shared" si="15"/>
        <v>0</v>
      </c>
      <c r="AD56" s="16">
        <f t="shared" si="16"/>
        <v>0</v>
      </c>
      <c r="AE56" s="15">
        <f>INDEX('Unique Asset List'!$CJ$4:$CP$60,MATCH('2'!$B56,'Unique Asset List'!$A$4:$A$60,0),MATCH('2'!$C$1,'Unique Asset List'!$CJ$3:$CP$3,0))</f>
        <v>0.2</v>
      </c>
      <c r="AF56" s="15">
        <f>INDEX('Unique Asset List'!$CQ$4:$CW$60,MATCH('2'!$B56,'Unique Asset List'!$A$4:$A$60,0),MATCH('2'!$C$1,'Unique Asset List'!$CQ$3:$CW$3,0))</f>
        <v>0.3</v>
      </c>
      <c r="AG56" s="15">
        <f>INDEX('Unique Asset List'!$BV$4:$CB$60,MATCH('2'!$B56,'Unique Asset List'!$A$4:$A$60,0),MATCH('2'!$C$1,'Unique Asset List'!$BV$3:$CB$3,0))</f>
        <v>0.2</v>
      </c>
      <c r="AH56" s="15">
        <f>INDEX('Unique Asset List'!$CC$4:$CI$60,MATCH('2'!$B56,'Unique Asset List'!$A$4:$A$60,0),MATCH('2'!$C$1,'Unique Asset List'!$CC$3:$CI$3,0))</f>
        <v>0.3</v>
      </c>
      <c r="AI56" s="11">
        <v>0.96187963349867744</v>
      </c>
      <c r="AJ56" s="15">
        <f>INDEX('Unique Asset List'!$BH$4:$BN$60,MATCH('2'!$B56,'Unique Asset List'!$A$4:$A$60,0),MATCH('2'!$C$1,'Unique Asset List'!$BH$3:$BN$3,0))</f>
        <v>2.2612105538192599</v>
      </c>
      <c r="AK56" s="15">
        <f>INDEX('Unique Asset List'!$BO$4:$BU$60,MATCH('2'!$B56,'Unique Asset List'!$A$4:$A$60,0),MATCH('2'!$C$1,'Unique Asset List'!$BO$3:$BU$3,0))</f>
        <v>-1.7475682675103321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9"/>
        <v>0.82</v>
      </c>
      <c r="AS56" s="10">
        <v>1</v>
      </c>
      <c r="AT56" s="181">
        <f>INDEX('Unique Asset List'!N$4:N$60,MATCH($B56,_CompoundList,0))</f>
        <v>0</v>
      </c>
      <c r="AU56" s="181">
        <f>INDEX('Unique Asset List'!O$4:O$60,MATCH($B56,_CompoundList,0))</f>
        <v>0</v>
      </c>
      <c r="AV56" s="181">
        <f>INDEX('Unique Asset List'!P$4:P$60,MATCH($B56,_CompoundList,0))</f>
        <v>0</v>
      </c>
      <c r="AW56" s="181">
        <f>INDEX('Unique Asset List'!Q$4:Q$60,MATCH($B56,_CompoundList,0))</f>
        <v>0</v>
      </c>
      <c r="AX56" s="181">
        <f ca="1">INDEX('Unique Asset List'!R$4:R$60,MATCH($B56,_CompoundList,0))</f>
        <v>0</v>
      </c>
      <c r="AY56" s="181">
        <f ca="1">INDEX('Unique Asset List'!S$4:S$60,MATCH($B56,_CompoundList,0))</f>
        <v>0</v>
      </c>
      <c r="AZ56" s="181">
        <f ca="1">INDEX('Unique Asset List'!T$4:T$60,MATCH($B56,_CompoundList,0))</f>
        <v>0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0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IF($C$5="ON",CL56,MyRating(_S1,$B56,'S&amp;T'!$F$1))</f>
        <v>0</v>
      </c>
      <c r="BM56" s="3">
        <f>IF($C$5="ON",CM56,MyRating(_S2,$B56,'S&amp;T'!$F$1))</f>
        <v>0</v>
      </c>
      <c r="BN56" s="3">
        <f>IF($C$5="ON",CN56,MyRating(_S3,$B56,'S&amp;T'!$F$1))</f>
        <v>0</v>
      </c>
      <c r="BO56" s="3">
        <f>IF($C$5="ON",CO56,MyRating(_S4,$B56,'S&amp;T'!$F$1))</f>
        <v>0</v>
      </c>
      <c r="BP56" s="3">
        <f>IF($C$5="ON",CP56,MyRating(_S5,$B56,'S&amp;T'!$F$1))</f>
        <v>0</v>
      </c>
      <c r="BQ56" s="3">
        <f>IF($C$5="ON",CQ56,MyRating(_S6,$B56,'S&amp;T'!$F$1))</f>
        <v>0</v>
      </c>
      <c r="BR56" s="3">
        <f>IF($C$5="ON",CR56,MyRating(_S7,$B56,'S&amp;T'!$F$1))</f>
        <v>0</v>
      </c>
      <c r="BS56" s="3">
        <f>IF($C$5="ON",CS56,MyRating(_D1,$B56,Delivery!$F$1))</f>
        <v>0</v>
      </c>
      <c r="BT56" s="3">
        <f>IF($C$5="ON",CT56,MyRating(_D2,$B56,Delivery!$F$1))</f>
        <v>0</v>
      </c>
      <c r="BU56" s="3">
        <f>IF($C$5="ON",CU56,MyRating(_D3,$B56,Delivery!$F$1))</f>
        <v>0</v>
      </c>
      <c r="BV56" s="3">
        <f>IF($C$5="ON",CV56,MyRating(_D4,$B56,Delivery!$F$1))</f>
        <v>0</v>
      </c>
      <c r="BW56" s="3">
        <f>IF($C$5="ON",CW56,MyRating(_B1G5,$B56,Barrier!$L$2))</f>
        <v>0</v>
      </c>
      <c r="BX56" s="3">
        <f>IF($C$5="ON",CX56,MyRating(_B2,$B56,Barrier!$F$2))</f>
        <v>0</v>
      </c>
      <c r="BY56" s="6">
        <f>IF($C$5="ON",CY56,MyRating(_B3,$B56,Barrier!$F$2))</f>
        <v>0</v>
      </c>
      <c r="BZ56" s="5">
        <f t="shared" si="8"/>
        <v>0</v>
      </c>
      <c r="CA56" s="8">
        <f t="shared" si="10"/>
        <v>0</v>
      </c>
      <c r="CB56" s="5">
        <f t="shared" si="11"/>
        <v>0</v>
      </c>
      <c r="CC56" s="7">
        <f t="shared" si="12"/>
        <v>0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>
        <v>0</v>
      </c>
    </row>
    <row r="57" spans="1:104" x14ac:dyDescent="0.25">
      <c r="A57" s="9" t="s">
        <v>178</v>
      </c>
      <c r="B57" s="9" t="s">
        <v>183</v>
      </c>
      <c r="C57" s="20" t="s">
        <v>3</v>
      </c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2014</v>
      </c>
      <c r="I57" s="9">
        <v>6</v>
      </c>
      <c r="J57" s="18">
        <f>INDEX(PTRS!$D$6:$D$12,MATCH('2'!$F57,PTRS!$B$6:$B$12,0))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v>0.1044225</v>
      </c>
      <c r="N57" s="17">
        <f>INDEX('Unique Asset List'!$D$4:$M$60,MATCH($B57,'Unique Asset List'!$A$4:$A$60,0),MATCH(N$8,'Unique Asset List'!$D$3:$M$3,0))</f>
        <v>0</v>
      </c>
      <c r="O57" s="17">
        <f>INDEX('Unique Asset List'!$D$4:$M$60,MATCH($B57,'Unique Asset List'!$A$4:$A$60,0),MATCH(O$8,'Unique Asset List'!$D$3:$M$3,0))</f>
        <v>0</v>
      </c>
      <c r="P57" s="17">
        <f>INDEX('Unique Asset List'!$D$4:$M$60,MATCH($B57,'Unique Asset List'!$A$4:$A$60,0),MATCH(P$8,'Unique Asset List'!$D$3:$M$3,0))</f>
        <v>0</v>
      </c>
      <c r="Q57" s="17">
        <f>INDEX('Unique Asset List'!$D$4:$M$60,MATCH($B57,'Unique Asset List'!$A$4:$A$60,0),MATCH(Q$8,'Unique Asset List'!$D$3:$M$3,0))</f>
        <v>0</v>
      </c>
      <c r="R57" s="17">
        <f>INDEX('Unique Asset List'!$D$4:$M$60,MATCH($B57,'Unique Asset List'!$A$4:$A$60,0),MATCH(R$8,'Unique Asset List'!$D$3:$M$3,0))</f>
        <v>0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13"/>
        <v>0</v>
      </c>
      <c r="V57" s="17">
        <v>1</v>
      </c>
      <c r="W57" s="9" t="s">
        <v>0</v>
      </c>
      <c r="X57" s="9">
        <f>INDEX('Unique Asset List'!$Y$4:$AE$60,MATCH('2'!$B57,'Unique Asset List'!$A$4:$A$60,0),MATCH('2'!$C$1,'Unique Asset List'!$Y$3:$AE$3,0))</f>
        <v>2051</v>
      </c>
      <c r="Y57" s="9">
        <f>INDEX('Unique Asset List'!$AF$4:$AL$60,MATCH('2'!$B57,'Unique Asset List'!$A$4:$A$60,0),MATCH('2'!$C$1,'Unique Asset List'!$AF$3:$AL$3,0))</f>
        <v>6</v>
      </c>
      <c r="Z57" s="9">
        <f>INDEX('Unique Asset List'!$AT$4:$AZ$60,MATCH('2'!$B57,'Unique Asset List'!$A$4:$A$60,0),MATCH('2'!$C$1,'Unique Asset List'!$AT$3:$AZ$3,0))</f>
        <v>2060</v>
      </c>
      <c r="AA57" s="9">
        <f>INDEX('Unique Asset List'!$BA$4:$BG$60,MATCH('2'!$B57,'Unique Asset List'!$A$4:$A$60,0),MATCH('2'!$C$1,'Unique Asset List'!$BA$3:$BG$3,0))</f>
        <v>6</v>
      </c>
      <c r="AB57" s="16">
        <f t="shared" si="14"/>
        <v>0</v>
      </c>
      <c r="AC57" s="16">
        <f t="shared" si="15"/>
        <v>0</v>
      </c>
      <c r="AD57" s="16">
        <f t="shared" si="16"/>
        <v>0</v>
      </c>
      <c r="AE57" s="15">
        <f>INDEX('Unique Asset List'!$CJ$4:$CP$60,MATCH('2'!$B57,'Unique Asset List'!$A$4:$A$60,0),MATCH('2'!$C$1,'Unique Asset List'!$CJ$3:$CP$3,0))</f>
        <v>0.2</v>
      </c>
      <c r="AF57" s="15">
        <f>INDEX('Unique Asset List'!$CQ$4:$CW$60,MATCH('2'!$B57,'Unique Asset List'!$A$4:$A$60,0),MATCH('2'!$C$1,'Unique Asset List'!$CQ$3:$CW$3,0))</f>
        <v>0.3</v>
      </c>
      <c r="AG57" s="15">
        <f>INDEX('Unique Asset List'!$BV$4:$CB$60,MATCH('2'!$B57,'Unique Asset List'!$A$4:$A$60,0),MATCH('2'!$C$1,'Unique Asset List'!$BV$3:$CB$3,0))</f>
        <v>0.2</v>
      </c>
      <c r="AH57" s="15">
        <f>INDEX('Unique Asset List'!$CC$4:$CI$60,MATCH('2'!$B57,'Unique Asset List'!$A$4:$A$60,0),MATCH('2'!$C$1,'Unique Asset List'!$CC$3:$CI$3,0))</f>
        <v>0.3</v>
      </c>
      <c r="AI57" s="11">
        <v>0.96187963349867744</v>
      </c>
      <c r="AJ57" s="15">
        <f>INDEX('Unique Asset List'!$BH$4:$BN$60,MATCH('2'!$B57,'Unique Asset List'!$A$4:$A$60,0),MATCH('2'!$C$1,'Unique Asset List'!$BH$3:$BN$3,0))</f>
        <v>2.2612105538192599</v>
      </c>
      <c r="AK57" s="15">
        <f>INDEX('Unique Asset List'!$BO$4:$BU$60,MATCH('2'!$B57,'Unique Asset List'!$A$4:$A$60,0),MATCH('2'!$C$1,'Unique Asset List'!$BO$3:$BU$3,0))</f>
        <v>-1.7475682675103321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9"/>
        <v>0.82</v>
      </c>
      <c r="AS57" s="10">
        <v>1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1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1</v>
      </c>
      <c r="BB57" s="181">
        <f ca="1">INDEX('Unique Asset List'!V$4:V$60,MATCH($B57,_CompoundList,0))</f>
        <v>1</v>
      </c>
      <c r="BC57" s="181">
        <f ca="1">INDEX('Unique Asset List'!W$4:W$60,MATCH($B57,_CompoundList,0))</f>
        <v>0</v>
      </c>
      <c r="BD57" s="4">
        <f>IF($C$5="ON",CD57,MyRating(_E1,$B57,Efficacy!$F$1))</f>
        <v>0</v>
      </c>
      <c r="BE57" s="3">
        <f>IF($C$5="ON",CE57,MyRating(_E2,$B57,Efficacy!$F$1))</f>
        <v>0</v>
      </c>
      <c r="BF57" s="3">
        <f>IF($C$5="ON",CF57,MyRating(_E3,$B57,Efficacy!$F$1))</f>
        <v>0</v>
      </c>
      <c r="BG57" s="3">
        <f>IF($C$5="ON",CG57,MyRating(_E4,$B57,Efficacy!$F$1))</f>
        <v>0</v>
      </c>
      <c r="BH57" s="3">
        <f>IF($C$5="ON",CH57,MyRating(_E5,$B57,Efficacy!$F$1))</f>
        <v>0</v>
      </c>
      <c r="BI57" s="3">
        <f>IF($C$5="ON",CI57,MyRating(_E6,$B57,Efficacy!$F$1))</f>
        <v>0</v>
      </c>
      <c r="BJ57" s="3">
        <f>IF($C$5="ON",CJ57,MyRating(_E7,$B57,Efficacy!$F$1))</f>
        <v>0</v>
      </c>
      <c r="BK57" s="3">
        <f>IF($C$5="ON",CK57,MyRating(_E8,$B57,Efficacy!$F$1))</f>
        <v>0</v>
      </c>
      <c r="BL57" s="3">
        <f>IF($C$5="ON",CL57,MyRating(_S1,$B57,'S&amp;T'!$F$1))</f>
        <v>0</v>
      </c>
      <c r="BM57" s="3">
        <f>IF($C$5="ON",CM57,MyRating(_S2,$B57,'S&amp;T'!$F$1))</f>
        <v>0</v>
      </c>
      <c r="BN57" s="3">
        <f>IF($C$5="ON",CN57,MyRating(_S3,$B57,'S&amp;T'!$F$1))</f>
        <v>0</v>
      </c>
      <c r="BO57" s="3">
        <f>IF($C$5="ON",CO57,MyRating(_S4,$B57,'S&amp;T'!$F$1))</f>
        <v>0</v>
      </c>
      <c r="BP57" s="3">
        <f>IF($C$5="ON",CP57,MyRating(_S5,$B57,'S&amp;T'!$F$1))</f>
        <v>0</v>
      </c>
      <c r="BQ57" s="3">
        <f>IF($C$5="ON",CQ57,MyRating(_S6,$B57,'S&amp;T'!$F$1))</f>
        <v>0</v>
      </c>
      <c r="BR57" s="3">
        <f>IF($C$5="ON",CR57,MyRating(_S7,$B57,'S&amp;T'!$F$1))</f>
        <v>0</v>
      </c>
      <c r="BS57" s="3">
        <f>IF($C$5="ON",CS57,MyRating(_D1,$B57,Delivery!$F$1))</f>
        <v>0</v>
      </c>
      <c r="BT57" s="3">
        <f>IF($C$5="ON",CT57,MyRating(_D2,$B57,Delivery!$F$1))</f>
        <v>0</v>
      </c>
      <c r="BU57" s="3">
        <f>IF($C$5="ON",CU57,MyRating(_D3,$B57,Delivery!$F$1))</f>
        <v>0</v>
      </c>
      <c r="BV57" s="3">
        <f>IF($C$5="ON",CV57,MyRating(_D4,$B57,Delivery!$F$1))</f>
        <v>0</v>
      </c>
      <c r="BW57" s="3">
        <f>IF($C$5="ON",CW57,MyRating(_B1G5,$B57,Barrier!$L$2))</f>
        <v>0</v>
      </c>
      <c r="BX57" s="3">
        <f>IF($C$5="ON",CX57,MyRating(_B2,$B57,Barrier!$F$2))</f>
        <v>0</v>
      </c>
      <c r="BY57" s="6">
        <f>IF($C$5="ON",CY57,MyRating(_B3,$B57,Barrier!$F$2))</f>
        <v>0</v>
      </c>
      <c r="BZ57" s="5">
        <f t="shared" si="8"/>
        <v>0</v>
      </c>
      <c r="CA57" s="8">
        <f t="shared" si="10"/>
        <v>0</v>
      </c>
      <c r="CB57" s="5">
        <f t="shared" si="11"/>
        <v>0</v>
      </c>
      <c r="CC57" s="7">
        <f t="shared" si="12"/>
        <v>0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>
        <v>0</v>
      </c>
    </row>
    <row r="58" spans="1:104" x14ac:dyDescent="0.25">
      <c r="A58" s="9" t="s">
        <v>178</v>
      </c>
      <c r="B58" s="9" t="s">
        <v>182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2014</v>
      </c>
      <c r="I58" s="9">
        <v>6</v>
      </c>
      <c r="J58" s="18">
        <f>INDEX(PTRS!$D$6:$D$12,MATCH('2'!$F58,PTRS!$B$6:$B$12,0))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v>0.1044225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 t="shared" si="13"/>
        <v>0</v>
      </c>
      <c r="V58" s="17">
        <v>1</v>
      </c>
      <c r="W58" s="9" t="s">
        <v>0</v>
      </c>
      <c r="X58" s="9">
        <f>INDEX('Unique Asset List'!$Y$4:$AE$60,MATCH('2'!$B58,'Unique Asset List'!$A$4:$A$60,0),MATCH('2'!$C$1,'Unique Asset List'!$Y$3:$AE$3,0))</f>
        <v>2051</v>
      </c>
      <c r="Y58" s="9">
        <f>INDEX('Unique Asset List'!$AF$4:$AL$60,MATCH('2'!$B58,'Unique Asset List'!$A$4:$A$60,0),MATCH('2'!$C$1,'Unique Asset List'!$AF$3:$AL$3,0))</f>
        <v>6</v>
      </c>
      <c r="Z58" s="9">
        <f>INDEX('Unique Asset List'!$AT$4:$AZ$60,MATCH('2'!$B58,'Unique Asset List'!$A$4:$A$60,0),MATCH('2'!$C$1,'Unique Asset List'!$AT$3:$AZ$3,0))</f>
        <v>2060</v>
      </c>
      <c r="AA58" s="9">
        <f>INDEX('Unique Asset List'!$BA$4:$BG$60,MATCH('2'!$B58,'Unique Asset List'!$A$4:$A$60,0),MATCH('2'!$C$1,'Unique Asset List'!$BA$3:$BG$3,0))</f>
        <v>6</v>
      </c>
      <c r="AB58" s="16">
        <f t="shared" si="14"/>
        <v>0</v>
      </c>
      <c r="AC58" s="16">
        <f t="shared" si="15"/>
        <v>0</v>
      </c>
      <c r="AD58" s="16">
        <f t="shared" si="16"/>
        <v>0</v>
      </c>
      <c r="AE58" s="15">
        <f>INDEX('Unique Asset List'!$CJ$4:$CP$60,MATCH('2'!$B58,'Unique Asset List'!$A$4:$A$60,0),MATCH('2'!$C$1,'Unique Asset List'!$CJ$3:$CP$3,0))</f>
        <v>0.2</v>
      </c>
      <c r="AF58" s="15">
        <f>INDEX('Unique Asset List'!$CQ$4:$CW$60,MATCH('2'!$B58,'Unique Asset List'!$A$4:$A$60,0),MATCH('2'!$C$1,'Unique Asset List'!$CQ$3:$CW$3,0))</f>
        <v>0.3</v>
      </c>
      <c r="AG58" s="15">
        <f>INDEX('Unique Asset List'!$BV$4:$CB$60,MATCH('2'!$B58,'Unique Asset List'!$A$4:$A$60,0),MATCH('2'!$C$1,'Unique Asset List'!$BV$3:$CB$3,0))</f>
        <v>0.2</v>
      </c>
      <c r="AH58" s="15">
        <f>INDEX('Unique Asset List'!$CC$4:$CI$60,MATCH('2'!$B58,'Unique Asset List'!$A$4:$A$60,0),MATCH('2'!$C$1,'Unique Asset List'!$CC$3:$CI$3,0))</f>
        <v>0.3</v>
      </c>
      <c r="AI58" s="11">
        <v>0.96187963349867744</v>
      </c>
      <c r="AJ58" s="15">
        <f>INDEX('Unique Asset List'!$BH$4:$BN$60,MATCH('2'!$B58,'Unique Asset List'!$A$4:$A$60,0),MATCH('2'!$C$1,'Unique Asset List'!$BH$3:$BN$3,0))</f>
        <v>2.2612105538192599</v>
      </c>
      <c r="AK58" s="15">
        <f>INDEX('Unique Asset List'!$BO$4:$BU$60,MATCH('2'!$B58,'Unique Asset List'!$A$4:$A$60,0),MATCH('2'!$C$1,'Unique Asset List'!$BO$3:$BU$3,0))</f>
        <v>-1.7475682675103321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9"/>
        <v>0.82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1</v>
      </c>
      <c r="AY58" s="181">
        <f ca="1">INDEX('Unique Asset List'!S$4:S$60,MATCH($B58,_CompoundList,0))</f>
        <v>0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1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IF($C$5="ON",CL58,MyRating(_S1,$B58,'S&amp;T'!$F$1))</f>
        <v>0</v>
      </c>
      <c r="BM58" s="3">
        <f>IF($C$5="ON",CM58,MyRating(_S2,$B58,'S&amp;T'!$F$1))</f>
        <v>0</v>
      </c>
      <c r="BN58" s="3">
        <f>IF($C$5="ON",CN58,MyRating(_S3,$B58,'S&amp;T'!$F$1))</f>
        <v>0</v>
      </c>
      <c r="BO58" s="3">
        <f>IF($C$5="ON",CO58,MyRating(_S4,$B58,'S&amp;T'!$F$1))</f>
        <v>0</v>
      </c>
      <c r="BP58" s="3">
        <f>IF($C$5="ON",CP58,MyRating(_S5,$B58,'S&amp;T'!$F$1))</f>
        <v>0</v>
      </c>
      <c r="BQ58" s="3">
        <f>IF($C$5="ON",CQ58,MyRating(_S6,$B58,'S&amp;T'!$F$1))</f>
        <v>0</v>
      </c>
      <c r="BR58" s="3">
        <f>IF($C$5="ON",CR58,MyRating(_S7,$B58,'S&amp;T'!$F$1))</f>
        <v>0</v>
      </c>
      <c r="BS58" s="3">
        <f>IF($C$5="ON",CS58,MyRating(_D1,$B58,Delivery!$F$1))</f>
        <v>0</v>
      </c>
      <c r="BT58" s="3">
        <f>IF($C$5="ON",CT58,MyRating(_D2,$B58,Delivery!$F$1))</f>
        <v>0</v>
      </c>
      <c r="BU58" s="3">
        <f>IF($C$5="ON",CU58,MyRating(_D3,$B58,Delivery!$F$1))</f>
        <v>0</v>
      </c>
      <c r="BV58" s="3">
        <f>IF($C$5="ON",CV58,MyRating(_D4,$B58,Delivery!$F$1))</f>
        <v>0</v>
      </c>
      <c r="BW58" s="3">
        <f>IF($C$5="ON",CW58,MyRating(_B1G5,$B58,Barrier!$L$2))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8"/>
        <v>0</v>
      </c>
      <c r="CA58" s="8">
        <f t="shared" si="10"/>
        <v>0</v>
      </c>
      <c r="CB58" s="5">
        <f t="shared" si="11"/>
        <v>0</v>
      </c>
      <c r="CC58" s="7">
        <f t="shared" si="12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>
        <v>0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1100-000000000000}">
      <formula1>"ON,OFF"</formula1>
    </dataValidation>
    <dataValidation type="list" allowBlank="1" showInputMessage="1" showErrorMessage="1" sqref="C1" xr:uid="{00000000-0002-0000-11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2000000}">
          <x14:formula1>
            <xm:f>'Unique Asset List'!$D$3:$M$3</xm:f>
          </x14:formula1>
          <xm:sqref>J1:S1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">
    <outlinePr summaryBelow="0" summaryRight="0"/>
  </sheetPr>
  <dimension ref="A1:DX58"/>
  <sheetViews>
    <sheetView workbookViewId="0">
      <selection sqref="A1:B1"/>
    </sheetView>
  </sheetViews>
  <sheetFormatPr defaultRowHeight="15" x14ac:dyDescent="0.25"/>
  <cols>
    <col min="1" max="1" width="6.7109375" bestFit="1" customWidth="1"/>
    <col min="2" max="2" width="24.5703125" bestFit="1" customWidth="1"/>
    <col min="3" max="3" width="4.85546875" bestFit="1" customWidth="1"/>
    <col min="4" max="4" width="12" bestFit="1" customWidth="1"/>
    <col min="5" max="5" width="9.42578125" bestFit="1" customWidth="1"/>
    <col min="6" max="6" width="9.5703125" bestFit="1" customWidth="1"/>
    <col min="7" max="7" width="12.140625" bestFit="1" customWidth="1"/>
    <col min="8" max="8" width="5.42578125" bestFit="1" customWidth="1"/>
    <col min="9" max="9" width="3.28515625" bestFit="1" customWidth="1"/>
    <col min="10" max="11" width="5.5703125" bestFit="1" customWidth="1"/>
    <col min="12" max="12" width="6" bestFit="1" customWidth="1"/>
    <col min="13" max="19" width="5.5703125" bestFit="1" customWidth="1"/>
    <col min="20" max="20" width="21.42578125" bestFit="1" customWidth="1"/>
    <col min="21" max="21" width="7.140625" bestFit="1" customWidth="1"/>
    <col min="22" max="22" width="4.85546875" bestFit="1" customWidth="1"/>
    <col min="23" max="23" width="9.140625" bestFit="1" customWidth="1"/>
    <col min="24" max="24" width="5.42578125" bestFit="1" customWidth="1"/>
    <col min="25" max="25" width="3.28515625" bestFit="1" customWidth="1"/>
    <col min="26" max="26" width="5.42578125" bestFit="1" customWidth="1"/>
    <col min="27" max="27" width="3.28515625" bestFit="1" customWidth="1"/>
    <col min="28" max="35" width="4.85546875" bestFit="1" customWidth="1"/>
    <col min="36" max="36" width="4.42578125" style="2" bestFit="1" customWidth="1"/>
    <col min="37" max="37" width="5.42578125" style="2" bestFit="1" customWidth="1"/>
    <col min="38" max="38" width="4.85546875" style="2" bestFit="1" customWidth="1"/>
    <col min="39" max="39" width="4.85546875" style="2" customWidth="1"/>
    <col min="40" max="40" width="5.42578125" bestFit="1" customWidth="1"/>
    <col min="41" max="41" width="6.5703125" style="2" bestFit="1" customWidth="1"/>
    <col min="42" max="42" width="4.85546875" bestFit="1" customWidth="1"/>
    <col min="43" max="43" width="6.28515625" bestFit="1" customWidth="1"/>
    <col min="44" max="45" width="4.85546875" bestFit="1" customWidth="1"/>
    <col min="46" max="55" width="2.85546875" bestFit="1" customWidth="1"/>
    <col min="56" max="56" width="4.85546875" bestFit="1" customWidth="1"/>
    <col min="57" max="73" width="3.85546875" bestFit="1" customWidth="1"/>
    <col min="74" max="74" width="4.85546875" bestFit="1" customWidth="1"/>
    <col min="75" max="75" width="6" customWidth="1"/>
    <col min="76" max="76" width="5.42578125" style="1" bestFit="1" customWidth="1"/>
    <col min="77" max="77" width="6.42578125" style="1" customWidth="1"/>
    <col min="78" max="78" width="5.5703125" style="1" bestFit="1" customWidth="1"/>
    <col min="79" max="79" width="5.28515625" style="1" customWidth="1"/>
    <col min="80" max="80" width="7.7109375" customWidth="1"/>
    <col min="81" max="82" width="4.85546875" bestFit="1" customWidth="1"/>
    <col min="83" max="99" width="3.85546875" bestFit="1" customWidth="1"/>
    <col min="100" max="101" width="4.85546875" bestFit="1" customWidth="1"/>
    <col min="102" max="102" width="5.42578125" style="1" bestFit="1" customWidth="1"/>
    <col min="103" max="103" width="3.42578125" bestFit="1" customWidth="1"/>
  </cols>
  <sheetData>
    <row r="1" spans="1:128" x14ac:dyDescent="0.25">
      <c r="A1" s="209" t="s">
        <v>181</v>
      </c>
      <c r="B1" s="211"/>
      <c r="C1" s="56" t="s">
        <v>5</v>
      </c>
      <c r="D1" s="55"/>
      <c r="E1" s="55"/>
      <c r="F1" s="209" t="s">
        <v>180</v>
      </c>
      <c r="G1" s="210"/>
      <c r="H1" s="210"/>
      <c r="I1" s="210"/>
      <c r="J1" s="212" t="str">
        <f>'Unique Asset List'!D2</f>
        <v>Portfolio 190214</v>
      </c>
      <c r="K1" s="213"/>
      <c r="L1" s="213"/>
      <c r="M1" s="213"/>
      <c r="N1" s="213"/>
      <c r="O1" s="213"/>
      <c r="P1" s="213"/>
      <c r="Q1" s="213"/>
      <c r="R1" s="213"/>
      <c r="S1" s="214"/>
      <c r="T1" s="209" t="s">
        <v>179</v>
      </c>
      <c r="U1" s="210"/>
      <c r="V1" s="210"/>
      <c r="W1" s="211"/>
      <c r="X1" s="47">
        <v>3</v>
      </c>
      <c r="AJ1"/>
      <c r="AK1"/>
      <c r="AL1"/>
      <c r="AM1"/>
      <c r="AO1"/>
      <c r="BY1" s="35"/>
    </row>
    <row r="2" spans="1:128" x14ac:dyDescent="0.25">
      <c r="B2" t="s">
        <v>172</v>
      </c>
      <c r="C2" s="48">
        <v>3</v>
      </c>
      <c r="F2" s="209" t="s">
        <v>171</v>
      </c>
      <c r="G2" s="210"/>
      <c r="H2" s="210"/>
      <c r="I2" s="210"/>
      <c r="J2" s="51" t="s">
        <v>170</v>
      </c>
      <c r="K2" s="9">
        <v>2014</v>
      </c>
      <c r="L2" s="51" t="s">
        <v>169</v>
      </c>
      <c r="M2" s="9">
        <v>6</v>
      </c>
      <c r="T2" s="209" t="s">
        <v>168</v>
      </c>
      <c r="U2" s="210"/>
      <c r="V2" s="210"/>
      <c r="W2" s="211"/>
      <c r="X2" s="47">
        <v>0.2</v>
      </c>
      <c r="AJ2"/>
      <c r="AK2"/>
      <c r="AL2"/>
      <c r="AM2"/>
      <c r="AO2"/>
      <c r="BY2" s="35"/>
    </row>
    <row r="3" spans="1:128" x14ac:dyDescent="0.25">
      <c r="B3" t="s">
        <v>166</v>
      </c>
      <c r="C3" s="48">
        <v>2</v>
      </c>
      <c r="T3" s="209" t="s">
        <v>165</v>
      </c>
      <c r="U3" s="210"/>
      <c r="V3" s="210"/>
      <c r="W3" s="211"/>
      <c r="X3" s="47">
        <v>-0.5</v>
      </c>
      <c r="AJ3"/>
      <c r="AK3"/>
      <c r="AL3"/>
      <c r="AM3"/>
      <c r="AO3"/>
      <c r="BY3" s="35"/>
    </row>
    <row r="4" spans="1:128" x14ac:dyDescent="0.25">
      <c r="B4" t="s">
        <v>163</v>
      </c>
      <c r="C4" s="45">
        <v>0.01</v>
      </c>
      <c r="T4" s="209" t="s">
        <v>162</v>
      </c>
      <c r="U4" s="210"/>
      <c r="V4" s="210"/>
      <c r="W4" s="211"/>
      <c r="X4" s="47">
        <v>3.5</v>
      </c>
      <c r="AJ4"/>
      <c r="AK4"/>
      <c r="AL4"/>
      <c r="AM4"/>
      <c r="AO4"/>
      <c r="BY4" s="35"/>
    </row>
    <row r="5" spans="1:128" x14ac:dyDescent="0.25">
      <c r="B5" t="s">
        <v>160</v>
      </c>
      <c r="C5" s="45" t="s">
        <v>3</v>
      </c>
      <c r="D5" s="44"/>
      <c r="U5" s="43"/>
      <c r="V5" s="42"/>
      <c r="AJ5"/>
      <c r="AK5"/>
      <c r="AL5"/>
      <c r="AM5"/>
      <c r="AO5"/>
      <c r="BY5" s="35"/>
    </row>
    <row r="6" spans="1:128" x14ac:dyDescent="0.25">
      <c r="G6" s="160"/>
      <c r="AJ6"/>
      <c r="AK6"/>
      <c r="AL6"/>
      <c r="AM6"/>
      <c r="AO6"/>
      <c r="BY6" s="35"/>
    </row>
    <row r="7" spans="1:128" x14ac:dyDescent="0.25">
      <c r="G7" s="42"/>
      <c r="AJ7"/>
      <c r="AK7"/>
      <c r="AL7"/>
      <c r="AM7"/>
      <c r="AO7"/>
      <c r="BD7" s="27">
        <f>IF($C$5="ON",CD7,INDEX(Conjoint!$F$9:$F$33,MATCH(BF8,Conjoint!$B$9:$B$33,0)))</f>
        <v>9.5090400000000005E-2</v>
      </c>
      <c r="BE7" s="27">
        <f>IF($C$5="ON",CE7,INDEX(Conjoint!$F$9:$F$33,MATCH(BG8,Conjoint!$B$9:$B$33,0)))</f>
        <v>8.2614000000000007E-2</v>
      </c>
      <c r="BF7" s="27">
        <f>IF($C$5="ON",CF7,INDEX(Conjoint!$F$9:$F$33,MATCH(BH8,Conjoint!$B$9:$B$33,0)))</f>
        <v>6.1089400000000009E-2</v>
      </c>
      <c r="BG7" s="27">
        <f>IF($C$5="ON",CG7,INDEX(Conjoint!$F$9:$F$33,MATCH(BI8,Conjoint!$B$9:$B$33,0)))</f>
        <v>5.8054600000000005E-2</v>
      </c>
      <c r="BH7" s="27">
        <f>IF($C$5="ON",CH7,INDEX(Conjoint!$F$9:$F$33,MATCH(BJ8,Conjoint!$B$9:$B$33,0)))</f>
        <v>3.8047400000000002E-2</v>
      </c>
      <c r="BI7" s="27">
        <f>IF($C$5="ON",CI7,INDEX(Conjoint!$F$9:$F$33,MATCH(BK8,Conjoint!$B$9:$B$33,0)))</f>
        <v>6.1820000000000007E-2</v>
      </c>
      <c r="BJ7" s="27">
        <f>IF($C$5="ON",CJ7,INDEX(Conjoint!$F$9:$F$33,MATCH(BL8,Conjoint!$B$9:$B$33,0)))</f>
        <v>6.1469900000000001E-2</v>
      </c>
      <c r="BK7" s="27">
        <f>IF($C$5="ON",CK7,INDEX(Conjoint!$F$9:$F$33,MATCH(BM8,Conjoint!$B$9:$B$33,0)))</f>
        <v>2.4572900000000002E-2</v>
      </c>
      <c r="BL7" s="27">
        <f>IF($C$5="ON",CL7,INDEX(Conjoint!$F$9:$F$33,MATCH(BN8,Conjoint!$B$9:$B$33,0)))</f>
        <v>3.06471E-2</v>
      </c>
      <c r="BM7" s="27">
        <f>IF($C$5="ON",CM7,INDEX(Conjoint!$F$9:$F$33,MATCH(BO8,Conjoint!$B$9:$B$33,0)))</f>
        <v>3.4964300000000004E-2</v>
      </c>
      <c r="BN7" s="27">
        <f>IF($C$5="ON",CN7,INDEX(Conjoint!$F$9:$F$33,MATCH(BP8,Conjoint!$B$9:$B$33,0)))</f>
        <v>4.6008299999999995E-2</v>
      </c>
      <c r="BO7" s="27">
        <f>IF($C$5="ON",CO7,INDEX(Conjoint!$F$9:$F$33,MATCH(BQ8,Conjoint!$B$9:$B$33,0)))</f>
        <v>2.14354E-2</v>
      </c>
      <c r="BP7" s="27">
        <f>IF($C$5="ON",CP7,INDEX(Conjoint!$F$9:$F$33,MATCH(BR8,Conjoint!$B$9:$B$33,0)))</f>
        <v>3.1877000000000003E-2</v>
      </c>
      <c r="BQ7" s="27">
        <f>IF($C$5="ON",CQ7,INDEX(Conjoint!$F$9:$F$33,MATCH(BS8,Conjoint!$B$9:$B$33,0)))</f>
        <v>5.9704054739999991E-2</v>
      </c>
      <c r="BR7" s="27">
        <f>IF($C$5="ON",CR7,INDEX(Conjoint!$F$9:$F$33,MATCH(BT8,Conjoint!$B$9:$B$33,0)))</f>
        <v>4.0027204139999994E-2</v>
      </c>
      <c r="BS7" s="27">
        <f>IF($C$5="ON",CS7,INDEX(Conjoint!$F$9:$F$33,MATCH(BU8,Conjoint!$B$9:$B$33,0)))</f>
        <v>3.2328141120000001E-2</v>
      </c>
      <c r="BT7" s="27">
        <f>IF($C$5="ON",CT7,INDEX(Conjoint!$F$9:$F$33,MATCH(BV8,Conjoint!$B$9:$B$33,0)))</f>
        <v>5.4940599999999999E-2</v>
      </c>
      <c r="BU7" s="27">
        <f>IF($C$5="ON",CU7,INDEX(Conjoint!$F$9:$F$37,MATCH(BW8,Conjoint!$B$9:$B$37,0)))</f>
        <v>0.2</v>
      </c>
      <c r="BV7" s="27">
        <f>IF($C$5="ON",CV7,INDEX(Conjoint!$F$9:$F$37,MATCH(BX8,Conjoint!$B$9:$B$37,0)))</f>
        <v>0.4</v>
      </c>
      <c r="BW7" s="27">
        <f>IF($C$5="ON",CW7,INDEX(Conjoint!$F$9:$F$37,MATCH(BW8,Conjoint!$B$9:$B$37,0)))</f>
        <v>0.2</v>
      </c>
      <c r="BX7" s="27">
        <f>IF($C$5="ON",CX7,INDEX(Conjoint!$F$9:$F$37,MATCH(BX8,Conjoint!$B$9:$B$37,0)))</f>
        <v>0.4</v>
      </c>
      <c r="BY7" s="27">
        <f>IF($C$5="ON",CY7,INDEX(Conjoint!$F$9:$F$37,MATCH(BY8,Conjoint!$B$9:$B$37,0)))</f>
        <v>0.4</v>
      </c>
      <c r="BZ7" s="31">
        <f>MAX(BZ9:BZ58)</f>
        <v>4.860606960052815E-2</v>
      </c>
      <c r="CA7" s="34">
        <f>SUMIF($C$9:$C$58,"",CA9:CA58)</f>
        <v>84.800000000000026</v>
      </c>
      <c r="CB7" s="27"/>
      <c r="CC7" s="32">
        <f>SUMIF($C$9:$C$58,"",CC9:CC58)</f>
        <v>1.3457894590891006E-4</v>
      </c>
      <c r="CD7" s="27">
        <v>9.5090400000000005E-2</v>
      </c>
      <c r="CE7" s="27">
        <v>8.2614000000000007E-2</v>
      </c>
      <c r="CF7" s="27">
        <v>6.1089400000000009E-2</v>
      </c>
      <c r="CG7" s="27">
        <v>5.8054600000000005E-2</v>
      </c>
      <c r="CH7" s="27">
        <v>3.8047400000000002E-2</v>
      </c>
      <c r="CI7" s="27">
        <v>6.1820000000000007E-2</v>
      </c>
      <c r="CJ7" s="27">
        <v>6.1469900000000001E-2</v>
      </c>
      <c r="CK7" s="27">
        <v>2.4572900000000002E-2</v>
      </c>
      <c r="CL7" s="27">
        <v>3.06471E-2</v>
      </c>
      <c r="CM7" s="27">
        <v>3.4964300000000004E-2</v>
      </c>
      <c r="CN7" s="27">
        <v>4.6008299999999995E-2</v>
      </c>
      <c r="CO7" s="27">
        <v>2.14354E-2</v>
      </c>
      <c r="CP7" s="27">
        <v>3.1877000000000003E-2</v>
      </c>
      <c r="CQ7" s="27">
        <v>5.9704054739999991E-2</v>
      </c>
      <c r="CR7" s="27">
        <v>4.0027204139999994E-2</v>
      </c>
      <c r="CS7" s="27">
        <v>3.2328141120000001E-2</v>
      </c>
      <c r="CT7" s="27">
        <v>5.4940599999999999E-2</v>
      </c>
      <c r="CU7" s="27">
        <v>0.05</v>
      </c>
      <c r="CV7" s="27">
        <v>0.47499999999999998</v>
      </c>
      <c r="CW7" s="26">
        <v>0.47499999999999998</v>
      </c>
      <c r="CX7" s="31">
        <v>3.4276163423804913E-2</v>
      </c>
      <c r="CY7" s="34">
        <v>92.024999999999991</v>
      </c>
    </row>
    <row r="8" spans="1:128" ht="104.25" customHeight="1" x14ac:dyDescent="0.25">
      <c r="A8" s="28" t="s">
        <v>157</v>
      </c>
      <c r="B8" s="28" t="s">
        <v>156</v>
      </c>
      <c r="C8" s="29" t="s">
        <v>155</v>
      </c>
      <c r="D8" s="29" t="s">
        <v>154</v>
      </c>
      <c r="E8" s="29" t="s">
        <v>153</v>
      </c>
      <c r="F8" s="29" t="s">
        <v>152</v>
      </c>
      <c r="G8" s="29" t="s">
        <v>151</v>
      </c>
      <c r="H8" s="29" t="s">
        <v>150</v>
      </c>
      <c r="I8" s="29" t="s">
        <v>149</v>
      </c>
      <c r="J8" s="30" t="str">
        <f t="array" ref="J8:S8">'Unique Asset List'!D3:M3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148</v>
      </c>
      <c r="U8" s="29" t="s">
        <v>192</v>
      </c>
      <c r="V8" s="29" t="s">
        <v>191</v>
      </c>
      <c r="W8" s="29" t="s">
        <v>147</v>
      </c>
      <c r="X8" s="29" t="s">
        <v>146</v>
      </c>
      <c r="Y8" s="29" t="s">
        <v>145</v>
      </c>
      <c r="Z8" s="29" t="s">
        <v>144</v>
      </c>
      <c r="AA8" s="29" t="s">
        <v>143</v>
      </c>
      <c r="AB8" s="29" t="s">
        <v>142</v>
      </c>
      <c r="AC8" s="29" t="s">
        <v>141</v>
      </c>
      <c r="AD8" s="29" t="s">
        <v>140</v>
      </c>
      <c r="AE8" s="29" t="s">
        <v>139</v>
      </c>
      <c r="AF8" s="29" t="s">
        <v>138</v>
      </c>
      <c r="AG8" s="29" t="s">
        <v>137</v>
      </c>
      <c r="AH8" s="29" t="s">
        <v>136</v>
      </c>
      <c r="AI8" s="29" t="s">
        <v>135</v>
      </c>
      <c r="AJ8" s="29" t="s">
        <v>134</v>
      </c>
      <c r="AK8" s="29" t="s">
        <v>133</v>
      </c>
      <c r="AL8" s="29" t="s">
        <v>132</v>
      </c>
      <c r="AM8" s="29" t="s">
        <v>131</v>
      </c>
      <c r="AN8" s="29" t="s">
        <v>130</v>
      </c>
      <c r="AO8" s="29" t="s">
        <v>129</v>
      </c>
      <c r="AP8" s="29" t="s">
        <v>128</v>
      </c>
      <c r="AQ8" s="29" t="s">
        <v>127</v>
      </c>
      <c r="AR8" s="29" t="s">
        <v>126</v>
      </c>
      <c r="AS8" s="29" t="s">
        <v>125</v>
      </c>
      <c r="AT8" s="29" t="str">
        <f t="array" ref="AT8:BC8">'Unique Asset List'!N3:W3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Random Iteration 5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4" t="s">
        <v>117</v>
      </c>
      <c r="BE8" s="23" t="s">
        <v>116</v>
      </c>
      <c r="BF8" s="23" t="s">
        <v>115</v>
      </c>
      <c r="BG8" s="23" t="s">
        <v>114</v>
      </c>
      <c r="BH8" s="23" t="s">
        <v>113</v>
      </c>
      <c r="BI8" s="23" t="s">
        <v>112</v>
      </c>
      <c r="BJ8" s="23" t="s">
        <v>111</v>
      </c>
      <c r="BK8" s="23" t="s">
        <v>110</v>
      </c>
      <c r="BL8" s="23" t="s">
        <v>109</v>
      </c>
      <c r="BM8" s="23" t="s">
        <v>108</v>
      </c>
      <c r="BN8" s="23" t="s">
        <v>107</v>
      </c>
      <c r="BO8" s="23" t="s">
        <v>106</v>
      </c>
      <c r="BP8" s="23" t="s">
        <v>105</v>
      </c>
      <c r="BQ8" s="23" t="s">
        <v>104</v>
      </c>
      <c r="BR8" s="23" t="s">
        <v>103</v>
      </c>
      <c r="BS8" s="23" t="s">
        <v>102</v>
      </c>
      <c r="BT8" s="23" t="s">
        <v>101</v>
      </c>
      <c r="BU8" s="23" t="s">
        <v>100</v>
      </c>
      <c r="BV8" s="23" t="s">
        <v>99</v>
      </c>
      <c r="BW8" s="27" t="s">
        <v>121</v>
      </c>
      <c r="BX8" s="27" t="s">
        <v>120</v>
      </c>
      <c r="BY8" s="26" t="s">
        <v>119</v>
      </c>
      <c r="BZ8" s="25" t="s">
        <v>118</v>
      </c>
      <c r="CA8" s="25" t="s">
        <v>124</v>
      </c>
      <c r="CB8" s="25" t="s">
        <v>123</v>
      </c>
      <c r="CC8" s="25" t="s">
        <v>122</v>
      </c>
      <c r="CD8" s="24" t="s">
        <v>117</v>
      </c>
      <c r="CE8" s="23" t="s">
        <v>116</v>
      </c>
      <c r="CF8" s="23" t="s">
        <v>115</v>
      </c>
      <c r="CG8" s="23" t="s">
        <v>114</v>
      </c>
      <c r="CH8" s="23" t="s">
        <v>113</v>
      </c>
      <c r="CI8" s="23" t="s">
        <v>112</v>
      </c>
      <c r="CJ8" s="23" t="s">
        <v>111</v>
      </c>
      <c r="CK8" s="23" t="s">
        <v>110</v>
      </c>
      <c r="CL8" s="23" t="s">
        <v>109</v>
      </c>
      <c r="CM8" s="23" t="s">
        <v>108</v>
      </c>
      <c r="CN8" s="23" t="s">
        <v>107</v>
      </c>
      <c r="CO8" s="23" t="s">
        <v>106</v>
      </c>
      <c r="CP8" s="23" t="s">
        <v>105</v>
      </c>
      <c r="CQ8" s="23" t="s">
        <v>104</v>
      </c>
      <c r="CR8" s="23" t="s">
        <v>103</v>
      </c>
      <c r="CS8" s="23" t="s">
        <v>102</v>
      </c>
      <c r="CT8" s="23" t="s">
        <v>101</v>
      </c>
      <c r="CU8" s="23" t="s">
        <v>100</v>
      </c>
      <c r="CV8" s="23" t="s">
        <v>99</v>
      </c>
      <c r="CW8" s="27" t="s">
        <v>121</v>
      </c>
      <c r="CX8" s="27" t="s">
        <v>120</v>
      </c>
      <c r="CY8" s="26" t="s">
        <v>119</v>
      </c>
      <c r="CZ8" s="25"/>
      <c r="DA8" s="24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</row>
    <row r="9" spans="1:128" x14ac:dyDescent="0.25">
      <c r="A9" s="9" t="s">
        <v>5</v>
      </c>
      <c r="B9" s="9" t="s">
        <v>98</v>
      </c>
      <c r="C9" s="20"/>
      <c r="D9" s="9" t="s">
        <v>91</v>
      </c>
      <c r="E9" s="9"/>
      <c r="F9" s="9" t="str">
        <f>INDEX('Unique Asset List'!$C$4:$C$60,MATCH(B9,_CompoundList,0))</f>
        <v>Launched</v>
      </c>
      <c r="G9" s="19">
        <v>0.11056144675383718</v>
      </c>
      <c r="H9" s="9">
        <v>2018</v>
      </c>
      <c r="I9" s="9">
        <v>1</v>
      </c>
      <c r="J9" s="18">
        <f>INDEX(PTRS!$D$6:$D$12,MATCH('1'!$F9,PTRS!$B$6:$B$12,0))</f>
        <v>1</v>
      </c>
      <c r="K9" s="17">
        <f>INDEX('Unique Asset List'!$D$4:$M$60,MATCH($B9,'Unique Asset List'!$A$4:$A$60,0),MATCH(K$8,'Unique Asset List'!$D$3:$M$3,0))</f>
        <v>1</v>
      </c>
      <c r="L9" s="17">
        <f>INDEX('Unique Asset List'!$D$4:$M$60,MATCH($B9,'Unique Asset List'!$A$4:$A$60,0),MATCH(L$8,'Unique Asset List'!$D$3:$M$3,0))</f>
        <v>1</v>
      </c>
      <c r="M9" s="17">
        <f t="shared" ref="M9:M15" si="0">J9</f>
        <v>1</v>
      </c>
      <c r="N9" s="17">
        <f>INDEX('Unique Asset List'!$D$4:$M$60,MATCH($B9,'Unique Asset List'!$A$4:$A$60,0),MATCH(N$8,'Unique Asset List'!$D$3:$M$3,0))</f>
        <v>1</v>
      </c>
      <c r="O9" s="17">
        <f>INDEX('Unique Asset List'!$D$4:$M$60,MATCH($B9,'Unique Asset List'!$A$4:$A$60,0),MATCH(O$8,'Unique Asset List'!$D$3:$M$3,0))</f>
        <v>1</v>
      </c>
      <c r="P9" s="17">
        <f>INDEX('Unique Asset List'!$D$4:$M$60,MATCH($B9,'Unique Asset List'!$A$4:$A$60,0),MATCH(P$8,'Unique Asset List'!$D$3:$M$3,0))</f>
        <v>1</v>
      </c>
      <c r="Q9" s="17">
        <f>INDEX('Unique Asset List'!$D$4:$M$60,MATCH($B9,'Unique Asset List'!$A$4:$A$60,0),MATCH(Q$8,'Unique Asset List'!$D$3:$M$3,0))</f>
        <v>1</v>
      </c>
      <c r="R9" s="17">
        <f>INDEX('Unique Asset List'!$D$4:$M$60,MATCH($B9,'Unique Asset List'!$A$4:$A$60,0),MATCH(R$8,'Unique Asset List'!$D$3:$M$3,0))</f>
        <v>1</v>
      </c>
      <c r="S9" s="17">
        <f>INDEX('Unique Asset List'!$D$4:$M$60,MATCH($B9,'Unique Asset List'!$A$4:$A$60,0),MATCH(S$8,'Unique Asset List'!$D$3:$M$3,0))</f>
        <v>1</v>
      </c>
      <c r="T9" s="17"/>
      <c r="U9" s="17">
        <f t="shared" ref="U9:U57" si="1">BZ9/$BZ$7</f>
        <v>1</v>
      </c>
      <c r="V9" s="17">
        <v>1</v>
      </c>
      <c r="W9" s="9" t="s">
        <v>54</v>
      </c>
      <c r="X9" s="9">
        <f>INDEX('Unique Asset List'!$Y$4:$AE$60,MATCH('1'!$B9,'Unique Asset List'!$A$4:$A$60,0),MATCH('1'!$C$1,'Unique Asset List'!$Y$3:$AE$3,0))</f>
        <v>2002</v>
      </c>
      <c r="Y9" s="9">
        <f>INDEX('Unique Asset List'!$AF$4:$AL$60,MATCH('1'!$B9,'Unique Asset List'!$A$4:$A$60,0),MATCH('1'!$C$1,'Unique Asset List'!$AF$3:$AL$3,0))</f>
        <v>11</v>
      </c>
      <c r="Z9" s="9">
        <f>INDEX('Unique Asset List'!$AT$4:$AZ$60,MATCH('1'!$B9,'Unique Asset List'!$A$4:$A$60,0),MATCH('1'!$C$1,'Unique Asset List'!$AT$3:$AZ$3,0))</f>
        <v>2015</v>
      </c>
      <c r="AA9" s="9">
        <f>INDEX('Unique Asset List'!$BA$4:$BG$60,MATCH('1'!$B9,'Unique Asset List'!$A$4:$A$60,0),MATCH('1'!$C$1,'Unique Asset List'!$BA$3:$BG$3,0))</f>
        <v>4</v>
      </c>
      <c r="AB9" s="16">
        <f>SUMPRODUCT($BD9:$BK9,$BD$7:$BK$7)</f>
        <v>1.4482758</v>
      </c>
      <c r="AC9" s="16">
        <f t="shared" ref="AC9:AC43" si="2">SUMPRODUCT($BL9:$BR9,$BJ$7:$BP$7)</f>
        <v>0.7529247</v>
      </c>
      <c r="AD9" s="16">
        <f t="shared" ref="AD9:AD43" si="3">SUMPRODUCT($BS9:$BV9,$BQ$7:$BT$7)</f>
        <v>0.56099999999999994</v>
      </c>
      <c r="AE9" s="15">
        <v>0.1</v>
      </c>
      <c r="AF9" s="15">
        <f>INDEX('Unique Asset List'!$CQ$4:$CW$60,MATCH('1'!$B9,'Unique Asset List'!$A$4:$A$60,0),MATCH('1'!$C$1,'Unique Asset List'!$CQ$3:$CW$3,0))</f>
        <v>0.35</v>
      </c>
      <c r="AG9" s="15">
        <f>INDEX('Unique Asset List'!$BV$4:$CB$60,MATCH('1'!$B9,'Unique Asset List'!$A$4:$A$60,0),MATCH('1'!$C$1,'Unique Asset List'!$BV$3:$CB$3,0))</f>
        <v>0.15</v>
      </c>
      <c r="AH9" s="15">
        <f>INDEX('Unique Asset List'!$CC$4:$CI$60,MATCH('1'!$B9,'Unique Asset List'!$A$4:$A$60,0),MATCH('1'!$C$1,'Unique Asset List'!$CC$3:$CI$3,0))</f>
        <v>0.35</v>
      </c>
      <c r="AI9" s="11">
        <v>0.96187963349867744</v>
      </c>
      <c r="AJ9" s="15">
        <f>INDEX('Unique Asset List'!$BH$4:$BN$60,MATCH('1'!$B9,'Unique Asset List'!$A$4:$A$60,0),MATCH('1'!$C$1,'Unique Asset List'!$BH$3:$BN$3,0))</f>
        <v>1.2267192541321688</v>
      </c>
      <c r="AK9" s="15">
        <f>INDEX('Unique Asset List'!$BO$4:$BU$60,MATCH('1'!$B9,'Unique Asset List'!$A$4:$A$60,0),MATCH('1'!$C$1,'Unique Asset List'!$BO$3:$BU$3,0))</f>
        <v>11.984388276878477</v>
      </c>
      <c r="AL9" s="150">
        <v>160</v>
      </c>
      <c r="AM9" s="14">
        <v>1</v>
      </c>
      <c r="AN9" s="12">
        <v>3.5000000000000003E-2</v>
      </c>
      <c r="AO9" s="13">
        <v>60</v>
      </c>
      <c r="AP9" s="11">
        <v>1</v>
      </c>
      <c r="AQ9" s="12">
        <v>0</v>
      </c>
      <c r="AR9" s="11">
        <v>0.5</v>
      </c>
      <c r="AS9" s="10">
        <v>1</v>
      </c>
      <c r="AT9" s="181">
        <f>INDEX('Unique Asset List'!N$4:N$60,MATCH($B9,_CompoundList,0))</f>
        <v>1</v>
      </c>
      <c r="AU9" s="181">
        <f>INDEX('Unique Asset List'!O$4:O$60,MATCH($B9,_CompoundList,0))</f>
        <v>1</v>
      </c>
      <c r="AV9" s="181">
        <f>INDEX('Unique Asset List'!P$4:P$60,MATCH($B9,_CompoundList,0))</f>
        <v>1</v>
      </c>
      <c r="AW9" s="181">
        <f>INDEX('Unique Asset List'!Q$4:Q$60,MATCH($B9,_CompoundList,0))</f>
        <v>1</v>
      </c>
      <c r="AX9" s="181">
        <f ca="1">INDEX('Unique Asset List'!R$4:R$60,MATCH($B9,_CompoundList,0))</f>
        <v>1</v>
      </c>
      <c r="AY9" s="181">
        <f ca="1">INDEX('Unique Asset List'!S$4:S$60,MATCH($B9,_CompoundList,0))</f>
        <v>1</v>
      </c>
      <c r="AZ9" s="181">
        <f ca="1">INDEX('Unique Asset List'!T$4:T$60,MATCH($B9,_CompoundList,0))</f>
        <v>1</v>
      </c>
      <c r="BA9" s="181">
        <f ca="1">INDEX('Unique Asset List'!U$4:U$60,MATCH($B9,_CompoundList,0))</f>
        <v>1</v>
      </c>
      <c r="BB9" s="181">
        <f ca="1">INDEX('Unique Asset List'!V$4:V$60,MATCH($B9,_CompoundList,0))</f>
        <v>1</v>
      </c>
      <c r="BC9" s="181">
        <f ca="1">INDEX('Unique Asset List'!W$4:W$60,MATCH($B9,_CompoundList,0))</f>
        <v>1</v>
      </c>
      <c r="BD9" s="4">
        <f>IF($C$5="ON",CD9,MyRating(_E1,$B9,Efficacy!$F$1))</f>
        <v>3</v>
      </c>
      <c r="BE9" s="3">
        <f>IF($C$5="ON",CE9,MyRating(_E2,$B9,Efficacy!$F$1))</f>
        <v>3</v>
      </c>
      <c r="BF9" s="3">
        <f>IF($C$5="ON",CF9,MyRating(_E3,$B9,Efficacy!$F$1))</f>
        <v>3</v>
      </c>
      <c r="BG9" s="3">
        <f>IF($C$5="ON",CG9,MyRating(_E4,$B9,Efficacy!$F$1))</f>
        <v>3</v>
      </c>
      <c r="BH9" s="3">
        <f>IF($C$5="ON",CH9,MyRating(_E5,$B9,Efficacy!$F$1))</f>
        <v>3</v>
      </c>
      <c r="BI9" s="3">
        <f>IF($C$5="ON",CI9,MyRating(_E6,$B9,Efficacy!$F$1))</f>
        <v>3</v>
      </c>
      <c r="BJ9" s="3">
        <f>IF($C$5="ON",CJ9,MyRating(_E7,$B9,Efficacy!$F$1))</f>
        <v>3</v>
      </c>
      <c r="BK9" s="3">
        <f>IF($C$5="ON",CK9,MyRating(_E8,$B9,Efficacy!$F$1))</f>
        <v>3</v>
      </c>
      <c r="BL9" s="3">
        <f>IF($C$5="ON",CL9,MyRating(_S1,$B9,Efficacy!$F$1))</f>
        <v>3</v>
      </c>
      <c r="BM9" s="3">
        <f>IF($C$5="ON",CM9,MyRating(_S2,$B9,Efficacy!$F$1))</f>
        <v>3</v>
      </c>
      <c r="BN9" s="3">
        <f>IF($C$5="ON",CN9,MyRating(_S3,$B9,Efficacy!$F$1))</f>
        <v>3</v>
      </c>
      <c r="BO9" s="3">
        <f>IF($C$5="ON",CO9,MyRating(_S4,$B9,Efficacy!$F$1))</f>
        <v>3</v>
      </c>
      <c r="BP9" s="3">
        <f>IF($C$5="ON",CP9,MyRating(_S5,$B9,Efficacy!$F$1))</f>
        <v>3</v>
      </c>
      <c r="BQ9" s="3">
        <f>IF($C$5="ON",CQ9,MyRating(_S6,$B9,Efficacy!$F$1))</f>
        <v>3</v>
      </c>
      <c r="BR9" s="3">
        <f>IF($C$5="ON",CR9,MyRating(_S7,$B9,Efficacy!$F$1))</f>
        <v>3</v>
      </c>
      <c r="BS9" s="3">
        <f>IF($C$5="ON",CS9,MyRating(_D1,$B9,Efficacy!$F$1))</f>
        <v>3</v>
      </c>
      <c r="BT9" s="3">
        <f>IF($C$5="ON",CT9,MyRating(_D2,$B9,Efficacy!$F$1))</f>
        <v>3</v>
      </c>
      <c r="BU9" s="3">
        <f>IF($C$5="ON",CU9,MyRating(_D3,$B9,Efficacy!$F$1))</f>
        <v>3</v>
      </c>
      <c r="BV9" s="3">
        <f>IF($C$5="ON",CV9,MyRating(_D4,$B9,Efficacy!$F$1))</f>
        <v>3</v>
      </c>
      <c r="BW9" s="3">
        <f>IF($C$5="ON",CW9,MyRating(_B1,$B9,Barrier!$F$2))</f>
        <v>5</v>
      </c>
      <c r="BX9" s="3">
        <f>IF($C$5="ON",CX9,MyRating(_B2,$B9,Barrier!$F$2))</f>
        <v>3</v>
      </c>
      <c r="BY9" s="6">
        <f>IF($C$5="ON",CY9,MyRating(_B3,$B9,Barrier!$F$2))</f>
        <v>3</v>
      </c>
      <c r="BZ9" s="5">
        <f>IF(C9="",CC9/$CC$7,0)</f>
        <v>4.860606960052815E-2</v>
      </c>
      <c r="CA9" s="8">
        <f t="shared" ref="CA9:CA40" si="4">SUMPRODUCT($BW9:$BY9,$BU$7:$BW$7)</f>
        <v>2.8000000000000003</v>
      </c>
      <c r="CB9" s="5">
        <f>CA9/$CA$7</f>
        <v>3.3018867924528295E-2</v>
      </c>
      <c r="CC9" s="7">
        <f t="shared" ref="CC9:CC40" si="5">CB9^$X$4</f>
        <v>6.5413536116141956E-6</v>
      </c>
      <c r="CD9" s="4">
        <v>3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5</v>
      </c>
      <c r="CX9" s="3">
        <v>3</v>
      </c>
      <c r="CY9" s="6">
        <v>3</v>
      </c>
      <c r="CZ9" s="5"/>
      <c r="DA9" s="4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</row>
    <row r="10" spans="1:128" x14ac:dyDescent="0.25">
      <c r="A10" s="9" t="s">
        <v>5</v>
      </c>
      <c r="B10" s="9" t="s">
        <v>97</v>
      </c>
      <c r="C10" s="20"/>
      <c r="D10" s="9" t="s">
        <v>88</v>
      </c>
      <c r="E10" s="9"/>
      <c r="F10" s="9" t="str">
        <f>INDEX('Unique Asset List'!$C$4:$C$60,MATCH(B10,_CompoundList,0))</f>
        <v>Launched</v>
      </c>
      <c r="G10" s="19">
        <v>9.6795051348940953E-2</v>
      </c>
      <c r="H10" s="9">
        <v>2018</v>
      </c>
      <c r="I10" s="9">
        <v>1</v>
      </c>
      <c r="J10" s="18">
        <f>INDEX(PTRS!$D$6:$D$12,MATCH('1'!$F10,PTRS!$B$6:$B$12,0))</f>
        <v>1</v>
      </c>
      <c r="K10" s="17">
        <f>INDEX('Unique Asset List'!$D$4:$M$60,MATCH($B10,'Unique Asset List'!$A$4:$A$60,0),MATCH(K$8,'Unique Asset List'!$D$3:$M$3,0))</f>
        <v>1</v>
      </c>
      <c r="L10" s="17">
        <f>INDEX('Unique Asset List'!$D$4:$M$60,MATCH($B10,'Unique Asset List'!$A$4:$A$60,0),MATCH(L$8,'Unique Asset List'!$D$3:$M$3,0))</f>
        <v>1</v>
      </c>
      <c r="M10" s="17">
        <f t="shared" si="0"/>
        <v>1</v>
      </c>
      <c r="N10" s="17">
        <f>INDEX('Unique Asset List'!$D$4:$M$60,MATCH($B10,'Unique Asset List'!$A$4:$A$60,0),MATCH(N$8,'Unique Asset List'!$D$3:$M$3,0))</f>
        <v>1</v>
      </c>
      <c r="O10" s="17">
        <f>INDEX('Unique Asset List'!$D$4:$M$60,MATCH($B10,'Unique Asset List'!$A$4:$A$60,0),MATCH(O$8,'Unique Asset List'!$D$3:$M$3,0))</f>
        <v>1</v>
      </c>
      <c r="P10" s="17">
        <f>INDEX('Unique Asset List'!$D$4:$M$60,MATCH($B10,'Unique Asset List'!$A$4:$A$60,0),MATCH(P$8,'Unique Asset List'!$D$3:$M$3,0))</f>
        <v>1</v>
      </c>
      <c r="Q10" s="17">
        <f>INDEX('Unique Asset List'!$D$4:$M$60,MATCH($B10,'Unique Asset List'!$A$4:$A$60,0),MATCH(Q$8,'Unique Asset List'!$D$3:$M$3,0))</f>
        <v>1</v>
      </c>
      <c r="R10" s="17">
        <f>INDEX('Unique Asset List'!$D$4:$M$60,MATCH($B10,'Unique Asset List'!$A$4:$A$60,0),MATCH(R$8,'Unique Asset List'!$D$3:$M$3,0))</f>
        <v>1</v>
      </c>
      <c r="S10" s="17">
        <f>INDEX('Unique Asset List'!$D$4:$M$60,MATCH($B10,'Unique Asset List'!$A$4:$A$60,0),MATCH(S$8,'Unique Asset List'!$D$3:$M$3,0))</f>
        <v>1</v>
      </c>
      <c r="T10" s="17"/>
      <c r="U10" s="17">
        <f t="shared" si="1"/>
        <v>1</v>
      </c>
      <c r="V10" s="17">
        <v>1</v>
      </c>
      <c r="W10" s="9" t="s">
        <v>54</v>
      </c>
      <c r="X10" s="9">
        <f>INDEX('Unique Asset List'!$Y$4:$AE$60,MATCH('1'!$B10,'Unique Asset List'!$A$4:$A$60,0),MATCH('1'!$C$1,'Unique Asset List'!$Y$3:$AE$3,0))</f>
        <v>1997</v>
      </c>
      <c r="Y10" s="9">
        <f>INDEX('Unique Asset List'!$AF$4:$AL$60,MATCH('1'!$B10,'Unique Asset List'!$A$4:$A$60,0),MATCH('1'!$C$1,'Unique Asset List'!$AF$3:$AL$3,0))</f>
        <v>10</v>
      </c>
      <c r="Z10" s="9">
        <f>INDEX('Unique Asset List'!$AT$4:$AZ$60,MATCH('1'!$B10,'Unique Asset List'!$A$4:$A$60,0),MATCH('1'!$C$1,'Unique Asset List'!$AT$3:$AZ$3,0))</f>
        <v>2012</v>
      </c>
      <c r="AA10" s="9">
        <f>INDEX('Unique Asset List'!$BA$4:$BG$60,MATCH('1'!$B10,'Unique Asset List'!$A$4:$A$60,0),MATCH('1'!$C$1,'Unique Asset List'!$BA$3:$BG$3,0))</f>
        <v>3</v>
      </c>
      <c r="AB10" s="16">
        <f t="shared" ref="AB10:AB43" si="6">SUMPRODUCT($BD10:$BK10,$BD$7:$BK$7)</f>
        <v>1.3901650000000001</v>
      </c>
      <c r="AC10" s="16">
        <f t="shared" si="2"/>
        <v>0.65777060000000009</v>
      </c>
      <c r="AD10" s="16">
        <f t="shared" si="3"/>
        <v>0.52097279586</v>
      </c>
      <c r="AE10" s="15">
        <v>0.1</v>
      </c>
      <c r="AF10" s="15">
        <f>INDEX('Unique Asset List'!$CQ$4:$CW$60,MATCH('1'!$B10,'Unique Asset List'!$A$4:$A$60,0),MATCH('1'!$C$1,'Unique Asset List'!$CQ$3:$CW$3,0))</f>
        <v>0.35</v>
      </c>
      <c r="AG10" s="15">
        <f>INDEX('Unique Asset List'!$BV$4:$CB$60,MATCH('1'!$B10,'Unique Asset List'!$A$4:$A$60,0),MATCH('1'!$C$1,'Unique Asset List'!$BV$3:$CB$3,0))</f>
        <v>0.15</v>
      </c>
      <c r="AH10" s="15">
        <f>INDEX('Unique Asset List'!$CC$4:$CI$60,MATCH('1'!$B10,'Unique Asset List'!$A$4:$A$60,0),MATCH('1'!$C$1,'Unique Asset List'!$CC$3:$CI$3,0))</f>
        <v>0.35</v>
      </c>
      <c r="AI10" s="11">
        <v>0.96187963349867744</v>
      </c>
      <c r="AJ10" s="15">
        <f>INDEX('Unique Asset List'!$BH$4:$BN$60,MATCH('1'!$B10,'Unique Asset List'!$A$4:$A$60,0),MATCH('1'!$C$1,'Unique Asset List'!$BH$3:$BN$3,0))</f>
        <v>1.2267192541321688</v>
      </c>
      <c r="AK10" s="15">
        <f>INDEX('Unique Asset List'!$BO$4:$BU$60,MATCH('1'!$B10,'Unique Asset List'!$A$4:$A$60,0),MATCH('1'!$C$1,'Unique Asset List'!$BO$3:$BU$3,0))</f>
        <v>11.984388276878477</v>
      </c>
      <c r="AL10" s="150">
        <v>160</v>
      </c>
      <c r="AM10" s="14">
        <v>1</v>
      </c>
      <c r="AN10" s="12">
        <v>3.5000000000000003E-2</v>
      </c>
      <c r="AO10" s="13">
        <v>60</v>
      </c>
      <c r="AP10" s="11">
        <v>1</v>
      </c>
      <c r="AQ10" s="12">
        <v>0</v>
      </c>
      <c r="AR10" s="11">
        <v>0.5</v>
      </c>
      <c r="AS10" s="10">
        <v>1</v>
      </c>
      <c r="AT10" s="181">
        <f>INDEX('Unique Asset List'!N$4:N$60,MATCH($B10,_CompoundList,0))</f>
        <v>1</v>
      </c>
      <c r="AU10" s="181">
        <f>INDEX('Unique Asset List'!O$4:O$60,MATCH($B10,_CompoundList,0))</f>
        <v>1</v>
      </c>
      <c r="AV10" s="181">
        <f>INDEX('Unique Asset List'!P$4:P$60,MATCH($B10,_CompoundList,0))</f>
        <v>1</v>
      </c>
      <c r="AW10" s="181">
        <f>INDEX('Unique Asset List'!Q$4:Q$60,MATCH($B10,_CompoundList,0))</f>
        <v>1</v>
      </c>
      <c r="AX10" s="181">
        <f ca="1">INDEX('Unique Asset List'!R$4:R$60,MATCH($B10,_CompoundList,0))</f>
        <v>1</v>
      </c>
      <c r="AY10" s="181">
        <f ca="1">INDEX('Unique Asset List'!S$4:S$60,MATCH($B10,_CompoundList,0))</f>
        <v>1</v>
      </c>
      <c r="AZ10" s="181">
        <f ca="1">INDEX('Unique Asset List'!T$4:T$60,MATCH($B10,_CompoundList,0))</f>
        <v>1</v>
      </c>
      <c r="BA10" s="181">
        <f ca="1">INDEX('Unique Asset List'!U$4:U$60,MATCH($B10,_CompoundList,0))</f>
        <v>1</v>
      </c>
      <c r="BB10" s="181">
        <f ca="1">INDEX('Unique Asset List'!V$4:V$60,MATCH($B10,_CompoundList,0))</f>
        <v>1</v>
      </c>
      <c r="BC10" s="181">
        <f ca="1">INDEX('Unique Asset List'!W$4:W$60,MATCH($B10,_CompoundList,0))</f>
        <v>1</v>
      </c>
      <c r="BD10" s="4">
        <f>IF($C$5="ON",CD10,MyRating(_E1,$B10,Efficacy!$F$1))</f>
        <v>3</v>
      </c>
      <c r="BE10" s="3">
        <f>IF($C$5="ON",CE10,MyRating(_E2,$B10,Efficacy!$F$1))</f>
        <v>2</v>
      </c>
      <c r="BF10" s="3">
        <f>IF($C$5="ON",CF10,MyRating(_E3,$B10,Efficacy!$F$1))</f>
        <v>2</v>
      </c>
      <c r="BG10" s="3">
        <f>IF($C$5="ON",CG10,MyRating(_E4,$B10,Efficacy!$F$1))</f>
        <v>3</v>
      </c>
      <c r="BH10" s="3">
        <f>IF($C$5="ON",CH10,MyRating(_E5,$B10,Efficacy!$F$1))</f>
        <v>2</v>
      </c>
      <c r="BI10" s="3">
        <f>IF($C$5="ON",CI10,MyRating(_E6,$B10,Efficacy!$F$1))</f>
        <v>5</v>
      </c>
      <c r="BJ10" s="3">
        <f>IF($C$5="ON",CJ10,MyRating(_E7,$B10,Efficacy!$F$1))</f>
        <v>3</v>
      </c>
      <c r="BK10" s="3">
        <f>IF($C$5="ON",CK10,MyRating(_E8,$B10,Efficacy!$F$1))</f>
        <v>3</v>
      </c>
      <c r="BL10" s="3">
        <f>IF($C$5="ON",CL10,MyRating(_S1,$B10,Efficacy!$F$1))</f>
        <v>3</v>
      </c>
      <c r="BM10" s="3">
        <f>IF($C$5="ON",CM10,MyRating(_S2,$B10,Efficacy!$F$1))</f>
        <v>1</v>
      </c>
      <c r="BN10" s="3">
        <f>IF($C$5="ON",CN10,MyRating(_S3,$B10,Efficacy!$F$1))</f>
        <v>3</v>
      </c>
      <c r="BO10" s="3">
        <f>IF($C$5="ON",CO10,MyRating(_S4,$B10,Efficacy!$F$1))</f>
        <v>3</v>
      </c>
      <c r="BP10" s="3">
        <f>IF($C$5="ON",CP10,MyRating(_S5,$B10,Efficacy!$F$1))</f>
        <v>2</v>
      </c>
      <c r="BQ10" s="3">
        <f>IF($C$5="ON",CQ10,MyRating(_S6,$B10,Efficacy!$F$1))</f>
        <v>3</v>
      </c>
      <c r="BR10" s="3">
        <f>IF($C$5="ON",CR10,MyRating(_S7,$B10,Efficacy!$F$1))</f>
        <v>3</v>
      </c>
      <c r="BS10" s="3">
        <f>IF($C$5="ON",CS10,MyRating(_D1,$B10,Efficacy!$F$1))</f>
        <v>3</v>
      </c>
      <c r="BT10" s="3">
        <f>IF($C$5="ON",CT10,MyRating(_D2,$B10,Efficacy!$F$1))</f>
        <v>2</v>
      </c>
      <c r="BU10" s="3">
        <f>IF($C$5="ON",CU10,MyRating(_D3,$B10,Efficacy!$F$1))</f>
        <v>3</v>
      </c>
      <c r="BV10" s="3">
        <f>IF($C$5="ON",CV10,MyRating(_D4,$B10,Efficacy!$F$1))</f>
        <v>3</v>
      </c>
      <c r="BW10" s="3">
        <f>IF($C$5="ON",CW10,MyRating(_B1,$B10,Barrier!$F$2))</f>
        <v>5</v>
      </c>
      <c r="BX10" s="3">
        <f>IF($C$5="ON",CX10,MyRating(_B2,$B10,Barrier!$F$2))</f>
        <v>3</v>
      </c>
      <c r="BY10" s="6">
        <f>IF($C$5="ON",CY10,MyRating(_B3,$B10,Barrier!$F$2))</f>
        <v>3</v>
      </c>
      <c r="BZ10" s="5">
        <f t="shared" ref="BZ10:BZ58" si="7">IF(C10="",CC10/$CC$7,0)</f>
        <v>4.860606960052815E-2</v>
      </c>
      <c r="CA10" s="8">
        <f t="shared" si="4"/>
        <v>2.8000000000000003</v>
      </c>
      <c r="CB10" s="5">
        <f t="shared" ref="CB10:CB58" si="8">CA10/$CA$7</f>
        <v>3.3018867924528295E-2</v>
      </c>
      <c r="CC10" s="7">
        <f t="shared" si="5"/>
        <v>6.5413536116141956E-6</v>
      </c>
      <c r="CD10" s="4">
        <v>3</v>
      </c>
      <c r="CE10" s="3">
        <v>2</v>
      </c>
      <c r="CF10" s="3">
        <v>2</v>
      </c>
      <c r="CG10" s="3">
        <v>3</v>
      </c>
      <c r="CH10" s="3">
        <v>2</v>
      </c>
      <c r="CI10" s="3">
        <v>5</v>
      </c>
      <c r="CJ10" s="3">
        <v>3</v>
      </c>
      <c r="CK10" s="3">
        <v>3</v>
      </c>
      <c r="CL10" s="3">
        <v>3</v>
      </c>
      <c r="CM10" s="3">
        <v>1</v>
      </c>
      <c r="CN10" s="3">
        <v>3</v>
      </c>
      <c r="CO10" s="3">
        <v>3</v>
      </c>
      <c r="CP10" s="3">
        <v>2</v>
      </c>
      <c r="CQ10" s="3">
        <v>3</v>
      </c>
      <c r="CR10" s="3">
        <v>3</v>
      </c>
      <c r="CS10" s="3">
        <v>3</v>
      </c>
      <c r="CT10" s="3">
        <v>2</v>
      </c>
      <c r="CU10" s="3">
        <v>3</v>
      </c>
      <c r="CV10" s="3">
        <v>3</v>
      </c>
      <c r="CW10" s="3">
        <v>5</v>
      </c>
      <c r="CX10" s="3">
        <v>3</v>
      </c>
      <c r="CY10" s="6">
        <v>3</v>
      </c>
      <c r="CZ10" s="5"/>
      <c r="DA10" s="4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</row>
    <row r="11" spans="1:128" x14ac:dyDescent="0.25">
      <c r="A11" s="9" t="s">
        <v>5</v>
      </c>
      <c r="B11" s="9" t="s">
        <v>96</v>
      </c>
      <c r="C11" s="20" t="s">
        <v>3</v>
      </c>
      <c r="D11" s="9" t="s">
        <v>95</v>
      </c>
      <c r="E11" s="9"/>
      <c r="F11" s="9" t="str">
        <f>INDEX('Unique Asset List'!$C$4:$C$60,MATCH(B11,_CompoundList,0))</f>
        <v>Launched</v>
      </c>
      <c r="G11" s="188">
        <v>5.3409343118880799E-4</v>
      </c>
      <c r="H11" s="9">
        <v>2018</v>
      </c>
      <c r="I11" s="9">
        <v>1</v>
      </c>
      <c r="J11" s="18">
        <f>INDEX(PTRS!$D$6:$D$12,MATCH('1'!$F11,PTRS!$B$6:$B$12,0))</f>
        <v>1</v>
      </c>
      <c r="K11" s="17">
        <f>INDEX('Unique Asset List'!$D$4:$M$60,MATCH($B11,'Unique Asset List'!$A$4:$A$60,0),MATCH(K$8,'Unique Asset List'!$D$3:$M$3,0))</f>
        <v>1</v>
      </c>
      <c r="L11" s="17">
        <f>INDEX('Unique Asset List'!$D$4:$M$60,MATCH($B11,'Unique Asset List'!$A$4:$A$60,0),MATCH(L$8,'Unique Asset List'!$D$3:$M$3,0))</f>
        <v>1</v>
      </c>
      <c r="M11" s="17">
        <f t="shared" si="0"/>
        <v>1</v>
      </c>
      <c r="N11" s="17">
        <f>INDEX('Unique Asset List'!$D$4:$M$60,MATCH($B11,'Unique Asset List'!$A$4:$A$60,0),MATCH(N$8,'Unique Asset List'!$D$3:$M$3,0))</f>
        <v>1</v>
      </c>
      <c r="O11" s="17">
        <f>INDEX('Unique Asset List'!$D$4:$M$60,MATCH($B11,'Unique Asset List'!$A$4:$A$60,0),MATCH(O$8,'Unique Asset List'!$D$3:$M$3,0))</f>
        <v>1</v>
      </c>
      <c r="P11" s="17">
        <f>INDEX('Unique Asset List'!$D$4:$M$60,MATCH($B11,'Unique Asset List'!$A$4:$A$60,0),MATCH(P$8,'Unique Asset List'!$D$3:$M$3,0))</f>
        <v>1</v>
      </c>
      <c r="Q11" s="17">
        <f>INDEX('Unique Asset List'!$D$4:$M$60,MATCH($B11,'Unique Asset List'!$A$4:$A$60,0),MATCH(Q$8,'Unique Asset List'!$D$3:$M$3,0))</f>
        <v>1</v>
      </c>
      <c r="R11" s="17">
        <f>INDEX('Unique Asset List'!$D$4:$M$60,MATCH($B11,'Unique Asset List'!$A$4:$A$60,0),MATCH(R$8,'Unique Asset List'!$D$3:$M$3,0))</f>
        <v>1</v>
      </c>
      <c r="S11" s="17">
        <f>INDEX('Unique Asset List'!$D$4:$M$60,MATCH($B11,'Unique Asset List'!$A$4:$A$60,0),MATCH(S$8,'Unique Asset List'!$D$3:$M$3,0))</f>
        <v>1</v>
      </c>
      <c r="T11" s="17"/>
      <c r="U11" s="17">
        <f t="shared" si="1"/>
        <v>0</v>
      </c>
      <c r="V11" s="17">
        <v>0.42</v>
      </c>
      <c r="W11" s="9" t="s">
        <v>54</v>
      </c>
      <c r="X11" s="9">
        <f>INDEX('Unique Asset List'!$Y$4:$AE$60,MATCH('1'!$B11,'Unique Asset List'!$A$4:$A$60,0),MATCH('1'!$C$1,'Unique Asset List'!$Y$3:$AE$3,0))</f>
        <v>2009</v>
      </c>
      <c r="Y11" s="9">
        <f>INDEX('Unique Asset List'!$AF$4:$AL$60,MATCH('1'!$B11,'Unique Asset List'!$A$4:$A$60,0),MATCH('1'!$C$1,'Unique Asset List'!$AF$3:$AL$3,0))</f>
        <v>4</v>
      </c>
      <c r="Z11" s="9">
        <f>INDEX('Unique Asset List'!$AT$4:$AZ$60,MATCH('1'!$B11,'Unique Asset List'!$A$4:$A$60,0),MATCH('1'!$C$1,'Unique Asset List'!$AT$3:$AZ$3,0))</f>
        <v>2011</v>
      </c>
      <c r="AA11" s="9">
        <f>INDEX('Unique Asset List'!$BA$4:$BG$60,MATCH('1'!$B11,'Unique Asset List'!$A$4:$A$60,0),MATCH('1'!$C$1,'Unique Asset List'!$BA$3:$BG$3,0))</f>
        <v>10</v>
      </c>
      <c r="AB11" s="16">
        <f t="shared" si="6"/>
        <v>1.0756827</v>
      </c>
      <c r="AC11" s="16">
        <f t="shared" si="2"/>
        <v>0.45589129999999994</v>
      </c>
      <c r="AD11" s="16">
        <f t="shared" si="3"/>
        <v>0.41628930947999998</v>
      </c>
      <c r="AE11" s="15">
        <v>0.1</v>
      </c>
      <c r="AF11" s="15">
        <f>INDEX('Unique Asset List'!$CQ$4:$CW$60,MATCH('1'!$B11,'Unique Asset List'!$A$4:$A$60,0),MATCH('1'!$C$1,'Unique Asset List'!$CQ$3:$CW$3,0))</f>
        <v>0.35</v>
      </c>
      <c r="AG11" s="15">
        <f>INDEX('Unique Asset List'!$BV$4:$CB$60,MATCH('1'!$B11,'Unique Asset List'!$A$4:$A$60,0),MATCH('1'!$C$1,'Unique Asset List'!$BV$3:$CB$3,0))</f>
        <v>0.15</v>
      </c>
      <c r="AH11" s="15">
        <f>INDEX('Unique Asset List'!$CC$4:$CI$60,MATCH('1'!$B11,'Unique Asset List'!$A$4:$A$60,0),MATCH('1'!$C$1,'Unique Asset List'!$CC$3:$CI$3,0))</f>
        <v>0.35</v>
      </c>
      <c r="AI11" s="11">
        <v>0.96187963349867744</v>
      </c>
      <c r="AJ11" s="15">
        <f>INDEX('Unique Asset List'!$BH$4:$BN$60,MATCH('1'!$B11,'Unique Asset List'!$A$4:$A$60,0),MATCH('1'!$C$1,'Unique Asset List'!$BH$3:$BN$3,0))</f>
        <v>1.2267192541321688</v>
      </c>
      <c r="AK11" s="15">
        <f>INDEX('Unique Asset List'!$BO$4:$BU$60,MATCH('1'!$B11,'Unique Asset List'!$A$4:$A$60,0),MATCH('1'!$C$1,'Unique Asset List'!$BO$3:$BU$3,0))</f>
        <v>11.984388276878477</v>
      </c>
      <c r="AL11" s="150">
        <v>160</v>
      </c>
      <c r="AM11" s="14">
        <v>1</v>
      </c>
      <c r="AN11" s="12">
        <v>3.5000000000000003E-2</v>
      </c>
      <c r="AO11" s="13">
        <v>60</v>
      </c>
      <c r="AP11" s="11">
        <v>1</v>
      </c>
      <c r="AQ11" s="12">
        <v>0</v>
      </c>
      <c r="AR11" s="11">
        <v>0.5</v>
      </c>
      <c r="AS11" s="10">
        <v>1</v>
      </c>
      <c r="AT11" s="181">
        <f>INDEX('Unique Asset List'!N$4:N$60,MATCH($B11,_CompoundList,0))</f>
        <v>1</v>
      </c>
      <c r="AU11" s="181">
        <f>INDEX('Unique Asset List'!O$4:O$60,MATCH($B11,_CompoundList,0))</f>
        <v>1</v>
      </c>
      <c r="AV11" s="181">
        <f>INDEX('Unique Asset List'!P$4:P$60,MATCH($B11,_CompoundList,0))</f>
        <v>1</v>
      </c>
      <c r="AW11" s="181">
        <f>INDEX('Unique Asset List'!Q$4:Q$60,MATCH($B11,_CompoundList,0))</f>
        <v>1</v>
      </c>
      <c r="AX11" s="181">
        <f ca="1">INDEX('Unique Asset List'!R$4:R$60,MATCH($B11,_CompoundList,0))</f>
        <v>1</v>
      </c>
      <c r="AY11" s="181">
        <f ca="1">INDEX('Unique Asset List'!S$4:S$60,MATCH($B11,_CompoundList,0))</f>
        <v>1</v>
      </c>
      <c r="AZ11" s="181">
        <f ca="1">INDEX('Unique Asset List'!T$4:T$60,MATCH($B11,_CompoundList,0))</f>
        <v>1</v>
      </c>
      <c r="BA11" s="181">
        <f ca="1">INDEX('Unique Asset List'!U$4:U$60,MATCH($B11,_CompoundList,0))</f>
        <v>1</v>
      </c>
      <c r="BB11" s="181">
        <f ca="1">INDEX('Unique Asset List'!V$4:V$60,MATCH($B11,_CompoundList,0))</f>
        <v>1</v>
      </c>
      <c r="BC11" s="181">
        <f ca="1">INDEX('Unique Asset List'!W$4:W$60,MATCH($B11,_CompoundList,0))</f>
        <v>1</v>
      </c>
      <c r="BD11" s="4">
        <f>IF($C$5="ON",CD11,MyRating(_E1,$B11,Efficacy!$F$1))</f>
        <v>2</v>
      </c>
      <c r="BE11" s="3">
        <f>IF($C$5="ON",CE11,MyRating(_E2,$B11,Efficacy!$F$1))</f>
        <v>2</v>
      </c>
      <c r="BF11" s="3">
        <f>IF($C$5="ON",CF11,MyRating(_E3,$B11,Efficacy!$F$1))</f>
        <v>2</v>
      </c>
      <c r="BG11" s="3">
        <f>IF($C$5="ON",CG11,MyRating(_E4,$B11,Efficacy!$F$1))</f>
        <v>2</v>
      </c>
      <c r="BH11" s="3">
        <f>IF($C$5="ON",CH11,MyRating(_E5,$B11,Efficacy!$F$1))</f>
        <v>1</v>
      </c>
      <c r="BI11" s="3">
        <f>IF($C$5="ON",CI11,MyRating(_E6,$B11,Efficacy!$F$1))</f>
        <v>4</v>
      </c>
      <c r="BJ11" s="3">
        <f>IF($C$5="ON",CJ11,MyRating(_E7,$B11,Efficacy!$F$1))</f>
        <v>2</v>
      </c>
      <c r="BK11" s="3">
        <f>IF($C$5="ON",CK11,MyRating(_E8,$B11,Efficacy!$F$1))</f>
        <v>3</v>
      </c>
      <c r="BL11" s="3">
        <f>IF($C$5="ON",CL11,MyRating(_S1,$B11,Efficacy!$F$1))</f>
        <v>2</v>
      </c>
      <c r="BM11" s="3">
        <f>IF($C$5="ON",CM11,MyRating(_S2,$B11,Efficacy!$F$1))</f>
        <v>1</v>
      </c>
      <c r="BN11" s="3">
        <f>IF($C$5="ON",CN11,MyRating(_S3,$B11,Efficacy!$F$1))</f>
        <v>2</v>
      </c>
      <c r="BO11" s="3">
        <f>IF($C$5="ON",CO11,MyRating(_S4,$B11,Efficacy!$F$1))</f>
        <v>3</v>
      </c>
      <c r="BP11" s="3">
        <f>IF($C$5="ON",CP11,MyRating(_S5,$B11,Efficacy!$F$1))</f>
        <v>1</v>
      </c>
      <c r="BQ11" s="3">
        <f>IF($C$5="ON",CQ11,MyRating(_S6,$B11,Efficacy!$F$1))</f>
        <v>3</v>
      </c>
      <c r="BR11" s="3">
        <f>IF($C$5="ON",CR11,MyRating(_S7,$B11,Efficacy!$F$1))</f>
        <v>1</v>
      </c>
      <c r="BS11" s="3">
        <f>IF($C$5="ON",CS11,MyRating(_D1,$B11,Efficacy!$F$1))</f>
        <v>3</v>
      </c>
      <c r="BT11" s="3">
        <f>IF($C$5="ON",CT11,MyRating(_D2,$B11,Efficacy!$F$1))</f>
        <v>1</v>
      </c>
      <c r="BU11" s="3">
        <f>IF($C$5="ON",CU11,MyRating(_D3,$B11,Efficacy!$F$1))</f>
        <v>1</v>
      </c>
      <c r="BV11" s="3">
        <f>IF($C$5="ON",CV11,MyRating(_D4,$B11,Efficacy!$F$1))</f>
        <v>3</v>
      </c>
      <c r="BW11" s="3">
        <f>IF($C$5="ON",CW11,MyRating(_B1,$B11,Barrier!$F$2))</f>
        <v>5</v>
      </c>
      <c r="BX11" s="3">
        <f>IF($C$5="ON",CX11,MyRating(_B2,$B11,Barrier!$F$2))</f>
        <v>3</v>
      </c>
      <c r="BY11" s="6">
        <f>IF($C$5="ON",CY11,MyRating(_B3,$B11,Barrier!$F$2))</f>
        <v>1</v>
      </c>
      <c r="BZ11" s="5">
        <f t="shared" si="7"/>
        <v>0</v>
      </c>
      <c r="CA11" s="8">
        <f t="shared" si="4"/>
        <v>2.4000000000000004</v>
      </c>
      <c r="CB11" s="5">
        <f t="shared" si="8"/>
        <v>2.8301886792452827E-2</v>
      </c>
      <c r="CC11" s="7">
        <f t="shared" si="5"/>
        <v>3.8137644231022581E-6</v>
      </c>
      <c r="CD11" s="4">
        <v>2</v>
      </c>
      <c r="CE11" s="3">
        <v>2</v>
      </c>
      <c r="CF11" s="3">
        <v>2</v>
      </c>
      <c r="CG11" s="3">
        <v>2</v>
      </c>
      <c r="CH11" s="3">
        <v>1</v>
      </c>
      <c r="CI11" s="3">
        <v>4</v>
      </c>
      <c r="CJ11" s="3">
        <v>2</v>
      </c>
      <c r="CK11" s="3">
        <v>3</v>
      </c>
      <c r="CL11" s="3">
        <v>2</v>
      </c>
      <c r="CM11" s="3">
        <v>1</v>
      </c>
      <c r="CN11" s="3">
        <v>2</v>
      </c>
      <c r="CO11" s="3">
        <v>3</v>
      </c>
      <c r="CP11" s="3">
        <v>1</v>
      </c>
      <c r="CQ11" s="3">
        <v>3</v>
      </c>
      <c r="CR11" s="3">
        <v>1</v>
      </c>
      <c r="CS11" s="3">
        <v>3</v>
      </c>
      <c r="CT11" s="3">
        <v>1</v>
      </c>
      <c r="CU11" s="3">
        <v>1</v>
      </c>
      <c r="CV11" s="3">
        <v>3</v>
      </c>
      <c r="CW11" s="3">
        <v>5</v>
      </c>
      <c r="CX11" s="3">
        <v>3</v>
      </c>
      <c r="CY11" s="6">
        <v>3</v>
      </c>
      <c r="CZ11" s="5"/>
      <c r="DA11" s="4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</row>
    <row r="12" spans="1:128" x14ac:dyDescent="0.25">
      <c r="A12" s="9" t="s">
        <v>5</v>
      </c>
      <c r="B12" s="9" t="s">
        <v>94</v>
      </c>
      <c r="C12" s="20"/>
      <c r="D12" s="9" t="s">
        <v>93</v>
      </c>
      <c r="E12" s="9"/>
      <c r="F12" s="9" t="str">
        <f>INDEX('Unique Asset List'!$C$4:$C$60,MATCH(B12,_CompoundList,0))</f>
        <v>Launched</v>
      </c>
      <c r="G12" s="19">
        <v>0.42001928817466688</v>
      </c>
      <c r="H12" s="9">
        <v>2018</v>
      </c>
      <c r="I12" s="9">
        <v>1</v>
      </c>
      <c r="J12" s="18">
        <f>INDEX(PTRS!$D$6:$D$12,MATCH('1'!$F12,PTRS!$B$6:$B$12,0))</f>
        <v>1</v>
      </c>
      <c r="K12" s="17">
        <f>INDEX('Unique Asset List'!$D$4:$M$60,MATCH($B12,'Unique Asset List'!$A$4:$A$60,0),MATCH(K$8,'Unique Asset List'!$D$3:$M$3,0))</f>
        <v>1</v>
      </c>
      <c r="L12" s="17">
        <f>INDEX('Unique Asset List'!$D$4:$M$60,MATCH($B12,'Unique Asset List'!$A$4:$A$60,0),MATCH(L$8,'Unique Asset List'!$D$3:$M$3,0))</f>
        <v>1</v>
      </c>
      <c r="M12" s="17">
        <f t="shared" si="0"/>
        <v>1</v>
      </c>
      <c r="N12" s="17">
        <f>INDEX('Unique Asset List'!$D$4:$M$60,MATCH($B12,'Unique Asset List'!$A$4:$A$60,0),MATCH(N$8,'Unique Asset List'!$D$3:$M$3,0))</f>
        <v>1</v>
      </c>
      <c r="O12" s="17">
        <f>INDEX('Unique Asset List'!$D$4:$M$60,MATCH($B12,'Unique Asset List'!$A$4:$A$60,0),MATCH(O$8,'Unique Asset List'!$D$3:$M$3,0))</f>
        <v>1</v>
      </c>
      <c r="P12" s="17">
        <f>INDEX('Unique Asset List'!$D$4:$M$60,MATCH($B12,'Unique Asset List'!$A$4:$A$60,0),MATCH(P$8,'Unique Asset List'!$D$3:$M$3,0))</f>
        <v>1</v>
      </c>
      <c r="Q12" s="17">
        <f>INDEX('Unique Asset List'!$D$4:$M$60,MATCH($B12,'Unique Asset List'!$A$4:$A$60,0),MATCH(Q$8,'Unique Asset List'!$D$3:$M$3,0))</f>
        <v>1</v>
      </c>
      <c r="R12" s="17">
        <f>INDEX('Unique Asset List'!$D$4:$M$60,MATCH($B12,'Unique Asset List'!$A$4:$A$60,0),MATCH(R$8,'Unique Asset List'!$D$3:$M$3,0))</f>
        <v>1</v>
      </c>
      <c r="S12" s="17">
        <f>INDEX('Unique Asset List'!$D$4:$M$60,MATCH($B12,'Unique Asset List'!$A$4:$A$60,0),MATCH(S$8,'Unique Asset List'!$D$3:$M$3,0))</f>
        <v>1</v>
      </c>
      <c r="T12" s="17"/>
      <c r="U12" s="17">
        <f t="shared" si="1"/>
        <v>1</v>
      </c>
      <c r="V12" s="17">
        <v>1</v>
      </c>
      <c r="W12" s="9" t="s">
        <v>80</v>
      </c>
      <c r="X12" s="9">
        <f>INDEX('Unique Asset List'!$Y$4:$AE$60,MATCH('1'!$B12,'Unique Asset List'!$A$4:$A$60,0),MATCH('1'!$C$1,'Unique Asset List'!$Y$3:$AE$3,0))</f>
        <v>1989</v>
      </c>
      <c r="Y12" s="9">
        <f>INDEX('Unique Asset List'!$AF$4:$AL$60,MATCH('1'!$B12,'Unique Asset List'!$A$4:$A$60,0),MATCH('1'!$C$1,'Unique Asset List'!$AF$3:$AL$3,0))</f>
        <v>12</v>
      </c>
      <c r="Z12" s="9">
        <f>INDEX('Unique Asset List'!$AT$4:$AZ$60,MATCH('1'!$B12,'Unique Asset List'!$A$4:$A$60,0),MATCH('1'!$C$1,'Unique Asset List'!$AT$3:$AZ$3,0))</f>
        <v>2006</v>
      </c>
      <c r="AA12" s="9">
        <f>INDEX('Unique Asset List'!$BA$4:$BG$60,MATCH('1'!$B12,'Unique Asset List'!$A$4:$A$60,0),MATCH('1'!$C$1,'Unique Asset List'!$BA$3:$BG$3,0))</f>
        <v>3</v>
      </c>
      <c r="AB12" s="16">
        <f t="shared" si="6"/>
        <v>1.3246358</v>
      </c>
      <c r="AC12" s="16">
        <f t="shared" si="2"/>
        <v>1.0775680999999999</v>
      </c>
      <c r="AD12" s="16">
        <f t="shared" si="3"/>
        <v>0.46126874111999994</v>
      </c>
      <c r="AE12" s="15">
        <v>0.1</v>
      </c>
      <c r="AF12" s="15">
        <f>INDEX('Unique Asset List'!$CQ$4:$CW$60,MATCH('1'!$B12,'Unique Asset List'!$A$4:$A$60,0),MATCH('1'!$C$1,'Unique Asset List'!$CQ$3:$CW$3,0))</f>
        <v>0.35</v>
      </c>
      <c r="AG12" s="15">
        <f>INDEX('Unique Asset List'!$BV$4:$CB$60,MATCH('1'!$B12,'Unique Asset List'!$A$4:$A$60,0),MATCH('1'!$C$1,'Unique Asset List'!$BV$3:$CB$3,0))</f>
        <v>0.15</v>
      </c>
      <c r="AH12" s="15">
        <f>INDEX('Unique Asset List'!$CC$4:$CI$60,MATCH('1'!$B12,'Unique Asset List'!$A$4:$A$60,0),MATCH('1'!$C$1,'Unique Asset List'!$CC$3:$CI$3,0))</f>
        <v>0.35</v>
      </c>
      <c r="AI12" s="11">
        <v>0.97304949785176587</v>
      </c>
      <c r="AJ12" s="15">
        <f>INDEX('Unique Asset List'!$BH$4:$BN$60,MATCH('1'!$B12,'Unique Asset List'!$A$4:$A$60,0),MATCH('1'!$C$1,'Unique Asset List'!$BH$3:$BN$3,0))</f>
        <v>1.2267192541321688</v>
      </c>
      <c r="AK12" s="15">
        <f>INDEX('Unique Asset List'!$BO$4:$BU$60,MATCH('1'!$B12,'Unique Asset List'!$A$4:$A$60,0),MATCH('1'!$C$1,'Unique Asset List'!$BO$3:$BU$3,0))</f>
        <v>11.984388276878477</v>
      </c>
      <c r="AL12" s="150">
        <v>160</v>
      </c>
      <c r="AM12" s="14">
        <v>1</v>
      </c>
      <c r="AN12" s="12">
        <v>3.5000000000000003E-2</v>
      </c>
      <c r="AO12" s="13">
        <v>60</v>
      </c>
      <c r="AP12" s="11">
        <v>1</v>
      </c>
      <c r="AQ12" s="12">
        <v>0</v>
      </c>
      <c r="AR12" s="11">
        <v>0.5</v>
      </c>
      <c r="AS12" s="10">
        <v>1</v>
      </c>
      <c r="AT12" s="181">
        <f>INDEX('Unique Asset List'!N$4:N$60,MATCH($B12,_CompoundList,0))</f>
        <v>1</v>
      </c>
      <c r="AU12" s="181">
        <f>INDEX('Unique Asset List'!O$4:O$60,MATCH($B12,_CompoundList,0))</f>
        <v>1</v>
      </c>
      <c r="AV12" s="181">
        <f>INDEX('Unique Asset List'!P$4:P$60,MATCH($B12,_CompoundList,0))</f>
        <v>1</v>
      </c>
      <c r="AW12" s="181">
        <f>INDEX('Unique Asset List'!Q$4:Q$60,MATCH($B12,_CompoundList,0))</f>
        <v>1</v>
      </c>
      <c r="AX12" s="181">
        <f ca="1">INDEX('Unique Asset List'!R$4:R$60,MATCH($B12,_CompoundList,0))</f>
        <v>1</v>
      </c>
      <c r="AY12" s="181">
        <f ca="1">INDEX('Unique Asset List'!S$4:S$60,MATCH($B12,_CompoundList,0))</f>
        <v>1</v>
      </c>
      <c r="AZ12" s="181">
        <f ca="1">INDEX('Unique Asset List'!T$4:T$60,MATCH($B12,_CompoundList,0))</f>
        <v>1</v>
      </c>
      <c r="BA12" s="181">
        <f ca="1">INDEX('Unique Asset List'!U$4:U$60,MATCH($B12,_CompoundList,0))</f>
        <v>1</v>
      </c>
      <c r="BB12" s="181">
        <f ca="1">INDEX('Unique Asset List'!V$4:V$60,MATCH($B12,_CompoundList,0))</f>
        <v>1</v>
      </c>
      <c r="BC12" s="181">
        <f ca="1">INDEX('Unique Asset List'!W$4:W$60,MATCH($B12,_CompoundList,0))</f>
        <v>1</v>
      </c>
      <c r="BD12" s="4">
        <f>IF($C$5="ON",CD12,MyRating(_E1,$B12,Efficacy!$F$1))</f>
        <v>3</v>
      </c>
      <c r="BE12" s="3">
        <f>IF($C$5="ON",CE12,MyRating(_E2,$B12,Efficacy!$F$1))</f>
        <v>3</v>
      </c>
      <c r="BF12" s="3">
        <f>IF($C$5="ON",CF12,MyRating(_E3,$B12,Efficacy!$F$1))</f>
        <v>3</v>
      </c>
      <c r="BG12" s="3">
        <f>IF($C$5="ON",CG12,MyRating(_E4,$B12,Efficacy!$F$1))</f>
        <v>3</v>
      </c>
      <c r="BH12" s="3">
        <f>IF($C$5="ON",CH12,MyRating(_E5,$B12,Efficacy!$F$1))</f>
        <v>3</v>
      </c>
      <c r="BI12" s="3">
        <f>IF($C$5="ON",CI12,MyRating(_E6,$B12,Efficacy!$F$1))</f>
        <v>1</v>
      </c>
      <c r="BJ12" s="3">
        <f>IF($C$5="ON",CJ12,MyRating(_E7,$B12,Efficacy!$F$1))</f>
        <v>3</v>
      </c>
      <c r="BK12" s="3">
        <f>IF($C$5="ON",CK12,MyRating(_E8,$B12,Efficacy!$F$1))</f>
        <v>3</v>
      </c>
      <c r="BL12" s="3">
        <f>IF($C$5="ON",CL12,MyRating(_S1,$B12,Efficacy!$F$1))</f>
        <v>4</v>
      </c>
      <c r="BM12" s="3">
        <f>IF($C$5="ON",CM12,MyRating(_S2,$B12,Efficacy!$F$1))</f>
        <v>5</v>
      </c>
      <c r="BN12" s="3">
        <f>IF($C$5="ON",CN12,MyRating(_S3,$B12,Efficacy!$F$1))</f>
        <v>4</v>
      </c>
      <c r="BO12" s="3">
        <f>IF($C$5="ON",CO12,MyRating(_S4,$B12,Efficacy!$F$1))</f>
        <v>5</v>
      </c>
      <c r="BP12" s="3">
        <f>IF($C$5="ON",CP12,MyRating(_S5,$B12,Efficacy!$F$1))</f>
        <v>5</v>
      </c>
      <c r="BQ12" s="3">
        <f>IF($C$5="ON",CQ12,MyRating(_S6,$B12,Efficacy!$F$1))</f>
        <v>4</v>
      </c>
      <c r="BR12" s="3">
        <f>IF($C$5="ON",CR12,MyRating(_S7,$B12,Efficacy!$F$1))</f>
        <v>3</v>
      </c>
      <c r="BS12" s="3">
        <f>IF($C$5="ON",CS12,MyRating(_D1,$B12,Efficacy!$F$1))</f>
        <v>2</v>
      </c>
      <c r="BT12" s="3">
        <f>IF($C$5="ON",CT12,MyRating(_D2,$B12,Efficacy!$F$1))</f>
        <v>2</v>
      </c>
      <c r="BU12" s="3">
        <f>IF($C$5="ON",CU12,MyRating(_D3,$B12,Efficacy!$F$1))</f>
        <v>3</v>
      </c>
      <c r="BV12" s="3">
        <f>IF($C$5="ON",CV12,MyRating(_D4,$B12,Efficacy!$F$1))</f>
        <v>3</v>
      </c>
      <c r="BW12" s="3">
        <f>IF($C$5="ON",CW12,MyRating(_B1,$B12,Barrier!$F$2))</f>
        <v>5</v>
      </c>
      <c r="BX12" s="3">
        <f>IF($C$5="ON",CX12,MyRating(_B2,$B12,Barrier!$F$2))</f>
        <v>3</v>
      </c>
      <c r="BY12" s="6">
        <f>IF($C$5="ON",CY12,MyRating(_B3,$B12,Barrier!$F$2))</f>
        <v>3</v>
      </c>
      <c r="BZ12" s="5">
        <f t="shared" si="7"/>
        <v>4.860606960052815E-2</v>
      </c>
      <c r="CA12" s="8">
        <f t="shared" si="4"/>
        <v>2.8000000000000003</v>
      </c>
      <c r="CB12" s="5">
        <f t="shared" si="8"/>
        <v>3.3018867924528295E-2</v>
      </c>
      <c r="CC12" s="7">
        <f t="shared" si="5"/>
        <v>6.5413536116141956E-6</v>
      </c>
      <c r="CD12" s="4">
        <v>3</v>
      </c>
      <c r="CE12" s="3">
        <v>3</v>
      </c>
      <c r="CF12" s="3">
        <v>3</v>
      </c>
      <c r="CG12" s="3">
        <v>3</v>
      </c>
      <c r="CH12" s="3">
        <v>3</v>
      </c>
      <c r="CI12" s="3">
        <v>1</v>
      </c>
      <c r="CJ12" s="3">
        <v>3</v>
      </c>
      <c r="CK12" s="3">
        <v>3</v>
      </c>
      <c r="CL12" s="3">
        <v>4</v>
      </c>
      <c r="CM12" s="3">
        <v>5</v>
      </c>
      <c r="CN12" s="3">
        <v>4</v>
      </c>
      <c r="CO12" s="3">
        <v>5</v>
      </c>
      <c r="CP12" s="3">
        <v>5</v>
      </c>
      <c r="CQ12" s="3">
        <v>4</v>
      </c>
      <c r="CR12" s="3">
        <v>3</v>
      </c>
      <c r="CS12" s="3">
        <v>2</v>
      </c>
      <c r="CT12" s="3">
        <v>2</v>
      </c>
      <c r="CU12" s="3">
        <v>3</v>
      </c>
      <c r="CV12" s="3">
        <v>3</v>
      </c>
      <c r="CW12" s="3">
        <v>5</v>
      </c>
      <c r="CX12" s="3">
        <v>3</v>
      </c>
      <c r="CY12" s="6">
        <v>3</v>
      </c>
      <c r="CZ12" s="5"/>
      <c r="DA12" s="4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</row>
    <row r="13" spans="1:128" x14ac:dyDescent="0.25">
      <c r="A13" s="9" t="s">
        <v>5</v>
      </c>
      <c r="B13" s="9" t="s">
        <v>92</v>
      </c>
      <c r="C13" s="20"/>
      <c r="D13" s="9" t="s">
        <v>91</v>
      </c>
      <c r="E13" s="9" t="s">
        <v>90</v>
      </c>
      <c r="F13" s="9" t="str">
        <f>INDEX('Unique Asset List'!$C$4:$C$60,MATCH(B13,_CompoundList,0))</f>
        <v>Launched</v>
      </c>
      <c r="G13" s="188">
        <v>1.0588647622561266E-2</v>
      </c>
      <c r="H13" s="9">
        <v>2018</v>
      </c>
      <c r="I13" s="9">
        <v>1</v>
      </c>
      <c r="J13" s="18">
        <f>INDEX(PTRS!$D$6:$D$12,MATCH('1'!$F13,PTRS!$B$6:$B$12,0))</f>
        <v>1</v>
      </c>
      <c r="K13" s="17">
        <f>INDEX('Unique Asset List'!$D$4:$M$60,MATCH($B13,'Unique Asset List'!$A$4:$A$60,0),MATCH(K$8,'Unique Asset List'!$D$3:$M$3,0))</f>
        <v>1</v>
      </c>
      <c r="L13" s="17">
        <f>INDEX('Unique Asset List'!$D$4:$M$60,MATCH($B13,'Unique Asset List'!$A$4:$A$60,0),MATCH(L$8,'Unique Asset List'!$D$3:$M$3,0))</f>
        <v>1</v>
      </c>
      <c r="M13" s="17">
        <f t="shared" si="0"/>
        <v>1</v>
      </c>
      <c r="N13" s="17">
        <f>INDEX('Unique Asset List'!$D$4:$M$60,MATCH($B13,'Unique Asset List'!$A$4:$A$60,0),MATCH(N$8,'Unique Asset List'!$D$3:$M$3,0))</f>
        <v>1</v>
      </c>
      <c r="O13" s="17">
        <f>INDEX('Unique Asset List'!$D$4:$M$60,MATCH($B13,'Unique Asset List'!$A$4:$A$60,0),MATCH(O$8,'Unique Asset List'!$D$3:$M$3,0))</f>
        <v>1</v>
      </c>
      <c r="P13" s="17">
        <f>INDEX('Unique Asset List'!$D$4:$M$60,MATCH($B13,'Unique Asset List'!$A$4:$A$60,0),MATCH(P$8,'Unique Asset List'!$D$3:$M$3,0))</f>
        <v>1</v>
      </c>
      <c r="Q13" s="17">
        <f>INDEX('Unique Asset List'!$D$4:$M$60,MATCH($B13,'Unique Asset List'!$A$4:$A$60,0),MATCH(Q$8,'Unique Asset List'!$D$3:$M$3,0))</f>
        <v>1</v>
      </c>
      <c r="R13" s="17">
        <f>INDEX('Unique Asset List'!$D$4:$M$60,MATCH($B13,'Unique Asset List'!$A$4:$A$60,0),MATCH(R$8,'Unique Asset List'!$D$3:$M$3,0))</f>
        <v>1</v>
      </c>
      <c r="S13" s="17">
        <f>INDEX('Unique Asset List'!$D$4:$M$60,MATCH($B13,'Unique Asset List'!$A$4:$A$60,0),MATCH(S$8,'Unique Asset List'!$D$3:$M$3,0))</f>
        <v>1</v>
      </c>
      <c r="T13" s="17"/>
      <c r="U13" s="17">
        <f t="shared" si="1"/>
        <v>0.58302373629991611</v>
      </c>
      <c r="V13" s="17">
        <v>1</v>
      </c>
      <c r="W13" s="9" t="s">
        <v>54</v>
      </c>
      <c r="X13" s="9">
        <f>INDEX('Unique Asset List'!$Y$4:$AE$60,MATCH('1'!$B13,'Unique Asset List'!$A$4:$A$60,0),MATCH('1'!$C$1,'Unique Asset List'!$Y$3:$AE$3,0))</f>
        <v>2015</v>
      </c>
      <c r="Y13" s="9">
        <f>INDEX('Unique Asset List'!$AF$4:$AL$60,MATCH('1'!$B13,'Unique Asset List'!$A$4:$A$60,0),MATCH('1'!$C$1,'Unique Asset List'!$AF$3:$AL$3,0))</f>
        <v>7</v>
      </c>
      <c r="Z13" s="9">
        <f>INDEX('Unique Asset List'!$AT$4:$AZ$60,MATCH('1'!$B13,'Unique Asset List'!$A$4:$A$60,0),MATCH('1'!$C$1,'Unique Asset List'!$AT$3:$AZ$3,0))</f>
        <v>2027</v>
      </c>
      <c r="AA13" s="9">
        <f>INDEX('Unique Asset List'!$BA$4:$BG$60,MATCH('1'!$B13,'Unique Asset List'!$A$4:$A$60,0),MATCH('1'!$C$1,'Unique Asset List'!$BA$3:$BG$3,0))</f>
        <v>2</v>
      </c>
      <c r="AB13" s="16">
        <f t="shared" si="6"/>
        <v>1.4482758</v>
      </c>
      <c r="AC13" s="16">
        <f t="shared" si="2"/>
        <v>0.78788900000000006</v>
      </c>
      <c r="AD13" s="16">
        <f t="shared" si="3"/>
        <v>0.56099999999999994</v>
      </c>
      <c r="AE13" s="15">
        <v>0.1</v>
      </c>
      <c r="AF13" s="15">
        <f>INDEX('Unique Asset List'!$CQ$4:$CW$60,MATCH('1'!$B13,'Unique Asset List'!$A$4:$A$60,0),MATCH('1'!$C$1,'Unique Asset List'!$CQ$3:$CW$3,0))</f>
        <v>0.35</v>
      </c>
      <c r="AG13" s="15">
        <f>INDEX('Unique Asset List'!$BV$4:$CB$60,MATCH('1'!$B13,'Unique Asset List'!$A$4:$A$60,0),MATCH('1'!$C$1,'Unique Asset List'!$BV$3:$CB$3,0))</f>
        <v>0.15</v>
      </c>
      <c r="AH13" s="15">
        <f>INDEX('Unique Asset List'!$CC$4:$CI$60,MATCH('1'!$B13,'Unique Asset List'!$A$4:$A$60,0),MATCH('1'!$C$1,'Unique Asset List'!$CC$3:$CI$3,0))</f>
        <v>0.35</v>
      </c>
      <c r="AI13" s="11">
        <v>0.97304949785176587</v>
      </c>
      <c r="AJ13" s="15">
        <f>INDEX('Unique Asset List'!$BH$4:$BN$60,MATCH('1'!$B13,'Unique Asset List'!$A$4:$A$60,0),MATCH('1'!$C$1,'Unique Asset List'!$BH$3:$BN$3,0))</f>
        <v>1.2267192541321688</v>
      </c>
      <c r="AK13" s="15">
        <f>INDEX('Unique Asset List'!$BO$4:$BU$60,MATCH('1'!$B13,'Unique Asset List'!$A$4:$A$60,0),MATCH('1'!$C$1,'Unique Asset List'!$BO$3:$BU$3,0))</f>
        <v>11.984388276878477</v>
      </c>
      <c r="AL13" s="150">
        <v>160</v>
      </c>
      <c r="AM13" s="14">
        <v>28.42</v>
      </c>
      <c r="AN13" s="12">
        <v>7.5670000000000001E-2</v>
      </c>
      <c r="AO13" s="13">
        <v>60</v>
      </c>
      <c r="AP13" s="11">
        <v>1</v>
      </c>
      <c r="AQ13" s="12">
        <v>0</v>
      </c>
      <c r="AR13" s="11">
        <v>0.5</v>
      </c>
      <c r="AS13" s="10">
        <v>1</v>
      </c>
      <c r="AT13" s="181">
        <f>INDEX('Unique Asset List'!N$4:N$60,MATCH($B13,_CompoundList,0))</f>
        <v>1</v>
      </c>
      <c r="AU13" s="181">
        <f>INDEX('Unique Asset List'!O$4:O$60,MATCH($B13,_CompoundList,0))</f>
        <v>1</v>
      </c>
      <c r="AV13" s="181">
        <f>INDEX('Unique Asset List'!P$4:P$60,MATCH($B13,_CompoundList,0))</f>
        <v>1</v>
      </c>
      <c r="AW13" s="181">
        <f>INDEX('Unique Asset List'!Q$4:Q$60,MATCH($B13,_CompoundList,0))</f>
        <v>1</v>
      </c>
      <c r="AX13" s="181">
        <f ca="1">INDEX('Unique Asset List'!R$4:R$60,MATCH($B13,_CompoundList,0))</f>
        <v>1</v>
      </c>
      <c r="AY13" s="181">
        <f ca="1">INDEX('Unique Asset List'!S$4:S$60,MATCH($B13,_CompoundList,0))</f>
        <v>1</v>
      </c>
      <c r="AZ13" s="181">
        <f ca="1">INDEX('Unique Asset List'!T$4:T$60,MATCH($B13,_CompoundList,0))</f>
        <v>1</v>
      </c>
      <c r="BA13" s="181">
        <f ca="1">INDEX('Unique Asset List'!U$4:U$60,MATCH($B13,_CompoundList,0))</f>
        <v>1</v>
      </c>
      <c r="BB13" s="181">
        <f ca="1">INDEX('Unique Asset List'!V$4:V$60,MATCH($B13,_CompoundList,0))</f>
        <v>1</v>
      </c>
      <c r="BC13" s="181">
        <f ca="1">INDEX('Unique Asset List'!W$4:W$60,MATCH($B13,_CompoundList,0))</f>
        <v>1</v>
      </c>
      <c r="BD13" s="4">
        <f>IF($C$5="ON",CD13,MyRating(_E1,$B13,Efficacy!$F$1))</f>
        <v>3</v>
      </c>
      <c r="BE13" s="3">
        <f>IF($C$5="ON",CE13,MyRating(_E2,$B13,Efficacy!$F$1))</f>
        <v>3</v>
      </c>
      <c r="BF13" s="3">
        <f>IF($C$5="ON",CF13,MyRating(_E3,$B13,Efficacy!$F$1))</f>
        <v>3</v>
      </c>
      <c r="BG13" s="3">
        <f>IF($C$5="ON",CG13,MyRating(_E4,$B13,Efficacy!$F$1))</f>
        <v>3</v>
      </c>
      <c r="BH13" s="3">
        <f>IF($C$5="ON",CH13,MyRating(_E5,$B13,Efficacy!$F$1))</f>
        <v>3</v>
      </c>
      <c r="BI13" s="3">
        <f>IF($C$5="ON",CI13,MyRating(_E6,$B13,Efficacy!$F$1))</f>
        <v>3</v>
      </c>
      <c r="BJ13" s="3">
        <f>IF($C$5="ON",CJ13,MyRating(_E7,$B13,Efficacy!$F$1))</f>
        <v>3</v>
      </c>
      <c r="BK13" s="3">
        <f>IF($C$5="ON",CK13,MyRating(_E8,$B13,Efficacy!$F$1))</f>
        <v>3</v>
      </c>
      <c r="BL13" s="3">
        <f>IF($C$5="ON",CL13,MyRating(_S1,$B13,Efficacy!$F$1))</f>
        <v>3</v>
      </c>
      <c r="BM13" s="3">
        <f>IF($C$5="ON",CM13,MyRating(_S2,$B13,Efficacy!$F$1))</f>
        <v>3</v>
      </c>
      <c r="BN13" s="3">
        <f>IF($C$5="ON",CN13,MyRating(_S3,$B13,Efficacy!$F$1))</f>
        <v>3</v>
      </c>
      <c r="BO13" s="3">
        <f>IF($C$5="ON",CO13,MyRating(_S4,$B13,Efficacy!$F$1))</f>
        <v>4</v>
      </c>
      <c r="BP13" s="3">
        <f>IF($C$5="ON",CP13,MyRating(_S5,$B13,Efficacy!$F$1))</f>
        <v>3</v>
      </c>
      <c r="BQ13" s="3">
        <f>IF($C$5="ON",CQ13,MyRating(_S6,$B13,Efficacy!$F$1))</f>
        <v>3</v>
      </c>
      <c r="BR13" s="3">
        <f>IF($C$5="ON",CR13,MyRating(_S7,$B13,Efficacy!$F$1))</f>
        <v>3</v>
      </c>
      <c r="BS13" s="3">
        <f>IF($C$5="ON",CS13,MyRating(_D1,$B13,Efficacy!$F$1))</f>
        <v>3</v>
      </c>
      <c r="BT13" s="3">
        <f>IF($C$5="ON",CT13,MyRating(_D2,$B13,Efficacy!$F$1))</f>
        <v>3</v>
      </c>
      <c r="BU13" s="3">
        <f>IF($C$5="ON",CU13,MyRating(_D3,$B13,Efficacy!$F$1))</f>
        <v>3</v>
      </c>
      <c r="BV13" s="3">
        <f>IF($C$5="ON",CV13,MyRating(_D4,$B13,Efficacy!$F$1))</f>
        <v>3</v>
      </c>
      <c r="BW13" s="3">
        <f>IF($C$5="ON",CW13,MyRating(_B1,$B13,Barrier!$F$2))</f>
        <v>3</v>
      </c>
      <c r="BX13" s="3">
        <f>IF($C$5="ON",CX13,MyRating(_B2,$B13,Barrier!$F$2))</f>
        <v>3</v>
      </c>
      <c r="BY13" s="6">
        <f>IF($C$5="ON",CY13,MyRating(_B3,$B13,Barrier!$F$2))</f>
        <v>3</v>
      </c>
      <c r="BZ13" s="5">
        <f t="shared" si="7"/>
        <v>2.833849230535369E-2</v>
      </c>
      <c r="CA13" s="8">
        <f t="shared" si="4"/>
        <v>2.4000000000000004</v>
      </c>
      <c r="CB13" s="5">
        <f t="shared" si="8"/>
        <v>2.8301886792452827E-2</v>
      </c>
      <c r="CC13" s="7">
        <f t="shared" si="5"/>
        <v>3.8137644231022581E-6</v>
      </c>
      <c r="CD13" s="4">
        <v>3</v>
      </c>
      <c r="CE13" s="3">
        <v>3</v>
      </c>
      <c r="CF13" s="3">
        <v>3</v>
      </c>
      <c r="CG13" s="3">
        <v>3</v>
      </c>
      <c r="CH13" s="3">
        <v>3</v>
      </c>
      <c r="CI13" s="3">
        <v>3</v>
      </c>
      <c r="CJ13" s="3">
        <v>3</v>
      </c>
      <c r="CK13" s="3">
        <v>3</v>
      </c>
      <c r="CL13" s="3">
        <v>3</v>
      </c>
      <c r="CM13" s="3">
        <v>3</v>
      </c>
      <c r="CN13" s="3">
        <v>3</v>
      </c>
      <c r="CO13" s="3">
        <v>4</v>
      </c>
      <c r="CP13" s="3">
        <v>3</v>
      </c>
      <c r="CQ13" s="3">
        <v>3</v>
      </c>
      <c r="CR13" s="3">
        <v>3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3</v>
      </c>
      <c r="CY13" s="6">
        <v>3</v>
      </c>
      <c r="CZ13" s="5"/>
      <c r="DA13" s="4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</row>
    <row r="14" spans="1:128" x14ac:dyDescent="0.25">
      <c r="A14" s="9" t="s">
        <v>5</v>
      </c>
      <c r="B14" s="9" t="s">
        <v>89</v>
      </c>
      <c r="C14" s="20"/>
      <c r="D14" s="9" t="s">
        <v>88</v>
      </c>
      <c r="E14" s="9"/>
      <c r="F14" s="9" t="str">
        <f>INDEX('Unique Asset List'!$C$4:$C$60,MATCH(B14,_CompoundList,0))</f>
        <v>Launched</v>
      </c>
      <c r="G14" s="19">
        <v>0.35735925503191079</v>
      </c>
      <c r="H14" s="9">
        <v>2018</v>
      </c>
      <c r="I14" s="9">
        <v>1</v>
      </c>
      <c r="J14" s="18">
        <f>INDEX(PTRS!$D$6:$D$12,MATCH('1'!$F14,PTRS!$B$6:$B$12,0))</f>
        <v>1</v>
      </c>
      <c r="K14" s="17">
        <f>INDEX('Unique Asset List'!$D$4:$M$60,MATCH($B14,'Unique Asset List'!$A$4:$A$60,0),MATCH(K$8,'Unique Asset List'!$D$3:$M$3,0))</f>
        <v>1</v>
      </c>
      <c r="L14" s="17">
        <f>INDEX('Unique Asset List'!$D$4:$M$60,MATCH($B14,'Unique Asset List'!$A$4:$A$60,0),MATCH(L$8,'Unique Asset List'!$D$3:$M$3,0))</f>
        <v>1</v>
      </c>
      <c r="M14" s="17">
        <f t="shared" si="0"/>
        <v>1</v>
      </c>
      <c r="N14" s="17">
        <f>INDEX('Unique Asset List'!$D$4:$M$60,MATCH($B14,'Unique Asset List'!$A$4:$A$60,0),MATCH(N$8,'Unique Asset List'!$D$3:$M$3,0))</f>
        <v>1</v>
      </c>
      <c r="O14" s="17">
        <f>INDEX('Unique Asset List'!$D$4:$M$60,MATCH($B14,'Unique Asset List'!$A$4:$A$60,0),MATCH(O$8,'Unique Asset List'!$D$3:$M$3,0))</f>
        <v>1</v>
      </c>
      <c r="P14" s="17">
        <f>INDEX('Unique Asset List'!$D$4:$M$60,MATCH($B14,'Unique Asset List'!$A$4:$A$60,0),MATCH(P$8,'Unique Asset List'!$D$3:$M$3,0))</f>
        <v>1</v>
      </c>
      <c r="Q14" s="17">
        <f>INDEX('Unique Asset List'!$D$4:$M$60,MATCH($B14,'Unique Asset List'!$A$4:$A$60,0),MATCH(Q$8,'Unique Asset List'!$D$3:$M$3,0))</f>
        <v>1</v>
      </c>
      <c r="R14" s="17">
        <f>INDEX('Unique Asset List'!$D$4:$M$60,MATCH($B14,'Unique Asset List'!$A$4:$A$60,0),MATCH(R$8,'Unique Asset List'!$D$3:$M$3,0))</f>
        <v>1</v>
      </c>
      <c r="S14" s="17">
        <f>INDEX('Unique Asset List'!$D$4:$M$60,MATCH($B14,'Unique Asset List'!$A$4:$A$60,0),MATCH(S$8,'Unique Asset List'!$D$3:$M$3,0))</f>
        <v>1</v>
      </c>
      <c r="T14" s="17"/>
      <c r="U14" s="17">
        <f t="shared" si="1"/>
        <v>1</v>
      </c>
      <c r="V14" s="17">
        <v>1</v>
      </c>
      <c r="W14" s="9" t="s">
        <v>80</v>
      </c>
      <c r="X14" s="9">
        <f>INDEX('Unique Asset List'!$Y$4:$AE$60,MATCH('1'!$B14,'Unique Asset List'!$A$4:$A$60,0),MATCH('1'!$C$1,'Unique Asset List'!$Y$3:$AE$3,0))</f>
        <v>1981</v>
      </c>
      <c r="Y14" s="9">
        <f>INDEX('Unique Asset List'!$AF$4:$AL$60,MATCH('1'!$B14,'Unique Asset List'!$A$4:$A$60,0),MATCH('1'!$C$1,'Unique Asset List'!$AF$3:$AL$3,0))</f>
        <v>1</v>
      </c>
      <c r="Z14" s="9">
        <f>INDEX('Unique Asset List'!$AT$4:$AZ$60,MATCH('1'!$B14,'Unique Asset List'!$A$4:$A$60,0),MATCH('1'!$C$1,'Unique Asset List'!$AT$3:$AZ$3,0))</f>
        <v>2020</v>
      </c>
      <c r="AA14" s="9">
        <f>INDEX('Unique Asset List'!$BA$4:$BG$60,MATCH('1'!$B14,'Unique Asset List'!$A$4:$A$60,0),MATCH('1'!$C$1,'Unique Asset List'!$BA$3:$BG$3,0))</f>
        <v>6</v>
      </c>
      <c r="AB14" s="16">
        <f t="shared" si="6"/>
        <v>1.0035646</v>
      </c>
      <c r="AC14" s="16">
        <f t="shared" si="2"/>
        <v>0.78683479999999995</v>
      </c>
      <c r="AD14" s="16">
        <f t="shared" si="3"/>
        <v>0.56099999999999994</v>
      </c>
      <c r="AE14" s="15">
        <v>0.1</v>
      </c>
      <c r="AF14" s="15">
        <f>INDEX('Unique Asset List'!$CQ$4:$CW$60,MATCH('1'!$B14,'Unique Asset List'!$A$4:$A$60,0),MATCH('1'!$C$1,'Unique Asset List'!$CQ$3:$CW$3,0))</f>
        <v>0.35</v>
      </c>
      <c r="AG14" s="15">
        <f>INDEX('Unique Asset List'!$BV$4:$CB$60,MATCH('1'!$B14,'Unique Asset List'!$A$4:$A$60,0),MATCH('1'!$C$1,'Unique Asset List'!$BV$3:$CB$3,0))</f>
        <v>0.15</v>
      </c>
      <c r="AH14" s="15">
        <f>INDEX('Unique Asset List'!$CC$4:$CI$60,MATCH('1'!$B14,'Unique Asset List'!$A$4:$A$60,0),MATCH('1'!$C$1,'Unique Asset List'!$CC$3:$CI$3,0))</f>
        <v>0.35</v>
      </c>
      <c r="AI14" s="11">
        <v>0.97304949785176587</v>
      </c>
      <c r="AJ14" s="15">
        <f>INDEX('Unique Asset List'!$BH$4:$BN$60,MATCH('1'!$B14,'Unique Asset List'!$A$4:$A$60,0),MATCH('1'!$C$1,'Unique Asset List'!$BH$3:$BN$3,0))</f>
        <v>1.2267192541321688</v>
      </c>
      <c r="AK14" s="15">
        <f>INDEX('Unique Asset List'!$BO$4:$BU$60,MATCH('1'!$B14,'Unique Asset List'!$A$4:$A$60,0),MATCH('1'!$C$1,'Unique Asset List'!$BO$3:$BU$3,0))</f>
        <v>11.984388276878477</v>
      </c>
      <c r="AL14" s="150">
        <v>160</v>
      </c>
      <c r="AM14" s="13">
        <f>10/147</f>
        <v>6.8027210884353748E-2</v>
      </c>
      <c r="AN14" s="12">
        <v>3.5000000000000003E-2</v>
      </c>
      <c r="AO14" s="13">
        <v>60</v>
      </c>
      <c r="AP14" s="11">
        <v>1</v>
      </c>
      <c r="AQ14" s="12">
        <v>0</v>
      </c>
      <c r="AR14" s="11">
        <v>0.5</v>
      </c>
      <c r="AS14" s="10">
        <v>1</v>
      </c>
      <c r="AT14" s="181">
        <f>INDEX('Unique Asset List'!N$4:N$60,MATCH($B14,_CompoundList,0))</f>
        <v>1</v>
      </c>
      <c r="AU14" s="181">
        <f>INDEX('Unique Asset List'!O$4:O$60,MATCH($B14,_CompoundList,0))</f>
        <v>1</v>
      </c>
      <c r="AV14" s="181">
        <f>INDEX('Unique Asset List'!P$4:P$60,MATCH($B14,_CompoundList,0))</f>
        <v>1</v>
      </c>
      <c r="AW14" s="181">
        <f>INDEX('Unique Asset List'!Q$4:Q$60,MATCH($B14,_CompoundList,0))</f>
        <v>1</v>
      </c>
      <c r="AX14" s="181">
        <f ca="1">INDEX('Unique Asset List'!R$4:R$60,MATCH($B14,_CompoundList,0))</f>
        <v>1</v>
      </c>
      <c r="AY14" s="181">
        <f ca="1">INDEX('Unique Asset List'!S$4:S$60,MATCH($B14,_CompoundList,0))</f>
        <v>1</v>
      </c>
      <c r="AZ14" s="181">
        <f ca="1">INDEX('Unique Asset List'!T$4:T$60,MATCH($B14,_CompoundList,0))</f>
        <v>1</v>
      </c>
      <c r="BA14" s="181">
        <f ca="1">INDEX('Unique Asset List'!U$4:U$60,MATCH($B14,_CompoundList,0))</f>
        <v>1</v>
      </c>
      <c r="BB14" s="181">
        <f ca="1">INDEX('Unique Asset List'!V$4:V$60,MATCH($B14,_CompoundList,0))</f>
        <v>1</v>
      </c>
      <c r="BC14" s="181">
        <f ca="1">INDEX('Unique Asset List'!W$4:W$60,MATCH($B14,_CompoundList,0))</f>
        <v>1</v>
      </c>
      <c r="BD14" s="4">
        <f>IF($C$5="ON",CD14,MyRating(_E1,$B14,Efficacy!$F$1))</f>
        <v>2</v>
      </c>
      <c r="BE14" s="3">
        <f>IF($C$5="ON",CE14,MyRating(_E2,$B14,Efficacy!$F$1))</f>
        <v>2</v>
      </c>
      <c r="BF14" s="3">
        <f>IF($C$5="ON",CF14,MyRating(_E3,$B14,Efficacy!$F$1))</f>
        <v>2</v>
      </c>
      <c r="BG14" s="3">
        <f>IF($C$5="ON",CG14,MyRating(_E4,$B14,Efficacy!$F$1))</f>
        <v>2</v>
      </c>
      <c r="BH14" s="3">
        <f>IF($C$5="ON",CH14,MyRating(_E5,$B14,Efficacy!$F$1))</f>
        <v>3</v>
      </c>
      <c r="BI14" s="3">
        <f>IF($C$5="ON",CI14,MyRating(_E6,$B14,Efficacy!$F$1))</f>
        <v>2</v>
      </c>
      <c r="BJ14" s="3">
        <f>IF($C$5="ON",CJ14,MyRating(_E7,$B14,Efficacy!$F$1))</f>
        <v>2</v>
      </c>
      <c r="BK14" s="3">
        <f>IF($C$5="ON",CK14,MyRating(_E8,$B14,Efficacy!$F$1))</f>
        <v>2</v>
      </c>
      <c r="BL14" s="3">
        <f>IF($C$5="ON",CL14,MyRating(_S1,$B14,Efficacy!$F$1))</f>
        <v>4</v>
      </c>
      <c r="BM14" s="3">
        <f>IF($C$5="ON",CM14,MyRating(_S2,$B14,Efficacy!$F$1))</f>
        <v>2</v>
      </c>
      <c r="BN14" s="3">
        <f>IF($C$5="ON",CN14,MyRating(_S3,$B14,Efficacy!$F$1))</f>
        <v>2</v>
      </c>
      <c r="BO14" s="3">
        <f>IF($C$5="ON",CO14,MyRating(_S4,$B14,Efficacy!$F$1))</f>
        <v>4</v>
      </c>
      <c r="BP14" s="3">
        <f>IF($C$5="ON",CP14,MyRating(_S5,$B14,Efficacy!$F$1))</f>
        <v>4</v>
      </c>
      <c r="BQ14" s="3">
        <f>IF($C$5="ON",CQ14,MyRating(_S6,$B14,Efficacy!$F$1))</f>
        <v>2</v>
      </c>
      <c r="BR14" s="3">
        <f>IF($C$5="ON",CR14,MyRating(_S7,$B14,Efficacy!$F$1))</f>
        <v>2</v>
      </c>
      <c r="BS14" s="3">
        <f>IF($C$5="ON",CS14,MyRating(_D1,$B14,Efficacy!$F$1))</f>
        <v>3</v>
      </c>
      <c r="BT14" s="3">
        <f>IF($C$5="ON",CT14,MyRating(_D2,$B14,Efficacy!$F$1))</f>
        <v>3</v>
      </c>
      <c r="BU14" s="3">
        <f>IF($C$5="ON",CU14,MyRating(_D3,$B14,Efficacy!$F$1))</f>
        <v>3</v>
      </c>
      <c r="BV14" s="3">
        <f>IF($C$5="ON",CV14,MyRating(_D4,$B14,Efficacy!$F$1))</f>
        <v>3</v>
      </c>
      <c r="BW14" s="3">
        <f>IF($C$5="ON",CW14,MyRating(_B1,$B14,Barrier!$F$2))</f>
        <v>5</v>
      </c>
      <c r="BX14" s="3">
        <f>IF($C$5="ON",CX14,MyRating(_B2,$B14,Barrier!$F$2))</f>
        <v>3</v>
      </c>
      <c r="BY14" s="6">
        <f>IF($C$5="ON",CY14,MyRating(_B3,$B14,Barrier!$F$2))</f>
        <v>3</v>
      </c>
      <c r="BZ14" s="5">
        <f t="shared" si="7"/>
        <v>4.860606960052815E-2</v>
      </c>
      <c r="CA14" s="8">
        <f t="shared" si="4"/>
        <v>2.8000000000000003</v>
      </c>
      <c r="CB14" s="5">
        <f t="shared" si="8"/>
        <v>3.3018867924528295E-2</v>
      </c>
      <c r="CC14" s="7">
        <f t="shared" si="5"/>
        <v>6.5413536116141956E-6</v>
      </c>
      <c r="CD14" s="4">
        <v>2</v>
      </c>
      <c r="CE14" s="3">
        <v>2</v>
      </c>
      <c r="CF14" s="3">
        <v>2</v>
      </c>
      <c r="CG14" s="3">
        <v>2</v>
      </c>
      <c r="CH14" s="3">
        <v>3</v>
      </c>
      <c r="CI14" s="3">
        <v>2</v>
      </c>
      <c r="CJ14" s="3">
        <v>2</v>
      </c>
      <c r="CK14" s="3">
        <v>2</v>
      </c>
      <c r="CL14" s="3">
        <v>4</v>
      </c>
      <c r="CM14" s="3">
        <v>2</v>
      </c>
      <c r="CN14" s="3">
        <v>2</v>
      </c>
      <c r="CO14" s="3">
        <v>4</v>
      </c>
      <c r="CP14" s="3">
        <v>4</v>
      </c>
      <c r="CQ14" s="3">
        <v>2</v>
      </c>
      <c r="CR14" s="3">
        <v>2</v>
      </c>
      <c r="CS14" s="3">
        <v>3</v>
      </c>
      <c r="CT14" s="3">
        <v>3</v>
      </c>
      <c r="CU14" s="3">
        <v>3</v>
      </c>
      <c r="CV14" s="3">
        <v>3</v>
      </c>
      <c r="CW14" s="3">
        <v>5</v>
      </c>
      <c r="CX14" s="3">
        <v>3</v>
      </c>
      <c r="CY14" s="6">
        <v>3</v>
      </c>
      <c r="CZ14" s="5"/>
      <c r="DA14" s="4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</row>
    <row r="15" spans="1:128" x14ac:dyDescent="0.25">
      <c r="A15" s="9" t="s">
        <v>5</v>
      </c>
      <c r="B15" s="9" t="s">
        <v>87</v>
      </c>
      <c r="C15" s="20"/>
      <c r="D15" s="9" t="s">
        <v>64</v>
      </c>
      <c r="E15" s="9"/>
      <c r="F15" s="9" t="str">
        <f>INDEX('Unique Asset List'!$C$4:$C$60,MATCH(B15,_CompoundList,0))</f>
        <v>Launched</v>
      </c>
      <c r="G15" s="188">
        <v>4.1422176368940558E-3</v>
      </c>
      <c r="H15" s="9">
        <v>2018</v>
      </c>
      <c r="I15" s="9">
        <v>1</v>
      </c>
      <c r="J15" s="18">
        <f>INDEX(PTRS!$D$6:$D$12,MATCH('1'!$F15,PTRS!$B$6:$B$12,0))</f>
        <v>1</v>
      </c>
      <c r="K15" s="17">
        <f>INDEX('Unique Asset List'!$D$4:$M$60,MATCH($B15,'Unique Asset List'!$A$4:$A$60,0),MATCH(K$8,'Unique Asset List'!$D$3:$M$3,0))</f>
        <v>1</v>
      </c>
      <c r="L15" s="17">
        <f>INDEX('Unique Asset List'!$D$4:$M$60,MATCH($B15,'Unique Asset List'!$A$4:$A$60,0),MATCH(L$8,'Unique Asset List'!$D$3:$M$3,0))</f>
        <v>1</v>
      </c>
      <c r="M15" s="17">
        <f t="shared" si="0"/>
        <v>1</v>
      </c>
      <c r="N15" s="17">
        <f>INDEX('Unique Asset List'!$D$4:$M$60,MATCH($B15,'Unique Asset List'!$A$4:$A$60,0),MATCH(N$8,'Unique Asset List'!$D$3:$M$3,0))</f>
        <v>1</v>
      </c>
      <c r="O15" s="17">
        <f>INDEX('Unique Asset List'!$D$4:$M$60,MATCH($B15,'Unique Asset List'!$A$4:$A$60,0),MATCH(O$8,'Unique Asset List'!$D$3:$M$3,0))</f>
        <v>1</v>
      </c>
      <c r="P15" s="17">
        <f>INDEX('Unique Asset List'!$D$4:$M$60,MATCH($B15,'Unique Asset List'!$A$4:$A$60,0),MATCH(P$8,'Unique Asset List'!$D$3:$M$3,0))</f>
        <v>1</v>
      </c>
      <c r="Q15" s="17">
        <f>INDEX('Unique Asset List'!$D$4:$M$60,MATCH($B15,'Unique Asset List'!$A$4:$A$60,0),MATCH(Q$8,'Unique Asset List'!$D$3:$M$3,0))</f>
        <v>1</v>
      </c>
      <c r="R15" s="17">
        <f>INDEX('Unique Asset List'!$D$4:$M$60,MATCH($B15,'Unique Asset List'!$A$4:$A$60,0),MATCH(R$8,'Unique Asset List'!$D$3:$M$3,0))</f>
        <v>1</v>
      </c>
      <c r="S15" s="17">
        <f>INDEX('Unique Asset List'!$D$4:$M$60,MATCH($B15,'Unique Asset List'!$A$4:$A$60,0),MATCH(S$8,'Unique Asset List'!$D$3:$M$3,0))</f>
        <v>1</v>
      </c>
      <c r="T15" s="17"/>
      <c r="U15" s="17">
        <f t="shared" si="1"/>
        <v>0.58302373629991611</v>
      </c>
      <c r="V15" s="17">
        <v>0.5</v>
      </c>
      <c r="W15" s="9" t="s">
        <v>54</v>
      </c>
      <c r="X15" s="9">
        <f>INDEX('Unique Asset List'!$Y$4:$AE$60,MATCH('1'!$B15,'Unique Asset List'!$A$4:$A$60,0),MATCH('1'!$C$1,'Unique Asset List'!$Y$3:$AE$3,0))</f>
        <v>2016</v>
      </c>
      <c r="Y15" s="9">
        <f>INDEX('Unique Asset List'!$AF$4:$AL$60,MATCH('1'!$B15,'Unique Asset List'!$A$4:$A$60,0),MATCH('1'!$C$1,'Unique Asset List'!$AF$3:$AL$3,0))</f>
        <v>3</v>
      </c>
      <c r="Z15" s="9">
        <f>INDEX('Unique Asset List'!$AT$4:$AZ$60,MATCH('1'!$B15,'Unique Asset List'!$A$4:$A$60,0),MATCH('1'!$C$1,'Unique Asset List'!$AT$3:$AZ$3,0))</f>
        <v>2029</v>
      </c>
      <c r="AA15" s="9">
        <f>INDEX('Unique Asset List'!$BA$4:$BG$60,MATCH('1'!$B15,'Unique Asset List'!$A$4:$A$60,0),MATCH('1'!$C$1,'Unique Asset List'!$BA$3:$BG$3,0))</f>
        <v>9</v>
      </c>
      <c r="AB15" s="16">
        <f t="shared" si="6"/>
        <v>1.4728487000000001</v>
      </c>
      <c r="AC15" s="16">
        <f t="shared" si="2"/>
        <v>0.82350590000000001</v>
      </c>
      <c r="AD15" s="16">
        <f t="shared" si="3"/>
        <v>0.52097279586</v>
      </c>
      <c r="AE15" s="15">
        <v>0.1</v>
      </c>
      <c r="AF15" s="15">
        <f>INDEX('Unique Asset List'!$CQ$4:$CW$60,MATCH('1'!$B15,'Unique Asset List'!$A$4:$A$60,0),MATCH('1'!$C$1,'Unique Asset List'!$CQ$3:$CW$3,0))</f>
        <v>0.35</v>
      </c>
      <c r="AG15" s="15">
        <f>INDEX('Unique Asset List'!$BV$4:$CB$60,MATCH('1'!$B15,'Unique Asset List'!$A$4:$A$60,0),MATCH('1'!$C$1,'Unique Asset List'!$BV$3:$CB$3,0))</f>
        <v>0.15</v>
      </c>
      <c r="AH15" s="15">
        <f>INDEX('Unique Asset List'!$CC$4:$CI$60,MATCH('1'!$B15,'Unique Asset List'!$A$4:$A$60,0),MATCH('1'!$C$1,'Unique Asset List'!$CC$3:$CI$3,0))</f>
        <v>0.35</v>
      </c>
      <c r="AI15" s="11">
        <v>0.97304949785176587</v>
      </c>
      <c r="AJ15" s="15">
        <f>INDEX('Unique Asset List'!$BH$4:$BN$60,MATCH('1'!$B15,'Unique Asset List'!$A$4:$A$60,0),MATCH('1'!$C$1,'Unique Asset List'!$BH$3:$BN$3,0))</f>
        <v>1.6</v>
      </c>
      <c r="AK15" s="15">
        <f>INDEX('Unique Asset List'!$BO$4:$BU$60,MATCH('1'!$B15,'Unique Asset List'!$A$4:$A$60,0),MATCH('1'!$C$1,'Unique Asset List'!$BO$3:$BU$3,0))</f>
        <v>11.984388276878477</v>
      </c>
      <c r="AL15" s="150">
        <v>160</v>
      </c>
      <c r="AM15" s="14">
        <v>32.799999999999997</v>
      </c>
      <c r="AN15" s="12">
        <v>0.09</v>
      </c>
      <c r="AO15" s="13">
        <v>60</v>
      </c>
      <c r="AP15" s="11">
        <v>1</v>
      </c>
      <c r="AQ15" s="12">
        <v>0</v>
      </c>
      <c r="AR15" s="11">
        <v>0.5</v>
      </c>
      <c r="AS15" s="10">
        <v>1</v>
      </c>
      <c r="AT15" s="181">
        <f>INDEX('Unique Asset List'!N$4:N$60,MATCH($B15,_CompoundList,0))</f>
        <v>1</v>
      </c>
      <c r="AU15" s="181">
        <f>INDEX('Unique Asset List'!O$4:O$60,MATCH($B15,_CompoundList,0))</f>
        <v>1</v>
      </c>
      <c r="AV15" s="181">
        <f>INDEX('Unique Asset List'!P$4:P$60,MATCH($B15,_CompoundList,0))</f>
        <v>1</v>
      </c>
      <c r="AW15" s="181">
        <f>INDEX('Unique Asset List'!Q$4:Q$60,MATCH($B15,_CompoundList,0))</f>
        <v>1</v>
      </c>
      <c r="AX15" s="181">
        <f ca="1">INDEX('Unique Asset List'!R$4:R$60,MATCH($B15,_CompoundList,0))</f>
        <v>1</v>
      </c>
      <c r="AY15" s="181">
        <f ca="1">INDEX('Unique Asset List'!S$4:S$60,MATCH($B15,_CompoundList,0))</f>
        <v>1</v>
      </c>
      <c r="AZ15" s="181">
        <f ca="1">INDEX('Unique Asset List'!T$4:T$60,MATCH($B15,_CompoundList,0))</f>
        <v>1</v>
      </c>
      <c r="BA15" s="181">
        <f ca="1">INDEX('Unique Asset List'!U$4:U$60,MATCH($B15,_CompoundList,0))</f>
        <v>1</v>
      </c>
      <c r="BB15" s="181">
        <f ca="1">INDEX('Unique Asset List'!V$4:V$60,MATCH($B15,_CompoundList,0))</f>
        <v>1</v>
      </c>
      <c r="BC15" s="181">
        <f ca="1">INDEX('Unique Asset List'!W$4:W$60,MATCH($B15,_CompoundList,0))</f>
        <v>1</v>
      </c>
      <c r="BD15" s="4">
        <f>IF($C$5="ON",CD15,MyRating(_E1,$B15,Efficacy!$F$1))</f>
        <v>3</v>
      </c>
      <c r="BE15" s="3">
        <f>IF($C$5="ON",CE15,MyRating(_E2,$B15,Efficacy!$F$1))</f>
        <v>3</v>
      </c>
      <c r="BF15" s="3">
        <f>IF($C$5="ON",CF15,MyRating(_E3,$B15,Efficacy!$F$1))</f>
        <v>3</v>
      </c>
      <c r="BG15" s="3">
        <f>IF($C$5="ON",CG15,MyRating(_E4,$B15,Efficacy!$F$1))</f>
        <v>3</v>
      </c>
      <c r="BH15" s="3">
        <f>IF($C$5="ON",CH15,MyRating(_E5,$B15,Efficacy!$F$1))</f>
        <v>3</v>
      </c>
      <c r="BI15" s="3">
        <f>IF($C$5="ON",CI15,MyRating(_E6,$B15,Efficacy!$F$1))</f>
        <v>3</v>
      </c>
      <c r="BJ15" s="3">
        <f>IF($C$5="ON",CJ15,MyRating(_E7,$B15,Efficacy!$F$1))</f>
        <v>3</v>
      </c>
      <c r="BK15" s="3">
        <f>IF($C$5="ON",CK15,MyRating(_E8,$B15,Efficacy!$F$1))</f>
        <v>4</v>
      </c>
      <c r="BL15" s="3">
        <f>IF($C$5="ON",CL15,MyRating(_S1,$B15,Efficacy!$F$1))</f>
        <v>3</v>
      </c>
      <c r="BM15" s="3">
        <f>IF($C$5="ON",CM15,MyRating(_S2,$B15,Efficacy!$F$1))</f>
        <v>3</v>
      </c>
      <c r="BN15" s="3">
        <f>IF($C$5="ON",CN15,MyRating(_S3,$B15,Efficacy!$F$1))</f>
        <v>3</v>
      </c>
      <c r="BO15" s="3">
        <f>IF($C$5="ON",CO15,MyRating(_S4,$B15,Efficacy!$F$1))</f>
        <v>3</v>
      </c>
      <c r="BP15" s="3">
        <f>IF($C$5="ON",CP15,MyRating(_S5,$B15,Efficacy!$F$1))</f>
        <v>5</v>
      </c>
      <c r="BQ15" s="3">
        <f>IF($C$5="ON",CQ15,MyRating(_S6,$B15,Efficacy!$F$1))</f>
        <v>2</v>
      </c>
      <c r="BR15" s="3">
        <f>IF($C$5="ON",CR15,MyRating(_S7,$B15,Efficacy!$F$1))</f>
        <v>3</v>
      </c>
      <c r="BS15" s="3">
        <f>IF($C$5="ON",CS15,MyRating(_D1,$B15,Efficacy!$F$1))</f>
        <v>3</v>
      </c>
      <c r="BT15" s="3">
        <f>IF($C$5="ON",CT15,MyRating(_D2,$B15,Efficacy!$F$1))</f>
        <v>2</v>
      </c>
      <c r="BU15" s="3">
        <f>IF($C$5="ON",CU15,MyRating(_D3,$B15,Efficacy!$F$1))</f>
        <v>3</v>
      </c>
      <c r="BV15" s="3">
        <f>IF($C$5="ON",CV15,MyRating(_D4,$B15,Efficacy!$F$1))</f>
        <v>3</v>
      </c>
      <c r="BW15" s="3">
        <f>IF($C$5="ON",CW15,MyRating(_B1,$B15,Barrier!$F$2))</f>
        <v>3</v>
      </c>
      <c r="BX15" s="3">
        <f>IF($C$5="ON",CX15,MyRating(_B2,$B15,Barrier!$F$2))</f>
        <v>3</v>
      </c>
      <c r="BY15" s="6">
        <f>IF($C$5="ON",CY15,MyRating(_B3,$B15,Barrier!$F$2))</f>
        <v>3</v>
      </c>
      <c r="BZ15" s="5">
        <f t="shared" si="7"/>
        <v>2.833849230535369E-2</v>
      </c>
      <c r="CA15" s="8">
        <f t="shared" si="4"/>
        <v>2.4000000000000004</v>
      </c>
      <c r="CB15" s="5">
        <f t="shared" si="8"/>
        <v>2.8301886792452827E-2</v>
      </c>
      <c r="CC15" s="7">
        <f t="shared" si="5"/>
        <v>3.8137644231022581E-6</v>
      </c>
      <c r="CD15" s="4">
        <v>3</v>
      </c>
      <c r="CE15" s="3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4</v>
      </c>
      <c r="CL15" s="3">
        <v>3</v>
      </c>
      <c r="CM15" s="3">
        <v>3</v>
      </c>
      <c r="CN15" s="3">
        <v>3</v>
      </c>
      <c r="CO15" s="3">
        <v>3</v>
      </c>
      <c r="CP15" s="3">
        <v>5</v>
      </c>
      <c r="CQ15" s="3">
        <v>2</v>
      </c>
      <c r="CR15" s="3">
        <v>3</v>
      </c>
      <c r="CS15" s="3">
        <v>3</v>
      </c>
      <c r="CT15" s="3">
        <v>2</v>
      </c>
      <c r="CU15" s="3">
        <v>3</v>
      </c>
      <c r="CV15" s="3">
        <v>3</v>
      </c>
      <c r="CW15" s="3">
        <v>3</v>
      </c>
      <c r="CX15" s="3">
        <v>3</v>
      </c>
      <c r="CY15" s="6">
        <v>3</v>
      </c>
      <c r="CZ15" s="5"/>
      <c r="DA15" s="4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</row>
    <row r="16" spans="1:128" x14ac:dyDescent="0.25">
      <c r="A16" s="9" t="s">
        <v>5</v>
      </c>
      <c r="B16" s="9" t="s">
        <v>86</v>
      </c>
      <c r="C16" s="20"/>
      <c r="D16" s="9" t="s">
        <v>85</v>
      </c>
      <c r="E16" s="9"/>
      <c r="F16" s="9" t="str">
        <f>INDEX('Unique Asset List'!$C$4:$C$60,MATCH(B16,_CompoundList,0))</f>
        <v>REG</v>
      </c>
      <c r="G16" s="19">
        <v>0</v>
      </c>
      <c r="H16" s="9">
        <v>2018</v>
      </c>
      <c r="I16" s="9">
        <v>1</v>
      </c>
      <c r="J16" s="18">
        <f>INDEX(PTRS!$D$6:$D$12,MATCH('1'!$F16,PTRS!$B$6:$B$12,0))</f>
        <v>0.9</v>
      </c>
      <c r="K16" s="17">
        <f>INDEX('Unique Asset List'!$D$4:$M$60,MATCH($B16,'Unique Asset List'!$A$4:$A$60,0),MATCH(K$8,'Unique Asset List'!$D$3:$M$3,0))</f>
        <v>0</v>
      </c>
      <c r="L16" s="17">
        <f>INDEX('Unique Asset List'!$D$4:$M$60,MATCH($B16,'Unique Asset List'!$A$4:$A$60,0),MATCH(L$8,'Unique Asset List'!$D$3:$M$3,0))</f>
        <v>0</v>
      </c>
      <c r="M16" s="18">
        <v>0.5</v>
      </c>
      <c r="N16" s="17">
        <f>INDEX('Unique Asset List'!$D$4:$M$60,MATCH($B16,'Unique Asset List'!$A$4:$A$60,0),MATCH(N$8,'Unique Asset List'!$D$3:$M$3,0))</f>
        <v>0.2</v>
      </c>
      <c r="O16" s="17">
        <f>INDEX('Unique Asset List'!$D$4:$M$60,MATCH($B16,'Unique Asset List'!$A$4:$A$60,0),MATCH(O$8,'Unique Asset List'!$D$3:$M$3,0))</f>
        <v>0.2</v>
      </c>
      <c r="P16" s="17">
        <f>INDEX('Unique Asset List'!$D$4:$M$60,MATCH($B16,'Unique Asset List'!$A$4:$A$60,0),MATCH(P$8,'Unique Asset List'!$D$3:$M$3,0))</f>
        <v>0.2</v>
      </c>
      <c r="Q16" s="17">
        <f>INDEX('Unique Asset List'!$D$4:$M$60,MATCH($B16,'Unique Asset List'!$A$4:$A$60,0),MATCH(Q$8,'Unique Asset List'!$D$3:$M$3,0))</f>
        <v>0.2</v>
      </c>
      <c r="R16" s="17">
        <f>INDEX('Unique Asset List'!$D$4:$M$60,MATCH($B16,'Unique Asset List'!$A$4:$A$60,0),MATCH(R$8,'Unique Asset List'!$D$3:$M$3,0))</f>
        <v>0.2</v>
      </c>
      <c r="S16" s="17">
        <f>INDEX('Unique Asset List'!$D$4:$M$60,MATCH($B16,'Unique Asset List'!$A$4:$A$60,0),MATCH(S$8,'Unique Asset List'!$D$3:$M$3,0))</f>
        <v>0</v>
      </c>
      <c r="T16" s="17"/>
      <c r="U16" s="17">
        <f t="shared" si="1"/>
        <v>5.1532504691298456E-2</v>
      </c>
      <c r="V16" s="17">
        <v>1</v>
      </c>
      <c r="W16" s="9" t="s">
        <v>16</v>
      </c>
      <c r="X16" s="9">
        <f>INDEX('Unique Asset List'!$Y$4:$AE$60,MATCH('1'!$B16,'Unique Asset List'!$A$4:$A$60,0),MATCH('1'!$C$1,'Unique Asset List'!$Y$3:$AE$3,0))</f>
        <v>2022</v>
      </c>
      <c r="Y16" s="9">
        <f>INDEX('Unique Asset List'!$AF$4:$AL$60,MATCH('1'!$B16,'Unique Asset List'!$A$4:$A$60,0),MATCH('1'!$C$1,'Unique Asset List'!$AF$3:$AL$3,0))</f>
        <v>5</v>
      </c>
      <c r="Z16" s="9">
        <f>INDEX('Unique Asset List'!$AT$4:$AZ$60,MATCH('1'!$B16,'Unique Asset List'!$A$4:$A$60,0),MATCH('1'!$C$1,'Unique Asset List'!$AT$3:$AZ$3,0))</f>
        <v>2028</v>
      </c>
      <c r="AA16" s="9">
        <f>INDEX('Unique Asset List'!$BA$4:$BG$60,MATCH('1'!$B16,'Unique Asset List'!$A$4:$A$60,0),MATCH('1'!$C$1,'Unique Asset List'!$BA$3:$BG$3,0))</f>
        <v>7</v>
      </c>
      <c r="AB16" s="16">
        <f t="shared" si="6"/>
        <v>1.7937372</v>
      </c>
      <c r="AC16" s="16">
        <f t="shared" si="2"/>
        <v>0.91994010000000004</v>
      </c>
      <c r="AD16" s="16">
        <f t="shared" si="3"/>
        <v>0.31905939999999999</v>
      </c>
      <c r="AE16" s="15">
        <f>INDEX('Unique Asset List'!$CJ$4:$CP$60,MATCH('1'!$B16,'Unique Asset List'!$A$4:$A$60,0),MATCH('1'!$C$1,'Unique Asset List'!$CJ$3:$CP$3,0))</f>
        <v>0.15</v>
      </c>
      <c r="AF16" s="15">
        <f>INDEX('Unique Asset List'!$CQ$4:$CW$60,MATCH('1'!$B16,'Unique Asset List'!$A$4:$A$60,0),MATCH('1'!$C$1,'Unique Asset List'!$CQ$3:$CW$3,0))</f>
        <v>0.35</v>
      </c>
      <c r="AG16" s="15">
        <f>INDEX('Unique Asset List'!$BV$4:$CB$60,MATCH('1'!$B16,'Unique Asset List'!$A$4:$A$60,0),MATCH('1'!$C$1,'Unique Asset List'!$BV$3:$CB$3,0))</f>
        <v>0.15</v>
      </c>
      <c r="AH16" s="15">
        <f>INDEX('Unique Asset List'!$CC$4:$CI$60,MATCH('1'!$B16,'Unique Asset List'!$A$4:$A$60,0),MATCH('1'!$C$1,'Unique Asset List'!$CC$3:$CI$3,0))</f>
        <v>0.35</v>
      </c>
      <c r="AI16" s="11">
        <v>0.97304949785176587</v>
      </c>
      <c r="AJ16" s="15">
        <f>INDEX('Unique Asset List'!$BH$4:$BN$60,MATCH('1'!$B16,'Unique Asset List'!$A$4:$A$60,0),MATCH('1'!$C$1,'Unique Asset List'!$BH$3:$BN$3,0))</f>
        <v>1.2267192541321688</v>
      </c>
      <c r="AK16" s="15">
        <f>INDEX('Unique Asset List'!$BO$4:$BU$60,MATCH('1'!$B16,'Unique Asset List'!$A$4:$A$60,0),MATCH('1'!$C$1,'Unique Asset List'!$BO$3:$BU$3,0))</f>
        <v>11.984388276878477</v>
      </c>
      <c r="AL16" s="150">
        <v>160</v>
      </c>
      <c r="AM16" s="14">
        <f>INDEX(Simulation!$B$6:$H$6,MATCH($A16,Simulation!$B$1:$H$1,0))*(1+AN16)^((DATE(X16,Y16,15)-DATE(2017,1,15))/365.5)</f>
        <v>18.015107986308134</v>
      </c>
      <c r="AN16" s="12">
        <v>3.5000000000000003E-2</v>
      </c>
      <c r="AO16" s="13">
        <v>60</v>
      </c>
      <c r="AP16" s="11">
        <v>0.6</v>
      </c>
      <c r="AQ16" s="12">
        <v>-0.02</v>
      </c>
      <c r="AR16" s="11">
        <v>0.5</v>
      </c>
      <c r="AS16" s="10">
        <v>1</v>
      </c>
      <c r="AT16" s="181">
        <f>INDEX('Unique Asset List'!N$4:N$60,MATCH($B16,_CompoundList,0))</f>
        <v>0</v>
      </c>
      <c r="AU16" s="181">
        <f>INDEX('Unique Asset List'!O$4:O$60,MATCH($B16,_CompoundList,0))</f>
        <v>0</v>
      </c>
      <c r="AV16" s="181">
        <f>INDEX('Unique Asset List'!P$4:P$60,MATCH($B16,_CompoundList,0))</f>
        <v>0</v>
      </c>
      <c r="AW16" s="181">
        <f>INDEX('Unique Asset List'!Q$4:Q$60,MATCH($B16,_CompoundList,0))</f>
        <v>0</v>
      </c>
      <c r="AX16" s="181">
        <f ca="1">INDEX('Unique Asset List'!R$4:R$60,MATCH($B16,_CompoundList,0))</f>
        <v>1</v>
      </c>
      <c r="AY16" s="181">
        <f ca="1">INDEX('Unique Asset List'!S$4:S$60,MATCH($B16,_CompoundList,0))</f>
        <v>1</v>
      </c>
      <c r="AZ16" s="181">
        <f ca="1">INDEX('Unique Asset List'!T$4:T$60,MATCH($B16,_CompoundList,0))</f>
        <v>1</v>
      </c>
      <c r="BA16" s="181">
        <f ca="1">INDEX('Unique Asset List'!U$4:U$60,MATCH($B16,_CompoundList,0))</f>
        <v>0</v>
      </c>
      <c r="BB16" s="181">
        <f ca="1">INDEX('Unique Asset List'!V$4:V$60,MATCH($B16,_CompoundList,0))</f>
        <v>0</v>
      </c>
      <c r="BC16" s="181">
        <f ca="1">INDEX('Unique Asset List'!W$4:W$60,MATCH($B16,_CompoundList,0))</f>
        <v>0</v>
      </c>
      <c r="BD16" s="4">
        <f>IF($C$5="ON",CD16,MyRating(_E1,$B16,Efficacy!$F$1))</f>
        <v>3</v>
      </c>
      <c r="BE16" s="3">
        <f>IF($C$5="ON",CE16,MyRating(_E2,$B16,Efficacy!$F$1))</f>
        <v>5</v>
      </c>
      <c r="BF16" s="3">
        <f>IF($C$5="ON",CF16,MyRating(_E3,$B16,Efficacy!$F$1))</f>
        <v>5</v>
      </c>
      <c r="BG16" s="3">
        <f>IF($C$5="ON",CG16,MyRating(_E4,$B16,Efficacy!$F$1))</f>
        <v>4</v>
      </c>
      <c r="BH16" s="3">
        <f>IF($C$5="ON",CH16,MyRating(_E5,$B16,Efficacy!$F$1))</f>
        <v>3</v>
      </c>
      <c r="BI16" s="3">
        <f>IF($C$5="ON",CI16,MyRating(_E6,$B16,Efficacy!$F$1))</f>
        <v>3</v>
      </c>
      <c r="BJ16" s="3">
        <f>IF($C$5="ON",CJ16,MyRating(_E7,$B16,Efficacy!$F$1))</f>
        <v>3</v>
      </c>
      <c r="BK16" s="3">
        <f>IF($C$5="ON",CK16,MyRating(_E8,$B16,Efficacy!$F$1))</f>
        <v>3</v>
      </c>
      <c r="BL16" s="3">
        <f>IF($C$5="ON",CL16,MyRating(_S1,$B16,Efficacy!$F$1))</f>
        <v>4</v>
      </c>
      <c r="BM16" s="3">
        <f>IF($C$5="ON",CM16,MyRating(_S2,$B16,Efficacy!$F$1))</f>
        <v>3</v>
      </c>
      <c r="BN16" s="3">
        <f>IF($C$5="ON",CN16,MyRating(_S3,$B16,Efficacy!$F$1))</f>
        <v>3</v>
      </c>
      <c r="BO16" s="3">
        <f>IF($C$5="ON",CO16,MyRating(_S4,$B16,Efficacy!$F$1))</f>
        <v>4</v>
      </c>
      <c r="BP16" s="3">
        <f>IF($C$5="ON",CP16,MyRating(_S5,$B16,Efficacy!$F$1))</f>
        <v>5</v>
      </c>
      <c r="BQ16" s="3">
        <f>IF($C$5="ON",CQ16,MyRating(_S6,$B16,Efficacy!$F$1))</f>
        <v>2</v>
      </c>
      <c r="BR16" s="3">
        <f>IF($C$5="ON",CR16,MyRating(_S7,$B16,Efficacy!$F$1))</f>
        <v>3</v>
      </c>
      <c r="BS16" s="3">
        <f>IF($C$5="ON",CS16,MyRating(_D1,$B16,Efficacy!$F$1))</f>
        <v>2</v>
      </c>
      <c r="BT16" s="3">
        <f>IF($C$5="ON",CT16,MyRating(_D2,$B16,Efficacy!$F$1))</f>
        <v>2</v>
      </c>
      <c r="BU16" s="3">
        <f>IF($C$5="ON",CU16,MyRating(_D3,$B16,Efficacy!$F$1))</f>
        <v>2</v>
      </c>
      <c r="BV16" s="3">
        <f>IF($C$5="ON",CV16,MyRating(_D4,$B16,Efficacy!$F$1))</f>
        <v>1</v>
      </c>
      <c r="BW16" s="3">
        <f>IF($C$5="ON",CW16,MyRating(_B1,$B16,Barrier!$F$2))</f>
        <v>3</v>
      </c>
      <c r="BX16" s="3">
        <f>IF($C$5="ON",CX16,MyRating(_B2,$B16,Barrier!$F$2))</f>
        <v>1</v>
      </c>
      <c r="BY16" s="6">
        <f>IF($C$5="ON",CY16,MyRating(_B3,$B16,Barrier!$F$2))</f>
        <v>1</v>
      </c>
      <c r="BZ16" s="5">
        <f t="shared" si="7"/>
        <v>2.504792509714796E-3</v>
      </c>
      <c r="CA16" s="8">
        <f t="shared" si="4"/>
        <v>1.2</v>
      </c>
      <c r="CB16" s="5">
        <f t="shared" si="8"/>
        <v>1.415094339622641E-2</v>
      </c>
      <c r="CC16" s="7">
        <f t="shared" si="5"/>
        <v>3.3709233567795062E-7</v>
      </c>
      <c r="CD16" s="4">
        <v>3</v>
      </c>
      <c r="CE16" s="3">
        <v>5</v>
      </c>
      <c r="CF16" s="3">
        <v>5</v>
      </c>
      <c r="CG16" s="3">
        <v>4</v>
      </c>
      <c r="CH16" s="3">
        <v>3</v>
      </c>
      <c r="CI16" s="3">
        <v>3</v>
      </c>
      <c r="CJ16" s="3">
        <v>3</v>
      </c>
      <c r="CK16" s="3">
        <v>3</v>
      </c>
      <c r="CL16" s="3">
        <v>4</v>
      </c>
      <c r="CM16" s="3">
        <v>3</v>
      </c>
      <c r="CN16" s="3">
        <v>3</v>
      </c>
      <c r="CO16" s="3">
        <v>4</v>
      </c>
      <c r="CP16" s="3">
        <v>5</v>
      </c>
      <c r="CQ16" s="3">
        <v>2</v>
      </c>
      <c r="CR16" s="3">
        <v>3</v>
      </c>
      <c r="CS16" s="3">
        <v>2</v>
      </c>
      <c r="CT16" s="3">
        <v>2</v>
      </c>
      <c r="CU16" s="3">
        <v>2</v>
      </c>
      <c r="CV16" s="3">
        <v>1</v>
      </c>
      <c r="CW16" s="3">
        <v>3</v>
      </c>
      <c r="CX16" s="3">
        <v>1</v>
      </c>
      <c r="CY16" s="6">
        <v>1</v>
      </c>
      <c r="CZ16" s="5"/>
      <c r="DA16" s="4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</row>
    <row r="17" spans="1:126" x14ac:dyDescent="0.25">
      <c r="A17" s="9" t="s">
        <v>5</v>
      </c>
      <c r="B17" s="9" t="s">
        <v>280</v>
      </c>
      <c r="C17" s="20"/>
      <c r="D17" s="9" t="s">
        <v>2</v>
      </c>
      <c r="E17" s="9"/>
      <c r="F17" s="9" t="str">
        <f>INDEX('Unique Asset List'!$C$4:$C$60,MATCH(B17,_CompoundList,0))</f>
        <v>REG</v>
      </c>
      <c r="G17" s="19">
        <v>0</v>
      </c>
      <c r="H17" s="9">
        <v>2018</v>
      </c>
      <c r="I17" s="9">
        <v>1</v>
      </c>
      <c r="J17" s="18">
        <f>INDEX(PTRS!$D$6:$D$12,MATCH('1'!$F17,PTRS!$B$6:$B$12,0))</f>
        <v>0.9</v>
      </c>
      <c r="K17" s="17">
        <f>INDEX('Unique Asset List'!$D$4:$M$60,MATCH($B17,'Unique Asset List'!$A$4:$A$60,0),MATCH(K$8,'Unique Asset List'!$D$3:$M$3,0))</f>
        <v>1</v>
      </c>
      <c r="L17" s="17">
        <f>INDEX('Unique Asset List'!$D$4:$M$60,MATCH($B17,'Unique Asset List'!$A$4:$A$60,0),MATCH(L$8,'Unique Asset List'!$D$3:$M$3,0))</f>
        <v>1</v>
      </c>
      <c r="M17" s="17">
        <v>0.62</v>
      </c>
      <c r="N17" s="17">
        <f>INDEX('Unique Asset List'!$D$4:$M$60,MATCH($B17,'Unique Asset List'!$A$4:$A$60,0),MATCH(N$8,'Unique Asset List'!$D$3:$M$3,0))</f>
        <v>1</v>
      </c>
      <c r="O17" s="17">
        <f>INDEX('Unique Asset List'!$D$4:$M$60,MATCH($B17,'Unique Asset List'!$A$4:$A$60,0),MATCH(O$8,'Unique Asset List'!$D$3:$M$3,0))</f>
        <v>1</v>
      </c>
      <c r="P17" s="17">
        <f>INDEX('Unique Asset List'!$D$4:$M$60,MATCH($B17,'Unique Asset List'!$A$4:$A$60,0),MATCH(P$8,'Unique Asset List'!$D$3:$M$3,0))</f>
        <v>1</v>
      </c>
      <c r="Q17" s="17">
        <f>INDEX('Unique Asset List'!$D$4:$M$60,MATCH($B17,'Unique Asset List'!$A$4:$A$60,0),MATCH(Q$8,'Unique Asset List'!$D$3:$M$3,0))</f>
        <v>1</v>
      </c>
      <c r="R17" s="17">
        <f>INDEX('Unique Asset List'!$D$4:$M$60,MATCH($B17,'Unique Asset List'!$A$4:$A$60,0),MATCH(R$8,'Unique Asset List'!$D$3:$M$3,0))</f>
        <v>1</v>
      </c>
      <c r="S17" s="17">
        <f>INDEX('Unique Asset List'!$D$4:$M$60,MATCH($B17,'Unique Asset List'!$A$4:$A$60,0),MATCH(S$8,'Unique Asset List'!$D$3:$M$3,0))</f>
        <v>1</v>
      </c>
      <c r="T17" s="17"/>
      <c r="U17" s="17">
        <f t="shared" si="1"/>
        <v>2.7223683703862783E-2</v>
      </c>
      <c r="V17" s="17">
        <v>0.42</v>
      </c>
      <c r="W17" s="9" t="s">
        <v>62</v>
      </c>
      <c r="X17" s="9">
        <f>INDEX('Unique Asset List'!$Y$4:$AE$60,MATCH('1'!$B17,'Unique Asset List'!$A$4:$A$60,0),MATCH('1'!$C$1,'Unique Asset List'!$Y$3:$AE$3,0))</f>
        <v>2019</v>
      </c>
      <c r="Y17" s="9">
        <f>INDEX('Unique Asset List'!$AF$4:$AL$60,MATCH('1'!$B17,'Unique Asset List'!$A$4:$A$60,0),MATCH('1'!$C$1,'Unique Asset List'!$AF$3:$AL$3,0))</f>
        <v>3</v>
      </c>
      <c r="Z17" s="9">
        <f>INDEX('Unique Asset List'!$AT$4:$AZ$60,MATCH('1'!$B17,'Unique Asset List'!$A$4:$A$60,0),MATCH('1'!$C$1,'Unique Asset List'!$AT$3:$AZ$3,0))</f>
        <v>2026</v>
      </c>
      <c r="AA17" s="9">
        <f>INDEX('Unique Asset List'!$BA$4:$BG$60,MATCH('1'!$B17,'Unique Asset List'!$A$4:$A$60,0),MATCH('1'!$C$1,'Unique Asset List'!$BA$3:$BG$3,0))</f>
        <v>6</v>
      </c>
      <c r="AB17" s="16">
        <f t="shared" si="6"/>
        <v>2.0296485</v>
      </c>
      <c r="AC17" s="16">
        <f t="shared" si="2"/>
        <v>0.91994010000000004</v>
      </c>
      <c r="AD17" s="16">
        <f t="shared" si="3"/>
        <v>0.35908660413999993</v>
      </c>
      <c r="AE17" s="15">
        <f>INDEX('Unique Asset List'!$CJ$4:$CP$60,MATCH('1'!$B17,'Unique Asset List'!$A$4:$A$60,0),MATCH('1'!$C$1,'Unique Asset List'!$CJ$3:$CP$3,0))</f>
        <v>0.22</v>
      </c>
      <c r="AF17" s="15">
        <f>INDEX('Unique Asset List'!$CQ$4:$CW$60,MATCH('1'!$B17,'Unique Asset List'!$A$4:$A$60,0),MATCH('1'!$C$1,'Unique Asset List'!$CQ$3:$CW$3,0))</f>
        <v>0.28000000000000003</v>
      </c>
      <c r="AG17" s="15">
        <f>INDEX('Unique Asset List'!$BV$4:$CB$60,MATCH('1'!$B17,'Unique Asset List'!$A$4:$A$60,0),MATCH('1'!$C$1,'Unique Asset List'!$BV$3:$CB$3,0))</f>
        <v>0.22</v>
      </c>
      <c r="AH17" s="15">
        <f>INDEX('Unique Asset List'!$CC$4:$CI$60,MATCH('1'!$B17,'Unique Asset List'!$A$4:$A$60,0),MATCH('1'!$C$1,'Unique Asset List'!$CC$3:$CI$3,0))</f>
        <v>0.28000000000000003</v>
      </c>
      <c r="AI17" s="11">
        <v>0.96187963349867744</v>
      </c>
      <c r="AJ17" s="15">
        <f>INDEX('Unique Asset List'!$BH$4:$BN$60,MATCH('1'!$B17,'Unique Asset List'!$A$4:$A$60,0),MATCH('1'!$C$1,'Unique Asset List'!$BH$3:$BN$3,0))</f>
        <v>1.2267192541321688</v>
      </c>
      <c r="AK17" s="15">
        <f>INDEX('Unique Asset List'!$BO$4:$BU$60,MATCH('1'!$B17,'Unique Asset List'!$A$4:$A$60,0),MATCH('1'!$C$1,'Unique Asset List'!$BO$3:$BU$3,0))</f>
        <v>-1.8</v>
      </c>
      <c r="AL17" s="40">
        <f>177.567567567568</f>
        <v>177.56756756756801</v>
      </c>
      <c r="AM17" s="14">
        <v>122.24664986301372</v>
      </c>
      <c r="AN17" s="12">
        <v>3.5000000000000003E-2</v>
      </c>
      <c r="AO17" s="13">
        <v>100</v>
      </c>
      <c r="AP17" s="11">
        <v>0.6</v>
      </c>
      <c r="AQ17" s="12">
        <v>-0.02</v>
      </c>
      <c r="AR17" s="11">
        <v>0.5</v>
      </c>
      <c r="AS17" s="10">
        <v>0.32340383561643832</v>
      </c>
      <c r="AT17" s="181">
        <f>INDEX('Unique Asset List'!N$4:N$60,MATCH($B17,_CompoundList,0))</f>
        <v>1</v>
      </c>
      <c r="AU17" s="181">
        <f>INDEX('Unique Asset List'!O$4:O$60,MATCH($B17,_CompoundList,0))</f>
        <v>1</v>
      </c>
      <c r="AV17" s="181">
        <f>INDEX('Unique Asset List'!P$4:P$60,MATCH($B17,_CompoundList,0))</f>
        <v>1</v>
      </c>
      <c r="AW17" s="181">
        <f>INDEX('Unique Asset List'!Q$4:Q$60,MATCH($B17,_CompoundList,0))</f>
        <v>1</v>
      </c>
      <c r="AX17" s="181">
        <f ca="1">INDEX('Unique Asset List'!R$4:R$60,MATCH($B17,_CompoundList,0))</f>
        <v>1</v>
      </c>
      <c r="AY17" s="181">
        <f ca="1">INDEX('Unique Asset List'!S$4:S$60,MATCH($B17,_CompoundList,0))</f>
        <v>1</v>
      </c>
      <c r="AZ17" s="181">
        <f ca="1">INDEX('Unique Asset List'!T$4:T$60,MATCH($B17,_CompoundList,0))</f>
        <v>1</v>
      </c>
      <c r="BA17" s="181">
        <f ca="1">INDEX('Unique Asset List'!U$4:U$60,MATCH($B17,_CompoundList,0))</f>
        <v>1</v>
      </c>
      <c r="BB17" s="181">
        <f ca="1">INDEX('Unique Asset List'!V$4:V$60,MATCH($B17,_CompoundList,0))</f>
        <v>1</v>
      </c>
      <c r="BC17" s="181">
        <f ca="1">INDEX('Unique Asset List'!W$4:W$60,MATCH($B17,_CompoundList,0))</f>
        <v>1</v>
      </c>
      <c r="BD17" s="4">
        <f>IF($C$5="ON",CD17,MyRating(_E1,$B17,Efficacy!$F$1))</f>
        <v>5</v>
      </c>
      <c r="BE17" s="3">
        <f>IF($C$5="ON",CE17,MyRating(_E2,$B17,Efficacy!$F$1))</f>
        <v>5</v>
      </c>
      <c r="BF17" s="3">
        <f>IF($C$5="ON",CF17,MyRating(_E3,$B17,Efficacy!$F$1))</f>
        <v>5</v>
      </c>
      <c r="BG17" s="3">
        <f>IF($C$5="ON",CG17,MyRating(_E4,$B17,Efficacy!$F$1))</f>
        <v>5</v>
      </c>
      <c r="BH17" s="3">
        <f>IF($C$5="ON",CH17,MyRating(_E5,$B17,Efficacy!$F$1))</f>
        <v>3</v>
      </c>
      <c r="BI17" s="3">
        <f>IF($C$5="ON",CI17,MyRating(_E6,$B17,Efficacy!$F$1))</f>
        <v>3</v>
      </c>
      <c r="BJ17" s="3">
        <f>IF($C$5="ON",CJ17,MyRating(_E7,$B17,Efficacy!$F$1))</f>
        <v>2</v>
      </c>
      <c r="BK17" s="3">
        <f>IF($C$5="ON",CK17,MyRating(_E8,$B17,Efficacy!$F$1))</f>
        <v>5</v>
      </c>
      <c r="BL17" s="3">
        <f>IF($C$5="ON",CL17,MyRating(_S1,$B17,Efficacy!$F$1))</f>
        <v>4</v>
      </c>
      <c r="BM17" s="3">
        <f>IF($C$5="ON",CM17,MyRating(_S2,$B17,Efficacy!$F$1))</f>
        <v>3</v>
      </c>
      <c r="BN17" s="3">
        <f>IF($C$5="ON",CN17,MyRating(_S3,$B17,Efficacy!$F$1))</f>
        <v>3</v>
      </c>
      <c r="BO17" s="3">
        <f>IF($C$5="ON",CO17,MyRating(_S4,$B17,Efficacy!$F$1))</f>
        <v>4</v>
      </c>
      <c r="BP17" s="3">
        <f>IF($C$5="ON",CP17,MyRating(_S5,$B17,Efficacy!$F$1))</f>
        <v>5</v>
      </c>
      <c r="BQ17" s="3">
        <f>IF($C$5="ON",CQ17,MyRating(_S6,$B17,Efficacy!$F$1))</f>
        <v>2</v>
      </c>
      <c r="BR17" s="3">
        <f>IF($C$5="ON",CR17,MyRating(_S7,$B17,Efficacy!$F$1))</f>
        <v>3</v>
      </c>
      <c r="BS17" s="3">
        <f>IF($C$5="ON",CS17,MyRating(_D1,$B17,Efficacy!$F$1))</f>
        <v>2</v>
      </c>
      <c r="BT17" s="3">
        <f>IF($C$5="ON",CT17,MyRating(_D2,$B17,Efficacy!$F$1))</f>
        <v>3</v>
      </c>
      <c r="BU17" s="3">
        <f>IF($C$5="ON",CU17,MyRating(_D3,$B17,Efficacy!$F$1))</f>
        <v>2</v>
      </c>
      <c r="BV17" s="3">
        <f>IF($C$5="ON",CV17,MyRating(_D4,$B17,Efficacy!$F$1))</f>
        <v>1</v>
      </c>
      <c r="BW17" s="3">
        <f>IF($C$5="ON",CW17,MyRating(_B1,$B17,Barrier!$F$2))</f>
        <v>2</v>
      </c>
      <c r="BX17" s="3">
        <f>IF($C$5="ON",CX17,MyRating(_B2,$B17,Barrier!$F$2))</f>
        <v>1</v>
      </c>
      <c r="BY17" s="6">
        <f>IF($C$5="ON",CY17,MyRating(_B3,$B17,Barrier!$F$2))</f>
        <v>1</v>
      </c>
      <c r="BZ17" s="5">
        <f t="shared" si="7"/>
        <v>1.3232362648927184E-3</v>
      </c>
      <c r="CA17" s="8">
        <f t="shared" si="4"/>
        <v>1</v>
      </c>
      <c r="CB17" s="5">
        <f t="shared" si="8"/>
        <v>1.1792452830188675E-2</v>
      </c>
      <c r="CC17" s="7">
        <f t="shared" si="5"/>
        <v>1.7807974171770534E-7</v>
      </c>
      <c r="CD17" s="4">
        <v>5</v>
      </c>
      <c r="CE17" s="3">
        <v>5</v>
      </c>
      <c r="CF17" s="3">
        <v>5</v>
      </c>
      <c r="CG17" s="3">
        <v>5</v>
      </c>
      <c r="CH17" s="3">
        <v>3</v>
      </c>
      <c r="CI17" s="3">
        <v>3</v>
      </c>
      <c r="CJ17" s="3">
        <v>4</v>
      </c>
      <c r="CK17" s="3">
        <v>5</v>
      </c>
      <c r="CL17" s="3">
        <v>4</v>
      </c>
      <c r="CM17" s="3">
        <v>3</v>
      </c>
      <c r="CN17" s="3">
        <v>3</v>
      </c>
      <c r="CO17" s="3">
        <v>4</v>
      </c>
      <c r="CP17" s="3">
        <v>5</v>
      </c>
      <c r="CQ17" s="3">
        <v>2</v>
      </c>
      <c r="CR17" s="3">
        <v>3</v>
      </c>
      <c r="CS17" s="3">
        <v>2</v>
      </c>
      <c r="CT17" s="3">
        <v>3</v>
      </c>
      <c r="CU17" s="3">
        <v>2</v>
      </c>
      <c r="CV17" s="3">
        <v>1</v>
      </c>
      <c r="CW17" s="3">
        <v>1</v>
      </c>
      <c r="CX17" s="3">
        <v>1</v>
      </c>
      <c r="CY17" s="6">
        <v>1</v>
      </c>
      <c r="CZ17" s="5"/>
      <c r="DA17" s="4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</row>
    <row r="18" spans="1:126" x14ac:dyDescent="0.25">
      <c r="A18" s="9" t="s">
        <v>5</v>
      </c>
      <c r="B18" s="9" t="s">
        <v>83</v>
      </c>
      <c r="C18" s="20"/>
      <c r="D18" s="9" t="s">
        <v>64</v>
      </c>
      <c r="E18" s="9"/>
      <c r="F18" s="9" t="str">
        <f>INDEX('Unique Asset List'!$C$4:$C$60,MATCH(B18,_CompoundList,0))</f>
        <v>Ph3</v>
      </c>
      <c r="G18" s="19">
        <v>0</v>
      </c>
      <c r="H18" s="9">
        <v>2018</v>
      </c>
      <c r="I18" s="9">
        <v>1</v>
      </c>
      <c r="J18" s="18">
        <f>INDEX(PTRS!$D$6:$D$12,MATCH('1'!$F18,PTRS!$B$6:$B$12,0))</f>
        <v>0.58500000000000008</v>
      </c>
      <c r="K18" s="17">
        <f>INDEX('Unique Asset List'!$D$4:$M$60,MATCH($B18,'Unique Asset List'!$A$4:$A$60,0),MATCH(K$8,'Unique Asset List'!$D$3:$M$3,0))</f>
        <v>0</v>
      </c>
      <c r="L18" s="17">
        <f>INDEX('Unique Asset List'!$D$4:$M$60,MATCH($B18,'Unique Asset List'!$A$4:$A$60,0),MATCH(L$8,'Unique Asset List'!$D$3:$M$3,0))</f>
        <v>0</v>
      </c>
      <c r="M18" s="18">
        <v>0.2</v>
      </c>
      <c r="N18" s="17">
        <f>INDEX('Unique Asset List'!$D$4:$M$60,MATCH($B18,'Unique Asset List'!$A$4:$A$60,0),MATCH(N$8,'Unique Asset List'!$D$3:$M$3,0))</f>
        <v>0.58500000000000008</v>
      </c>
      <c r="O18" s="17">
        <f>INDEX('Unique Asset List'!$D$4:$M$60,MATCH($B18,'Unique Asset List'!$A$4:$A$60,0),MATCH(O$8,'Unique Asset List'!$D$3:$M$3,0))</f>
        <v>0.58500000000000008</v>
      </c>
      <c r="P18" s="17">
        <f>INDEX('Unique Asset List'!$D$4:$M$60,MATCH($B18,'Unique Asset List'!$A$4:$A$60,0),MATCH(P$8,'Unique Asset List'!$D$3:$M$3,0))</f>
        <v>0.58500000000000008</v>
      </c>
      <c r="Q18" s="17">
        <f>INDEX('Unique Asset List'!$D$4:$M$60,MATCH($B18,'Unique Asset List'!$A$4:$A$60,0),MATCH(Q$8,'Unique Asset List'!$D$3:$M$3,0))</f>
        <v>0.58500000000000008</v>
      </c>
      <c r="R18" s="17">
        <f>INDEX('Unique Asset List'!$D$4:$M$60,MATCH($B18,'Unique Asset List'!$A$4:$A$60,0),MATCH(R$8,'Unique Asset List'!$D$3:$M$3,0))</f>
        <v>0.58500000000000008</v>
      </c>
      <c r="S18" s="17">
        <f>INDEX('Unique Asset List'!$D$4:$M$60,MATCH($B18,'Unique Asset List'!$A$4:$A$60,0),MATCH(S$8,'Unique Asset List'!$D$3:$M$3,0))</f>
        <v>0</v>
      </c>
      <c r="T18" s="17"/>
      <c r="U18" s="17">
        <f t="shared" si="1"/>
        <v>2.7223683703862783E-2</v>
      </c>
      <c r="V18" s="17">
        <f>V17</f>
        <v>0.42</v>
      </c>
      <c r="W18" s="9" t="s">
        <v>62</v>
      </c>
      <c r="X18" s="9">
        <f>INDEX('Unique Asset List'!$Y$4:$AE$60,MATCH('1'!$B18,'Unique Asset List'!$A$4:$A$60,0),MATCH('1'!$C$1,'Unique Asset List'!$Y$3:$AE$3,0))</f>
        <v>2021</v>
      </c>
      <c r="Y18" s="9">
        <f>INDEX('Unique Asset List'!$AF$4:$AL$60,MATCH('1'!$B18,'Unique Asset List'!$A$4:$A$60,0),MATCH('1'!$C$1,'Unique Asset List'!$AF$3:$AL$3,0))</f>
        <v>2</v>
      </c>
      <c r="Z18" s="9">
        <f>INDEX('Unique Asset List'!$AT$4:$AZ$60,MATCH('1'!$B18,'Unique Asset List'!$A$4:$A$60,0),MATCH('1'!$C$1,'Unique Asset List'!$AT$3:$AZ$3,0))</f>
        <v>2031</v>
      </c>
      <c r="AA18" s="9">
        <f>INDEX('Unique Asset List'!$BA$4:$BG$60,MATCH('1'!$B18,'Unique Asset List'!$A$4:$A$60,0),MATCH('1'!$C$1,'Unique Asset List'!$BA$3:$BG$3,0))</f>
        <v>7</v>
      </c>
      <c r="AB18" s="16">
        <f t="shared" si="6"/>
        <v>1.4482758</v>
      </c>
      <c r="AC18" s="16">
        <f t="shared" si="2"/>
        <v>0.73148930000000001</v>
      </c>
      <c r="AD18" s="16">
        <f t="shared" si="3"/>
        <v>0.52867185888000001</v>
      </c>
      <c r="AE18" s="15">
        <f>INDEX('Unique Asset List'!$CJ$4:$CP$60,MATCH('1'!$B18,'Unique Asset List'!$A$4:$A$60,0),MATCH('1'!$C$1,'Unique Asset List'!$CJ$3:$CP$3,0))</f>
        <v>0.22</v>
      </c>
      <c r="AF18" s="15">
        <f>INDEX('Unique Asset List'!$CQ$4:$CW$60,MATCH('1'!$B18,'Unique Asset List'!$A$4:$A$60,0),MATCH('1'!$C$1,'Unique Asset List'!$CQ$3:$CW$3,0))</f>
        <v>0.28000000000000003</v>
      </c>
      <c r="AG18" s="15">
        <f>INDEX('Unique Asset List'!$BV$4:$CB$60,MATCH('1'!$B18,'Unique Asset List'!$A$4:$A$60,0),MATCH('1'!$C$1,'Unique Asset List'!$BV$3:$CB$3,0))</f>
        <v>0.22</v>
      </c>
      <c r="AH18" s="15">
        <f>INDEX('Unique Asset List'!$CC$4:$CI$60,MATCH('1'!$B18,'Unique Asset List'!$A$4:$A$60,0),MATCH('1'!$C$1,'Unique Asset List'!$CC$3:$CI$3,0))</f>
        <v>0.28000000000000003</v>
      </c>
      <c r="AI18" s="11">
        <v>0.97304949785176587</v>
      </c>
      <c r="AJ18" s="15">
        <f>INDEX('Unique Asset List'!$BH$4:$BN$60,MATCH('1'!$B18,'Unique Asset List'!$A$4:$A$60,0),MATCH('1'!$C$1,'Unique Asset List'!$BH$3:$BN$3,0))</f>
        <v>1.2267192541321688</v>
      </c>
      <c r="AK18" s="15">
        <f>INDEX('Unique Asset List'!$BO$4:$BU$60,MATCH('1'!$B18,'Unique Asset List'!$A$4:$A$60,0),MATCH('1'!$C$1,'Unique Asset List'!$BO$3:$BU$3,0))</f>
        <v>11.984388276878477</v>
      </c>
      <c r="AL18" s="150">
        <v>160</v>
      </c>
      <c r="AM18" s="14">
        <f>14000/365</f>
        <v>38.356164383561641</v>
      </c>
      <c r="AN18" s="12">
        <v>3.5000000000000003E-2</v>
      </c>
      <c r="AO18" s="13">
        <v>60</v>
      </c>
      <c r="AP18" s="11">
        <v>0.6</v>
      </c>
      <c r="AQ18" s="12">
        <v>-0.02</v>
      </c>
      <c r="AR18" s="11">
        <v>0.5</v>
      </c>
      <c r="AS18" s="10">
        <v>1</v>
      </c>
      <c r="AT18" s="181">
        <f>INDEX('Unique Asset List'!N$4:N$60,MATCH($B18,_CompoundList,0))</f>
        <v>0</v>
      </c>
      <c r="AU18" s="181">
        <f>INDEX('Unique Asset List'!O$4:O$60,MATCH($B18,_CompoundList,0))</f>
        <v>0</v>
      </c>
      <c r="AV18" s="181">
        <f>INDEX('Unique Asset List'!P$4:P$60,MATCH($B18,_CompoundList,0))</f>
        <v>0</v>
      </c>
      <c r="AW18" s="181">
        <f>INDEX('Unique Asset List'!Q$4:Q$60,MATCH($B18,_CompoundList,0))</f>
        <v>0</v>
      </c>
      <c r="AX18" s="181">
        <f ca="1">INDEX('Unique Asset List'!R$4:R$60,MATCH($B18,_CompoundList,0))</f>
        <v>0</v>
      </c>
      <c r="AY18" s="181">
        <f ca="1">INDEX('Unique Asset List'!S$4:S$60,MATCH($B18,_CompoundList,0))</f>
        <v>1</v>
      </c>
      <c r="AZ18" s="181">
        <f ca="1">INDEX('Unique Asset List'!T$4:T$60,MATCH($B18,_CompoundList,0))</f>
        <v>0</v>
      </c>
      <c r="BA18" s="181">
        <f ca="1">INDEX('Unique Asset List'!U$4:U$60,MATCH($B18,_CompoundList,0))</f>
        <v>1</v>
      </c>
      <c r="BB18" s="181">
        <f ca="1">INDEX('Unique Asset List'!V$4:V$60,MATCH($B18,_CompoundList,0))</f>
        <v>0</v>
      </c>
      <c r="BC18" s="181">
        <f ca="1">INDEX('Unique Asset List'!W$4:W$60,MATCH($B18,_CompoundList,0))</f>
        <v>0</v>
      </c>
      <c r="BD18" s="4">
        <f>IF($C$5="ON",CD18,MyRating(_E1,$B18,Efficacy!$F$1))</f>
        <v>3</v>
      </c>
      <c r="BE18" s="3">
        <f>IF($C$5="ON",CE18,MyRating(_E2,$B18,Efficacy!$F$1))</f>
        <v>3</v>
      </c>
      <c r="BF18" s="3">
        <f>IF($C$5="ON",CF18,MyRating(_E3,$B18,Efficacy!$F$1))</f>
        <v>3</v>
      </c>
      <c r="BG18" s="3">
        <f>IF($C$5="ON",CG18,MyRating(_E4,$B18,Efficacy!$F$1))</f>
        <v>3</v>
      </c>
      <c r="BH18" s="3">
        <f>IF($C$5="ON",CH18,MyRating(_E5,$B18,Efficacy!$F$1))</f>
        <v>3</v>
      </c>
      <c r="BI18" s="3">
        <f>IF($C$5="ON",CI18,MyRating(_E6,$B18,Efficacy!$F$1))</f>
        <v>3</v>
      </c>
      <c r="BJ18" s="3">
        <f>IF($C$5="ON",CJ18,MyRating(_E7,$B18,Efficacy!$F$1))</f>
        <v>3</v>
      </c>
      <c r="BK18" s="3">
        <f>IF($C$5="ON",CK18,MyRating(_E8,$B18,Efficacy!$F$1))</f>
        <v>3</v>
      </c>
      <c r="BL18" s="3">
        <f>IF($C$5="ON",CL18,MyRating(_S1,$B18,Efficacy!$F$1))</f>
        <v>3</v>
      </c>
      <c r="BM18" s="3">
        <f>IF($C$5="ON",CM18,MyRating(_S2,$B18,Efficacy!$F$1))</f>
        <v>3</v>
      </c>
      <c r="BN18" s="3">
        <f>IF($C$5="ON",CN18,MyRating(_S3,$B18,Efficacy!$F$1))</f>
        <v>3</v>
      </c>
      <c r="BO18" s="3">
        <f>IF($C$5="ON",CO18,MyRating(_S4,$B18,Efficacy!$F$1))</f>
        <v>3</v>
      </c>
      <c r="BP18" s="3">
        <f>IF($C$5="ON",CP18,MyRating(_S5,$B18,Efficacy!$F$1))</f>
        <v>3</v>
      </c>
      <c r="BQ18" s="3">
        <f>IF($C$5="ON",CQ18,MyRating(_S6,$B18,Efficacy!$F$1))</f>
        <v>2</v>
      </c>
      <c r="BR18" s="3">
        <f>IF($C$5="ON",CR18,MyRating(_S7,$B18,Efficacy!$F$1))</f>
        <v>3</v>
      </c>
      <c r="BS18" s="3">
        <f>IF($C$5="ON",CS18,MyRating(_D1,$B18,Efficacy!$F$1))</f>
        <v>3</v>
      </c>
      <c r="BT18" s="3">
        <f>IF($C$5="ON",CT18,MyRating(_D2,$B18,Efficacy!$F$1))</f>
        <v>3</v>
      </c>
      <c r="BU18" s="3">
        <f>IF($C$5="ON",CU18,MyRating(_D3,$B18,Efficacy!$F$1))</f>
        <v>2</v>
      </c>
      <c r="BV18" s="3">
        <f>IF($C$5="ON",CV18,MyRating(_D4,$B18,Efficacy!$F$1))</f>
        <v>3</v>
      </c>
      <c r="BW18" s="3">
        <f>IF($C$5="ON",CW18,MyRating(_B1,$B18,Barrier!$F$2))</f>
        <v>2</v>
      </c>
      <c r="BX18" s="3">
        <f>IF($C$5="ON",CX18,MyRating(_B2,$B18,Barrier!$F$2))</f>
        <v>1</v>
      </c>
      <c r="BY18" s="6">
        <f>IF($C$5="ON",CY18,MyRating(_B3,$B18,Barrier!$F$2))</f>
        <v>1</v>
      </c>
      <c r="BZ18" s="5">
        <f t="shared" si="7"/>
        <v>1.3232362648927184E-3</v>
      </c>
      <c r="CA18" s="8">
        <f t="shared" si="4"/>
        <v>1</v>
      </c>
      <c r="CB18" s="5">
        <f t="shared" si="8"/>
        <v>1.1792452830188675E-2</v>
      </c>
      <c r="CC18" s="7">
        <f t="shared" si="5"/>
        <v>1.7807974171770534E-7</v>
      </c>
      <c r="CD18" s="4">
        <v>3</v>
      </c>
      <c r="CE18" s="3">
        <v>3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3</v>
      </c>
      <c r="CL18" s="3">
        <v>3</v>
      </c>
      <c r="CM18" s="3">
        <v>3</v>
      </c>
      <c r="CN18" s="3">
        <v>3</v>
      </c>
      <c r="CO18" s="3">
        <v>3</v>
      </c>
      <c r="CP18" s="3">
        <v>3</v>
      </c>
      <c r="CQ18" s="3">
        <v>2</v>
      </c>
      <c r="CR18" s="3">
        <v>3</v>
      </c>
      <c r="CS18" s="3">
        <v>3</v>
      </c>
      <c r="CT18" s="3">
        <v>3</v>
      </c>
      <c r="CU18" s="3">
        <v>2</v>
      </c>
      <c r="CV18" s="3">
        <v>3</v>
      </c>
      <c r="CW18" s="3">
        <v>1</v>
      </c>
      <c r="CX18" s="3">
        <v>1</v>
      </c>
      <c r="CY18" s="6">
        <v>1</v>
      </c>
      <c r="CZ18" s="5"/>
      <c r="DA18" s="4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</row>
    <row r="19" spans="1:126" x14ac:dyDescent="0.25">
      <c r="A19" s="9" t="s">
        <v>5</v>
      </c>
      <c r="B19" s="9" t="s">
        <v>82</v>
      </c>
      <c r="C19" s="20"/>
      <c r="D19" s="9" t="s">
        <v>81</v>
      </c>
      <c r="E19" s="9"/>
      <c r="F19" s="9" t="str">
        <f>INDEX('Unique Asset List'!$C$4:$C$60,MATCH(B19,_CompoundList,0))</f>
        <v>Ph3</v>
      </c>
      <c r="G19" s="19">
        <v>0</v>
      </c>
      <c r="H19" s="9">
        <v>2018</v>
      </c>
      <c r="I19" s="9">
        <v>1</v>
      </c>
      <c r="J19" s="18">
        <f>INDEX(PTRS!$D$6:$D$12,MATCH('1'!$F19,PTRS!$B$6:$B$12,0))</f>
        <v>0.58500000000000008</v>
      </c>
      <c r="K19" s="17">
        <f>INDEX('Unique Asset List'!$D$4:$M$60,MATCH($B19,'Unique Asset List'!$A$4:$A$60,0),MATCH(K$8,'Unique Asset List'!$D$3:$M$3,0))</f>
        <v>0</v>
      </c>
      <c r="L19" s="17">
        <f>INDEX('Unique Asset List'!$D$4:$M$60,MATCH($B19,'Unique Asset List'!$A$4:$A$60,0),MATCH(L$8,'Unique Asset List'!$D$3:$M$3,0))</f>
        <v>0</v>
      </c>
      <c r="M19" s="18">
        <f>J19/3</f>
        <v>0.19500000000000003</v>
      </c>
      <c r="N19" s="17">
        <f>INDEX('Unique Asset List'!$D$4:$M$60,MATCH($B19,'Unique Asset List'!$A$4:$A$60,0),MATCH(N$8,'Unique Asset List'!$D$3:$M$3,0))</f>
        <v>0.58500000000000008</v>
      </c>
      <c r="O19" s="17">
        <f>INDEX('Unique Asset List'!$D$4:$M$60,MATCH($B19,'Unique Asset List'!$A$4:$A$60,0),MATCH(O$8,'Unique Asset List'!$D$3:$M$3,0))</f>
        <v>0.58500000000000008</v>
      </c>
      <c r="P19" s="17">
        <f>INDEX('Unique Asset List'!$D$4:$M$60,MATCH($B19,'Unique Asset List'!$A$4:$A$60,0),MATCH(P$8,'Unique Asset List'!$D$3:$M$3,0))</f>
        <v>0.58500000000000008</v>
      </c>
      <c r="Q19" s="17">
        <f>INDEX('Unique Asset List'!$D$4:$M$60,MATCH($B19,'Unique Asset List'!$A$4:$A$60,0),MATCH(Q$8,'Unique Asset List'!$D$3:$M$3,0))</f>
        <v>0.58500000000000008</v>
      </c>
      <c r="R19" s="17">
        <f>INDEX('Unique Asset List'!$D$4:$M$60,MATCH($B19,'Unique Asset List'!$A$4:$A$60,0),MATCH(R$8,'Unique Asset List'!$D$3:$M$3,0))</f>
        <v>0.58500000000000008</v>
      </c>
      <c r="S19" s="17">
        <f>INDEX('Unique Asset List'!$D$4:$M$60,MATCH($B19,'Unique Asset List'!$A$4:$A$60,0),MATCH(S$8,'Unique Asset List'!$D$3:$M$3,0))</f>
        <v>0</v>
      </c>
      <c r="T19" s="17"/>
      <c r="U19" s="17">
        <f t="shared" si="1"/>
        <v>0.58302373629991611</v>
      </c>
      <c r="V19" s="17">
        <v>1</v>
      </c>
      <c r="W19" s="9" t="s">
        <v>80</v>
      </c>
      <c r="X19" s="9">
        <f>INDEX('Unique Asset List'!$Y$4:$AE$60,MATCH('1'!$B19,'Unique Asset List'!$A$4:$A$60,0),MATCH('1'!$C$1,'Unique Asset List'!$Y$3:$AE$3,0))</f>
        <v>2022</v>
      </c>
      <c r="Y19" s="9">
        <f>INDEX('Unique Asset List'!$AF$4:$AL$60,MATCH('1'!$B19,'Unique Asset List'!$A$4:$A$60,0),MATCH('1'!$C$1,'Unique Asset List'!$AF$3:$AL$3,0))</f>
        <v>4</v>
      </c>
      <c r="Z19" s="9">
        <f>INDEX('Unique Asset List'!$AT$4:$AZ$60,MATCH('1'!$B19,'Unique Asset List'!$A$4:$A$60,0),MATCH('1'!$C$1,'Unique Asset List'!$AT$3:$AZ$3,0))</f>
        <v>2029</v>
      </c>
      <c r="AA19" s="9">
        <f>INDEX('Unique Asset List'!$BA$4:$BG$60,MATCH('1'!$B19,'Unique Asset List'!$A$4:$A$60,0),MATCH('1'!$C$1,'Unique Asset List'!$BA$3:$BG$3,0))</f>
        <v>7</v>
      </c>
      <c r="AB19" s="16">
        <f t="shared" si="6"/>
        <v>1.4482758</v>
      </c>
      <c r="AC19" s="16">
        <f t="shared" si="2"/>
        <v>0.97325250000000008</v>
      </c>
      <c r="AD19" s="16">
        <f t="shared" si="3"/>
        <v>0.38169906301999995</v>
      </c>
      <c r="AE19" s="15">
        <f>INDEX('Unique Asset List'!$CJ$4:$CP$60,MATCH('1'!$B19,'Unique Asset List'!$A$4:$A$60,0),MATCH('1'!$C$1,'Unique Asset List'!$CJ$3:$CP$3,0))</f>
        <v>0.15</v>
      </c>
      <c r="AF19" s="15">
        <f>INDEX('Unique Asset List'!$CQ$4:$CW$60,MATCH('1'!$B19,'Unique Asset List'!$A$4:$A$60,0),MATCH('1'!$C$1,'Unique Asset List'!$CQ$3:$CW$3,0))</f>
        <v>0.35</v>
      </c>
      <c r="AG19" s="15">
        <f>INDEX('Unique Asset List'!$BV$4:$CB$60,MATCH('1'!$B19,'Unique Asset List'!$A$4:$A$60,0),MATCH('1'!$C$1,'Unique Asset List'!$BV$3:$CB$3,0))</f>
        <v>0.15</v>
      </c>
      <c r="AH19" s="15">
        <f>INDEX('Unique Asset List'!$CC$4:$CI$60,MATCH('1'!$B19,'Unique Asset List'!$A$4:$A$60,0),MATCH('1'!$C$1,'Unique Asset List'!$CC$3:$CI$3,0))</f>
        <v>0.35</v>
      </c>
      <c r="AI19" s="11">
        <v>0.97304949785176587</v>
      </c>
      <c r="AJ19" s="15">
        <f>INDEX('Unique Asset List'!$BH$4:$BN$60,MATCH('1'!$B19,'Unique Asset List'!$A$4:$A$60,0),MATCH('1'!$C$1,'Unique Asset List'!$BH$3:$BN$3,0))</f>
        <v>1.2267192541321688</v>
      </c>
      <c r="AK19" s="15">
        <f>INDEX('Unique Asset List'!$BO$4:$BU$60,MATCH('1'!$B19,'Unique Asset List'!$A$4:$A$60,0),MATCH('1'!$C$1,'Unique Asset List'!$BO$3:$BU$3,0))</f>
        <v>11.984388276878477</v>
      </c>
      <c r="AL19" s="150">
        <v>160</v>
      </c>
      <c r="AM19" s="14">
        <f>INDEX(Simulation!$B$6:$H$6,MATCH($A19,Simulation!$B$1:$H$1,0))*(1+AN19)^((DATE(X19,Y19,15)-DATE(2017,1,15))/365.5)</f>
        <v>17.964311438908098</v>
      </c>
      <c r="AN19" s="12">
        <v>3.5000000000000003E-2</v>
      </c>
      <c r="AO19" s="13">
        <v>60</v>
      </c>
      <c r="AP19" s="11">
        <v>0.6</v>
      </c>
      <c r="AQ19" s="12">
        <v>-0.02</v>
      </c>
      <c r="AR19" s="11">
        <v>0.5</v>
      </c>
      <c r="AS19" s="10">
        <v>1</v>
      </c>
      <c r="AT19" s="181">
        <f>INDEX('Unique Asset List'!N$4:N$60,MATCH($B19,_CompoundList,0))</f>
        <v>0</v>
      </c>
      <c r="AU19" s="181">
        <f>INDEX('Unique Asset List'!O$4:O$60,MATCH($B19,_CompoundList,0))</f>
        <v>0</v>
      </c>
      <c r="AV19" s="181">
        <f>INDEX('Unique Asset List'!P$4:P$60,MATCH($B19,_CompoundList,0))</f>
        <v>0</v>
      </c>
      <c r="AW19" s="181">
        <f>INDEX('Unique Asset List'!Q$4:Q$60,MATCH($B19,_CompoundList,0))</f>
        <v>0</v>
      </c>
      <c r="AX19" s="181">
        <f ca="1">INDEX('Unique Asset List'!R$4:R$60,MATCH($B19,_CompoundList,0))</f>
        <v>1</v>
      </c>
      <c r="AY19" s="181">
        <f ca="1">INDEX('Unique Asset List'!S$4:S$60,MATCH($B19,_CompoundList,0))</f>
        <v>0</v>
      </c>
      <c r="AZ19" s="181">
        <f ca="1">INDEX('Unique Asset List'!T$4:T$60,MATCH($B19,_CompoundList,0))</f>
        <v>0</v>
      </c>
      <c r="BA19" s="181">
        <f ca="1">INDEX('Unique Asset List'!U$4:U$60,MATCH($B19,_CompoundList,0))</f>
        <v>1</v>
      </c>
      <c r="BB19" s="181">
        <f ca="1">INDEX('Unique Asset List'!V$4:V$60,MATCH($B19,_CompoundList,0))</f>
        <v>0</v>
      </c>
      <c r="BC19" s="181">
        <f ca="1">INDEX('Unique Asset List'!W$4:W$60,MATCH($B19,_CompoundList,0))</f>
        <v>0</v>
      </c>
      <c r="BD19" s="4">
        <f>IF($C$5="ON",CD19,MyRating(_E1,$B19,Efficacy!$F$1))</f>
        <v>3</v>
      </c>
      <c r="BE19" s="3">
        <f>IF($C$5="ON",CE19,MyRating(_E2,$B19,Efficacy!$F$1))</f>
        <v>3</v>
      </c>
      <c r="BF19" s="3">
        <f>IF($C$5="ON",CF19,MyRating(_E3,$B19,Efficacy!$F$1))</f>
        <v>3</v>
      </c>
      <c r="BG19" s="3">
        <f>IF($C$5="ON",CG19,MyRating(_E4,$B19,Efficacy!$F$1))</f>
        <v>3</v>
      </c>
      <c r="BH19" s="3">
        <f>IF($C$5="ON",CH19,MyRating(_E5,$B19,Efficacy!$F$1))</f>
        <v>3</v>
      </c>
      <c r="BI19" s="3">
        <f>IF($C$5="ON",CI19,MyRating(_E6,$B19,Efficacy!$F$1))</f>
        <v>3</v>
      </c>
      <c r="BJ19" s="3">
        <f>IF($C$5="ON",CJ19,MyRating(_E7,$B19,Efficacy!$F$1))</f>
        <v>3</v>
      </c>
      <c r="BK19" s="3">
        <f>IF($C$5="ON",CK19,MyRating(_E8,$B19,Efficacy!$F$1))</f>
        <v>3</v>
      </c>
      <c r="BL19" s="3">
        <f>IF($C$5="ON",CL19,MyRating(_S1,$B19,Efficacy!$F$1))</f>
        <v>4</v>
      </c>
      <c r="BM19" s="3">
        <f>IF($C$5="ON",CM19,MyRating(_S2,$B19,Efficacy!$F$1))</f>
        <v>3</v>
      </c>
      <c r="BN19" s="3">
        <f>IF($C$5="ON",CN19,MyRating(_S3,$B19,Efficacy!$F$1))</f>
        <v>3</v>
      </c>
      <c r="BO19" s="3">
        <f>IF($C$5="ON",CO19,MyRating(_S4,$B19,Efficacy!$F$1))</f>
        <v>4</v>
      </c>
      <c r="BP19" s="3">
        <f>IF($C$5="ON",CP19,MyRating(_S5,$B19,Efficacy!$F$1))</f>
        <v>5</v>
      </c>
      <c r="BQ19" s="3">
        <f>IF($C$5="ON",CQ19,MyRating(_S6,$B19,Efficacy!$F$1))</f>
        <v>3</v>
      </c>
      <c r="BR19" s="3">
        <f>IF($C$5="ON",CR19,MyRating(_S7,$B19,Efficacy!$F$1))</f>
        <v>4</v>
      </c>
      <c r="BS19" s="3">
        <f>IF($C$5="ON",CS19,MyRating(_D1,$B19,Efficacy!$F$1))</f>
        <v>2</v>
      </c>
      <c r="BT19" s="3">
        <f>IF($C$5="ON",CT19,MyRating(_D2,$B19,Efficacy!$F$1))</f>
        <v>3</v>
      </c>
      <c r="BU19" s="3">
        <f>IF($C$5="ON",CU19,MyRating(_D3,$B19,Efficacy!$F$1))</f>
        <v>1</v>
      </c>
      <c r="BV19" s="3">
        <f>IF($C$5="ON",CV19,MyRating(_D4,$B19,Efficacy!$F$1))</f>
        <v>2</v>
      </c>
      <c r="BW19" s="3">
        <f>IF($C$5="ON",CW19,MyRating(_B1,$B19,Barrier!$F$2))</f>
        <v>3</v>
      </c>
      <c r="BX19" s="3">
        <f>IF($C$5="ON",CX19,MyRating(_B2,$B19,Barrier!$F$2))</f>
        <v>3</v>
      </c>
      <c r="BY19" s="6">
        <f>IF($C$5="ON",CY19,MyRating(_B3,$B19,Barrier!$F$2))</f>
        <v>3</v>
      </c>
      <c r="BZ19" s="5">
        <f t="shared" si="7"/>
        <v>2.833849230535369E-2</v>
      </c>
      <c r="CA19" s="8">
        <f t="shared" si="4"/>
        <v>2.4000000000000004</v>
      </c>
      <c r="CB19" s="5">
        <f t="shared" si="8"/>
        <v>2.8301886792452827E-2</v>
      </c>
      <c r="CC19" s="7">
        <f t="shared" si="5"/>
        <v>3.8137644231022581E-6</v>
      </c>
      <c r="CD19" s="4">
        <v>3</v>
      </c>
      <c r="CE19" s="3">
        <v>3</v>
      </c>
      <c r="CF19" s="3">
        <v>3</v>
      </c>
      <c r="CG19" s="3">
        <v>3</v>
      </c>
      <c r="CH19" s="3">
        <v>3</v>
      </c>
      <c r="CI19" s="3">
        <v>3</v>
      </c>
      <c r="CJ19" s="3">
        <v>3</v>
      </c>
      <c r="CK19" s="3">
        <v>3</v>
      </c>
      <c r="CL19" s="3">
        <v>4</v>
      </c>
      <c r="CM19" s="3">
        <v>3</v>
      </c>
      <c r="CN19" s="3">
        <v>3</v>
      </c>
      <c r="CO19" s="3">
        <v>4</v>
      </c>
      <c r="CP19" s="3">
        <v>5</v>
      </c>
      <c r="CQ19" s="3">
        <v>3</v>
      </c>
      <c r="CR19" s="3">
        <v>4</v>
      </c>
      <c r="CS19" s="3">
        <v>2</v>
      </c>
      <c r="CT19" s="3">
        <v>3</v>
      </c>
      <c r="CU19" s="3">
        <v>1</v>
      </c>
      <c r="CV19" s="3">
        <v>2</v>
      </c>
      <c r="CW19" s="3">
        <v>3</v>
      </c>
      <c r="CX19" s="3">
        <v>3</v>
      </c>
      <c r="CY19" s="6">
        <v>3</v>
      </c>
      <c r="CZ19" s="5"/>
      <c r="DA19" s="4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</row>
    <row r="20" spans="1:126" x14ac:dyDescent="0.25">
      <c r="A20" s="9" t="s">
        <v>5</v>
      </c>
      <c r="B20" s="9" t="s">
        <v>79</v>
      </c>
      <c r="C20" s="20"/>
      <c r="D20" s="9" t="s">
        <v>78</v>
      </c>
      <c r="E20" s="9"/>
      <c r="F20" s="9" t="str">
        <f>INDEX('Unique Asset List'!$C$4:$C$60,MATCH(B20,_CompoundList,0))</f>
        <v>Ph2b</v>
      </c>
      <c r="G20" s="19">
        <v>0</v>
      </c>
      <c r="H20" s="9">
        <v>2018</v>
      </c>
      <c r="I20" s="9">
        <v>1</v>
      </c>
      <c r="J20" s="18">
        <f>INDEX(PTRS!$D$6:$D$12,MATCH('1'!$F20,PTRS!$B$6:$B$12,0))</f>
        <v>0.40949999999999998</v>
      </c>
      <c r="K20" s="17">
        <f>INDEX('Unique Asset List'!$D$4:$M$60,MATCH($B20,'Unique Asset List'!$A$4:$A$60,0),MATCH(K$8,'Unique Asset List'!$D$3:$M$3,0))</f>
        <v>0</v>
      </c>
      <c r="L20" s="17">
        <f>INDEX('Unique Asset List'!$D$4:$M$60,MATCH($B20,'Unique Asset List'!$A$4:$A$60,0),MATCH(L$8,'Unique Asset List'!$D$3:$M$3,0))</f>
        <v>0</v>
      </c>
      <c r="M20" s="18">
        <f>J20/3</f>
        <v>0.13649999999999998</v>
      </c>
      <c r="N20" s="17">
        <f>INDEX('Unique Asset List'!$D$4:$M$60,MATCH($B20,'Unique Asset List'!$A$4:$A$60,0),MATCH(N$8,'Unique Asset List'!$D$3:$M$3,0))</f>
        <v>0.40949999999999998</v>
      </c>
      <c r="O20" s="17">
        <f>INDEX('Unique Asset List'!$D$4:$M$60,MATCH($B20,'Unique Asset List'!$A$4:$A$60,0),MATCH(O$8,'Unique Asset List'!$D$3:$M$3,0))</f>
        <v>0.40949999999999998</v>
      </c>
      <c r="P20" s="17">
        <f>INDEX('Unique Asset List'!$D$4:$M$60,MATCH($B20,'Unique Asset List'!$A$4:$A$60,0),MATCH(P$8,'Unique Asset List'!$D$3:$M$3,0))</f>
        <v>0.40949999999999998</v>
      </c>
      <c r="Q20" s="17">
        <f>INDEX('Unique Asset List'!$D$4:$M$60,MATCH($B20,'Unique Asset List'!$A$4:$A$60,0),MATCH(Q$8,'Unique Asset List'!$D$3:$M$3,0))</f>
        <v>0.40949999999999998</v>
      </c>
      <c r="R20" s="17">
        <f>INDEX('Unique Asset List'!$D$4:$M$60,MATCH($B20,'Unique Asset List'!$A$4:$A$60,0),MATCH(R$8,'Unique Asset List'!$D$3:$M$3,0))</f>
        <v>0.40949999999999998</v>
      </c>
      <c r="S20" s="17">
        <f>INDEX('Unique Asset List'!$D$4:$M$60,MATCH($B20,'Unique Asset List'!$A$4:$A$60,0),MATCH(S$8,'Unique Asset List'!$D$3:$M$3,0))</f>
        <v>0</v>
      </c>
      <c r="T20" s="17"/>
      <c r="U20" s="17">
        <f t="shared" si="1"/>
        <v>0.58302373629991611</v>
      </c>
      <c r="V20" s="17">
        <v>1</v>
      </c>
      <c r="W20" s="9" t="s">
        <v>62</v>
      </c>
      <c r="X20" s="9">
        <f>INDEX('Unique Asset List'!$Y$4:$AE$60,MATCH('1'!$B20,'Unique Asset List'!$A$4:$A$60,0),MATCH('1'!$C$1,'Unique Asset List'!$Y$3:$AE$3,0))</f>
        <v>2023</v>
      </c>
      <c r="Y20" s="9">
        <f>INDEX('Unique Asset List'!$AF$4:$AL$60,MATCH('1'!$B20,'Unique Asset List'!$A$4:$A$60,0),MATCH('1'!$C$1,'Unique Asset List'!$AF$3:$AL$3,0))</f>
        <v>7</v>
      </c>
      <c r="Z20" s="9">
        <f>INDEX('Unique Asset List'!$AT$4:$AZ$60,MATCH('1'!$B20,'Unique Asset List'!$A$4:$A$60,0),MATCH('1'!$C$1,'Unique Asset List'!$AT$3:$AZ$3,0))</f>
        <v>2032</v>
      </c>
      <c r="AA20" s="9">
        <f>INDEX('Unique Asset List'!$BA$4:$BG$60,MATCH('1'!$B20,'Unique Asset List'!$A$4:$A$60,0),MATCH('1'!$C$1,'Unique Asset List'!$BA$3:$BG$3,0))</f>
        <v>7</v>
      </c>
      <c r="AB20" s="16">
        <f t="shared" si="6"/>
        <v>1.7116560000000001</v>
      </c>
      <c r="AC20" s="16">
        <f t="shared" si="2"/>
        <v>0.88497580000000009</v>
      </c>
      <c r="AD20" s="16">
        <f t="shared" si="3"/>
        <v>0.56099999999999994</v>
      </c>
      <c r="AE20" s="15">
        <f>INDEX('Unique Asset List'!$CJ$4:$CP$60,MATCH('1'!$B20,'Unique Asset List'!$A$4:$A$60,0),MATCH('1'!$C$1,'Unique Asset List'!$CJ$3:$CP$3,0))</f>
        <v>0.22</v>
      </c>
      <c r="AF20" s="15">
        <f>INDEX('Unique Asset List'!$CQ$4:$CW$60,MATCH('1'!$B20,'Unique Asset List'!$A$4:$A$60,0),MATCH('1'!$C$1,'Unique Asset List'!$CQ$3:$CW$3,0))</f>
        <v>0.28000000000000003</v>
      </c>
      <c r="AG20" s="15">
        <f>INDEX('Unique Asset List'!$BV$4:$CB$60,MATCH('1'!$B20,'Unique Asset List'!$A$4:$A$60,0),MATCH('1'!$C$1,'Unique Asset List'!$BV$3:$CB$3,0))</f>
        <v>0.22</v>
      </c>
      <c r="AH20" s="15">
        <f>INDEX('Unique Asset List'!$CC$4:$CI$60,MATCH('1'!$B20,'Unique Asset List'!$A$4:$A$60,0),MATCH('1'!$C$1,'Unique Asset List'!$CC$3:$CI$3,0))</f>
        <v>0.28000000000000003</v>
      </c>
      <c r="AI20" s="11">
        <v>0.97304949785176587</v>
      </c>
      <c r="AJ20" s="15">
        <f>INDEX('Unique Asset List'!$BH$4:$BN$60,MATCH('1'!$B20,'Unique Asset List'!$A$4:$A$60,0),MATCH('1'!$C$1,'Unique Asset List'!$BH$3:$BN$3,0))</f>
        <v>1.2267192541321688</v>
      </c>
      <c r="AK20" s="15">
        <f>INDEX('Unique Asset List'!$BO$4:$BU$60,MATCH('1'!$B20,'Unique Asset List'!$A$4:$A$60,0),MATCH('1'!$C$1,'Unique Asset List'!$BO$3:$BU$3,0))</f>
        <v>11.984388276878477</v>
      </c>
      <c r="AL20" s="150">
        <v>160</v>
      </c>
      <c r="AM20" s="14">
        <f>INDEX(Simulation!$B$6:$H$6,MATCH($A20,Simulation!$B$1:$H$1,0))*(1+AN20)^((DATE(X20,Y20,15)-DATE(2017,1,15))/365.5)</f>
        <v>18.752114491731778</v>
      </c>
      <c r="AN20" s="12">
        <v>3.5000000000000003E-2</v>
      </c>
      <c r="AO20" s="13">
        <v>60</v>
      </c>
      <c r="AP20" s="11">
        <v>0.6</v>
      </c>
      <c r="AQ20" s="12">
        <v>-0.02</v>
      </c>
      <c r="AR20" s="11">
        <v>0.5</v>
      </c>
      <c r="AS20" s="10">
        <v>1</v>
      </c>
      <c r="AT20" s="181">
        <f>INDEX('Unique Asset List'!N$4:N$60,MATCH($B20,_CompoundList,0))</f>
        <v>0</v>
      </c>
      <c r="AU20" s="181">
        <f>INDEX('Unique Asset List'!O$4:O$60,MATCH($B20,_CompoundList,0))</f>
        <v>0</v>
      </c>
      <c r="AV20" s="181">
        <f>INDEX('Unique Asset List'!P$4:P$60,MATCH($B20,_CompoundList,0))</f>
        <v>0</v>
      </c>
      <c r="AW20" s="181">
        <f>INDEX('Unique Asset List'!Q$4:Q$60,MATCH($B20,_CompoundList,0))</f>
        <v>0</v>
      </c>
      <c r="AX20" s="181">
        <f ca="1">INDEX('Unique Asset List'!R$4:R$60,MATCH($B20,_CompoundList,0))</f>
        <v>1</v>
      </c>
      <c r="AY20" s="181">
        <f ca="1">INDEX('Unique Asset List'!S$4:S$60,MATCH($B20,_CompoundList,0))</f>
        <v>0</v>
      </c>
      <c r="AZ20" s="181">
        <f ca="1">INDEX('Unique Asset List'!T$4:T$60,MATCH($B20,_CompoundList,0))</f>
        <v>1</v>
      </c>
      <c r="BA20" s="181">
        <f ca="1">INDEX('Unique Asset List'!U$4:U$60,MATCH($B20,_CompoundList,0))</f>
        <v>1</v>
      </c>
      <c r="BB20" s="181">
        <f ca="1">INDEX('Unique Asset List'!V$4:V$60,MATCH($B20,_CompoundList,0))</f>
        <v>1</v>
      </c>
      <c r="BC20" s="181">
        <f ca="1">INDEX('Unique Asset List'!W$4:W$60,MATCH($B20,_CompoundList,0))</f>
        <v>1</v>
      </c>
      <c r="BD20" s="4">
        <f>IF($C$5="ON",CD20,MyRating(_E1,$B20,Efficacy!$F$1))</f>
        <v>4</v>
      </c>
      <c r="BE20" s="3">
        <f>IF($C$5="ON",CE20,MyRating(_E2,$B20,Efficacy!$F$1))</f>
        <v>3</v>
      </c>
      <c r="BF20" s="3">
        <f>IF($C$5="ON",CF20,MyRating(_E3,$B20,Efficacy!$F$1))</f>
        <v>4</v>
      </c>
      <c r="BG20" s="3">
        <f>IF($C$5="ON",CG20,MyRating(_E4,$B20,Efficacy!$F$1))</f>
        <v>4</v>
      </c>
      <c r="BH20" s="3">
        <f>IF($C$5="ON",CH20,MyRating(_E5,$B20,Efficacy!$F$1))</f>
        <v>3</v>
      </c>
      <c r="BI20" s="3">
        <f>IF($C$5="ON",CI20,MyRating(_E6,$B20,Efficacy!$F$1))</f>
        <v>3</v>
      </c>
      <c r="BJ20" s="3">
        <f>IF($C$5="ON",CJ20,MyRating(_E7,$B20,Efficacy!$F$1))</f>
        <v>3</v>
      </c>
      <c r="BK20" s="3">
        <f>IF($C$5="ON",CK20,MyRating(_E8,$B20,Efficacy!$F$1))</f>
        <v>5</v>
      </c>
      <c r="BL20" s="3">
        <f>IF($C$5="ON",CL20,MyRating(_S1,$B20,Efficacy!$F$1))</f>
        <v>4</v>
      </c>
      <c r="BM20" s="3">
        <f>IF($C$5="ON",CM20,MyRating(_S2,$B20,Efficacy!$F$1))</f>
        <v>3</v>
      </c>
      <c r="BN20" s="3">
        <f>IF($C$5="ON",CN20,MyRating(_S3,$B20,Efficacy!$F$1))</f>
        <v>3</v>
      </c>
      <c r="BO20" s="3">
        <f>IF($C$5="ON",CO20,MyRating(_S4,$B20,Efficacy!$F$1))</f>
        <v>3</v>
      </c>
      <c r="BP20" s="3">
        <f>IF($C$5="ON",CP20,MyRating(_S5,$B20,Efficacy!$F$1))</f>
        <v>5</v>
      </c>
      <c r="BQ20" s="3">
        <f>IF($C$5="ON",CQ20,MyRating(_S6,$B20,Efficacy!$F$1))</f>
        <v>2</v>
      </c>
      <c r="BR20" s="3">
        <f>IF($C$5="ON",CR20,MyRating(_S7,$B20,Efficacy!$F$1))</f>
        <v>3</v>
      </c>
      <c r="BS20" s="3">
        <f>IF($C$5="ON",CS20,MyRating(_D1,$B20,Efficacy!$F$1))</f>
        <v>3</v>
      </c>
      <c r="BT20" s="3">
        <f>IF($C$5="ON",CT20,MyRating(_D2,$B20,Efficacy!$F$1))</f>
        <v>3</v>
      </c>
      <c r="BU20" s="3">
        <f>IF($C$5="ON",CU20,MyRating(_D3,$B20,Efficacy!$F$1))</f>
        <v>3</v>
      </c>
      <c r="BV20" s="3">
        <f>IF($C$5="ON",CV20,MyRating(_D4,$B20,Efficacy!$F$1))</f>
        <v>3</v>
      </c>
      <c r="BW20" s="3">
        <f>IF($C$5="ON",CW20,MyRating(_B1,$B20,Barrier!$F$2))</f>
        <v>3</v>
      </c>
      <c r="BX20" s="3">
        <f>IF($C$5="ON",CX20,MyRating(_B2,$B20,Barrier!$F$2))</f>
        <v>3</v>
      </c>
      <c r="BY20" s="6">
        <f>IF($C$5="ON",CY20,MyRating(_B3,$B20,Barrier!$F$2))</f>
        <v>3</v>
      </c>
      <c r="BZ20" s="5">
        <f t="shared" si="7"/>
        <v>2.833849230535369E-2</v>
      </c>
      <c r="CA20" s="8">
        <f t="shared" si="4"/>
        <v>2.4000000000000004</v>
      </c>
      <c r="CB20" s="5">
        <f t="shared" si="8"/>
        <v>2.8301886792452827E-2</v>
      </c>
      <c r="CC20" s="7">
        <f t="shared" si="5"/>
        <v>3.8137644231022581E-6</v>
      </c>
      <c r="CD20" s="4">
        <v>4</v>
      </c>
      <c r="CE20" s="3">
        <v>3</v>
      </c>
      <c r="CF20" s="3">
        <v>4</v>
      </c>
      <c r="CG20" s="3">
        <v>4</v>
      </c>
      <c r="CH20" s="3">
        <v>3</v>
      </c>
      <c r="CI20" s="3">
        <v>3</v>
      </c>
      <c r="CJ20" s="3">
        <v>3</v>
      </c>
      <c r="CK20" s="3">
        <v>5</v>
      </c>
      <c r="CL20" s="3">
        <v>4</v>
      </c>
      <c r="CM20" s="3">
        <v>3</v>
      </c>
      <c r="CN20" s="3">
        <v>3</v>
      </c>
      <c r="CO20" s="3">
        <v>3</v>
      </c>
      <c r="CP20" s="3">
        <v>5</v>
      </c>
      <c r="CQ20" s="3">
        <v>2</v>
      </c>
      <c r="CR20" s="3">
        <v>3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3</v>
      </c>
      <c r="CY20" s="6">
        <v>3</v>
      </c>
      <c r="CZ20" s="5"/>
      <c r="DA20" s="4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</row>
    <row r="21" spans="1:126" x14ac:dyDescent="0.25">
      <c r="A21" s="9" t="s">
        <v>5</v>
      </c>
      <c r="B21" s="9" t="s">
        <v>17</v>
      </c>
      <c r="C21" s="20"/>
      <c r="D21" s="9" t="s">
        <v>2</v>
      </c>
      <c r="E21" s="9"/>
      <c r="F21" s="9" t="str">
        <f>INDEX('Unique Asset List'!$C$4:$C$60,MATCH(B21,_CompoundList,0))</f>
        <v>Ph1</v>
      </c>
      <c r="G21" s="19">
        <v>0</v>
      </c>
      <c r="H21" s="9">
        <v>2018</v>
      </c>
      <c r="I21" s="9">
        <v>1</v>
      </c>
      <c r="J21" s="18">
        <f>INDEX(PTRS!$D$6:$D$12,MATCH('1'!$F21,PTRS!$B$6:$B$12,0))</f>
        <v>0.13923000000000002</v>
      </c>
      <c r="K21" s="17">
        <f>INDEX('Unique Asset List'!$D$4:$M$60,MATCH($B21,'Unique Asset List'!$A$4:$A$60,0),MATCH(K$8,'Unique Asset List'!$D$3:$M$3,0))</f>
        <v>0</v>
      </c>
      <c r="L21" s="17">
        <f>INDEX('Unique Asset List'!$D$4:$M$60,MATCH($B21,'Unique Asset List'!$A$4:$A$60,0),MATCH(L$8,'Unique Asset List'!$D$3:$M$3,0))</f>
        <v>0</v>
      </c>
      <c r="M21" s="18">
        <v>0.25</v>
      </c>
      <c r="N21" s="17">
        <f>INDEX('Unique Asset List'!$D$4:$M$60,MATCH($B21,'Unique Asset List'!$A$4:$A$60,0),MATCH(N$8,'Unique Asset List'!$D$3:$M$3,0))</f>
        <v>0.25</v>
      </c>
      <c r="O21" s="17">
        <f>INDEX('Unique Asset List'!$D$4:$M$60,MATCH($B21,'Unique Asset List'!$A$4:$A$60,0),MATCH(O$8,'Unique Asset List'!$D$3:$M$3,0))</f>
        <v>0.25</v>
      </c>
      <c r="P21" s="17">
        <f>INDEX('Unique Asset List'!$D$4:$M$60,MATCH($B21,'Unique Asset List'!$A$4:$A$60,0),MATCH(P$8,'Unique Asset List'!$D$3:$M$3,0))</f>
        <v>0.25</v>
      </c>
      <c r="Q21" s="17">
        <f>INDEX('Unique Asset List'!$D$4:$M$60,MATCH($B21,'Unique Asset List'!$A$4:$A$60,0),MATCH(Q$8,'Unique Asset List'!$D$3:$M$3,0))</f>
        <v>0.25</v>
      </c>
      <c r="R21" s="17">
        <f>INDEX('Unique Asset List'!$D$4:$M$60,MATCH($B21,'Unique Asset List'!$A$4:$A$60,0),MATCH(R$8,'Unique Asset List'!$D$3:$M$3,0))</f>
        <v>0.25</v>
      </c>
      <c r="S21" s="17">
        <f>INDEX('Unique Asset List'!$D$4:$M$60,MATCH($B21,'Unique Asset List'!$A$4:$A$60,0),MATCH(S$8,'Unique Asset List'!$D$3:$M$3,0))</f>
        <v>0</v>
      </c>
      <c r="T21" s="17"/>
      <c r="U21" s="17">
        <f t="shared" si="1"/>
        <v>0.58302373629991611</v>
      </c>
      <c r="V21" s="17">
        <v>1</v>
      </c>
      <c r="W21" s="9" t="s">
        <v>16</v>
      </c>
      <c r="X21" s="9">
        <f>INDEX('Unique Asset List'!$Y$4:$AE$60,MATCH('1'!$B21,'Unique Asset List'!$A$4:$A$60,0),MATCH('1'!$C$1,'Unique Asset List'!$Y$3:$AE$3,0))</f>
        <v>2026</v>
      </c>
      <c r="Y21" s="9">
        <f>INDEX('Unique Asset List'!$AF$4:$AL$60,MATCH('1'!$B21,'Unique Asset List'!$A$4:$A$60,0),MATCH('1'!$C$1,'Unique Asset List'!$AF$3:$AL$3,0))</f>
        <v>9</v>
      </c>
      <c r="Z21" s="9">
        <f>INDEX('Unique Asset List'!$AT$4:$AZ$60,MATCH('1'!$B21,'Unique Asset List'!$A$4:$A$60,0),MATCH('1'!$C$1,'Unique Asset List'!$AT$3:$AZ$3,0))</f>
        <v>2032</v>
      </c>
      <c r="AA21" s="9">
        <f>INDEX('Unique Asset List'!$BA$4:$BG$60,MATCH('1'!$B21,'Unique Asset List'!$A$4:$A$60,0),MATCH('1'!$C$1,'Unique Asset List'!$BA$3:$BG$3,0))</f>
        <v>1</v>
      </c>
      <c r="AB21" s="16">
        <f t="shared" si="6"/>
        <v>1.5776481999999998</v>
      </c>
      <c r="AC21" s="16">
        <f t="shared" si="2"/>
        <v>0.97947730000000011</v>
      </c>
      <c r="AD21" s="16">
        <f t="shared" si="3"/>
        <v>0.56099999999999994</v>
      </c>
      <c r="AE21" s="15">
        <f>INDEX('Unique Asset List'!$CJ$4:$CP$60,MATCH('1'!$B21,'Unique Asset List'!$A$4:$A$60,0),MATCH('1'!$C$1,'Unique Asset List'!$CJ$3:$CP$3,0))</f>
        <v>0.15</v>
      </c>
      <c r="AF21" s="15">
        <f>INDEX('Unique Asset List'!$CQ$4:$CW$60,MATCH('1'!$B21,'Unique Asset List'!$A$4:$A$60,0),MATCH('1'!$C$1,'Unique Asset List'!$CQ$3:$CW$3,0))</f>
        <v>0.35</v>
      </c>
      <c r="AG21" s="15">
        <f>INDEX('Unique Asset List'!$BV$4:$CB$60,MATCH('1'!$B21,'Unique Asset List'!$A$4:$A$60,0),MATCH('1'!$C$1,'Unique Asset List'!$BV$3:$CB$3,0))</f>
        <v>0.15</v>
      </c>
      <c r="AH21" s="15">
        <f>INDEX('Unique Asset List'!$CC$4:$CI$60,MATCH('1'!$B21,'Unique Asset List'!$A$4:$A$60,0),MATCH('1'!$C$1,'Unique Asset List'!$CC$3:$CI$3,0))</f>
        <v>0.35</v>
      </c>
      <c r="AI21" s="11">
        <v>0.97304949785176587</v>
      </c>
      <c r="AJ21" s="15">
        <f>INDEX('Unique Asset List'!$BH$4:$BN$60,MATCH('1'!$B21,'Unique Asset List'!$A$4:$A$60,0),MATCH('1'!$C$1,'Unique Asset List'!$BH$3:$BN$3,0))</f>
        <v>1.2267192541321688</v>
      </c>
      <c r="AK21" s="15">
        <f>INDEX('Unique Asset List'!$BO$4:$BU$60,MATCH('1'!$B21,'Unique Asset List'!$A$4:$A$60,0),MATCH('1'!$C$1,'Unique Asset List'!$BO$3:$BU$3,0))</f>
        <v>11.984388276878477</v>
      </c>
      <c r="AL21" s="150">
        <v>160</v>
      </c>
      <c r="AM21" s="14">
        <f>INDEX(Simulation!$B$6:$H$6,MATCH($A21,Simulation!$B$1:$H$1,0))*(1+AN21)^((DATE(X21,Y21,15)-DATE(2017,1,15))/365.5)</f>
        <v>20.911500576752577</v>
      </c>
      <c r="AN21" s="12">
        <v>3.5000000000000003E-2</v>
      </c>
      <c r="AO21" s="13">
        <v>60</v>
      </c>
      <c r="AP21" s="11">
        <v>0.6</v>
      </c>
      <c r="AQ21" s="12">
        <v>-0.02</v>
      </c>
      <c r="AR21" s="11">
        <v>0.5</v>
      </c>
      <c r="AS21" s="10">
        <v>1</v>
      </c>
      <c r="AT21" s="181">
        <f>INDEX('Unique Asset List'!N$4:N$60,MATCH($B21,_CompoundList,0))</f>
        <v>0</v>
      </c>
      <c r="AU21" s="181">
        <f>INDEX('Unique Asset List'!O$4:O$60,MATCH($B21,_CompoundList,0))</f>
        <v>0</v>
      </c>
      <c r="AV21" s="181">
        <f>INDEX('Unique Asset List'!P$4:P$60,MATCH($B21,_CompoundList,0))</f>
        <v>0</v>
      </c>
      <c r="AW21" s="181">
        <f>INDEX('Unique Asset List'!Q$4:Q$60,MATCH($B21,_CompoundList,0))</f>
        <v>0</v>
      </c>
      <c r="AX21" s="181">
        <f ca="1">INDEX('Unique Asset List'!R$4:R$60,MATCH($B21,_CompoundList,0))</f>
        <v>1</v>
      </c>
      <c r="AY21" s="181">
        <f ca="1">INDEX('Unique Asset List'!S$4:S$60,MATCH($B21,_CompoundList,0))</f>
        <v>1</v>
      </c>
      <c r="AZ21" s="181">
        <f ca="1">INDEX('Unique Asset List'!T$4:T$60,MATCH($B21,_CompoundList,0))</f>
        <v>1</v>
      </c>
      <c r="BA21" s="181">
        <f ca="1">INDEX('Unique Asset List'!U$4:U$60,MATCH($B21,_CompoundList,0))</f>
        <v>0</v>
      </c>
      <c r="BB21" s="181">
        <f ca="1">INDEX('Unique Asset List'!V$4:V$60,MATCH($B21,_CompoundList,0))</f>
        <v>1</v>
      </c>
      <c r="BC21" s="181">
        <f ca="1">INDEX('Unique Asset List'!W$4:W$60,MATCH($B21,_CompoundList,0))</f>
        <v>0</v>
      </c>
      <c r="BD21" s="4">
        <f>IF($C$5="ON",CD21,MyRating(_E1,$B21,Efficacy!$F$1))</f>
        <v>4</v>
      </c>
      <c r="BE21" s="3">
        <f>IF($C$5="ON",CE21,MyRating(_E2,$B21,Efficacy!$F$1))</f>
        <v>3</v>
      </c>
      <c r="BF21" s="3">
        <f>IF($C$5="ON",CF21,MyRating(_E3,$B21,Efficacy!$F$1))</f>
        <v>3</v>
      </c>
      <c r="BG21" s="3">
        <f>IF($C$5="ON",CG21,MyRating(_E4,$B21,Efficacy!$F$1))</f>
        <v>4</v>
      </c>
      <c r="BH21" s="3">
        <f>IF($C$5="ON",CH21,MyRating(_E5,$B21,Efficacy!$F$1))</f>
        <v>4</v>
      </c>
      <c r="BI21" s="3">
        <f>IF($C$5="ON",CI21,MyRating(_E6,$B21,Efficacy!$F$1))</f>
        <v>2</v>
      </c>
      <c r="BJ21" s="3">
        <f>IF($C$5="ON",CJ21,MyRating(_E7,$B21,Efficacy!$F$1))</f>
        <v>3</v>
      </c>
      <c r="BK21" s="3">
        <f>IF($C$5="ON",CK21,MyRating(_E8,$B21,Efficacy!$F$1))</f>
        <v>3</v>
      </c>
      <c r="BL21" s="3">
        <f>IF($C$5="ON",CL21,MyRating(_S1,$B21,Efficacy!$F$1))</f>
        <v>4</v>
      </c>
      <c r="BM21" s="3">
        <f>IF($C$5="ON",CM21,MyRating(_S2,$B21,Efficacy!$F$1))</f>
        <v>4</v>
      </c>
      <c r="BN21" s="3">
        <f>IF($C$5="ON",CN21,MyRating(_S3,$B21,Efficacy!$F$1))</f>
        <v>3</v>
      </c>
      <c r="BO21" s="3">
        <f>IF($C$5="ON",CO21,MyRating(_S4,$B21,Efficacy!$F$1))</f>
        <v>5</v>
      </c>
      <c r="BP21" s="3">
        <f>IF($C$5="ON",CP21,MyRating(_S5,$B21,Efficacy!$F$1))</f>
        <v>5</v>
      </c>
      <c r="BQ21" s="3">
        <f>IF($C$5="ON",CQ21,MyRating(_S6,$B21,Efficacy!$F$1))</f>
        <v>2</v>
      </c>
      <c r="BR21" s="3">
        <f>IF($C$5="ON",CR21,MyRating(_S7,$B21,Efficacy!$F$1))</f>
        <v>3</v>
      </c>
      <c r="BS21" s="3">
        <f>IF($C$5="ON",CS21,MyRating(_D1,$B21,Efficacy!$F$1))</f>
        <v>3</v>
      </c>
      <c r="BT21" s="3">
        <f>IF($C$5="ON",CT21,MyRating(_D2,$B21,Efficacy!$F$1))</f>
        <v>3</v>
      </c>
      <c r="BU21" s="3">
        <f>IF($C$5="ON",CU21,MyRating(_D3,$B21,Efficacy!$F$1))</f>
        <v>3</v>
      </c>
      <c r="BV21" s="3">
        <f>IF($C$5="ON",CV21,MyRating(_D4,$B21,Efficacy!$F$1))</f>
        <v>3</v>
      </c>
      <c r="BW21" s="3">
        <f>IF($C$5="ON",CW21,MyRating(_B1,$B21,Barrier!$F$2))</f>
        <v>3</v>
      </c>
      <c r="BX21" s="3">
        <f>IF($C$5="ON",CX21,MyRating(_B2,$B21,Barrier!$F$2))</f>
        <v>3</v>
      </c>
      <c r="BY21" s="6">
        <f>IF($C$5="ON",CY21,MyRating(_B3,$B21,Barrier!$F$2))</f>
        <v>3</v>
      </c>
      <c r="BZ21" s="5">
        <f t="shared" si="7"/>
        <v>2.833849230535369E-2</v>
      </c>
      <c r="CA21" s="8">
        <f t="shared" si="4"/>
        <v>2.4000000000000004</v>
      </c>
      <c r="CB21" s="5">
        <f t="shared" si="8"/>
        <v>2.8301886792452827E-2</v>
      </c>
      <c r="CC21" s="7">
        <f t="shared" si="5"/>
        <v>3.8137644231022581E-6</v>
      </c>
      <c r="CD21" s="4">
        <v>4</v>
      </c>
      <c r="CE21" s="3">
        <v>3</v>
      </c>
      <c r="CF21" s="3">
        <v>3</v>
      </c>
      <c r="CG21" s="3">
        <v>4</v>
      </c>
      <c r="CH21" s="3">
        <v>4</v>
      </c>
      <c r="CI21" s="3">
        <v>2</v>
      </c>
      <c r="CJ21" s="3">
        <v>3</v>
      </c>
      <c r="CK21" s="3">
        <v>3</v>
      </c>
      <c r="CL21" s="3">
        <v>4</v>
      </c>
      <c r="CM21" s="3">
        <v>4</v>
      </c>
      <c r="CN21" s="3">
        <v>3</v>
      </c>
      <c r="CO21" s="3">
        <v>5</v>
      </c>
      <c r="CP21" s="3">
        <v>5</v>
      </c>
      <c r="CQ21" s="3">
        <v>2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3</v>
      </c>
      <c r="CY21" s="6">
        <v>3</v>
      </c>
      <c r="CZ21" s="5"/>
      <c r="DA21" s="4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</row>
    <row r="22" spans="1:126" x14ac:dyDescent="0.25">
      <c r="A22" s="9" t="s">
        <v>5</v>
      </c>
      <c r="B22" s="9" t="s">
        <v>77</v>
      </c>
      <c r="C22" s="20"/>
      <c r="D22" s="9" t="s">
        <v>76</v>
      </c>
      <c r="E22" s="9"/>
      <c r="F22" s="9" t="str">
        <f>INDEX('Unique Asset List'!$C$4:$C$60,MATCH(B22,_CompoundList,0))</f>
        <v>Ph2a</v>
      </c>
      <c r="G22" s="19">
        <v>0</v>
      </c>
      <c r="H22" s="9">
        <v>2018</v>
      </c>
      <c r="I22" s="9">
        <v>1</v>
      </c>
      <c r="J22" s="18">
        <f>INDEX(PTRS!$D$6:$D$12,MATCH('1'!$F22,PTRS!$B$6:$B$12,0))</f>
        <v>0.1638</v>
      </c>
      <c r="K22" s="17">
        <f>INDEX('Unique Asset List'!$D$4:$M$60,MATCH($B22,'Unique Asset List'!$A$4:$A$60,0),MATCH(K$8,'Unique Asset List'!$D$3:$M$3,0))</f>
        <v>0</v>
      </c>
      <c r="L22" s="17">
        <f>INDEX('Unique Asset List'!$D$4:$M$60,MATCH($B22,'Unique Asset List'!$A$4:$A$60,0),MATCH(L$8,'Unique Asset List'!$D$3:$M$3,0))</f>
        <v>0</v>
      </c>
      <c r="M22" s="18">
        <f>J22/3</f>
        <v>5.4600000000000003E-2</v>
      </c>
      <c r="N22" s="17">
        <f>INDEX('Unique Asset List'!$D$4:$M$60,MATCH($B22,'Unique Asset List'!$A$4:$A$60,0),MATCH(N$8,'Unique Asset List'!$D$3:$M$3,0))</f>
        <v>0.1638</v>
      </c>
      <c r="O22" s="17">
        <f>INDEX('Unique Asset List'!$D$4:$M$60,MATCH($B22,'Unique Asset List'!$A$4:$A$60,0),MATCH(O$8,'Unique Asset List'!$D$3:$M$3,0))</f>
        <v>0.1638</v>
      </c>
      <c r="P22" s="17">
        <f>INDEX('Unique Asset List'!$D$4:$M$60,MATCH($B22,'Unique Asset List'!$A$4:$A$60,0),MATCH(P$8,'Unique Asset List'!$D$3:$M$3,0))</f>
        <v>0.1638</v>
      </c>
      <c r="Q22" s="17">
        <f>INDEX('Unique Asset List'!$D$4:$M$60,MATCH($B22,'Unique Asset List'!$A$4:$A$60,0),MATCH(Q$8,'Unique Asset List'!$D$3:$M$3,0))</f>
        <v>0.1638</v>
      </c>
      <c r="R22" s="17">
        <f>INDEX('Unique Asset List'!$D$4:$M$60,MATCH($B22,'Unique Asset List'!$A$4:$A$60,0),MATCH(R$8,'Unique Asset List'!$D$3:$M$3,0))</f>
        <v>0.1638</v>
      </c>
      <c r="S22" s="17">
        <f>INDEX('Unique Asset List'!$D$4:$M$60,MATCH($B22,'Unique Asset List'!$A$4:$A$60,0),MATCH(S$8,'Unique Asset List'!$D$3:$M$3,0))</f>
        <v>1</v>
      </c>
      <c r="T22" s="17"/>
      <c r="U22" s="17">
        <f t="shared" si="1"/>
        <v>0.58302373629991611</v>
      </c>
      <c r="V22" s="17">
        <v>1</v>
      </c>
      <c r="W22" s="9" t="s">
        <v>62</v>
      </c>
      <c r="X22" s="9">
        <f>INDEX('Unique Asset List'!$Y$4:$AE$60,MATCH('1'!$B22,'Unique Asset List'!$A$4:$A$60,0),MATCH('1'!$C$1,'Unique Asset List'!$Y$3:$AE$3,0))</f>
        <v>2023</v>
      </c>
      <c r="Y22" s="9">
        <f>INDEX('Unique Asset List'!$AF$4:$AL$60,MATCH('1'!$B22,'Unique Asset List'!$A$4:$A$60,0),MATCH('1'!$C$1,'Unique Asset List'!$AF$3:$AL$3,0))</f>
        <v>10</v>
      </c>
      <c r="Z22" s="9">
        <f>INDEX('Unique Asset List'!$AT$4:$AZ$60,MATCH('1'!$B22,'Unique Asset List'!$A$4:$A$60,0),MATCH('1'!$C$1,'Unique Asset List'!$AT$3:$AZ$3,0))</f>
        <v>2033</v>
      </c>
      <c r="AA22" s="9">
        <f>INDEX('Unique Asset List'!$BA$4:$BG$60,MATCH('1'!$B22,'Unique Asset List'!$A$4:$A$60,0),MATCH('1'!$C$1,'Unique Asset List'!$BA$3:$BG$3,0))</f>
        <v>7</v>
      </c>
      <c r="AB22" s="16">
        <f t="shared" si="6"/>
        <v>1.5554762</v>
      </c>
      <c r="AC22" s="16">
        <f t="shared" si="2"/>
        <v>0.88497580000000009</v>
      </c>
      <c r="AD22" s="16">
        <f t="shared" si="3"/>
        <v>0.56099999999999994</v>
      </c>
      <c r="AE22" s="15">
        <f>INDEX('Unique Asset List'!$CJ$4:$CP$60,MATCH('1'!$B22,'Unique Asset List'!$A$4:$A$60,0),MATCH('1'!$C$1,'Unique Asset List'!$CJ$3:$CP$3,0))</f>
        <v>0.22</v>
      </c>
      <c r="AF22" s="15">
        <f>INDEX('Unique Asset List'!$CQ$4:$CW$60,MATCH('1'!$B22,'Unique Asset List'!$A$4:$A$60,0),MATCH('1'!$C$1,'Unique Asset List'!$CQ$3:$CW$3,0))</f>
        <v>0.28000000000000003</v>
      </c>
      <c r="AG22" s="15">
        <f>INDEX('Unique Asset List'!$BV$4:$CB$60,MATCH('1'!$B22,'Unique Asset List'!$A$4:$A$60,0),MATCH('1'!$C$1,'Unique Asset List'!$BV$3:$CB$3,0))</f>
        <v>0.22</v>
      </c>
      <c r="AH22" s="15">
        <f>INDEX('Unique Asset List'!$CC$4:$CI$60,MATCH('1'!$B22,'Unique Asset List'!$A$4:$A$60,0),MATCH('1'!$C$1,'Unique Asset List'!$CC$3:$CI$3,0))</f>
        <v>0.28000000000000003</v>
      </c>
      <c r="AI22" s="11">
        <v>0.97304949785176587</v>
      </c>
      <c r="AJ22" s="15">
        <f>INDEX('Unique Asset List'!$BH$4:$BN$60,MATCH('1'!$B22,'Unique Asset List'!$A$4:$A$60,0),MATCH('1'!$C$1,'Unique Asset List'!$BH$3:$BN$3,0))</f>
        <v>1.2267192541321688</v>
      </c>
      <c r="AK22" s="15">
        <f>INDEX('Unique Asset List'!$BO$4:$BU$60,MATCH('1'!$B22,'Unique Asset List'!$A$4:$A$60,0),MATCH('1'!$C$1,'Unique Asset List'!$BO$3:$BU$3,0))</f>
        <v>11.984388276878477</v>
      </c>
      <c r="AL22" s="150">
        <v>160</v>
      </c>
      <c r="AM22" s="14">
        <f>INDEX(Simulation!$B$6:$H$6,MATCH($A22,Simulation!$B$1:$H$1,0))*(1+AN22)^((DATE(X22,Y22,15)-DATE(2017,1,15))/365.5)</f>
        <v>18.915197540095335</v>
      </c>
      <c r="AN22" s="12">
        <v>3.5000000000000003E-2</v>
      </c>
      <c r="AO22" s="13">
        <v>60</v>
      </c>
      <c r="AP22" s="11">
        <v>0.6</v>
      </c>
      <c r="AQ22" s="12">
        <v>-0.02</v>
      </c>
      <c r="AR22" s="11">
        <v>0.5</v>
      </c>
      <c r="AS22" s="10">
        <v>1</v>
      </c>
      <c r="AT22" s="181">
        <f>INDEX('Unique Asset List'!N$4:N$60,MATCH($B22,_CompoundList,0))</f>
        <v>0</v>
      </c>
      <c r="AU22" s="181">
        <f>INDEX('Unique Asset List'!O$4:O$60,MATCH($B22,_CompoundList,0))</f>
        <v>0</v>
      </c>
      <c r="AV22" s="181">
        <f>INDEX('Unique Asset List'!P$4:P$60,MATCH($B22,_CompoundList,0))</f>
        <v>0</v>
      </c>
      <c r="AW22" s="181">
        <f>INDEX('Unique Asset List'!Q$4:Q$60,MATCH($B22,_CompoundList,0))</f>
        <v>0</v>
      </c>
      <c r="AX22" s="181">
        <f ca="1">INDEX('Unique Asset List'!R$4:R$60,MATCH($B22,_CompoundList,0))</f>
        <v>1</v>
      </c>
      <c r="AY22" s="181">
        <f ca="1">INDEX('Unique Asset List'!S$4:S$60,MATCH($B22,_CompoundList,0))</f>
        <v>0</v>
      </c>
      <c r="AZ22" s="181">
        <f ca="1">INDEX('Unique Asset List'!T$4:T$60,MATCH($B22,_CompoundList,0))</f>
        <v>1</v>
      </c>
      <c r="BA22" s="181">
        <f ca="1">INDEX('Unique Asset List'!U$4:U$60,MATCH($B22,_CompoundList,0))</f>
        <v>1</v>
      </c>
      <c r="BB22" s="181">
        <f ca="1">INDEX('Unique Asset List'!V$4:V$60,MATCH($B22,_CompoundList,0))</f>
        <v>0</v>
      </c>
      <c r="BC22" s="181">
        <f ca="1">INDEX('Unique Asset List'!W$4:W$60,MATCH($B22,_CompoundList,0))</f>
        <v>0</v>
      </c>
      <c r="BD22" s="4">
        <f>IF($C$5="ON",CD22,MyRating(_E1,$B22,Efficacy!$F$1))</f>
        <v>3</v>
      </c>
      <c r="BE22" s="3">
        <f>IF($C$5="ON",CE22,MyRating(_E2,$B22,Efficacy!$F$1))</f>
        <v>3</v>
      </c>
      <c r="BF22" s="3">
        <f>IF($C$5="ON",CF22,MyRating(_E3,$B22,Efficacy!$F$1))</f>
        <v>3</v>
      </c>
      <c r="BG22" s="3">
        <f>IF($C$5="ON",CG22,MyRating(_E4,$B22,Efficacy!$F$1))</f>
        <v>4</v>
      </c>
      <c r="BH22" s="3">
        <f>IF($C$5="ON",CH22,MyRating(_E5,$B22,Efficacy!$F$1))</f>
        <v>3</v>
      </c>
      <c r="BI22" s="3">
        <f>IF($C$5="ON",CI22,MyRating(_E6,$B22,Efficacy!$F$1))</f>
        <v>3</v>
      </c>
      <c r="BJ22" s="3">
        <f>IF($C$5="ON",CJ22,MyRating(_E7,$B22,Efficacy!$F$1))</f>
        <v>3</v>
      </c>
      <c r="BK22" s="3">
        <f>IF($C$5="ON",CK22,MyRating(_E8,$B22,Efficacy!$F$1))</f>
        <v>5</v>
      </c>
      <c r="BL22" s="3">
        <f>IF($C$5="ON",CL22,MyRating(_S1,$B22,Efficacy!$F$1))</f>
        <v>4</v>
      </c>
      <c r="BM22" s="3">
        <f>IF($C$5="ON",CM22,MyRating(_S2,$B22,Efficacy!$F$1))</f>
        <v>3</v>
      </c>
      <c r="BN22" s="3">
        <f>IF($C$5="ON",CN22,MyRating(_S3,$B22,Efficacy!$F$1))</f>
        <v>3</v>
      </c>
      <c r="BO22" s="3">
        <f>IF($C$5="ON",CO22,MyRating(_S4,$B22,Efficacy!$F$1))</f>
        <v>3</v>
      </c>
      <c r="BP22" s="3">
        <f>IF($C$5="ON",CP22,MyRating(_S5,$B22,Efficacy!$F$1))</f>
        <v>5</v>
      </c>
      <c r="BQ22" s="3">
        <f>IF($C$5="ON",CQ22,MyRating(_S6,$B22,Efficacy!$F$1))</f>
        <v>2</v>
      </c>
      <c r="BR22" s="3">
        <f>IF($C$5="ON",CR22,MyRating(_S7,$B22,Efficacy!$F$1))</f>
        <v>3</v>
      </c>
      <c r="BS22" s="3">
        <f>IF($C$5="ON",CS22,MyRating(_D1,$B22,Efficacy!$F$1))</f>
        <v>3</v>
      </c>
      <c r="BT22" s="3">
        <f>IF($C$5="ON",CT22,MyRating(_D2,$B22,Efficacy!$F$1))</f>
        <v>3</v>
      </c>
      <c r="BU22" s="3">
        <f>IF($C$5="ON",CU22,MyRating(_D3,$B22,Efficacy!$F$1))</f>
        <v>3</v>
      </c>
      <c r="BV22" s="3">
        <f>IF($C$5="ON",CV22,MyRating(_D4,$B22,Efficacy!$F$1))</f>
        <v>3</v>
      </c>
      <c r="BW22" s="3">
        <f>IF($C$5="ON",CW22,MyRating(_B1,$B22,Barrier!$F$2))</f>
        <v>3</v>
      </c>
      <c r="BX22" s="3">
        <f>IF($C$5="ON",CX22,MyRating(_B2,$B22,Barrier!$F$2))</f>
        <v>3</v>
      </c>
      <c r="BY22" s="6">
        <f>IF($C$5="ON",CY22,MyRating(_B3,$B22,Barrier!$F$2))</f>
        <v>3</v>
      </c>
      <c r="BZ22" s="5">
        <f t="shared" si="7"/>
        <v>2.833849230535369E-2</v>
      </c>
      <c r="CA22" s="8">
        <f t="shared" si="4"/>
        <v>2.4000000000000004</v>
      </c>
      <c r="CB22" s="5">
        <f t="shared" si="8"/>
        <v>2.8301886792452827E-2</v>
      </c>
      <c r="CC22" s="7">
        <f t="shared" si="5"/>
        <v>3.8137644231022581E-6</v>
      </c>
      <c r="CD22" s="4">
        <v>3</v>
      </c>
      <c r="CE22" s="3">
        <v>3</v>
      </c>
      <c r="CF22" s="3">
        <v>3</v>
      </c>
      <c r="CG22" s="3">
        <v>4</v>
      </c>
      <c r="CH22" s="3">
        <v>3</v>
      </c>
      <c r="CI22" s="3">
        <v>3</v>
      </c>
      <c r="CJ22" s="3">
        <v>3</v>
      </c>
      <c r="CK22" s="3">
        <v>5</v>
      </c>
      <c r="CL22" s="3">
        <v>4</v>
      </c>
      <c r="CM22" s="3">
        <v>3</v>
      </c>
      <c r="CN22" s="3">
        <v>3</v>
      </c>
      <c r="CO22" s="3">
        <v>3</v>
      </c>
      <c r="CP22" s="3">
        <v>5</v>
      </c>
      <c r="CQ22" s="3">
        <v>2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3</v>
      </c>
      <c r="CY22" s="6">
        <v>3</v>
      </c>
      <c r="CZ22" s="5"/>
      <c r="DA22" s="4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</row>
    <row r="23" spans="1:126" x14ac:dyDescent="0.25">
      <c r="A23" s="9" t="s">
        <v>5</v>
      </c>
      <c r="B23" s="9" t="s">
        <v>39</v>
      </c>
      <c r="C23" s="20"/>
      <c r="D23" s="9" t="s">
        <v>2</v>
      </c>
      <c r="E23" s="9"/>
      <c r="F23" s="9" t="str">
        <f>INDEX('Unique Asset List'!$C$4:$C$60,MATCH(B23,_CompoundList,0))</f>
        <v>Ph2b</v>
      </c>
      <c r="G23" s="19">
        <v>0</v>
      </c>
      <c r="H23" s="9">
        <v>2018</v>
      </c>
      <c r="I23" s="9">
        <v>1</v>
      </c>
      <c r="J23" s="18">
        <f>INDEX(PTRS!$D$6:$D$12,MATCH('1'!$F23,PTRS!$B$6:$B$12,0))</f>
        <v>0.40949999999999998</v>
      </c>
      <c r="K23" s="17">
        <f>INDEX('Unique Asset List'!$D$4:$M$60,MATCH($B23,'Unique Asset List'!$A$4:$A$60,0),MATCH(K$8,'Unique Asset List'!$D$3:$M$3,0))</f>
        <v>0</v>
      </c>
      <c r="L23" s="17">
        <f>INDEX('Unique Asset List'!$D$4:$M$60,MATCH($B23,'Unique Asset List'!$A$4:$A$60,0),MATCH(L$8,'Unique Asset List'!$D$3:$M$3,0))</f>
        <v>1</v>
      </c>
      <c r="M23" s="17">
        <v>0.4</v>
      </c>
      <c r="N23" s="17">
        <f>INDEX('Unique Asset List'!$D$4:$M$60,MATCH($B23,'Unique Asset List'!$A$4:$A$60,0),MATCH(N$8,'Unique Asset List'!$D$3:$M$3,0))</f>
        <v>0.4</v>
      </c>
      <c r="O23" s="17">
        <f>INDEX('Unique Asset List'!$D$4:$M$60,MATCH($B23,'Unique Asset List'!$A$4:$A$60,0),MATCH(O$8,'Unique Asset List'!$D$3:$M$3,0))</f>
        <v>0</v>
      </c>
      <c r="P23" s="17">
        <f>INDEX('Unique Asset List'!$D$4:$M$60,MATCH($B23,'Unique Asset List'!$A$4:$A$60,0),MATCH(P$8,'Unique Asset List'!$D$3:$M$3,0))</f>
        <v>1</v>
      </c>
      <c r="Q23" s="17">
        <f>INDEX('Unique Asset List'!$D$4:$M$60,MATCH($B23,'Unique Asset List'!$A$4:$A$60,0),MATCH(Q$8,'Unique Asset List'!$D$3:$M$3,0))</f>
        <v>0</v>
      </c>
      <c r="R23" s="17">
        <f>INDEX('Unique Asset List'!$D$4:$M$60,MATCH($B23,'Unique Asset List'!$A$4:$A$60,0),MATCH(R$8,'Unique Asset List'!$D$3:$M$3,0))</f>
        <v>1</v>
      </c>
      <c r="S23" s="17">
        <f>INDEX('Unique Asset List'!$D$4:$M$60,MATCH($B23,'Unique Asset List'!$A$4:$A$60,0),MATCH(S$8,'Unique Asset List'!$D$3:$M$3,0))</f>
        <v>0</v>
      </c>
      <c r="T23" s="17"/>
      <c r="U23" s="17">
        <f t="shared" si="1"/>
        <v>0.14104796660402638</v>
      </c>
      <c r="V23" s="17">
        <v>1</v>
      </c>
      <c r="W23" s="9" t="s">
        <v>38</v>
      </c>
      <c r="X23" s="9">
        <f>INDEX('Unique Asset List'!$Y$4:$AE$60,MATCH('1'!$B23,'Unique Asset List'!$A$4:$A$60,0),MATCH('1'!$C$1,'Unique Asset List'!$Y$3:$AE$3,0))</f>
        <v>2023</v>
      </c>
      <c r="Y23" s="9">
        <f>INDEX('Unique Asset List'!$AF$4:$AL$60,MATCH('1'!$B23,'Unique Asset List'!$A$4:$A$60,0),MATCH('1'!$C$1,'Unique Asset List'!$AF$3:$AL$3,0))</f>
        <v>7</v>
      </c>
      <c r="Z23" s="9">
        <f>INDEX('Unique Asset List'!$AT$4:$AZ$60,MATCH('1'!$B23,'Unique Asset List'!$A$4:$A$60,0),MATCH('1'!$C$1,'Unique Asset List'!$AT$3:$AZ$3,0))</f>
        <v>2035</v>
      </c>
      <c r="AA23" s="9">
        <f>INDEX('Unique Asset List'!$BA$4:$BG$60,MATCH('1'!$B23,'Unique Asset List'!$A$4:$A$60,0),MATCH('1'!$C$1,'Unique Asset List'!$BA$3:$BG$3,0))</f>
        <v>10</v>
      </c>
      <c r="AB23" s="16">
        <f t="shared" si="6"/>
        <v>1.8212189999999999</v>
      </c>
      <c r="AC23" s="16">
        <f t="shared" si="2"/>
        <v>0.95118959999999997</v>
      </c>
      <c r="AD23" s="16">
        <f t="shared" si="3"/>
        <v>0.56099999999999994</v>
      </c>
      <c r="AE23" s="15">
        <f>INDEX('Unique Asset List'!$CJ$4:$CP$60,MATCH('1'!$B23,'Unique Asset List'!$A$4:$A$60,0),MATCH('1'!$C$1,'Unique Asset List'!$CJ$3:$CP$3,0))</f>
        <v>0.15</v>
      </c>
      <c r="AF23" s="15">
        <f>INDEX('Unique Asset List'!$CQ$4:$CW$60,MATCH('1'!$B23,'Unique Asset List'!$A$4:$A$60,0),MATCH('1'!$C$1,'Unique Asset List'!$CQ$3:$CW$3,0))</f>
        <v>0.35</v>
      </c>
      <c r="AG23" s="15">
        <f>INDEX('Unique Asset List'!$BV$4:$CB$60,MATCH('1'!$B23,'Unique Asset List'!$A$4:$A$60,0),MATCH('1'!$C$1,'Unique Asset List'!$BV$3:$CB$3,0))</f>
        <v>0.15</v>
      </c>
      <c r="AH23" s="15">
        <f>INDEX('Unique Asset List'!$CC$4:$CI$60,MATCH('1'!$B23,'Unique Asset List'!$A$4:$A$60,0),MATCH('1'!$C$1,'Unique Asset List'!$CC$3:$CI$3,0))</f>
        <v>0.35</v>
      </c>
      <c r="AI23" s="11">
        <v>0.97304949785176587</v>
      </c>
      <c r="AJ23" s="15">
        <f>INDEX('Unique Asset List'!$BH$4:$BN$60,MATCH('1'!$B23,'Unique Asset List'!$A$4:$A$60,0),MATCH('1'!$C$1,'Unique Asset List'!$BH$3:$BN$3,0))</f>
        <v>1.2267192541321688</v>
      </c>
      <c r="AK23" s="15">
        <f>INDEX('Unique Asset List'!$BO$4:$BU$60,MATCH('1'!$B23,'Unique Asset List'!$A$4:$A$60,0),MATCH('1'!$C$1,'Unique Asset List'!$BO$3:$BU$3,0))</f>
        <v>11.984388276878477</v>
      </c>
      <c r="AL23" s="150">
        <v>160</v>
      </c>
      <c r="AM23" s="14">
        <f>INDEX(Simulation!$B$6:$H$6,MATCH($A23,Simulation!$B$1:$H$1,0))*(1+AN23)^((DATE(X23,Y23,15)-DATE(2017,1,15))/365.5)</f>
        <v>18.752114491731778</v>
      </c>
      <c r="AN23" s="12">
        <v>3.5000000000000003E-2</v>
      </c>
      <c r="AO23" s="13">
        <v>60</v>
      </c>
      <c r="AP23" s="11">
        <v>0.6</v>
      </c>
      <c r="AQ23" s="12">
        <v>-0.02</v>
      </c>
      <c r="AR23" s="11">
        <v>0.5</v>
      </c>
      <c r="AS23" s="10">
        <v>1</v>
      </c>
      <c r="AT23" s="181">
        <f>INDEX('Unique Asset List'!N$4:N$60,MATCH($B23,_CompoundList,0))</f>
        <v>0</v>
      </c>
      <c r="AU23" s="181">
        <f>INDEX('Unique Asset List'!O$4:O$60,MATCH($B23,_CompoundList,0))</f>
        <v>1</v>
      </c>
      <c r="AV23" s="181">
        <f>INDEX('Unique Asset List'!P$4:P$60,MATCH($B23,_CompoundList,0))</f>
        <v>0</v>
      </c>
      <c r="AW23" s="181">
        <f>INDEX('Unique Asset List'!Q$4:Q$60,MATCH($B23,_CompoundList,0))</f>
        <v>1</v>
      </c>
      <c r="AX23" s="181">
        <f ca="1">INDEX('Unique Asset List'!R$4:R$60,MATCH($B23,_CompoundList,0))</f>
        <v>0</v>
      </c>
      <c r="AY23" s="181">
        <f ca="1">INDEX('Unique Asset List'!S$4:S$60,MATCH($B23,_CompoundList,0))</f>
        <v>0</v>
      </c>
      <c r="AZ23" s="181">
        <f ca="1">INDEX('Unique Asset List'!T$4:T$60,MATCH($B23,_CompoundList,0))</f>
        <v>0</v>
      </c>
      <c r="BA23" s="181">
        <f ca="1">INDEX('Unique Asset List'!U$4:U$60,MATCH($B23,_CompoundList,0))</f>
        <v>1</v>
      </c>
      <c r="BB23" s="181">
        <f ca="1">INDEX('Unique Asset List'!V$4:V$60,MATCH($B23,_CompoundList,0))</f>
        <v>1</v>
      </c>
      <c r="BC23" s="181">
        <f ca="1">INDEX('Unique Asset List'!W$4:W$60,MATCH($B23,_CompoundList,0))</f>
        <v>0</v>
      </c>
      <c r="BD23" s="4">
        <f>IF($C$5="ON",CD23,MyRating(_E1,$B23,Efficacy!$F$1))</f>
        <v>4</v>
      </c>
      <c r="BE23" s="3">
        <f>IF($C$5="ON",CE23,MyRating(_E2,$B23,Efficacy!$F$1))</f>
        <v>4</v>
      </c>
      <c r="BF23" s="3">
        <f>IF($C$5="ON",CF23,MyRating(_E3,$B23,Efficacy!$F$1))</f>
        <v>4</v>
      </c>
      <c r="BG23" s="3">
        <f>IF($C$5="ON",CG23,MyRating(_E4,$B23,Efficacy!$F$1))</f>
        <v>4</v>
      </c>
      <c r="BH23" s="3">
        <f>IF($C$5="ON",CH23,MyRating(_E5,$B23,Efficacy!$F$1))</f>
        <v>5</v>
      </c>
      <c r="BI23" s="3">
        <f>IF($C$5="ON",CI23,MyRating(_E6,$B23,Efficacy!$F$1))</f>
        <v>3</v>
      </c>
      <c r="BJ23" s="3">
        <f>IF($C$5="ON",CJ23,MyRating(_E7,$B23,Efficacy!$F$1))</f>
        <v>3</v>
      </c>
      <c r="BK23" s="3">
        <f>IF($C$5="ON",CK23,MyRating(_E8,$B23,Efficacy!$F$1))</f>
        <v>3</v>
      </c>
      <c r="BL23" s="3">
        <f>IF($C$5="ON",CL23,MyRating(_S1,$B23,Efficacy!$F$1))</f>
        <v>4</v>
      </c>
      <c r="BM23" s="3">
        <f>IF($C$5="ON",CM23,MyRating(_S2,$B23,Efficacy!$F$1))</f>
        <v>4</v>
      </c>
      <c r="BN23" s="3">
        <f>IF($C$5="ON",CN23,MyRating(_S3,$B23,Efficacy!$F$1))</f>
        <v>4</v>
      </c>
      <c r="BO23" s="3">
        <f>IF($C$5="ON",CO23,MyRating(_S4,$B23,Efficacy!$F$1))</f>
        <v>3</v>
      </c>
      <c r="BP23" s="3">
        <f>IF($C$5="ON",CP23,MyRating(_S5,$B23,Efficacy!$F$1))</f>
        <v>5</v>
      </c>
      <c r="BQ23" s="3">
        <f>IF($C$5="ON",CQ23,MyRating(_S6,$B23,Efficacy!$F$1))</f>
        <v>4</v>
      </c>
      <c r="BR23" s="3">
        <f>IF($C$5="ON",CR23,MyRating(_S7,$B23,Efficacy!$F$1))</f>
        <v>2</v>
      </c>
      <c r="BS23" s="3">
        <f>IF($C$5="ON",CS23,MyRating(_D1,$B23,Efficacy!$F$1))</f>
        <v>3</v>
      </c>
      <c r="BT23" s="3">
        <f>IF($C$5="ON",CT23,MyRating(_D2,$B23,Efficacy!$F$1))</f>
        <v>3</v>
      </c>
      <c r="BU23" s="3">
        <f>IF($C$5="ON",CU23,MyRating(_D3,$B23,Efficacy!$F$1))</f>
        <v>3</v>
      </c>
      <c r="BV23" s="3">
        <f>IF($C$5="ON",CV23,MyRating(_D4,$B23,Efficacy!$F$1))</f>
        <v>3</v>
      </c>
      <c r="BW23" s="3">
        <f>IF($C$5="ON",CW23,MyRating(_B1,$B23,Barrier!$F$2))</f>
        <v>2</v>
      </c>
      <c r="BX23" s="3">
        <f>IF($C$5="ON",CX23,MyRating(_B2,$B23,Barrier!$F$2))</f>
        <v>2</v>
      </c>
      <c r="BY23" s="6">
        <f>IF($C$5="ON",CY23,MyRating(_B3,$B23,Barrier!$F$2))</f>
        <v>2</v>
      </c>
      <c r="BZ23" s="5">
        <f t="shared" si="7"/>
        <v>6.8557872817682757E-3</v>
      </c>
      <c r="CA23" s="8">
        <f t="shared" si="4"/>
        <v>1.6</v>
      </c>
      <c r="CB23" s="5">
        <f t="shared" si="8"/>
        <v>1.8867924528301883E-2</v>
      </c>
      <c r="CC23" s="7">
        <f t="shared" si="5"/>
        <v>9.2264462575608634E-7</v>
      </c>
      <c r="CD23" s="4">
        <v>4</v>
      </c>
      <c r="CE23" s="3">
        <v>4</v>
      </c>
      <c r="CF23" s="3">
        <v>4</v>
      </c>
      <c r="CG23" s="3">
        <v>4</v>
      </c>
      <c r="CH23" s="3">
        <v>5</v>
      </c>
      <c r="CI23" s="3">
        <v>3</v>
      </c>
      <c r="CJ23" s="3">
        <v>3</v>
      </c>
      <c r="CK23" s="3">
        <v>3</v>
      </c>
      <c r="CL23" s="3">
        <v>4</v>
      </c>
      <c r="CM23" s="3">
        <v>4</v>
      </c>
      <c r="CN23" s="3">
        <v>4</v>
      </c>
      <c r="CO23" s="3">
        <v>4</v>
      </c>
      <c r="CP23" s="3">
        <v>5</v>
      </c>
      <c r="CQ23" s="3">
        <v>4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3</v>
      </c>
      <c r="CX23" s="3">
        <v>3</v>
      </c>
      <c r="CY23" s="6">
        <v>3</v>
      </c>
      <c r="CZ23" s="5"/>
      <c r="DA23" s="4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</row>
    <row r="24" spans="1:126" x14ac:dyDescent="0.25">
      <c r="A24" s="9" t="s">
        <v>5</v>
      </c>
      <c r="B24" s="9" t="s">
        <v>75</v>
      </c>
      <c r="C24" s="20"/>
      <c r="D24" s="9" t="s">
        <v>74</v>
      </c>
      <c r="E24" s="9"/>
      <c r="F24" s="9" t="str">
        <f>INDEX('Unique Asset List'!$C$4:$C$60,MATCH(B24,_CompoundList,0))</f>
        <v>Ph2a</v>
      </c>
      <c r="G24" s="19">
        <v>0</v>
      </c>
      <c r="H24" s="9">
        <v>2018</v>
      </c>
      <c r="I24" s="9">
        <v>1</v>
      </c>
      <c r="J24" s="18">
        <f>INDEX(PTRS!$D$6:$D$12,MATCH('1'!$F24,PTRS!$B$6:$B$12,0))</f>
        <v>0.1638</v>
      </c>
      <c r="K24" s="17">
        <f>INDEX('Unique Asset List'!$D$4:$M$60,MATCH($B24,'Unique Asset List'!$A$4:$A$60,0),MATCH(K$8,'Unique Asset List'!$D$3:$M$3,0))</f>
        <v>0</v>
      </c>
      <c r="L24" s="17">
        <f>INDEX('Unique Asset List'!$D$4:$M$60,MATCH($B24,'Unique Asset List'!$A$4:$A$60,0),MATCH(L$8,'Unique Asset List'!$D$3:$M$3,0))</f>
        <v>0</v>
      </c>
      <c r="M24" s="17">
        <f>J24</f>
        <v>0.1638</v>
      </c>
      <c r="N24" s="17">
        <f>INDEX('Unique Asset List'!$D$4:$M$60,MATCH($B24,'Unique Asset List'!$A$4:$A$60,0),MATCH(N$8,'Unique Asset List'!$D$3:$M$3,0))</f>
        <v>0.1638</v>
      </c>
      <c r="O24" s="17">
        <f>INDEX('Unique Asset List'!$D$4:$M$60,MATCH($B24,'Unique Asset List'!$A$4:$A$60,0),MATCH(O$8,'Unique Asset List'!$D$3:$M$3,0))</f>
        <v>0.1638</v>
      </c>
      <c r="P24" s="17">
        <f>INDEX('Unique Asset List'!$D$4:$M$60,MATCH($B24,'Unique Asset List'!$A$4:$A$60,0),MATCH(P$8,'Unique Asset List'!$D$3:$M$3,0))</f>
        <v>0.1638</v>
      </c>
      <c r="Q24" s="17">
        <f>INDEX('Unique Asset List'!$D$4:$M$60,MATCH($B24,'Unique Asset List'!$A$4:$A$60,0),MATCH(Q$8,'Unique Asset List'!$D$3:$M$3,0))</f>
        <v>0.1638</v>
      </c>
      <c r="R24" s="17">
        <f>INDEX('Unique Asset List'!$D$4:$M$60,MATCH($B24,'Unique Asset List'!$A$4:$A$60,0),MATCH(R$8,'Unique Asset List'!$D$3:$M$3,0))</f>
        <v>0.1638</v>
      </c>
      <c r="S24" s="17">
        <f>INDEX('Unique Asset List'!$D$4:$M$60,MATCH($B24,'Unique Asset List'!$A$4:$A$60,0),MATCH(S$8,'Unique Asset List'!$D$3:$M$3,0))</f>
        <v>1</v>
      </c>
      <c r="T24" s="17"/>
      <c r="U24" s="17">
        <f t="shared" si="1"/>
        <v>0.58302373629991611</v>
      </c>
      <c r="V24" s="17">
        <v>1</v>
      </c>
      <c r="W24" s="9" t="s">
        <v>27</v>
      </c>
      <c r="X24" s="9">
        <f>INDEX('Unique Asset List'!$Y$4:$AE$60,MATCH('1'!$B24,'Unique Asset List'!$A$4:$A$60,0),MATCH('1'!$C$1,'Unique Asset List'!$Y$3:$AE$3,0))</f>
        <v>2023</v>
      </c>
      <c r="Y24" s="9">
        <f>INDEX('Unique Asset List'!$AF$4:$AL$60,MATCH('1'!$B24,'Unique Asset List'!$A$4:$A$60,0),MATCH('1'!$C$1,'Unique Asset List'!$AF$3:$AL$3,0))</f>
        <v>9</v>
      </c>
      <c r="Z24" s="9">
        <f>INDEX('Unique Asset List'!$AT$4:$AZ$60,MATCH('1'!$B24,'Unique Asset List'!$A$4:$A$60,0),MATCH('1'!$C$1,'Unique Asset List'!$AT$3:$AZ$3,0))</f>
        <v>2033</v>
      </c>
      <c r="AA24" s="9">
        <f>INDEX('Unique Asset List'!$BA$4:$BG$60,MATCH('1'!$B24,'Unique Asset List'!$A$4:$A$60,0),MATCH('1'!$C$1,'Unique Asset List'!$BA$3:$BG$3,0))</f>
        <v>9</v>
      </c>
      <c r="AB24" s="16">
        <f t="shared" si="6"/>
        <v>1.5917814000000001</v>
      </c>
      <c r="AC24" s="16">
        <f t="shared" si="2"/>
        <v>0.82350590000000001</v>
      </c>
      <c r="AD24" s="16">
        <f t="shared" si="3"/>
        <v>0.45111879999999999</v>
      </c>
      <c r="AE24" s="15">
        <f>INDEX('Unique Asset List'!$CJ$4:$CP$60,MATCH('1'!$B24,'Unique Asset List'!$A$4:$A$60,0),MATCH('1'!$C$1,'Unique Asset List'!$CJ$3:$CP$3,0))</f>
        <v>0.15</v>
      </c>
      <c r="AF24" s="15">
        <f>INDEX('Unique Asset List'!$CQ$4:$CW$60,MATCH('1'!$B24,'Unique Asset List'!$A$4:$A$60,0),MATCH('1'!$C$1,'Unique Asset List'!$CQ$3:$CW$3,0))</f>
        <v>0.35</v>
      </c>
      <c r="AG24" s="15">
        <f>INDEX('Unique Asset List'!$BV$4:$CB$60,MATCH('1'!$B24,'Unique Asset List'!$A$4:$A$60,0),MATCH('1'!$C$1,'Unique Asset List'!$BV$3:$CB$3,0))</f>
        <v>0.15</v>
      </c>
      <c r="AH24" s="15">
        <f>INDEX('Unique Asset List'!$CC$4:$CI$60,MATCH('1'!$B24,'Unique Asset List'!$A$4:$A$60,0),MATCH('1'!$C$1,'Unique Asset List'!$CC$3:$CI$3,0))</f>
        <v>0.35</v>
      </c>
      <c r="AI24" s="11">
        <v>0.97304949785176587</v>
      </c>
      <c r="AJ24" s="15">
        <f>INDEX('Unique Asset List'!$BH$4:$BN$60,MATCH('1'!$B24,'Unique Asset List'!$A$4:$A$60,0),MATCH('1'!$C$1,'Unique Asset List'!$BH$3:$BN$3,0))</f>
        <v>1.2267192541321688</v>
      </c>
      <c r="AK24" s="15">
        <f>INDEX('Unique Asset List'!$BO$4:$BU$60,MATCH('1'!$B24,'Unique Asset List'!$A$4:$A$60,0),MATCH('1'!$C$1,'Unique Asset List'!$BO$3:$BU$3,0))</f>
        <v>11.984388276878477</v>
      </c>
      <c r="AL24" s="150">
        <v>160</v>
      </c>
      <c r="AM24" s="14">
        <f>INDEX(Simulation!$B$6:$H$6,MATCH($A24,Simulation!$B$1:$H$1,0))*(1+AN24)^((DATE(X24,Y24,15)-DATE(2017,1,15))/365.5)</f>
        <v>18.861863042785817</v>
      </c>
      <c r="AN24" s="12">
        <v>3.5000000000000003E-2</v>
      </c>
      <c r="AO24" s="13">
        <v>60</v>
      </c>
      <c r="AP24" s="11">
        <v>0.6</v>
      </c>
      <c r="AQ24" s="12">
        <v>-0.02</v>
      </c>
      <c r="AR24" s="11">
        <v>0.5</v>
      </c>
      <c r="AS24" s="10">
        <v>1</v>
      </c>
      <c r="AT24" s="181">
        <f>INDEX('Unique Asset List'!N$4:N$60,MATCH($B24,_CompoundList,0))</f>
        <v>0</v>
      </c>
      <c r="AU24" s="181">
        <f>INDEX('Unique Asset List'!O$4:O$60,MATCH($B24,_CompoundList,0))</f>
        <v>0</v>
      </c>
      <c r="AV24" s="181">
        <f>INDEX('Unique Asset List'!P$4:P$60,MATCH($B24,_CompoundList,0))</f>
        <v>0</v>
      </c>
      <c r="AW24" s="181">
        <f>INDEX('Unique Asset List'!Q$4:Q$60,MATCH($B24,_CompoundList,0))</f>
        <v>0</v>
      </c>
      <c r="AX24" s="181">
        <f ca="1">INDEX('Unique Asset List'!R$4:R$60,MATCH($B24,_CompoundList,0))</f>
        <v>0</v>
      </c>
      <c r="AY24" s="181">
        <f ca="1">INDEX('Unique Asset List'!S$4:S$60,MATCH($B24,_CompoundList,0))</f>
        <v>0</v>
      </c>
      <c r="AZ24" s="181">
        <f ca="1">INDEX('Unique Asset List'!T$4:T$60,MATCH($B24,_CompoundList,0))</f>
        <v>0</v>
      </c>
      <c r="BA24" s="181">
        <f ca="1">INDEX('Unique Asset List'!U$4:U$60,MATCH($B24,_CompoundList,0))</f>
        <v>1</v>
      </c>
      <c r="BB24" s="181">
        <f ca="1">INDEX('Unique Asset List'!V$4:V$60,MATCH($B24,_CompoundList,0))</f>
        <v>0</v>
      </c>
      <c r="BC24" s="181">
        <f ca="1">INDEX('Unique Asset List'!W$4:W$60,MATCH($B24,_CompoundList,0))</f>
        <v>1</v>
      </c>
      <c r="BD24" s="4">
        <f>IF($C$5="ON",CD24,MyRating(_E1,$B24,Efficacy!$F$1))</f>
        <v>4</v>
      </c>
      <c r="BE24" s="3">
        <f>IF($C$5="ON",CE24,MyRating(_E2,$B24,Efficacy!$F$1))</f>
        <v>3</v>
      </c>
      <c r="BF24" s="3">
        <f>IF($C$5="ON",CF24,MyRating(_E3,$B24,Efficacy!$F$1))</f>
        <v>4</v>
      </c>
      <c r="BG24" s="3">
        <f>IF($C$5="ON",CG24,MyRating(_E4,$B24,Efficacy!$F$1))</f>
        <v>3</v>
      </c>
      <c r="BH24" s="3">
        <f>IF($C$5="ON",CH24,MyRating(_E5,$B24,Efficacy!$F$1))</f>
        <v>3</v>
      </c>
      <c r="BI24" s="3">
        <f>IF($C$5="ON",CI24,MyRating(_E6,$B24,Efficacy!$F$1))</f>
        <v>2</v>
      </c>
      <c r="BJ24" s="3">
        <f>IF($C$5="ON",CJ24,MyRating(_E7,$B24,Efficacy!$F$1))</f>
        <v>3</v>
      </c>
      <c r="BK24" s="3">
        <f>IF($C$5="ON",CK24,MyRating(_E8,$B24,Efficacy!$F$1))</f>
        <v>5</v>
      </c>
      <c r="BL24" s="3">
        <f>IF($C$5="ON",CL24,MyRating(_S1,$B24,Efficacy!$F$1))</f>
        <v>3</v>
      </c>
      <c r="BM24" s="3">
        <f>IF($C$5="ON",CM24,MyRating(_S2,$B24,Efficacy!$F$1))</f>
        <v>3</v>
      </c>
      <c r="BN24" s="3">
        <f>IF($C$5="ON",CN24,MyRating(_S3,$B24,Efficacy!$F$1))</f>
        <v>3</v>
      </c>
      <c r="BO24" s="3">
        <f>IF($C$5="ON",CO24,MyRating(_S4,$B24,Efficacy!$F$1))</f>
        <v>3</v>
      </c>
      <c r="BP24" s="3">
        <f>IF($C$5="ON",CP24,MyRating(_S5,$B24,Efficacy!$F$1))</f>
        <v>5</v>
      </c>
      <c r="BQ24" s="3">
        <f>IF($C$5="ON",CQ24,MyRating(_S6,$B24,Efficacy!$F$1))</f>
        <v>2</v>
      </c>
      <c r="BR24" s="3">
        <f>IF($C$5="ON",CR24,MyRating(_S7,$B24,Efficacy!$F$1))</f>
        <v>3</v>
      </c>
      <c r="BS24" s="3">
        <f>IF($C$5="ON",CS24,MyRating(_D1,$B24,Efficacy!$F$1))</f>
        <v>3</v>
      </c>
      <c r="BT24" s="3">
        <f>IF($C$5="ON",CT24,MyRating(_D2,$B24,Efficacy!$F$1))</f>
        <v>3</v>
      </c>
      <c r="BU24" s="3">
        <f>IF($C$5="ON",CU24,MyRating(_D3,$B24,Efficacy!$F$1))</f>
        <v>3</v>
      </c>
      <c r="BV24" s="3">
        <f>IF($C$5="ON",CV24,MyRating(_D4,$B24,Efficacy!$F$1))</f>
        <v>1</v>
      </c>
      <c r="BW24" s="3">
        <f>IF($C$5="ON",CW24,MyRating(_B1,$B24,Barrier!$F$2))</f>
        <v>3</v>
      </c>
      <c r="BX24" s="3">
        <f>IF($C$5="ON",CX24,MyRating(_B2,$B24,Barrier!$F$2))</f>
        <v>3</v>
      </c>
      <c r="BY24" s="6">
        <f>IF($C$5="ON",CY24,MyRating(_B3,$B24,Barrier!$F$2))</f>
        <v>3</v>
      </c>
      <c r="BZ24" s="5">
        <f t="shared" si="7"/>
        <v>2.833849230535369E-2</v>
      </c>
      <c r="CA24" s="8">
        <f t="shared" si="4"/>
        <v>2.4000000000000004</v>
      </c>
      <c r="CB24" s="5">
        <f t="shared" si="8"/>
        <v>2.8301886792452827E-2</v>
      </c>
      <c r="CC24" s="7">
        <f t="shared" si="5"/>
        <v>3.8137644231022581E-6</v>
      </c>
      <c r="CD24" s="4">
        <v>4</v>
      </c>
      <c r="CE24" s="3">
        <v>3</v>
      </c>
      <c r="CF24" s="3">
        <v>4</v>
      </c>
      <c r="CG24" s="3">
        <v>3</v>
      </c>
      <c r="CH24" s="3">
        <v>3</v>
      </c>
      <c r="CI24" s="3">
        <v>2</v>
      </c>
      <c r="CJ24" s="3">
        <v>3</v>
      </c>
      <c r="CK24" s="3">
        <v>5</v>
      </c>
      <c r="CL24" s="3">
        <v>3</v>
      </c>
      <c r="CM24" s="3">
        <v>3</v>
      </c>
      <c r="CN24" s="3">
        <v>3</v>
      </c>
      <c r="CO24" s="3">
        <v>3</v>
      </c>
      <c r="CP24" s="3">
        <v>5</v>
      </c>
      <c r="CQ24" s="3">
        <v>2</v>
      </c>
      <c r="CR24" s="3">
        <v>3</v>
      </c>
      <c r="CS24" s="3">
        <v>3</v>
      </c>
      <c r="CT24" s="3">
        <v>3</v>
      </c>
      <c r="CU24" s="3">
        <v>3</v>
      </c>
      <c r="CV24" s="3">
        <v>1</v>
      </c>
      <c r="CW24" s="3">
        <v>3</v>
      </c>
      <c r="CX24" s="3">
        <v>3</v>
      </c>
      <c r="CY24" s="6">
        <v>3</v>
      </c>
      <c r="CZ24" s="5"/>
      <c r="DA24" s="4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</row>
    <row r="25" spans="1:126" x14ac:dyDescent="0.25">
      <c r="A25" s="9" t="s">
        <v>5</v>
      </c>
      <c r="B25" s="9" t="s">
        <v>73</v>
      </c>
      <c r="C25" s="20" t="s">
        <v>3</v>
      </c>
      <c r="D25" s="9" t="s">
        <v>72</v>
      </c>
      <c r="E25" s="9"/>
      <c r="F25" s="9" t="str">
        <f>INDEX('Unique Asset List'!$C$4:$C$60,MATCH(B25,_CompoundList,0))</f>
        <v>Ph1</v>
      </c>
      <c r="G25" s="19">
        <v>0</v>
      </c>
      <c r="H25" s="9">
        <v>2018</v>
      </c>
      <c r="I25" s="9">
        <v>1</v>
      </c>
      <c r="J25" s="18">
        <f>INDEX(PTRS!$D$6:$D$12,MATCH('1'!$F25,PTRS!$B$6:$B$12,0))</f>
        <v>0.13923000000000002</v>
      </c>
      <c r="K25" s="17">
        <f>INDEX('Unique Asset List'!$D$4:$M$60,MATCH($B25,'Unique Asset List'!$A$4:$A$60,0),MATCH(K$8,'Unique Asset List'!$D$3:$M$3,0))</f>
        <v>0</v>
      </c>
      <c r="L25" s="17">
        <f>INDEX('Unique Asset List'!$D$4:$M$60,MATCH($B25,'Unique Asset List'!$A$4:$A$60,0),MATCH(L$8,'Unique Asset List'!$D$3:$M$3,0))</f>
        <v>0</v>
      </c>
      <c r="M25" s="18">
        <f>J25/3</f>
        <v>4.6410000000000007E-2</v>
      </c>
      <c r="N25" s="17">
        <f>INDEX('Unique Asset List'!$D$4:$M$60,MATCH($B25,'Unique Asset List'!$A$4:$A$60,0),MATCH(N$8,'Unique Asset List'!$D$3:$M$3,0))</f>
        <v>0.13923000000000002</v>
      </c>
      <c r="O25" s="17">
        <f>INDEX('Unique Asset List'!$D$4:$M$60,MATCH($B25,'Unique Asset List'!$A$4:$A$60,0),MATCH(O$8,'Unique Asset List'!$D$3:$M$3,0))</f>
        <v>0.13923000000000002</v>
      </c>
      <c r="P25" s="17">
        <f>INDEX('Unique Asset List'!$D$4:$M$60,MATCH($B25,'Unique Asset List'!$A$4:$A$60,0),MATCH(P$8,'Unique Asset List'!$D$3:$M$3,0))</f>
        <v>0.13923000000000002</v>
      </c>
      <c r="Q25" s="17">
        <f>INDEX('Unique Asset List'!$D$4:$M$60,MATCH($B25,'Unique Asset List'!$A$4:$A$60,0),MATCH(Q$8,'Unique Asset List'!$D$3:$M$3,0))</f>
        <v>0.13923000000000002</v>
      </c>
      <c r="R25" s="17">
        <f>INDEX('Unique Asset List'!$D$4:$M$60,MATCH($B25,'Unique Asset List'!$A$4:$A$60,0),MATCH(R$8,'Unique Asset List'!$D$3:$M$3,0))</f>
        <v>0.13923000000000002</v>
      </c>
      <c r="S25" s="17">
        <f>INDEX('Unique Asset List'!$D$4:$M$60,MATCH($B25,'Unique Asset List'!$A$4:$A$60,0),MATCH(S$8,'Unique Asset List'!$D$3:$M$3,0))</f>
        <v>0</v>
      </c>
      <c r="T25" s="17"/>
      <c r="U25" s="17">
        <f t="shared" si="1"/>
        <v>0</v>
      </c>
      <c r="V25" s="17">
        <v>1</v>
      </c>
      <c r="W25" s="9" t="s">
        <v>27</v>
      </c>
      <c r="X25" s="9">
        <f>INDEX('Unique Asset List'!$Y$4:$AE$60,MATCH('1'!$B25,'Unique Asset List'!$A$4:$A$60,0),MATCH('1'!$C$1,'Unique Asset List'!$Y$3:$AE$3,0))</f>
        <v>2025</v>
      </c>
      <c r="Y25" s="9">
        <f>INDEX('Unique Asset List'!$AF$4:$AL$60,MATCH('1'!$B25,'Unique Asset List'!$A$4:$A$60,0),MATCH('1'!$C$1,'Unique Asset List'!$AF$3:$AL$3,0))</f>
        <v>7</v>
      </c>
      <c r="Z25" s="9">
        <f>INDEX('Unique Asset List'!$AT$4:$AZ$60,MATCH('1'!$B25,'Unique Asset List'!$A$4:$A$60,0),MATCH('1'!$C$1,'Unique Asset List'!$AT$3:$AZ$3,0))</f>
        <v>2034</v>
      </c>
      <c r="AA25" s="9">
        <f>INDEX('Unique Asset List'!$BA$4:$BG$60,MATCH('1'!$B25,'Unique Asset List'!$A$4:$A$60,0),MATCH('1'!$C$1,'Unique Asset List'!$BA$3:$BG$3,0))</f>
        <v>7</v>
      </c>
      <c r="AB25" s="16">
        <f t="shared" si="6"/>
        <v>1.5917814000000001</v>
      </c>
      <c r="AC25" s="16">
        <f t="shared" si="2"/>
        <v>0.76203600000000005</v>
      </c>
      <c r="AD25" s="16">
        <f t="shared" si="3"/>
        <v>0.45111879999999999</v>
      </c>
      <c r="AE25" s="15">
        <f>INDEX('Unique Asset List'!$CJ$4:$CP$60,MATCH('1'!$B25,'Unique Asset List'!$A$4:$A$60,0),MATCH('1'!$C$1,'Unique Asset List'!$CJ$3:$CP$3,0))</f>
        <v>0.15</v>
      </c>
      <c r="AF25" s="15">
        <f>INDEX('Unique Asset List'!$CQ$4:$CW$60,MATCH('1'!$B25,'Unique Asset List'!$A$4:$A$60,0),MATCH('1'!$C$1,'Unique Asset List'!$CQ$3:$CW$3,0))</f>
        <v>0.35</v>
      </c>
      <c r="AG25" s="15">
        <f>INDEX('Unique Asset List'!$BV$4:$CB$60,MATCH('1'!$B25,'Unique Asset List'!$A$4:$A$60,0),MATCH('1'!$C$1,'Unique Asset List'!$BV$3:$CB$3,0))</f>
        <v>0.15</v>
      </c>
      <c r="AH25" s="15">
        <f>INDEX('Unique Asset List'!$CC$4:$CI$60,MATCH('1'!$B25,'Unique Asset List'!$A$4:$A$60,0),MATCH('1'!$C$1,'Unique Asset List'!$CC$3:$CI$3,0))</f>
        <v>0.35</v>
      </c>
      <c r="AI25" s="11">
        <v>0.97304949785176587</v>
      </c>
      <c r="AJ25" s="15">
        <f>INDEX('Unique Asset List'!$BH$4:$BN$60,MATCH('1'!$B25,'Unique Asset List'!$A$4:$A$60,0),MATCH('1'!$C$1,'Unique Asset List'!$BH$3:$BN$3,0))</f>
        <v>1.2267192541321688</v>
      </c>
      <c r="AK25" s="15">
        <f>INDEX('Unique Asset List'!$BO$4:$BU$60,MATCH('1'!$B25,'Unique Asset List'!$A$4:$A$60,0),MATCH('1'!$C$1,'Unique Asset List'!$BO$3:$BU$3,0))</f>
        <v>11.984388276878477</v>
      </c>
      <c r="AL25" s="150">
        <v>160</v>
      </c>
      <c r="AM25" s="14">
        <f>INDEX(Simulation!$B$6:$H$6,MATCH($A25,Simulation!$B$1:$H$1,0))*(1+AN25)^((DATE(X25,Y25,15)-DATE(2017,1,15))/365.5)</f>
        <v>20.087733846405371</v>
      </c>
      <c r="AN25" s="12">
        <v>3.5000000000000003E-2</v>
      </c>
      <c r="AO25" s="13">
        <v>60</v>
      </c>
      <c r="AP25" s="11">
        <v>0.6</v>
      </c>
      <c r="AQ25" s="12">
        <v>-0.02</v>
      </c>
      <c r="AR25" s="11">
        <v>0.5</v>
      </c>
      <c r="AS25" s="10">
        <v>1</v>
      </c>
      <c r="AT25" s="181">
        <f>INDEX('Unique Asset List'!N$4:N$60,MATCH($B25,_CompoundList,0))</f>
        <v>0</v>
      </c>
      <c r="AU25" s="181">
        <f>INDEX('Unique Asset List'!O$4:O$60,MATCH($B25,_CompoundList,0))</f>
        <v>0</v>
      </c>
      <c r="AV25" s="181">
        <f>INDEX('Unique Asset List'!P$4:P$60,MATCH($B25,_CompoundList,0))</f>
        <v>0</v>
      </c>
      <c r="AW25" s="181">
        <f>INDEX('Unique Asset List'!Q$4:Q$60,MATCH($B25,_CompoundList,0))</f>
        <v>0</v>
      </c>
      <c r="AX25" s="181">
        <f ca="1">INDEX('Unique Asset List'!R$4:R$60,MATCH($B25,_CompoundList,0))</f>
        <v>0</v>
      </c>
      <c r="AY25" s="181">
        <f ca="1">INDEX('Unique Asset List'!S$4:S$60,MATCH($B25,_CompoundList,0))</f>
        <v>1</v>
      </c>
      <c r="AZ25" s="181">
        <f ca="1">INDEX('Unique Asset List'!T$4:T$60,MATCH($B25,_CompoundList,0))</f>
        <v>1</v>
      </c>
      <c r="BA25" s="181">
        <f ca="1">INDEX('Unique Asset List'!U$4:U$60,MATCH($B25,_CompoundList,0))</f>
        <v>1</v>
      </c>
      <c r="BB25" s="181">
        <f ca="1">INDEX('Unique Asset List'!V$4:V$60,MATCH($B25,_CompoundList,0))</f>
        <v>1</v>
      </c>
      <c r="BC25" s="181">
        <f ca="1">INDEX('Unique Asset List'!W$4:W$60,MATCH($B25,_CompoundList,0))</f>
        <v>1</v>
      </c>
      <c r="BD25" s="4">
        <f>IF($C$5="ON",CD25,MyRating(_E1,$B25,Efficacy!$F$1))</f>
        <v>4</v>
      </c>
      <c r="BE25" s="3">
        <f>IF($C$5="ON",CE25,MyRating(_E2,$B25,Efficacy!$F$1))</f>
        <v>3</v>
      </c>
      <c r="BF25" s="3">
        <f>IF($C$5="ON",CF25,MyRating(_E3,$B25,Efficacy!$F$1))</f>
        <v>4</v>
      </c>
      <c r="BG25" s="3">
        <f>IF($C$5="ON",CG25,MyRating(_E4,$B25,Efficacy!$F$1))</f>
        <v>3</v>
      </c>
      <c r="BH25" s="3">
        <f>IF($C$5="ON",CH25,MyRating(_E5,$B25,Efficacy!$F$1))</f>
        <v>3</v>
      </c>
      <c r="BI25" s="3">
        <f>IF($C$5="ON",CI25,MyRating(_E6,$B25,Efficacy!$F$1))</f>
        <v>2</v>
      </c>
      <c r="BJ25" s="3">
        <f>IF($C$5="ON",CJ25,MyRating(_E7,$B25,Efficacy!$F$1))</f>
        <v>3</v>
      </c>
      <c r="BK25" s="3">
        <f>IF($C$5="ON",CK25,MyRating(_E8,$B25,Efficacy!$F$1))</f>
        <v>5</v>
      </c>
      <c r="BL25" s="3">
        <f>IF($C$5="ON",CL25,MyRating(_S1,$B25,Efficacy!$F$1))</f>
        <v>2</v>
      </c>
      <c r="BM25" s="3">
        <f>IF($C$5="ON",CM25,MyRating(_S2,$B25,Efficacy!$F$1))</f>
        <v>3</v>
      </c>
      <c r="BN25" s="3">
        <f>IF($C$5="ON",CN25,MyRating(_S3,$B25,Efficacy!$F$1))</f>
        <v>3</v>
      </c>
      <c r="BO25" s="3">
        <f>IF($C$5="ON",CO25,MyRating(_S4,$B25,Efficacy!$F$1))</f>
        <v>3</v>
      </c>
      <c r="BP25" s="3">
        <f>IF($C$5="ON",CP25,MyRating(_S5,$B25,Efficacy!$F$1))</f>
        <v>5</v>
      </c>
      <c r="BQ25" s="3">
        <f>IF($C$5="ON",CQ25,MyRating(_S6,$B25,Efficacy!$F$1))</f>
        <v>2</v>
      </c>
      <c r="BR25" s="3">
        <f>IF($C$5="ON",CR25,MyRating(_S7,$B25,Efficacy!$F$1))</f>
        <v>3</v>
      </c>
      <c r="BS25" s="3">
        <f>IF($C$5="ON",CS25,MyRating(_D1,$B25,Efficacy!$F$1))</f>
        <v>3</v>
      </c>
      <c r="BT25" s="3">
        <f>IF($C$5="ON",CT25,MyRating(_D2,$B25,Efficacy!$F$1))</f>
        <v>3</v>
      </c>
      <c r="BU25" s="3">
        <f>IF($C$5="ON",CU25,MyRating(_D3,$B25,Efficacy!$F$1))</f>
        <v>3</v>
      </c>
      <c r="BV25" s="3">
        <f>IF($C$5="ON",CV25,MyRating(_D4,$B25,Efficacy!$F$1))</f>
        <v>1</v>
      </c>
      <c r="BW25" s="3">
        <f>IF($C$5="ON",CW25,MyRating(_B1,$B25,Barrier!$F$2))</f>
        <v>3</v>
      </c>
      <c r="BX25" s="3">
        <f>IF($C$5="ON",CX25,MyRating(_B2,$B25,Barrier!$F$2))</f>
        <v>3</v>
      </c>
      <c r="BY25" s="6">
        <f>IF($C$5="ON",CY25,MyRating(_B3,$B25,Barrier!$F$2))</f>
        <v>0</v>
      </c>
      <c r="BZ25" s="5">
        <f t="shared" si="7"/>
        <v>0</v>
      </c>
      <c r="CA25" s="8">
        <f t="shared" si="4"/>
        <v>1.8000000000000003</v>
      </c>
      <c r="CB25" s="5">
        <f t="shared" si="8"/>
        <v>2.1226415094339618E-2</v>
      </c>
      <c r="CC25" s="7">
        <f t="shared" si="5"/>
        <v>1.3933758689110633E-6</v>
      </c>
      <c r="CD25" s="4">
        <v>4</v>
      </c>
      <c r="CE25" s="3">
        <v>3</v>
      </c>
      <c r="CF25" s="3">
        <v>4</v>
      </c>
      <c r="CG25" s="3">
        <v>3</v>
      </c>
      <c r="CH25" s="3">
        <v>3</v>
      </c>
      <c r="CI25" s="3">
        <v>2</v>
      </c>
      <c r="CJ25" s="3">
        <v>3</v>
      </c>
      <c r="CK25" s="3">
        <v>5</v>
      </c>
      <c r="CL25" s="3">
        <v>2</v>
      </c>
      <c r="CM25" s="3">
        <v>3</v>
      </c>
      <c r="CN25" s="3">
        <v>3</v>
      </c>
      <c r="CO25" s="3">
        <v>3</v>
      </c>
      <c r="CP25" s="3">
        <v>5</v>
      </c>
      <c r="CQ25" s="3">
        <v>2</v>
      </c>
      <c r="CR25" s="3">
        <v>3</v>
      </c>
      <c r="CS25" s="3">
        <v>3</v>
      </c>
      <c r="CT25" s="3">
        <v>3</v>
      </c>
      <c r="CU25" s="3">
        <v>3</v>
      </c>
      <c r="CV25" s="3">
        <v>1</v>
      </c>
      <c r="CW25" s="3">
        <v>3</v>
      </c>
      <c r="CX25" s="3">
        <v>3</v>
      </c>
      <c r="CY25" s="6">
        <v>3</v>
      </c>
      <c r="CZ25" s="5"/>
      <c r="DA25" s="4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</row>
    <row r="26" spans="1:126" x14ac:dyDescent="0.25">
      <c r="A26" s="9" t="s">
        <v>5</v>
      </c>
      <c r="B26" s="9" t="s">
        <v>71</v>
      </c>
      <c r="C26" s="20" t="s">
        <v>3</v>
      </c>
      <c r="D26" s="9" t="s">
        <v>2</v>
      </c>
      <c r="E26" s="9"/>
      <c r="F26" s="9" t="str">
        <f>INDEX('Unique Asset List'!$C$4:$C$60,MATCH(B26,_CompoundList,0))</f>
        <v>Ph2a</v>
      </c>
      <c r="G26" s="19">
        <v>0</v>
      </c>
      <c r="H26" s="9">
        <v>2018</v>
      </c>
      <c r="I26" s="9">
        <v>1</v>
      </c>
      <c r="J26" s="18">
        <f>INDEX(PTRS!$D$6:$D$12,MATCH('1'!$F26,PTRS!$B$6:$B$12,0))</f>
        <v>0.1638</v>
      </c>
      <c r="K26" s="17">
        <f>INDEX('Unique Asset List'!$D$4:$M$60,MATCH($B26,'Unique Asset List'!$A$4:$A$60,0),MATCH(K$8,'Unique Asset List'!$D$3:$M$3,0))</f>
        <v>0</v>
      </c>
      <c r="L26" s="17">
        <f>INDEX('Unique Asset List'!$D$4:$M$60,MATCH($B26,'Unique Asset List'!$A$4:$A$60,0),MATCH(L$8,'Unique Asset List'!$D$3:$M$3,0))</f>
        <v>0</v>
      </c>
      <c r="M26" s="17">
        <v>0.16400000000000001</v>
      </c>
      <c r="N26" s="17">
        <f>INDEX('Unique Asset List'!$D$4:$M$60,MATCH($B26,'Unique Asset List'!$A$4:$A$60,0),MATCH(N$8,'Unique Asset List'!$D$3:$M$3,0))</f>
        <v>0.16400000000000001</v>
      </c>
      <c r="O26" s="17">
        <f>INDEX('Unique Asset List'!$D$4:$M$60,MATCH($B26,'Unique Asset List'!$A$4:$A$60,0),MATCH(O$8,'Unique Asset List'!$D$3:$M$3,0))</f>
        <v>0.1638</v>
      </c>
      <c r="P26" s="17">
        <f>INDEX('Unique Asset List'!$D$4:$M$60,MATCH($B26,'Unique Asset List'!$A$4:$A$60,0),MATCH(P$8,'Unique Asset List'!$D$3:$M$3,0))</f>
        <v>0.1638</v>
      </c>
      <c r="Q26" s="17">
        <f>INDEX('Unique Asset List'!$D$4:$M$60,MATCH($B26,'Unique Asset List'!$A$4:$A$60,0),MATCH(Q$8,'Unique Asset List'!$D$3:$M$3,0))</f>
        <v>0.1638</v>
      </c>
      <c r="R26" s="17">
        <f>INDEX('Unique Asset List'!$D$4:$M$60,MATCH($B26,'Unique Asset List'!$A$4:$A$60,0),MATCH(R$8,'Unique Asset List'!$D$3:$M$3,0))</f>
        <v>0.1638</v>
      </c>
      <c r="S26" s="17">
        <f>INDEX('Unique Asset List'!$D$4:$M$60,MATCH($B26,'Unique Asset List'!$A$4:$A$60,0),MATCH(S$8,'Unique Asset List'!$D$3:$M$3,0))</f>
        <v>0</v>
      </c>
      <c r="T26" s="17"/>
      <c r="U26" s="17">
        <f t="shared" si="1"/>
        <v>0</v>
      </c>
      <c r="V26" s="17">
        <v>0.05</v>
      </c>
      <c r="W26" s="9" t="s">
        <v>70</v>
      </c>
      <c r="X26" s="9">
        <f>INDEX('Unique Asset List'!$Y$4:$AE$60,MATCH('1'!$B26,'Unique Asset List'!$A$4:$A$60,0),MATCH('1'!$C$1,'Unique Asset List'!$Y$3:$AE$3,0))</f>
        <v>2025</v>
      </c>
      <c r="Y26" s="9">
        <f>INDEX('Unique Asset List'!$AF$4:$AL$60,MATCH('1'!$B26,'Unique Asset List'!$A$4:$A$60,0),MATCH('1'!$C$1,'Unique Asset List'!$AF$3:$AL$3,0))</f>
        <v>6</v>
      </c>
      <c r="Z26" s="9">
        <f>INDEX('Unique Asset List'!$AT$4:$AZ$60,MATCH('1'!$B26,'Unique Asset List'!$A$4:$A$60,0),MATCH('1'!$C$1,'Unique Asset List'!$AT$3:$AZ$3,0))</f>
        <v>2037</v>
      </c>
      <c r="AA26" s="9">
        <f>INDEX('Unique Asset List'!$BA$4:$BG$60,MATCH('1'!$B26,'Unique Asset List'!$A$4:$A$60,0),MATCH('1'!$C$1,'Unique Asset List'!$BA$3:$BG$3,0))</f>
        <v>5</v>
      </c>
      <c r="AB26" s="16">
        <f t="shared" si="6"/>
        <v>1.6957671000000003</v>
      </c>
      <c r="AC26" s="16">
        <f t="shared" si="2"/>
        <v>0.85759169999999996</v>
      </c>
      <c r="AD26" s="16">
        <f t="shared" si="3"/>
        <v>0.41402720413999994</v>
      </c>
      <c r="AE26" s="15">
        <f>INDEX('Unique Asset List'!$CJ$4:$CP$60,MATCH('1'!$B26,'Unique Asset List'!$A$4:$A$60,0),MATCH('1'!$C$1,'Unique Asset List'!$CJ$3:$CP$3,0))</f>
        <v>0.22</v>
      </c>
      <c r="AF26" s="15">
        <f>INDEX('Unique Asset List'!$CQ$4:$CW$60,MATCH('1'!$B26,'Unique Asset List'!$A$4:$A$60,0),MATCH('1'!$C$1,'Unique Asset List'!$CQ$3:$CW$3,0))</f>
        <v>0.28000000000000003</v>
      </c>
      <c r="AG26" s="15">
        <f>INDEX('Unique Asset List'!$BV$4:$CB$60,MATCH('1'!$B26,'Unique Asset List'!$A$4:$A$60,0),MATCH('1'!$C$1,'Unique Asset List'!$BV$3:$CB$3,0))</f>
        <v>0.22</v>
      </c>
      <c r="AH26" s="15">
        <f>INDEX('Unique Asset List'!$CC$4:$CI$60,MATCH('1'!$B26,'Unique Asset List'!$A$4:$A$60,0),MATCH('1'!$C$1,'Unique Asset List'!$CC$3:$CI$3,0))</f>
        <v>0.28000000000000003</v>
      </c>
      <c r="AI26" s="11">
        <v>0.97304949785176587</v>
      </c>
      <c r="AJ26" s="15">
        <f>INDEX('Unique Asset List'!$BH$4:$BN$60,MATCH('1'!$B26,'Unique Asset List'!$A$4:$A$60,0),MATCH('1'!$C$1,'Unique Asset List'!$BH$3:$BN$3,0))</f>
        <v>1.2267192541321688</v>
      </c>
      <c r="AK26" s="15">
        <f>INDEX('Unique Asset List'!$BO$4:$BU$60,MATCH('1'!$B26,'Unique Asset List'!$A$4:$A$60,0),MATCH('1'!$C$1,'Unique Asset List'!$BO$3:$BU$3,0))</f>
        <v>11.984388276878477</v>
      </c>
      <c r="AL26" s="150">
        <v>160</v>
      </c>
      <c r="AM26" s="14">
        <v>81.8</v>
      </c>
      <c r="AN26" s="12">
        <v>3.5000000000000003E-2</v>
      </c>
      <c r="AO26" s="13">
        <v>100</v>
      </c>
      <c r="AP26" s="11">
        <v>0.6</v>
      </c>
      <c r="AQ26" s="12">
        <v>-0.02</v>
      </c>
      <c r="AR26" s="11">
        <v>0.5</v>
      </c>
      <c r="AS26" s="10">
        <v>1</v>
      </c>
      <c r="AT26" s="181">
        <f>INDEX('Unique Asset List'!N$4:N$60,MATCH($B26,_CompoundList,0))</f>
        <v>0</v>
      </c>
      <c r="AU26" s="181">
        <f>INDEX('Unique Asset List'!O$4:O$60,MATCH($B26,_CompoundList,0))</f>
        <v>0</v>
      </c>
      <c r="AV26" s="181">
        <f>INDEX('Unique Asset List'!P$4:P$60,MATCH($B26,_CompoundList,0))</f>
        <v>0</v>
      </c>
      <c r="AW26" s="181">
        <f>INDEX('Unique Asset List'!Q$4:Q$60,MATCH($B26,_CompoundList,0))</f>
        <v>0</v>
      </c>
      <c r="AX26" s="181">
        <f ca="1">INDEX('Unique Asset List'!R$4:R$60,MATCH($B26,_CompoundList,0))</f>
        <v>0</v>
      </c>
      <c r="AY26" s="181">
        <f ca="1">INDEX('Unique Asset List'!S$4:S$60,MATCH($B26,_CompoundList,0))</f>
        <v>1</v>
      </c>
      <c r="AZ26" s="181">
        <f ca="1">INDEX('Unique Asset List'!T$4:T$60,MATCH($B26,_CompoundList,0))</f>
        <v>1</v>
      </c>
      <c r="BA26" s="181">
        <f ca="1">INDEX('Unique Asset List'!U$4:U$60,MATCH($B26,_CompoundList,0))</f>
        <v>0</v>
      </c>
      <c r="BB26" s="181">
        <f ca="1">INDEX('Unique Asset List'!V$4:V$60,MATCH($B26,_CompoundList,0))</f>
        <v>1</v>
      </c>
      <c r="BC26" s="181">
        <f ca="1">INDEX('Unique Asset List'!W$4:W$60,MATCH($B26,_CompoundList,0))</f>
        <v>0</v>
      </c>
      <c r="BD26" s="4">
        <f>IF($C$5="ON",CD26,MyRating(_E1,$B26,Efficacy!$F$1))</f>
        <v>5</v>
      </c>
      <c r="BE26" s="3">
        <f>IF($C$5="ON",CE26,MyRating(_E2,$B26,Efficacy!$F$1))</f>
        <v>4</v>
      </c>
      <c r="BF26" s="3">
        <f>IF($C$5="ON",CF26,MyRating(_E3,$B26,Efficacy!$F$1))</f>
        <v>4</v>
      </c>
      <c r="BG26" s="3">
        <f>IF($C$5="ON",CG26,MyRating(_E4,$B26,Efficacy!$F$1))</f>
        <v>3</v>
      </c>
      <c r="BH26" s="3">
        <f>IF($C$5="ON",CH26,MyRating(_E5,$B26,Efficacy!$F$1))</f>
        <v>3</v>
      </c>
      <c r="BI26" s="3">
        <f>IF($C$5="ON",CI26,MyRating(_E6,$B26,Efficacy!$F$1))</f>
        <v>2</v>
      </c>
      <c r="BJ26" s="3">
        <f>IF($C$5="ON",CJ26,MyRating(_E7,$B26,Efficacy!$F$1))</f>
        <v>3</v>
      </c>
      <c r="BK26" s="3">
        <f>IF($C$5="ON",CK26,MyRating(_E8,$B26,Efficacy!$F$1))</f>
        <v>2</v>
      </c>
      <c r="BL26" s="3">
        <f>IF($C$5="ON",CL26,MyRating(_S1,$B26,Efficacy!$F$1))</f>
        <v>1</v>
      </c>
      <c r="BM26" s="3">
        <f>IF($C$5="ON",CM26,MyRating(_S2,$B26,Efficacy!$F$1))</f>
        <v>4</v>
      </c>
      <c r="BN26" s="3">
        <f>IF($C$5="ON",CN26,MyRating(_S3,$B26,Efficacy!$F$1))</f>
        <v>4</v>
      </c>
      <c r="BO26" s="3">
        <f>IF($C$5="ON",CO26,MyRating(_S4,$B26,Efficacy!$F$1))</f>
        <v>5</v>
      </c>
      <c r="BP26" s="3">
        <f>IF($C$5="ON",CP26,MyRating(_S5,$B26,Efficacy!$F$1))</f>
        <v>5</v>
      </c>
      <c r="BQ26" s="3">
        <f>IF($C$5="ON",CQ26,MyRating(_S6,$B26,Efficacy!$F$1))</f>
        <v>2</v>
      </c>
      <c r="BR26" s="3">
        <f>IF($C$5="ON",CR26,MyRating(_S7,$B26,Efficacy!$F$1))</f>
        <v>4</v>
      </c>
      <c r="BS26" s="3">
        <f>IF($C$5="ON",CS26,MyRating(_D1,$B26,Efficacy!$F$1))</f>
        <v>2</v>
      </c>
      <c r="BT26" s="3">
        <f>IF($C$5="ON",CT26,MyRating(_D2,$B26,Efficacy!$F$1))</f>
        <v>3</v>
      </c>
      <c r="BU26" s="3">
        <f>IF($C$5="ON",CU26,MyRating(_D3,$B26,Efficacy!$F$1))</f>
        <v>2</v>
      </c>
      <c r="BV26" s="3">
        <f>IF($C$5="ON",CV26,MyRating(_D4,$B26,Efficacy!$F$1))</f>
        <v>2</v>
      </c>
      <c r="BW26" s="3">
        <f>IF($C$5="ON",CW26,MyRating(_B1,$B26,Barrier!$F$2))</f>
        <v>0</v>
      </c>
      <c r="BX26" s="3">
        <f>IF($C$5="ON",CX26,MyRating(_B2,$B26,Barrier!$F$2))</f>
        <v>0</v>
      </c>
      <c r="BY26" s="6">
        <f>IF($C$5="ON",CY26,MyRating(_B3,$B26,Barrier!$F$2))</f>
        <v>0</v>
      </c>
      <c r="BZ26" s="5">
        <f t="shared" si="7"/>
        <v>0</v>
      </c>
      <c r="CA26" s="8">
        <f t="shared" si="4"/>
        <v>0</v>
      </c>
      <c r="CB26" s="5">
        <f t="shared" si="8"/>
        <v>0</v>
      </c>
      <c r="CC26" s="7">
        <f t="shared" si="5"/>
        <v>0</v>
      </c>
      <c r="CD26" s="4">
        <v>5</v>
      </c>
      <c r="CE26" s="3">
        <v>4</v>
      </c>
      <c r="CF26" s="3">
        <v>4</v>
      </c>
      <c r="CG26" s="3">
        <v>3</v>
      </c>
      <c r="CH26" s="3">
        <v>3</v>
      </c>
      <c r="CI26" s="3">
        <v>2</v>
      </c>
      <c r="CJ26" s="3">
        <v>3</v>
      </c>
      <c r="CK26" s="3">
        <v>2</v>
      </c>
      <c r="CL26" s="3">
        <v>1</v>
      </c>
      <c r="CM26" s="3">
        <v>4</v>
      </c>
      <c r="CN26" s="3">
        <v>4</v>
      </c>
      <c r="CO26" s="3">
        <v>5</v>
      </c>
      <c r="CP26" s="3">
        <v>5</v>
      </c>
      <c r="CQ26" s="3">
        <v>2</v>
      </c>
      <c r="CR26" s="3">
        <v>4</v>
      </c>
      <c r="CS26" s="3">
        <v>2</v>
      </c>
      <c r="CT26" s="3">
        <v>3</v>
      </c>
      <c r="CU26" s="3">
        <v>2</v>
      </c>
      <c r="CV26" s="3">
        <v>2</v>
      </c>
      <c r="CW26" s="3">
        <v>1</v>
      </c>
      <c r="CX26" s="3">
        <v>2</v>
      </c>
      <c r="CY26" s="6">
        <v>3</v>
      </c>
      <c r="CZ26" s="5"/>
      <c r="DA26" s="4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</row>
    <row r="27" spans="1:126" x14ac:dyDescent="0.25">
      <c r="A27" s="9" t="s">
        <v>5</v>
      </c>
      <c r="B27" s="9" t="s">
        <v>21</v>
      </c>
      <c r="C27" s="20"/>
      <c r="D27" s="9" t="s">
        <v>2</v>
      </c>
      <c r="E27" s="9"/>
      <c r="F27" s="9" t="str">
        <f>INDEX('Unique Asset List'!$C$4:$C$60,MATCH(B27,_CompoundList,0))</f>
        <v>Ph2a</v>
      </c>
      <c r="G27" s="19">
        <v>0</v>
      </c>
      <c r="H27" s="9">
        <v>2018</v>
      </c>
      <c r="I27" s="9">
        <v>1</v>
      </c>
      <c r="J27" s="18">
        <f>INDEX(PTRS!$D$6:$D$12,MATCH('1'!$F27,PTRS!$B$6:$B$12,0))</f>
        <v>0.1638</v>
      </c>
      <c r="K27" s="17">
        <f>INDEX('Unique Asset List'!$D$4:$M$60,MATCH($B27,'Unique Asset List'!$A$4:$A$60,0),MATCH(K$8,'Unique Asset List'!$D$3:$M$3,0))</f>
        <v>0</v>
      </c>
      <c r="L27" s="17">
        <f>INDEX('Unique Asset List'!$D$4:$M$60,MATCH($B27,'Unique Asset List'!$A$4:$A$60,0),MATCH(L$8,'Unique Asset List'!$D$3:$M$3,0))</f>
        <v>0</v>
      </c>
      <c r="M27" s="17">
        <v>0.12</v>
      </c>
      <c r="N27" s="17">
        <f>INDEX('Unique Asset List'!$D$4:$M$60,MATCH($B27,'Unique Asset List'!$A$4:$A$60,0),MATCH(N$8,'Unique Asset List'!$D$3:$M$3,0))</f>
        <v>0.16400000000000001</v>
      </c>
      <c r="O27" s="17">
        <f>INDEX('Unique Asset List'!$D$4:$M$60,MATCH($B27,'Unique Asset List'!$A$4:$A$60,0),MATCH(O$8,'Unique Asset List'!$D$3:$M$3,0))</f>
        <v>0</v>
      </c>
      <c r="P27" s="17">
        <f>INDEX('Unique Asset List'!$D$4:$M$60,MATCH($B27,'Unique Asset List'!$A$4:$A$60,0),MATCH(P$8,'Unique Asset List'!$D$3:$M$3,0))</f>
        <v>0</v>
      </c>
      <c r="Q27" s="17">
        <f>INDEX('Unique Asset List'!$D$4:$M$60,MATCH($B27,'Unique Asset List'!$A$4:$A$60,0),MATCH(Q$8,'Unique Asset List'!$D$3:$M$3,0))</f>
        <v>1</v>
      </c>
      <c r="R27" s="17">
        <f>INDEX('Unique Asset List'!$D$4:$M$60,MATCH($B27,'Unique Asset List'!$A$4:$A$60,0),MATCH(R$8,'Unique Asset List'!$D$3:$M$3,0))</f>
        <v>1</v>
      </c>
      <c r="S27" s="17">
        <f>INDEX('Unique Asset List'!$D$4:$M$60,MATCH($B27,'Unique Asset List'!$A$4:$A$60,0),MATCH(S$8,'Unique Asset List'!$D$3:$M$3,0))</f>
        <v>0</v>
      </c>
      <c r="T27" s="17"/>
      <c r="U27" s="17">
        <f t="shared" si="1"/>
        <v>0.58302373629991611</v>
      </c>
      <c r="V27" s="17">
        <v>0.66</v>
      </c>
      <c r="W27" s="9" t="s">
        <v>20</v>
      </c>
      <c r="X27" s="9">
        <f>INDEX('Unique Asset List'!$Y$4:$AE$60,MATCH('1'!$B27,'Unique Asset List'!$A$4:$A$60,0),MATCH('1'!$C$1,'Unique Asset List'!$Y$3:$AE$3,0))</f>
        <v>2026</v>
      </c>
      <c r="Y27" s="9">
        <f>INDEX('Unique Asset List'!$AF$4:$AL$60,MATCH('1'!$B27,'Unique Asset List'!$A$4:$A$60,0),MATCH('1'!$C$1,'Unique Asset List'!$AF$3:$AL$3,0))</f>
        <v>4</v>
      </c>
      <c r="Z27" s="9">
        <f>INDEX('Unique Asset List'!$AT$4:$AZ$60,MATCH('1'!$B27,'Unique Asset List'!$A$4:$A$60,0),MATCH('1'!$C$1,'Unique Asset List'!$AT$3:$AZ$3,0))</f>
        <v>2034</v>
      </c>
      <c r="AA27" s="9">
        <f>INDEX('Unique Asset List'!$BA$4:$BG$60,MATCH('1'!$B27,'Unique Asset List'!$A$4:$A$60,0),MATCH('1'!$C$1,'Unique Asset List'!$BA$3:$BG$3,0))</f>
        <v>5</v>
      </c>
      <c r="AB27" s="16">
        <f t="shared" si="6"/>
        <v>1.4855229000000001</v>
      </c>
      <c r="AC27" s="16">
        <f t="shared" si="2"/>
        <v>0.91486990000000001</v>
      </c>
      <c r="AD27" s="16">
        <f t="shared" si="3"/>
        <v>0.56099999999999994</v>
      </c>
      <c r="AE27" s="15">
        <f>INDEX('Unique Asset List'!$CJ$4:$CP$60,MATCH('1'!$B27,'Unique Asset List'!$A$4:$A$60,0),MATCH('1'!$C$1,'Unique Asset List'!$CJ$3:$CP$3,0))</f>
        <v>0.15</v>
      </c>
      <c r="AF27" s="15">
        <f>INDEX('Unique Asset List'!$CQ$4:$CW$60,MATCH('1'!$B27,'Unique Asset List'!$A$4:$A$60,0),MATCH('1'!$C$1,'Unique Asset List'!$CQ$3:$CW$3,0))</f>
        <v>0.35</v>
      </c>
      <c r="AG27" s="15">
        <f>INDEX('Unique Asset List'!$BV$4:$CB$60,MATCH('1'!$B27,'Unique Asset List'!$A$4:$A$60,0),MATCH('1'!$C$1,'Unique Asset List'!$BV$3:$CB$3,0))</f>
        <v>0.15</v>
      </c>
      <c r="AH27" s="15">
        <f>INDEX('Unique Asset List'!$CC$4:$CI$60,MATCH('1'!$B27,'Unique Asset List'!$A$4:$A$60,0),MATCH('1'!$C$1,'Unique Asset List'!$CC$3:$CI$3,0))</f>
        <v>0.35</v>
      </c>
      <c r="AI27" s="11">
        <v>0.97304949785176587</v>
      </c>
      <c r="AJ27" s="15">
        <f>INDEX('Unique Asset List'!$BH$4:$BN$60,MATCH('1'!$B27,'Unique Asset List'!$A$4:$A$60,0),MATCH('1'!$C$1,'Unique Asset List'!$BH$3:$BN$3,0))</f>
        <v>1.2267192541321688</v>
      </c>
      <c r="AK27" s="15">
        <f>INDEX('Unique Asset List'!$BO$4:$BU$60,MATCH('1'!$B27,'Unique Asset List'!$A$4:$A$60,0),MATCH('1'!$C$1,'Unique Asset List'!$BO$3:$BU$3,0))</f>
        <v>11.984388276878477</v>
      </c>
      <c r="AL27" s="150">
        <v>160</v>
      </c>
      <c r="AM27" s="14">
        <f>INDEX(Simulation!$B$6:$H$6,MATCH($A27,Simulation!$B$1:$H$1,0))*(1+AN27)^((DATE(X27,Y27,15)-DATE(2017,1,15))/365.5)</f>
        <v>20.612520392853551</v>
      </c>
      <c r="AN27" s="12">
        <v>3.5000000000000003E-2</v>
      </c>
      <c r="AO27" s="13">
        <v>60</v>
      </c>
      <c r="AP27" s="11">
        <v>0.6</v>
      </c>
      <c r="AQ27" s="12">
        <v>-0.02</v>
      </c>
      <c r="AR27" s="11">
        <v>0.5</v>
      </c>
      <c r="AS27" s="10">
        <v>1</v>
      </c>
      <c r="AT27" s="181">
        <f>INDEX('Unique Asset List'!N$4:N$60,MATCH($B27,_CompoundList,0))</f>
        <v>0</v>
      </c>
      <c r="AU27" s="181">
        <f>INDEX('Unique Asset List'!O$4:O$60,MATCH($B27,_CompoundList,0))</f>
        <v>0</v>
      </c>
      <c r="AV27" s="181">
        <f>INDEX('Unique Asset List'!P$4:P$60,MATCH($B27,_CompoundList,0))</f>
        <v>1</v>
      </c>
      <c r="AW27" s="181">
        <f>INDEX('Unique Asset List'!Q$4:Q$60,MATCH($B27,_CompoundList,0))</f>
        <v>1</v>
      </c>
      <c r="AX27" s="181">
        <f ca="1">INDEX('Unique Asset List'!R$4:R$60,MATCH($B27,_CompoundList,0))</f>
        <v>0</v>
      </c>
      <c r="AY27" s="181">
        <f ca="1">INDEX('Unique Asset List'!S$4:S$60,MATCH($B27,_CompoundList,0))</f>
        <v>0</v>
      </c>
      <c r="AZ27" s="181">
        <f ca="1">INDEX('Unique Asset List'!T$4:T$60,MATCH($B27,_CompoundList,0))</f>
        <v>1</v>
      </c>
      <c r="BA27" s="181">
        <f ca="1">INDEX('Unique Asset List'!U$4:U$60,MATCH($B27,_CompoundList,0))</f>
        <v>1</v>
      </c>
      <c r="BB27" s="181">
        <f ca="1">INDEX('Unique Asset List'!V$4:V$60,MATCH($B27,_CompoundList,0))</f>
        <v>0</v>
      </c>
      <c r="BC27" s="181">
        <f ca="1">INDEX('Unique Asset List'!W$4:W$60,MATCH($B27,_CompoundList,0))</f>
        <v>0</v>
      </c>
      <c r="BD27" s="4">
        <f>IF($C$5="ON",CD27,MyRating(_E1,$B27,Efficacy!$F$1))</f>
        <v>3</v>
      </c>
      <c r="BE27" s="3">
        <f>IF($C$5="ON",CE27,MyRating(_E2,$B27,Efficacy!$F$1))</f>
        <v>3</v>
      </c>
      <c r="BF27" s="3">
        <f>IF($C$5="ON",CF27,MyRating(_E3,$B27,Efficacy!$F$1))</f>
        <v>3</v>
      </c>
      <c r="BG27" s="3">
        <f>IF($C$5="ON",CG27,MyRating(_E4,$B27,Efficacy!$F$1))</f>
        <v>3</v>
      </c>
      <c r="BH27" s="3">
        <f>IF($C$5="ON",CH27,MyRating(_E5,$B27,Efficacy!$F$1))</f>
        <v>3</v>
      </c>
      <c r="BI27" s="3">
        <f>IF($C$5="ON",CI27,MyRating(_E6,$B27,Efficacy!$F$1))</f>
        <v>4</v>
      </c>
      <c r="BJ27" s="3">
        <f>IF($C$5="ON",CJ27,MyRating(_E7,$B27,Efficacy!$F$1))</f>
        <v>3</v>
      </c>
      <c r="BK27" s="3">
        <f>IF($C$5="ON",CK27,MyRating(_E8,$B27,Efficacy!$F$1))</f>
        <v>2</v>
      </c>
      <c r="BL27" s="3">
        <f>IF($C$5="ON",CL27,MyRating(_S1,$B27,Efficacy!$F$1))</f>
        <v>3</v>
      </c>
      <c r="BM27" s="3">
        <f>IF($C$5="ON",CM27,MyRating(_S2,$B27,Efficacy!$F$1))</f>
        <v>4</v>
      </c>
      <c r="BN27" s="3">
        <f>IF($C$5="ON",CN27,MyRating(_S3,$B27,Efficacy!$F$1))</f>
        <v>3</v>
      </c>
      <c r="BO27" s="3">
        <f>IF($C$5="ON",CO27,MyRating(_S4,$B27,Efficacy!$F$1))</f>
        <v>5</v>
      </c>
      <c r="BP27" s="3">
        <f>IF($C$5="ON",CP27,MyRating(_S5,$B27,Efficacy!$F$1))</f>
        <v>4</v>
      </c>
      <c r="BQ27" s="3">
        <f>IF($C$5="ON",CQ27,MyRating(_S6,$B27,Efficacy!$F$1))</f>
        <v>4</v>
      </c>
      <c r="BR27" s="3">
        <f>IF($C$5="ON",CR27,MyRating(_S7,$B27,Efficacy!$F$1))</f>
        <v>3</v>
      </c>
      <c r="BS27" s="3">
        <f>IF($C$5="ON",CS27,MyRating(_D1,$B27,Efficacy!$F$1))</f>
        <v>3</v>
      </c>
      <c r="BT27" s="3">
        <f>IF($C$5="ON",CT27,MyRating(_D2,$B27,Efficacy!$F$1))</f>
        <v>3</v>
      </c>
      <c r="BU27" s="3">
        <f>IF($C$5="ON",CU27,MyRating(_D3,$B27,Efficacy!$F$1))</f>
        <v>3</v>
      </c>
      <c r="BV27" s="3">
        <f>IF($C$5="ON",CV27,MyRating(_D4,$B27,Efficacy!$F$1))</f>
        <v>3</v>
      </c>
      <c r="BW27" s="3">
        <f>IF($C$5="ON",CW27,MyRating(_B1,$B27,Barrier!$F$2))</f>
        <v>3</v>
      </c>
      <c r="BX27" s="3">
        <f>IF($C$5="ON",CX27,MyRating(_B2,$B27,Barrier!$F$2))</f>
        <v>3</v>
      </c>
      <c r="BY27" s="6">
        <f>IF($C$5="ON",CY27,MyRating(_B3,$B27,Barrier!$F$2))</f>
        <v>3</v>
      </c>
      <c r="BZ27" s="5">
        <f t="shared" si="7"/>
        <v>2.833849230535369E-2</v>
      </c>
      <c r="CA27" s="8">
        <f t="shared" si="4"/>
        <v>2.4000000000000004</v>
      </c>
      <c r="CB27" s="5">
        <f t="shared" si="8"/>
        <v>2.8301886792452827E-2</v>
      </c>
      <c r="CC27" s="7">
        <f t="shared" si="5"/>
        <v>3.8137644231022581E-6</v>
      </c>
      <c r="CD27" s="4">
        <v>3</v>
      </c>
      <c r="CE27" s="3">
        <v>3</v>
      </c>
      <c r="CF27" s="3">
        <v>3</v>
      </c>
      <c r="CG27" s="3">
        <v>3</v>
      </c>
      <c r="CH27" s="3">
        <v>3</v>
      </c>
      <c r="CI27" s="3">
        <v>4</v>
      </c>
      <c r="CJ27" s="3">
        <v>3</v>
      </c>
      <c r="CK27" s="3">
        <v>2</v>
      </c>
      <c r="CL27" s="3">
        <v>3</v>
      </c>
      <c r="CM27" s="3">
        <v>4</v>
      </c>
      <c r="CN27" s="3">
        <v>3</v>
      </c>
      <c r="CO27" s="3">
        <v>5</v>
      </c>
      <c r="CP27" s="3">
        <v>4</v>
      </c>
      <c r="CQ27" s="3">
        <v>4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3</v>
      </c>
      <c r="CY27" s="6">
        <v>3</v>
      </c>
      <c r="CZ27" s="5"/>
      <c r="DA27" s="4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</row>
    <row r="28" spans="1:126" x14ac:dyDescent="0.25">
      <c r="A28" s="9" t="s">
        <v>5</v>
      </c>
      <c r="B28" s="9" t="s">
        <v>69</v>
      </c>
      <c r="C28" s="20"/>
      <c r="D28" s="9" t="s">
        <v>64</v>
      </c>
      <c r="E28" s="9"/>
      <c r="F28" s="9" t="str">
        <f>INDEX('Unique Asset List'!$C$4:$C$60,MATCH(B28,_CompoundList,0))</f>
        <v>Ph1</v>
      </c>
      <c r="G28" s="19">
        <v>0</v>
      </c>
      <c r="H28" s="9">
        <v>2018</v>
      </c>
      <c r="I28" s="9">
        <v>1</v>
      </c>
      <c r="J28" s="18">
        <f>INDEX(PTRS!$D$6:$D$12,MATCH('1'!$F28,PTRS!$B$6:$B$12,0))</f>
        <v>0.13923000000000002</v>
      </c>
      <c r="K28" s="17">
        <f>INDEX('Unique Asset List'!$D$4:$M$60,MATCH($B28,'Unique Asset List'!$A$4:$A$60,0),MATCH(K$8,'Unique Asset List'!$D$3:$M$3,0))</f>
        <v>0</v>
      </c>
      <c r="L28" s="17">
        <f>INDEX('Unique Asset List'!$D$4:$M$60,MATCH($B28,'Unique Asset List'!$A$4:$A$60,0),MATCH(L$8,'Unique Asset List'!$D$3:$M$3,0))</f>
        <v>0</v>
      </c>
      <c r="M28" s="17">
        <f>J28</f>
        <v>0.13923000000000002</v>
      </c>
      <c r="N28" s="17">
        <f>INDEX('Unique Asset List'!$D$4:$M$60,MATCH($B28,'Unique Asset List'!$A$4:$A$60,0),MATCH(N$8,'Unique Asset List'!$D$3:$M$3,0))</f>
        <v>0.13923000000000002</v>
      </c>
      <c r="O28" s="17">
        <f>INDEX('Unique Asset List'!$D$4:$M$60,MATCH($B28,'Unique Asset List'!$A$4:$A$60,0),MATCH(O$8,'Unique Asset List'!$D$3:$M$3,0))</f>
        <v>0.13923000000000002</v>
      </c>
      <c r="P28" s="17">
        <f>INDEX('Unique Asset List'!$D$4:$M$60,MATCH($B28,'Unique Asset List'!$A$4:$A$60,0),MATCH(P$8,'Unique Asset List'!$D$3:$M$3,0))</f>
        <v>0.13923000000000002</v>
      </c>
      <c r="Q28" s="17">
        <f>INDEX('Unique Asset List'!$D$4:$M$60,MATCH($B28,'Unique Asset List'!$A$4:$A$60,0),MATCH(Q$8,'Unique Asset List'!$D$3:$M$3,0))</f>
        <v>0.13923000000000002</v>
      </c>
      <c r="R28" s="17">
        <f>INDEX('Unique Asset List'!$D$4:$M$60,MATCH($B28,'Unique Asset List'!$A$4:$A$60,0),MATCH(R$8,'Unique Asset List'!$D$3:$M$3,0))</f>
        <v>0.13923000000000002</v>
      </c>
      <c r="S28" s="17">
        <f>INDEX('Unique Asset List'!$D$4:$M$60,MATCH($B28,'Unique Asset List'!$A$4:$A$60,0),MATCH(S$8,'Unique Asset List'!$D$3:$M$3,0))</f>
        <v>0</v>
      </c>
      <c r="T28" s="17"/>
      <c r="U28" s="17">
        <f t="shared" si="1"/>
        <v>0.58302373629991611</v>
      </c>
      <c r="V28" s="17">
        <v>1</v>
      </c>
      <c r="W28" s="9" t="s">
        <v>62</v>
      </c>
      <c r="X28" s="9">
        <f>INDEX('Unique Asset List'!$Y$4:$AE$60,MATCH('1'!$B28,'Unique Asset List'!$A$4:$A$60,0),MATCH('1'!$C$1,'Unique Asset List'!$Y$3:$AE$3,0))</f>
        <v>2023</v>
      </c>
      <c r="Y28" s="9">
        <f>INDEX('Unique Asset List'!$AF$4:$AL$60,MATCH('1'!$B28,'Unique Asset List'!$A$4:$A$60,0),MATCH('1'!$C$1,'Unique Asset List'!$AF$3:$AL$3,0))</f>
        <v>6</v>
      </c>
      <c r="Z28" s="9">
        <f>INDEX('Unique Asset List'!$AT$4:$AZ$60,MATCH('1'!$B28,'Unique Asset List'!$A$4:$A$60,0),MATCH('1'!$C$1,'Unique Asset List'!$AT$3:$AZ$3,0))</f>
        <v>2036</v>
      </c>
      <c r="AA28" s="9">
        <f>INDEX('Unique Asset List'!$BA$4:$BG$60,MATCH('1'!$B28,'Unique Asset List'!$A$4:$A$60,0),MATCH('1'!$C$1,'Unique Asset List'!$BA$3:$BG$3,0))</f>
        <v>6</v>
      </c>
      <c r="AB28" s="16">
        <f t="shared" si="6"/>
        <v>1.4482758</v>
      </c>
      <c r="AC28" s="16">
        <f t="shared" si="2"/>
        <v>0.91994010000000004</v>
      </c>
      <c r="AD28" s="16">
        <f t="shared" si="3"/>
        <v>0.50129594525999999</v>
      </c>
      <c r="AE28" s="15">
        <f>INDEX('Unique Asset List'!$CJ$4:$CP$60,MATCH('1'!$B28,'Unique Asset List'!$A$4:$A$60,0),MATCH('1'!$C$1,'Unique Asset List'!$CJ$3:$CP$3,0))</f>
        <v>0.22</v>
      </c>
      <c r="AF28" s="15">
        <f>INDEX('Unique Asset List'!$CQ$4:$CW$60,MATCH('1'!$B28,'Unique Asset List'!$A$4:$A$60,0),MATCH('1'!$C$1,'Unique Asset List'!$CQ$3:$CW$3,0))</f>
        <v>0.28000000000000003</v>
      </c>
      <c r="AG28" s="15">
        <f>INDEX('Unique Asset List'!$BV$4:$CB$60,MATCH('1'!$B28,'Unique Asset List'!$A$4:$A$60,0),MATCH('1'!$C$1,'Unique Asset List'!$BV$3:$CB$3,0))</f>
        <v>0.22</v>
      </c>
      <c r="AH28" s="15">
        <f>INDEX('Unique Asset List'!$CC$4:$CI$60,MATCH('1'!$B28,'Unique Asset List'!$A$4:$A$60,0),MATCH('1'!$C$1,'Unique Asset List'!$CC$3:$CI$3,0))</f>
        <v>0.28000000000000003</v>
      </c>
      <c r="AI28" s="11">
        <v>0.97304949785176587</v>
      </c>
      <c r="AJ28" s="15">
        <f>INDEX('Unique Asset List'!$BH$4:$BN$60,MATCH('1'!$B28,'Unique Asset List'!$A$4:$A$60,0),MATCH('1'!$C$1,'Unique Asset List'!$BH$3:$BN$3,0))</f>
        <v>1.2267192541321688</v>
      </c>
      <c r="AK28" s="15">
        <f>INDEX('Unique Asset List'!$BO$4:$BU$60,MATCH('1'!$B28,'Unique Asset List'!$A$4:$A$60,0),MATCH('1'!$C$1,'Unique Asset List'!$BO$3:$BU$3,0))</f>
        <v>11.984388276878477</v>
      </c>
      <c r="AL28" s="150">
        <v>160</v>
      </c>
      <c r="AM28" s="14">
        <f>INDEX(Simulation!$B$6:$H$6,MATCH($A28,Simulation!$B$1:$H$1,0))*(1+AN28)^((DATE(X28,Y28,15)-DATE(2017,1,15))/365.5)</f>
        <v>18.699239833786123</v>
      </c>
      <c r="AN28" s="12">
        <v>3.5000000000000003E-2</v>
      </c>
      <c r="AO28" s="13">
        <v>60</v>
      </c>
      <c r="AP28" s="11">
        <v>0.6</v>
      </c>
      <c r="AQ28" s="12">
        <v>-0.02</v>
      </c>
      <c r="AR28" s="11">
        <v>0.5</v>
      </c>
      <c r="AS28" s="10">
        <v>1</v>
      </c>
      <c r="AT28" s="181">
        <f>INDEX('Unique Asset List'!N$4:N$60,MATCH($B28,_CompoundList,0))</f>
        <v>0</v>
      </c>
      <c r="AU28" s="181">
        <f>INDEX('Unique Asset List'!O$4:O$60,MATCH($B28,_CompoundList,0))</f>
        <v>0</v>
      </c>
      <c r="AV28" s="181">
        <f>INDEX('Unique Asset List'!P$4:P$60,MATCH($B28,_CompoundList,0))</f>
        <v>0</v>
      </c>
      <c r="AW28" s="181">
        <f>INDEX('Unique Asset List'!Q$4:Q$60,MATCH($B28,_CompoundList,0))</f>
        <v>0</v>
      </c>
      <c r="AX28" s="181">
        <f ca="1">INDEX('Unique Asset List'!R$4:R$60,MATCH($B28,_CompoundList,0))</f>
        <v>0</v>
      </c>
      <c r="AY28" s="181">
        <f ca="1">INDEX('Unique Asset List'!S$4:S$60,MATCH($B28,_CompoundList,0))</f>
        <v>1</v>
      </c>
      <c r="AZ28" s="181">
        <f ca="1">INDEX('Unique Asset List'!T$4:T$60,MATCH($B28,_CompoundList,0))</f>
        <v>1</v>
      </c>
      <c r="BA28" s="181">
        <f ca="1">INDEX('Unique Asset List'!U$4:U$60,MATCH($B28,_CompoundList,0))</f>
        <v>1</v>
      </c>
      <c r="BB28" s="181">
        <f ca="1">INDEX('Unique Asset List'!V$4:V$60,MATCH($B28,_CompoundList,0))</f>
        <v>1</v>
      </c>
      <c r="BC28" s="181">
        <f ca="1">INDEX('Unique Asset List'!W$4:W$60,MATCH($B28,_CompoundList,0))</f>
        <v>1</v>
      </c>
      <c r="BD28" s="4">
        <f>IF($C$5="ON",CD28,MyRating(_E1,$B28,Efficacy!$F$1))</f>
        <v>3</v>
      </c>
      <c r="BE28" s="3">
        <f>IF($C$5="ON",CE28,MyRating(_E2,$B28,Efficacy!$F$1))</f>
        <v>3</v>
      </c>
      <c r="BF28" s="3">
        <f>IF($C$5="ON",CF28,MyRating(_E3,$B28,Efficacy!$F$1))</f>
        <v>3</v>
      </c>
      <c r="BG28" s="3">
        <f>IF($C$5="ON",CG28,MyRating(_E4,$B28,Efficacy!$F$1))</f>
        <v>3</v>
      </c>
      <c r="BH28" s="3">
        <f>IF($C$5="ON",CH28,MyRating(_E5,$B28,Efficacy!$F$1))</f>
        <v>3</v>
      </c>
      <c r="BI28" s="3">
        <f>IF($C$5="ON",CI28,MyRating(_E6,$B28,Efficacy!$F$1))</f>
        <v>3</v>
      </c>
      <c r="BJ28" s="3">
        <f>IF($C$5="ON",CJ28,MyRating(_E7,$B28,Efficacy!$F$1))</f>
        <v>3</v>
      </c>
      <c r="BK28" s="3">
        <f>IF($C$5="ON",CK28,MyRating(_E8,$B28,Efficacy!$F$1))</f>
        <v>3</v>
      </c>
      <c r="BL28" s="3">
        <f>IF($C$5="ON",CL28,MyRating(_S1,$B28,Efficacy!$F$1))</f>
        <v>4</v>
      </c>
      <c r="BM28" s="3">
        <f>IF($C$5="ON",CM28,MyRating(_S2,$B28,Efficacy!$F$1))</f>
        <v>3</v>
      </c>
      <c r="BN28" s="3">
        <f>IF($C$5="ON",CN28,MyRating(_S3,$B28,Efficacy!$F$1))</f>
        <v>3</v>
      </c>
      <c r="BO28" s="3">
        <f>IF($C$5="ON",CO28,MyRating(_S4,$B28,Efficacy!$F$1))</f>
        <v>4</v>
      </c>
      <c r="BP28" s="3">
        <f>IF($C$5="ON",CP28,MyRating(_S5,$B28,Efficacy!$F$1))</f>
        <v>5</v>
      </c>
      <c r="BQ28" s="3">
        <f>IF($C$5="ON",CQ28,MyRating(_S6,$B28,Efficacy!$F$1))</f>
        <v>2</v>
      </c>
      <c r="BR28" s="3">
        <f>IF($C$5="ON",CR28,MyRating(_S7,$B28,Efficacy!$F$1))</f>
        <v>3</v>
      </c>
      <c r="BS28" s="3">
        <f>IF($C$5="ON",CS28,MyRating(_D1,$B28,Efficacy!$F$1))</f>
        <v>2</v>
      </c>
      <c r="BT28" s="3">
        <f>IF($C$5="ON",CT28,MyRating(_D2,$B28,Efficacy!$F$1))</f>
        <v>3</v>
      </c>
      <c r="BU28" s="3">
        <f>IF($C$5="ON",CU28,MyRating(_D3,$B28,Efficacy!$F$1))</f>
        <v>3</v>
      </c>
      <c r="BV28" s="3">
        <f>IF($C$5="ON",CV28,MyRating(_D4,$B28,Efficacy!$F$1))</f>
        <v>3</v>
      </c>
      <c r="BW28" s="3">
        <f>IF($C$5="ON",CW28,MyRating(_B1,$B28,Barrier!$F$2))</f>
        <v>3</v>
      </c>
      <c r="BX28" s="3">
        <f>IF($C$5="ON",CX28,MyRating(_B2,$B28,Barrier!$F$2))</f>
        <v>3</v>
      </c>
      <c r="BY28" s="6">
        <f>IF($C$5="ON",CY28,MyRating(_B3,$B28,Barrier!$F$2))</f>
        <v>3</v>
      </c>
      <c r="BZ28" s="5">
        <f t="shared" si="7"/>
        <v>2.833849230535369E-2</v>
      </c>
      <c r="CA28" s="8">
        <f t="shared" si="4"/>
        <v>2.4000000000000004</v>
      </c>
      <c r="CB28" s="5">
        <f t="shared" si="8"/>
        <v>2.8301886792452827E-2</v>
      </c>
      <c r="CC28" s="7">
        <f t="shared" si="5"/>
        <v>3.8137644231022581E-6</v>
      </c>
      <c r="CD28" s="4">
        <v>3</v>
      </c>
      <c r="CE28" s="3">
        <v>3</v>
      </c>
      <c r="CF28" s="3">
        <v>3</v>
      </c>
      <c r="CG28" s="3">
        <v>3</v>
      </c>
      <c r="CH28" s="3">
        <v>3</v>
      </c>
      <c r="CI28" s="3">
        <v>3</v>
      </c>
      <c r="CJ28" s="3">
        <v>3</v>
      </c>
      <c r="CK28" s="3">
        <v>3</v>
      </c>
      <c r="CL28" s="3">
        <v>4</v>
      </c>
      <c r="CM28" s="3">
        <v>3</v>
      </c>
      <c r="CN28" s="3">
        <v>3</v>
      </c>
      <c r="CO28" s="3">
        <v>4</v>
      </c>
      <c r="CP28" s="3">
        <v>5</v>
      </c>
      <c r="CQ28" s="3">
        <v>2</v>
      </c>
      <c r="CR28" s="3">
        <v>3</v>
      </c>
      <c r="CS28" s="3">
        <v>2</v>
      </c>
      <c r="CT28" s="3">
        <v>3</v>
      </c>
      <c r="CU28" s="3">
        <v>3</v>
      </c>
      <c r="CV28" s="3">
        <v>3</v>
      </c>
      <c r="CW28" s="3">
        <v>3</v>
      </c>
      <c r="CX28" s="3">
        <v>3</v>
      </c>
      <c r="CY28" s="6">
        <v>3</v>
      </c>
      <c r="CZ28" s="5"/>
      <c r="DA28" s="4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</row>
    <row r="29" spans="1:126" x14ac:dyDescent="0.25">
      <c r="A29" s="9" t="s">
        <v>5</v>
      </c>
      <c r="B29" s="9" t="s">
        <v>295</v>
      </c>
      <c r="C29" s="20"/>
      <c r="D29" s="9" t="s">
        <v>2</v>
      </c>
      <c r="E29" s="9"/>
      <c r="F29" s="9" t="str">
        <f>INDEX('Unique Asset List'!$C$4:$C$60,MATCH(B29,_CompoundList,0))</f>
        <v>PCD</v>
      </c>
      <c r="G29" s="19">
        <v>0</v>
      </c>
      <c r="H29" s="9">
        <v>2018</v>
      </c>
      <c r="I29" s="9">
        <v>1</v>
      </c>
      <c r="J29" s="18">
        <f>INDEX(PTRS!$D$6:$D$12,MATCH('1'!$F29,PTRS!$B$6:$B$12,0))</f>
        <v>0.1044225</v>
      </c>
      <c r="K29" s="17">
        <f>INDEX('Unique Asset List'!$D$4:$M$60,MATCH($B29,'Unique Asset List'!$A$4:$A$60,0),MATCH(K$8,'Unique Asset List'!$D$3:$M$3,0))</f>
        <v>0</v>
      </c>
      <c r="L29" s="17">
        <f>INDEX('Unique Asset List'!$D$4:$M$60,MATCH($B29,'Unique Asset List'!$A$4:$A$60,0),MATCH(L$8,'Unique Asset List'!$D$3:$M$3,0))</f>
        <v>0</v>
      </c>
      <c r="M29" s="17">
        <v>0</v>
      </c>
      <c r="N29" s="17">
        <f>INDEX('Unique Asset List'!$D$4:$M$60,MATCH($B29,'Unique Asset List'!$A$4:$A$60,0),MATCH(N$8,'Unique Asset List'!$D$3:$M$3,0))</f>
        <v>0.16400000000000001</v>
      </c>
      <c r="O29" s="17">
        <f>INDEX('Unique Asset List'!$D$4:$M$60,MATCH($B29,'Unique Asset List'!$A$4:$A$60,0),MATCH(O$8,'Unique Asset List'!$D$3:$M$3,0))</f>
        <v>0.16400000000000001</v>
      </c>
      <c r="P29" s="17">
        <f>INDEX('Unique Asset List'!$D$4:$M$60,MATCH($B29,'Unique Asset List'!$A$4:$A$60,0),MATCH(P$8,'Unique Asset List'!$D$3:$M$3,0))</f>
        <v>0.16400000000000001</v>
      </c>
      <c r="Q29" s="17">
        <f>INDEX('Unique Asset List'!$D$4:$M$60,MATCH($B29,'Unique Asset List'!$A$4:$A$60,0),MATCH(Q$8,'Unique Asset List'!$D$3:$M$3,0))</f>
        <v>0.16400000000000001</v>
      </c>
      <c r="R29" s="17">
        <f>INDEX('Unique Asset List'!$D$4:$M$60,MATCH($B29,'Unique Asset List'!$A$4:$A$60,0),MATCH(R$8,'Unique Asset List'!$D$3:$M$3,0))</f>
        <v>0.16400000000000001</v>
      </c>
      <c r="S29" s="17">
        <f>INDEX('Unique Asset List'!$D$4:$M$60,MATCH($B29,'Unique Asset List'!$A$4:$A$60,0),MATCH(S$8,'Unique Asset List'!$D$3:$M$3,0))</f>
        <v>0</v>
      </c>
      <c r="T29" s="17"/>
      <c r="U29" s="17">
        <f t="shared" si="1"/>
        <v>0.42995823674546563</v>
      </c>
      <c r="V29" s="17">
        <f>(42%+N("TRD as % of aMDD"))*(5/6+N("Maintenance only"))</f>
        <v>0.35</v>
      </c>
      <c r="W29" s="9" t="s">
        <v>62</v>
      </c>
      <c r="X29" s="9">
        <f>INDEX('Unique Asset List'!$Y$4:$AE$60,MATCH('1'!$B29,'Unique Asset List'!$A$4:$A$60,0),MATCH('1'!$C$1,'Unique Asset List'!$Y$3:$AE$3,0))</f>
        <v>2025</v>
      </c>
      <c r="Y29" s="9">
        <f>INDEX('Unique Asset List'!$AF$4:$AL$60,MATCH('1'!$B29,'Unique Asset List'!$A$4:$A$60,0),MATCH('1'!$C$1,'Unique Asset List'!$AF$3:$AL$3,0))</f>
        <v>11</v>
      </c>
      <c r="Z29" s="9">
        <f>INDEX('Unique Asset List'!$AT$4:$AZ$60,MATCH('1'!$B29,'Unique Asset List'!$A$4:$A$60,0),MATCH('1'!$C$1,'Unique Asset List'!$AT$3:$AZ$3,0))</f>
        <v>2045</v>
      </c>
      <c r="AA29" s="9">
        <f>INDEX('Unique Asset List'!$BA$4:$BG$60,MATCH('1'!$B29,'Unique Asset List'!$A$4:$A$60,0),MATCH('1'!$C$1,'Unique Asset List'!$BA$3:$BG$3,0))</f>
        <v>11</v>
      </c>
      <c r="AB29" s="16">
        <f t="shared" si="6"/>
        <v>2.0185501000000001</v>
      </c>
      <c r="AC29" s="16">
        <f t="shared" si="2"/>
        <v>0.88497580000000009</v>
      </c>
      <c r="AD29" s="16">
        <f t="shared" si="3"/>
        <v>0.56099999999999994</v>
      </c>
      <c r="AE29" s="15">
        <f>INDEX('Unique Asset List'!$CJ$4:$CP$60,MATCH('1'!$B29,'Unique Asset List'!$A$4:$A$60,0),MATCH('1'!$C$1,'Unique Asset List'!$CJ$3:$CP$3,0))</f>
        <v>0.22</v>
      </c>
      <c r="AF29" s="15">
        <f>INDEX('Unique Asset List'!$CQ$4:$CW$60,MATCH('1'!$B29,'Unique Asset List'!$A$4:$A$60,0),MATCH('1'!$C$1,'Unique Asset List'!$CQ$3:$CW$3,0))</f>
        <v>0.28000000000000003</v>
      </c>
      <c r="AG29" s="15">
        <f>INDEX('Unique Asset List'!$BV$4:$CB$60,MATCH('1'!$B29,'Unique Asset List'!$A$4:$A$60,0),MATCH('1'!$C$1,'Unique Asset List'!$BV$3:$CB$3,0))</f>
        <v>0.22</v>
      </c>
      <c r="AH29" s="15">
        <f>INDEX('Unique Asset List'!$CC$4:$CI$60,MATCH('1'!$B29,'Unique Asset List'!$A$4:$A$60,0),MATCH('1'!$C$1,'Unique Asset List'!$CC$3:$CI$3,0))</f>
        <v>0.28000000000000003</v>
      </c>
      <c r="AI29" s="11">
        <v>0.97304949785176587</v>
      </c>
      <c r="AJ29" s="15">
        <f>INDEX('Unique Asset List'!$BH$4:$BN$60,MATCH('1'!$B29,'Unique Asset List'!$A$4:$A$60,0),MATCH('1'!$C$1,'Unique Asset List'!$BH$3:$BN$3,0))</f>
        <v>1.2267192541321688</v>
      </c>
      <c r="AK29" s="15">
        <f>INDEX('Unique Asset List'!$BO$4:$BU$60,MATCH('1'!$B29,'Unique Asset List'!$A$4:$A$60,0),MATCH('1'!$C$1,'Unique Asset List'!$BO$3:$BU$3,0))</f>
        <v>11.984388276878477</v>
      </c>
      <c r="AL29" s="150">
        <f>AL17-28</f>
        <v>149.56756756756801</v>
      </c>
      <c r="AM29" s="14">
        <f>AM17*0.8</f>
        <v>97.797319890410975</v>
      </c>
      <c r="AN29" s="12">
        <v>3.5000000000000003E-2</v>
      </c>
      <c r="AO29" s="13">
        <v>60</v>
      </c>
      <c r="AP29" s="11">
        <v>0.6</v>
      </c>
      <c r="AQ29" s="12">
        <v>-0.02</v>
      </c>
      <c r="AR29" s="11">
        <v>0.5</v>
      </c>
      <c r="AS29" s="10">
        <f>2/7</f>
        <v>0.2857142857142857</v>
      </c>
      <c r="AT29" s="181">
        <f>INDEX('Unique Asset List'!N$4:N$60,MATCH($B29,_CompoundList,0))</f>
        <v>0</v>
      </c>
      <c r="AU29" s="181">
        <f>INDEX('Unique Asset List'!O$4:O$60,MATCH($B29,_CompoundList,0))</f>
        <v>0</v>
      </c>
      <c r="AV29" s="181">
        <f>INDEX('Unique Asset List'!P$4:P$60,MATCH($B29,_CompoundList,0))</f>
        <v>0</v>
      </c>
      <c r="AW29" s="181">
        <f>INDEX('Unique Asset List'!Q$4:Q$60,MATCH($B29,_CompoundList,0))</f>
        <v>0</v>
      </c>
      <c r="AX29" s="181">
        <f ca="1">INDEX('Unique Asset List'!R$4:R$60,MATCH($B29,_CompoundList,0))</f>
        <v>1</v>
      </c>
      <c r="AY29" s="181">
        <f ca="1">INDEX('Unique Asset List'!S$4:S$60,MATCH($B29,_CompoundList,0))</f>
        <v>0</v>
      </c>
      <c r="AZ29" s="181">
        <f ca="1">INDEX('Unique Asset List'!T$4:T$60,MATCH($B29,_CompoundList,0))</f>
        <v>0</v>
      </c>
      <c r="BA29" s="181">
        <f ca="1">INDEX('Unique Asset List'!U$4:U$60,MATCH($B29,_CompoundList,0))</f>
        <v>1</v>
      </c>
      <c r="BB29" s="181">
        <f ca="1">INDEX('Unique Asset List'!V$4:V$60,MATCH($B29,_CompoundList,0))</f>
        <v>0</v>
      </c>
      <c r="BC29" s="181">
        <f ca="1">INDEX('Unique Asset List'!W$4:W$60,MATCH($B29,_CompoundList,0))</f>
        <v>0</v>
      </c>
      <c r="BD29" s="4">
        <f>IF($C$5="ON",CD29,MyRating(_E1,$B29,Efficacy!$F$1))</f>
        <v>5</v>
      </c>
      <c r="BE29" s="3">
        <f>IF($C$5="ON",CE29,MyRating(_E2,$B29,Efficacy!$F$1))</f>
        <v>5</v>
      </c>
      <c r="BF29" s="3">
        <f>IF($C$5="ON",CF29,MyRating(_E3,$B29,Efficacy!$F$1))</f>
        <v>5</v>
      </c>
      <c r="BG29" s="3">
        <f>IF($C$5="ON",CG29,MyRating(_E4,$B29,Efficacy!$F$1))</f>
        <v>5</v>
      </c>
      <c r="BH29" s="3">
        <f>IF($C$5="ON",CH29,MyRating(_E5,$B29,Efficacy!$F$1))</f>
        <v>4</v>
      </c>
      <c r="BI29" s="3">
        <f>IF($C$5="ON",CI29,MyRating(_E6,$B29,Efficacy!$F$1))</f>
        <v>3</v>
      </c>
      <c r="BJ29" s="3">
        <f>IF($C$5="ON",CJ29,MyRating(_E7,$B29,Efficacy!$F$1))</f>
        <v>2</v>
      </c>
      <c r="BK29" s="3">
        <f>IF($C$5="ON",CK29,MyRating(_E8,$B29,Efficacy!$F$1))</f>
        <v>3</v>
      </c>
      <c r="BL29" s="3">
        <f>IF($C$5="ON",CL29,MyRating(_S1,$B29,Efficacy!$F$1))</f>
        <v>4</v>
      </c>
      <c r="BM29" s="3">
        <f>IF($C$5="ON",CM29,MyRating(_S2,$B29,Efficacy!$F$1))</f>
        <v>3</v>
      </c>
      <c r="BN29" s="3">
        <f>IF($C$5="ON",CN29,MyRating(_S3,$B29,Efficacy!$F$1))</f>
        <v>3</v>
      </c>
      <c r="BO29" s="3">
        <f>IF($C$5="ON",CO29,MyRating(_S4,$B29,Efficacy!$F$1))</f>
        <v>3</v>
      </c>
      <c r="BP29" s="3">
        <f>IF($C$5="ON",CP29,MyRating(_S5,$B29,Efficacy!$F$1))</f>
        <v>5</v>
      </c>
      <c r="BQ29" s="3">
        <f>IF($C$5="ON",CQ29,MyRating(_S6,$B29,Efficacy!$F$1))</f>
        <v>2</v>
      </c>
      <c r="BR29" s="3">
        <f>IF($C$5="ON",CR29,MyRating(_S7,$B29,Efficacy!$F$1))</f>
        <v>3</v>
      </c>
      <c r="BS29" s="3">
        <f>IF($C$5="ON",CS29,MyRating(_D1,$B29,Efficacy!$F$1))</f>
        <v>3</v>
      </c>
      <c r="BT29" s="3">
        <f>IF($C$5="ON",CT29,MyRating(_D2,$B29,Efficacy!$F$1))</f>
        <v>3</v>
      </c>
      <c r="BU29" s="3">
        <f>IF($C$5="ON",CU29,MyRating(_D3,$B29,Efficacy!$F$1))</f>
        <v>3</v>
      </c>
      <c r="BV29" s="3">
        <f>IF($C$5="ON",CV29,MyRating(_D4,$B29,Efficacy!$F$1))</f>
        <v>3</v>
      </c>
      <c r="BW29" s="3">
        <f>IF($C$5="ON",CW29,MyRating(_B1,$B29,Barrier!$F$2))</f>
        <v>2</v>
      </c>
      <c r="BX29" s="3">
        <f>IF($C$5="ON",CX29,MyRating(_B2,$B29,Barrier!$F$2))</f>
        <v>3</v>
      </c>
      <c r="BY29" s="6">
        <f>IF($C$5="ON",CY29,MyRating(_B3,$B29,Barrier!$F$2))</f>
        <v>3</v>
      </c>
      <c r="BZ29" s="5">
        <f t="shared" si="7"/>
        <v>2.0898579980570462E-2</v>
      </c>
      <c r="CA29" s="8">
        <f t="shared" si="4"/>
        <v>2.2000000000000002</v>
      </c>
      <c r="CB29" s="5">
        <f t="shared" si="8"/>
        <v>2.5943396226415089E-2</v>
      </c>
      <c r="CC29" s="7">
        <f t="shared" si="5"/>
        <v>2.8125088647782231E-6</v>
      </c>
      <c r="CD29" s="4">
        <v>5</v>
      </c>
      <c r="CE29" s="3">
        <v>5</v>
      </c>
      <c r="CF29" s="3">
        <v>5</v>
      </c>
      <c r="CG29" s="3">
        <v>5</v>
      </c>
      <c r="CH29" s="3">
        <v>3</v>
      </c>
      <c r="CI29" s="3">
        <v>3</v>
      </c>
      <c r="CJ29" s="3">
        <v>3</v>
      </c>
      <c r="CK29" s="3">
        <v>5</v>
      </c>
      <c r="CL29" s="3">
        <v>4</v>
      </c>
      <c r="CM29" s="3">
        <v>3</v>
      </c>
      <c r="CN29" s="3">
        <v>3</v>
      </c>
      <c r="CO29" s="3">
        <v>4</v>
      </c>
      <c r="CP29" s="3">
        <v>5</v>
      </c>
      <c r="CQ29" s="3">
        <v>2</v>
      </c>
      <c r="CR29" s="3">
        <v>3</v>
      </c>
      <c r="CS29" s="3">
        <v>2</v>
      </c>
      <c r="CT29" s="3">
        <v>3</v>
      </c>
      <c r="CU29" s="3">
        <v>3</v>
      </c>
      <c r="CV29" s="3">
        <v>1</v>
      </c>
      <c r="CW29" s="3">
        <v>1</v>
      </c>
      <c r="CX29" s="3">
        <v>1</v>
      </c>
      <c r="CY29" s="6">
        <v>1</v>
      </c>
      <c r="CZ29" s="5"/>
      <c r="DA29" s="4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</row>
    <row r="30" spans="1:126" x14ac:dyDescent="0.25">
      <c r="A30" s="9" t="s">
        <v>5</v>
      </c>
      <c r="B30" s="9" t="s">
        <v>24</v>
      </c>
      <c r="C30" s="20" t="s">
        <v>3</v>
      </c>
      <c r="D30" s="9" t="s">
        <v>2</v>
      </c>
      <c r="E30" s="9"/>
      <c r="F30" s="9" t="str">
        <f>INDEX('Unique Asset List'!$C$4:$C$60,MATCH(B30,_CompoundList,0))</f>
        <v>Ph1</v>
      </c>
      <c r="G30" s="19">
        <v>0</v>
      </c>
      <c r="H30" s="9">
        <v>2018</v>
      </c>
      <c r="I30" s="9">
        <v>1</v>
      </c>
      <c r="J30" s="18">
        <f>INDEX(PTRS!$D$6:$D$12,MATCH('1'!$F30,PTRS!$B$6:$B$12,0))</f>
        <v>0.13923000000000002</v>
      </c>
      <c r="K30" s="17">
        <f>INDEX('Unique Asset List'!$D$4:$M$60,MATCH($B30,'Unique Asset List'!$A$4:$A$60,0),MATCH(K$8,'Unique Asset List'!$D$3:$M$3,0))</f>
        <v>0</v>
      </c>
      <c r="L30" s="17">
        <f>INDEX('Unique Asset List'!$D$4:$M$60,MATCH($B30,'Unique Asset List'!$A$4:$A$60,0),MATCH(L$8,'Unique Asset List'!$D$3:$M$3,0))</f>
        <v>0</v>
      </c>
      <c r="M30" s="17">
        <v>0.1</v>
      </c>
      <c r="N30" s="17">
        <f>INDEX('Unique Asset List'!$D$4:$M$60,MATCH($B30,'Unique Asset List'!$A$4:$A$60,0),MATCH(N$8,'Unique Asset List'!$D$3:$M$3,0))</f>
        <v>0.14000000000000001</v>
      </c>
      <c r="O30" s="17">
        <f>INDEX('Unique Asset List'!$D$4:$M$60,MATCH($B30,'Unique Asset List'!$A$4:$A$60,0),MATCH(O$8,'Unique Asset List'!$D$3:$M$3,0))</f>
        <v>0.14000000000000001</v>
      </c>
      <c r="P30" s="17">
        <f>INDEX('Unique Asset List'!$D$4:$M$60,MATCH($B30,'Unique Asset List'!$A$4:$A$60,0),MATCH(P$8,'Unique Asset List'!$D$3:$M$3,0))</f>
        <v>0.14000000000000001</v>
      </c>
      <c r="Q30" s="17">
        <f>INDEX('Unique Asset List'!$D$4:$M$60,MATCH($B30,'Unique Asset List'!$A$4:$A$60,0),MATCH(Q$8,'Unique Asset List'!$D$3:$M$3,0))</f>
        <v>0.14000000000000001</v>
      </c>
      <c r="R30" s="17">
        <f>INDEX('Unique Asset List'!$D$4:$M$60,MATCH($B30,'Unique Asset List'!$A$4:$A$60,0),MATCH(R$8,'Unique Asset List'!$D$3:$M$3,0))</f>
        <v>0.14000000000000001</v>
      </c>
      <c r="S30" s="17">
        <f>INDEX('Unique Asset List'!$D$4:$M$60,MATCH($B30,'Unique Asset List'!$A$4:$A$60,0),MATCH(S$8,'Unique Asset List'!$D$3:$M$3,0))</f>
        <v>0</v>
      </c>
      <c r="T30" s="17"/>
      <c r="U30" s="17">
        <f t="shared" si="1"/>
        <v>0</v>
      </c>
      <c r="V30" s="17">
        <v>1</v>
      </c>
      <c r="W30" s="9" t="s">
        <v>24</v>
      </c>
      <c r="X30" s="9">
        <f>INDEX('Unique Asset List'!$Y$4:$AE$60,MATCH('1'!$B30,'Unique Asset List'!$A$4:$A$60,0),MATCH('1'!$C$1,'Unique Asset List'!$Y$3:$AE$3,0))</f>
        <v>2027</v>
      </c>
      <c r="Y30" s="9">
        <f>INDEX('Unique Asset List'!$AF$4:$AL$60,MATCH('1'!$B30,'Unique Asset List'!$A$4:$A$60,0),MATCH('1'!$C$1,'Unique Asset List'!$AF$3:$AL$3,0))</f>
        <v>5</v>
      </c>
      <c r="Z30" s="9">
        <f>INDEX('Unique Asset List'!$AT$4:$AZ$60,MATCH('1'!$B30,'Unique Asset List'!$A$4:$A$60,0),MATCH('1'!$C$1,'Unique Asset List'!$AT$3:$AZ$3,0))</f>
        <v>2034</v>
      </c>
      <c r="AA30" s="9">
        <f>INDEX('Unique Asset List'!$BA$4:$BG$60,MATCH('1'!$B30,'Unique Asset List'!$A$4:$A$60,0),MATCH('1'!$C$1,'Unique Asset List'!$BA$3:$BG$3,0))</f>
        <v>5</v>
      </c>
      <c r="AB30" s="16">
        <f t="shared" si="6"/>
        <v>1.8077445000000001</v>
      </c>
      <c r="AC30" s="16">
        <f t="shared" si="2"/>
        <v>0.94137550000000003</v>
      </c>
      <c r="AD30" s="16">
        <f t="shared" si="3"/>
        <v>0.56099999999999994</v>
      </c>
      <c r="AE30" s="15">
        <f>INDEX('Unique Asset List'!$CJ$4:$CP$60,MATCH('1'!$B30,'Unique Asset List'!$A$4:$A$60,0),MATCH('1'!$C$1,'Unique Asset List'!$CJ$3:$CP$3,0))</f>
        <v>0.15</v>
      </c>
      <c r="AF30" s="15">
        <f>INDEX('Unique Asset List'!$CQ$4:$CW$60,MATCH('1'!$B30,'Unique Asset List'!$A$4:$A$60,0),MATCH('1'!$C$1,'Unique Asset List'!$CQ$3:$CW$3,0))</f>
        <v>0.35</v>
      </c>
      <c r="AG30" s="15">
        <f>INDEX('Unique Asset List'!$BV$4:$CB$60,MATCH('1'!$B30,'Unique Asset List'!$A$4:$A$60,0),MATCH('1'!$C$1,'Unique Asset List'!$BV$3:$CB$3,0))</f>
        <v>0.15</v>
      </c>
      <c r="AH30" s="15">
        <f>INDEX('Unique Asset List'!$CC$4:$CI$60,MATCH('1'!$B30,'Unique Asset List'!$A$4:$A$60,0),MATCH('1'!$C$1,'Unique Asset List'!$CC$3:$CI$3,0))</f>
        <v>0.35</v>
      </c>
      <c r="AI30" s="11">
        <v>0.97304949785176587</v>
      </c>
      <c r="AJ30" s="15">
        <f>INDEX('Unique Asset List'!$BH$4:$BN$60,MATCH('1'!$B30,'Unique Asset List'!$A$4:$A$60,0),MATCH('1'!$C$1,'Unique Asset List'!$BH$3:$BN$3,0))</f>
        <v>1.2267192541321688</v>
      </c>
      <c r="AK30" s="15">
        <f>INDEX('Unique Asset List'!$BO$4:$BU$60,MATCH('1'!$B30,'Unique Asset List'!$A$4:$A$60,0),MATCH('1'!$C$1,'Unique Asset List'!$BO$3:$BU$3,0))</f>
        <v>11.984388276878477</v>
      </c>
      <c r="AL30" s="150">
        <v>160</v>
      </c>
      <c r="AM30" s="14">
        <f>INDEX(Simulation!$B$6:$H$6,MATCH($A30,Simulation!$B$1:$H$1,0))*(1+AN30)^((DATE(X30,Y30,15)-DATE(2017,1,15))/365.5)</f>
        <v>21.393276484337267</v>
      </c>
      <c r="AN30" s="12">
        <v>3.5000000000000003E-2</v>
      </c>
      <c r="AO30" s="13">
        <v>60</v>
      </c>
      <c r="AP30" s="11">
        <v>0.6</v>
      </c>
      <c r="AQ30" s="12">
        <v>-0.02</v>
      </c>
      <c r="AR30" s="11">
        <v>0.5</v>
      </c>
      <c r="AS30" s="10">
        <v>1</v>
      </c>
      <c r="AT30" s="181">
        <f>INDEX('Unique Asset List'!N$4:N$60,MATCH($B30,_CompoundList,0))</f>
        <v>0</v>
      </c>
      <c r="AU30" s="181">
        <f>INDEX('Unique Asset List'!O$4:O$60,MATCH($B30,_CompoundList,0))</f>
        <v>0</v>
      </c>
      <c r="AV30" s="181">
        <f>INDEX('Unique Asset List'!P$4:P$60,MATCH($B30,_CompoundList,0))</f>
        <v>0</v>
      </c>
      <c r="AW30" s="181">
        <f>INDEX('Unique Asset List'!Q$4:Q$60,MATCH($B30,_CompoundList,0))</f>
        <v>0</v>
      </c>
      <c r="AX30" s="181">
        <f ca="1">INDEX('Unique Asset List'!R$4:R$60,MATCH($B30,_CompoundList,0))</f>
        <v>0</v>
      </c>
      <c r="AY30" s="181">
        <f ca="1">INDEX('Unique Asset List'!S$4:S$60,MATCH($B30,_CompoundList,0))</f>
        <v>0</v>
      </c>
      <c r="AZ30" s="181">
        <f ca="1">INDEX('Unique Asset List'!T$4:T$60,MATCH($B30,_CompoundList,0))</f>
        <v>0</v>
      </c>
      <c r="BA30" s="181">
        <f ca="1">INDEX('Unique Asset List'!U$4:U$60,MATCH($B30,_CompoundList,0))</f>
        <v>0</v>
      </c>
      <c r="BB30" s="181">
        <f ca="1">INDEX('Unique Asset List'!V$4:V$60,MATCH($B30,_CompoundList,0))</f>
        <v>1</v>
      </c>
      <c r="BC30" s="181">
        <f ca="1">INDEX('Unique Asset List'!W$4:W$60,MATCH($B30,_CompoundList,0))</f>
        <v>1</v>
      </c>
      <c r="BD30" s="4">
        <f>IF($C$5="ON",CD30,MyRating(_E1,$B30,Efficacy!$F$1))</f>
        <v>4</v>
      </c>
      <c r="BE30" s="3">
        <f>IF($C$5="ON",CE30,MyRating(_E2,$B30,Efficacy!$F$1))</f>
        <v>4</v>
      </c>
      <c r="BF30" s="3">
        <f>IF($C$5="ON",CF30,MyRating(_E3,$B30,Efficacy!$F$1))</f>
        <v>4</v>
      </c>
      <c r="BG30" s="3">
        <f>IF($C$5="ON",CG30,MyRating(_E4,$B30,Efficacy!$F$1))</f>
        <v>4</v>
      </c>
      <c r="BH30" s="3">
        <f>IF($C$5="ON",CH30,MyRating(_E5,$B30,Efficacy!$F$1))</f>
        <v>4</v>
      </c>
      <c r="BI30" s="3">
        <f>IF($C$5="ON",CI30,MyRating(_E6,$B30,Efficacy!$F$1))</f>
        <v>3</v>
      </c>
      <c r="BJ30" s="3">
        <f>IF($C$5="ON",CJ30,MyRating(_E7,$B30,Efficacy!$F$1))</f>
        <v>3</v>
      </c>
      <c r="BK30" s="3">
        <f>IF($C$5="ON",CK30,MyRating(_E8,$B30,Efficacy!$F$1))</f>
        <v>4</v>
      </c>
      <c r="BL30" s="3">
        <f>IF($C$5="ON",CL30,MyRating(_S1,$B30,Efficacy!$F$1))</f>
        <v>4</v>
      </c>
      <c r="BM30" s="3">
        <f>IF($C$5="ON",CM30,MyRating(_S2,$B30,Efficacy!$F$1))</f>
        <v>3</v>
      </c>
      <c r="BN30" s="3">
        <f>IF($C$5="ON",CN30,MyRating(_S3,$B30,Efficacy!$F$1))</f>
        <v>3</v>
      </c>
      <c r="BO30" s="3">
        <f>IF($C$5="ON",CO30,MyRating(_S4,$B30,Efficacy!$F$1))</f>
        <v>4</v>
      </c>
      <c r="BP30" s="3">
        <f>IF($C$5="ON",CP30,MyRating(_S5,$B30,Efficacy!$F$1))</f>
        <v>5</v>
      </c>
      <c r="BQ30" s="3">
        <f>IF($C$5="ON",CQ30,MyRating(_S6,$B30,Efficacy!$F$1))</f>
        <v>3</v>
      </c>
      <c r="BR30" s="3">
        <f>IF($C$5="ON",CR30,MyRating(_S7,$B30,Efficacy!$F$1))</f>
        <v>3</v>
      </c>
      <c r="BS30" s="3">
        <f>IF($C$5="ON",CS30,MyRating(_D1,$B30,Efficacy!$F$1))</f>
        <v>3</v>
      </c>
      <c r="BT30" s="3">
        <f>IF($C$5="ON",CT30,MyRating(_D2,$B30,Efficacy!$F$1))</f>
        <v>3</v>
      </c>
      <c r="BU30" s="3">
        <f>IF($C$5="ON",CU30,MyRating(_D3,$B30,Efficacy!$F$1))</f>
        <v>3</v>
      </c>
      <c r="BV30" s="3">
        <f>IF($C$5="ON",CV30,MyRating(_D4,$B30,Efficacy!$F$1))</f>
        <v>3</v>
      </c>
      <c r="BW30" s="3">
        <f>IF($C$5="ON",CW30,MyRating(_B1,$B30,Barrier!$F$2))</f>
        <v>3</v>
      </c>
      <c r="BX30" s="3">
        <f>IF($C$5="ON",CX30,MyRating(_B2,$B30,Barrier!$F$2))</f>
        <v>0</v>
      </c>
      <c r="BY30" s="6">
        <f>IF($C$5="ON",CY30,MyRating(_B3,$B30,Barrier!$F$2))</f>
        <v>0</v>
      </c>
      <c r="BZ30" s="5">
        <f t="shared" si="7"/>
        <v>0</v>
      </c>
      <c r="CA30" s="8">
        <f t="shared" si="4"/>
        <v>0.60000000000000009</v>
      </c>
      <c r="CB30" s="5">
        <f t="shared" si="8"/>
        <v>7.0754716981132068E-3</v>
      </c>
      <c r="CC30" s="7">
        <f t="shared" si="5"/>
        <v>2.9795034555486375E-8</v>
      </c>
      <c r="CD30" s="4">
        <v>4</v>
      </c>
      <c r="CE30" s="3">
        <v>4</v>
      </c>
      <c r="CF30" s="3">
        <v>4</v>
      </c>
      <c r="CG30" s="3">
        <v>4</v>
      </c>
      <c r="CH30" s="3">
        <v>4</v>
      </c>
      <c r="CI30" s="3">
        <v>3</v>
      </c>
      <c r="CJ30" s="3">
        <v>3</v>
      </c>
      <c r="CK30" s="3">
        <v>4</v>
      </c>
      <c r="CL30" s="3">
        <v>4</v>
      </c>
      <c r="CM30" s="3">
        <v>3</v>
      </c>
      <c r="CN30" s="3">
        <v>3</v>
      </c>
      <c r="CO30" s="3">
        <v>4</v>
      </c>
      <c r="CP30" s="3">
        <v>5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3</v>
      </c>
      <c r="CX30" s="3">
        <v>3</v>
      </c>
      <c r="CY30" s="6">
        <v>3</v>
      </c>
      <c r="CZ30" s="5"/>
      <c r="DA30" s="4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</row>
    <row r="31" spans="1:126" x14ac:dyDescent="0.25">
      <c r="A31" s="9" t="s">
        <v>5</v>
      </c>
      <c r="B31" s="9" t="s">
        <v>57</v>
      </c>
      <c r="C31" s="20" t="s">
        <v>3</v>
      </c>
      <c r="D31" s="9" t="s">
        <v>2</v>
      </c>
      <c r="E31" s="9"/>
      <c r="F31" s="9" t="str">
        <f>INDEX('Unique Asset List'!$C$4:$C$60,MATCH(B31,_CompoundList,0))</f>
        <v>PCD</v>
      </c>
      <c r="G31" s="19">
        <v>0</v>
      </c>
      <c r="H31" s="9">
        <v>2018</v>
      </c>
      <c r="I31" s="9">
        <v>1</v>
      </c>
      <c r="J31" s="18">
        <f>INDEX(PTRS!$D$6:$D$12,MATCH('1'!$F31,PTRS!$B$6:$B$12,0))</f>
        <v>0.1044225</v>
      </c>
      <c r="K31" s="17">
        <f>INDEX('Unique Asset List'!$D$4:$M$60,MATCH($B31,'Unique Asset List'!$A$4:$A$60,0),MATCH(K$8,'Unique Asset List'!$D$3:$M$3,0))</f>
        <v>0</v>
      </c>
      <c r="L31" s="17">
        <f>INDEX('Unique Asset List'!$D$4:$M$60,MATCH($B31,'Unique Asset List'!$A$4:$A$60,0),MATCH(L$8,'Unique Asset List'!$D$3:$M$3,0))</f>
        <v>0</v>
      </c>
      <c r="M31" s="17">
        <f>J31</f>
        <v>0.1044225</v>
      </c>
      <c r="N31" s="17">
        <f>INDEX('Unique Asset List'!$D$4:$M$60,MATCH($B31,'Unique Asset List'!$A$4:$A$60,0),MATCH(N$8,'Unique Asset List'!$D$3:$M$3,0))</f>
        <v>0.1044225</v>
      </c>
      <c r="O31" s="17">
        <f>INDEX('Unique Asset List'!$D$4:$M$60,MATCH($B31,'Unique Asset List'!$A$4:$A$60,0),MATCH(O$8,'Unique Asset List'!$D$3:$M$3,0))</f>
        <v>0.1044225</v>
      </c>
      <c r="P31" s="17">
        <f>INDEX('Unique Asset List'!$D$4:$M$60,MATCH($B31,'Unique Asset List'!$A$4:$A$60,0),MATCH(P$8,'Unique Asset List'!$D$3:$M$3,0))</f>
        <v>0.1044225</v>
      </c>
      <c r="Q31" s="17">
        <f>INDEX('Unique Asset List'!$D$4:$M$60,MATCH($B31,'Unique Asset List'!$A$4:$A$60,0),MATCH(Q$8,'Unique Asset List'!$D$3:$M$3,0))</f>
        <v>0.1044225</v>
      </c>
      <c r="R31" s="17">
        <f>INDEX('Unique Asset List'!$D$4:$M$60,MATCH($B31,'Unique Asset List'!$A$4:$A$60,0),MATCH(R$8,'Unique Asset List'!$D$3:$M$3,0))</f>
        <v>0.1044225</v>
      </c>
      <c r="S31" s="17">
        <f>INDEX('Unique Asset List'!$D$4:$M$60,MATCH($B31,'Unique Asset List'!$A$4:$A$60,0),MATCH(S$8,'Unique Asset List'!$D$3:$M$3,0))</f>
        <v>0</v>
      </c>
      <c r="T31" s="17"/>
      <c r="U31" s="17">
        <f t="shared" si="1"/>
        <v>0</v>
      </c>
      <c r="V31" s="17">
        <v>1</v>
      </c>
      <c r="W31" s="9" t="s">
        <v>57</v>
      </c>
      <c r="X31" s="9">
        <f>INDEX('Unique Asset List'!$Y$4:$AE$60,MATCH('1'!$B31,'Unique Asset List'!$A$4:$A$60,0),MATCH('1'!$C$1,'Unique Asset List'!$Y$3:$AE$3,0))</f>
        <v>2028</v>
      </c>
      <c r="Y31" s="9">
        <f>INDEX('Unique Asset List'!$AF$4:$AL$60,MATCH('1'!$B31,'Unique Asset List'!$A$4:$A$60,0),MATCH('1'!$C$1,'Unique Asset List'!$AF$3:$AL$3,0))</f>
        <v>9</v>
      </c>
      <c r="Z31" s="9">
        <f>INDEX('Unique Asset List'!$AT$4:$AZ$60,MATCH('1'!$B31,'Unique Asset List'!$A$4:$A$60,0),MATCH('1'!$C$1,'Unique Asset List'!$AT$3:$AZ$3,0))</f>
        <v>2038</v>
      </c>
      <c r="AA31" s="9">
        <f>INDEX('Unique Asset List'!$BA$4:$BG$60,MATCH('1'!$B31,'Unique Asset List'!$A$4:$A$60,0),MATCH('1'!$C$1,'Unique Asset List'!$BA$3:$BG$3,0))</f>
        <v>9</v>
      </c>
      <c r="AB31" s="16">
        <f t="shared" si="6"/>
        <v>1.9514479000000002</v>
      </c>
      <c r="AC31" s="16">
        <f t="shared" si="2"/>
        <v>0.94137550000000003</v>
      </c>
      <c r="AD31" s="16">
        <f t="shared" si="3"/>
        <v>0.56099999999999994</v>
      </c>
      <c r="AE31" s="15">
        <f>INDEX('Unique Asset List'!$CJ$4:$CP$60,MATCH('1'!$B31,'Unique Asset List'!$A$4:$A$60,0),MATCH('1'!$C$1,'Unique Asset List'!$CJ$3:$CP$3,0))</f>
        <v>0.22</v>
      </c>
      <c r="AF31" s="15">
        <f>INDEX('Unique Asset List'!$CQ$4:$CW$60,MATCH('1'!$B31,'Unique Asset List'!$A$4:$A$60,0),MATCH('1'!$C$1,'Unique Asset List'!$CQ$3:$CW$3,0))</f>
        <v>0.28000000000000003</v>
      </c>
      <c r="AG31" s="15">
        <f>INDEX('Unique Asset List'!$BV$4:$CB$60,MATCH('1'!$B31,'Unique Asset List'!$A$4:$A$60,0),MATCH('1'!$C$1,'Unique Asset List'!$BV$3:$CB$3,0))</f>
        <v>0.22</v>
      </c>
      <c r="AH31" s="15">
        <f>INDEX('Unique Asset List'!$CC$4:$CI$60,MATCH('1'!$B31,'Unique Asset List'!$A$4:$A$60,0),MATCH('1'!$C$1,'Unique Asset List'!$CC$3:$CI$3,0))</f>
        <v>0.28000000000000003</v>
      </c>
      <c r="AI31" s="11">
        <v>0.97304949785176587</v>
      </c>
      <c r="AJ31" s="15">
        <f>INDEX('Unique Asset List'!$BH$4:$BN$60,MATCH('1'!$B31,'Unique Asset List'!$A$4:$A$60,0),MATCH('1'!$C$1,'Unique Asset List'!$BH$3:$BN$3,0))</f>
        <v>1.2267192541321688</v>
      </c>
      <c r="AK31" s="15">
        <f>INDEX('Unique Asset List'!$BO$4:$BU$60,MATCH('1'!$B31,'Unique Asset List'!$A$4:$A$60,0),MATCH('1'!$C$1,'Unique Asset List'!$BO$3:$BU$3,0))</f>
        <v>11.984388276878477</v>
      </c>
      <c r="AL31" s="150">
        <v>160</v>
      </c>
      <c r="AM31" s="14">
        <f>INDEX(Simulation!$B$6:$H$6,MATCH($A31,Simulation!$B$1:$H$1,0))*(1+AN31)^((DATE(X31,Y31,15)-DATE(2017,1,15))/365.5)</f>
        <v>22.400922205331778</v>
      </c>
      <c r="AN31" s="12">
        <v>3.5000000000000003E-2</v>
      </c>
      <c r="AO31" s="13">
        <v>60</v>
      </c>
      <c r="AP31" s="11">
        <v>0.6</v>
      </c>
      <c r="AQ31" s="12">
        <v>-0.02</v>
      </c>
      <c r="AR31" s="11">
        <v>0.5</v>
      </c>
      <c r="AS31" s="10">
        <v>1</v>
      </c>
      <c r="AT31" s="181">
        <f>INDEX('Unique Asset List'!N$4:N$60,MATCH($B31,_CompoundList,0))</f>
        <v>0</v>
      </c>
      <c r="AU31" s="181">
        <f>INDEX('Unique Asset List'!O$4:O$60,MATCH($B31,_CompoundList,0))</f>
        <v>0</v>
      </c>
      <c r="AV31" s="181">
        <f>INDEX('Unique Asset List'!P$4:P$60,MATCH($B31,_CompoundList,0))</f>
        <v>0</v>
      </c>
      <c r="AW31" s="181">
        <f>INDEX('Unique Asset List'!Q$4:Q$60,MATCH($B31,_CompoundList,0))</f>
        <v>0</v>
      </c>
      <c r="AX31" s="181">
        <f ca="1">INDEX('Unique Asset List'!R$4:R$60,MATCH($B31,_CompoundList,0))</f>
        <v>0</v>
      </c>
      <c r="AY31" s="181">
        <f ca="1">INDEX('Unique Asset List'!S$4:S$60,MATCH($B31,_CompoundList,0))</f>
        <v>1</v>
      </c>
      <c r="AZ31" s="181">
        <f ca="1">INDEX('Unique Asset List'!T$4:T$60,MATCH($B31,_CompoundList,0))</f>
        <v>1</v>
      </c>
      <c r="BA31" s="181">
        <f ca="1">INDEX('Unique Asset List'!U$4:U$60,MATCH($B31,_CompoundList,0))</f>
        <v>1</v>
      </c>
      <c r="BB31" s="181">
        <f ca="1">INDEX('Unique Asset List'!V$4:V$60,MATCH($B31,_CompoundList,0))</f>
        <v>1</v>
      </c>
      <c r="BC31" s="181">
        <f ca="1">INDEX('Unique Asset List'!W$4:W$60,MATCH($B31,_CompoundList,0))</f>
        <v>0</v>
      </c>
      <c r="BD31" s="4">
        <f>IF($C$5="ON",CD31,MyRating(_E1,$B31,Efficacy!$F$1))</f>
        <v>4</v>
      </c>
      <c r="BE31" s="3">
        <f>IF($C$5="ON",CE31,MyRating(_E2,$B31,Efficacy!$F$1))</f>
        <v>5</v>
      </c>
      <c r="BF31" s="3">
        <f>IF($C$5="ON",CF31,MyRating(_E3,$B31,Efficacy!$F$1))</f>
        <v>5</v>
      </c>
      <c r="BG31" s="3">
        <f>IF($C$5="ON",CG31,MyRating(_E4,$B31,Efficacy!$F$1))</f>
        <v>4</v>
      </c>
      <c r="BH31" s="3">
        <f>IF($C$5="ON",CH31,MyRating(_E5,$B31,Efficacy!$F$1))</f>
        <v>4</v>
      </c>
      <c r="BI31" s="3">
        <f>IF($C$5="ON",CI31,MyRating(_E6,$B31,Efficacy!$F$1))</f>
        <v>3</v>
      </c>
      <c r="BJ31" s="3">
        <f>IF($C$5="ON",CJ31,MyRating(_E7,$B31,Efficacy!$F$1))</f>
        <v>3</v>
      </c>
      <c r="BK31" s="3">
        <f>IF($C$5="ON",CK31,MyRating(_E8,$B31,Efficacy!$F$1))</f>
        <v>4</v>
      </c>
      <c r="BL31" s="3">
        <f>IF($C$5="ON",CL31,MyRating(_S1,$B31,Efficacy!$F$1))</f>
        <v>4</v>
      </c>
      <c r="BM31" s="3">
        <f>IF($C$5="ON",CM31,MyRating(_S2,$B31,Efficacy!$F$1))</f>
        <v>3</v>
      </c>
      <c r="BN31" s="3">
        <f>IF($C$5="ON",CN31,MyRating(_S3,$B31,Efficacy!$F$1))</f>
        <v>3</v>
      </c>
      <c r="BO31" s="3">
        <f>IF($C$5="ON",CO31,MyRating(_S4,$B31,Efficacy!$F$1))</f>
        <v>4</v>
      </c>
      <c r="BP31" s="3">
        <f>IF($C$5="ON",CP31,MyRating(_S5,$B31,Efficacy!$F$1))</f>
        <v>5</v>
      </c>
      <c r="BQ31" s="3">
        <f>IF($C$5="ON",CQ31,MyRating(_S6,$B31,Efficacy!$F$1))</f>
        <v>3</v>
      </c>
      <c r="BR31" s="3">
        <f>IF($C$5="ON",CR31,MyRating(_S7,$B31,Efficacy!$F$1))</f>
        <v>3</v>
      </c>
      <c r="BS31" s="3">
        <f>IF($C$5="ON",CS31,MyRating(_D1,$B31,Efficacy!$F$1))</f>
        <v>3</v>
      </c>
      <c r="BT31" s="3">
        <f>IF($C$5="ON",CT31,MyRating(_D2,$B31,Efficacy!$F$1))</f>
        <v>3</v>
      </c>
      <c r="BU31" s="3">
        <f>IF($C$5="ON",CU31,MyRating(_D3,$B31,Efficacy!$F$1))</f>
        <v>3</v>
      </c>
      <c r="BV31" s="3">
        <f>IF($C$5="ON",CV31,MyRating(_D4,$B31,Efficacy!$F$1))</f>
        <v>3</v>
      </c>
      <c r="BW31" s="3">
        <f>IF($C$5="ON",CW31,MyRating(_B1,$B31,Barrier!$F$2))</f>
        <v>3</v>
      </c>
      <c r="BX31" s="3">
        <f>IF($C$5="ON",CX31,MyRating(_B2,$B31,Barrier!$F$2))</f>
        <v>3</v>
      </c>
      <c r="BY31" s="6">
        <f>IF($C$5="ON",CY31,MyRating(_B3,$B31,Barrier!$F$2))</f>
        <v>3</v>
      </c>
      <c r="BZ31" s="5">
        <f t="shared" si="7"/>
        <v>0</v>
      </c>
      <c r="CA31" s="8">
        <f t="shared" si="4"/>
        <v>2.4000000000000004</v>
      </c>
      <c r="CB31" s="5">
        <f t="shared" si="8"/>
        <v>2.8301886792452827E-2</v>
      </c>
      <c r="CC31" s="7">
        <f t="shared" si="5"/>
        <v>3.8137644231022581E-6</v>
      </c>
      <c r="CD31" s="4">
        <v>4</v>
      </c>
      <c r="CE31" s="3">
        <v>5</v>
      </c>
      <c r="CF31" s="3">
        <v>5</v>
      </c>
      <c r="CG31" s="3">
        <v>4</v>
      </c>
      <c r="CH31" s="3">
        <v>4</v>
      </c>
      <c r="CI31" s="3">
        <v>3</v>
      </c>
      <c r="CJ31" s="3">
        <v>3</v>
      </c>
      <c r="CK31" s="3">
        <v>4</v>
      </c>
      <c r="CL31" s="3">
        <v>4</v>
      </c>
      <c r="CM31" s="3">
        <v>3</v>
      </c>
      <c r="CN31" s="3">
        <v>3</v>
      </c>
      <c r="CO31" s="3">
        <v>4</v>
      </c>
      <c r="CP31" s="3">
        <v>5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3</v>
      </c>
      <c r="CX31" s="3">
        <v>3</v>
      </c>
      <c r="CY31" s="6">
        <v>3</v>
      </c>
      <c r="CZ31" s="5"/>
      <c r="DA31" s="4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</row>
    <row r="32" spans="1:126" x14ac:dyDescent="0.25">
      <c r="A32" s="9" t="s">
        <v>5</v>
      </c>
      <c r="B32" s="9" t="s">
        <v>68</v>
      </c>
      <c r="C32" s="20" t="s">
        <v>3</v>
      </c>
      <c r="D32" s="9" t="s">
        <v>2</v>
      </c>
      <c r="E32" s="9"/>
      <c r="F32" s="9" t="str">
        <f>INDEX('Unique Asset List'!$C$4:$C$60,MATCH(B32,_CompoundList,0))</f>
        <v>PCD</v>
      </c>
      <c r="G32" s="19">
        <v>0</v>
      </c>
      <c r="H32" s="9">
        <v>2018</v>
      </c>
      <c r="I32" s="9">
        <v>1</v>
      </c>
      <c r="J32" s="18">
        <f>INDEX(PTRS!$D$6:$D$12,MATCH('1'!$F32,PTRS!$B$6:$B$12,0))</f>
        <v>0.1044225</v>
      </c>
      <c r="K32" s="17">
        <f>INDEX('Unique Asset List'!$D$4:$M$60,MATCH($B32,'Unique Asset List'!$A$4:$A$60,0),MATCH(K$8,'Unique Asset List'!$D$3:$M$3,0))</f>
        <v>0</v>
      </c>
      <c r="L32" s="17">
        <f>INDEX('Unique Asset List'!$D$4:$M$60,MATCH($B32,'Unique Asset List'!$A$4:$A$60,0),MATCH(L$8,'Unique Asset List'!$D$3:$M$3,0))</f>
        <v>0</v>
      </c>
      <c r="M32" s="17">
        <f>J32</f>
        <v>0.1044225</v>
      </c>
      <c r="N32" s="17">
        <f>INDEX('Unique Asset List'!$D$4:$M$60,MATCH($B32,'Unique Asset List'!$A$4:$A$60,0),MATCH(N$8,'Unique Asset List'!$D$3:$M$3,0))</f>
        <v>0.1044225</v>
      </c>
      <c r="O32" s="17">
        <f>INDEX('Unique Asset List'!$D$4:$M$60,MATCH($B32,'Unique Asset List'!$A$4:$A$60,0),MATCH(O$8,'Unique Asset List'!$D$3:$M$3,0))</f>
        <v>0.1044225</v>
      </c>
      <c r="P32" s="17">
        <f>INDEX('Unique Asset List'!$D$4:$M$60,MATCH($B32,'Unique Asset List'!$A$4:$A$60,0),MATCH(P$8,'Unique Asset List'!$D$3:$M$3,0))</f>
        <v>0.1044225</v>
      </c>
      <c r="Q32" s="17">
        <f>INDEX('Unique Asset List'!$D$4:$M$60,MATCH($B32,'Unique Asset List'!$A$4:$A$60,0),MATCH(Q$8,'Unique Asset List'!$D$3:$M$3,0))</f>
        <v>0.1044225</v>
      </c>
      <c r="R32" s="17">
        <f>INDEX('Unique Asset List'!$D$4:$M$60,MATCH($B32,'Unique Asset List'!$A$4:$A$60,0),MATCH(R$8,'Unique Asset List'!$D$3:$M$3,0))</f>
        <v>0.1044225</v>
      </c>
      <c r="S32" s="17">
        <f>INDEX('Unique Asset List'!$D$4:$M$60,MATCH($B32,'Unique Asset List'!$A$4:$A$60,0),MATCH(S$8,'Unique Asset List'!$D$3:$M$3,0))</f>
        <v>0</v>
      </c>
      <c r="T32" s="17"/>
      <c r="U32" s="17">
        <f t="shared" si="1"/>
        <v>0</v>
      </c>
      <c r="V32" s="17">
        <v>1</v>
      </c>
      <c r="W32" s="9" t="s">
        <v>68</v>
      </c>
      <c r="X32" s="9">
        <f>INDEX('Unique Asset List'!$Y$4:$AE$60,MATCH('1'!$B32,'Unique Asset List'!$A$4:$A$60,0),MATCH('1'!$C$1,'Unique Asset List'!$Y$3:$AE$3,0))</f>
        <v>2031</v>
      </c>
      <c r="Y32" s="9">
        <f>INDEX('Unique Asset List'!$AF$4:$AL$60,MATCH('1'!$B32,'Unique Asset List'!$A$4:$A$60,0),MATCH('1'!$C$1,'Unique Asset List'!$AF$3:$AL$3,0))</f>
        <v>3</v>
      </c>
      <c r="Z32" s="9">
        <f>INDEX('Unique Asset List'!$AT$4:$AZ$60,MATCH('1'!$B32,'Unique Asset List'!$A$4:$A$60,0),MATCH('1'!$C$1,'Unique Asset List'!$AT$3:$AZ$3,0))</f>
        <v>2041</v>
      </c>
      <c r="AA32" s="9">
        <f>INDEX('Unique Asset List'!$BA$4:$BG$60,MATCH('1'!$B32,'Unique Asset List'!$A$4:$A$60,0),MATCH('1'!$C$1,'Unique Asset List'!$BA$3:$BG$3,0))</f>
        <v>3</v>
      </c>
      <c r="AB32" s="16">
        <f t="shared" si="6"/>
        <v>1.8077445000000001</v>
      </c>
      <c r="AC32" s="16">
        <f t="shared" si="2"/>
        <v>0.94137550000000003</v>
      </c>
      <c r="AD32" s="16">
        <f t="shared" si="3"/>
        <v>0.56099999999999994</v>
      </c>
      <c r="AE32" s="15">
        <f>INDEX('Unique Asset List'!$CJ$4:$CP$60,MATCH('1'!$B32,'Unique Asset List'!$A$4:$A$60,0),MATCH('1'!$C$1,'Unique Asset List'!$CJ$3:$CP$3,0))</f>
        <v>0.15</v>
      </c>
      <c r="AF32" s="15">
        <f>INDEX('Unique Asset List'!$CQ$4:$CW$60,MATCH('1'!$B32,'Unique Asset List'!$A$4:$A$60,0),MATCH('1'!$C$1,'Unique Asset List'!$CQ$3:$CW$3,0))</f>
        <v>0.35</v>
      </c>
      <c r="AG32" s="15">
        <f>INDEX('Unique Asset List'!$BV$4:$CB$60,MATCH('1'!$B32,'Unique Asset List'!$A$4:$A$60,0),MATCH('1'!$C$1,'Unique Asset List'!$BV$3:$CB$3,0))</f>
        <v>0.15</v>
      </c>
      <c r="AH32" s="15">
        <f>INDEX('Unique Asset List'!$CC$4:$CI$60,MATCH('1'!$B32,'Unique Asset List'!$A$4:$A$60,0),MATCH('1'!$C$1,'Unique Asset List'!$CC$3:$CI$3,0))</f>
        <v>0.35</v>
      </c>
      <c r="AI32" s="11">
        <v>0.97304949785176587</v>
      </c>
      <c r="AJ32" s="15">
        <f>INDEX('Unique Asset List'!$BH$4:$BN$60,MATCH('1'!$B32,'Unique Asset List'!$A$4:$A$60,0),MATCH('1'!$C$1,'Unique Asset List'!$BH$3:$BN$3,0))</f>
        <v>1.2267192541321688</v>
      </c>
      <c r="AK32" s="15">
        <f>INDEX('Unique Asset List'!$BO$4:$BU$60,MATCH('1'!$B32,'Unique Asset List'!$A$4:$A$60,0),MATCH('1'!$C$1,'Unique Asset List'!$BO$3:$BU$3,0))</f>
        <v>11.984388276878477</v>
      </c>
      <c r="AL32" s="150">
        <v>160</v>
      </c>
      <c r="AM32" s="14">
        <f>INDEX(Simulation!$B$6:$H$6,MATCH($A32,Simulation!$B$1:$H$1,0))*(1+AN32)^((DATE(X32,Y32,15)-DATE(2017,1,15))/365.5)</f>
        <v>24.406435814856806</v>
      </c>
      <c r="AN32" s="12">
        <v>3.5000000000000003E-2</v>
      </c>
      <c r="AO32" s="13">
        <v>60</v>
      </c>
      <c r="AP32" s="11">
        <v>0.6</v>
      </c>
      <c r="AQ32" s="12">
        <v>-0.02</v>
      </c>
      <c r="AR32" s="11">
        <v>0.5</v>
      </c>
      <c r="AS32" s="10">
        <v>1</v>
      </c>
      <c r="AT32" s="181">
        <f>INDEX('Unique Asset List'!N$4:N$60,MATCH($B32,_CompoundList,0))</f>
        <v>0</v>
      </c>
      <c r="AU32" s="181">
        <f>INDEX('Unique Asset List'!O$4:O$60,MATCH($B32,_CompoundList,0))</f>
        <v>0</v>
      </c>
      <c r="AV32" s="181">
        <f>INDEX('Unique Asset List'!P$4:P$60,MATCH($B32,_CompoundList,0))</f>
        <v>0</v>
      </c>
      <c r="AW32" s="181">
        <f>INDEX('Unique Asset List'!Q$4:Q$60,MATCH($B32,_CompoundList,0))</f>
        <v>0</v>
      </c>
      <c r="AX32" s="181">
        <f ca="1">INDEX('Unique Asset List'!R$4:R$60,MATCH($B32,_CompoundList,0))</f>
        <v>1</v>
      </c>
      <c r="AY32" s="181">
        <f ca="1">INDEX('Unique Asset List'!S$4:S$60,MATCH($B32,_CompoundList,0))</f>
        <v>1</v>
      </c>
      <c r="AZ32" s="181">
        <f ca="1">INDEX('Unique Asset List'!T$4:T$60,MATCH($B32,_CompoundList,0))</f>
        <v>1</v>
      </c>
      <c r="BA32" s="181">
        <f ca="1">INDEX('Unique Asset List'!U$4:U$60,MATCH($B32,_CompoundList,0))</f>
        <v>1</v>
      </c>
      <c r="BB32" s="181">
        <f ca="1">INDEX('Unique Asset List'!V$4:V$60,MATCH($B32,_CompoundList,0))</f>
        <v>1</v>
      </c>
      <c r="BC32" s="181">
        <f ca="1">INDEX('Unique Asset List'!W$4:W$60,MATCH($B32,_CompoundList,0))</f>
        <v>1</v>
      </c>
      <c r="BD32" s="4">
        <f>IF($C$5="ON",CD32,MyRating(_E1,$B32,Efficacy!$F$1))</f>
        <v>4</v>
      </c>
      <c r="BE32" s="3">
        <f>IF($C$5="ON",CE32,MyRating(_E2,$B32,Efficacy!$F$1))</f>
        <v>4</v>
      </c>
      <c r="BF32" s="3">
        <f>IF($C$5="ON",CF32,MyRating(_E3,$B32,Efficacy!$F$1))</f>
        <v>4</v>
      </c>
      <c r="BG32" s="3">
        <f>IF($C$5="ON",CG32,MyRating(_E4,$B32,Efficacy!$F$1))</f>
        <v>4</v>
      </c>
      <c r="BH32" s="3">
        <f>IF($C$5="ON",CH32,MyRating(_E5,$B32,Efficacy!$F$1))</f>
        <v>4</v>
      </c>
      <c r="BI32" s="3">
        <f>IF($C$5="ON",CI32,MyRating(_E6,$B32,Efficacy!$F$1))</f>
        <v>3</v>
      </c>
      <c r="BJ32" s="3">
        <f>IF($C$5="ON",CJ32,MyRating(_E7,$B32,Efficacy!$F$1))</f>
        <v>3</v>
      </c>
      <c r="BK32" s="3">
        <f>IF($C$5="ON",CK32,MyRating(_E8,$B32,Efficacy!$F$1))</f>
        <v>4</v>
      </c>
      <c r="BL32" s="3">
        <f>IF($C$5="ON",CL32,MyRating(_S1,$B32,Efficacy!$F$1))</f>
        <v>4</v>
      </c>
      <c r="BM32" s="3">
        <f>IF($C$5="ON",CM32,MyRating(_S2,$B32,Efficacy!$F$1))</f>
        <v>3</v>
      </c>
      <c r="BN32" s="3">
        <f>IF($C$5="ON",CN32,MyRating(_S3,$B32,Efficacy!$F$1))</f>
        <v>3</v>
      </c>
      <c r="BO32" s="3">
        <f>IF($C$5="ON",CO32,MyRating(_S4,$B32,Efficacy!$F$1))</f>
        <v>4</v>
      </c>
      <c r="BP32" s="3">
        <f>IF($C$5="ON",CP32,MyRating(_S5,$B32,Efficacy!$F$1))</f>
        <v>5</v>
      </c>
      <c r="BQ32" s="3">
        <f>IF($C$5="ON",CQ32,MyRating(_S6,$B32,Efficacy!$F$1))</f>
        <v>3</v>
      </c>
      <c r="BR32" s="3">
        <f>IF($C$5="ON",CR32,MyRating(_S7,$B32,Efficacy!$F$1))</f>
        <v>3</v>
      </c>
      <c r="BS32" s="3">
        <f>IF($C$5="ON",CS32,MyRating(_D1,$B32,Efficacy!$F$1))</f>
        <v>3</v>
      </c>
      <c r="BT32" s="3">
        <f>IF($C$5="ON",CT32,MyRating(_D2,$B32,Efficacy!$F$1))</f>
        <v>3</v>
      </c>
      <c r="BU32" s="3">
        <f>IF($C$5="ON",CU32,MyRating(_D3,$B32,Efficacy!$F$1))</f>
        <v>3</v>
      </c>
      <c r="BV32" s="3">
        <f>IF($C$5="ON",CV32,MyRating(_D4,$B32,Efficacy!$F$1))</f>
        <v>3</v>
      </c>
      <c r="BW32" s="3">
        <f>IF($C$5="ON",CW32,MyRating(_B1,$B32,Barrier!$F$2))</f>
        <v>3</v>
      </c>
      <c r="BX32" s="3">
        <f>IF($C$5="ON",CX32,MyRating(_B2,$B32,Barrier!$F$2))</f>
        <v>3</v>
      </c>
      <c r="BY32" s="6">
        <f>IF($C$5="ON",CY32,MyRating(_B3,$B32,Barrier!$F$2))</f>
        <v>3</v>
      </c>
      <c r="BZ32" s="5">
        <f t="shared" si="7"/>
        <v>0</v>
      </c>
      <c r="CA32" s="8">
        <f t="shared" si="4"/>
        <v>2.4000000000000004</v>
      </c>
      <c r="CB32" s="5">
        <f t="shared" si="8"/>
        <v>2.8301886792452827E-2</v>
      </c>
      <c r="CC32" s="7">
        <f t="shared" si="5"/>
        <v>3.8137644231022581E-6</v>
      </c>
      <c r="CD32" s="4">
        <v>4</v>
      </c>
      <c r="CE32" s="3">
        <v>4</v>
      </c>
      <c r="CF32" s="3">
        <v>4</v>
      </c>
      <c r="CG32" s="3">
        <v>4</v>
      </c>
      <c r="CH32" s="3">
        <v>4</v>
      </c>
      <c r="CI32" s="3">
        <v>3</v>
      </c>
      <c r="CJ32" s="3">
        <v>3</v>
      </c>
      <c r="CK32" s="3">
        <v>4</v>
      </c>
      <c r="CL32" s="3">
        <v>4</v>
      </c>
      <c r="CM32" s="3">
        <v>3</v>
      </c>
      <c r="CN32" s="3">
        <v>3</v>
      </c>
      <c r="CO32" s="3">
        <v>4</v>
      </c>
      <c r="CP32" s="3">
        <v>5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3</v>
      </c>
      <c r="CX32" s="3">
        <v>3</v>
      </c>
      <c r="CY32" s="6">
        <v>3</v>
      </c>
      <c r="CZ32" s="5"/>
      <c r="DA32" s="4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</row>
    <row r="33" spans="1:126" x14ac:dyDescent="0.25">
      <c r="A33" s="9" t="s">
        <v>5</v>
      </c>
      <c r="B33" s="9" t="s">
        <v>67</v>
      </c>
      <c r="C33" s="20" t="s">
        <v>3</v>
      </c>
      <c r="D33" s="9" t="s">
        <v>2</v>
      </c>
      <c r="E33" s="9"/>
      <c r="F33" s="9" t="str">
        <f>INDEX('Unique Asset List'!$C$4:$C$60,MATCH(B33,_CompoundList,0))</f>
        <v>PCD</v>
      </c>
      <c r="G33" s="19">
        <v>0</v>
      </c>
      <c r="H33" s="9">
        <v>2018</v>
      </c>
      <c r="I33" s="9">
        <v>1</v>
      </c>
      <c r="J33" s="18">
        <f>INDEX(PTRS!$D$6:$D$12,MATCH('1'!$F33,PTRS!$B$6:$B$12,0))</f>
        <v>0.1044225</v>
      </c>
      <c r="K33" s="17">
        <f>INDEX('Unique Asset List'!$D$4:$M$60,MATCH($B33,'Unique Asset List'!$A$4:$A$60,0),MATCH(K$8,'Unique Asset List'!$D$3:$M$3,0))</f>
        <v>0</v>
      </c>
      <c r="L33" s="17">
        <f>INDEX('Unique Asset List'!$D$4:$M$60,MATCH($B33,'Unique Asset List'!$A$4:$A$60,0),MATCH(L$8,'Unique Asset List'!$D$3:$M$3,0))</f>
        <v>0</v>
      </c>
      <c r="M33" s="17">
        <f>J33</f>
        <v>0.1044225</v>
      </c>
      <c r="N33" s="17">
        <f>INDEX('Unique Asset List'!$D$4:$M$60,MATCH($B33,'Unique Asset List'!$A$4:$A$60,0),MATCH(N$8,'Unique Asset List'!$D$3:$M$3,0))</f>
        <v>0.1044225</v>
      </c>
      <c r="O33" s="17">
        <f>INDEX('Unique Asset List'!$D$4:$M$60,MATCH($B33,'Unique Asset List'!$A$4:$A$60,0),MATCH(O$8,'Unique Asset List'!$D$3:$M$3,0))</f>
        <v>0.1044225</v>
      </c>
      <c r="P33" s="17">
        <f>INDEX('Unique Asset List'!$D$4:$M$60,MATCH($B33,'Unique Asset List'!$A$4:$A$60,0),MATCH(P$8,'Unique Asset List'!$D$3:$M$3,0))</f>
        <v>0.1044225</v>
      </c>
      <c r="Q33" s="17">
        <f>INDEX('Unique Asset List'!$D$4:$M$60,MATCH($B33,'Unique Asset List'!$A$4:$A$60,0),MATCH(Q$8,'Unique Asset List'!$D$3:$M$3,0))</f>
        <v>0.1044225</v>
      </c>
      <c r="R33" s="17">
        <f>INDEX('Unique Asset List'!$D$4:$M$60,MATCH($B33,'Unique Asset List'!$A$4:$A$60,0),MATCH(R$8,'Unique Asset List'!$D$3:$M$3,0))</f>
        <v>0.1044225</v>
      </c>
      <c r="S33" s="17">
        <f>INDEX('Unique Asset List'!$D$4:$M$60,MATCH($B33,'Unique Asset List'!$A$4:$A$60,0),MATCH(S$8,'Unique Asset List'!$D$3:$M$3,0))</f>
        <v>0</v>
      </c>
      <c r="T33" s="17"/>
      <c r="U33" s="17">
        <f t="shared" si="1"/>
        <v>0</v>
      </c>
      <c r="V33" s="17">
        <v>1</v>
      </c>
      <c r="W33" s="9" t="s">
        <v>67</v>
      </c>
      <c r="X33" s="9">
        <f>INDEX('Unique Asset List'!$Y$4:$AE$60,MATCH('1'!$B33,'Unique Asset List'!$A$4:$A$60,0),MATCH('1'!$C$1,'Unique Asset List'!$Y$3:$AE$3,0))</f>
        <v>2031</v>
      </c>
      <c r="Y33" s="9">
        <f>INDEX('Unique Asset List'!$AF$4:$AL$60,MATCH('1'!$B33,'Unique Asset List'!$A$4:$A$60,0),MATCH('1'!$C$1,'Unique Asset List'!$AF$3:$AL$3,0))</f>
        <v>3</v>
      </c>
      <c r="Z33" s="9">
        <f>INDEX('Unique Asset List'!$AT$4:$AZ$60,MATCH('1'!$B33,'Unique Asset List'!$A$4:$A$60,0),MATCH('1'!$C$1,'Unique Asset List'!$AT$3:$AZ$3,0))</f>
        <v>2041</v>
      </c>
      <c r="AA33" s="9">
        <f>INDEX('Unique Asset List'!$BA$4:$BG$60,MATCH('1'!$B33,'Unique Asset List'!$A$4:$A$60,0),MATCH('1'!$C$1,'Unique Asset List'!$BA$3:$BG$3,0))</f>
        <v>3</v>
      </c>
      <c r="AB33" s="16">
        <f t="shared" si="6"/>
        <v>1.8077445000000001</v>
      </c>
      <c r="AC33" s="16">
        <f t="shared" si="2"/>
        <v>0.94137550000000003</v>
      </c>
      <c r="AD33" s="16">
        <f t="shared" si="3"/>
        <v>0.56099999999999994</v>
      </c>
      <c r="AE33" s="15">
        <f>INDEX('Unique Asset List'!$CJ$4:$CP$60,MATCH('1'!$B33,'Unique Asset List'!$A$4:$A$60,0),MATCH('1'!$C$1,'Unique Asset List'!$CJ$3:$CP$3,0))</f>
        <v>0.15</v>
      </c>
      <c r="AF33" s="15">
        <f>INDEX('Unique Asset List'!$CQ$4:$CW$60,MATCH('1'!$B33,'Unique Asset List'!$A$4:$A$60,0),MATCH('1'!$C$1,'Unique Asset List'!$CQ$3:$CW$3,0))</f>
        <v>0.35</v>
      </c>
      <c r="AG33" s="15">
        <f>INDEX('Unique Asset List'!$BV$4:$CB$60,MATCH('1'!$B33,'Unique Asset List'!$A$4:$A$60,0),MATCH('1'!$C$1,'Unique Asset List'!$BV$3:$CB$3,0))</f>
        <v>0.15</v>
      </c>
      <c r="AH33" s="15">
        <f>INDEX('Unique Asset List'!$CC$4:$CI$60,MATCH('1'!$B33,'Unique Asset List'!$A$4:$A$60,0),MATCH('1'!$C$1,'Unique Asset List'!$CC$3:$CI$3,0))</f>
        <v>0.35</v>
      </c>
      <c r="AI33" s="11">
        <v>0.97304949785176587</v>
      </c>
      <c r="AJ33" s="15">
        <f>INDEX('Unique Asset List'!$BH$4:$BN$60,MATCH('1'!$B33,'Unique Asset List'!$A$4:$A$60,0),MATCH('1'!$C$1,'Unique Asset List'!$BH$3:$BN$3,0))</f>
        <v>1.2267192541321688</v>
      </c>
      <c r="AK33" s="15">
        <f>INDEX('Unique Asset List'!$BO$4:$BU$60,MATCH('1'!$B33,'Unique Asset List'!$A$4:$A$60,0),MATCH('1'!$C$1,'Unique Asset List'!$BO$3:$BU$3,0))</f>
        <v>11.984388276878477</v>
      </c>
      <c r="AL33" s="150">
        <v>160</v>
      </c>
      <c r="AM33" s="14">
        <f>INDEX(Simulation!$B$6:$H$6,MATCH($A33,Simulation!$B$1:$H$1,0))*(1+AN33)^((DATE(X33,Y33,15)-DATE(2017,1,15))/365.5)</f>
        <v>24.406435814856806</v>
      </c>
      <c r="AN33" s="12">
        <v>3.5000000000000003E-2</v>
      </c>
      <c r="AO33" s="13">
        <v>60</v>
      </c>
      <c r="AP33" s="11">
        <v>0.6</v>
      </c>
      <c r="AQ33" s="12">
        <v>-0.02</v>
      </c>
      <c r="AR33" s="11">
        <v>0.5</v>
      </c>
      <c r="AS33" s="10">
        <v>1</v>
      </c>
      <c r="AT33" s="181">
        <f>INDEX('Unique Asset List'!N$4:N$60,MATCH($B33,_CompoundList,0))</f>
        <v>0</v>
      </c>
      <c r="AU33" s="181">
        <f>INDEX('Unique Asset List'!O$4:O$60,MATCH($B33,_CompoundList,0))</f>
        <v>0</v>
      </c>
      <c r="AV33" s="181">
        <f>INDEX('Unique Asset List'!P$4:P$60,MATCH($B33,_CompoundList,0))</f>
        <v>0</v>
      </c>
      <c r="AW33" s="181">
        <f>INDEX('Unique Asset List'!Q$4:Q$60,MATCH($B33,_CompoundList,0))</f>
        <v>0</v>
      </c>
      <c r="AX33" s="181">
        <f ca="1">INDEX('Unique Asset List'!R$4:R$60,MATCH($B33,_CompoundList,0))</f>
        <v>0</v>
      </c>
      <c r="AY33" s="181">
        <f ca="1">INDEX('Unique Asset List'!S$4:S$60,MATCH($B33,_CompoundList,0))</f>
        <v>0</v>
      </c>
      <c r="AZ33" s="181">
        <f ca="1">INDEX('Unique Asset List'!T$4:T$60,MATCH($B33,_CompoundList,0))</f>
        <v>0</v>
      </c>
      <c r="BA33" s="181">
        <f ca="1">INDEX('Unique Asset List'!U$4:U$60,MATCH($B33,_CompoundList,0))</f>
        <v>1</v>
      </c>
      <c r="BB33" s="181">
        <f ca="1">INDEX('Unique Asset List'!V$4:V$60,MATCH($B33,_CompoundList,0))</f>
        <v>0</v>
      </c>
      <c r="BC33" s="181">
        <f ca="1">INDEX('Unique Asset List'!W$4:W$60,MATCH($B33,_CompoundList,0))</f>
        <v>0</v>
      </c>
      <c r="BD33" s="4">
        <f>IF($C$5="ON",CD33,MyRating(_E1,$B33,Efficacy!$F$1))</f>
        <v>4</v>
      </c>
      <c r="BE33" s="3">
        <f>IF($C$5="ON",CE33,MyRating(_E2,$B33,Efficacy!$F$1))</f>
        <v>4</v>
      </c>
      <c r="BF33" s="3">
        <f>IF($C$5="ON",CF33,MyRating(_E3,$B33,Efficacy!$F$1))</f>
        <v>4</v>
      </c>
      <c r="BG33" s="3">
        <f>IF($C$5="ON",CG33,MyRating(_E4,$B33,Efficacy!$F$1))</f>
        <v>4</v>
      </c>
      <c r="BH33" s="3">
        <f>IF($C$5="ON",CH33,MyRating(_E5,$B33,Efficacy!$F$1))</f>
        <v>4</v>
      </c>
      <c r="BI33" s="3">
        <f>IF($C$5="ON",CI33,MyRating(_E6,$B33,Efficacy!$F$1))</f>
        <v>3</v>
      </c>
      <c r="BJ33" s="3">
        <f>IF($C$5="ON",CJ33,MyRating(_E7,$B33,Efficacy!$F$1))</f>
        <v>3</v>
      </c>
      <c r="BK33" s="3">
        <f>IF($C$5="ON",CK33,MyRating(_E8,$B33,Efficacy!$F$1))</f>
        <v>4</v>
      </c>
      <c r="BL33" s="3">
        <f>IF($C$5="ON",CL33,MyRating(_S1,$B33,Efficacy!$F$1))</f>
        <v>4</v>
      </c>
      <c r="BM33" s="3">
        <f>IF($C$5="ON",CM33,MyRating(_S2,$B33,Efficacy!$F$1))</f>
        <v>3</v>
      </c>
      <c r="BN33" s="3">
        <f>IF($C$5="ON",CN33,MyRating(_S3,$B33,Efficacy!$F$1))</f>
        <v>3</v>
      </c>
      <c r="BO33" s="3">
        <f>IF($C$5="ON",CO33,MyRating(_S4,$B33,Efficacy!$F$1))</f>
        <v>4</v>
      </c>
      <c r="BP33" s="3">
        <f>IF($C$5="ON",CP33,MyRating(_S5,$B33,Efficacy!$F$1))</f>
        <v>5</v>
      </c>
      <c r="BQ33" s="3">
        <f>IF($C$5="ON",CQ33,MyRating(_S6,$B33,Efficacy!$F$1))</f>
        <v>3</v>
      </c>
      <c r="BR33" s="3">
        <f>IF($C$5="ON",CR33,MyRating(_S7,$B33,Efficacy!$F$1))</f>
        <v>3</v>
      </c>
      <c r="BS33" s="3">
        <f>IF($C$5="ON",CS33,MyRating(_D1,$B33,Efficacy!$F$1))</f>
        <v>3</v>
      </c>
      <c r="BT33" s="3">
        <f>IF($C$5="ON",CT33,MyRating(_D2,$B33,Efficacy!$F$1))</f>
        <v>3</v>
      </c>
      <c r="BU33" s="3">
        <f>IF($C$5="ON",CU33,MyRating(_D3,$B33,Efficacy!$F$1))</f>
        <v>3</v>
      </c>
      <c r="BV33" s="3">
        <f>IF($C$5="ON",CV33,MyRating(_D4,$B33,Efficacy!$F$1))</f>
        <v>3</v>
      </c>
      <c r="BW33" s="3">
        <f>IF($C$5="ON",CW33,MyRating(_B1,$B33,Barrier!$F$2))</f>
        <v>3</v>
      </c>
      <c r="BX33" s="3">
        <f>IF($C$5="ON",CX33,MyRating(_B2,$B33,Barrier!$F$2))</f>
        <v>3</v>
      </c>
      <c r="BY33" s="6">
        <f>IF($C$5="ON",CY33,MyRating(_B3,$B33,Barrier!$F$2))</f>
        <v>3</v>
      </c>
      <c r="BZ33" s="5">
        <f t="shared" si="7"/>
        <v>0</v>
      </c>
      <c r="CA33" s="8">
        <f t="shared" si="4"/>
        <v>2.4000000000000004</v>
      </c>
      <c r="CB33" s="5">
        <f t="shared" si="8"/>
        <v>2.8301886792452827E-2</v>
      </c>
      <c r="CC33" s="7">
        <f t="shared" si="5"/>
        <v>3.8137644231022581E-6</v>
      </c>
      <c r="CD33" s="4">
        <v>4</v>
      </c>
      <c r="CE33" s="3">
        <v>4</v>
      </c>
      <c r="CF33" s="3">
        <v>4</v>
      </c>
      <c r="CG33" s="3">
        <v>4</v>
      </c>
      <c r="CH33" s="3">
        <v>4</v>
      </c>
      <c r="CI33" s="3">
        <v>3</v>
      </c>
      <c r="CJ33" s="3">
        <v>3</v>
      </c>
      <c r="CK33" s="3">
        <v>4</v>
      </c>
      <c r="CL33" s="3">
        <v>4</v>
      </c>
      <c r="CM33" s="3">
        <v>3</v>
      </c>
      <c r="CN33" s="3">
        <v>3</v>
      </c>
      <c r="CO33" s="3">
        <v>4</v>
      </c>
      <c r="CP33" s="3">
        <v>5</v>
      </c>
      <c r="CQ33" s="3">
        <v>3</v>
      </c>
      <c r="CR33" s="3">
        <v>3</v>
      </c>
      <c r="CS33" s="3">
        <v>3</v>
      </c>
      <c r="CT33" s="3">
        <v>3</v>
      </c>
      <c r="CU33" s="3">
        <v>3</v>
      </c>
      <c r="CV33" s="3">
        <v>3</v>
      </c>
      <c r="CW33" s="3">
        <v>3</v>
      </c>
      <c r="CX33" s="3">
        <v>3</v>
      </c>
      <c r="CY33" s="6">
        <v>3</v>
      </c>
      <c r="CZ33" s="5"/>
      <c r="DA33" s="4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</row>
    <row r="34" spans="1:126" x14ac:dyDescent="0.25">
      <c r="A34" s="9" t="s">
        <v>5</v>
      </c>
      <c r="B34" s="9" t="s">
        <v>66</v>
      </c>
      <c r="C34" s="20" t="s">
        <v>3</v>
      </c>
      <c r="D34" s="9" t="s">
        <v>2</v>
      </c>
      <c r="E34" s="9"/>
      <c r="F34" s="9" t="str">
        <f>INDEX('Unique Asset List'!$C$4:$C$60,MATCH(B34,_CompoundList,0))</f>
        <v>PCD</v>
      </c>
      <c r="G34" s="19">
        <v>0</v>
      </c>
      <c r="H34" s="9">
        <v>2018</v>
      </c>
      <c r="I34" s="9">
        <v>1</v>
      </c>
      <c r="J34" s="18">
        <f>INDEX(PTRS!$D$6:$D$12,MATCH('1'!$F34,PTRS!$B$6:$B$12,0))</f>
        <v>0.1044225</v>
      </c>
      <c r="K34" s="17">
        <f>INDEX('Unique Asset List'!$D$4:$M$60,MATCH($B34,'Unique Asset List'!$A$4:$A$60,0),MATCH(K$8,'Unique Asset List'!$D$3:$M$3,0))</f>
        <v>0</v>
      </c>
      <c r="L34" s="17">
        <f>INDEX('Unique Asset List'!$D$4:$M$60,MATCH($B34,'Unique Asset List'!$A$4:$A$60,0),MATCH(L$8,'Unique Asset List'!$D$3:$M$3,0))</f>
        <v>0</v>
      </c>
      <c r="M34" s="17">
        <f>J34</f>
        <v>0.1044225</v>
      </c>
      <c r="N34" s="17">
        <f>INDEX('Unique Asset List'!$D$4:$M$60,MATCH($B34,'Unique Asset List'!$A$4:$A$60,0),MATCH(N$8,'Unique Asset List'!$D$3:$M$3,0))</f>
        <v>0</v>
      </c>
      <c r="O34" s="17">
        <f>INDEX('Unique Asset List'!$D$4:$M$60,MATCH($B34,'Unique Asset List'!$A$4:$A$60,0),MATCH(O$8,'Unique Asset List'!$D$3:$M$3,0))</f>
        <v>0</v>
      </c>
      <c r="P34" s="17">
        <f>INDEX('Unique Asset List'!$D$4:$M$60,MATCH($B34,'Unique Asset List'!$A$4:$A$60,0),MATCH(P$8,'Unique Asset List'!$D$3:$M$3,0))</f>
        <v>0</v>
      </c>
      <c r="Q34" s="17">
        <f>INDEX('Unique Asset List'!$D$4:$M$60,MATCH($B34,'Unique Asset List'!$A$4:$A$60,0),MATCH(Q$8,'Unique Asset List'!$D$3:$M$3,0))</f>
        <v>0</v>
      </c>
      <c r="R34" s="17">
        <f>INDEX('Unique Asset List'!$D$4:$M$60,MATCH($B34,'Unique Asset List'!$A$4:$A$60,0),MATCH(R$8,'Unique Asset List'!$D$3:$M$3,0))</f>
        <v>0</v>
      </c>
      <c r="S34" s="17">
        <f>INDEX('Unique Asset List'!$D$4:$M$60,MATCH($B34,'Unique Asset List'!$A$4:$A$60,0),MATCH(S$8,'Unique Asset List'!$D$3:$M$3,0))</f>
        <v>0</v>
      </c>
      <c r="T34" s="17"/>
      <c r="U34" s="17">
        <f t="shared" si="1"/>
        <v>0</v>
      </c>
      <c r="V34" s="17">
        <v>1</v>
      </c>
      <c r="W34" s="9" t="s">
        <v>62</v>
      </c>
      <c r="X34" s="9">
        <f>INDEX('Unique Asset List'!$Y$4:$AE$60,MATCH('1'!$B34,'Unique Asset List'!$A$4:$A$60,0),MATCH('1'!$C$1,'Unique Asset List'!$Y$3:$AE$3,0))</f>
        <v>2028</v>
      </c>
      <c r="Y34" s="9">
        <f>INDEX('Unique Asset List'!$AF$4:$AL$60,MATCH('1'!$B34,'Unique Asset List'!$A$4:$A$60,0),MATCH('1'!$C$1,'Unique Asset List'!$AF$3:$AL$3,0))</f>
        <v>3</v>
      </c>
      <c r="Z34" s="9">
        <f>INDEX('Unique Asset List'!$AT$4:$AZ$60,MATCH('1'!$B34,'Unique Asset List'!$A$4:$A$60,0),MATCH('1'!$C$1,'Unique Asset List'!$AT$3:$AZ$3,0))</f>
        <v>2038</v>
      </c>
      <c r="AA34" s="9">
        <f>INDEX('Unique Asset List'!$BA$4:$BG$60,MATCH('1'!$B34,'Unique Asset List'!$A$4:$A$60,0),MATCH('1'!$C$1,'Unique Asset List'!$BA$3:$BG$3,0))</f>
        <v>3</v>
      </c>
      <c r="AB34" s="16">
        <f t="shared" si="6"/>
        <v>1.8077445000000001</v>
      </c>
      <c r="AC34" s="16">
        <f t="shared" si="2"/>
        <v>0.94137550000000003</v>
      </c>
      <c r="AD34" s="16">
        <f t="shared" si="3"/>
        <v>0.56099999999999994</v>
      </c>
      <c r="AE34" s="15">
        <f>INDEX('Unique Asset List'!$CJ$4:$CP$60,MATCH('1'!$B34,'Unique Asset List'!$A$4:$A$60,0),MATCH('1'!$C$1,'Unique Asset List'!$CJ$3:$CP$3,0))</f>
        <v>0.22</v>
      </c>
      <c r="AF34" s="15">
        <f>INDEX('Unique Asset List'!$CQ$4:$CW$60,MATCH('1'!$B34,'Unique Asset List'!$A$4:$A$60,0),MATCH('1'!$C$1,'Unique Asset List'!$CQ$3:$CW$3,0))</f>
        <v>0.28000000000000003</v>
      </c>
      <c r="AG34" s="15">
        <f>INDEX('Unique Asset List'!$BV$4:$CB$60,MATCH('1'!$B34,'Unique Asset List'!$A$4:$A$60,0),MATCH('1'!$C$1,'Unique Asset List'!$BV$3:$CB$3,0))</f>
        <v>0.22</v>
      </c>
      <c r="AH34" s="15">
        <f>INDEX('Unique Asset List'!$CC$4:$CI$60,MATCH('1'!$B34,'Unique Asset List'!$A$4:$A$60,0),MATCH('1'!$C$1,'Unique Asset List'!$CC$3:$CI$3,0))</f>
        <v>0.28000000000000003</v>
      </c>
      <c r="AI34" s="11">
        <v>0.97304949785176587</v>
      </c>
      <c r="AJ34" s="15">
        <f>INDEX('Unique Asset List'!$BH$4:$BN$60,MATCH('1'!$B34,'Unique Asset List'!$A$4:$A$60,0),MATCH('1'!$C$1,'Unique Asset List'!$BH$3:$BN$3,0))</f>
        <v>1.2267192541321688</v>
      </c>
      <c r="AK34" s="15">
        <f>INDEX('Unique Asset List'!$BO$4:$BU$60,MATCH('1'!$B34,'Unique Asset List'!$A$4:$A$60,0),MATCH('1'!$C$1,'Unique Asset List'!$BO$3:$BU$3,0))</f>
        <v>11.984388276878477</v>
      </c>
      <c r="AL34" s="150">
        <v>160</v>
      </c>
      <c r="AM34" s="14">
        <f>INDEX(Simulation!$B$6:$H$6,MATCH($A34,Simulation!$B$1:$H$1,0))*(1+AN34)^((DATE(X34,Y34,15)-DATE(2017,1,15))/365.5)</f>
        <v>22.016314849691451</v>
      </c>
      <c r="AN34" s="12">
        <v>3.5000000000000003E-2</v>
      </c>
      <c r="AO34" s="13">
        <v>60</v>
      </c>
      <c r="AP34" s="11">
        <v>0.6</v>
      </c>
      <c r="AQ34" s="12">
        <v>-0.02</v>
      </c>
      <c r="AR34" s="11">
        <v>0.5</v>
      </c>
      <c r="AS34" s="10">
        <v>1</v>
      </c>
      <c r="AT34" s="181">
        <f>INDEX('Unique Asset List'!N$4:N$60,MATCH($B34,_CompoundList,0))</f>
        <v>0</v>
      </c>
      <c r="AU34" s="181">
        <f>INDEX('Unique Asset List'!O$4:O$60,MATCH($B34,_CompoundList,0))</f>
        <v>0</v>
      </c>
      <c r="AV34" s="181">
        <f>INDEX('Unique Asset List'!P$4:P$60,MATCH($B34,_CompoundList,0))</f>
        <v>0</v>
      </c>
      <c r="AW34" s="181">
        <f>INDEX('Unique Asset List'!Q$4:Q$60,MATCH($B34,_CompoundList,0))</f>
        <v>0</v>
      </c>
      <c r="AX34" s="181">
        <f ca="1">INDEX('Unique Asset List'!R$4:R$60,MATCH($B34,_CompoundList,0))</f>
        <v>1</v>
      </c>
      <c r="AY34" s="181">
        <f ca="1">INDEX('Unique Asset List'!S$4:S$60,MATCH($B34,_CompoundList,0))</f>
        <v>1</v>
      </c>
      <c r="AZ34" s="181">
        <f ca="1">INDEX('Unique Asset List'!T$4:T$60,MATCH($B34,_CompoundList,0))</f>
        <v>1</v>
      </c>
      <c r="BA34" s="181">
        <f ca="1">INDEX('Unique Asset List'!U$4:U$60,MATCH($B34,_CompoundList,0))</f>
        <v>1</v>
      </c>
      <c r="BB34" s="181">
        <f ca="1">INDEX('Unique Asset List'!V$4:V$60,MATCH($B34,_CompoundList,0))</f>
        <v>0</v>
      </c>
      <c r="BC34" s="181">
        <f ca="1">INDEX('Unique Asset List'!W$4:W$60,MATCH($B34,_CompoundList,0))</f>
        <v>1</v>
      </c>
      <c r="BD34" s="4">
        <f>IF($C$5="ON",CD34,MyRating(_E1,$B34,Efficacy!$F$1))</f>
        <v>4</v>
      </c>
      <c r="BE34" s="3">
        <f>IF($C$5="ON",CE34,MyRating(_E2,$B34,Efficacy!$F$1))</f>
        <v>4</v>
      </c>
      <c r="BF34" s="3">
        <f>IF($C$5="ON",CF34,MyRating(_E3,$B34,Efficacy!$F$1))</f>
        <v>4</v>
      </c>
      <c r="BG34" s="3">
        <f>IF($C$5="ON",CG34,MyRating(_E4,$B34,Efficacy!$F$1))</f>
        <v>4</v>
      </c>
      <c r="BH34" s="3">
        <f>IF($C$5="ON",CH34,MyRating(_E5,$B34,Efficacy!$F$1))</f>
        <v>4</v>
      </c>
      <c r="BI34" s="3">
        <f>IF($C$5="ON",CI34,MyRating(_E6,$B34,Efficacy!$F$1))</f>
        <v>3</v>
      </c>
      <c r="BJ34" s="3">
        <f>IF($C$5="ON",CJ34,MyRating(_E7,$B34,Efficacy!$F$1))</f>
        <v>3</v>
      </c>
      <c r="BK34" s="3">
        <f>IF($C$5="ON",CK34,MyRating(_E8,$B34,Efficacy!$F$1))</f>
        <v>4</v>
      </c>
      <c r="BL34" s="3">
        <f>IF($C$5="ON",CL34,MyRating(_S1,$B34,Efficacy!$F$1))</f>
        <v>4</v>
      </c>
      <c r="BM34" s="3">
        <f>IF($C$5="ON",CM34,MyRating(_S2,$B34,Efficacy!$F$1))</f>
        <v>3</v>
      </c>
      <c r="BN34" s="3">
        <f>IF($C$5="ON",CN34,MyRating(_S3,$B34,Efficacy!$F$1))</f>
        <v>3</v>
      </c>
      <c r="BO34" s="3">
        <f>IF($C$5="ON",CO34,MyRating(_S4,$B34,Efficacy!$F$1))</f>
        <v>4</v>
      </c>
      <c r="BP34" s="3">
        <f>IF($C$5="ON",CP34,MyRating(_S5,$B34,Efficacy!$F$1))</f>
        <v>5</v>
      </c>
      <c r="BQ34" s="3">
        <f>IF($C$5="ON",CQ34,MyRating(_S6,$B34,Efficacy!$F$1))</f>
        <v>3</v>
      </c>
      <c r="BR34" s="3">
        <f>IF($C$5="ON",CR34,MyRating(_S7,$B34,Efficacy!$F$1))</f>
        <v>3</v>
      </c>
      <c r="BS34" s="3">
        <f>IF($C$5="ON",CS34,MyRating(_D1,$B34,Efficacy!$F$1))</f>
        <v>3</v>
      </c>
      <c r="BT34" s="3">
        <f>IF($C$5="ON",CT34,MyRating(_D2,$B34,Efficacy!$F$1))</f>
        <v>3</v>
      </c>
      <c r="BU34" s="3">
        <f>IF($C$5="ON",CU34,MyRating(_D3,$B34,Efficacy!$F$1))</f>
        <v>3</v>
      </c>
      <c r="BV34" s="3">
        <f>IF($C$5="ON",CV34,MyRating(_D4,$B34,Efficacy!$F$1))</f>
        <v>3</v>
      </c>
      <c r="BW34" s="3">
        <f>IF($C$5="ON",CW34,MyRating(_B1,$B34,Barrier!$F$2))</f>
        <v>3</v>
      </c>
      <c r="BX34" s="3">
        <f>IF($C$5="ON",CX34,MyRating(_B2,$B34,Barrier!$F$2))</f>
        <v>3</v>
      </c>
      <c r="BY34" s="6">
        <f>IF($C$5="ON",CY34,MyRating(_B3,$B34,Barrier!$F$2))</f>
        <v>3</v>
      </c>
      <c r="BZ34" s="5">
        <f t="shared" si="7"/>
        <v>0</v>
      </c>
      <c r="CA34" s="8">
        <f t="shared" si="4"/>
        <v>2.4000000000000004</v>
      </c>
      <c r="CB34" s="5">
        <f t="shared" si="8"/>
        <v>2.8301886792452827E-2</v>
      </c>
      <c r="CC34" s="7">
        <f t="shared" si="5"/>
        <v>3.8137644231022581E-6</v>
      </c>
      <c r="CD34" s="4">
        <v>4</v>
      </c>
      <c r="CE34" s="3">
        <v>4</v>
      </c>
      <c r="CF34" s="3">
        <v>4</v>
      </c>
      <c r="CG34" s="3">
        <v>4</v>
      </c>
      <c r="CH34" s="3">
        <v>4</v>
      </c>
      <c r="CI34" s="3">
        <v>3</v>
      </c>
      <c r="CJ34" s="3">
        <v>3</v>
      </c>
      <c r="CK34" s="3">
        <v>4</v>
      </c>
      <c r="CL34" s="3">
        <v>4</v>
      </c>
      <c r="CM34" s="3">
        <v>3</v>
      </c>
      <c r="CN34" s="3">
        <v>3</v>
      </c>
      <c r="CO34" s="3">
        <v>4</v>
      </c>
      <c r="CP34" s="3">
        <v>5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3</v>
      </c>
      <c r="CX34" s="3">
        <v>3</v>
      </c>
      <c r="CY34" s="6">
        <v>3</v>
      </c>
      <c r="CZ34" s="5"/>
      <c r="DA34" s="4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</row>
    <row r="35" spans="1:126" x14ac:dyDescent="0.25">
      <c r="A35" s="9" t="s">
        <v>5</v>
      </c>
      <c r="B35" s="9" t="s">
        <v>65</v>
      </c>
      <c r="C35" s="20" t="s">
        <v>3</v>
      </c>
      <c r="D35" s="9" t="s">
        <v>64</v>
      </c>
      <c r="E35" s="9"/>
      <c r="F35" s="9" t="str">
        <f>INDEX('Unique Asset List'!$C$4:$C$60,MATCH(B35,_CompoundList,0))</f>
        <v>Ph3</v>
      </c>
      <c r="G35" s="19">
        <v>0</v>
      </c>
      <c r="H35" s="9">
        <v>2018</v>
      </c>
      <c r="I35" s="9">
        <v>1</v>
      </c>
      <c r="J35" s="18">
        <f>INDEX(PTRS!$D$6:$D$12,MATCH('1'!$F35,PTRS!$B$6:$B$12,0))</f>
        <v>0.58500000000000008</v>
      </c>
      <c r="K35" s="17">
        <f>INDEX('Unique Asset List'!$D$4:$M$60,MATCH($B35,'Unique Asset List'!$A$4:$A$60,0),MATCH(K$8,'Unique Asset List'!$D$3:$M$3,0))</f>
        <v>0</v>
      </c>
      <c r="L35" s="17">
        <f>INDEX('Unique Asset List'!$D$4:$M$60,MATCH($B35,'Unique Asset List'!$A$4:$A$60,0),MATCH(L$8,'Unique Asset List'!$D$3:$M$3,0))</f>
        <v>0</v>
      </c>
      <c r="M35" s="17">
        <f>J35</f>
        <v>0.58500000000000008</v>
      </c>
      <c r="N35" s="17">
        <f>INDEX('Unique Asset List'!$D$4:$M$60,MATCH($B35,'Unique Asset List'!$A$4:$A$60,0),MATCH(N$8,'Unique Asset List'!$D$3:$M$3,0))</f>
        <v>0.58500000000000008</v>
      </c>
      <c r="O35" s="17">
        <f>INDEX('Unique Asset List'!$D$4:$M$60,MATCH($B35,'Unique Asset List'!$A$4:$A$60,0),MATCH(O$8,'Unique Asset List'!$D$3:$M$3,0))</f>
        <v>0.58500000000000008</v>
      </c>
      <c r="P35" s="17">
        <f>INDEX('Unique Asset List'!$D$4:$M$60,MATCH($B35,'Unique Asset List'!$A$4:$A$60,0),MATCH(P$8,'Unique Asset List'!$D$3:$M$3,0))</f>
        <v>0.58500000000000008</v>
      </c>
      <c r="Q35" s="17">
        <f>INDEX('Unique Asset List'!$D$4:$M$60,MATCH($B35,'Unique Asset List'!$A$4:$A$60,0),MATCH(Q$8,'Unique Asset List'!$D$3:$M$3,0))</f>
        <v>0.58500000000000008</v>
      </c>
      <c r="R35" s="17">
        <f>INDEX('Unique Asset List'!$D$4:$M$60,MATCH($B35,'Unique Asset List'!$A$4:$A$60,0),MATCH(R$8,'Unique Asset List'!$D$3:$M$3,0))</f>
        <v>0.58500000000000008</v>
      </c>
      <c r="S35" s="17">
        <f>INDEX('Unique Asset List'!$D$4:$M$60,MATCH($B35,'Unique Asset List'!$A$4:$A$60,0),MATCH(S$8,'Unique Asset List'!$D$3:$M$3,0))</f>
        <v>0</v>
      </c>
      <c r="T35" s="17"/>
      <c r="U35" s="17">
        <f t="shared" si="1"/>
        <v>0</v>
      </c>
      <c r="V35" s="17">
        <v>1</v>
      </c>
      <c r="W35" s="9" t="s">
        <v>62</v>
      </c>
      <c r="X35" s="9">
        <f>INDEX('Unique Asset List'!$Y$4:$AE$60,MATCH('1'!$B35,'Unique Asset List'!$A$4:$A$60,0),MATCH('1'!$C$1,'Unique Asset List'!$Y$3:$AE$3,0))</f>
        <v>2021</v>
      </c>
      <c r="Y35" s="9">
        <f>INDEX('Unique Asset List'!$AF$4:$AL$60,MATCH('1'!$B35,'Unique Asset List'!$A$4:$A$60,0),MATCH('1'!$C$1,'Unique Asset List'!$AF$3:$AL$3,0))</f>
        <v>7</v>
      </c>
      <c r="Z35" s="9">
        <f>INDEX('Unique Asset List'!$AT$4:$AZ$60,MATCH('1'!$B35,'Unique Asset List'!$A$4:$A$60,0),MATCH('1'!$C$1,'Unique Asset List'!$AT$3:$AZ$3,0))</f>
        <v>2031</v>
      </c>
      <c r="AA35" s="9">
        <f>INDEX('Unique Asset List'!$BA$4:$BG$60,MATCH('1'!$B35,'Unique Asset List'!$A$4:$A$60,0),MATCH('1'!$C$1,'Unique Asset List'!$BA$3:$BG$3,0))</f>
        <v>7</v>
      </c>
      <c r="AB35" s="16">
        <f t="shared" si="6"/>
        <v>1.4139084</v>
      </c>
      <c r="AC35" s="16">
        <f t="shared" si="2"/>
        <v>0.94137550000000003</v>
      </c>
      <c r="AD35" s="16">
        <f t="shared" si="3"/>
        <v>0.50129594525999999</v>
      </c>
      <c r="AE35" s="15">
        <f>INDEX('Unique Asset List'!$CJ$4:$CP$60,MATCH('1'!$B35,'Unique Asset List'!$A$4:$A$60,0),MATCH('1'!$C$1,'Unique Asset List'!$CJ$3:$CP$3,0))</f>
        <v>0.22</v>
      </c>
      <c r="AF35" s="15">
        <f>INDEX('Unique Asset List'!$CQ$4:$CW$60,MATCH('1'!$B35,'Unique Asset List'!$A$4:$A$60,0),MATCH('1'!$C$1,'Unique Asset List'!$CQ$3:$CW$3,0))</f>
        <v>0.28000000000000003</v>
      </c>
      <c r="AG35" s="15">
        <f>INDEX('Unique Asset List'!$BV$4:$CB$60,MATCH('1'!$B35,'Unique Asset List'!$A$4:$A$60,0),MATCH('1'!$C$1,'Unique Asset List'!$BV$3:$CB$3,0))</f>
        <v>0.22</v>
      </c>
      <c r="AH35" s="15">
        <f>INDEX('Unique Asset List'!$CC$4:$CI$60,MATCH('1'!$B35,'Unique Asset List'!$A$4:$A$60,0),MATCH('1'!$C$1,'Unique Asset List'!$CC$3:$CI$3,0))</f>
        <v>0.28000000000000003</v>
      </c>
      <c r="AI35" s="11">
        <v>0.97304949785176587</v>
      </c>
      <c r="AJ35" s="15">
        <f>INDEX('Unique Asset List'!$BH$4:$BN$60,MATCH('1'!$B35,'Unique Asset List'!$A$4:$A$60,0),MATCH('1'!$C$1,'Unique Asset List'!$BH$3:$BN$3,0))</f>
        <v>1.2267192541321688</v>
      </c>
      <c r="AK35" s="15">
        <f>INDEX('Unique Asset List'!$BO$4:$BU$60,MATCH('1'!$B35,'Unique Asset List'!$A$4:$A$60,0),MATCH('1'!$C$1,'Unique Asset List'!$BO$3:$BU$3,0))</f>
        <v>11.984388276878477</v>
      </c>
      <c r="AL35" s="150">
        <v>112.30769230769232</v>
      </c>
      <c r="AM35" s="14">
        <f>INDEX(Simulation!$B$6:$H$6,MATCH($A35,Simulation!$B$1:$H$1,0))*(1+AN35)^((DATE(X35,Y35,15)-DATE(2017,1,15))/365.5)</f>
        <v>17.506947236002926</v>
      </c>
      <c r="AN35" s="12">
        <v>3.5000000000000003E-2</v>
      </c>
      <c r="AO35" s="13">
        <v>60</v>
      </c>
      <c r="AP35" s="11">
        <v>0.6</v>
      </c>
      <c r="AQ35" s="12">
        <v>-0.02</v>
      </c>
      <c r="AR35" s="11">
        <v>0.5</v>
      </c>
      <c r="AS35" s="10">
        <v>1</v>
      </c>
      <c r="AT35" s="181">
        <f>INDEX('Unique Asset List'!N$4:N$60,MATCH($B35,_CompoundList,0))</f>
        <v>0</v>
      </c>
      <c r="AU35" s="181">
        <f>INDEX('Unique Asset List'!O$4:O$60,MATCH($B35,_CompoundList,0))</f>
        <v>0</v>
      </c>
      <c r="AV35" s="181">
        <f>INDEX('Unique Asset List'!P$4:P$60,MATCH($B35,_CompoundList,0))</f>
        <v>0</v>
      </c>
      <c r="AW35" s="181">
        <f>INDEX('Unique Asset List'!Q$4:Q$60,MATCH($B35,_CompoundList,0))</f>
        <v>0</v>
      </c>
      <c r="AX35" s="181">
        <f ca="1">INDEX('Unique Asset List'!R$4:R$60,MATCH($B35,_CompoundList,0))</f>
        <v>1</v>
      </c>
      <c r="AY35" s="181">
        <f ca="1">INDEX('Unique Asset List'!S$4:S$60,MATCH($B35,_CompoundList,0))</f>
        <v>0</v>
      </c>
      <c r="AZ35" s="181">
        <f ca="1">INDEX('Unique Asset List'!T$4:T$60,MATCH($B35,_CompoundList,0))</f>
        <v>1</v>
      </c>
      <c r="BA35" s="181">
        <f ca="1">INDEX('Unique Asset List'!U$4:U$60,MATCH($B35,_CompoundList,0))</f>
        <v>1</v>
      </c>
      <c r="BB35" s="181">
        <f ca="1">INDEX('Unique Asset List'!V$4:V$60,MATCH($B35,_CompoundList,0))</f>
        <v>1</v>
      </c>
      <c r="BC35" s="181">
        <f ca="1">INDEX('Unique Asset List'!W$4:W$60,MATCH($B35,_CompoundList,0))</f>
        <v>0</v>
      </c>
      <c r="BD35" s="4">
        <f>IF($C$5="ON",CD35,MyRating(_E1,$B35,Efficacy!$F$1))</f>
        <v>0</v>
      </c>
      <c r="BE35" s="3">
        <f>IF($C$5="ON",CE35,MyRating(_E2,$B35,Efficacy!$F$1))</f>
        <v>4</v>
      </c>
      <c r="BF35" s="3">
        <f>IF($C$5="ON",CF35,MyRating(_E3,$B35,Efficacy!$F$1))</f>
        <v>4</v>
      </c>
      <c r="BG35" s="3">
        <f>IF($C$5="ON",CG35,MyRating(_E4,$B35,Efficacy!$F$1))</f>
        <v>4</v>
      </c>
      <c r="BH35" s="3">
        <f>IF($C$5="ON",CH35,MyRating(_E5,$B35,Efficacy!$F$1))</f>
        <v>3</v>
      </c>
      <c r="BI35" s="3">
        <f>IF($C$5="ON",CI35,MyRating(_E6,$B35,Efficacy!$F$1))</f>
        <v>3</v>
      </c>
      <c r="BJ35" s="3">
        <f>IF($C$5="ON",CJ35,MyRating(_E7,$B35,Efficacy!$F$1))</f>
        <v>3</v>
      </c>
      <c r="BK35" s="3">
        <f>IF($C$5="ON",CK35,MyRating(_E8,$B35,Efficacy!$F$1))</f>
        <v>5</v>
      </c>
      <c r="BL35" s="3">
        <f>IF($C$5="ON",CL35,MyRating(_S1,$B35,Efficacy!$F$1))</f>
        <v>4</v>
      </c>
      <c r="BM35" s="3">
        <f>IF($C$5="ON",CM35,MyRating(_S2,$B35,Efficacy!$F$1))</f>
        <v>3</v>
      </c>
      <c r="BN35" s="3">
        <f>IF($C$5="ON",CN35,MyRating(_S3,$B35,Efficacy!$F$1))</f>
        <v>3</v>
      </c>
      <c r="BO35" s="3">
        <f>IF($C$5="ON",CO35,MyRating(_S4,$B35,Efficacy!$F$1))</f>
        <v>4</v>
      </c>
      <c r="BP35" s="3">
        <f>IF($C$5="ON",CP35,MyRating(_S5,$B35,Efficacy!$F$1))</f>
        <v>5</v>
      </c>
      <c r="BQ35" s="3">
        <f>IF($C$5="ON",CQ35,MyRating(_S6,$B35,Efficacy!$F$1))</f>
        <v>3</v>
      </c>
      <c r="BR35" s="3">
        <f>IF($C$5="ON",CR35,MyRating(_S7,$B35,Efficacy!$F$1))</f>
        <v>3</v>
      </c>
      <c r="BS35" s="3">
        <f>IF($C$5="ON",CS35,MyRating(_D1,$B35,Efficacy!$F$1))</f>
        <v>2</v>
      </c>
      <c r="BT35" s="3">
        <f>IF($C$5="ON",CT35,MyRating(_D2,$B35,Efficacy!$F$1))</f>
        <v>3</v>
      </c>
      <c r="BU35" s="3">
        <f>IF($C$5="ON",CU35,MyRating(_D3,$B35,Efficacy!$F$1))</f>
        <v>3</v>
      </c>
      <c r="BV35" s="3">
        <f>IF($C$5="ON",CV35,MyRating(_D4,$B35,Efficacy!$F$1))</f>
        <v>3</v>
      </c>
      <c r="BW35" s="3">
        <f>IF($C$5="ON",CW35,MyRating(_B1,$B35,Barrier!$F$2))</f>
        <v>2</v>
      </c>
      <c r="BX35" s="3">
        <f>IF($C$5="ON",CX35,MyRating(_B2,$B35,Barrier!$F$2))</f>
        <v>1</v>
      </c>
      <c r="BY35" s="6">
        <f>IF($C$5="ON",CY35,MyRating(_B3,$B35,Barrier!$F$2))</f>
        <v>1</v>
      </c>
      <c r="BZ35" s="5">
        <f t="shared" si="7"/>
        <v>0</v>
      </c>
      <c r="CA35" s="8">
        <f t="shared" si="4"/>
        <v>1</v>
      </c>
      <c r="CB35" s="5">
        <f t="shared" si="8"/>
        <v>1.1792452830188675E-2</v>
      </c>
      <c r="CC35" s="7">
        <f t="shared" si="5"/>
        <v>1.7807974171770534E-7</v>
      </c>
      <c r="CD35" s="4">
        <v>0</v>
      </c>
      <c r="CE35" s="3">
        <v>4</v>
      </c>
      <c r="CF35" s="3">
        <v>4</v>
      </c>
      <c r="CG35" s="3">
        <v>4</v>
      </c>
      <c r="CH35" s="3">
        <v>3</v>
      </c>
      <c r="CI35" s="3">
        <v>3</v>
      </c>
      <c r="CJ35" s="3">
        <v>3</v>
      </c>
      <c r="CK35" s="3">
        <v>5</v>
      </c>
      <c r="CL35" s="3">
        <v>4</v>
      </c>
      <c r="CM35" s="3">
        <v>3</v>
      </c>
      <c r="CN35" s="3">
        <v>3</v>
      </c>
      <c r="CO35" s="3">
        <v>4</v>
      </c>
      <c r="CP35" s="3">
        <v>5</v>
      </c>
      <c r="CQ35" s="3">
        <v>3</v>
      </c>
      <c r="CR35" s="3">
        <v>3</v>
      </c>
      <c r="CS35" s="3">
        <v>2</v>
      </c>
      <c r="CT35" s="3">
        <v>3</v>
      </c>
      <c r="CU35" s="3">
        <v>3</v>
      </c>
      <c r="CV35" s="3">
        <v>3</v>
      </c>
      <c r="CW35" s="3">
        <v>1</v>
      </c>
      <c r="CX35" s="3">
        <v>1</v>
      </c>
      <c r="CY35" s="6">
        <v>1</v>
      </c>
      <c r="CZ35" s="5"/>
      <c r="DA35" s="4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</row>
    <row r="36" spans="1:126" x14ac:dyDescent="0.25">
      <c r="A36" s="9" t="s">
        <v>5</v>
      </c>
      <c r="B36" s="9" t="s">
        <v>35</v>
      </c>
      <c r="C36" s="20"/>
      <c r="D36" s="9" t="s">
        <v>2</v>
      </c>
      <c r="E36" s="9"/>
      <c r="F36" s="9" t="str">
        <f>INDEX('Unique Asset List'!$C$4:$C$60,MATCH(B36,_CompoundList,0))</f>
        <v>Ph1</v>
      </c>
      <c r="G36" s="19">
        <v>0</v>
      </c>
      <c r="H36" s="9">
        <v>2018</v>
      </c>
      <c r="I36" s="9">
        <v>1</v>
      </c>
      <c r="J36" s="18">
        <f>INDEX(PTRS!$D$6:$D$12,MATCH('1'!$F36,PTRS!$B$6:$B$12,0))</f>
        <v>0.13923000000000002</v>
      </c>
      <c r="K36" s="17">
        <f>INDEX('Unique Asset List'!$D$4:$M$60,MATCH($B36,'Unique Asset List'!$A$4:$A$60,0),MATCH(K$8,'Unique Asset List'!$D$3:$M$3,0))</f>
        <v>0</v>
      </c>
      <c r="L36" s="17">
        <f>INDEX('Unique Asset List'!$D$4:$M$60,MATCH($B36,'Unique Asset List'!$A$4:$A$60,0),MATCH(L$8,'Unique Asset List'!$D$3:$M$3,0))</f>
        <v>0</v>
      </c>
      <c r="M36" s="17">
        <v>0.14000000000000001</v>
      </c>
      <c r="N36" s="17">
        <f>INDEX('Unique Asset List'!$D$4:$M$60,MATCH($B36,'Unique Asset List'!$A$4:$A$60,0),MATCH(N$8,'Unique Asset List'!$D$3:$M$3,0))</f>
        <v>0.14000000000000001</v>
      </c>
      <c r="O36" s="17">
        <f>INDEX('Unique Asset List'!$D$4:$M$60,MATCH($B36,'Unique Asset List'!$A$4:$A$60,0),MATCH(O$8,'Unique Asset List'!$D$3:$M$3,0))</f>
        <v>0.14000000000000001</v>
      </c>
      <c r="P36" s="17">
        <f>INDEX('Unique Asset List'!$D$4:$M$60,MATCH($B36,'Unique Asset List'!$A$4:$A$60,0),MATCH(P$8,'Unique Asset List'!$D$3:$M$3,0))</f>
        <v>0.14000000000000001</v>
      </c>
      <c r="Q36" s="17">
        <f>INDEX('Unique Asset List'!$D$4:$M$60,MATCH($B36,'Unique Asset List'!$A$4:$A$60,0),MATCH(Q$8,'Unique Asset List'!$D$3:$M$3,0))</f>
        <v>0.14000000000000001</v>
      </c>
      <c r="R36" s="17">
        <f>INDEX('Unique Asset List'!$D$4:$M$60,MATCH($B36,'Unique Asset List'!$A$4:$A$60,0),MATCH(R$8,'Unique Asset List'!$D$3:$M$3,0))</f>
        <v>0.14000000000000001</v>
      </c>
      <c r="S36" s="17">
        <f>INDEX('Unique Asset List'!$D$4:$M$60,MATCH($B36,'Unique Asset List'!$A$4:$A$60,0),MATCH(S$8,'Unique Asset List'!$D$3:$M$3,0))</f>
        <v>0</v>
      </c>
      <c r="T36" s="17"/>
      <c r="U36" s="17">
        <f t="shared" si="1"/>
        <v>0.58302373629991611</v>
      </c>
      <c r="V36" s="17">
        <v>1</v>
      </c>
      <c r="W36" s="9" t="s">
        <v>34</v>
      </c>
      <c r="X36" s="9">
        <f>INDEX('Unique Asset List'!$Y$4:$AE$60,MATCH('1'!$B36,'Unique Asset List'!$A$4:$A$60,0),MATCH('1'!$C$1,'Unique Asset List'!$Y$3:$AE$3,0))</f>
        <v>2027</v>
      </c>
      <c r="Y36" s="9">
        <f>INDEX('Unique Asset List'!$AF$4:$AL$60,MATCH('1'!$B36,'Unique Asset List'!$A$4:$A$60,0),MATCH('1'!$C$1,'Unique Asset List'!$AF$3:$AL$3,0))</f>
        <v>6</v>
      </c>
      <c r="Z36" s="9">
        <f>INDEX('Unique Asset List'!$AT$4:$AZ$60,MATCH('1'!$B36,'Unique Asset List'!$A$4:$A$60,0),MATCH('1'!$C$1,'Unique Asset List'!$AT$3:$AZ$3,0))</f>
        <v>2037</v>
      </c>
      <c r="AA36" s="9">
        <f>INDEX('Unique Asset List'!$BA$4:$BG$60,MATCH('1'!$B36,'Unique Asset List'!$A$4:$A$60,0),MATCH('1'!$C$1,'Unique Asset List'!$BA$3:$BG$3,0))</f>
        <v>5</v>
      </c>
      <c r="AB36" s="16">
        <f t="shared" si="6"/>
        <v>1.7489031000000002</v>
      </c>
      <c r="AC36" s="16">
        <f t="shared" si="2"/>
        <v>0.94137550000000003</v>
      </c>
      <c r="AD36" s="16">
        <f t="shared" si="3"/>
        <v>0.56099999999999994</v>
      </c>
      <c r="AE36" s="15">
        <f>INDEX('Unique Asset List'!$CJ$4:$CP$60,MATCH('1'!$B36,'Unique Asset List'!$A$4:$A$60,0),MATCH('1'!$C$1,'Unique Asset List'!$CJ$3:$CP$3,0))</f>
        <v>0.15</v>
      </c>
      <c r="AF36" s="15">
        <f>INDEX('Unique Asset List'!$CQ$4:$CW$60,MATCH('1'!$B36,'Unique Asset List'!$A$4:$A$60,0),MATCH('1'!$C$1,'Unique Asset List'!$CQ$3:$CW$3,0))</f>
        <v>0.35</v>
      </c>
      <c r="AG36" s="15">
        <f>INDEX('Unique Asset List'!$BV$4:$CB$60,MATCH('1'!$B36,'Unique Asset List'!$A$4:$A$60,0),MATCH('1'!$C$1,'Unique Asset List'!$BV$3:$CB$3,0))</f>
        <v>0.15</v>
      </c>
      <c r="AH36" s="15">
        <f>INDEX('Unique Asset List'!$CC$4:$CI$60,MATCH('1'!$B36,'Unique Asset List'!$A$4:$A$60,0),MATCH('1'!$C$1,'Unique Asset List'!$CC$3:$CI$3,0))</f>
        <v>0.35</v>
      </c>
      <c r="AI36" s="11">
        <v>0.97304949785176587</v>
      </c>
      <c r="AJ36" s="15">
        <f>INDEX('Unique Asset List'!$BH$4:$BN$60,MATCH('1'!$B36,'Unique Asset List'!$A$4:$A$60,0),MATCH('1'!$C$1,'Unique Asset List'!$BH$3:$BN$3,0))</f>
        <v>1.2267192541321688</v>
      </c>
      <c r="AK36" s="15">
        <f>INDEX('Unique Asset List'!$BO$4:$BU$60,MATCH('1'!$B36,'Unique Asset List'!$A$4:$A$60,0),MATCH('1'!$C$1,'Unique Asset List'!$BO$3:$BU$3,0))</f>
        <v>11.984388276878477</v>
      </c>
      <c r="AL36" s="150">
        <v>160</v>
      </c>
      <c r="AM36" s="14">
        <f>INDEX(Simulation!$B$6:$H$6,MATCH($A36,Simulation!$B$1:$H$1,0))*(1+AN36)^((DATE(X36,Y36,15)-DATE(2017,1,15))/365.5)</f>
        <v>21.455788256374355</v>
      </c>
      <c r="AN36" s="12">
        <v>3.5000000000000003E-2</v>
      </c>
      <c r="AO36" s="13">
        <v>60</v>
      </c>
      <c r="AP36" s="11">
        <v>0.6</v>
      </c>
      <c r="AQ36" s="12">
        <v>-0.02</v>
      </c>
      <c r="AR36" s="11">
        <v>0.5</v>
      </c>
      <c r="AS36" s="10">
        <v>1</v>
      </c>
      <c r="AT36" s="181">
        <f>INDEX('Unique Asset List'!N$4:N$60,MATCH($B36,_CompoundList,0))</f>
        <v>0</v>
      </c>
      <c r="AU36" s="181">
        <f>INDEX('Unique Asset List'!O$4:O$60,MATCH($B36,_CompoundList,0))</f>
        <v>0</v>
      </c>
      <c r="AV36" s="181">
        <f>INDEX('Unique Asset List'!P$4:P$60,MATCH($B36,_CompoundList,0))</f>
        <v>0</v>
      </c>
      <c r="AW36" s="181">
        <f>INDEX('Unique Asset List'!Q$4:Q$60,MATCH($B36,_CompoundList,0))</f>
        <v>0</v>
      </c>
      <c r="AX36" s="181">
        <f ca="1">INDEX('Unique Asset List'!R$4:R$60,MATCH($B36,_CompoundList,0))</f>
        <v>0</v>
      </c>
      <c r="AY36" s="181">
        <f ca="1">INDEX('Unique Asset List'!S$4:S$60,MATCH($B36,_CompoundList,0))</f>
        <v>0</v>
      </c>
      <c r="AZ36" s="181">
        <f ca="1">INDEX('Unique Asset List'!T$4:T$60,MATCH($B36,_CompoundList,0))</f>
        <v>0</v>
      </c>
      <c r="BA36" s="181">
        <f ca="1">INDEX('Unique Asset List'!U$4:U$60,MATCH($B36,_CompoundList,0))</f>
        <v>0</v>
      </c>
      <c r="BB36" s="181">
        <f ca="1">INDEX('Unique Asset List'!V$4:V$60,MATCH($B36,_CompoundList,0))</f>
        <v>0</v>
      </c>
      <c r="BC36" s="181">
        <f ca="1">INDEX('Unique Asset List'!W$4:W$60,MATCH($B36,_CompoundList,0))</f>
        <v>1</v>
      </c>
      <c r="BD36" s="4">
        <f>IF($C$5="ON",CD36,MyRating(_E1,$B36,Efficacy!$F$1))</f>
        <v>4</v>
      </c>
      <c r="BE36" s="3">
        <f>IF($C$5="ON",CE36,MyRating(_E2,$B36,Efficacy!$F$1))</f>
        <v>3</v>
      </c>
      <c r="BF36" s="3">
        <f>IF($C$5="ON",CF36,MyRating(_E3,$B36,Efficacy!$F$1))</f>
        <v>4</v>
      </c>
      <c r="BG36" s="3">
        <f>IF($C$5="ON",CG36,MyRating(_E4,$B36,Efficacy!$F$1))</f>
        <v>4</v>
      </c>
      <c r="BH36" s="3">
        <f>IF($C$5="ON",CH36,MyRating(_E5,$B36,Efficacy!$F$1))</f>
        <v>3</v>
      </c>
      <c r="BI36" s="3">
        <f>IF($C$5="ON",CI36,MyRating(_E6,$B36,Efficacy!$F$1))</f>
        <v>4</v>
      </c>
      <c r="BJ36" s="3">
        <f>IF($C$5="ON",CJ36,MyRating(_E7,$B36,Efficacy!$F$1))</f>
        <v>3</v>
      </c>
      <c r="BK36" s="3">
        <f>IF($C$5="ON",CK36,MyRating(_E8,$B36,Efficacy!$F$1))</f>
        <v>4</v>
      </c>
      <c r="BL36" s="3">
        <f>IF($C$5="ON",CL36,MyRating(_S1,$B36,Efficacy!$F$1))</f>
        <v>4</v>
      </c>
      <c r="BM36" s="3">
        <f>IF($C$5="ON",CM36,MyRating(_S2,$B36,Efficacy!$F$1))</f>
        <v>3</v>
      </c>
      <c r="BN36" s="3">
        <f>IF($C$5="ON",CN36,MyRating(_S3,$B36,Efficacy!$F$1))</f>
        <v>3</v>
      </c>
      <c r="BO36" s="3">
        <f>IF($C$5="ON",CO36,MyRating(_S4,$B36,Efficacy!$F$1))</f>
        <v>4</v>
      </c>
      <c r="BP36" s="3">
        <f>IF($C$5="ON",CP36,MyRating(_S5,$B36,Efficacy!$F$1))</f>
        <v>5</v>
      </c>
      <c r="BQ36" s="3">
        <f>IF($C$5="ON",CQ36,MyRating(_S6,$B36,Efficacy!$F$1))</f>
        <v>3</v>
      </c>
      <c r="BR36" s="3">
        <f>IF($C$5="ON",CR36,MyRating(_S7,$B36,Efficacy!$F$1))</f>
        <v>3</v>
      </c>
      <c r="BS36" s="3">
        <f>IF($C$5="ON",CS36,MyRating(_D1,$B36,Efficacy!$F$1))</f>
        <v>3</v>
      </c>
      <c r="BT36" s="3">
        <f>IF($C$5="ON",CT36,MyRating(_D2,$B36,Efficacy!$F$1))</f>
        <v>3</v>
      </c>
      <c r="BU36" s="3">
        <f>IF($C$5="ON",CU36,MyRating(_D3,$B36,Efficacy!$F$1))</f>
        <v>3</v>
      </c>
      <c r="BV36" s="3">
        <f>IF($C$5="ON",CV36,MyRating(_D4,$B36,Efficacy!$F$1))</f>
        <v>3</v>
      </c>
      <c r="BW36" s="3">
        <f>IF($C$5="ON",CW36,MyRating(_B1,$B36,Barrier!$F$2))</f>
        <v>3</v>
      </c>
      <c r="BX36" s="3">
        <f>IF($C$5="ON",CX36,MyRating(_B2,$B36,Barrier!$F$2))</f>
        <v>3</v>
      </c>
      <c r="BY36" s="6">
        <f>IF($C$5="ON",CY36,MyRating(_B3,$B36,Barrier!$F$2))</f>
        <v>3</v>
      </c>
      <c r="BZ36" s="5">
        <f t="shared" si="7"/>
        <v>2.833849230535369E-2</v>
      </c>
      <c r="CA36" s="8">
        <f t="shared" si="4"/>
        <v>2.4000000000000004</v>
      </c>
      <c r="CB36" s="5">
        <f t="shared" si="8"/>
        <v>2.8301886792452827E-2</v>
      </c>
      <c r="CC36" s="7">
        <f t="shared" si="5"/>
        <v>3.8137644231022581E-6</v>
      </c>
      <c r="CD36" s="4">
        <v>4</v>
      </c>
      <c r="CE36" s="3">
        <v>3</v>
      </c>
      <c r="CF36" s="3">
        <v>4</v>
      </c>
      <c r="CG36" s="3">
        <v>4</v>
      </c>
      <c r="CH36" s="3">
        <v>3</v>
      </c>
      <c r="CI36" s="3">
        <v>4</v>
      </c>
      <c r="CJ36" s="3">
        <v>3</v>
      </c>
      <c r="CK36" s="3">
        <v>4</v>
      </c>
      <c r="CL36" s="3">
        <v>4</v>
      </c>
      <c r="CM36" s="3">
        <v>3</v>
      </c>
      <c r="CN36" s="3">
        <v>3</v>
      </c>
      <c r="CO36" s="3">
        <v>4</v>
      </c>
      <c r="CP36" s="3">
        <v>5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3</v>
      </c>
      <c r="CX36" s="3">
        <v>3</v>
      </c>
      <c r="CY36" s="6">
        <v>3</v>
      </c>
      <c r="CZ36" s="5"/>
      <c r="DA36" s="4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</row>
    <row r="37" spans="1:126" x14ac:dyDescent="0.25">
      <c r="A37" s="9" t="s">
        <v>5</v>
      </c>
      <c r="B37" s="9" t="s">
        <v>31</v>
      </c>
      <c r="C37" s="20"/>
      <c r="D37" s="9" t="s">
        <v>2</v>
      </c>
      <c r="E37" s="9"/>
      <c r="F37" s="9" t="str">
        <f>INDEX('Unique Asset List'!$C$4:$C$60,MATCH(B37,_CompoundList,0))</f>
        <v>Ph1</v>
      </c>
      <c r="G37" s="19">
        <v>0</v>
      </c>
      <c r="H37" s="9">
        <v>2018</v>
      </c>
      <c r="I37" s="9">
        <v>1</v>
      </c>
      <c r="J37" s="18">
        <f>INDEX(PTRS!$D$6:$D$12,MATCH('1'!$F37,PTRS!$B$6:$B$12,0))</f>
        <v>0.13923000000000002</v>
      </c>
      <c r="K37" s="17">
        <f>INDEX('Unique Asset List'!$D$4:$M$60,MATCH($B37,'Unique Asset List'!$A$4:$A$60,0),MATCH(K$8,'Unique Asset List'!$D$3:$M$3,0))</f>
        <v>0</v>
      </c>
      <c r="L37" s="17">
        <f>INDEX('Unique Asset List'!$D$4:$M$60,MATCH($B37,'Unique Asset List'!$A$4:$A$60,0),MATCH(L$8,'Unique Asset List'!$D$3:$M$3,0))</f>
        <v>0</v>
      </c>
      <c r="M37" s="17">
        <v>0.14000000000000001</v>
      </c>
      <c r="N37" s="17">
        <f>INDEX('Unique Asset List'!$D$4:$M$60,MATCH($B37,'Unique Asset List'!$A$4:$A$60,0),MATCH(N$8,'Unique Asset List'!$D$3:$M$3,0))</f>
        <v>0.14000000000000001</v>
      </c>
      <c r="O37" s="17">
        <f>INDEX('Unique Asset List'!$D$4:$M$60,MATCH($B37,'Unique Asset List'!$A$4:$A$60,0),MATCH(O$8,'Unique Asset List'!$D$3:$M$3,0))</f>
        <v>0.14000000000000001</v>
      </c>
      <c r="P37" s="17">
        <f>INDEX('Unique Asset List'!$D$4:$M$60,MATCH($B37,'Unique Asset List'!$A$4:$A$60,0),MATCH(P$8,'Unique Asset List'!$D$3:$M$3,0))</f>
        <v>0.14000000000000001</v>
      </c>
      <c r="Q37" s="17">
        <f>INDEX('Unique Asset List'!$D$4:$M$60,MATCH($B37,'Unique Asset List'!$A$4:$A$60,0),MATCH(Q$8,'Unique Asset List'!$D$3:$M$3,0))</f>
        <v>0.14000000000000001</v>
      </c>
      <c r="R37" s="17">
        <f>INDEX('Unique Asset List'!$D$4:$M$60,MATCH($B37,'Unique Asset List'!$A$4:$A$60,0),MATCH(R$8,'Unique Asset List'!$D$3:$M$3,0))</f>
        <v>0.14000000000000001</v>
      </c>
      <c r="S37" s="17">
        <f>INDEX('Unique Asset List'!$D$4:$M$60,MATCH($B37,'Unique Asset List'!$A$4:$A$60,0),MATCH(S$8,'Unique Asset List'!$D$3:$M$3,0))</f>
        <v>0</v>
      </c>
      <c r="T37" s="17"/>
      <c r="U37" s="17">
        <f t="shared" si="1"/>
        <v>0.58302373629991611</v>
      </c>
      <c r="V37" s="17">
        <v>1</v>
      </c>
      <c r="W37" s="9" t="s">
        <v>31</v>
      </c>
      <c r="X37" s="9">
        <f>INDEX('Unique Asset List'!$Y$4:$AE$60,MATCH('1'!$B37,'Unique Asset List'!$A$4:$A$60,0),MATCH('1'!$C$1,'Unique Asset List'!$Y$3:$AE$3,0))</f>
        <v>2027</v>
      </c>
      <c r="Y37" s="9">
        <f>INDEX('Unique Asset List'!$AF$4:$AL$60,MATCH('1'!$B37,'Unique Asset List'!$A$4:$A$60,0),MATCH('1'!$C$1,'Unique Asset List'!$AF$3:$AL$3,0))</f>
        <v>2</v>
      </c>
      <c r="Z37" s="9">
        <f>INDEX('Unique Asset List'!$AT$4:$AZ$60,MATCH('1'!$B37,'Unique Asset List'!$A$4:$A$60,0),MATCH('1'!$C$1,'Unique Asset List'!$AT$3:$AZ$3,0))</f>
        <v>2035</v>
      </c>
      <c r="AA37" s="9">
        <f>INDEX('Unique Asset List'!$BA$4:$BG$60,MATCH('1'!$B37,'Unique Asset List'!$A$4:$A$60,0),MATCH('1'!$C$1,'Unique Asset List'!$BA$3:$BG$3,0))</f>
        <v>5</v>
      </c>
      <c r="AB37" s="16">
        <f t="shared" si="6"/>
        <v>1.7243302</v>
      </c>
      <c r="AC37" s="16">
        <f t="shared" si="2"/>
        <v>0.94137550000000003</v>
      </c>
      <c r="AD37" s="16">
        <f t="shared" si="3"/>
        <v>0.56099999999999994</v>
      </c>
      <c r="AE37" s="15">
        <f>INDEX('Unique Asset List'!$CJ$4:$CP$60,MATCH('1'!$B37,'Unique Asset List'!$A$4:$A$60,0),MATCH('1'!$C$1,'Unique Asset List'!$CJ$3:$CP$3,0))</f>
        <v>0.15</v>
      </c>
      <c r="AF37" s="15">
        <f>INDEX('Unique Asset List'!$CQ$4:$CW$60,MATCH('1'!$B37,'Unique Asset List'!$A$4:$A$60,0),MATCH('1'!$C$1,'Unique Asset List'!$CQ$3:$CW$3,0))</f>
        <v>0.35</v>
      </c>
      <c r="AG37" s="15">
        <f>INDEX('Unique Asset List'!$BV$4:$CB$60,MATCH('1'!$B37,'Unique Asset List'!$A$4:$A$60,0),MATCH('1'!$C$1,'Unique Asset List'!$BV$3:$CB$3,0))</f>
        <v>0.15</v>
      </c>
      <c r="AH37" s="15">
        <f>INDEX('Unique Asset List'!$CC$4:$CI$60,MATCH('1'!$B37,'Unique Asset List'!$A$4:$A$60,0),MATCH('1'!$C$1,'Unique Asset List'!$CC$3:$CI$3,0))</f>
        <v>0.35</v>
      </c>
      <c r="AI37" s="11">
        <v>0.97304949785176587</v>
      </c>
      <c r="AJ37" s="15">
        <f>INDEX('Unique Asset List'!$BH$4:$BN$60,MATCH('1'!$B37,'Unique Asset List'!$A$4:$A$60,0),MATCH('1'!$C$1,'Unique Asset List'!$BH$3:$BN$3,0))</f>
        <v>1.2267192541321688</v>
      </c>
      <c r="AK37" s="15">
        <f>INDEX('Unique Asset List'!$BO$4:$BU$60,MATCH('1'!$B37,'Unique Asset List'!$A$4:$A$60,0),MATCH('1'!$C$1,'Unique Asset List'!$BO$3:$BU$3,0))</f>
        <v>11.984388276878477</v>
      </c>
      <c r="AL37" s="150">
        <v>160</v>
      </c>
      <c r="AM37" s="14">
        <f>INDEX(Simulation!$B$6:$H$6,MATCH($A37,Simulation!$B$1:$H$1,0))*(1+AN37)^((DATE(X37,Y37,15)-DATE(2017,1,15))/365.5)</f>
        <v>21.214817404044098</v>
      </c>
      <c r="AN37" s="12">
        <v>3.5000000000000003E-2</v>
      </c>
      <c r="AO37" s="13">
        <v>60</v>
      </c>
      <c r="AP37" s="11">
        <v>0.6</v>
      </c>
      <c r="AQ37" s="12">
        <v>-0.02</v>
      </c>
      <c r="AR37" s="11">
        <v>0.5</v>
      </c>
      <c r="AS37" s="10">
        <v>1</v>
      </c>
      <c r="AT37" s="181">
        <f>INDEX('Unique Asset List'!N$4:N$60,MATCH($B37,_CompoundList,0))</f>
        <v>0</v>
      </c>
      <c r="AU37" s="181">
        <f>INDEX('Unique Asset List'!O$4:O$60,MATCH($B37,_CompoundList,0))</f>
        <v>0</v>
      </c>
      <c r="AV37" s="181">
        <f>INDEX('Unique Asset List'!P$4:P$60,MATCH($B37,_CompoundList,0))</f>
        <v>0</v>
      </c>
      <c r="AW37" s="181">
        <f>INDEX('Unique Asset List'!Q$4:Q$60,MATCH($B37,_CompoundList,0))</f>
        <v>0</v>
      </c>
      <c r="AX37" s="181">
        <f ca="1">INDEX('Unique Asset List'!R$4:R$60,MATCH($B37,_CompoundList,0))</f>
        <v>0</v>
      </c>
      <c r="AY37" s="181">
        <f ca="1">INDEX('Unique Asset List'!S$4:S$60,MATCH($B37,_CompoundList,0))</f>
        <v>0</v>
      </c>
      <c r="AZ37" s="181">
        <f ca="1">INDEX('Unique Asset List'!T$4:T$60,MATCH($B37,_CompoundList,0))</f>
        <v>1</v>
      </c>
      <c r="BA37" s="181">
        <f ca="1">INDEX('Unique Asset List'!U$4:U$60,MATCH($B37,_CompoundList,0))</f>
        <v>1</v>
      </c>
      <c r="BB37" s="181">
        <f ca="1">INDEX('Unique Asset List'!V$4:V$60,MATCH($B37,_CompoundList,0))</f>
        <v>0</v>
      </c>
      <c r="BC37" s="181">
        <f ca="1">INDEX('Unique Asset List'!W$4:W$60,MATCH($B37,_CompoundList,0))</f>
        <v>1</v>
      </c>
      <c r="BD37" s="4">
        <f>IF($C$5="ON",CD37,MyRating(_E1,$B37,Efficacy!$F$1))</f>
        <v>4</v>
      </c>
      <c r="BE37" s="3">
        <f>IF($C$5="ON",CE37,MyRating(_E2,$B37,Efficacy!$F$1))</f>
        <v>3</v>
      </c>
      <c r="BF37" s="3">
        <f>IF($C$5="ON",CF37,MyRating(_E3,$B37,Efficacy!$F$1))</f>
        <v>4</v>
      </c>
      <c r="BG37" s="3">
        <f>IF($C$5="ON",CG37,MyRating(_E4,$B37,Efficacy!$F$1))</f>
        <v>4</v>
      </c>
      <c r="BH37" s="3">
        <f>IF($C$5="ON",CH37,MyRating(_E5,$B37,Efficacy!$F$1))</f>
        <v>3</v>
      </c>
      <c r="BI37" s="3">
        <f>IF($C$5="ON",CI37,MyRating(_E6,$B37,Efficacy!$F$1))</f>
        <v>4</v>
      </c>
      <c r="BJ37" s="3">
        <f>IF($C$5="ON",CJ37,MyRating(_E7,$B37,Efficacy!$F$1))</f>
        <v>3</v>
      </c>
      <c r="BK37" s="3">
        <f>IF($C$5="ON",CK37,MyRating(_E8,$B37,Efficacy!$F$1))</f>
        <v>3</v>
      </c>
      <c r="BL37" s="3">
        <f>IF($C$5="ON",CL37,MyRating(_S1,$B37,Efficacy!$F$1))</f>
        <v>4</v>
      </c>
      <c r="BM37" s="3">
        <f>IF($C$5="ON",CM37,MyRating(_S2,$B37,Efficacy!$F$1))</f>
        <v>3</v>
      </c>
      <c r="BN37" s="3">
        <f>IF($C$5="ON",CN37,MyRating(_S3,$B37,Efficacy!$F$1))</f>
        <v>3</v>
      </c>
      <c r="BO37" s="3">
        <f>IF($C$5="ON",CO37,MyRating(_S4,$B37,Efficacy!$F$1))</f>
        <v>4</v>
      </c>
      <c r="BP37" s="3">
        <f>IF($C$5="ON",CP37,MyRating(_S5,$B37,Efficacy!$F$1))</f>
        <v>5</v>
      </c>
      <c r="BQ37" s="3">
        <f>IF($C$5="ON",CQ37,MyRating(_S6,$B37,Efficacy!$F$1))</f>
        <v>3</v>
      </c>
      <c r="BR37" s="3">
        <f>IF($C$5="ON",CR37,MyRating(_S7,$B37,Efficacy!$F$1))</f>
        <v>3</v>
      </c>
      <c r="BS37" s="3">
        <f>IF($C$5="ON",CS37,MyRating(_D1,$B37,Efficacy!$F$1))</f>
        <v>3</v>
      </c>
      <c r="BT37" s="3">
        <f>IF($C$5="ON",CT37,MyRating(_D2,$B37,Efficacy!$F$1))</f>
        <v>3</v>
      </c>
      <c r="BU37" s="3">
        <f>IF($C$5="ON",CU37,MyRating(_D3,$B37,Efficacy!$F$1))</f>
        <v>3</v>
      </c>
      <c r="BV37" s="3">
        <f>IF($C$5="ON",CV37,MyRating(_D4,$B37,Efficacy!$F$1))</f>
        <v>3</v>
      </c>
      <c r="BW37" s="3">
        <f>IF($C$5="ON",CW37,MyRating(_B1,$B37,Barrier!$F$2))</f>
        <v>3</v>
      </c>
      <c r="BX37" s="3">
        <f>IF($C$5="ON",CX37,MyRating(_B2,$B37,Barrier!$F$2))</f>
        <v>3</v>
      </c>
      <c r="BY37" s="6">
        <f>IF($C$5="ON",CY37,MyRating(_B3,$B37,Barrier!$F$2))</f>
        <v>3</v>
      </c>
      <c r="BZ37" s="5">
        <f t="shared" si="7"/>
        <v>2.833849230535369E-2</v>
      </c>
      <c r="CA37" s="8">
        <f t="shared" si="4"/>
        <v>2.4000000000000004</v>
      </c>
      <c r="CB37" s="5">
        <f t="shared" si="8"/>
        <v>2.8301886792452827E-2</v>
      </c>
      <c r="CC37" s="7">
        <f t="shared" si="5"/>
        <v>3.8137644231022581E-6</v>
      </c>
      <c r="CD37" s="4">
        <v>4</v>
      </c>
      <c r="CE37" s="3">
        <v>3</v>
      </c>
      <c r="CF37" s="3">
        <v>4</v>
      </c>
      <c r="CG37" s="3">
        <v>4</v>
      </c>
      <c r="CH37" s="3">
        <v>3</v>
      </c>
      <c r="CI37" s="3">
        <v>4</v>
      </c>
      <c r="CJ37" s="3">
        <v>3</v>
      </c>
      <c r="CK37" s="3">
        <v>3</v>
      </c>
      <c r="CL37" s="3">
        <v>4</v>
      </c>
      <c r="CM37" s="3">
        <v>3</v>
      </c>
      <c r="CN37" s="3">
        <v>3</v>
      </c>
      <c r="CO37" s="3">
        <v>4</v>
      </c>
      <c r="CP37" s="3">
        <v>5</v>
      </c>
      <c r="CQ37" s="3">
        <v>3</v>
      </c>
      <c r="CR37" s="3">
        <v>3</v>
      </c>
      <c r="CS37" s="3">
        <v>3</v>
      </c>
      <c r="CT37" s="3">
        <v>3</v>
      </c>
      <c r="CU37" s="3">
        <v>3</v>
      </c>
      <c r="CV37" s="3">
        <v>3</v>
      </c>
      <c r="CW37" s="3">
        <v>3</v>
      </c>
      <c r="CX37" s="3">
        <v>3</v>
      </c>
      <c r="CY37" s="6">
        <v>3</v>
      </c>
      <c r="CZ37" s="5"/>
      <c r="DA37" s="4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</row>
    <row r="38" spans="1:126" x14ac:dyDescent="0.25">
      <c r="A38" s="9" t="s">
        <v>5</v>
      </c>
      <c r="B38" s="9" t="s">
        <v>28</v>
      </c>
      <c r="C38" s="20"/>
      <c r="D38" s="9" t="s">
        <v>2</v>
      </c>
      <c r="E38" s="9"/>
      <c r="F38" s="9" t="str">
        <f>INDEX('Unique Asset List'!$C$4:$C$60,MATCH(B38,_CompoundList,0))</f>
        <v>Ph1</v>
      </c>
      <c r="G38" s="19">
        <v>0</v>
      </c>
      <c r="H38" s="9">
        <v>2018</v>
      </c>
      <c r="I38" s="9">
        <v>1</v>
      </c>
      <c r="J38" s="18">
        <f>INDEX(PTRS!$D$6:$D$12,MATCH('1'!$F38,PTRS!$B$6:$B$12,0))</f>
        <v>0.13923000000000002</v>
      </c>
      <c r="K38" s="17">
        <f>INDEX('Unique Asset List'!$D$4:$M$60,MATCH($B38,'Unique Asset List'!$A$4:$A$60,0),MATCH(K$8,'Unique Asset List'!$D$3:$M$3,0))</f>
        <v>0</v>
      </c>
      <c r="L38" s="17">
        <f>INDEX('Unique Asset List'!$D$4:$M$60,MATCH($B38,'Unique Asset List'!$A$4:$A$60,0),MATCH(L$8,'Unique Asset List'!$D$3:$M$3,0))</f>
        <v>0</v>
      </c>
      <c r="M38" s="17">
        <v>0.1</v>
      </c>
      <c r="N38" s="17">
        <f>INDEX('Unique Asset List'!$D$4:$M$60,MATCH($B38,'Unique Asset List'!$A$4:$A$60,0),MATCH(N$8,'Unique Asset List'!$D$3:$M$3,0))</f>
        <v>0.09</v>
      </c>
      <c r="O38" s="17">
        <f>INDEX('Unique Asset List'!$D$4:$M$60,MATCH($B38,'Unique Asset List'!$A$4:$A$60,0),MATCH(O$8,'Unique Asset List'!$D$3:$M$3,0))</f>
        <v>0.09</v>
      </c>
      <c r="P38" s="17">
        <f>INDEX('Unique Asset List'!$D$4:$M$60,MATCH($B38,'Unique Asset List'!$A$4:$A$60,0),MATCH(P$8,'Unique Asset List'!$D$3:$M$3,0))</f>
        <v>0.09</v>
      </c>
      <c r="Q38" s="17">
        <f>INDEX('Unique Asset List'!$D$4:$M$60,MATCH($B38,'Unique Asset List'!$A$4:$A$60,0),MATCH(Q$8,'Unique Asset List'!$D$3:$M$3,0))</f>
        <v>0.09</v>
      </c>
      <c r="R38" s="17">
        <f>INDEX('Unique Asset List'!$D$4:$M$60,MATCH($B38,'Unique Asset List'!$A$4:$A$60,0),MATCH(R$8,'Unique Asset List'!$D$3:$M$3,0))</f>
        <v>0.09</v>
      </c>
      <c r="S38" s="17">
        <f>INDEX('Unique Asset List'!$D$4:$M$60,MATCH($B38,'Unique Asset List'!$A$4:$A$60,0),MATCH(S$8,'Unique Asset List'!$D$3:$M$3,0))</f>
        <v>0</v>
      </c>
      <c r="T38" s="17"/>
      <c r="U38" s="17">
        <f t="shared" si="1"/>
        <v>0.58302373629991611</v>
      </c>
      <c r="V38" s="17">
        <v>1</v>
      </c>
      <c r="W38" s="9" t="s">
        <v>27</v>
      </c>
      <c r="X38" s="9">
        <v>2030</v>
      </c>
      <c r="Y38" s="9">
        <f>INDEX('Unique Asset List'!$AF$4:$AL$60,MATCH('1'!$B38,'Unique Asset List'!$A$4:$A$60,0),MATCH('1'!$C$1,'Unique Asset List'!$AF$3:$AL$3,0))</f>
        <v>12</v>
      </c>
      <c r="Z38" s="9">
        <f>INDEX('Unique Asset List'!$AT$4:$AZ$60,MATCH('1'!$B38,'Unique Asset List'!$A$4:$A$60,0),MATCH('1'!$C$1,'Unique Asset List'!$AT$3:$AZ$3,0))</f>
        <v>2040</v>
      </c>
      <c r="AA38" s="9">
        <f>INDEX('Unique Asset List'!$BA$4:$BG$60,MATCH('1'!$B38,'Unique Asset List'!$A$4:$A$60,0),MATCH('1'!$C$1,'Unique Asset List'!$BA$3:$BG$3,0))</f>
        <v>9</v>
      </c>
      <c r="AB38" s="16">
        <f t="shared" si="6"/>
        <v>1.7451242</v>
      </c>
      <c r="AC38" s="16">
        <f t="shared" si="2"/>
        <v>0.81843569999999999</v>
      </c>
      <c r="AD38" s="16">
        <f t="shared" si="3"/>
        <v>0.56099999999999994</v>
      </c>
      <c r="AE38" s="15">
        <f>INDEX('Unique Asset List'!$CJ$4:$CP$60,MATCH('1'!$B38,'Unique Asset List'!$A$4:$A$60,0),MATCH('1'!$C$1,'Unique Asset List'!$CJ$3:$CP$3,0))</f>
        <v>0.15</v>
      </c>
      <c r="AF38" s="15">
        <f>INDEX('Unique Asset List'!$CQ$4:$CW$60,MATCH('1'!$B38,'Unique Asset List'!$A$4:$A$60,0),MATCH('1'!$C$1,'Unique Asset List'!$CQ$3:$CW$3,0))</f>
        <v>0.35</v>
      </c>
      <c r="AG38" s="15">
        <f>INDEX('Unique Asset List'!$BV$4:$CB$60,MATCH('1'!$B38,'Unique Asset List'!$A$4:$A$60,0),MATCH('1'!$C$1,'Unique Asset List'!$BV$3:$CB$3,0))</f>
        <v>0.15</v>
      </c>
      <c r="AH38" s="15">
        <f>INDEX('Unique Asset List'!$CC$4:$CI$60,MATCH('1'!$B38,'Unique Asset List'!$A$4:$A$60,0),MATCH('1'!$C$1,'Unique Asset List'!$CC$3:$CI$3,0))</f>
        <v>0.35</v>
      </c>
      <c r="AI38" s="11">
        <v>0.97304949785176587</v>
      </c>
      <c r="AJ38" s="15">
        <f>INDEX('Unique Asset List'!$BH$4:$BN$60,MATCH('1'!$B38,'Unique Asset List'!$A$4:$A$60,0),MATCH('1'!$C$1,'Unique Asset List'!$BH$3:$BN$3,0))</f>
        <v>1.2267192541321688</v>
      </c>
      <c r="AK38" s="15">
        <f>INDEX('Unique Asset List'!$BO$4:$BU$60,MATCH('1'!$B38,'Unique Asset List'!$A$4:$A$60,0),MATCH('1'!$C$1,'Unique Asset List'!$BO$3:$BU$3,0))</f>
        <v>11.984388276878477</v>
      </c>
      <c r="AL38" s="150">
        <v>160</v>
      </c>
      <c r="AM38" s="14">
        <f>INDEX(Simulation!$B$6:$H$6,MATCH($A38,Simulation!$B$1:$H$1,0))*(1+AN38)^((DATE(X38,Y38,15)-DATE(2017,1,15))/365.5)</f>
        <v>24.200563569236156</v>
      </c>
      <c r="AN38" s="12">
        <v>3.5000000000000003E-2</v>
      </c>
      <c r="AO38" s="13">
        <v>60</v>
      </c>
      <c r="AP38" s="11">
        <v>0.6</v>
      </c>
      <c r="AQ38" s="12">
        <v>-0.02</v>
      </c>
      <c r="AR38" s="11">
        <v>0.5</v>
      </c>
      <c r="AS38" s="10">
        <v>1</v>
      </c>
      <c r="AT38" s="181">
        <f>INDEX('Unique Asset List'!N$4:N$60,MATCH($B38,_CompoundList,0))</f>
        <v>0</v>
      </c>
      <c r="AU38" s="181">
        <f>INDEX('Unique Asset List'!O$4:O$60,MATCH($B38,_CompoundList,0))</f>
        <v>0</v>
      </c>
      <c r="AV38" s="181">
        <f>INDEX('Unique Asset List'!P$4:P$60,MATCH($B38,_CompoundList,0))</f>
        <v>0</v>
      </c>
      <c r="AW38" s="181">
        <f>INDEX('Unique Asset List'!Q$4:Q$60,MATCH($B38,_CompoundList,0))</f>
        <v>0</v>
      </c>
      <c r="AX38" s="181">
        <f ca="1">INDEX('Unique Asset List'!R$4:R$60,MATCH($B38,_CompoundList,0))</f>
        <v>1</v>
      </c>
      <c r="AY38" s="181">
        <f ca="1">INDEX('Unique Asset List'!S$4:S$60,MATCH($B38,_CompoundList,0))</f>
        <v>1</v>
      </c>
      <c r="AZ38" s="181">
        <f ca="1">INDEX('Unique Asset List'!T$4:T$60,MATCH($B38,_CompoundList,0))</f>
        <v>1</v>
      </c>
      <c r="BA38" s="181">
        <f ca="1">INDEX('Unique Asset List'!U$4:U$60,MATCH($B38,_CompoundList,0))</f>
        <v>1</v>
      </c>
      <c r="BB38" s="181">
        <f ca="1">INDEX('Unique Asset List'!V$4:V$60,MATCH($B38,_CompoundList,0))</f>
        <v>1</v>
      </c>
      <c r="BC38" s="181">
        <f ca="1">INDEX('Unique Asset List'!W$4:W$60,MATCH($B38,_CompoundList,0))</f>
        <v>0</v>
      </c>
      <c r="BD38" s="4">
        <f>IF($C$5="ON",CD38,MyRating(_E1,$B38,Efficacy!$F$1))</f>
        <v>4</v>
      </c>
      <c r="BE38" s="3">
        <f>IF($C$5="ON",CE38,MyRating(_E2,$B38,Efficacy!$F$1))</f>
        <v>4</v>
      </c>
      <c r="BF38" s="3">
        <f>IF($C$5="ON",CF38,MyRating(_E3,$B38,Efficacy!$F$1))</f>
        <v>4</v>
      </c>
      <c r="BG38" s="3">
        <f>IF($C$5="ON",CG38,MyRating(_E4,$B38,Efficacy!$F$1))</f>
        <v>4</v>
      </c>
      <c r="BH38" s="3">
        <f>IF($C$5="ON",CH38,MyRating(_E5,$B38,Efficacy!$F$1))</f>
        <v>3</v>
      </c>
      <c r="BI38" s="3">
        <f>IF($C$5="ON",CI38,MyRating(_E6,$B38,Efficacy!$F$1))</f>
        <v>3</v>
      </c>
      <c r="BJ38" s="3">
        <f>IF($C$5="ON",CJ38,MyRating(_E7,$B38,Efficacy!$F$1))</f>
        <v>3</v>
      </c>
      <c r="BK38" s="3">
        <f>IF($C$5="ON",CK38,MyRating(_E8,$B38,Efficacy!$F$1))</f>
        <v>3</v>
      </c>
      <c r="BL38" s="3">
        <f>IF($C$5="ON",CL38,MyRating(_S1,$B38,Efficacy!$F$1))</f>
        <v>2</v>
      </c>
      <c r="BM38" s="3">
        <f>IF($C$5="ON",CM38,MyRating(_S2,$B38,Efficacy!$F$1))</f>
        <v>3</v>
      </c>
      <c r="BN38" s="3">
        <f>IF($C$5="ON",CN38,MyRating(_S3,$B38,Efficacy!$F$1))</f>
        <v>3</v>
      </c>
      <c r="BO38" s="3">
        <f>IF($C$5="ON",CO38,MyRating(_S4,$B38,Efficacy!$F$1))</f>
        <v>4</v>
      </c>
      <c r="BP38" s="3">
        <f>IF($C$5="ON",CP38,MyRating(_S5,$B38,Efficacy!$F$1))</f>
        <v>5</v>
      </c>
      <c r="BQ38" s="3">
        <f>IF($C$5="ON",CQ38,MyRating(_S6,$B38,Efficacy!$F$1))</f>
        <v>3</v>
      </c>
      <c r="BR38" s="3">
        <f>IF($C$5="ON",CR38,MyRating(_S7,$B38,Efficacy!$F$1))</f>
        <v>3</v>
      </c>
      <c r="BS38" s="3">
        <f>IF($C$5="ON",CS38,MyRating(_D1,$B38,Efficacy!$F$1))</f>
        <v>3</v>
      </c>
      <c r="BT38" s="3">
        <f>IF($C$5="ON",CT38,MyRating(_D2,$B38,Efficacy!$F$1))</f>
        <v>3</v>
      </c>
      <c r="BU38" s="3">
        <f>IF($C$5="ON",CU38,MyRating(_D3,$B38,Efficacy!$F$1))</f>
        <v>3</v>
      </c>
      <c r="BV38" s="3">
        <f>IF($C$5="ON",CV38,MyRating(_D4,$B38,Efficacy!$F$1))</f>
        <v>3</v>
      </c>
      <c r="BW38" s="3">
        <f>IF($C$5="ON",CW38,MyRating(_B1,$B38,Barrier!$F$2))</f>
        <v>3</v>
      </c>
      <c r="BX38" s="3">
        <f>IF($C$5="ON",CX38,MyRating(_B2,$B38,Barrier!$F$2))</f>
        <v>3</v>
      </c>
      <c r="BY38" s="6">
        <f>IF($C$5="ON",CY38,MyRating(_B3,$B38,Barrier!$F$2))</f>
        <v>3</v>
      </c>
      <c r="BZ38" s="5">
        <f t="shared" si="7"/>
        <v>2.833849230535369E-2</v>
      </c>
      <c r="CA38" s="8">
        <f t="shared" si="4"/>
        <v>2.4000000000000004</v>
      </c>
      <c r="CB38" s="5">
        <f t="shared" si="8"/>
        <v>2.8301886792452827E-2</v>
      </c>
      <c r="CC38" s="7">
        <f t="shared" si="5"/>
        <v>3.8137644231022581E-6</v>
      </c>
      <c r="CD38" s="4">
        <v>4</v>
      </c>
      <c r="CE38" s="3">
        <v>4</v>
      </c>
      <c r="CF38" s="3">
        <v>4</v>
      </c>
      <c r="CG38" s="3">
        <v>4</v>
      </c>
      <c r="CH38" s="3">
        <v>3</v>
      </c>
      <c r="CI38" s="3">
        <v>3</v>
      </c>
      <c r="CJ38" s="3">
        <v>3</v>
      </c>
      <c r="CK38" s="3">
        <v>3</v>
      </c>
      <c r="CL38" s="3">
        <v>2</v>
      </c>
      <c r="CM38" s="3">
        <v>3</v>
      </c>
      <c r="CN38" s="3">
        <v>3</v>
      </c>
      <c r="CO38" s="3">
        <v>4</v>
      </c>
      <c r="CP38" s="3">
        <v>5</v>
      </c>
      <c r="CQ38" s="3">
        <v>3</v>
      </c>
      <c r="CR38" s="3">
        <v>3</v>
      </c>
      <c r="CS38" s="3">
        <v>3</v>
      </c>
      <c r="CT38" s="3">
        <v>3</v>
      </c>
      <c r="CU38" s="3">
        <v>3</v>
      </c>
      <c r="CV38" s="3">
        <v>3</v>
      </c>
      <c r="CW38" s="3">
        <v>3</v>
      </c>
      <c r="CX38" s="3">
        <v>3</v>
      </c>
      <c r="CY38" s="6">
        <v>3</v>
      </c>
      <c r="CZ38" s="5"/>
      <c r="DA38" s="4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</row>
    <row r="39" spans="1:126" x14ac:dyDescent="0.25">
      <c r="A39" s="9" t="s">
        <v>5</v>
      </c>
      <c r="B39" s="9" t="s">
        <v>61</v>
      </c>
      <c r="C39" s="20"/>
      <c r="D39" s="9" t="s">
        <v>60</v>
      </c>
      <c r="E39" s="9" t="s">
        <v>59</v>
      </c>
      <c r="F39" s="9" t="str">
        <f>INDEX('Unique Asset List'!$C$4:$C$60,MATCH(B39,_CompoundList,0))</f>
        <v>Ph1</v>
      </c>
      <c r="G39" s="19">
        <v>0</v>
      </c>
      <c r="H39" s="9">
        <v>2018</v>
      </c>
      <c r="I39" s="9">
        <v>1</v>
      </c>
      <c r="J39" s="18">
        <f>INDEX(PTRS!$D$6:$D$12,MATCH('1'!$F39,PTRS!$B$6:$B$12,0))</f>
        <v>0.13923000000000002</v>
      </c>
      <c r="K39" s="17">
        <f>INDEX('Unique Asset List'!$D$4:$M$60,MATCH($B39,'Unique Asset List'!$A$4:$A$60,0),MATCH(K$8,'Unique Asset List'!$D$3:$M$3,0))</f>
        <v>0</v>
      </c>
      <c r="L39" s="17">
        <f>INDEX('Unique Asset List'!$D$4:$M$60,MATCH($B39,'Unique Asset List'!$A$4:$A$60,0),MATCH(L$8,'Unique Asset List'!$D$3:$M$3,0))</f>
        <v>0</v>
      </c>
      <c r="M39" s="17">
        <f>J39</f>
        <v>0.13923000000000002</v>
      </c>
      <c r="N39" s="17">
        <f>INDEX('Unique Asset List'!$D$4:$M$60,MATCH($B39,'Unique Asset List'!$A$4:$A$60,0),MATCH(N$8,'Unique Asset List'!$D$3:$M$3,0))</f>
        <v>0.13923000000000002</v>
      </c>
      <c r="O39" s="17">
        <f>INDEX('Unique Asset List'!$D$4:$M$60,MATCH($B39,'Unique Asset List'!$A$4:$A$60,0),MATCH(O$8,'Unique Asset List'!$D$3:$M$3,0))</f>
        <v>0.13923000000000002</v>
      </c>
      <c r="P39" s="17">
        <f>INDEX('Unique Asset List'!$D$4:$M$60,MATCH($B39,'Unique Asset List'!$A$4:$A$60,0),MATCH(P$8,'Unique Asset List'!$D$3:$M$3,0))</f>
        <v>0.13923000000000002</v>
      </c>
      <c r="Q39" s="17">
        <f>INDEX('Unique Asset List'!$D$4:$M$60,MATCH($B39,'Unique Asset List'!$A$4:$A$60,0),MATCH(Q$8,'Unique Asset List'!$D$3:$M$3,0))</f>
        <v>0.13923000000000002</v>
      </c>
      <c r="R39" s="17">
        <f>INDEX('Unique Asset List'!$D$4:$M$60,MATCH($B39,'Unique Asset List'!$A$4:$A$60,0),MATCH(R$8,'Unique Asset List'!$D$3:$M$3,0))</f>
        <v>0.13923000000000002</v>
      </c>
      <c r="S39" s="17">
        <f>INDEX('Unique Asset List'!$D$4:$M$60,MATCH($B39,'Unique Asset List'!$A$4:$A$60,0),MATCH(S$8,'Unique Asset List'!$D$3:$M$3,0))</f>
        <v>0</v>
      </c>
      <c r="T39" s="17"/>
      <c r="U39" s="17">
        <f t="shared" si="1"/>
        <v>0.58302373629991611</v>
      </c>
      <c r="V39" s="17">
        <v>1</v>
      </c>
      <c r="W39" s="9" t="s">
        <v>57</v>
      </c>
      <c r="X39" s="9">
        <f>INDEX('Unique Asset List'!$Y$4:$AE$60,MATCH('1'!$B39,'Unique Asset List'!$A$4:$A$60,0),MATCH('1'!$C$1,'Unique Asset List'!$Y$3:$AE$3,0))</f>
        <v>2027</v>
      </c>
      <c r="Y39" s="9">
        <f>INDEX('Unique Asset List'!$AF$4:$AL$60,MATCH('1'!$B39,'Unique Asset List'!$A$4:$A$60,0),MATCH('1'!$C$1,'Unique Asset List'!$AF$3:$AL$3,0))</f>
        <v>6</v>
      </c>
      <c r="Z39" s="9">
        <f>INDEX('Unique Asset List'!$AT$4:$AZ$60,MATCH('1'!$B39,'Unique Asset List'!$A$4:$A$60,0),MATCH('1'!$C$1,'Unique Asset List'!$AT$3:$AZ$3,0))</f>
        <v>2036</v>
      </c>
      <c r="AA39" s="9">
        <f>INDEX('Unique Asset List'!$BA$4:$BG$60,MATCH('1'!$B39,'Unique Asset List'!$A$4:$A$60,0),MATCH('1'!$C$1,'Unique Asset List'!$BA$3:$BG$3,0))</f>
        <v>9</v>
      </c>
      <c r="AB39" s="16">
        <f t="shared" si="6"/>
        <v>1.9514479000000002</v>
      </c>
      <c r="AC39" s="16">
        <f t="shared" si="2"/>
        <v>0.87990560000000007</v>
      </c>
      <c r="AD39" s="16">
        <f t="shared" si="3"/>
        <v>0.56099999999999994</v>
      </c>
      <c r="AE39" s="15">
        <f>INDEX('Unique Asset List'!$CJ$4:$CP$60,MATCH('1'!$B39,'Unique Asset List'!$A$4:$A$60,0),MATCH('1'!$C$1,'Unique Asset List'!$CJ$3:$CP$3,0))</f>
        <v>0.22</v>
      </c>
      <c r="AF39" s="15">
        <f>INDEX('Unique Asset List'!$CQ$4:$CW$60,MATCH('1'!$B39,'Unique Asset List'!$A$4:$A$60,0),MATCH('1'!$C$1,'Unique Asset List'!$CQ$3:$CW$3,0))</f>
        <v>0.28000000000000003</v>
      </c>
      <c r="AG39" s="15">
        <f>INDEX('Unique Asset List'!$BV$4:$CB$60,MATCH('1'!$B39,'Unique Asset List'!$A$4:$A$60,0),MATCH('1'!$C$1,'Unique Asset List'!$BV$3:$CB$3,0))</f>
        <v>0.22</v>
      </c>
      <c r="AH39" s="15">
        <f>INDEX('Unique Asset List'!$CC$4:$CI$60,MATCH('1'!$B39,'Unique Asset List'!$A$4:$A$60,0),MATCH('1'!$C$1,'Unique Asset List'!$CC$3:$CI$3,0))</f>
        <v>0.28000000000000003</v>
      </c>
      <c r="AI39" s="11">
        <v>0.97304949785176587</v>
      </c>
      <c r="AJ39" s="15">
        <f>INDEX('Unique Asset List'!$BH$4:$BN$60,MATCH('1'!$B39,'Unique Asset List'!$A$4:$A$60,0),MATCH('1'!$C$1,'Unique Asset List'!$BH$3:$BN$3,0))</f>
        <v>1.2267192541321688</v>
      </c>
      <c r="AK39" s="15">
        <f>INDEX('Unique Asset List'!$BO$4:$BU$60,MATCH('1'!$B39,'Unique Asset List'!$A$4:$A$60,0),MATCH('1'!$C$1,'Unique Asset List'!$BO$3:$BU$3,0))</f>
        <v>11.984388276878477</v>
      </c>
      <c r="AL39" s="150">
        <v>160</v>
      </c>
      <c r="AM39" s="14">
        <f>INDEX(Simulation!$B$6:$H$6,MATCH($A39,Simulation!$B$1:$H$1,0))*(1+AN39)^((DATE(X39,Y39,15)-DATE(2017,1,15))/365.5)</f>
        <v>21.455788256374355</v>
      </c>
      <c r="AN39" s="12">
        <v>3.5000000000000003E-2</v>
      </c>
      <c r="AO39" s="13">
        <v>60</v>
      </c>
      <c r="AP39" s="11">
        <v>0.6</v>
      </c>
      <c r="AQ39" s="12">
        <v>-0.02</v>
      </c>
      <c r="AR39" s="11">
        <v>0.5</v>
      </c>
      <c r="AS39" s="10">
        <v>1</v>
      </c>
      <c r="AT39" s="181">
        <f>INDEX('Unique Asset List'!N$4:N$60,MATCH($B39,_CompoundList,0))</f>
        <v>0</v>
      </c>
      <c r="AU39" s="181">
        <f>INDEX('Unique Asset List'!O$4:O$60,MATCH($B39,_CompoundList,0))</f>
        <v>0</v>
      </c>
      <c r="AV39" s="181">
        <f>INDEX('Unique Asset List'!P$4:P$60,MATCH($B39,_CompoundList,0))</f>
        <v>0</v>
      </c>
      <c r="AW39" s="181">
        <f>INDEX('Unique Asset List'!Q$4:Q$60,MATCH($B39,_CompoundList,0))</f>
        <v>0</v>
      </c>
      <c r="AX39" s="181">
        <f ca="1">INDEX('Unique Asset List'!R$4:R$60,MATCH($B39,_CompoundList,0))</f>
        <v>0</v>
      </c>
      <c r="AY39" s="181">
        <f ca="1">INDEX('Unique Asset List'!S$4:S$60,MATCH($B39,_CompoundList,0))</f>
        <v>1</v>
      </c>
      <c r="AZ39" s="181">
        <f ca="1">INDEX('Unique Asset List'!T$4:T$60,MATCH($B39,_CompoundList,0))</f>
        <v>1</v>
      </c>
      <c r="BA39" s="181">
        <f ca="1">INDEX('Unique Asset List'!U$4:U$60,MATCH($B39,_CompoundList,0))</f>
        <v>1</v>
      </c>
      <c r="BB39" s="181">
        <f ca="1">INDEX('Unique Asset List'!V$4:V$60,MATCH($B39,_CompoundList,0))</f>
        <v>1</v>
      </c>
      <c r="BC39" s="181">
        <f ca="1">INDEX('Unique Asset List'!W$4:W$60,MATCH($B39,_CompoundList,0))</f>
        <v>1</v>
      </c>
      <c r="BD39" s="4">
        <f>IF($C$5="ON",CD39,MyRating(_E1,$B39,Efficacy!$F$1))</f>
        <v>4</v>
      </c>
      <c r="BE39" s="3">
        <f>IF($C$5="ON",CE39,MyRating(_E2,$B39,Efficacy!$F$1))</f>
        <v>5</v>
      </c>
      <c r="BF39" s="3">
        <f>IF($C$5="ON",CF39,MyRating(_E3,$B39,Efficacy!$F$1))</f>
        <v>5</v>
      </c>
      <c r="BG39" s="3">
        <f>IF($C$5="ON",CG39,MyRating(_E4,$B39,Efficacy!$F$1))</f>
        <v>4</v>
      </c>
      <c r="BH39" s="3">
        <f>IF($C$5="ON",CH39,MyRating(_E5,$B39,Efficacy!$F$1))</f>
        <v>4</v>
      </c>
      <c r="BI39" s="3">
        <f>IF($C$5="ON",CI39,MyRating(_E6,$B39,Efficacy!$F$1))</f>
        <v>3</v>
      </c>
      <c r="BJ39" s="3">
        <f>IF($C$5="ON",CJ39,MyRating(_E7,$B39,Efficacy!$F$1))</f>
        <v>3</v>
      </c>
      <c r="BK39" s="3">
        <f>IF($C$5="ON",CK39,MyRating(_E8,$B39,Efficacy!$F$1))</f>
        <v>4</v>
      </c>
      <c r="BL39" s="3">
        <f>IF($C$5="ON",CL39,MyRating(_S1,$B39,Efficacy!$F$1))</f>
        <v>3</v>
      </c>
      <c r="BM39" s="3">
        <f>IF($C$5="ON",CM39,MyRating(_S2,$B39,Efficacy!$F$1))</f>
        <v>3</v>
      </c>
      <c r="BN39" s="3">
        <f>IF($C$5="ON",CN39,MyRating(_S3,$B39,Efficacy!$F$1))</f>
        <v>3</v>
      </c>
      <c r="BO39" s="3">
        <f>IF($C$5="ON",CO39,MyRating(_S4,$B39,Efficacy!$F$1))</f>
        <v>4</v>
      </c>
      <c r="BP39" s="3">
        <f>IF($C$5="ON",CP39,MyRating(_S5,$B39,Efficacy!$F$1))</f>
        <v>5</v>
      </c>
      <c r="BQ39" s="3">
        <f>IF($C$5="ON",CQ39,MyRating(_S6,$B39,Efficacy!$F$1))</f>
        <v>3</v>
      </c>
      <c r="BR39" s="3">
        <f>IF($C$5="ON",CR39,MyRating(_S7,$B39,Efficacy!$F$1))</f>
        <v>3</v>
      </c>
      <c r="BS39" s="3">
        <f>IF($C$5="ON",CS39,MyRating(_D1,$B39,Efficacy!$F$1))</f>
        <v>3</v>
      </c>
      <c r="BT39" s="3">
        <f>IF($C$5="ON",CT39,MyRating(_D2,$B39,Efficacy!$F$1))</f>
        <v>3</v>
      </c>
      <c r="BU39" s="3">
        <f>IF($C$5="ON",CU39,MyRating(_D3,$B39,Efficacy!$F$1))</f>
        <v>3</v>
      </c>
      <c r="BV39" s="3">
        <f>IF($C$5="ON",CV39,MyRating(_D4,$B39,Efficacy!$F$1))</f>
        <v>3</v>
      </c>
      <c r="BW39" s="3">
        <f>IF($C$5="ON",CW39,MyRating(_B1,$B39,Barrier!$F$2))</f>
        <v>3</v>
      </c>
      <c r="BX39" s="3">
        <f>IF($C$5="ON",CX39,MyRating(_B2,$B39,Barrier!$F$2))</f>
        <v>3</v>
      </c>
      <c r="BY39" s="6">
        <f>IF($C$5="ON",CY39,MyRating(_B3,$B39,Barrier!$F$2))</f>
        <v>3</v>
      </c>
      <c r="BZ39" s="5">
        <f t="shared" si="7"/>
        <v>2.833849230535369E-2</v>
      </c>
      <c r="CA39" s="8">
        <f t="shared" si="4"/>
        <v>2.4000000000000004</v>
      </c>
      <c r="CB39" s="5">
        <f t="shared" si="8"/>
        <v>2.8301886792452827E-2</v>
      </c>
      <c r="CC39" s="7">
        <f t="shared" si="5"/>
        <v>3.8137644231022581E-6</v>
      </c>
      <c r="CD39" s="4">
        <v>4</v>
      </c>
      <c r="CE39" s="3">
        <v>5</v>
      </c>
      <c r="CF39" s="3">
        <v>5</v>
      </c>
      <c r="CG39" s="3">
        <v>4</v>
      </c>
      <c r="CH39" s="3">
        <v>4</v>
      </c>
      <c r="CI39" s="3">
        <v>3</v>
      </c>
      <c r="CJ39" s="3">
        <v>3</v>
      </c>
      <c r="CK39" s="3">
        <v>4</v>
      </c>
      <c r="CL39" s="3">
        <v>3</v>
      </c>
      <c r="CM39" s="3">
        <v>3</v>
      </c>
      <c r="CN39" s="3">
        <v>3</v>
      </c>
      <c r="CO39" s="3">
        <v>4</v>
      </c>
      <c r="CP39" s="3">
        <v>5</v>
      </c>
      <c r="CQ39" s="3">
        <v>3</v>
      </c>
      <c r="CR39" s="3">
        <v>3</v>
      </c>
      <c r="CS39" s="3">
        <v>3</v>
      </c>
      <c r="CT39" s="3">
        <v>3</v>
      </c>
      <c r="CU39" s="3">
        <v>3</v>
      </c>
      <c r="CV39" s="3">
        <v>3</v>
      </c>
      <c r="CW39" s="3">
        <v>3</v>
      </c>
      <c r="CX39" s="3">
        <v>3</v>
      </c>
      <c r="CY39" s="6">
        <v>3</v>
      </c>
      <c r="CZ39" s="5"/>
      <c r="DA39" s="4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</row>
    <row r="40" spans="1:126" x14ac:dyDescent="0.25">
      <c r="A40" s="9" t="s">
        <v>5</v>
      </c>
      <c r="B40" s="9" t="s">
        <v>278</v>
      </c>
      <c r="C40" s="20" t="s">
        <v>3</v>
      </c>
      <c r="D40" s="9" t="s">
        <v>55</v>
      </c>
      <c r="E40" s="9"/>
      <c r="F40" s="9" t="str">
        <f>INDEX('Unique Asset List'!$C$4:$C$60,MATCH(B40,_CompoundList,0))</f>
        <v>Ph2a</v>
      </c>
      <c r="G40" s="19">
        <v>0</v>
      </c>
      <c r="H40" s="9">
        <v>2018</v>
      </c>
      <c r="I40" s="9">
        <v>1</v>
      </c>
      <c r="J40" s="18">
        <f>INDEX(PTRS!$D$6:$D$12,MATCH('1'!$F40,PTRS!$B$6:$B$12,0))</f>
        <v>0.1638</v>
      </c>
      <c r="K40" s="17">
        <f>INDEX('Unique Asset List'!$D$4:$M$60,MATCH($B40,'Unique Asset List'!$A$4:$A$60,0),MATCH(K$8,'Unique Asset List'!$D$3:$M$3,0))</f>
        <v>0</v>
      </c>
      <c r="L40" s="17">
        <f>INDEX('Unique Asset List'!$D$4:$M$60,MATCH($B40,'Unique Asset List'!$A$4:$A$60,0),MATCH(L$8,'Unique Asset List'!$D$3:$M$3,0))</f>
        <v>0</v>
      </c>
      <c r="M40" s="18">
        <f>J40/3</f>
        <v>5.4600000000000003E-2</v>
      </c>
      <c r="N40" s="17">
        <f>INDEX('Unique Asset List'!$D$4:$M$60,MATCH($B40,'Unique Asset List'!$A$4:$A$60,0),MATCH(N$8,'Unique Asset List'!$D$3:$M$3,0))</f>
        <v>0.1638</v>
      </c>
      <c r="O40" s="17">
        <f>INDEX('Unique Asset List'!$D$4:$M$60,MATCH($B40,'Unique Asset List'!$A$4:$A$60,0),MATCH(O$8,'Unique Asset List'!$D$3:$M$3,0))</f>
        <v>0.1638</v>
      </c>
      <c r="P40" s="17">
        <f>INDEX('Unique Asset List'!$D$4:$M$60,MATCH($B40,'Unique Asset List'!$A$4:$A$60,0),MATCH(P$8,'Unique Asset List'!$D$3:$M$3,0))</f>
        <v>0.1638</v>
      </c>
      <c r="Q40" s="17">
        <f>INDEX('Unique Asset List'!$D$4:$M$60,MATCH($B40,'Unique Asset List'!$A$4:$A$60,0),MATCH(Q$8,'Unique Asset List'!$D$3:$M$3,0))</f>
        <v>0.1638</v>
      </c>
      <c r="R40" s="17">
        <f>INDEX('Unique Asset List'!$D$4:$M$60,MATCH($B40,'Unique Asset List'!$A$4:$A$60,0),MATCH(R$8,'Unique Asset List'!$D$3:$M$3,0))</f>
        <v>0.1638</v>
      </c>
      <c r="S40" s="17">
        <f>INDEX('Unique Asset List'!$D$4:$M$60,MATCH($B40,'Unique Asset List'!$A$4:$A$60,0),MATCH(S$8,'Unique Asset List'!$D$3:$M$3,0))</f>
        <v>0</v>
      </c>
      <c r="T40" s="17"/>
      <c r="U40" s="17">
        <f t="shared" si="1"/>
        <v>0</v>
      </c>
      <c r="V40" s="17">
        <v>1</v>
      </c>
      <c r="W40" s="9" t="s">
        <v>54</v>
      </c>
      <c r="X40" s="9">
        <f>INDEX('Unique Asset List'!$Y$4:$AE$60,MATCH('1'!$B40,'Unique Asset List'!$A$4:$A$60,0),MATCH('1'!$C$1,'Unique Asset List'!$Y$3:$AE$3,0))</f>
        <v>2022</v>
      </c>
      <c r="Y40" s="9">
        <f>INDEX('Unique Asset List'!$AF$4:$AL$60,MATCH('1'!$B40,'Unique Asset List'!$A$4:$A$60,0),MATCH('1'!$C$1,'Unique Asset List'!$AF$3:$AL$3,0))</f>
        <v>6</v>
      </c>
      <c r="Z40" s="9">
        <f>INDEX('Unique Asset List'!$AT$4:$AZ$60,MATCH('1'!$B40,'Unique Asset List'!$A$4:$A$60,0),MATCH('1'!$C$1,'Unique Asset List'!$AT$3:$AZ$3,0))</f>
        <v>2036</v>
      </c>
      <c r="AA40" s="9">
        <f>INDEX('Unique Asset List'!$BA$4:$BG$60,MATCH('1'!$B40,'Unique Asset List'!$A$4:$A$60,0),MATCH('1'!$C$1,'Unique Asset List'!$BA$3:$BG$3,0))</f>
        <v>9</v>
      </c>
      <c r="AB40" s="16">
        <f t="shared" si="6"/>
        <v>0</v>
      </c>
      <c r="AC40" s="16">
        <f t="shared" si="2"/>
        <v>0</v>
      </c>
      <c r="AD40" s="16">
        <f t="shared" si="3"/>
        <v>0</v>
      </c>
      <c r="AE40" s="15">
        <f>INDEX('Unique Asset List'!$CJ$4:$CP$60,MATCH('1'!$B40,'Unique Asset List'!$A$4:$A$60,0),MATCH('1'!$C$1,'Unique Asset List'!$CJ$3:$CP$3,0))</f>
        <v>0.15</v>
      </c>
      <c r="AF40" s="15">
        <f>INDEX('Unique Asset List'!$CQ$4:$CW$60,MATCH('1'!$B40,'Unique Asset List'!$A$4:$A$60,0),MATCH('1'!$C$1,'Unique Asset List'!$CQ$3:$CW$3,0))</f>
        <v>0.35</v>
      </c>
      <c r="AG40" s="15">
        <f>INDEX('Unique Asset List'!$BV$4:$CB$60,MATCH('1'!$B40,'Unique Asset List'!$A$4:$A$60,0),MATCH('1'!$C$1,'Unique Asset List'!$BV$3:$CB$3,0))</f>
        <v>0.15</v>
      </c>
      <c r="AH40" s="15">
        <f>INDEX('Unique Asset List'!$CC$4:$CI$60,MATCH('1'!$B40,'Unique Asset List'!$A$4:$A$60,0),MATCH('1'!$C$1,'Unique Asset List'!$CC$3:$CI$3,0))</f>
        <v>0.35</v>
      </c>
      <c r="AI40" s="11">
        <v>0.97304949785176587</v>
      </c>
      <c r="AJ40" s="15">
        <f>INDEX('Unique Asset List'!$BH$4:$BN$60,MATCH('1'!$B40,'Unique Asset List'!$A$4:$A$60,0),MATCH('1'!$C$1,'Unique Asset List'!$BH$3:$BN$3,0))</f>
        <v>1.2267192541321688</v>
      </c>
      <c r="AK40" s="15">
        <f>INDEX('Unique Asset List'!$BO$4:$BU$60,MATCH('1'!$B40,'Unique Asset List'!$A$4:$A$60,0),MATCH('1'!$C$1,'Unique Asset List'!$BO$3:$BU$3,0))</f>
        <v>11.984388276878477</v>
      </c>
      <c r="AL40" s="150">
        <v>160</v>
      </c>
      <c r="AM40" s="14">
        <f>INDEX(Simulation!$B$6:$H$6,MATCH($A40,Simulation!$B$1:$H$1,0))*(1+AN40)^((DATE(X40,Y40,15)-DATE(2017,1,15))/365.5)</f>
        <v>18.067748652383202</v>
      </c>
      <c r="AN40" s="12">
        <v>3.5000000000000003E-2</v>
      </c>
      <c r="AO40" s="13">
        <v>60</v>
      </c>
      <c r="AP40" s="11">
        <v>0.6</v>
      </c>
      <c r="AQ40" s="12">
        <v>-0.02</v>
      </c>
      <c r="AR40" s="11">
        <v>0.5</v>
      </c>
      <c r="AS40" s="10">
        <v>1</v>
      </c>
      <c r="AT40" s="181">
        <f>INDEX('Unique Asset List'!N$4:N$60,MATCH($B40,_CompoundList,0))</f>
        <v>0</v>
      </c>
      <c r="AU40" s="181">
        <f>INDEX('Unique Asset List'!O$4:O$60,MATCH($B40,_CompoundList,0))</f>
        <v>0</v>
      </c>
      <c r="AV40" s="181">
        <f>INDEX('Unique Asset List'!P$4:P$60,MATCH($B40,_CompoundList,0))</f>
        <v>0</v>
      </c>
      <c r="AW40" s="181">
        <f>INDEX('Unique Asset List'!Q$4:Q$60,MATCH($B40,_CompoundList,0))</f>
        <v>0</v>
      </c>
      <c r="AX40" s="181">
        <f ca="1">INDEX('Unique Asset List'!R$4:R$60,MATCH($B40,_CompoundList,0))</f>
        <v>0</v>
      </c>
      <c r="AY40" s="181">
        <f ca="1">INDEX('Unique Asset List'!S$4:S$60,MATCH($B40,_CompoundList,0))</f>
        <v>0</v>
      </c>
      <c r="AZ40" s="181">
        <f ca="1">INDEX('Unique Asset List'!T$4:T$60,MATCH($B40,_CompoundList,0))</f>
        <v>0</v>
      </c>
      <c r="BA40" s="181">
        <f ca="1">INDEX('Unique Asset List'!U$4:U$60,MATCH($B40,_CompoundList,0))</f>
        <v>1</v>
      </c>
      <c r="BB40" s="181">
        <f ca="1">INDEX('Unique Asset List'!V$4:V$60,MATCH($B40,_CompoundList,0))</f>
        <v>0</v>
      </c>
      <c r="BC40" s="181">
        <f ca="1">INDEX('Unique Asset List'!W$4:W$60,MATCH($B40,_CompoundList,0))</f>
        <v>1</v>
      </c>
      <c r="BD40" s="4">
        <f>IF($C$5="ON",CD40,MyRating(_E1,$B40,Efficacy!$F$1))</f>
        <v>0</v>
      </c>
      <c r="BE40" s="3">
        <f>IF($C$5="ON",CE40,MyRating(_E2,$B40,Efficacy!$F$1))</f>
        <v>0</v>
      </c>
      <c r="BF40" s="3">
        <f>IF($C$5="ON",CF40,MyRating(_E3,$B40,Efficacy!$F$1))</f>
        <v>0</v>
      </c>
      <c r="BG40" s="3">
        <f>IF($C$5="ON",CG40,MyRating(_E4,$B40,Efficacy!$F$1))</f>
        <v>0</v>
      </c>
      <c r="BH40" s="3">
        <f>IF($C$5="ON",CH40,MyRating(_E5,$B40,Efficacy!$F$1))</f>
        <v>0</v>
      </c>
      <c r="BI40" s="3">
        <f>IF($C$5="ON",CI40,MyRating(_E6,$B40,Efficacy!$F$1))</f>
        <v>0</v>
      </c>
      <c r="BJ40" s="3">
        <f>IF($C$5="ON",CJ40,MyRating(_E7,$B40,Efficacy!$F$1))</f>
        <v>0</v>
      </c>
      <c r="BK40" s="3">
        <f>IF($C$5="ON",CK40,MyRating(_E8,$B40,Efficacy!$F$1))</f>
        <v>0</v>
      </c>
      <c r="BL40" s="3">
        <f>IF($C$5="ON",CL40,MyRating(_S1,$B40,Efficacy!$F$1))</f>
        <v>0</v>
      </c>
      <c r="BM40" s="3">
        <f>IF($C$5="ON",CM40,MyRating(_S2,$B40,Efficacy!$F$1))</f>
        <v>0</v>
      </c>
      <c r="BN40" s="3">
        <f>IF($C$5="ON",CN40,MyRating(_S3,$B40,Efficacy!$F$1))</f>
        <v>0</v>
      </c>
      <c r="BO40" s="3">
        <f>IF($C$5="ON",CO40,MyRating(_S4,$B40,Efficacy!$F$1))</f>
        <v>0</v>
      </c>
      <c r="BP40" s="3">
        <f>IF($C$5="ON",CP40,MyRating(_S5,$B40,Efficacy!$F$1))</f>
        <v>0</v>
      </c>
      <c r="BQ40" s="3">
        <f>IF($C$5="ON",CQ40,MyRating(_S6,$B40,Efficacy!$F$1))</f>
        <v>0</v>
      </c>
      <c r="BR40" s="3">
        <f>IF($C$5="ON",CR40,MyRating(_S7,$B40,Efficacy!$F$1))</f>
        <v>0</v>
      </c>
      <c r="BS40" s="3">
        <f>IF($C$5="ON",CS40,MyRating(_D1,$B40,Efficacy!$F$1))</f>
        <v>0</v>
      </c>
      <c r="BT40" s="3">
        <f>IF($C$5="ON",CT40,MyRating(_D2,$B40,Efficacy!$F$1))</f>
        <v>0</v>
      </c>
      <c r="BU40" s="3">
        <f>IF($C$5="ON",CU40,MyRating(_D3,$B40,Efficacy!$F$1))</f>
        <v>0</v>
      </c>
      <c r="BV40" s="3">
        <f>IF($C$5="ON",CV40,MyRating(_D4,$B40,Efficacy!$F$1))</f>
        <v>0</v>
      </c>
      <c r="BW40" s="3">
        <f>IF($C$5="ON",CW40,MyRating(_B1,$B40,Barrier!$F$2))</f>
        <v>0</v>
      </c>
      <c r="BX40" s="3">
        <f>IF($C$5="ON",CX40,MyRating(_B2,$B40,Barrier!$F$2))</f>
        <v>0</v>
      </c>
      <c r="BY40" s="6">
        <f>IF($C$5="ON",CY40,MyRating(_B3,$B40,Barrier!$F$2))</f>
        <v>0</v>
      </c>
      <c r="BZ40" s="5">
        <f t="shared" si="7"/>
        <v>0</v>
      </c>
      <c r="CA40" s="8">
        <f t="shared" si="4"/>
        <v>0</v>
      </c>
      <c r="CB40" s="5">
        <f t="shared" si="8"/>
        <v>0</v>
      </c>
      <c r="CC40" s="7">
        <f t="shared" si="5"/>
        <v>0</v>
      </c>
      <c r="CD40" s="4">
        <v>2</v>
      </c>
      <c r="CE40" s="3">
        <v>3</v>
      </c>
      <c r="CF40" s="3">
        <v>3</v>
      </c>
      <c r="CG40" s="3">
        <v>3</v>
      </c>
      <c r="CH40" s="3">
        <v>3</v>
      </c>
      <c r="CI40" s="3">
        <v>3</v>
      </c>
      <c r="CJ40" s="3">
        <v>3</v>
      </c>
      <c r="CK40" s="3">
        <v>3</v>
      </c>
      <c r="CL40" s="3">
        <v>3</v>
      </c>
      <c r="CM40" s="3">
        <v>3</v>
      </c>
      <c r="CN40" s="3">
        <v>3</v>
      </c>
      <c r="CO40" s="3">
        <v>4</v>
      </c>
      <c r="CP40" s="3">
        <v>3</v>
      </c>
      <c r="CQ40" s="3">
        <v>3</v>
      </c>
      <c r="CR40" s="3">
        <v>3</v>
      </c>
      <c r="CS40" s="3">
        <v>3</v>
      </c>
      <c r="CT40" s="3">
        <v>3</v>
      </c>
      <c r="CU40" s="3">
        <v>3</v>
      </c>
      <c r="CV40" s="3">
        <v>3</v>
      </c>
      <c r="CW40" s="3">
        <v>3</v>
      </c>
      <c r="CX40" s="3">
        <v>3</v>
      </c>
      <c r="CY40" s="6">
        <v>3</v>
      </c>
      <c r="CZ40" s="5"/>
      <c r="DA40" s="4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</row>
    <row r="41" spans="1:126" x14ac:dyDescent="0.25">
      <c r="A41" s="9" t="s">
        <v>5</v>
      </c>
      <c r="B41" s="9" t="s">
        <v>53</v>
      </c>
      <c r="C41" s="20"/>
      <c r="D41" s="9" t="s">
        <v>52</v>
      </c>
      <c r="E41" s="9"/>
      <c r="F41" s="9" t="str">
        <f>INDEX('Unique Asset List'!$C$4:$C$60,MATCH(B41,_CompoundList,0))</f>
        <v>Ph2a</v>
      </c>
      <c r="G41" s="19">
        <v>0</v>
      </c>
      <c r="H41" s="9">
        <v>2018</v>
      </c>
      <c r="I41" s="9">
        <v>1</v>
      </c>
      <c r="J41" s="18">
        <f>INDEX(PTRS!$D$6:$D$12,MATCH('1'!$F41,PTRS!$B$6:$B$12,0))</f>
        <v>0.1638</v>
      </c>
      <c r="K41" s="17">
        <f>INDEX('Unique Asset List'!$D$4:$M$60,MATCH($B41,'Unique Asset List'!$A$4:$A$60,0),MATCH(K$8,'Unique Asset List'!$D$3:$M$3,0))</f>
        <v>0</v>
      </c>
      <c r="L41" s="17">
        <f>INDEX('Unique Asset List'!$D$4:$M$60,MATCH($B41,'Unique Asset List'!$A$4:$A$60,0),MATCH(L$8,'Unique Asset List'!$D$3:$M$3,0))</f>
        <v>0</v>
      </c>
      <c r="M41" s="17">
        <f>J41</f>
        <v>0.1638</v>
      </c>
      <c r="N41" s="17">
        <f>INDEX('Unique Asset List'!$D$4:$M$60,MATCH($B41,'Unique Asset List'!$A$4:$A$60,0),MATCH(N$8,'Unique Asset List'!$D$3:$M$3,0))</f>
        <v>0.1638</v>
      </c>
      <c r="O41" s="17">
        <f>INDEX('Unique Asset List'!$D$4:$M$60,MATCH($B41,'Unique Asset List'!$A$4:$A$60,0),MATCH(O$8,'Unique Asset List'!$D$3:$M$3,0))</f>
        <v>0.1638</v>
      </c>
      <c r="P41" s="17">
        <f>INDEX('Unique Asset List'!$D$4:$M$60,MATCH($B41,'Unique Asset List'!$A$4:$A$60,0),MATCH(P$8,'Unique Asset List'!$D$3:$M$3,0))</f>
        <v>0.1638</v>
      </c>
      <c r="Q41" s="17">
        <f>INDEX('Unique Asset List'!$D$4:$M$60,MATCH($B41,'Unique Asset List'!$A$4:$A$60,0),MATCH(Q$8,'Unique Asset List'!$D$3:$M$3,0))</f>
        <v>0.1638</v>
      </c>
      <c r="R41" s="17">
        <f>INDEX('Unique Asset List'!$D$4:$M$60,MATCH($B41,'Unique Asset List'!$A$4:$A$60,0),MATCH(R$8,'Unique Asset List'!$D$3:$M$3,0))</f>
        <v>0.1638</v>
      </c>
      <c r="S41" s="17">
        <f>INDEX('Unique Asset List'!$D$4:$M$60,MATCH($B41,'Unique Asset List'!$A$4:$A$60,0),MATCH(S$8,'Unique Asset List'!$D$3:$M$3,0))</f>
        <v>0</v>
      </c>
      <c r="T41" s="17"/>
      <c r="U41" s="17">
        <f t="shared" si="1"/>
        <v>0.58302373629991611</v>
      </c>
      <c r="V41" s="17">
        <v>1</v>
      </c>
      <c r="W41" s="9" t="s">
        <v>50</v>
      </c>
      <c r="X41" s="9">
        <f>INDEX('Unique Asset List'!$Y$4:$AE$60,MATCH('1'!$B41,'Unique Asset List'!$A$4:$A$60,0),MATCH('1'!$C$1,'Unique Asset List'!$Y$3:$AE$3,0))</f>
        <v>2023</v>
      </c>
      <c r="Y41" s="9">
        <f>INDEX('Unique Asset List'!$AF$4:$AL$60,MATCH('1'!$B41,'Unique Asset List'!$A$4:$A$60,0),MATCH('1'!$C$1,'Unique Asset List'!$AF$3:$AL$3,0))</f>
        <v>6</v>
      </c>
      <c r="Z41" s="9">
        <f>INDEX('Unique Asset List'!$AT$4:$AZ$60,MATCH('1'!$B41,'Unique Asset List'!$A$4:$A$60,0),MATCH('1'!$C$1,'Unique Asset List'!$AT$3:$AZ$3,0))</f>
        <v>2033</v>
      </c>
      <c r="AA41" s="9">
        <f>INDEX('Unique Asset List'!$BA$4:$BG$60,MATCH('1'!$B41,'Unique Asset List'!$A$4:$A$60,0),MATCH('1'!$C$1,'Unique Asset List'!$BA$3:$BG$3,0))</f>
        <v>6</v>
      </c>
      <c r="AB41" s="16">
        <f t="shared" si="6"/>
        <v>1.4482758</v>
      </c>
      <c r="AC41" s="16">
        <f t="shared" si="2"/>
        <v>0.7529247</v>
      </c>
      <c r="AD41" s="16">
        <f t="shared" si="3"/>
        <v>0.56099999999999994</v>
      </c>
      <c r="AE41" s="15">
        <f>INDEX('Unique Asset List'!$CJ$4:$CP$60,MATCH('1'!$B41,'Unique Asset List'!$A$4:$A$60,0),MATCH('1'!$C$1,'Unique Asset List'!$CJ$3:$CP$3,0))</f>
        <v>0.15</v>
      </c>
      <c r="AF41" s="15">
        <f>INDEX('Unique Asset List'!$CQ$4:$CW$60,MATCH('1'!$B41,'Unique Asset List'!$A$4:$A$60,0),MATCH('1'!$C$1,'Unique Asset List'!$CQ$3:$CW$3,0))</f>
        <v>0.35</v>
      </c>
      <c r="AG41" s="15">
        <f>INDEX('Unique Asset List'!$BV$4:$CB$60,MATCH('1'!$B41,'Unique Asset List'!$A$4:$A$60,0),MATCH('1'!$C$1,'Unique Asset List'!$BV$3:$CB$3,0))</f>
        <v>0.15</v>
      </c>
      <c r="AH41" s="15">
        <f>INDEX('Unique Asset List'!$CC$4:$CI$60,MATCH('1'!$B41,'Unique Asset List'!$A$4:$A$60,0),MATCH('1'!$C$1,'Unique Asset List'!$CC$3:$CI$3,0))</f>
        <v>0.35</v>
      </c>
      <c r="AI41" s="11">
        <v>0.97304949785176587</v>
      </c>
      <c r="AJ41" s="15">
        <f>INDEX('Unique Asset List'!$BH$4:$BN$60,MATCH('1'!$B41,'Unique Asset List'!$A$4:$A$60,0),MATCH('1'!$C$1,'Unique Asset List'!$BH$3:$BN$3,0))</f>
        <v>1.2267192541321688</v>
      </c>
      <c r="AK41" s="15">
        <f>INDEX('Unique Asset List'!$BO$4:$BU$60,MATCH('1'!$B41,'Unique Asset List'!$A$4:$A$60,0),MATCH('1'!$C$1,'Unique Asset List'!$BO$3:$BU$3,0))</f>
        <v>11.984388276878477</v>
      </c>
      <c r="AL41" s="150">
        <v>160</v>
      </c>
      <c r="AM41" s="14">
        <f>INDEX(Simulation!$B$6:$H$6,MATCH($A41,Simulation!$B$1:$H$1,0))*(1+AN41)^((DATE(X41,Y41,15)-DATE(2017,1,15))/365.5)</f>
        <v>18.699239833786123</v>
      </c>
      <c r="AN41" s="12">
        <v>3.5000000000000003E-2</v>
      </c>
      <c r="AO41" s="13">
        <v>60</v>
      </c>
      <c r="AP41" s="11">
        <v>0.6</v>
      </c>
      <c r="AQ41" s="12">
        <v>-0.02</v>
      </c>
      <c r="AR41" s="11">
        <v>0.5</v>
      </c>
      <c r="AS41" s="10">
        <v>1</v>
      </c>
      <c r="AT41" s="181">
        <f>INDEX('Unique Asset List'!N$4:N$60,MATCH($B41,_CompoundList,0))</f>
        <v>0</v>
      </c>
      <c r="AU41" s="181">
        <f>INDEX('Unique Asset List'!O$4:O$60,MATCH($B41,_CompoundList,0))</f>
        <v>0</v>
      </c>
      <c r="AV41" s="181">
        <f>INDEX('Unique Asset List'!P$4:P$60,MATCH($B41,_CompoundList,0))</f>
        <v>0</v>
      </c>
      <c r="AW41" s="181">
        <f>INDEX('Unique Asset List'!Q$4:Q$60,MATCH($B41,_CompoundList,0))</f>
        <v>0</v>
      </c>
      <c r="AX41" s="181">
        <f ca="1">INDEX('Unique Asset List'!R$4:R$60,MATCH($B41,_CompoundList,0))</f>
        <v>0</v>
      </c>
      <c r="AY41" s="181">
        <f ca="1">INDEX('Unique Asset List'!S$4:S$60,MATCH($B41,_CompoundList,0))</f>
        <v>1</v>
      </c>
      <c r="AZ41" s="181">
        <f ca="1">INDEX('Unique Asset List'!T$4:T$60,MATCH($B41,_CompoundList,0))</f>
        <v>0</v>
      </c>
      <c r="BA41" s="181">
        <f ca="1">INDEX('Unique Asset List'!U$4:U$60,MATCH($B41,_CompoundList,0))</f>
        <v>1</v>
      </c>
      <c r="BB41" s="181">
        <f ca="1">INDEX('Unique Asset List'!V$4:V$60,MATCH($B41,_CompoundList,0))</f>
        <v>1</v>
      </c>
      <c r="BC41" s="181">
        <f ca="1">INDEX('Unique Asset List'!W$4:W$60,MATCH($B41,_CompoundList,0))</f>
        <v>0</v>
      </c>
      <c r="BD41" s="4">
        <f>IF($C$5="ON",CD41,MyRating(_E1,$B41,Efficacy!$F$1))</f>
        <v>3</v>
      </c>
      <c r="BE41" s="3">
        <f>IF($C$5="ON",CE41,MyRating(_E2,$B41,Efficacy!$F$1))</f>
        <v>3</v>
      </c>
      <c r="BF41" s="3">
        <f>IF($C$5="ON",CF41,MyRating(_E3,$B41,Efficacy!$F$1))</f>
        <v>3</v>
      </c>
      <c r="BG41" s="3">
        <f>IF($C$5="ON",CG41,MyRating(_E4,$B41,Efficacy!$F$1))</f>
        <v>3</v>
      </c>
      <c r="BH41" s="3">
        <f>IF($C$5="ON",CH41,MyRating(_E5,$B41,Efficacy!$F$1))</f>
        <v>3</v>
      </c>
      <c r="BI41" s="3">
        <f>IF($C$5="ON",CI41,MyRating(_E6,$B41,Efficacy!$F$1))</f>
        <v>3</v>
      </c>
      <c r="BJ41" s="3">
        <f>IF($C$5="ON",CJ41,MyRating(_E7,$B41,Efficacy!$F$1))</f>
        <v>3</v>
      </c>
      <c r="BK41" s="3">
        <f>IF($C$5="ON",CK41,MyRating(_E8,$B41,Efficacy!$F$1))</f>
        <v>3</v>
      </c>
      <c r="BL41" s="3">
        <f>IF($C$5="ON",CL41,MyRating(_S1,$B41,Efficacy!$F$1))</f>
        <v>3</v>
      </c>
      <c r="BM41" s="3">
        <f>IF($C$5="ON",CM41,MyRating(_S2,$B41,Efficacy!$F$1))</f>
        <v>3</v>
      </c>
      <c r="BN41" s="3">
        <f>IF($C$5="ON",CN41,MyRating(_S3,$B41,Efficacy!$F$1))</f>
        <v>3</v>
      </c>
      <c r="BO41" s="3">
        <f>IF($C$5="ON",CO41,MyRating(_S4,$B41,Efficacy!$F$1))</f>
        <v>3</v>
      </c>
      <c r="BP41" s="3">
        <f>IF($C$5="ON",CP41,MyRating(_S5,$B41,Efficacy!$F$1))</f>
        <v>3</v>
      </c>
      <c r="BQ41" s="3">
        <f>IF($C$5="ON",CQ41,MyRating(_S6,$B41,Efficacy!$F$1))</f>
        <v>3</v>
      </c>
      <c r="BR41" s="3">
        <f>IF($C$5="ON",CR41,MyRating(_S7,$B41,Efficacy!$F$1))</f>
        <v>3</v>
      </c>
      <c r="BS41" s="3">
        <f>IF($C$5="ON",CS41,MyRating(_D1,$B41,Efficacy!$F$1))</f>
        <v>3</v>
      </c>
      <c r="BT41" s="3">
        <f>IF($C$5="ON",CT41,MyRating(_D2,$B41,Efficacy!$F$1))</f>
        <v>3</v>
      </c>
      <c r="BU41" s="3">
        <f>IF($C$5="ON",CU41,MyRating(_D3,$B41,Efficacy!$F$1))</f>
        <v>3</v>
      </c>
      <c r="BV41" s="3">
        <f>IF($C$5="ON",CV41,MyRating(_D4,$B41,Efficacy!$F$1))</f>
        <v>3</v>
      </c>
      <c r="BW41" s="3">
        <f>IF($C$5="ON",CW41,MyRating(_B1,$B41,Barrier!$F$2))</f>
        <v>3</v>
      </c>
      <c r="BX41" s="3">
        <f>IF($C$5="ON",CX41,MyRating(_B2,$B41,Barrier!$F$2))</f>
        <v>3</v>
      </c>
      <c r="BY41" s="6">
        <f>IF($C$5="ON",CY41,MyRating(_B3,$B41,Barrier!$F$2))</f>
        <v>3</v>
      </c>
      <c r="BZ41" s="5">
        <f t="shared" si="7"/>
        <v>2.833849230535369E-2</v>
      </c>
      <c r="CA41" s="8">
        <f t="shared" ref="CA41:CA58" si="9">SUMPRODUCT($BW41:$BY41,$BU$7:$BW$7)</f>
        <v>2.4000000000000004</v>
      </c>
      <c r="CB41" s="5">
        <f t="shared" si="8"/>
        <v>2.8301886792452827E-2</v>
      </c>
      <c r="CC41" s="7">
        <f t="shared" ref="CC41:CC58" si="10">CB41^$X$4</f>
        <v>3.8137644231022581E-6</v>
      </c>
      <c r="CD41" s="4">
        <v>3</v>
      </c>
      <c r="CE41" s="3">
        <v>3</v>
      </c>
      <c r="CF41" s="3">
        <v>3</v>
      </c>
      <c r="CG41" s="3">
        <v>3</v>
      </c>
      <c r="CH41" s="3">
        <v>3</v>
      </c>
      <c r="CI41" s="3">
        <v>3</v>
      </c>
      <c r="CJ41" s="3">
        <v>3</v>
      </c>
      <c r="CK41" s="3">
        <v>3</v>
      </c>
      <c r="CL41" s="3">
        <v>3</v>
      </c>
      <c r="CM41" s="3">
        <v>3</v>
      </c>
      <c r="CN41" s="3">
        <v>3</v>
      </c>
      <c r="CO41" s="3">
        <v>3</v>
      </c>
      <c r="CP41" s="3">
        <v>3</v>
      </c>
      <c r="CQ41" s="3">
        <v>3</v>
      </c>
      <c r="CR41" s="3">
        <v>3</v>
      </c>
      <c r="CS41" s="3">
        <v>3</v>
      </c>
      <c r="CT41" s="3">
        <v>3</v>
      </c>
      <c r="CU41" s="3">
        <v>3</v>
      </c>
      <c r="CV41" s="3">
        <v>3</v>
      </c>
      <c r="CW41" s="3">
        <v>3</v>
      </c>
      <c r="CX41" s="3">
        <v>3</v>
      </c>
      <c r="CY41" s="6">
        <v>3</v>
      </c>
      <c r="CZ41" s="5"/>
      <c r="DA41" s="4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</row>
    <row r="42" spans="1:126" x14ac:dyDescent="0.25">
      <c r="A42" s="9" t="s">
        <v>5</v>
      </c>
      <c r="B42" s="9" t="s">
        <v>49</v>
      </c>
      <c r="C42" s="20" t="s">
        <v>3</v>
      </c>
      <c r="D42" s="9" t="s">
        <v>48</v>
      </c>
      <c r="E42" s="9"/>
      <c r="F42" s="9" t="str">
        <f>INDEX('Unique Asset List'!$C$4:$C$60,MATCH(B42,_CompoundList,0))</f>
        <v>Launched</v>
      </c>
      <c r="G42" s="19">
        <v>0</v>
      </c>
      <c r="H42" s="9">
        <v>2018</v>
      </c>
      <c r="I42" s="9">
        <v>1</v>
      </c>
      <c r="J42" s="18">
        <f>INDEX(PTRS!$D$6:$D$12,MATCH('1'!$F42,PTRS!$B$6:$B$12,0))</f>
        <v>1</v>
      </c>
      <c r="K42" s="17">
        <f>INDEX('Unique Asset List'!$D$4:$M$60,MATCH($B42,'Unique Asset List'!$A$4:$A$60,0),MATCH(K$8,'Unique Asset List'!$D$3:$M$3,0))</f>
        <v>1</v>
      </c>
      <c r="L42" s="17">
        <f>INDEX('Unique Asset List'!$D$4:$M$60,MATCH($B42,'Unique Asset List'!$A$4:$A$60,0),MATCH(L$8,'Unique Asset List'!$D$3:$M$3,0))</f>
        <v>1</v>
      </c>
      <c r="M42" s="17">
        <f>J42</f>
        <v>1</v>
      </c>
      <c r="N42" s="17">
        <f>INDEX('Unique Asset List'!$D$4:$M$60,MATCH($B42,'Unique Asset List'!$A$4:$A$60,0),MATCH(N$8,'Unique Asset List'!$D$3:$M$3,0))</f>
        <v>1</v>
      </c>
      <c r="O42" s="17">
        <f>INDEX('Unique Asset List'!$D$4:$M$60,MATCH($B42,'Unique Asset List'!$A$4:$A$60,0),MATCH(O$8,'Unique Asset List'!$D$3:$M$3,0))</f>
        <v>1</v>
      </c>
      <c r="P42" s="17">
        <f>INDEX('Unique Asset List'!$D$4:$M$60,MATCH($B42,'Unique Asset List'!$A$4:$A$60,0),MATCH(P$8,'Unique Asset List'!$D$3:$M$3,0))</f>
        <v>1</v>
      </c>
      <c r="Q42" s="17">
        <f>INDEX('Unique Asset List'!$D$4:$M$60,MATCH($B42,'Unique Asset List'!$A$4:$A$60,0),MATCH(Q$8,'Unique Asset List'!$D$3:$M$3,0))</f>
        <v>1</v>
      </c>
      <c r="R42" s="17">
        <f>INDEX('Unique Asset List'!$D$4:$M$60,MATCH($B42,'Unique Asset List'!$A$4:$A$60,0),MATCH(R$8,'Unique Asset List'!$D$3:$M$3,0))</f>
        <v>1</v>
      </c>
      <c r="S42" s="17">
        <f>INDEX('Unique Asset List'!$D$4:$M$60,MATCH($B42,'Unique Asset List'!$A$4:$A$60,0),MATCH(S$8,'Unique Asset List'!$D$3:$M$3,0))</f>
        <v>1</v>
      </c>
      <c r="T42" s="17"/>
      <c r="U42" s="17">
        <f t="shared" si="1"/>
        <v>0</v>
      </c>
      <c r="V42" s="17">
        <v>1</v>
      </c>
      <c r="W42" s="9" t="s">
        <v>46</v>
      </c>
      <c r="X42" s="9">
        <f>INDEX('Unique Asset List'!$Y$4:$AE$60,MATCH('1'!$B42,'Unique Asset List'!$A$4:$A$60,0),MATCH('1'!$C$1,'Unique Asset List'!$Y$3:$AE$3,0))</f>
        <v>1981</v>
      </c>
      <c r="Y42" s="9">
        <f>INDEX('Unique Asset List'!$AF$4:$AL$60,MATCH('1'!$B42,'Unique Asset List'!$A$4:$A$60,0),MATCH('1'!$C$1,'Unique Asset List'!$AF$3:$AL$3,0))</f>
        <v>11</v>
      </c>
      <c r="Z42" s="9">
        <f>INDEX('Unique Asset List'!$AT$4:$AZ$60,MATCH('1'!$B42,'Unique Asset List'!$A$4:$A$60,0),MATCH('1'!$C$1,'Unique Asset List'!$AT$3:$AZ$3,0))</f>
        <v>1991</v>
      </c>
      <c r="AA42" s="9">
        <f>INDEX('Unique Asset List'!$BA$4:$BG$60,MATCH('1'!$B42,'Unique Asset List'!$A$4:$A$60,0),MATCH('1'!$C$1,'Unique Asset List'!$BA$3:$BG$3,0))</f>
        <v>11</v>
      </c>
      <c r="AB42" s="16">
        <f t="shared" si="6"/>
        <v>1.0944670000000001</v>
      </c>
      <c r="AC42" s="16">
        <f t="shared" si="2"/>
        <v>0.69770470000000007</v>
      </c>
      <c r="AD42" s="16">
        <f t="shared" si="3"/>
        <v>0.56099999999999994</v>
      </c>
      <c r="AE42" s="15">
        <f>INDEX('Unique Asset List'!$CJ$4:$CP$60,MATCH('1'!$B42,'Unique Asset List'!$A$4:$A$60,0),MATCH('1'!$C$1,'Unique Asset List'!$CJ$3:$CP$3,0))</f>
        <v>0.15</v>
      </c>
      <c r="AF42" s="15">
        <f>INDEX('Unique Asset List'!$CQ$4:$CW$60,MATCH('1'!$B42,'Unique Asset List'!$A$4:$A$60,0),MATCH('1'!$C$1,'Unique Asset List'!$CQ$3:$CW$3,0))</f>
        <v>0.35</v>
      </c>
      <c r="AG42" s="15">
        <f>INDEX('Unique Asset List'!$BV$4:$CB$60,MATCH('1'!$B42,'Unique Asset List'!$A$4:$A$60,0),MATCH('1'!$C$1,'Unique Asset List'!$BV$3:$CB$3,0))</f>
        <v>0.15</v>
      </c>
      <c r="AH42" s="15">
        <f>INDEX('Unique Asset List'!$CC$4:$CI$60,MATCH('1'!$B42,'Unique Asset List'!$A$4:$A$60,0),MATCH('1'!$C$1,'Unique Asset List'!$CC$3:$CI$3,0))</f>
        <v>0.35</v>
      </c>
      <c r="AI42" s="11">
        <v>0.97304949785176587</v>
      </c>
      <c r="AJ42" s="15">
        <f>INDEX('Unique Asset List'!$BH$4:$BN$60,MATCH('1'!$B42,'Unique Asset List'!$A$4:$A$60,0),MATCH('1'!$C$1,'Unique Asset List'!$BH$3:$BN$3,0))</f>
        <v>1.2267192541321688</v>
      </c>
      <c r="AK42" s="15">
        <f>INDEX('Unique Asset List'!$BO$4:$BU$60,MATCH('1'!$B42,'Unique Asset List'!$A$4:$A$60,0),MATCH('1'!$C$1,'Unique Asset List'!$BO$3:$BU$3,0))</f>
        <v>11.984388276878477</v>
      </c>
      <c r="AL42" s="150">
        <v>160</v>
      </c>
      <c r="AM42" s="14">
        <f>INDEX(Simulation!$B$6:$H$6,MATCH($A42,Simulation!$B$1:$H$1,0))*(1+AN42)^((DATE(X42,Y42,15)-DATE(2017,1,15))/365.5)</f>
        <v>4.4774732677938989</v>
      </c>
      <c r="AN42" s="12">
        <v>3.5000000000000003E-2</v>
      </c>
      <c r="AO42" s="13">
        <v>60</v>
      </c>
      <c r="AP42" s="11">
        <v>0.6</v>
      </c>
      <c r="AQ42" s="12">
        <v>-0.02</v>
      </c>
      <c r="AR42" s="11">
        <v>0.5</v>
      </c>
      <c r="AS42" s="10">
        <v>1</v>
      </c>
      <c r="AT42" s="181">
        <f>INDEX('Unique Asset List'!N$4:N$60,MATCH($B42,_CompoundList,0))</f>
        <v>1</v>
      </c>
      <c r="AU42" s="181">
        <f>INDEX('Unique Asset List'!O$4:O$60,MATCH($B42,_CompoundList,0))</f>
        <v>1</v>
      </c>
      <c r="AV42" s="181">
        <f>INDEX('Unique Asset List'!P$4:P$60,MATCH($B42,_CompoundList,0))</f>
        <v>1</v>
      </c>
      <c r="AW42" s="181">
        <f>INDEX('Unique Asset List'!Q$4:Q$60,MATCH($B42,_CompoundList,0))</f>
        <v>1</v>
      </c>
      <c r="AX42" s="181">
        <f ca="1">INDEX('Unique Asset List'!R$4:R$60,MATCH($B42,_CompoundList,0))</f>
        <v>1</v>
      </c>
      <c r="AY42" s="181">
        <f ca="1">INDEX('Unique Asset List'!S$4:S$60,MATCH($B42,_CompoundList,0))</f>
        <v>1</v>
      </c>
      <c r="AZ42" s="181">
        <f ca="1">INDEX('Unique Asset List'!T$4:T$60,MATCH($B42,_CompoundList,0))</f>
        <v>1</v>
      </c>
      <c r="BA42" s="181">
        <f ca="1">INDEX('Unique Asset List'!U$4:U$60,MATCH($B42,_CompoundList,0))</f>
        <v>1</v>
      </c>
      <c r="BB42" s="181">
        <f ca="1">INDEX('Unique Asset List'!V$4:V$60,MATCH($B42,_CompoundList,0))</f>
        <v>1</v>
      </c>
      <c r="BC42" s="181">
        <f ca="1">INDEX('Unique Asset List'!W$4:W$60,MATCH($B42,_CompoundList,0))</f>
        <v>1</v>
      </c>
      <c r="BD42" s="4">
        <f>IF($C$5="ON",CD42,MyRating(_E1,$B42,Efficacy!$F$1))</f>
        <v>2</v>
      </c>
      <c r="BE42" s="3">
        <f>IF($C$5="ON",CE42,MyRating(_E2,$B42,Efficacy!$F$1))</f>
        <v>1</v>
      </c>
      <c r="BF42" s="3">
        <f>IF($C$5="ON",CF42,MyRating(_E3,$B42,Efficacy!$F$1))</f>
        <v>1</v>
      </c>
      <c r="BG42" s="3">
        <f>IF($C$5="ON",CG42,MyRating(_E4,$B42,Efficacy!$F$1))</f>
        <v>2</v>
      </c>
      <c r="BH42" s="3">
        <f>IF($C$5="ON",CH42,MyRating(_E5,$B42,Efficacy!$F$1))</f>
        <v>3</v>
      </c>
      <c r="BI42" s="3">
        <f>IF($C$5="ON",CI42,MyRating(_E6,$B42,Efficacy!$F$1))</f>
        <v>5</v>
      </c>
      <c r="BJ42" s="3">
        <f>IF($C$5="ON",CJ42,MyRating(_E7,$B42,Efficacy!$F$1))</f>
        <v>2</v>
      </c>
      <c r="BK42" s="3">
        <f>IF($C$5="ON",CK42,MyRating(_E8,$B42,Efficacy!$F$1))</f>
        <v>4</v>
      </c>
      <c r="BL42" s="3">
        <f>IF($C$5="ON",CL42,MyRating(_S1,$B42,Efficacy!$F$1))</f>
        <v>3</v>
      </c>
      <c r="BM42" s="3">
        <f>IF($C$5="ON",CM42,MyRating(_S2,$B42,Efficacy!$F$1))</f>
        <v>2</v>
      </c>
      <c r="BN42" s="3">
        <f>IF($C$5="ON",CN42,MyRating(_S3,$B42,Efficacy!$F$1))</f>
        <v>2</v>
      </c>
      <c r="BO42" s="3">
        <f>IF($C$5="ON",CO42,MyRating(_S4,$B42,Efficacy!$F$1))</f>
        <v>3</v>
      </c>
      <c r="BP42" s="3">
        <f>IF($C$5="ON",CP42,MyRating(_S5,$B42,Efficacy!$F$1))</f>
        <v>3</v>
      </c>
      <c r="BQ42" s="3">
        <f>IF($C$5="ON",CQ42,MyRating(_S6,$B42,Efficacy!$F$1))</f>
        <v>3</v>
      </c>
      <c r="BR42" s="3">
        <f>IF($C$5="ON",CR42,MyRating(_S7,$B42,Efficacy!$F$1))</f>
        <v>3</v>
      </c>
      <c r="BS42" s="3">
        <f>IF($C$5="ON",CS42,MyRating(_D1,$B42,Efficacy!$F$1))</f>
        <v>3</v>
      </c>
      <c r="BT42" s="3">
        <f>IF($C$5="ON",CT42,MyRating(_D2,$B42,Efficacy!$F$1))</f>
        <v>3</v>
      </c>
      <c r="BU42" s="3">
        <f>IF($C$5="ON",CU42,MyRating(_D3,$B42,Efficacy!$F$1))</f>
        <v>3</v>
      </c>
      <c r="BV42" s="3">
        <f>IF($C$5="ON",CV42,MyRating(_D4,$B42,Efficacy!$F$1))</f>
        <v>3</v>
      </c>
      <c r="BW42" s="3">
        <f>IF($C$5="ON",CW42,MyRating(_B1,$B42,Barrier!$F$2))</f>
        <v>3</v>
      </c>
      <c r="BX42" s="3">
        <f>IF($C$5="ON",CX42,MyRating(_B2,$B42,Barrier!$F$2))</f>
        <v>3</v>
      </c>
      <c r="BY42" s="6">
        <f>IF($C$5="ON",CY42,MyRating(_B3,$B42,Barrier!$F$2))</f>
        <v>0</v>
      </c>
      <c r="BZ42" s="5">
        <f t="shared" si="7"/>
        <v>0</v>
      </c>
      <c r="CA42" s="8">
        <f t="shared" si="9"/>
        <v>1.8000000000000003</v>
      </c>
      <c r="CB42" s="5">
        <f t="shared" si="8"/>
        <v>2.1226415094339618E-2</v>
      </c>
      <c r="CC42" s="7">
        <f t="shared" si="10"/>
        <v>1.3933758689110633E-6</v>
      </c>
      <c r="CD42" s="4">
        <v>2</v>
      </c>
      <c r="CE42" s="3">
        <v>1</v>
      </c>
      <c r="CF42" s="3">
        <v>1</v>
      </c>
      <c r="CG42" s="3">
        <v>2</v>
      </c>
      <c r="CH42" s="3">
        <v>3</v>
      </c>
      <c r="CI42" s="3">
        <v>5</v>
      </c>
      <c r="CJ42" s="3">
        <v>2</v>
      </c>
      <c r="CK42" s="3">
        <v>4</v>
      </c>
      <c r="CL42" s="3">
        <v>3</v>
      </c>
      <c r="CM42" s="3">
        <v>2</v>
      </c>
      <c r="CN42" s="3">
        <v>2</v>
      </c>
      <c r="CO42" s="3">
        <v>3</v>
      </c>
      <c r="CP42" s="3">
        <v>3</v>
      </c>
      <c r="CQ42" s="3">
        <v>3</v>
      </c>
      <c r="CR42" s="3">
        <v>3</v>
      </c>
      <c r="CS42" s="3">
        <v>3</v>
      </c>
      <c r="CT42" s="3">
        <v>3</v>
      </c>
      <c r="CU42" s="3">
        <v>3</v>
      </c>
      <c r="CV42" s="3">
        <v>3</v>
      </c>
      <c r="CW42" s="3">
        <v>3</v>
      </c>
      <c r="CX42" s="3">
        <v>3</v>
      </c>
      <c r="CY42" s="6">
        <v>3</v>
      </c>
      <c r="CZ42" s="5"/>
      <c r="DA42" s="4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</row>
    <row r="43" spans="1:126" x14ac:dyDescent="0.25">
      <c r="A43" s="9" t="s">
        <v>5</v>
      </c>
      <c r="B43" s="9" t="s">
        <v>45</v>
      </c>
      <c r="C43" s="20"/>
      <c r="D43" s="9" t="s">
        <v>44</v>
      </c>
      <c r="E43" s="9"/>
      <c r="F43" s="9" t="str">
        <f>INDEX('Unique Asset List'!$C$4:$C$60,MATCH(B43,_CompoundList,0))</f>
        <v>Ph2b</v>
      </c>
      <c r="G43" s="19">
        <v>0</v>
      </c>
      <c r="H43" s="9">
        <v>2018</v>
      </c>
      <c r="I43" s="9">
        <v>1</v>
      </c>
      <c r="J43" s="18">
        <f>INDEX(PTRS!$D$6:$D$12,MATCH('1'!$F43,PTRS!$B$6:$B$12,0))</f>
        <v>0.40949999999999998</v>
      </c>
      <c r="K43" s="17">
        <f>INDEX('Unique Asset List'!$D$4:$M$60,MATCH($B43,'Unique Asset List'!$A$4:$A$60,0),MATCH(K$8,'Unique Asset List'!$D$3:$M$3,0))</f>
        <v>0</v>
      </c>
      <c r="L43" s="17">
        <f>INDEX('Unique Asset List'!$D$4:$M$60,MATCH($B43,'Unique Asset List'!$A$4:$A$60,0),MATCH(L$8,'Unique Asset List'!$D$3:$M$3,0))</f>
        <v>0</v>
      </c>
      <c r="M43" s="17">
        <v>0.40949999999999998</v>
      </c>
      <c r="N43" s="17">
        <f>INDEX('Unique Asset List'!$D$4:$M$60,MATCH($B43,'Unique Asset List'!$A$4:$A$60,0),MATCH(N$8,'Unique Asset List'!$D$3:$M$3,0))</f>
        <v>0.59</v>
      </c>
      <c r="O43" s="17">
        <f>INDEX('Unique Asset List'!$D$4:$M$60,MATCH($B43,'Unique Asset List'!$A$4:$A$60,0),MATCH(O$8,'Unique Asset List'!$D$3:$M$3,0))</f>
        <v>0.59</v>
      </c>
      <c r="P43" s="17">
        <f>INDEX('Unique Asset List'!$D$4:$M$60,MATCH($B43,'Unique Asset List'!$A$4:$A$60,0),MATCH(P$8,'Unique Asset List'!$D$3:$M$3,0))</f>
        <v>0.59</v>
      </c>
      <c r="Q43" s="17">
        <f>INDEX('Unique Asset List'!$D$4:$M$60,MATCH($B43,'Unique Asset List'!$A$4:$A$60,0),MATCH(Q$8,'Unique Asset List'!$D$3:$M$3,0))</f>
        <v>0.59</v>
      </c>
      <c r="R43" s="17">
        <f>INDEX('Unique Asset List'!$D$4:$M$60,MATCH($B43,'Unique Asset List'!$A$4:$A$60,0),MATCH(R$8,'Unique Asset List'!$D$3:$M$3,0))</f>
        <v>0.59</v>
      </c>
      <c r="S43" s="17">
        <f>INDEX('Unique Asset List'!$D$4:$M$60,MATCH($B43,'Unique Asset List'!$A$4:$A$60,0),MATCH(S$8,'Unique Asset List'!$D$3:$M$3,0))</f>
        <v>1</v>
      </c>
      <c r="T43" s="17"/>
      <c r="U43" s="17">
        <f t="shared" si="1"/>
        <v>0.30800082169406567</v>
      </c>
      <c r="V43" s="17">
        <f>5*7/Simulation!B5</f>
        <v>0.21739130434782608</v>
      </c>
      <c r="W43" s="9" t="s">
        <v>42</v>
      </c>
      <c r="X43" s="9">
        <f>INDEX('Unique Asset List'!$Y$4:$AE$60,MATCH('1'!$B43,'Unique Asset List'!$A$4:$A$60,0),MATCH('1'!$C$1,'Unique Asset List'!$Y$3:$AE$3,0))</f>
        <v>2021</v>
      </c>
      <c r="Y43" s="9">
        <f>INDEX('Unique Asset List'!$AF$4:$AL$60,MATCH('1'!$B43,'Unique Asset List'!$A$4:$A$60,0),MATCH('1'!$C$1,'Unique Asset List'!$AF$3:$AL$3,0))</f>
        <v>6</v>
      </c>
      <c r="Z43" s="9">
        <f>INDEX('Unique Asset List'!$AT$4:$AZ$60,MATCH('1'!$B43,'Unique Asset List'!$A$4:$A$60,0),MATCH('1'!$C$1,'Unique Asset List'!$AT$3:$AZ$3,0))</f>
        <v>2034</v>
      </c>
      <c r="AA43" s="9">
        <f>INDEX('Unique Asset List'!$BA$4:$BG$60,MATCH('1'!$B43,'Unique Asset List'!$A$4:$A$60,0),MATCH('1'!$C$1,'Unique Asset List'!$BA$3:$BG$3,0))</f>
        <v>9</v>
      </c>
      <c r="AB43" s="16">
        <f t="shared" si="6"/>
        <v>1.7780282000000001</v>
      </c>
      <c r="AC43" s="16">
        <f t="shared" si="2"/>
        <v>0.86040290000000008</v>
      </c>
      <c r="AD43" s="16">
        <f t="shared" si="3"/>
        <v>0.56099999999999994</v>
      </c>
      <c r="AE43" s="15">
        <f>INDEX('Unique Asset List'!$CJ$4:$CP$60,MATCH('1'!$B43,'Unique Asset List'!$A$4:$A$60,0),MATCH('1'!$C$1,'Unique Asset List'!$CJ$3:$CP$3,0))</f>
        <v>0.15</v>
      </c>
      <c r="AF43" s="15">
        <f>INDEX('Unique Asset List'!$CQ$4:$CW$60,MATCH('1'!$B43,'Unique Asset List'!$A$4:$A$60,0),MATCH('1'!$C$1,'Unique Asset List'!$CQ$3:$CW$3,0))</f>
        <v>0.35</v>
      </c>
      <c r="AG43" s="15">
        <f>INDEX('Unique Asset List'!$BV$4:$CB$60,MATCH('1'!$B43,'Unique Asset List'!$A$4:$A$60,0),MATCH('1'!$C$1,'Unique Asset List'!$BV$3:$CB$3,0))</f>
        <v>0.15</v>
      </c>
      <c r="AH43" s="15">
        <f>INDEX('Unique Asset List'!$CC$4:$CI$60,MATCH('1'!$B43,'Unique Asset List'!$A$4:$A$60,0),MATCH('1'!$C$1,'Unique Asset List'!$CC$3:$CI$3,0))</f>
        <v>0.35</v>
      </c>
      <c r="AI43" s="11">
        <v>0.97304949785176587</v>
      </c>
      <c r="AJ43" s="15">
        <f>INDEX('Unique Asset List'!$BH$4:$BN$60,MATCH('1'!$B43,'Unique Asset List'!$A$4:$A$60,0),MATCH('1'!$C$1,'Unique Asset List'!$BH$3:$BN$3,0))</f>
        <v>1.2267192541321688</v>
      </c>
      <c r="AK43" s="15">
        <f>INDEX('Unique Asset List'!$BO$4:$BU$60,MATCH('1'!$B43,'Unique Asset List'!$A$4:$A$60,0),MATCH('1'!$C$1,'Unique Asset List'!$BO$3:$BU$3,0))</f>
        <v>11.984388276878477</v>
      </c>
      <c r="AL43" s="40">
        <v>35</v>
      </c>
      <c r="AM43" s="14">
        <f>20*365*0.8/AL43</f>
        <v>166.85714285714286</v>
      </c>
      <c r="AN43" s="12">
        <v>0</v>
      </c>
      <c r="AO43" s="13">
        <v>60</v>
      </c>
      <c r="AP43" s="11">
        <v>0.6</v>
      </c>
      <c r="AQ43" s="12">
        <v>-0.02</v>
      </c>
      <c r="AR43" s="11">
        <v>0.5</v>
      </c>
      <c r="AS43" s="10">
        <v>1</v>
      </c>
      <c r="AT43" s="181">
        <f>INDEX('Unique Asset List'!N$4:N$60,MATCH($B43,_CompoundList,0))</f>
        <v>0</v>
      </c>
      <c r="AU43" s="181">
        <f>INDEX('Unique Asset List'!O$4:O$60,MATCH($B43,_CompoundList,0))</f>
        <v>0</v>
      </c>
      <c r="AV43" s="181">
        <f>INDEX('Unique Asset List'!P$4:P$60,MATCH($B43,_CompoundList,0))</f>
        <v>0</v>
      </c>
      <c r="AW43" s="181">
        <f>INDEX('Unique Asset List'!Q$4:Q$60,MATCH($B43,_CompoundList,0))</f>
        <v>0</v>
      </c>
      <c r="AX43" s="181">
        <f ca="1">INDEX('Unique Asset List'!R$4:R$60,MATCH($B43,_CompoundList,0))</f>
        <v>0</v>
      </c>
      <c r="AY43" s="181">
        <f ca="1">INDEX('Unique Asset List'!S$4:S$60,MATCH($B43,_CompoundList,0))</f>
        <v>0</v>
      </c>
      <c r="AZ43" s="181">
        <f ca="1">INDEX('Unique Asset List'!T$4:T$60,MATCH($B43,_CompoundList,0))</f>
        <v>0</v>
      </c>
      <c r="BA43" s="181">
        <f ca="1">INDEX('Unique Asset List'!U$4:U$60,MATCH($B43,_CompoundList,0))</f>
        <v>0</v>
      </c>
      <c r="BB43" s="181">
        <f ca="1">INDEX('Unique Asset List'!V$4:V$60,MATCH($B43,_CompoundList,0))</f>
        <v>0</v>
      </c>
      <c r="BC43" s="181">
        <f ca="1">INDEX('Unique Asset List'!W$4:W$60,MATCH($B43,_CompoundList,0))</f>
        <v>1</v>
      </c>
      <c r="BD43" s="4">
        <f>IF($C$5="ON",CD43,MyRating(_E1,$B43,Efficacy!$F$1))</f>
        <v>4</v>
      </c>
      <c r="BE43" s="3">
        <f>IF($C$5="ON",CE43,MyRating(_E2,$B43,Efficacy!$F$1))</f>
        <v>4</v>
      </c>
      <c r="BF43" s="3">
        <f>IF($C$5="ON",CF43,MyRating(_E3,$B43,Efficacy!$F$1))</f>
        <v>4</v>
      </c>
      <c r="BG43" s="3">
        <f>IF($C$5="ON",CG43,MyRating(_E4,$B43,Efficacy!$F$1))</f>
        <v>2</v>
      </c>
      <c r="BH43" s="3">
        <f>IF($C$5="ON",CH43,MyRating(_E5,$B43,Efficacy!$F$1))</f>
        <v>4</v>
      </c>
      <c r="BI43" s="3">
        <f>IF($C$5="ON",CI43,MyRating(_E6,$B43,Efficacy!$F$1))</f>
        <v>4</v>
      </c>
      <c r="BJ43" s="3">
        <f>IF($C$5="ON",CJ43,MyRating(_E7,$B43,Efficacy!$F$1))</f>
        <v>3</v>
      </c>
      <c r="BK43" s="3">
        <f>IF($C$5="ON",CK43,MyRating(_E8,$B43,Efficacy!$F$1))</f>
        <v>5</v>
      </c>
      <c r="BL43" s="3">
        <f>IF($C$5="ON",CL43,MyRating(_S1,$B43,Efficacy!$F$1))</f>
        <v>4</v>
      </c>
      <c r="BM43" s="3">
        <f>IF($C$5="ON",CM43,MyRating(_S2,$B43,Efficacy!$F$1))</f>
        <v>3</v>
      </c>
      <c r="BN43" s="3">
        <f>IF($C$5="ON",CN43,MyRating(_S3,$B43,Efficacy!$F$1))</f>
        <v>3</v>
      </c>
      <c r="BO43" s="3">
        <f>IF($C$5="ON",CO43,MyRating(_S4,$B43,Efficacy!$F$1))</f>
        <v>3</v>
      </c>
      <c r="BP43" s="3">
        <f>IF($C$5="ON",CP43,MyRating(_S5,$B43,Efficacy!$F$1))</f>
        <v>4</v>
      </c>
      <c r="BQ43" s="3">
        <f>IF($C$5="ON",CQ43,MyRating(_S6,$B43,Efficacy!$F$1))</f>
        <v>3</v>
      </c>
      <c r="BR43" s="3">
        <f>IF($C$5="ON",CR43,MyRating(_S7,$B43,Efficacy!$F$1))</f>
        <v>3</v>
      </c>
      <c r="BS43" s="3">
        <f>IF($C$5="ON",CS43,MyRating(_D1,$B43,Efficacy!$F$1))</f>
        <v>3</v>
      </c>
      <c r="BT43" s="3">
        <f>IF($C$5="ON",CT43,MyRating(_D2,$B43,Efficacy!$F$1))</f>
        <v>3</v>
      </c>
      <c r="BU43" s="3">
        <f>IF($C$5="ON",CU43,MyRating(_D3,$B43,Efficacy!$F$1))</f>
        <v>3</v>
      </c>
      <c r="BV43" s="3">
        <f>IF($C$5="ON",CV43,MyRating(_D4,$B43,Efficacy!$F$1))</f>
        <v>3</v>
      </c>
      <c r="BW43" s="3">
        <f>IF($C$5="ON",CW43,MyRating(_B1,$B43,Barrier!$F$2))</f>
        <v>1</v>
      </c>
      <c r="BX43" s="3">
        <f>IF($C$5="ON",CX43,MyRating(_B2,$B43,Barrier!$F$2))</f>
        <v>3</v>
      </c>
      <c r="BY43" s="6">
        <f>IF($C$5="ON",CY43,MyRating(_B3,$B43,Barrier!$F$2))</f>
        <v>3</v>
      </c>
      <c r="BZ43" s="5">
        <f t="shared" si="7"/>
        <v>1.4970709376281616E-2</v>
      </c>
      <c r="CA43" s="8">
        <f t="shared" si="9"/>
        <v>2</v>
      </c>
      <c r="CB43" s="5">
        <f t="shared" si="8"/>
        <v>2.358490566037735E-2</v>
      </c>
      <c r="CC43" s="7">
        <f t="shared" si="10"/>
        <v>2.0147422873686162E-6</v>
      </c>
      <c r="CD43" s="4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6">
        <v>0</v>
      </c>
      <c r="CZ43" s="5"/>
      <c r="DA43" s="4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</row>
    <row r="44" spans="1:126" x14ac:dyDescent="0.25">
      <c r="A44" s="9" t="s">
        <v>5</v>
      </c>
      <c r="B44" s="9" t="s">
        <v>41</v>
      </c>
      <c r="C44" s="20"/>
      <c r="D44" s="9" t="s">
        <v>40</v>
      </c>
      <c r="E44" s="9"/>
      <c r="F44" s="9" t="str">
        <f>INDEX('Unique Asset List'!$C$4:$C$60,MATCH(B44,_CompoundList,0))</f>
        <v>PCD</v>
      </c>
      <c r="G44" s="19">
        <v>0</v>
      </c>
      <c r="H44" s="9">
        <v>2018</v>
      </c>
      <c r="I44" s="9">
        <v>1</v>
      </c>
      <c r="J44" s="18">
        <f>INDEX(PTRS!$D$6:$D$12,MATCH('1'!$F44,PTRS!$B$6:$B$12,0))</f>
        <v>0.1044225</v>
      </c>
      <c r="K44" s="17">
        <f>K23</f>
        <v>0</v>
      </c>
      <c r="L44" s="17">
        <f>L23</f>
        <v>1</v>
      </c>
      <c r="M44" s="17">
        <f t="shared" ref="M44:M58" si="11">J44</f>
        <v>0.1044225</v>
      </c>
      <c r="N44" s="17">
        <f t="shared" ref="N44:S44" si="12">N23</f>
        <v>0.4</v>
      </c>
      <c r="O44" s="17">
        <f t="shared" si="12"/>
        <v>0</v>
      </c>
      <c r="P44" s="17">
        <f t="shared" si="12"/>
        <v>1</v>
      </c>
      <c r="Q44" s="17">
        <f t="shared" si="12"/>
        <v>0</v>
      </c>
      <c r="R44" s="17">
        <f t="shared" si="12"/>
        <v>1</v>
      </c>
      <c r="S44" s="17">
        <f t="shared" si="12"/>
        <v>0</v>
      </c>
      <c r="T44" s="9"/>
      <c r="U44" s="17">
        <f t="shared" si="1"/>
        <v>0.58302373629991611</v>
      </c>
      <c r="V44" s="17">
        <v>1</v>
      </c>
      <c r="W44" s="9" t="s">
        <v>38</v>
      </c>
      <c r="X44" s="9">
        <f>INDEX('Unique Asset List'!$Y$4:$AE$60,MATCH('1'!$B44,'Unique Asset List'!$A$4:$A$60,0),MATCH('1'!$C$1,'Unique Asset List'!$Y$3:$AE$3,0))</f>
        <v>2027</v>
      </c>
      <c r="Y44" s="9">
        <f>INDEX('Unique Asset List'!$AF$4:$AL$60,MATCH('1'!$B44,'Unique Asset List'!$A$4:$A$60,0),MATCH('1'!$C$1,'Unique Asset List'!$AF$3:$AL$3,0))</f>
        <v>8</v>
      </c>
      <c r="Z44" s="9">
        <f>INDEX('Unique Asset List'!$AT$4:$AZ$60,MATCH('1'!$B44,'Unique Asset List'!$A$4:$A$60,0),MATCH('1'!$C$1,'Unique Asset List'!$AT$3:$AZ$3,0))</f>
        <v>2039</v>
      </c>
      <c r="AA44" s="9">
        <f>INDEX('Unique Asset List'!$BA$4:$BG$60,MATCH('1'!$B44,'Unique Asset List'!$A$4:$A$60,0),MATCH('1'!$C$1,'Unique Asset List'!$BA$3:$BG$3,0))</f>
        <v>8</v>
      </c>
      <c r="AB44" s="22">
        <f>AB23</f>
        <v>1.8212189999999999</v>
      </c>
      <c r="AC44" s="22">
        <f>AC23</f>
        <v>0.95118959999999997</v>
      </c>
      <c r="AD44" s="22">
        <f>AD23</f>
        <v>0.56099999999999994</v>
      </c>
      <c r="AE44" s="15">
        <f>INDEX('Unique Asset List'!$CJ$4:$CP$60,MATCH('1'!$B44,'Unique Asset List'!$A$4:$A$60,0),MATCH('1'!$C$1,'Unique Asset List'!$CJ$3:$CP$3,0))</f>
        <v>0.15</v>
      </c>
      <c r="AF44" s="15">
        <f>INDEX('Unique Asset List'!$CQ$4:$CW$60,MATCH('1'!$B44,'Unique Asset List'!$A$4:$A$60,0),MATCH('1'!$C$1,'Unique Asset List'!$CQ$3:$CW$3,0))</f>
        <v>0.35</v>
      </c>
      <c r="AG44" s="15">
        <f>INDEX('Unique Asset List'!$BV$4:$CB$60,MATCH('1'!$B44,'Unique Asset List'!$A$4:$A$60,0),MATCH('1'!$C$1,'Unique Asset List'!$BV$3:$CB$3,0))</f>
        <v>0.15</v>
      </c>
      <c r="AH44" s="15">
        <f>INDEX('Unique Asset List'!$CC$4:$CI$60,MATCH('1'!$B44,'Unique Asset List'!$A$4:$A$60,0),MATCH('1'!$C$1,'Unique Asset List'!$CC$3:$CI$3,0))</f>
        <v>0.35</v>
      </c>
      <c r="AI44" s="11">
        <v>0.97304949785176587</v>
      </c>
      <c r="AJ44" s="15">
        <f>INDEX('Unique Asset List'!$BH$4:$BN$60,MATCH('1'!$B44,'Unique Asset List'!$A$4:$A$60,0),MATCH('1'!$C$1,'Unique Asset List'!$BH$3:$BN$3,0))</f>
        <v>1.2267192541321688</v>
      </c>
      <c r="AK44" s="15">
        <f>INDEX('Unique Asset List'!$BO$4:$BU$60,MATCH('1'!$B44,'Unique Asset List'!$A$4:$A$60,0),MATCH('1'!$C$1,'Unique Asset List'!$BO$3:$BU$3,0))</f>
        <v>11.984388276878477</v>
      </c>
      <c r="AL44" s="150">
        <v>160</v>
      </c>
      <c r="AM44" s="14">
        <f>INDEX(Simulation!$B$6:$H$6,MATCH($A44,Simulation!$B$1:$H$1,0))*(1+AN44)^((DATE(X44,Y44,15)-DATE(2017,1,15))/365.5)</f>
        <v>21.579329142296906</v>
      </c>
      <c r="AN44" s="12">
        <v>3.5000000000000003E-2</v>
      </c>
      <c r="AO44" s="13">
        <v>60</v>
      </c>
      <c r="AP44" s="11">
        <v>0.6</v>
      </c>
      <c r="AQ44" s="12">
        <v>-0.02</v>
      </c>
      <c r="AR44" s="11">
        <v>0.5</v>
      </c>
      <c r="AS44" s="10">
        <v>1</v>
      </c>
      <c r="AT44" s="181">
        <f>INDEX('Unique Asset List'!N$4:N$60,MATCH($B44,_CompoundList,0))</f>
        <v>0</v>
      </c>
      <c r="AU44" s="181">
        <f>INDEX('Unique Asset List'!O$4:O$60,MATCH($B44,_CompoundList,0))</f>
        <v>0</v>
      </c>
      <c r="AV44" s="181">
        <f>INDEX('Unique Asset List'!P$4:P$60,MATCH($B44,_CompoundList,0))</f>
        <v>0</v>
      </c>
      <c r="AW44" s="181">
        <f>INDEX('Unique Asset List'!Q$4:Q$60,MATCH($B44,_CompoundList,0))</f>
        <v>0</v>
      </c>
      <c r="AX44" s="181">
        <f ca="1">INDEX('Unique Asset List'!R$4:R$60,MATCH($B44,_CompoundList,0))</f>
        <v>1</v>
      </c>
      <c r="AY44" s="181">
        <f ca="1">INDEX('Unique Asset List'!S$4:S$60,MATCH($B44,_CompoundList,0))</f>
        <v>0</v>
      </c>
      <c r="AZ44" s="181">
        <f ca="1">INDEX('Unique Asset List'!T$4:T$60,MATCH($B44,_CompoundList,0))</f>
        <v>1</v>
      </c>
      <c r="BA44" s="181">
        <f ca="1">INDEX('Unique Asset List'!U$4:U$60,MATCH($B44,_CompoundList,0))</f>
        <v>0</v>
      </c>
      <c r="BB44" s="181">
        <f ca="1">INDEX('Unique Asset List'!V$4:V$60,MATCH($B44,_CompoundList,0))</f>
        <v>0</v>
      </c>
      <c r="BC44" s="181">
        <f ca="1">INDEX('Unique Asset List'!W$4:W$60,MATCH($B44,_CompoundList,0))</f>
        <v>0</v>
      </c>
      <c r="BD44" s="4">
        <f>IF($C$5="ON",CD44,MyRating(_E1,$B44,Efficacy!$F$1))</f>
        <v>0</v>
      </c>
      <c r="BE44" s="3">
        <f>IF($C$5="ON",CE44,MyRating(_E2,$B44,Efficacy!$F$1))</f>
        <v>0</v>
      </c>
      <c r="BF44" s="3">
        <f>IF($C$5="ON",CF44,MyRating(_E3,$B44,Efficacy!$F$1))</f>
        <v>0</v>
      </c>
      <c r="BG44" s="3">
        <f>IF($C$5="ON",CG44,MyRating(_E4,$B44,Efficacy!$F$1))</f>
        <v>0</v>
      </c>
      <c r="BH44" s="3">
        <f>IF($C$5="ON",CH44,MyRating(_E5,$B44,Efficacy!$F$1))</f>
        <v>0</v>
      </c>
      <c r="BI44" s="3">
        <f>IF($C$5="ON",CI44,MyRating(_E6,$B44,Efficacy!$F$1))</f>
        <v>0</v>
      </c>
      <c r="BJ44" s="3">
        <f>IF($C$5="ON",CJ44,MyRating(_E7,$B44,Efficacy!$F$1))</f>
        <v>0</v>
      </c>
      <c r="BK44" s="3">
        <f>IF($C$5="ON",CK44,MyRating(_E8,$B44,Efficacy!$F$1))</f>
        <v>0</v>
      </c>
      <c r="BL44" s="3">
        <f>IF($C$5="ON",CL44,MyRating(_S1,$B44,Efficacy!$F$1))</f>
        <v>0</v>
      </c>
      <c r="BM44" s="3">
        <f>IF($C$5="ON",CM44,MyRating(_S2,$B44,Efficacy!$F$1))</f>
        <v>0</v>
      </c>
      <c r="BN44" s="3">
        <f>IF($C$5="ON",CN44,MyRating(_S3,$B44,Efficacy!$F$1))</f>
        <v>0</v>
      </c>
      <c r="BO44" s="3">
        <f>IF($C$5="ON",CO44,MyRating(_S4,$B44,Efficacy!$F$1))</f>
        <v>0</v>
      </c>
      <c r="BP44" s="3">
        <f>IF($C$5="ON",CP44,MyRating(_S5,$B44,Efficacy!$F$1))</f>
        <v>0</v>
      </c>
      <c r="BQ44" s="3">
        <f>IF($C$5="ON",CQ44,MyRating(_S6,$B44,Efficacy!$F$1))</f>
        <v>0</v>
      </c>
      <c r="BR44" s="3">
        <f>IF($C$5="ON",CR44,MyRating(_S7,$B44,Efficacy!$F$1))</f>
        <v>0</v>
      </c>
      <c r="BS44" s="3">
        <f>IF($C$5="ON",CS44,MyRating(_D1,$B44,Efficacy!$F$1))</f>
        <v>0</v>
      </c>
      <c r="BT44" s="3">
        <f>IF($C$5="ON",CT44,MyRating(_D2,$B44,Efficacy!$F$1))</f>
        <v>0</v>
      </c>
      <c r="BU44" s="3">
        <f>IF($C$5="ON",CU44,MyRating(_D3,$B44,Efficacy!$F$1))</f>
        <v>0</v>
      </c>
      <c r="BV44" s="3">
        <f>IF($C$5="ON",CV44,MyRating(_D4,$B44,Efficacy!$F$1))</f>
        <v>0</v>
      </c>
      <c r="BW44" s="3">
        <f>IF($C$5="ON",CW44,MyRating(_B1,$B44,Barrier!$F$2))</f>
        <v>3</v>
      </c>
      <c r="BX44" s="3">
        <f>IF($C$5="ON",CX44,MyRating(_B2,$B44,Barrier!$F$2))</f>
        <v>3</v>
      </c>
      <c r="BY44" s="6">
        <f>IF($C$5="ON",CY44,MyRating(_B3,$B44,Barrier!$F$2))</f>
        <v>3</v>
      </c>
      <c r="BZ44" s="5">
        <f t="shared" si="7"/>
        <v>2.833849230535369E-2</v>
      </c>
      <c r="CA44" s="8">
        <f t="shared" si="9"/>
        <v>2.4000000000000004</v>
      </c>
      <c r="CB44" s="5">
        <f t="shared" si="8"/>
        <v>2.8301886792452827E-2</v>
      </c>
      <c r="CC44" s="7">
        <f t="shared" si="10"/>
        <v>3.8137644231022581E-6</v>
      </c>
      <c r="CD44" s="4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6">
        <v>0</v>
      </c>
      <c r="CZ44" s="5"/>
      <c r="DA44" s="4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</row>
    <row r="45" spans="1:126" x14ac:dyDescent="0.25">
      <c r="A45" s="9" t="s">
        <v>5</v>
      </c>
      <c r="B45" s="9" t="s">
        <v>37</v>
      </c>
      <c r="C45" s="20"/>
      <c r="D45" s="9" t="s">
        <v>36</v>
      </c>
      <c r="E45" s="9"/>
      <c r="F45" s="9" t="str">
        <f>INDEX('Unique Asset List'!$C$4:$C$60,MATCH(B45,_CompoundList,0))</f>
        <v>PCD</v>
      </c>
      <c r="G45" s="19">
        <v>0</v>
      </c>
      <c r="H45" s="9">
        <v>2018</v>
      </c>
      <c r="I45" s="9">
        <v>1</v>
      </c>
      <c r="J45" s="18">
        <f>INDEX(PTRS!$D$6:$D$12,MATCH('1'!$F45,PTRS!$B$6:$B$12,0))</f>
        <v>0.1044225</v>
      </c>
      <c r="K45" s="17">
        <f>INDEX('Unique Asset List'!$D$4:$M$60,MATCH($B45,'Unique Asset List'!$A$4:$A$60,0),MATCH(K$8,'Unique Asset List'!$D$3:$M$3,0))</f>
        <v>0</v>
      </c>
      <c r="L45" s="17">
        <f>INDEX('Unique Asset List'!$D$4:$M$60,MATCH($B45,'Unique Asset List'!$A$4:$A$60,0),MATCH(L$8,'Unique Asset List'!$D$3:$M$3,0))</f>
        <v>0</v>
      </c>
      <c r="M45" s="17">
        <f t="shared" si="11"/>
        <v>0.1044225</v>
      </c>
      <c r="N45" s="17">
        <f>INDEX('Unique Asset List'!$D$4:$M$60,MATCH($B45,'Unique Asset List'!$A$4:$A$60,0),MATCH(N$8,'Unique Asset List'!$D$3:$M$3,0))</f>
        <v>0.1044225</v>
      </c>
      <c r="O45" s="17">
        <f>INDEX('Unique Asset List'!$D$4:$M$60,MATCH($B45,'Unique Asset List'!$A$4:$A$60,0),MATCH(O$8,'Unique Asset List'!$D$3:$M$3,0))</f>
        <v>0.1044225</v>
      </c>
      <c r="P45" s="17">
        <f>INDEX('Unique Asset List'!$D$4:$M$60,MATCH($B45,'Unique Asset List'!$A$4:$A$60,0),MATCH(P$8,'Unique Asset List'!$D$3:$M$3,0))</f>
        <v>0.1044225</v>
      </c>
      <c r="Q45" s="17">
        <f>INDEX('Unique Asset List'!$D$4:$M$60,MATCH($B45,'Unique Asset List'!$A$4:$A$60,0),MATCH(Q$8,'Unique Asset List'!$D$3:$M$3,0))</f>
        <v>0.1044225</v>
      </c>
      <c r="R45" s="17">
        <f>INDEX('Unique Asset List'!$D$4:$M$60,MATCH($B45,'Unique Asset List'!$A$4:$A$60,0),MATCH(R$8,'Unique Asset List'!$D$3:$M$3,0))</f>
        <v>0.1044225</v>
      </c>
      <c r="S45" s="17">
        <f>INDEX('Unique Asset List'!$D$4:$M$60,MATCH($B45,'Unique Asset List'!$A$4:$A$60,0),MATCH(S$8,'Unique Asset List'!$D$3:$M$3,0))</f>
        <v>0</v>
      </c>
      <c r="T45" s="9" t="s">
        <v>35</v>
      </c>
      <c r="U45" s="17">
        <f t="shared" si="1"/>
        <v>0.58302373629991611</v>
      </c>
      <c r="V45" s="17">
        <v>1</v>
      </c>
      <c r="W45" s="9" t="s">
        <v>34</v>
      </c>
      <c r="X45" s="9">
        <f>INDEX('Unique Asset List'!$Y$4:$AE$60,MATCH('1'!$B45,'Unique Asset List'!$A$4:$A$60,0),MATCH('1'!$C$1,'Unique Asset List'!$Y$3:$AE$3,0))</f>
        <v>2032</v>
      </c>
      <c r="Y45" s="9">
        <f>INDEX('Unique Asset List'!$AF$4:$AL$60,MATCH('1'!$B45,'Unique Asset List'!$A$4:$A$60,0),MATCH('1'!$C$1,'Unique Asset List'!$AF$3:$AL$3,0))</f>
        <v>6</v>
      </c>
      <c r="Z45" s="9">
        <f>INDEX('Unique Asset List'!$AT$4:$AZ$60,MATCH('1'!$B45,'Unique Asset List'!$A$4:$A$60,0),MATCH('1'!$C$1,'Unique Asset List'!$AT$3:$AZ$3,0))</f>
        <v>2044</v>
      </c>
      <c r="AA45" s="9">
        <f>INDEX('Unique Asset List'!$BA$4:$BG$60,MATCH('1'!$B45,'Unique Asset List'!$A$4:$A$60,0),MATCH('1'!$C$1,'Unique Asset List'!$BA$3:$BG$3,0))</f>
        <v>6</v>
      </c>
      <c r="AB45" s="22">
        <f t="shared" ref="AB45:AD47" si="13">AB36</f>
        <v>1.7489031000000002</v>
      </c>
      <c r="AC45" s="22">
        <f t="shared" si="13"/>
        <v>0.94137550000000003</v>
      </c>
      <c r="AD45" s="22">
        <f t="shared" si="13"/>
        <v>0.56099999999999994</v>
      </c>
      <c r="AE45" s="15">
        <f>INDEX('Unique Asset List'!$CJ$4:$CP$60,MATCH('1'!$B45,'Unique Asset List'!$A$4:$A$60,0),MATCH('1'!$C$1,'Unique Asset List'!$CJ$3:$CP$3,0))</f>
        <v>0.15</v>
      </c>
      <c r="AF45" s="15">
        <f>INDEX('Unique Asset List'!$CQ$4:$CW$60,MATCH('1'!$B45,'Unique Asset List'!$A$4:$A$60,0),MATCH('1'!$C$1,'Unique Asset List'!$CQ$3:$CW$3,0))</f>
        <v>0.35</v>
      </c>
      <c r="AG45" s="15">
        <f>INDEX('Unique Asset List'!$BV$4:$CB$60,MATCH('1'!$B45,'Unique Asset List'!$A$4:$A$60,0),MATCH('1'!$C$1,'Unique Asset List'!$BV$3:$CB$3,0))</f>
        <v>0.15</v>
      </c>
      <c r="AH45" s="15">
        <f>INDEX('Unique Asset List'!$CC$4:$CI$60,MATCH('1'!$B45,'Unique Asset List'!$A$4:$A$60,0),MATCH('1'!$C$1,'Unique Asset List'!$CC$3:$CI$3,0))</f>
        <v>0.35</v>
      </c>
      <c r="AI45" s="11">
        <v>0.97304949785176587</v>
      </c>
      <c r="AJ45" s="15">
        <f>INDEX('Unique Asset List'!$BH$4:$BN$60,MATCH('1'!$B45,'Unique Asset List'!$A$4:$A$60,0),MATCH('1'!$C$1,'Unique Asset List'!$BH$3:$BN$3,0))</f>
        <v>1.2267192541321688</v>
      </c>
      <c r="AK45" s="15">
        <f>INDEX('Unique Asset List'!$BO$4:$BU$60,MATCH('1'!$B45,'Unique Asset List'!$A$4:$A$60,0),MATCH('1'!$C$1,'Unique Asset List'!$BO$3:$BU$3,0))</f>
        <v>11.984388276878477</v>
      </c>
      <c r="AL45" s="150">
        <v>160</v>
      </c>
      <c r="AM45" s="14">
        <f>INDEX(Simulation!$B$6:$H$6,MATCH($A45,Simulation!$B$1:$H$1,0))*(1+AN45)^((DATE(X45,Y45,15)-DATE(2017,1,15))/365.5)</f>
        <v>25.481546679395578</v>
      </c>
      <c r="AN45" s="12">
        <v>3.5000000000000003E-2</v>
      </c>
      <c r="AO45" s="13">
        <v>60</v>
      </c>
      <c r="AP45" s="11">
        <v>0.6</v>
      </c>
      <c r="AQ45" s="12">
        <v>-0.02</v>
      </c>
      <c r="AR45" s="11">
        <v>0.5</v>
      </c>
      <c r="AS45" s="10">
        <v>1</v>
      </c>
      <c r="AT45" s="181">
        <f>INDEX('Unique Asset List'!N$4:N$60,MATCH($B45,_CompoundList,0))</f>
        <v>0</v>
      </c>
      <c r="AU45" s="181">
        <f>INDEX('Unique Asset List'!O$4:O$60,MATCH($B45,_CompoundList,0))</f>
        <v>0</v>
      </c>
      <c r="AV45" s="181">
        <f>INDEX('Unique Asset List'!P$4:P$60,MATCH($B45,_CompoundList,0))</f>
        <v>0</v>
      </c>
      <c r="AW45" s="181">
        <f>INDEX('Unique Asset List'!Q$4:Q$60,MATCH($B45,_CompoundList,0))</f>
        <v>0</v>
      </c>
      <c r="AX45" s="181">
        <f ca="1">INDEX('Unique Asset List'!R$4:R$60,MATCH($B45,_CompoundList,0))</f>
        <v>1</v>
      </c>
      <c r="AY45" s="181">
        <f ca="1">INDEX('Unique Asset List'!S$4:S$60,MATCH($B45,_CompoundList,0))</f>
        <v>1</v>
      </c>
      <c r="AZ45" s="181">
        <f ca="1">INDEX('Unique Asset List'!T$4:T$60,MATCH($B45,_CompoundList,0))</f>
        <v>0</v>
      </c>
      <c r="BA45" s="181">
        <f ca="1">INDEX('Unique Asset List'!U$4:U$60,MATCH($B45,_CompoundList,0))</f>
        <v>0</v>
      </c>
      <c r="BB45" s="181">
        <f ca="1">INDEX('Unique Asset List'!V$4:V$60,MATCH($B45,_CompoundList,0))</f>
        <v>0</v>
      </c>
      <c r="BC45" s="181">
        <f ca="1">INDEX('Unique Asset List'!W$4:W$60,MATCH($B45,_CompoundList,0))</f>
        <v>0</v>
      </c>
      <c r="BD45" s="4">
        <f>IF($C$5="ON",CD45,MyRating(_E1,$B45,Efficacy!$F$1))</f>
        <v>0</v>
      </c>
      <c r="BE45" s="3">
        <f>IF($C$5="ON",CE45,MyRating(_E2,$B45,Efficacy!$F$1))</f>
        <v>0</v>
      </c>
      <c r="BF45" s="3">
        <f>IF($C$5="ON",CF45,MyRating(_E3,$B45,Efficacy!$F$1))</f>
        <v>0</v>
      </c>
      <c r="BG45" s="3">
        <f>IF($C$5="ON",CG45,MyRating(_E4,$B45,Efficacy!$F$1))</f>
        <v>0</v>
      </c>
      <c r="BH45" s="3">
        <f>IF($C$5="ON",CH45,MyRating(_E5,$B45,Efficacy!$F$1))</f>
        <v>0</v>
      </c>
      <c r="BI45" s="3">
        <f>IF($C$5="ON",CI45,MyRating(_E6,$B45,Efficacy!$F$1))</f>
        <v>0</v>
      </c>
      <c r="BJ45" s="3">
        <f>IF($C$5="ON",CJ45,MyRating(_E7,$B45,Efficacy!$F$1))</f>
        <v>0</v>
      </c>
      <c r="BK45" s="3">
        <f>IF($C$5="ON",CK45,MyRating(_E8,$B45,Efficacy!$F$1))</f>
        <v>0</v>
      </c>
      <c r="BL45" s="3">
        <f>IF($C$5="ON",CL45,MyRating(_S1,$B45,Efficacy!$F$1))</f>
        <v>0</v>
      </c>
      <c r="BM45" s="3">
        <f>IF($C$5="ON",CM45,MyRating(_S2,$B45,Efficacy!$F$1))</f>
        <v>0</v>
      </c>
      <c r="BN45" s="3">
        <f>IF($C$5="ON",CN45,MyRating(_S3,$B45,Efficacy!$F$1))</f>
        <v>0</v>
      </c>
      <c r="BO45" s="3">
        <f>IF($C$5="ON",CO45,MyRating(_S4,$B45,Efficacy!$F$1))</f>
        <v>0</v>
      </c>
      <c r="BP45" s="3">
        <f>IF($C$5="ON",CP45,MyRating(_S5,$B45,Efficacy!$F$1))</f>
        <v>0</v>
      </c>
      <c r="BQ45" s="3">
        <f>IF($C$5="ON",CQ45,MyRating(_S6,$B45,Efficacy!$F$1))</f>
        <v>0</v>
      </c>
      <c r="BR45" s="3">
        <f>IF($C$5="ON",CR45,MyRating(_S7,$B45,Efficacy!$F$1))</f>
        <v>0</v>
      </c>
      <c r="BS45" s="3">
        <f>IF($C$5="ON",CS45,MyRating(_D1,$B45,Efficacy!$F$1))</f>
        <v>0</v>
      </c>
      <c r="BT45" s="3">
        <f>IF($C$5="ON",CT45,MyRating(_D2,$B45,Efficacy!$F$1))</f>
        <v>0</v>
      </c>
      <c r="BU45" s="3">
        <f>IF($C$5="ON",CU45,MyRating(_D3,$B45,Efficacy!$F$1))</f>
        <v>0</v>
      </c>
      <c r="BV45" s="3">
        <f>IF($C$5="ON",CV45,MyRating(_D4,$B45,Efficacy!$F$1))</f>
        <v>0</v>
      </c>
      <c r="BW45" s="3">
        <f>IF($C$5="ON",CW45,MyRating(_B1,$B45,Barrier!$F$2))</f>
        <v>3</v>
      </c>
      <c r="BX45" s="3">
        <f>IF($C$5="ON",CX45,MyRating(_B2,$B45,Barrier!$F$2))</f>
        <v>3</v>
      </c>
      <c r="BY45" s="6">
        <f>IF($C$5="ON",CY45,MyRating(_B3,$B45,Barrier!$F$2))</f>
        <v>3</v>
      </c>
      <c r="BZ45" s="5">
        <f t="shared" si="7"/>
        <v>2.833849230535369E-2</v>
      </c>
      <c r="CA45" s="8">
        <f t="shared" si="9"/>
        <v>2.4000000000000004</v>
      </c>
      <c r="CB45" s="5">
        <f t="shared" si="8"/>
        <v>2.8301886792452827E-2</v>
      </c>
      <c r="CC45" s="7">
        <f t="shared" si="10"/>
        <v>3.8137644231022581E-6</v>
      </c>
      <c r="CD45" s="4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6">
        <v>0</v>
      </c>
      <c r="CZ45" s="5"/>
      <c r="DA45" s="4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</row>
    <row r="46" spans="1:126" x14ac:dyDescent="0.25">
      <c r="A46" s="9" t="s">
        <v>5</v>
      </c>
      <c r="B46" s="9" t="s">
        <v>33</v>
      </c>
      <c r="C46" s="20"/>
      <c r="D46" s="9" t="s">
        <v>32</v>
      </c>
      <c r="E46" s="9"/>
      <c r="F46" s="9" t="str">
        <f>INDEX('Unique Asset List'!$C$4:$C$60,MATCH(B46,_CompoundList,0))</f>
        <v>PCD</v>
      </c>
      <c r="G46" s="19">
        <v>0</v>
      </c>
      <c r="H46" s="9">
        <v>2018</v>
      </c>
      <c r="I46" s="9">
        <v>1</v>
      </c>
      <c r="J46" s="18">
        <f>INDEX(PTRS!$D$6:$D$12,MATCH('1'!$F46,PTRS!$B$6:$B$12,0))</f>
        <v>0.1044225</v>
      </c>
      <c r="K46" s="17">
        <f>INDEX('Unique Asset List'!$D$4:$M$60,MATCH($B46,'Unique Asset List'!$A$4:$A$60,0),MATCH(K$8,'Unique Asset List'!$D$3:$M$3,0))</f>
        <v>0</v>
      </c>
      <c r="L46" s="17">
        <f>INDEX('Unique Asset List'!$D$4:$M$60,MATCH($B46,'Unique Asset List'!$A$4:$A$60,0),MATCH(L$8,'Unique Asset List'!$D$3:$M$3,0))</f>
        <v>0</v>
      </c>
      <c r="M46" s="17">
        <f t="shared" si="11"/>
        <v>0.1044225</v>
      </c>
      <c r="N46" s="17">
        <f>INDEX('Unique Asset List'!$D$4:$M$60,MATCH($B46,'Unique Asset List'!$A$4:$A$60,0),MATCH(N$8,'Unique Asset List'!$D$3:$M$3,0))</f>
        <v>0.1044225</v>
      </c>
      <c r="O46" s="17">
        <f>INDEX('Unique Asset List'!$D$4:$M$60,MATCH($B46,'Unique Asset List'!$A$4:$A$60,0),MATCH(O$8,'Unique Asset List'!$D$3:$M$3,0))</f>
        <v>0.1044225</v>
      </c>
      <c r="P46" s="17">
        <f>INDEX('Unique Asset List'!$D$4:$M$60,MATCH($B46,'Unique Asset List'!$A$4:$A$60,0),MATCH(P$8,'Unique Asset List'!$D$3:$M$3,0))</f>
        <v>0.1044225</v>
      </c>
      <c r="Q46" s="17">
        <f>INDEX('Unique Asset List'!$D$4:$M$60,MATCH($B46,'Unique Asset List'!$A$4:$A$60,0),MATCH(Q$8,'Unique Asset List'!$D$3:$M$3,0))</f>
        <v>0.1044225</v>
      </c>
      <c r="R46" s="17">
        <f>INDEX('Unique Asset List'!$D$4:$M$60,MATCH($B46,'Unique Asset List'!$A$4:$A$60,0),MATCH(R$8,'Unique Asset List'!$D$3:$M$3,0))</f>
        <v>0.1044225</v>
      </c>
      <c r="S46" s="17">
        <f>INDEX('Unique Asset List'!$D$4:$M$60,MATCH($B46,'Unique Asset List'!$A$4:$A$60,0),MATCH(S$8,'Unique Asset List'!$D$3:$M$3,0))</f>
        <v>0</v>
      </c>
      <c r="T46" s="9" t="s">
        <v>31</v>
      </c>
      <c r="U46" s="17">
        <f t="shared" si="1"/>
        <v>0.58302373629991611</v>
      </c>
      <c r="V46" s="17">
        <v>1</v>
      </c>
      <c r="W46" s="9" t="s">
        <v>31</v>
      </c>
      <c r="X46" s="9">
        <f>INDEX('Unique Asset List'!$Y$4:$AE$60,MATCH('1'!$B46,'Unique Asset List'!$A$4:$A$60,0),MATCH('1'!$C$1,'Unique Asset List'!$Y$3:$AE$3,0))</f>
        <v>2031</v>
      </c>
      <c r="Y46" s="9">
        <f>INDEX('Unique Asset List'!$AF$4:$AL$60,MATCH('1'!$B46,'Unique Asset List'!$A$4:$A$60,0),MATCH('1'!$C$1,'Unique Asset List'!$AF$3:$AL$3,0))</f>
        <v>5</v>
      </c>
      <c r="Z46" s="9">
        <f>INDEX('Unique Asset List'!$AT$4:$AZ$60,MATCH('1'!$B46,'Unique Asset List'!$A$4:$A$60,0),MATCH('1'!$C$1,'Unique Asset List'!$AT$3:$AZ$3,0))</f>
        <v>2043</v>
      </c>
      <c r="AA46" s="9">
        <f>INDEX('Unique Asset List'!$BA$4:$BG$60,MATCH('1'!$B46,'Unique Asset List'!$A$4:$A$60,0),MATCH('1'!$C$1,'Unique Asset List'!$BA$3:$BG$3,0))</f>
        <v>5</v>
      </c>
      <c r="AB46" s="16">
        <f t="shared" si="13"/>
        <v>1.7243302</v>
      </c>
      <c r="AC46" s="16">
        <f t="shared" si="13"/>
        <v>0.94137550000000003</v>
      </c>
      <c r="AD46" s="16">
        <f t="shared" si="13"/>
        <v>0.56099999999999994</v>
      </c>
      <c r="AE46" s="15">
        <f>INDEX('Unique Asset List'!$CJ$4:$CP$60,MATCH('1'!$B46,'Unique Asset List'!$A$4:$A$60,0),MATCH('1'!$C$1,'Unique Asset List'!$CJ$3:$CP$3,0))</f>
        <v>0.15</v>
      </c>
      <c r="AF46" s="15">
        <f>INDEX('Unique Asset List'!$CQ$4:$CW$60,MATCH('1'!$B46,'Unique Asset List'!$A$4:$A$60,0),MATCH('1'!$C$1,'Unique Asset List'!$CQ$3:$CW$3,0))</f>
        <v>0.35</v>
      </c>
      <c r="AG46" s="15">
        <f>INDEX('Unique Asset List'!$BV$4:$CB$60,MATCH('1'!$B46,'Unique Asset List'!$A$4:$A$60,0),MATCH('1'!$C$1,'Unique Asset List'!$BV$3:$CB$3,0))</f>
        <v>0.15</v>
      </c>
      <c r="AH46" s="15">
        <f>INDEX('Unique Asset List'!$CC$4:$CI$60,MATCH('1'!$B46,'Unique Asset List'!$A$4:$A$60,0),MATCH('1'!$C$1,'Unique Asset List'!$CC$3:$CI$3,0))</f>
        <v>0.35</v>
      </c>
      <c r="AI46" s="11">
        <v>0.97304949785176587</v>
      </c>
      <c r="AJ46" s="15">
        <f>INDEX('Unique Asset List'!$BH$4:$BN$60,MATCH('1'!$B46,'Unique Asset List'!$A$4:$A$60,0),MATCH('1'!$C$1,'Unique Asset List'!$BH$3:$BN$3,0))</f>
        <v>1.2267192541321688</v>
      </c>
      <c r="AK46" s="15">
        <f>INDEX('Unique Asset List'!$BO$4:$BU$60,MATCH('1'!$B46,'Unique Asset List'!$A$4:$A$60,0),MATCH('1'!$C$1,'Unique Asset List'!$BO$3:$BU$3,0))</f>
        <v>11.984388276878477</v>
      </c>
      <c r="AL46" s="150">
        <v>160</v>
      </c>
      <c r="AM46" s="14">
        <f>INDEX(Simulation!$B$6:$H$6,MATCH($A46,Simulation!$B$1:$H$1,0))*(1+AN46)^((DATE(X46,Y46,15)-DATE(2017,1,15))/365.5)</f>
        <v>24.546966317243893</v>
      </c>
      <c r="AN46" s="12">
        <v>3.5000000000000003E-2</v>
      </c>
      <c r="AO46" s="13">
        <v>60</v>
      </c>
      <c r="AP46" s="11">
        <v>0.6</v>
      </c>
      <c r="AQ46" s="12">
        <v>-0.02</v>
      </c>
      <c r="AR46" s="11">
        <v>0.5</v>
      </c>
      <c r="AS46" s="10">
        <v>1</v>
      </c>
      <c r="AT46" s="181">
        <f>INDEX('Unique Asset List'!N$4:N$60,MATCH($B46,_CompoundList,0))</f>
        <v>0</v>
      </c>
      <c r="AU46" s="181">
        <f>INDEX('Unique Asset List'!O$4:O$60,MATCH($B46,_CompoundList,0))</f>
        <v>0</v>
      </c>
      <c r="AV46" s="181">
        <f>INDEX('Unique Asset List'!P$4:P$60,MATCH($B46,_CompoundList,0))</f>
        <v>0</v>
      </c>
      <c r="AW46" s="181">
        <f>INDEX('Unique Asset List'!Q$4:Q$60,MATCH($B46,_CompoundList,0))</f>
        <v>0</v>
      </c>
      <c r="AX46" s="181">
        <f ca="1">INDEX('Unique Asset List'!R$4:R$60,MATCH($B46,_CompoundList,0))</f>
        <v>1</v>
      </c>
      <c r="AY46" s="181">
        <f ca="1">INDEX('Unique Asset List'!S$4:S$60,MATCH($B46,_CompoundList,0))</f>
        <v>1</v>
      </c>
      <c r="AZ46" s="181">
        <f ca="1">INDEX('Unique Asset List'!T$4:T$60,MATCH($B46,_CompoundList,0))</f>
        <v>1</v>
      </c>
      <c r="BA46" s="181">
        <f ca="1">INDEX('Unique Asset List'!U$4:U$60,MATCH($B46,_CompoundList,0))</f>
        <v>0</v>
      </c>
      <c r="BB46" s="181">
        <f ca="1">INDEX('Unique Asset List'!V$4:V$60,MATCH($B46,_CompoundList,0))</f>
        <v>0</v>
      </c>
      <c r="BC46" s="181">
        <f ca="1">INDEX('Unique Asset List'!W$4:W$60,MATCH($B46,_CompoundList,0))</f>
        <v>0</v>
      </c>
      <c r="BD46" s="4">
        <f>IF($C$5="ON",CD46,MyRating(_E1,$B46,Efficacy!$F$1))</f>
        <v>0</v>
      </c>
      <c r="BE46" s="3">
        <f>IF($C$5="ON",CE46,MyRating(_E2,$B46,Efficacy!$F$1))</f>
        <v>0</v>
      </c>
      <c r="BF46" s="3">
        <f>IF($C$5="ON",CF46,MyRating(_E3,$B46,Efficacy!$F$1))</f>
        <v>0</v>
      </c>
      <c r="BG46" s="3">
        <f>IF($C$5="ON",CG46,MyRating(_E4,$B46,Efficacy!$F$1))</f>
        <v>0</v>
      </c>
      <c r="BH46" s="3">
        <f>IF($C$5="ON",CH46,MyRating(_E5,$B46,Efficacy!$F$1))</f>
        <v>0</v>
      </c>
      <c r="BI46" s="3">
        <f>IF($C$5="ON",CI46,MyRating(_E6,$B46,Efficacy!$F$1))</f>
        <v>0</v>
      </c>
      <c r="BJ46" s="3">
        <f>IF($C$5="ON",CJ46,MyRating(_E7,$B46,Efficacy!$F$1))</f>
        <v>0</v>
      </c>
      <c r="BK46" s="3">
        <f>IF($C$5="ON",CK46,MyRating(_E8,$B46,Efficacy!$F$1))</f>
        <v>0</v>
      </c>
      <c r="BL46" s="3">
        <f>IF($C$5="ON",CL46,MyRating(_S1,$B46,Efficacy!$F$1))</f>
        <v>0</v>
      </c>
      <c r="BM46" s="3">
        <f>IF($C$5="ON",CM46,MyRating(_S2,$B46,Efficacy!$F$1))</f>
        <v>0</v>
      </c>
      <c r="BN46" s="3">
        <f>IF($C$5="ON",CN46,MyRating(_S3,$B46,Efficacy!$F$1))</f>
        <v>0</v>
      </c>
      <c r="BO46" s="3">
        <f>IF($C$5="ON",CO46,MyRating(_S4,$B46,Efficacy!$F$1))</f>
        <v>0</v>
      </c>
      <c r="BP46" s="3">
        <f>IF($C$5="ON",CP46,MyRating(_S5,$B46,Efficacy!$F$1))</f>
        <v>0</v>
      </c>
      <c r="BQ46" s="3">
        <f>IF($C$5="ON",CQ46,MyRating(_S6,$B46,Efficacy!$F$1))</f>
        <v>0</v>
      </c>
      <c r="BR46" s="3">
        <f>IF($C$5="ON",CR46,MyRating(_S7,$B46,Efficacy!$F$1))</f>
        <v>0</v>
      </c>
      <c r="BS46" s="3">
        <f>IF($C$5="ON",CS46,MyRating(_D1,$B46,Efficacy!$F$1))</f>
        <v>0</v>
      </c>
      <c r="BT46" s="3">
        <f>IF($C$5="ON",CT46,MyRating(_D2,$B46,Efficacy!$F$1))</f>
        <v>0</v>
      </c>
      <c r="BU46" s="3">
        <f>IF($C$5="ON",CU46,MyRating(_D3,$B46,Efficacy!$F$1))</f>
        <v>0</v>
      </c>
      <c r="BV46" s="3">
        <f>IF($C$5="ON",CV46,MyRating(_D4,$B46,Efficacy!$F$1))</f>
        <v>0</v>
      </c>
      <c r="BW46" s="3">
        <f>IF($C$5="ON",CW46,MyRating(_B1,$B46,Barrier!$F$2))</f>
        <v>3</v>
      </c>
      <c r="BX46" s="3">
        <f>IF($C$5="ON",CX46,MyRating(_B2,$B46,Barrier!$F$2))</f>
        <v>3</v>
      </c>
      <c r="BY46" s="6">
        <f>IF($C$5="ON",CY46,MyRating(_B3,$B46,Barrier!$F$2))</f>
        <v>3</v>
      </c>
      <c r="BZ46" s="5">
        <f t="shared" si="7"/>
        <v>2.833849230535369E-2</v>
      </c>
      <c r="CA46" s="8">
        <f t="shared" si="9"/>
        <v>2.4000000000000004</v>
      </c>
      <c r="CB46" s="5">
        <f t="shared" si="8"/>
        <v>2.8301886792452827E-2</v>
      </c>
      <c r="CC46" s="7">
        <f t="shared" si="10"/>
        <v>3.8137644231022581E-6</v>
      </c>
      <c r="CD46" s="4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6">
        <v>0</v>
      </c>
      <c r="CZ46" s="5"/>
      <c r="DA46" s="4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</row>
    <row r="47" spans="1:126" x14ac:dyDescent="0.25">
      <c r="A47" s="9" t="s">
        <v>5</v>
      </c>
      <c r="B47" s="9" t="s">
        <v>30</v>
      </c>
      <c r="C47" s="20"/>
      <c r="D47" s="9" t="s">
        <v>29</v>
      </c>
      <c r="E47" s="9"/>
      <c r="F47" s="9" t="str">
        <f>INDEX('Unique Asset List'!$C$4:$C$60,MATCH(B47,_CompoundList,0))</f>
        <v>PCD</v>
      </c>
      <c r="G47" s="19">
        <v>0</v>
      </c>
      <c r="H47" s="9">
        <v>2018</v>
      </c>
      <c r="I47" s="9">
        <v>1</v>
      </c>
      <c r="J47" s="18">
        <f>INDEX(PTRS!$D$6:$D$12,MATCH('1'!$F47,PTRS!$B$6:$B$12,0))</f>
        <v>0.1044225</v>
      </c>
      <c r="K47" s="17">
        <f>INDEX('Unique Asset List'!$D$4:$M$60,MATCH($B47,'Unique Asset List'!$A$4:$A$60,0),MATCH(K$8,'Unique Asset List'!$D$3:$M$3,0))</f>
        <v>0</v>
      </c>
      <c r="L47" s="17">
        <f>INDEX('Unique Asset List'!$D$4:$M$60,MATCH($B47,'Unique Asset List'!$A$4:$A$60,0),MATCH(L$8,'Unique Asset List'!$D$3:$M$3,0))</f>
        <v>0</v>
      </c>
      <c r="M47" s="17">
        <f t="shared" si="11"/>
        <v>0.1044225</v>
      </c>
      <c r="N47" s="17">
        <f>INDEX('Unique Asset List'!$D$4:$M$60,MATCH($B47,'Unique Asset List'!$A$4:$A$60,0),MATCH(N$8,'Unique Asset List'!$D$3:$M$3,0))</f>
        <v>0.1044225</v>
      </c>
      <c r="O47" s="17">
        <f>INDEX('Unique Asset List'!$D$4:$M$60,MATCH($B47,'Unique Asset List'!$A$4:$A$60,0),MATCH(O$8,'Unique Asset List'!$D$3:$M$3,0))</f>
        <v>0.1044225</v>
      </c>
      <c r="P47" s="17">
        <f>INDEX('Unique Asset List'!$D$4:$M$60,MATCH($B47,'Unique Asset List'!$A$4:$A$60,0),MATCH(P$8,'Unique Asset List'!$D$3:$M$3,0))</f>
        <v>0.1044225</v>
      </c>
      <c r="Q47" s="17">
        <f>INDEX('Unique Asset List'!$D$4:$M$60,MATCH($B47,'Unique Asset List'!$A$4:$A$60,0),MATCH(Q$8,'Unique Asset List'!$D$3:$M$3,0))</f>
        <v>0.1044225</v>
      </c>
      <c r="R47" s="17">
        <f>INDEX('Unique Asset List'!$D$4:$M$60,MATCH($B47,'Unique Asset List'!$A$4:$A$60,0),MATCH(R$8,'Unique Asset List'!$D$3:$M$3,0))</f>
        <v>0.1044225</v>
      </c>
      <c r="S47" s="17">
        <f>INDEX('Unique Asset List'!$D$4:$M$60,MATCH($B47,'Unique Asset List'!$A$4:$A$60,0),MATCH(S$8,'Unique Asset List'!$D$3:$M$3,0))</f>
        <v>0</v>
      </c>
      <c r="T47" s="9" t="s">
        <v>28</v>
      </c>
      <c r="U47" s="17">
        <f t="shared" si="1"/>
        <v>0.58302373629991611</v>
      </c>
      <c r="V47" s="17">
        <v>1</v>
      </c>
      <c r="W47" s="9" t="s">
        <v>27</v>
      </c>
      <c r="X47" s="9">
        <f>INDEX('Unique Asset List'!$Y$4:$AE$60,MATCH('1'!$B47,'Unique Asset List'!$A$4:$A$60,0),MATCH('1'!$C$1,'Unique Asset List'!$Y$3:$AE$3,0))</f>
        <v>2033</v>
      </c>
      <c r="Y47" s="9">
        <f>INDEX('Unique Asset List'!$AF$4:$AL$60,MATCH('1'!$B47,'Unique Asset List'!$A$4:$A$60,0),MATCH('1'!$C$1,'Unique Asset List'!$AF$3:$AL$3,0))</f>
        <v>9</v>
      </c>
      <c r="Z47" s="9">
        <f>INDEX('Unique Asset List'!$AT$4:$AZ$60,MATCH('1'!$B47,'Unique Asset List'!$A$4:$A$60,0),MATCH('1'!$C$1,'Unique Asset List'!$AT$3:$AZ$3,0))</f>
        <v>2045</v>
      </c>
      <c r="AA47" s="9">
        <f>INDEX('Unique Asset List'!$BA$4:$BG$60,MATCH('1'!$B47,'Unique Asset List'!$A$4:$A$60,0),MATCH('1'!$C$1,'Unique Asset List'!$BA$3:$BG$3,0))</f>
        <v>9</v>
      </c>
      <c r="AB47" s="16">
        <f t="shared" si="13"/>
        <v>1.7451242</v>
      </c>
      <c r="AC47" s="16">
        <f t="shared" si="13"/>
        <v>0.81843569999999999</v>
      </c>
      <c r="AD47" s="16">
        <f t="shared" si="13"/>
        <v>0.56099999999999994</v>
      </c>
      <c r="AE47" s="15">
        <f>INDEX('Unique Asset List'!$CJ$4:$CP$60,MATCH('1'!$B47,'Unique Asset List'!$A$4:$A$60,0),MATCH('1'!$C$1,'Unique Asset List'!$CJ$3:$CP$3,0))</f>
        <v>0.15</v>
      </c>
      <c r="AF47" s="15">
        <f>INDEX('Unique Asset List'!$CQ$4:$CW$60,MATCH('1'!$B47,'Unique Asset List'!$A$4:$A$60,0),MATCH('1'!$C$1,'Unique Asset List'!$CQ$3:$CW$3,0))</f>
        <v>0.35</v>
      </c>
      <c r="AG47" s="15">
        <f>INDEX('Unique Asset List'!$BV$4:$CB$60,MATCH('1'!$B47,'Unique Asset List'!$A$4:$A$60,0),MATCH('1'!$C$1,'Unique Asset List'!$BV$3:$CB$3,0))</f>
        <v>0.15</v>
      </c>
      <c r="AH47" s="15">
        <f>INDEX('Unique Asset List'!$CC$4:$CI$60,MATCH('1'!$B47,'Unique Asset List'!$A$4:$A$60,0),MATCH('1'!$C$1,'Unique Asset List'!$CC$3:$CI$3,0))</f>
        <v>0.35</v>
      </c>
      <c r="AI47" s="11">
        <v>0.97304949785176587</v>
      </c>
      <c r="AJ47" s="15">
        <f>INDEX('Unique Asset List'!$BH$4:$BN$60,MATCH('1'!$B47,'Unique Asset List'!$A$4:$A$60,0),MATCH('1'!$C$1,'Unique Asset List'!$BH$3:$BN$3,0))</f>
        <v>1.2267192541321688</v>
      </c>
      <c r="AK47" s="15">
        <f>INDEX('Unique Asset List'!$BO$4:$BU$60,MATCH('1'!$B47,'Unique Asset List'!$A$4:$A$60,0),MATCH('1'!$C$1,'Unique Asset List'!$BO$3:$BU$3,0))</f>
        <v>11.984388276878477</v>
      </c>
      <c r="AL47" s="150">
        <v>160</v>
      </c>
      <c r="AM47" s="14">
        <f>INDEX(Simulation!$B$6:$H$6,MATCH($A47,Simulation!$B$1:$H$1,0))*(1+AN47)^((DATE(X47,Y47,15)-DATE(2017,1,15))/365.5)</f>
        <v>26.601512608584812</v>
      </c>
      <c r="AN47" s="12">
        <v>3.5000000000000003E-2</v>
      </c>
      <c r="AO47" s="13">
        <v>60</v>
      </c>
      <c r="AP47" s="11">
        <v>0.6</v>
      </c>
      <c r="AQ47" s="12">
        <v>-0.02</v>
      </c>
      <c r="AR47" s="11">
        <v>0.5</v>
      </c>
      <c r="AS47" s="10">
        <v>1</v>
      </c>
      <c r="AT47" s="181">
        <f>INDEX('Unique Asset List'!N$4:N$60,MATCH($B47,_CompoundList,0))</f>
        <v>0</v>
      </c>
      <c r="AU47" s="181">
        <f>INDEX('Unique Asset List'!O$4:O$60,MATCH($B47,_CompoundList,0))</f>
        <v>0</v>
      </c>
      <c r="AV47" s="181">
        <f>INDEX('Unique Asset List'!P$4:P$60,MATCH($B47,_CompoundList,0))</f>
        <v>0</v>
      </c>
      <c r="AW47" s="181">
        <f>INDEX('Unique Asset List'!Q$4:Q$60,MATCH($B47,_CompoundList,0))</f>
        <v>0</v>
      </c>
      <c r="AX47" s="181">
        <f ca="1">INDEX('Unique Asset List'!R$4:R$60,MATCH($B47,_CompoundList,0))</f>
        <v>0</v>
      </c>
      <c r="AY47" s="181">
        <f ca="1">INDEX('Unique Asset List'!S$4:S$60,MATCH($B47,_CompoundList,0))</f>
        <v>0</v>
      </c>
      <c r="AZ47" s="181">
        <f ca="1">INDEX('Unique Asset List'!T$4:T$60,MATCH($B47,_CompoundList,0))</f>
        <v>0</v>
      </c>
      <c r="BA47" s="181">
        <f ca="1">INDEX('Unique Asset List'!U$4:U$60,MATCH($B47,_CompoundList,0))</f>
        <v>0</v>
      </c>
      <c r="BB47" s="181">
        <f ca="1">INDEX('Unique Asset List'!V$4:V$60,MATCH($B47,_CompoundList,0))</f>
        <v>0</v>
      </c>
      <c r="BC47" s="181">
        <f ca="1">INDEX('Unique Asset List'!W$4:W$60,MATCH($B47,_CompoundList,0))</f>
        <v>1</v>
      </c>
      <c r="BD47" s="4">
        <f>IF($C$5="ON",CD47,MyRating(_E1,$B47,Efficacy!$F$1))</f>
        <v>0</v>
      </c>
      <c r="BE47" s="3">
        <f>IF($C$5="ON",CE47,MyRating(_E2,$B47,Efficacy!$F$1))</f>
        <v>0</v>
      </c>
      <c r="BF47" s="3">
        <f>IF($C$5="ON",CF47,MyRating(_E3,$B47,Efficacy!$F$1))</f>
        <v>0</v>
      </c>
      <c r="BG47" s="3">
        <f>IF($C$5="ON",CG47,MyRating(_E4,$B47,Efficacy!$F$1))</f>
        <v>0</v>
      </c>
      <c r="BH47" s="3">
        <f>IF($C$5="ON",CH47,MyRating(_E5,$B47,Efficacy!$F$1))</f>
        <v>0</v>
      </c>
      <c r="BI47" s="3">
        <f>IF($C$5="ON",CI47,MyRating(_E6,$B47,Efficacy!$F$1))</f>
        <v>0</v>
      </c>
      <c r="BJ47" s="3">
        <f>IF($C$5="ON",CJ47,MyRating(_E7,$B47,Efficacy!$F$1))</f>
        <v>0</v>
      </c>
      <c r="BK47" s="3">
        <f>IF($C$5="ON",CK47,MyRating(_E8,$B47,Efficacy!$F$1))</f>
        <v>0</v>
      </c>
      <c r="BL47" s="3">
        <f>IF($C$5="ON",CL47,MyRating(_S1,$B47,Efficacy!$F$1))</f>
        <v>0</v>
      </c>
      <c r="BM47" s="3">
        <f>IF($C$5="ON",CM47,MyRating(_S2,$B47,Efficacy!$F$1))</f>
        <v>0</v>
      </c>
      <c r="BN47" s="3">
        <f>IF($C$5="ON",CN47,MyRating(_S3,$B47,Efficacy!$F$1))</f>
        <v>0</v>
      </c>
      <c r="BO47" s="3">
        <f>IF($C$5="ON",CO47,MyRating(_S4,$B47,Efficacy!$F$1))</f>
        <v>0</v>
      </c>
      <c r="BP47" s="3">
        <f>IF($C$5="ON",CP47,MyRating(_S5,$B47,Efficacy!$F$1))</f>
        <v>0</v>
      </c>
      <c r="BQ47" s="3">
        <f>IF($C$5="ON",CQ47,MyRating(_S6,$B47,Efficacy!$F$1))</f>
        <v>0</v>
      </c>
      <c r="BR47" s="3">
        <f>IF($C$5="ON",CR47,MyRating(_S7,$B47,Efficacy!$F$1))</f>
        <v>0</v>
      </c>
      <c r="BS47" s="3">
        <f>IF($C$5="ON",CS47,MyRating(_D1,$B47,Efficacy!$F$1))</f>
        <v>0</v>
      </c>
      <c r="BT47" s="3">
        <f>IF($C$5="ON",CT47,MyRating(_D2,$B47,Efficacy!$F$1))</f>
        <v>0</v>
      </c>
      <c r="BU47" s="3">
        <f>IF($C$5="ON",CU47,MyRating(_D3,$B47,Efficacy!$F$1))</f>
        <v>0</v>
      </c>
      <c r="BV47" s="3">
        <f>IF($C$5="ON",CV47,MyRating(_D4,$B47,Efficacy!$F$1))</f>
        <v>0</v>
      </c>
      <c r="BW47" s="3">
        <f>IF($C$5="ON",CW47,MyRating(_B1,$B47,Barrier!$F$2))</f>
        <v>3</v>
      </c>
      <c r="BX47" s="3">
        <f>IF($C$5="ON",CX47,MyRating(_B2,$B47,Barrier!$F$2))</f>
        <v>3</v>
      </c>
      <c r="BY47" s="6">
        <f>IF($C$5="ON",CY47,MyRating(_B3,$B47,Barrier!$F$2))</f>
        <v>3</v>
      </c>
      <c r="BZ47" s="5">
        <f t="shared" si="7"/>
        <v>2.833849230535369E-2</v>
      </c>
      <c r="CA47" s="8">
        <f t="shared" si="9"/>
        <v>2.4000000000000004</v>
      </c>
      <c r="CB47" s="5">
        <f t="shared" si="8"/>
        <v>2.8301886792452827E-2</v>
      </c>
      <c r="CC47" s="7">
        <f t="shared" si="10"/>
        <v>3.8137644231022581E-6</v>
      </c>
      <c r="CD47" s="4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6">
        <v>0</v>
      </c>
      <c r="CZ47" s="5"/>
      <c r="DA47" s="4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</row>
    <row r="48" spans="1:126" x14ac:dyDescent="0.25">
      <c r="A48" s="9" t="s">
        <v>5</v>
      </c>
      <c r="B48" s="9" t="s">
        <v>26</v>
      </c>
      <c r="C48" s="20" t="s">
        <v>3</v>
      </c>
      <c r="D48" s="9" t="s">
        <v>25</v>
      </c>
      <c r="E48" s="9"/>
      <c r="F48" s="9" t="str">
        <f>INDEX('Unique Asset List'!$C$4:$C$60,MATCH(B48,_CompoundList,0))</f>
        <v>PCD</v>
      </c>
      <c r="G48" s="19">
        <v>0</v>
      </c>
      <c r="H48" s="9">
        <v>2018</v>
      </c>
      <c r="I48" s="9">
        <v>1</v>
      </c>
      <c r="J48" s="18">
        <f>INDEX(PTRS!$D$6:$D$12,MATCH('1'!$F48,PTRS!$B$6:$B$12,0))</f>
        <v>0.1044225</v>
      </c>
      <c r="K48" s="17">
        <f>INDEX('Unique Asset List'!$D$4:$M$60,MATCH($B48,'Unique Asset List'!$A$4:$A$60,0),MATCH(K$8,'Unique Asset List'!$D$3:$M$3,0))</f>
        <v>0</v>
      </c>
      <c r="L48" s="17">
        <f>INDEX('Unique Asset List'!$D$4:$M$60,MATCH($B48,'Unique Asset List'!$A$4:$A$60,0),MATCH(L$8,'Unique Asset List'!$D$3:$M$3,0))</f>
        <v>0</v>
      </c>
      <c r="M48" s="17">
        <f t="shared" si="11"/>
        <v>0.1044225</v>
      </c>
      <c r="N48" s="17">
        <f>INDEX('Unique Asset List'!$D$4:$M$60,MATCH($B48,'Unique Asset List'!$A$4:$A$60,0),MATCH(N$8,'Unique Asset List'!$D$3:$M$3,0))</f>
        <v>0.1044225</v>
      </c>
      <c r="O48" s="17">
        <f>INDEX('Unique Asset List'!$D$4:$M$60,MATCH($B48,'Unique Asset List'!$A$4:$A$60,0),MATCH(O$8,'Unique Asset List'!$D$3:$M$3,0))</f>
        <v>0.1044225</v>
      </c>
      <c r="P48" s="17">
        <f>INDEX('Unique Asset List'!$D$4:$M$60,MATCH($B48,'Unique Asset List'!$A$4:$A$60,0),MATCH(P$8,'Unique Asset List'!$D$3:$M$3,0))</f>
        <v>0.1044225</v>
      </c>
      <c r="Q48" s="17">
        <f>INDEX('Unique Asset List'!$D$4:$M$60,MATCH($B48,'Unique Asset List'!$A$4:$A$60,0),MATCH(Q$8,'Unique Asset List'!$D$3:$M$3,0))</f>
        <v>0.1044225</v>
      </c>
      <c r="R48" s="17">
        <f>INDEX('Unique Asset List'!$D$4:$M$60,MATCH($B48,'Unique Asset List'!$A$4:$A$60,0),MATCH(R$8,'Unique Asset List'!$D$3:$M$3,0))</f>
        <v>0.1044225</v>
      </c>
      <c r="S48" s="17">
        <f>INDEX('Unique Asset List'!$D$4:$M$60,MATCH($B48,'Unique Asset List'!$A$4:$A$60,0),MATCH(S$8,'Unique Asset List'!$D$3:$M$3,0))</f>
        <v>0</v>
      </c>
      <c r="T48" s="9" t="s">
        <v>24</v>
      </c>
      <c r="U48" s="17">
        <f t="shared" si="1"/>
        <v>0</v>
      </c>
      <c r="V48" s="17">
        <v>1</v>
      </c>
      <c r="W48" s="9" t="s">
        <v>24</v>
      </c>
      <c r="X48" s="9">
        <f>INDEX('Unique Asset List'!$Y$4:$AE$60,MATCH('1'!$B48,'Unique Asset List'!$A$4:$A$60,0),MATCH('1'!$C$1,'Unique Asset List'!$Y$3:$AE$3,0))</f>
        <v>2031</v>
      </c>
      <c r="Y48" s="9">
        <f>INDEX('Unique Asset List'!$AF$4:$AL$60,MATCH('1'!$B48,'Unique Asset List'!$A$4:$A$60,0),MATCH('1'!$C$1,'Unique Asset List'!$AF$3:$AL$3,0))</f>
        <v>4</v>
      </c>
      <c r="Z48" s="9">
        <f>INDEX('Unique Asset List'!$AT$4:$AZ$60,MATCH('1'!$B48,'Unique Asset List'!$A$4:$A$60,0),MATCH('1'!$C$1,'Unique Asset List'!$AT$3:$AZ$3,0))</f>
        <v>2043</v>
      </c>
      <c r="AA48" s="9">
        <f>INDEX('Unique Asset List'!$BA$4:$BG$60,MATCH('1'!$B48,'Unique Asset List'!$A$4:$A$60,0),MATCH('1'!$C$1,'Unique Asset List'!$BA$3:$BG$3,0))</f>
        <v>4</v>
      </c>
      <c r="AB48" s="16">
        <f>AB30</f>
        <v>1.8077445000000001</v>
      </c>
      <c r="AC48" s="16">
        <f>AC30</f>
        <v>0.94137550000000003</v>
      </c>
      <c r="AD48" s="16">
        <f>AD30</f>
        <v>0.56099999999999994</v>
      </c>
      <c r="AE48" s="15">
        <f>INDEX('Unique Asset List'!$CJ$4:$CP$60,MATCH('1'!$B48,'Unique Asset List'!$A$4:$A$60,0),MATCH('1'!$C$1,'Unique Asset List'!$CJ$3:$CP$3,0))</f>
        <v>0.15</v>
      </c>
      <c r="AF48" s="15">
        <f>INDEX('Unique Asset List'!$CQ$4:$CW$60,MATCH('1'!$B48,'Unique Asset List'!$A$4:$A$60,0),MATCH('1'!$C$1,'Unique Asset List'!$CQ$3:$CW$3,0))</f>
        <v>0.35</v>
      </c>
      <c r="AG48" s="15">
        <f>INDEX('Unique Asset List'!$BV$4:$CB$60,MATCH('1'!$B48,'Unique Asset List'!$A$4:$A$60,0),MATCH('1'!$C$1,'Unique Asset List'!$BV$3:$CB$3,0))</f>
        <v>0.15</v>
      </c>
      <c r="AH48" s="15">
        <f>INDEX('Unique Asset List'!$CC$4:$CI$60,MATCH('1'!$B48,'Unique Asset List'!$A$4:$A$60,0),MATCH('1'!$C$1,'Unique Asset List'!$CC$3:$CI$3,0))</f>
        <v>0.35</v>
      </c>
      <c r="AI48" s="11">
        <v>0.97304949785176587</v>
      </c>
      <c r="AJ48" s="15">
        <f>INDEX('Unique Asset List'!$BH$4:$BN$60,MATCH('1'!$B48,'Unique Asset List'!$A$4:$A$60,0),MATCH('1'!$C$1,'Unique Asset List'!$BH$3:$BN$3,0))</f>
        <v>1.2267192541321688</v>
      </c>
      <c r="AK48" s="15">
        <f>INDEX('Unique Asset List'!$BO$4:$BU$60,MATCH('1'!$B48,'Unique Asset List'!$A$4:$A$60,0),MATCH('1'!$C$1,'Unique Asset List'!$BO$3:$BU$3,0))</f>
        <v>11.984388276878477</v>
      </c>
      <c r="AL48" s="150">
        <v>160</v>
      </c>
      <c r="AM48" s="14">
        <f>INDEX(Simulation!$B$6:$H$6,MATCH($A48,Simulation!$B$1:$H$1,0))*(1+AN48)^((DATE(X48,Y48,15)-DATE(2017,1,15))/365.5)</f>
        <v>24.477752125521665</v>
      </c>
      <c r="AN48" s="12">
        <v>3.5000000000000003E-2</v>
      </c>
      <c r="AO48" s="13">
        <v>60</v>
      </c>
      <c r="AP48" s="11">
        <v>0.6</v>
      </c>
      <c r="AQ48" s="12">
        <v>-0.02</v>
      </c>
      <c r="AR48" s="11">
        <v>0.5</v>
      </c>
      <c r="AS48" s="10">
        <v>1</v>
      </c>
      <c r="AT48" s="181">
        <f>INDEX('Unique Asset List'!N$4:N$60,MATCH($B48,_CompoundList,0))</f>
        <v>0</v>
      </c>
      <c r="AU48" s="181">
        <f>INDEX('Unique Asset List'!O$4:O$60,MATCH($B48,_CompoundList,0))</f>
        <v>0</v>
      </c>
      <c r="AV48" s="181">
        <f>INDEX('Unique Asset List'!P$4:P$60,MATCH($B48,_CompoundList,0))</f>
        <v>0</v>
      </c>
      <c r="AW48" s="181">
        <f>INDEX('Unique Asset List'!Q$4:Q$60,MATCH($B48,_CompoundList,0))</f>
        <v>0</v>
      </c>
      <c r="AX48" s="181">
        <f ca="1">INDEX('Unique Asset List'!R$4:R$60,MATCH($B48,_CompoundList,0))</f>
        <v>0</v>
      </c>
      <c r="AY48" s="181">
        <f ca="1">INDEX('Unique Asset List'!S$4:S$60,MATCH($B48,_CompoundList,0))</f>
        <v>1</v>
      </c>
      <c r="AZ48" s="181">
        <f ca="1">INDEX('Unique Asset List'!T$4:T$60,MATCH($B48,_CompoundList,0))</f>
        <v>0</v>
      </c>
      <c r="BA48" s="181">
        <f ca="1">INDEX('Unique Asset List'!U$4:U$60,MATCH($B48,_CompoundList,0))</f>
        <v>1</v>
      </c>
      <c r="BB48" s="181">
        <f ca="1">INDEX('Unique Asset List'!V$4:V$60,MATCH($B48,_CompoundList,0))</f>
        <v>1</v>
      </c>
      <c r="BC48" s="181">
        <f ca="1">INDEX('Unique Asset List'!W$4:W$60,MATCH($B48,_CompoundList,0))</f>
        <v>0</v>
      </c>
      <c r="BD48" s="4">
        <f>IF($C$5="ON",CD48,MyRating(_E1,$B48,Efficacy!$F$1))</f>
        <v>0</v>
      </c>
      <c r="BE48" s="3">
        <f>IF($C$5="ON",CE48,MyRating(_E2,$B48,Efficacy!$F$1))</f>
        <v>0</v>
      </c>
      <c r="BF48" s="3">
        <f>IF($C$5="ON",CF48,MyRating(_E3,$B48,Efficacy!$F$1))</f>
        <v>0</v>
      </c>
      <c r="BG48" s="3">
        <f>IF($C$5="ON",CG48,MyRating(_E4,$B48,Efficacy!$F$1))</f>
        <v>0</v>
      </c>
      <c r="BH48" s="3">
        <f>IF($C$5="ON",CH48,MyRating(_E5,$B48,Efficacy!$F$1))</f>
        <v>0</v>
      </c>
      <c r="BI48" s="3">
        <f>IF($C$5="ON",CI48,MyRating(_E6,$B48,Efficacy!$F$1))</f>
        <v>0</v>
      </c>
      <c r="BJ48" s="3">
        <f>IF($C$5="ON",CJ48,MyRating(_E7,$B48,Efficacy!$F$1))</f>
        <v>0</v>
      </c>
      <c r="BK48" s="3">
        <f>IF($C$5="ON",CK48,MyRating(_E8,$B48,Efficacy!$F$1))</f>
        <v>0</v>
      </c>
      <c r="BL48" s="3">
        <f>IF($C$5="ON",CL48,MyRating(_S1,$B48,Efficacy!$F$1))</f>
        <v>0</v>
      </c>
      <c r="BM48" s="3">
        <f>IF($C$5="ON",CM48,MyRating(_S2,$B48,Efficacy!$F$1))</f>
        <v>0</v>
      </c>
      <c r="BN48" s="3">
        <f>IF($C$5="ON",CN48,MyRating(_S3,$B48,Efficacy!$F$1))</f>
        <v>0</v>
      </c>
      <c r="BO48" s="3">
        <f>IF($C$5="ON",CO48,MyRating(_S4,$B48,Efficacy!$F$1))</f>
        <v>0</v>
      </c>
      <c r="BP48" s="3">
        <f>IF($C$5="ON",CP48,MyRating(_S5,$B48,Efficacy!$F$1))</f>
        <v>0</v>
      </c>
      <c r="BQ48" s="3">
        <f>IF($C$5="ON",CQ48,MyRating(_S6,$B48,Efficacy!$F$1))</f>
        <v>0</v>
      </c>
      <c r="BR48" s="3">
        <f>IF($C$5="ON",CR48,MyRating(_S7,$B48,Efficacy!$F$1))</f>
        <v>0</v>
      </c>
      <c r="BS48" s="3">
        <f>IF($C$5="ON",CS48,MyRating(_D1,$B48,Efficacy!$F$1))</f>
        <v>0</v>
      </c>
      <c r="BT48" s="3">
        <f>IF($C$5="ON",CT48,MyRating(_D2,$B48,Efficacy!$F$1))</f>
        <v>0</v>
      </c>
      <c r="BU48" s="3">
        <f>IF($C$5="ON",CU48,MyRating(_D3,$B48,Efficacy!$F$1))</f>
        <v>0</v>
      </c>
      <c r="BV48" s="3">
        <f>IF($C$5="ON",CV48,MyRating(_D4,$B48,Efficacy!$F$1))</f>
        <v>0</v>
      </c>
      <c r="BW48" s="3">
        <f>IF($C$5="ON",CW48,MyRating(_B1,$B48,Barrier!$F$2))</f>
        <v>3</v>
      </c>
      <c r="BX48" s="3">
        <f>IF($C$5="ON",CX48,MyRating(_B2,$B48,Barrier!$F$2))</f>
        <v>0</v>
      </c>
      <c r="BY48" s="6">
        <f>IF($C$5="ON",CY48,MyRating(_B3,$B48,Barrier!$F$2))</f>
        <v>0</v>
      </c>
      <c r="BZ48" s="5">
        <f t="shared" si="7"/>
        <v>0</v>
      </c>
      <c r="CA48" s="8">
        <f t="shared" si="9"/>
        <v>0.60000000000000009</v>
      </c>
      <c r="CB48" s="5">
        <f t="shared" si="8"/>
        <v>7.0754716981132068E-3</v>
      </c>
      <c r="CC48" s="7">
        <f t="shared" si="10"/>
        <v>2.9795034555486375E-8</v>
      </c>
      <c r="CD48" s="4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6">
        <v>0</v>
      </c>
      <c r="CZ48" s="5"/>
      <c r="DA48" s="4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</row>
    <row r="49" spans="1:126" x14ac:dyDescent="0.25">
      <c r="A49" s="9" t="s">
        <v>5</v>
      </c>
      <c r="B49" s="9" t="s">
        <v>23</v>
      </c>
      <c r="C49" s="20"/>
      <c r="D49" s="9" t="s">
        <v>22</v>
      </c>
      <c r="E49" s="9"/>
      <c r="F49" s="9" t="str">
        <f>INDEX('Unique Asset List'!$C$4:$C$60,MATCH(B49,_CompoundList,0))</f>
        <v>PCD</v>
      </c>
      <c r="G49" s="19">
        <v>0</v>
      </c>
      <c r="H49" s="9">
        <v>2018</v>
      </c>
      <c r="I49" s="9">
        <v>1</v>
      </c>
      <c r="J49" s="18">
        <f>INDEX(PTRS!$D$6:$D$12,MATCH('1'!$F49,PTRS!$B$6:$B$12,0))</f>
        <v>0.1044225</v>
      </c>
      <c r="K49" s="17">
        <f>INDEX('Unique Asset List'!$D$4:$M$60,MATCH($B49,'Unique Asset List'!$A$4:$A$60,0),MATCH(K$8,'Unique Asset List'!$D$3:$M$3,0))</f>
        <v>0</v>
      </c>
      <c r="L49" s="17">
        <f>INDEX('Unique Asset List'!$D$4:$M$60,MATCH($B49,'Unique Asset List'!$A$4:$A$60,0),MATCH(L$8,'Unique Asset List'!$D$3:$M$3,0))</f>
        <v>0</v>
      </c>
      <c r="M49" s="17">
        <f t="shared" si="11"/>
        <v>0.1044225</v>
      </c>
      <c r="N49" s="17">
        <f>INDEX('Unique Asset List'!$D$4:$M$60,MATCH($B49,'Unique Asset List'!$A$4:$A$60,0),MATCH(N$8,'Unique Asset List'!$D$3:$M$3,0))</f>
        <v>0.1044225</v>
      </c>
      <c r="O49" s="17">
        <f>INDEX('Unique Asset List'!$D$4:$M$60,MATCH($B49,'Unique Asset List'!$A$4:$A$60,0),MATCH(O$8,'Unique Asset List'!$D$3:$M$3,0))</f>
        <v>0.1044225</v>
      </c>
      <c r="P49" s="17">
        <f>INDEX('Unique Asset List'!$D$4:$M$60,MATCH($B49,'Unique Asset List'!$A$4:$A$60,0),MATCH(P$8,'Unique Asset List'!$D$3:$M$3,0))</f>
        <v>0.1044225</v>
      </c>
      <c r="Q49" s="17">
        <f>INDEX('Unique Asset List'!$D$4:$M$60,MATCH($B49,'Unique Asset List'!$A$4:$A$60,0),MATCH(Q$8,'Unique Asset List'!$D$3:$M$3,0))</f>
        <v>0.1044225</v>
      </c>
      <c r="R49" s="17">
        <f>INDEX('Unique Asset List'!$D$4:$M$60,MATCH($B49,'Unique Asset List'!$A$4:$A$60,0),MATCH(R$8,'Unique Asset List'!$D$3:$M$3,0))</f>
        <v>0.1044225</v>
      </c>
      <c r="S49" s="17">
        <f>INDEX('Unique Asset List'!$D$4:$M$60,MATCH($B49,'Unique Asset List'!$A$4:$A$60,0),MATCH(S$8,'Unique Asset List'!$D$3:$M$3,0))</f>
        <v>0</v>
      </c>
      <c r="T49" s="9" t="s">
        <v>21</v>
      </c>
      <c r="U49" s="17">
        <f t="shared" si="1"/>
        <v>0.58302373629991611</v>
      </c>
      <c r="V49" s="17">
        <v>1</v>
      </c>
      <c r="W49" s="9" t="s">
        <v>20</v>
      </c>
      <c r="X49" s="9">
        <f>INDEX('Unique Asset List'!$Y$4:$AE$60,MATCH('1'!$B49,'Unique Asset List'!$A$4:$A$60,0),MATCH('1'!$C$1,'Unique Asset List'!$Y$3:$AE$3,0))</f>
        <v>2030</v>
      </c>
      <c r="Y49" s="9">
        <f>INDEX('Unique Asset List'!$AF$4:$AL$60,MATCH('1'!$B49,'Unique Asset List'!$A$4:$A$60,0),MATCH('1'!$C$1,'Unique Asset List'!$AF$3:$AL$3,0))</f>
        <v>6</v>
      </c>
      <c r="Z49" s="9">
        <f>INDEX('Unique Asset List'!$AT$4:$AZ$60,MATCH('1'!$B49,'Unique Asset List'!$A$4:$A$60,0),MATCH('1'!$C$1,'Unique Asset List'!$AT$3:$AZ$3,0))</f>
        <v>2042</v>
      </c>
      <c r="AA49" s="9">
        <f>INDEX('Unique Asset List'!$BA$4:$BG$60,MATCH('1'!$B49,'Unique Asset List'!$A$4:$A$60,0),MATCH('1'!$C$1,'Unique Asset List'!$BA$3:$BG$3,0))</f>
        <v>6</v>
      </c>
      <c r="AB49" s="16">
        <f>AB27</f>
        <v>1.4855229000000001</v>
      </c>
      <c r="AC49" s="16">
        <f>AC27</f>
        <v>0.91486990000000001</v>
      </c>
      <c r="AD49" s="16">
        <f>AD27</f>
        <v>0.56099999999999994</v>
      </c>
      <c r="AE49" s="15">
        <f>INDEX('Unique Asset List'!$CJ$4:$CP$60,MATCH('1'!$B49,'Unique Asset List'!$A$4:$A$60,0),MATCH('1'!$C$1,'Unique Asset List'!$CJ$3:$CP$3,0))</f>
        <v>0.15</v>
      </c>
      <c r="AF49" s="15">
        <f>INDEX('Unique Asset List'!$CQ$4:$CW$60,MATCH('1'!$B49,'Unique Asset List'!$A$4:$A$60,0),MATCH('1'!$C$1,'Unique Asset List'!$CQ$3:$CW$3,0))</f>
        <v>0.35</v>
      </c>
      <c r="AG49" s="15">
        <f>INDEX('Unique Asset List'!$BV$4:$CB$60,MATCH('1'!$B49,'Unique Asset List'!$A$4:$A$60,0),MATCH('1'!$C$1,'Unique Asset List'!$BV$3:$CB$3,0))</f>
        <v>0.15</v>
      </c>
      <c r="AH49" s="15">
        <f>INDEX('Unique Asset List'!$CC$4:$CI$60,MATCH('1'!$B49,'Unique Asset List'!$A$4:$A$60,0),MATCH('1'!$C$1,'Unique Asset List'!$CC$3:$CI$3,0))</f>
        <v>0.35</v>
      </c>
      <c r="AI49" s="11">
        <v>0.97304949785176587</v>
      </c>
      <c r="AJ49" s="15">
        <f>INDEX('Unique Asset List'!$BH$4:$BN$60,MATCH('1'!$B49,'Unique Asset List'!$A$4:$A$60,0),MATCH('1'!$C$1,'Unique Asset List'!$BH$3:$BN$3,0))</f>
        <v>1.2267192541321688</v>
      </c>
      <c r="AK49" s="15">
        <f>INDEX('Unique Asset List'!$BO$4:$BU$60,MATCH('1'!$B49,'Unique Asset List'!$A$4:$A$60,0),MATCH('1'!$C$1,'Unique Asset List'!$BO$3:$BU$3,0))</f>
        <v>11.984388276878477</v>
      </c>
      <c r="AL49" s="150">
        <v>160</v>
      </c>
      <c r="AM49" s="14">
        <f>INDEX(Simulation!$B$6:$H$6,MATCH($A49,Simulation!$B$1:$H$1,0))*(1+AN49)^((DATE(X49,Y49,15)-DATE(2017,1,15))/365.5)</f>
        <v>23.787296487101759</v>
      </c>
      <c r="AN49" s="12">
        <v>3.5000000000000003E-2</v>
      </c>
      <c r="AO49" s="13">
        <v>60</v>
      </c>
      <c r="AP49" s="11">
        <v>0.6</v>
      </c>
      <c r="AQ49" s="12">
        <v>-0.02</v>
      </c>
      <c r="AR49" s="11">
        <v>0.5</v>
      </c>
      <c r="AS49" s="10">
        <v>1</v>
      </c>
      <c r="AT49" s="181">
        <f>INDEX('Unique Asset List'!N$4:N$60,MATCH($B49,_CompoundList,0))</f>
        <v>0</v>
      </c>
      <c r="AU49" s="181">
        <f>INDEX('Unique Asset List'!O$4:O$60,MATCH($B49,_CompoundList,0))</f>
        <v>0</v>
      </c>
      <c r="AV49" s="181">
        <f>INDEX('Unique Asset List'!P$4:P$60,MATCH($B49,_CompoundList,0))</f>
        <v>0</v>
      </c>
      <c r="AW49" s="181">
        <f>INDEX('Unique Asset List'!Q$4:Q$60,MATCH($B49,_CompoundList,0))</f>
        <v>0</v>
      </c>
      <c r="AX49" s="181">
        <f ca="1">INDEX('Unique Asset List'!R$4:R$60,MATCH($B49,_CompoundList,0))</f>
        <v>0</v>
      </c>
      <c r="AY49" s="181">
        <f ca="1">INDEX('Unique Asset List'!S$4:S$60,MATCH($B49,_CompoundList,0))</f>
        <v>0</v>
      </c>
      <c r="AZ49" s="181">
        <f ca="1">INDEX('Unique Asset List'!T$4:T$60,MATCH($B49,_CompoundList,0))</f>
        <v>1</v>
      </c>
      <c r="BA49" s="181">
        <f ca="1">INDEX('Unique Asset List'!U$4:U$60,MATCH($B49,_CompoundList,0))</f>
        <v>0</v>
      </c>
      <c r="BB49" s="181">
        <f ca="1">INDEX('Unique Asset List'!V$4:V$60,MATCH($B49,_CompoundList,0))</f>
        <v>0</v>
      </c>
      <c r="BC49" s="181">
        <f ca="1">INDEX('Unique Asset List'!W$4:W$60,MATCH($B49,_CompoundList,0))</f>
        <v>0</v>
      </c>
      <c r="BD49" s="4">
        <f>IF($C$5="ON",CD49,MyRating(_E1,$B49,Efficacy!$F$1))</f>
        <v>0</v>
      </c>
      <c r="BE49" s="3">
        <f>IF($C$5="ON",CE49,MyRating(_E2,$B49,Efficacy!$F$1))</f>
        <v>0</v>
      </c>
      <c r="BF49" s="3">
        <f>IF($C$5="ON",CF49,MyRating(_E3,$B49,Efficacy!$F$1))</f>
        <v>0</v>
      </c>
      <c r="BG49" s="3">
        <f>IF($C$5="ON",CG49,MyRating(_E4,$B49,Efficacy!$F$1))</f>
        <v>0</v>
      </c>
      <c r="BH49" s="3">
        <f>IF($C$5="ON",CH49,MyRating(_E5,$B49,Efficacy!$F$1))</f>
        <v>0</v>
      </c>
      <c r="BI49" s="3">
        <f>IF($C$5="ON",CI49,MyRating(_E6,$B49,Efficacy!$F$1))</f>
        <v>0</v>
      </c>
      <c r="BJ49" s="3">
        <f>IF($C$5="ON",CJ49,MyRating(_E7,$B49,Efficacy!$F$1))</f>
        <v>0</v>
      </c>
      <c r="BK49" s="3">
        <f>IF($C$5="ON",CK49,MyRating(_E8,$B49,Efficacy!$F$1))</f>
        <v>0</v>
      </c>
      <c r="BL49" s="3">
        <f>IF($C$5="ON",CL49,MyRating(_S1,$B49,Efficacy!$F$1))</f>
        <v>0</v>
      </c>
      <c r="BM49" s="3">
        <f>IF($C$5="ON",CM49,MyRating(_S2,$B49,Efficacy!$F$1))</f>
        <v>0</v>
      </c>
      <c r="BN49" s="3">
        <f>IF($C$5="ON",CN49,MyRating(_S3,$B49,Efficacy!$F$1))</f>
        <v>0</v>
      </c>
      <c r="BO49" s="3">
        <f>IF($C$5="ON",CO49,MyRating(_S4,$B49,Efficacy!$F$1))</f>
        <v>0</v>
      </c>
      <c r="BP49" s="3">
        <f>IF($C$5="ON",CP49,MyRating(_S5,$B49,Efficacy!$F$1))</f>
        <v>0</v>
      </c>
      <c r="BQ49" s="3">
        <f>IF($C$5="ON",CQ49,MyRating(_S6,$B49,Efficacy!$F$1))</f>
        <v>0</v>
      </c>
      <c r="BR49" s="3">
        <f>IF($C$5="ON",CR49,MyRating(_S7,$B49,Efficacy!$F$1))</f>
        <v>0</v>
      </c>
      <c r="BS49" s="3">
        <f>IF($C$5="ON",CS49,MyRating(_D1,$B49,Efficacy!$F$1))</f>
        <v>0</v>
      </c>
      <c r="BT49" s="3">
        <f>IF($C$5="ON",CT49,MyRating(_D2,$B49,Efficacy!$F$1))</f>
        <v>0</v>
      </c>
      <c r="BU49" s="3">
        <f>IF($C$5="ON",CU49,MyRating(_D3,$B49,Efficacy!$F$1))</f>
        <v>0</v>
      </c>
      <c r="BV49" s="3">
        <f>IF($C$5="ON",CV49,MyRating(_D4,$B49,Efficacy!$F$1))</f>
        <v>0</v>
      </c>
      <c r="BW49" s="3">
        <f>IF($C$5="ON",CW49,MyRating(_B1,$B49,Barrier!$F$2))</f>
        <v>3</v>
      </c>
      <c r="BX49" s="3">
        <f>IF($C$5="ON",CX49,MyRating(_B2,$B49,Barrier!$F$2))</f>
        <v>3</v>
      </c>
      <c r="BY49" s="6">
        <f>IF($C$5="ON",CY49,MyRating(_B3,$B49,Barrier!$F$2))</f>
        <v>3</v>
      </c>
      <c r="BZ49" s="5">
        <f t="shared" si="7"/>
        <v>2.833849230535369E-2</v>
      </c>
      <c r="CA49" s="8">
        <f t="shared" si="9"/>
        <v>2.4000000000000004</v>
      </c>
      <c r="CB49" s="5">
        <f t="shared" si="8"/>
        <v>2.8301886792452827E-2</v>
      </c>
      <c r="CC49" s="7">
        <f t="shared" si="10"/>
        <v>3.8137644231022581E-6</v>
      </c>
      <c r="CD49" s="4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6">
        <v>0</v>
      </c>
      <c r="CZ49" s="5"/>
      <c r="DA49" s="4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</row>
    <row r="50" spans="1:126" x14ac:dyDescent="0.25">
      <c r="A50" s="9" t="s">
        <v>5</v>
      </c>
      <c r="B50" s="9" t="s">
        <v>19</v>
      </c>
      <c r="C50" s="20"/>
      <c r="D50" s="9" t="s">
        <v>18</v>
      </c>
      <c r="E50" s="9"/>
      <c r="F50" s="9" t="str">
        <f>INDEX('Unique Asset List'!$C$4:$C$60,MATCH(B50,_CompoundList,0))</f>
        <v>PCD</v>
      </c>
      <c r="G50" s="19">
        <v>0</v>
      </c>
      <c r="H50" s="9">
        <v>2018</v>
      </c>
      <c r="I50" s="9">
        <v>1</v>
      </c>
      <c r="J50" s="18">
        <f>INDEX(PTRS!$D$6:$D$12,MATCH('1'!$F50,PTRS!$B$6:$B$12,0))</f>
        <v>0.1044225</v>
      </c>
      <c r="K50" s="17">
        <f>INDEX('Unique Asset List'!$D$4:$M$60,MATCH($B50,'Unique Asset List'!$A$4:$A$60,0),MATCH(K$8,'Unique Asset List'!$D$3:$M$3,0))</f>
        <v>0</v>
      </c>
      <c r="L50" s="17">
        <f>INDEX('Unique Asset List'!$D$4:$M$60,MATCH($B50,'Unique Asset List'!$A$4:$A$60,0),MATCH(L$8,'Unique Asset List'!$D$3:$M$3,0))</f>
        <v>0</v>
      </c>
      <c r="M50" s="17">
        <f t="shared" si="11"/>
        <v>0.1044225</v>
      </c>
      <c r="N50" s="17">
        <f>INDEX('Unique Asset List'!$D$4:$M$60,MATCH($B50,'Unique Asset List'!$A$4:$A$60,0),MATCH(N$8,'Unique Asset List'!$D$3:$M$3,0))</f>
        <v>0.1044225</v>
      </c>
      <c r="O50" s="17">
        <f>INDEX('Unique Asset List'!$D$4:$M$60,MATCH($B50,'Unique Asset List'!$A$4:$A$60,0),MATCH(O$8,'Unique Asset List'!$D$3:$M$3,0))</f>
        <v>0.1044225</v>
      </c>
      <c r="P50" s="17">
        <f>INDEX('Unique Asset List'!$D$4:$M$60,MATCH($B50,'Unique Asset List'!$A$4:$A$60,0),MATCH(P$8,'Unique Asset List'!$D$3:$M$3,0))</f>
        <v>0.1044225</v>
      </c>
      <c r="Q50" s="17">
        <f>INDEX('Unique Asset List'!$D$4:$M$60,MATCH($B50,'Unique Asset List'!$A$4:$A$60,0),MATCH(Q$8,'Unique Asset List'!$D$3:$M$3,0))</f>
        <v>0.1044225</v>
      </c>
      <c r="R50" s="17">
        <f>INDEX('Unique Asset List'!$D$4:$M$60,MATCH($B50,'Unique Asset List'!$A$4:$A$60,0),MATCH(R$8,'Unique Asset List'!$D$3:$M$3,0))</f>
        <v>0.1044225</v>
      </c>
      <c r="S50" s="17">
        <f>INDEX('Unique Asset List'!$D$4:$M$60,MATCH($B50,'Unique Asset List'!$A$4:$A$60,0),MATCH(S$8,'Unique Asset List'!$D$3:$M$3,0))</f>
        <v>0</v>
      </c>
      <c r="T50" s="9" t="s">
        <v>17</v>
      </c>
      <c r="U50" s="17">
        <f t="shared" si="1"/>
        <v>0.58302373629991611</v>
      </c>
      <c r="V50" s="17">
        <v>1</v>
      </c>
      <c r="W50" s="9" t="s">
        <v>16</v>
      </c>
      <c r="X50" s="9">
        <f>INDEX('Unique Asset List'!$Y$4:$AE$60,MATCH('1'!$B50,'Unique Asset List'!$A$4:$A$60,0),MATCH('1'!$C$1,'Unique Asset List'!$Y$3:$AE$3,0))</f>
        <v>2029</v>
      </c>
      <c r="Y50" s="9">
        <f>INDEX('Unique Asset List'!$AF$4:$AL$60,MATCH('1'!$B50,'Unique Asset List'!$A$4:$A$60,0),MATCH('1'!$C$1,'Unique Asset List'!$AF$3:$AL$3,0))</f>
        <v>11</v>
      </c>
      <c r="Z50" s="9">
        <f>INDEX('Unique Asset List'!$AT$4:$AZ$60,MATCH('1'!$B50,'Unique Asset List'!$A$4:$A$60,0),MATCH('1'!$C$1,'Unique Asset List'!$AT$3:$AZ$3,0))</f>
        <v>2041</v>
      </c>
      <c r="AA50" s="9">
        <f>INDEX('Unique Asset List'!$BA$4:$BG$60,MATCH('1'!$B50,'Unique Asset List'!$A$4:$A$60,0),MATCH('1'!$C$1,'Unique Asset List'!$BA$3:$BG$3,0))</f>
        <v>11</v>
      </c>
      <c r="AB50" s="16">
        <f>AB21</f>
        <v>1.5776481999999998</v>
      </c>
      <c r="AC50" s="16">
        <f>AC21</f>
        <v>0.97947730000000011</v>
      </c>
      <c r="AD50" s="16">
        <f>AD21</f>
        <v>0.56099999999999994</v>
      </c>
      <c r="AE50" s="15">
        <f>INDEX('Unique Asset List'!$CJ$4:$CP$60,MATCH('1'!$B50,'Unique Asset List'!$A$4:$A$60,0),MATCH('1'!$C$1,'Unique Asset List'!$CJ$3:$CP$3,0))</f>
        <v>0.15</v>
      </c>
      <c r="AF50" s="15">
        <f>INDEX('Unique Asset List'!$CQ$4:$CW$60,MATCH('1'!$B50,'Unique Asset List'!$A$4:$A$60,0),MATCH('1'!$C$1,'Unique Asset List'!$CQ$3:$CW$3,0))</f>
        <v>0.35</v>
      </c>
      <c r="AG50" s="15">
        <f>INDEX('Unique Asset List'!$BV$4:$CB$60,MATCH('1'!$B50,'Unique Asset List'!$A$4:$A$60,0),MATCH('1'!$C$1,'Unique Asset List'!$BV$3:$CB$3,0))</f>
        <v>0.15</v>
      </c>
      <c r="AH50" s="15">
        <f>INDEX('Unique Asset List'!$CC$4:$CI$60,MATCH('1'!$B50,'Unique Asset List'!$A$4:$A$60,0),MATCH('1'!$C$1,'Unique Asset List'!$CC$3:$CI$3,0))</f>
        <v>0.35</v>
      </c>
      <c r="AI50" s="11">
        <v>0.97304949785176587</v>
      </c>
      <c r="AJ50" s="15">
        <f>INDEX('Unique Asset List'!$BH$4:$BN$60,MATCH('1'!$B50,'Unique Asset List'!$A$4:$A$60,0),MATCH('1'!$C$1,'Unique Asset List'!$BH$3:$BN$3,0))</f>
        <v>1.2267192541321688</v>
      </c>
      <c r="AK50" s="15">
        <f>INDEX('Unique Asset List'!$BO$4:$BU$60,MATCH('1'!$B50,'Unique Asset List'!$A$4:$A$60,0),MATCH('1'!$C$1,'Unique Asset List'!$BO$3:$BU$3,0))</f>
        <v>11.984388276878477</v>
      </c>
      <c r="AL50" s="150">
        <v>160</v>
      </c>
      <c r="AM50" s="14">
        <f>INDEX(Simulation!$B$6:$H$6,MATCH($A50,Simulation!$B$1:$H$1,0))*(1+AN50)^((DATE(X50,Y50,15)-DATE(2017,1,15))/365.5)</f>
        <v>23.317354424631613</v>
      </c>
      <c r="AN50" s="12">
        <v>3.5000000000000003E-2</v>
      </c>
      <c r="AO50" s="13">
        <v>60</v>
      </c>
      <c r="AP50" s="11">
        <v>0.6</v>
      </c>
      <c r="AQ50" s="12">
        <v>-0.02</v>
      </c>
      <c r="AR50" s="11">
        <v>0.5</v>
      </c>
      <c r="AS50" s="10">
        <v>1</v>
      </c>
      <c r="AT50" s="181">
        <f>INDEX('Unique Asset List'!N$4:N$60,MATCH($B50,_CompoundList,0))</f>
        <v>0</v>
      </c>
      <c r="AU50" s="181">
        <f>INDEX('Unique Asset List'!O$4:O$60,MATCH($B50,_CompoundList,0))</f>
        <v>0</v>
      </c>
      <c r="AV50" s="181">
        <f>INDEX('Unique Asset List'!P$4:P$60,MATCH($B50,_CompoundList,0))</f>
        <v>0</v>
      </c>
      <c r="AW50" s="181">
        <f>INDEX('Unique Asset List'!Q$4:Q$60,MATCH($B50,_CompoundList,0))</f>
        <v>0</v>
      </c>
      <c r="AX50" s="181">
        <f ca="1">INDEX('Unique Asset List'!R$4:R$60,MATCH($B50,_CompoundList,0))</f>
        <v>0</v>
      </c>
      <c r="AY50" s="181">
        <f ca="1">INDEX('Unique Asset List'!S$4:S$60,MATCH($B50,_CompoundList,0))</f>
        <v>1</v>
      </c>
      <c r="AZ50" s="181">
        <f ca="1">INDEX('Unique Asset List'!T$4:T$60,MATCH($B50,_CompoundList,0))</f>
        <v>0</v>
      </c>
      <c r="BA50" s="181">
        <f ca="1">INDEX('Unique Asset List'!U$4:U$60,MATCH($B50,_CompoundList,0))</f>
        <v>0</v>
      </c>
      <c r="BB50" s="181">
        <f ca="1">INDEX('Unique Asset List'!V$4:V$60,MATCH($B50,_CompoundList,0))</f>
        <v>0</v>
      </c>
      <c r="BC50" s="181">
        <f ca="1">INDEX('Unique Asset List'!W$4:W$60,MATCH($B50,_CompoundList,0))</f>
        <v>1</v>
      </c>
      <c r="BD50" s="4">
        <f>IF($C$5="ON",CD50,MyRating(_E1,$B50,Efficacy!$F$1))</f>
        <v>0</v>
      </c>
      <c r="BE50" s="3">
        <f>IF($C$5="ON",CE50,MyRating(_E2,$B50,Efficacy!$F$1))</f>
        <v>0</v>
      </c>
      <c r="BF50" s="3">
        <f>IF($C$5="ON",CF50,MyRating(_E3,$B50,Efficacy!$F$1))</f>
        <v>0</v>
      </c>
      <c r="BG50" s="3">
        <f>IF($C$5="ON",CG50,MyRating(_E4,$B50,Efficacy!$F$1))</f>
        <v>0</v>
      </c>
      <c r="BH50" s="3">
        <f>IF($C$5="ON",CH50,MyRating(_E5,$B50,Efficacy!$F$1))</f>
        <v>0</v>
      </c>
      <c r="BI50" s="3">
        <f>IF($C$5="ON",CI50,MyRating(_E6,$B50,Efficacy!$F$1))</f>
        <v>0</v>
      </c>
      <c r="BJ50" s="3">
        <f>IF($C$5="ON",CJ50,MyRating(_E7,$B50,Efficacy!$F$1))</f>
        <v>0</v>
      </c>
      <c r="BK50" s="3">
        <f>IF($C$5="ON",CK50,MyRating(_E8,$B50,Efficacy!$F$1))</f>
        <v>0</v>
      </c>
      <c r="BL50" s="3">
        <f>IF($C$5="ON",CL50,MyRating(_S1,$B50,Efficacy!$F$1))</f>
        <v>0</v>
      </c>
      <c r="BM50" s="3">
        <f>IF($C$5="ON",CM50,MyRating(_S2,$B50,Efficacy!$F$1))</f>
        <v>0</v>
      </c>
      <c r="BN50" s="3">
        <f>IF($C$5="ON",CN50,MyRating(_S3,$B50,Efficacy!$F$1))</f>
        <v>0</v>
      </c>
      <c r="BO50" s="3">
        <f>IF($C$5="ON",CO50,MyRating(_S4,$B50,Efficacy!$F$1))</f>
        <v>0</v>
      </c>
      <c r="BP50" s="3">
        <f>IF($C$5="ON",CP50,MyRating(_S5,$B50,Efficacy!$F$1))</f>
        <v>0</v>
      </c>
      <c r="BQ50" s="3">
        <f>IF($C$5="ON",CQ50,MyRating(_S6,$B50,Efficacy!$F$1))</f>
        <v>0</v>
      </c>
      <c r="BR50" s="3">
        <f>IF($C$5="ON",CR50,MyRating(_S7,$B50,Efficacy!$F$1))</f>
        <v>0</v>
      </c>
      <c r="BS50" s="3">
        <f>IF($C$5="ON",CS50,MyRating(_D1,$B50,Efficacy!$F$1))</f>
        <v>0</v>
      </c>
      <c r="BT50" s="3">
        <f>IF($C$5="ON",CT50,MyRating(_D2,$B50,Efficacy!$F$1))</f>
        <v>0</v>
      </c>
      <c r="BU50" s="3">
        <f>IF($C$5="ON",CU50,MyRating(_D3,$B50,Efficacy!$F$1))</f>
        <v>0</v>
      </c>
      <c r="BV50" s="3">
        <f>IF($C$5="ON",CV50,MyRating(_D4,$B50,Efficacy!$F$1))</f>
        <v>0</v>
      </c>
      <c r="BW50" s="3">
        <f>IF($C$5="ON",CW50,MyRating(_B1,$B50,Barrier!$F$2))</f>
        <v>3</v>
      </c>
      <c r="BX50" s="3">
        <f>IF($C$5="ON",CX50,MyRating(_B2,$B50,Barrier!$F$2))</f>
        <v>3</v>
      </c>
      <c r="BY50" s="6">
        <f>IF($C$5="ON",CY50,MyRating(_B3,$B50,Barrier!$F$2))</f>
        <v>3</v>
      </c>
      <c r="BZ50" s="5">
        <f t="shared" si="7"/>
        <v>2.833849230535369E-2</v>
      </c>
      <c r="CA50" s="8">
        <f t="shared" si="9"/>
        <v>2.4000000000000004</v>
      </c>
      <c r="CB50" s="5">
        <f t="shared" si="8"/>
        <v>2.8301886792452827E-2</v>
      </c>
      <c r="CC50" s="7">
        <f t="shared" si="10"/>
        <v>3.8137644231022581E-6</v>
      </c>
      <c r="CD50" s="4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6">
        <v>0</v>
      </c>
      <c r="CZ50" s="5"/>
      <c r="DA50" s="4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</row>
    <row r="51" spans="1:126" x14ac:dyDescent="0.25">
      <c r="A51" s="9" t="s">
        <v>5</v>
      </c>
      <c r="B51" s="9" t="s">
        <v>13</v>
      </c>
      <c r="C51" s="20"/>
      <c r="D51" s="9" t="s">
        <v>2</v>
      </c>
      <c r="E51" s="9"/>
      <c r="F51" s="9" t="str">
        <f>INDEX('Unique Asset List'!$C$4:$C$60,MATCH(B51,_CompoundList,0))</f>
        <v>PCD</v>
      </c>
      <c r="G51" s="19">
        <v>0</v>
      </c>
      <c r="H51" s="9">
        <v>2018</v>
      </c>
      <c r="I51" s="9">
        <v>1</v>
      </c>
      <c r="J51" s="18">
        <f>INDEX(PTRS!$D$6:$D$12,MATCH('1'!$F51,PTRS!$B$6:$B$12,0))</f>
        <v>0.1044225</v>
      </c>
      <c r="K51" s="17">
        <f>INDEX('Unique Asset List'!$D$4:$M$60,MATCH($B51,'Unique Asset List'!$A$4:$A$60,0),MATCH(K$8,'Unique Asset List'!$D$3:$M$3,0))</f>
        <v>0</v>
      </c>
      <c r="L51" s="17">
        <f>INDEX('Unique Asset List'!$D$4:$M$60,MATCH($B51,'Unique Asset List'!$A$4:$A$60,0),MATCH(L$8,'Unique Asset List'!$D$3:$M$3,0))</f>
        <v>0</v>
      </c>
      <c r="M51" s="17">
        <f t="shared" si="11"/>
        <v>0.1044225</v>
      </c>
      <c r="N51" s="17">
        <f>INDEX('Unique Asset List'!$D$4:$M$60,MATCH($B51,'Unique Asset List'!$A$4:$A$60,0),MATCH(N$8,'Unique Asset List'!$D$3:$M$3,0))</f>
        <v>1</v>
      </c>
      <c r="O51" s="17">
        <f>INDEX('Unique Asset List'!$D$4:$M$60,MATCH($B51,'Unique Asset List'!$A$4:$A$60,0),MATCH(O$8,'Unique Asset List'!$D$3:$M$3,0))</f>
        <v>1</v>
      </c>
      <c r="P51" s="17">
        <f>INDEX('Unique Asset List'!$D$4:$M$60,MATCH($B51,'Unique Asset List'!$A$4:$A$60,0),MATCH(P$8,'Unique Asset List'!$D$3:$M$3,0))</f>
        <v>1</v>
      </c>
      <c r="Q51" s="17">
        <f>INDEX('Unique Asset List'!$D$4:$M$60,MATCH($B51,'Unique Asset List'!$A$4:$A$60,0),MATCH(Q$8,'Unique Asset List'!$D$3:$M$3,0))</f>
        <v>1</v>
      </c>
      <c r="R51" s="17">
        <f>INDEX('Unique Asset List'!$D$4:$M$60,MATCH($B51,'Unique Asset List'!$A$4:$A$60,0),MATCH(R$8,'Unique Asset List'!$D$3:$M$3,0))</f>
        <v>1</v>
      </c>
      <c r="S51" s="17">
        <f>INDEX('Unique Asset List'!$D$4:$M$60,MATCH($B51,'Unique Asset List'!$A$4:$A$60,0),MATCH(S$8,'Unique Asset List'!$D$3:$M$3,0))</f>
        <v>1</v>
      </c>
      <c r="T51" s="17"/>
      <c r="U51" s="17">
        <f t="shared" si="1"/>
        <v>0.58302373629991611</v>
      </c>
      <c r="V51" s="17">
        <v>1</v>
      </c>
      <c r="W51" s="9" t="s">
        <v>13</v>
      </c>
      <c r="X51" s="9">
        <f>INDEX('Unique Asset List'!$Y$4:$AE$60,MATCH('1'!$B51,'Unique Asset List'!$A$4:$A$60,0),MATCH('1'!$C$1,'Unique Asset List'!$Y$3:$AE$3,0))</f>
        <v>2029</v>
      </c>
      <c r="Y51" s="9">
        <f>INDEX('Unique Asset List'!$AF$4:$AL$60,MATCH('1'!$B51,'Unique Asset List'!$A$4:$A$60,0),MATCH('1'!$C$1,'Unique Asset List'!$AF$3:$AL$3,0))</f>
        <v>6</v>
      </c>
      <c r="Z51" s="9">
        <f>INDEX('Unique Asset List'!$AT$4:$AZ$60,MATCH('1'!$B51,'Unique Asset List'!$A$4:$A$60,0),MATCH('1'!$C$1,'Unique Asset List'!$AT$3:$AZ$3,0))</f>
        <v>2042</v>
      </c>
      <c r="AA51" s="9">
        <f>INDEX('Unique Asset List'!$BA$4:$BG$60,MATCH('1'!$B51,'Unique Asset List'!$A$4:$A$60,0),MATCH('1'!$C$1,'Unique Asset List'!$BA$3:$BG$3,0))</f>
        <v>6</v>
      </c>
      <c r="AB51" s="21">
        <v>2.3276916000000001</v>
      </c>
      <c r="AC51" s="21">
        <v>0.87990560000000007</v>
      </c>
      <c r="AD51" s="21">
        <v>0.56099999999999994</v>
      </c>
      <c r="AE51" s="15">
        <f>INDEX('Unique Asset List'!$CJ$4:$CP$60,MATCH('1'!$B51,'Unique Asset List'!$A$4:$A$60,0),MATCH('1'!$C$1,'Unique Asset List'!$CJ$3:$CP$3,0))</f>
        <v>0.15</v>
      </c>
      <c r="AF51" s="15">
        <f>INDEX('Unique Asset List'!$CQ$4:$CW$60,MATCH('1'!$B51,'Unique Asset List'!$A$4:$A$60,0),MATCH('1'!$C$1,'Unique Asset List'!$CQ$3:$CW$3,0))</f>
        <v>0.35</v>
      </c>
      <c r="AG51" s="15">
        <f>INDEX('Unique Asset List'!$BV$4:$CB$60,MATCH('1'!$B51,'Unique Asset List'!$A$4:$A$60,0),MATCH('1'!$C$1,'Unique Asset List'!$BV$3:$CB$3,0))</f>
        <v>0.15</v>
      </c>
      <c r="AH51" s="15">
        <f>INDEX('Unique Asset List'!$CC$4:$CI$60,MATCH('1'!$B51,'Unique Asset List'!$A$4:$A$60,0),MATCH('1'!$C$1,'Unique Asset List'!$CC$3:$CI$3,0))</f>
        <v>0.35</v>
      </c>
      <c r="AI51" s="11">
        <v>0.97304949785176587</v>
      </c>
      <c r="AJ51" s="15">
        <f>INDEX('Unique Asset List'!$BH$4:$BN$60,MATCH('1'!$B51,'Unique Asset List'!$A$4:$A$60,0),MATCH('1'!$C$1,'Unique Asset List'!$BH$3:$BN$3,0))</f>
        <v>1.2267192541321688</v>
      </c>
      <c r="AK51" s="15">
        <f>INDEX('Unique Asset List'!$BO$4:$BU$60,MATCH('1'!$B51,'Unique Asset List'!$A$4:$A$60,0),MATCH('1'!$C$1,'Unique Asset List'!$BO$3:$BU$3,0))</f>
        <v>11.984388276878477</v>
      </c>
      <c r="AL51" s="150">
        <v>160</v>
      </c>
      <c r="AM51" s="14">
        <f>INDEX(Simulation!$B$6:$H$6,MATCH($A51,Simulation!$B$1:$H$1,0))*(1+AN51)^((DATE(X51,Y51,15)-DATE(2017,1,15))/365.5)</f>
        <v>22.983976774934614</v>
      </c>
      <c r="AN51" s="12">
        <v>3.5000000000000003E-2</v>
      </c>
      <c r="AO51" s="13">
        <v>60</v>
      </c>
      <c r="AP51" s="11">
        <v>0.6</v>
      </c>
      <c r="AQ51" s="12">
        <v>-0.02</v>
      </c>
      <c r="AR51" s="11">
        <v>0.5</v>
      </c>
      <c r="AS51" s="10">
        <v>1</v>
      </c>
      <c r="AT51" s="181">
        <f>INDEX('Unique Asset List'!N$4:N$60,MATCH($B51,_CompoundList,0))</f>
        <v>1</v>
      </c>
      <c r="AU51" s="181">
        <f>INDEX('Unique Asset List'!O$4:O$60,MATCH($B51,_CompoundList,0))</f>
        <v>1</v>
      </c>
      <c r="AV51" s="181">
        <f>INDEX('Unique Asset List'!P$4:P$60,MATCH($B51,_CompoundList,0))</f>
        <v>1</v>
      </c>
      <c r="AW51" s="181">
        <f>INDEX('Unique Asset List'!Q$4:Q$60,MATCH($B51,_CompoundList,0))</f>
        <v>1</v>
      </c>
      <c r="AX51" s="181">
        <f ca="1">INDEX('Unique Asset List'!R$4:R$60,MATCH($B51,_CompoundList,0))</f>
        <v>1</v>
      </c>
      <c r="AY51" s="181">
        <f ca="1">INDEX('Unique Asset List'!S$4:S$60,MATCH($B51,_CompoundList,0))</f>
        <v>1</v>
      </c>
      <c r="AZ51" s="181">
        <f ca="1">INDEX('Unique Asset List'!T$4:T$60,MATCH($B51,_CompoundList,0))</f>
        <v>1</v>
      </c>
      <c r="BA51" s="181">
        <f ca="1">INDEX('Unique Asset List'!U$4:U$60,MATCH($B51,_CompoundList,0))</f>
        <v>1</v>
      </c>
      <c r="BB51" s="181">
        <f ca="1">INDEX('Unique Asset List'!V$4:V$60,MATCH($B51,_CompoundList,0))</f>
        <v>1</v>
      </c>
      <c r="BC51" s="181">
        <f ca="1">INDEX('Unique Asset List'!W$4:W$60,MATCH($B51,_CompoundList,0))</f>
        <v>1</v>
      </c>
      <c r="BD51" s="4">
        <f>IF($C$5="ON",CD51,MyRating(_E1,$B51,Efficacy!$F$1))</f>
        <v>0</v>
      </c>
      <c r="BE51" s="3">
        <f>IF($C$5="ON",CE51,MyRating(_E2,$B51,Efficacy!$F$1))</f>
        <v>0</v>
      </c>
      <c r="BF51" s="3">
        <f>IF($C$5="ON",CF51,MyRating(_E3,$B51,Efficacy!$F$1))</f>
        <v>0</v>
      </c>
      <c r="BG51" s="3">
        <f>IF($C$5="ON",CG51,MyRating(_E4,$B51,Efficacy!$F$1))</f>
        <v>0</v>
      </c>
      <c r="BH51" s="3">
        <f>IF($C$5="ON",CH51,MyRating(_E5,$B51,Efficacy!$F$1))</f>
        <v>0</v>
      </c>
      <c r="BI51" s="3">
        <f>IF($C$5="ON",CI51,MyRating(_E6,$B51,Efficacy!$F$1))</f>
        <v>0</v>
      </c>
      <c r="BJ51" s="3">
        <f>IF($C$5="ON",CJ51,MyRating(_E7,$B51,Efficacy!$F$1))</f>
        <v>0</v>
      </c>
      <c r="BK51" s="3">
        <f>IF($C$5="ON",CK51,MyRating(_E8,$B51,Efficacy!$F$1))</f>
        <v>0</v>
      </c>
      <c r="BL51" s="3">
        <f>IF($C$5="ON",CL51,MyRating(_S1,$B51,Efficacy!$F$1))</f>
        <v>0</v>
      </c>
      <c r="BM51" s="3">
        <f>IF($C$5="ON",CM51,MyRating(_S2,$B51,Efficacy!$F$1))</f>
        <v>0</v>
      </c>
      <c r="BN51" s="3">
        <f>IF($C$5="ON",CN51,MyRating(_S3,$B51,Efficacy!$F$1))</f>
        <v>0</v>
      </c>
      <c r="BO51" s="3">
        <f>IF($C$5="ON",CO51,MyRating(_S4,$B51,Efficacy!$F$1))</f>
        <v>0</v>
      </c>
      <c r="BP51" s="3">
        <f>IF($C$5="ON",CP51,MyRating(_S5,$B51,Efficacy!$F$1))</f>
        <v>0</v>
      </c>
      <c r="BQ51" s="3">
        <f>IF($C$5="ON",CQ51,MyRating(_S6,$B51,Efficacy!$F$1))</f>
        <v>0</v>
      </c>
      <c r="BR51" s="3">
        <f>IF($C$5="ON",CR51,MyRating(_S7,$B51,Efficacy!$F$1))</f>
        <v>0</v>
      </c>
      <c r="BS51" s="3">
        <f>IF($C$5="ON",CS51,MyRating(_D1,$B51,Efficacy!$F$1))</f>
        <v>0</v>
      </c>
      <c r="BT51" s="3">
        <f>IF($C$5="ON",CT51,MyRating(_D2,$B51,Efficacy!$F$1))</f>
        <v>0</v>
      </c>
      <c r="BU51" s="3">
        <f>IF($C$5="ON",CU51,MyRating(_D3,$B51,Efficacy!$F$1))</f>
        <v>0</v>
      </c>
      <c r="BV51" s="3">
        <f>IF($C$5="ON",CV51,MyRating(_D4,$B51,Efficacy!$F$1))</f>
        <v>0</v>
      </c>
      <c r="BW51" s="3">
        <f>IF($C$5="ON",CW51,MyRating(_B1,$B51,Barrier!$F$2))</f>
        <v>3</v>
      </c>
      <c r="BX51" s="3">
        <f>IF($C$5="ON",CX51,MyRating(_B2,$B51,Barrier!$F$2))</f>
        <v>3</v>
      </c>
      <c r="BY51" s="6">
        <f>IF($C$5="ON",CY51,MyRating(_B3,$B51,Barrier!$F$2))</f>
        <v>3</v>
      </c>
      <c r="BZ51" s="5">
        <f t="shared" si="7"/>
        <v>2.833849230535369E-2</v>
      </c>
      <c r="CA51" s="8">
        <f t="shared" si="9"/>
        <v>2.4000000000000004</v>
      </c>
      <c r="CB51" s="5">
        <f t="shared" si="8"/>
        <v>2.8301886792452827E-2</v>
      </c>
      <c r="CC51" s="7">
        <f t="shared" si="10"/>
        <v>3.8137644231022581E-6</v>
      </c>
      <c r="CD51" s="4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6">
        <v>0</v>
      </c>
      <c r="CZ51" s="5"/>
      <c r="DA51" s="4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</row>
    <row r="52" spans="1:126" x14ac:dyDescent="0.25">
      <c r="A52" s="9" t="s">
        <v>5</v>
      </c>
      <c r="B52" s="9" t="s">
        <v>10</v>
      </c>
      <c r="C52" s="20"/>
      <c r="D52" s="9" t="s">
        <v>2</v>
      </c>
      <c r="E52" s="9"/>
      <c r="F52" s="9" t="str">
        <f>INDEX('Unique Asset List'!$C$4:$C$60,MATCH(B52,_CompoundList,0))</f>
        <v>PCD</v>
      </c>
      <c r="G52" s="19">
        <v>0</v>
      </c>
      <c r="H52" s="9">
        <v>2018</v>
      </c>
      <c r="I52" s="9">
        <v>1</v>
      </c>
      <c r="J52" s="18">
        <f>INDEX(PTRS!$D$6:$D$12,MATCH('1'!$F52,PTRS!$B$6:$B$12,0))</f>
        <v>0.1044225</v>
      </c>
      <c r="K52" s="17">
        <f>INDEX('Unique Asset List'!$D$4:$M$60,MATCH($B52,'Unique Asset List'!$A$4:$A$60,0),MATCH(K$8,'Unique Asset List'!$D$3:$M$3,0))</f>
        <v>0</v>
      </c>
      <c r="L52" s="17">
        <f>INDEX('Unique Asset List'!$D$4:$M$60,MATCH($B52,'Unique Asset List'!$A$4:$A$60,0),MATCH(L$8,'Unique Asset List'!$D$3:$M$3,0))</f>
        <v>0</v>
      </c>
      <c r="M52" s="17">
        <f t="shared" si="11"/>
        <v>0.1044225</v>
      </c>
      <c r="N52" s="17">
        <f>INDEX('Unique Asset List'!$D$4:$M$60,MATCH($B52,'Unique Asset List'!$A$4:$A$60,0),MATCH(N$8,'Unique Asset List'!$D$3:$M$3,0))</f>
        <v>1</v>
      </c>
      <c r="O52" s="17">
        <f>INDEX('Unique Asset List'!$D$4:$M$60,MATCH($B52,'Unique Asset List'!$A$4:$A$60,0),MATCH(O$8,'Unique Asset List'!$D$3:$M$3,0))</f>
        <v>1</v>
      </c>
      <c r="P52" s="17">
        <f>INDEX('Unique Asset List'!$D$4:$M$60,MATCH($B52,'Unique Asset List'!$A$4:$A$60,0),MATCH(P$8,'Unique Asset List'!$D$3:$M$3,0))</f>
        <v>1</v>
      </c>
      <c r="Q52" s="17">
        <f>INDEX('Unique Asset List'!$D$4:$M$60,MATCH($B52,'Unique Asset List'!$A$4:$A$60,0),MATCH(Q$8,'Unique Asset List'!$D$3:$M$3,0))</f>
        <v>1</v>
      </c>
      <c r="R52" s="17">
        <f>INDEX('Unique Asset List'!$D$4:$M$60,MATCH($B52,'Unique Asset List'!$A$4:$A$60,0),MATCH(R$8,'Unique Asset List'!$D$3:$M$3,0))</f>
        <v>1</v>
      </c>
      <c r="S52" s="17">
        <f>INDEX('Unique Asset List'!$D$4:$M$60,MATCH($B52,'Unique Asset List'!$A$4:$A$60,0),MATCH(S$8,'Unique Asset List'!$D$3:$M$3,0))</f>
        <v>1</v>
      </c>
      <c r="T52" s="17"/>
      <c r="U52" s="17">
        <f t="shared" si="1"/>
        <v>0.58302373629991611</v>
      </c>
      <c r="V52" s="17">
        <v>1</v>
      </c>
      <c r="W52" s="9" t="s">
        <v>10</v>
      </c>
      <c r="X52" s="9">
        <f>INDEX('Unique Asset List'!$Y$4:$AE$60,MATCH('1'!$B52,'Unique Asset List'!$A$4:$A$60,0),MATCH('1'!$C$1,'Unique Asset List'!$Y$3:$AE$3,0))</f>
        <v>2033</v>
      </c>
      <c r="Y52" s="9">
        <f>INDEX('Unique Asset List'!$AF$4:$AL$60,MATCH('1'!$B52,'Unique Asset List'!$A$4:$A$60,0),MATCH('1'!$C$1,'Unique Asset List'!$AF$3:$AL$3,0))</f>
        <v>6</v>
      </c>
      <c r="Z52" s="9">
        <f>INDEX('Unique Asset List'!$AT$4:$AZ$60,MATCH('1'!$B52,'Unique Asset List'!$A$4:$A$60,0),MATCH('1'!$C$1,'Unique Asset List'!$AT$3:$AZ$3,0))</f>
        <v>2046</v>
      </c>
      <c r="AA52" s="9">
        <f>INDEX('Unique Asset List'!$BA$4:$BG$60,MATCH('1'!$B52,'Unique Asset List'!$A$4:$A$60,0),MATCH('1'!$C$1,'Unique Asset List'!$BA$3:$BG$3,0))</f>
        <v>6</v>
      </c>
      <c r="AB52" s="21">
        <v>2.3276916000000001</v>
      </c>
      <c r="AC52" s="21">
        <v>0.87990560000000007</v>
      </c>
      <c r="AD52" s="21">
        <v>0.56099999999999994</v>
      </c>
      <c r="AE52" s="15">
        <f>INDEX('Unique Asset List'!$CJ$4:$CP$60,MATCH('1'!$B52,'Unique Asset List'!$A$4:$A$60,0),MATCH('1'!$C$1,'Unique Asset List'!$CJ$3:$CP$3,0))</f>
        <v>0.15</v>
      </c>
      <c r="AF52" s="15">
        <f>INDEX('Unique Asset List'!$CQ$4:$CW$60,MATCH('1'!$B52,'Unique Asset List'!$A$4:$A$60,0),MATCH('1'!$C$1,'Unique Asset List'!$CQ$3:$CW$3,0))</f>
        <v>0.35</v>
      </c>
      <c r="AG52" s="15">
        <f>INDEX('Unique Asset List'!$BV$4:$CB$60,MATCH('1'!$B52,'Unique Asset List'!$A$4:$A$60,0),MATCH('1'!$C$1,'Unique Asset List'!$BV$3:$CB$3,0))</f>
        <v>0.15</v>
      </c>
      <c r="AH52" s="15">
        <f>INDEX('Unique Asset List'!$CC$4:$CI$60,MATCH('1'!$B52,'Unique Asset List'!$A$4:$A$60,0),MATCH('1'!$C$1,'Unique Asset List'!$CC$3:$CI$3,0))</f>
        <v>0.35</v>
      </c>
      <c r="AI52" s="11">
        <v>0.97304949785176587</v>
      </c>
      <c r="AJ52" s="15">
        <f>INDEX('Unique Asset List'!$BH$4:$BN$60,MATCH('1'!$B52,'Unique Asset List'!$A$4:$A$60,0),MATCH('1'!$C$1,'Unique Asset List'!$BH$3:$BN$3,0))</f>
        <v>1.2267192541321688</v>
      </c>
      <c r="AK52" s="15">
        <f>INDEX('Unique Asset List'!$BO$4:$BU$60,MATCH('1'!$B52,'Unique Asset List'!$A$4:$A$60,0),MATCH('1'!$C$1,'Unique Asset List'!$BO$3:$BU$3,0))</f>
        <v>11.984388276878477</v>
      </c>
      <c r="AL52" s="150">
        <v>160</v>
      </c>
      <c r="AM52" s="14">
        <f>INDEX(Simulation!$B$6:$H$6,MATCH($A52,Simulation!$B$1:$H$1,0))*(1+AN52)^((DATE(X52,Y52,15)-DATE(2017,1,15))/365.5)</f>
        <v>26.372159689690172</v>
      </c>
      <c r="AN52" s="12">
        <v>3.5000000000000003E-2</v>
      </c>
      <c r="AO52" s="13">
        <v>60</v>
      </c>
      <c r="AP52" s="11">
        <v>0.6</v>
      </c>
      <c r="AQ52" s="12">
        <v>-0.02</v>
      </c>
      <c r="AR52" s="11">
        <v>0.5</v>
      </c>
      <c r="AS52" s="10">
        <v>1</v>
      </c>
      <c r="AT52" s="181">
        <f>INDEX('Unique Asset List'!N$4:N$60,MATCH($B52,_CompoundList,0))</f>
        <v>1</v>
      </c>
      <c r="AU52" s="181">
        <f>INDEX('Unique Asset List'!O$4:O$60,MATCH($B52,_CompoundList,0))</f>
        <v>1</v>
      </c>
      <c r="AV52" s="181">
        <f>INDEX('Unique Asset List'!P$4:P$60,MATCH($B52,_CompoundList,0))</f>
        <v>1</v>
      </c>
      <c r="AW52" s="181">
        <f>INDEX('Unique Asset List'!Q$4:Q$60,MATCH($B52,_CompoundList,0))</f>
        <v>1</v>
      </c>
      <c r="AX52" s="181">
        <f ca="1">INDEX('Unique Asset List'!R$4:R$60,MATCH($B52,_CompoundList,0))</f>
        <v>1</v>
      </c>
      <c r="AY52" s="181">
        <f ca="1">INDEX('Unique Asset List'!S$4:S$60,MATCH($B52,_CompoundList,0))</f>
        <v>1</v>
      </c>
      <c r="AZ52" s="181">
        <f ca="1">INDEX('Unique Asset List'!T$4:T$60,MATCH($B52,_CompoundList,0))</f>
        <v>1</v>
      </c>
      <c r="BA52" s="181">
        <f ca="1">INDEX('Unique Asset List'!U$4:U$60,MATCH($B52,_CompoundList,0))</f>
        <v>1</v>
      </c>
      <c r="BB52" s="181">
        <f ca="1">INDEX('Unique Asset List'!V$4:V$60,MATCH($B52,_CompoundList,0))</f>
        <v>1</v>
      </c>
      <c r="BC52" s="181">
        <f ca="1">INDEX('Unique Asset List'!W$4:W$60,MATCH($B52,_CompoundList,0))</f>
        <v>1</v>
      </c>
      <c r="BD52" s="4">
        <f>IF($C$5="ON",CD52,MyRating(_E1,$B52,Efficacy!$F$1))</f>
        <v>0</v>
      </c>
      <c r="BE52" s="3">
        <f>IF($C$5="ON",CE52,MyRating(_E2,$B52,Efficacy!$F$1))</f>
        <v>0</v>
      </c>
      <c r="BF52" s="3">
        <f>IF($C$5="ON",CF52,MyRating(_E3,$B52,Efficacy!$F$1))</f>
        <v>0</v>
      </c>
      <c r="BG52" s="3">
        <f>IF($C$5="ON",CG52,MyRating(_E4,$B52,Efficacy!$F$1))</f>
        <v>0</v>
      </c>
      <c r="BH52" s="3">
        <f>IF($C$5="ON",CH52,MyRating(_E5,$B52,Efficacy!$F$1))</f>
        <v>0</v>
      </c>
      <c r="BI52" s="3">
        <f>IF($C$5="ON",CI52,MyRating(_E6,$B52,Efficacy!$F$1))</f>
        <v>0</v>
      </c>
      <c r="BJ52" s="3">
        <f>IF($C$5="ON",CJ52,MyRating(_E7,$B52,Efficacy!$F$1))</f>
        <v>0</v>
      </c>
      <c r="BK52" s="3">
        <f>IF($C$5="ON",CK52,MyRating(_E8,$B52,Efficacy!$F$1))</f>
        <v>0</v>
      </c>
      <c r="BL52" s="3">
        <f>IF($C$5="ON",CL52,MyRating(_S1,$B52,Efficacy!$F$1))</f>
        <v>0</v>
      </c>
      <c r="BM52" s="3">
        <f>IF($C$5="ON",CM52,MyRating(_S2,$B52,Efficacy!$F$1))</f>
        <v>0</v>
      </c>
      <c r="BN52" s="3">
        <f>IF($C$5="ON",CN52,MyRating(_S3,$B52,Efficacy!$F$1))</f>
        <v>0</v>
      </c>
      <c r="BO52" s="3">
        <f>IF($C$5="ON",CO52,MyRating(_S4,$B52,Efficacy!$F$1))</f>
        <v>0</v>
      </c>
      <c r="BP52" s="3">
        <f>IF($C$5="ON",CP52,MyRating(_S5,$B52,Efficacy!$F$1))</f>
        <v>0</v>
      </c>
      <c r="BQ52" s="3">
        <f>IF($C$5="ON",CQ52,MyRating(_S6,$B52,Efficacy!$F$1))</f>
        <v>0</v>
      </c>
      <c r="BR52" s="3">
        <f>IF($C$5="ON",CR52,MyRating(_S7,$B52,Efficacy!$F$1))</f>
        <v>0</v>
      </c>
      <c r="BS52" s="3">
        <f>IF($C$5="ON",CS52,MyRating(_D1,$B52,Efficacy!$F$1))</f>
        <v>0</v>
      </c>
      <c r="BT52" s="3">
        <f>IF($C$5="ON",CT52,MyRating(_D2,$B52,Efficacy!$F$1))</f>
        <v>0</v>
      </c>
      <c r="BU52" s="3">
        <f>IF($C$5="ON",CU52,MyRating(_D3,$B52,Efficacy!$F$1))</f>
        <v>0</v>
      </c>
      <c r="BV52" s="3">
        <f>IF($C$5="ON",CV52,MyRating(_D4,$B52,Efficacy!$F$1))</f>
        <v>0</v>
      </c>
      <c r="BW52" s="3">
        <f>IF($C$5="ON",CW52,MyRating(_B1,$B52,Barrier!$F$2))</f>
        <v>3</v>
      </c>
      <c r="BX52" s="3">
        <f>IF($C$5="ON",CX52,MyRating(_B2,$B52,Barrier!$F$2))</f>
        <v>3</v>
      </c>
      <c r="BY52" s="6">
        <f>IF($C$5="ON",CY52,MyRating(_B3,$B52,Barrier!$F$2))</f>
        <v>3</v>
      </c>
      <c r="BZ52" s="5">
        <f t="shared" si="7"/>
        <v>2.833849230535369E-2</v>
      </c>
      <c r="CA52" s="8">
        <f t="shared" si="9"/>
        <v>2.4000000000000004</v>
      </c>
      <c r="CB52" s="5">
        <f t="shared" si="8"/>
        <v>2.8301886792452827E-2</v>
      </c>
      <c r="CC52" s="7">
        <f t="shared" si="10"/>
        <v>3.8137644231022581E-6</v>
      </c>
      <c r="CD52" s="4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6">
        <v>0</v>
      </c>
      <c r="CZ52" s="5"/>
      <c r="DA52" s="4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</row>
    <row r="53" spans="1:126" x14ac:dyDescent="0.25">
      <c r="A53" s="9" t="s">
        <v>5</v>
      </c>
      <c r="B53" s="9" t="s">
        <v>7</v>
      </c>
      <c r="C53" s="20"/>
      <c r="D53" s="9" t="s">
        <v>2</v>
      </c>
      <c r="E53" s="9"/>
      <c r="F53" s="9" t="str">
        <f>INDEX('Unique Asset List'!$C$4:$C$60,MATCH(B53,_CompoundList,0))</f>
        <v>PCD</v>
      </c>
      <c r="G53" s="19">
        <v>0</v>
      </c>
      <c r="H53" s="9">
        <v>2018</v>
      </c>
      <c r="I53" s="9">
        <v>1</v>
      </c>
      <c r="J53" s="18">
        <f>INDEX(PTRS!$D$6:$D$12,MATCH('1'!$F53,PTRS!$B$6:$B$12,0))</f>
        <v>0.1044225</v>
      </c>
      <c r="K53" s="17">
        <f>INDEX('Unique Asset List'!$D$4:$M$60,MATCH($B53,'Unique Asset List'!$A$4:$A$60,0),MATCH(K$8,'Unique Asset List'!$D$3:$M$3,0))</f>
        <v>0</v>
      </c>
      <c r="L53" s="17">
        <f>INDEX('Unique Asset List'!$D$4:$M$60,MATCH($B53,'Unique Asset List'!$A$4:$A$60,0),MATCH(L$8,'Unique Asset List'!$D$3:$M$3,0))</f>
        <v>0</v>
      </c>
      <c r="M53" s="17">
        <f t="shared" si="11"/>
        <v>0.1044225</v>
      </c>
      <c r="N53" s="17">
        <f>INDEX('Unique Asset List'!$D$4:$M$60,MATCH($B53,'Unique Asset List'!$A$4:$A$60,0),MATCH(N$8,'Unique Asset List'!$D$3:$M$3,0))</f>
        <v>1</v>
      </c>
      <c r="O53" s="17">
        <f>INDEX('Unique Asset List'!$D$4:$M$60,MATCH($B53,'Unique Asset List'!$A$4:$A$60,0),MATCH(O$8,'Unique Asset List'!$D$3:$M$3,0))</f>
        <v>1</v>
      </c>
      <c r="P53" s="17">
        <f>INDEX('Unique Asset List'!$D$4:$M$60,MATCH($B53,'Unique Asset List'!$A$4:$A$60,0),MATCH(P$8,'Unique Asset List'!$D$3:$M$3,0))</f>
        <v>1</v>
      </c>
      <c r="Q53" s="17">
        <f>INDEX('Unique Asset List'!$D$4:$M$60,MATCH($B53,'Unique Asset List'!$A$4:$A$60,0),MATCH(Q$8,'Unique Asset List'!$D$3:$M$3,0))</f>
        <v>1</v>
      </c>
      <c r="R53" s="17">
        <f>INDEX('Unique Asset List'!$D$4:$M$60,MATCH($B53,'Unique Asset List'!$A$4:$A$60,0),MATCH(R$8,'Unique Asset List'!$D$3:$M$3,0))</f>
        <v>1</v>
      </c>
      <c r="S53" s="17">
        <f>INDEX('Unique Asset List'!$D$4:$M$60,MATCH($B53,'Unique Asset List'!$A$4:$A$60,0),MATCH(S$8,'Unique Asset List'!$D$3:$M$3,0))</f>
        <v>1</v>
      </c>
      <c r="T53" s="17"/>
      <c r="U53" s="17">
        <f t="shared" si="1"/>
        <v>0.58302373629991611</v>
      </c>
      <c r="V53" s="17">
        <v>1</v>
      </c>
      <c r="W53" s="9" t="s">
        <v>7</v>
      </c>
      <c r="X53" s="9">
        <f>INDEX('Unique Asset List'!$Y$4:$AE$60,MATCH('1'!$B53,'Unique Asset List'!$A$4:$A$60,0),MATCH('1'!$C$1,'Unique Asset List'!$Y$3:$AE$3,0))</f>
        <v>2037</v>
      </c>
      <c r="Y53" s="9">
        <f>INDEX('Unique Asset List'!$AF$4:$AL$60,MATCH('1'!$B53,'Unique Asset List'!$A$4:$A$60,0),MATCH('1'!$C$1,'Unique Asset List'!$AF$3:$AL$3,0))</f>
        <v>6</v>
      </c>
      <c r="Z53" s="9">
        <f>INDEX('Unique Asset List'!$AT$4:$AZ$60,MATCH('1'!$B53,'Unique Asset List'!$A$4:$A$60,0),MATCH('1'!$C$1,'Unique Asset List'!$AT$3:$AZ$3,0))</f>
        <v>2050</v>
      </c>
      <c r="AA53" s="9">
        <f>INDEX('Unique Asset List'!$BA$4:$BG$60,MATCH('1'!$B53,'Unique Asset List'!$A$4:$A$60,0),MATCH('1'!$C$1,'Unique Asset List'!$BA$3:$BG$3,0))</f>
        <v>6</v>
      </c>
      <c r="AB53" s="21">
        <v>2.3276916000000001</v>
      </c>
      <c r="AC53" s="21">
        <v>0.87990560000000007</v>
      </c>
      <c r="AD53" s="21">
        <v>0.56099999999999994</v>
      </c>
      <c r="AE53" s="15">
        <f>INDEX('Unique Asset List'!$CJ$4:$CP$60,MATCH('1'!$B53,'Unique Asset List'!$A$4:$A$60,0),MATCH('1'!$C$1,'Unique Asset List'!$CJ$3:$CP$3,0))</f>
        <v>0.15</v>
      </c>
      <c r="AF53" s="15">
        <f>INDEX('Unique Asset List'!$CQ$4:$CW$60,MATCH('1'!$B53,'Unique Asset List'!$A$4:$A$60,0),MATCH('1'!$C$1,'Unique Asset List'!$CQ$3:$CW$3,0))</f>
        <v>0.35</v>
      </c>
      <c r="AG53" s="15">
        <f>INDEX('Unique Asset List'!$BV$4:$CB$60,MATCH('1'!$B53,'Unique Asset List'!$A$4:$A$60,0),MATCH('1'!$C$1,'Unique Asset List'!$BV$3:$CB$3,0))</f>
        <v>0.15</v>
      </c>
      <c r="AH53" s="15">
        <f>INDEX('Unique Asset List'!$CC$4:$CI$60,MATCH('1'!$B53,'Unique Asset List'!$A$4:$A$60,0),MATCH('1'!$C$1,'Unique Asset List'!$CC$3:$CI$3,0))</f>
        <v>0.35</v>
      </c>
      <c r="AI53" s="11">
        <v>0.97304949785176587</v>
      </c>
      <c r="AJ53" s="15">
        <f>INDEX('Unique Asset List'!$BH$4:$BN$60,MATCH('1'!$B53,'Unique Asset List'!$A$4:$A$60,0),MATCH('1'!$C$1,'Unique Asset List'!$BH$3:$BN$3,0))</f>
        <v>1.2267192541321688</v>
      </c>
      <c r="AK53" s="15">
        <f>INDEX('Unique Asset List'!$BO$4:$BU$60,MATCH('1'!$B53,'Unique Asset List'!$A$4:$A$60,0),MATCH('1'!$C$1,'Unique Asset List'!$BO$3:$BU$3,0))</f>
        <v>11.984388276878477</v>
      </c>
      <c r="AL53" s="150">
        <v>160</v>
      </c>
      <c r="AM53" s="14">
        <f>INDEX(Simulation!$B$6:$H$6,MATCH($A53,Simulation!$B$1:$H$1,0))*(1+AN53)^((DATE(X53,Y53,15)-DATE(2017,1,15))/365.5)</f>
        <v>30.259811585651835</v>
      </c>
      <c r="AN53" s="12">
        <v>3.5000000000000003E-2</v>
      </c>
      <c r="AO53" s="13">
        <v>60</v>
      </c>
      <c r="AP53" s="11">
        <v>0.6</v>
      </c>
      <c r="AQ53" s="12">
        <v>-0.02</v>
      </c>
      <c r="AR53" s="11">
        <v>0.5</v>
      </c>
      <c r="AS53" s="10">
        <v>1</v>
      </c>
      <c r="AT53" s="181">
        <f>INDEX('Unique Asset List'!N$4:N$60,MATCH($B53,_CompoundList,0))</f>
        <v>1</v>
      </c>
      <c r="AU53" s="181">
        <f>INDEX('Unique Asset List'!O$4:O$60,MATCH($B53,_CompoundList,0))</f>
        <v>1</v>
      </c>
      <c r="AV53" s="181">
        <f>INDEX('Unique Asset List'!P$4:P$60,MATCH($B53,_CompoundList,0))</f>
        <v>1</v>
      </c>
      <c r="AW53" s="181">
        <f>INDEX('Unique Asset List'!Q$4:Q$60,MATCH($B53,_CompoundList,0))</f>
        <v>1</v>
      </c>
      <c r="AX53" s="181">
        <f ca="1">INDEX('Unique Asset List'!R$4:R$60,MATCH($B53,_CompoundList,0))</f>
        <v>1</v>
      </c>
      <c r="AY53" s="181">
        <f ca="1">INDEX('Unique Asset List'!S$4:S$60,MATCH($B53,_CompoundList,0))</f>
        <v>1</v>
      </c>
      <c r="AZ53" s="181">
        <f ca="1">INDEX('Unique Asset List'!T$4:T$60,MATCH($B53,_CompoundList,0))</f>
        <v>1</v>
      </c>
      <c r="BA53" s="181">
        <f ca="1">INDEX('Unique Asset List'!U$4:U$60,MATCH($B53,_CompoundList,0))</f>
        <v>1</v>
      </c>
      <c r="BB53" s="181">
        <f ca="1">INDEX('Unique Asset List'!V$4:V$60,MATCH($B53,_CompoundList,0))</f>
        <v>1</v>
      </c>
      <c r="BC53" s="181">
        <f ca="1">INDEX('Unique Asset List'!W$4:W$60,MATCH($B53,_CompoundList,0))</f>
        <v>1</v>
      </c>
      <c r="BD53" s="4">
        <f>IF($C$5="ON",CD53,MyRating(_E1,$B53,Efficacy!$F$1))</f>
        <v>0</v>
      </c>
      <c r="BE53" s="3">
        <f>IF($C$5="ON",CE53,MyRating(_E2,$B53,Efficacy!$F$1))</f>
        <v>0</v>
      </c>
      <c r="BF53" s="3">
        <f>IF($C$5="ON",CF53,MyRating(_E3,$B53,Efficacy!$F$1))</f>
        <v>0</v>
      </c>
      <c r="BG53" s="3">
        <f>IF($C$5="ON",CG53,MyRating(_E4,$B53,Efficacy!$F$1))</f>
        <v>0</v>
      </c>
      <c r="BH53" s="3">
        <f>IF($C$5="ON",CH53,MyRating(_E5,$B53,Efficacy!$F$1))</f>
        <v>0</v>
      </c>
      <c r="BI53" s="3">
        <f>IF($C$5="ON",CI53,MyRating(_E6,$B53,Efficacy!$F$1))</f>
        <v>0</v>
      </c>
      <c r="BJ53" s="3">
        <f>IF($C$5="ON",CJ53,MyRating(_E7,$B53,Efficacy!$F$1))</f>
        <v>0</v>
      </c>
      <c r="BK53" s="3">
        <f>IF($C$5="ON",CK53,MyRating(_E8,$B53,Efficacy!$F$1))</f>
        <v>0</v>
      </c>
      <c r="BL53" s="3">
        <f>IF($C$5="ON",CL53,MyRating(_S1,$B53,Efficacy!$F$1))</f>
        <v>0</v>
      </c>
      <c r="BM53" s="3">
        <f>IF($C$5="ON",CM53,MyRating(_S2,$B53,Efficacy!$F$1))</f>
        <v>0</v>
      </c>
      <c r="BN53" s="3">
        <f>IF($C$5="ON",CN53,MyRating(_S3,$B53,Efficacy!$F$1))</f>
        <v>0</v>
      </c>
      <c r="BO53" s="3">
        <f>IF($C$5="ON",CO53,MyRating(_S4,$B53,Efficacy!$F$1))</f>
        <v>0</v>
      </c>
      <c r="BP53" s="3">
        <f>IF($C$5="ON",CP53,MyRating(_S5,$B53,Efficacy!$F$1))</f>
        <v>0</v>
      </c>
      <c r="BQ53" s="3">
        <f>IF($C$5="ON",CQ53,MyRating(_S6,$B53,Efficacy!$F$1))</f>
        <v>0</v>
      </c>
      <c r="BR53" s="3">
        <f>IF($C$5="ON",CR53,MyRating(_S7,$B53,Efficacy!$F$1))</f>
        <v>0</v>
      </c>
      <c r="BS53" s="3">
        <f>IF($C$5="ON",CS53,MyRating(_D1,$B53,Efficacy!$F$1))</f>
        <v>0</v>
      </c>
      <c r="BT53" s="3">
        <f>IF($C$5="ON",CT53,MyRating(_D2,$B53,Efficacy!$F$1))</f>
        <v>0</v>
      </c>
      <c r="BU53" s="3">
        <f>IF($C$5="ON",CU53,MyRating(_D3,$B53,Efficacy!$F$1))</f>
        <v>0</v>
      </c>
      <c r="BV53" s="3">
        <f>IF($C$5="ON",CV53,MyRating(_D4,$B53,Efficacy!$F$1))</f>
        <v>0</v>
      </c>
      <c r="BW53" s="3">
        <f>IF($C$5="ON",CW53,MyRating(_B1,$B53,Barrier!$F$2))</f>
        <v>3</v>
      </c>
      <c r="BX53" s="3">
        <f>IF($C$5="ON",CX53,MyRating(_B2,$B53,Barrier!$F$2))</f>
        <v>3</v>
      </c>
      <c r="BY53" s="6">
        <f>IF($C$5="ON",CY53,MyRating(_B3,$B53,Barrier!$F$2))</f>
        <v>3</v>
      </c>
      <c r="BZ53" s="5">
        <f t="shared" si="7"/>
        <v>2.833849230535369E-2</v>
      </c>
      <c r="CA53" s="8">
        <f t="shared" si="9"/>
        <v>2.4000000000000004</v>
      </c>
      <c r="CB53" s="5">
        <f t="shared" si="8"/>
        <v>2.8301886792452827E-2</v>
      </c>
      <c r="CC53" s="7">
        <f t="shared" si="10"/>
        <v>3.8137644231022581E-6</v>
      </c>
      <c r="CD53" s="4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6">
        <v>0</v>
      </c>
      <c r="CZ53" s="5"/>
      <c r="DA53" s="4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</row>
    <row r="54" spans="1:126" x14ac:dyDescent="0.25">
      <c r="A54" s="9" t="s">
        <v>5</v>
      </c>
      <c r="B54" s="9" t="s">
        <v>15</v>
      </c>
      <c r="C54" s="20"/>
      <c r="D54" s="9" t="s">
        <v>14</v>
      </c>
      <c r="E54" s="9"/>
      <c r="F54" s="9" t="str">
        <f>INDEX('Unique Asset List'!$C$4:$C$60,MATCH(B54,_CompoundList,0))</f>
        <v>PCD</v>
      </c>
      <c r="G54" s="19">
        <v>0</v>
      </c>
      <c r="H54" s="9">
        <v>2018</v>
      </c>
      <c r="I54" s="9">
        <v>1</v>
      </c>
      <c r="J54" s="18">
        <f>INDEX(PTRS!$D$6:$D$12,MATCH('1'!$F54,PTRS!$B$6:$B$12,0))</f>
        <v>0.1044225</v>
      </c>
      <c r="K54" s="17">
        <f>INDEX('Unique Asset List'!$D$4:$M$60,MATCH($B54,'Unique Asset List'!$A$4:$A$60,0),MATCH(K$8,'Unique Asset List'!$D$3:$M$3,0))</f>
        <v>0</v>
      </c>
      <c r="L54" s="17">
        <f>INDEX('Unique Asset List'!$D$4:$M$60,MATCH($B54,'Unique Asset List'!$A$4:$A$60,0),MATCH(L$8,'Unique Asset List'!$D$3:$M$3,0))</f>
        <v>0</v>
      </c>
      <c r="M54" s="17">
        <f t="shared" si="11"/>
        <v>0.1044225</v>
      </c>
      <c r="N54" s="17">
        <f>INDEX('Unique Asset List'!$D$4:$M$60,MATCH($B54,'Unique Asset List'!$A$4:$A$60,0),MATCH(N$8,'Unique Asset List'!$D$3:$M$3,0))</f>
        <v>1</v>
      </c>
      <c r="O54" s="17">
        <f>INDEX('Unique Asset List'!$D$4:$M$60,MATCH($B54,'Unique Asset List'!$A$4:$A$60,0),MATCH(O$8,'Unique Asset List'!$D$3:$M$3,0))</f>
        <v>1</v>
      </c>
      <c r="P54" s="17">
        <f>INDEX('Unique Asset List'!$D$4:$M$60,MATCH($B54,'Unique Asset List'!$A$4:$A$60,0),MATCH(P$8,'Unique Asset List'!$D$3:$M$3,0))</f>
        <v>1</v>
      </c>
      <c r="Q54" s="17">
        <f>INDEX('Unique Asset List'!$D$4:$M$60,MATCH($B54,'Unique Asset List'!$A$4:$A$60,0),MATCH(Q$8,'Unique Asset List'!$D$3:$M$3,0))</f>
        <v>1</v>
      </c>
      <c r="R54" s="17">
        <f>INDEX('Unique Asset List'!$D$4:$M$60,MATCH($B54,'Unique Asset List'!$A$4:$A$60,0),MATCH(R$8,'Unique Asset List'!$D$3:$M$3,0))</f>
        <v>1</v>
      </c>
      <c r="S54" s="17">
        <f>INDEX('Unique Asset List'!$D$4:$M$60,MATCH($B54,'Unique Asset List'!$A$4:$A$60,0),MATCH(S$8,'Unique Asset List'!$D$3:$M$3,0))</f>
        <v>1</v>
      </c>
      <c r="T54" s="17" t="s">
        <v>13</v>
      </c>
      <c r="U54" s="17">
        <f t="shared" si="1"/>
        <v>0.58302373629991611</v>
      </c>
      <c r="V54" s="17">
        <v>1</v>
      </c>
      <c r="W54" s="9" t="s">
        <v>13</v>
      </c>
      <c r="X54" s="9">
        <f>INDEX('Unique Asset List'!$Y$4:$AE$60,MATCH('1'!$B54,'Unique Asset List'!$A$4:$A$60,0),MATCH('1'!$C$1,'Unique Asset List'!$Y$3:$AE$3,0))</f>
        <v>2031</v>
      </c>
      <c r="Y54" s="9">
        <f>INDEX('Unique Asset List'!$AF$4:$AL$60,MATCH('1'!$B54,'Unique Asset List'!$A$4:$A$60,0),MATCH('1'!$C$1,'Unique Asset List'!$AF$3:$AL$3,0))</f>
        <v>6</v>
      </c>
      <c r="Z54" s="9">
        <f>INDEX('Unique Asset List'!$AT$4:$AZ$60,MATCH('1'!$B54,'Unique Asset List'!$A$4:$A$60,0),MATCH('1'!$C$1,'Unique Asset List'!$AT$3:$AZ$3,0))</f>
        <v>2044</v>
      </c>
      <c r="AA54" s="9">
        <f>INDEX('Unique Asset List'!$BA$4:$BG$60,MATCH('1'!$B54,'Unique Asset List'!$A$4:$A$60,0),MATCH('1'!$C$1,'Unique Asset List'!$BA$3:$BG$3,0))</f>
        <v>6</v>
      </c>
      <c r="AB54" s="21">
        <v>2.3276916000000001</v>
      </c>
      <c r="AC54" s="21">
        <v>0.87990560000000007</v>
      </c>
      <c r="AD54" s="21">
        <v>0.56099999999999994</v>
      </c>
      <c r="AE54" s="15">
        <f>INDEX('Unique Asset List'!$CJ$4:$CP$60,MATCH('1'!$B54,'Unique Asset List'!$A$4:$A$60,0),MATCH('1'!$C$1,'Unique Asset List'!$CJ$3:$CP$3,0))</f>
        <v>0.15</v>
      </c>
      <c r="AF54" s="15">
        <f>INDEX('Unique Asset List'!$CQ$4:$CW$60,MATCH('1'!$B54,'Unique Asset List'!$A$4:$A$60,0),MATCH('1'!$C$1,'Unique Asset List'!$CQ$3:$CW$3,0))</f>
        <v>0.35</v>
      </c>
      <c r="AG54" s="15">
        <f>INDEX('Unique Asset List'!$BV$4:$CB$60,MATCH('1'!$B54,'Unique Asset List'!$A$4:$A$60,0),MATCH('1'!$C$1,'Unique Asset List'!$BV$3:$CB$3,0))</f>
        <v>0.15</v>
      </c>
      <c r="AH54" s="15">
        <f>INDEX('Unique Asset List'!$CC$4:$CI$60,MATCH('1'!$B54,'Unique Asset List'!$A$4:$A$60,0),MATCH('1'!$C$1,'Unique Asset List'!$CC$3:$CI$3,0))</f>
        <v>0.35</v>
      </c>
      <c r="AI54" s="11">
        <v>0.97304949785176587</v>
      </c>
      <c r="AJ54" s="15">
        <f>INDEX('Unique Asset List'!$BH$4:$BN$60,MATCH('1'!$B54,'Unique Asset List'!$A$4:$A$60,0),MATCH('1'!$C$1,'Unique Asset List'!$BH$3:$BN$3,0))</f>
        <v>1.2267192541321688</v>
      </c>
      <c r="AK54" s="15">
        <f>INDEX('Unique Asset List'!$BO$4:$BU$60,MATCH('1'!$B54,'Unique Asset List'!$A$4:$A$60,0),MATCH('1'!$C$1,'Unique Asset List'!$BO$3:$BU$3,0))</f>
        <v>11.984388276878477</v>
      </c>
      <c r="AL54" s="150">
        <v>160</v>
      </c>
      <c r="AM54" s="14">
        <f>INDEX(Simulation!$B$6:$H$6,MATCH($A54,Simulation!$B$1:$H$1,0))*(1+AN54)^((DATE(X54,Y54,15)-DATE(2017,1,15))/365.5)</f>
        <v>24.618693262097295</v>
      </c>
      <c r="AN54" s="12">
        <v>3.5000000000000003E-2</v>
      </c>
      <c r="AO54" s="13">
        <v>60</v>
      </c>
      <c r="AP54" s="11">
        <v>0.6</v>
      </c>
      <c r="AQ54" s="12">
        <v>-0.02</v>
      </c>
      <c r="AR54" s="11">
        <v>0.5</v>
      </c>
      <c r="AS54" s="10">
        <v>1</v>
      </c>
      <c r="AT54" s="181">
        <f>INDEX('Unique Asset List'!N$4:N$60,MATCH($B54,_CompoundList,0))</f>
        <v>1</v>
      </c>
      <c r="AU54" s="181">
        <f>INDEX('Unique Asset List'!O$4:O$60,MATCH($B54,_CompoundList,0))</f>
        <v>1</v>
      </c>
      <c r="AV54" s="181">
        <f>INDEX('Unique Asset List'!P$4:P$60,MATCH($B54,_CompoundList,0))</f>
        <v>1</v>
      </c>
      <c r="AW54" s="181">
        <f>INDEX('Unique Asset List'!Q$4:Q$60,MATCH($B54,_CompoundList,0))</f>
        <v>1</v>
      </c>
      <c r="AX54" s="181">
        <f ca="1">INDEX('Unique Asset List'!R$4:R$60,MATCH($B54,_CompoundList,0))</f>
        <v>1</v>
      </c>
      <c r="AY54" s="181">
        <f ca="1">INDEX('Unique Asset List'!S$4:S$60,MATCH($B54,_CompoundList,0))</f>
        <v>1</v>
      </c>
      <c r="AZ54" s="181">
        <f ca="1">INDEX('Unique Asset List'!T$4:T$60,MATCH($B54,_CompoundList,0))</f>
        <v>1</v>
      </c>
      <c r="BA54" s="181">
        <f ca="1">INDEX('Unique Asset List'!U$4:U$60,MATCH($B54,_CompoundList,0))</f>
        <v>1</v>
      </c>
      <c r="BB54" s="181">
        <f ca="1">INDEX('Unique Asset List'!V$4:V$60,MATCH($B54,_CompoundList,0))</f>
        <v>1</v>
      </c>
      <c r="BC54" s="181">
        <f ca="1">INDEX('Unique Asset List'!W$4:W$60,MATCH($B54,_CompoundList,0))</f>
        <v>1</v>
      </c>
      <c r="BD54" s="4">
        <f>IF($C$5="ON",CD54,MyRating(_E1,$B54,Efficacy!$F$1))</f>
        <v>0</v>
      </c>
      <c r="BE54" s="3">
        <f>IF($C$5="ON",CE54,MyRating(_E2,$B54,Efficacy!$F$1))</f>
        <v>0</v>
      </c>
      <c r="BF54" s="3">
        <f>IF($C$5="ON",CF54,MyRating(_E3,$B54,Efficacy!$F$1))</f>
        <v>0</v>
      </c>
      <c r="BG54" s="3">
        <f>IF($C$5="ON",CG54,MyRating(_E4,$B54,Efficacy!$F$1))</f>
        <v>0</v>
      </c>
      <c r="BH54" s="3">
        <f>IF($C$5="ON",CH54,MyRating(_E5,$B54,Efficacy!$F$1))</f>
        <v>0</v>
      </c>
      <c r="BI54" s="3">
        <f>IF($C$5="ON",CI54,MyRating(_E6,$B54,Efficacy!$F$1))</f>
        <v>0</v>
      </c>
      <c r="BJ54" s="3">
        <f>IF($C$5="ON",CJ54,MyRating(_E7,$B54,Efficacy!$F$1))</f>
        <v>0</v>
      </c>
      <c r="BK54" s="3">
        <f>IF($C$5="ON",CK54,MyRating(_E8,$B54,Efficacy!$F$1))</f>
        <v>0</v>
      </c>
      <c r="BL54" s="3">
        <f>IF($C$5="ON",CL54,MyRating(_S1,$B54,Efficacy!$F$1))</f>
        <v>0</v>
      </c>
      <c r="BM54" s="3">
        <f>IF($C$5="ON",CM54,MyRating(_S2,$B54,Efficacy!$F$1))</f>
        <v>0</v>
      </c>
      <c r="BN54" s="3">
        <f>IF($C$5="ON",CN54,MyRating(_S3,$B54,Efficacy!$F$1))</f>
        <v>0</v>
      </c>
      <c r="BO54" s="3">
        <f>IF($C$5="ON",CO54,MyRating(_S4,$B54,Efficacy!$F$1))</f>
        <v>0</v>
      </c>
      <c r="BP54" s="3">
        <f>IF($C$5="ON",CP54,MyRating(_S5,$B54,Efficacy!$F$1))</f>
        <v>0</v>
      </c>
      <c r="BQ54" s="3">
        <f>IF($C$5="ON",CQ54,MyRating(_S6,$B54,Efficacy!$F$1))</f>
        <v>0</v>
      </c>
      <c r="BR54" s="3">
        <f>IF($C$5="ON",CR54,MyRating(_S7,$B54,Efficacy!$F$1))</f>
        <v>0</v>
      </c>
      <c r="BS54" s="3">
        <f>IF($C$5="ON",CS54,MyRating(_D1,$B54,Efficacy!$F$1))</f>
        <v>0</v>
      </c>
      <c r="BT54" s="3">
        <f>IF($C$5="ON",CT54,MyRating(_D2,$B54,Efficacy!$F$1))</f>
        <v>0</v>
      </c>
      <c r="BU54" s="3">
        <f>IF($C$5="ON",CU54,MyRating(_D3,$B54,Efficacy!$F$1))</f>
        <v>0</v>
      </c>
      <c r="BV54" s="3">
        <f>IF($C$5="ON",CV54,MyRating(_D4,$B54,Efficacy!$F$1))</f>
        <v>0</v>
      </c>
      <c r="BW54" s="3">
        <f>IF($C$5="ON",CW54,MyRating(_B1,$B54,Barrier!$F$2))</f>
        <v>3</v>
      </c>
      <c r="BX54" s="3">
        <f>IF($C$5="ON",CX54,MyRating(_B2,$B54,Barrier!$F$2))</f>
        <v>3</v>
      </c>
      <c r="BY54" s="6">
        <f>IF($C$5="ON",CY54,MyRating(_B3,$B54,Barrier!$F$2))</f>
        <v>3</v>
      </c>
      <c r="BZ54" s="5">
        <f t="shared" si="7"/>
        <v>2.833849230535369E-2</v>
      </c>
      <c r="CA54" s="8">
        <f t="shared" si="9"/>
        <v>2.4000000000000004</v>
      </c>
      <c r="CB54" s="5">
        <f t="shared" si="8"/>
        <v>2.8301886792452827E-2</v>
      </c>
      <c r="CC54" s="7">
        <f t="shared" si="10"/>
        <v>3.8137644231022581E-6</v>
      </c>
      <c r="CD54" s="4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6">
        <v>0</v>
      </c>
      <c r="CZ54" s="5"/>
      <c r="DA54" s="4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</row>
    <row r="55" spans="1:126" x14ac:dyDescent="0.25">
      <c r="A55" s="9" t="s">
        <v>5</v>
      </c>
      <c r="B55" s="9" t="s">
        <v>12</v>
      </c>
      <c r="C55" s="20"/>
      <c r="D55" s="9" t="s">
        <v>11</v>
      </c>
      <c r="E55" s="9"/>
      <c r="F55" s="9" t="str">
        <f>INDEX('Unique Asset List'!$C$4:$C$60,MATCH(B55,_CompoundList,0))</f>
        <v>PCD</v>
      </c>
      <c r="G55" s="19">
        <v>0</v>
      </c>
      <c r="H55" s="9">
        <v>2018</v>
      </c>
      <c r="I55" s="9">
        <v>1</v>
      </c>
      <c r="J55" s="18">
        <f>INDEX(PTRS!$D$6:$D$12,MATCH('1'!$F55,PTRS!$B$6:$B$12,0))</f>
        <v>0.1044225</v>
      </c>
      <c r="K55" s="17">
        <f>INDEX('Unique Asset List'!$D$4:$M$60,MATCH($B55,'Unique Asset List'!$A$4:$A$60,0),MATCH(K$8,'Unique Asset List'!$D$3:$M$3,0))</f>
        <v>0</v>
      </c>
      <c r="L55" s="17">
        <f>INDEX('Unique Asset List'!$D$4:$M$60,MATCH($B55,'Unique Asset List'!$A$4:$A$60,0),MATCH(L$8,'Unique Asset List'!$D$3:$M$3,0))</f>
        <v>0</v>
      </c>
      <c r="M55" s="17">
        <f t="shared" si="11"/>
        <v>0.1044225</v>
      </c>
      <c r="N55" s="17">
        <f>INDEX('Unique Asset List'!$D$4:$M$60,MATCH($B55,'Unique Asset List'!$A$4:$A$60,0),MATCH(N$8,'Unique Asset List'!$D$3:$M$3,0))</f>
        <v>1</v>
      </c>
      <c r="O55" s="17">
        <f>INDEX('Unique Asset List'!$D$4:$M$60,MATCH($B55,'Unique Asset List'!$A$4:$A$60,0),MATCH(O$8,'Unique Asset List'!$D$3:$M$3,0))</f>
        <v>1</v>
      </c>
      <c r="P55" s="17">
        <f>INDEX('Unique Asset List'!$D$4:$M$60,MATCH($B55,'Unique Asset List'!$A$4:$A$60,0),MATCH(P$8,'Unique Asset List'!$D$3:$M$3,0))</f>
        <v>1</v>
      </c>
      <c r="Q55" s="17">
        <f>INDEX('Unique Asset List'!$D$4:$M$60,MATCH($B55,'Unique Asset List'!$A$4:$A$60,0),MATCH(Q$8,'Unique Asset List'!$D$3:$M$3,0))</f>
        <v>1</v>
      </c>
      <c r="R55" s="17">
        <f>INDEX('Unique Asset List'!$D$4:$M$60,MATCH($B55,'Unique Asset List'!$A$4:$A$60,0),MATCH(R$8,'Unique Asset List'!$D$3:$M$3,0))</f>
        <v>1</v>
      </c>
      <c r="S55" s="17">
        <f>INDEX('Unique Asset List'!$D$4:$M$60,MATCH($B55,'Unique Asset List'!$A$4:$A$60,0),MATCH(S$8,'Unique Asset List'!$D$3:$M$3,0))</f>
        <v>1</v>
      </c>
      <c r="T55" s="17" t="s">
        <v>10</v>
      </c>
      <c r="U55" s="17">
        <f t="shared" si="1"/>
        <v>0.58302373629991611</v>
      </c>
      <c r="V55" s="17">
        <v>1</v>
      </c>
      <c r="W55" s="9" t="s">
        <v>10</v>
      </c>
      <c r="X55" s="9">
        <f>INDEX('Unique Asset List'!$Y$4:$AE$60,MATCH('1'!$B55,'Unique Asset List'!$A$4:$A$60,0),MATCH('1'!$C$1,'Unique Asset List'!$Y$3:$AE$3,0))</f>
        <v>2035</v>
      </c>
      <c r="Y55" s="9">
        <f>INDEX('Unique Asset List'!$AF$4:$AL$60,MATCH('1'!$B55,'Unique Asset List'!$A$4:$A$60,0),MATCH('1'!$C$1,'Unique Asset List'!$AF$3:$AL$3,0))</f>
        <v>6</v>
      </c>
      <c r="Z55" s="9">
        <f>INDEX('Unique Asset List'!$AT$4:$AZ$60,MATCH('1'!$B55,'Unique Asset List'!$A$4:$A$60,0),MATCH('1'!$C$1,'Unique Asset List'!$AT$3:$AZ$3,0))</f>
        <v>2048</v>
      </c>
      <c r="AA55" s="9">
        <f>INDEX('Unique Asset List'!$BA$4:$BG$60,MATCH('1'!$B55,'Unique Asset List'!$A$4:$A$60,0),MATCH('1'!$C$1,'Unique Asset List'!$BA$3:$BG$3,0))</f>
        <v>6</v>
      </c>
      <c r="AB55" s="21">
        <v>2.3276916000000001</v>
      </c>
      <c r="AC55" s="21">
        <v>0.87990560000000007</v>
      </c>
      <c r="AD55" s="21">
        <v>0.56099999999999994</v>
      </c>
      <c r="AE55" s="15">
        <f>INDEX('Unique Asset List'!$CJ$4:$CP$60,MATCH('1'!$B55,'Unique Asset List'!$A$4:$A$60,0),MATCH('1'!$C$1,'Unique Asset List'!$CJ$3:$CP$3,0))</f>
        <v>0.15</v>
      </c>
      <c r="AF55" s="15">
        <f>INDEX('Unique Asset List'!$CQ$4:$CW$60,MATCH('1'!$B55,'Unique Asset List'!$A$4:$A$60,0),MATCH('1'!$C$1,'Unique Asset List'!$CQ$3:$CW$3,0))</f>
        <v>0.35</v>
      </c>
      <c r="AG55" s="15">
        <f>INDEX('Unique Asset List'!$BV$4:$CB$60,MATCH('1'!$B55,'Unique Asset List'!$A$4:$A$60,0),MATCH('1'!$C$1,'Unique Asset List'!$BV$3:$CB$3,0))</f>
        <v>0.15</v>
      </c>
      <c r="AH55" s="15">
        <f>INDEX('Unique Asset List'!$CC$4:$CI$60,MATCH('1'!$B55,'Unique Asset List'!$A$4:$A$60,0),MATCH('1'!$C$1,'Unique Asset List'!$CC$3:$CI$3,0))</f>
        <v>0.35</v>
      </c>
      <c r="AI55" s="11">
        <v>0.97304949785176587</v>
      </c>
      <c r="AJ55" s="15">
        <f>INDEX('Unique Asset List'!$BH$4:$BN$60,MATCH('1'!$B55,'Unique Asset List'!$A$4:$A$60,0),MATCH('1'!$C$1,'Unique Asset List'!$BH$3:$BN$3,0))</f>
        <v>1.2267192541321688</v>
      </c>
      <c r="AK55" s="15">
        <f>INDEX('Unique Asset List'!$BO$4:$BU$60,MATCH('1'!$B55,'Unique Asset List'!$A$4:$A$60,0),MATCH('1'!$C$1,'Unique Asset List'!$BO$3:$BU$3,0))</f>
        <v>11.984388276878477</v>
      </c>
      <c r="AL55" s="150">
        <v>160</v>
      </c>
      <c r="AM55" s="14">
        <f>INDEX(Simulation!$B$6:$H$6,MATCH($A55,Simulation!$B$1:$H$1,0))*(1+AN55)^((DATE(X55,Y55,15)-DATE(2017,1,15))/365.5)</f>
        <v>28.247857906277243</v>
      </c>
      <c r="AN55" s="12">
        <v>3.5000000000000003E-2</v>
      </c>
      <c r="AO55" s="13">
        <v>60</v>
      </c>
      <c r="AP55" s="11">
        <v>0.6</v>
      </c>
      <c r="AQ55" s="12">
        <v>-0.02</v>
      </c>
      <c r="AR55" s="11">
        <v>0.5</v>
      </c>
      <c r="AS55" s="10">
        <v>1</v>
      </c>
      <c r="AT55" s="181">
        <f>INDEX('Unique Asset List'!N$4:N$60,MATCH($B55,_CompoundList,0))</f>
        <v>1</v>
      </c>
      <c r="AU55" s="181">
        <f>INDEX('Unique Asset List'!O$4:O$60,MATCH($B55,_CompoundList,0))</f>
        <v>1</v>
      </c>
      <c r="AV55" s="181">
        <f>INDEX('Unique Asset List'!P$4:P$60,MATCH($B55,_CompoundList,0))</f>
        <v>1</v>
      </c>
      <c r="AW55" s="181">
        <f>INDEX('Unique Asset List'!Q$4:Q$60,MATCH($B55,_CompoundList,0))</f>
        <v>1</v>
      </c>
      <c r="AX55" s="181">
        <f ca="1">INDEX('Unique Asset List'!R$4:R$60,MATCH($B55,_CompoundList,0))</f>
        <v>1</v>
      </c>
      <c r="AY55" s="181">
        <f ca="1">INDEX('Unique Asset List'!S$4:S$60,MATCH($B55,_CompoundList,0))</f>
        <v>1</v>
      </c>
      <c r="AZ55" s="181">
        <f ca="1">INDEX('Unique Asset List'!T$4:T$60,MATCH($B55,_CompoundList,0))</f>
        <v>1</v>
      </c>
      <c r="BA55" s="181">
        <f ca="1">INDEX('Unique Asset List'!U$4:U$60,MATCH($B55,_CompoundList,0))</f>
        <v>1</v>
      </c>
      <c r="BB55" s="181">
        <f ca="1">INDEX('Unique Asset List'!V$4:V$60,MATCH($B55,_CompoundList,0))</f>
        <v>1</v>
      </c>
      <c r="BC55" s="181">
        <f ca="1">INDEX('Unique Asset List'!W$4:W$60,MATCH($B55,_CompoundList,0))</f>
        <v>1</v>
      </c>
      <c r="BD55" s="4">
        <f>IF($C$5="ON",CD55,MyRating(_E1,$B55,Efficacy!$F$1))</f>
        <v>0</v>
      </c>
      <c r="BE55" s="3">
        <f>IF($C$5="ON",CE55,MyRating(_E2,$B55,Efficacy!$F$1))</f>
        <v>0</v>
      </c>
      <c r="BF55" s="3">
        <f>IF($C$5="ON",CF55,MyRating(_E3,$B55,Efficacy!$F$1))</f>
        <v>0</v>
      </c>
      <c r="BG55" s="3">
        <f>IF($C$5="ON",CG55,MyRating(_E4,$B55,Efficacy!$F$1))</f>
        <v>0</v>
      </c>
      <c r="BH55" s="3">
        <f>IF($C$5="ON",CH55,MyRating(_E5,$B55,Efficacy!$F$1))</f>
        <v>0</v>
      </c>
      <c r="BI55" s="3">
        <f>IF($C$5="ON",CI55,MyRating(_E6,$B55,Efficacy!$F$1))</f>
        <v>0</v>
      </c>
      <c r="BJ55" s="3">
        <f>IF($C$5="ON",CJ55,MyRating(_E7,$B55,Efficacy!$F$1))</f>
        <v>0</v>
      </c>
      <c r="BK55" s="3">
        <f>IF($C$5="ON",CK55,MyRating(_E8,$B55,Efficacy!$F$1))</f>
        <v>0</v>
      </c>
      <c r="BL55" s="3">
        <f>IF($C$5="ON",CL55,MyRating(_S1,$B55,Efficacy!$F$1))</f>
        <v>0</v>
      </c>
      <c r="BM55" s="3">
        <f>IF($C$5="ON",CM55,MyRating(_S2,$B55,Efficacy!$F$1))</f>
        <v>0</v>
      </c>
      <c r="BN55" s="3">
        <f>IF($C$5="ON",CN55,MyRating(_S3,$B55,Efficacy!$F$1))</f>
        <v>0</v>
      </c>
      <c r="BO55" s="3">
        <f>IF($C$5="ON",CO55,MyRating(_S4,$B55,Efficacy!$F$1))</f>
        <v>0</v>
      </c>
      <c r="BP55" s="3">
        <f>IF($C$5="ON",CP55,MyRating(_S5,$B55,Efficacy!$F$1))</f>
        <v>0</v>
      </c>
      <c r="BQ55" s="3">
        <f>IF($C$5="ON",CQ55,MyRating(_S6,$B55,Efficacy!$F$1))</f>
        <v>0</v>
      </c>
      <c r="BR55" s="3">
        <f>IF($C$5="ON",CR55,MyRating(_S7,$B55,Efficacy!$F$1))</f>
        <v>0</v>
      </c>
      <c r="BS55" s="3">
        <f>IF($C$5="ON",CS55,MyRating(_D1,$B55,Efficacy!$F$1))</f>
        <v>0</v>
      </c>
      <c r="BT55" s="3">
        <f>IF($C$5="ON",CT55,MyRating(_D2,$B55,Efficacy!$F$1))</f>
        <v>0</v>
      </c>
      <c r="BU55" s="3">
        <f>IF($C$5="ON",CU55,MyRating(_D3,$B55,Efficacy!$F$1))</f>
        <v>0</v>
      </c>
      <c r="BV55" s="3">
        <f>IF($C$5="ON",CV55,MyRating(_D4,$B55,Efficacy!$F$1))</f>
        <v>0</v>
      </c>
      <c r="BW55" s="3">
        <f>IF($C$5="ON",CW55,MyRating(_B1,$B55,Barrier!$F$2))</f>
        <v>3</v>
      </c>
      <c r="BX55" s="3">
        <f>IF($C$5="ON",CX55,MyRating(_B2,$B55,Barrier!$F$2))</f>
        <v>3</v>
      </c>
      <c r="BY55" s="6">
        <f>IF($C$5="ON",CY55,MyRating(_B3,$B55,Barrier!$F$2))</f>
        <v>3</v>
      </c>
      <c r="BZ55" s="5">
        <f t="shared" si="7"/>
        <v>2.833849230535369E-2</v>
      </c>
      <c r="CA55" s="8">
        <f t="shared" si="9"/>
        <v>2.4000000000000004</v>
      </c>
      <c r="CB55" s="5">
        <f t="shared" si="8"/>
        <v>2.8301886792452827E-2</v>
      </c>
      <c r="CC55" s="7">
        <f t="shared" si="10"/>
        <v>3.8137644231022581E-6</v>
      </c>
      <c r="CD55" s="4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6">
        <v>0</v>
      </c>
      <c r="CZ55" s="5"/>
      <c r="DA55" s="4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</row>
    <row r="56" spans="1:126" x14ac:dyDescent="0.25">
      <c r="A56" s="9" t="s">
        <v>5</v>
      </c>
      <c r="B56" s="9" t="s">
        <v>9</v>
      </c>
      <c r="C56" s="20"/>
      <c r="D56" s="9" t="s">
        <v>8</v>
      </c>
      <c r="E56" s="9"/>
      <c r="F56" s="9" t="str">
        <f>INDEX('Unique Asset List'!$C$4:$C$60,MATCH(B56,_CompoundList,0))</f>
        <v>PCD</v>
      </c>
      <c r="G56" s="19">
        <v>0</v>
      </c>
      <c r="H56" s="9">
        <v>2018</v>
      </c>
      <c r="I56" s="9">
        <v>1</v>
      </c>
      <c r="J56" s="18">
        <f>INDEX(PTRS!$D$6:$D$12,MATCH('1'!$F56,PTRS!$B$6:$B$12,0))</f>
        <v>0.1044225</v>
      </c>
      <c r="K56" s="17">
        <f>INDEX('Unique Asset List'!$D$4:$M$60,MATCH($B56,'Unique Asset List'!$A$4:$A$60,0),MATCH(K$8,'Unique Asset List'!$D$3:$M$3,0))</f>
        <v>0</v>
      </c>
      <c r="L56" s="17">
        <f>INDEX('Unique Asset List'!$D$4:$M$60,MATCH($B56,'Unique Asset List'!$A$4:$A$60,0),MATCH(L$8,'Unique Asset List'!$D$3:$M$3,0))</f>
        <v>0</v>
      </c>
      <c r="M56" s="17">
        <f t="shared" si="11"/>
        <v>0.1044225</v>
      </c>
      <c r="N56" s="17">
        <f>INDEX('Unique Asset List'!$D$4:$M$60,MATCH($B56,'Unique Asset List'!$A$4:$A$60,0),MATCH(N$8,'Unique Asset List'!$D$3:$M$3,0))</f>
        <v>1</v>
      </c>
      <c r="O56" s="17">
        <f>INDEX('Unique Asset List'!$D$4:$M$60,MATCH($B56,'Unique Asset List'!$A$4:$A$60,0),MATCH(O$8,'Unique Asset List'!$D$3:$M$3,0))</f>
        <v>1</v>
      </c>
      <c r="P56" s="17">
        <f>INDEX('Unique Asset List'!$D$4:$M$60,MATCH($B56,'Unique Asset List'!$A$4:$A$60,0),MATCH(P$8,'Unique Asset List'!$D$3:$M$3,0))</f>
        <v>1</v>
      </c>
      <c r="Q56" s="17">
        <f>INDEX('Unique Asset List'!$D$4:$M$60,MATCH($B56,'Unique Asset List'!$A$4:$A$60,0),MATCH(Q$8,'Unique Asset List'!$D$3:$M$3,0))</f>
        <v>1</v>
      </c>
      <c r="R56" s="17">
        <f>INDEX('Unique Asset List'!$D$4:$M$60,MATCH($B56,'Unique Asset List'!$A$4:$A$60,0),MATCH(R$8,'Unique Asset List'!$D$3:$M$3,0))</f>
        <v>1</v>
      </c>
      <c r="S56" s="17">
        <f>INDEX('Unique Asset List'!$D$4:$M$60,MATCH($B56,'Unique Asset List'!$A$4:$A$60,0),MATCH(S$8,'Unique Asset List'!$D$3:$M$3,0))</f>
        <v>1</v>
      </c>
      <c r="T56" s="17" t="s">
        <v>7</v>
      </c>
      <c r="U56" s="17">
        <f t="shared" si="1"/>
        <v>0.58302373629991611</v>
      </c>
      <c r="V56" s="17">
        <v>1</v>
      </c>
      <c r="W56" s="9" t="s">
        <v>7</v>
      </c>
      <c r="X56" s="9">
        <f>INDEX('Unique Asset List'!$Y$4:$AE$60,MATCH('1'!$B56,'Unique Asset List'!$A$4:$A$60,0),MATCH('1'!$C$1,'Unique Asset List'!$Y$3:$AE$3,0))</f>
        <v>2040</v>
      </c>
      <c r="Y56" s="9">
        <f>INDEX('Unique Asset List'!$AF$4:$AL$60,MATCH('1'!$B56,'Unique Asset List'!$A$4:$A$60,0),MATCH('1'!$C$1,'Unique Asset List'!$AF$3:$AL$3,0))</f>
        <v>6</v>
      </c>
      <c r="Z56" s="9">
        <f>INDEX('Unique Asset List'!$AT$4:$AZ$60,MATCH('1'!$B56,'Unique Asset List'!$A$4:$A$60,0),MATCH('1'!$C$1,'Unique Asset List'!$AT$3:$AZ$3,0))</f>
        <v>2053</v>
      </c>
      <c r="AA56" s="9">
        <f>INDEX('Unique Asset List'!$BA$4:$BG$60,MATCH('1'!$B56,'Unique Asset List'!$A$4:$A$60,0),MATCH('1'!$C$1,'Unique Asset List'!$BA$3:$BG$3,0))</f>
        <v>6</v>
      </c>
      <c r="AB56" s="21">
        <v>2.3276916000000001</v>
      </c>
      <c r="AC56" s="21">
        <v>0.87990560000000007</v>
      </c>
      <c r="AD56" s="21">
        <v>0.56099999999999994</v>
      </c>
      <c r="AE56" s="15">
        <f>INDEX('Unique Asset List'!$CJ$4:$CP$60,MATCH('1'!$B56,'Unique Asset List'!$A$4:$A$60,0),MATCH('1'!$C$1,'Unique Asset List'!$CJ$3:$CP$3,0))</f>
        <v>0.15</v>
      </c>
      <c r="AF56" s="15">
        <f>INDEX('Unique Asset List'!$CQ$4:$CW$60,MATCH('1'!$B56,'Unique Asset List'!$A$4:$A$60,0),MATCH('1'!$C$1,'Unique Asset List'!$CQ$3:$CW$3,0))</f>
        <v>0.35</v>
      </c>
      <c r="AG56" s="15">
        <f>INDEX('Unique Asset List'!$BV$4:$CB$60,MATCH('1'!$B56,'Unique Asset List'!$A$4:$A$60,0),MATCH('1'!$C$1,'Unique Asset List'!$BV$3:$CB$3,0))</f>
        <v>0.15</v>
      </c>
      <c r="AH56" s="15">
        <f>INDEX('Unique Asset List'!$CC$4:$CI$60,MATCH('1'!$B56,'Unique Asset List'!$A$4:$A$60,0),MATCH('1'!$C$1,'Unique Asset List'!$CC$3:$CI$3,0))</f>
        <v>0.35</v>
      </c>
      <c r="AI56" s="11">
        <v>0.97304949785176587</v>
      </c>
      <c r="AJ56" s="15">
        <f>INDEX('Unique Asset List'!$BH$4:$BN$60,MATCH('1'!$B56,'Unique Asset List'!$A$4:$A$60,0),MATCH('1'!$C$1,'Unique Asset List'!$BH$3:$BN$3,0))</f>
        <v>1.2267192541321688</v>
      </c>
      <c r="AK56" s="15">
        <f>INDEX('Unique Asset List'!$BO$4:$BU$60,MATCH('1'!$B56,'Unique Asset List'!$A$4:$A$60,0),MATCH('1'!$C$1,'Unique Asset List'!$BO$3:$BU$3,0))</f>
        <v>11.984388276878477</v>
      </c>
      <c r="AL56" s="150">
        <v>160</v>
      </c>
      <c r="AM56" s="14">
        <f>INDEX(Simulation!$B$6:$H$6,MATCH($A56,Simulation!$B$1:$H$1,0))*(1+AN56)^((DATE(X56,Y56,15)-DATE(2017,1,15))/365.5)</f>
        <v>33.54801516639175</v>
      </c>
      <c r="AN56" s="12">
        <v>3.5000000000000003E-2</v>
      </c>
      <c r="AO56" s="13">
        <v>60</v>
      </c>
      <c r="AP56" s="11">
        <v>0.6</v>
      </c>
      <c r="AQ56" s="12">
        <v>-0.02</v>
      </c>
      <c r="AR56" s="11">
        <v>0.5</v>
      </c>
      <c r="AS56" s="10">
        <v>1</v>
      </c>
      <c r="AT56" s="181">
        <f>INDEX('Unique Asset List'!N$4:N$60,MATCH($B56,_CompoundList,0))</f>
        <v>1</v>
      </c>
      <c r="AU56" s="181">
        <f>INDEX('Unique Asset List'!O$4:O$60,MATCH($B56,_CompoundList,0))</f>
        <v>1</v>
      </c>
      <c r="AV56" s="181">
        <f>INDEX('Unique Asset List'!P$4:P$60,MATCH($B56,_CompoundList,0))</f>
        <v>1</v>
      </c>
      <c r="AW56" s="181">
        <f>INDEX('Unique Asset List'!Q$4:Q$60,MATCH($B56,_CompoundList,0))</f>
        <v>1</v>
      </c>
      <c r="AX56" s="181">
        <f ca="1">INDEX('Unique Asset List'!R$4:R$60,MATCH($B56,_CompoundList,0))</f>
        <v>1</v>
      </c>
      <c r="AY56" s="181">
        <f ca="1">INDEX('Unique Asset List'!S$4:S$60,MATCH($B56,_CompoundList,0))</f>
        <v>1</v>
      </c>
      <c r="AZ56" s="181">
        <f ca="1">INDEX('Unique Asset List'!T$4:T$60,MATCH($B56,_CompoundList,0))</f>
        <v>1</v>
      </c>
      <c r="BA56" s="181">
        <f ca="1">INDEX('Unique Asset List'!U$4:U$60,MATCH($B56,_CompoundList,0))</f>
        <v>1</v>
      </c>
      <c r="BB56" s="181">
        <f ca="1">INDEX('Unique Asset List'!V$4:V$60,MATCH($B56,_CompoundList,0))</f>
        <v>1</v>
      </c>
      <c r="BC56" s="181">
        <f ca="1">INDEX('Unique Asset List'!W$4:W$60,MATCH($B56,_CompoundList,0))</f>
        <v>1</v>
      </c>
      <c r="BD56" s="4">
        <f>IF($C$5="ON",CD56,MyRating(_E1,$B56,Efficacy!$F$1))</f>
        <v>0</v>
      </c>
      <c r="BE56" s="3">
        <f>IF($C$5="ON",CE56,MyRating(_E2,$B56,Efficacy!$F$1))</f>
        <v>0</v>
      </c>
      <c r="BF56" s="3">
        <f>IF($C$5="ON",CF56,MyRating(_E3,$B56,Efficacy!$F$1))</f>
        <v>0</v>
      </c>
      <c r="BG56" s="3">
        <f>IF($C$5="ON",CG56,MyRating(_E4,$B56,Efficacy!$F$1))</f>
        <v>0</v>
      </c>
      <c r="BH56" s="3">
        <f>IF($C$5="ON",CH56,MyRating(_E5,$B56,Efficacy!$F$1))</f>
        <v>0</v>
      </c>
      <c r="BI56" s="3">
        <f>IF($C$5="ON",CI56,MyRating(_E6,$B56,Efficacy!$F$1))</f>
        <v>0</v>
      </c>
      <c r="BJ56" s="3">
        <f>IF($C$5="ON",CJ56,MyRating(_E7,$B56,Efficacy!$F$1))</f>
        <v>0</v>
      </c>
      <c r="BK56" s="3">
        <f>IF($C$5="ON",CK56,MyRating(_E8,$B56,Efficacy!$F$1))</f>
        <v>0</v>
      </c>
      <c r="BL56" s="3">
        <f>IF($C$5="ON",CL56,MyRating(_S1,$B56,Efficacy!$F$1))</f>
        <v>0</v>
      </c>
      <c r="BM56" s="3">
        <f>IF($C$5="ON",CM56,MyRating(_S2,$B56,Efficacy!$F$1))</f>
        <v>0</v>
      </c>
      <c r="BN56" s="3">
        <f>IF($C$5="ON",CN56,MyRating(_S3,$B56,Efficacy!$F$1))</f>
        <v>0</v>
      </c>
      <c r="BO56" s="3">
        <f>IF($C$5="ON",CO56,MyRating(_S4,$B56,Efficacy!$F$1))</f>
        <v>0</v>
      </c>
      <c r="BP56" s="3">
        <f>IF($C$5="ON",CP56,MyRating(_S5,$B56,Efficacy!$F$1))</f>
        <v>0</v>
      </c>
      <c r="BQ56" s="3">
        <f>IF($C$5="ON",CQ56,MyRating(_S6,$B56,Efficacy!$F$1))</f>
        <v>0</v>
      </c>
      <c r="BR56" s="3">
        <f>IF($C$5="ON",CR56,MyRating(_S7,$B56,Efficacy!$F$1))</f>
        <v>0</v>
      </c>
      <c r="BS56" s="3">
        <f>IF($C$5="ON",CS56,MyRating(_D1,$B56,Efficacy!$F$1))</f>
        <v>0</v>
      </c>
      <c r="BT56" s="3">
        <f>IF($C$5="ON",CT56,MyRating(_D2,$B56,Efficacy!$F$1))</f>
        <v>0</v>
      </c>
      <c r="BU56" s="3">
        <f>IF($C$5="ON",CU56,MyRating(_D3,$B56,Efficacy!$F$1))</f>
        <v>0</v>
      </c>
      <c r="BV56" s="3">
        <f>IF($C$5="ON",CV56,MyRating(_D4,$B56,Efficacy!$F$1))</f>
        <v>0</v>
      </c>
      <c r="BW56" s="3">
        <f>IF($C$5="ON",CW56,MyRating(_B1,$B56,Barrier!$F$2))</f>
        <v>3</v>
      </c>
      <c r="BX56" s="3">
        <f>IF($C$5="ON",CX56,MyRating(_B2,$B56,Barrier!$F$2))</f>
        <v>3</v>
      </c>
      <c r="BY56" s="6">
        <f>IF($C$5="ON",CY56,MyRating(_B3,$B56,Barrier!$F$2))</f>
        <v>3</v>
      </c>
      <c r="BZ56" s="5">
        <f t="shared" si="7"/>
        <v>2.833849230535369E-2</v>
      </c>
      <c r="CA56" s="8">
        <f t="shared" si="9"/>
        <v>2.4000000000000004</v>
      </c>
      <c r="CB56" s="5">
        <f t="shared" si="8"/>
        <v>2.8301886792452827E-2</v>
      </c>
      <c r="CC56" s="7">
        <f t="shared" si="10"/>
        <v>3.8137644231022581E-6</v>
      </c>
      <c r="CD56" s="4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6">
        <v>0</v>
      </c>
      <c r="CZ56" s="5"/>
      <c r="DA56" s="4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</row>
    <row r="57" spans="1:126" x14ac:dyDescent="0.25">
      <c r="A57" s="9" t="s">
        <v>5</v>
      </c>
      <c r="B57" s="9" t="s">
        <v>279</v>
      </c>
      <c r="C57" s="20"/>
      <c r="D57" s="9" t="s">
        <v>2</v>
      </c>
      <c r="E57" s="9"/>
      <c r="F57" s="9" t="str">
        <f>INDEX('Unique Asset List'!$C$4:$C$60,MATCH(B57,_CompoundList,0))</f>
        <v>PCD</v>
      </c>
      <c r="G57" s="19">
        <v>0</v>
      </c>
      <c r="H57" s="9">
        <v>2018</v>
      </c>
      <c r="I57" s="9">
        <v>1</v>
      </c>
      <c r="J57" s="18">
        <f>INDEX(PTRS!$D$6:$D$12,MATCH('1'!$F57,PTRS!$B$6:$B$12,0))</f>
        <v>0.1044225</v>
      </c>
      <c r="K57" s="17">
        <f>INDEX('Unique Asset List'!$D$4:$M$60,MATCH($B57,'Unique Asset List'!$A$4:$A$60,0),MATCH(K$8,'Unique Asset List'!$D$3:$M$3,0))</f>
        <v>0</v>
      </c>
      <c r="L57" s="17">
        <f>INDEX('Unique Asset List'!$D$4:$M$60,MATCH($B57,'Unique Asset List'!$A$4:$A$60,0),MATCH(L$8,'Unique Asset List'!$D$3:$M$3,0))</f>
        <v>0</v>
      </c>
      <c r="M57" s="17">
        <f t="shared" si="11"/>
        <v>0.1044225</v>
      </c>
      <c r="N57" s="17">
        <f>INDEX('Unique Asset List'!$D$4:$M$60,MATCH($B57,'Unique Asset List'!$A$4:$A$60,0),MATCH(N$8,'Unique Asset List'!$D$3:$M$3,0))</f>
        <v>0.1</v>
      </c>
      <c r="O57" s="17">
        <f>INDEX('Unique Asset List'!$D$4:$M$60,MATCH($B57,'Unique Asset List'!$A$4:$A$60,0),MATCH(O$8,'Unique Asset List'!$D$3:$M$3,0))</f>
        <v>0.1</v>
      </c>
      <c r="P57" s="17">
        <f>INDEX('Unique Asset List'!$D$4:$M$60,MATCH($B57,'Unique Asset List'!$A$4:$A$60,0),MATCH(P$8,'Unique Asset List'!$D$3:$M$3,0))</f>
        <v>0.1</v>
      </c>
      <c r="Q57" s="17">
        <f>INDEX('Unique Asset List'!$D$4:$M$60,MATCH($B57,'Unique Asset List'!$A$4:$A$60,0),MATCH(Q$8,'Unique Asset List'!$D$3:$M$3,0))</f>
        <v>0.1</v>
      </c>
      <c r="R57" s="17">
        <f>INDEX('Unique Asset List'!$D$4:$M$60,MATCH($B57,'Unique Asset List'!$A$4:$A$60,0),MATCH(R$8,'Unique Asset List'!$D$3:$M$3,0))</f>
        <v>0.1</v>
      </c>
      <c r="S57" s="17">
        <f>INDEX('Unique Asset List'!$D$4:$M$60,MATCH($B57,'Unique Asset List'!$A$4:$A$60,0),MATCH(S$8,'Unique Asset List'!$D$3:$M$3,0))</f>
        <v>0</v>
      </c>
      <c r="T57" s="17"/>
      <c r="U57" s="17">
        <f t="shared" si="1"/>
        <v>0.42995823674546563</v>
      </c>
      <c r="V57" s="17">
        <f>V17</f>
        <v>0.42</v>
      </c>
      <c r="W57" s="9" t="s">
        <v>62</v>
      </c>
      <c r="X57" s="9">
        <f>INDEX('Unique Asset List'!$Y$4:$AE$60,MATCH('1'!$B57,'Unique Asset List'!$A$4:$A$60,0),MATCH('1'!$C$1,'Unique Asset List'!$Y$3:$AE$3,0))</f>
        <v>2026</v>
      </c>
      <c r="Y57" s="9">
        <f>INDEX('Unique Asset List'!$AF$4:$AL$60,MATCH('1'!$B57,'Unique Asset List'!$A$4:$A$60,0),MATCH('1'!$C$1,'Unique Asset List'!$AF$3:$AL$3,0))</f>
        <v>9</v>
      </c>
      <c r="Z57" s="9">
        <f>INDEX('Unique Asset List'!$AT$4:$AZ$60,MATCH('1'!$B57,'Unique Asset List'!$A$4:$A$60,0),MATCH('1'!$C$1,'Unique Asset List'!$AT$3:$AZ$3,0))</f>
        <v>2036</v>
      </c>
      <c r="AA57" s="9">
        <f>INDEX('Unique Asset List'!$BA$4:$BG$60,MATCH('1'!$B57,'Unique Asset List'!$A$4:$A$60,0),MATCH('1'!$C$1,'Unique Asset List'!$BA$3:$BG$3,0))</f>
        <v>6</v>
      </c>
      <c r="AB57" s="16">
        <f t="shared" ref="AB57" si="14">SUMPRODUCT($BD57:$BK57,$BD$7:$BK$7)</f>
        <v>2.1414899000000003</v>
      </c>
      <c r="AC57" s="16">
        <f t="shared" ref="AC57" si="15">SUMPRODUCT($BL57:$BR57,$BJ$7:$BP$7)</f>
        <v>0.91994010000000004</v>
      </c>
      <c r="AD57" s="16">
        <f t="shared" ref="AD57" si="16">SUMPRODUCT($BS57:$BV57,$BQ$7:$BT$7)</f>
        <v>0.50129594525999999</v>
      </c>
      <c r="AE57" s="15">
        <f>INDEX('Unique Asset List'!$CJ$4:$CP$60,MATCH('1'!$B57,'Unique Asset List'!$A$4:$A$60,0),MATCH('1'!$C$1,'Unique Asset List'!$CJ$3:$CP$3,0))</f>
        <v>0.15</v>
      </c>
      <c r="AF57" s="15">
        <f>INDEX('Unique Asset List'!$CQ$4:$CW$60,MATCH('1'!$B57,'Unique Asset List'!$A$4:$A$60,0),MATCH('1'!$C$1,'Unique Asset List'!$CQ$3:$CW$3,0))</f>
        <v>0.35</v>
      </c>
      <c r="AG57" s="15">
        <f>INDEX('Unique Asset List'!$BV$4:$CB$60,MATCH('1'!$B57,'Unique Asset List'!$A$4:$A$60,0),MATCH('1'!$C$1,'Unique Asset List'!$BV$3:$CB$3,0))</f>
        <v>0.15</v>
      </c>
      <c r="AH57" s="15">
        <f>INDEX('Unique Asset List'!$CC$4:$CI$60,MATCH('1'!$B57,'Unique Asset List'!$A$4:$A$60,0),MATCH('1'!$C$1,'Unique Asset List'!$CC$3:$CI$3,0))</f>
        <v>0.35</v>
      </c>
      <c r="AI57" s="11">
        <v>0.97304949785176587</v>
      </c>
      <c r="AJ57" s="15">
        <f>INDEX('Unique Asset List'!$BH$4:$BN$60,MATCH('1'!$B57,'Unique Asset List'!$A$4:$A$60,0),MATCH('1'!$C$1,'Unique Asset List'!$BH$3:$BN$3,0))</f>
        <v>1.2267192541321688</v>
      </c>
      <c r="AK57" s="15">
        <f>INDEX('Unique Asset List'!$BO$4:$BU$60,MATCH('1'!$B57,'Unique Asset List'!$A$4:$A$60,0),MATCH('1'!$C$1,'Unique Asset List'!$BO$3:$BU$3,0))</f>
        <v>11.984388276878477</v>
      </c>
      <c r="AL57" s="150">
        <v>146.07692307692309</v>
      </c>
      <c r="AM57" s="14">
        <f>INDEX(Simulation!$B$6:$H$6,MATCH($A57,Simulation!$B$1:$H$1,0))*(1+AN57)^((DATE(X57,Y57,15)-DATE(2017,1,15))/365.5)</f>
        <v>20.911500576752577</v>
      </c>
      <c r="AN57" s="12">
        <v>3.5000000000000003E-2</v>
      </c>
      <c r="AO57" s="13">
        <v>60</v>
      </c>
      <c r="AP57" s="11">
        <v>0.6</v>
      </c>
      <c r="AQ57" s="12">
        <v>-0.02</v>
      </c>
      <c r="AR57" s="11">
        <v>0.5</v>
      </c>
      <c r="AS57" s="10">
        <v>0.28767123287671198</v>
      </c>
      <c r="AT57" s="181">
        <f>INDEX('Unique Asset List'!N$4:N$60,MATCH($B57,_CompoundList,0))</f>
        <v>0</v>
      </c>
      <c r="AU57" s="181">
        <f>INDEX('Unique Asset List'!O$4:O$60,MATCH($B57,_CompoundList,0))</f>
        <v>0</v>
      </c>
      <c r="AV57" s="181">
        <f>INDEX('Unique Asset List'!P$4:P$60,MATCH($B57,_CompoundList,0))</f>
        <v>0</v>
      </c>
      <c r="AW57" s="181">
        <f>INDEX('Unique Asset List'!Q$4:Q$60,MATCH($B57,_CompoundList,0))</f>
        <v>0</v>
      </c>
      <c r="AX57" s="181">
        <f ca="1">INDEX('Unique Asset List'!R$4:R$60,MATCH($B57,_CompoundList,0))</f>
        <v>0</v>
      </c>
      <c r="AY57" s="181">
        <f ca="1">INDEX('Unique Asset List'!S$4:S$60,MATCH($B57,_CompoundList,0))</f>
        <v>0</v>
      </c>
      <c r="AZ57" s="181">
        <f ca="1">INDEX('Unique Asset List'!T$4:T$60,MATCH($B57,_CompoundList,0))</f>
        <v>1</v>
      </c>
      <c r="BA57" s="181">
        <f ca="1">INDEX('Unique Asset List'!U$4:U$60,MATCH($B57,_CompoundList,0))</f>
        <v>0</v>
      </c>
      <c r="BB57" s="181">
        <f ca="1">INDEX('Unique Asset List'!V$4:V$60,MATCH($B57,_CompoundList,0))</f>
        <v>0</v>
      </c>
      <c r="BC57" s="181">
        <f ca="1">INDEX('Unique Asset List'!W$4:W$60,MATCH($B57,_CompoundList,0))</f>
        <v>1</v>
      </c>
      <c r="BD57" s="4">
        <f>IF($C$5="ON",CD57,MyRating(_E1,$B57,Efficacy!$F$1))</f>
        <v>5</v>
      </c>
      <c r="BE57" s="3">
        <f>IF($C$5="ON",CE57,MyRating(_E2,$B57,Efficacy!$F$1))</f>
        <v>5</v>
      </c>
      <c r="BF57" s="3">
        <f>IF($C$5="ON",CF57,MyRating(_E3,$B57,Efficacy!$F$1))</f>
        <v>5</v>
      </c>
      <c r="BG57" s="3">
        <f>IF($C$5="ON",CG57,MyRating(_E4,$B57,Efficacy!$F$1))</f>
        <v>5</v>
      </c>
      <c r="BH57" s="3">
        <f>IF($C$5="ON",CH57,MyRating(_E5,$B57,Efficacy!$F$1))</f>
        <v>4</v>
      </c>
      <c r="BI57" s="3">
        <f>IF($C$5="ON",CI57,MyRating(_E6,$B57,Efficacy!$F$1))</f>
        <v>3</v>
      </c>
      <c r="BJ57" s="3">
        <f>IF($C$5="ON",CJ57,MyRating(_E7,$B57,Efficacy!$F$1))</f>
        <v>4</v>
      </c>
      <c r="BK57" s="3">
        <f>IF($C$5="ON",CK57,MyRating(_E8,$B57,Efficacy!$F$1))</f>
        <v>3</v>
      </c>
      <c r="BL57" s="3">
        <f>IF($C$5="ON",CL57,MyRating(_S1,$B57,Efficacy!$F$1))</f>
        <v>4</v>
      </c>
      <c r="BM57" s="3">
        <f>IF($C$5="ON",CM57,MyRating(_S2,$B57,Efficacy!$F$1))</f>
        <v>3</v>
      </c>
      <c r="BN57" s="3">
        <f>IF($C$5="ON",CN57,MyRating(_S3,$B57,Efficacy!$F$1))</f>
        <v>3</v>
      </c>
      <c r="BO57" s="3">
        <f>IF($C$5="ON",CO57,MyRating(_S4,$B57,Efficacy!$F$1))</f>
        <v>4</v>
      </c>
      <c r="BP57" s="3">
        <f>IF($C$5="ON",CP57,MyRating(_S5,$B57,Efficacy!$F$1))</f>
        <v>5</v>
      </c>
      <c r="BQ57" s="3">
        <f>IF($C$5="ON",CQ57,MyRating(_S6,$B57,Efficacy!$F$1))</f>
        <v>2</v>
      </c>
      <c r="BR57" s="3">
        <f>IF($C$5="ON",CR57,MyRating(_S7,$B57,Efficacy!$F$1))</f>
        <v>3</v>
      </c>
      <c r="BS57" s="3">
        <f>IF($C$5="ON",CS57,MyRating(_D1,$B57,Efficacy!$F$1))</f>
        <v>2</v>
      </c>
      <c r="BT57" s="3">
        <f>IF($C$5="ON",CT57,MyRating(_D2,$B57,Efficacy!$F$1))</f>
        <v>3</v>
      </c>
      <c r="BU57" s="3">
        <f>IF($C$5="ON",CU57,MyRating(_D3,$B57,Efficacy!$F$1))</f>
        <v>3</v>
      </c>
      <c r="BV57" s="3">
        <f>IF($C$5="ON",CV57,MyRating(_D4,$B57,Efficacy!$F$1))</f>
        <v>3</v>
      </c>
      <c r="BW57" s="3">
        <f>IF($C$5="ON",CW57,MyRating(_B1,$B57,Barrier!$F$2))</f>
        <v>2</v>
      </c>
      <c r="BX57" s="3">
        <f>IF($C$5="ON",CX57,MyRating(_B2,$B57,Barrier!$F$2))</f>
        <v>3</v>
      </c>
      <c r="BY57" s="6">
        <f>IF($C$5="ON",CY57,MyRating(_B3,$B57,Barrier!$F$2))</f>
        <v>3</v>
      </c>
      <c r="BZ57" s="5">
        <f t="shared" si="7"/>
        <v>2.0898579980570462E-2</v>
      </c>
      <c r="CA57" s="8">
        <f t="shared" si="9"/>
        <v>2.2000000000000002</v>
      </c>
      <c r="CB57" s="5">
        <f t="shared" si="8"/>
        <v>2.5943396226415089E-2</v>
      </c>
      <c r="CC57" s="7">
        <f t="shared" si="10"/>
        <v>2.8125088647782231E-6</v>
      </c>
      <c r="CD57" s="4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6">
        <v>0</v>
      </c>
      <c r="CZ57" s="5"/>
      <c r="DA57" s="4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</row>
    <row r="58" spans="1:126" x14ac:dyDescent="0.25">
      <c r="A58" s="9" t="s">
        <v>5</v>
      </c>
      <c r="B58" s="9" t="s">
        <v>4</v>
      </c>
      <c r="C58" s="20" t="s">
        <v>3</v>
      </c>
      <c r="D58" s="9" t="s">
        <v>2</v>
      </c>
      <c r="E58" s="9"/>
      <c r="F58" s="9" t="str">
        <f>INDEX('Unique Asset List'!$C$4:$C$60,MATCH(B58,_CompoundList,0))</f>
        <v>PCD</v>
      </c>
      <c r="G58" s="19">
        <v>0</v>
      </c>
      <c r="H58" s="9">
        <v>2018</v>
      </c>
      <c r="I58" s="9">
        <v>1</v>
      </c>
      <c r="J58" s="18">
        <f>INDEX(PTRS!$D$6:$D$12,MATCH('1'!$F58,PTRS!$B$6:$B$12,0))</f>
        <v>0.1044225</v>
      </c>
      <c r="K58" s="17">
        <f>INDEX('Unique Asset List'!$D$4:$M$60,MATCH($B58,'Unique Asset List'!$A$4:$A$60,0),MATCH(K$8,'Unique Asset List'!$D$3:$M$3,0))</f>
        <v>0</v>
      </c>
      <c r="L58" s="17">
        <f>INDEX('Unique Asset List'!$D$4:$M$60,MATCH($B58,'Unique Asset List'!$A$4:$A$60,0),MATCH(L$8,'Unique Asset List'!$D$3:$M$3,0))</f>
        <v>0</v>
      </c>
      <c r="M58" s="17">
        <f t="shared" si="11"/>
        <v>0.1044225</v>
      </c>
      <c r="N58" s="17">
        <f>INDEX('Unique Asset List'!$D$4:$M$60,MATCH($B58,'Unique Asset List'!$A$4:$A$60,0),MATCH(N$8,'Unique Asset List'!$D$3:$M$3,0))</f>
        <v>0</v>
      </c>
      <c r="O58" s="17">
        <f>INDEX('Unique Asset List'!$D$4:$M$60,MATCH($B58,'Unique Asset List'!$A$4:$A$60,0),MATCH(O$8,'Unique Asset List'!$D$3:$M$3,0))</f>
        <v>0</v>
      </c>
      <c r="P58" s="17">
        <f>INDEX('Unique Asset List'!$D$4:$M$60,MATCH($B58,'Unique Asset List'!$A$4:$A$60,0),MATCH(P$8,'Unique Asset List'!$D$3:$M$3,0))</f>
        <v>0</v>
      </c>
      <c r="Q58" s="17">
        <f>INDEX('Unique Asset List'!$D$4:$M$60,MATCH($B58,'Unique Asset List'!$A$4:$A$60,0),MATCH(Q$8,'Unique Asset List'!$D$3:$M$3,0))</f>
        <v>0</v>
      </c>
      <c r="R58" s="17">
        <f>INDEX('Unique Asset List'!$D$4:$M$60,MATCH($B58,'Unique Asset List'!$A$4:$A$60,0),MATCH(R$8,'Unique Asset List'!$D$3:$M$3,0))</f>
        <v>0</v>
      </c>
      <c r="S58" s="17">
        <f>INDEX('Unique Asset List'!$D$4:$M$60,MATCH($B58,'Unique Asset List'!$A$4:$A$60,0),MATCH(S$8,'Unique Asset List'!$D$3:$M$3,0))</f>
        <v>0</v>
      </c>
      <c r="T58" s="17"/>
      <c r="U58" s="17">
        <f>BZ58/$BX$7</f>
        <v>0</v>
      </c>
      <c r="V58" s="17">
        <v>1</v>
      </c>
      <c r="W58" s="9" t="s">
        <v>0</v>
      </c>
      <c r="X58" s="9">
        <f>INDEX('Unique Asset List'!$Y$4:$AE$60,MATCH('1'!$B58,'Unique Asset List'!$A$4:$A$60,0),MATCH('1'!$C$1,'Unique Asset List'!$Y$3:$AE$3,0))</f>
        <v>2050</v>
      </c>
      <c r="Y58" s="9">
        <f>INDEX('Unique Asset List'!$AF$4:$AL$60,MATCH('1'!$B58,'Unique Asset List'!$A$4:$A$60,0),MATCH('1'!$C$1,'Unique Asset List'!$AF$3:$AL$3,0))</f>
        <v>9</v>
      </c>
      <c r="Z58" s="9">
        <f>INDEX('Unique Asset List'!$AT$4:$AZ$60,MATCH('1'!$B58,'Unique Asset List'!$A$4:$A$60,0),MATCH('1'!$C$1,'Unique Asset List'!$AT$3:$AZ$3,0))</f>
        <v>2060</v>
      </c>
      <c r="AA58" s="9">
        <f>INDEX('Unique Asset List'!$BA$4:$BG$60,MATCH('1'!$B58,'Unique Asset List'!$A$4:$A$60,0),MATCH('1'!$C$1,'Unique Asset List'!$BA$3:$BG$3,0))</f>
        <v>6</v>
      </c>
      <c r="AB58" s="16">
        <f>SUMPRODUCT($BD58:$BK58,$BD$7:$BK$7)</f>
        <v>0</v>
      </c>
      <c r="AC58" s="16">
        <f>SUMPRODUCT($BL58:$BR58,$BJ$7:$BP$7)</f>
        <v>0</v>
      </c>
      <c r="AD58" s="16">
        <f>SUMPRODUCT($BS58:$BV58,$BQ$7:$BT$7)</f>
        <v>0</v>
      </c>
      <c r="AE58" s="15">
        <f>INDEX('Unique Asset List'!$CJ$4:$CP$60,MATCH('1'!$B58,'Unique Asset List'!$A$4:$A$60,0),MATCH('1'!$C$1,'Unique Asset List'!$CJ$3:$CP$3,0))</f>
        <v>0.15</v>
      </c>
      <c r="AF58" s="15">
        <f>INDEX('Unique Asset List'!$CQ$4:$CW$60,MATCH('1'!$B58,'Unique Asset List'!$A$4:$A$60,0),MATCH('1'!$C$1,'Unique Asset List'!$CQ$3:$CW$3,0))</f>
        <v>0.35</v>
      </c>
      <c r="AG58" s="15">
        <f>INDEX('Unique Asset List'!$BV$4:$CB$60,MATCH('1'!$B58,'Unique Asset List'!$A$4:$A$60,0),MATCH('1'!$C$1,'Unique Asset List'!$BV$3:$CB$3,0))</f>
        <v>0.15</v>
      </c>
      <c r="AH58" s="15">
        <f>INDEX('Unique Asset List'!$CC$4:$CI$60,MATCH('1'!$B58,'Unique Asset List'!$A$4:$A$60,0),MATCH('1'!$C$1,'Unique Asset List'!$CC$3:$CI$3,0))</f>
        <v>0.35</v>
      </c>
      <c r="AI58" s="11">
        <v>0.97304949785176587</v>
      </c>
      <c r="AJ58" s="15">
        <f>INDEX('Unique Asset List'!$BH$4:$BN$60,MATCH('1'!$B58,'Unique Asset List'!$A$4:$A$60,0),MATCH('1'!$C$1,'Unique Asset List'!$BH$3:$BN$3,0))</f>
        <v>1.2267192541321688</v>
      </c>
      <c r="AK58" s="15">
        <f>INDEX('Unique Asset List'!$BO$4:$BU$60,MATCH('1'!$B58,'Unique Asset List'!$A$4:$A$60,0),MATCH('1'!$C$1,'Unique Asset List'!$BO$3:$BU$3,0))</f>
        <v>11.984388276878477</v>
      </c>
      <c r="AL58" s="150">
        <v>160</v>
      </c>
      <c r="AM58" s="14">
        <f>INDEX(Simulation!$B$6:$H$6,MATCH($A58,Simulation!$B$1:$H$1,0))*(1+AN58)^((DATE(X58,Y58,15)-DATE(2017,1,15))/365.5)</f>
        <v>47.720867993791238</v>
      </c>
      <c r="AN58" s="12">
        <v>3.5000000000000003E-2</v>
      </c>
      <c r="AO58" s="13">
        <v>60</v>
      </c>
      <c r="AP58" s="11">
        <v>0.6</v>
      </c>
      <c r="AQ58" s="12">
        <v>-0.02</v>
      </c>
      <c r="AR58" s="11">
        <v>0.5</v>
      </c>
      <c r="AS58" s="10">
        <v>1</v>
      </c>
      <c r="AT58" s="181">
        <f>INDEX('Unique Asset List'!N$4:N$60,MATCH($B58,_CompoundList,0))</f>
        <v>0</v>
      </c>
      <c r="AU58" s="181">
        <f>INDEX('Unique Asset List'!O$4:O$60,MATCH($B58,_CompoundList,0))</f>
        <v>0</v>
      </c>
      <c r="AV58" s="181">
        <f>INDEX('Unique Asset List'!P$4:P$60,MATCH($B58,_CompoundList,0))</f>
        <v>0</v>
      </c>
      <c r="AW58" s="181">
        <f>INDEX('Unique Asset List'!Q$4:Q$60,MATCH($B58,_CompoundList,0))</f>
        <v>0</v>
      </c>
      <c r="AX58" s="181">
        <f ca="1">INDEX('Unique Asset List'!R$4:R$60,MATCH($B58,_CompoundList,0))</f>
        <v>0</v>
      </c>
      <c r="AY58" s="181">
        <f ca="1">INDEX('Unique Asset List'!S$4:S$60,MATCH($B58,_CompoundList,0))</f>
        <v>1</v>
      </c>
      <c r="AZ58" s="181">
        <f ca="1">INDEX('Unique Asset List'!T$4:T$60,MATCH($B58,_CompoundList,0))</f>
        <v>0</v>
      </c>
      <c r="BA58" s="181">
        <f ca="1">INDEX('Unique Asset List'!U$4:U$60,MATCH($B58,_CompoundList,0))</f>
        <v>0</v>
      </c>
      <c r="BB58" s="181">
        <f ca="1">INDEX('Unique Asset List'!V$4:V$60,MATCH($B58,_CompoundList,0))</f>
        <v>0</v>
      </c>
      <c r="BC58" s="181">
        <f ca="1">INDEX('Unique Asset List'!W$4:W$60,MATCH($B58,_CompoundList,0))</f>
        <v>0</v>
      </c>
      <c r="BD58" s="4">
        <f>IF($C$5="ON",CD58,MyRating(_E1,$B58,Efficacy!$F$1))</f>
        <v>0</v>
      </c>
      <c r="BE58" s="3">
        <f>IF($C$5="ON",CE58,MyRating(_E2,$B58,Efficacy!$F$1))</f>
        <v>0</v>
      </c>
      <c r="BF58" s="3">
        <f>IF($C$5="ON",CF58,MyRating(_E3,$B58,Efficacy!$F$1))</f>
        <v>0</v>
      </c>
      <c r="BG58" s="3">
        <f>IF($C$5="ON",CG58,MyRating(_E4,$B58,Efficacy!$F$1))</f>
        <v>0</v>
      </c>
      <c r="BH58" s="3">
        <f>IF($C$5="ON",CH58,MyRating(_E5,$B58,Efficacy!$F$1))</f>
        <v>0</v>
      </c>
      <c r="BI58" s="3">
        <f>IF($C$5="ON",CI58,MyRating(_E6,$B58,Efficacy!$F$1))</f>
        <v>0</v>
      </c>
      <c r="BJ58" s="3">
        <f>IF($C$5="ON",CJ58,MyRating(_E7,$B58,Efficacy!$F$1))</f>
        <v>0</v>
      </c>
      <c r="BK58" s="3">
        <f>IF($C$5="ON",CK58,MyRating(_E8,$B58,Efficacy!$F$1))</f>
        <v>0</v>
      </c>
      <c r="BL58" s="3">
        <f>IF($C$5="ON",CL58,MyRating(_S1,$B58,Efficacy!$F$1))</f>
        <v>0</v>
      </c>
      <c r="BM58" s="3">
        <f>IF($C$5="ON",CM58,MyRating(_S2,$B58,Efficacy!$F$1))</f>
        <v>0</v>
      </c>
      <c r="BN58" s="3">
        <f>IF($C$5="ON",CN58,MyRating(_S3,$B58,Efficacy!$F$1))</f>
        <v>0</v>
      </c>
      <c r="BO58" s="3">
        <f>IF($C$5="ON",CO58,MyRating(_S4,$B58,Efficacy!$F$1))</f>
        <v>0</v>
      </c>
      <c r="BP58" s="3">
        <f>IF($C$5="ON",CP58,MyRating(_S5,$B58,Efficacy!$F$1))</f>
        <v>0</v>
      </c>
      <c r="BQ58" s="3">
        <f>IF($C$5="ON",CQ58,MyRating(_S6,$B58,Efficacy!$F$1))</f>
        <v>0</v>
      </c>
      <c r="BR58" s="3">
        <f>IF($C$5="ON",CR58,MyRating(_S7,$B58,Efficacy!$F$1))</f>
        <v>0</v>
      </c>
      <c r="BS58" s="3">
        <f>IF($C$5="ON",CS58,MyRating(_D1,$B58,Efficacy!$F$1))</f>
        <v>0</v>
      </c>
      <c r="BT58" s="3">
        <f>IF($C$5="ON",CT58,MyRating(_D2,$B58,Efficacy!$F$1))</f>
        <v>0</v>
      </c>
      <c r="BU58" s="3">
        <f>IF($C$5="ON",CU58,MyRating(_D3,$B58,Efficacy!$F$1))</f>
        <v>0</v>
      </c>
      <c r="BV58" s="3">
        <f>IF($C$5="ON",CV58,MyRating(_D4,$B58,Efficacy!$F$1))</f>
        <v>0</v>
      </c>
      <c r="BW58" s="3">
        <f>IF($C$5="ON",CW58,MyRating(_B1,$B58,Barrier!$F$2))</f>
        <v>0</v>
      </c>
      <c r="BX58" s="3">
        <f>IF($C$5="ON",CX58,MyRating(_B2,$B58,Barrier!$F$2))</f>
        <v>0</v>
      </c>
      <c r="BY58" s="6">
        <f>IF($C$5="ON",CY58,MyRating(_B3,$B58,Barrier!$F$2))</f>
        <v>0</v>
      </c>
      <c r="BZ58" s="5">
        <f t="shared" si="7"/>
        <v>0</v>
      </c>
      <c r="CA58" s="8">
        <f t="shared" si="9"/>
        <v>0</v>
      </c>
      <c r="CB58" s="5">
        <f t="shared" si="8"/>
        <v>0</v>
      </c>
      <c r="CC58" s="7">
        <f t="shared" si="10"/>
        <v>0</v>
      </c>
      <c r="CD58" s="4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6">
        <v>0</v>
      </c>
      <c r="CZ58" s="5"/>
      <c r="DA58" s="4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</row>
  </sheetData>
  <mergeCells count="8">
    <mergeCell ref="T4:W4"/>
    <mergeCell ref="T3:W3"/>
    <mergeCell ref="F1:I1"/>
    <mergeCell ref="J1:S1"/>
    <mergeCell ref="A1:B1"/>
    <mergeCell ref="T1:W1"/>
    <mergeCell ref="T2:W2"/>
    <mergeCell ref="F2:I2"/>
  </mergeCells>
  <dataValidations count="2">
    <dataValidation type="list" allowBlank="1" showInputMessage="1" showErrorMessage="1" sqref="C5" xr:uid="{00000000-0002-0000-1200-000000000000}">
      <formula1>"ON,OFF"</formula1>
    </dataValidation>
    <dataValidation type="list" allowBlank="1" showInputMessage="1" showErrorMessage="1" sqref="C1" xr:uid="{00000000-0002-0000-12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AADF53-3C9F-4E87-8009-11255C8688C1}">
          <x14:formula1>
            <xm:f>'Unique Asset List'!$D$3:$M$3</xm:f>
          </x14:formula1>
          <xm:sqref>J1:S1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29</vt:i4>
      </vt:variant>
    </vt:vector>
  </HeadingPairs>
  <TitlesOfParts>
    <vt:vector size="49" baseType="lpstr">
      <vt:lpstr>217 Assumptions</vt:lpstr>
      <vt:lpstr>SPRAVATO Assumptions</vt:lpstr>
      <vt:lpstr>Unique Asset List</vt:lpstr>
      <vt:lpstr>Launch Scenarios</vt:lpstr>
      <vt:lpstr>PCP Deciles</vt:lpstr>
      <vt:lpstr>PTRS</vt:lpstr>
      <vt:lpstr>Conjoint</vt:lpstr>
      <vt:lpstr>Efficacy</vt:lpstr>
      <vt:lpstr>S&amp;T</vt:lpstr>
      <vt:lpstr>Delivery</vt:lpstr>
      <vt:lpstr>Barrier</vt:lpstr>
      <vt:lpstr>Efficacy Acceptability</vt:lpstr>
      <vt:lpstr>Simulation</vt:lpstr>
      <vt:lpstr>7</vt:lpstr>
      <vt:lpstr>6</vt:lpstr>
      <vt:lpstr>5</vt:lpstr>
      <vt:lpstr>4</vt:lpstr>
      <vt:lpstr>3</vt:lpstr>
      <vt:lpstr>2</vt:lpstr>
      <vt:lpstr>1</vt:lpstr>
      <vt:lpstr>_B1</vt:lpstr>
      <vt:lpstr>_B1G5</vt:lpstr>
      <vt:lpstr>_B2</vt:lpstr>
      <vt:lpstr>_B3</vt:lpstr>
      <vt:lpstr>_CompoundList</vt:lpstr>
      <vt:lpstr>_D1</vt:lpstr>
      <vt:lpstr>_D2</vt:lpstr>
      <vt:lpstr>_D3</vt:lpstr>
      <vt:lpstr>_D4</vt:lpstr>
      <vt:lpstr>_D5</vt:lpstr>
      <vt:lpstr>_D6</vt:lpstr>
      <vt:lpstr>_D7</vt:lpstr>
      <vt:lpstr>_D8</vt:lpstr>
      <vt:lpstr>_E1</vt:lpstr>
      <vt:lpstr>_E2</vt:lpstr>
      <vt:lpstr>_E3</vt:lpstr>
      <vt:lpstr>_E4</vt:lpstr>
      <vt:lpstr>_E5</vt:lpstr>
      <vt:lpstr>_E6</vt:lpstr>
      <vt:lpstr>_E7</vt:lpstr>
      <vt:lpstr>_E8</vt:lpstr>
      <vt:lpstr>_S1</vt:lpstr>
      <vt:lpstr>_S2</vt:lpstr>
      <vt:lpstr>_S3</vt:lpstr>
      <vt:lpstr>_S4</vt:lpstr>
      <vt:lpstr>_S5</vt:lpstr>
      <vt:lpstr>_S6</vt:lpstr>
      <vt:lpstr>_S7</vt:lpstr>
      <vt:lpstr>_S8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Michel Nijs</cp:lastModifiedBy>
  <dcterms:created xsi:type="dcterms:W3CDTF">2018-03-02T14:33:55Z</dcterms:created>
  <dcterms:modified xsi:type="dcterms:W3CDTF">2019-02-14T16:00:55Z</dcterms:modified>
</cp:coreProperties>
</file>